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480" yWindow="60" windowWidth="13305" windowHeight="7425"/>
  </bookViews>
  <sheets>
    <sheet name="인포맥스함수" sheetId="8" r:id="rId1"/>
    <sheet name="날짜함수" sheetId="2" r:id="rId2"/>
    <sheet name="날짜함수활용" sheetId="9" r:id="rId3"/>
    <sheet name="INDEX" sheetId="10" r:id="rId4"/>
    <sheet name="글로벌금융시장동향" sheetId="5" r:id="rId5"/>
    <sheet name="글로벌금융시장동향실습" sheetId="3" r:id="rId6"/>
  </sheets>
  <calcPr calcId="145621"/>
</workbook>
</file>

<file path=xl/calcChain.xml><?xml version="1.0" encoding="utf-8"?>
<calcChain xmlns="http://schemas.openxmlformats.org/spreadsheetml/2006/main">
  <c r="C2" i="9" l="1"/>
  <c r="C6" i="9" s="1"/>
  <c r="C8" i="9" l="1"/>
  <c r="AJ4" i="5"/>
  <c r="AI4" i="5"/>
  <c r="AG4" i="5"/>
  <c r="AJ7" i="5"/>
  <c r="AI7" i="5"/>
  <c r="AG7" i="5"/>
  <c r="C4" i="9"/>
  <c r="C5" i="9"/>
  <c r="AJ6" i="5" l="1"/>
  <c r="AH6" i="5" s="1"/>
  <c r="G4" i="5"/>
  <c r="AH10" i="3"/>
  <c r="AF10" i="3" s="1"/>
  <c r="F62" i="5"/>
  <c r="F80" i="5"/>
  <c r="G55" i="5"/>
  <c r="F69" i="5"/>
  <c r="M80" i="5"/>
  <c r="M82" i="5"/>
  <c r="F46" i="5"/>
  <c r="F19" i="5"/>
  <c r="F43" i="5"/>
  <c r="G15" i="5"/>
  <c r="G48" i="5"/>
  <c r="G82" i="5"/>
  <c r="P20" i="5"/>
  <c r="G16" i="5"/>
  <c r="M81" i="5"/>
  <c r="H19" i="5"/>
  <c r="G50" i="5"/>
  <c r="N77" i="5"/>
  <c r="P8" i="5"/>
  <c r="G85" i="5"/>
  <c r="F14" i="5"/>
  <c r="P12" i="5"/>
  <c r="F89" i="5"/>
  <c r="M85" i="5"/>
  <c r="F9" i="5"/>
  <c r="F65" i="5"/>
  <c r="G45" i="5"/>
  <c r="H12" i="5"/>
  <c r="F63" i="5"/>
  <c r="F53" i="5"/>
  <c r="F10" i="5"/>
  <c r="F17" i="5"/>
  <c r="M79" i="5"/>
  <c r="F64" i="5"/>
  <c r="G43" i="5"/>
  <c r="F66" i="5"/>
  <c r="H11" i="5"/>
  <c r="G89" i="5"/>
  <c r="G90" i="5"/>
  <c r="F47" i="5"/>
  <c r="P17" i="5"/>
  <c r="G81" i="5"/>
  <c r="M88" i="5"/>
  <c r="G84" i="5"/>
  <c r="H15" i="5"/>
  <c r="P16" i="5"/>
  <c r="M83" i="5"/>
  <c r="G79" i="5"/>
  <c r="G88" i="5"/>
  <c r="M86" i="5"/>
  <c r="F83" i="5"/>
  <c r="F84" i="5"/>
  <c r="H14" i="5"/>
  <c r="P14" i="5"/>
  <c r="F67" i="5"/>
  <c r="M77" i="5"/>
  <c r="F15" i="5"/>
  <c r="G8" i="5"/>
  <c r="G86" i="5"/>
  <c r="M87" i="5"/>
  <c r="G78" i="5"/>
  <c r="G20" i="5"/>
  <c r="F88" i="5"/>
  <c r="G19" i="5"/>
  <c r="F12" i="5"/>
  <c r="AJ8" i="5"/>
  <c r="M84" i="5"/>
  <c r="G44" i="5"/>
  <c r="M90" i="5"/>
  <c r="AG12" i="3"/>
  <c r="P11" i="5"/>
  <c r="F90" i="5"/>
  <c r="P10" i="5"/>
  <c r="G51" i="5"/>
  <c r="H9" i="5"/>
  <c r="F55" i="5"/>
  <c r="H13" i="5"/>
  <c r="M89" i="5"/>
  <c r="G77" i="5"/>
  <c r="G46" i="5"/>
  <c r="G83" i="5"/>
  <c r="G80" i="5"/>
  <c r="F50" i="5"/>
  <c r="G12" i="5"/>
  <c r="F13" i="5"/>
  <c r="AE12" i="3"/>
  <c r="F79" i="5"/>
  <c r="G62" i="5"/>
  <c r="G61" i="5"/>
  <c r="F51" i="5"/>
  <c r="F8" i="5"/>
  <c r="F78" i="5"/>
  <c r="P9" i="5"/>
  <c r="AG8" i="5"/>
  <c r="F61" i="5"/>
  <c r="F70" i="5"/>
  <c r="F18" i="5"/>
  <c r="F44" i="5"/>
  <c r="H16" i="5"/>
  <c r="G52" i="5"/>
  <c r="G9" i="5"/>
  <c r="F54" i="5"/>
  <c r="G47" i="5"/>
  <c r="F77" i="5"/>
  <c r="F20" i="5"/>
  <c r="F86" i="5"/>
  <c r="H10" i="5"/>
  <c r="P19" i="5"/>
  <c r="F85" i="5"/>
  <c r="H17" i="5"/>
  <c r="G13" i="5"/>
  <c r="F48" i="5"/>
  <c r="F45" i="5"/>
  <c r="G17" i="5"/>
  <c r="F82" i="5"/>
  <c r="M78" i="5"/>
  <c r="H8" i="5"/>
  <c r="G10" i="5"/>
  <c r="G14" i="5"/>
  <c r="AH12" i="3"/>
  <c r="G87" i="5"/>
  <c r="F52" i="5"/>
  <c r="H18" i="5"/>
  <c r="F49" i="5"/>
  <c r="G18" i="5"/>
  <c r="F81" i="5"/>
  <c r="F68" i="5"/>
  <c r="AI8" i="5"/>
  <c r="G54" i="5"/>
  <c r="F16" i="5"/>
  <c r="G49" i="5"/>
  <c r="P13" i="5"/>
  <c r="H20" i="5"/>
  <c r="P15" i="5"/>
  <c r="F11" i="5"/>
  <c r="F87" i="5"/>
  <c r="P18" i="5"/>
  <c r="G11" i="5"/>
  <c r="G53" i="5"/>
  <c r="J6" i="5" l="1"/>
  <c r="P75" i="5"/>
  <c r="H75" i="5"/>
  <c r="I59" i="5"/>
  <c r="I41" i="5"/>
  <c r="O75" i="5"/>
  <c r="H59" i="5"/>
  <c r="H41" i="5"/>
  <c r="O6" i="5"/>
  <c r="J75" i="5"/>
  <c r="Q75" i="5"/>
  <c r="I75" i="5"/>
  <c r="J59" i="5"/>
  <c r="J41" i="5"/>
  <c r="L6" i="5"/>
  <c r="M6" i="5"/>
  <c r="I6" i="5"/>
  <c r="N6" i="5"/>
  <c r="G8" i="3"/>
  <c r="D6" i="2"/>
  <c r="D5" i="2"/>
  <c r="D4" i="2"/>
  <c r="D11" i="2"/>
  <c r="D10" i="2"/>
  <c r="D9" i="2"/>
  <c r="D8" i="2"/>
  <c r="D7" i="2"/>
  <c r="I50" i="5"/>
  <c r="I82" i="5"/>
  <c r="H54" i="5"/>
  <c r="O90" i="5"/>
  <c r="I66" i="5"/>
  <c r="H88" i="5"/>
  <c r="I55" i="5"/>
  <c r="J13" i="5"/>
  <c r="J87" i="5"/>
  <c r="N11" i="5"/>
  <c r="J84" i="5"/>
  <c r="H68" i="5"/>
  <c r="H86" i="5"/>
  <c r="N14" i="5"/>
  <c r="I53" i="5"/>
  <c r="M15" i="5"/>
  <c r="H90" i="5"/>
  <c r="P89" i="5"/>
  <c r="O10" i="5"/>
  <c r="I13" i="5"/>
  <c r="J82" i="5"/>
  <c r="J12" i="5"/>
  <c r="P77" i="5"/>
  <c r="L19" i="5"/>
  <c r="J66" i="5"/>
  <c r="H85" i="5"/>
  <c r="I11" i="5"/>
  <c r="J16" i="5"/>
  <c r="H83" i="5"/>
  <c r="H61" i="5"/>
  <c r="J80" i="5"/>
  <c r="I54" i="5"/>
  <c r="L17" i="5"/>
  <c r="H55" i="5"/>
  <c r="J50" i="5"/>
  <c r="I47" i="5"/>
  <c r="O14" i="5"/>
  <c r="J49" i="5"/>
  <c r="J64" i="5"/>
  <c r="M18" i="5"/>
  <c r="N16" i="5"/>
  <c r="M16" i="5"/>
  <c r="O11" i="5"/>
  <c r="J55" i="5"/>
  <c r="I18" i="5"/>
  <c r="J90" i="5"/>
  <c r="J67" i="5"/>
  <c r="O19" i="5"/>
  <c r="H48" i="5"/>
  <c r="O88" i="5"/>
  <c r="H51" i="5"/>
  <c r="J46" i="5"/>
  <c r="Q84" i="5"/>
  <c r="M9" i="5"/>
  <c r="J48" i="5"/>
  <c r="J85" i="5"/>
  <c r="O82" i="5"/>
  <c r="M8" i="5"/>
  <c r="L18" i="5"/>
  <c r="H77" i="5"/>
  <c r="I44" i="5"/>
  <c r="J89" i="5"/>
  <c r="I67" i="5"/>
  <c r="N10" i="5"/>
  <c r="L13" i="5"/>
  <c r="N13" i="5"/>
  <c r="O16" i="5"/>
  <c r="O12" i="5"/>
  <c r="I90" i="5"/>
  <c r="Q79" i="5"/>
  <c r="I16" i="5"/>
  <c r="Q77" i="5"/>
  <c r="I86" i="5"/>
  <c r="L15" i="5"/>
  <c r="J83" i="5"/>
  <c r="N19" i="5"/>
  <c r="I49" i="5"/>
  <c r="P82" i="5"/>
  <c r="Q89" i="5"/>
  <c r="M19" i="5"/>
  <c r="J54" i="5"/>
  <c r="Q90" i="5"/>
  <c r="J9" i="5"/>
  <c r="L16" i="5"/>
  <c r="O78" i="5"/>
  <c r="H70" i="5"/>
  <c r="N8" i="5"/>
  <c r="P86" i="5"/>
  <c r="Q82" i="5"/>
  <c r="O86" i="5"/>
  <c r="H63" i="5"/>
  <c r="H62" i="5"/>
  <c r="Q87" i="5"/>
  <c r="I88" i="5"/>
  <c r="J53" i="5"/>
  <c r="O77" i="5"/>
  <c r="M11" i="5"/>
  <c r="H67" i="5"/>
  <c r="I85" i="5"/>
  <c r="I46" i="5"/>
  <c r="P78" i="5"/>
  <c r="H81" i="5"/>
  <c r="H89" i="5"/>
  <c r="H69" i="5"/>
  <c r="I70" i="5"/>
  <c r="L10" i="5"/>
  <c r="O80" i="5"/>
  <c r="P84" i="5"/>
  <c r="J43" i="5"/>
  <c r="P88" i="5"/>
  <c r="L14" i="5"/>
  <c r="I64" i="5"/>
  <c r="L12" i="5"/>
  <c r="L9" i="5"/>
  <c r="J63" i="5"/>
  <c r="I17" i="5"/>
  <c r="J88" i="5"/>
  <c r="P80" i="5"/>
  <c r="O17" i="5"/>
  <c r="H79" i="5"/>
  <c r="N17" i="5"/>
  <c r="M10" i="5"/>
  <c r="J10" i="5"/>
  <c r="J17" i="5"/>
  <c r="N9" i="5"/>
  <c r="N15" i="5"/>
  <c r="J77" i="5"/>
  <c r="J8" i="5"/>
  <c r="P87" i="5"/>
  <c r="M12" i="5"/>
  <c r="J20" i="5"/>
  <c r="H64" i="5"/>
  <c r="P85" i="5"/>
  <c r="H43" i="5"/>
  <c r="O13" i="5"/>
  <c r="Q85" i="5"/>
  <c r="J11" i="5"/>
  <c r="N20" i="5"/>
  <c r="O83" i="5"/>
  <c r="J65" i="5"/>
  <c r="O18" i="5"/>
  <c r="I69" i="5"/>
  <c r="J45" i="5"/>
  <c r="J52" i="5"/>
  <c r="I87" i="5"/>
  <c r="J81" i="5"/>
  <c r="O87" i="5"/>
  <c r="H47" i="5"/>
  <c r="Q86" i="5"/>
  <c r="M13" i="5"/>
  <c r="I20" i="5"/>
  <c r="N18" i="5"/>
  <c r="P83" i="5"/>
  <c r="L8" i="5"/>
  <c r="I89" i="5"/>
  <c r="O20" i="5"/>
  <c r="Q83" i="5"/>
  <c r="J61" i="5"/>
  <c r="I65" i="5"/>
  <c r="H66" i="5"/>
  <c r="J15" i="5"/>
  <c r="H84" i="5"/>
  <c r="I78" i="5"/>
  <c r="H65" i="5"/>
  <c r="H87" i="5"/>
  <c r="I68" i="5"/>
  <c r="J47" i="5"/>
  <c r="J51" i="5"/>
  <c r="H52" i="5"/>
  <c r="O89" i="5"/>
  <c r="J14" i="5"/>
  <c r="I63" i="5"/>
  <c r="I81" i="5"/>
  <c r="O9" i="5"/>
  <c r="Q78" i="5"/>
  <c r="O81" i="5"/>
  <c r="I19" i="5"/>
  <c r="J68" i="5"/>
  <c r="L20" i="5"/>
  <c r="O15" i="5"/>
  <c r="P79" i="5"/>
  <c r="H82" i="5"/>
  <c r="I84" i="5"/>
  <c r="H78" i="5"/>
  <c r="Q81" i="5"/>
  <c r="I10" i="5"/>
  <c r="H53" i="5"/>
  <c r="O8" i="5"/>
  <c r="N12" i="5"/>
  <c r="H80" i="5"/>
  <c r="Q88" i="5"/>
  <c r="H49" i="5"/>
  <c r="J78" i="5"/>
  <c r="M14" i="5"/>
  <c r="I62" i="5"/>
  <c r="M17" i="5"/>
  <c r="I45" i="5"/>
  <c r="I61" i="5"/>
  <c r="P81" i="5"/>
  <c r="J70" i="5"/>
  <c r="J79" i="5"/>
  <c r="H44" i="5"/>
  <c r="I80" i="5"/>
  <c r="J69" i="5"/>
  <c r="I77" i="5"/>
  <c r="O85" i="5"/>
  <c r="J44" i="5"/>
  <c r="P90" i="5"/>
  <c r="H45" i="5"/>
  <c r="I51" i="5"/>
  <c r="O79" i="5"/>
  <c r="I12" i="5"/>
  <c r="J62" i="5"/>
  <c r="I83" i="5"/>
  <c r="J18" i="5"/>
  <c r="I14" i="5"/>
  <c r="Q80" i="5"/>
  <c r="J19" i="5"/>
  <c r="M20" i="5"/>
  <c r="I43" i="5"/>
  <c r="H46" i="5"/>
  <c r="I79" i="5"/>
  <c r="I9" i="5"/>
  <c r="I48" i="5"/>
  <c r="I8" i="5"/>
  <c r="O84" i="5"/>
  <c r="I52" i="5"/>
  <c r="J86" i="5"/>
  <c r="I15" i="5"/>
  <c r="H50" i="5"/>
  <c r="L11" i="5"/>
  <c r="O78" i="3" l="1"/>
  <c r="Q78" i="3"/>
  <c r="P78" i="3"/>
  <c r="H78" i="3"/>
  <c r="J78" i="3"/>
  <c r="I78" i="3"/>
  <c r="J44" i="3"/>
  <c r="I63" i="3"/>
  <c r="J63" i="3"/>
  <c r="H63" i="3"/>
  <c r="N10" i="3"/>
  <c r="O10" i="3"/>
  <c r="H44" i="3"/>
  <c r="I44" i="3"/>
  <c r="M10" i="3"/>
  <c r="L10" i="3"/>
  <c r="I10" i="3"/>
  <c r="J10" i="3"/>
</calcChain>
</file>

<file path=xl/sharedStrings.xml><?xml version="1.0" encoding="utf-8"?>
<sst xmlns="http://schemas.openxmlformats.org/spreadsheetml/2006/main" count="641" uniqueCount="244">
  <si>
    <t>DJI:DJI</t>
  </si>
  <si>
    <t>001</t>
    <phoneticPr fontId="1" type="noConversion"/>
  </si>
  <si>
    <t>NII:NI225</t>
  </si>
  <si>
    <t>TWS:TI01</t>
  </si>
  <si>
    <t>SHS:000001</t>
  </si>
  <si>
    <t>INI:BSE30</t>
  </si>
  <si>
    <t>XTR:DAX30</t>
  </si>
  <si>
    <t>PAS:CAC40</t>
  </si>
  <si>
    <t>USDJPY</t>
  </si>
  <si>
    <t>USDTWD</t>
  </si>
  <si>
    <t>USDSGD</t>
  </si>
  <si>
    <t>USDMYR</t>
  </si>
  <si>
    <t>USDPHP</t>
  </si>
  <si>
    <t>USDHKD</t>
  </si>
  <si>
    <t>USDIDR</t>
  </si>
  <si>
    <t>EURUSD</t>
  </si>
  <si>
    <t>US10Y</t>
  </si>
  <si>
    <t>BONDKSDCAL13</t>
  </si>
  <si>
    <t>USDSP_AMBC</t>
  </si>
  <si>
    <t>해외주요지수</t>
  </si>
  <si>
    <t>현재가</t>
  </si>
  <si>
    <t>전일대비</t>
  </si>
  <si>
    <t>등락률</t>
  </si>
  <si>
    <t>거래량</t>
  </si>
  <si>
    <t>국가</t>
  </si>
  <si>
    <t>지수</t>
  </si>
  <si>
    <t>대비</t>
  </si>
  <si>
    <t>1D(%)</t>
  </si>
  <si>
    <t>1M(%)</t>
  </si>
  <si>
    <t>3M(%)</t>
  </si>
  <si>
    <t>6M(%)</t>
  </si>
  <si>
    <t>1Y(%)</t>
  </si>
  <si>
    <t>YTD(%)</t>
  </si>
  <si>
    <t>IDX</t>
  </si>
  <si>
    <t>FRN</t>
  </si>
  <si>
    <t>상해종합</t>
  </si>
  <si>
    <t>대만</t>
  </si>
  <si>
    <t>일본</t>
  </si>
  <si>
    <t>HSI:HSCE</t>
  </si>
  <si>
    <t>항셍H</t>
  </si>
  <si>
    <t>인도</t>
  </si>
  <si>
    <t>CLI:IGPA</t>
  </si>
  <si>
    <t>칠레</t>
  </si>
  <si>
    <t>독일</t>
  </si>
  <si>
    <t>프랑스</t>
  </si>
  <si>
    <t>다우존스</t>
  </si>
  <si>
    <t>NAS:IXIC</t>
  </si>
  <si>
    <t>나스닥</t>
  </si>
  <si>
    <t>SPI:SPX</t>
  </si>
  <si>
    <t>S&amp;P</t>
  </si>
  <si>
    <t>DJI:SX5E</t>
  </si>
  <si>
    <t>EURO STOXX50</t>
  </si>
  <si>
    <t>1D(%)</t>
    <phoneticPr fontId="1" type="noConversion"/>
  </si>
  <si>
    <t>1W(%)</t>
    <phoneticPr fontId="1" type="noConversion"/>
  </si>
  <si>
    <t>해외주요금리동향</t>
  </si>
  <si>
    <t>금리</t>
  </si>
  <si>
    <t>IR</t>
  </si>
  <si>
    <t>BONDKSDCAL11</t>
  </si>
  <si>
    <t>국채(3Y)</t>
  </si>
  <si>
    <t>BONDKSDCAL12</t>
  </si>
  <si>
    <t>국채(5Y)</t>
  </si>
  <si>
    <t>국채(10Y)</t>
  </si>
  <si>
    <t>US03M</t>
  </si>
  <si>
    <t>T-Bill(3M)</t>
  </si>
  <si>
    <t>IBRUSDBFRS  03M</t>
  </si>
  <si>
    <t>Libor(3M)</t>
  </si>
  <si>
    <t>IRR:TED</t>
  </si>
  <si>
    <t>TED Spread</t>
  </si>
  <si>
    <t>US01Y</t>
  </si>
  <si>
    <t>T-Bill(1Y)</t>
  </si>
  <si>
    <t>US03Y</t>
  </si>
  <si>
    <t>T-Note(3Y)</t>
  </si>
  <si>
    <t>JP03Y</t>
  </si>
  <si>
    <t>JGB(3Y)</t>
  </si>
  <si>
    <t>GB03Y</t>
  </si>
  <si>
    <t>GILT(3Y)</t>
  </si>
  <si>
    <t>DE03Y</t>
  </si>
  <si>
    <t>BUND(3Y)</t>
  </si>
  <si>
    <t>US05Y</t>
  </si>
  <si>
    <t>T-Note(5Y)</t>
  </si>
  <si>
    <t>T-Note(10Y)</t>
  </si>
  <si>
    <t>Currency</t>
  </si>
  <si>
    <t>KRW</t>
  </si>
  <si>
    <t>JPY</t>
  </si>
  <si>
    <t>EUR</t>
  </si>
  <si>
    <t>HKD</t>
  </si>
  <si>
    <t>PHP</t>
  </si>
  <si>
    <t>SGD</t>
  </si>
  <si>
    <t>MYR</t>
  </si>
  <si>
    <t>TWD</t>
  </si>
  <si>
    <t>IDR</t>
  </si>
  <si>
    <t>THB</t>
  </si>
  <si>
    <t>FX</t>
  </si>
  <si>
    <t>USDTHB</t>
  </si>
  <si>
    <t>주요상품시세</t>
  </si>
  <si>
    <t>상품명</t>
  </si>
  <si>
    <t>Today</t>
  </si>
  <si>
    <t>SPT:DU</t>
  </si>
  <si>
    <t>두바이유현물</t>
  </si>
  <si>
    <t>LME:AAY</t>
  </si>
  <si>
    <t>알루미늄합금CASH</t>
  </si>
  <si>
    <t>SPT:CL</t>
  </si>
  <si>
    <t>WTI현물</t>
  </si>
  <si>
    <t>LME:ADY</t>
  </si>
  <si>
    <t>알루미늄CASH</t>
  </si>
  <si>
    <t>SPT:EB</t>
  </si>
  <si>
    <t>브렌트유현물</t>
  </si>
  <si>
    <t>LME:CDY</t>
  </si>
  <si>
    <t>구리CASH</t>
  </si>
  <si>
    <t>NYM:CL</t>
  </si>
  <si>
    <t>WTI</t>
  </si>
  <si>
    <t>LME:PDY</t>
  </si>
  <si>
    <t>납CASH</t>
  </si>
  <si>
    <t>IPE:EB</t>
  </si>
  <si>
    <t>브렌트유</t>
  </si>
  <si>
    <t>LME:NDY</t>
  </si>
  <si>
    <t>니켈CASH</t>
  </si>
  <si>
    <t>NYM:HO</t>
  </si>
  <si>
    <t>난방유</t>
  </si>
  <si>
    <t>LME:SDY</t>
  </si>
  <si>
    <t>주석CASH</t>
  </si>
  <si>
    <t>IPE:EP</t>
  </si>
  <si>
    <t>가스오일</t>
  </si>
  <si>
    <t>LME:ZDY</t>
  </si>
  <si>
    <t>아연CASH</t>
  </si>
  <si>
    <t>NYM:NG</t>
  </si>
  <si>
    <t>천연가스</t>
  </si>
  <si>
    <t>CBT$ZC</t>
  </si>
  <si>
    <t>옥수수</t>
  </si>
  <si>
    <t>IPE:MN</t>
  </si>
  <si>
    <t>UK천연가스</t>
  </si>
  <si>
    <t>CBT$ZS</t>
  </si>
  <si>
    <t>대두</t>
  </si>
  <si>
    <t>COM:GC</t>
  </si>
  <si>
    <t>금</t>
  </si>
  <si>
    <t>CBT$ZM</t>
  </si>
  <si>
    <t>대두박</t>
  </si>
  <si>
    <t>COM:SI</t>
  </si>
  <si>
    <t>은</t>
  </si>
  <si>
    <t>CBT$ZL</t>
  </si>
  <si>
    <t>대두유</t>
  </si>
  <si>
    <t>COM:HG</t>
  </si>
  <si>
    <t>동</t>
  </si>
  <si>
    <t>CBT$ZW</t>
  </si>
  <si>
    <t>소맥</t>
  </si>
  <si>
    <t>NYM:PA</t>
  </si>
  <si>
    <t>팔라듐</t>
  </si>
  <si>
    <t>NYB:SB</t>
  </si>
  <si>
    <t>설탕</t>
  </si>
  <si>
    <t>NYM:PL</t>
  </si>
  <si>
    <t>백금</t>
  </si>
  <si>
    <t>NYB:CT</t>
  </si>
  <si>
    <t>면화</t>
  </si>
  <si>
    <t>주요국 환율</t>
    <phoneticPr fontId="1" type="noConversion"/>
  </si>
  <si>
    <t>Date</t>
    <phoneticPr fontId="1" type="noConversion"/>
  </si>
  <si>
    <t>TODAY</t>
    <phoneticPr fontId="1" type="noConversion"/>
  </si>
  <si>
    <t>WORKDAY</t>
    <phoneticPr fontId="1" type="noConversion"/>
  </si>
  <si>
    <t>=TODAY()</t>
    <phoneticPr fontId="1" type="noConversion"/>
  </si>
  <si>
    <t>=EDATE(TODAY(),-1)</t>
    <phoneticPr fontId="1" type="noConversion"/>
  </si>
  <si>
    <t>=EOMONTH(TODAY(),-1)</t>
    <phoneticPr fontId="1" type="noConversion"/>
  </si>
  <si>
    <t>EDATE</t>
    <phoneticPr fontId="1" type="noConversion"/>
  </si>
  <si>
    <t>EOMONTH</t>
    <phoneticPr fontId="1" type="noConversion"/>
  </si>
  <si>
    <t>DATE</t>
    <phoneticPr fontId="1" type="noConversion"/>
  </si>
  <si>
    <t>YEAR</t>
    <phoneticPr fontId="1" type="noConversion"/>
  </si>
  <si>
    <t>MONTH</t>
    <phoneticPr fontId="1" type="noConversion"/>
  </si>
  <si>
    <t>=DATE(2018,01,01)</t>
    <phoneticPr fontId="1" type="noConversion"/>
  </si>
  <si>
    <t>=YEAR(TODAY())</t>
    <phoneticPr fontId="1" type="noConversion"/>
  </si>
  <si>
    <t>DAY</t>
    <phoneticPr fontId="1" type="noConversion"/>
  </si>
  <si>
    <t>날짜 함수</t>
    <phoneticPr fontId="1" type="noConversion"/>
  </si>
  <si>
    <t>=WORKDAY(TODAY(),-1)</t>
    <phoneticPr fontId="1" type="noConversion"/>
  </si>
  <si>
    <t>KOSPI</t>
    <phoneticPr fontId="1" type="noConversion"/>
  </si>
  <si>
    <t>1M(%)</t>
    <phoneticPr fontId="1" type="noConversion"/>
  </si>
  <si>
    <t>3M(%)</t>
    <phoneticPr fontId="1" type="noConversion"/>
  </si>
  <si>
    <t>1Y(%)</t>
    <phoneticPr fontId="1" type="noConversion"/>
  </si>
  <si>
    <t>D-1</t>
    <phoneticPr fontId="1" type="noConversion"/>
  </si>
  <si>
    <t>D-1</t>
    <phoneticPr fontId="1" type="noConversion"/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</si>
  <si>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</si>
  <si>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</si>
  <si>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</si>
  <si>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</si>
  <si>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</si>
  <si>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</si>
  <si>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</si>
  <si>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</si>
  <si>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평균</t>
  </si>
  <si>
    <t>금리</t>
    <phoneticPr fontId="1" type="noConversion"/>
  </si>
  <si>
    <t>IRR:TED</t>
    <phoneticPr fontId="1" type="noConversion"/>
  </si>
  <si>
    <t>종가</t>
    <phoneticPr fontId="1" type="noConversion"/>
  </si>
  <si>
    <t>일자</t>
    <phoneticPr fontId="1" type="noConversion"/>
  </si>
  <si>
    <t>시작</t>
    <phoneticPr fontId="1" type="noConversion"/>
  </si>
  <si>
    <t>글로벌 금융시장 동향</t>
    <phoneticPr fontId="1" type="noConversion"/>
  </si>
  <si>
    <t>누적거래량</t>
    <phoneticPr fontId="1" type="noConversion"/>
  </si>
  <si>
    <t>거래량</t>
    <phoneticPr fontId="1" type="noConversion"/>
  </si>
  <si>
    <t>대표수익률</t>
    <phoneticPr fontId="1" type="noConversion"/>
  </si>
  <si>
    <t>종가</t>
    <phoneticPr fontId="1" type="noConversion"/>
  </si>
  <si>
    <t>금리</t>
    <phoneticPr fontId="1" type="noConversion"/>
  </si>
  <si>
    <t>현재가</t>
    <phoneticPr fontId="1" type="noConversion"/>
  </si>
  <si>
    <t>뉴욕종가</t>
    <phoneticPr fontId="1" type="noConversion"/>
  </si>
  <si>
    <t>전일대비</t>
    <phoneticPr fontId="1" type="noConversion"/>
  </si>
  <si>
    <t>기준일</t>
  </si>
  <si>
    <t>DATE(YEAR(C2)-1,12,31)</t>
  </si>
  <si>
    <t>전월말</t>
  </si>
  <si>
    <t>EOMONTH(C2,-1)</t>
  </si>
  <si>
    <t>C2-(WEEKDAY(C2,16))</t>
  </si>
  <si>
    <t>=MONTH(TODAY())</t>
    <phoneticPr fontId="1" type="noConversion"/>
  </si>
  <si>
    <t>=DAY(TODAY())</t>
    <phoneticPr fontId="1" type="noConversion"/>
  </si>
  <si>
    <t>전주말</t>
    <phoneticPr fontId="1" type="noConversion"/>
  </si>
  <si>
    <t>전년말</t>
    <phoneticPr fontId="1" type="noConversion"/>
  </si>
  <si>
    <t>리얼타임</t>
    <phoneticPr fontId="1" type="noConversion"/>
  </si>
  <si>
    <t>스냅샷</t>
    <phoneticPr fontId="1" type="noConversion"/>
  </si>
  <si>
    <t>히스토리</t>
    <phoneticPr fontId="1" type="noConversion"/>
  </si>
  <si>
    <t>=IMDP(시장구분,코드,필드)</t>
    <phoneticPr fontId="1" type="noConversion"/>
  </si>
  <si>
    <t>=IMDP(시장구분,코드,필드,[조회일],
   [선택적인수])</t>
    <phoneticPr fontId="1" type="noConversion"/>
  </si>
  <si>
    <t>=IMDH(시장구분,코드,필드,시작일,
   종료일,조회건수,[선택적인수])</t>
    <phoneticPr fontId="1" type="noConversion"/>
  </si>
  <si>
    <t>INDEX 함수란?</t>
  </si>
  <si>
    <t>셀 범위나 데이터 배열에서 행 번호와 열 번호가 교차하는 곳에 있는 값을 반환해주는 함수</t>
  </si>
  <si>
    <t>연합인포맥스</t>
  </si>
  <si>
    <t>=INDEX(C7:I13,5,5)</t>
    <phoneticPr fontId="1" type="noConversion"/>
  </si>
  <si>
    <t>리얼 : IMDP(시장구분,종목코드,항목명,[선택적인수])</t>
    <phoneticPr fontId="1" type="noConversion"/>
  </si>
  <si>
    <t>히스토리 : IMDH(시장구분,종목코드,항목명,시작일,종료일, 조회건수,[선택적인수]</t>
    <phoneticPr fontId="1" type="noConversion"/>
  </si>
  <si>
    <t>등락률 : (A-B)/B*100</t>
    <phoneticPr fontId="1" type="noConversion"/>
  </si>
  <si>
    <t>C2-7</t>
    <phoneticPr fontId="1" type="noConversion"/>
  </si>
  <si>
    <t>*해당 함수는 2010버전 이상에서 사용 가능</t>
    <phoneticPr fontId="1" type="noConversion"/>
  </si>
  <si>
    <t xml:space="preserve">오늘 날짜 </t>
    <phoneticPr fontId="1" type="noConversion"/>
  </si>
  <si>
    <t>영업일 기준 날짜</t>
    <phoneticPr fontId="1" type="noConversion"/>
  </si>
  <si>
    <t>기준일로부터 전후 월말</t>
    <phoneticPr fontId="1" type="noConversion"/>
  </si>
  <si>
    <t>기준일로부터 전후 월</t>
    <phoneticPr fontId="1" type="noConversion"/>
  </si>
  <si>
    <t>날짜 서식으로 변환</t>
    <phoneticPr fontId="1" type="noConversion"/>
  </si>
  <si>
    <t>날짜에서 연도만 추출</t>
    <phoneticPr fontId="1" type="noConversion"/>
  </si>
  <si>
    <t>날짜에서 월만 추출</t>
    <phoneticPr fontId="1" type="noConversion"/>
  </si>
  <si>
    <t>날짜에서 일만 추출</t>
    <phoneticPr fontId="1" type="noConversion"/>
  </si>
  <si>
    <t>전  주</t>
    <phoneticPr fontId="1" type="noConversion"/>
  </si>
  <si>
    <t>시장구분</t>
    <phoneticPr fontId="1" type="noConversion"/>
  </si>
  <si>
    <t>종목코드</t>
    <phoneticPr fontId="1" type="noConversion"/>
  </si>
  <si>
    <t>종목명</t>
    <phoneticPr fontId="1" type="noConversion"/>
  </si>
  <si>
    <t>셀연결</t>
    <phoneticPr fontId="1" type="noConversion"/>
  </si>
  <si>
    <t>IBRUSDBFRS  03M</t>
    <phoneticPr fontId="1" type="noConversion"/>
  </si>
  <si>
    <t>금리</t>
    <phoneticPr fontId="1" type="noConversion"/>
  </si>
  <si>
    <t>"FILL=TRUE"</t>
    <phoneticPr fontId="1" type="noConversion"/>
  </si>
  <si>
    <t>TRUE=이전값
FALSE=공란
0=0</t>
    <phoneticPr fontId="1" type="noConversion"/>
  </si>
  <si>
    <t>1bp=0.01</t>
    <phoneticPr fontId="1" type="noConversion"/>
  </si>
  <si>
    <t>ABS=절대값</t>
    <phoneticPr fontId="1" type="noConversion"/>
  </si>
  <si>
    <t>전일대비</t>
    <phoneticPr fontId="1" type="noConversion"/>
  </si>
  <si>
    <t>종가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</si>
</sst>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.0000_ "/>
    <numFmt numFmtId="177" formatCode="0.00_ "/>
    <numFmt numFmtId="178" formatCode="#,##0_ "/>
    <numFmt numFmtId="179" formatCode="#,##0.00_ "/>
    <numFmt numFmtId="180" formatCode="0.00000_ "/>
  </numFmts>
  <fonts count="40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b/>
      <sz val="10"/>
      <color rgb="FF063C8C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u/>
      <sz val="11"/>
      <color rgb="FF800000"/>
      <name val="맑은 고딕"/>
      <family val="3"/>
      <charset val="129"/>
      <scheme val="minor"/>
    </font>
    <font>
      <b/>
      <sz val="9"/>
      <color theme="0"/>
      <name val="맑은 고딕"/>
      <family val="2"/>
      <charset val="129"/>
    </font>
    <font>
      <b/>
      <i/>
      <sz val="20"/>
      <color theme="4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sz val="10"/>
      <color theme="4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sz val="48"/>
      <color theme="1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36"/>
      <name val="맑은 고딕"/>
      <family val="2"/>
      <charset val="129"/>
      <scheme val="minor"/>
    </font>
    <font>
      <b/>
      <sz val="36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24"/>
      <color theme="0" tint="-4.9989318521683403E-2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b/>
      <sz val="16"/>
      <color rgb="FFC0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</fills>
  <borders count="3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14999847407452621"/>
      </right>
      <top style="thin">
        <color theme="1" tint="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 tint="0.499984740745262"/>
      </top>
      <bottom style="thin">
        <color theme="0" tint="-0.1499984740745262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14999847407452621"/>
      </left>
      <right style="thin">
        <color theme="1" tint="0.499984740745262"/>
      </right>
      <top style="thin">
        <color theme="1" tint="0.499984740745262"/>
      </top>
      <bottom style="thin">
        <color theme="0" tint="-0.14999847407452621"/>
      </bottom>
      <diagonal/>
    </border>
    <border>
      <left style="thin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499984740745262"/>
      </left>
      <right style="thin">
        <color theme="0" tint="-0.14999847407452621"/>
      </right>
      <top style="thin">
        <color theme="0" tint="-0.14999847407452621"/>
      </top>
      <bottom style="thin">
        <color theme="1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 tint="0.499984740745262"/>
      </bottom>
      <diagonal/>
    </border>
    <border>
      <left/>
      <right/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14999847407452621"/>
      </left>
      <right style="thin">
        <color theme="1" tint="0.499984740745262"/>
      </right>
      <top style="thin">
        <color theme="0" tint="-0.14999847407452621"/>
      </top>
      <bottom style="thin">
        <color theme="1" tint="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9847407452621"/>
      </left>
      <right style="thin">
        <color theme="1" tint="0.499984740745262"/>
      </right>
      <top/>
      <bottom style="thin">
        <color theme="0" tint="-0.1499984740745262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0" fontId="0" fillId="0" borderId="15" xfId="0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176" fontId="0" fillId="0" borderId="1" xfId="0" applyNumberFormat="1" applyBorder="1">
      <alignment vertical="center"/>
    </xf>
    <xf numFmtId="0" fontId="5" fillId="4" borderId="4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5" fillId="4" borderId="10" xfId="0" applyFont="1" applyFill="1" applyBorder="1">
      <alignment vertical="center"/>
    </xf>
    <xf numFmtId="176" fontId="0" fillId="0" borderId="11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9" xfId="0" applyNumberForma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5" fillId="4" borderId="4" xfId="0" applyFont="1" applyFill="1" applyBorder="1">
      <alignment vertical="center"/>
    </xf>
    <xf numFmtId="177" fontId="0" fillId="0" borderId="5" xfId="0" applyNumberFormat="1" applyBorder="1">
      <alignment vertical="center"/>
    </xf>
    <xf numFmtId="177" fontId="0" fillId="0" borderId="7" xfId="0" applyNumberFormat="1" applyBorder="1">
      <alignment vertical="center"/>
    </xf>
    <xf numFmtId="0" fontId="5" fillId="4" borderId="8" xfId="0" applyFont="1" applyFill="1" applyBorder="1">
      <alignment vertical="center"/>
    </xf>
    <xf numFmtId="177" fontId="0" fillId="0" borderId="9" xfId="0" applyNumberFormat="1" applyBorder="1">
      <alignment vertical="center"/>
    </xf>
    <xf numFmtId="0" fontId="5" fillId="4" borderId="10" xfId="0" applyFont="1" applyFill="1" applyBorder="1">
      <alignment vertical="center"/>
    </xf>
    <xf numFmtId="176" fontId="0" fillId="0" borderId="11" xfId="0" applyNumberFormat="1" applyBorder="1">
      <alignment vertical="center"/>
    </xf>
    <xf numFmtId="176" fontId="0" fillId="0" borderId="13" xfId="0" applyNumberForma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8" fillId="0" borderId="0" xfId="0" applyFont="1">
      <alignment vertical="center"/>
    </xf>
    <xf numFmtId="177" fontId="0" fillId="0" borderId="1" xfId="0" applyNumberFormat="1" applyBorder="1">
      <alignment vertical="center"/>
    </xf>
    <xf numFmtId="178" fontId="6" fillId="3" borderId="2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0" fontId="5" fillId="4" borderId="4" xfId="0" applyFont="1" applyFill="1" applyBorder="1">
      <alignment vertical="center"/>
    </xf>
    <xf numFmtId="179" fontId="5" fillId="0" borderId="5" xfId="0" applyNumberFormat="1" applyFont="1" applyBorder="1">
      <alignment vertical="center"/>
    </xf>
    <xf numFmtId="177" fontId="0" fillId="0" borderId="5" xfId="0" applyNumberFormat="1" applyBorder="1">
      <alignment vertical="center"/>
    </xf>
    <xf numFmtId="0" fontId="5" fillId="4" borderId="5" xfId="0" applyFont="1" applyFill="1" applyBorder="1">
      <alignment vertical="center"/>
    </xf>
    <xf numFmtId="177" fontId="0" fillId="0" borderId="7" xfId="0" applyNumberFormat="1" applyBorder="1">
      <alignment vertical="center"/>
    </xf>
    <xf numFmtId="0" fontId="5" fillId="4" borderId="8" xfId="0" applyFont="1" applyFill="1" applyBorder="1">
      <alignment vertical="center"/>
    </xf>
    <xf numFmtId="177" fontId="0" fillId="0" borderId="9" xfId="0" applyNumberFormat="1" applyBorder="1">
      <alignment vertical="center"/>
    </xf>
    <xf numFmtId="0" fontId="5" fillId="4" borderId="10" xfId="0" applyFont="1" applyFill="1" applyBorder="1">
      <alignment vertical="center"/>
    </xf>
    <xf numFmtId="179" fontId="5" fillId="0" borderId="11" xfId="0" applyNumberFormat="1" applyFont="1" applyBorder="1">
      <alignment vertical="center"/>
    </xf>
    <xf numFmtId="177" fontId="0" fillId="0" borderId="11" xfId="0" applyNumberFormat="1" applyBorder="1">
      <alignment vertical="center"/>
    </xf>
    <xf numFmtId="0" fontId="5" fillId="4" borderId="11" xfId="0" applyFont="1" applyFill="1" applyBorder="1">
      <alignment vertical="center"/>
    </xf>
    <xf numFmtId="177" fontId="0" fillId="0" borderId="13" xfId="0" applyNumberForma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" xfId="0" applyFont="1" applyFill="1" applyBorder="1">
      <alignment vertical="center"/>
    </xf>
    <xf numFmtId="178" fontId="9" fillId="3" borderId="2" xfId="0" applyNumberFormat="1" applyFont="1" applyFill="1" applyBorder="1" applyAlignment="1">
      <alignment horizontal="center" vertical="center"/>
    </xf>
    <xf numFmtId="49" fontId="10" fillId="0" borderId="0" xfId="0" applyNumberFormat="1" applyFont="1" applyFill="1">
      <alignment vertical="center"/>
    </xf>
    <xf numFmtId="0" fontId="4" fillId="5" borderId="15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17" xfId="0" applyBorder="1">
      <alignment vertical="center"/>
    </xf>
    <xf numFmtId="2" fontId="0" fillId="0" borderId="17" xfId="0" applyNumberFormat="1" applyBorder="1">
      <alignment vertical="center"/>
    </xf>
    <xf numFmtId="0" fontId="7" fillId="0" borderId="17" xfId="0" applyFont="1" applyBorder="1">
      <alignment vertical="center"/>
    </xf>
    <xf numFmtId="177" fontId="0" fillId="0" borderId="17" xfId="0" applyNumberFormat="1" applyBorder="1">
      <alignment vertical="center"/>
    </xf>
    <xf numFmtId="2" fontId="0" fillId="0" borderId="15" xfId="0" applyNumberFormat="1" applyBorder="1">
      <alignment vertical="center"/>
    </xf>
    <xf numFmtId="0" fontId="7" fillId="0" borderId="15" xfId="0" applyFont="1" applyBorder="1">
      <alignment vertical="center"/>
    </xf>
    <xf numFmtId="177" fontId="0" fillId="0" borderId="15" xfId="0" applyNumberFormat="1" applyBorder="1">
      <alignment vertical="center"/>
    </xf>
    <xf numFmtId="0" fontId="0" fillId="4" borderId="18" xfId="0" applyFill="1" applyBorder="1">
      <alignment vertical="center"/>
    </xf>
    <xf numFmtId="0" fontId="0" fillId="4" borderId="20" xfId="0" applyFill="1" applyBorder="1">
      <alignment vertical="center"/>
    </xf>
    <xf numFmtId="0" fontId="0" fillId="4" borderId="22" xfId="0" applyFill="1" applyBorder="1">
      <alignment vertical="center"/>
    </xf>
    <xf numFmtId="0" fontId="0" fillId="0" borderId="23" xfId="0" applyBorder="1">
      <alignment vertical="center"/>
    </xf>
    <xf numFmtId="2" fontId="0" fillId="0" borderId="23" xfId="0" applyNumberFormat="1" applyBorder="1">
      <alignment vertical="center"/>
    </xf>
    <xf numFmtId="0" fontId="7" fillId="0" borderId="23" xfId="0" applyFont="1" applyBorder="1">
      <alignment vertical="center"/>
    </xf>
    <xf numFmtId="177" fontId="0" fillId="0" borderId="23" xfId="0" applyNumberFormat="1" applyBorder="1">
      <alignment vertical="center"/>
    </xf>
    <xf numFmtId="180" fontId="0" fillId="0" borderId="5" xfId="0" applyNumberFormat="1" applyBorder="1">
      <alignment vertical="center"/>
    </xf>
    <xf numFmtId="180" fontId="0" fillId="0" borderId="1" xfId="0" applyNumberFormat="1" applyBorder="1">
      <alignment vertical="center"/>
    </xf>
    <xf numFmtId="180" fontId="0" fillId="0" borderId="11" xfId="0" applyNumberFormat="1" applyBorder="1">
      <alignment vertical="center"/>
    </xf>
    <xf numFmtId="49" fontId="10" fillId="0" borderId="6" xfId="0" applyNumberFormat="1" applyFont="1" applyFill="1" applyBorder="1">
      <alignment vertical="center"/>
    </xf>
    <xf numFmtId="49" fontId="10" fillId="0" borderId="12" xfId="0" applyNumberFormat="1" applyFont="1" applyFill="1" applyBorder="1">
      <alignment vertical="center"/>
    </xf>
    <xf numFmtId="49" fontId="10" fillId="0" borderId="3" xfId="0" applyNumberFormat="1" applyFon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8" fillId="0" borderId="0" xfId="0" applyFont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9" fontId="5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0" fontId="5" fillId="4" borderId="4" xfId="0" applyFont="1" applyFill="1" applyBorder="1">
      <alignment vertical="center"/>
    </xf>
    <xf numFmtId="177" fontId="0" fillId="0" borderId="5" xfId="0" applyNumberFormat="1" applyBorder="1">
      <alignment vertical="center"/>
    </xf>
    <xf numFmtId="177" fontId="0" fillId="0" borderId="7" xfId="0" applyNumberFormat="1" applyBorder="1">
      <alignment vertical="center"/>
    </xf>
    <xf numFmtId="0" fontId="5" fillId="4" borderId="8" xfId="0" applyFont="1" applyFill="1" applyBorder="1">
      <alignment vertical="center"/>
    </xf>
    <xf numFmtId="177" fontId="0" fillId="0" borderId="9" xfId="0" applyNumberFormat="1" applyBorder="1">
      <alignment vertical="center"/>
    </xf>
    <xf numFmtId="0" fontId="5" fillId="4" borderId="10" xfId="0" applyFont="1" applyFill="1" applyBorder="1">
      <alignment vertical="center"/>
    </xf>
    <xf numFmtId="179" fontId="5" fillId="0" borderId="11" xfId="0" applyNumberFormat="1" applyFont="1" applyBorder="1">
      <alignment vertical="center"/>
    </xf>
    <xf numFmtId="177" fontId="0" fillId="0" borderId="11" xfId="0" applyNumberFormat="1" applyBorder="1">
      <alignment vertical="center"/>
    </xf>
    <xf numFmtId="0" fontId="5" fillId="4" borderId="11" xfId="0" applyFont="1" applyFill="1" applyBorder="1">
      <alignment vertical="center"/>
    </xf>
    <xf numFmtId="177" fontId="0" fillId="0" borderId="13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9" xfId="0" applyNumberForma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49" fontId="0" fillId="8" borderId="15" xfId="0" applyNumberForma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quotePrefix="1" applyFo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>
      <alignment vertical="center"/>
    </xf>
    <xf numFmtId="49" fontId="7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4" fontId="7" fillId="0" borderId="0" xfId="0" applyNumberFormat="1" applyFont="1">
      <alignment vertical="center"/>
    </xf>
    <xf numFmtId="0" fontId="7" fillId="9" borderId="15" xfId="0" applyFont="1" applyFill="1" applyBorder="1" applyAlignment="1">
      <alignment horizontal="center" vertical="center"/>
    </xf>
    <xf numFmtId="14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4" fontId="13" fillId="0" borderId="0" xfId="0" applyNumberFormat="1" applyFont="1">
      <alignment vertical="center"/>
    </xf>
    <xf numFmtId="0" fontId="13" fillId="2" borderId="2" xfId="0" applyFont="1" applyFill="1" applyBorder="1">
      <alignment vertical="center"/>
    </xf>
    <xf numFmtId="0" fontId="13" fillId="0" borderId="17" xfId="0" applyFont="1" applyBorder="1">
      <alignment vertical="center"/>
    </xf>
    <xf numFmtId="0" fontId="13" fillId="0" borderId="15" xfId="0" applyFont="1" applyBorder="1">
      <alignment vertical="center"/>
    </xf>
    <xf numFmtId="0" fontId="13" fillId="0" borderId="23" xfId="0" applyFont="1" applyBorder="1">
      <alignment vertical="center"/>
    </xf>
    <xf numFmtId="49" fontId="7" fillId="0" borderId="3" xfId="0" applyNumberFormat="1" applyFont="1" applyFill="1" applyBorder="1">
      <alignment vertical="center"/>
    </xf>
    <xf numFmtId="49" fontId="7" fillId="0" borderId="12" xfId="0" applyNumberFormat="1" applyFont="1" applyFill="1" applyBorder="1">
      <alignment vertical="center"/>
    </xf>
    <xf numFmtId="0" fontId="5" fillId="4" borderId="26" xfId="0" applyFont="1" applyFill="1" applyBorder="1">
      <alignment vertical="center"/>
    </xf>
    <xf numFmtId="180" fontId="0" fillId="0" borderId="27" xfId="0" applyNumberFormat="1" applyBorder="1">
      <alignment vertical="center"/>
    </xf>
    <xf numFmtId="176" fontId="0" fillId="0" borderId="27" xfId="0" applyNumberFormat="1" applyBorder="1">
      <alignment vertical="center"/>
    </xf>
    <xf numFmtId="49" fontId="13" fillId="0" borderId="28" xfId="0" applyNumberFormat="1" applyFont="1" applyFill="1" applyBorder="1">
      <alignment vertical="center"/>
    </xf>
    <xf numFmtId="0" fontId="5" fillId="4" borderId="27" xfId="0" applyFont="1" applyFill="1" applyBorder="1">
      <alignment vertical="center"/>
    </xf>
    <xf numFmtId="179" fontId="5" fillId="0" borderId="27" xfId="0" applyNumberFormat="1" applyFont="1" applyBorder="1">
      <alignment vertical="center"/>
    </xf>
    <xf numFmtId="177" fontId="0" fillId="0" borderId="27" xfId="0" applyNumberFormat="1" applyBorder="1">
      <alignment vertical="center"/>
    </xf>
    <xf numFmtId="177" fontId="0" fillId="0" borderId="29" xfId="0" applyNumberFormat="1" applyBorder="1">
      <alignment vertical="center"/>
    </xf>
    <xf numFmtId="178" fontId="6" fillId="3" borderId="25" xfId="0" applyNumberFormat="1" applyFont="1" applyFill="1" applyBorder="1" applyAlignment="1">
      <alignment horizontal="center" vertical="center"/>
    </xf>
    <xf numFmtId="178" fontId="15" fillId="3" borderId="25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4" fontId="17" fillId="0" borderId="0" xfId="0" applyNumberFormat="1" applyFont="1">
      <alignment vertical="center"/>
    </xf>
    <xf numFmtId="0" fontId="18" fillId="0" borderId="0" xfId="0" applyFont="1">
      <alignment vertical="center"/>
    </xf>
    <xf numFmtId="14" fontId="18" fillId="0" borderId="0" xfId="0" applyNumberFormat="1" applyFont="1">
      <alignment vertical="center"/>
    </xf>
    <xf numFmtId="0" fontId="17" fillId="9" borderId="15" xfId="0" applyFont="1" applyFill="1" applyBorder="1" applyAlignment="1">
      <alignment horizontal="center" vertical="center"/>
    </xf>
    <xf numFmtId="14" fontId="17" fillId="0" borderId="15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>
      <alignment vertical="center"/>
    </xf>
    <xf numFmtId="0" fontId="19" fillId="0" borderId="0" xfId="0" applyFont="1">
      <alignment vertical="center"/>
    </xf>
    <xf numFmtId="0" fontId="22" fillId="3" borderId="16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4" fontId="19" fillId="0" borderId="16" xfId="0" applyNumberFormat="1" applyFont="1" applyBorder="1">
      <alignment vertical="center"/>
    </xf>
    <xf numFmtId="14" fontId="19" fillId="6" borderId="16" xfId="0" applyNumberFormat="1" applyFont="1" applyFill="1" applyBorder="1" applyAlignment="1">
      <alignment horizontal="center" vertical="center"/>
    </xf>
    <xf numFmtId="0" fontId="22" fillId="11" borderId="16" xfId="0" applyFont="1" applyFill="1" applyBorder="1">
      <alignment vertical="center"/>
    </xf>
    <xf numFmtId="0" fontId="24" fillId="0" borderId="0" xfId="0" applyFont="1">
      <alignment vertical="center"/>
    </xf>
    <xf numFmtId="0" fontId="25" fillId="0" borderId="16" xfId="0" quotePrefix="1" applyFont="1" applyBorder="1" applyAlignment="1">
      <alignment vertical="center" wrapText="1"/>
    </xf>
    <xf numFmtId="0" fontId="26" fillId="7" borderId="16" xfId="0" applyFont="1" applyFill="1" applyBorder="1">
      <alignment vertical="center"/>
    </xf>
    <xf numFmtId="0" fontId="27" fillId="7" borderId="16" xfId="0" applyFont="1" applyFill="1" applyBorder="1">
      <alignment vertical="center"/>
    </xf>
    <xf numFmtId="0" fontId="10" fillId="0" borderId="0" xfId="0" applyNumberFormat="1" applyFont="1" applyFill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9" fillId="0" borderId="0" xfId="0" quotePrefix="1" applyFont="1">
      <alignment vertical="center"/>
    </xf>
    <xf numFmtId="0" fontId="20" fillId="10" borderId="34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14" fontId="0" fillId="0" borderId="0" xfId="0" applyNumberFormat="1">
      <alignment vertical="center"/>
    </xf>
    <xf numFmtId="14" fontId="7" fillId="0" borderId="0" xfId="0" applyNumberFormat="1" applyFont="1">
      <alignment vertical="center"/>
    </xf>
    <xf numFmtId="0" fontId="31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NumberFormat="1">
      <alignment vertical="center"/>
    </xf>
    <xf numFmtId="0" fontId="32" fillId="0" borderId="16" xfId="0" quotePrefix="1" applyFont="1" applyBorder="1">
      <alignment vertical="center"/>
    </xf>
    <xf numFmtId="0" fontId="33" fillId="7" borderId="16" xfId="0" applyFont="1" applyFill="1" applyBorder="1">
      <alignment vertical="center"/>
    </xf>
    <xf numFmtId="0" fontId="33" fillId="0" borderId="16" xfId="0" quotePrefix="1" applyFont="1" applyBorder="1">
      <alignment vertical="center"/>
    </xf>
    <xf numFmtId="14" fontId="34" fillId="0" borderId="0" xfId="0" applyNumberFormat="1" applyFont="1">
      <alignment vertical="center"/>
    </xf>
    <xf numFmtId="14" fontId="35" fillId="0" borderId="16" xfId="0" applyNumberFormat="1" applyFont="1" applyBorder="1">
      <alignment vertical="center"/>
    </xf>
    <xf numFmtId="14" fontId="36" fillId="0" borderId="0" xfId="0" applyNumberFormat="1" applyFont="1">
      <alignment vertical="center"/>
    </xf>
    <xf numFmtId="14" fontId="37" fillId="0" borderId="16" xfId="0" applyNumberFormat="1" applyFont="1" applyBorder="1">
      <alignment vertical="center"/>
    </xf>
    <xf numFmtId="14" fontId="37" fillId="0" borderId="16" xfId="0" quotePrefix="1" applyNumberFormat="1" applyFont="1" applyBorder="1">
      <alignment vertical="center"/>
    </xf>
    <xf numFmtId="0" fontId="37" fillId="0" borderId="16" xfId="0" quotePrefix="1" applyFont="1" applyBorder="1">
      <alignment vertical="center"/>
    </xf>
    <xf numFmtId="0" fontId="37" fillId="0" borderId="16" xfId="0" applyFont="1" applyBorder="1">
      <alignment vertical="center"/>
    </xf>
    <xf numFmtId="14" fontId="32" fillId="0" borderId="16" xfId="0" quotePrefix="1" applyNumberFormat="1" applyFont="1" applyBorder="1">
      <alignment vertical="center"/>
    </xf>
    <xf numFmtId="0" fontId="32" fillId="0" borderId="16" xfId="0" applyFont="1" applyBorder="1">
      <alignment vertical="center"/>
    </xf>
    <xf numFmtId="0" fontId="22" fillId="7" borderId="16" xfId="0" applyFont="1" applyFill="1" applyBorder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39" fillId="0" borderId="0" xfId="0" applyFont="1" applyAlignment="1">
      <alignment horizontal="center" vertical="center"/>
    </xf>
    <xf numFmtId="0" fontId="39" fillId="0" borderId="0" xfId="0" quotePrefix="1" applyFont="1">
      <alignment vertical="center"/>
    </xf>
    <xf numFmtId="0" fontId="39" fillId="0" borderId="0" xfId="0" applyFont="1" applyFill="1" applyAlignment="1">
      <alignment horizontal="center" vertical="center"/>
    </xf>
    <xf numFmtId="0" fontId="39" fillId="0" borderId="0" xfId="0" applyFont="1" applyFill="1">
      <alignment vertical="center"/>
    </xf>
    <xf numFmtId="49" fontId="39" fillId="0" borderId="0" xfId="0" applyNumberFormat="1" applyFont="1" applyFill="1" applyAlignment="1">
      <alignment horizontal="center" vertical="center"/>
    </xf>
    <xf numFmtId="49" fontId="39" fillId="0" borderId="0" xfId="0" applyNumberFormat="1" applyFont="1" applyFill="1">
      <alignment vertical="center"/>
    </xf>
    <xf numFmtId="0" fontId="17" fillId="0" borderId="15" xfId="0" applyFont="1" applyBorder="1">
      <alignment vertical="center"/>
    </xf>
    <xf numFmtId="0" fontId="0" fillId="7" borderId="15" xfId="0" applyFill="1" applyBorder="1">
      <alignment vertical="center"/>
    </xf>
    <xf numFmtId="0" fontId="0" fillId="8" borderId="15" xfId="0" applyFill="1" applyBorder="1">
      <alignment vertical="center"/>
    </xf>
    <xf numFmtId="0" fontId="10" fillId="12" borderId="15" xfId="0" applyFont="1" applyFill="1" applyBorder="1">
      <alignment vertical="center"/>
    </xf>
    <xf numFmtId="0" fontId="0" fillId="13" borderId="15" xfId="0" applyFill="1" applyBorder="1">
      <alignment vertical="center"/>
    </xf>
    <xf numFmtId="41" fontId="0" fillId="0" borderId="15" xfId="1" applyFont="1" applyBorder="1" applyAlignment="1">
      <alignment horizontal="center" vertical="center"/>
    </xf>
    <xf numFmtId="41" fontId="0" fillId="0" borderId="21" xfId="1" applyFont="1" applyBorder="1" applyAlignment="1">
      <alignment horizontal="center" vertical="center"/>
    </xf>
    <xf numFmtId="41" fontId="0" fillId="0" borderId="23" xfId="1" applyFont="1" applyBorder="1" applyAlignment="1">
      <alignment horizontal="center" vertical="center"/>
    </xf>
    <xf numFmtId="41" fontId="0" fillId="0" borderId="24" xfId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4" fontId="11" fillId="6" borderId="1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0" fillId="0" borderId="17" xfId="1" applyFont="1" applyBorder="1" applyAlignment="1">
      <alignment horizontal="center" vertical="center"/>
    </xf>
    <xf numFmtId="41" fontId="0" fillId="0" borderId="19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99FF"/>
      <color rgb="FFFFFF99"/>
      <color rgb="FFFF3399"/>
      <color rgb="FF33CCCC"/>
      <color rgb="FF6699FF"/>
      <color rgb="FF336699"/>
      <color rgb="FF3366FF"/>
      <color rgb="FF3366CC"/>
      <color rgb="FF99FF99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0.05</v>
        <stp/>
        <stp>P</stp>
        <stp>0</stp>
        <stp>FRN</stp>
        <stp>DJI:SX5E</stp>
        <stp>등락률</stp>
        <stp>44950</stp>
        <stp>FILL=TRUE</stp>
        <tr r="H20" s="5"/>
      </tp>
      <tp>
        <v>0.04</v>
        <stp/>
        <stp>P</stp>
        <stp>0</stp>
        <stp>FRN</stp>
        <stp>TWS:TI01</stp>
        <stp>등락률</stp>
        <stp>44950</stp>
        <stp>FILL=TRUE</stp>
        <tr r="H10" s="5"/>
      </tp>
      <tp>
        <v>-2.62</v>
        <stp/>
        <stp>P</stp>
        <stp>0</stp>
        <stp>FRN</stp>
        <stp>IPE:EP</stp>
        <stp>등락률</stp>
        <stp>44950</stp>
        <stp>fill=true</stp>
        <tr r="G83" s="5"/>
      </tp>
      <tp>
        <v>-2.34</v>
        <stp/>
        <stp>P</stp>
        <stp>0</stp>
        <stp>FRN</stp>
        <stp>IPE:EB</stp>
        <stp>등락률</stp>
        <stp>44950</stp>
        <stp>fill=true</stp>
        <tr r="G81" s="5"/>
      </tp>
      <tp>
        <v>-1.83</v>
        <stp/>
        <stp>P</stp>
        <stp>0</stp>
        <stp>FRN</stp>
        <stp>NYM:CL</stp>
        <stp>등락률</stp>
        <stp>44950</stp>
        <stp>fill=true</stp>
        <tr r="G80" s="5"/>
      </tp>
      <tp>
        <v>-0.19</v>
        <stp/>
        <stp>P</stp>
        <stp>0</stp>
        <stp>FRN</stp>
        <stp>COM:HG</stp>
        <stp>등락률</stp>
        <stp>44950</stp>
        <stp>fill=true</stp>
        <tr r="G88" s="5"/>
      </tp>
      <tp>
        <v>-3.48</v>
        <stp/>
        <stp>P</stp>
        <stp>0</stp>
        <stp>FRN</stp>
        <stp>NYM:HO</stp>
        <stp>등락률</stp>
        <stp>44950</stp>
        <stp>fill=true</stp>
        <tr r="G82" s="5"/>
      </tp>
      <tp>
        <v>0.35</v>
        <stp/>
        <stp>P</stp>
        <stp>0</stp>
        <stp>FRN</stp>
        <stp>COM:GC</stp>
        <stp>등락률</stp>
        <stp>44950</stp>
        <stp>fill=true</stp>
        <tr r="G86" s="5"/>
      </tp>
      <tp>
        <v>-11.43</v>
        <stp/>
        <stp>P</stp>
        <stp>0</stp>
        <stp>FRN</stp>
        <stp>IPE:MN</stp>
        <stp>등락률</stp>
        <stp>44950</stp>
        <stp>fill=true</stp>
        <tr r="G85" s="5"/>
      </tp>
      <tp>
        <v>-5.48</v>
        <stp/>
        <stp>P</stp>
        <stp>0</stp>
        <stp>FRN</stp>
        <stp>NYM:NG</stp>
        <stp>등락률</stp>
        <stp>44950</stp>
        <stp>fill=true</stp>
        <tr r="G84" s="5"/>
      </tp>
      <tp>
        <v>2</v>
        <stp/>
        <stp>P</stp>
        <stp>0</stp>
        <stp>FRN</stp>
        <stp>NYM:PA</stp>
        <stp>등락률</stp>
        <stp>44950</stp>
        <stp>fill=true</stp>
        <tr r="G89" s="5"/>
      </tp>
      <tp>
        <v>1.05</v>
        <stp/>
        <stp>P</stp>
        <stp>0</stp>
        <stp>FRN</stp>
        <stp>NYM:PL</stp>
        <stp>등락률</stp>
        <stp>44950</stp>
        <stp>fill=true</stp>
        <tr r="G90" s="5"/>
      </tp>
      <tp>
        <v>-2.0299999999999998</v>
        <stp/>
        <stp>P</stp>
        <stp>0</stp>
        <stp>FRN</stp>
        <stp>SPT:EB</stp>
        <stp>등락률</stp>
        <stp>44950</stp>
        <stp>fill=true</stp>
        <tr r="G79" s="5"/>
      </tp>
      <tp>
        <v>3.01</v>
        <stp/>
        <stp>P</stp>
        <stp>0</stp>
        <stp>FRN</stp>
        <stp>SPT:DU</stp>
        <stp>등락률</stp>
        <stp>44950</stp>
        <stp>fill=true</stp>
        <tr r="G77" s="5"/>
        <tr r="N77" s="5"/>
      </tp>
      <tp>
        <v>0.83</v>
        <stp/>
        <stp>P</stp>
        <stp>0</stp>
        <stp>FRN</stp>
        <stp>COM:SI</stp>
        <stp>등락률</stp>
        <stp>44950</stp>
        <stp>fill=true</stp>
        <tr r="G87" s="5"/>
      </tp>
      <tp>
        <v>-1.99</v>
        <stp/>
        <stp>P</stp>
        <stp>0</stp>
        <stp>FRN</stp>
        <stp>SPT:CL</stp>
        <stp>등락률</stp>
        <stp>44950</stp>
        <stp>fill=true</stp>
        <tr r="G78" s="5"/>
      </tp>
      <tp>
        <v>-0.27</v>
        <stp/>
        <stp>P</stp>
        <stp>0</stp>
        <stp>FRN</stp>
        <stp>NAS:IXIC</stp>
        <stp>등락률</stp>
        <stp>44950</stp>
        <stp>FILL=TRUE</stp>
        <tr r="H18" s="5"/>
      </tp>
      <tp>
        <v>2.34</v>
        <stp/>
        <stp>P</stp>
        <stp>0</stp>
        <stp>FRN</stp>
        <stp>HSI:HSCE</stp>
        <stp>등락률</stp>
        <stp>44950</stp>
        <stp>FILL=TRUE</stp>
        <tr r="H12" s="5"/>
      </tp>
      <tp>
        <v>0</v>
        <stp/>
        <stp>P</stp>
        <stp>0</stp>
        <stp>FRN</stp>
        <stp>CLI:IGPA</stp>
        <stp>등락률</stp>
        <stp>44950</stp>
        <stp>FILL=TRUE</stp>
        <tr r="H14" s="5"/>
      </tp>
      <tp>
        <v>4.7285000000000004</v>
        <stp/>
        <stp>P</stp>
        <stp>0</stp>
        <stp>FX</stp>
        <stp>USDMYR</stp>
        <stp>뉴욕종가</stp>
        <stp>44865</stp>
        <stp>FILL=TRUE</stp>
        <tr r="I67" s="5"/>
        <tr r="I67" s="5"/>
      </tp>
      <tp>
        <v>4.4024999999999999</v>
        <stp/>
        <stp>P</stp>
        <stp>0</stp>
        <stp>FX</stp>
        <stp>USDMYR</stp>
        <stp>뉴욕종가</stp>
        <stp>44926</stp>
        <stp>FILL=TRUE</stp>
        <tr r="H67" s="5"/>
        <tr r="H67" s="5"/>
        <tr r="J67" s="5"/>
        <tr r="J67" s="5"/>
      </tp>
      <tp>
        <v>4.2854999999999999</v>
        <stp/>
        <stp>P</stp>
        <stp>0</stp>
        <stp>FX</stp>
        <stp>USDMYR</stp>
        <stp>뉴욕종가</stp>
        <stp>44950</stp>
        <stp>fill=true</stp>
        <tr r="F67" s="5"/>
      </tp>
      <tp>
        <v>148.66900000000001</v>
        <stp/>
        <stp>P</stp>
        <stp>0</stp>
        <stp>FX</stp>
        <stp>USDJPY</stp>
        <stp>뉴욕종가</stp>
        <stp>44865</stp>
        <stp>FILL=TRUE</stp>
        <tr r="I62" s="5"/>
        <tr r="I62" s="5"/>
      </tp>
      <tp>
        <v>30.315999999999999</v>
        <stp/>
        <stp>P</stp>
        <stp>0</stp>
        <stp>FX</stp>
        <stp>USDTWD</stp>
        <stp>뉴욕종가</stp>
        <stp>44950</stp>
        <stp>fill=true</stp>
        <tr r="F68" s="5"/>
      </tp>
      <tp>
        <v>131.273</v>
        <stp/>
        <stp>P</stp>
        <stp>0</stp>
        <stp>FX</stp>
        <stp>USDJPY</stp>
        <stp>뉴욕종가</stp>
        <stp>44926</stp>
        <stp>FILL=TRUE</stp>
        <tr r="J62" s="5"/>
        <tr r="J62" s="5"/>
        <tr r="H62" s="5"/>
        <tr r="H62" s="5"/>
      </tp>
      <tp>
        <v>30.763000000000002</v>
        <stp/>
        <stp>P</stp>
        <stp>0</stp>
        <stp>FX</stp>
        <stp>USDTWD</stp>
        <stp>뉴욕종가</stp>
        <stp>44926</stp>
        <stp>FILL=TRUE</stp>
        <tr r="J68" s="5"/>
        <tr r="J68" s="5"/>
        <tr r="H68" s="5"/>
        <tr r="H68" s="5"/>
      </tp>
      <tp>
        <v>130.16999999999999</v>
        <stp/>
        <stp>P</stp>
        <stp>0</stp>
        <stp>FX</stp>
        <stp>USDJPY</stp>
        <stp>뉴욕종가</stp>
        <stp>44950</stp>
        <stp>fill=true</stp>
        <tr r="F62" s="5"/>
      </tp>
      <tp>
        <v>32.286999999999999</v>
        <stp/>
        <stp>P</stp>
        <stp>0</stp>
        <stp>FX</stp>
        <stp>USDTWD</stp>
        <stp>뉴욕종가</stp>
        <stp>44865</stp>
        <stp>FILL=TRUE</stp>
        <tr r="I68" s="5"/>
        <tr r="I68" s="5"/>
      </tp>
      <tp>
        <v>58.11</v>
        <stp/>
        <stp>P</stp>
        <stp>0</stp>
        <stp>FX</stp>
        <stp>USDPHP</stp>
        <stp>뉴욕종가</stp>
        <stp>44865</stp>
        <stp>FILL=TRUE</stp>
        <tr r="I65" s="5"/>
        <tr r="I65" s="5"/>
      </tp>
      <tp>
        <v>38.049999999999997</v>
        <stp/>
        <stp>P</stp>
        <stp>0</stp>
        <stp>FX</stp>
        <stp>USDTHB</stp>
        <stp>뉴욕종가</stp>
        <stp>44865</stp>
        <stp>FILL=TRUE</stp>
        <tr r="I70" s="5"/>
        <tr r="I70" s="5"/>
      </tp>
      <tp>
        <v>7.8056999999999999</v>
        <stp/>
        <stp>P</stp>
        <stp>0</stp>
        <stp>FX</stp>
        <stp>USDHKD</stp>
        <stp>뉴욕종가</stp>
        <stp>44926</stp>
        <stp>FILL=TRUE</stp>
        <tr r="H64" s="5"/>
        <tr r="H64" s="5"/>
        <tr r="J64" s="5"/>
        <tr r="J64" s="5"/>
      </tp>
      <tp>
        <v>0.76</v>
        <stp/>
        <stp>P</stp>
        <stp>0</stp>
        <stp>FRN</stp>
        <stp>SHS:000001</stp>
        <stp>등락률</stp>
        <stp>44950</stp>
        <stp>FILL=TRUE</stp>
        <tr r="H9" s="5"/>
      </tp>
      <tp>
        <v>55.7</v>
        <stp/>
        <stp>P</stp>
        <stp>0</stp>
        <stp>FX</stp>
        <stp>USDPHP</stp>
        <stp>뉴욕종가</stp>
        <stp>44926</stp>
        <stp>FILL=TRUE</stp>
        <tr r="H65" s="5"/>
        <tr r="H65" s="5"/>
        <tr r="J65" s="5"/>
        <tr r="J65" s="5"/>
      </tp>
      <tp>
        <v>34.615000000000002</v>
        <stp/>
        <stp>P</stp>
        <stp>0</stp>
        <stp>FX</stp>
        <stp>USDTHB</stp>
        <stp>뉴욕종가</stp>
        <stp>44926</stp>
        <stp>FILL=TRUE</stp>
        <tr r="J70" s="5"/>
        <tr r="J70" s="5"/>
        <tr r="H70" s="5"/>
        <tr r="H70" s="5"/>
      </tp>
      <tp>
        <v>7.8498000000000001</v>
        <stp/>
        <stp>P</stp>
        <stp>0</stp>
        <stp>FX</stp>
        <stp>USDHKD</stp>
        <stp>뉴욕종가</stp>
        <stp>44865</stp>
        <stp>FILL=TRUE</stp>
        <tr r="I64" s="5"/>
        <tr r="I64" s="5"/>
      </tp>
      <tp>
        <v>54.6</v>
        <stp/>
        <stp>P</stp>
        <stp>0</stp>
        <stp>FX</stp>
        <stp>USDPHP</stp>
        <stp>뉴욕종가</stp>
        <stp>44950</stp>
        <stp>fill=true</stp>
        <tr r="F65" s="5"/>
      </tp>
      <tp>
        <v>32.744999999999997</v>
        <stp/>
        <stp>P</stp>
        <stp>0</stp>
        <stp>FX</stp>
        <stp>USDTHB</stp>
        <stp>뉴욕종가</stp>
        <stp>44950</stp>
        <stp>fill=true</stp>
        <tr r="F70" s="5"/>
      </tp>
      <tp>
        <v>7.8305999999999996</v>
        <stp/>
        <stp>P</stp>
        <stp>0</stp>
        <stp>FX</stp>
        <stp>USDHKD</stp>
        <stp>뉴욕종가</stp>
        <stp>44950</stp>
        <stp>fill=true</stp>
        <tr r="F64" s="5"/>
      </tp>
      <tp>
        <v>1.0707</v>
        <stp/>
        <stp>P</stp>
        <stp>0</stp>
        <stp>FX</stp>
        <stp>EURUSD</stp>
        <stp>뉴욕종가</stp>
        <stp>44926</stp>
        <stp>FILL=TRUE</stp>
        <tr r="J63" s="5"/>
        <tr r="J63" s="5"/>
        <tr r="H63" s="5"/>
        <tr r="H63" s="5"/>
      </tp>
      <tp>
        <v>14889</v>
        <stp/>
        <stp>P</stp>
        <stp>0</stp>
        <stp>FX</stp>
        <stp>USDIDR</stp>
        <stp>뉴욕종가</stp>
        <stp>44950</stp>
        <stp>fill=true</stp>
        <tr r="F69" s="5"/>
      </tp>
      <tp>
        <v>1.32</v>
        <stp/>
        <stp>P</stp>
        <stp>0</stp>
        <stp>FX</stp>
        <stp>USDSGD</stp>
        <stp>뉴욕종가</stp>
        <stp>44950</stp>
        <stp>fill=true</stp>
        <tr r="F66" s="5"/>
      </tp>
      <tp>
        <v>1.46</v>
        <stp/>
        <stp>P</stp>
        <stp>0</stp>
        <stp>FRN</stp>
        <stp>NII:NI225</stp>
        <stp>등락률</stp>
        <stp>44950</stp>
        <stp>FILL=TRUE</stp>
        <tr r="H11" s="5"/>
      </tp>
      <tp>
        <v>0.98841999999999997</v>
        <stp/>
        <stp>P</stp>
        <stp>0</stp>
        <stp>FX</stp>
        <stp>EURUSD</stp>
        <stp>뉴욕종가</stp>
        <stp>44865</stp>
        <stp>FILL=TRUE</stp>
        <tr r="I63" s="5"/>
        <tr r="I63" s="5"/>
      </tp>
      <tp>
        <v>15600</v>
        <stp/>
        <stp>P</stp>
        <stp>0</stp>
        <stp>FX</stp>
        <stp>USDIDR</stp>
        <stp>뉴욕종가</stp>
        <stp>44865</stp>
        <stp>FILL=TRUE</stp>
        <tr r="I69" s="5"/>
        <tr r="I69" s="5"/>
      </tp>
      <tp>
        <v>1.3393999999999999</v>
        <stp/>
        <stp>P</stp>
        <stp>0</stp>
        <stp>FX</stp>
        <stp>USDSGD</stp>
        <stp>뉴욕종가</stp>
        <stp>44926</stp>
        <stp>FILL=TRUE</stp>
        <tr r="H66" s="5"/>
        <tr r="H66" s="5"/>
        <tr r="J66" s="5"/>
        <tr r="J66" s="5"/>
      </tp>
      <tp>
        <v>1.0882000000000001</v>
        <stp/>
        <stp>P</stp>
        <stp>0</stp>
        <stp>FX</stp>
        <stp>EURUSD</stp>
        <stp>뉴욕종가</stp>
        <stp>44950</stp>
        <stp>fill=true</stp>
        <tr r="F63" s="5"/>
      </tp>
      <tp>
        <v>15569</v>
        <stp/>
        <stp>P</stp>
        <stp>0</stp>
        <stp>FX</stp>
        <stp>USDIDR</stp>
        <stp>뉴욕종가</stp>
        <stp>44926</stp>
        <stp>FILL=TRUE</stp>
        <tr r="J69" s="5"/>
        <tr r="J69" s="5"/>
        <tr r="H69" s="5"/>
        <tr r="H69" s="5"/>
      </tp>
      <tp>
        <v>1.4160999999999999</v>
        <stp/>
        <stp>P</stp>
        <stp>0</stp>
        <stp>FX</stp>
        <stp>USDSGD</stp>
        <stp>뉴욕종가</stp>
        <stp>44865</stp>
        <stp>FILL=TRUE</stp>
        <tr r="I66" s="5"/>
        <tr r="I66" s="5"/>
      </tp>
      <tp>
        <v>-7.0000000000000007E-2</v>
        <stp/>
        <stp>P</stp>
        <stp>0</stp>
        <stp>FRN</stp>
        <stp>XTR:DAX30</stp>
        <stp>등락률</stp>
        <stp>44950</stp>
        <stp>FILL=TRUE</stp>
        <tr r="H15" s="5"/>
      </tp>
      <tp>
        <v>0.63</v>
        <stp/>
        <stp>P</stp>
        <stp>0</stp>
        <stp>IDX</stp>
        <stp>001</stp>
        <stp>등락률</stp>
        <stp>44950</stp>
        <stp>FILL=TRUE</stp>
        <tr r="H8" s="5"/>
      </tp>
      <tp>
        <v>0.06</v>
        <stp/>
        <stp>P</stp>
        <stp>0</stp>
        <stp>FRN</stp>
        <stp>INI:BSE30</stp>
        <stp>등락률</stp>
        <stp>44950</stp>
        <stp>FILL=TRUE</stp>
        <tr r="H13" s="5"/>
      </tp>
      <tp>
        <v>0.26</v>
        <stp/>
        <stp>P</stp>
        <stp>0</stp>
        <stp>FRN</stp>
        <stp>PAS:CAC40</stp>
        <stp>등락률</stp>
        <stp>44950</stp>
        <stp>FILL=TRUE</stp>
        <tr r="H16" s="5"/>
      </tp>
      <tp>
        <v>0</v>
        <stp/>
        <stp>H</stp>
        <stp>x6.FhOF</stp>
        <stp>70</stp>
        <stp>1775594</stp>
        <tr r="AI8" s="5"/>
      </tp>
      <tp>
        <v>0</v>
        <stp/>
        <stp>H</stp>
        <stp>x1.FhOF</stp>
        <stp>65</stp>
        <stp>1775594</stp>
        <tr r="AJ8" s="5"/>
      </tp>
      <tp>
        <v>0</v>
        <stp/>
        <stp>H</stp>
        <stp>x2.FhOF</stp>
        <stp>66</stp>
        <stp>1775594</stp>
        <tr r="AG12" s="3"/>
      </tp>
      <tp>
        <v>0</v>
        <stp/>
        <stp>H</stp>
        <stp>x3.FhOF</stp>
        <stp>67</stp>
        <stp>1775594</stp>
        <tr r="AE12" s="3"/>
      </tp>
      <tp>
        <v>0</v>
        <stp/>
        <stp>H</stp>
        <stp>x4.FhOF</stp>
        <stp>68</stp>
        <stp>1775594</stp>
        <tr r="AG8" s="5"/>
      </tp>
      <tp>
        <v>0</v>
        <stp/>
        <stp>H</stp>
        <stp>x5.FhOF</stp>
        <stp>69</stp>
        <stp>1775594</stp>
        <tr r="AH12" s="3"/>
      </tp>
      <tp>
        <v>-0.53</v>
        <stp/>
        <stp>P</stp>
        <stp>0</stp>
        <stp>FX</stp>
        <stp>USDJPY</stp>
        <stp>뉴욕전일대비</stp>
        <stp>44950</stp>
        <stp>fill=true</stp>
        <tr r="G62" s="5"/>
      </tp>
      <tp>
        <v>-7.0000000000000007E-2</v>
        <stp/>
        <stp>P</stp>
        <stp>0</stp>
        <stp>FRN</stp>
        <stp>SPI:SPX</stp>
        <stp>등락률</stp>
        <stp>44950</stp>
        <stp>FILL=TRUE</stp>
        <tr r="H19" s="5"/>
      </tp>
      <tp>
        <v>0.31</v>
        <stp/>
        <stp>P</stp>
        <stp>0</stp>
        <stp>FRN</stp>
        <stp>DJI:DJI</stp>
        <stp>등락률</stp>
        <stp>44950</stp>
        <stp>FILL=TRUE</stp>
        <tr r="H17" s="5"/>
      </tp>
      <tp>
        <v>4153.0200000000004</v>
        <stp/>
        <stp>P</stp>
        <stp>0</stp>
        <stp>FRN</stp>
        <stp>DJI:SX5E</stp>
        <stp>현재가</stp>
        <stp>44950</stp>
        <stp>FILL=TRUE</stp>
        <tr r="F20" s="5"/>
      </tp>
      <tp>
        <v>10466.48</v>
        <stp/>
        <stp>P</stp>
        <stp>0</stp>
        <stp>FRN</stp>
        <stp>NAS:IXIC</stp>
        <stp>현재가</stp>
        <stp>44928</stp>
        <stp>FILL=TRUE</stp>
        <tr r="O18" s="5"/>
        <tr r="O18" s="5"/>
      </tp>
      <tp>
        <v>13.625999999999999</v>
        <stp/>
        <stp>P</stp>
        <stp>0</stp>
        <stp>FRN</stp>
        <stp>IRR:TED</stp>
        <stp>종가</stp>
        <stp>44950</stp>
        <stp>fill=true</stp>
        <tr r="F48" s="5"/>
      </tp>
      <tp>
        <v>3708.1</v>
        <stp/>
        <stp>P</stp>
        <stp>0</stp>
        <stp>FRN</stp>
        <stp>DJI:SX5E</stp>
        <stp>현재가</stp>
        <stp>44773</stp>
        <stp>FILL=TRUE</stp>
        <tr r="M20" s="5"/>
        <tr r="M20" s="5"/>
      </tp>
      <tp>
        <v>4174.33</v>
        <stp/>
        <stp>P</stp>
        <stp>0</stp>
        <stp>FRN</stp>
        <stp>DJI:SX5E</stp>
        <stp>현재가</stp>
        <stp>44943</stp>
        <stp>FILL=TRUE</stp>
        <tr r="I20" s="5"/>
        <tr r="I20" s="5"/>
      </tp>
      <tp>
        <v>14137.69</v>
        <stp/>
        <stp>P</stp>
        <stp>0</stp>
        <stp>FRN</stp>
        <stp>TWS:TI01</stp>
        <stp>현재가</stp>
        <stp>44928</stp>
        <stp>FILL=TRUE</stp>
        <tr r="O10" s="5"/>
        <tr r="O10" s="5"/>
      </tp>
      <tp>
        <v>0</v>
        <stp/>
        <stp>P</stp>
        <stp>0</stp>
        <stp>FRN</stp>
        <stp>DJI:SX5E</stp>
        <stp>거래량</stp>
        <stp>44950</stp>
        <stp>FILL=TRUE</stp>
        <tr r="P20" s="5"/>
      </tp>
      <tp>
        <v>34.768999999999998</v>
        <stp/>
        <stp>P</stp>
        <stp>0</stp>
        <stp>FRN</stp>
        <stp>IRR:TED</stp>
        <stp>종가</stp>
        <stp>44926</stp>
        <stp>FILL=TRUE</stp>
        <tr r="J48" s="5"/>
        <tr r="J48" s="5"/>
        <tr r="H48" s="5"/>
        <tr r="H48" s="5"/>
      </tp>
      <tp>
        <v>3617.54</v>
        <stp/>
        <stp>P</stp>
        <stp>0</stp>
        <stp>FRN</stp>
        <stp>DJI:SX5E</stp>
        <stp>현재가</stp>
        <stp>44865</stp>
        <stp>FILL=TRUE</stp>
        <tr r="L20" s="5"/>
        <tr r="L20" s="5"/>
      </tp>
      <tp>
        <v>38.628999999999998</v>
        <stp/>
        <stp>P</stp>
        <stp>0</stp>
        <stp>FRN</stp>
        <stp>IRR:TED</stp>
        <stp>종가</stp>
        <stp>44865</stp>
        <stp>FILL=TRUE</stp>
        <tr r="I48" s="5"/>
        <tr r="I48" s="5"/>
      </tp>
      <tp>
        <v>3793.62</v>
        <stp/>
        <stp>P</stp>
        <stp>0</stp>
        <stp>FRN</stp>
        <stp>DJI:SX5E</stp>
        <stp>현재가</stp>
        <stp>44926</stp>
        <stp>FILL=TRUE</stp>
        <tr r="N20" s="5"/>
        <tr r="N20" s="5"/>
        <tr r="J20" s="5"/>
        <tr r="J20" s="5"/>
      </tp>
      <tp>
        <v>12390.69</v>
        <stp/>
        <stp>P</stp>
        <stp>0</stp>
        <stp>FRN</stp>
        <stp>NAS:IXIC</stp>
        <stp>현재가</stp>
        <stp>44773</stp>
        <stp>FILL=TRUE</stp>
        <tr r="M18" s="5"/>
        <tr r="M18" s="5"/>
      </tp>
      <tp>
        <v>11095.11</v>
        <stp/>
        <stp>P</stp>
        <stp>0</stp>
        <stp>FRN</stp>
        <stp>NAS:IXIC</stp>
        <stp>현재가</stp>
        <stp>44943</stp>
        <stp>FILL=TRUE</stp>
        <tr r="I18" s="5"/>
        <tr r="I18" s="5"/>
      </tp>
      <tp>
        <v>3856.09</v>
        <stp/>
        <stp>P</stp>
        <stp>0</stp>
        <stp>FRN</stp>
        <stp>DJI:SX5E</stp>
        <stp>현재가</stp>
        <stp>44928</stp>
        <stp>FILL=TRUE</stp>
        <tr r="O20" s="5"/>
        <tr r="O20" s="5"/>
      </tp>
      <tp>
        <v>0</v>
        <stp/>
        <stp>P</stp>
        <stp>0</stp>
        <stp>FRN</stp>
        <stp>TWS:TI01</stp>
        <stp>거래량</stp>
        <stp>44950</stp>
        <stp>FILL=TRUE</stp>
        <tr r="P10" s="5"/>
      </tp>
      <tp>
        <v>12949.75</v>
        <stp/>
        <stp>P</stp>
        <stp>0</stp>
        <stp>FRN</stp>
        <stp>TWS:TI01</stp>
        <stp>현재가</stp>
        <stp>44865</stp>
        <stp>FILL=TRUE</stp>
        <tr r="L10" s="5"/>
        <tr r="L10" s="5"/>
      </tp>
      <tp>
        <v>-1.2350000000000001</v>
        <stp/>
        <stp>P</stp>
        <stp>0</stp>
        <stp>FRN</stp>
        <stp>IRR:TED</stp>
        <stp>전일대비</stp>
        <stp>44950</stp>
        <stp>fill=true</stp>
        <tr r="G48" s="5"/>
      </tp>
      <tp>
        <v>14137.69</v>
        <stp/>
        <stp>P</stp>
        <stp>0</stp>
        <stp>FRN</stp>
        <stp>TWS:TI01</stp>
        <stp>현재가</stp>
        <stp>44926</stp>
        <stp>FILL=TRUE</stp>
        <tr r="J10" s="5"/>
        <tr r="J10" s="5"/>
        <tr r="N10" s="5"/>
        <tr r="N10" s="5"/>
      </tp>
      <tp>
        <v>4.2484999999999999</v>
        <stp/>
        <stp>P</stp>
        <stp>0</stp>
        <stp>FRN</stp>
        <stp>COM:HG</stp>
        <stp>현재가</stp>
        <stp>44950</stp>
        <stp>fill=true</stp>
        <tr r="F88" s="5"/>
      </tp>
      <tp>
        <v>985.75</v>
        <stp/>
        <stp>P</stp>
        <stp>0</stp>
        <stp>FRN</stp>
        <stp>IPE:EP</stp>
        <stp>현재가</stp>
        <stp>44950</stp>
        <stp>fill=true</stp>
        <tr r="F83" s="5"/>
      </tp>
      <tp>
        <v>86.13</v>
        <stp/>
        <stp>P</stp>
        <stp>0</stp>
        <stp>FRN</stp>
        <stp>IPE:EB</stp>
        <stp>현재가</stp>
        <stp>44950</stp>
        <stp>fill=true</stp>
        <tr r="F81" s="5"/>
      </tp>
      <tp>
        <v>86.24</v>
        <stp/>
        <stp>P</stp>
        <stp>0</stp>
        <stp>FRN</stp>
        <stp>NYB:CT</stp>
        <stp>현재가</stp>
        <stp>44950</stp>
        <stp>fill=true</stp>
        <tr r="M90" s="5"/>
      </tp>
      <tp>
        <v>80.13</v>
        <stp/>
        <stp>P</stp>
        <stp>0</stp>
        <stp>FRN</stp>
        <stp>NYM:CL</stp>
        <stp>현재가</stp>
        <stp>44950</stp>
        <stp>fill=true</stp>
        <tr r="F80" s="5"/>
      </tp>
      <tp>
        <v>3.258</v>
        <stp/>
        <stp>P</stp>
        <stp>0</stp>
        <stp>FRN</stp>
        <stp>NYM:NG</stp>
        <stp>현재가</stp>
        <stp>44950</stp>
        <stp>fill=true</stp>
        <tr r="F84" s="5"/>
      </tp>
      <tp>
        <v>3.4272</v>
        <stp/>
        <stp>P</stp>
        <stp>0</stp>
        <stp>FRN</stp>
        <stp>NYM:HO</stp>
        <stp>현재가</stp>
        <stp>44950</stp>
        <stp>fill=true</stp>
        <tr r="F82" s="5"/>
      </tp>
      <tp>
        <v>1935.4</v>
        <stp/>
        <stp>P</stp>
        <stp>0</stp>
        <stp>FRN</stp>
        <stp>COM:GC</stp>
        <stp>현재가</stp>
        <stp>44950</stp>
        <stp>fill=true</stp>
        <tr r="F86" s="5"/>
      </tp>
      <tp>
        <v>1.4765999999999999</v>
        <stp/>
        <stp>P</stp>
        <stp>0</stp>
        <stp>FRN</stp>
        <stp>IPE:MN</stp>
        <stp>현재가</stp>
        <stp>44950</stp>
        <stp>fill=true</stp>
        <tr r="F85" s="5"/>
      </tp>
      <tp>
        <v>1735.5</v>
        <stp/>
        <stp>P</stp>
        <stp>0</stp>
        <stp>FRN</stp>
        <stp>NYM:PA</stp>
        <stp>현재가</stp>
        <stp>44950</stp>
        <stp>fill=true</stp>
        <tr r="F89" s="5"/>
      </tp>
      <tp>
        <v>1057.7</v>
        <stp/>
        <stp>P</stp>
        <stp>0</stp>
        <stp>FRN</stp>
        <stp>NYM:PL</stp>
        <stp>현재가</stp>
        <stp>44950</stp>
        <stp>fill=true</stp>
        <tr r="F90" s="5"/>
      </tp>
      <tp>
        <v>19.88</v>
        <stp/>
        <stp>P</stp>
        <stp>0</stp>
        <stp>FRN</stp>
        <stp>NYB:SB</stp>
        <stp>현재가</stp>
        <stp>44950</stp>
        <stp>fill=true</stp>
        <tr r="M89" s="5"/>
      </tp>
      <tp>
        <v>23.748999999999999</v>
        <stp/>
        <stp>P</stp>
        <stp>0</stp>
        <stp>FRN</stp>
        <stp>COM:SI</stp>
        <stp>현재가</stp>
        <stp>44950</stp>
        <stp>fill=true</stp>
        <tr r="F87" s="5"/>
      </tp>
      <tp>
        <v>80.06</v>
        <stp/>
        <stp>P</stp>
        <stp>0</stp>
        <stp>FRN</stp>
        <stp>SPT:CL</stp>
        <stp>현재가</stp>
        <stp>44950</stp>
        <stp>fill=true</stp>
        <tr r="F78" s="5"/>
      </tp>
      <tp>
        <v>86.26</v>
        <stp/>
        <stp>P</stp>
        <stp>0</stp>
        <stp>FRN</stp>
        <stp>SPT:EB</stp>
        <stp>현재가</stp>
        <stp>44950</stp>
        <stp>fill=true</stp>
        <tr r="F79" s="5"/>
      </tp>
      <tp>
        <v>83.88</v>
        <stp/>
        <stp>P</stp>
        <stp>0</stp>
        <stp>FRN</stp>
        <stp>SPT:DU</stp>
        <stp>현재가</stp>
        <stp>44950</stp>
        <stp>fill=true</stp>
        <tr r="F77" s="5"/>
      </tp>
      <tp>
        <v>11334.27</v>
        <stp/>
        <stp>P</stp>
        <stp>0</stp>
        <stp>FRN</stp>
        <stp>NAS:IXIC</stp>
        <stp>현재가</stp>
        <stp>44950</stp>
        <stp>FILL=TRUE</stp>
        <tr r="F18" s="5"/>
      </tp>
      <tp>
        <v>14932.93</v>
        <stp/>
        <stp>P</stp>
        <stp>0</stp>
        <stp>FRN</stp>
        <stp>TWS:TI01</stp>
        <stp>현재가</stp>
        <stp>44950</stp>
        <stp>FILL=TRUE</stp>
        <tr r="F10" s="5"/>
      </tp>
      <tp>
        <v>3.8105000000000002</v>
        <stp/>
        <stp>P</stp>
        <stp>0</stp>
        <stp>FRN</stp>
        <stp>COM:HG</stp>
        <stp>현재가</stp>
        <stp>44926</stp>
        <stp>FILL=TRUE</stp>
        <tr r="Q88" s="5"/>
        <tr r="Q88" s="5"/>
        <tr r="J88" s="5"/>
        <tr r="J88" s="5"/>
        <tr r="O88" s="5"/>
        <tr r="H88" s="5"/>
        <tr r="H88" s="5"/>
      </tp>
      <tp>
        <v>921</v>
        <stp/>
        <stp>P</stp>
        <stp>0</stp>
        <stp>FRN</stp>
        <stp>IPE:EP</stp>
        <stp>현재가</stp>
        <stp>44926</stp>
        <stp>FILL=TRUE</stp>
        <tr r="Q83" s="5"/>
        <tr r="Q83" s="5"/>
        <tr r="O83" s="5"/>
        <tr r="J83" s="5"/>
        <tr r="J83" s="5"/>
        <tr r="H83" s="5"/>
        <tr r="H83" s="5"/>
      </tp>
      <tp>
        <v>85.91</v>
        <stp/>
        <stp>P</stp>
        <stp>0</stp>
        <stp>FRN</stp>
        <stp>IPE:EB</stp>
        <stp>현재가</stp>
        <stp>44926</stp>
        <stp>FILL=TRUE</stp>
        <tr r="Q81" s="5"/>
        <tr r="Q81" s="5"/>
        <tr r="O81" s="5"/>
        <tr r="J81" s="5"/>
        <tr r="J81" s="5"/>
        <tr r="H81" s="5"/>
        <tr r="H81" s="5"/>
      </tp>
      <tp>
        <v>83.37</v>
        <stp/>
        <stp>P</stp>
        <stp>0</stp>
        <stp>FRN</stp>
        <stp>NYB:CT</stp>
        <stp>현재가</stp>
        <stp>44926</stp>
        <stp>FILL=TRUE</stp>
        <tr r="O90" s="5"/>
      </tp>
      <tp>
        <v>80.260000000000005</v>
        <stp/>
        <stp>P</stp>
        <stp>0</stp>
        <stp>FRN</stp>
        <stp>NYM:CL</stp>
        <stp>현재가</stp>
        <stp>44926</stp>
        <stp>FILL=TRUE</stp>
        <tr r="Q80" s="5"/>
        <tr r="Q80" s="5"/>
        <tr r="H80" s="5"/>
        <tr r="H80" s="5"/>
        <tr r="O80" s="5"/>
        <tr r="J80" s="5"/>
        <tr r="J80" s="5"/>
      </tp>
      <tp>
        <v>4.4749999999999996</v>
        <stp/>
        <stp>P</stp>
        <stp>0</stp>
        <stp>FRN</stp>
        <stp>NYM:NG</stp>
        <stp>현재가</stp>
        <stp>44926</stp>
        <stp>FILL=TRUE</stp>
        <tr r="O84" s="5"/>
        <tr r="H84" s="5"/>
        <tr r="H84" s="5"/>
        <tr r="Q84" s="5"/>
        <tr r="Q84" s="5"/>
        <tr r="J84" s="5"/>
        <tr r="J84" s="5"/>
      </tp>
      <tp>
        <v>3.3622000000000001</v>
        <stp/>
        <stp>P</stp>
        <stp>0</stp>
        <stp>FRN</stp>
        <stp>NYM:HO</stp>
        <stp>현재가</stp>
        <stp>44926</stp>
        <stp>FILL=TRUE</stp>
        <tr r="H82" s="5"/>
        <tr r="H82" s="5"/>
        <tr r="Q82" s="5"/>
        <tr r="Q82" s="5"/>
        <tr r="O82" s="5"/>
        <tr r="J82" s="5"/>
        <tr r="J82" s="5"/>
      </tp>
      <tp>
        <v>1826.2</v>
        <stp/>
        <stp>P</stp>
        <stp>0</stp>
        <stp>FRN</stp>
        <stp>COM:GC</stp>
        <stp>현재가</stp>
        <stp>44926</stp>
        <stp>FILL=TRUE</stp>
        <tr r="J86" s="5"/>
        <tr r="J86" s="5"/>
        <tr r="Q86" s="5"/>
        <tr r="Q86" s="5"/>
        <tr r="O86" s="5"/>
        <tr r="H86" s="5"/>
        <tr r="H86" s="5"/>
      </tp>
      <tp>
        <v>1.8605</v>
        <stp/>
        <stp>P</stp>
        <stp>0</stp>
        <stp>FRN</stp>
        <stp>IPE:MN</stp>
        <stp>현재가</stp>
        <stp>44926</stp>
        <stp>FILL=TRUE</stp>
        <tr r="O85" s="5"/>
        <tr r="Q85" s="5"/>
        <tr r="Q85" s="5"/>
        <tr r="J85" s="5"/>
        <tr r="J85" s="5"/>
        <tr r="H85" s="5"/>
        <tr r="H85" s="5"/>
      </tp>
      <tp>
        <v>1798</v>
        <stp/>
        <stp>P</stp>
        <stp>0</stp>
        <stp>FRN</stp>
        <stp>NYM:PA</stp>
        <stp>현재가</stp>
        <stp>44926</stp>
        <stp>FILL=TRUE</stp>
        <tr r="O89" s="5"/>
        <tr r="H89" s="5"/>
        <tr r="H89" s="5"/>
        <tr r="Q89" s="5"/>
        <tr r="Q89" s="5"/>
        <tr r="J89" s="5"/>
        <tr r="J89" s="5"/>
      </tp>
      <tp>
        <v>1073.7</v>
        <stp/>
        <stp>P</stp>
        <stp>0</stp>
        <stp>FRN</stp>
        <stp>NYM:PL</stp>
        <stp>현재가</stp>
        <stp>44926</stp>
        <stp>FILL=TRUE</stp>
        <tr r="Q90" s="5"/>
        <tr r="Q90" s="5"/>
        <tr r="J90" s="5"/>
        <tr r="J90" s="5"/>
        <tr r="H90" s="5"/>
        <tr r="H90" s="5"/>
        <tr r="O90" s="5"/>
      </tp>
      <tp>
        <v>20.04</v>
        <stp/>
        <stp>P</stp>
        <stp>0</stp>
        <stp>FRN</stp>
        <stp>NYB:SB</stp>
        <stp>현재가</stp>
        <stp>44926</stp>
        <stp>FILL=TRUE</stp>
        <tr r="O89" s="5"/>
      </tp>
      <tp>
        <v>24.04</v>
        <stp/>
        <stp>P</stp>
        <stp>0</stp>
        <stp>FRN</stp>
        <stp>COM:SI</stp>
        <stp>현재가</stp>
        <stp>44926</stp>
        <stp>FILL=TRUE</stp>
        <tr r="H87" s="5"/>
        <tr r="H87" s="5"/>
        <tr r="O87" s="5"/>
        <tr r="Q87" s="5"/>
        <tr r="Q87" s="5"/>
        <tr r="J87" s="5"/>
        <tr r="J87" s="5"/>
      </tp>
      <tp>
        <v>80.489999999999995</v>
        <stp/>
        <stp>P</stp>
        <stp>0</stp>
        <stp>FRN</stp>
        <stp>SPT:CL</stp>
        <stp>현재가</stp>
        <stp>44926</stp>
        <stp>FILL=TRUE</stp>
        <tr r="J78" s="5"/>
        <tr r="J78" s="5"/>
        <tr r="H78" s="5"/>
        <tr r="H78" s="5"/>
        <tr r="Q78" s="5"/>
        <tr r="Q78" s="5"/>
        <tr r="O78" s="5"/>
      </tp>
      <tp>
        <v>85.95</v>
        <stp/>
        <stp>P</stp>
        <stp>0</stp>
        <stp>FRN</stp>
        <stp>SPT:EB</stp>
        <stp>현재가</stp>
        <stp>44926</stp>
        <stp>FILL=TRUE</stp>
        <tr r="O79" s="5"/>
        <tr r="J79" s="5"/>
        <tr r="J79" s="5"/>
        <tr r="H79" s="5"/>
        <tr r="H79" s="5"/>
        <tr r="Q79" s="5"/>
        <tr r="Q79" s="5"/>
      </tp>
      <tp>
        <v>78.77</v>
        <stp/>
        <stp>P</stp>
        <stp>0</stp>
        <stp>FRN</stp>
        <stp>SPT:DU</stp>
        <stp>현재가</stp>
        <stp>44926</stp>
        <stp>FILL=TRUE</stp>
        <tr r="J77" s="5"/>
        <tr r="J77" s="5"/>
        <tr r="O77" s="5"/>
        <tr r="Q77" s="5"/>
        <tr r="Q77" s="5"/>
        <tr r="H77" s="5"/>
        <tr r="H77" s="5"/>
      </tp>
      <tp>
        <v>10466.48</v>
        <stp/>
        <stp>P</stp>
        <stp>0</stp>
        <stp>FRN</stp>
        <stp>NAS:IXIC</stp>
        <stp>현재가</stp>
        <stp>44926</stp>
        <stp>FILL=TRUE</stp>
        <tr r="J18" s="5"/>
        <tr r="J18" s="5"/>
        <tr r="N18" s="5"/>
        <tr r="N18" s="5"/>
      </tp>
      <tp>
        <v>3.375</v>
        <stp/>
        <stp>P</stp>
        <stp>0</stp>
        <stp>FRN</stp>
        <stp>COM:HG</stp>
        <stp>현재가</stp>
        <stp>44865</stp>
        <stp>FILL=TRUE</stp>
        <tr r="P88" s="5"/>
        <tr r="P88" s="5"/>
        <tr r="I88" s="5"/>
        <tr r="I88" s="5"/>
      </tp>
      <tp>
        <v>1100.25</v>
        <stp/>
        <stp>P</stp>
        <stp>0</stp>
        <stp>FRN</stp>
        <stp>IPE:EP</stp>
        <stp>현재가</stp>
        <stp>44865</stp>
        <stp>FILL=TRUE</stp>
        <tr r="I83" s="5"/>
        <tr r="I83" s="5"/>
        <tr r="P83" s="5"/>
        <tr r="P83" s="5"/>
      </tp>
      <tp>
        <v>94.83</v>
        <stp/>
        <stp>P</stp>
        <stp>0</stp>
        <stp>FRN</stp>
        <stp>IPE:EB</stp>
        <stp>현재가</stp>
        <stp>44865</stp>
        <stp>FILL=TRUE</stp>
        <tr r="P81" s="5"/>
        <tr r="P81" s="5"/>
        <tr r="I81" s="5"/>
        <tr r="I81" s="5"/>
      </tp>
      <tp>
        <v>86.53</v>
        <stp/>
        <stp>P</stp>
        <stp>0</stp>
        <stp>FRN</stp>
        <stp>NYM:CL</stp>
        <stp>현재가</stp>
        <stp>44865</stp>
        <stp>FILL=TRUE</stp>
        <tr r="I80" s="5"/>
        <tr r="I80" s="5"/>
        <tr r="P80" s="5"/>
        <tr r="P80" s="5"/>
      </tp>
      <tp>
        <v>6.3550000000000004</v>
        <stp/>
        <stp>P</stp>
        <stp>0</stp>
        <stp>FRN</stp>
        <stp>NYM:NG</stp>
        <stp>현재가</stp>
        <stp>44865</stp>
        <stp>FILL=TRUE</stp>
        <tr r="I84" s="5"/>
        <tr r="I84" s="5"/>
        <tr r="P84" s="5"/>
        <tr r="P84" s="5"/>
      </tp>
      <tp>
        <v>4.1909000000000001</v>
        <stp/>
        <stp>P</stp>
        <stp>0</stp>
        <stp>FRN</stp>
        <stp>NYM:HO</stp>
        <stp>현재가</stp>
        <stp>44865</stp>
        <stp>FILL=TRUE</stp>
        <tr r="P82" s="5"/>
        <tr r="P82" s="5"/>
        <tr r="I82" s="5"/>
        <tr r="I82" s="5"/>
      </tp>
      <tp>
        <v>1640.7</v>
        <stp/>
        <stp>P</stp>
        <stp>0</stp>
        <stp>FRN</stp>
        <stp>COM:GC</stp>
        <stp>현재가</stp>
        <stp>44865</stp>
        <stp>FILL=TRUE</stp>
        <tr r="P86" s="5"/>
        <tr r="P86" s="5"/>
        <tr r="I86" s="5"/>
        <tr r="I86" s="5"/>
      </tp>
      <tp>
        <v>3.0074000000000001</v>
        <stp/>
        <stp>P</stp>
        <stp>0</stp>
        <stp>FRN</stp>
        <stp>IPE:MN</stp>
        <stp>현재가</stp>
        <stp>44865</stp>
        <stp>FILL=TRUE</stp>
        <tr r="P85" s="5"/>
        <tr r="P85" s="5"/>
        <tr r="I85" s="5"/>
        <tr r="I85" s="5"/>
      </tp>
      <tp>
        <v>1831.7</v>
        <stp/>
        <stp>P</stp>
        <stp>0</stp>
        <stp>FRN</stp>
        <stp>NYM:PA</stp>
        <stp>현재가</stp>
        <stp>44865</stp>
        <stp>FILL=TRUE</stp>
        <tr r="I89" s="5"/>
        <tr r="I89" s="5"/>
        <tr r="P89" s="5"/>
        <tr r="P89" s="5"/>
      </tp>
      <tp>
        <v>930.1</v>
        <stp/>
        <stp>P</stp>
        <stp>0</stp>
        <stp>FRN</stp>
        <stp>NYM:PL</stp>
        <stp>현재가</stp>
        <stp>44865</stp>
        <stp>FILL=TRUE</stp>
        <tr r="P90" s="5"/>
        <tr r="P90" s="5"/>
        <tr r="I90" s="5"/>
        <tr r="I90" s="5"/>
      </tp>
      <tp>
        <v>19.119</v>
        <stp/>
        <stp>P</stp>
        <stp>0</stp>
        <stp>FRN</stp>
        <stp>COM:SI</stp>
        <stp>현재가</stp>
        <stp>44865</stp>
        <stp>FILL=TRUE</stp>
        <tr r="I87" s="5"/>
        <tr r="I87" s="5"/>
        <tr r="P87" s="5"/>
        <tr r="P87" s="5"/>
      </tp>
      <tp>
        <v>86.2</v>
        <stp/>
        <stp>P</stp>
        <stp>0</stp>
        <stp>FRN</stp>
        <stp>SPT:CL</stp>
        <stp>현재가</stp>
        <stp>44865</stp>
        <stp>FILL=TRUE</stp>
        <tr r="I78" s="5"/>
        <tr r="I78" s="5"/>
        <tr r="P78" s="5"/>
        <tr r="P78" s="5"/>
      </tp>
      <tp>
        <v>92.49</v>
        <stp/>
        <stp>P</stp>
        <stp>0</stp>
        <stp>FRN</stp>
        <stp>SPT:EB</stp>
        <stp>현재가</stp>
        <stp>44865</stp>
        <stp>FILL=TRUE</stp>
        <tr r="I79" s="5"/>
        <tr r="I79" s="5"/>
        <tr r="P79" s="5"/>
        <tr r="P79" s="5"/>
      </tp>
      <tp>
        <v>90.64</v>
        <stp/>
        <stp>P</stp>
        <stp>0</stp>
        <stp>FRN</stp>
        <stp>SPT:DU</stp>
        <stp>현재가</stp>
        <stp>44865</stp>
        <stp>FILL=TRUE</stp>
        <tr r="I77" s="5"/>
        <tr r="I77" s="5"/>
        <tr r="P77" s="5"/>
        <tr r="P77" s="5"/>
      </tp>
      <tp>
        <v>10988.15</v>
        <stp/>
        <stp>P</stp>
        <stp>0</stp>
        <stp>FRN</stp>
        <stp>NAS:IXIC</stp>
        <stp>현재가</stp>
        <stp>44865</stp>
        <stp>FILL=TRUE</stp>
        <tr r="L18" s="5"/>
        <tr r="L18" s="5"/>
      </tp>
      <tp>
        <v>5222656</v>
        <stp/>
        <stp>P</stp>
        <stp>0</stp>
        <stp>FRN</stp>
        <stp>NAS:IXIC</stp>
        <stp>거래량</stp>
        <stp>44950</stp>
        <stp>FILL=TRUE</stp>
        <tr r="P18" s="5"/>
      </tp>
      <tp>
        <v>15000.07</v>
        <stp/>
        <stp>P</stp>
        <stp>0</stp>
        <stp>FRN</stp>
        <stp>TWS:TI01</stp>
        <stp>현재가</stp>
        <stp>44773</stp>
        <stp>FILL=TRUE</stp>
        <tr r="M10" s="5"/>
        <tr r="M10" s="5"/>
      </tp>
      <tp>
        <v>14932.93</v>
        <stp/>
        <stp>P</stp>
        <stp>0</stp>
        <stp>FRN</stp>
        <stp>TWS:TI01</stp>
        <stp>현재가</stp>
        <stp>44943</stp>
        <stp>FILL=TRUE</stp>
        <tr r="I10" s="5"/>
        <tr r="I10" s="5"/>
      </tp>
      <tp>
        <v>27606.58</v>
        <stp/>
        <stp>P</stp>
        <stp>0</stp>
        <stp>FRN</stp>
        <stp>CLI:IGPA</stp>
        <stp>현재가</stp>
        <stp>44928</stp>
        <stp>FILL=TRUE</stp>
        <tr r="O14" s="5"/>
        <tr r="O14" s="5"/>
      </tp>
      <tp>
        <v>6885.48</v>
        <stp/>
        <stp>P</stp>
        <stp>0</stp>
        <stp>FRN</stp>
        <stp>HSI:HSCE</stp>
        <stp>현재가</stp>
        <stp>44773</stp>
        <stp>FILL=TRUE</stp>
        <tr r="M12" s="5"/>
        <tr r="M12" s="5"/>
      </tp>
      <tp>
        <v>7314.04</v>
        <stp/>
        <stp>P</stp>
        <stp>0</stp>
        <stp>FRN</stp>
        <stp>HSI:HSCE</stp>
        <stp>현재가</stp>
        <stp>44943</stp>
        <stp>FILL=TRUE</stp>
        <tr r="I12" s="5"/>
        <tr r="I12" s="5"/>
      </tp>
      <tp>
        <v>7483.58</v>
        <stp/>
        <stp>P</stp>
        <stp>0</stp>
        <stp>FRN</stp>
        <stp>HSI:HSCE</stp>
        <stp>현재가</stp>
        <stp>44950</stp>
        <stp>FILL=TRUE</stp>
        <tr r="F12" s="5"/>
      </tp>
      <tp>
        <v>4.15E-3</v>
        <stp/>
        <stp>P</stp>
        <stp>0</stp>
        <stp>IR</stp>
        <stp>IBRUSDBFRS  03M</stp>
        <stp>전일대비</stp>
        <stp>44950</stp>
        <stp>fill=true</stp>
        <tr r="G47" s="5"/>
      </tp>
      <tp>
        <v>63.81</v>
        <stp/>
        <stp>P</stp>
        <stp>0</stp>
        <stp>FRN</stp>
        <stp>CBT$ZL</stp>
        <stp>현재가</stp>
        <stp>44926</stp>
        <stp>FILL=TRUE</stp>
        <tr r="O87" s="5"/>
      </tp>
      <tp>
        <v>478.5</v>
        <stp/>
        <stp>P</stp>
        <stp>0</stp>
        <stp>FRN</stp>
        <stp>CBT$ZM</stp>
        <stp>현재가</stp>
        <stp>44926</stp>
        <stp>FILL=TRUE</stp>
        <tr r="O86" s="5"/>
      </tp>
      <tp>
        <v>678.5</v>
        <stp/>
        <stp>P</stp>
        <stp>0</stp>
        <stp>FRN</stp>
        <stp>CBT$ZC</stp>
        <stp>현재가</stp>
        <stp>44926</stp>
        <stp>FILL=TRUE</stp>
        <tr r="O84" s="5"/>
      </tp>
      <tp>
        <v>792</v>
        <stp/>
        <stp>P</stp>
        <stp>0</stp>
        <stp>FRN</stp>
        <stp>CBT$ZW</stp>
        <stp>현재가</stp>
        <stp>44926</stp>
        <stp>FILL=TRUE</stp>
        <tr r="O88" s="5"/>
      </tp>
      <tp>
        <v>1519.25</v>
        <stp/>
        <stp>P</stp>
        <stp>0</stp>
        <stp>FRN</stp>
        <stp>CBT$ZS</stp>
        <stp>현재가</stp>
        <stp>44926</stp>
        <stp>FILL=TRUE</stp>
        <tr r="O85" s="5"/>
      </tp>
      <tp>
        <v>6704.94</v>
        <stp/>
        <stp>P</stp>
        <stp>0</stp>
        <stp>FRN</stp>
        <stp>HSI:HSCE</stp>
        <stp>현재가</stp>
        <stp>44926</stp>
        <stp>FILL=TRUE</stp>
        <tr r="N12" s="5"/>
        <tr r="N12" s="5"/>
        <tr r="J12" s="5"/>
        <tr r="J12" s="5"/>
      </tp>
      <tp>
        <v>60.98</v>
        <stp/>
        <stp>P</stp>
        <stp>0</stp>
        <stp>FRN</stp>
        <stp>CBT$ZL</stp>
        <stp>현재가</stp>
        <stp>44950</stp>
        <stp>fill=true</stp>
        <tr r="M87" s="5"/>
      </tp>
      <tp>
        <v>459.8</v>
        <stp/>
        <stp>P</stp>
        <stp>0</stp>
        <stp>FRN</stp>
        <stp>CBT$ZM</stp>
        <stp>현재가</stp>
        <stp>44950</stp>
        <stp>fill=true</stp>
        <tr r="M86" s="5"/>
      </tp>
      <tp>
        <v>677</v>
        <stp/>
        <stp>P</stp>
        <stp>0</stp>
        <stp>FRN</stp>
        <stp>CBT$ZC</stp>
        <stp>현재가</stp>
        <stp>44950</stp>
        <stp>fill=true</stp>
        <tr r="M84" s="5"/>
      </tp>
      <tp>
        <v>734.5</v>
        <stp/>
        <stp>P</stp>
        <stp>0</stp>
        <stp>FRN</stp>
        <stp>CBT$ZW</stp>
        <stp>현재가</stp>
        <stp>44950</stp>
        <stp>fill=true</stp>
        <tr r="M88" s="5"/>
      </tp>
      <tp>
        <v>1488.5</v>
        <stp/>
        <stp>P</stp>
        <stp>0</stp>
        <stp>FRN</stp>
        <stp>CBT$ZS</stp>
        <stp>현재가</stp>
        <stp>44950</stp>
        <stp>fill=true</stp>
        <tr r="M85" s="5"/>
      </tp>
      <tp>
        <v>1633669</v>
        <stp/>
        <stp>P</stp>
        <stp>0</stp>
        <stp>FRN</stp>
        <stp>HSI:HSCE</stp>
        <stp>거래량</stp>
        <stp>44950</stp>
        <stp>FILL=TRUE</stp>
        <tr r="P12" s="5"/>
      </tp>
      <tp>
        <v>4938.5600000000004</v>
        <stp/>
        <stp>P</stp>
        <stp>0</stp>
        <stp>FRN</stp>
        <stp>HSI:HSCE</stp>
        <stp>현재가</stp>
        <stp>44865</stp>
        <stp>FILL=TRUE</stp>
        <tr r="L12" s="5"/>
        <tr r="L12" s="5"/>
      </tp>
      <tp>
        <v>1264.5</v>
        <stp/>
        <stp>P</stp>
        <stp>0</stp>
        <stp>FX</stp>
        <stp>USDSP_AMBC</stp>
        <stp>현재가</stp>
        <stp>44926</stp>
        <stp>FILL=TRUE</stp>
        <tr r="J61" s="5"/>
        <tr r="J61" s="5"/>
        <tr r="H61" s="5"/>
        <tr r="H61" s="5"/>
      </tp>
      <tp>
        <v>28006.5</v>
        <stp/>
        <stp>P</stp>
        <stp>0</stp>
        <stp>FRN</stp>
        <stp>CLI:IGPA</stp>
        <stp>현재가</stp>
        <stp>44950</stp>
        <stp>FILL=TRUE</stp>
        <tr r="F14" s="5"/>
      </tp>
      <tp>
        <v>28056.28</v>
        <stp/>
        <stp>P</stp>
        <stp>0</stp>
        <stp>FRN</stp>
        <stp>CLI:IGPA</stp>
        <stp>현재가</stp>
        <stp>44773</stp>
        <stp>FILL=TRUE</stp>
        <tr r="M14" s="5"/>
        <tr r="M14" s="5"/>
      </tp>
      <tp>
        <v>27280.65</v>
        <stp/>
        <stp>P</stp>
        <stp>0</stp>
        <stp>FRN</stp>
        <stp>CLI:IGPA</stp>
        <stp>현재가</stp>
        <stp>44943</stp>
        <stp>FILL=TRUE</stp>
        <tr r="I14" s="5"/>
        <tr r="I14" s="5"/>
      </tp>
      <tp>
        <v>6704.94</v>
        <stp/>
        <stp>P</stp>
        <stp>0</stp>
        <stp>FRN</stp>
        <stp>HSI:HSCE</stp>
        <stp>현재가</stp>
        <stp>44928</stp>
        <stp>FILL=TRUE</stp>
        <tr r="O12" s="5"/>
        <tr r="O12" s="5"/>
      </tp>
      <tp>
        <v>1424.3</v>
        <stp/>
        <stp>P</stp>
        <stp>0</stp>
        <stp>FX</stp>
        <stp>USDSP_AMBC</stp>
        <stp>현재가</stp>
        <stp>44865</stp>
        <stp>FILL=TRUE</stp>
        <tr r="I61" s="5"/>
        <tr r="I61" s="5"/>
      </tp>
      <tp>
        <v>28101.97</v>
        <stp/>
        <stp>P</stp>
        <stp>0</stp>
        <stp>FRN</stp>
        <stp>CLI:IGPA</stp>
        <stp>현재가</stp>
        <stp>44865</stp>
        <stp>FILL=TRUE</stp>
        <tr r="L14" s="5"/>
        <tr r="L14" s="5"/>
      </tp>
      <tp>
        <v>0</v>
        <stp/>
        <stp>P</stp>
        <stp>0</stp>
        <stp>FRN</stp>
        <stp>CLI:IGPA</stp>
        <stp>거래량</stp>
        <stp>44950</stp>
        <stp>FILL=TRUE</stp>
        <tr r="P14" s="5"/>
      </tp>
      <tp>
        <v>1235.5</v>
        <stp/>
        <stp>P</stp>
        <stp>0</stp>
        <stp>FX</stp>
        <stp>USDSP_AMBC</stp>
        <stp>현재가</stp>
        <stp>44950</stp>
        <stp>fill=true</stp>
        <tr r="F61" s="5"/>
      </tp>
      <tp>
        <v>104.4</v>
        <stp/>
        <stp>P</stp>
        <stp>0</stp>
        <stp>FRN</stp>
        <stp>DJI:DJI</stp>
        <stp>전일대비</stp>
        <stp>44950</stp>
        <stp>FILL=TRUE</stp>
        <tr r="G17" s="5"/>
      </tp>
      <tp>
        <v>-2.86</v>
        <stp/>
        <stp>P</stp>
        <stp>0</stp>
        <stp>FRN</stp>
        <stp>SPI:SPX</stp>
        <stp>전일대비</stp>
        <stp>44950</stp>
        <stp>FILL=TRUE</stp>
        <tr r="G19" s="5"/>
      </tp>
      <tp>
        <v>27606.58</v>
        <stp/>
        <stp>P</stp>
        <stp>0</stp>
        <stp>FRN</stp>
        <stp>CLI:IGPA</stp>
        <stp>현재가</stp>
        <stp>44926</stp>
        <stp>FILL=TRUE</stp>
        <tr r="J14" s="5"/>
        <tr r="J14" s="5"/>
        <tr r="N14" s="5"/>
        <tr r="N14" s="5"/>
      </tp>
      <tp>
        <v>7.1999999999999998E-3</v>
        <stp/>
        <stp>P</stp>
        <stp>0</stp>
        <stp>IR</stp>
        <stp>JP03Y</stp>
        <stp>종가</stp>
        <stp>44950</stp>
        <stp>fill=true</stp>
        <tr r="F51" s="5"/>
      </tp>
      <tp>
        <v>4.7244999999999999</v>
        <stp/>
        <stp>P</stp>
        <stp>0</stp>
        <stp>IR</stp>
        <stp>US01Y</stp>
        <stp>종가</stp>
        <stp>44950</stp>
        <stp>fill=true</stp>
        <tr r="F49" s="5"/>
      </tp>
      <tp>
        <v>3.8494999999999999</v>
        <stp/>
        <stp>P</stp>
        <stp>0</stp>
        <stp>IR</stp>
        <stp>US03Y</stp>
        <stp>종가</stp>
        <stp>44950</stp>
        <stp>fill=true</stp>
        <tr r="F50" s="5"/>
      </tp>
      <tp>
        <v>4.6856</v>
        <stp/>
        <stp>P</stp>
        <stp>0</stp>
        <stp>IR</stp>
        <stp>US03M</stp>
        <stp>종가</stp>
        <stp>44950</stp>
        <stp>fill=true</stp>
        <tr r="F46" s="5"/>
      </tp>
      <tp>
        <v>3.5783</v>
        <stp/>
        <stp>P</stp>
        <stp>0</stp>
        <stp>IR</stp>
        <stp>US05Y</stp>
        <stp>종가</stp>
        <stp>44950</stp>
        <stp>fill=true</stp>
        <tr r="F54" s="5"/>
      </tp>
      <tp>
        <v>3.4601000000000002</v>
        <stp/>
        <stp>P</stp>
        <stp>0</stp>
        <stp>IR</stp>
        <stp>US10Y</stp>
        <stp>종가</stp>
        <stp>44950</stp>
        <stp>fill=true</stp>
        <tr r="F55" s="5"/>
      </tp>
      <tp>
        <v>4.7324000000000002</v>
        <stp/>
        <stp>P</stp>
        <stp>0</stp>
        <stp>IR</stp>
        <stp>US01Y</stp>
        <stp>종가</stp>
        <stp>44926</stp>
        <stp>FILL=TRUE</stp>
        <tr r="H49" s="5"/>
        <tr r="H49" s="5"/>
        <tr r="J49" s="5"/>
        <tr r="J49" s="5"/>
      </tp>
      <tp>
        <v>4.2385000000000002</v>
        <stp/>
        <stp>P</stp>
        <stp>0</stp>
        <stp>IR</stp>
        <stp>US03Y</stp>
        <stp>종가</stp>
        <stp>44926</stp>
        <stp>FILL=TRUE</stp>
        <tr r="H50" s="5"/>
        <tr r="H50" s="5"/>
        <tr r="J50" s="5"/>
        <tr r="J50" s="5"/>
      </tp>
      <tp>
        <v>4.4196</v>
        <stp/>
        <stp>P</stp>
        <stp>0</stp>
        <stp>IR</stp>
        <stp>US03M</stp>
        <stp>종가</stp>
        <stp>44926</stp>
        <stp>FILL=TRUE</stp>
        <tr r="H46" s="5"/>
        <tr r="H46" s="5"/>
        <tr r="J46" s="5"/>
        <tr r="J46" s="5"/>
      </tp>
      <tp>
        <v>-3.5200000000000002E-2</v>
        <stp/>
        <stp>P</stp>
        <stp>0</stp>
        <stp>IR</stp>
        <stp>JP03Y</stp>
        <stp>종가</stp>
        <stp>44865</stp>
        <stp>FILL=TRUE</stp>
        <tr r="I51" s="5"/>
        <tr r="I51" s="5"/>
      </tp>
      <tp>
        <v>4.0056000000000003</v>
        <stp/>
        <stp>P</stp>
        <stp>0</stp>
        <stp>IR</stp>
        <stp>US05Y</stp>
        <stp>종가</stp>
        <stp>44926</stp>
        <stp>FILL=TRUE</stp>
        <tr r="J54" s="5"/>
        <tr r="J54" s="5"/>
        <tr r="H54" s="5"/>
        <tr r="H54" s="5"/>
      </tp>
      <tp>
        <v>3.8795000000000002</v>
        <stp/>
        <stp>P</stp>
        <stp>0</stp>
        <stp>IR</stp>
        <stp>US10Y</stp>
        <stp>종가</stp>
        <stp>44926</stp>
        <stp>FILL=TRUE</stp>
        <tr r="J55" s="5"/>
        <tr r="J55" s="5"/>
        <tr r="H55" s="5"/>
        <tr r="H55" s="5"/>
      </tp>
      <tp>
        <v>7.1999999999999995E-2</v>
        <stp/>
        <stp>P</stp>
        <stp>0</stp>
        <stp>IR</stp>
        <stp>BONDKSDCAL12</stp>
        <stp>전일대비</stp>
        <stp>44950</stp>
        <stp>fill=true</stp>
        <tr r="G44" s="5"/>
      </tp>
      <tp>
        <v>5.7000000000000002E-2</v>
        <stp/>
        <stp>P</stp>
        <stp>0</stp>
        <stp>IR</stp>
        <stp>BONDKSDCAL13</stp>
        <stp>전일대비</stp>
        <stp>44950</stp>
        <stp>fill=true</stp>
        <tr r="G45" s="5"/>
      </tp>
      <tp>
        <v>8.2000000000000003E-2</v>
        <stp/>
        <stp>P</stp>
        <stp>0</stp>
        <stp>IR</stp>
        <stp>BONDKSDCAL11</stp>
        <stp>전일대비</stp>
        <stp>44950</stp>
        <stp>fill=true</stp>
        <tr r="G43" s="5"/>
      </tp>
      <tp>
        <v>4.6920000000000002</v>
        <stp/>
        <stp>P</stp>
        <stp>0</stp>
        <stp>IR</stp>
        <stp>US01Y</stp>
        <stp>종가</stp>
        <stp>44865</stp>
        <stp>FILL=TRUE</stp>
        <tr r="I49" s="5"/>
        <tr r="I49" s="5"/>
      </tp>
      <tp>
        <v>5.9299999999999999E-2</v>
        <stp/>
        <stp>P</stp>
        <stp>0</stp>
        <stp>IR</stp>
        <stp>JP03Y</stp>
        <stp>종가</stp>
        <stp>44926</stp>
        <stp>FILL=TRUE</stp>
        <tr r="J51" s="5"/>
        <tr r="J51" s="5"/>
        <tr r="H51" s="5"/>
        <tr r="H51" s="5"/>
      </tp>
      <tp>
        <v>4.4547999999999996</v>
        <stp/>
        <stp>P</stp>
        <stp>0</stp>
        <stp>IR</stp>
        <stp>US03Y</stp>
        <stp>종가</stp>
        <stp>44865</stp>
        <stp>FILL=TRUE</stp>
        <tr r="I50" s="5"/>
        <tr r="I50" s="5"/>
      </tp>
      <tp>
        <v>4.0739999999999998</v>
        <stp/>
        <stp>P</stp>
        <stp>0</stp>
        <stp>IR</stp>
        <stp>US03M</stp>
        <stp>종가</stp>
        <stp>44865</stp>
        <stp>FILL=TRUE</stp>
        <tr r="I46" s="5"/>
        <tr r="I46" s="5"/>
      </tp>
      <tp>
        <v>4.2300000000000004</v>
        <stp/>
        <stp>P</stp>
        <stp>0</stp>
        <stp>IR</stp>
        <stp>US05Y</stp>
        <stp>종가</stp>
        <stp>44865</stp>
        <stp>FILL=TRUE</stp>
        <tr r="I54" s="5"/>
        <tr r="I54" s="5"/>
      </tp>
      <tp>
        <v>4.0540000000000003</v>
        <stp/>
        <stp>P</stp>
        <stp>0</stp>
        <stp>IR</stp>
        <stp>US10Y</stp>
        <stp>종가</stp>
        <stp>44865</stp>
        <stp>FILL=TRUE</stp>
        <tr r="I55" s="5"/>
        <tr r="I55" s="5"/>
      </tp>
      <tp>
        <v>3.73</v>
        <stp/>
        <stp>P</stp>
        <stp>0</stp>
        <stp>IR</stp>
        <stp>BONDKSDCAL13</stp>
        <stp>대표수익률</stp>
        <stp>44926</stp>
        <stp>FILL=TRUE</stp>
        <tr r="H45" s="5"/>
        <tr r="H45" s="5"/>
        <tr r="J45" s="5"/>
        <tr r="J45" s="5"/>
      </tp>
      <tp>
        <v>24.53</v>
        <stp/>
        <stp>P</stp>
        <stp>0</stp>
        <stp>FRN</stp>
        <stp>SHS:000001</stp>
        <stp>전일대비</stp>
        <stp>44950</stp>
        <stp>FILL=TRUE</stp>
        <tr r="G9" s="5"/>
      </tp>
      <tp>
        <v>3.7429999999999999</v>
        <stp/>
        <stp>P</stp>
        <stp>0</stp>
        <stp>IR</stp>
        <stp>BONDKSDCAL12</stp>
        <stp>대표수익률</stp>
        <stp>44926</stp>
        <stp>FILL=TRUE</stp>
        <tr r="J44" s="5"/>
        <tr r="J44" s="5"/>
        <tr r="H44" s="5"/>
        <tr r="H44" s="5"/>
      </tp>
      <tp>
        <v>4.1849999999999996</v>
        <stp/>
        <stp>P</stp>
        <stp>0</stp>
        <stp>IR</stp>
        <stp>BONDKSDCAL11</stp>
        <stp>대표수익률</stp>
        <stp>44865</stp>
        <stp>FILL=TRUE</stp>
        <tr r="I43" s="5"/>
        <tr r="I43" s="5"/>
      </tp>
      <tp>
        <v>3.722</v>
        <stp/>
        <stp>P</stp>
        <stp>0</stp>
        <stp>IR</stp>
        <stp>BONDKSDCAL11</stp>
        <stp>대표수익률</stp>
        <stp>44926</stp>
        <stp>FILL=TRUE</stp>
        <tr r="H43" s="5"/>
        <tr r="H43" s="5"/>
        <tr r="J43" s="5"/>
        <tr r="J43" s="5"/>
      </tp>
      <tp>
        <v>4.2629999999999999</v>
        <stp/>
        <stp>P</stp>
        <stp>0</stp>
        <stp>IR</stp>
        <stp>BONDKSDCAL12</stp>
        <stp>대표수익률</stp>
        <stp>44865</stp>
        <stp>FILL=TRUE</stp>
        <tr r="I44" s="5"/>
        <tr r="I44" s="5"/>
      </tp>
      <tp>
        <v>4.242</v>
        <stp/>
        <stp>P</stp>
        <stp>0</stp>
        <stp>IR</stp>
        <stp>BONDKSDCAL13</stp>
        <stp>대표수익률</stp>
        <stp>44865</stp>
        <stp>FILL=TRUE</stp>
        <tr r="I45" s="5"/>
        <tr r="I45" s="5"/>
      </tp>
      <tp>
        <v>5.92</v>
        <stp/>
        <stp>P</stp>
        <stp>0</stp>
        <stp>FRN</stp>
        <stp>TWS:TI01</stp>
        <stp>전일대비</stp>
        <stp>44950</stp>
        <stp>FILL=TRUE</stp>
        <tr r="G10" s="5"/>
      </tp>
      <tp>
        <v>3.33</v>
        <stp/>
        <stp>P</stp>
        <stp>0</stp>
        <stp>IR</stp>
        <stp>BONDKSDCAL11</stp>
        <stp>대표수익률</stp>
        <stp>44950</stp>
        <stp>fill=true</stp>
        <tr r="F43" s="5"/>
      </tp>
      <tp>
        <v>3.2789999999999999</v>
        <stp/>
        <stp>P</stp>
        <stp>0</stp>
        <stp>IR</stp>
        <stp>BONDKSDCAL13</stp>
        <stp>대표수익률</stp>
        <stp>44950</stp>
        <stp>fill=true</stp>
        <tr r="F45" s="5"/>
      </tp>
      <tp>
        <v>3.2949999999999999</v>
        <stp/>
        <stp>P</stp>
        <stp>0</stp>
        <stp>IR</stp>
        <stp>BONDKSDCAL12</stp>
        <stp>대표수익률</stp>
        <stp>44950</stp>
        <stp>fill=true</stp>
        <tr r="F44" s="5"/>
      </tp>
      <tp>
        <v>7.4999999999999997E-3</v>
        <stp/>
        <stp>P</stp>
        <stp>0</stp>
        <stp>IR</stp>
        <stp>JP03Y</stp>
        <stp>전일대비</stp>
        <stp>44950</stp>
        <stp>fill=true</stp>
        <tr r="G51" s="5"/>
      </tp>
      <tp>
        <v>-5.1900000000000002E-2</v>
        <stp/>
        <stp>P</stp>
        <stp>0</stp>
        <stp>IR</stp>
        <stp>DE03Y</stp>
        <stp>전일대비</stp>
        <stp>44950</stp>
        <stp>fill=true</stp>
        <tr r="G53" s="5"/>
      </tp>
      <tp>
        <v>-0.11260000000000001</v>
        <stp/>
        <stp>P</stp>
        <stp>0</stp>
        <stp>IR</stp>
        <stp>GB03Y</stp>
        <stp>전일대비</stp>
        <stp>44950</stp>
        <stp>fill=true</stp>
        <tr r="G52" s="5"/>
      </tp>
      <tp>
        <v>1.6500000000000001E-2</v>
        <stp/>
        <stp>P</stp>
        <stp>0</stp>
        <stp>IR</stp>
        <stp>US03M</stp>
        <stp>전일대비</stp>
        <stp>44950</stp>
        <stp>fill=true</stp>
        <tr r="G46" s="5"/>
      </tp>
      <tp>
        <v>-3.6499999999999998E-2</v>
        <stp/>
        <stp>P</stp>
        <stp>0</stp>
        <stp>IR</stp>
        <stp>US03Y</stp>
        <stp>전일대비</stp>
        <stp>44950</stp>
        <stp>fill=true</stp>
        <tr r="G50" s="5"/>
      </tp>
      <tp>
        <v>3089.26</v>
        <stp/>
        <stp>P</stp>
        <stp>0</stp>
        <stp>FRN</stp>
        <stp>SHS:000001</stp>
        <stp>현재가</stp>
        <stp>44926</stp>
        <stp>FILL=TRUE</stp>
        <tr r="N9" s="5"/>
        <tr r="N9" s="5"/>
        <tr r="J9" s="5"/>
        <tr r="J9" s="5"/>
      </tp>
      <tp>
        <v>1.8866000000000001</v>
        <stp/>
        <stp>P</stp>
        <stp>0</stp>
        <stp>IR</stp>
        <stp>DE03Y</stp>
        <stp>종가</stp>
        <stp>44865</stp>
        <stp>FILL=TRUE</stp>
        <tr r="I53" s="5"/>
        <tr r="I53" s="5"/>
      </tp>
      <tp>
        <v>2893.48</v>
        <stp/>
        <stp>P</stp>
        <stp>0</stp>
        <stp>FRN</stp>
        <stp>SHS:000001</stp>
        <stp>현재가</stp>
        <stp>44865</stp>
        <stp>FILL=TRUE</stp>
        <tr r="L9" s="5"/>
        <tr r="L9" s="5"/>
      </tp>
      <tp>
        <v>2.5525000000000002</v>
        <stp/>
        <stp>P</stp>
        <stp>0</stp>
        <stp>IR</stp>
        <stp>DE03Y</stp>
        <stp>종가</stp>
        <stp>44926</stp>
        <stp>FILL=TRUE</stp>
        <tr r="H53" s="5"/>
        <tr r="H53" s="5"/>
        <tr r="J53" s="5"/>
        <tr r="J53" s="5"/>
      </tp>
      <tp>
        <v>-2.2700000000000001E-2</v>
        <stp/>
        <stp>P</stp>
        <stp>0</stp>
        <stp>IR</stp>
        <stp>US01Y</stp>
        <stp>전일대비</stp>
        <stp>44950</stp>
        <stp>fill=true</stp>
        <tr r="G49" s="5"/>
      </tp>
      <tp>
        <v>3.1558999999999999</v>
        <stp/>
        <stp>P</stp>
        <stp>0</stp>
        <stp>IR</stp>
        <stp>GB03Y</stp>
        <stp>종가</stp>
        <stp>44950</stp>
        <stp>fill=true</stp>
        <tr r="F52" s="5"/>
      </tp>
      <tp>
        <v>27321918</v>
        <stp/>
        <stp>P</stp>
        <stp>0</stp>
        <stp>FRN</stp>
        <stp>SHS:000001</stp>
        <stp>거래량</stp>
        <stp>44950</stp>
        <stp>FILL=TRUE</stp>
        <tr r="P9" s="5"/>
      </tp>
      <tp>
        <v>-6.08E-2</v>
        <stp/>
        <stp>P</stp>
        <stp>0</stp>
        <stp>IR</stp>
        <stp>US10Y</stp>
        <stp>전일대비</stp>
        <stp>44950</stp>
        <stp>fill=true</stp>
        <tr r="G55" s="5"/>
      </tp>
      <tp>
        <v>3224.24</v>
        <stp/>
        <stp>P</stp>
        <stp>0</stp>
        <stp>FRN</stp>
        <stp>SHS:000001</stp>
        <stp>현재가</stp>
        <stp>44943</stp>
        <stp>FILL=TRUE</stp>
        <tr r="I9" s="5"/>
        <tr r="I9" s="5"/>
      </tp>
      <tp>
        <v>3253.24</v>
        <stp/>
        <stp>P</stp>
        <stp>0</stp>
        <stp>FRN</stp>
        <stp>SHS:000001</stp>
        <stp>현재가</stp>
        <stp>44773</stp>
        <stp>FILL=TRUE</stp>
        <tr r="M9" s="5"/>
        <tr r="M9" s="5"/>
      </tp>
      <tp>
        <v>2.2724000000000002</v>
        <stp/>
        <stp>P</stp>
        <stp>0</stp>
        <stp>IR</stp>
        <stp>DE03Y</stp>
        <stp>종가</stp>
        <stp>44950</stp>
        <stp>fill=true</stp>
        <tr r="F53" s="5"/>
      </tp>
      <tp>
        <v>2.2000000000000002</v>
        <stp/>
        <stp>P</stp>
        <stp>0</stp>
        <stp>FRN</stp>
        <stp>DJI:SX5E</stp>
        <stp>전일대비</stp>
        <stp>44950</stp>
        <stp>FILL=TRUE</stp>
        <tr r="G20" s="5"/>
      </tp>
      <tp>
        <v>3.4817999999999998</v>
        <stp/>
        <stp>P</stp>
        <stp>0</stp>
        <stp>IR</stp>
        <stp>GB03Y</stp>
        <stp>종가</stp>
        <stp>44926</stp>
        <stp>FILL=TRUE</stp>
        <tr r="H52" s="5"/>
        <tr r="H52" s="5"/>
        <tr r="J52" s="5"/>
        <tr r="J52" s="5"/>
      </tp>
      <tp>
        <v>3.3460999999999999</v>
        <stp/>
        <stp>P</stp>
        <stp>0</stp>
        <stp>IR</stp>
        <stp>GB03Y</stp>
        <stp>종가</stp>
        <stp>44865</stp>
        <stp>FILL=TRUE</stp>
        <tr r="I52" s="5"/>
        <tr r="I52" s="5"/>
      </tp>
      <tp>
        <v>-4.1700000000000001E-2</v>
        <stp/>
        <stp>P</stp>
        <stp>0</stp>
        <stp>IR</stp>
        <stp>US05Y</stp>
        <stp>전일대비</stp>
        <stp>44950</stp>
        <stp>fill=true</stp>
        <tr r="G54" s="5"/>
      </tp>
      <tp>
        <v>26094.5</v>
        <stp/>
        <stp>P</stp>
        <stp>0</stp>
        <stp>FRN</stp>
        <stp>NII:NI225</stp>
        <stp>현재가</stp>
        <stp>44928</stp>
        <stp>FILL=TRUE</stp>
        <tr r="O11" s="5"/>
        <tr r="O11" s="5"/>
      </tp>
      <tp>
        <v>3264.81</v>
        <stp/>
        <stp>P</stp>
        <stp>0</stp>
        <stp>FRN</stp>
        <stp>SHS:000001</stp>
        <stp>현재가</stp>
        <stp>44950</stp>
        <stp>FILL=TRUE</stp>
        <tr r="F9" s="5"/>
      </tp>
      <tp>
        <v>14.92</v>
        <stp/>
        <stp>P</stp>
        <stp>0</stp>
        <stp>IDX</stp>
        <stp>001</stp>
        <stp>전일대비</stp>
        <stp>44950</stp>
        <stp>FILL=TRUE</stp>
        <tr r="G8" s="5"/>
      </tp>
      <tp>
        <v>26094.5</v>
        <stp/>
        <stp>P</stp>
        <stp>0</stp>
        <stp>FRN</stp>
        <stp>NII:NI225</stp>
        <stp>현재가</stp>
        <stp>44926</stp>
        <stp>FILL=TRUE</stp>
        <tr r="J11" s="5"/>
        <tr r="J11" s="5"/>
        <tr r="N11" s="5"/>
        <tr r="N11" s="5"/>
      </tp>
      <tp>
        <v>27587.46</v>
        <stp/>
        <stp>P</stp>
        <stp>0</stp>
        <stp>FRN</stp>
        <stp>NII:NI225</stp>
        <stp>현재가</stp>
        <stp>44865</stp>
        <stp>FILL=TRUE</stp>
        <tr r="L11" s="5"/>
        <tr r="L11" s="5"/>
      </tp>
      <tp>
        <v>393.15</v>
        <stp/>
        <stp>P</stp>
        <stp>0</stp>
        <stp>FRN</stp>
        <stp>NII:NI225</stp>
        <stp>전일대비</stp>
        <stp>44950</stp>
        <stp>FILL=TRUE</stp>
        <tr r="G11" s="5"/>
      </tp>
      <tp>
        <v>693015</v>
        <stp/>
        <stp>P</stp>
        <stp>0</stp>
        <stp>FRN</stp>
        <stp>NII:NI225</stp>
        <stp>거래량</stp>
        <stp>44950</stp>
        <stp>FILL=TRUE</stp>
        <tr r="P11" s="5"/>
      </tp>
      <tp>
        <v>37.08</v>
        <stp/>
        <stp>P</stp>
        <stp>0</stp>
        <stp>FRN</stp>
        <stp>INI:BSE30</stp>
        <stp>전일대비</stp>
        <stp>44950</stp>
        <stp>FILL=TRUE</stp>
        <tr r="G13" s="5"/>
      </tp>
      <tp>
        <v>-9.84</v>
        <stp/>
        <stp>P</stp>
        <stp>0</stp>
        <stp>FRN</stp>
        <stp>XTR:DAX30</stp>
        <stp>전일대비</stp>
        <stp>44950</stp>
        <stp>FILL=TRUE</stp>
        <tr r="G15" s="5"/>
      </tp>
      <tp>
        <v>27801.64</v>
        <stp/>
        <stp>P</stp>
        <stp>0</stp>
        <stp>FRN</stp>
        <stp>NII:NI225</stp>
        <stp>현재가</stp>
        <stp>44773</stp>
        <stp>FILL=TRUE</stp>
        <tr r="M11" s="5"/>
        <tr r="M11" s="5"/>
      </tp>
      <tp>
        <v>26138.68</v>
        <stp/>
        <stp>P</stp>
        <stp>0</stp>
        <stp>FRN</stp>
        <stp>NII:NI225</stp>
        <stp>현재가</stp>
        <stp>44943</stp>
        <stp>FILL=TRUE</stp>
        <tr r="I11" s="5"/>
        <tr r="I11" s="5"/>
      </tp>
      <tp>
        <v>18.46</v>
        <stp/>
        <stp>P</stp>
        <stp>0</stp>
        <stp>FRN</stp>
        <stp>PAS:CAC40</stp>
        <stp>전일대비</stp>
        <stp>44950</stp>
        <stp>FILL=TRUE</stp>
        <tr r="G16" s="5"/>
      </tp>
      <tp>
        <v>27299.19</v>
        <stp/>
        <stp>P</stp>
        <stp>0</stp>
        <stp>FRN</stp>
        <stp>NII:NI225</stp>
        <stp>현재가</stp>
        <stp>44950</stp>
        <stp>FILL=TRUE</stp>
        <tr r="F11" s="5"/>
      </tp>
      <tp>
        <v>3089.26</v>
        <stp/>
        <stp>P</stp>
        <stp>0</stp>
        <stp>FRN</stp>
        <stp>SHS:000001</stp>
        <stp>현재가</stp>
        <stp>44928</stp>
        <stp>FILL=TRUE</stp>
        <tr r="O9" s="5"/>
        <tr r="O9" s="5"/>
      </tp>
      <tp>
        <v>2225.67</v>
        <stp/>
        <stp>P</stp>
        <stp>0</stp>
        <stp>IDX</stp>
        <stp>001</stp>
        <stp>현재가</stp>
        <stp>44928</stp>
        <stp>FILL=TRUE</stp>
        <tr r="O8" s="5"/>
        <tr r="O8" s="5"/>
      </tp>
      <tp>
        <v>61167.79</v>
        <stp/>
        <stp>P</stp>
        <stp>0</stp>
        <stp>FRN</stp>
        <stp>INI:BSE30</stp>
        <stp>현재가</stp>
        <stp>44928</stp>
        <stp>FILL=TRUE</stp>
        <tr r="O13" s="5"/>
        <tr r="O13" s="5"/>
      </tp>
      <tp>
        <v>170.82</v>
        <stp/>
        <stp>P</stp>
        <stp>0</stp>
        <stp>FRN</stp>
        <stp>HSI:HSCE</stp>
        <stp>전일대비</stp>
        <stp>44950</stp>
        <stp>FILL=TRUE</stp>
        <tr r="G12" s="5"/>
      </tp>
      <tp>
        <v>14069.26</v>
        <stp/>
        <stp>P</stp>
        <stp>0</stp>
        <stp>FRN</stp>
        <stp>XTR:DAX30</stp>
        <stp>현재가</stp>
        <stp>44928</stp>
        <stp>FILL=TRUE</stp>
        <tr r="O15" s="5"/>
        <tr r="O15" s="5"/>
      </tp>
      <tp>
        <v>2395.2600000000002</v>
        <stp/>
        <stp>P</stp>
        <stp>0</stp>
        <stp>IDX</stp>
        <stp>001</stp>
        <stp>현재가</stp>
        <stp>44950</stp>
        <stp>FILL=TRUE</stp>
        <tr r="F8" s="5"/>
      </tp>
      <tp>
        <v>13923.59</v>
        <stp/>
        <stp>P</stp>
        <stp>0</stp>
        <stp>FRN</stp>
        <stp>XTR:DAX30</stp>
        <stp>현재가</stp>
        <stp>44926</stp>
        <stp>FILL=TRUE</stp>
        <tr r="J15" s="5"/>
        <tr r="J15" s="5"/>
        <tr r="N15" s="5"/>
        <tr r="N15" s="5"/>
      </tp>
      <tp>
        <v>60978.75</v>
        <stp/>
        <stp>P</stp>
        <stp>0</stp>
        <stp>FRN</stp>
        <stp>INI:BSE30</stp>
        <stp>현재가</stp>
        <stp>44950</stp>
        <stp>FILL=TRUE</stp>
        <tr r="F13" s="5"/>
      </tp>
      <tp>
        <v>0</v>
        <stp/>
        <stp>P</stp>
        <stp>0</stp>
        <stp>FRN</stp>
        <stp>XTR:DAX30</stp>
        <stp>거래량</stp>
        <stp>44950</stp>
        <stp>FILL=TRUE</stp>
        <tr r="P15" s="5"/>
      </tp>
      <tp>
        <v>2451.5</v>
        <stp/>
        <stp>P</stp>
        <stp>0</stp>
        <stp>IDX</stp>
        <stp>001</stp>
        <stp>현재가</stp>
        <stp>44773</stp>
        <stp>FILL=TRUE</stp>
        <tr r="M8" s="5"/>
        <tr r="M8" s="5"/>
      </tp>
      <tp>
        <v>2379.39</v>
        <stp/>
        <stp>P</stp>
        <stp>0</stp>
        <stp>IDX</stp>
        <stp>001</stp>
        <stp>현재가</stp>
        <stp>44943</stp>
        <stp>FILL=TRUE</stp>
        <tr r="I8" s="5"/>
        <tr r="I8" s="5"/>
      </tp>
      <tp>
        <v>13253.74</v>
        <stp/>
        <stp>P</stp>
        <stp>0</stp>
        <stp>FRN</stp>
        <stp>XTR:DAX30</stp>
        <stp>현재가</stp>
        <stp>44865</stp>
        <stp>FILL=TRUE</stp>
        <tr r="L15" s="5"/>
        <tr r="L15" s="5"/>
      </tp>
      <tp>
        <v>60655.72</v>
        <stp/>
        <stp>P</stp>
        <stp>0</stp>
        <stp>FRN</stp>
        <stp>INI:BSE30</stp>
        <stp>현재가</stp>
        <stp>44943</stp>
        <stp>FILL=TRUE</stp>
        <tr r="I13" s="5"/>
        <tr r="I13" s="5"/>
      </tp>
      <tp>
        <v>57570.25</v>
        <stp/>
        <stp>P</stp>
        <stp>0</stp>
        <stp>FRN</stp>
        <stp>INI:BSE30</stp>
        <stp>현재가</stp>
        <stp>44773</stp>
        <stp>FILL=TRUE</stp>
        <tr r="M13" s="5"/>
        <tr r="M13" s="5"/>
      </tp>
      <tp>
        <v>0</v>
        <stp/>
        <stp>P</stp>
        <stp>0</stp>
        <stp>FRN</stp>
        <stp>INI:BSE30</stp>
        <stp>거래량</stp>
        <stp>44950</stp>
        <stp>FILL=TRUE</stp>
        <tr r="P13" s="5"/>
      </tp>
      <tp>
        <v>2293.61</v>
        <stp/>
        <stp>P</stp>
        <stp>0</stp>
        <stp>IDX</stp>
        <stp>001</stp>
        <stp>현재가</stp>
        <stp>44865</stp>
        <stp>FILL=TRUE</stp>
        <tr r="L8" s="5"/>
        <tr r="L8" s="5"/>
      </tp>
      <tp>
        <v>15187.07</v>
        <stp/>
        <stp>P</stp>
        <stp>0</stp>
        <stp>FRN</stp>
        <stp>XTR:DAX30</stp>
        <stp>현재가</stp>
        <stp>44943</stp>
        <stp>FILL=TRUE</stp>
        <tr r="I15" s="5"/>
        <tr r="I15" s="5"/>
      </tp>
      <tp>
        <v>13484.05</v>
        <stp/>
        <stp>P</stp>
        <stp>0</stp>
        <stp>FRN</stp>
        <stp>XTR:DAX30</stp>
        <stp>현재가</stp>
        <stp>44773</stp>
        <stp>FILL=TRUE</stp>
        <tr r="M15" s="5"/>
        <tr r="M15" s="5"/>
      </tp>
      <tp>
        <v>60746.59</v>
        <stp/>
        <stp>P</stp>
        <stp>0</stp>
        <stp>FRN</stp>
        <stp>INI:BSE30</stp>
        <stp>현재가</stp>
        <stp>44865</stp>
        <stp>FILL=TRUE</stp>
        <tr r="L13" s="5"/>
        <tr r="L13" s="5"/>
      </tp>
      <tp>
        <v>2236.4</v>
        <stp/>
        <stp>P</stp>
        <stp>0</stp>
        <stp>IDX</stp>
        <stp>001</stp>
        <stp>현재가</stp>
        <stp>44926</stp>
        <stp>FILL=TRUE</stp>
        <tr r="J8" s="5"/>
        <tr r="J8" s="5"/>
        <tr r="N8" s="5"/>
        <tr r="N8" s="5"/>
      </tp>
      <tp>
        <v>15093.11</v>
        <stp/>
        <stp>P</stp>
        <stp>0</stp>
        <stp>FRN</stp>
        <stp>XTR:DAX30</stp>
        <stp>현재가</stp>
        <stp>44950</stp>
        <stp>FILL=TRUE</stp>
        <tr r="F15" s="5"/>
      </tp>
      <tp>
        <v>60840.74</v>
        <stp/>
        <stp>P</stp>
        <stp>0</stp>
        <stp>FRN</stp>
        <stp>INI:BSE30</stp>
        <stp>현재가</stp>
        <stp>44926</stp>
        <stp>FILL=TRUE</stp>
        <tr r="N13" s="5"/>
        <tr r="N13" s="5"/>
        <tr r="J13" s="5"/>
        <tr r="J13" s="5"/>
      </tp>
      <tp>
        <v>0</v>
        <stp/>
        <stp>P</stp>
        <stp>0</stp>
        <stp>FRN</stp>
        <stp>PAS:CAC40</stp>
        <stp>거래량</stp>
        <stp>44950</stp>
        <stp>FILL=TRUE</stp>
        <tr r="P16" s="5"/>
      </tp>
      <tp>
        <v>6266.77</v>
        <stp/>
        <stp>P</stp>
        <stp>0</stp>
        <stp>FRN</stp>
        <stp>PAS:CAC40</stp>
        <stp>현재가</stp>
        <stp>44865</stp>
        <stp>FILL=TRUE</stp>
        <tr r="L16" s="5"/>
        <tr r="L16" s="5"/>
      </tp>
      <tp>
        <v>0</v>
        <stp/>
        <stp>P</stp>
        <stp>0</stp>
        <stp>FRN</stp>
        <stp>CLI:IGPA</stp>
        <stp>전일대비</stp>
        <stp>44950</stp>
        <stp>FILL=TRUE</stp>
        <tr r="G14" s="5"/>
      </tp>
      <tp>
        <v>6473.76</v>
        <stp/>
        <stp>P</stp>
        <stp>0</stp>
        <stp>FRN</stp>
        <stp>PAS:CAC40</stp>
        <stp>현재가</stp>
        <stp>44926</stp>
        <stp>FILL=TRUE</stp>
        <tr r="N16" s="5"/>
        <tr r="N16" s="5"/>
        <tr r="J16" s="5"/>
        <tr r="J16" s="5"/>
      </tp>
      <tp>
        <v>-30.14</v>
        <stp/>
        <stp>P</stp>
        <stp>0</stp>
        <stp>FRN</stp>
        <stp>NAS:IXIC</stp>
        <stp>전일대비</stp>
        <stp>44950</stp>
        <stp>FILL=TRUE</stp>
        <tr r="G18" s="5"/>
      </tp>
      <tp>
        <v>7050.48</v>
        <stp/>
        <stp>P</stp>
        <stp>0</stp>
        <stp>FRN</stp>
        <stp>PAS:CAC40</stp>
        <stp>현재가</stp>
        <stp>44950</stp>
        <stp>FILL=TRUE</stp>
        <tr r="F16" s="5"/>
      </tp>
      <tp>
        <v>6448.5</v>
        <stp/>
        <stp>P</stp>
        <stp>0</stp>
        <stp>FRN</stp>
        <stp>PAS:CAC40</stp>
        <stp>현재가</stp>
        <stp>44773</stp>
        <stp>FILL=TRUE</stp>
        <tr r="M16" s="5"/>
        <tr r="M16" s="5"/>
      </tp>
      <tp>
        <v>7077.16</v>
        <stp/>
        <stp>P</stp>
        <stp>0</stp>
        <stp>FRN</stp>
        <stp>PAS:CAC40</stp>
        <stp>현재가</stp>
        <stp>44943</stp>
        <stp>FILL=TRUE</stp>
        <tr r="I16" s="5"/>
        <tr r="I16" s="5"/>
      </tp>
      <tp>
        <v>4.82186</v>
        <stp/>
        <stp>P</stp>
        <stp>0</stp>
        <stp>IR</stp>
        <stp>IBRUSDBFRS  03M</stp>
        <stp>금리</stp>
        <stp>44950</stp>
        <stp>fill=true</stp>
        <tr r="F47" s="5"/>
      </tp>
      <tp>
        <v>6594.57</v>
        <stp/>
        <stp>P</stp>
        <stp>0</stp>
        <stp>FRN</stp>
        <stp>PAS:CAC40</stp>
        <stp>현재가</stp>
        <stp>44928</stp>
        <stp>FILL=TRUE</stp>
        <tr r="O16" s="5"/>
        <tr r="O16" s="5"/>
      </tp>
      <tp>
        <v>4.4602899999999996</v>
        <stp/>
        <stp>P</stp>
        <stp>0</stp>
        <stp>IR</stp>
        <stp>IBRUSDBFRS  03M</stp>
        <stp>금리</stp>
        <stp>44865</stp>
        <stp>FILL=TRUE</stp>
        <tr r="I47" s="5"/>
        <tr r="I47" s="5"/>
      </tp>
      <tp>
        <v>4.76729</v>
        <stp/>
        <stp>P</stp>
        <stp>0</stp>
        <stp>IR</stp>
        <stp>IBRUSDBFRS  03M</stp>
        <stp>금리</stp>
        <stp>44926</stp>
        <stp>FILL=TRUE</stp>
        <tr r="J47" s="5"/>
        <tr r="J47" s="5"/>
        <tr r="H47" s="5"/>
        <tr r="H47" s="5"/>
      </tp>
      <tp>
        <v>3447.25</v>
        <stp/>
        <stp>P</stp>
        <stp>0</stp>
        <stp>FRN</stp>
        <stp>LME:ZDY</stp>
        <stp>현재가</stp>
        <stp>44950</stp>
        <stp>fill=true</stp>
        <tr r="M83" s="5"/>
      </tp>
      <tp>
        <v>3003.25</v>
        <stp/>
        <stp>P</stp>
        <stp>0</stp>
        <stp>FRN</stp>
        <stp>LME:ZDY</stp>
        <stp>현재가</stp>
        <stp>44926</stp>
        <stp>FILL=TRUE</stp>
        <tr r="O83" s="5"/>
      </tp>
      <tp>
        <v>302506</v>
        <stp/>
        <stp>P</stp>
        <stp>0</stp>
        <stp>IDX</stp>
        <stp>001</stp>
        <stp>누적거래량</stp>
        <stp>44950</stp>
        <stp>FILL=TRUE</stp>
        <tr r="P8" s="5"/>
      </tp>
      <tp>
        <v>29900</v>
        <stp/>
        <stp>P</stp>
        <stp>0</stp>
        <stp>FRN</stp>
        <stp>LME:SDY</stp>
        <stp>현재가</stp>
        <stp>44950</stp>
        <stp>fill=true</stp>
        <tr r="M82" s="5"/>
      </tp>
      <tp>
        <v>2120.6</v>
        <stp/>
        <stp>P</stp>
        <stp>0</stp>
        <stp>FRN</stp>
        <stp>LME:PDY</stp>
        <stp>현재가</stp>
        <stp>44950</stp>
        <stp>fill=true</stp>
        <tr r="M80" s="5"/>
      </tp>
      <tp>
        <v>2336.5</v>
        <stp/>
        <stp>P</stp>
        <stp>0</stp>
        <stp>FRN</stp>
        <stp>LME:PDY</stp>
        <stp>현재가</stp>
        <stp>44926</stp>
        <stp>FILL=TRUE</stp>
        <tr r="O80" s="5"/>
      </tp>
      <tp>
        <v>24754.25</v>
        <stp/>
        <stp>P</stp>
        <stp>0</stp>
        <stp>FRN</stp>
        <stp>LME:SDY</stp>
        <stp>현재가</stp>
        <stp>44926</stp>
        <stp>FILL=TRUE</stp>
        <tr r="O82" s="5"/>
      </tp>
      <tp>
        <v>3839.5</v>
        <stp/>
        <stp>P</stp>
        <stp>0</stp>
        <stp>FRN</stp>
        <stp>SPI:SPX</stp>
        <stp>현재가</stp>
        <stp>44926</stp>
        <stp>FILL=TRUE</stp>
        <tr r="J19" s="5"/>
        <tr r="J19" s="5"/>
        <tr r="N19" s="5"/>
        <tr r="N19" s="5"/>
      </tp>
      <tp>
        <v>33147.25</v>
        <stp/>
        <stp>P</stp>
        <stp>0</stp>
        <stp>FRN</stp>
        <stp>DJI:DJI</stp>
        <stp>현재가</stp>
        <stp>44926</stp>
        <stp>FILL=TRUE</stp>
        <tr r="J17" s="5"/>
        <tr r="J17" s="5"/>
        <tr r="N17" s="5"/>
        <tr r="N17" s="5"/>
      </tp>
      <tp>
        <v>3871.98</v>
        <stp/>
        <stp>P</stp>
        <stp>0</stp>
        <stp>FRN</stp>
        <stp>SPI:SPX</stp>
        <stp>현재가</stp>
        <stp>44865</stp>
        <stp>FILL=TRUE</stp>
        <tr r="L19" s="5"/>
        <tr r="L19" s="5"/>
      </tp>
      <tp>
        <v>32732.95</v>
        <stp/>
        <stp>P</stp>
        <stp>0</stp>
        <stp>FRN</stp>
        <stp>DJI:DJI</stp>
        <stp>현재가</stp>
        <stp>44865</stp>
        <stp>FILL=TRUE</stp>
        <tr r="L17" s="5"/>
        <tr r="L17" s="5"/>
      </tp>
      <tp>
        <v>2047999</v>
        <stp/>
        <stp>P</stp>
        <stp>0</stp>
        <stp>FRN</stp>
        <stp>SPI:SPX</stp>
        <stp>거래량</stp>
        <stp>44950</stp>
        <stp>FILL=TRUE</stp>
        <tr r="P19" s="5"/>
      </tp>
      <tp>
        <v>295076</v>
        <stp/>
        <stp>P</stp>
        <stp>0</stp>
        <stp>FRN</stp>
        <stp>DJI:DJI</stp>
        <stp>거래량</stp>
        <stp>44950</stp>
        <stp>FILL=TRUE</stp>
        <tr r="P17" s="5"/>
      </tp>
      <tp>
        <v>29886</v>
        <stp/>
        <stp>P</stp>
        <stp>0</stp>
        <stp>FRN</stp>
        <stp>LME:NDY</stp>
        <stp>현재가</stp>
        <stp>44926</stp>
        <stp>FILL=TRUE</stp>
        <tr r="O81" s="5"/>
      </tp>
      <tp>
        <v>4130.29</v>
        <stp/>
        <stp>P</stp>
        <stp>0</stp>
        <stp>FRN</stp>
        <stp>SPI:SPX</stp>
        <stp>현재가</stp>
        <stp>44773</stp>
        <stp>FILL=TRUE</stp>
        <tr r="M19" s="5"/>
        <tr r="M19" s="5"/>
      </tp>
      <tp>
        <v>3990.97</v>
        <stp/>
        <stp>P</stp>
        <stp>0</stp>
        <stp>FRN</stp>
        <stp>SPI:SPX</stp>
        <stp>현재가</stp>
        <stp>44943</stp>
        <stp>FILL=TRUE</stp>
        <tr r="I19" s="5"/>
        <tr r="I19" s="5"/>
      </tp>
      <tp>
        <v>32845.129999999997</v>
        <stp/>
        <stp>P</stp>
        <stp>0</stp>
        <stp>FRN</stp>
        <stp>DJI:DJI</stp>
        <stp>현재가</stp>
        <stp>44773</stp>
        <stp>FILL=TRUE</stp>
        <tr r="M17" s="5"/>
        <tr r="M17" s="5"/>
      </tp>
      <tp>
        <v>33910.85</v>
        <stp/>
        <stp>P</stp>
        <stp>0</stp>
        <stp>FRN</stp>
        <stp>DJI:DJI</stp>
        <stp>현재가</stp>
        <stp>44943</stp>
        <stp>FILL=TRUE</stp>
        <tr r="I17" s="5"/>
        <tr r="I17" s="5"/>
      </tp>
      <tp>
        <v>28561</v>
        <stp/>
        <stp>P</stp>
        <stp>0</stp>
        <stp>FRN</stp>
        <stp>LME:NDY</stp>
        <stp>현재가</stp>
        <stp>44950</stp>
        <stp>fill=true</stp>
        <tr r="M81" s="5"/>
      </tp>
      <tp>
        <v>4016.95</v>
        <stp/>
        <stp>P</stp>
        <stp>0</stp>
        <stp>FRN</stp>
        <stp>SPI:SPX</stp>
        <stp>현재가</stp>
        <stp>44950</stp>
        <stp>FILL=TRUE</stp>
        <tr r="F19" s="5"/>
      </tp>
      <tp>
        <v>33733.96</v>
        <stp/>
        <stp>P</stp>
        <stp>0</stp>
        <stp>FRN</stp>
        <stp>DJI:DJI</stp>
        <stp>현재가</stp>
        <stp>44950</stp>
        <stp>FILL=TRUE</stp>
        <tr r="F17" s="5"/>
      </tp>
      <tp>
        <v>9291.01</v>
        <stp/>
        <stp>P</stp>
        <stp>0</stp>
        <stp>FRN</stp>
        <stp>LME:CDY</stp>
        <stp>현재가</stp>
        <stp>44950</stp>
        <stp>fill=true</stp>
        <tr r="M79" s="5"/>
      </tp>
      <tp>
        <v>2090.5</v>
        <stp/>
        <stp>P</stp>
        <stp>0</stp>
        <stp>FRN</stp>
        <stp>LME:AAY</stp>
        <stp>현재가</stp>
        <stp>44950</stp>
        <stp>fill=true</stp>
        <tr r="M77" s="5"/>
      </tp>
      <tp>
        <v>2619.75</v>
        <stp/>
        <stp>P</stp>
        <stp>0</stp>
        <stp>FRN</stp>
        <stp>LME:ADY</stp>
        <stp>현재가</stp>
        <stp>44950</stp>
        <stp>fill=true</stp>
        <tr r="M78" s="5"/>
      </tp>
      <tp>
        <v>2173.5</v>
        <stp/>
        <stp>P</stp>
        <stp>0</stp>
        <stp>FRN</stp>
        <stp>LME:AAY</stp>
        <stp>현재가</stp>
        <stp>44926</stp>
        <stp>FILL=TRUE</stp>
        <tr r="O77" s="5"/>
      </tp>
      <tp>
        <v>2349.5100000000002</v>
        <stp/>
        <stp>P</stp>
        <stp>0</stp>
        <stp>FRN</stp>
        <stp>LME:ADY</stp>
        <stp>현재가</stp>
        <stp>44926</stp>
        <stp>FILL=TRUE</stp>
        <tr r="O78" s="5"/>
      </tp>
      <tp>
        <v>3.4</v>
        <stp/>
        <stp>P</stp>
        <stp>0</stp>
        <stp>FX</stp>
        <stp>USDSP_AMBC</stp>
        <stp>전일대비</stp>
        <stp>44950</stp>
        <stp>fill=true</stp>
        <tr r="G61" s="5"/>
      </tp>
      <tp>
        <v>8364.76</v>
        <stp/>
        <stp>P</stp>
        <stp>0</stp>
        <stp>FRN</stp>
        <stp>LME:CDY</stp>
        <stp>현재가</stp>
        <stp>44926</stp>
        <stp>FILL=TRUE</stp>
        <tr r="O79" s="5"/>
      </tp>
      <tp>
        <v>3839.5</v>
        <stp/>
        <stp>P</stp>
        <stp>0</stp>
        <stp>FRN</stp>
        <stp>SPI:SPX</stp>
        <stp>현재가</stp>
        <stp>44928</stp>
        <stp>FILL=TRUE</stp>
        <tr r="O19" s="5"/>
        <tr r="O19" s="5"/>
      </tp>
      <tp>
        <v>33147.25</v>
        <stp/>
        <stp>P</stp>
        <stp>0</stp>
        <stp>FRN</stp>
        <stp>DJI:DJI</stp>
        <stp>현재가</stp>
        <stp>44928</stp>
        <stp>FILL=TRUE</stp>
        <tr r="O17" s="5"/>
        <tr r="O17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962006131350003E-2"/>
          <c:y val="0.15326396700412445"/>
          <c:w val="0.93498117822209525"/>
          <c:h val="0.70019685039370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글로벌금융시장동향!$L$7</c:f>
              <c:strCache>
                <c:ptCount val="1"/>
                <c:pt idx="0">
                  <c:v>3M(%)</c:v>
                </c:pt>
              </c:strCache>
            </c:strRef>
          </c:tx>
          <c:spPr>
            <a:solidFill>
              <a:srgbClr val="3366CC"/>
            </a:solidFill>
          </c:spPr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글로벌금융시장동향!$E$8:$E$20</c:f>
              <c:strCache>
                <c:ptCount val="13"/>
                <c:pt idx="0">
                  <c:v>KOSPI</c:v>
                </c:pt>
                <c:pt idx="1">
                  <c:v>상해종합</c:v>
                </c:pt>
                <c:pt idx="2">
                  <c:v>대만</c:v>
                </c:pt>
                <c:pt idx="3">
                  <c:v>일본</c:v>
                </c:pt>
                <c:pt idx="4">
                  <c:v>항셍H</c:v>
                </c:pt>
                <c:pt idx="5">
                  <c:v>인도</c:v>
                </c:pt>
                <c:pt idx="6">
                  <c:v>칠레</c:v>
                </c:pt>
                <c:pt idx="7">
                  <c:v>독일</c:v>
                </c:pt>
                <c:pt idx="8">
                  <c:v>프랑스</c:v>
                </c:pt>
                <c:pt idx="9">
                  <c:v>다우존스</c:v>
                </c:pt>
                <c:pt idx="10">
                  <c:v>나스닥</c:v>
                </c:pt>
                <c:pt idx="11">
                  <c:v>S&amp;P</c:v>
                </c:pt>
                <c:pt idx="12">
                  <c:v>EURO STOXX50</c:v>
                </c:pt>
              </c:strCache>
            </c:strRef>
          </c:cat>
          <c:val>
            <c:numRef>
              <c:f>글로벌금융시장동향!$L$8:$L$20</c:f>
              <c:numCache>
                <c:formatCode>0.00_ </c:formatCode>
                <c:ptCount val="13"/>
                <c:pt idx="0" formatCode="0.00">
                  <c:v>4.4318781309812953</c:v>
                </c:pt>
                <c:pt idx="1">
                  <c:v>12.833335637364002</c:v>
                </c:pt>
                <c:pt idx="2">
                  <c:v>15.314426919438601</c:v>
                </c:pt>
                <c:pt idx="3">
                  <c:v>-1.044931283996426</c:v>
                </c:pt>
                <c:pt idx="4">
                  <c:v>51.533645435106578</c:v>
                </c:pt>
                <c:pt idx="5">
                  <c:v>0.38217783088730334</c:v>
                </c:pt>
                <c:pt idx="6">
                  <c:v>-0.33972707251484918</c:v>
                </c:pt>
                <c:pt idx="7">
                  <c:v>13.878120439966384</c:v>
                </c:pt>
                <c:pt idx="8">
                  <c:v>12.505804425565309</c:v>
                </c:pt>
                <c:pt idx="9">
                  <c:v>3.0581111693263159</c:v>
                </c:pt>
                <c:pt idx="10">
                  <c:v>3.1499387977048077</c:v>
                </c:pt>
                <c:pt idx="11">
                  <c:v>3.7440792566077254</c:v>
                </c:pt>
                <c:pt idx="12">
                  <c:v>14.802324231383771</c:v>
                </c:pt>
              </c:numCache>
            </c:numRef>
          </c:val>
        </c:ser>
        <c:ser>
          <c:idx val="1"/>
          <c:order val="1"/>
          <c:tx>
            <c:strRef>
              <c:f>글로벌금융시장동향!$N$7</c:f>
              <c:strCache>
                <c:ptCount val="1"/>
                <c:pt idx="0">
                  <c:v>1Y(%)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글로벌금융시장동향!$E$8:$E$20</c:f>
              <c:strCache>
                <c:ptCount val="13"/>
                <c:pt idx="0">
                  <c:v>KOSPI</c:v>
                </c:pt>
                <c:pt idx="1">
                  <c:v>상해종합</c:v>
                </c:pt>
                <c:pt idx="2">
                  <c:v>대만</c:v>
                </c:pt>
                <c:pt idx="3">
                  <c:v>일본</c:v>
                </c:pt>
                <c:pt idx="4">
                  <c:v>항셍H</c:v>
                </c:pt>
                <c:pt idx="5">
                  <c:v>인도</c:v>
                </c:pt>
                <c:pt idx="6">
                  <c:v>칠레</c:v>
                </c:pt>
                <c:pt idx="7">
                  <c:v>독일</c:v>
                </c:pt>
                <c:pt idx="8">
                  <c:v>프랑스</c:v>
                </c:pt>
                <c:pt idx="9">
                  <c:v>다우존스</c:v>
                </c:pt>
                <c:pt idx="10">
                  <c:v>나스닥</c:v>
                </c:pt>
                <c:pt idx="11">
                  <c:v>S&amp;P</c:v>
                </c:pt>
                <c:pt idx="12">
                  <c:v>EURO STOXX50</c:v>
                </c:pt>
              </c:strCache>
            </c:strRef>
          </c:cat>
          <c:val>
            <c:numRef>
              <c:f>글로벌금융시장동향!$N$8:$N$20</c:f>
              <c:numCache>
                <c:formatCode>0.00_ </c:formatCode>
                <c:ptCount val="13"/>
                <c:pt idx="0">
                  <c:v>7.1033804328384962</c:v>
                </c:pt>
                <c:pt idx="1">
                  <c:v>5.6825906527776784</c:v>
                </c:pt>
                <c:pt idx="2">
                  <c:v>5.6249641914626771</c:v>
                </c:pt>
                <c:pt idx="3">
                  <c:v>4.6166433539634744</c:v>
                </c:pt>
                <c:pt idx="4">
                  <c:v>11.612930167906057</c:v>
                </c:pt>
                <c:pt idx="5">
                  <c:v>0.22683813510486894</c:v>
                </c:pt>
                <c:pt idx="6">
                  <c:v>1.4486401430383562</c:v>
                </c:pt>
                <c:pt idx="7">
                  <c:v>8.3995578726463531</c:v>
                </c:pt>
                <c:pt idx="8">
                  <c:v>8.9085786312745494</c:v>
                </c:pt>
                <c:pt idx="9">
                  <c:v>1.7700110868925751</c:v>
                </c:pt>
                <c:pt idx="10">
                  <c:v>8.2911351285245924</c:v>
                </c:pt>
                <c:pt idx="11">
                  <c:v>4.6216955332725567</c:v>
                </c:pt>
                <c:pt idx="12">
                  <c:v>9.4738007496797394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193280"/>
        <c:axId val="148194816"/>
      </c:barChart>
      <c:catAx>
        <c:axId val="148193280"/>
        <c:scaling>
          <c:orientation val="minMax"/>
        </c:scaling>
        <c:delete val="0"/>
        <c:axPos val="b"/>
        <c:majorTickMark val="out"/>
        <c:minorTickMark val="none"/>
        <c:tickLblPos val="low"/>
        <c:txPr>
          <a:bodyPr/>
          <a:lstStyle/>
          <a:p>
            <a:pPr>
              <a:defRPr sz="900"/>
            </a:pPr>
            <a:endParaRPr lang="ko-KR"/>
          </a:p>
        </c:txPr>
        <c:crossAx val="148194816"/>
        <c:crosses val="autoZero"/>
        <c:auto val="1"/>
        <c:lblAlgn val="ctr"/>
        <c:lblOffset val="100"/>
        <c:noMultiLvlLbl val="0"/>
      </c:catAx>
      <c:valAx>
        <c:axId val="14819481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4819328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글로벌금융시장동향!$AJ$8</c:f>
              <c:strCache>
                <c:ptCount val="1"/>
                <c:pt idx="0">
                  <c:v>TED SPREAD</c:v>
                </c:pt>
              </c:strCache>
            </c:strRef>
          </c:tx>
          <c:spPr>
            <a:solidFill>
              <a:srgbClr val="99FF99"/>
            </a:solidFill>
          </c:spPr>
          <c:invertIfNegative val="0"/>
          <c:cat>
            <c:numRef>
              <c:f>글로벌금융시장동향!$AG$10:$AG$376</c:f>
              <c:numCache>
                <c:formatCode>m/d/yyyy</c:formatCode>
                <c:ptCount val="365"/>
                <c:pt idx="0">
                  <c:v>44950</c:v>
                </c:pt>
                <c:pt idx="1">
                  <c:v>44949</c:v>
                </c:pt>
                <c:pt idx="2">
                  <c:v>44948</c:v>
                </c:pt>
                <c:pt idx="3">
                  <c:v>44947</c:v>
                </c:pt>
                <c:pt idx="4">
                  <c:v>44946</c:v>
                </c:pt>
                <c:pt idx="5">
                  <c:v>44945</c:v>
                </c:pt>
                <c:pt idx="6">
                  <c:v>44944</c:v>
                </c:pt>
                <c:pt idx="7">
                  <c:v>44943</c:v>
                </c:pt>
                <c:pt idx="8">
                  <c:v>44942</c:v>
                </c:pt>
                <c:pt idx="9">
                  <c:v>44941</c:v>
                </c:pt>
                <c:pt idx="10">
                  <c:v>44940</c:v>
                </c:pt>
                <c:pt idx="11">
                  <c:v>44939</c:v>
                </c:pt>
                <c:pt idx="12">
                  <c:v>44938</c:v>
                </c:pt>
                <c:pt idx="13">
                  <c:v>44937</c:v>
                </c:pt>
                <c:pt idx="14">
                  <c:v>44936</c:v>
                </c:pt>
                <c:pt idx="15">
                  <c:v>44935</c:v>
                </c:pt>
                <c:pt idx="16">
                  <c:v>44934</c:v>
                </c:pt>
                <c:pt idx="17">
                  <c:v>44933</c:v>
                </c:pt>
                <c:pt idx="18">
                  <c:v>44932</c:v>
                </c:pt>
                <c:pt idx="19">
                  <c:v>44931</c:v>
                </c:pt>
                <c:pt idx="20">
                  <c:v>44930</c:v>
                </c:pt>
                <c:pt idx="21">
                  <c:v>44929</c:v>
                </c:pt>
                <c:pt idx="22">
                  <c:v>44928</c:v>
                </c:pt>
                <c:pt idx="23">
                  <c:v>44927</c:v>
                </c:pt>
                <c:pt idx="24">
                  <c:v>44926</c:v>
                </c:pt>
                <c:pt idx="25">
                  <c:v>44925</c:v>
                </c:pt>
                <c:pt idx="26">
                  <c:v>44924</c:v>
                </c:pt>
                <c:pt idx="27">
                  <c:v>44923</c:v>
                </c:pt>
                <c:pt idx="28">
                  <c:v>44922</c:v>
                </c:pt>
                <c:pt idx="29">
                  <c:v>44921</c:v>
                </c:pt>
                <c:pt idx="30">
                  <c:v>44920</c:v>
                </c:pt>
                <c:pt idx="31">
                  <c:v>44919</c:v>
                </c:pt>
                <c:pt idx="32">
                  <c:v>44918</c:v>
                </c:pt>
                <c:pt idx="33">
                  <c:v>44917</c:v>
                </c:pt>
                <c:pt idx="34">
                  <c:v>44916</c:v>
                </c:pt>
                <c:pt idx="35">
                  <c:v>44915</c:v>
                </c:pt>
                <c:pt idx="36">
                  <c:v>44914</c:v>
                </c:pt>
                <c:pt idx="37">
                  <c:v>44913</c:v>
                </c:pt>
                <c:pt idx="38">
                  <c:v>44912</c:v>
                </c:pt>
                <c:pt idx="39">
                  <c:v>44911</c:v>
                </c:pt>
                <c:pt idx="40">
                  <c:v>44910</c:v>
                </c:pt>
                <c:pt idx="41">
                  <c:v>44909</c:v>
                </c:pt>
                <c:pt idx="42">
                  <c:v>44908</c:v>
                </c:pt>
                <c:pt idx="43">
                  <c:v>44907</c:v>
                </c:pt>
                <c:pt idx="44">
                  <c:v>44906</c:v>
                </c:pt>
                <c:pt idx="45">
                  <c:v>44905</c:v>
                </c:pt>
                <c:pt idx="46">
                  <c:v>44904</c:v>
                </c:pt>
                <c:pt idx="47">
                  <c:v>44903</c:v>
                </c:pt>
                <c:pt idx="48">
                  <c:v>44902</c:v>
                </c:pt>
                <c:pt idx="49">
                  <c:v>44900</c:v>
                </c:pt>
                <c:pt idx="50">
                  <c:v>44899</c:v>
                </c:pt>
                <c:pt idx="51">
                  <c:v>44898</c:v>
                </c:pt>
                <c:pt idx="52">
                  <c:v>44897</c:v>
                </c:pt>
                <c:pt idx="53">
                  <c:v>44896</c:v>
                </c:pt>
                <c:pt idx="54">
                  <c:v>44895</c:v>
                </c:pt>
                <c:pt idx="55">
                  <c:v>44894</c:v>
                </c:pt>
                <c:pt idx="56">
                  <c:v>44893</c:v>
                </c:pt>
                <c:pt idx="57">
                  <c:v>44892</c:v>
                </c:pt>
                <c:pt idx="58">
                  <c:v>44891</c:v>
                </c:pt>
                <c:pt idx="59">
                  <c:v>44890</c:v>
                </c:pt>
                <c:pt idx="60">
                  <c:v>44889</c:v>
                </c:pt>
                <c:pt idx="61">
                  <c:v>44888</c:v>
                </c:pt>
                <c:pt idx="62">
                  <c:v>44887</c:v>
                </c:pt>
                <c:pt idx="63">
                  <c:v>44886</c:v>
                </c:pt>
                <c:pt idx="64">
                  <c:v>44884</c:v>
                </c:pt>
                <c:pt idx="65">
                  <c:v>44883</c:v>
                </c:pt>
                <c:pt idx="66">
                  <c:v>44882</c:v>
                </c:pt>
                <c:pt idx="67">
                  <c:v>44881</c:v>
                </c:pt>
                <c:pt idx="68">
                  <c:v>44880</c:v>
                </c:pt>
                <c:pt idx="69">
                  <c:v>44879</c:v>
                </c:pt>
                <c:pt idx="70">
                  <c:v>44878</c:v>
                </c:pt>
                <c:pt idx="71">
                  <c:v>44877</c:v>
                </c:pt>
                <c:pt idx="72">
                  <c:v>44876</c:v>
                </c:pt>
                <c:pt idx="73">
                  <c:v>44875</c:v>
                </c:pt>
                <c:pt idx="74">
                  <c:v>44874</c:v>
                </c:pt>
                <c:pt idx="75">
                  <c:v>44873</c:v>
                </c:pt>
                <c:pt idx="76">
                  <c:v>44872</c:v>
                </c:pt>
                <c:pt idx="77">
                  <c:v>44871</c:v>
                </c:pt>
                <c:pt idx="78">
                  <c:v>44870</c:v>
                </c:pt>
                <c:pt idx="79">
                  <c:v>44869</c:v>
                </c:pt>
                <c:pt idx="80">
                  <c:v>44868</c:v>
                </c:pt>
                <c:pt idx="81">
                  <c:v>44867</c:v>
                </c:pt>
                <c:pt idx="82">
                  <c:v>44866</c:v>
                </c:pt>
                <c:pt idx="83">
                  <c:v>44865</c:v>
                </c:pt>
                <c:pt idx="84">
                  <c:v>44864</c:v>
                </c:pt>
                <c:pt idx="85">
                  <c:v>44863</c:v>
                </c:pt>
                <c:pt idx="86">
                  <c:v>44862</c:v>
                </c:pt>
                <c:pt idx="87">
                  <c:v>44861</c:v>
                </c:pt>
                <c:pt idx="88">
                  <c:v>44860</c:v>
                </c:pt>
                <c:pt idx="89">
                  <c:v>44859</c:v>
                </c:pt>
                <c:pt idx="90">
                  <c:v>44858</c:v>
                </c:pt>
                <c:pt idx="91">
                  <c:v>44857</c:v>
                </c:pt>
                <c:pt idx="92">
                  <c:v>44856</c:v>
                </c:pt>
                <c:pt idx="93">
                  <c:v>44855</c:v>
                </c:pt>
                <c:pt idx="94">
                  <c:v>44854</c:v>
                </c:pt>
                <c:pt idx="95">
                  <c:v>44853</c:v>
                </c:pt>
                <c:pt idx="96">
                  <c:v>44852</c:v>
                </c:pt>
                <c:pt idx="97">
                  <c:v>44851</c:v>
                </c:pt>
                <c:pt idx="98">
                  <c:v>44850</c:v>
                </c:pt>
                <c:pt idx="99">
                  <c:v>44849</c:v>
                </c:pt>
                <c:pt idx="100">
                  <c:v>44848</c:v>
                </c:pt>
                <c:pt idx="101">
                  <c:v>44847</c:v>
                </c:pt>
                <c:pt idx="102">
                  <c:v>44846</c:v>
                </c:pt>
                <c:pt idx="103">
                  <c:v>44845</c:v>
                </c:pt>
                <c:pt idx="104">
                  <c:v>44844</c:v>
                </c:pt>
                <c:pt idx="105">
                  <c:v>44843</c:v>
                </c:pt>
                <c:pt idx="106">
                  <c:v>44842</c:v>
                </c:pt>
                <c:pt idx="107">
                  <c:v>44841</c:v>
                </c:pt>
                <c:pt idx="108">
                  <c:v>44840</c:v>
                </c:pt>
                <c:pt idx="109">
                  <c:v>44839</c:v>
                </c:pt>
                <c:pt idx="110">
                  <c:v>44838</c:v>
                </c:pt>
                <c:pt idx="111">
                  <c:v>44837</c:v>
                </c:pt>
                <c:pt idx="112">
                  <c:v>44836</c:v>
                </c:pt>
                <c:pt idx="113">
                  <c:v>44835</c:v>
                </c:pt>
                <c:pt idx="114">
                  <c:v>44834</c:v>
                </c:pt>
                <c:pt idx="115">
                  <c:v>44833</c:v>
                </c:pt>
                <c:pt idx="116">
                  <c:v>44832</c:v>
                </c:pt>
                <c:pt idx="117">
                  <c:v>44831</c:v>
                </c:pt>
                <c:pt idx="118">
                  <c:v>44830</c:v>
                </c:pt>
                <c:pt idx="119">
                  <c:v>44829</c:v>
                </c:pt>
                <c:pt idx="120">
                  <c:v>44828</c:v>
                </c:pt>
                <c:pt idx="121">
                  <c:v>44827</c:v>
                </c:pt>
                <c:pt idx="122">
                  <c:v>44826</c:v>
                </c:pt>
                <c:pt idx="123">
                  <c:v>44825</c:v>
                </c:pt>
                <c:pt idx="124">
                  <c:v>44824</c:v>
                </c:pt>
                <c:pt idx="125">
                  <c:v>44823</c:v>
                </c:pt>
                <c:pt idx="126">
                  <c:v>44822</c:v>
                </c:pt>
                <c:pt idx="127">
                  <c:v>44821</c:v>
                </c:pt>
                <c:pt idx="128">
                  <c:v>44820</c:v>
                </c:pt>
                <c:pt idx="129">
                  <c:v>44819</c:v>
                </c:pt>
                <c:pt idx="130">
                  <c:v>44818</c:v>
                </c:pt>
                <c:pt idx="131">
                  <c:v>44817</c:v>
                </c:pt>
                <c:pt idx="132">
                  <c:v>44816</c:v>
                </c:pt>
                <c:pt idx="133">
                  <c:v>44815</c:v>
                </c:pt>
                <c:pt idx="134">
                  <c:v>44814</c:v>
                </c:pt>
                <c:pt idx="135">
                  <c:v>44813</c:v>
                </c:pt>
                <c:pt idx="136">
                  <c:v>44812</c:v>
                </c:pt>
                <c:pt idx="137">
                  <c:v>44811</c:v>
                </c:pt>
                <c:pt idx="138">
                  <c:v>44810</c:v>
                </c:pt>
                <c:pt idx="139">
                  <c:v>44809</c:v>
                </c:pt>
                <c:pt idx="140">
                  <c:v>44808</c:v>
                </c:pt>
                <c:pt idx="141">
                  <c:v>44807</c:v>
                </c:pt>
                <c:pt idx="142">
                  <c:v>44806</c:v>
                </c:pt>
                <c:pt idx="143">
                  <c:v>44805</c:v>
                </c:pt>
                <c:pt idx="144">
                  <c:v>44804</c:v>
                </c:pt>
                <c:pt idx="145">
                  <c:v>44803</c:v>
                </c:pt>
                <c:pt idx="146">
                  <c:v>44802</c:v>
                </c:pt>
                <c:pt idx="147">
                  <c:v>44801</c:v>
                </c:pt>
                <c:pt idx="148">
                  <c:v>44800</c:v>
                </c:pt>
                <c:pt idx="149">
                  <c:v>44799</c:v>
                </c:pt>
                <c:pt idx="150">
                  <c:v>44798</c:v>
                </c:pt>
                <c:pt idx="151">
                  <c:v>44797</c:v>
                </c:pt>
                <c:pt idx="152">
                  <c:v>44796</c:v>
                </c:pt>
                <c:pt idx="153">
                  <c:v>44795</c:v>
                </c:pt>
                <c:pt idx="154">
                  <c:v>44794</c:v>
                </c:pt>
                <c:pt idx="155">
                  <c:v>44793</c:v>
                </c:pt>
                <c:pt idx="156">
                  <c:v>44792</c:v>
                </c:pt>
                <c:pt idx="157">
                  <c:v>44791</c:v>
                </c:pt>
                <c:pt idx="158">
                  <c:v>44790</c:v>
                </c:pt>
                <c:pt idx="159">
                  <c:v>44789</c:v>
                </c:pt>
                <c:pt idx="160">
                  <c:v>44788</c:v>
                </c:pt>
                <c:pt idx="161">
                  <c:v>44787</c:v>
                </c:pt>
                <c:pt idx="162">
                  <c:v>44786</c:v>
                </c:pt>
                <c:pt idx="163">
                  <c:v>44785</c:v>
                </c:pt>
                <c:pt idx="164">
                  <c:v>44784</c:v>
                </c:pt>
                <c:pt idx="165">
                  <c:v>44783</c:v>
                </c:pt>
                <c:pt idx="166">
                  <c:v>44782</c:v>
                </c:pt>
                <c:pt idx="167">
                  <c:v>44781</c:v>
                </c:pt>
                <c:pt idx="168">
                  <c:v>44780</c:v>
                </c:pt>
                <c:pt idx="169">
                  <c:v>44779</c:v>
                </c:pt>
                <c:pt idx="170">
                  <c:v>44778</c:v>
                </c:pt>
                <c:pt idx="171">
                  <c:v>44777</c:v>
                </c:pt>
                <c:pt idx="172">
                  <c:v>44776</c:v>
                </c:pt>
                <c:pt idx="173">
                  <c:v>44775</c:v>
                </c:pt>
                <c:pt idx="174">
                  <c:v>44774</c:v>
                </c:pt>
                <c:pt idx="175">
                  <c:v>44773</c:v>
                </c:pt>
                <c:pt idx="176">
                  <c:v>44772</c:v>
                </c:pt>
                <c:pt idx="177">
                  <c:v>44771</c:v>
                </c:pt>
                <c:pt idx="178">
                  <c:v>44770</c:v>
                </c:pt>
                <c:pt idx="179">
                  <c:v>44769</c:v>
                </c:pt>
                <c:pt idx="180">
                  <c:v>44768</c:v>
                </c:pt>
                <c:pt idx="181">
                  <c:v>44767</c:v>
                </c:pt>
                <c:pt idx="182">
                  <c:v>44766</c:v>
                </c:pt>
                <c:pt idx="183">
                  <c:v>44765</c:v>
                </c:pt>
                <c:pt idx="184">
                  <c:v>44764</c:v>
                </c:pt>
                <c:pt idx="185">
                  <c:v>44763</c:v>
                </c:pt>
                <c:pt idx="186">
                  <c:v>44762</c:v>
                </c:pt>
                <c:pt idx="187">
                  <c:v>44761</c:v>
                </c:pt>
                <c:pt idx="188">
                  <c:v>44760</c:v>
                </c:pt>
                <c:pt idx="189">
                  <c:v>44759</c:v>
                </c:pt>
                <c:pt idx="190">
                  <c:v>44758</c:v>
                </c:pt>
                <c:pt idx="191">
                  <c:v>44757</c:v>
                </c:pt>
                <c:pt idx="192">
                  <c:v>44756</c:v>
                </c:pt>
                <c:pt idx="193">
                  <c:v>44755</c:v>
                </c:pt>
                <c:pt idx="194">
                  <c:v>44754</c:v>
                </c:pt>
                <c:pt idx="195">
                  <c:v>44753</c:v>
                </c:pt>
                <c:pt idx="196">
                  <c:v>44752</c:v>
                </c:pt>
                <c:pt idx="197">
                  <c:v>44751</c:v>
                </c:pt>
                <c:pt idx="198">
                  <c:v>44750</c:v>
                </c:pt>
                <c:pt idx="199">
                  <c:v>44749</c:v>
                </c:pt>
                <c:pt idx="200">
                  <c:v>44748</c:v>
                </c:pt>
                <c:pt idx="201">
                  <c:v>44747</c:v>
                </c:pt>
                <c:pt idx="202">
                  <c:v>44746</c:v>
                </c:pt>
                <c:pt idx="203">
                  <c:v>44745</c:v>
                </c:pt>
                <c:pt idx="204">
                  <c:v>44744</c:v>
                </c:pt>
                <c:pt idx="205">
                  <c:v>44743</c:v>
                </c:pt>
                <c:pt idx="206">
                  <c:v>44742</c:v>
                </c:pt>
                <c:pt idx="207">
                  <c:v>44741</c:v>
                </c:pt>
                <c:pt idx="208">
                  <c:v>44740</c:v>
                </c:pt>
                <c:pt idx="209">
                  <c:v>44739</c:v>
                </c:pt>
                <c:pt idx="210">
                  <c:v>44738</c:v>
                </c:pt>
                <c:pt idx="211">
                  <c:v>44737</c:v>
                </c:pt>
                <c:pt idx="212">
                  <c:v>44736</c:v>
                </c:pt>
                <c:pt idx="213">
                  <c:v>44735</c:v>
                </c:pt>
                <c:pt idx="214">
                  <c:v>44734</c:v>
                </c:pt>
                <c:pt idx="215">
                  <c:v>44733</c:v>
                </c:pt>
                <c:pt idx="216">
                  <c:v>44732</c:v>
                </c:pt>
                <c:pt idx="217">
                  <c:v>44731</c:v>
                </c:pt>
                <c:pt idx="218">
                  <c:v>44730</c:v>
                </c:pt>
                <c:pt idx="219">
                  <c:v>44729</c:v>
                </c:pt>
                <c:pt idx="220">
                  <c:v>44728</c:v>
                </c:pt>
                <c:pt idx="221">
                  <c:v>44727</c:v>
                </c:pt>
                <c:pt idx="222">
                  <c:v>44726</c:v>
                </c:pt>
                <c:pt idx="223">
                  <c:v>44725</c:v>
                </c:pt>
                <c:pt idx="224">
                  <c:v>44724</c:v>
                </c:pt>
                <c:pt idx="225">
                  <c:v>44723</c:v>
                </c:pt>
                <c:pt idx="226">
                  <c:v>44722</c:v>
                </c:pt>
                <c:pt idx="227">
                  <c:v>44721</c:v>
                </c:pt>
                <c:pt idx="228">
                  <c:v>44720</c:v>
                </c:pt>
                <c:pt idx="229">
                  <c:v>44719</c:v>
                </c:pt>
                <c:pt idx="230">
                  <c:v>44718</c:v>
                </c:pt>
                <c:pt idx="231">
                  <c:v>44717</c:v>
                </c:pt>
                <c:pt idx="232">
                  <c:v>44716</c:v>
                </c:pt>
                <c:pt idx="233">
                  <c:v>44715</c:v>
                </c:pt>
                <c:pt idx="234">
                  <c:v>44714</c:v>
                </c:pt>
                <c:pt idx="235">
                  <c:v>44713</c:v>
                </c:pt>
                <c:pt idx="236">
                  <c:v>44712</c:v>
                </c:pt>
                <c:pt idx="237">
                  <c:v>44711</c:v>
                </c:pt>
                <c:pt idx="238">
                  <c:v>44710</c:v>
                </c:pt>
                <c:pt idx="239">
                  <c:v>44709</c:v>
                </c:pt>
                <c:pt idx="240">
                  <c:v>44708</c:v>
                </c:pt>
                <c:pt idx="241">
                  <c:v>44707</c:v>
                </c:pt>
                <c:pt idx="242">
                  <c:v>44706</c:v>
                </c:pt>
                <c:pt idx="243">
                  <c:v>44705</c:v>
                </c:pt>
                <c:pt idx="244">
                  <c:v>44704</c:v>
                </c:pt>
                <c:pt idx="245">
                  <c:v>44703</c:v>
                </c:pt>
                <c:pt idx="246">
                  <c:v>44702</c:v>
                </c:pt>
                <c:pt idx="247">
                  <c:v>44701</c:v>
                </c:pt>
                <c:pt idx="248">
                  <c:v>44700</c:v>
                </c:pt>
                <c:pt idx="249">
                  <c:v>44699</c:v>
                </c:pt>
                <c:pt idx="250">
                  <c:v>44698</c:v>
                </c:pt>
                <c:pt idx="251">
                  <c:v>44697</c:v>
                </c:pt>
                <c:pt idx="252">
                  <c:v>44696</c:v>
                </c:pt>
                <c:pt idx="253">
                  <c:v>44695</c:v>
                </c:pt>
                <c:pt idx="254">
                  <c:v>44694</c:v>
                </c:pt>
                <c:pt idx="255">
                  <c:v>44693</c:v>
                </c:pt>
                <c:pt idx="256">
                  <c:v>44692</c:v>
                </c:pt>
                <c:pt idx="257">
                  <c:v>44691</c:v>
                </c:pt>
                <c:pt idx="258">
                  <c:v>44690</c:v>
                </c:pt>
                <c:pt idx="259">
                  <c:v>44689</c:v>
                </c:pt>
                <c:pt idx="260">
                  <c:v>44688</c:v>
                </c:pt>
                <c:pt idx="261">
                  <c:v>44687</c:v>
                </c:pt>
                <c:pt idx="262">
                  <c:v>44686</c:v>
                </c:pt>
                <c:pt idx="263">
                  <c:v>44685</c:v>
                </c:pt>
                <c:pt idx="264">
                  <c:v>44684</c:v>
                </c:pt>
                <c:pt idx="265">
                  <c:v>44683</c:v>
                </c:pt>
                <c:pt idx="266">
                  <c:v>44682</c:v>
                </c:pt>
                <c:pt idx="267">
                  <c:v>44681</c:v>
                </c:pt>
                <c:pt idx="268">
                  <c:v>44680</c:v>
                </c:pt>
                <c:pt idx="269">
                  <c:v>44679</c:v>
                </c:pt>
                <c:pt idx="270">
                  <c:v>44678</c:v>
                </c:pt>
                <c:pt idx="271">
                  <c:v>44677</c:v>
                </c:pt>
                <c:pt idx="272">
                  <c:v>44676</c:v>
                </c:pt>
                <c:pt idx="273">
                  <c:v>44675</c:v>
                </c:pt>
                <c:pt idx="274">
                  <c:v>44674</c:v>
                </c:pt>
                <c:pt idx="275">
                  <c:v>44673</c:v>
                </c:pt>
                <c:pt idx="276">
                  <c:v>44672</c:v>
                </c:pt>
                <c:pt idx="277">
                  <c:v>44671</c:v>
                </c:pt>
                <c:pt idx="278">
                  <c:v>44670</c:v>
                </c:pt>
                <c:pt idx="279">
                  <c:v>44669</c:v>
                </c:pt>
                <c:pt idx="280">
                  <c:v>44668</c:v>
                </c:pt>
                <c:pt idx="281">
                  <c:v>44667</c:v>
                </c:pt>
                <c:pt idx="282">
                  <c:v>44666</c:v>
                </c:pt>
                <c:pt idx="283">
                  <c:v>44665</c:v>
                </c:pt>
                <c:pt idx="284">
                  <c:v>44664</c:v>
                </c:pt>
                <c:pt idx="285">
                  <c:v>44663</c:v>
                </c:pt>
                <c:pt idx="286">
                  <c:v>44662</c:v>
                </c:pt>
                <c:pt idx="287">
                  <c:v>44661</c:v>
                </c:pt>
                <c:pt idx="288">
                  <c:v>44660</c:v>
                </c:pt>
                <c:pt idx="289">
                  <c:v>44659</c:v>
                </c:pt>
                <c:pt idx="290">
                  <c:v>44658</c:v>
                </c:pt>
                <c:pt idx="291">
                  <c:v>44657</c:v>
                </c:pt>
                <c:pt idx="292">
                  <c:v>44656</c:v>
                </c:pt>
                <c:pt idx="293">
                  <c:v>44655</c:v>
                </c:pt>
                <c:pt idx="294">
                  <c:v>44654</c:v>
                </c:pt>
                <c:pt idx="295">
                  <c:v>44653</c:v>
                </c:pt>
                <c:pt idx="296">
                  <c:v>44652</c:v>
                </c:pt>
                <c:pt idx="297">
                  <c:v>44651</c:v>
                </c:pt>
                <c:pt idx="298">
                  <c:v>44650</c:v>
                </c:pt>
                <c:pt idx="299">
                  <c:v>44649</c:v>
                </c:pt>
                <c:pt idx="300">
                  <c:v>44648</c:v>
                </c:pt>
                <c:pt idx="301">
                  <c:v>44647</c:v>
                </c:pt>
                <c:pt idx="302">
                  <c:v>44646</c:v>
                </c:pt>
                <c:pt idx="303">
                  <c:v>44645</c:v>
                </c:pt>
                <c:pt idx="304">
                  <c:v>44644</c:v>
                </c:pt>
                <c:pt idx="305">
                  <c:v>44643</c:v>
                </c:pt>
                <c:pt idx="306">
                  <c:v>44642</c:v>
                </c:pt>
                <c:pt idx="307">
                  <c:v>44641</c:v>
                </c:pt>
                <c:pt idx="308">
                  <c:v>44640</c:v>
                </c:pt>
                <c:pt idx="309">
                  <c:v>44639</c:v>
                </c:pt>
                <c:pt idx="310">
                  <c:v>44638</c:v>
                </c:pt>
                <c:pt idx="311">
                  <c:v>44637</c:v>
                </c:pt>
                <c:pt idx="312">
                  <c:v>44636</c:v>
                </c:pt>
                <c:pt idx="313">
                  <c:v>44635</c:v>
                </c:pt>
                <c:pt idx="314">
                  <c:v>44634</c:v>
                </c:pt>
                <c:pt idx="315">
                  <c:v>44633</c:v>
                </c:pt>
                <c:pt idx="316">
                  <c:v>44632</c:v>
                </c:pt>
                <c:pt idx="317">
                  <c:v>44631</c:v>
                </c:pt>
                <c:pt idx="318">
                  <c:v>44630</c:v>
                </c:pt>
                <c:pt idx="319">
                  <c:v>44629</c:v>
                </c:pt>
                <c:pt idx="320">
                  <c:v>44628</c:v>
                </c:pt>
                <c:pt idx="321">
                  <c:v>44627</c:v>
                </c:pt>
                <c:pt idx="322">
                  <c:v>44626</c:v>
                </c:pt>
                <c:pt idx="323">
                  <c:v>44625</c:v>
                </c:pt>
                <c:pt idx="324">
                  <c:v>44624</c:v>
                </c:pt>
                <c:pt idx="325">
                  <c:v>44623</c:v>
                </c:pt>
                <c:pt idx="326">
                  <c:v>44622</c:v>
                </c:pt>
                <c:pt idx="327">
                  <c:v>44621</c:v>
                </c:pt>
                <c:pt idx="328">
                  <c:v>44620</c:v>
                </c:pt>
                <c:pt idx="329">
                  <c:v>44619</c:v>
                </c:pt>
                <c:pt idx="330">
                  <c:v>44618</c:v>
                </c:pt>
                <c:pt idx="331">
                  <c:v>44617</c:v>
                </c:pt>
                <c:pt idx="332">
                  <c:v>44616</c:v>
                </c:pt>
                <c:pt idx="333">
                  <c:v>44615</c:v>
                </c:pt>
                <c:pt idx="334">
                  <c:v>44614</c:v>
                </c:pt>
                <c:pt idx="335">
                  <c:v>44613</c:v>
                </c:pt>
                <c:pt idx="336">
                  <c:v>44612</c:v>
                </c:pt>
                <c:pt idx="337">
                  <c:v>44611</c:v>
                </c:pt>
                <c:pt idx="338">
                  <c:v>44610</c:v>
                </c:pt>
                <c:pt idx="339">
                  <c:v>44609</c:v>
                </c:pt>
                <c:pt idx="340">
                  <c:v>44608</c:v>
                </c:pt>
                <c:pt idx="341">
                  <c:v>44607</c:v>
                </c:pt>
                <c:pt idx="342">
                  <c:v>44606</c:v>
                </c:pt>
                <c:pt idx="343">
                  <c:v>44605</c:v>
                </c:pt>
                <c:pt idx="344">
                  <c:v>44604</c:v>
                </c:pt>
                <c:pt idx="345">
                  <c:v>44603</c:v>
                </c:pt>
                <c:pt idx="346">
                  <c:v>44602</c:v>
                </c:pt>
                <c:pt idx="347">
                  <c:v>44601</c:v>
                </c:pt>
                <c:pt idx="348">
                  <c:v>44600</c:v>
                </c:pt>
                <c:pt idx="349">
                  <c:v>44599</c:v>
                </c:pt>
                <c:pt idx="350">
                  <c:v>44598</c:v>
                </c:pt>
                <c:pt idx="351">
                  <c:v>44597</c:v>
                </c:pt>
                <c:pt idx="352">
                  <c:v>44596</c:v>
                </c:pt>
                <c:pt idx="353">
                  <c:v>44595</c:v>
                </c:pt>
                <c:pt idx="354">
                  <c:v>44594</c:v>
                </c:pt>
                <c:pt idx="355">
                  <c:v>44593</c:v>
                </c:pt>
                <c:pt idx="356">
                  <c:v>44592</c:v>
                </c:pt>
                <c:pt idx="357">
                  <c:v>44591</c:v>
                </c:pt>
                <c:pt idx="358">
                  <c:v>44590</c:v>
                </c:pt>
                <c:pt idx="359">
                  <c:v>44589</c:v>
                </c:pt>
                <c:pt idx="360">
                  <c:v>44588</c:v>
                </c:pt>
                <c:pt idx="361">
                  <c:v>44587</c:v>
                </c:pt>
                <c:pt idx="362">
                  <c:v>44586</c:v>
                </c:pt>
              </c:numCache>
            </c:numRef>
          </c:cat>
          <c:val>
            <c:numRef>
              <c:f>글로벌금융시장동향!$AJ$10:$AJ$376</c:f>
              <c:numCache>
                <c:formatCode>General</c:formatCode>
                <c:ptCount val="365"/>
                <c:pt idx="0">
                  <c:v>13.625999999999999</c:v>
                </c:pt>
                <c:pt idx="1">
                  <c:v>14.861000000000001</c:v>
                </c:pt>
                <c:pt idx="2">
                  <c:v>15.887</c:v>
                </c:pt>
                <c:pt idx="3">
                  <c:v>15.887</c:v>
                </c:pt>
                <c:pt idx="4">
                  <c:v>15.887</c:v>
                </c:pt>
                <c:pt idx="5">
                  <c:v>15.419</c:v>
                </c:pt>
                <c:pt idx="6">
                  <c:v>13.821</c:v>
                </c:pt>
                <c:pt idx="7">
                  <c:v>18.606999999999999</c:v>
                </c:pt>
                <c:pt idx="8">
                  <c:v>18.260999999999999</c:v>
                </c:pt>
                <c:pt idx="9">
                  <c:v>18.033000000000001</c:v>
                </c:pt>
                <c:pt idx="10">
                  <c:v>18.033000000000001</c:v>
                </c:pt>
                <c:pt idx="11">
                  <c:v>18.033000000000001</c:v>
                </c:pt>
                <c:pt idx="12">
                  <c:v>23.341000000000001</c:v>
                </c:pt>
                <c:pt idx="13">
                  <c:v>13.52</c:v>
                </c:pt>
                <c:pt idx="14">
                  <c:v>18.245999999999999</c:v>
                </c:pt>
                <c:pt idx="15">
                  <c:v>16.527000000000001</c:v>
                </c:pt>
                <c:pt idx="16">
                  <c:v>19.456</c:v>
                </c:pt>
                <c:pt idx="17">
                  <c:v>19.456</c:v>
                </c:pt>
                <c:pt idx="18">
                  <c:v>19.456</c:v>
                </c:pt>
                <c:pt idx="19">
                  <c:v>19.471</c:v>
                </c:pt>
                <c:pt idx="20">
                  <c:v>27.452999999999999</c:v>
                </c:pt>
                <c:pt idx="21">
                  <c:v>39.646000000000001</c:v>
                </c:pt>
                <c:pt idx="22">
                  <c:v>34.768999999999998</c:v>
                </c:pt>
                <c:pt idx="23">
                  <c:v>34.768999999999998</c:v>
                </c:pt>
                <c:pt idx="24">
                  <c:v>34.768999999999998</c:v>
                </c:pt>
                <c:pt idx="25">
                  <c:v>34.768999999999998</c:v>
                </c:pt>
                <c:pt idx="26">
                  <c:v>33.985999999999997</c:v>
                </c:pt>
                <c:pt idx="27">
                  <c:v>27.376000000000001</c:v>
                </c:pt>
                <c:pt idx="28">
                  <c:v>42.143000000000001</c:v>
                </c:pt>
                <c:pt idx="29">
                  <c:v>40.533000000000001</c:v>
                </c:pt>
                <c:pt idx="30">
                  <c:v>40.533000000000001</c:v>
                </c:pt>
                <c:pt idx="31">
                  <c:v>40.533000000000001</c:v>
                </c:pt>
                <c:pt idx="32">
                  <c:v>40.533000000000001</c:v>
                </c:pt>
                <c:pt idx="33">
                  <c:v>39.036000000000001</c:v>
                </c:pt>
                <c:pt idx="34">
                  <c:v>38.979999999999997</c:v>
                </c:pt>
                <c:pt idx="35">
                  <c:v>44.406999999999996</c:v>
                </c:pt>
                <c:pt idx="36">
                  <c:v>47.168999999999997</c:v>
                </c:pt>
                <c:pt idx="37">
                  <c:v>44.506</c:v>
                </c:pt>
                <c:pt idx="38">
                  <c:v>44.506</c:v>
                </c:pt>
                <c:pt idx="39">
                  <c:v>44.506</c:v>
                </c:pt>
                <c:pt idx="40">
                  <c:v>41.460999999999999</c:v>
                </c:pt>
                <c:pt idx="41">
                  <c:v>40.228999999999999</c:v>
                </c:pt>
                <c:pt idx="42">
                  <c:v>43.71</c:v>
                </c:pt>
                <c:pt idx="43">
                  <c:v>46.790999999999997</c:v>
                </c:pt>
                <c:pt idx="44">
                  <c:v>42.973999999999997</c:v>
                </c:pt>
                <c:pt idx="45">
                  <c:v>42.973999999999997</c:v>
                </c:pt>
                <c:pt idx="46">
                  <c:v>42.973999999999997</c:v>
                </c:pt>
                <c:pt idx="47">
                  <c:v>46.134</c:v>
                </c:pt>
                <c:pt idx="48">
                  <c:v>41.802999999999997</c:v>
                </c:pt>
                <c:pt idx="49">
                  <c:v>42.573</c:v>
                </c:pt>
                <c:pt idx="50">
                  <c:v>42.656999999999996</c:v>
                </c:pt>
                <c:pt idx="51">
                  <c:v>42.656999999999996</c:v>
                </c:pt>
                <c:pt idx="52">
                  <c:v>42.656999999999996</c:v>
                </c:pt>
                <c:pt idx="53">
                  <c:v>43.67</c:v>
                </c:pt>
                <c:pt idx="54">
                  <c:v>41.076999999999998</c:v>
                </c:pt>
                <c:pt idx="55">
                  <c:v>41.826999999999998</c:v>
                </c:pt>
                <c:pt idx="56">
                  <c:v>43.076000000000001</c:v>
                </c:pt>
                <c:pt idx="57">
                  <c:v>44.216000000000001</c:v>
                </c:pt>
                <c:pt idx="58">
                  <c:v>44.216000000000001</c:v>
                </c:pt>
                <c:pt idx="59">
                  <c:v>44.216000000000001</c:v>
                </c:pt>
                <c:pt idx="60">
                  <c:v>48.869</c:v>
                </c:pt>
                <c:pt idx="61">
                  <c:v>47.969000000000001</c:v>
                </c:pt>
                <c:pt idx="62">
                  <c:v>47.701000000000001</c:v>
                </c:pt>
                <c:pt idx="63">
                  <c:v>47.826000000000001</c:v>
                </c:pt>
                <c:pt idx="64">
                  <c:v>41.456000000000003</c:v>
                </c:pt>
                <c:pt idx="65">
                  <c:v>41.456000000000003</c:v>
                </c:pt>
                <c:pt idx="66">
                  <c:v>44.692999999999998</c:v>
                </c:pt>
                <c:pt idx="67">
                  <c:v>44.789000000000001</c:v>
                </c:pt>
                <c:pt idx="68">
                  <c:v>46.430999999999997</c:v>
                </c:pt>
                <c:pt idx="69">
                  <c:v>45.276000000000003</c:v>
                </c:pt>
                <c:pt idx="70">
                  <c:v>43.603999999999999</c:v>
                </c:pt>
                <c:pt idx="71">
                  <c:v>43.603999999999999</c:v>
                </c:pt>
                <c:pt idx="72">
                  <c:v>43.603999999999999</c:v>
                </c:pt>
                <c:pt idx="73">
                  <c:v>47.960999999999999</c:v>
                </c:pt>
                <c:pt idx="74">
                  <c:v>42.95</c:v>
                </c:pt>
                <c:pt idx="75">
                  <c:v>41.17</c:v>
                </c:pt>
                <c:pt idx="76">
                  <c:v>47.298999999999999</c:v>
                </c:pt>
                <c:pt idx="77">
                  <c:v>43.709000000000003</c:v>
                </c:pt>
                <c:pt idx="78">
                  <c:v>43.709000000000003</c:v>
                </c:pt>
                <c:pt idx="79">
                  <c:v>43.709000000000003</c:v>
                </c:pt>
                <c:pt idx="80">
                  <c:v>39.366999999999997</c:v>
                </c:pt>
                <c:pt idx="81">
                  <c:v>37.262999999999998</c:v>
                </c:pt>
                <c:pt idx="82">
                  <c:v>33.121000000000002</c:v>
                </c:pt>
                <c:pt idx="83">
                  <c:v>38.628999999999998</c:v>
                </c:pt>
                <c:pt idx="84">
                  <c:v>36.247</c:v>
                </c:pt>
                <c:pt idx="85">
                  <c:v>36.247</c:v>
                </c:pt>
                <c:pt idx="86">
                  <c:v>36.247</c:v>
                </c:pt>
                <c:pt idx="87">
                  <c:v>37.771000000000001</c:v>
                </c:pt>
                <c:pt idx="88">
                  <c:v>34.926000000000002</c:v>
                </c:pt>
                <c:pt idx="89">
                  <c:v>32.01</c:v>
                </c:pt>
                <c:pt idx="90">
                  <c:v>30.966000000000001</c:v>
                </c:pt>
                <c:pt idx="91">
                  <c:v>36.402999999999999</c:v>
                </c:pt>
                <c:pt idx="92">
                  <c:v>36.402999999999999</c:v>
                </c:pt>
                <c:pt idx="93">
                  <c:v>36.402999999999999</c:v>
                </c:pt>
                <c:pt idx="94">
                  <c:v>33.927</c:v>
                </c:pt>
                <c:pt idx="95">
                  <c:v>29.177</c:v>
                </c:pt>
                <c:pt idx="96">
                  <c:v>34.167000000000002</c:v>
                </c:pt>
                <c:pt idx="97">
                  <c:v>45.716999999999999</c:v>
                </c:pt>
                <c:pt idx="98">
                  <c:v>47.811</c:v>
                </c:pt>
                <c:pt idx="99">
                  <c:v>47.811</c:v>
                </c:pt>
                <c:pt idx="100">
                  <c:v>47.811</c:v>
                </c:pt>
                <c:pt idx="101">
                  <c:v>36.764000000000003</c:v>
                </c:pt>
                <c:pt idx="102">
                  <c:v>38.926000000000002</c:v>
                </c:pt>
                <c:pt idx="103">
                  <c:v>49.911000000000001</c:v>
                </c:pt>
                <c:pt idx="104">
                  <c:v>54.401000000000003</c:v>
                </c:pt>
                <c:pt idx="105">
                  <c:v>54.401000000000003</c:v>
                </c:pt>
                <c:pt idx="106">
                  <c:v>54.401000000000003</c:v>
                </c:pt>
                <c:pt idx="107">
                  <c:v>54.401000000000003</c:v>
                </c:pt>
                <c:pt idx="108">
                  <c:v>44.170999999999999</c:v>
                </c:pt>
                <c:pt idx="109">
                  <c:v>40.74</c:v>
                </c:pt>
                <c:pt idx="110">
                  <c:v>35.350999999999999</c:v>
                </c:pt>
                <c:pt idx="111">
                  <c:v>50.459000000000003</c:v>
                </c:pt>
                <c:pt idx="112">
                  <c:v>48.750999999999998</c:v>
                </c:pt>
                <c:pt idx="113">
                  <c:v>48.750999999999998</c:v>
                </c:pt>
                <c:pt idx="114">
                  <c:v>48.750999999999998</c:v>
                </c:pt>
                <c:pt idx="115">
                  <c:v>43.366</c:v>
                </c:pt>
                <c:pt idx="116">
                  <c:v>34.393999999999998</c:v>
                </c:pt>
                <c:pt idx="117">
                  <c:v>35.006</c:v>
                </c:pt>
                <c:pt idx="118">
                  <c:v>38.945999999999998</c:v>
                </c:pt>
                <c:pt idx="119">
                  <c:v>43.593000000000004</c:v>
                </c:pt>
                <c:pt idx="120">
                  <c:v>43.593000000000004</c:v>
                </c:pt>
                <c:pt idx="121">
                  <c:v>43.593000000000004</c:v>
                </c:pt>
                <c:pt idx="122">
                  <c:v>42.743000000000002</c:v>
                </c:pt>
                <c:pt idx="123">
                  <c:v>33.555999999999997</c:v>
                </c:pt>
                <c:pt idx="124">
                  <c:v>34.341000000000001</c:v>
                </c:pt>
                <c:pt idx="125">
                  <c:v>41.679000000000002</c:v>
                </c:pt>
                <c:pt idx="126">
                  <c:v>42.168999999999997</c:v>
                </c:pt>
                <c:pt idx="127">
                  <c:v>42.168999999999997</c:v>
                </c:pt>
                <c:pt idx="128">
                  <c:v>42.168999999999997</c:v>
                </c:pt>
                <c:pt idx="129">
                  <c:v>36.723999999999997</c:v>
                </c:pt>
                <c:pt idx="130">
                  <c:v>27.693000000000001</c:v>
                </c:pt>
                <c:pt idx="131">
                  <c:v>9.0969999999999995</c:v>
                </c:pt>
                <c:pt idx="132">
                  <c:v>17.893999999999998</c:v>
                </c:pt>
                <c:pt idx="133">
                  <c:v>20.213000000000001</c:v>
                </c:pt>
                <c:pt idx="134">
                  <c:v>20.213000000000001</c:v>
                </c:pt>
                <c:pt idx="135">
                  <c:v>20.213000000000001</c:v>
                </c:pt>
                <c:pt idx="136">
                  <c:v>20.710999999999999</c:v>
                </c:pt>
                <c:pt idx="137">
                  <c:v>17.8</c:v>
                </c:pt>
                <c:pt idx="138">
                  <c:v>22.276</c:v>
                </c:pt>
                <c:pt idx="139">
                  <c:v>24.056000000000001</c:v>
                </c:pt>
                <c:pt idx="140">
                  <c:v>25.384</c:v>
                </c:pt>
                <c:pt idx="141">
                  <c:v>25.384</c:v>
                </c:pt>
                <c:pt idx="142">
                  <c:v>25.384</c:v>
                </c:pt>
                <c:pt idx="143">
                  <c:v>20.814</c:v>
                </c:pt>
                <c:pt idx="144">
                  <c:v>16.861000000000001</c:v>
                </c:pt>
                <c:pt idx="145">
                  <c:v>16.873999999999999</c:v>
                </c:pt>
                <c:pt idx="146">
                  <c:v>18.047000000000001</c:v>
                </c:pt>
                <c:pt idx="147">
                  <c:v>21.106999999999999</c:v>
                </c:pt>
                <c:pt idx="148">
                  <c:v>21.106999999999999</c:v>
                </c:pt>
                <c:pt idx="149">
                  <c:v>21.106999999999999</c:v>
                </c:pt>
                <c:pt idx="150">
                  <c:v>23.803999999999998</c:v>
                </c:pt>
                <c:pt idx="151">
                  <c:v>23.29</c:v>
                </c:pt>
                <c:pt idx="152">
                  <c:v>27.616</c:v>
                </c:pt>
                <c:pt idx="153">
                  <c:v>24.501000000000001</c:v>
                </c:pt>
                <c:pt idx="154">
                  <c:v>29.210999999999999</c:v>
                </c:pt>
                <c:pt idx="155">
                  <c:v>29.210999999999999</c:v>
                </c:pt>
                <c:pt idx="156">
                  <c:v>29.210999999999999</c:v>
                </c:pt>
                <c:pt idx="157">
                  <c:v>33.32</c:v>
                </c:pt>
                <c:pt idx="158">
                  <c:v>34.866999999999997</c:v>
                </c:pt>
                <c:pt idx="159">
                  <c:v>31.457000000000001</c:v>
                </c:pt>
                <c:pt idx="160">
                  <c:v>35.085999999999999</c:v>
                </c:pt>
                <c:pt idx="161">
                  <c:v>36.116999999999997</c:v>
                </c:pt>
                <c:pt idx="162">
                  <c:v>36.116999999999997</c:v>
                </c:pt>
                <c:pt idx="163">
                  <c:v>36.116999999999997</c:v>
                </c:pt>
                <c:pt idx="164">
                  <c:v>35.704000000000001</c:v>
                </c:pt>
                <c:pt idx="165">
                  <c:v>32.561</c:v>
                </c:pt>
                <c:pt idx="166">
                  <c:v>30.32</c:v>
                </c:pt>
                <c:pt idx="167">
                  <c:v>39.237000000000002</c:v>
                </c:pt>
                <c:pt idx="168">
                  <c:v>36.271000000000001</c:v>
                </c:pt>
                <c:pt idx="169">
                  <c:v>36.271000000000001</c:v>
                </c:pt>
                <c:pt idx="170">
                  <c:v>36.271000000000001</c:v>
                </c:pt>
                <c:pt idx="171">
                  <c:v>42.548999999999999</c:v>
                </c:pt>
                <c:pt idx="172">
                  <c:v>34.558999999999997</c:v>
                </c:pt>
                <c:pt idx="173">
                  <c:v>30.99</c:v>
                </c:pt>
                <c:pt idx="174">
                  <c:v>46.244</c:v>
                </c:pt>
                <c:pt idx="175">
                  <c:v>41.768999999999998</c:v>
                </c:pt>
                <c:pt idx="176">
                  <c:v>41.768999999999998</c:v>
                </c:pt>
                <c:pt idx="177">
                  <c:v>41.768999999999998</c:v>
                </c:pt>
                <c:pt idx="178">
                  <c:v>41.378999999999998</c:v>
                </c:pt>
                <c:pt idx="179">
                  <c:v>39.106000000000002</c:v>
                </c:pt>
                <c:pt idx="180">
                  <c:v>28.545999999999999</c:v>
                </c:pt>
                <c:pt idx="181">
                  <c:v>30.138999999999999</c:v>
                </c:pt>
                <c:pt idx="182">
                  <c:v>34.179000000000002</c:v>
                </c:pt>
                <c:pt idx="183">
                  <c:v>34.179000000000002</c:v>
                </c:pt>
                <c:pt idx="184">
                  <c:v>34.179000000000002</c:v>
                </c:pt>
                <c:pt idx="185">
                  <c:v>34.520000000000003</c:v>
                </c:pt>
                <c:pt idx="186">
                  <c:v>29.03</c:v>
                </c:pt>
                <c:pt idx="187">
                  <c:v>24.741</c:v>
                </c:pt>
                <c:pt idx="188">
                  <c:v>38.295999999999999</c:v>
                </c:pt>
                <c:pt idx="189">
                  <c:v>39.767000000000003</c:v>
                </c:pt>
                <c:pt idx="190">
                  <c:v>39.767000000000003</c:v>
                </c:pt>
                <c:pt idx="191">
                  <c:v>39.767000000000003</c:v>
                </c:pt>
                <c:pt idx="192">
                  <c:v>38.459000000000003</c:v>
                </c:pt>
                <c:pt idx="193">
                  <c:v>14.33</c:v>
                </c:pt>
                <c:pt idx="194">
                  <c:v>45.33</c:v>
                </c:pt>
                <c:pt idx="195">
                  <c:v>42.274000000000001</c:v>
                </c:pt>
                <c:pt idx="196">
                  <c:v>50.56</c:v>
                </c:pt>
                <c:pt idx="197">
                  <c:v>50.56</c:v>
                </c:pt>
                <c:pt idx="198">
                  <c:v>50.56</c:v>
                </c:pt>
                <c:pt idx="199">
                  <c:v>49.197000000000003</c:v>
                </c:pt>
                <c:pt idx="200">
                  <c:v>49.067</c:v>
                </c:pt>
                <c:pt idx="201">
                  <c:v>66.369</c:v>
                </c:pt>
                <c:pt idx="202">
                  <c:v>64.730999999999995</c:v>
                </c:pt>
                <c:pt idx="203">
                  <c:v>61.845999999999997</c:v>
                </c:pt>
                <c:pt idx="204">
                  <c:v>61.845999999999997</c:v>
                </c:pt>
                <c:pt idx="205">
                  <c:v>61.845999999999997</c:v>
                </c:pt>
                <c:pt idx="206">
                  <c:v>61.804000000000002</c:v>
                </c:pt>
                <c:pt idx="207">
                  <c:v>55.374000000000002</c:v>
                </c:pt>
                <c:pt idx="208">
                  <c:v>55.313000000000002</c:v>
                </c:pt>
                <c:pt idx="209">
                  <c:v>56.226999999999997</c:v>
                </c:pt>
                <c:pt idx="210">
                  <c:v>57.012999999999998</c:v>
                </c:pt>
                <c:pt idx="211">
                  <c:v>57.012999999999998</c:v>
                </c:pt>
                <c:pt idx="212">
                  <c:v>57.012999999999998</c:v>
                </c:pt>
                <c:pt idx="213">
                  <c:v>59.668999999999997</c:v>
                </c:pt>
                <c:pt idx="214">
                  <c:v>62.216999999999999</c:v>
                </c:pt>
                <c:pt idx="215">
                  <c:v>60.262999999999998</c:v>
                </c:pt>
                <c:pt idx="216">
                  <c:v>51.533000000000001</c:v>
                </c:pt>
                <c:pt idx="217">
                  <c:v>48.776000000000003</c:v>
                </c:pt>
                <c:pt idx="218">
                  <c:v>48.776000000000003</c:v>
                </c:pt>
                <c:pt idx="219">
                  <c:v>48.776000000000003</c:v>
                </c:pt>
                <c:pt idx="220">
                  <c:v>52.662999999999997</c:v>
                </c:pt>
                <c:pt idx="221">
                  <c:v>39.567</c:v>
                </c:pt>
                <c:pt idx="222">
                  <c:v>21.588999999999999</c:v>
                </c:pt>
                <c:pt idx="223">
                  <c:v>20.556000000000001</c:v>
                </c:pt>
                <c:pt idx="224">
                  <c:v>40.720999999999997</c:v>
                </c:pt>
                <c:pt idx="225">
                  <c:v>40.720999999999997</c:v>
                </c:pt>
                <c:pt idx="226">
                  <c:v>40.720999999999997</c:v>
                </c:pt>
                <c:pt idx="227">
                  <c:v>44.999000000000002</c:v>
                </c:pt>
                <c:pt idx="228">
                  <c:v>42.911000000000001</c:v>
                </c:pt>
                <c:pt idx="229">
                  <c:v>47.542999999999999</c:v>
                </c:pt>
                <c:pt idx="230">
                  <c:v>45.5</c:v>
                </c:pt>
                <c:pt idx="231">
                  <c:v>44.15</c:v>
                </c:pt>
                <c:pt idx="232">
                  <c:v>44.15</c:v>
                </c:pt>
                <c:pt idx="233">
                  <c:v>44.15</c:v>
                </c:pt>
                <c:pt idx="234">
                  <c:v>48.22</c:v>
                </c:pt>
                <c:pt idx="235">
                  <c:v>48.72</c:v>
                </c:pt>
                <c:pt idx="236">
                  <c:v>54.350999999999999</c:v>
                </c:pt>
                <c:pt idx="237">
                  <c:v>52.332999999999998</c:v>
                </c:pt>
                <c:pt idx="238">
                  <c:v>54.076000000000001</c:v>
                </c:pt>
                <c:pt idx="239">
                  <c:v>54.076000000000001</c:v>
                </c:pt>
                <c:pt idx="240">
                  <c:v>54.076000000000001</c:v>
                </c:pt>
                <c:pt idx="241">
                  <c:v>51.006</c:v>
                </c:pt>
                <c:pt idx="242">
                  <c:v>48.286000000000001</c:v>
                </c:pt>
                <c:pt idx="243">
                  <c:v>46.61</c:v>
                </c:pt>
                <c:pt idx="244">
                  <c:v>49.475999999999999</c:v>
                </c:pt>
                <c:pt idx="245">
                  <c:v>47.993000000000002</c:v>
                </c:pt>
                <c:pt idx="246">
                  <c:v>47.993000000000002</c:v>
                </c:pt>
                <c:pt idx="247">
                  <c:v>47.993000000000002</c:v>
                </c:pt>
                <c:pt idx="248">
                  <c:v>48.585999999999999</c:v>
                </c:pt>
                <c:pt idx="249">
                  <c:v>45.39</c:v>
                </c:pt>
                <c:pt idx="250">
                  <c:v>38.267000000000003</c:v>
                </c:pt>
                <c:pt idx="251">
                  <c:v>43.61</c:v>
                </c:pt>
                <c:pt idx="252">
                  <c:v>45.030999999999999</c:v>
                </c:pt>
                <c:pt idx="253">
                  <c:v>45.030999999999999</c:v>
                </c:pt>
                <c:pt idx="254">
                  <c:v>45.030999999999999</c:v>
                </c:pt>
                <c:pt idx="255">
                  <c:v>45.848999999999997</c:v>
                </c:pt>
                <c:pt idx="256">
                  <c:v>50.725999999999999</c:v>
                </c:pt>
                <c:pt idx="257">
                  <c:v>49.545999999999999</c:v>
                </c:pt>
                <c:pt idx="258">
                  <c:v>57.317</c:v>
                </c:pt>
                <c:pt idx="259">
                  <c:v>56.375999999999998</c:v>
                </c:pt>
                <c:pt idx="260">
                  <c:v>56.375999999999998</c:v>
                </c:pt>
                <c:pt idx="261">
                  <c:v>56.375999999999998</c:v>
                </c:pt>
                <c:pt idx="262">
                  <c:v>54.780999999999999</c:v>
                </c:pt>
                <c:pt idx="263">
                  <c:v>52.213999999999999</c:v>
                </c:pt>
                <c:pt idx="264">
                  <c:v>44.609000000000002</c:v>
                </c:pt>
                <c:pt idx="265">
                  <c:v>53.746000000000002</c:v>
                </c:pt>
                <c:pt idx="266">
                  <c:v>49.926000000000002</c:v>
                </c:pt>
                <c:pt idx="267">
                  <c:v>49.926000000000002</c:v>
                </c:pt>
                <c:pt idx="268">
                  <c:v>49.926000000000002</c:v>
                </c:pt>
                <c:pt idx="269">
                  <c:v>45.8</c:v>
                </c:pt>
                <c:pt idx="270">
                  <c:v>40.316000000000003</c:v>
                </c:pt>
                <c:pt idx="271">
                  <c:v>40.503999999999998</c:v>
                </c:pt>
                <c:pt idx="272">
                  <c:v>40.206000000000003</c:v>
                </c:pt>
                <c:pt idx="273">
                  <c:v>40.610999999999997</c:v>
                </c:pt>
                <c:pt idx="274">
                  <c:v>40.610999999999997</c:v>
                </c:pt>
                <c:pt idx="275">
                  <c:v>40.610999999999997</c:v>
                </c:pt>
                <c:pt idx="276">
                  <c:v>38.14</c:v>
                </c:pt>
                <c:pt idx="277">
                  <c:v>30.318999999999999</c:v>
                </c:pt>
                <c:pt idx="278">
                  <c:v>26.259</c:v>
                </c:pt>
                <c:pt idx="279">
                  <c:v>28.821000000000002</c:v>
                </c:pt>
                <c:pt idx="280">
                  <c:v>28.300999999999998</c:v>
                </c:pt>
                <c:pt idx="281">
                  <c:v>28.300999999999998</c:v>
                </c:pt>
                <c:pt idx="282">
                  <c:v>28.300999999999998</c:v>
                </c:pt>
                <c:pt idx="283">
                  <c:v>28.300999999999998</c:v>
                </c:pt>
                <c:pt idx="284">
                  <c:v>29.518999999999998</c:v>
                </c:pt>
                <c:pt idx="285">
                  <c:v>29.183</c:v>
                </c:pt>
                <c:pt idx="286">
                  <c:v>30.292999999999999</c:v>
                </c:pt>
                <c:pt idx="287">
                  <c:v>32.271000000000001</c:v>
                </c:pt>
                <c:pt idx="288">
                  <c:v>32.271000000000001</c:v>
                </c:pt>
                <c:pt idx="289">
                  <c:v>32.271000000000001</c:v>
                </c:pt>
                <c:pt idx="290">
                  <c:v>30.585999999999999</c:v>
                </c:pt>
                <c:pt idx="291">
                  <c:v>30.593</c:v>
                </c:pt>
                <c:pt idx="292">
                  <c:v>30.896999999999998</c:v>
                </c:pt>
                <c:pt idx="293">
                  <c:v>40.549999999999997</c:v>
                </c:pt>
                <c:pt idx="294">
                  <c:v>43.92</c:v>
                </c:pt>
                <c:pt idx="295">
                  <c:v>43.92</c:v>
                </c:pt>
                <c:pt idx="296">
                  <c:v>43.92</c:v>
                </c:pt>
                <c:pt idx="297">
                  <c:v>44.127000000000002</c:v>
                </c:pt>
                <c:pt idx="298">
                  <c:v>42.875999999999998</c:v>
                </c:pt>
                <c:pt idx="299">
                  <c:v>45.27</c:v>
                </c:pt>
                <c:pt idx="300">
                  <c:v>45.319000000000003</c:v>
                </c:pt>
                <c:pt idx="301">
                  <c:v>44.735999999999997</c:v>
                </c:pt>
                <c:pt idx="302">
                  <c:v>44.735999999999997</c:v>
                </c:pt>
                <c:pt idx="303">
                  <c:v>44.735999999999997</c:v>
                </c:pt>
                <c:pt idx="304">
                  <c:v>46.057000000000002</c:v>
                </c:pt>
                <c:pt idx="305">
                  <c:v>47.591000000000001</c:v>
                </c:pt>
                <c:pt idx="306">
                  <c:v>45.121000000000002</c:v>
                </c:pt>
                <c:pt idx="307">
                  <c:v>47.286999999999999</c:v>
                </c:pt>
                <c:pt idx="308">
                  <c:v>52.81</c:v>
                </c:pt>
                <c:pt idx="309">
                  <c:v>52.81</c:v>
                </c:pt>
                <c:pt idx="310">
                  <c:v>52.81</c:v>
                </c:pt>
                <c:pt idx="311">
                  <c:v>52.956000000000003</c:v>
                </c:pt>
                <c:pt idx="312">
                  <c:v>50.914000000000001</c:v>
                </c:pt>
                <c:pt idx="313">
                  <c:v>45.713000000000001</c:v>
                </c:pt>
                <c:pt idx="314">
                  <c:v>42.280999999999999</c:v>
                </c:pt>
                <c:pt idx="315">
                  <c:v>44.04</c:v>
                </c:pt>
                <c:pt idx="316">
                  <c:v>44.04</c:v>
                </c:pt>
                <c:pt idx="317">
                  <c:v>44.04</c:v>
                </c:pt>
                <c:pt idx="318">
                  <c:v>41.466000000000001</c:v>
                </c:pt>
                <c:pt idx="319">
                  <c:v>36.44</c:v>
                </c:pt>
                <c:pt idx="320">
                  <c:v>33.26</c:v>
                </c:pt>
                <c:pt idx="321">
                  <c:v>31.565999999999999</c:v>
                </c:pt>
                <c:pt idx="322">
                  <c:v>28.294</c:v>
                </c:pt>
                <c:pt idx="323">
                  <c:v>28.294</c:v>
                </c:pt>
                <c:pt idx="324">
                  <c:v>28.294</c:v>
                </c:pt>
                <c:pt idx="325">
                  <c:v>23.553999999999998</c:v>
                </c:pt>
                <c:pt idx="326">
                  <c:v>18.474</c:v>
                </c:pt>
                <c:pt idx="327">
                  <c:v>18.616</c:v>
                </c:pt>
                <c:pt idx="328">
                  <c:v>18.719000000000001</c:v>
                </c:pt>
                <c:pt idx="329">
                  <c:v>20.34</c:v>
                </c:pt>
                <c:pt idx="330">
                  <c:v>20.34</c:v>
                </c:pt>
                <c:pt idx="331">
                  <c:v>20.34</c:v>
                </c:pt>
                <c:pt idx="332">
                  <c:v>18.826000000000001</c:v>
                </c:pt>
                <c:pt idx="333">
                  <c:v>13.727</c:v>
                </c:pt>
                <c:pt idx="334">
                  <c:v>13.016</c:v>
                </c:pt>
                <c:pt idx="335">
                  <c:v>11.375999999999999</c:v>
                </c:pt>
                <c:pt idx="336">
                  <c:v>12.946999999999999</c:v>
                </c:pt>
                <c:pt idx="337">
                  <c:v>12.946999999999999</c:v>
                </c:pt>
                <c:pt idx="338">
                  <c:v>12.946999999999999</c:v>
                </c:pt>
                <c:pt idx="339">
                  <c:v>11.82</c:v>
                </c:pt>
                <c:pt idx="340">
                  <c:v>9.484</c:v>
                </c:pt>
                <c:pt idx="341">
                  <c:v>5.0010000000000003</c:v>
                </c:pt>
                <c:pt idx="342">
                  <c:v>4.2469999999999999</c:v>
                </c:pt>
                <c:pt idx="343">
                  <c:v>14.363</c:v>
                </c:pt>
                <c:pt idx="344">
                  <c:v>14.363</c:v>
                </c:pt>
                <c:pt idx="345">
                  <c:v>14.363</c:v>
                </c:pt>
                <c:pt idx="346">
                  <c:v>-1.3640000000000001</c:v>
                </c:pt>
                <c:pt idx="347">
                  <c:v>9.843</c:v>
                </c:pt>
                <c:pt idx="348">
                  <c:v>9.2390000000000008</c:v>
                </c:pt>
                <c:pt idx="349">
                  <c:v>13.673</c:v>
                </c:pt>
                <c:pt idx="350">
                  <c:v>10.57</c:v>
                </c:pt>
                <c:pt idx="351">
                  <c:v>10.57</c:v>
                </c:pt>
                <c:pt idx="352">
                  <c:v>10.57</c:v>
                </c:pt>
                <c:pt idx="353">
                  <c:v>10.96</c:v>
                </c:pt>
                <c:pt idx="354">
                  <c:v>11.276999999999999</c:v>
                </c:pt>
                <c:pt idx="355">
                  <c:v>10.241</c:v>
                </c:pt>
                <c:pt idx="356">
                  <c:v>8.3160000000000007</c:v>
                </c:pt>
                <c:pt idx="357">
                  <c:v>11.877000000000001</c:v>
                </c:pt>
                <c:pt idx="358">
                  <c:v>11.877000000000001</c:v>
                </c:pt>
                <c:pt idx="359">
                  <c:v>11.877000000000001</c:v>
                </c:pt>
                <c:pt idx="360">
                  <c:v>9.61</c:v>
                </c:pt>
                <c:pt idx="361">
                  <c:v>8.2270000000000003</c:v>
                </c:pt>
                <c:pt idx="362">
                  <c:v>6.9770000000000003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39104"/>
        <c:axId val="148233216"/>
      </c:barChart>
      <c:lineChart>
        <c:grouping val="standard"/>
        <c:varyColors val="0"/>
        <c:ser>
          <c:idx val="0"/>
          <c:order val="0"/>
          <c:tx>
            <c:strRef>
              <c:f>글로벌금융시장동향!$AH$8:$AH$9</c:f>
              <c:strCache>
                <c:ptCount val="1"/>
                <c:pt idx="0">
                  <c:v>T-BILL(3M) 종가</c:v>
                </c:pt>
              </c:strCache>
            </c:strRef>
          </c:tx>
          <c:spPr>
            <a:ln>
              <a:solidFill>
                <a:srgbClr val="3366FF"/>
              </a:solidFill>
            </a:ln>
          </c:spPr>
          <c:marker>
            <c:symbol val="none"/>
          </c:marker>
          <c:cat>
            <c:numRef>
              <c:f>글로벌금융시장동향!$AG$10:$AG$376</c:f>
              <c:numCache>
                <c:formatCode>m/d/yyyy</c:formatCode>
                <c:ptCount val="365"/>
                <c:pt idx="0">
                  <c:v>44950</c:v>
                </c:pt>
                <c:pt idx="1">
                  <c:v>44949</c:v>
                </c:pt>
                <c:pt idx="2">
                  <c:v>44948</c:v>
                </c:pt>
                <c:pt idx="3">
                  <c:v>44947</c:v>
                </c:pt>
                <c:pt idx="4">
                  <c:v>44946</c:v>
                </c:pt>
                <c:pt idx="5">
                  <c:v>44945</c:v>
                </c:pt>
                <c:pt idx="6">
                  <c:v>44944</c:v>
                </c:pt>
                <c:pt idx="7">
                  <c:v>44943</c:v>
                </c:pt>
                <c:pt idx="8">
                  <c:v>44942</c:v>
                </c:pt>
                <c:pt idx="9">
                  <c:v>44941</c:v>
                </c:pt>
                <c:pt idx="10">
                  <c:v>44940</c:v>
                </c:pt>
                <c:pt idx="11">
                  <c:v>44939</c:v>
                </c:pt>
                <c:pt idx="12">
                  <c:v>44938</c:v>
                </c:pt>
                <c:pt idx="13">
                  <c:v>44937</c:v>
                </c:pt>
                <c:pt idx="14">
                  <c:v>44936</c:v>
                </c:pt>
                <c:pt idx="15">
                  <c:v>44935</c:v>
                </c:pt>
                <c:pt idx="16">
                  <c:v>44934</c:v>
                </c:pt>
                <c:pt idx="17">
                  <c:v>44933</c:v>
                </c:pt>
                <c:pt idx="18">
                  <c:v>44932</c:v>
                </c:pt>
                <c:pt idx="19">
                  <c:v>44931</c:v>
                </c:pt>
                <c:pt idx="20">
                  <c:v>44930</c:v>
                </c:pt>
                <c:pt idx="21">
                  <c:v>44929</c:v>
                </c:pt>
                <c:pt idx="22">
                  <c:v>44928</c:v>
                </c:pt>
                <c:pt idx="23">
                  <c:v>44927</c:v>
                </c:pt>
                <c:pt idx="24">
                  <c:v>44926</c:v>
                </c:pt>
                <c:pt idx="25">
                  <c:v>44925</c:v>
                </c:pt>
                <c:pt idx="26">
                  <c:v>44924</c:v>
                </c:pt>
                <c:pt idx="27">
                  <c:v>44923</c:v>
                </c:pt>
                <c:pt idx="28">
                  <c:v>44922</c:v>
                </c:pt>
                <c:pt idx="29">
                  <c:v>44921</c:v>
                </c:pt>
                <c:pt idx="30">
                  <c:v>44920</c:v>
                </c:pt>
                <c:pt idx="31">
                  <c:v>44919</c:v>
                </c:pt>
                <c:pt idx="32">
                  <c:v>44918</c:v>
                </c:pt>
                <c:pt idx="33">
                  <c:v>44917</c:v>
                </c:pt>
                <c:pt idx="34">
                  <c:v>44916</c:v>
                </c:pt>
                <c:pt idx="35">
                  <c:v>44915</c:v>
                </c:pt>
                <c:pt idx="36">
                  <c:v>44914</c:v>
                </c:pt>
                <c:pt idx="37">
                  <c:v>44913</c:v>
                </c:pt>
                <c:pt idx="38">
                  <c:v>44912</c:v>
                </c:pt>
                <c:pt idx="39">
                  <c:v>44911</c:v>
                </c:pt>
                <c:pt idx="40">
                  <c:v>44910</c:v>
                </c:pt>
                <c:pt idx="41">
                  <c:v>44909</c:v>
                </c:pt>
                <c:pt idx="42">
                  <c:v>44908</c:v>
                </c:pt>
                <c:pt idx="43">
                  <c:v>44907</c:v>
                </c:pt>
                <c:pt idx="44">
                  <c:v>44906</c:v>
                </c:pt>
                <c:pt idx="45">
                  <c:v>44905</c:v>
                </c:pt>
                <c:pt idx="46">
                  <c:v>44904</c:v>
                </c:pt>
                <c:pt idx="47">
                  <c:v>44903</c:v>
                </c:pt>
                <c:pt idx="48">
                  <c:v>44902</c:v>
                </c:pt>
                <c:pt idx="49">
                  <c:v>44900</c:v>
                </c:pt>
                <c:pt idx="50">
                  <c:v>44899</c:v>
                </c:pt>
                <c:pt idx="51">
                  <c:v>44898</c:v>
                </c:pt>
                <c:pt idx="52">
                  <c:v>44897</c:v>
                </c:pt>
                <c:pt idx="53">
                  <c:v>44896</c:v>
                </c:pt>
                <c:pt idx="54">
                  <c:v>44895</c:v>
                </c:pt>
                <c:pt idx="55">
                  <c:v>44894</c:v>
                </c:pt>
                <c:pt idx="56">
                  <c:v>44893</c:v>
                </c:pt>
                <c:pt idx="57">
                  <c:v>44892</c:v>
                </c:pt>
                <c:pt idx="58">
                  <c:v>44891</c:v>
                </c:pt>
                <c:pt idx="59">
                  <c:v>44890</c:v>
                </c:pt>
                <c:pt idx="60">
                  <c:v>44889</c:v>
                </c:pt>
                <c:pt idx="61">
                  <c:v>44888</c:v>
                </c:pt>
                <c:pt idx="62">
                  <c:v>44887</c:v>
                </c:pt>
                <c:pt idx="63">
                  <c:v>44886</c:v>
                </c:pt>
                <c:pt idx="64">
                  <c:v>44884</c:v>
                </c:pt>
                <c:pt idx="65">
                  <c:v>44883</c:v>
                </c:pt>
                <c:pt idx="66">
                  <c:v>44882</c:v>
                </c:pt>
                <c:pt idx="67">
                  <c:v>44881</c:v>
                </c:pt>
                <c:pt idx="68">
                  <c:v>44880</c:v>
                </c:pt>
                <c:pt idx="69">
                  <c:v>44879</c:v>
                </c:pt>
                <c:pt idx="70">
                  <c:v>44878</c:v>
                </c:pt>
                <c:pt idx="71">
                  <c:v>44877</c:v>
                </c:pt>
                <c:pt idx="72">
                  <c:v>44876</c:v>
                </c:pt>
                <c:pt idx="73">
                  <c:v>44875</c:v>
                </c:pt>
                <c:pt idx="74">
                  <c:v>44874</c:v>
                </c:pt>
                <c:pt idx="75">
                  <c:v>44873</c:v>
                </c:pt>
                <c:pt idx="76">
                  <c:v>44872</c:v>
                </c:pt>
                <c:pt idx="77">
                  <c:v>44871</c:v>
                </c:pt>
                <c:pt idx="78">
                  <c:v>44870</c:v>
                </c:pt>
                <c:pt idx="79">
                  <c:v>44869</c:v>
                </c:pt>
                <c:pt idx="80">
                  <c:v>44868</c:v>
                </c:pt>
                <c:pt idx="81">
                  <c:v>44867</c:v>
                </c:pt>
                <c:pt idx="82">
                  <c:v>44866</c:v>
                </c:pt>
                <c:pt idx="83">
                  <c:v>44865</c:v>
                </c:pt>
                <c:pt idx="84">
                  <c:v>44864</c:v>
                </c:pt>
                <c:pt idx="85">
                  <c:v>44863</c:v>
                </c:pt>
                <c:pt idx="86">
                  <c:v>44862</c:v>
                </c:pt>
                <c:pt idx="87">
                  <c:v>44861</c:v>
                </c:pt>
                <c:pt idx="88">
                  <c:v>44860</c:v>
                </c:pt>
                <c:pt idx="89">
                  <c:v>44859</c:v>
                </c:pt>
                <c:pt idx="90">
                  <c:v>44858</c:v>
                </c:pt>
                <c:pt idx="91">
                  <c:v>44857</c:v>
                </c:pt>
                <c:pt idx="92">
                  <c:v>44856</c:v>
                </c:pt>
                <c:pt idx="93">
                  <c:v>44855</c:v>
                </c:pt>
                <c:pt idx="94">
                  <c:v>44854</c:v>
                </c:pt>
                <c:pt idx="95">
                  <c:v>44853</c:v>
                </c:pt>
                <c:pt idx="96">
                  <c:v>44852</c:v>
                </c:pt>
                <c:pt idx="97">
                  <c:v>44851</c:v>
                </c:pt>
                <c:pt idx="98">
                  <c:v>44850</c:v>
                </c:pt>
                <c:pt idx="99">
                  <c:v>44849</c:v>
                </c:pt>
                <c:pt idx="100">
                  <c:v>44848</c:v>
                </c:pt>
                <c:pt idx="101">
                  <c:v>44847</c:v>
                </c:pt>
                <c:pt idx="102">
                  <c:v>44846</c:v>
                </c:pt>
                <c:pt idx="103">
                  <c:v>44845</c:v>
                </c:pt>
                <c:pt idx="104">
                  <c:v>44844</c:v>
                </c:pt>
                <c:pt idx="105">
                  <c:v>44843</c:v>
                </c:pt>
                <c:pt idx="106">
                  <c:v>44842</c:v>
                </c:pt>
                <c:pt idx="107">
                  <c:v>44841</c:v>
                </c:pt>
                <c:pt idx="108">
                  <c:v>44840</c:v>
                </c:pt>
                <c:pt idx="109">
                  <c:v>44839</c:v>
                </c:pt>
                <c:pt idx="110">
                  <c:v>44838</c:v>
                </c:pt>
                <c:pt idx="111">
                  <c:v>44837</c:v>
                </c:pt>
                <c:pt idx="112">
                  <c:v>44836</c:v>
                </c:pt>
                <c:pt idx="113">
                  <c:v>44835</c:v>
                </c:pt>
                <c:pt idx="114">
                  <c:v>44834</c:v>
                </c:pt>
                <c:pt idx="115">
                  <c:v>44833</c:v>
                </c:pt>
                <c:pt idx="116">
                  <c:v>44832</c:v>
                </c:pt>
                <c:pt idx="117">
                  <c:v>44831</c:v>
                </c:pt>
                <c:pt idx="118">
                  <c:v>44830</c:v>
                </c:pt>
                <c:pt idx="119">
                  <c:v>44829</c:v>
                </c:pt>
                <c:pt idx="120">
                  <c:v>44828</c:v>
                </c:pt>
                <c:pt idx="121">
                  <c:v>44827</c:v>
                </c:pt>
                <c:pt idx="122">
                  <c:v>44826</c:v>
                </c:pt>
                <c:pt idx="123">
                  <c:v>44825</c:v>
                </c:pt>
                <c:pt idx="124">
                  <c:v>44824</c:v>
                </c:pt>
                <c:pt idx="125">
                  <c:v>44823</c:v>
                </c:pt>
                <c:pt idx="126">
                  <c:v>44822</c:v>
                </c:pt>
                <c:pt idx="127">
                  <c:v>44821</c:v>
                </c:pt>
                <c:pt idx="128">
                  <c:v>44820</c:v>
                </c:pt>
                <c:pt idx="129">
                  <c:v>44819</c:v>
                </c:pt>
                <c:pt idx="130">
                  <c:v>44818</c:v>
                </c:pt>
                <c:pt idx="131">
                  <c:v>44817</c:v>
                </c:pt>
                <c:pt idx="132">
                  <c:v>44816</c:v>
                </c:pt>
                <c:pt idx="133">
                  <c:v>44815</c:v>
                </c:pt>
                <c:pt idx="134">
                  <c:v>44814</c:v>
                </c:pt>
                <c:pt idx="135">
                  <c:v>44813</c:v>
                </c:pt>
                <c:pt idx="136">
                  <c:v>44812</c:v>
                </c:pt>
                <c:pt idx="137">
                  <c:v>44811</c:v>
                </c:pt>
                <c:pt idx="138">
                  <c:v>44810</c:v>
                </c:pt>
                <c:pt idx="139">
                  <c:v>44809</c:v>
                </c:pt>
                <c:pt idx="140">
                  <c:v>44808</c:v>
                </c:pt>
                <c:pt idx="141">
                  <c:v>44807</c:v>
                </c:pt>
                <c:pt idx="142">
                  <c:v>44806</c:v>
                </c:pt>
                <c:pt idx="143">
                  <c:v>44805</c:v>
                </c:pt>
                <c:pt idx="144">
                  <c:v>44804</c:v>
                </c:pt>
                <c:pt idx="145">
                  <c:v>44803</c:v>
                </c:pt>
                <c:pt idx="146">
                  <c:v>44802</c:v>
                </c:pt>
                <c:pt idx="147">
                  <c:v>44801</c:v>
                </c:pt>
                <c:pt idx="148">
                  <c:v>44800</c:v>
                </c:pt>
                <c:pt idx="149">
                  <c:v>44799</c:v>
                </c:pt>
                <c:pt idx="150">
                  <c:v>44798</c:v>
                </c:pt>
                <c:pt idx="151">
                  <c:v>44797</c:v>
                </c:pt>
                <c:pt idx="152">
                  <c:v>44796</c:v>
                </c:pt>
                <c:pt idx="153">
                  <c:v>44795</c:v>
                </c:pt>
                <c:pt idx="154">
                  <c:v>44794</c:v>
                </c:pt>
                <c:pt idx="155">
                  <c:v>44793</c:v>
                </c:pt>
                <c:pt idx="156">
                  <c:v>44792</c:v>
                </c:pt>
                <c:pt idx="157">
                  <c:v>44791</c:v>
                </c:pt>
                <c:pt idx="158">
                  <c:v>44790</c:v>
                </c:pt>
                <c:pt idx="159">
                  <c:v>44789</c:v>
                </c:pt>
                <c:pt idx="160">
                  <c:v>44788</c:v>
                </c:pt>
                <c:pt idx="161">
                  <c:v>44787</c:v>
                </c:pt>
                <c:pt idx="162">
                  <c:v>44786</c:v>
                </c:pt>
                <c:pt idx="163">
                  <c:v>44785</c:v>
                </c:pt>
                <c:pt idx="164">
                  <c:v>44784</c:v>
                </c:pt>
                <c:pt idx="165">
                  <c:v>44783</c:v>
                </c:pt>
                <c:pt idx="166">
                  <c:v>44782</c:v>
                </c:pt>
                <c:pt idx="167">
                  <c:v>44781</c:v>
                </c:pt>
                <c:pt idx="168">
                  <c:v>44780</c:v>
                </c:pt>
                <c:pt idx="169">
                  <c:v>44779</c:v>
                </c:pt>
                <c:pt idx="170">
                  <c:v>44778</c:v>
                </c:pt>
                <c:pt idx="171">
                  <c:v>44777</c:v>
                </c:pt>
                <c:pt idx="172">
                  <c:v>44776</c:v>
                </c:pt>
                <c:pt idx="173">
                  <c:v>44775</c:v>
                </c:pt>
                <c:pt idx="174">
                  <c:v>44774</c:v>
                </c:pt>
                <c:pt idx="175">
                  <c:v>44773</c:v>
                </c:pt>
                <c:pt idx="176">
                  <c:v>44772</c:v>
                </c:pt>
                <c:pt idx="177">
                  <c:v>44771</c:v>
                </c:pt>
                <c:pt idx="178">
                  <c:v>44770</c:v>
                </c:pt>
                <c:pt idx="179">
                  <c:v>44769</c:v>
                </c:pt>
                <c:pt idx="180">
                  <c:v>44768</c:v>
                </c:pt>
                <c:pt idx="181">
                  <c:v>44767</c:v>
                </c:pt>
                <c:pt idx="182">
                  <c:v>44766</c:v>
                </c:pt>
                <c:pt idx="183">
                  <c:v>44765</c:v>
                </c:pt>
                <c:pt idx="184">
                  <c:v>44764</c:v>
                </c:pt>
                <c:pt idx="185">
                  <c:v>44763</c:v>
                </c:pt>
                <c:pt idx="186">
                  <c:v>44762</c:v>
                </c:pt>
                <c:pt idx="187">
                  <c:v>44761</c:v>
                </c:pt>
                <c:pt idx="188">
                  <c:v>44760</c:v>
                </c:pt>
                <c:pt idx="189">
                  <c:v>44759</c:v>
                </c:pt>
                <c:pt idx="190">
                  <c:v>44758</c:v>
                </c:pt>
                <c:pt idx="191">
                  <c:v>44757</c:v>
                </c:pt>
                <c:pt idx="192">
                  <c:v>44756</c:v>
                </c:pt>
                <c:pt idx="193">
                  <c:v>44755</c:v>
                </c:pt>
                <c:pt idx="194">
                  <c:v>44754</c:v>
                </c:pt>
                <c:pt idx="195">
                  <c:v>44753</c:v>
                </c:pt>
                <c:pt idx="196">
                  <c:v>44752</c:v>
                </c:pt>
                <c:pt idx="197">
                  <c:v>44751</c:v>
                </c:pt>
                <c:pt idx="198">
                  <c:v>44750</c:v>
                </c:pt>
                <c:pt idx="199">
                  <c:v>44749</c:v>
                </c:pt>
                <c:pt idx="200">
                  <c:v>44748</c:v>
                </c:pt>
                <c:pt idx="201">
                  <c:v>44747</c:v>
                </c:pt>
                <c:pt idx="202">
                  <c:v>44746</c:v>
                </c:pt>
                <c:pt idx="203">
                  <c:v>44745</c:v>
                </c:pt>
                <c:pt idx="204">
                  <c:v>44744</c:v>
                </c:pt>
                <c:pt idx="205">
                  <c:v>44743</c:v>
                </c:pt>
                <c:pt idx="206">
                  <c:v>44742</c:v>
                </c:pt>
                <c:pt idx="207">
                  <c:v>44741</c:v>
                </c:pt>
                <c:pt idx="208">
                  <c:v>44740</c:v>
                </c:pt>
                <c:pt idx="209">
                  <c:v>44739</c:v>
                </c:pt>
                <c:pt idx="210">
                  <c:v>44738</c:v>
                </c:pt>
                <c:pt idx="211">
                  <c:v>44737</c:v>
                </c:pt>
                <c:pt idx="212">
                  <c:v>44736</c:v>
                </c:pt>
                <c:pt idx="213">
                  <c:v>44735</c:v>
                </c:pt>
                <c:pt idx="214">
                  <c:v>44734</c:v>
                </c:pt>
                <c:pt idx="215">
                  <c:v>44733</c:v>
                </c:pt>
                <c:pt idx="216">
                  <c:v>44732</c:v>
                </c:pt>
                <c:pt idx="217">
                  <c:v>44731</c:v>
                </c:pt>
                <c:pt idx="218">
                  <c:v>44730</c:v>
                </c:pt>
                <c:pt idx="219">
                  <c:v>44729</c:v>
                </c:pt>
                <c:pt idx="220">
                  <c:v>44728</c:v>
                </c:pt>
                <c:pt idx="221">
                  <c:v>44727</c:v>
                </c:pt>
                <c:pt idx="222">
                  <c:v>44726</c:v>
                </c:pt>
                <c:pt idx="223">
                  <c:v>44725</c:v>
                </c:pt>
                <c:pt idx="224">
                  <c:v>44724</c:v>
                </c:pt>
                <c:pt idx="225">
                  <c:v>44723</c:v>
                </c:pt>
                <c:pt idx="226">
                  <c:v>44722</c:v>
                </c:pt>
                <c:pt idx="227">
                  <c:v>44721</c:v>
                </c:pt>
                <c:pt idx="228">
                  <c:v>44720</c:v>
                </c:pt>
                <c:pt idx="229">
                  <c:v>44719</c:v>
                </c:pt>
                <c:pt idx="230">
                  <c:v>44718</c:v>
                </c:pt>
                <c:pt idx="231">
                  <c:v>44717</c:v>
                </c:pt>
                <c:pt idx="232">
                  <c:v>44716</c:v>
                </c:pt>
                <c:pt idx="233">
                  <c:v>44715</c:v>
                </c:pt>
                <c:pt idx="234">
                  <c:v>44714</c:v>
                </c:pt>
                <c:pt idx="235">
                  <c:v>44713</c:v>
                </c:pt>
                <c:pt idx="236">
                  <c:v>44712</c:v>
                </c:pt>
                <c:pt idx="237">
                  <c:v>44711</c:v>
                </c:pt>
                <c:pt idx="238">
                  <c:v>44710</c:v>
                </c:pt>
                <c:pt idx="239">
                  <c:v>44709</c:v>
                </c:pt>
                <c:pt idx="240">
                  <c:v>44708</c:v>
                </c:pt>
                <c:pt idx="241">
                  <c:v>44707</c:v>
                </c:pt>
                <c:pt idx="242">
                  <c:v>44706</c:v>
                </c:pt>
                <c:pt idx="243">
                  <c:v>44705</c:v>
                </c:pt>
                <c:pt idx="244">
                  <c:v>44704</c:v>
                </c:pt>
                <c:pt idx="245">
                  <c:v>44703</c:v>
                </c:pt>
                <c:pt idx="246">
                  <c:v>44702</c:v>
                </c:pt>
                <c:pt idx="247">
                  <c:v>44701</c:v>
                </c:pt>
                <c:pt idx="248">
                  <c:v>44700</c:v>
                </c:pt>
                <c:pt idx="249">
                  <c:v>44699</c:v>
                </c:pt>
                <c:pt idx="250">
                  <c:v>44698</c:v>
                </c:pt>
                <c:pt idx="251">
                  <c:v>44697</c:v>
                </c:pt>
                <c:pt idx="252">
                  <c:v>44696</c:v>
                </c:pt>
                <c:pt idx="253">
                  <c:v>44695</c:v>
                </c:pt>
                <c:pt idx="254">
                  <c:v>44694</c:v>
                </c:pt>
                <c:pt idx="255">
                  <c:v>44693</c:v>
                </c:pt>
                <c:pt idx="256">
                  <c:v>44692</c:v>
                </c:pt>
                <c:pt idx="257">
                  <c:v>44691</c:v>
                </c:pt>
                <c:pt idx="258">
                  <c:v>44690</c:v>
                </c:pt>
                <c:pt idx="259">
                  <c:v>44689</c:v>
                </c:pt>
                <c:pt idx="260">
                  <c:v>44688</c:v>
                </c:pt>
                <c:pt idx="261">
                  <c:v>44687</c:v>
                </c:pt>
                <c:pt idx="262">
                  <c:v>44686</c:v>
                </c:pt>
                <c:pt idx="263">
                  <c:v>44685</c:v>
                </c:pt>
                <c:pt idx="264">
                  <c:v>44684</c:v>
                </c:pt>
                <c:pt idx="265">
                  <c:v>44683</c:v>
                </c:pt>
                <c:pt idx="266">
                  <c:v>44682</c:v>
                </c:pt>
                <c:pt idx="267">
                  <c:v>44681</c:v>
                </c:pt>
                <c:pt idx="268">
                  <c:v>44680</c:v>
                </c:pt>
                <c:pt idx="269">
                  <c:v>44679</c:v>
                </c:pt>
                <c:pt idx="270">
                  <c:v>44678</c:v>
                </c:pt>
                <c:pt idx="271">
                  <c:v>44677</c:v>
                </c:pt>
                <c:pt idx="272">
                  <c:v>44676</c:v>
                </c:pt>
                <c:pt idx="273">
                  <c:v>44675</c:v>
                </c:pt>
                <c:pt idx="274">
                  <c:v>44674</c:v>
                </c:pt>
                <c:pt idx="275">
                  <c:v>44673</c:v>
                </c:pt>
                <c:pt idx="276">
                  <c:v>44672</c:v>
                </c:pt>
                <c:pt idx="277">
                  <c:v>44671</c:v>
                </c:pt>
                <c:pt idx="278">
                  <c:v>44670</c:v>
                </c:pt>
                <c:pt idx="279">
                  <c:v>44669</c:v>
                </c:pt>
                <c:pt idx="280">
                  <c:v>44668</c:v>
                </c:pt>
                <c:pt idx="281">
                  <c:v>44667</c:v>
                </c:pt>
                <c:pt idx="282">
                  <c:v>44666</c:v>
                </c:pt>
                <c:pt idx="283">
                  <c:v>44665</c:v>
                </c:pt>
                <c:pt idx="284">
                  <c:v>44664</c:v>
                </c:pt>
                <c:pt idx="285">
                  <c:v>44663</c:v>
                </c:pt>
                <c:pt idx="286">
                  <c:v>44662</c:v>
                </c:pt>
                <c:pt idx="287">
                  <c:v>44661</c:v>
                </c:pt>
                <c:pt idx="288">
                  <c:v>44660</c:v>
                </c:pt>
                <c:pt idx="289">
                  <c:v>44659</c:v>
                </c:pt>
                <c:pt idx="290">
                  <c:v>44658</c:v>
                </c:pt>
                <c:pt idx="291">
                  <c:v>44657</c:v>
                </c:pt>
                <c:pt idx="292">
                  <c:v>44656</c:v>
                </c:pt>
                <c:pt idx="293">
                  <c:v>44655</c:v>
                </c:pt>
                <c:pt idx="294">
                  <c:v>44654</c:v>
                </c:pt>
                <c:pt idx="295">
                  <c:v>44653</c:v>
                </c:pt>
                <c:pt idx="296">
                  <c:v>44652</c:v>
                </c:pt>
                <c:pt idx="297">
                  <c:v>44651</c:v>
                </c:pt>
                <c:pt idx="298">
                  <c:v>44650</c:v>
                </c:pt>
                <c:pt idx="299">
                  <c:v>44649</c:v>
                </c:pt>
                <c:pt idx="300">
                  <c:v>44648</c:v>
                </c:pt>
                <c:pt idx="301">
                  <c:v>44647</c:v>
                </c:pt>
                <c:pt idx="302">
                  <c:v>44646</c:v>
                </c:pt>
                <c:pt idx="303">
                  <c:v>44645</c:v>
                </c:pt>
                <c:pt idx="304">
                  <c:v>44644</c:v>
                </c:pt>
                <c:pt idx="305">
                  <c:v>44643</c:v>
                </c:pt>
                <c:pt idx="306">
                  <c:v>44642</c:v>
                </c:pt>
                <c:pt idx="307">
                  <c:v>44641</c:v>
                </c:pt>
                <c:pt idx="308">
                  <c:v>44640</c:v>
                </c:pt>
                <c:pt idx="309">
                  <c:v>44639</c:v>
                </c:pt>
                <c:pt idx="310">
                  <c:v>44638</c:v>
                </c:pt>
                <c:pt idx="311">
                  <c:v>44637</c:v>
                </c:pt>
                <c:pt idx="312">
                  <c:v>44636</c:v>
                </c:pt>
                <c:pt idx="313">
                  <c:v>44635</c:v>
                </c:pt>
                <c:pt idx="314">
                  <c:v>44634</c:v>
                </c:pt>
                <c:pt idx="315">
                  <c:v>44633</c:v>
                </c:pt>
                <c:pt idx="316">
                  <c:v>44632</c:v>
                </c:pt>
                <c:pt idx="317">
                  <c:v>44631</c:v>
                </c:pt>
                <c:pt idx="318">
                  <c:v>44630</c:v>
                </c:pt>
                <c:pt idx="319">
                  <c:v>44629</c:v>
                </c:pt>
                <c:pt idx="320">
                  <c:v>44628</c:v>
                </c:pt>
                <c:pt idx="321">
                  <c:v>44627</c:v>
                </c:pt>
                <c:pt idx="322">
                  <c:v>44626</c:v>
                </c:pt>
                <c:pt idx="323">
                  <c:v>44625</c:v>
                </c:pt>
                <c:pt idx="324">
                  <c:v>44624</c:v>
                </c:pt>
                <c:pt idx="325">
                  <c:v>44623</c:v>
                </c:pt>
                <c:pt idx="326">
                  <c:v>44622</c:v>
                </c:pt>
                <c:pt idx="327">
                  <c:v>44621</c:v>
                </c:pt>
                <c:pt idx="328">
                  <c:v>44620</c:v>
                </c:pt>
                <c:pt idx="329">
                  <c:v>44619</c:v>
                </c:pt>
                <c:pt idx="330">
                  <c:v>44618</c:v>
                </c:pt>
                <c:pt idx="331">
                  <c:v>44617</c:v>
                </c:pt>
                <c:pt idx="332">
                  <c:v>44616</c:v>
                </c:pt>
                <c:pt idx="333">
                  <c:v>44615</c:v>
                </c:pt>
                <c:pt idx="334">
                  <c:v>44614</c:v>
                </c:pt>
                <c:pt idx="335">
                  <c:v>44613</c:v>
                </c:pt>
                <c:pt idx="336">
                  <c:v>44612</c:v>
                </c:pt>
                <c:pt idx="337">
                  <c:v>44611</c:v>
                </c:pt>
                <c:pt idx="338">
                  <c:v>44610</c:v>
                </c:pt>
                <c:pt idx="339">
                  <c:v>44609</c:v>
                </c:pt>
                <c:pt idx="340">
                  <c:v>44608</c:v>
                </c:pt>
                <c:pt idx="341">
                  <c:v>44607</c:v>
                </c:pt>
                <c:pt idx="342">
                  <c:v>44606</c:v>
                </c:pt>
                <c:pt idx="343">
                  <c:v>44605</c:v>
                </c:pt>
                <c:pt idx="344">
                  <c:v>44604</c:v>
                </c:pt>
                <c:pt idx="345">
                  <c:v>44603</c:v>
                </c:pt>
                <c:pt idx="346">
                  <c:v>44602</c:v>
                </c:pt>
                <c:pt idx="347">
                  <c:v>44601</c:v>
                </c:pt>
                <c:pt idx="348">
                  <c:v>44600</c:v>
                </c:pt>
                <c:pt idx="349">
                  <c:v>44599</c:v>
                </c:pt>
                <c:pt idx="350">
                  <c:v>44598</c:v>
                </c:pt>
                <c:pt idx="351">
                  <c:v>44597</c:v>
                </c:pt>
                <c:pt idx="352">
                  <c:v>44596</c:v>
                </c:pt>
                <c:pt idx="353">
                  <c:v>44595</c:v>
                </c:pt>
                <c:pt idx="354">
                  <c:v>44594</c:v>
                </c:pt>
                <c:pt idx="355">
                  <c:v>44593</c:v>
                </c:pt>
                <c:pt idx="356">
                  <c:v>44592</c:v>
                </c:pt>
                <c:pt idx="357">
                  <c:v>44591</c:v>
                </c:pt>
                <c:pt idx="358">
                  <c:v>44590</c:v>
                </c:pt>
                <c:pt idx="359">
                  <c:v>44589</c:v>
                </c:pt>
                <c:pt idx="360">
                  <c:v>44588</c:v>
                </c:pt>
                <c:pt idx="361">
                  <c:v>44587</c:v>
                </c:pt>
                <c:pt idx="362">
                  <c:v>44586</c:v>
                </c:pt>
              </c:numCache>
            </c:numRef>
          </c:cat>
          <c:val>
            <c:numRef>
              <c:f>글로벌금융시장동향!$AH$10:$AH$376</c:f>
              <c:numCache>
                <c:formatCode>General</c:formatCode>
                <c:ptCount val="365"/>
                <c:pt idx="0">
                  <c:v>4.6859999999999999</c:v>
                </c:pt>
                <c:pt idx="1">
                  <c:v>4.6689999999999996</c:v>
                </c:pt>
                <c:pt idx="2">
                  <c:v>4.657</c:v>
                </c:pt>
                <c:pt idx="3">
                  <c:v>4.657</c:v>
                </c:pt>
                <c:pt idx="4">
                  <c:v>4.657</c:v>
                </c:pt>
                <c:pt idx="5">
                  <c:v>4.6609999999999996</c:v>
                </c:pt>
                <c:pt idx="6">
                  <c:v>4.67</c:v>
                </c:pt>
                <c:pt idx="7">
                  <c:v>4.6120000000000001</c:v>
                </c:pt>
                <c:pt idx="8">
                  <c:v>4.6120000000000001</c:v>
                </c:pt>
                <c:pt idx="9">
                  <c:v>4.6120000000000001</c:v>
                </c:pt>
                <c:pt idx="10">
                  <c:v>4.6120000000000001</c:v>
                </c:pt>
                <c:pt idx="11">
                  <c:v>4.6120000000000001</c:v>
                </c:pt>
                <c:pt idx="12">
                  <c:v>4.5960000000000001</c:v>
                </c:pt>
                <c:pt idx="13">
                  <c:v>4.68</c:v>
                </c:pt>
                <c:pt idx="14">
                  <c:v>4.6230000000000002</c:v>
                </c:pt>
                <c:pt idx="15">
                  <c:v>4.617</c:v>
                </c:pt>
                <c:pt idx="16">
                  <c:v>4.6150000000000002</c:v>
                </c:pt>
                <c:pt idx="17">
                  <c:v>4.6150000000000002</c:v>
                </c:pt>
                <c:pt idx="18">
                  <c:v>4.6150000000000002</c:v>
                </c:pt>
                <c:pt idx="19">
                  <c:v>4.617</c:v>
                </c:pt>
                <c:pt idx="20">
                  <c:v>4.5140000000000002</c:v>
                </c:pt>
                <c:pt idx="21">
                  <c:v>4.3849999999999998</c:v>
                </c:pt>
                <c:pt idx="22">
                  <c:v>4.42</c:v>
                </c:pt>
                <c:pt idx="23">
                  <c:v>4.42</c:v>
                </c:pt>
                <c:pt idx="24">
                  <c:v>4.42</c:v>
                </c:pt>
                <c:pt idx="25">
                  <c:v>4.42</c:v>
                </c:pt>
                <c:pt idx="26">
                  <c:v>4.4139999999999997</c:v>
                </c:pt>
                <c:pt idx="27">
                  <c:v>4.4560000000000004</c:v>
                </c:pt>
                <c:pt idx="28">
                  <c:v>4.3049999999999997</c:v>
                </c:pt>
                <c:pt idx="29">
                  <c:v>4.3209999999999997</c:v>
                </c:pt>
                <c:pt idx="30">
                  <c:v>4.3209999999999997</c:v>
                </c:pt>
                <c:pt idx="31">
                  <c:v>4.3209999999999997</c:v>
                </c:pt>
                <c:pt idx="32">
                  <c:v>4.3209999999999997</c:v>
                </c:pt>
                <c:pt idx="33">
                  <c:v>4.3339999999999996</c:v>
                </c:pt>
                <c:pt idx="34">
                  <c:v>4.3390000000000004</c:v>
                </c:pt>
                <c:pt idx="35">
                  <c:v>4.3090000000000002</c:v>
                </c:pt>
                <c:pt idx="36">
                  <c:v>4.2670000000000003</c:v>
                </c:pt>
                <c:pt idx="37">
                  <c:v>4.3010000000000002</c:v>
                </c:pt>
                <c:pt idx="38">
                  <c:v>4.3010000000000002</c:v>
                </c:pt>
                <c:pt idx="39">
                  <c:v>4.3010000000000002</c:v>
                </c:pt>
                <c:pt idx="40">
                  <c:v>4.3230000000000004</c:v>
                </c:pt>
                <c:pt idx="41">
                  <c:v>4.3339999999999996</c:v>
                </c:pt>
                <c:pt idx="42">
                  <c:v>4.3319999999999999</c:v>
                </c:pt>
                <c:pt idx="43">
                  <c:v>4.2850000000000001</c:v>
                </c:pt>
                <c:pt idx="44">
                  <c:v>4.3029999999999999</c:v>
                </c:pt>
                <c:pt idx="45">
                  <c:v>4.3029999999999999</c:v>
                </c:pt>
                <c:pt idx="46">
                  <c:v>4.3029999999999999</c:v>
                </c:pt>
                <c:pt idx="47">
                  <c:v>4.274</c:v>
                </c:pt>
                <c:pt idx="48">
                  <c:v>4.3049999999999997</c:v>
                </c:pt>
                <c:pt idx="49">
                  <c:v>4.298</c:v>
                </c:pt>
                <c:pt idx="50">
                  <c:v>4.306</c:v>
                </c:pt>
                <c:pt idx="51">
                  <c:v>4.306</c:v>
                </c:pt>
                <c:pt idx="52">
                  <c:v>4.306</c:v>
                </c:pt>
                <c:pt idx="53">
                  <c:v>4.3280000000000003</c:v>
                </c:pt>
                <c:pt idx="54">
                  <c:v>4.3680000000000003</c:v>
                </c:pt>
                <c:pt idx="55">
                  <c:v>4.3419999999999996</c:v>
                </c:pt>
                <c:pt idx="56">
                  <c:v>4.3040000000000003</c:v>
                </c:pt>
                <c:pt idx="57">
                  <c:v>4.2919999999999998</c:v>
                </c:pt>
                <c:pt idx="58">
                  <c:v>4.2919999999999998</c:v>
                </c:pt>
                <c:pt idx="59">
                  <c:v>4.2919999999999998</c:v>
                </c:pt>
                <c:pt idx="60">
                  <c:v>4.2779999999999996</c:v>
                </c:pt>
                <c:pt idx="61">
                  <c:v>4.2779999999999996</c:v>
                </c:pt>
                <c:pt idx="62">
                  <c:v>4.2220000000000004</c:v>
                </c:pt>
                <c:pt idx="63">
                  <c:v>4.2140000000000004</c:v>
                </c:pt>
                <c:pt idx="64">
                  <c:v>4.25</c:v>
                </c:pt>
                <c:pt idx="65">
                  <c:v>4.25</c:v>
                </c:pt>
                <c:pt idx="66">
                  <c:v>4.2290000000000001</c:v>
                </c:pt>
                <c:pt idx="67">
                  <c:v>4.226</c:v>
                </c:pt>
                <c:pt idx="68">
                  <c:v>4.1849999999999996</c:v>
                </c:pt>
                <c:pt idx="69">
                  <c:v>4.1909999999999998</c:v>
                </c:pt>
                <c:pt idx="70">
                  <c:v>4.17</c:v>
                </c:pt>
                <c:pt idx="71">
                  <c:v>4.17</c:v>
                </c:pt>
                <c:pt idx="72">
                  <c:v>4.17</c:v>
                </c:pt>
                <c:pt idx="73">
                  <c:v>4.17</c:v>
                </c:pt>
                <c:pt idx="74">
                  <c:v>4.2009999999999996</c:v>
                </c:pt>
                <c:pt idx="75">
                  <c:v>4.18</c:v>
                </c:pt>
                <c:pt idx="76">
                  <c:v>4.0839999999999996</c:v>
                </c:pt>
                <c:pt idx="77">
                  <c:v>4.1130000000000004</c:v>
                </c:pt>
                <c:pt idx="78">
                  <c:v>4.1130000000000004</c:v>
                </c:pt>
                <c:pt idx="79">
                  <c:v>4.1130000000000004</c:v>
                </c:pt>
                <c:pt idx="80">
                  <c:v>4.1379999999999999</c:v>
                </c:pt>
                <c:pt idx="81">
                  <c:v>4.1360000000000001</c:v>
                </c:pt>
                <c:pt idx="82">
                  <c:v>4.1289999999999996</c:v>
                </c:pt>
                <c:pt idx="83">
                  <c:v>4.0739999999999998</c:v>
                </c:pt>
                <c:pt idx="84">
                  <c:v>4.077</c:v>
                </c:pt>
                <c:pt idx="85">
                  <c:v>4.077</c:v>
                </c:pt>
                <c:pt idx="86">
                  <c:v>4.077</c:v>
                </c:pt>
                <c:pt idx="87">
                  <c:v>4.0369999999999999</c:v>
                </c:pt>
                <c:pt idx="88">
                  <c:v>4.0250000000000004</c:v>
                </c:pt>
                <c:pt idx="89">
                  <c:v>4.0380000000000003</c:v>
                </c:pt>
                <c:pt idx="90">
                  <c:v>4.0170000000000003</c:v>
                </c:pt>
                <c:pt idx="91">
                  <c:v>3.9940000000000002</c:v>
                </c:pt>
                <c:pt idx="92">
                  <c:v>3.9940000000000002</c:v>
                </c:pt>
                <c:pt idx="93">
                  <c:v>3.9940000000000002</c:v>
                </c:pt>
                <c:pt idx="94">
                  <c:v>3.9849999999999999</c:v>
                </c:pt>
                <c:pt idx="95">
                  <c:v>3.9860000000000002</c:v>
                </c:pt>
                <c:pt idx="96">
                  <c:v>3.9009999999999998</c:v>
                </c:pt>
                <c:pt idx="97">
                  <c:v>3.7690000000000001</c:v>
                </c:pt>
                <c:pt idx="98">
                  <c:v>3.7160000000000002</c:v>
                </c:pt>
                <c:pt idx="99">
                  <c:v>3.7160000000000002</c:v>
                </c:pt>
                <c:pt idx="100">
                  <c:v>3.7160000000000002</c:v>
                </c:pt>
                <c:pt idx="101">
                  <c:v>3.7120000000000002</c:v>
                </c:pt>
                <c:pt idx="102">
                  <c:v>3.6219999999999999</c:v>
                </c:pt>
                <c:pt idx="103">
                  <c:v>3.4420000000000002</c:v>
                </c:pt>
                <c:pt idx="104">
                  <c:v>3.3650000000000002</c:v>
                </c:pt>
                <c:pt idx="105">
                  <c:v>3.3650000000000002</c:v>
                </c:pt>
                <c:pt idx="106">
                  <c:v>3.3650000000000002</c:v>
                </c:pt>
                <c:pt idx="107">
                  <c:v>3.3650000000000002</c:v>
                </c:pt>
                <c:pt idx="108">
                  <c:v>3.3839999999999999</c:v>
                </c:pt>
                <c:pt idx="109">
                  <c:v>3.3769999999999998</c:v>
                </c:pt>
                <c:pt idx="110">
                  <c:v>3.387</c:v>
                </c:pt>
                <c:pt idx="111">
                  <c:v>3.2440000000000002</c:v>
                </c:pt>
                <c:pt idx="112">
                  <c:v>3.2669999999999999</c:v>
                </c:pt>
                <c:pt idx="113">
                  <c:v>3.2669999999999999</c:v>
                </c:pt>
                <c:pt idx="114">
                  <c:v>3.2669999999999999</c:v>
                </c:pt>
                <c:pt idx="115">
                  <c:v>3.3090000000000002</c:v>
                </c:pt>
                <c:pt idx="116">
                  <c:v>3.33</c:v>
                </c:pt>
                <c:pt idx="117">
                  <c:v>3.2919999999999998</c:v>
                </c:pt>
                <c:pt idx="118">
                  <c:v>3.2509999999999999</c:v>
                </c:pt>
                <c:pt idx="119">
                  <c:v>3.1930000000000001</c:v>
                </c:pt>
                <c:pt idx="120">
                  <c:v>3.1930000000000001</c:v>
                </c:pt>
                <c:pt idx="121">
                  <c:v>3.1930000000000001</c:v>
                </c:pt>
                <c:pt idx="122">
                  <c:v>3.214</c:v>
                </c:pt>
                <c:pt idx="123">
                  <c:v>3.2679999999999998</c:v>
                </c:pt>
                <c:pt idx="124">
                  <c:v>3.258</c:v>
                </c:pt>
                <c:pt idx="125">
                  <c:v>3.149</c:v>
                </c:pt>
                <c:pt idx="126">
                  <c:v>3.1440000000000001</c:v>
                </c:pt>
                <c:pt idx="127">
                  <c:v>3.1440000000000001</c:v>
                </c:pt>
                <c:pt idx="128">
                  <c:v>3.1440000000000001</c:v>
                </c:pt>
                <c:pt idx="129">
                  <c:v>3.16</c:v>
                </c:pt>
                <c:pt idx="130">
                  <c:v>3.2069999999999999</c:v>
                </c:pt>
                <c:pt idx="131">
                  <c:v>3.202</c:v>
                </c:pt>
                <c:pt idx="132">
                  <c:v>3.0910000000000002</c:v>
                </c:pt>
                <c:pt idx="133">
                  <c:v>3.0430000000000001</c:v>
                </c:pt>
                <c:pt idx="134">
                  <c:v>3.0430000000000001</c:v>
                </c:pt>
                <c:pt idx="135">
                  <c:v>3.0430000000000001</c:v>
                </c:pt>
                <c:pt idx="136">
                  <c:v>3.0289999999999999</c:v>
                </c:pt>
                <c:pt idx="137">
                  <c:v>3.016</c:v>
                </c:pt>
                <c:pt idx="138">
                  <c:v>2.9449999999999998</c:v>
                </c:pt>
                <c:pt idx="139">
                  <c:v>2.9039999999999999</c:v>
                </c:pt>
                <c:pt idx="140">
                  <c:v>2.9039999999999999</c:v>
                </c:pt>
                <c:pt idx="141">
                  <c:v>2.9039999999999999</c:v>
                </c:pt>
                <c:pt idx="142">
                  <c:v>2.9039999999999999</c:v>
                </c:pt>
                <c:pt idx="143">
                  <c:v>2.9359999999999999</c:v>
                </c:pt>
                <c:pt idx="144">
                  <c:v>2.931</c:v>
                </c:pt>
                <c:pt idx="145">
                  <c:v>2.9129999999999998</c:v>
                </c:pt>
                <c:pt idx="146">
                  <c:v>2.8889999999999998</c:v>
                </c:pt>
                <c:pt idx="147">
                  <c:v>2.859</c:v>
                </c:pt>
                <c:pt idx="148">
                  <c:v>2.859</c:v>
                </c:pt>
                <c:pt idx="149">
                  <c:v>2.859</c:v>
                </c:pt>
                <c:pt idx="150">
                  <c:v>2.8050000000000002</c:v>
                </c:pt>
                <c:pt idx="151">
                  <c:v>2.7770000000000001</c:v>
                </c:pt>
                <c:pt idx="152">
                  <c:v>2.7210000000000001</c:v>
                </c:pt>
                <c:pt idx="153">
                  <c:v>2.7349999999999999</c:v>
                </c:pt>
                <c:pt idx="154">
                  <c:v>2.6659999999999999</c:v>
                </c:pt>
                <c:pt idx="155">
                  <c:v>2.6659999999999999</c:v>
                </c:pt>
                <c:pt idx="156">
                  <c:v>2.6659999999999999</c:v>
                </c:pt>
                <c:pt idx="157">
                  <c:v>2.6509999999999998</c:v>
                </c:pt>
                <c:pt idx="158">
                  <c:v>2.6280000000000001</c:v>
                </c:pt>
                <c:pt idx="159">
                  <c:v>2.6459999999999999</c:v>
                </c:pt>
                <c:pt idx="160">
                  <c:v>2.5910000000000002</c:v>
                </c:pt>
                <c:pt idx="161">
                  <c:v>2.56</c:v>
                </c:pt>
                <c:pt idx="162">
                  <c:v>2.56</c:v>
                </c:pt>
                <c:pt idx="163">
                  <c:v>2.56</c:v>
                </c:pt>
                <c:pt idx="164">
                  <c:v>2.548</c:v>
                </c:pt>
                <c:pt idx="165">
                  <c:v>2.597</c:v>
                </c:pt>
                <c:pt idx="166">
                  <c:v>2.6179999999999999</c:v>
                </c:pt>
                <c:pt idx="167">
                  <c:v>2.5190000000000001</c:v>
                </c:pt>
                <c:pt idx="168">
                  <c:v>2.504</c:v>
                </c:pt>
                <c:pt idx="169">
                  <c:v>2.504</c:v>
                </c:pt>
                <c:pt idx="170">
                  <c:v>2.504</c:v>
                </c:pt>
                <c:pt idx="171">
                  <c:v>2.4380000000000002</c:v>
                </c:pt>
                <c:pt idx="172">
                  <c:v>2.4870000000000001</c:v>
                </c:pt>
                <c:pt idx="173">
                  <c:v>2.4969999999999999</c:v>
                </c:pt>
                <c:pt idx="174">
                  <c:v>2.34</c:v>
                </c:pt>
                <c:pt idx="175">
                  <c:v>2.371</c:v>
                </c:pt>
                <c:pt idx="176">
                  <c:v>2.371</c:v>
                </c:pt>
                <c:pt idx="177">
                  <c:v>2.371</c:v>
                </c:pt>
                <c:pt idx="178">
                  <c:v>2.3690000000000002</c:v>
                </c:pt>
                <c:pt idx="179">
                  <c:v>2.415</c:v>
                </c:pt>
                <c:pt idx="180">
                  <c:v>2.5070000000000001</c:v>
                </c:pt>
                <c:pt idx="181">
                  <c:v>2.468</c:v>
                </c:pt>
                <c:pt idx="182">
                  <c:v>2.4249999999999998</c:v>
                </c:pt>
                <c:pt idx="183">
                  <c:v>2.4249999999999998</c:v>
                </c:pt>
                <c:pt idx="184">
                  <c:v>2.4249999999999998</c:v>
                </c:pt>
                <c:pt idx="185">
                  <c:v>2.4380000000000002</c:v>
                </c:pt>
                <c:pt idx="186">
                  <c:v>2.4689999999999999</c:v>
                </c:pt>
                <c:pt idx="187">
                  <c:v>2.484</c:v>
                </c:pt>
                <c:pt idx="188">
                  <c:v>2.327</c:v>
                </c:pt>
                <c:pt idx="189">
                  <c:v>2.34</c:v>
                </c:pt>
                <c:pt idx="190">
                  <c:v>2.34</c:v>
                </c:pt>
                <c:pt idx="191">
                  <c:v>2.34</c:v>
                </c:pt>
                <c:pt idx="192">
                  <c:v>2.3559999999999999</c:v>
                </c:pt>
                <c:pt idx="193">
                  <c:v>2.3690000000000002</c:v>
                </c:pt>
                <c:pt idx="194">
                  <c:v>2.0299999999999998</c:v>
                </c:pt>
                <c:pt idx="195">
                  <c:v>2.032</c:v>
                </c:pt>
                <c:pt idx="196">
                  <c:v>1.917</c:v>
                </c:pt>
                <c:pt idx="197">
                  <c:v>1.917</c:v>
                </c:pt>
                <c:pt idx="198">
                  <c:v>1.917</c:v>
                </c:pt>
                <c:pt idx="199">
                  <c:v>1.9359999999999999</c:v>
                </c:pt>
                <c:pt idx="200">
                  <c:v>1.9</c:v>
                </c:pt>
                <c:pt idx="201">
                  <c:v>1.6850000000000001</c:v>
                </c:pt>
                <c:pt idx="202">
                  <c:v>1.6739999999999999</c:v>
                </c:pt>
                <c:pt idx="203">
                  <c:v>1.6739999999999999</c:v>
                </c:pt>
                <c:pt idx="204">
                  <c:v>1.6739999999999999</c:v>
                </c:pt>
                <c:pt idx="205">
                  <c:v>1.6739999999999999</c:v>
                </c:pt>
                <c:pt idx="206">
                  <c:v>1.667</c:v>
                </c:pt>
                <c:pt idx="207">
                  <c:v>1.7230000000000001</c:v>
                </c:pt>
                <c:pt idx="208">
                  <c:v>1.6970000000000001</c:v>
                </c:pt>
                <c:pt idx="209">
                  <c:v>1.669</c:v>
                </c:pt>
                <c:pt idx="210">
                  <c:v>1.6639999999999999</c:v>
                </c:pt>
                <c:pt idx="211">
                  <c:v>1.6639999999999999</c:v>
                </c:pt>
                <c:pt idx="212">
                  <c:v>1.6639999999999999</c:v>
                </c:pt>
                <c:pt idx="213">
                  <c:v>1.601</c:v>
                </c:pt>
                <c:pt idx="214">
                  <c:v>1.5620000000000001</c:v>
                </c:pt>
                <c:pt idx="215">
                  <c:v>1.552</c:v>
                </c:pt>
                <c:pt idx="216">
                  <c:v>1.6080000000000001</c:v>
                </c:pt>
                <c:pt idx="217">
                  <c:v>1.6080000000000001</c:v>
                </c:pt>
                <c:pt idx="218">
                  <c:v>1.6080000000000001</c:v>
                </c:pt>
                <c:pt idx="219">
                  <c:v>1.6080000000000001</c:v>
                </c:pt>
                <c:pt idx="220">
                  <c:v>1.5369999999999999</c:v>
                </c:pt>
                <c:pt idx="221">
                  <c:v>1.6339999999999999</c:v>
                </c:pt>
                <c:pt idx="222">
                  <c:v>1.7869999999999999</c:v>
                </c:pt>
                <c:pt idx="223">
                  <c:v>1.623</c:v>
                </c:pt>
                <c:pt idx="224">
                  <c:v>1.3380000000000001</c:v>
                </c:pt>
                <c:pt idx="225">
                  <c:v>1.3380000000000001</c:v>
                </c:pt>
                <c:pt idx="226">
                  <c:v>1.3380000000000001</c:v>
                </c:pt>
                <c:pt idx="227">
                  <c:v>1.2709999999999999</c:v>
                </c:pt>
                <c:pt idx="228">
                  <c:v>1.2589999999999999</c:v>
                </c:pt>
                <c:pt idx="229">
                  <c:v>1.2150000000000001</c:v>
                </c:pt>
                <c:pt idx="230">
                  <c:v>1.21</c:v>
                </c:pt>
                <c:pt idx="231">
                  <c:v>1.1850000000000001</c:v>
                </c:pt>
                <c:pt idx="232">
                  <c:v>1.1850000000000001</c:v>
                </c:pt>
                <c:pt idx="233">
                  <c:v>1.1850000000000001</c:v>
                </c:pt>
                <c:pt idx="234">
                  <c:v>1.1439999999999999</c:v>
                </c:pt>
                <c:pt idx="235">
                  <c:v>1.139</c:v>
                </c:pt>
                <c:pt idx="236">
                  <c:v>1.0669999999999999</c:v>
                </c:pt>
                <c:pt idx="237">
                  <c:v>1.0569999999999999</c:v>
                </c:pt>
                <c:pt idx="238">
                  <c:v>1.0569999999999999</c:v>
                </c:pt>
                <c:pt idx="239">
                  <c:v>1.0569999999999999</c:v>
                </c:pt>
                <c:pt idx="240">
                  <c:v>1.0569999999999999</c:v>
                </c:pt>
                <c:pt idx="241">
                  <c:v>1.0649999999999999</c:v>
                </c:pt>
                <c:pt idx="242">
                  <c:v>1.07</c:v>
                </c:pt>
                <c:pt idx="243">
                  <c:v>1.0649999999999999</c:v>
                </c:pt>
                <c:pt idx="244">
                  <c:v>1.0289999999999999</c:v>
                </c:pt>
                <c:pt idx="245">
                  <c:v>1.0269999999999999</c:v>
                </c:pt>
                <c:pt idx="246">
                  <c:v>1.0269999999999999</c:v>
                </c:pt>
                <c:pt idx="247">
                  <c:v>1.0269999999999999</c:v>
                </c:pt>
                <c:pt idx="248">
                  <c:v>1.0189999999999999</c:v>
                </c:pt>
                <c:pt idx="249">
                  <c:v>1.024</c:v>
                </c:pt>
                <c:pt idx="250">
                  <c:v>1.0649999999999999</c:v>
                </c:pt>
                <c:pt idx="251">
                  <c:v>1.0189999999999999</c:v>
                </c:pt>
                <c:pt idx="252">
                  <c:v>0.99299999999999999</c:v>
                </c:pt>
                <c:pt idx="253">
                  <c:v>0.99299999999999999</c:v>
                </c:pt>
                <c:pt idx="254">
                  <c:v>0.99299999999999999</c:v>
                </c:pt>
                <c:pt idx="255">
                  <c:v>0.95299999999999996</c:v>
                </c:pt>
                <c:pt idx="256">
                  <c:v>0.91500000000000004</c:v>
                </c:pt>
                <c:pt idx="257">
                  <c:v>0.90400000000000003</c:v>
                </c:pt>
                <c:pt idx="258">
                  <c:v>0.82499999999999996</c:v>
                </c:pt>
                <c:pt idx="259">
                  <c:v>0.83799999999999997</c:v>
                </c:pt>
                <c:pt idx="260">
                  <c:v>0.83799999999999997</c:v>
                </c:pt>
                <c:pt idx="261">
                  <c:v>0.83799999999999997</c:v>
                </c:pt>
                <c:pt idx="262">
                  <c:v>0.82299999999999995</c:v>
                </c:pt>
                <c:pt idx="263">
                  <c:v>0.88400000000000001</c:v>
                </c:pt>
                <c:pt idx="264">
                  <c:v>0.91700000000000004</c:v>
                </c:pt>
                <c:pt idx="265">
                  <c:v>0.79700000000000004</c:v>
                </c:pt>
                <c:pt idx="266">
                  <c:v>0.83599999999999997</c:v>
                </c:pt>
                <c:pt idx="267">
                  <c:v>0.83599999999999997</c:v>
                </c:pt>
                <c:pt idx="268">
                  <c:v>0.83599999999999997</c:v>
                </c:pt>
                <c:pt idx="269">
                  <c:v>0.82799999999999996</c:v>
                </c:pt>
                <c:pt idx="270">
                  <c:v>0.83599999999999997</c:v>
                </c:pt>
                <c:pt idx="271">
                  <c:v>0.83299999999999996</c:v>
                </c:pt>
                <c:pt idx="272">
                  <c:v>0.82299999999999995</c:v>
                </c:pt>
                <c:pt idx="273">
                  <c:v>0.80800000000000005</c:v>
                </c:pt>
                <c:pt idx="274">
                  <c:v>0.80800000000000005</c:v>
                </c:pt>
                <c:pt idx="275">
                  <c:v>0.80800000000000005</c:v>
                </c:pt>
                <c:pt idx="276">
                  <c:v>0.80300000000000005</c:v>
                </c:pt>
                <c:pt idx="277">
                  <c:v>0.83299999999999996</c:v>
                </c:pt>
                <c:pt idx="278">
                  <c:v>0.83599999999999997</c:v>
                </c:pt>
                <c:pt idx="279">
                  <c:v>0.77500000000000002</c:v>
                </c:pt>
                <c:pt idx="280">
                  <c:v>0.78</c:v>
                </c:pt>
                <c:pt idx="281">
                  <c:v>0.78</c:v>
                </c:pt>
                <c:pt idx="282">
                  <c:v>0.78</c:v>
                </c:pt>
                <c:pt idx="283">
                  <c:v>0.78</c:v>
                </c:pt>
                <c:pt idx="284">
                  <c:v>0.749</c:v>
                </c:pt>
                <c:pt idx="285">
                  <c:v>0.747</c:v>
                </c:pt>
                <c:pt idx="286">
                  <c:v>0.71899999999999997</c:v>
                </c:pt>
                <c:pt idx="287">
                  <c:v>0.68799999999999994</c:v>
                </c:pt>
                <c:pt idx="288">
                  <c:v>0.68799999999999994</c:v>
                </c:pt>
                <c:pt idx="289">
                  <c:v>0.68799999999999994</c:v>
                </c:pt>
                <c:pt idx="290">
                  <c:v>0.68300000000000005</c:v>
                </c:pt>
                <c:pt idx="291">
                  <c:v>0.68100000000000005</c:v>
                </c:pt>
                <c:pt idx="292">
                  <c:v>0.65800000000000003</c:v>
                </c:pt>
                <c:pt idx="293">
                  <c:v>0.56399999999999995</c:v>
                </c:pt>
                <c:pt idx="294">
                  <c:v>0.52300000000000002</c:v>
                </c:pt>
                <c:pt idx="295">
                  <c:v>0.52300000000000002</c:v>
                </c:pt>
                <c:pt idx="296">
                  <c:v>0.52300000000000002</c:v>
                </c:pt>
                <c:pt idx="297">
                  <c:v>0.52</c:v>
                </c:pt>
                <c:pt idx="298">
                  <c:v>0.53800000000000003</c:v>
                </c:pt>
                <c:pt idx="299">
                  <c:v>0.55300000000000005</c:v>
                </c:pt>
                <c:pt idx="300">
                  <c:v>0.54300000000000004</c:v>
                </c:pt>
                <c:pt idx="301">
                  <c:v>0.53600000000000003</c:v>
                </c:pt>
                <c:pt idx="302">
                  <c:v>0.53600000000000003</c:v>
                </c:pt>
                <c:pt idx="303">
                  <c:v>0.53600000000000003</c:v>
                </c:pt>
                <c:pt idx="304">
                  <c:v>0.505</c:v>
                </c:pt>
                <c:pt idx="305">
                  <c:v>0.49</c:v>
                </c:pt>
                <c:pt idx="306">
                  <c:v>0.502</c:v>
                </c:pt>
                <c:pt idx="307">
                  <c:v>0.48499999999999999</c:v>
                </c:pt>
                <c:pt idx="308">
                  <c:v>0.40600000000000003</c:v>
                </c:pt>
                <c:pt idx="309">
                  <c:v>0.40600000000000003</c:v>
                </c:pt>
                <c:pt idx="310">
                  <c:v>0.40600000000000003</c:v>
                </c:pt>
                <c:pt idx="311">
                  <c:v>0.39800000000000002</c:v>
                </c:pt>
                <c:pt idx="312">
                  <c:v>0.439</c:v>
                </c:pt>
                <c:pt idx="313">
                  <c:v>0.45900000000000002</c:v>
                </c:pt>
                <c:pt idx="314">
                  <c:v>0.46200000000000002</c:v>
                </c:pt>
                <c:pt idx="315">
                  <c:v>0.38600000000000001</c:v>
                </c:pt>
                <c:pt idx="316">
                  <c:v>0.38600000000000001</c:v>
                </c:pt>
                <c:pt idx="317">
                  <c:v>0.38600000000000001</c:v>
                </c:pt>
                <c:pt idx="318">
                  <c:v>0.38800000000000001</c:v>
                </c:pt>
                <c:pt idx="319">
                  <c:v>0.38100000000000001</c:v>
                </c:pt>
                <c:pt idx="320">
                  <c:v>0.37</c:v>
                </c:pt>
                <c:pt idx="321">
                  <c:v>0.32700000000000001</c:v>
                </c:pt>
                <c:pt idx="322">
                  <c:v>0.32700000000000001</c:v>
                </c:pt>
                <c:pt idx="323">
                  <c:v>0.32700000000000001</c:v>
                </c:pt>
                <c:pt idx="324">
                  <c:v>0.32700000000000001</c:v>
                </c:pt>
                <c:pt idx="325">
                  <c:v>0.34799999999999998</c:v>
                </c:pt>
                <c:pt idx="326">
                  <c:v>0.33700000000000002</c:v>
                </c:pt>
                <c:pt idx="327">
                  <c:v>0.32500000000000001</c:v>
                </c:pt>
                <c:pt idx="328">
                  <c:v>0.317</c:v>
                </c:pt>
                <c:pt idx="329">
                  <c:v>0.32</c:v>
                </c:pt>
                <c:pt idx="330">
                  <c:v>0.32</c:v>
                </c:pt>
                <c:pt idx="331">
                  <c:v>0.32</c:v>
                </c:pt>
                <c:pt idx="332">
                  <c:v>0.32</c:v>
                </c:pt>
                <c:pt idx="333">
                  <c:v>0.36</c:v>
                </c:pt>
                <c:pt idx="334">
                  <c:v>0.35799999999999998</c:v>
                </c:pt>
                <c:pt idx="335">
                  <c:v>0.35</c:v>
                </c:pt>
                <c:pt idx="336">
                  <c:v>0.35</c:v>
                </c:pt>
                <c:pt idx="337">
                  <c:v>0.35</c:v>
                </c:pt>
                <c:pt idx="338">
                  <c:v>0.35</c:v>
                </c:pt>
                <c:pt idx="339">
                  <c:v>0.36299999999999999</c:v>
                </c:pt>
                <c:pt idx="340">
                  <c:v>0.39300000000000002</c:v>
                </c:pt>
                <c:pt idx="341">
                  <c:v>0.41899999999999998</c:v>
                </c:pt>
                <c:pt idx="342">
                  <c:v>0.41599999999999998</c:v>
                </c:pt>
                <c:pt idx="343">
                  <c:v>0.36299999999999999</c:v>
                </c:pt>
                <c:pt idx="344">
                  <c:v>0.36299999999999999</c:v>
                </c:pt>
                <c:pt idx="345">
                  <c:v>0.36299999999999999</c:v>
                </c:pt>
                <c:pt idx="346">
                  <c:v>0.40799999999999997</c:v>
                </c:pt>
                <c:pt idx="347">
                  <c:v>0.27900000000000003</c:v>
                </c:pt>
                <c:pt idx="348">
                  <c:v>0.27400000000000002</c:v>
                </c:pt>
                <c:pt idx="349">
                  <c:v>0.22600000000000001</c:v>
                </c:pt>
                <c:pt idx="350">
                  <c:v>0.23300000000000001</c:v>
                </c:pt>
                <c:pt idx="351">
                  <c:v>0.23300000000000001</c:v>
                </c:pt>
                <c:pt idx="352">
                  <c:v>0.23300000000000001</c:v>
                </c:pt>
                <c:pt idx="353">
                  <c:v>0.20499999999999999</c:v>
                </c:pt>
                <c:pt idx="354">
                  <c:v>0.19800000000000001</c:v>
                </c:pt>
                <c:pt idx="355">
                  <c:v>0.2</c:v>
                </c:pt>
                <c:pt idx="356">
                  <c:v>0.22600000000000001</c:v>
                </c:pt>
                <c:pt idx="357">
                  <c:v>0.19800000000000001</c:v>
                </c:pt>
                <c:pt idx="358">
                  <c:v>0.19800000000000001</c:v>
                </c:pt>
                <c:pt idx="359">
                  <c:v>0.19800000000000001</c:v>
                </c:pt>
                <c:pt idx="360">
                  <c:v>0.20300000000000001</c:v>
                </c:pt>
                <c:pt idx="361">
                  <c:v>0.19500000000000001</c:v>
                </c:pt>
                <c:pt idx="362">
                  <c:v>0.19800000000000001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글로벌금융시장동향!$AI$8:$AI$9</c:f>
              <c:strCache>
                <c:ptCount val="1"/>
                <c:pt idx="0">
                  <c:v>LIBOR(3M) 금리</c:v>
                </c:pt>
              </c:strCache>
            </c:strRef>
          </c:tx>
          <c:spPr>
            <a:ln>
              <a:solidFill>
                <a:srgbClr val="FF3399"/>
              </a:solidFill>
            </a:ln>
          </c:spPr>
          <c:marker>
            <c:symbol val="none"/>
          </c:marker>
          <c:cat>
            <c:numRef>
              <c:f>글로벌금융시장동향!$AG$10:$AG$376</c:f>
              <c:numCache>
                <c:formatCode>m/d/yyyy</c:formatCode>
                <c:ptCount val="365"/>
                <c:pt idx="0">
                  <c:v>44950</c:v>
                </c:pt>
                <c:pt idx="1">
                  <c:v>44949</c:v>
                </c:pt>
                <c:pt idx="2">
                  <c:v>44948</c:v>
                </c:pt>
                <c:pt idx="3">
                  <c:v>44947</c:v>
                </c:pt>
                <c:pt idx="4">
                  <c:v>44946</c:v>
                </c:pt>
                <c:pt idx="5">
                  <c:v>44945</c:v>
                </c:pt>
                <c:pt idx="6">
                  <c:v>44944</c:v>
                </c:pt>
                <c:pt idx="7">
                  <c:v>44943</c:v>
                </c:pt>
                <c:pt idx="8">
                  <c:v>44942</c:v>
                </c:pt>
                <c:pt idx="9">
                  <c:v>44941</c:v>
                </c:pt>
                <c:pt idx="10">
                  <c:v>44940</c:v>
                </c:pt>
                <c:pt idx="11">
                  <c:v>44939</c:v>
                </c:pt>
                <c:pt idx="12">
                  <c:v>44938</c:v>
                </c:pt>
                <c:pt idx="13">
                  <c:v>44937</c:v>
                </c:pt>
                <c:pt idx="14">
                  <c:v>44936</c:v>
                </c:pt>
                <c:pt idx="15">
                  <c:v>44935</c:v>
                </c:pt>
                <c:pt idx="16">
                  <c:v>44934</c:v>
                </c:pt>
                <c:pt idx="17">
                  <c:v>44933</c:v>
                </c:pt>
                <c:pt idx="18">
                  <c:v>44932</c:v>
                </c:pt>
                <c:pt idx="19">
                  <c:v>44931</c:v>
                </c:pt>
                <c:pt idx="20">
                  <c:v>44930</c:v>
                </c:pt>
                <c:pt idx="21">
                  <c:v>44929</c:v>
                </c:pt>
                <c:pt idx="22">
                  <c:v>44928</c:v>
                </c:pt>
                <c:pt idx="23">
                  <c:v>44927</c:v>
                </c:pt>
                <c:pt idx="24">
                  <c:v>44926</c:v>
                </c:pt>
                <c:pt idx="25">
                  <c:v>44925</c:v>
                </c:pt>
                <c:pt idx="26">
                  <c:v>44924</c:v>
                </c:pt>
                <c:pt idx="27">
                  <c:v>44923</c:v>
                </c:pt>
                <c:pt idx="28">
                  <c:v>44922</c:v>
                </c:pt>
                <c:pt idx="29">
                  <c:v>44921</c:v>
                </c:pt>
                <c:pt idx="30">
                  <c:v>44920</c:v>
                </c:pt>
                <c:pt idx="31">
                  <c:v>44919</c:v>
                </c:pt>
                <c:pt idx="32">
                  <c:v>44918</c:v>
                </c:pt>
                <c:pt idx="33">
                  <c:v>44917</c:v>
                </c:pt>
                <c:pt idx="34">
                  <c:v>44916</c:v>
                </c:pt>
                <c:pt idx="35">
                  <c:v>44915</c:v>
                </c:pt>
                <c:pt idx="36">
                  <c:v>44914</c:v>
                </c:pt>
                <c:pt idx="37">
                  <c:v>44913</c:v>
                </c:pt>
                <c:pt idx="38">
                  <c:v>44912</c:v>
                </c:pt>
                <c:pt idx="39">
                  <c:v>44911</c:v>
                </c:pt>
                <c:pt idx="40">
                  <c:v>44910</c:v>
                </c:pt>
                <c:pt idx="41">
                  <c:v>44909</c:v>
                </c:pt>
                <c:pt idx="42">
                  <c:v>44908</c:v>
                </c:pt>
                <c:pt idx="43">
                  <c:v>44907</c:v>
                </c:pt>
                <c:pt idx="44">
                  <c:v>44906</c:v>
                </c:pt>
                <c:pt idx="45">
                  <c:v>44905</c:v>
                </c:pt>
                <c:pt idx="46">
                  <c:v>44904</c:v>
                </c:pt>
                <c:pt idx="47">
                  <c:v>44903</c:v>
                </c:pt>
                <c:pt idx="48">
                  <c:v>44902</c:v>
                </c:pt>
                <c:pt idx="49">
                  <c:v>44900</c:v>
                </c:pt>
                <c:pt idx="50">
                  <c:v>44899</c:v>
                </c:pt>
                <c:pt idx="51">
                  <c:v>44898</c:v>
                </c:pt>
                <c:pt idx="52">
                  <c:v>44897</c:v>
                </c:pt>
                <c:pt idx="53">
                  <c:v>44896</c:v>
                </c:pt>
                <c:pt idx="54">
                  <c:v>44895</c:v>
                </c:pt>
                <c:pt idx="55">
                  <c:v>44894</c:v>
                </c:pt>
                <c:pt idx="56">
                  <c:v>44893</c:v>
                </c:pt>
                <c:pt idx="57">
                  <c:v>44892</c:v>
                </c:pt>
                <c:pt idx="58">
                  <c:v>44891</c:v>
                </c:pt>
                <c:pt idx="59">
                  <c:v>44890</c:v>
                </c:pt>
                <c:pt idx="60">
                  <c:v>44889</c:v>
                </c:pt>
                <c:pt idx="61">
                  <c:v>44888</c:v>
                </c:pt>
                <c:pt idx="62">
                  <c:v>44887</c:v>
                </c:pt>
                <c:pt idx="63">
                  <c:v>44886</c:v>
                </c:pt>
                <c:pt idx="64">
                  <c:v>44884</c:v>
                </c:pt>
                <c:pt idx="65">
                  <c:v>44883</c:v>
                </c:pt>
                <c:pt idx="66">
                  <c:v>44882</c:v>
                </c:pt>
                <c:pt idx="67">
                  <c:v>44881</c:v>
                </c:pt>
                <c:pt idx="68">
                  <c:v>44880</c:v>
                </c:pt>
                <c:pt idx="69">
                  <c:v>44879</c:v>
                </c:pt>
                <c:pt idx="70">
                  <c:v>44878</c:v>
                </c:pt>
                <c:pt idx="71">
                  <c:v>44877</c:v>
                </c:pt>
                <c:pt idx="72">
                  <c:v>44876</c:v>
                </c:pt>
                <c:pt idx="73">
                  <c:v>44875</c:v>
                </c:pt>
                <c:pt idx="74">
                  <c:v>44874</c:v>
                </c:pt>
                <c:pt idx="75">
                  <c:v>44873</c:v>
                </c:pt>
                <c:pt idx="76">
                  <c:v>44872</c:v>
                </c:pt>
                <c:pt idx="77">
                  <c:v>44871</c:v>
                </c:pt>
                <c:pt idx="78">
                  <c:v>44870</c:v>
                </c:pt>
                <c:pt idx="79">
                  <c:v>44869</c:v>
                </c:pt>
                <c:pt idx="80">
                  <c:v>44868</c:v>
                </c:pt>
                <c:pt idx="81">
                  <c:v>44867</c:v>
                </c:pt>
                <c:pt idx="82">
                  <c:v>44866</c:v>
                </c:pt>
                <c:pt idx="83">
                  <c:v>44865</c:v>
                </c:pt>
                <c:pt idx="84">
                  <c:v>44864</c:v>
                </c:pt>
                <c:pt idx="85">
                  <c:v>44863</c:v>
                </c:pt>
                <c:pt idx="86">
                  <c:v>44862</c:v>
                </c:pt>
                <c:pt idx="87">
                  <c:v>44861</c:v>
                </c:pt>
                <c:pt idx="88">
                  <c:v>44860</c:v>
                </c:pt>
                <c:pt idx="89">
                  <c:v>44859</c:v>
                </c:pt>
                <c:pt idx="90">
                  <c:v>44858</c:v>
                </c:pt>
                <c:pt idx="91">
                  <c:v>44857</c:v>
                </c:pt>
                <c:pt idx="92">
                  <c:v>44856</c:v>
                </c:pt>
                <c:pt idx="93">
                  <c:v>44855</c:v>
                </c:pt>
                <c:pt idx="94">
                  <c:v>44854</c:v>
                </c:pt>
                <c:pt idx="95">
                  <c:v>44853</c:v>
                </c:pt>
                <c:pt idx="96">
                  <c:v>44852</c:v>
                </c:pt>
                <c:pt idx="97">
                  <c:v>44851</c:v>
                </c:pt>
                <c:pt idx="98">
                  <c:v>44850</c:v>
                </c:pt>
                <c:pt idx="99">
                  <c:v>44849</c:v>
                </c:pt>
                <c:pt idx="100">
                  <c:v>44848</c:v>
                </c:pt>
                <c:pt idx="101">
                  <c:v>44847</c:v>
                </c:pt>
                <c:pt idx="102">
                  <c:v>44846</c:v>
                </c:pt>
                <c:pt idx="103">
                  <c:v>44845</c:v>
                </c:pt>
                <c:pt idx="104">
                  <c:v>44844</c:v>
                </c:pt>
                <c:pt idx="105">
                  <c:v>44843</c:v>
                </c:pt>
                <c:pt idx="106">
                  <c:v>44842</c:v>
                </c:pt>
                <c:pt idx="107">
                  <c:v>44841</c:v>
                </c:pt>
                <c:pt idx="108">
                  <c:v>44840</c:v>
                </c:pt>
                <c:pt idx="109">
                  <c:v>44839</c:v>
                </c:pt>
                <c:pt idx="110">
                  <c:v>44838</c:v>
                </c:pt>
                <c:pt idx="111">
                  <c:v>44837</c:v>
                </c:pt>
                <c:pt idx="112">
                  <c:v>44836</c:v>
                </c:pt>
                <c:pt idx="113">
                  <c:v>44835</c:v>
                </c:pt>
                <c:pt idx="114">
                  <c:v>44834</c:v>
                </c:pt>
                <c:pt idx="115">
                  <c:v>44833</c:v>
                </c:pt>
                <c:pt idx="116">
                  <c:v>44832</c:v>
                </c:pt>
                <c:pt idx="117">
                  <c:v>44831</c:v>
                </c:pt>
                <c:pt idx="118">
                  <c:v>44830</c:v>
                </c:pt>
                <c:pt idx="119">
                  <c:v>44829</c:v>
                </c:pt>
                <c:pt idx="120">
                  <c:v>44828</c:v>
                </c:pt>
                <c:pt idx="121">
                  <c:v>44827</c:v>
                </c:pt>
                <c:pt idx="122">
                  <c:v>44826</c:v>
                </c:pt>
                <c:pt idx="123">
                  <c:v>44825</c:v>
                </c:pt>
                <c:pt idx="124">
                  <c:v>44824</c:v>
                </c:pt>
                <c:pt idx="125">
                  <c:v>44823</c:v>
                </c:pt>
                <c:pt idx="126">
                  <c:v>44822</c:v>
                </c:pt>
                <c:pt idx="127">
                  <c:v>44821</c:v>
                </c:pt>
                <c:pt idx="128">
                  <c:v>44820</c:v>
                </c:pt>
                <c:pt idx="129">
                  <c:v>44819</c:v>
                </c:pt>
                <c:pt idx="130">
                  <c:v>44818</c:v>
                </c:pt>
                <c:pt idx="131">
                  <c:v>44817</c:v>
                </c:pt>
                <c:pt idx="132">
                  <c:v>44816</c:v>
                </c:pt>
                <c:pt idx="133">
                  <c:v>44815</c:v>
                </c:pt>
                <c:pt idx="134">
                  <c:v>44814</c:v>
                </c:pt>
                <c:pt idx="135">
                  <c:v>44813</c:v>
                </c:pt>
                <c:pt idx="136">
                  <c:v>44812</c:v>
                </c:pt>
                <c:pt idx="137">
                  <c:v>44811</c:v>
                </c:pt>
                <c:pt idx="138">
                  <c:v>44810</c:v>
                </c:pt>
                <c:pt idx="139">
                  <c:v>44809</c:v>
                </c:pt>
                <c:pt idx="140">
                  <c:v>44808</c:v>
                </c:pt>
                <c:pt idx="141">
                  <c:v>44807</c:v>
                </c:pt>
                <c:pt idx="142">
                  <c:v>44806</c:v>
                </c:pt>
                <c:pt idx="143">
                  <c:v>44805</c:v>
                </c:pt>
                <c:pt idx="144">
                  <c:v>44804</c:v>
                </c:pt>
                <c:pt idx="145">
                  <c:v>44803</c:v>
                </c:pt>
                <c:pt idx="146">
                  <c:v>44802</c:v>
                </c:pt>
                <c:pt idx="147">
                  <c:v>44801</c:v>
                </c:pt>
                <c:pt idx="148">
                  <c:v>44800</c:v>
                </c:pt>
                <c:pt idx="149">
                  <c:v>44799</c:v>
                </c:pt>
                <c:pt idx="150">
                  <c:v>44798</c:v>
                </c:pt>
                <c:pt idx="151">
                  <c:v>44797</c:v>
                </c:pt>
                <c:pt idx="152">
                  <c:v>44796</c:v>
                </c:pt>
                <c:pt idx="153">
                  <c:v>44795</c:v>
                </c:pt>
                <c:pt idx="154">
                  <c:v>44794</c:v>
                </c:pt>
                <c:pt idx="155">
                  <c:v>44793</c:v>
                </c:pt>
                <c:pt idx="156">
                  <c:v>44792</c:v>
                </c:pt>
                <c:pt idx="157">
                  <c:v>44791</c:v>
                </c:pt>
                <c:pt idx="158">
                  <c:v>44790</c:v>
                </c:pt>
                <c:pt idx="159">
                  <c:v>44789</c:v>
                </c:pt>
                <c:pt idx="160">
                  <c:v>44788</c:v>
                </c:pt>
                <c:pt idx="161">
                  <c:v>44787</c:v>
                </c:pt>
                <c:pt idx="162">
                  <c:v>44786</c:v>
                </c:pt>
                <c:pt idx="163">
                  <c:v>44785</c:v>
                </c:pt>
                <c:pt idx="164">
                  <c:v>44784</c:v>
                </c:pt>
                <c:pt idx="165">
                  <c:v>44783</c:v>
                </c:pt>
                <c:pt idx="166">
                  <c:v>44782</c:v>
                </c:pt>
                <c:pt idx="167">
                  <c:v>44781</c:v>
                </c:pt>
                <c:pt idx="168">
                  <c:v>44780</c:v>
                </c:pt>
                <c:pt idx="169">
                  <c:v>44779</c:v>
                </c:pt>
                <c:pt idx="170">
                  <c:v>44778</c:v>
                </c:pt>
                <c:pt idx="171">
                  <c:v>44777</c:v>
                </c:pt>
                <c:pt idx="172">
                  <c:v>44776</c:v>
                </c:pt>
                <c:pt idx="173">
                  <c:v>44775</c:v>
                </c:pt>
                <c:pt idx="174">
                  <c:v>44774</c:v>
                </c:pt>
                <c:pt idx="175">
                  <c:v>44773</c:v>
                </c:pt>
                <c:pt idx="176">
                  <c:v>44772</c:v>
                </c:pt>
                <c:pt idx="177">
                  <c:v>44771</c:v>
                </c:pt>
                <c:pt idx="178">
                  <c:v>44770</c:v>
                </c:pt>
                <c:pt idx="179">
                  <c:v>44769</c:v>
                </c:pt>
                <c:pt idx="180">
                  <c:v>44768</c:v>
                </c:pt>
                <c:pt idx="181">
                  <c:v>44767</c:v>
                </c:pt>
                <c:pt idx="182">
                  <c:v>44766</c:v>
                </c:pt>
                <c:pt idx="183">
                  <c:v>44765</c:v>
                </c:pt>
                <c:pt idx="184">
                  <c:v>44764</c:v>
                </c:pt>
                <c:pt idx="185">
                  <c:v>44763</c:v>
                </c:pt>
                <c:pt idx="186">
                  <c:v>44762</c:v>
                </c:pt>
                <c:pt idx="187">
                  <c:v>44761</c:v>
                </c:pt>
                <c:pt idx="188">
                  <c:v>44760</c:v>
                </c:pt>
                <c:pt idx="189">
                  <c:v>44759</c:v>
                </c:pt>
                <c:pt idx="190">
                  <c:v>44758</c:v>
                </c:pt>
                <c:pt idx="191">
                  <c:v>44757</c:v>
                </c:pt>
                <c:pt idx="192">
                  <c:v>44756</c:v>
                </c:pt>
                <c:pt idx="193">
                  <c:v>44755</c:v>
                </c:pt>
                <c:pt idx="194">
                  <c:v>44754</c:v>
                </c:pt>
                <c:pt idx="195">
                  <c:v>44753</c:v>
                </c:pt>
                <c:pt idx="196">
                  <c:v>44752</c:v>
                </c:pt>
                <c:pt idx="197">
                  <c:v>44751</c:v>
                </c:pt>
                <c:pt idx="198">
                  <c:v>44750</c:v>
                </c:pt>
                <c:pt idx="199">
                  <c:v>44749</c:v>
                </c:pt>
                <c:pt idx="200">
                  <c:v>44748</c:v>
                </c:pt>
                <c:pt idx="201">
                  <c:v>44747</c:v>
                </c:pt>
                <c:pt idx="202">
                  <c:v>44746</c:v>
                </c:pt>
                <c:pt idx="203">
                  <c:v>44745</c:v>
                </c:pt>
                <c:pt idx="204">
                  <c:v>44744</c:v>
                </c:pt>
                <c:pt idx="205">
                  <c:v>44743</c:v>
                </c:pt>
                <c:pt idx="206">
                  <c:v>44742</c:v>
                </c:pt>
                <c:pt idx="207">
                  <c:v>44741</c:v>
                </c:pt>
                <c:pt idx="208">
                  <c:v>44740</c:v>
                </c:pt>
                <c:pt idx="209">
                  <c:v>44739</c:v>
                </c:pt>
                <c:pt idx="210">
                  <c:v>44738</c:v>
                </c:pt>
                <c:pt idx="211">
                  <c:v>44737</c:v>
                </c:pt>
                <c:pt idx="212">
                  <c:v>44736</c:v>
                </c:pt>
                <c:pt idx="213">
                  <c:v>44735</c:v>
                </c:pt>
                <c:pt idx="214">
                  <c:v>44734</c:v>
                </c:pt>
                <c:pt idx="215">
                  <c:v>44733</c:v>
                </c:pt>
                <c:pt idx="216">
                  <c:v>44732</c:v>
                </c:pt>
                <c:pt idx="217">
                  <c:v>44731</c:v>
                </c:pt>
                <c:pt idx="218">
                  <c:v>44730</c:v>
                </c:pt>
                <c:pt idx="219">
                  <c:v>44729</c:v>
                </c:pt>
                <c:pt idx="220">
                  <c:v>44728</c:v>
                </c:pt>
                <c:pt idx="221">
                  <c:v>44727</c:v>
                </c:pt>
                <c:pt idx="222">
                  <c:v>44726</c:v>
                </c:pt>
                <c:pt idx="223">
                  <c:v>44725</c:v>
                </c:pt>
                <c:pt idx="224">
                  <c:v>44724</c:v>
                </c:pt>
                <c:pt idx="225">
                  <c:v>44723</c:v>
                </c:pt>
                <c:pt idx="226">
                  <c:v>44722</c:v>
                </c:pt>
                <c:pt idx="227">
                  <c:v>44721</c:v>
                </c:pt>
                <c:pt idx="228">
                  <c:v>44720</c:v>
                </c:pt>
                <c:pt idx="229">
                  <c:v>44719</c:v>
                </c:pt>
                <c:pt idx="230">
                  <c:v>44718</c:v>
                </c:pt>
                <c:pt idx="231">
                  <c:v>44717</c:v>
                </c:pt>
                <c:pt idx="232">
                  <c:v>44716</c:v>
                </c:pt>
                <c:pt idx="233">
                  <c:v>44715</c:v>
                </c:pt>
                <c:pt idx="234">
                  <c:v>44714</c:v>
                </c:pt>
                <c:pt idx="235">
                  <c:v>44713</c:v>
                </c:pt>
                <c:pt idx="236">
                  <c:v>44712</c:v>
                </c:pt>
                <c:pt idx="237">
                  <c:v>44711</c:v>
                </c:pt>
                <c:pt idx="238">
                  <c:v>44710</c:v>
                </c:pt>
                <c:pt idx="239">
                  <c:v>44709</c:v>
                </c:pt>
                <c:pt idx="240">
                  <c:v>44708</c:v>
                </c:pt>
                <c:pt idx="241">
                  <c:v>44707</c:v>
                </c:pt>
                <c:pt idx="242">
                  <c:v>44706</c:v>
                </c:pt>
                <c:pt idx="243">
                  <c:v>44705</c:v>
                </c:pt>
                <c:pt idx="244">
                  <c:v>44704</c:v>
                </c:pt>
                <c:pt idx="245">
                  <c:v>44703</c:v>
                </c:pt>
                <c:pt idx="246">
                  <c:v>44702</c:v>
                </c:pt>
                <c:pt idx="247">
                  <c:v>44701</c:v>
                </c:pt>
                <c:pt idx="248">
                  <c:v>44700</c:v>
                </c:pt>
                <c:pt idx="249">
                  <c:v>44699</c:v>
                </c:pt>
                <c:pt idx="250">
                  <c:v>44698</c:v>
                </c:pt>
                <c:pt idx="251">
                  <c:v>44697</c:v>
                </c:pt>
                <c:pt idx="252">
                  <c:v>44696</c:v>
                </c:pt>
                <c:pt idx="253">
                  <c:v>44695</c:v>
                </c:pt>
                <c:pt idx="254">
                  <c:v>44694</c:v>
                </c:pt>
                <c:pt idx="255">
                  <c:v>44693</c:v>
                </c:pt>
                <c:pt idx="256">
                  <c:v>44692</c:v>
                </c:pt>
                <c:pt idx="257">
                  <c:v>44691</c:v>
                </c:pt>
                <c:pt idx="258">
                  <c:v>44690</c:v>
                </c:pt>
                <c:pt idx="259">
                  <c:v>44689</c:v>
                </c:pt>
                <c:pt idx="260">
                  <c:v>44688</c:v>
                </c:pt>
                <c:pt idx="261">
                  <c:v>44687</c:v>
                </c:pt>
                <c:pt idx="262">
                  <c:v>44686</c:v>
                </c:pt>
                <c:pt idx="263">
                  <c:v>44685</c:v>
                </c:pt>
                <c:pt idx="264">
                  <c:v>44684</c:v>
                </c:pt>
                <c:pt idx="265">
                  <c:v>44683</c:v>
                </c:pt>
                <c:pt idx="266">
                  <c:v>44682</c:v>
                </c:pt>
                <c:pt idx="267">
                  <c:v>44681</c:v>
                </c:pt>
                <c:pt idx="268">
                  <c:v>44680</c:v>
                </c:pt>
                <c:pt idx="269">
                  <c:v>44679</c:v>
                </c:pt>
                <c:pt idx="270">
                  <c:v>44678</c:v>
                </c:pt>
                <c:pt idx="271">
                  <c:v>44677</c:v>
                </c:pt>
                <c:pt idx="272">
                  <c:v>44676</c:v>
                </c:pt>
                <c:pt idx="273">
                  <c:v>44675</c:v>
                </c:pt>
                <c:pt idx="274">
                  <c:v>44674</c:v>
                </c:pt>
                <c:pt idx="275">
                  <c:v>44673</c:v>
                </c:pt>
                <c:pt idx="276">
                  <c:v>44672</c:v>
                </c:pt>
                <c:pt idx="277">
                  <c:v>44671</c:v>
                </c:pt>
                <c:pt idx="278">
                  <c:v>44670</c:v>
                </c:pt>
                <c:pt idx="279">
                  <c:v>44669</c:v>
                </c:pt>
                <c:pt idx="280">
                  <c:v>44668</c:v>
                </c:pt>
                <c:pt idx="281">
                  <c:v>44667</c:v>
                </c:pt>
                <c:pt idx="282">
                  <c:v>44666</c:v>
                </c:pt>
                <c:pt idx="283">
                  <c:v>44665</c:v>
                </c:pt>
                <c:pt idx="284">
                  <c:v>44664</c:v>
                </c:pt>
                <c:pt idx="285">
                  <c:v>44663</c:v>
                </c:pt>
                <c:pt idx="286">
                  <c:v>44662</c:v>
                </c:pt>
                <c:pt idx="287">
                  <c:v>44661</c:v>
                </c:pt>
                <c:pt idx="288">
                  <c:v>44660</c:v>
                </c:pt>
                <c:pt idx="289">
                  <c:v>44659</c:v>
                </c:pt>
                <c:pt idx="290">
                  <c:v>44658</c:v>
                </c:pt>
                <c:pt idx="291">
                  <c:v>44657</c:v>
                </c:pt>
                <c:pt idx="292">
                  <c:v>44656</c:v>
                </c:pt>
                <c:pt idx="293">
                  <c:v>44655</c:v>
                </c:pt>
                <c:pt idx="294">
                  <c:v>44654</c:v>
                </c:pt>
                <c:pt idx="295">
                  <c:v>44653</c:v>
                </c:pt>
                <c:pt idx="296">
                  <c:v>44652</c:v>
                </c:pt>
                <c:pt idx="297">
                  <c:v>44651</c:v>
                </c:pt>
                <c:pt idx="298">
                  <c:v>44650</c:v>
                </c:pt>
                <c:pt idx="299">
                  <c:v>44649</c:v>
                </c:pt>
                <c:pt idx="300">
                  <c:v>44648</c:v>
                </c:pt>
                <c:pt idx="301">
                  <c:v>44647</c:v>
                </c:pt>
                <c:pt idx="302">
                  <c:v>44646</c:v>
                </c:pt>
                <c:pt idx="303">
                  <c:v>44645</c:v>
                </c:pt>
                <c:pt idx="304">
                  <c:v>44644</c:v>
                </c:pt>
                <c:pt idx="305">
                  <c:v>44643</c:v>
                </c:pt>
                <c:pt idx="306">
                  <c:v>44642</c:v>
                </c:pt>
                <c:pt idx="307">
                  <c:v>44641</c:v>
                </c:pt>
                <c:pt idx="308">
                  <c:v>44640</c:v>
                </c:pt>
                <c:pt idx="309">
                  <c:v>44639</c:v>
                </c:pt>
                <c:pt idx="310">
                  <c:v>44638</c:v>
                </c:pt>
                <c:pt idx="311">
                  <c:v>44637</c:v>
                </c:pt>
                <c:pt idx="312">
                  <c:v>44636</c:v>
                </c:pt>
                <c:pt idx="313">
                  <c:v>44635</c:v>
                </c:pt>
                <c:pt idx="314">
                  <c:v>44634</c:v>
                </c:pt>
                <c:pt idx="315">
                  <c:v>44633</c:v>
                </c:pt>
                <c:pt idx="316">
                  <c:v>44632</c:v>
                </c:pt>
                <c:pt idx="317">
                  <c:v>44631</c:v>
                </c:pt>
                <c:pt idx="318">
                  <c:v>44630</c:v>
                </c:pt>
                <c:pt idx="319">
                  <c:v>44629</c:v>
                </c:pt>
                <c:pt idx="320">
                  <c:v>44628</c:v>
                </c:pt>
                <c:pt idx="321">
                  <c:v>44627</c:v>
                </c:pt>
                <c:pt idx="322">
                  <c:v>44626</c:v>
                </c:pt>
                <c:pt idx="323">
                  <c:v>44625</c:v>
                </c:pt>
                <c:pt idx="324">
                  <c:v>44624</c:v>
                </c:pt>
                <c:pt idx="325">
                  <c:v>44623</c:v>
                </c:pt>
                <c:pt idx="326">
                  <c:v>44622</c:v>
                </c:pt>
                <c:pt idx="327">
                  <c:v>44621</c:v>
                </c:pt>
                <c:pt idx="328">
                  <c:v>44620</c:v>
                </c:pt>
                <c:pt idx="329">
                  <c:v>44619</c:v>
                </c:pt>
                <c:pt idx="330">
                  <c:v>44618</c:v>
                </c:pt>
                <c:pt idx="331">
                  <c:v>44617</c:v>
                </c:pt>
                <c:pt idx="332">
                  <c:v>44616</c:v>
                </c:pt>
                <c:pt idx="333">
                  <c:v>44615</c:v>
                </c:pt>
                <c:pt idx="334">
                  <c:v>44614</c:v>
                </c:pt>
                <c:pt idx="335">
                  <c:v>44613</c:v>
                </c:pt>
                <c:pt idx="336">
                  <c:v>44612</c:v>
                </c:pt>
                <c:pt idx="337">
                  <c:v>44611</c:v>
                </c:pt>
                <c:pt idx="338">
                  <c:v>44610</c:v>
                </c:pt>
                <c:pt idx="339">
                  <c:v>44609</c:v>
                </c:pt>
                <c:pt idx="340">
                  <c:v>44608</c:v>
                </c:pt>
                <c:pt idx="341">
                  <c:v>44607</c:v>
                </c:pt>
                <c:pt idx="342">
                  <c:v>44606</c:v>
                </c:pt>
                <c:pt idx="343">
                  <c:v>44605</c:v>
                </c:pt>
                <c:pt idx="344">
                  <c:v>44604</c:v>
                </c:pt>
                <c:pt idx="345">
                  <c:v>44603</c:v>
                </c:pt>
                <c:pt idx="346">
                  <c:v>44602</c:v>
                </c:pt>
                <c:pt idx="347">
                  <c:v>44601</c:v>
                </c:pt>
                <c:pt idx="348">
                  <c:v>44600</c:v>
                </c:pt>
                <c:pt idx="349">
                  <c:v>44599</c:v>
                </c:pt>
                <c:pt idx="350">
                  <c:v>44598</c:v>
                </c:pt>
                <c:pt idx="351">
                  <c:v>44597</c:v>
                </c:pt>
                <c:pt idx="352">
                  <c:v>44596</c:v>
                </c:pt>
                <c:pt idx="353">
                  <c:v>44595</c:v>
                </c:pt>
                <c:pt idx="354">
                  <c:v>44594</c:v>
                </c:pt>
                <c:pt idx="355">
                  <c:v>44593</c:v>
                </c:pt>
                <c:pt idx="356">
                  <c:v>44592</c:v>
                </c:pt>
                <c:pt idx="357">
                  <c:v>44591</c:v>
                </c:pt>
                <c:pt idx="358">
                  <c:v>44590</c:v>
                </c:pt>
                <c:pt idx="359">
                  <c:v>44589</c:v>
                </c:pt>
                <c:pt idx="360">
                  <c:v>44588</c:v>
                </c:pt>
                <c:pt idx="361">
                  <c:v>44587</c:v>
                </c:pt>
                <c:pt idx="362">
                  <c:v>44586</c:v>
                </c:pt>
              </c:numCache>
            </c:numRef>
          </c:cat>
          <c:val>
            <c:numRef>
              <c:f>글로벌금융시장동향!$AI$10:$AI$376</c:f>
              <c:numCache>
                <c:formatCode>General</c:formatCode>
                <c:ptCount val="365"/>
                <c:pt idx="0">
                  <c:v>4.8220000000000001</c:v>
                </c:pt>
                <c:pt idx="1">
                  <c:v>4.8179999999999996</c:v>
                </c:pt>
                <c:pt idx="2">
                  <c:v>4.8159999999999998</c:v>
                </c:pt>
                <c:pt idx="3">
                  <c:v>4.8159999999999998</c:v>
                </c:pt>
                <c:pt idx="4">
                  <c:v>4.8159999999999998</c:v>
                </c:pt>
                <c:pt idx="5">
                  <c:v>4.8150000000000004</c:v>
                </c:pt>
                <c:pt idx="6">
                  <c:v>4.8079999999999998</c:v>
                </c:pt>
                <c:pt idx="7">
                  <c:v>4.798</c:v>
                </c:pt>
                <c:pt idx="8">
                  <c:v>4.7949999999999999</c:v>
                </c:pt>
                <c:pt idx="9">
                  <c:v>4.7919999999999998</c:v>
                </c:pt>
                <c:pt idx="10">
                  <c:v>4.7919999999999998</c:v>
                </c:pt>
                <c:pt idx="11">
                  <c:v>4.7919999999999998</c:v>
                </c:pt>
                <c:pt idx="12">
                  <c:v>4.83</c:v>
                </c:pt>
                <c:pt idx="13">
                  <c:v>4.8150000000000004</c:v>
                </c:pt>
                <c:pt idx="14">
                  <c:v>4.806</c:v>
                </c:pt>
                <c:pt idx="15">
                  <c:v>4.7830000000000004</c:v>
                </c:pt>
                <c:pt idx="16">
                  <c:v>4.8099999999999996</c:v>
                </c:pt>
                <c:pt idx="17">
                  <c:v>4.8099999999999996</c:v>
                </c:pt>
                <c:pt idx="18">
                  <c:v>4.8099999999999996</c:v>
                </c:pt>
                <c:pt idx="19">
                  <c:v>4.8120000000000003</c:v>
                </c:pt>
                <c:pt idx="20">
                  <c:v>4.7880000000000003</c:v>
                </c:pt>
                <c:pt idx="21">
                  <c:v>4.782</c:v>
                </c:pt>
                <c:pt idx="22">
                  <c:v>4.7670000000000003</c:v>
                </c:pt>
                <c:pt idx="23">
                  <c:v>4.7670000000000003</c:v>
                </c:pt>
                <c:pt idx="24">
                  <c:v>4.7670000000000003</c:v>
                </c:pt>
                <c:pt idx="25">
                  <c:v>4.7670000000000003</c:v>
                </c:pt>
                <c:pt idx="26">
                  <c:v>4.7539999999999996</c:v>
                </c:pt>
                <c:pt idx="27">
                  <c:v>4.7300000000000004</c:v>
                </c:pt>
                <c:pt idx="28">
                  <c:v>4.726</c:v>
                </c:pt>
                <c:pt idx="29">
                  <c:v>4.726</c:v>
                </c:pt>
                <c:pt idx="30">
                  <c:v>4.726</c:v>
                </c:pt>
                <c:pt idx="31">
                  <c:v>4.726</c:v>
                </c:pt>
                <c:pt idx="32">
                  <c:v>4.726</c:v>
                </c:pt>
                <c:pt idx="33">
                  <c:v>4.7240000000000002</c:v>
                </c:pt>
                <c:pt idx="34">
                  <c:v>4.7290000000000001</c:v>
                </c:pt>
                <c:pt idx="35">
                  <c:v>4.7530000000000001</c:v>
                </c:pt>
                <c:pt idx="36">
                  <c:v>4.7380000000000004</c:v>
                </c:pt>
                <c:pt idx="37">
                  <c:v>4.7460000000000004</c:v>
                </c:pt>
                <c:pt idx="38">
                  <c:v>4.7460000000000004</c:v>
                </c:pt>
                <c:pt idx="39">
                  <c:v>4.7460000000000004</c:v>
                </c:pt>
                <c:pt idx="40">
                  <c:v>4.7380000000000004</c:v>
                </c:pt>
                <c:pt idx="41">
                  <c:v>4.7359999999999998</c:v>
                </c:pt>
                <c:pt idx="42">
                  <c:v>4.7690000000000001</c:v>
                </c:pt>
                <c:pt idx="43">
                  <c:v>4.7530000000000001</c:v>
                </c:pt>
                <c:pt idx="44">
                  <c:v>4.7329999999999997</c:v>
                </c:pt>
                <c:pt idx="45">
                  <c:v>4.7329999999999997</c:v>
                </c:pt>
                <c:pt idx="46">
                  <c:v>4.7329999999999997</c:v>
                </c:pt>
                <c:pt idx="47">
                  <c:v>4.7350000000000003</c:v>
                </c:pt>
                <c:pt idx="48">
                  <c:v>4.7229999999999999</c:v>
                </c:pt>
                <c:pt idx="49">
                  <c:v>4.7229999999999999</c:v>
                </c:pt>
                <c:pt idx="50">
                  <c:v>4.7329999999999997</c:v>
                </c:pt>
                <c:pt idx="51">
                  <c:v>4.7329999999999997</c:v>
                </c:pt>
                <c:pt idx="52">
                  <c:v>4.7329999999999997</c:v>
                </c:pt>
                <c:pt idx="53">
                  <c:v>4.7649999999999997</c:v>
                </c:pt>
                <c:pt idx="54">
                  <c:v>4.7789999999999999</c:v>
                </c:pt>
                <c:pt idx="55">
                  <c:v>4.7610000000000001</c:v>
                </c:pt>
                <c:pt idx="56">
                  <c:v>4.7350000000000003</c:v>
                </c:pt>
                <c:pt idx="57">
                  <c:v>4.734</c:v>
                </c:pt>
                <c:pt idx="58">
                  <c:v>4.734</c:v>
                </c:pt>
                <c:pt idx="59">
                  <c:v>4.734</c:v>
                </c:pt>
                <c:pt idx="60">
                  <c:v>4.7359999999999998</c:v>
                </c:pt>
                <c:pt idx="61">
                  <c:v>4.7569999999999997</c:v>
                </c:pt>
                <c:pt idx="62">
                  <c:v>4.6989999999999998</c:v>
                </c:pt>
                <c:pt idx="63">
                  <c:v>4.6920000000000002</c:v>
                </c:pt>
                <c:pt idx="64">
                  <c:v>4.665</c:v>
                </c:pt>
                <c:pt idx="65">
                  <c:v>4.665</c:v>
                </c:pt>
                <c:pt idx="66">
                  <c:v>4.6749999999999998</c:v>
                </c:pt>
                <c:pt idx="67">
                  <c:v>4.6740000000000004</c:v>
                </c:pt>
                <c:pt idx="68">
                  <c:v>4.6500000000000004</c:v>
                </c:pt>
                <c:pt idx="69">
                  <c:v>4.6440000000000001</c:v>
                </c:pt>
                <c:pt idx="70">
                  <c:v>4.6059999999999999</c:v>
                </c:pt>
                <c:pt idx="71">
                  <c:v>4.6059999999999999</c:v>
                </c:pt>
                <c:pt idx="72">
                  <c:v>4.6059999999999999</c:v>
                </c:pt>
                <c:pt idx="73">
                  <c:v>4.6500000000000004</c:v>
                </c:pt>
                <c:pt idx="74">
                  <c:v>4.63</c:v>
                </c:pt>
                <c:pt idx="75">
                  <c:v>4.5919999999999996</c:v>
                </c:pt>
                <c:pt idx="76">
                  <c:v>4.5570000000000004</c:v>
                </c:pt>
                <c:pt idx="77">
                  <c:v>4.55</c:v>
                </c:pt>
                <c:pt idx="78">
                  <c:v>4.55</c:v>
                </c:pt>
                <c:pt idx="79">
                  <c:v>4.55</c:v>
                </c:pt>
                <c:pt idx="80">
                  <c:v>4.532</c:v>
                </c:pt>
                <c:pt idx="81">
                  <c:v>4.508</c:v>
                </c:pt>
                <c:pt idx="82">
                  <c:v>4.46</c:v>
                </c:pt>
                <c:pt idx="83">
                  <c:v>4.46</c:v>
                </c:pt>
                <c:pt idx="84">
                  <c:v>4.4400000000000004</c:v>
                </c:pt>
                <c:pt idx="85">
                  <c:v>4.4400000000000004</c:v>
                </c:pt>
                <c:pt idx="86">
                  <c:v>4.4400000000000004</c:v>
                </c:pt>
                <c:pt idx="87">
                  <c:v>4.415</c:v>
                </c:pt>
                <c:pt idx="88">
                  <c:v>4.3739999999999997</c:v>
                </c:pt>
                <c:pt idx="89">
                  <c:v>4.3579999999999997</c:v>
                </c:pt>
                <c:pt idx="90">
                  <c:v>4.327</c:v>
                </c:pt>
                <c:pt idx="91">
                  <c:v>4.3579999999999997</c:v>
                </c:pt>
                <c:pt idx="92">
                  <c:v>4.3579999999999997</c:v>
                </c:pt>
                <c:pt idx="93">
                  <c:v>4.3579999999999997</c:v>
                </c:pt>
                <c:pt idx="94">
                  <c:v>4.3250000000000002</c:v>
                </c:pt>
                <c:pt idx="95">
                  <c:v>4.2779999999999996</c:v>
                </c:pt>
                <c:pt idx="96">
                  <c:v>4.2430000000000003</c:v>
                </c:pt>
                <c:pt idx="97">
                  <c:v>4.2270000000000003</c:v>
                </c:pt>
                <c:pt idx="98">
                  <c:v>4.194</c:v>
                </c:pt>
                <c:pt idx="99">
                  <c:v>4.194</c:v>
                </c:pt>
                <c:pt idx="100">
                  <c:v>4.194</c:v>
                </c:pt>
                <c:pt idx="101">
                  <c:v>4.0789999999999997</c:v>
                </c:pt>
                <c:pt idx="102">
                  <c:v>4.0110000000000001</c:v>
                </c:pt>
                <c:pt idx="103">
                  <c:v>3.9409999999999998</c:v>
                </c:pt>
                <c:pt idx="104">
                  <c:v>3.919</c:v>
                </c:pt>
                <c:pt idx="105">
                  <c:v>3.9089999999999998</c:v>
                </c:pt>
                <c:pt idx="106">
                  <c:v>3.9089999999999998</c:v>
                </c:pt>
                <c:pt idx="107">
                  <c:v>3.9089999999999998</c:v>
                </c:pt>
                <c:pt idx="108">
                  <c:v>3.8260000000000001</c:v>
                </c:pt>
                <c:pt idx="109">
                  <c:v>3.7839999999999998</c:v>
                </c:pt>
                <c:pt idx="110">
                  <c:v>3.7410000000000001</c:v>
                </c:pt>
                <c:pt idx="111">
                  <c:v>3.7480000000000002</c:v>
                </c:pt>
                <c:pt idx="112">
                  <c:v>3.7549999999999999</c:v>
                </c:pt>
                <c:pt idx="113">
                  <c:v>3.7549999999999999</c:v>
                </c:pt>
                <c:pt idx="114">
                  <c:v>3.7549999999999999</c:v>
                </c:pt>
                <c:pt idx="115">
                  <c:v>3.7429999999999999</c:v>
                </c:pt>
                <c:pt idx="116">
                  <c:v>3.6739999999999999</c:v>
                </c:pt>
                <c:pt idx="117">
                  <c:v>3.6419999999999999</c:v>
                </c:pt>
                <c:pt idx="118">
                  <c:v>3.641</c:v>
                </c:pt>
                <c:pt idx="119">
                  <c:v>3.6280000000000001</c:v>
                </c:pt>
                <c:pt idx="120">
                  <c:v>3.6280000000000001</c:v>
                </c:pt>
                <c:pt idx="121">
                  <c:v>3.6280000000000001</c:v>
                </c:pt>
                <c:pt idx="122">
                  <c:v>3.641</c:v>
                </c:pt>
                <c:pt idx="123">
                  <c:v>3.6040000000000001</c:v>
                </c:pt>
                <c:pt idx="124">
                  <c:v>3.6019999999999999</c:v>
                </c:pt>
                <c:pt idx="125">
                  <c:v>3.5649999999999999</c:v>
                </c:pt>
                <c:pt idx="126">
                  <c:v>3.5649999999999999</c:v>
                </c:pt>
                <c:pt idx="127">
                  <c:v>3.5649999999999999</c:v>
                </c:pt>
                <c:pt idx="128">
                  <c:v>3.5649999999999999</c:v>
                </c:pt>
                <c:pt idx="129">
                  <c:v>3.5270000000000001</c:v>
                </c:pt>
                <c:pt idx="130">
                  <c:v>3.4830000000000001</c:v>
                </c:pt>
                <c:pt idx="131">
                  <c:v>3.2930000000000001</c:v>
                </c:pt>
                <c:pt idx="132">
                  <c:v>3.27</c:v>
                </c:pt>
                <c:pt idx="133">
                  <c:v>3.2450000000000001</c:v>
                </c:pt>
                <c:pt idx="134">
                  <c:v>3.2450000000000001</c:v>
                </c:pt>
                <c:pt idx="135">
                  <c:v>3.2450000000000001</c:v>
                </c:pt>
                <c:pt idx="136">
                  <c:v>3.2360000000000002</c:v>
                </c:pt>
                <c:pt idx="137">
                  <c:v>3.194</c:v>
                </c:pt>
                <c:pt idx="138">
                  <c:v>3.1680000000000001</c:v>
                </c:pt>
                <c:pt idx="139">
                  <c:v>3.145</c:v>
                </c:pt>
                <c:pt idx="140">
                  <c:v>3.1579999999999999</c:v>
                </c:pt>
                <c:pt idx="141">
                  <c:v>3.1579999999999999</c:v>
                </c:pt>
                <c:pt idx="142">
                  <c:v>3.1579999999999999</c:v>
                </c:pt>
                <c:pt idx="143">
                  <c:v>3.1440000000000001</c:v>
                </c:pt>
                <c:pt idx="144">
                  <c:v>3.1</c:v>
                </c:pt>
                <c:pt idx="145">
                  <c:v>3.0819999999999999</c:v>
                </c:pt>
                <c:pt idx="146">
                  <c:v>3.07</c:v>
                </c:pt>
                <c:pt idx="147">
                  <c:v>3.07</c:v>
                </c:pt>
                <c:pt idx="148">
                  <c:v>3.07</c:v>
                </c:pt>
                <c:pt idx="149">
                  <c:v>3.07</c:v>
                </c:pt>
                <c:pt idx="150">
                  <c:v>3.0430000000000001</c:v>
                </c:pt>
                <c:pt idx="151">
                  <c:v>3.01</c:v>
                </c:pt>
                <c:pt idx="152">
                  <c:v>2.9969999999999999</c:v>
                </c:pt>
                <c:pt idx="153">
                  <c:v>2.98</c:v>
                </c:pt>
                <c:pt idx="154">
                  <c:v>2.9580000000000002</c:v>
                </c:pt>
                <c:pt idx="155">
                  <c:v>2.9580000000000002</c:v>
                </c:pt>
                <c:pt idx="156">
                  <c:v>2.9580000000000002</c:v>
                </c:pt>
                <c:pt idx="157">
                  <c:v>2.984</c:v>
                </c:pt>
                <c:pt idx="158">
                  <c:v>2.9769999999999999</c:v>
                </c:pt>
                <c:pt idx="159">
                  <c:v>2.9609999999999999</c:v>
                </c:pt>
                <c:pt idx="160">
                  <c:v>2.9420000000000002</c:v>
                </c:pt>
                <c:pt idx="161">
                  <c:v>2.9220000000000002</c:v>
                </c:pt>
                <c:pt idx="162">
                  <c:v>2.9220000000000002</c:v>
                </c:pt>
                <c:pt idx="163">
                  <c:v>2.9220000000000002</c:v>
                </c:pt>
                <c:pt idx="164">
                  <c:v>2.9049999999999998</c:v>
                </c:pt>
                <c:pt idx="165">
                  <c:v>2.923</c:v>
                </c:pt>
                <c:pt idx="166">
                  <c:v>2.9209999999999998</c:v>
                </c:pt>
                <c:pt idx="167">
                  <c:v>2.9119999999999999</c:v>
                </c:pt>
                <c:pt idx="168">
                  <c:v>2.867</c:v>
                </c:pt>
                <c:pt idx="169">
                  <c:v>2.867</c:v>
                </c:pt>
                <c:pt idx="170">
                  <c:v>2.867</c:v>
                </c:pt>
                <c:pt idx="171">
                  <c:v>2.863</c:v>
                </c:pt>
                <c:pt idx="172">
                  <c:v>2.8319999999999999</c:v>
                </c:pt>
                <c:pt idx="173">
                  <c:v>2.8069999999999999</c:v>
                </c:pt>
                <c:pt idx="174">
                  <c:v>2.802</c:v>
                </c:pt>
                <c:pt idx="175">
                  <c:v>2.7879999999999998</c:v>
                </c:pt>
                <c:pt idx="176">
                  <c:v>2.7879999999999998</c:v>
                </c:pt>
                <c:pt idx="177">
                  <c:v>2.7879999999999998</c:v>
                </c:pt>
                <c:pt idx="178">
                  <c:v>2.782</c:v>
                </c:pt>
                <c:pt idx="179">
                  <c:v>2.806</c:v>
                </c:pt>
                <c:pt idx="180">
                  <c:v>2.7930000000000001</c:v>
                </c:pt>
                <c:pt idx="181">
                  <c:v>2.7690000000000001</c:v>
                </c:pt>
                <c:pt idx="182">
                  <c:v>2.766</c:v>
                </c:pt>
                <c:pt idx="183">
                  <c:v>2.766</c:v>
                </c:pt>
                <c:pt idx="184">
                  <c:v>2.766</c:v>
                </c:pt>
                <c:pt idx="185">
                  <c:v>2.7829999999999999</c:v>
                </c:pt>
                <c:pt idx="186">
                  <c:v>2.7589999999999999</c:v>
                </c:pt>
                <c:pt idx="187">
                  <c:v>2.7320000000000002</c:v>
                </c:pt>
                <c:pt idx="188">
                  <c:v>2.71</c:v>
                </c:pt>
                <c:pt idx="189">
                  <c:v>2.738</c:v>
                </c:pt>
                <c:pt idx="190">
                  <c:v>2.738</c:v>
                </c:pt>
                <c:pt idx="191">
                  <c:v>2.738</c:v>
                </c:pt>
                <c:pt idx="192">
                  <c:v>2.74</c:v>
                </c:pt>
                <c:pt idx="193">
                  <c:v>2.512</c:v>
                </c:pt>
                <c:pt idx="194">
                  <c:v>2.4830000000000001</c:v>
                </c:pt>
                <c:pt idx="195">
                  <c:v>2.4550000000000001</c:v>
                </c:pt>
                <c:pt idx="196">
                  <c:v>2.423</c:v>
                </c:pt>
                <c:pt idx="197">
                  <c:v>2.423</c:v>
                </c:pt>
                <c:pt idx="198">
                  <c:v>2.423</c:v>
                </c:pt>
                <c:pt idx="199">
                  <c:v>2.4279999999999999</c:v>
                </c:pt>
                <c:pt idx="200">
                  <c:v>2.391</c:v>
                </c:pt>
                <c:pt idx="201">
                  <c:v>2.3479999999999999</c:v>
                </c:pt>
                <c:pt idx="202">
                  <c:v>2.3220000000000001</c:v>
                </c:pt>
                <c:pt idx="203">
                  <c:v>2.2930000000000001</c:v>
                </c:pt>
                <c:pt idx="204">
                  <c:v>2.2930000000000001</c:v>
                </c:pt>
                <c:pt idx="205">
                  <c:v>2.2930000000000001</c:v>
                </c:pt>
                <c:pt idx="206">
                  <c:v>2.2850000000000001</c:v>
                </c:pt>
                <c:pt idx="207">
                  <c:v>2.2770000000000001</c:v>
                </c:pt>
                <c:pt idx="208">
                  <c:v>2.25</c:v>
                </c:pt>
                <c:pt idx="209">
                  <c:v>2.2320000000000002</c:v>
                </c:pt>
                <c:pt idx="210">
                  <c:v>2.234</c:v>
                </c:pt>
                <c:pt idx="211">
                  <c:v>2.234</c:v>
                </c:pt>
                <c:pt idx="212">
                  <c:v>2.234</c:v>
                </c:pt>
                <c:pt idx="213">
                  <c:v>2.1970000000000001</c:v>
                </c:pt>
                <c:pt idx="214">
                  <c:v>2.1850000000000001</c:v>
                </c:pt>
                <c:pt idx="215">
                  <c:v>2.1539999999999999</c:v>
                </c:pt>
                <c:pt idx="216">
                  <c:v>2.1230000000000002</c:v>
                </c:pt>
                <c:pt idx="217">
                  <c:v>2.0960000000000001</c:v>
                </c:pt>
                <c:pt idx="218">
                  <c:v>2.0960000000000001</c:v>
                </c:pt>
                <c:pt idx="219">
                  <c:v>2.0960000000000001</c:v>
                </c:pt>
                <c:pt idx="220">
                  <c:v>2.0630000000000002</c:v>
                </c:pt>
                <c:pt idx="221">
                  <c:v>2.0299999999999998</c:v>
                </c:pt>
                <c:pt idx="222">
                  <c:v>2.0030000000000001</c:v>
                </c:pt>
                <c:pt idx="223">
                  <c:v>1.829</c:v>
                </c:pt>
                <c:pt idx="224">
                  <c:v>1.7450000000000001</c:v>
                </c:pt>
                <c:pt idx="225">
                  <c:v>1.7450000000000001</c:v>
                </c:pt>
                <c:pt idx="226">
                  <c:v>1.7450000000000001</c:v>
                </c:pt>
                <c:pt idx="227">
                  <c:v>1.7210000000000001</c:v>
                </c:pt>
                <c:pt idx="228">
                  <c:v>1.6879999999999999</c:v>
                </c:pt>
                <c:pt idx="229">
                  <c:v>1.69</c:v>
                </c:pt>
                <c:pt idx="230">
                  <c:v>1.665</c:v>
                </c:pt>
                <c:pt idx="231">
                  <c:v>1.6259999999999999</c:v>
                </c:pt>
                <c:pt idx="232">
                  <c:v>1.6259999999999999</c:v>
                </c:pt>
                <c:pt idx="233">
                  <c:v>1.6259999999999999</c:v>
                </c:pt>
                <c:pt idx="234">
                  <c:v>1.6259999999999999</c:v>
                </c:pt>
                <c:pt idx="235">
                  <c:v>1.6259999999999999</c:v>
                </c:pt>
                <c:pt idx="236">
                  <c:v>1.611</c:v>
                </c:pt>
                <c:pt idx="237">
                  <c:v>1.58</c:v>
                </c:pt>
                <c:pt idx="238">
                  <c:v>1.5980000000000001</c:v>
                </c:pt>
                <c:pt idx="239">
                  <c:v>1.5980000000000001</c:v>
                </c:pt>
                <c:pt idx="240">
                  <c:v>1.5980000000000001</c:v>
                </c:pt>
                <c:pt idx="241">
                  <c:v>1.575</c:v>
                </c:pt>
                <c:pt idx="242">
                  <c:v>1.5529999999999999</c:v>
                </c:pt>
                <c:pt idx="243">
                  <c:v>1.5309999999999999</c:v>
                </c:pt>
                <c:pt idx="244">
                  <c:v>1.524</c:v>
                </c:pt>
                <c:pt idx="245">
                  <c:v>1.506</c:v>
                </c:pt>
                <c:pt idx="246">
                  <c:v>1.506</c:v>
                </c:pt>
                <c:pt idx="247">
                  <c:v>1.506</c:v>
                </c:pt>
                <c:pt idx="248">
                  <c:v>1.5049999999999999</c:v>
                </c:pt>
                <c:pt idx="249">
                  <c:v>1.478</c:v>
                </c:pt>
                <c:pt idx="250">
                  <c:v>1.448</c:v>
                </c:pt>
                <c:pt idx="251">
                  <c:v>1.4550000000000001</c:v>
                </c:pt>
                <c:pt idx="252">
                  <c:v>1.444</c:v>
                </c:pt>
                <c:pt idx="253">
                  <c:v>1.444</c:v>
                </c:pt>
                <c:pt idx="254">
                  <c:v>1.444</c:v>
                </c:pt>
                <c:pt idx="255">
                  <c:v>1.411</c:v>
                </c:pt>
                <c:pt idx="256">
                  <c:v>1.4219999999999999</c:v>
                </c:pt>
                <c:pt idx="257">
                  <c:v>1.4</c:v>
                </c:pt>
                <c:pt idx="258">
                  <c:v>1.399</c:v>
                </c:pt>
                <c:pt idx="259">
                  <c:v>1.4019999999999999</c:v>
                </c:pt>
                <c:pt idx="260">
                  <c:v>1.4019999999999999</c:v>
                </c:pt>
                <c:pt idx="261">
                  <c:v>1.4019999999999999</c:v>
                </c:pt>
                <c:pt idx="262">
                  <c:v>1.371</c:v>
                </c:pt>
                <c:pt idx="263">
                  <c:v>1.4059999999999999</c:v>
                </c:pt>
                <c:pt idx="264">
                  <c:v>1.363</c:v>
                </c:pt>
                <c:pt idx="265">
                  <c:v>1.335</c:v>
                </c:pt>
                <c:pt idx="266">
                  <c:v>1.335</c:v>
                </c:pt>
                <c:pt idx="267">
                  <c:v>1.335</c:v>
                </c:pt>
                <c:pt idx="268">
                  <c:v>1.335</c:v>
                </c:pt>
                <c:pt idx="269">
                  <c:v>1.286</c:v>
                </c:pt>
                <c:pt idx="270">
                  <c:v>1.2390000000000001</c:v>
                </c:pt>
                <c:pt idx="271">
                  <c:v>1.238</c:v>
                </c:pt>
                <c:pt idx="272">
                  <c:v>1.2250000000000001</c:v>
                </c:pt>
                <c:pt idx="273">
                  <c:v>1.214</c:v>
                </c:pt>
                <c:pt idx="274">
                  <c:v>1.214</c:v>
                </c:pt>
                <c:pt idx="275">
                  <c:v>1.214</c:v>
                </c:pt>
                <c:pt idx="276">
                  <c:v>1.1839999999999999</c:v>
                </c:pt>
                <c:pt idx="277">
                  <c:v>1.1359999999999999</c:v>
                </c:pt>
                <c:pt idx="278">
                  <c:v>1.0980000000000001</c:v>
                </c:pt>
                <c:pt idx="279">
                  <c:v>1.0629999999999999</c:v>
                </c:pt>
                <c:pt idx="280">
                  <c:v>1.0629999999999999</c:v>
                </c:pt>
                <c:pt idx="281">
                  <c:v>1.0629999999999999</c:v>
                </c:pt>
                <c:pt idx="282">
                  <c:v>1.0629999999999999</c:v>
                </c:pt>
                <c:pt idx="283">
                  <c:v>1.0629999999999999</c:v>
                </c:pt>
                <c:pt idx="284">
                  <c:v>1.044</c:v>
                </c:pt>
                <c:pt idx="285">
                  <c:v>1.038</c:v>
                </c:pt>
                <c:pt idx="286">
                  <c:v>1.0209999999999999</c:v>
                </c:pt>
                <c:pt idx="287">
                  <c:v>1.0109999999999999</c:v>
                </c:pt>
                <c:pt idx="288">
                  <c:v>1.0109999999999999</c:v>
                </c:pt>
                <c:pt idx="289">
                  <c:v>1.0109999999999999</c:v>
                </c:pt>
                <c:pt idx="290">
                  <c:v>0.98899999999999999</c:v>
                </c:pt>
                <c:pt idx="291">
                  <c:v>0.98599999999999999</c:v>
                </c:pt>
                <c:pt idx="292">
                  <c:v>0.96699999999999997</c:v>
                </c:pt>
                <c:pt idx="293">
                  <c:v>0.96899999999999997</c:v>
                </c:pt>
                <c:pt idx="294">
                  <c:v>0.96199999999999997</c:v>
                </c:pt>
                <c:pt idx="295">
                  <c:v>0.96199999999999997</c:v>
                </c:pt>
                <c:pt idx="296">
                  <c:v>0.96199999999999997</c:v>
                </c:pt>
                <c:pt idx="297">
                  <c:v>0.96199999999999997</c:v>
                </c:pt>
                <c:pt idx="298">
                  <c:v>0.96699999999999997</c:v>
                </c:pt>
                <c:pt idx="299">
                  <c:v>1.006</c:v>
                </c:pt>
                <c:pt idx="300">
                  <c:v>0.996</c:v>
                </c:pt>
                <c:pt idx="301">
                  <c:v>0.98299999999999998</c:v>
                </c:pt>
                <c:pt idx="302">
                  <c:v>0.98299999999999998</c:v>
                </c:pt>
                <c:pt idx="303">
                  <c:v>0.98299999999999998</c:v>
                </c:pt>
                <c:pt idx="304">
                  <c:v>0.96599999999999997</c:v>
                </c:pt>
                <c:pt idx="305">
                  <c:v>0.96599999999999997</c:v>
                </c:pt>
                <c:pt idx="306">
                  <c:v>0.95399999999999996</c:v>
                </c:pt>
                <c:pt idx="307">
                  <c:v>0.95799999999999996</c:v>
                </c:pt>
                <c:pt idx="308">
                  <c:v>0.93400000000000005</c:v>
                </c:pt>
                <c:pt idx="309">
                  <c:v>0.93400000000000005</c:v>
                </c:pt>
                <c:pt idx="310">
                  <c:v>0.93400000000000005</c:v>
                </c:pt>
                <c:pt idx="311">
                  <c:v>0.92800000000000005</c:v>
                </c:pt>
                <c:pt idx="312">
                  <c:v>0.94799999999999995</c:v>
                </c:pt>
                <c:pt idx="313">
                  <c:v>0.91600000000000004</c:v>
                </c:pt>
                <c:pt idx="314">
                  <c:v>0.88500000000000001</c:v>
                </c:pt>
                <c:pt idx="315">
                  <c:v>0.82599999999999996</c:v>
                </c:pt>
                <c:pt idx="316">
                  <c:v>0.82599999999999996</c:v>
                </c:pt>
                <c:pt idx="317">
                  <c:v>0.82599999999999996</c:v>
                </c:pt>
                <c:pt idx="318">
                  <c:v>0.80300000000000005</c:v>
                </c:pt>
                <c:pt idx="319">
                  <c:v>0.745</c:v>
                </c:pt>
                <c:pt idx="320">
                  <c:v>0.70299999999999996</c:v>
                </c:pt>
                <c:pt idx="321">
                  <c:v>0.64300000000000002</c:v>
                </c:pt>
                <c:pt idx="322">
                  <c:v>0.61</c:v>
                </c:pt>
                <c:pt idx="323">
                  <c:v>0.61</c:v>
                </c:pt>
                <c:pt idx="324">
                  <c:v>0.61</c:v>
                </c:pt>
                <c:pt idx="325">
                  <c:v>0.58299999999999996</c:v>
                </c:pt>
                <c:pt idx="326">
                  <c:v>0.52200000000000002</c:v>
                </c:pt>
                <c:pt idx="327">
                  <c:v>0.51100000000000001</c:v>
                </c:pt>
                <c:pt idx="328">
                  <c:v>0.504</c:v>
                </c:pt>
                <c:pt idx="329">
                  <c:v>0.52300000000000002</c:v>
                </c:pt>
                <c:pt idx="330">
                  <c:v>0.52300000000000002</c:v>
                </c:pt>
                <c:pt idx="331">
                  <c:v>0.52300000000000002</c:v>
                </c:pt>
                <c:pt idx="332">
                  <c:v>0.50800000000000001</c:v>
                </c:pt>
                <c:pt idx="333">
                  <c:v>0.498</c:v>
                </c:pt>
                <c:pt idx="334">
                  <c:v>0.48799999999999999</c:v>
                </c:pt>
                <c:pt idx="335">
                  <c:v>0.46400000000000002</c:v>
                </c:pt>
                <c:pt idx="336">
                  <c:v>0.48</c:v>
                </c:pt>
                <c:pt idx="337">
                  <c:v>0.48</c:v>
                </c:pt>
                <c:pt idx="338">
                  <c:v>0.48</c:v>
                </c:pt>
                <c:pt idx="339">
                  <c:v>0.48099999999999998</c:v>
                </c:pt>
                <c:pt idx="340">
                  <c:v>0.48799999999999999</c:v>
                </c:pt>
                <c:pt idx="341">
                  <c:v>0.46899999999999997</c:v>
                </c:pt>
                <c:pt idx="342">
                  <c:v>0.45900000000000002</c:v>
                </c:pt>
                <c:pt idx="343">
                  <c:v>0.50600000000000001</c:v>
                </c:pt>
                <c:pt idx="344">
                  <c:v>0.50600000000000001</c:v>
                </c:pt>
                <c:pt idx="345">
                  <c:v>0.50600000000000001</c:v>
                </c:pt>
                <c:pt idx="346">
                  <c:v>0.39500000000000002</c:v>
                </c:pt>
                <c:pt idx="347">
                  <c:v>0.377</c:v>
                </c:pt>
                <c:pt idx="348">
                  <c:v>0.36599999999999999</c:v>
                </c:pt>
                <c:pt idx="349">
                  <c:v>0.36199999999999999</c:v>
                </c:pt>
                <c:pt idx="350">
                  <c:v>0.33900000000000002</c:v>
                </c:pt>
                <c:pt idx="351">
                  <c:v>0.33900000000000002</c:v>
                </c:pt>
                <c:pt idx="352">
                  <c:v>0.33900000000000002</c:v>
                </c:pt>
                <c:pt idx="353">
                  <c:v>0.315</c:v>
                </c:pt>
                <c:pt idx="354">
                  <c:v>0.311</c:v>
                </c:pt>
                <c:pt idx="355">
                  <c:v>0.30299999999999999</c:v>
                </c:pt>
                <c:pt idx="356">
                  <c:v>0.309</c:v>
                </c:pt>
                <c:pt idx="357">
                  <c:v>0.317</c:v>
                </c:pt>
                <c:pt idx="358">
                  <c:v>0.317</c:v>
                </c:pt>
                <c:pt idx="359">
                  <c:v>0.317</c:v>
                </c:pt>
                <c:pt idx="360">
                  <c:v>0.29899999999999999</c:v>
                </c:pt>
                <c:pt idx="361">
                  <c:v>0.27800000000000002</c:v>
                </c:pt>
                <c:pt idx="362">
                  <c:v>0.26800000000000002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30144"/>
        <c:axId val="148231680"/>
      </c:lineChart>
      <c:dateAx>
        <c:axId val="148230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48231680"/>
        <c:crosses val="autoZero"/>
        <c:auto val="1"/>
        <c:lblOffset val="100"/>
        <c:baseTimeUnit val="days"/>
        <c:majorUnit val="3"/>
        <c:majorTimeUnit val="months"/>
      </c:dateAx>
      <c:valAx>
        <c:axId val="148231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48230144"/>
        <c:crosses val="autoZero"/>
        <c:crossBetween val="between"/>
      </c:valAx>
      <c:valAx>
        <c:axId val="1482332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148239104"/>
        <c:crosses val="max"/>
        <c:crossBetween val="between"/>
      </c:valAx>
      <c:dateAx>
        <c:axId val="14823910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233216"/>
        <c:crosses val="autoZero"/>
        <c:auto val="1"/>
        <c:lblOffset val="100"/>
        <c:baseTimeUnit val="days"/>
      </c:dateAx>
    </c:plotArea>
    <c:legend>
      <c:legendPos val="t"/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글로벌금융시장동향!$H$60</c:f>
              <c:strCache>
                <c:ptCount val="1"/>
                <c:pt idx="0">
                  <c:v>1M(%)</c:v>
                </c:pt>
              </c:strCache>
            </c:strRef>
          </c:tx>
          <c:spPr>
            <a:solidFill>
              <a:srgbClr val="FFCCCC"/>
            </a:solidFill>
          </c:spPr>
          <c:invertIfNegative val="0"/>
          <c:cat>
            <c:strRef>
              <c:f>글로벌금융시장동향!$E$61:$E$70</c:f>
              <c:strCache>
                <c:ptCount val="10"/>
                <c:pt idx="0">
                  <c:v>KRW</c:v>
                </c:pt>
                <c:pt idx="1">
                  <c:v>JPY</c:v>
                </c:pt>
                <c:pt idx="2">
                  <c:v>EUR</c:v>
                </c:pt>
                <c:pt idx="3">
                  <c:v>HKD</c:v>
                </c:pt>
                <c:pt idx="4">
                  <c:v>PHP</c:v>
                </c:pt>
                <c:pt idx="5">
                  <c:v>SGD</c:v>
                </c:pt>
                <c:pt idx="6">
                  <c:v>MYR</c:v>
                </c:pt>
                <c:pt idx="7">
                  <c:v>TWD</c:v>
                </c:pt>
                <c:pt idx="8">
                  <c:v>IDR</c:v>
                </c:pt>
                <c:pt idx="9">
                  <c:v>THB</c:v>
                </c:pt>
              </c:strCache>
            </c:strRef>
          </c:cat>
          <c:val>
            <c:numRef>
              <c:f>글로벌금융시장동향!$H$61:$H$70</c:f>
              <c:numCache>
                <c:formatCode>0.00_ </c:formatCode>
                <c:ptCount val="10"/>
                <c:pt idx="0" formatCode="0.0000_ ">
                  <c:v>-2.2933965994464216E-2</c:v>
                </c:pt>
                <c:pt idx="1">
                  <c:v>-8.4023371142581387E-3</c:v>
                </c:pt>
                <c:pt idx="2">
                  <c:v>1.6344447557672618E-2</c:v>
                </c:pt>
                <c:pt idx="3">
                  <c:v>3.1899765555939508E-3</c:v>
                </c:pt>
                <c:pt idx="4">
                  <c:v>-1.9748653500897689E-2</c:v>
                </c:pt>
                <c:pt idx="5">
                  <c:v>-1.4484097357025431E-2</c:v>
                </c:pt>
                <c:pt idx="6">
                  <c:v>-2.6575809199318567E-2</c:v>
                </c:pt>
                <c:pt idx="7">
                  <c:v>-1.4530442414589043E-2</c:v>
                </c:pt>
                <c:pt idx="8">
                  <c:v>-4.3676536707559895E-2</c:v>
                </c:pt>
                <c:pt idx="9" formatCode="0.0000_ ">
                  <c:v>-5.4022822475805414E-2</c:v>
                </c:pt>
              </c:numCache>
            </c:numRef>
          </c:val>
        </c:ser>
        <c:ser>
          <c:idx val="1"/>
          <c:order val="1"/>
          <c:tx>
            <c:strRef>
              <c:f>글로벌금융시장동향!$J$60</c:f>
              <c:strCache>
                <c:ptCount val="1"/>
                <c:pt idx="0">
                  <c:v>1Y(%)</c:v>
                </c:pt>
              </c:strCache>
            </c:strRef>
          </c:tx>
          <c:spPr>
            <a:solidFill>
              <a:srgbClr val="FF3399"/>
            </a:solidFill>
          </c:spPr>
          <c:invertIfNegative val="0"/>
          <c:cat>
            <c:strRef>
              <c:f>글로벌금융시장동향!$E$61:$E$70</c:f>
              <c:strCache>
                <c:ptCount val="10"/>
                <c:pt idx="0">
                  <c:v>KRW</c:v>
                </c:pt>
                <c:pt idx="1">
                  <c:v>JPY</c:v>
                </c:pt>
                <c:pt idx="2">
                  <c:v>EUR</c:v>
                </c:pt>
                <c:pt idx="3">
                  <c:v>HKD</c:v>
                </c:pt>
                <c:pt idx="4">
                  <c:v>PHP</c:v>
                </c:pt>
                <c:pt idx="5">
                  <c:v>SGD</c:v>
                </c:pt>
                <c:pt idx="6">
                  <c:v>MYR</c:v>
                </c:pt>
                <c:pt idx="7">
                  <c:v>TWD</c:v>
                </c:pt>
                <c:pt idx="8">
                  <c:v>IDR</c:v>
                </c:pt>
                <c:pt idx="9">
                  <c:v>THB</c:v>
                </c:pt>
              </c:strCache>
            </c:strRef>
          </c:cat>
          <c:val>
            <c:numRef>
              <c:f>글로벌금융시장동향!$J$61:$J$70</c:f>
              <c:numCache>
                <c:formatCode>0.00_ </c:formatCode>
                <c:ptCount val="10"/>
                <c:pt idx="0">
                  <c:v>-2.2933965994464216E-2</c:v>
                </c:pt>
                <c:pt idx="1">
                  <c:v>-8.4023371142581387E-3</c:v>
                </c:pt>
                <c:pt idx="2">
                  <c:v>1.6344447557672618E-2</c:v>
                </c:pt>
                <c:pt idx="3">
                  <c:v>3.1899765555939508E-3</c:v>
                </c:pt>
                <c:pt idx="4">
                  <c:v>-1.9748653500897689E-2</c:v>
                </c:pt>
                <c:pt idx="5">
                  <c:v>-1.4484097357025431E-2</c:v>
                </c:pt>
                <c:pt idx="6">
                  <c:v>-2.6575809199318567E-2</c:v>
                </c:pt>
                <c:pt idx="7">
                  <c:v>-1.4530442414589043E-2</c:v>
                </c:pt>
                <c:pt idx="8">
                  <c:v>-4.3676536707559895E-2</c:v>
                </c:pt>
                <c:pt idx="9" formatCode="0.0000_ ">
                  <c:v>-5.4022822475805414E-2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44000"/>
        <c:axId val="148945536"/>
      </c:barChart>
      <c:catAx>
        <c:axId val="148944000"/>
        <c:scaling>
          <c:orientation val="minMax"/>
        </c:scaling>
        <c:delete val="0"/>
        <c:axPos val="b"/>
        <c:majorTickMark val="out"/>
        <c:minorTickMark val="none"/>
        <c:tickLblPos val="low"/>
        <c:crossAx val="148945536"/>
        <c:crosses val="autoZero"/>
        <c:auto val="1"/>
        <c:lblAlgn val="ctr"/>
        <c:lblOffset val="100"/>
        <c:noMultiLvlLbl val="0"/>
      </c:catAx>
      <c:valAx>
        <c:axId val="148945536"/>
        <c:scaling>
          <c:orientation val="minMax"/>
        </c:scaling>
        <c:delete val="0"/>
        <c:axPos val="l"/>
        <c:numFmt formatCode="0.0000_ " sourceLinked="1"/>
        <c:majorTickMark val="out"/>
        <c:minorTickMark val="none"/>
        <c:tickLblPos val="nextTo"/>
        <c:crossAx val="1489440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글로벌금융시장동향실습!$L$11</c:f>
              <c:strCache>
                <c:ptCount val="1"/>
                <c:pt idx="0">
                  <c:v>3M(%)</c:v>
                </c:pt>
              </c:strCache>
            </c:strRef>
          </c:tx>
          <c:spPr>
            <a:solidFill>
              <a:srgbClr val="3366CC"/>
            </a:solidFill>
          </c:spPr>
          <c:invertIfNegative val="0"/>
          <c:cat>
            <c:strRef>
              <c:f>글로벌금융시장동향실습!$E$12:$E$24</c:f>
              <c:strCache>
                <c:ptCount val="13"/>
                <c:pt idx="0">
                  <c:v>KOSPI</c:v>
                </c:pt>
                <c:pt idx="1">
                  <c:v>상해종합</c:v>
                </c:pt>
                <c:pt idx="2">
                  <c:v>대만</c:v>
                </c:pt>
                <c:pt idx="3">
                  <c:v>일본</c:v>
                </c:pt>
                <c:pt idx="4">
                  <c:v>항셍H</c:v>
                </c:pt>
                <c:pt idx="5">
                  <c:v>인도</c:v>
                </c:pt>
                <c:pt idx="6">
                  <c:v>칠레</c:v>
                </c:pt>
                <c:pt idx="7">
                  <c:v>독일</c:v>
                </c:pt>
                <c:pt idx="8">
                  <c:v>프랑스</c:v>
                </c:pt>
                <c:pt idx="9">
                  <c:v>다우존스</c:v>
                </c:pt>
                <c:pt idx="10">
                  <c:v>나스닥</c:v>
                </c:pt>
                <c:pt idx="11">
                  <c:v>S&amp;P</c:v>
                </c:pt>
                <c:pt idx="12">
                  <c:v>EURO STOXX50</c:v>
                </c:pt>
              </c:strCache>
            </c:strRef>
          </c:cat>
          <c:val>
            <c:numRef>
              <c:f>글로벌금융시장동향실습!$L$12:$L$24</c:f>
              <c:numCache>
                <c:formatCode>0.00_ </c:formatCode>
                <c:ptCount val="13"/>
              </c:numCache>
            </c:numRef>
          </c:val>
        </c:ser>
        <c:ser>
          <c:idx val="1"/>
          <c:order val="1"/>
          <c:tx>
            <c:strRef>
              <c:f>글로벌금융시장동향실습!$N$11</c:f>
              <c:strCache>
                <c:ptCount val="1"/>
                <c:pt idx="0">
                  <c:v>1Y(%)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글로벌금융시장동향실습!$E$12:$E$24</c:f>
              <c:strCache>
                <c:ptCount val="13"/>
                <c:pt idx="0">
                  <c:v>KOSPI</c:v>
                </c:pt>
                <c:pt idx="1">
                  <c:v>상해종합</c:v>
                </c:pt>
                <c:pt idx="2">
                  <c:v>대만</c:v>
                </c:pt>
                <c:pt idx="3">
                  <c:v>일본</c:v>
                </c:pt>
                <c:pt idx="4">
                  <c:v>항셍H</c:v>
                </c:pt>
                <c:pt idx="5">
                  <c:v>인도</c:v>
                </c:pt>
                <c:pt idx="6">
                  <c:v>칠레</c:v>
                </c:pt>
                <c:pt idx="7">
                  <c:v>독일</c:v>
                </c:pt>
                <c:pt idx="8">
                  <c:v>프랑스</c:v>
                </c:pt>
                <c:pt idx="9">
                  <c:v>다우존스</c:v>
                </c:pt>
                <c:pt idx="10">
                  <c:v>나스닥</c:v>
                </c:pt>
                <c:pt idx="11">
                  <c:v>S&amp;P</c:v>
                </c:pt>
                <c:pt idx="12">
                  <c:v>EURO STOXX50</c:v>
                </c:pt>
              </c:strCache>
            </c:strRef>
          </c:cat>
          <c:val>
            <c:numRef>
              <c:f>글로벌금융시장동향실습!$N$12:$N$24</c:f>
              <c:numCache>
                <c:formatCode>0.00_ </c:formatCode>
                <c:ptCount val="1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77056"/>
        <c:axId val="148478592"/>
      </c:barChart>
      <c:catAx>
        <c:axId val="148477056"/>
        <c:scaling>
          <c:orientation val="minMax"/>
        </c:scaling>
        <c:delete val="0"/>
        <c:axPos val="b"/>
        <c:majorTickMark val="out"/>
        <c:minorTickMark val="none"/>
        <c:tickLblPos val="low"/>
        <c:txPr>
          <a:bodyPr/>
          <a:lstStyle/>
          <a:p>
            <a:pPr>
              <a:defRPr sz="900"/>
            </a:pPr>
            <a:endParaRPr lang="ko-KR"/>
          </a:p>
        </c:txPr>
        <c:crossAx val="148478592"/>
        <c:crosses val="autoZero"/>
        <c:auto val="1"/>
        <c:lblAlgn val="ctr"/>
        <c:lblOffset val="100"/>
        <c:noMultiLvlLbl val="0"/>
      </c:catAx>
      <c:valAx>
        <c:axId val="14847859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48477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글로벌금융시장동향실습!$H$64</c:f>
              <c:strCache>
                <c:ptCount val="1"/>
                <c:pt idx="0">
                  <c:v>1M(%)</c:v>
                </c:pt>
              </c:strCache>
            </c:strRef>
          </c:tx>
          <c:spPr>
            <a:solidFill>
              <a:srgbClr val="FFCCCC"/>
            </a:solidFill>
          </c:spPr>
          <c:invertIfNegative val="0"/>
          <c:cat>
            <c:strRef>
              <c:f>글로벌금융시장동향실습!$E$65:$E$74</c:f>
              <c:strCache>
                <c:ptCount val="10"/>
                <c:pt idx="0">
                  <c:v>KRW</c:v>
                </c:pt>
                <c:pt idx="1">
                  <c:v>JPY</c:v>
                </c:pt>
                <c:pt idx="2">
                  <c:v>EUR</c:v>
                </c:pt>
                <c:pt idx="3">
                  <c:v>HKD</c:v>
                </c:pt>
                <c:pt idx="4">
                  <c:v>PHP</c:v>
                </c:pt>
                <c:pt idx="5">
                  <c:v>SGD</c:v>
                </c:pt>
                <c:pt idx="6">
                  <c:v>MYR</c:v>
                </c:pt>
                <c:pt idx="7">
                  <c:v>TWD</c:v>
                </c:pt>
                <c:pt idx="8">
                  <c:v>IDR</c:v>
                </c:pt>
                <c:pt idx="9">
                  <c:v>THB</c:v>
                </c:pt>
              </c:strCache>
            </c:strRef>
          </c:cat>
          <c:val>
            <c:numRef>
              <c:f>글로벌금융시장동향실습!$H$65:$H$74</c:f>
              <c:numCache>
                <c:formatCode>0.00_ </c:formatCode>
                <c:ptCount val="10"/>
              </c:numCache>
            </c:numRef>
          </c:val>
        </c:ser>
        <c:ser>
          <c:idx val="1"/>
          <c:order val="1"/>
          <c:tx>
            <c:strRef>
              <c:f>글로벌금융시장동향실습!$J$64</c:f>
              <c:strCache>
                <c:ptCount val="1"/>
                <c:pt idx="0">
                  <c:v>1Y(%)</c:v>
                </c:pt>
              </c:strCache>
            </c:strRef>
          </c:tx>
          <c:spPr>
            <a:solidFill>
              <a:srgbClr val="FF3399"/>
            </a:solidFill>
          </c:spPr>
          <c:invertIfNegative val="0"/>
          <c:cat>
            <c:strRef>
              <c:f>글로벌금융시장동향실습!$E$65:$E$74</c:f>
              <c:strCache>
                <c:ptCount val="10"/>
                <c:pt idx="0">
                  <c:v>KRW</c:v>
                </c:pt>
                <c:pt idx="1">
                  <c:v>JPY</c:v>
                </c:pt>
                <c:pt idx="2">
                  <c:v>EUR</c:v>
                </c:pt>
                <c:pt idx="3">
                  <c:v>HKD</c:v>
                </c:pt>
                <c:pt idx="4">
                  <c:v>PHP</c:v>
                </c:pt>
                <c:pt idx="5">
                  <c:v>SGD</c:v>
                </c:pt>
                <c:pt idx="6">
                  <c:v>MYR</c:v>
                </c:pt>
                <c:pt idx="7">
                  <c:v>TWD</c:v>
                </c:pt>
                <c:pt idx="8">
                  <c:v>IDR</c:v>
                </c:pt>
                <c:pt idx="9">
                  <c:v>THB</c:v>
                </c:pt>
              </c:strCache>
            </c:strRef>
          </c:cat>
          <c:val>
            <c:numRef>
              <c:f>글로벌금융시장동향실습!$J$65:$J$74</c:f>
              <c:numCache>
                <c:formatCode>0.00_ </c:formatCode>
                <c:ptCount val="1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99840"/>
        <c:axId val="148247680"/>
      </c:barChart>
      <c:catAx>
        <c:axId val="148499840"/>
        <c:scaling>
          <c:orientation val="minMax"/>
        </c:scaling>
        <c:delete val="0"/>
        <c:axPos val="b"/>
        <c:majorTickMark val="out"/>
        <c:minorTickMark val="none"/>
        <c:tickLblPos val="nextTo"/>
        <c:crossAx val="148247680"/>
        <c:crosses val="autoZero"/>
        <c:auto val="1"/>
        <c:lblAlgn val="ctr"/>
        <c:lblOffset val="100"/>
        <c:noMultiLvlLbl val="0"/>
      </c:catAx>
      <c:valAx>
        <c:axId val="148247680"/>
        <c:scaling>
          <c:orientation val="minMax"/>
        </c:scaling>
        <c:delete val="0"/>
        <c:axPos val="l"/>
        <c:numFmt formatCode="0.0000_ 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849984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글로벌금융시장동향실습!$AH$12:$AH$13</c:f>
              <c:strCache>
                <c:ptCount val="1"/>
                <c:pt idx="0">
                  <c:v>TED SPREAD 종가</c:v>
                </c:pt>
              </c:strCache>
            </c:strRef>
          </c:tx>
          <c:spPr>
            <a:solidFill>
              <a:srgbClr val="99FF99"/>
            </a:solidFill>
          </c:spPr>
          <c:invertIfNegative val="0"/>
          <c:cat>
            <c:numRef>
              <c:f>글로벌금융시장동향실습!$AE$14:$AE$379</c:f>
              <c:numCache>
                <c:formatCode>m/d/yyyy</c:formatCode>
                <c:ptCount val="366"/>
                <c:pt idx="0">
                  <c:v>44950</c:v>
                </c:pt>
                <c:pt idx="1">
                  <c:v>44949</c:v>
                </c:pt>
                <c:pt idx="2">
                  <c:v>44948</c:v>
                </c:pt>
                <c:pt idx="3">
                  <c:v>44947</c:v>
                </c:pt>
                <c:pt idx="4">
                  <c:v>44946</c:v>
                </c:pt>
                <c:pt idx="5">
                  <c:v>44945</c:v>
                </c:pt>
                <c:pt idx="6">
                  <c:v>44944</c:v>
                </c:pt>
                <c:pt idx="7">
                  <c:v>44943</c:v>
                </c:pt>
                <c:pt idx="8">
                  <c:v>44942</c:v>
                </c:pt>
                <c:pt idx="9">
                  <c:v>44941</c:v>
                </c:pt>
                <c:pt idx="10">
                  <c:v>44940</c:v>
                </c:pt>
                <c:pt idx="11">
                  <c:v>44939</c:v>
                </c:pt>
                <c:pt idx="12">
                  <c:v>44938</c:v>
                </c:pt>
                <c:pt idx="13">
                  <c:v>44937</c:v>
                </c:pt>
                <c:pt idx="14">
                  <c:v>44936</c:v>
                </c:pt>
                <c:pt idx="15">
                  <c:v>44935</c:v>
                </c:pt>
                <c:pt idx="16">
                  <c:v>44934</c:v>
                </c:pt>
                <c:pt idx="17">
                  <c:v>44933</c:v>
                </c:pt>
                <c:pt idx="18">
                  <c:v>44932</c:v>
                </c:pt>
                <c:pt idx="19">
                  <c:v>44931</c:v>
                </c:pt>
                <c:pt idx="20">
                  <c:v>44930</c:v>
                </c:pt>
                <c:pt idx="21">
                  <c:v>44929</c:v>
                </c:pt>
                <c:pt idx="22">
                  <c:v>44928</c:v>
                </c:pt>
                <c:pt idx="23">
                  <c:v>44927</c:v>
                </c:pt>
                <c:pt idx="24">
                  <c:v>44926</c:v>
                </c:pt>
                <c:pt idx="25">
                  <c:v>44925</c:v>
                </c:pt>
                <c:pt idx="26">
                  <c:v>44924</c:v>
                </c:pt>
                <c:pt idx="27">
                  <c:v>44923</c:v>
                </c:pt>
                <c:pt idx="28">
                  <c:v>44922</c:v>
                </c:pt>
                <c:pt idx="29">
                  <c:v>44921</c:v>
                </c:pt>
                <c:pt idx="30">
                  <c:v>44920</c:v>
                </c:pt>
                <c:pt idx="31">
                  <c:v>44919</c:v>
                </c:pt>
                <c:pt idx="32">
                  <c:v>44918</c:v>
                </c:pt>
                <c:pt idx="33">
                  <c:v>44917</c:v>
                </c:pt>
                <c:pt idx="34">
                  <c:v>44916</c:v>
                </c:pt>
                <c:pt idx="35">
                  <c:v>44915</c:v>
                </c:pt>
                <c:pt idx="36">
                  <c:v>44914</c:v>
                </c:pt>
                <c:pt idx="37">
                  <c:v>44913</c:v>
                </c:pt>
                <c:pt idx="38">
                  <c:v>44912</c:v>
                </c:pt>
                <c:pt idx="39">
                  <c:v>44911</c:v>
                </c:pt>
                <c:pt idx="40">
                  <c:v>44910</c:v>
                </c:pt>
                <c:pt idx="41">
                  <c:v>44909</c:v>
                </c:pt>
                <c:pt idx="42">
                  <c:v>44908</c:v>
                </c:pt>
                <c:pt idx="43">
                  <c:v>44907</c:v>
                </c:pt>
                <c:pt idx="44">
                  <c:v>44906</c:v>
                </c:pt>
                <c:pt idx="45">
                  <c:v>44905</c:v>
                </c:pt>
                <c:pt idx="46">
                  <c:v>44904</c:v>
                </c:pt>
                <c:pt idx="47">
                  <c:v>44903</c:v>
                </c:pt>
                <c:pt idx="48">
                  <c:v>44902</c:v>
                </c:pt>
                <c:pt idx="49">
                  <c:v>44901</c:v>
                </c:pt>
                <c:pt idx="50">
                  <c:v>44900</c:v>
                </c:pt>
                <c:pt idx="51">
                  <c:v>44899</c:v>
                </c:pt>
                <c:pt idx="52">
                  <c:v>44898</c:v>
                </c:pt>
                <c:pt idx="53">
                  <c:v>44897</c:v>
                </c:pt>
                <c:pt idx="54">
                  <c:v>44896</c:v>
                </c:pt>
                <c:pt idx="55">
                  <c:v>44895</c:v>
                </c:pt>
                <c:pt idx="56">
                  <c:v>44894</c:v>
                </c:pt>
                <c:pt idx="57">
                  <c:v>44893</c:v>
                </c:pt>
                <c:pt idx="58">
                  <c:v>44892</c:v>
                </c:pt>
                <c:pt idx="59">
                  <c:v>44891</c:v>
                </c:pt>
                <c:pt idx="60">
                  <c:v>44890</c:v>
                </c:pt>
                <c:pt idx="61">
                  <c:v>44889</c:v>
                </c:pt>
                <c:pt idx="62">
                  <c:v>44888</c:v>
                </c:pt>
                <c:pt idx="63">
                  <c:v>44887</c:v>
                </c:pt>
                <c:pt idx="64">
                  <c:v>44886</c:v>
                </c:pt>
                <c:pt idx="65">
                  <c:v>44885</c:v>
                </c:pt>
                <c:pt idx="66">
                  <c:v>44884</c:v>
                </c:pt>
                <c:pt idx="67">
                  <c:v>44883</c:v>
                </c:pt>
                <c:pt idx="68">
                  <c:v>44882</c:v>
                </c:pt>
                <c:pt idx="69">
                  <c:v>44881</c:v>
                </c:pt>
                <c:pt idx="70">
                  <c:v>44880</c:v>
                </c:pt>
                <c:pt idx="71">
                  <c:v>44879</c:v>
                </c:pt>
                <c:pt idx="72">
                  <c:v>44878</c:v>
                </c:pt>
                <c:pt idx="73">
                  <c:v>44877</c:v>
                </c:pt>
                <c:pt idx="74">
                  <c:v>44876</c:v>
                </c:pt>
                <c:pt idx="75">
                  <c:v>44875</c:v>
                </c:pt>
                <c:pt idx="76">
                  <c:v>44874</c:v>
                </c:pt>
                <c:pt idx="77">
                  <c:v>44873</c:v>
                </c:pt>
                <c:pt idx="78">
                  <c:v>44872</c:v>
                </c:pt>
                <c:pt idx="79">
                  <c:v>44871</c:v>
                </c:pt>
                <c:pt idx="80">
                  <c:v>44870</c:v>
                </c:pt>
                <c:pt idx="81">
                  <c:v>44869</c:v>
                </c:pt>
                <c:pt idx="82">
                  <c:v>44868</c:v>
                </c:pt>
                <c:pt idx="83">
                  <c:v>44867</c:v>
                </c:pt>
                <c:pt idx="84">
                  <c:v>44866</c:v>
                </c:pt>
                <c:pt idx="85">
                  <c:v>44865</c:v>
                </c:pt>
                <c:pt idx="86">
                  <c:v>44864</c:v>
                </c:pt>
                <c:pt idx="87">
                  <c:v>44863</c:v>
                </c:pt>
                <c:pt idx="88">
                  <c:v>44862</c:v>
                </c:pt>
                <c:pt idx="89">
                  <c:v>44861</c:v>
                </c:pt>
                <c:pt idx="90">
                  <c:v>44860</c:v>
                </c:pt>
                <c:pt idx="91">
                  <c:v>44859</c:v>
                </c:pt>
                <c:pt idx="92">
                  <c:v>44858</c:v>
                </c:pt>
                <c:pt idx="93">
                  <c:v>44857</c:v>
                </c:pt>
                <c:pt idx="94">
                  <c:v>44856</c:v>
                </c:pt>
                <c:pt idx="95">
                  <c:v>44855</c:v>
                </c:pt>
                <c:pt idx="96">
                  <c:v>44854</c:v>
                </c:pt>
                <c:pt idx="97">
                  <c:v>44853</c:v>
                </c:pt>
                <c:pt idx="98">
                  <c:v>44852</c:v>
                </c:pt>
                <c:pt idx="99">
                  <c:v>44851</c:v>
                </c:pt>
                <c:pt idx="100">
                  <c:v>44850</c:v>
                </c:pt>
                <c:pt idx="101">
                  <c:v>44849</c:v>
                </c:pt>
                <c:pt idx="102">
                  <c:v>44848</c:v>
                </c:pt>
                <c:pt idx="103">
                  <c:v>44847</c:v>
                </c:pt>
                <c:pt idx="104">
                  <c:v>44846</c:v>
                </c:pt>
                <c:pt idx="105">
                  <c:v>44845</c:v>
                </c:pt>
                <c:pt idx="106">
                  <c:v>44844</c:v>
                </c:pt>
                <c:pt idx="107">
                  <c:v>44843</c:v>
                </c:pt>
                <c:pt idx="108">
                  <c:v>44842</c:v>
                </c:pt>
                <c:pt idx="109">
                  <c:v>44841</c:v>
                </c:pt>
                <c:pt idx="110">
                  <c:v>44840</c:v>
                </c:pt>
                <c:pt idx="111">
                  <c:v>44839</c:v>
                </c:pt>
                <c:pt idx="112">
                  <c:v>44838</c:v>
                </c:pt>
                <c:pt idx="113">
                  <c:v>44837</c:v>
                </c:pt>
                <c:pt idx="114">
                  <c:v>44836</c:v>
                </c:pt>
                <c:pt idx="115">
                  <c:v>44835</c:v>
                </c:pt>
                <c:pt idx="116">
                  <c:v>44834</c:v>
                </c:pt>
                <c:pt idx="117">
                  <c:v>44833</c:v>
                </c:pt>
                <c:pt idx="118">
                  <c:v>44832</c:v>
                </c:pt>
                <c:pt idx="119">
                  <c:v>44831</c:v>
                </c:pt>
                <c:pt idx="120">
                  <c:v>44830</c:v>
                </c:pt>
                <c:pt idx="121">
                  <c:v>44829</c:v>
                </c:pt>
                <c:pt idx="122">
                  <c:v>44828</c:v>
                </c:pt>
                <c:pt idx="123">
                  <c:v>44827</c:v>
                </c:pt>
                <c:pt idx="124">
                  <c:v>44826</c:v>
                </c:pt>
                <c:pt idx="125">
                  <c:v>44825</c:v>
                </c:pt>
                <c:pt idx="126">
                  <c:v>44824</c:v>
                </c:pt>
                <c:pt idx="127">
                  <c:v>44823</c:v>
                </c:pt>
                <c:pt idx="128">
                  <c:v>44822</c:v>
                </c:pt>
                <c:pt idx="129">
                  <c:v>44821</c:v>
                </c:pt>
                <c:pt idx="130">
                  <c:v>44820</c:v>
                </c:pt>
                <c:pt idx="131">
                  <c:v>44819</c:v>
                </c:pt>
                <c:pt idx="132">
                  <c:v>44818</c:v>
                </c:pt>
                <c:pt idx="133">
                  <c:v>44817</c:v>
                </c:pt>
                <c:pt idx="134">
                  <c:v>44816</c:v>
                </c:pt>
                <c:pt idx="135">
                  <c:v>44815</c:v>
                </c:pt>
                <c:pt idx="136">
                  <c:v>44814</c:v>
                </c:pt>
                <c:pt idx="137">
                  <c:v>44813</c:v>
                </c:pt>
                <c:pt idx="138">
                  <c:v>44812</c:v>
                </c:pt>
                <c:pt idx="139">
                  <c:v>44811</c:v>
                </c:pt>
                <c:pt idx="140">
                  <c:v>44810</c:v>
                </c:pt>
                <c:pt idx="141">
                  <c:v>44809</c:v>
                </c:pt>
                <c:pt idx="142">
                  <c:v>44808</c:v>
                </c:pt>
                <c:pt idx="143">
                  <c:v>44807</c:v>
                </c:pt>
                <c:pt idx="144">
                  <c:v>44806</c:v>
                </c:pt>
                <c:pt idx="145">
                  <c:v>44805</c:v>
                </c:pt>
                <c:pt idx="146">
                  <c:v>44804</c:v>
                </c:pt>
                <c:pt idx="147">
                  <c:v>44803</c:v>
                </c:pt>
                <c:pt idx="148">
                  <c:v>44802</c:v>
                </c:pt>
                <c:pt idx="149">
                  <c:v>44801</c:v>
                </c:pt>
                <c:pt idx="150">
                  <c:v>44800</c:v>
                </c:pt>
                <c:pt idx="151">
                  <c:v>44799</c:v>
                </c:pt>
                <c:pt idx="152">
                  <c:v>44798</c:v>
                </c:pt>
                <c:pt idx="153">
                  <c:v>44797</c:v>
                </c:pt>
                <c:pt idx="154">
                  <c:v>44796</c:v>
                </c:pt>
                <c:pt idx="155">
                  <c:v>44795</c:v>
                </c:pt>
                <c:pt idx="156">
                  <c:v>44794</c:v>
                </c:pt>
                <c:pt idx="157">
                  <c:v>44793</c:v>
                </c:pt>
                <c:pt idx="158">
                  <c:v>44792</c:v>
                </c:pt>
                <c:pt idx="159">
                  <c:v>44791</c:v>
                </c:pt>
                <c:pt idx="160">
                  <c:v>44790</c:v>
                </c:pt>
                <c:pt idx="161">
                  <c:v>44789</c:v>
                </c:pt>
                <c:pt idx="162">
                  <c:v>44788</c:v>
                </c:pt>
                <c:pt idx="163">
                  <c:v>44787</c:v>
                </c:pt>
                <c:pt idx="164">
                  <c:v>44786</c:v>
                </c:pt>
                <c:pt idx="165">
                  <c:v>44785</c:v>
                </c:pt>
                <c:pt idx="166">
                  <c:v>44784</c:v>
                </c:pt>
                <c:pt idx="167">
                  <c:v>44783</c:v>
                </c:pt>
                <c:pt idx="168">
                  <c:v>44782</c:v>
                </c:pt>
                <c:pt idx="169">
                  <c:v>44781</c:v>
                </c:pt>
                <c:pt idx="170">
                  <c:v>44780</c:v>
                </c:pt>
                <c:pt idx="171">
                  <c:v>44779</c:v>
                </c:pt>
                <c:pt idx="172">
                  <c:v>44778</c:v>
                </c:pt>
                <c:pt idx="173">
                  <c:v>44777</c:v>
                </c:pt>
                <c:pt idx="174">
                  <c:v>44776</c:v>
                </c:pt>
                <c:pt idx="175">
                  <c:v>44775</c:v>
                </c:pt>
                <c:pt idx="176">
                  <c:v>44774</c:v>
                </c:pt>
                <c:pt idx="177">
                  <c:v>44773</c:v>
                </c:pt>
                <c:pt idx="178">
                  <c:v>44772</c:v>
                </c:pt>
                <c:pt idx="179">
                  <c:v>44771</c:v>
                </c:pt>
                <c:pt idx="180">
                  <c:v>44770</c:v>
                </c:pt>
                <c:pt idx="181">
                  <c:v>44769</c:v>
                </c:pt>
                <c:pt idx="182">
                  <c:v>44768</c:v>
                </c:pt>
                <c:pt idx="183">
                  <c:v>44767</c:v>
                </c:pt>
                <c:pt idx="184">
                  <c:v>44766</c:v>
                </c:pt>
                <c:pt idx="185">
                  <c:v>44765</c:v>
                </c:pt>
                <c:pt idx="186">
                  <c:v>44764</c:v>
                </c:pt>
                <c:pt idx="187">
                  <c:v>44763</c:v>
                </c:pt>
                <c:pt idx="188">
                  <c:v>44762</c:v>
                </c:pt>
                <c:pt idx="189">
                  <c:v>44761</c:v>
                </c:pt>
                <c:pt idx="190">
                  <c:v>44760</c:v>
                </c:pt>
                <c:pt idx="191">
                  <c:v>44759</c:v>
                </c:pt>
                <c:pt idx="192">
                  <c:v>44758</c:v>
                </c:pt>
                <c:pt idx="193">
                  <c:v>44757</c:v>
                </c:pt>
                <c:pt idx="194">
                  <c:v>44756</c:v>
                </c:pt>
                <c:pt idx="195">
                  <c:v>44755</c:v>
                </c:pt>
                <c:pt idx="196">
                  <c:v>44754</c:v>
                </c:pt>
                <c:pt idx="197">
                  <c:v>44753</c:v>
                </c:pt>
                <c:pt idx="198">
                  <c:v>44752</c:v>
                </c:pt>
                <c:pt idx="199">
                  <c:v>44751</c:v>
                </c:pt>
                <c:pt idx="200">
                  <c:v>44750</c:v>
                </c:pt>
                <c:pt idx="201">
                  <c:v>44749</c:v>
                </c:pt>
                <c:pt idx="202">
                  <c:v>44748</c:v>
                </c:pt>
                <c:pt idx="203">
                  <c:v>44747</c:v>
                </c:pt>
                <c:pt idx="204">
                  <c:v>44746</c:v>
                </c:pt>
                <c:pt idx="205">
                  <c:v>44745</c:v>
                </c:pt>
                <c:pt idx="206">
                  <c:v>44744</c:v>
                </c:pt>
                <c:pt idx="207">
                  <c:v>44743</c:v>
                </c:pt>
                <c:pt idx="208">
                  <c:v>44742</c:v>
                </c:pt>
                <c:pt idx="209">
                  <c:v>44741</c:v>
                </c:pt>
                <c:pt idx="210">
                  <c:v>44740</c:v>
                </c:pt>
                <c:pt idx="211">
                  <c:v>44739</c:v>
                </c:pt>
                <c:pt idx="212">
                  <c:v>44738</c:v>
                </c:pt>
                <c:pt idx="213">
                  <c:v>44737</c:v>
                </c:pt>
                <c:pt idx="214">
                  <c:v>44736</c:v>
                </c:pt>
                <c:pt idx="215">
                  <c:v>44735</c:v>
                </c:pt>
                <c:pt idx="216">
                  <c:v>44734</c:v>
                </c:pt>
                <c:pt idx="217">
                  <c:v>44733</c:v>
                </c:pt>
                <c:pt idx="218">
                  <c:v>44732</c:v>
                </c:pt>
                <c:pt idx="219">
                  <c:v>44731</c:v>
                </c:pt>
                <c:pt idx="220">
                  <c:v>44730</c:v>
                </c:pt>
                <c:pt idx="221">
                  <c:v>44729</c:v>
                </c:pt>
                <c:pt idx="222">
                  <c:v>44728</c:v>
                </c:pt>
                <c:pt idx="223">
                  <c:v>44727</c:v>
                </c:pt>
                <c:pt idx="224">
                  <c:v>44726</c:v>
                </c:pt>
                <c:pt idx="225">
                  <c:v>44725</c:v>
                </c:pt>
                <c:pt idx="226">
                  <c:v>44724</c:v>
                </c:pt>
                <c:pt idx="227">
                  <c:v>44723</c:v>
                </c:pt>
                <c:pt idx="228">
                  <c:v>44722</c:v>
                </c:pt>
                <c:pt idx="229">
                  <c:v>44721</c:v>
                </c:pt>
                <c:pt idx="230">
                  <c:v>44720</c:v>
                </c:pt>
                <c:pt idx="231">
                  <c:v>44719</c:v>
                </c:pt>
                <c:pt idx="232">
                  <c:v>44718</c:v>
                </c:pt>
                <c:pt idx="233">
                  <c:v>44717</c:v>
                </c:pt>
                <c:pt idx="234">
                  <c:v>44716</c:v>
                </c:pt>
                <c:pt idx="235">
                  <c:v>44715</c:v>
                </c:pt>
                <c:pt idx="236">
                  <c:v>44714</c:v>
                </c:pt>
                <c:pt idx="237">
                  <c:v>44713</c:v>
                </c:pt>
                <c:pt idx="238">
                  <c:v>44712</c:v>
                </c:pt>
                <c:pt idx="239">
                  <c:v>44711</c:v>
                </c:pt>
                <c:pt idx="240">
                  <c:v>44710</c:v>
                </c:pt>
                <c:pt idx="241">
                  <c:v>44709</c:v>
                </c:pt>
                <c:pt idx="242">
                  <c:v>44708</c:v>
                </c:pt>
                <c:pt idx="243">
                  <c:v>44707</c:v>
                </c:pt>
                <c:pt idx="244">
                  <c:v>44706</c:v>
                </c:pt>
                <c:pt idx="245">
                  <c:v>44705</c:v>
                </c:pt>
                <c:pt idx="246">
                  <c:v>44704</c:v>
                </c:pt>
                <c:pt idx="247">
                  <c:v>44703</c:v>
                </c:pt>
                <c:pt idx="248">
                  <c:v>44702</c:v>
                </c:pt>
                <c:pt idx="249">
                  <c:v>44701</c:v>
                </c:pt>
                <c:pt idx="250">
                  <c:v>44700</c:v>
                </c:pt>
                <c:pt idx="251">
                  <c:v>44699</c:v>
                </c:pt>
                <c:pt idx="252">
                  <c:v>44698</c:v>
                </c:pt>
                <c:pt idx="253">
                  <c:v>44697</c:v>
                </c:pt>
                <c:pt idx="254">
                  <c:v>44696</c:v>
                </c:pt>
                <c:pt idx="255">
                  <c:v>44695</c:v>
                </c:pt>
                <c:pt idx="256">
                  <c:v>44694</c:v>
                </c:pt>
                <c:pt idx="257">
                  <c:v>44693</c:v>
                </c:pt>
                <c:pt idx="258">
                  <c:v>44692</c:v>
                </c:pt>
                <c:pt idx="259">
                  <c:v>44691</c:v>
                </c:pt>
                <c:pt idx="260">
                  <c:v>44690</c:v>
                </c:pt>
                <c:pt idx="261">
                  <c:v>44689</c:v>
                </c:pt>
                <c:pt idx="262">
                  <c:v>44688</c:v>
                </c:pt>
                <c:pt idx="263">
                  <c:v>44687</c:v>
                </c:pt>
                <c:pt idx="264">
                  <c:v>44686</c:v>
                </c:pt>
                <c:pt idx="265">
                  <c:v>44685</c:v>
                </c:pt>
                <c:pt idx="266">
                  <c:v>44684</c:v>
                </c:pt>
                <c:pt idx="267">
                  <c:v>44683</c:v>
                </c:pt>
                <c:pt idx="268">
                  <c:v>44682</c:v>
                </c:pt>
                <c:pt idx="269">
                  <c:v>44681</c:v>
                </c:pt>
                <c:pt idx="270">
                  <c:v>44680</c:v>
                </c:pt>
                <c:pt idx="271">
                  <c:v>44679</c:v>
                </c:pt>
                <c:pt idx="272">
                  <c:v>44678</c:v>
                </c:pt>
                <c:pt idx="273">
                  <c:v>44677</c:v>
                </c:pt>
                <c:pt idx="274">
                  <c:v>44676</c:v>
                </c:pt>
                <c:pt idx="275">
                  <c:v>44675</c:v>
                </c:pt>
                <c:pt idx="276">
                  <c:v>44674</c:v>
                </c:pt>
                <c:pt idx="277">
                  <c:v>44673</c:v>
                </c:pt>
                <c:pt idx="278">
                  <c:v>44672</c:v>
                </c:pt>
                <c:pt idx="279">
                  <c:v>44671</c:v>
                </c:pt>
                <c:pt idx="280">
                  <c:v>44670</c:v>
                </c:pt>
                <c:pt idx="281">
                  <c:v>44669</c:v>
                </c:pt>
                <c:pt idx="282">
                  <c:v>44668</c:v>
                </c:pt>
                <c:pt idx="283">
                  <c:v>44667</c:v>
                </c:pt>
                <c:pt idx="284">
                  <c:v>44666</c:v>
                </c:pt>
                <c:pt idx="285">
                  <c:v>44665</c:v>
                </c:pt>
                <c:pt idx="286">
                  <c:v>44664</c:v>
                </c:pt>
                <c:pt idx="287">
                  <c:v>44663</c:v>
                </c:pt>
                <c:pt idx="288">
                  <c:v>44662</c:v>
                </c:pt>
                <c:pt idx="289">
                  <c:v>44661</c:v>
                </c:pt>
                <c:pt idx="290">
                  <c:v>44660</c:v>
                </c:pt>
                <c:pt idx="291">
                  <c:v>44659</c:v>
                </c:pt>
                <c:pt idx="292">
                  <c:v>44658</c:v>
                </c:pt>
                <c:pt idx="293">
                  <c:v>44657</c:v>
                </c:pt>
                <c:pt idx="294">
                  <c:v>44656</c:v>
                </c:pt>
                <c:pt idx="295">
                  <c:v>44655</c:v>
                </c:pt>
                <c:pt idx="296">
                  <c:v>44654</c:v>
                </c:pt>
                <c:pt idx="297">
                  <c:v>44653</c:v>
                </c:pt>
                <c:pt idx="298">
                  <c:v>44652</c:v>
                </c:pt>
                <c:pt idx="299">
                  <c:v>44651</c:v>
                </c:pt>
                <c:pt idx="300">
                  <c:v>44650</c:v>
                </c:pt>
                <c:pt idx="301">
                  <c:v>44649</c:v>
                </c:pt>
                <c:pt idx="302">
                  <c:v>44648</c:v>
                </c:pt>
                <c:pt idx="303">
                  <c:v>44647</c:v>
                </c:pt>
                <c:pt idx="304">
                  <c:v>44646</c:v>
                </c:pt>
                <c:pt idx="305">
                  <c:v>44645</c:v>
                </c:pt>
                <c:pt idx="306">
                  <c:v>44644</c:v>
                </c:pt>
                <c:pt idx="307">
                  <c:v>44643</c:v>
                </c:pt>
                <c:pt idx="308">
                  <c:v>44642</c:v>
                </c:pt>
                <c:pt idx="309">
                  <c:v>44641</c:v>
                </c:pt>
                <c:pt idx="310">
                  <c:v>44640</c:v>
                </c:pt>
                <c:pt idx="311">
                  <c:v>44639</c:v>
                </c:pt>
                <c:pt idx="312">
                  <c:v>44638</c:v>
                </c:pt>
                <c:pt idx="313">
                  <c:v>44637</c:v>
                </c:pt>
                <c:pt idx="314">
                  <c:v>44636</c:v>
                </c:pt>
                <c:pt idx="315">
                  <c:v>44635</c:v>
                </c:pt>
                <c:pt idx="316">
                  <c:v>44634</c:v>
                </c:pt>
                <c:pt idx="317">
                  <c:v>44633</c:v>
                </c:pt>
                <c:pt idx="318">
                  <c:v>44632</c:v>
                </c:pt>
                <c:pt idx="319">
                  <c:v>44631</c:v>
                </c:pt>
                <c:pt idx="320">
                  <c:v>44630</c:v>
                </c:pt>
                <c:pt idx="321">
                  <c:v>44629</c:v>
                </c:pt>
                <c:pt idx="322">
                  <c:v>44628</c:v>
                </c:pt>
                <c:pt idx="323">
                  <c:v>44627</c:v>
                </c:pt>
                <c:pt idx="324">
                  <c:v>44626</c:v>
                </c:pt>
                <c:pt idx="325">
                  <c:v>44625</c:v>
                </c:pt>
                <c:pt idx="326">
                  <c:v>44624</c:v>
                </c:pt>
                <c:pt idx="327">
                  <c:v>44623</c:v>
                </c:pt>
                <c:pt idx="328">
                  <c:v>44622</c:v>
                </c:pt>
                <c:pt idx="329">
                  <c:v>44621</c:v>
                </c:pt>
                <c:pt idx="330">
                  <c:v>44620</c:v>
                </c:pt>
                <c:pt idx="331">
                  <c:v>44619</c:v>
                </c:pt>
                <c:pt idx="332">
                  <c:v>44618</c:v>
                </c:pt>
                <c:pt idx="333">
                  <c:v>44617</c:v>
                </c:pt>
                <c:pt idx="334">
                  <c:v>44616</c:v>
                </c:pt>
                <c:pt idx="335">
                  <c:v>44615</c:v>
                </c:pt>
                <c:pt idx="336">
                  <c:v>44614</c:v>
                </c:pt>
                <c:pt idx="337">
                  <c:v>44613</c:v>
                </c:pt>
                <c:pt idx="338">
                  <c:v>44612</c:v>
                </c:pt>
                <c:pt idx="339">
                  <c:v>44611</c:v>
                </c:pt>
                <c:pt idx="340">
                  <c:v>44610</c:v>
                </c:pt>
                <c:pt idx="341">
                  <c:v>44609</c:v>
                </c:pt>
                <c:pt idx="342">
                  <c:v>44608</c:v>
                </c:pt>
                <c:pt idx="343">
                  <c:v>44607</c:v>
                </c:pt>
                <c:pt idx="344">
                  <c:v>44606</c:v>
                </c:pt>
                <c:pt idx="345">
                  <c:v>44605</c:v>
                </c:pt>
                <c:pt idx="346">
                  <c:v>44604</c:v>
                </c:pt>
                <c:pt idx="347">
                  <c:v>44603</c:v>
                </c:pt>
                <c:pt idx="348">
                  <c:v>44602</c:v>
                </c:pt>
                <c:pt idx="349">
                  <c:v>44601</c:v>
                </c:pt>
                <c:pt idx="350">
                  <c:v>44600</c:v>
                </c:pt>
                <c:pt idx="351">
                  <c:v>44599</c:v>
                </c:pt>
                <c:pt idx="352">
                  <c:v>44598</c:v>
                </c:pt>
                <c:pt idx="353">
                  <c:v>44597</c:v>
                </c:pt>
                <c:pt idx="354">
                  <c:v>44596</c:v>
                </c:pt>
                <c:pt idx="355">
                  <c:v>44595</c:v>
                </c:pt>
                <c:pt idx="356">
                  <c:v>44594</c:v>
                </c:pt>
                <c:pt idx="357">
                  <c:v>44593</c:v>
                </c:pt>
                <c:pt idx="358">
                  <c:v>44592</c:v>
                </c:pt>
                <c:pt idx="359">
                  <c:v>44591</c:v>
                </c:pt>
                <c:pt idx="360">
                  <c:v>44590</c:v>
                </c:pt>
                <c:pt idx="361">
                  <c:v>44589</c:v>
                </c:pt>
                <c:pt idx="362">
                  <c:v>44588</c:v>
                </c:pt>
                <c:pt idx="363">
                  <c:v>44587</c:v>
                </c:pt>
              </c:numCache>
            </c:numRef>
          </c:cat>
          <c:val>
            <c:numRef>
              <c:f>글로벌금융시장동향실습!$AH$14:$AH$379</c:f>
              <c:numCache>
                <c:formatCode>General</c:formatCode>
                <c:ptCount val="366"/>
                <c:pt idx="0">
                  <c:v>13.625999999999999</c:v>
                </c:pt>
                <c:pt idx="1">
                  <c:v>14.861000000000001</c:v>
                </c:pt>
                <c:pt idx="2">
                  <c:v>15.887</c:v>
                </c:pt>
                <c:pt idx="3">
                  <c:v>15.887</c:v>
                </c:pt>
                <c:pt idx="4">
                  <c:v>15.887</c:v>
                </c:pt>
                <c:pt idx="5">
                  <c:v>15.419</c:v>
                </c:pt>
                <c:pt idx="6">
                  <c:v>13.821</c:v>
                </c:pt>
                <c:pt idx="7">
                  <c:v>18.606999999999999</c:v>
                </c:pt>
                <c:pt idx="8">
                  <c:v>18.260999999999999</c:v>
                </c:pt>
                <c:pt idx="9">
                  <c:v>18.033000000000001</c:v>
                </c:pt>
                <c:pt idx="10">
                  <c:v>18.033000000000001</c:v>
                </c:pt>
                <c:pt idx="11">
                  <c:v>18.033000000000001</c:v>
                </c:pt>
                <c:pt idx="12">
                  <c:v>23.341000000000001</c:v>
                </c:pt>
                <c:pt idx="13">
                  <c:v>13.52</c:v>
                </c:pt>
                <c:pt idx="14">
                  <c:v>18.245999999999999</c:v>
                </c:pt>
                <c:pt idx="15">
                  <c:v>16.527000000000001</c:v>
                </c:pt>
                <c:pt idx="16">
                  <c:v>19.456</c:v>
                </c:pt>
                <c:pt idx="17">
                  <c:v>19.456</c:v>
                </c:pt>
                <c:pt idx="18">
                  <c:v>19.456</c:v>
                </c:pt>
                <c:pt idx="19">
                  <c:v>19.471</c:v>
                </c:pt>
                <c:pt idx="20">
                  <c:v>27.452999999999999</c:v>
                </c:pt>
                <c:pt idx="21">
                  <c:v>39.646000000000001</c:v>
                </c:pt>
                <c:pt idx="22">
                  <c:v>34.768999999999998</c:v>
                </c:pt>
                <c:pt idx="23">
                  <c:v>34.768999999999998</c:v>
                </c:pt>
                <c:pt idx="24">
                  <c:v>34.768999999999998</c:v>
                </c:pt>
                <c:pt idx="25">
                  <c:v>34.768999999999998</c:v>
                </c:pt>
                <c:pt idx="26">
                  <c:v>33.985999999999997</c:v>
                </c:pt>
                <c:pt idx="27">
                  <c:v>27.376000000000001</c:v>
                </c:pt>
                <c:pt idx="28">
                  <c:v>42.143000000000001</c:v>
                </c:pt>
                <c:pt idx="29">
                  <c:v>40.533000000000001</c:v>
                </c:pt>
                <c:pt idx="30">
                  <c:v>40.533000000000001</c:v>
                </c:pt>
                <c:pt idx="31">
                  <c:v>40.533000000000001</c:v>
                </c:pt>
                <c:pt idx="32">
                  <c:v>40.533000000000001</c:v>
                </c:pt>
                <c:pt idx="33">
                  <c:v>39.036000000000001</c:v>
                </c:pt>
                <c:pt idx="34">
                  <c:v>38.979999999999997</c:v>
                </c:pt>
                <c:pt idx="35">
                  <c:v>44.406999999999996</c:v>
                </c:pt>
                <c:pt idx="36">
                  <c:v>47.168999999999997</c:v>
                </c:pt>
                <c:pt idx="37">
                  <c:v>44.506</c:v>
                </c:pt>
                <c:pt idx="38">
                  <c:v>44.506</c:v>
                </c:pt>
                <c:pt idx="39">
                  <c:v>44.506</c:v>
                </c:pt>
                <c:pt idx="40">
                  <c:v>41.460999999999999</c:v>
                </c:pt>
                <c:pt idx="41">
                  <c:v>40.228999999999999</c:v>
                </c:pt>
                <c:pt idx="42">
                  <c:v>43.71</c:v>
                </c:pt>
                <c:pt idx="43">
                  <c:v>46.790999999999997</c:v>
                </c:pt>
                <c:pt idx="44">
                  <c:v>42.973999999999997</c:v>
                </c:pt>
                <c:pt idx="45">
                  <c:v>42.973999999999997</c:v>
                </c:pt>
                <c:pt idx="46">
                  <c:v>42.973999999999997</c:v>
                </c:pt>
                <c:pt idx="47">
                  <c:v>46.134</c:v>
                </c:pt>
                <c:pt idx="48">
                  <c:v>41.802999999999997</c:v>
                </c:pt>
                <c:pt idx="49">
                  <c:v>42.087000000000003</c:v>
                </c:pt>
                <c:pt idx="50">
                  <c:v>42.573</c:v>
                </c:pt>
                <c:pt idx="51">
                  <c:v>42.656999999999996</c:v>
                </c:pt>
                <c:pt idx="52">
                  <c:v>42.656999999999996</c:v>
                </c:pt>
                <c:pt idx="53">
                  <c:v>42.656999999999996</c:v>
                </c:pt>
                <c:pt idx="54">
                  <c:v>43.67</c:v>
                </c:pt>
                <c:pt idx="55">
                  <c:v>41.076999999999998</c:v>
                </c:pt>
                <c:pt idx="56">
                  <c:v>41.826999999999998</c:v>
                </c:pt>
                <c:pt idx="57">
                  <c:v>43.076000000000001</c:v>
                </c:pt>
                <c:pt idx="58">
                  <c:v>44.216000000000001</c:v>
                </c:pt>
                <c:pt idx="59">
                  <c:v>44.216000000000001</c:v>
                </c:pt>
                <c:pt idx="60">
                  <c:v>44.216000000000001</c:v>
                </c:pt>
                <c:pt idx="61">
                  <c:v>48.869</c:v>
                </c:pt>
                <c:pt idx="62">
                  <c:v>47.969000000000001</c:v>
                </c:pt>
                <c:pt idx="63">
                  <c:v>47.701000000000001</c:v>
                </c:pt>
                <c:pt idx="64">
                  <c:v>47.826000000000001</c:v>
                </c:pt>
                <c:pt idx="65">
                  <c:v>41.456000000000003</c:v>
                </c:pt>
                <c:pt idx="66">
                  <c:v>41.456000000000003</c:v>
                </c:pt>
                <c:pt idx="67">
                  <c:v>41.456000000000003</c:v>
                </c:pt>
                <c:pt idx="68">
                  <c:v>44.692999999999998</c:v>
                </c:pt>
                <c:pt idx="69">
                  <c:v>44.789000000000001</c:v>
                </c:pt>
                <c:pt idx="70">
                  <c:v>46.430999999999997</c:v>
                </c:pt>
                <c:pt idx="71">
                  <c:v>45.276000000000003</c:v>
                </c:pt>
                <c:pt idx="72">
                  <c:v>43.603999999999999</c:v>
                </c:pt>
                <c:pt idx="73">
                  <c:v>43.603999999999999</c:v>
                </c:pt>
                <c:pt idx="74">
                  <c:v>43.603999999999999</c:v>
                </c:pt>
                <c:pt idx="75">
                  <c:v>47.960999999999999</c:v>
                </c:pt>
                <c:pt idx="76">
                  <c:v>42.95</c:v>
                </c:pt>
                <c:pt idx="77">
                  <c:v>41.17</c:v>
                </c:pt>
                <c:pt idx="78">
                  <c:v>47.298999999999999</c:v>
                </c:pt>
                <c:pt idx="79">
                  <c:v>43.709000000000003</c:v>
                </c:pt>
                <c:pt idx="80">
                  <c:v>43.709000000000003</c:v>
                </c:pt>
                <c:pt idx="81">
                  <c:v>43.709000000000003</c:v>
                </c:pt>
                <c:pt idx="82">
                  <c:v>39.366999999999997</c:v>
                </c:pt>
                <c:pt idx="83">
                  <c:v>37.262999999999998</c:v>
                </c:pt>
                <c:pt idx="84">
                  <c:v>33.121000000000002</c:v>
                </c:pt>
                <c:pt idx="85">
                  <c:v>38.628999999999998</c:v>
                </c:pt>
                <c:pt idx="86">
                  <c:v>36.247</c:v>
                </c:pt>
                <c:pt idx="87">
                  <c:v>36.247</c:v>
                </c:pt>
                <c:pt idx="88">
                  <c:v>36.247</c:v>
                </c:pt>
                <c:pt idx="89">
                  <c:v>37.771000000000001</c:v>
                </c:pt>
                <c:pt idx="90">
                  <c:v>34.926000000000002</c:v>
                </c:pt>
                <c:pt idx="91">
                  <c:v>32.01</c:v>
                </c:pt>
                <c:pt idx="92">
                  <c:v>30.966000000000001</c:v>
                </c:pt>
                <c:pt idx="93">
                  <c:v>36.402999999999999</c:v>
                </c:pt>
                <c:pt idx="94">
                  <c:v>36.402999999999999</c:v>
                </c:pt>
                <c:pt idx="95">
                  <c:v>36.402999999999999</c:v>
                </c:pt>
                <c:pt idx="96">
                  <c:v>33.927</c:v>
                </c:pt>
                <c:pt idx="97">
                  <c:v>29.177</c:v>
                </c:pt>
                <c:pt idx="98">
                  <c:v>34.167000000000002</c:v>
                </c:pt>
                <c:pt idx="99">
                  <c:v>45.716999999999999</c:v>
                </c:pt>
                <c:pt idx="100">
                  <c:v>47.811</c:v>
                </c:pt>
                <c:pt idx="101">
                  <c:v>47.811</c:v>
                </c:pt>
                <c:pt idx="102">
                  <c:v>47.811</c:v>
                </c:pt>
                <c:pt idx="103">
                  <c:v>36.764000000000003</c:v>
                </c:pt>
                <c:pt idx="104">
                  <c:v>38.926000000000002</c:v>
                </c:pt>
                <c:pt idx="105">
                  <c:v>49.911000000000001</c:v>
                </c:pt>
                <c:pt idx="106">
                  <c:v>54.401000000000003</c:v>
                </c:pt>
                <c:pt idx="107">
                  <c:v>54.401000000000003</c:v>
                </c:pt>
                <c:pt idx="108">
                  <c:v>54.401000000000003</c:v>
                </c:pt>
                <c:pt idx="109">
                  <c:v>54.401000000000003</c:v>
                </c:pt>
                <c:pt idx="110">
                  <c:v>44.170999999999999</c:v>
                </c:pt>
                <c:pt idx="111">
                  <c:v>40.74</c:v>
                </c:pt>
                <c:pt idx="112">
                  <c:v>35.350999999999999</c:v>
                </c:pt>
                <c:pt idx="113">
                  <c:v>50.459000000000003</c:v>
                </c:pt>
                <c:pt idx="114">
                  <c:v>48.750999999999998</c:v>
                </c:pt>
                <c:pt idx="115">
                  <c:v>48.750999999999998</c:v>
                </c:pt>
                <c:pt idx="116">
                  <c:v>48.750999999999998</c:v>
                </c:pt>
                <c:pt idx="117">
                  <c:v>43.366</c:v>
                </c:pt>
                <c:pt idx="118">
                  <c:v>34.393999999999998</c:v>
                </c:pt>
                <c:pt idx="119">
                  <c:v>35.006</c:v>
                </c:pt>
                <c:pt idx="120">
                  <c:v>38.945999999999998</c:v>
                </c:pt>
                <c:pt idx="121">
                  <c:v>43.593000000000004</c:v>
                </c:pt>
                <c:pt idx="122">
                  <c:v>43.593000000000004</c:v>
                </c:pt>
                <c:pt idx="123">
                  <c:v>43.593000000000004</c:v>
                </c:pt>
                <c:pt idx="124">
                  <c:v>42.743000000000002</c:v>
                </c:pt>
                <c:pt idx="125">
                  <c:v>33.555999999999997</c:v>
                </c:pt>
                <c:pt idx="126">
                  <c:v>34.341000000000001</c:v>
                </c:pt>
                <c:pt idx="127">
                  <c:v>41.679000000000002</c:v>
                </c:pt>
                <c:pt idx="128">
                  <c:v>42.168999999999997</c:v>
                </c:pt>
                <c:pt idx="129">
                  <c:v>42.168999999999997</c:v>
                </c:pt>
                <c:pt idx="130">
                  <c:v>42.168999999999997</c:v>
                </c:pt>
                <c:pt idx="131">
                  <c:v>36.723999999999997</c:v>
                </c:pt>
                <c:pt idx="132">
                  <c:v>27.693000000000001</c:v>
                </c:pt>
                <c:pt idx="133">
                  <c:v>9.0969999999999995</c:v>
                </c:pt>
                <c:pt idx="134">
                  <c:v>17.893999999999998</c:v>
                </c:pt>
                <c:pt idx="135">
                  <c:v>20.213000000000001</c:v>
                </c:pt>
                <c:pt idx="136">
                  <c:v>20.213000000000001</c:v>
                </c:pt>
                <c:pt idx="137">
                  <c:v>20.213000000000001</c:v>
                </c:pt>
                <c:pt idx="138">
                  <c:v>20.710999999999999</c:v>
                </c:pt>
                <c:pt idx="139">
                  <c:v>17.8</c:v>
                </c:pt>
                <c:pt idx="140">
                  <c:v>22.276</c:v>
                </c:pt>
                <c:pt idx="141">
                  <c:v>24.056000000000001</c:v>
                </c:pt>
                <c:pt idx="142">
                  <c:v>25.384</c:v>
                </c:pt>
                <c:pt idx="143">
                  <c:v>25.384</c:v>
                </c:pt>
                <c:pt idx="144">
                  <c:v>25.384</c:v>
                </c:pt>
                <c:pt idx="145">
                  <c:v>20.814</c:v>
                </c:pt>
                <c:pt idx="146">
                  <c:v>16.861000000000001</c:v>
                </c:pt>
                <c:pt idx="147">
                  <c:v>16.873999999999999</c:v>
                </c:pt>
                <c:pt idx="148">
                  <c:v>18.047000000000001</c:v>
                </c:pt>
                <c:pt idx="149">
                  <c:v>21.106999999999999</c:v>
                </c:pt>
                <c:pt idx="150">
                  <c:v>21.106999999999999</c:v>
                </c:pt>
                <c:pt idx="151">
                  <c:v>21.106999999999999</c:v>
                </c:pt>
                <c:pt idx="152">
                  <c:v>23.803999999999998</c:v>
                </c:pt>
                <c:pt idx="153">
                  <c:v>23.29</c:v>
                </c:pt>
                <c:pt idx="154">
                  <c:v>27.616</c:v>
                </c:pt>
                <c:pt idx="155">
                  <c:v>24.501000000000001</c:v>
                </c:pt>
                <c:pt idx="156">
                  <c:v>29.210999999999999</c:v>
                </c:pt>
                <c:pt idx="157">
                  <c:v>29.210999999999999</c:v>
                </c:pt>
                <c:pt idx="158">
                  <c:v>29.210999999999999</c:v>
                </c:pt>
                <c:pt idx="159">
                  <c:v>33.32</c:v>
                </c:pt>
                <c:pt idx="160">
                  <c:v>34.866999999999997</c:v>
                </c:pt>
                <c:pt idx="161">
                  <c:v>31.457000000000001</c:v>
                </c:pt>
                <c:pt idx="162">
                  <c:v>35.085999999999999</c:v>
                </c:pt>
                <c:pt idx="163">
                  <c:v>36.116999999999997</c:v>
                </c:pt>
                <c:pt idx="164">
                  <c:v>36.116999999999997</c:v>
                </c:pt>
                <c:pt idx="165">
                  <c:v>36.116999999999997</c:v>
                </c:pt>
                <c:pt idx="166">
                  <c:v>35.704000000000001</c:v>
                </c:pt>
                <c:pt idx="167">
                  <c:v>32.561</c:v>
                </c:pt>
                <c:pt idx="168">
                  <c:v>30.32</c:v>
                </c:pt>
                <c:pt idx="169">
                  <c:v>39.237000000000002</c:v>
                </c:pt>
                <c:pt idx="170">
                  <c:v>36.271000000000001</c:v>
                </c:pt>
                <c:pt idx="171">
                  <c:v>36.271000000000001</c:v>
                </c:pt>
                <c:pt idx="172">
                  <c:v>36.271000000000001</c:v>
                </c:pt>
                <c:pt idx="173">
                  <c:v>42.548999999999999</c:v>
                </c:pt>
                <c:pt idx="174">
                  <c:v>34.558999999999997</c:v>
                </c:pt>
                <c:pt idx="175">
                  <c:v>30.99</c:v>
                </c:pt>
                <c:pt idx="176">
                  <c:v>46.244</c:v>
                </c:pt>
                <c:pt idx="177">
                  <c:v>41.768999999999998</c:v>
                </c:pt>
                <c:pt idx="178">
                  <c:v>41.768999999999998</c:v>
                </c:pt>
                <c:pt idx="179">
                  <c:v>41.768999999999998</c:v>
                </c:pt>
                <c:pt idx="180">
                  <c:v>41.378999999999998</c:v>
                </c:pt>
                <c:pt idx="181">
                  <c:v>39.106000000000002</c:v>
                </c:pt>
                <c:pt idx="182">
                  <c:v>28.545999999999999</c:v>
                </c:pt>
                <c:pt idx="183">
                  <c:v>30.138999999999999</c:v>
                </c:pt>
                <c:pt idx="184">
                  <c:v>34.179000000000002</c:v>
                </c:pt>
                <c:pt idx="185">
                  <c:v>34.179000000000002</c:v>
                </c:pt>
                <c:pt idx="186">
                  <c:v>34.179000000000002</c:v>
                </c:pt>
                <c:pt idx="187">
                  <c:v>34.520000000000003</c:v>
                </c:pt>
                <c:pt idx="188">
                  <c:v>29.03</c:v>
                </c:pt>
                <c:pt idx="189">
                  <c:v>24.741</c:v>
                </c:pt>
                <c:pt idx="190">
                  <c:v>38.295999999999999</c:v>
                </c:pt>
                <c:pt idx="191">
                  <c:v>39.767000000000003</c:v>
                </c:pt>
                <c:pt idx="192">
                  <c:v>39.767000000000003</c:v>
                </c:pt>
                <c:pt idx="193">
                  <c:v>39.767000000000003</c:v>
                </c:pt>
                <c:pt idx="194">
                  <c:v>38.459000000000003</c:v>
                </c:pt>
                <c:pt idx="195">
                  <c:v>14.33</c:v>
                </c:pt>
                <c:pt idx="196">
                  <c:v>45.33</c:v>
                </c:pt>
                <c:pt idx="197">
                  <c:v>42.274000000000001</c:v>
                </c:pt>
                <c:pt idx="198">
                  <c:v>50.56</c:v>
                </c:pt>
                <c:pt idx="199">
                  <c:v>50.56</c:v>
                </c:pt>
                <c:pt idx="200">
                  <c:v>50.56</c:v>
                </c:pt>
                <c:pt idx="201">
                  <c:v>49.197000000000003</c:v>
                </c:pt>
                <c:pt idx="202">
                  <c:v>49.067</c:v>
                </c:pt>
                <c:pt idx="203">
                  <c:v>66.369</c:v>
                </c:pt>
                <c:pt idx="204">
                  <c:v>64.730999999999995</c:v>
                </c:pt>
                <c:pt idx="205">
                  <c:v>61.845999999999997</c:v>
                </c:pt>
                <c:pt idx="206">
                  <c:v>61.845999999999997</c:v>
                </c:pt>
                <c:pt idx="207">
                  <c:v>61.845999999999997</c:v>
                </c:pt>
                <c:pt idx="208">
                  <c:v>61.804000000000002</c:v>
                </c:pt>
                <c:pt idx="209">
                  <c:v>55.374000000000002</c:v>
                </c:pt>
                <c:pt idx="210">
                  <c:v>55.313000000000002</c:v>
                </c:pt>
                <c:pt idx="211">
                  <c:v>56.226999999999997</c:v>
                </c:pt>
                <c:pt idx="212">
                  <c:v>57.012999999999998</c:v>
                </c:pt>
                <c:pt idx="213">
                  <c:v>57.012999999999998</c:v>
                </c:pt>
                <c:pt idx="214">
                  <c:v>57.012999999999998</c:v>
                </c:pt>
                <c:pt idx="215">
                  <c:v>59.668999999999997</c:v>
                </c:pt>
                <c:pt idx="216">
                  <c:v>62.216999999999999</c:v>
                </c:pt>
                <c:pt idx="217">
                  <c:v>60.262999999999998</c:v>
                </c:pt>
                <c:pt idx="218">
                  <c:v>51.533000000000001</c:v>
                </c:pt>
                <c:pt idx="219">
                  <c:v>48.776000000000003</c:v>
                </c:pt>
                <c:pt idx="220">
                  <c:v>48.776000000000003</c:v>
                </c:pt>
                <c:pt idx="221">
                  <c:v>48.776000000000003</c:v>
                </c:pt>
                <c:pt idx="222">
                  <c:v>52.662999999999997</c:v>
                </c:pt>
                <c:pt idx="223">
                  <c:v>39.567</c:v>
                </c:pt>
                <c:pt idx="224">
                  <c:v>21.588999999999999</c:v>
                </c:pt>
                <c:pt idx="225">
                  <c:v>20.556000000000001</c:v>
                </c:pt>
                <c:pt idx="226">
                  <c:v>40.720999999999997</c:v>
                </c:pt>
                <c:pt idx="227">
                  <c:v>40.720999999999997</c:v>
                </c:pt>
                <c:pt idx="228">
                  <c:v>40.720999999999997</c:v>
                </c:pt>
                <c:pt idx="229">
                  <c:v>44.999000000000002</c:v>
                </c:pt>
                <c:pt idx="230">
                  <c:v>42.911000000000001</c:v>
                </c:pt>
                <c:pt idx="231">
                  <c:v>47.542999999999999</c:v>
                </c:pt>
                <c:pt idx="232">
                  <c:v>45.5</c:v>
                </c:pt>
                <c:pt idx="233">
                  <c:v>44.15</c:v>
                </c:pt>
                <c:pt idx="234">
                  <c:v>44.15</c:v>
                </c:pt>
                <c:pt idx="235">
                  <c:v>44.15</c:v>
                </c:pt>
                <c:pt idx="236">
                  <c:v>48.22</c:v>
                </c:pt>
                <c:pt idx="237">
                  <c:v>48.72</c:v>
                </c:pt>
                <c:pt idx="238">
                  <c:v>54.350999999999999</c:v>
                </c:pt>
                <c:pt idx="239">
                  <c:v>52.332999999999998</c:v>
                </c:pt>
                <c:pt idx="240">
                  <c:v>54.076000000000001</c:v>
                </c:pt>
                <c:pt idx="241">
                  <c:v>54.076000000000001</c:v>
                </c:pt>
                <c:pt idx="242">
                  <c:v>54.076000000000001</c:v>
                </c:pt>
                <c:pt idx="243">
                  <c:v>51.006</c:v>
                </c:pt>
                <c:pt idx="244">
                  <c:v>48.286000000000001</c:v>
                </c:pt>
                <c:pt idx="245">
                  <c:v>46.61</c:v>
                </c:pt>
                <c:pt idx="246">
                  <c:v>49.475999999999999</c:v>
                </c:pt>
                <c:pt idx="247">
                  <c:v>47.993000000000002</c:v>
                </c:pt>
                <c:pt idx="248">
                  <c:v>47.993000000000002</c:v>
                </c:pt>
                <c:pt idx="249">
                  <c:v>47.993000000000002</c:v>
                </c:pt>
                <c:pt idx="250">
                  <c:v>48.585999999999999</c:v>
                </c:pt>
                <c:pt idx="251">
                  <c:v>45.39</c:v>
                </c:pt>
                <c:pt idx="252">
                  <c:v>38.267000000000003</c:v>
                </c:pt>
                <c:pt idx="253">
                  <c:v>43.61</c:v>
                </c:pt>
                <c:pt idx="254">
                  <c:v>45.030999999999999</c:v>
                </c:pt>
                <c:pt idx="255">
                  <c:v>45.030999999999999</c:v>
                </c:pt>
                <c:pt idx="256">
                  <c:v>45.030999999999999</c:v>
                </c:pt>
                <c:pt idx="257">
                  <c:v>45.848999999999997</c:v>
                </c:pt>
                <c:pt idx="258">
                  <c:v>50.725999999999999</c:v>
                </c:pt>
                <c:pt idx="259">
                  <c:v>49.545999999999999</c:v>
                </c:pt>
                <c:pt idx="260">
                  <c:v>57.317</c:v>
                </c:pt>
                <c:pt idx="261">
                  <c:v>56.375999999999998</c:v>
                </c:pt>
                <c:pt idx="262">
                  <c:v>56.375999999999998</c:v>
                </c:pt>
                <c:pt idx="263">
                  <c:v>56.375999999999998</c:v>
                </c:pt>
                <c:pt idx="264">
                  <c:v>54.780999999999999</c:v>
                </c:pt>
                <c:pt idx="265">
                  <c:v>52.213999999999999</c:v>
                </c:pt>
                <c:pt idx="266">
                  <c:v>44.609000000000002</c:v>
                </c:pt>
                <c:pt idx="267">
                  <c:v>53.746000000000002</c:v>
                </c:pt>
                <c:pt idx="268">
                  <c:v>49.926000000000002</c:v>
                </c:pt>
                <c:pt idx="269">
                  <c:v>49.926000000000002</c:v>
                </c:pt>
                <c:pt idx="270">
                  <c:v>49.926000000000002</c:v>
                </c:pt>
                <c:pt idx="271">
                  <c:v>45.8</c:v>
                </c:pt>
                <c:pt idx="272">
                  <c:v>40.316000000000003</c:v>
                </c:pt>
                <c:pt idx="273">
                  <c:v>40.503999999999998</c:v>
                </c:pt>
                <c:pt idx="274">
                  <c:v>40.206000000000003</c:v>
                </c:pt>
                <c:pt idx="275">
                  <c:v>40.610999999999997</c:v>
                </c:pt>
                <c:pt idx="276">
                  <c:v>40.610999999999997</c:v>
                </c:pt>
                <c:pt idx="277">
                  <c:v>40.610999999999997</c:v>
                </c:pt>
                <c:pt idx="278">
                  <c:v>38.14</c:v>
                </c:pt>
                <c:pt idx="279">
                  <c:v>30.318999999999999</c:v>
                </c:pt>
                <c:pt idx="280">
                  <c:v>26.259</c:v>
                </c:pt>
                <c:pt idx="281">
                  <c:v>28.821000000000002</c:v>
                </c:pt>
                <c:pt idx="282">
                  <c:v>28.300999999999998</c:v>
                </c:pt>
                <c:pt idx="283">
                  <c:v>28.300999999999998</c:v>
                </c:pt>
                <c:pt idx="284">
                  <c:v>28.300999999999998</c:v>
                </c:pt>
                <c:pt idx="285">
                  <c:v>28.300999999999998</c:v>
                </c:pt>
                <c:pt idx="286">
                  <c:v>29.518999999999998</c:v>
                </c:pt>
                <c:pt idx="287">
                  <c:v>29.183</c:v>
                </c:pt>
                <c:pt idx="288">
                  <c:v>30.292999999999999</c:v>
                </c:pt>
                <c:pt idx="289">
                  <c:v>32.271000000000001</c:v>
                </c:pt>
                <c:pt idx="290">
                  <c:v>32.271000000000001</c:v>
                </c:pt>
                <c:pt idx="291">
                  <c:v>32.271000000000001</c:v>
                </c:pt>
                <c:pt idx="292">
                  <c:v>30.585999999999999</c:v>
                </c:pt>
                <c:pt idx="293">
                  <c:v>30.593</c:v>
                </c:pt>
                <c:pt idx="294">
                  <c:v>30.896999999999998</c:v>
                </c:pt>
                <c:pt idx="295">
                  <c:v>40.549999999999997</c:v>
                </c:pt>
                <c:pt idx="296">
                  <c:v>43.92</c:v>
                </c:pt>
                <c:pt idx="297">
                  <c:v>43.92</c:v>
                </c:pt>
                <c:pt idx="298">
                  <c:v>43.92</c:v>
                </c:pt>
                <c:pt idx="299">
                  <c:v>44.127000000000002</c:v>
                </c:pt>
                <c:pt idx="300">
                  <c:v>42.875999999999998</c:v>
                </c:pt>
                <c:pt idx="301">
                  <c:v>45.27</c:v>
                </c:pt>
                <c:pt idx="302">
                  <c:v>45.319000000000003</c:v>
                </c:pt>
                <c:pt idx="303">
                  <c:v>44.735999999999997</c:v>
                </c:pt>
                <c:pt idx="304">
                  <c:v>44.735999999999997</c:v>
                </c:pt>
                <c:pt idx="305">
                  <c:v>44.735999999999997</c:v>
                </c:pt>
                <c:pt idx="306">
                  <c:v>46.057000000000002</c:v>
                </c:pt>
                <c:pt idx="307">
                  <c:v>47.591000000000001</c:v>
                </c:pt>
                <c:pt idx="308">
                  <c:v>45.121000000000002</c:v>
                </c:pt>
                <c:pt idx="309">
                  <c:v>47.286999999999999</c:v>
                </c:pt>
                <c:pt idx="310">
                  <c:v>52.81</c:v>
                </c:pt>
                <c:pt idx="311">
                  <c:v>52.81</c:v>
                </c:pt>
                <c:pt idx="312">
                  <c:v>52.81</c:v>
                </c:pt>
                <c:pt idx="313">
                  <c:v>52.956000000000003</c:v>
                </c:pt>
                <c:pt idx="314">
                  <c:v>50.914000000000001</c:v>
                </c:pt>
                <c:pt idx="315">
                  <c:v>45.713000000000001</c:v>
                </c:pt>
                <c:pt idx="316">
                  <c:v>42.280999999999999</c:v>
                </c:pt>
                <c:pt idx="317">
                  <c:v>44.04</c:v>
                </c:pt>
                <c:pt idx="318">
                  <c:v>44.04</c:v>
                </c:pt>
                <c:pt idx="319">
                  <c:v>44.04</c:v>
                </c:pt>
                <c:pt idx="320">
                  <c:v>41.466000000000001</c:v>
                </c:pt>
                <c:pt idx="321">
                  <c:v>36.44</c:v>
                </c:pt>
                <c:pt idx="322">
                  <c:v>33.26</c:v>
                </c:pt>
                <c:pt idx="323">
                  <c:v>31.565999999999999</c:v>
                </c:pt>
                <c:pt idx="324">
                  <c:v>28.294</c:v>
                </c:pt>
                <c:pt idx="325">
                  <c:v>28.294</c:v>
                </c:pt>
                <c:pt idx="326">
                  <c:v>28.294</c:v>
                </c:pt>
                <c:pt idx="327">
                  <c:v>23.553999999999998</c:v>
                </c:pt>
                <c:pt idx="328">
                  <c:v>18.474</c:v>
                </c:pt>
                <c:pt idx="329">
                  <c:v>18.616</c:v>
                </c:pt>
                <c:pt idx="330">
                  <c:v>18.719000000000001</c:v>
                </c:pt>
                <c:pt idx="331">
                  <c:v>20.34</c:v>
                </c:pt>
                <c:pt idx="332">
                  <c:v>20.34</c:v>
                </c:pt>
                <c:pt idx="333">
                  <c:v>20.34</c:v>
                </c:pt>
                <c:pt idx="334">
                  <c:v>18.826000000000001</c:v>
                </c:pt>
                <c:pt idx="335">
                  <c:v>13.727</c:v>
                </c:pt>
                <c:pt idx="336">
                  <c:v>13.016</c:v>
                </c:pt>
                <c:pt idx="337">
                  <c:v>11.375999999999999</c:v>
                </c:pt>
                <c:pt idx="338">
                  <c:v>12.946999999999999</c:v>
                </c:pt>
                <c:pt idx="339">
                  <c:v>12.946999999999999</c:v>
                </c:pt>
                <c:pt idx="340">
                  <c:v>12.946999999999999</c:v>
                </c:pt>
                <c:pt idx="341">
                  <c:v>11.82</c:v>
                </c:pt>
                <c:pt idx="342">
                  <c:v>9.484</c:v>
                </c:pt>
                <c:pt idx="343">
                  <c:v>5.0010000000000003</c:v>
                </c:pt>
                <c:pt idx="344">
                  <c:v>4.2469999999999999</c:v>
                </c:pt>
                <c:pt idx="345">
                  <c:v>14.363</c:v>
                </c:pt>
                <c:pt idx="346">
                  <c:v>14.363</c:v>
                </c:pt>
                <c:pt idx="347">
                  <c:v>14.363</c:v>
                </c:pt>
                <c:pt idx="348">
                  <c:v>-1.3640000000000001</c:v>
                </c:pt>
                <c:pt idx="349">
                  <c:v>9.843</c:v>
                </c:pt>
                <c:pt idx="350">
                  <c:v>9.2390000000000008</c:v>
                </c:pt>
                <c:pt idx="351">
                  <c:v>13.673</c:v>
                </c:pt>
                <c:pt idx="352">
                  <c:v>10.57</c:v>
                </c:pt>
                <c:pt idx="353">
                  <c:v>10.57</c:v>
                </c:pt>
                <c:pt idx="354">
                  <c:v>10.57</c:v>
                </c:pt>
                <c:pt idx="355">
                  <c:v>10.96</c:v>
                </c:pt>
                <c:pt idx="356">
                  <c:v>11.276999999999999</c:v>
                </c:pt>
                <c:pt idx="357">
                  <c:v>10.241</c:v>
                </c:pt>
                <c:pt idx="358">
                  <c:v>8.3160000000000007</c:v>
                </c:pt>
                <c:pt idx="359">
                  <c:v>11.877000000000001</c:v>
                </c:pt>
                <c:pt idx="360">
                  <c:v>11.877000000000001</c:v>
                </c:pt>
                <c:pt idx="361">
                  <c:v>11.877000000000001</c:v>
                </c:pt>
                <c:pt idx="362">
                  <c:v>9.61</c:v>
                </c:pt>
                <c:pt idx="363">
                  <c:v>8.2270000000000003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96064"/>
        <c:axId val="148286080"/>
      </c:barChart>
      <c:lineChart>
        <c:grouping val="standard"/>
        <c:varyColors val="0"/>
        <c:ser>
          <c:idx val="0"/>
          <c:order val="0"/>
          <c:tx>
            <c:strRef>
              <c:f>글로벌금융시장동향실습!$AF$12:$AF$13</c:f>
              <c:strCache>
                <c:ptCount val="1"/>
                <c:pt idx="0">
                  <c:v>T-BILL(3M) 종가</c:v>
                </c:pt>
              </c:strCache>
            </c:strRef>
          </c:tx>
          <c:spPr>
            <a:ln>
              <a:solidFill>
                <a:srgbClr val="3366FF"/>
              </a:solidFill>
            </a:ln>
          </c:spPr>
          <c:marker>
            <c:symbol val="none"/>
          </c:marker>
          <c:cat>
            <c:numRef>
              <c:f>글로벌금융시장동향실습!$AE$14:$AE$379</c:f>
              <c:numCache>
                <c:formatCode>m/d/yyyy</c:formatCode>
                <c:ptCount val="366"/>
                <c:pt idx="0">
                  <c:v>44950</c:v>
                </c:pt>
                <c:pt idx="1">
                  <c:v>44949</c:v>
                </c:pt>
                <c:pt idx="2">
                  <c:v>44948</c:v>
                </c:pt>
                <c:pt idx="3">
                  <c:v>44947</c:v>
                </c:pt>
                <c:pt idx="4">
                  <c:v>44946</c:v>
                </c:pt>
                <c:pt idx="5">
                  <c:v>44945</c:v>
                </c:pt>
                <c:pt idx="6">
                  <c:v>44944</c:v>
                </c:pt>
                <c:pt idx="7">
                  <c:v>44943</c:v>
                </c:pt>
                <c:pt idx="8">
                  <c:v>44942</c:v>
                </c:pt>
                <c:pt idx="9">
                  <c:v>44941</c:v>
                </c:pt>
                <c:pt idx="10">
                  <c:v>44940</c:v>
                </c:pt>
                <c:pt idx="11">
                  <c:v>44939</c:v>
                </c:pt>
                <c:pt idx="12">
                  <c:v>44938</c:v>
                </c:pt>
                <c:pt idx="13">
                  <c:v>44937</c:v>
                </c:pt>
                <c:pt idx="14">
                  <c:v>44936</c:v>
                </c:pt>
                <c:pt idx="15">
                  <c:v>44935</c:v>
                </c:pt>
                <c:pt idx="16">
                  <c:v>44934</c:v>
                </c:pt>
                <c:pt idx="17">
                  <c:v>44933</c:v>
                </c:pt>
                <c:pt idx="18">
                  <c:v>44932</c:v>
                </c:pt>
                <c:pt idx="19">
                  <c:v>44931</c:v>
                </c:pt>
                <c:pt idx="20">
                  <c:v>44930</c:v>
                </c:pt>
                <c:pt idx="21">
                  <c:v>44929</c:v>
                </c:pt>
                <c:pt idx="22">
                  <c:v>44928</c:v>
                </c:pt>
                <c:pt idx="23">
                  <c:v>44927</c:v>
                </c:pt>
                <c:pt idx="24">
                  <c:v>44926</c:v>
                </c:pt>
                <c:pt idx="25">
                  <c:v>44925</c:v>
                </c:pt>
                <c:pt idx="26">
                  <c:v>44924</c:v>
                </c:pt>
                <c:pt idx="27">
                  <c:v>44923</c:v>
                </c:pt>
                <c:pt idx="28">
                  <c:v>44922</c:v>
                </c:pt>
                <c:pt idx="29">
                  <c:v>44921</c:v>
                </c:pt>
                <c:pt idx="30">
                  <c:v>44920</c:v>
                </c:pt>
                <c:pt idx="31">
                  <c:v>44919</c:v>
                </c:pt>
                <c:pt idx="32">
                  <c:v>44918</c:v>
                </c:pt>
                <c:pt idx="33">
                  <c:v>44917</c:v>
                </c:pt>
                <c:pt idx="34">
                  <c:v>44916</c:v>
                </c:pt>
                <c:pt idx="35">
                  <c:v>44915</c:v>
                </c:pt>
                <c:pt idx="36">
                  <c:v>44914</c:v>
                </c:pt>
                <c:pt idx="37">
                  <c:v>44913</c:v>
                </c:pt>
                <c:pt idx="38">
                  <c:v>44912</c:v>
                </c:pt>
                <c:pt idx="39">
                  <c:v>44911</c:v>
                </c:pt>
                <c:pt idx="40">
                  <c:v>44910</c:v>
                </c:pt>
                <c:pt idx="41">
                  <c:v>44909</c:v>
                </c:pt>
                <c:pt idx="42">
                  <c:v>44908</c:v>
                </c:pt>
                <c:pt idx="43">
                  <c:v>44907</c:v>
                </c:pt>
                <c:pt idx="44">
                  <c:v>44906</c:v>
                </c:pt>
                <c:pt idx="45">
                  <c:v>44905</c:v>
                </c:pt>
                <c:pt idx="46">
                  <c:v>44904</c:v>
                </c:pt>
                <c:pt idx="47">
                  <c:v>44903</c:v>
                </c:pt>
                <c:pt idx="48">
                  <c:v>44902</c:v>
                </c:pt>
                <c:pt idx="49">
                  <c:v>44901</c:v>
                </c:pt>
                <c:pt idx="50">
                  <c:v>44900</c:v>
                </c:pt>
                <c:pt idx="51">
                  <c:v>44899</c:v>
                </c:pt>
                <c:pt idx="52">
                  <c:v>44898</c:v>
                </c:pt>
                <c:pt idx="53">
                  <c:v>44897</c:v>
                </c:pt>
                <c:pt idx="54">
                  <c:v>44896</c:v>
                </c:pt>
                <c:pt idx="55">
                  <c:v>44895</c:v>
                </c:pt>
                <c:pt idx="56">
                  <c:v>44894</c:v>
                </c:pt>
                <c:pt idx="57">
                  <c:v>44893</c:v>
                </c:pt>
                <c:pt idx="58">
                  <c:v>44892</c:v>
                </c:pt>
                <c:pt idx="59">
                  <c:v>44891</c:v>
                </c:pt>
                <c:pt idx="60">
                  <c:v>44890</c:v>
                </c:pt>
                <c:pt idx="61">
                  <c:v>44889</c:v>
                </c:pt>
                <c:pt idx="62">
                  <c:v>44888</c:v>
                </c:pt>
                <c:pt idx="63">
                  <c:v>44887</c:v>
                </c:pt>
                <c:pt idx="64">
                  <c:v>44886</c:v>
                </c:pt>
                <c:pt idx="65">
                  <c:v>44885</c:v>
                </c:pt>
                <c:pt idx="66">
                  <c:v>44884</c:v>
                </c:pt>
                <c:pt idx="67">
                  <c:v>44883</c:v>
                </c:pt>
                <c:pt idx="68">
                  <c:v>44882</c:v>
                </c:pt>
                <c:pt idx="69">
                  <c:v>44881</c:v>
                </c:pt>
                <c:pt idx="70">
                  <c:v>44880</c:v>
                </c:pt>
                <c:pt idx="71">
                  <c:v>44879</c:v>
                </c:pt>
                <c:pt idx="72">
                  <c:v>44878</c:v>
                </c:pt>
                <c:pt idx="73">
                  <c:v>44877</c:v>
                </c:pt>
                <c:pt idx="74">
                  <c:v>44876</c:v>
                </c:pt>
                <c:pt idx="75">
                  <c:v>44875</c:v>
                </c:pt>
                <c:pt idx="76">
                  <c:v>44874</c:v>
                </c:pt>
                <c:pt idx="77">
                  <c:v>44873</c:v>
                </c:pt>
                <c:pt idx="78">
                  <c:v>44872</c:v>
                </c:pt>
                <c:pt idx="79">
                  <c:v>44871</c:v>
                </c:pt>
                <c:pt idx="80">
                  <c:v>44870</c:v>
                </c:pt>
                <c:pt idx="81">
                  <c:v>44869</c:v>
                </c:pt>
                <c:pt idx="82">
                  <c:v>44868</c:v>
                </c:pt>
                <c:pt idx="83">
                  <c:v>44867</c:v>
                </c:pt>
                <c:pt idx="84">
                  <c:v>44866</c:v>
                </c:pt>
                <c:pt idx="85">
                  <c:v>44865</c:v>
                </c:pt>
                <c:pt idx="86">
                  <c:v>44864</c:v>
                </c:pt>
                <c:pt idx="87">
                  <c:v>44863</c:v>
                </c:pt>
                <c:pt idx="88">
                  <c:v>44862</c:v>
                </c:pt>
                <c:pt idx="89">
                  <c:v>44861</c:v>
                </c:pt>
                <c:pt idx="90">
                  <c:v>44860</c:v>
                </c:pt>
                <c:pt idx="91">
                  <c:v>44859</c:v>
                </c:pt>
                <c:pt idx="92">
                  <c:v>44858</c:v>
                </c:pt>
                <c:pt idx="93">
                  <c:v>44857</c:v>
                </c:pt>
                <c:pt idx="94">
                  <c:v>44856</c:v>
                </c:pt>
                <c:pt idx="95">
                  <c:v>44855</c:v>
                </c:pt>
                <c:pt idx="96">
                  <c:v>44854</c:v>
                </c:pt>
                <c:pt idx="97">
                  <c:v>44853</c:v>
                </c:pt>
                <c:pt idx="98">
                  <c:v>44852</c:v>
                </c:pt>
                <c:pt idx="99">
                  <c:v>44851</c:v>
                </c:pt>
                <c:pt idx="100">
                  <c:v>44850</c:v>
                </c:pt>
                <c:pt idx="101">
                  <c:v>44849</c:v>
                </c:pt>
                <c:pt idx="102">
                  <c:v>44848</c:v>
                </c:pt>
                <c:pt idx="103">
                  <c:v>44847</c:v>
                </c:pt>
                <c:pt idx="104">
                  <c:v>44846</c:v>
                </c:pt>
                <c:pt idx="105">
                  <c:v>44845</c:v>
                </c:pt>
                <c:pt idx="106">
                  <c:v>44844</c:v>
                </c:pt>
                <c:pt idx="107">
                  <c:v>44843</c:v>
                </c:pt>
                <c:pt idx="108">
                  <c:v>44842</c:v>
                </c:pt>
                <c:pt idx="109">
                  <c:v>44841</c:v>
                </c:pt>
                <c:pt idx="110">
                  <c:v>44840</c:v>
                </c:pt>
                <c:pt idx="111">
                  <c:v>44839</c:v>
                </c:pt>
                <c:pt idx="112">
                  <c:v>44838</c:v>
                </c:pt>
                <c:pt idx="113">
                  <c:v>44837</c:v>
                </c:pt>
                <c:pt idx="114">
                  <c:v>44836</c:v>
                </c:pt>
                <c:pt idx="115">
                  <c:v>44835</c:v>
                </c:pt>
                <c:pt idx="116">
                  <c:v>44834</c:v>
                </c:pt>
                <c:pt idx="117">
                  <c:v>44833</c:v>
                </c:pt>
                <c:pt idx="118">
                  <c:v>44832</c:v>
                </c:pt>
                <c:pt idx="119">
                  <c:v>44831</c:v>
                </c:pt>
                <c:pt idx="120">
                  <c:v>44830</c:v>
                </c:pt>
                <c:pt idx="121">
                  <c:v>44829</c:v>
                </c:pt>
                <c:pt idx="122">
                  <c:v>44828</c:v>
                </c:pt>
                <c:pt idx="123">
                  <c:v>44827</c:v>
                </c:pt>
                <c:pt idx="124">
                  <c:v>44826</c:v>
                </c:pt>
                <c:pt idx="125">
                  <c:v>44825</c:v>
                </c:pt>
                <c:pt idx="126">
                  <c:v>44824</c:v>
                </c:pt>
                <c:pt idx="127">
                  <c:v>44823</c:v>
                </c:pt>
                <c:pt idx="128">
                  <c:v>44822</c:v>
                </c:pt>
                <c:pt idx="129">
                  <c:v>44821</c:v>
                </c:pt>
                <c:pt idx="130">
                  <c:v>44820</c:v>
                </c:pt>
                <c:pt idx="131">
                  <c:v>44819</c:v>
                </c:pt>
                <c:pt idx="132">
                  <c:v>44818</c:v>
                </c:pt>
                <c:pt idx="133">
                  <c:v>44817</c:v>
                </c:pt>
                <c:pt idx="134">
                  <c:v>44816</c:v>
                </c:pt>
                <c:pt idx="135">
                  <c:v>44815</c:v>
                </c:pt>
                <c:pt idx="136">
                  <c:v>44814</c:v>
                </c:pt>
                <c:pt idx="137">
                  <c:v>44813</c:v>
                </c:pt>
                <c:pt idx="138">
                  <c:v>44812</c:v>
                </c:pt>
                <c:pt idx="139">
                  <c:v>44811</c:v>
                </c:pt>
                <c:pt idx="140">
                  <c:v>44810</c:v>
                </c:pt>
                <c:pt idx="141">
                  <c:v>44809</c:v>
                </c:pt>
                <c:pt idx="142">
                  <c:v>44808</c:v>
                </c:pt>
                <c:pt idx="143">
                  <c:v>44807</c:v>
                </c:pt>
                <c:pt idx="144">
                  <c:v>44806</c:v>
                </c:pt>
                <c:pt idx="145">
                  <c:v>44805</c:v>
                </c:pt>
                <c:pt idx="146">
                  <c:v>44804</c:v>
                </c:pt>
                <c:pt idx="147">
                  <c:v>44803</c:v>
                </c:pt>
                <c:pt idx="148">
                  <c:v>44802</c:v>
                </c:pt>
                <c:pt idx="149">
                  <c:v>44801</c:v>
                </c:pt>
                <c:pt idx="150">
                  <c:v>44800</c:v>
                </c:pt>
                <c:pt idx="151">
                  <c:v>44799</c:v>
                </c:pt>
                <c:pt idx="152">
                  <c:v>44798</c:v>
                </c:pt>
                <c:pt idx="153">
                  <c:v>44797</c:v>
                </c:pt>
                <c:pt idx="154">
                  <c:v>44796</c:v>
                </c:pt>
                <c:pt idx="155">
                  <c:v>44795</c:v>
                </c:pt>
                <c:pt idx="156">
                  <c:v>44794</c:v>
                </c:pt>
                <c:pt idx="157">
                  <c:v>44793</c:v>
                </c:pt>
                <c:pt idx="158">
                  <c:v>44792</c:v>
                </c:pt>
                <c:pt idx="159">
                  <c:v>44791</c:v>
                </c:pt>
                <c:pt idx="160">
                  <c:v>44790</c:v>
                </c:pt>
                <c:pt idx="161">
                  <c:v>44789</c:v>
                </c:pt>
                <c:pt idx="162">
                  <c:v>44788</c:v>
                </c:pt>
                <c:pt idx="163">
                  <c:v>44787</c:v>
                </c:pt>
                <c:pt idx="164">
                  <c:v>44786</c:v>
                </c:pt>
                <c:pt idx="165">
                  <c:v>44785</c:v>
                </c:pt>
                <c:pt idx="166">
                  <c:v>44784</c:v>
                </c:pt>
                <c:pt idx="167">
                  <c:v>44783</c:v>
                </c:pt>
                <c:pt idx="168">
                  <c:v>44782</c:v>
                </c:pt>
                <c:pt idx="169">
                  <c:v>44781</c:v>
                </c:pt>
                <c:pt idx="170">
                  <c:v>44780</c:v>
                </c:pt>
                <c:pt idx="171">
                  <c:v>44779</c:v>
                </c:pt>
                <c:pt idx="172">
                  <c:v>44778</c:v>
                </c:pt>
                <c:pt idx="173">
                  <c:v>44777</c:v>
                </c:pt>
                <c:pt idx="174">
                  <c:v>44776</c:v>
                </c:pt>
                <c:pt idx="175">
                  <c:v>44775</c:v>
                </c:pt>
                <c:pt idx="176">
                  <c:v>44774</c:v>
                </c:pt>
                <c:pt idx="177">
                  <c:v>44773</c:v>
                </c:pt>
                <c:pt idx="178">
                  <c:v>44772</c:v>
                </c:pt>
                <c:pt idx="179">
                  <c:v>44771</c:v>
                </c:pt>
                <c:pt idx="180">
                  <c:v>44770</c:v>
                </c:pt>
                <c:pt idx="181">
                  <c:v>44769</c:v>
                </c:pt>
                <c:pt idx="182">
                  <c:v>44768</c:v>
                </c:pt>
                <c:pt idx="183">
                  <c:v>44767</c:v>
                </c:pt>
                <c:pt idx="184">
                  <c:v>44766</c:v>
                </c:pt>
                <c:pt idx="185">
                  <c:v>44765</c:v>
                </c:pt>
                <c:pt idx="186">
                  <c:v>44764</c:v>
                </c:pt>
                <c:pt idx="187">
                  <c:v>44763</c:v>
                </c:pt>
                <c:pt idx="188">
                  <c:v>44762</c:v>
                </c:pt>
                <c:pt idx="189">
                  <c:v>44761</c:v>
                </c:pt>
                <c:pt idx="190">
                  <c:v>44760</c:v>
                </c:pt>
                <c:pt idx="191">
                  <c:v>44759</c:v>
                </c:pt>
                <c:pt idx="192">
                  <c:v>44758</c:v>
                </c:pt>
                <c:pt idx="193">
                  <c:v>44757</c:v>
                </c:pt>
                <c:pt idx="194">
                  <c:v>44756</c:v>
                </c:pt>
                <c:pt idx="195">
                  <c:v>44755</c:v>
                </c:pt>
                <c:pt idx="196">
                  <c:v>44754</c:v>
                </c:pt>
                <c:pt idx="197">
                  <c:v>44753</c:v>
                </c:pt>
                <c:pt idx="198">
                  <c:v>44752</c:v>
                </c:pt>
                <c:pt idx="199">
                  <c:v>44751</c:v>
                </c:pt>
                <c:pt idx="200">
                  <c:v>44750</c:v>
                </c:pt>
                <c:pt idx="201">
                  <c:v>44749</c:v>
                </c:pt>
                <c:pt idx="202">
                  <c:v>44748</c:v>
                </c:pt>
                <c:pt idx="203">
                  <c:v>44747</c:v>
                </c:pt>
                <c:pt idx="204">
                  <c:v>44746</c:v>
                </c:pt>
                <c:pt idx="205">
                  <c:v>44745</c:v>
                </c:pt>
                <c:pt idx="206">
                  <c:v>44744</c:v>
                </c:pt>
                <c:pt idx="207">
                  <c:v>44743</c:v>
                </c:pt>
                <c:pt idx="208">
                  <c:v>44742</c:v>
                </c:pt>
                <c:pt idx="209">
                  <c:v>44741</c:v>
                </c:pt>
                <c:pt idx="210">
                  <c:v>44740</c:v>
                </c:pt>
                <c:pt idx="211">
                  <c:v>44739</c:v>
                </c:pt>
                <c:pt idx="212">
                  <c:v>44738</c:v>
                </c:pt>
                <c:pt idx="213">
                  <c:v>44737</c:v>
                </c:pt>
                <c:pt idx="214">
                  <c:v>44736</c:v>
                </c:pt>
                <c:pt idx="215">
                  <c:v>44735</c:v>
                </c:pt>
                <c:pt idx="216">
                  <c:v>44734</c:v>
                </c:pt>
                <c:pt idx="217">
                  <c:v>44733</c:v>
                </c:pt>
                <c:pt idx="218">
                  <c:v>44732</c:v>
                </c:pt>
                <c:pt idx="219">
                  <c:v>44731</c:v>
                </c:pt>
                <c:pt idx="220">
                  <c:v>44730</c:v>
                </c:pt>
                <c:pt idx="221">
                  <c:v>44729</c:v>
                </c:pt>
                <c:pt idx="222">
                  <c:v>44728</c:v>
                </c:pt>
                <c:pt idx="223">
                  <c:v>44727</c:v>
                </c:pt>
                <c:pt idx="224">
                  <c:v>44726</c:v>
                </c:pt>
                <c:pt idx="225">
                  <c:v>44725</c:v>
                </c:pt>
                <c:pt idx="226">
                  <c:v>44724</c:v>
                </c:pt>
                <c:pt idx="227">
                  <c:v>44723</c:v>
                </c:pt>
                <c:pt idx="228">
                  <c:v>44722</c:v>
                </c:pt>
                <c:pt idx="229">
                  <c:v>44721</c:v>
                </c:pt>
                <c:pt idx="230">
                  <c:v>44720</c:v>
                </c:pt>
                <c:pt idx="231">
                  <c:v>44719</c:v>
                </c:pt>
                <c:pt idx="232">
                  <c:v>44718</c:v>
                </c:pt>
                <c:pt idx="233">
                  <c:v>44717</c:v>
                </c:pt>
                <c:pt idx="234">
                  <c:v>44716</c:v>
                </c:pt>
                <c:pt idx="235">
                  <c:v>44715</c:v>
                </c:pt>
                <c:pt idx="236">
                  <c:v>44714</c:v>
                </c:pt>
                <c:pt idx="237">
                  <c:v>44713</c:v>
                </c:pt>
                <c:pt idx="238">
                  <c:v>44712</c:v>
                </c:pt>
                <c:pt idx="239">
                  <c:v>44711</c:v>
                </c:pt>
                <c:pt idx="240">
                  <c:v>44710</c:v>
                </c:pt>
                <c:pt idx="241">
                  <c:v>44709</c:v>
                </c:pt>
                <c:pt idx="242">
                  <c:v>44708</c:v>
                </c:pt>
                <c:pt idx="243">
                  <c:v>44707</c:v>
                </c:pt>
                <c:pt idx="244">
                  <c:v>44706</c:v>
                </c:pt>
                <c:pt idx="245">
                  <c:v>44705</c:v>
                </c:pt>
                <c:pt idx="246">
                  <c:v>44704</c:v>
                </c:pt>
                <c:pt idx="247">
                  <c:v>44703</c:v>
                </c:pt>
                <c:pt idx="248">
                  <c:v>44702</c:v>
                </c:pt>
                <c:pt idx="249">
                  <c:v>44701</c:v>
                </c:pt>
                <c:pt idx="250">
                  <c:v>44700</c:v>
                </c:pt>
                <c:pt idx="251">
                  <c:v>44699</c:v>
                </c:pt>
                <c:pt idx="252">
                  <c:v>44698</c:v>
                </c:pt>
                <c:pt idx="253">
                  <c:v>44697</c:v>
                </c:pt>
                <c:pt idx="254">
                  <c:v>44696</c:v>
                </c:pt>
                <c:pt idx="255">
                  <c:v>44695</c:v>
                </c:pt>
                <c:pt idx="256">
                  <c:v>44694</c:v>
                </c:pt>
                <c:pt idx="257">
                  <c:v>44693</c:v>
                </c:pt>
                <c:pt idx="258">
                  <c:v>44692</c:v>
                </c:pt>
                <c:pt idx="259">
                  <c:v>44691</c:v>
                </c:pt>
                <c:pt idx="260">
                  <c:v>44690</c:v>
                </c:pt>
                <c:pt idx="261">
                  <c:v>44689</c:v>
                </c:pt>
                <c:pt idx="262">
                  <c:v>44688</c:v>
                </c:pt>
                <c:pt idx="263">
                  <c:v>44687</c:v>
                </c:pt>
                <c:pt idx="264">
                  <c:v>44686</c:v>
                </c:pt>
                <c:pt idx="265">
                  <c:v>44685</c:v>
                </c:pt>
                <c:pt idx="266">
                  <c:v>44684</c:v>
                </c:pt>
                <c:pt idx="267">
                  <c:v>44683</c:v>
                </c:pt>
                <c:pt idx="268">
                  <c:v>44682</c:v>
                </c:pt>
                <c:pt idx="269">
                  <c:v>44681</c:v>
                </c:pt>
                <c:pt idx="270">
                  <c:v>44680</c:v>
                </c:pt>
                <c:pt idx="271">
                  <c:v>44679</c:v>
                </c:pt>
                <c:pt idx="272">
                  <c:v>44678</c:v>
                </c:pt>
                <c:pt idx="273">
                  <c:v>44677</c:v>
                </c:pt>
                <c:pt idx="274">
                  <c:v>44676</c:v>
                </c:pt>
                <c:pt idx="275">
                  <c:v>44675</c:v>
                </c:pt>
                <c:pt idx="276">
                  <c:v>44674</c:v>
                </c:pt>
                <c:pt idx="277">
                  <c:v>44673</c:v>
                </c:pt>
                <c:pt idx="278">
                  <c:v>44672</c:v>
                </c:pt>
                <c:pt idx="279">
                  <c:v>44671</c:v>
                </c:pt>
                <c:pt idx="280">
                  <c:v>44670</c:v>
                </c:pt>
                <c:pt idx="281">
                  <c:v>44669</c:v>
                </c:pt>
                <c:pt idx="282">
                  <c:v>44668</c:v>
                </c:pt>
                <c:pt idx="283">
                  <c:v>44667</c:v>
                </c:pt>
                <c:pt idx="284">
                  <c:v>44666</c:v>
                </c:pt>
                <c:pt idx="285">
                  <c:v>44665</c:v>
                </c:pt>
                <c:pt idx="286">
                  <c:v>44664</c:v>
                </c:pt>
                <c:pt idx="287">
                  <c:v>44663</c:v>
                </c:pt>
                <c:pt idx="288">
                  <c:v>44662</c:v>
                </c:pt>
                <c:pt idx="289">
                  <c:v>44661</c:v>
                </c:pt>
                <c:pt idx="290">
                  <c:v>44660</c:v>
                </c:pt>
                <c:pt idx="291">
                  <c:v>44659</c:v>
                </c:pt>
                <c:pt idx="292">
                  <c:v>44658</c:v>
                </c:pt>
                <c:pt idx="293">
                  <c:v>44657</c:v>
                </c:pt>
                <c:pt idx="294">
                  <c:v>44656</c:v>
                </c:pt>
                <c:pt idx="295">
                  <c:v>44655</c:v>
                </c:pt>
                <c:pt idx="296">
                  <c:v>44654</c:v>
                </c:pt>
                <c:pt idx="297">
                  <c:v>44653</c:v>
                </c:pt>
                <c:pt idx="298">
                  <c:v>44652</c:v>
                </c:pt>
                <c:pt idx="299">
                  <c:v>44651</c:v>
                </c:pt>
                <c:pt idx="300">
                  <c:v>44650</c:v>
                </c:pt>
                <c:pt idx="301">
                  <c:v>44649</c:v>
                </c:pt>
                <c:pt idx="302">
                  <c:v>44648</c:v>
                </c:pt>
                <c:pt idx="303">
                  <c:v>44647</c:v>
                </c:pt>
                <c:pt idx="304">
                  <c:v>44646</c:v>
                </c:pt>
                <c:pt idx="305">
                  <c:v>44645</c:v>
                </c:pt>
                <c:pt idx="306">
                  <c:v>44644</c:v>
                </c:pt>
                <c:pt idx="307">
                  <c:v>44643</c:v>
                </c:pt>
                <c:pt idx="308">
                  <c:v>44642</c:v>
                </c:pt>
                <c:pt idx="309">
                  <c:v>44641</c:v>
                </c:pt>
                <c:pt idx="310">
                  <c:v>44640</c:v>
                </c:pt>
                <c:pt idx="311">
                  <c:v>44639</c:v>
                </c:pt>
                <c:pt idx="312">
                  <c:v>44638</c:v>
                </c:pt>
                <c:pt idx="313">
                  <c:v>44637</c:v>
                </c:pt>
                <c:pt idx="314">
                  <c:v>44636</c:v>
                </c:pt>
                <c:pt idx="315">
                  <c:v>44635</c:v>
                </c:pt>
                <c:pt idx="316">
                  <c:v>44634</c:v>
                </c:pt>
                <c:pt idx="317">
                  <c:v>44633</c:v>
                </c:pt>
                <c:pt idx="318">
                  <c:v>44632</c:v>
                </c:pt>
                <c:pt idx="319">
                  <c:v>44631</c:v>
                </c:pt>
                <c:pt idx="320">
                  <c:v>44630</c:v>
                </c:pt>
                <c:pt idx="321">
                  <c:v>44629</c:v>
                </c:pt>
                <c:pt idx="322">
                  <c:v>44628</c:v>
                </c:pt>
                <c:pt idx="323">
                  <c:v>44627</c:v>
                </c:pt>
                <c:pt idx="324">
                  <c:v>44626</c:v>
                </c:pt>
                <c:pt idx="325">
                  <c:v>44625</c:v>
                </c:pt>
                <c:pt idx="326">
                  <c:v>44624</c:v>
                </c:pt>
                <c:pt idx="327">
                  <c:v>44623</c:v>
                </c:pt>
                <c:pt idx="328">
                  <c:v>44622</c:v>
                </c:pt>
                <c:pt idx="329">
                  <c:v>44621</c:v>
                </c:pt>
                <c:pt idx="330">
                  <c:v>44620</c:v>
                </c:pt>
                <c:pt idx="331">
                  <c:v>44619</c:v>
                </c:pt>
                <c:pt idx="332">
                  <c:v>44618</c:v>
                </c:pt>
                <c:pt idx="333">
                  <c:v>44617</c:v>
                </c:pt>
                <c:pt idx="334">
                  <c:v>44616</c:v>
                </c:pt>
                <c:pt idx="335">
                  <c:v>44615</c:v>
                </c:pt>
                <c:pt idx="336">
                  <c:v>44614</c:v>
                </c:pt>
                <c:pt idx="337">
                  <c:v>44613</c:v>
                </c:pt>
                <c:pt idx="338">
                  <c:v>44612</c:v>
                </c:pt>
                <c:pt idx="339">
                  <c:v>44611</c:v>
                </c:pt>
                <c:pt idx="340">
                  <c:v>44610</c:v>
                </c:pt>
                <c:pt idx="341">
                  <c:v>44609</c:v>
                </c:pt>
                <c:pt idx="342">
                  <c:v>44608</c:v>
                </c:pt>
                <c:pt idx="343">
                  <c:v>44607</c:v>
                </c:pt>
                <c:pt idx="344">
                  <c:v>44606</c:v>
                </c:pt>
                <c:pt idx="345">
                  <c:v>44605</c:v>
                </c:pt>
                <c:pt idx="346">
                  <c:v>44604</c:v>
                </c:pt>
                <c:pt idx="347">
                  <c:v>44603</c:v>
                </c:pt>
                <c:pt idx="348">
                  <c:v>44602</c:v>
                </c:pt>
                <c:pt idx="349">
                  <c:v>44601</c:v>
                </c:pt>
                <c:pt idx="350">
                  <c:v>44600</c:v>
                </c:pt>
                <c:pt idx="351">
                  <c:v>44599</c:v>
                </c:pt>
                <c:pt idx="352">
                  <c:v>44598</c:v>
                </c:pt>
                <c:pt idx="353">
                  <c:v>44597</c:v>
                </c:pt>
                <c:pt idx="354">
                  <c:v>44596</c:v>
                </c:pt>
                <c:pt idx="355">
                  <c:v>44595</c:v>
                </c:pt>
                <c:pt idx="356">
                  <c:v>44594</c:v>
                </c:pt>
                <c:pt idx="357">
                  <c:v>44593</c:v>
                </c:pt>
                <c:pt idx="358">
                  <c:v>44592</c:v>
                </c:pt>
                <c:pt idx="359">
                  <c:v>44591</c:v>
                </c:pt>
                <c:pt idx="360">
                  <c:v>44590</c:v>
                </c:pt>
                <c:pt idx="361">
                  <c:v>44589</c:v>
                </c:pt>
                <c:pt idx="362">
                  <c:v>44588</c:v>
                </c:pt>
                <c:pt idx="363">
                  <c:v>44587</c:v>
                </c:pt>
              </c:numCache>
            </c:numRef>
          </c:cat>
          <c:val>
            <c:numRef>
              <c:f>글로벌금융시장동향실습!$AF$14:$AF$379</c:f>
              <c:numCache>
                <c:formatCode>General</c:formatCode>
                <c:ptCount val="366"/>
                <c:pt idx="0">
                  <c:v>4.6859999999999999</c:v>
                </c:pt>
                <c:pt idx="1">
                  <c:v>4.6689999999999996</c:v>
                </c:pt>
                <c:pt idx="2">
                  <c:v>4.657</c:v>
                </c:pt>
                <c:pt idx="3">
                  <c:v>4.657</c:v>
                </c:pt>
                <c:pt idx="4">
                  <c:v>4.657</c:v>
                </c:pt>
                <c:pt idx="5">
                  <c:v>4.6609999999999996</c:v>
                </c:pt>
                <c:pt idx="6">
                  <c:v>4.67</c:v>
                </c:pt>
                <c:pt idx="7">
                  <c:v>4.6120000000000001</c:v>
                </c:pt>
                <c:pt idx="8">
                  <c:v>4.6120000000000001</c:v>
                </c:pt>
                <c:pt idx="9">
                  <c:v>4.6120000000000001</c:v>
                </c:pt>
                <c:pt idx="10">
                  <c:v>4.6120000000000001</c:v>
                </c:pt>
                <c:pt idx="11">
                  <c:v>4.6120000000000001</c:v>
                </c:pt>
                <c:pt idx="12">
                  <c:v>4.5960000000000001</c:v>
                </c:pt>
                <c:pt idx="13">
                  <c:v>4.68</c:v>
                </c:pt>
                <c:pt idx="14">
                  <c:v>4.6230000000000002</c:v>
                </c:pt>
                <c:pt idx="15">
                  <c:v>4.617</c:v>
                </c:pt>
                <c:pt idx="16">
                  <c:v>4.6150000000000002</c:v>
                </c:pt>
                <c:pt idx="17">
                  <c:v>4.6150000000000002</c:v>
                </c:pt>
                <c:pt idx="18">
                  <c:v>4.6150000000000002</c:v>
                </c:pt>
                <c:pt idx="19">
                  <c:v>4.617</c:v>
                </c:pt>
                <c:pt idx="20">
                  <c:v>4.5140000000000002</c:v>
                </c:pt>
                <c:pt idx="21">
                  <c:v>4.3849999999999998</c:v>
                </c:pt>
                <c:pt idx="22">
                  <c:v>4.42</c:v>
                </c:pt>
                <c:pt idx="23">
                  <c:v>4.42</c:v>
                </c:pt>
                <c:pt idx="24">
                  <c:v>4.42</c:v>
                </c:pt>
                <c:pt idx="25">
                  <c:v>4.42</c:v>
                </c:pt>
                <c:pt idx="26">
                  <c:v>4.4139999999999997</c:v>
                </c:pt>
                <c:pt idx="27">
                  <c:v>4.4560000000000004</c:v>
                </c:pt>
                <c:pt idx="28">
                  <c:v>4.3049999999999997</c:v>
                </c:pt>
                <c:pt idx="29">
                  <c:v>4.3209999999999997</c:v>
                </c:pt>
                <c:pt idx="30">
                  <c:v>4.3209999999999997</c:v>
                </c:pt>
                <c:pt idx="31">
                  <c:v>4.3209999999999997</c:v>
                </c:pt>
                <c:pt idx="32">
                  <c:v>4.3209999999999997</c:v>
                </c:pt>
                <c:pt idx="33">
                  <c:v>4.3339999999999996</c:v>
                </c:pt>
                <c:pt idx="34">
                  <c:v>4.3390000000000004</c:v>
                </c:pt>
                <c:pt idx="35">
                  <c:v>4.3090000000000002</c:v>
                </c:pt>
                <c:pt idx="36">
                  <c:v>4.2670000000000003</c:v>
                </c:pt>
                <c:pt idx="37">
                  <c:v>4.3010000000000002</c:v>
                </c:pt>
                <c:pt idx="38">
                  <c:v>4.3010000000000002</c:v>
                </c:pt>
                <c:pt idx="39">
                  <c:v>4.3010000000000002</c:v>
                </c:pt>
                <c:pt idx="40">
                  <c:v>4.3230000000000004</c:v>
                </c:pt>
                <c:pt idx="41">
                  <c:v>4.3339999999999996</c:v>
                </c:pt>
                <c:pt idx="42">
                  <c:v>4.3319999999999999</c:v>
                </c:pt>
                <c:pt idx="43">
                  <c:v>4.2850000000000001</c:v>
                </c:pt>
                <c:pt idx="44">
                  <c:v>4.3029999999999999</c:v>
                </c:pt>
                <c:pt idx="45">
                  <c:v>4.3029999999999999</c:v>
                </c:pt>
                <c:pt idx="46">
                  <c:v>4.3029999999999999</c:v>
                </c:pt>
                <c:pt idx="47">
                  <c:v>4.274</c:v>
                </c:pt>
                <c:pt idx="48">
                  <c:v>4.3049999999999997</c:v>
                </c:pt>
                <c:pt idx="49">
                  <c:v>4.3140000000000001</c:v>
                </c:pt>
                <c:pt idx="50">
                  <c:v>4.298</c:v>
                </c:pt>
                <c:pt idx="51">
                  <c:v>4.306</c:v>
                </c:pt>
                <c:pt idx="52">
                  <c:v>4.306</c:v>
                </c:pt>
                <c:pt idx="53">
                  <c:v>4.306</c:v>
                </c:pt>
                <c:pt idx="54">
                  <c:v>4.3280000000000003</c:v>
                </c:pt>
                <c:pt idx="55">
                  <c:v>4.3680000000000003</c:v>
                </c:pt>
                <c:pt idx="56">
                  <c:v>4.3419999999999996</c:v>
                </c:pt>
                <c:pt idx="57">
                  <c:v>4.3040000000000003</c:v>
                </c:pt>
                <c:pt idx="58">
                  <c:v>4.2919999999999998</c:v>
                </c:pt>
                <c:pt idx="59">
                  <c:v>4.2919999999999998</c:v>
                </c:pt>
                <c:pt idx="60">
                  <c:v>4.2919999999999998</c:v>
                </c:pt>
                <c:pt idx="61">
                  <c:v>4.2779999999999996</c:v>
                </c:pt>
                <c:pt idx="62">
                  <c:v>4.2779999999999996</c:v>
                </c:pt>
                <c:pt idx="63">
                  <c:v>4.2220000000000004</c:v>
                </c:pt>
                <c:pt idx="64">
                  <c:v>4.2140000000000004</c:v>
                </c:pt>
                <c:pt idx="65">
                  <c:v>4.25</c:v>
                </c:pt>
                <c:pt idx="66">
                  <c:v>4.25</c:v>
                </c:pt>
                <c:pt idx="67">
                  <c:v>4.25</c:v>
                </c:pt>
                <c:pt idx="68">
                  <c:v>4.2290000000000001</c:v>
                </c:pt>
                <c:pt idx="69">
                  <c:v>4.226</c:v>
                </c:pt>
                <c:pt idx="70">
                  <c:v>4.1849999999999996</c:v>
                </c:pt>
                <c:pt idx="71">
                  <c:v>4.1909999999999998</c:v>
                </c:pt>
                <c:pt idx="72">
                  <c:v>4.17</c:v>
                </c:pt>
                <c:pt idx="73">
                  <c:v>4.17</c:v>
                </c:pt>
                <c:pt idx="74">
                  <c:v>4.17</c:v>
                </c:pt>
                <c:pt idx="75">
                  <c:v>4.17</c:v>
                </c:pt>
                <c:pt idx="76">
                  <c:v>4.2009999999999996</c:v>
                </c:pt>
                <c:pt idx="77">
                  <c:v>4.18</c:v>
                </c:pt>
                <c:pt idx="78">
                  <c:v>4.0839999999999996</c:v>
                </c:pt>
                <c:pt idx="79">
                  <c:v>4.1130000000000004</c:v>
                </c:pt>
                <c:pt idx="80">
                  <c:v>4.1130000000000004</c:v>
                </c:pt>
                <c:pt idx="81">
                  <c:v>4.1130000000000004</c:v>
                </c:pt>
                <c:pt idx="82">
                  <c:v>4.1379999999999999</c:v>
                </c:pt>
                <c:pt idx="83">
                  <c:v>4.1360000000000001</c:v>
                </c:pt>
                <c:pt idx="84">
                  <c:v>4.1289999999999996</c:v>
                </c:pt>
                <c:pt idx="85">
                  <c:v>4.0739999999999998</c:v>
                </c:pt>
                <c:pt idx="86">
                  <c:v>4.077</c:v>
                </c:pt>
                <c:pt idx="87">
                  <c:v>4.077</c:v>
                </c:pt>
                <c:pt idx="88">
                  <c:v>4.077</c:v>
                </c:pt>
                <c:pt idx="89">
                  <c:v>4.0369999999999999</c:v>
                </c:pt>
                <c:pt idx="90">
                  <c:v>4.0250000000000004</c:v>
                </c:pt>
                <c:pt idx="91">
                  <c:v>4.0380000000000003</c:v>
                </c:pt>
                <c:pt idx="92">
                  <c:v>4.0170000000000003</c:v>
                </c:pt>
                <c:pt idx="93">
                  <c:v>3.9940000000000002</c:v>
                </c:pt>
                <c:pt idx="94">
                  <c:v>3.9940000000000002</c:v>
                </c:pt>
                <c:pt idx="95">
                  <c:v>3.9940000000000002</c:v>
                </c:pt>
                <c:pt idx="96">
                  <c:v>3.9849999999999999</c:v>
                </c:pt>
                <c:pt idx="97">
                  <c:v>3.9860000000000002</c:v>
                </c:pt>
                <c:pt idx="98">
                  <c:v>3.9009999999999998</c:v>
                </c:pt>
                <c:pt idx="99">
                  <c:v>3.7690000000000001</c:v>
                </c:pt>
                <c:pt idx="100">
                  <c:v>3.7160000000000002</c:v>
                </c:pt>
                <c:pt idx="101">
                  <c:v>3.7160000000000002</c:v>
                </c:pt>
                <c:pt idx="102">
                  <c:v>3.7160000000000002</c:v>
                </c:pt>
                <c:pt idx="103">
                  <c:v>3.7120000000000002</c:v>
                </c:pt>
                <c:pt idx="104">
                  <c:v>3.6219999999999999</c:v>
                </c:pt>
                <c:pt idx="105">
                  <c:v>3.4420000000000002</c:v>
                </c:pt>
                <c:pt idx="106">
                  <c:v>3.3650000000000002</c:v>
                </c:pt>
                <c:pt idx="107">
                  <c:v>3.3650000000000002</c:v>
                </c:pt>
                <c:pt idx="108">
                  <c:v>3.3650000000000002</c:v>
                </c:pt>
                <c:pt idx="109">
                  <c:v>3.3650000000000002</c:v>
                </c:pt>
                <c:pt idx="110">
                  <c:v>3.3839999999999999</c:v>
                </c:pt>
                <c:pt idx="111">
                  <c:v>3.3769999999999998</c:v>
                </c:pt>
                <c:pt idx="112">
                  <c:v>3.387</c:v>
                </c:pt>
                <c:pt idx="113">
                  <c:v>3.2440000000000002</c:v>
                </c:pt>
                <c:pt idx="114">
                  <c:v>3.2669999999999999</c:v>
                </c:pt>
                <c:pt idx="115">
                  <c:v>3.2669999999999999</c:v>
                </c:pt>
                <c:pt idx="116">
                  <c:v>3.2669999999999999</c:v>
                </c:pt>
                <c:pt idx="117">
                  <c:v>3.3090000000000002</c:v>
                </c:pt>
                <c:pt idx="118">
                  <c:v>3.33</c:v>
                </c:pt>
                <c:pt idx="119">
                  <c:v>3.2919999999999998</c:v>
                </c:pt>
                <c:pt idx="120">
                  <c:v>3.2509999999999999</c:v>
                </c:pt>
                <c:pt idx="121">
                  <c:v>3.1930000000000001</c:v>
                </c:pt>
                <c:pt idx="122">
                  <c:v>3.1930000000000001</c:v>
                </c:pt>
                <c:pt idx="123">
                  <c:v>3.1930000000000001</c:v>
                </c:pt>
                <c:pt idx="124">
                  <c:v>3.214</c:v>
                </c:pt>
                <c:pt idx="125">
                  <c:v>3.2679999999999998</c:v>
                </c:pt>
                <c:pt idx="126">
                  <c:v>3.258</c:v>
                </c:pt>
                <c:pt idx="127">
                  <c:v>3.149</c:v>
                </c:pt>
                <c:pt idx="128">
                  <c:v>3.1440000000000001</c:v>
                </c:pt>
                <c:pt idx="129">
                  <c:v>3.1440000000000001</c:v>
                </c:pt>
                <c:pt idx="130">
                  <c:v>3.1440000000000001</c:v>
                </c:pt>
                <c:pt idx="131">
                  <c:v>3.16</c:v>
                </c:pt>
                <c:pt idx="132">
                  <c:v>3.2069999999999999</c:v>
                </c:pt>
                <c:pt idx="133">
                  <c:v>3.202</c:v>
                </c:pt>
                <c:pt idx="134">
                  <c:v>3.0910000000000002</c:v>
                </c:pt>
                <c:pt idx="135">
                  <c:v>3.0430000000000001</c:v>
                </c:pt>
                <c:pt idx="136">
                  <c:v>3.0430000000000001</c:v>
                </c:pt>
                <c:pt idx="137">
                  <c:v>3.0430000000000001</c:v>
                </c:pt>
                <c:pt idx="138">
                  <c:v>3.0289999999999999</c:v>
                </c:pt>
                <c:pt idx="139">
                  <c:v>3.016</c:v>
                </c:pt>
                <c:pt idx="140">
                  <c:v>2.9449999999999998</c:v>
                </c:pt>
                <c:pt idx="141">
                  <c:v>2.9039999999999999</c:v>
                </c:pt>
                <c:pt idx="142">
                  <c:v>2.9039999999999999</c:v>
                </c:pt>
                <c:pt idx="143">
                  <c:v>2.9039999999999999</c:v>
                </c:pt>
                <c:pt idx="144">
                  <c:v>2.9039999999999999</c:v>
                </c:pt>
                <c:pt idx="145">
                  <c:v>2.9359999999999999</c:v>
                </c:pt>
                <c:pt idx="146">
                  <c:v>2.931</c:v>
                </c:pt>
                <c:pt idx="147">
                  <c:v>2.9129999999999998</c:v>
                </c:pt>
                <c:pt idx="148">
                  <c:v>2.8889999999999998</c:v>
                </c:pt>
                <c:pt idx="149">
                  <c:v>2.859</c:v>
                </c:pt>
                <c:pt idx="150">
                  <c:v>2.859</c:v>
                </c:pt>
                <c:pt idx="151">
                  <c:v>2.859</c:v>
                </c:pt>
                <c:pt idx="152">
                  <c:v>2.8050000000000002</c:v>
                </c:pt>
                <c:pt idx="153">
                  <c:v>2.7770000000000001</c:v>
                </c:pt>
                <c:pt idx="154">
                  <c:v>2.7210000000000001</c:v>
                </c:pt>
                <c:pt idx="155">
                  <c:v>2.7349999999999999</c:v>
                </c:pt>
                <c:pt idx="156">
                  <c:v>2.6659999999999999</c:v>
                </c:pt>
                <c:pt idx="157">
                  <c:v>2.6659999999999999</c:v>
                </c:pt>
                <c:pt idx="158">
                  <c:v>2.6659999999999999</c:v>
                </c:pt>
                <c:pt idx="159">
                  <c:v>2.6509999999999998</c:v>
                </c:pt>
                <c:pt idx="160">
                  <c:v>2.6280000000000001</c:v>
                </c:pt>
                <c:pt idx="161">
                  <c:v>2.6459999999999999</c:v>
                </c:pt>
                <c:pt idx="162">
                  <c:v>2.5910000000000002</c:v>
                </c:pt>
                <c:pt idx="163">
                  <c:v>2.56</c:v>
                </c:pt>
                <c:pt idx="164">
                  <c:v>2.56</c:v>
                </c:pt>
                <c:pt idx="165">
                  <c:v>2.56</c:v>
                </c:pt>
                <c:pt idx="166">
                  <c:v>2.548</c:v>
                </c:pt>
                <c:pt idx="167">
                  <c:v>2.597</c:v>
                </c:pt>
                <c:pt idx="168">
                  <c:v>2.6179999999999999</c:v>
                </c:pt>
                <c:pt idx="169">
                  <c:v>2.5190000000000001</c:v>
                </c:pt>
                <c:pt idx="170">
                  <c:v>2.504</c:v>
                </c:pt>
                <c:pt idx="171">
                  <c:v>2.504</c:v>
                </c:pt>
                <c:pt idx="172">
                  <c:v>2.504</c:v>
                </c:pt>
                <c:pt idx="173">
                  <c:v>2.4380000000000002</c:v>
                </c:pt>
                <c:pt idx="174">
                  <c:v>2.4870000000000001</c:v>
                </c:pt>
                <c:pt idx="175">
                  <c:v>2.4969999999999999</c:v>
                </c:pt>
                <c:pt idx="176">
                  <c:v>2.34</c:v>
                </c:pt>
                <c:pt idx="177">
                  <c:v>2.371</c:v>
                </c:pt>
                <c:pt idx="178">
                  <c:v>2.371</c:v>
                </c:pt>
                <c:pt idx="179">
                  <c:v>2.371</c:v>
                </c:pt>
                <c:pt idx="180">
                  <c:v>2.3690000000000002</c:v>
                </c:pt>
                <c:pt idx="181">
                  <c:v>2.415</c:v>
                </c:pt>
                <c:pt idx="182">
                  <c:v>2.5070000000000001</c:v>
                </c:pt>
                <c:pt idx="183">
                  <c:v>2.468</c:v>
                </c:pt>
                <c:pt idx="184">
                  <c:v>2.4249999999999998</c:v>
                </c:pt>
                <c:pt idx="185">
                  <c:v>2.4249999999999998</c:v>
                </c:pt>
                <c:pt idx="186">
                  <c:v>2.4249999999999998</c:v>
                </c:pt>
                <c:pt idx="187">
                  <c:v>2.4380000000000002</c:v>
                </c:pt>
                <c:pt idx="188">
                  <c:v>2.4689999999999999</c:v>
                </c:pt>
                <c:pt idx="189">
                  <c:v>2.484</c:v>
                </c:pt>
                <c:pt idx="190">
                  <c:v>2.327</c:v>
                </c:pt>
                <c:pt idx="191">
                  <c:v>2.34</c:v>
                </c:pt>
                <c:pt idx="192">
                  <c:v>2.34</c:v>
                </c:pt>
                <c:pt idx="193">
                  <c:v>2.34</c:v>
                </c:pt>
                <c:pt idx="194">
                  <c:v>2.3559999999999999</c:v>
                </c:pt>
                <c:pt idx="195">
                  <c:v>2.3690000000000002</c:v>
                </c:pt>
                <c:pt idx="196">
                  <c:v>2.0299999999999998</c:v>
                </c:pt>
                <c:pt idx="197">
                  <c:v>2.032</c:v>
                </c:pt>
                <c:pt idx="198">
                  <c:v>1.917</c:v>
                </c:pt>
                <c:pt idx="199">
                  <c:v>1.917</c:v>
                </c:pt>
                <c:pt idx="200">
                  <c:v>1.917</c:v>
                </c:pt>
                <c:pt idx="201">
                  <c:v>1.9359999999999999</c:v>
                </c:pt>
                <c:pt idx="202">
                  <c:v>1.9</c:v>
                </c:pt>
                <c:pt idx="203">
                  <c:v>1.6850000000000001</c:v>
                </c:pt>
                <c:pt idx="204">
                  <c:v>1.6739999999999999</c:v>
                </c:pt>
                <c:pt idx="205">
                  <c:v>1.6739999999999999</c:v>
                </c:pt>
                <c:pt idx="206">
                  <c:v>1.6739999999999999</c:v>
                </c:pt>
                <c:pt idx="207">
                  <c:v>1.6739999999999999</c:v>
                </c:pt>
                <c:pt idx="208">
                  <c:v>1.667</c:v>
                </c:pt>
                <c:pt idx="209">
                  <c:v>1.7230000000000001</c:v>
                </c:pt>
                <c:pt idx="210">
                  <c:v>1.6970000000000001</c:v>
                </c:pt>
                <c:pt idx="211">
                  <c:v>1.669</c:v>
                </c:pt>
                <c:pt idx="212">
                  <c:v>1.6639999999999999</c:v>
                </c:pt>
                <c:pt idx="213">
                  <c:v>1.6639999999999999</c:v>
                </c:pt>
                <c:pt idx="214">
                  <c:v>1.6639999999999999</c:v>
                </c:pt>
                <c:pt idx="215">
                  <c:v>1.601</c:v>
                </c:pt>
                <c:pt idx="216">
                  <c:v>1.5620000000000001</c:v>
                </c:pt>
                <c:pt idx="217">
                  <c:v>1.552</c:v>
                </c:pt>
                <c:pt idx="218">
                  <c:v>1.6080000000000001</c:v>
                </c:pt>
                <c:pt idx="219">
                  <c:v>1.6080000000000001</c:v>
                </c:pt>
                <c:pt idx="220">
                  <c:v>1.6080000000000001</c:v>
                </c:pt>
                <c:pt idx="221">
                  <c:v>1.6080000000000001</c:v>
                </c:pt>
                <c:pt idx="222">
                  <c:v>1.5369999999999999</c:v>
                </c:pt>
                <c:pt idx="223">
                  <c:v>1.6339999999999999</c:v>
                </c:pt>
                <c:pt idx="224">
                  <c:v>1.7869999999999999</c:v>
                </c:pt>
                <c:pt idx="225">
                  <c:v>1.623</c:v>
                </c:pt>
                <c:pt idx="226">
                  <c:v>1.3380000000000001</c:v>
                </c:pt>
                <c:pt idx="227">
                  <c:v>1.3380000000000001</c:v>
                </c:pt>
                <c:pt idx="228">
                  <c:v>1.3380000000000001</c:v>
                </c:pt>
                <c:pt idx="229">
                  <c:v>1.2709999999999999</c:v>
                </c:pt>
                <c:pt idx="230">
                  <c:v>1.2589999999999999</c:v>
                </c:pt>
                <c:pt idx="231">
                  <c:v>1.2150000000000001</c:v>
                </c:pt>
                <c:pt idx="232">
                  <c:v>1.21</c:v>
                </c:pt>
                <c:pt idx="233">
                  <c:v>1.1850000000000001</c:v>
                </c:pt>
                <c:pt idx="234">
                  <c:v>1.1850000000000001</c:v>
                </c:pt>
                <c:pt idx="235">
                  <c:v>1.1850000000000001</c:v>
                </c:pt>
                <c:pt idx="236">
                  <c:v>1.1439999999999999</c:v>
                </c:pt>
                <c:pt idx="237">
                  <c:v>1.139</c:v>
                </c:pt>
                <c:pt idx="238">
                  <c:v>1.0669999999999999</c:v>
                </c:pt>
                <c:pt idx="239">
                  <c:v>1.0569999999999999</c:v>
                </c:pt>
                <c:pt idx="240">
                  <c:v>1.0569999999999999</c:v>
                </c:pt>
                <c:pt idx="241">
                  <c:v>1.0569999999999999</c:v>
                </c:pt>
                <c:pt idx="242">
                  <c:v>1.0569999999999999</c:v>
                </c:pt>
                <c:pt idx="243">
                  <c:v>1.0649999999999999</c:v>
                </c:pt>
                <c:pt idx="244">
                  <c:v>1.07</c:v>
                </c:pt>
                <c:pt idx="245">
                  <c:v>1.0649999999999999</c:v>
                </c:pt>
                <c:pt idx="246">
                  <c:v>1.0289999999999999</c:v>
                </c:pt>
                <c:pt idx="247">
                  <c:v>1.0269999999999999</c:v>
                </c:pt>
                <c:pt idx="248">
                  <c:v>1.0269999999999999</c:v>
                </c:pt>
                <c:pt idx="249">
                  <c:v>1.0269999999999999</c:v>
                </c:pt>
                <c:pt idx="250">
                  <c:v>1.0189999999999999</c:v>
                </c:pt>
                <c:pt idx="251">
                  <c:v>1.024</c:v>
                </c:pt>
                <c:pt idx="252">
                  <c:v>1.0649999999999999</c:v>
                </c:pt>
                <c:pt idx="253">
                  <c:v>1.0189999999999999</c:v>
                </c:pt>
                <c:pt idx="254">
                  <c:v>0.99299999999999999</c:v>
                </c:pt>
                <c:pt idx="255">
                  <c:v>0.99299999999999999</c:v>
                </c:pt>
                <c:pt idx="256">
                  <c:v>0.99299999999999999</c:v>
                </c:pt>
                <c:pt idx="257">
                  <c:v>0.95299999999999996</c:v>
                </c:pt>
                <c:pt idx="258">
                  <c:v>0.91500000000000004</c:v>
                </c:pt>
                <c:pt idx="259">
                  <c:v>0.90400000000000003</c:v>
                </c:pt>
                <c:pt idx="260">
                  <c:v>0.82499999999999996</c:v>
                </c:pt>
                <c:pt idx="261">
                  <c:v>0.83799999999999997</c:v>
                </c:pt>
                <c:pt idx="262">
                  <c:v>0.83799999999999997</c:v>
                </c:pt>
                <c:pt idx="263">
                  <c:v>0.83799999999999997</c:v>
                </c:pt>
                <c:pt idx="264">
                  <c:v>0.82299999999999995</c:v>
                </c:pt>
                <c:pt idx="265">
                  <c:v>0.88400000000000001</c:v>
                </c:pt>
                <c:pt idx="266">
                  <c:v>0.91700000000000004</c:v>
                </c:pt>
                <c:pt idx="267">
                  <c:v>0.79700000000000004</c:v>
                </c:pt>
                <c:pt idx="268">
                  <c:v>0.83599999999999997</c:v>
                </c:pt>
                <c:pt idx="269">
                  <c:v>0.83599999999999997</c:v>
                </c:pt>
                <c:pt idx="270">
                  <c:v>0.83599999999999997</c:v>
                </c:pt>
                <c:pt idx="271">
                  <c:v>0.82799999999999996</c:v>
                </c:pt>
                <c:pt idx="272">
                  <c:v>0.83599999999999997</c:v>
                </c:pt>
                <c:pt idx="273">
                  <c:v>0.83299999999999996</c:v>
                </c:pt>
                <c:pt idx="274">
                  <c:v>0.82299999999999995</c:v>
                </c:pt>
                <c:pt idx="275">
                  <c:v>0.80800000000000005</c:v>
                </c:pt>
                <c:pt idx="276">
                  <c:v>0.80800000000000005</c:v>
                </c:pt>
                <c:pt idx="277">
                  <c:v>0.80800000000000005</c:v>
                </c:pt>
                <c:pt idx="278">
                  <c:v>0.80300000000000005</c:v>
                </c:pt>
                <c:pt idx="279">
                  <c:v>0.83299999999999996</c:v>
                </c:pt>
                <c:pt idx="280">
                  <c:v>0.83599999999999997</c:v>
                </c:pt>
                <c:pt idx="281">
                  <c:v>0.77500000000000002</c:v>
                </c:pt>
                <c:pt idx="282">
                  <c:v>0.78</c:v>
                </c:pt>
                <c:pt idx="283">
                  <c:v>0.78</c:v>
                </c:pt>
                <c:pt idx="284">
                  <c:v>0.78</c:v>
                </c:pt>
                <c:pt idx="285">
                  <c:v>0.78</c:v>
                </c:pt>
                <c:pt idx="286">
                  <c:v>0.749</c:v>
                </c:pt>
                <c:pt idx="287">
                  <c:v>0.747</c:v>
                </c:pt>
                <c:pt idx="288">
                  <c:v>0.71899999999999997</c:v>
                </c:pt>
                <c:pt idx="289">
                  <c:v>0.68799999999999994</c:v>
                </c:pt>
                <c:pt idx="290">
                  <c:v>0.68799999999999994</c:v>
                </c:pt>
                <c:pt idx="291">
                  <c:v>0.68799999999999994</c:v>
                </c:pt>
                <c:pt idx="292">
                  <c:v>0.68300000000000005</c:v>
                </c:pt>
                <c:pt idx="293">
                  <c:v>0.68100000000000005</c:v>
                </c:pt>
                <c:pt idx="294">
                  <c:v>0.65800000000000003</c:v>
                </c:pt>
                <c:pt idx="295">
                  <c:v>0.56399999999999995</c:v>
                </c:pt>
                <c:pt idx="296">
                  <c:v>0.52300000000000002</c:v>
                </c:pt>
                <c:pt idx="297">
                  <c:v>0.52300000000000002</c:v>
                </c:pt>
                <c:pt idx="298">
                  <c:v>0.52300000000000002</c:v>
                </c:pt>
                <c:pt idx="299">
                  <c:v>0.52</c:v>
                </c:pt>
                <c:pt idx="300">
                  <c:v>0.53800000000000003</c:v>
                </c:pt>
                <c:pt idx="301">
                  <c:v>0.55300000000000005</c:v>
                </c:pt>
                <c:pt idx="302">
                  <c:v>0.54300000000000004</c:v>
                </c:pt>
                <c:pt idx="303">
                  <c:v>0.53600000000000003</c:v>
                </c:pt>
                <c:pt idx="304">
                  <c:v>0.53600000000000003</c:v>
                </c:pt>
                <c:pt idx="305">
                  <c:v>0.53600000000000003</c:v>
                </c:pt>
                <c:pt idx="306">
                  <c:v>0.505</c:v>
                </c:pt>
                <c:pt idx="307">
                  <c:v>0.49</c:v>
                </c:pt>
                <c:pt idx="308">
                  <c:v>0.502</c:v>
                </c:pt>
                <c:pt idx="309">
                  <c:v>0.48499999999999999</c:v>
                </c:pt>
                <c:pt idx="310">
                  <c:v>0.40600000000000003</c:v>
                </c:pt>
                <c:pt idx="311">
                  <c:v>0.40600000000000003</c:v>
                </c:pt>
                <c:pt idx="312">
                  <c:v>0.40600000000000003</c:v>
                </c:pt>
                <c:pt idx="313">
                  <c:v>0.39800000000000002</c:v>
                </c:pt>
                <c:pt idx="314">
                  <c:v>0.439</c:v>
                </c:pt>
                <c:pt idx="315">
                  <c:v>0.45900000000000002</c:v>
                </c:pt>
                <c:pt idx="316">
                  <c:v>0.46200000000000002</c:v>
                </c:pt>
                <c:pt idx="317">
                  <c:v>0.38600000000000001</c:v>
                </c:pt>
                <c:pt idx="318">
                  <c:v>0.38600000000000001</c:v>
                </c:pt>
                <c:pt idx="319">
                  <c:v>0.38600000000000001</c:v>
                </c:pt>
                <c:pt idx="320">
                  <c:v>0.38800000000000001</c:v>
                </c:pt>
                <c:pt idx="321">
                  <c:v>0.38100000000000001</c:v>
                </c:pt>
                <c:pt idx="322">
                  <c:v>0.37</c:v>
                </c:pt>
                <c:pt idx="323">
                  <c:v>0.32700000000000001</c:v>
                </c:pt>
                <c:pt idx="324">
                  <c:v>0.32700000000000001</c:v>
                </c:pt>
                <c:pt idx="325">
                  <c:v>0.32700000000000001</c:v>
                </c:pt>
                <c:pt idx="326">
                  <c:v>0.32700000000000001</c:v>
                </c:pt>
                <c:pt idx="327">
                  <c:v>0.34799999999999998</c:v>
                </c:pt>
                <c:pt idx="328">
                  <c:v>0.33700000000000002</c:v>
                </c:pt>
                <c:pt idx="329">
                  <c:v>0.32500000000000001</c:v>
                </c:pt>
                <c:pt idx="330">
                  <c:v>0.317</c:v>
                </c:pt>
                <c:pt idx="331">
                  <c:v>0.32</c:v>
                </c:pt>
                <c:pt idx="332">
                  <c:v>0.32</c:v>
                </c:pt>
                <c:pt idx="333">
                  <c:v>0.32</c:v>
                </c:pt>
                <c:pt idx="334">
                  <c:v>0.32</c:v>
                </c:pt>
                <c:pt idx="335">
                  <c:v>0.36</c:v>
                </c:pt>
                <c:pt idx="336">
                  <c:v>0.35799999999999998</c:v>
                </c:pt>
                <c:pt idx="337">
                  <c:v>0.35</c:v>
                </c:pt>
                <c:pt idx="338">
                  <c:v>0.35</c:v>
                </c:pt>
                <c:pt idx="339">
                  <c:v>0.35</c:v>
                </c:pt>
                <c:pt idx="340">
                  <c:v>0.35</c:v>
                </c:pt>
                <c:pt idx="341">
                  <c:v>0.36299999999999999</c:v>
                </c:pt>
                <c:pt idx="342">
                  <c:v>0.39300000000000002</c:v>
                </c:pt>
                <c:pt idx="343">
                  <c:v>0.41899999999999998</c:v>
                </c:pt>
                <c:pt idx="344">
                  <c:v>0.41599999999999998</c:v>
                </c:pt>
                <c:pt idx="345">
                  <c:v>0.36299999999999999</c:v>
                </c:pt>
                <c:pt idx="346">
                  <c:v>0.36299999999999999</c:v>
                </c:pt>
                <c:pt idx="347">
                  <c:v>0.36299999999999999</c:v>
                </c:pt>
                <c:pt idx="348">
                  <c:v>0.40799999999999997</c:v>
                </c:pt>
                <c:pt idx="349">
                  <c:v>0.27900000000000003</c:v>
                </c:pt>
                <c:pt idx="350">
                  <c:v>0.27400000000000002</c:v>
                </c:pt>
                <c:pt idx="351">
                  <c:v>0.22600000000000001</c:v>
                </c:pt>
                <c:pt idx="352">
                  <c:v>0.23300000000000001</c:v>
                </c:pt>
                <c:pt idx="353">
                  <c:v>0.23300000000000001</c:v>
                </c:pt>
                <c:pt idx="354">
                  <c:v>0.23300000000000001</c:v>
                </c:pt>
                <c:pt idx="355">
                  <c:v>0.20499999999999999</c:v>
                </c:pt>
                <c:pt idx="356">
                  <c:v>0.19800000000000001</c:v>
                </c:pt>
                <c:pt idx="357">
                  <c:v>0.2</c:v>
                </c:pt>
                <c:pt idx="358">
                  <c:v>0.22600000000000001</c:v>
                </c:pt>
                <c:pt idx="359">
                  <c:v>0.19800000000000001</c:v>
                </c:pt>
                <c:pt idx="360">
                  <c:v>0.19800000000000001</c:v>
                </c:pt>
                <c:pt idx="361">
                  <c:v>0.19800000000000001</c:v>
                </c:pt>
                <c:pt idx="362">
                  <c:v>0.20300000000000001</c:v>
                </c:pt>
                <c:pt idx="363">
                  <c:v>0.19500000000000001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글로벌금융시장동향실습!$AG$12:$AG$13</c:f>
              <c:strCache>
                <c:ptCount val="1"/>
                <c:pt idx="0">
                  <c:v>LIBOR(3M) 금리</c:v>
                </c:pt>
              </c:strCache>
            </c:strRef>
          </c:tx>
          <c:spPr>
            <a:ln>
              <a:solidFill>
                <a:srgbClr val="FF3399"/>
              </a:solidFill>
            </a:ln>
          </c:spPr>
          <c:marker>
            <c:symbol val="none"/>
          </c:marker>
          <c:cat>
            <c:numRef>
              <c:f>글로벌금융시장동향실습!$AE$14:$AE$379</c:f>
              <c:numCache>
                <c:formatCode>m/d/yyyy</c:formatCode>
                <c:ptCount val="366"/>
                <c:pt idx="0">
                  <c:v>44950</c:v>
                </c:pt>
                <c:pt idx="1">
                  <c:v>44949</c:v>
                </c:pt>
                <c:pt idx="2">
                  <c:v>44948</c:v>
                </c:pt>
                <c:pt idx="3">
                  <c:v>44947</c:v>
                </c:pt>
                <c:pt idx="4">
                  <c:v>44946</c:v>
                </c:pt>
                <c:pt idx="5">
                  <c:v>44945</c:v>
                </c:pt>
                <c:pt idx="6">
                  <c:v>44944</c:v>
                </c:pt>
                <c:pt idx="7">
                  <c:v>44943</c:v>
                </c:pt>
                <c:pt idx="8">
                  <c:v>44942</c:v>
                </c:pt>
                <c:pt idx="9">
                  <c:v>44941</c:v>
                </c:pt>
                <c:pt idx="10">
                  <c:v>44940</c:v>
                </c:pt>
                <c:pt idx="11">
                  <c:v>44939</c:v>
                </c:pt>
                <c:pt idx="12">
                  <c:v>44938</c:v>
                </c:pt>
                <c:pt idx="13">
                  <c:v>44937</c:v>
                </c:pt>
                <c:pt idx="14">
                  <c:v>44936</c:v>
                </c:pt>
                <c:pt idx="15">
                  <c:v>44935</c:v>
                </c:pt>
                <c:pt idx="16">
                  <c:v>44934</c:v>
                </c:pt>
                <c:pt idx="17">
                  <c:v>44933</c:v>
                </c:pt>
                <c:pt idx="18">
                  <c:v>44932</c:v>
                </c:pt>
                <c:pt idx="19">
                  <c:v>44931</c:v>
                </c:pt>
                <c:pt idx="20">
                  <c:v>44930</c:v>
                </c:pt>
                <c:pt idx="21">
                  <c:v>44929</c:v>
                </c:pt>
                <c:pt idx="22">
                  <c:v>44928</c:v>
                </c:pt>
                <c:pt idx="23">
                  <c:v>44927</c:v>
                </c:pt>
                <c:pt idx="24">
                  <c:v>44926</c:v>
                </c:pt>
                <c:pt idx="25">
                  <c:v>44925</c:v>
                </c:pt>
                <c:pt idx="26">
                  <c:v>44924</c:v>
                </c:pt>
                <c:pt idx="27">
                  <c:v>44923</c:v>
                </c:pt>
                <c:pt idx="28">
                  <c:v>44922</c:v>
                </c:pt>
                <c:pt idx="29">
                  <c:v>44921</c:v>
                </c:pt>
                <c:pt idx="30">
                  <c:v>44920</c:v>
                </c:pt>
                <c:pt idx="31">
                  <c:v>44919</c:v>
                </c:pt>
                <c:pt idx="32">
                  <c:v>44918</c:v>
                </c:pt>
                <c:pt idx="33">
                  <c:v>44917</c:v>
                </c:pt>
                <c:pt idx="34">
                  <c:v>44916</c:v>
                </c:pt>
                <c:pt idx="35">
                  <c:v>44915</c:v>
                </c:pt>
                <c:pt idx="36">
                  <c:v>44914</c:v>
                </c:pt>
                <c:pt idx="37">
                  <c:v>44913</c:v>
                </c:pt>
                <c:pt idx="38">
                  <c:v>44912</c:v>
                </c:pt>
                <c:pt idx="39">
                  <c:v>44911</c:v>
                </c:pt>
                <c:pt idx="40">
                  <c:v>44910</c:v>
                </c:pt>
                <c:pt idx="41">
                  <c:v>44909</c:v>
                </c:pt>
                <c:pt idx="42">
                  <c:v>44908</c:v>
                </c:pt>
                <c:pt idx="43">
                  <c:v>44907</c:v>
                </c:pt>
                <c:pt idx="44">
                  <c:v>44906</c:v>
                </c:pt>
                <c:pt idx="45">
                  <c:v>44905</c:v>
                </c:pt>
                <c:pt idx="46">
                  <c:v>44904</c:v>
                </c:pt>
                <c:pt idx="47">
                  <c:v>44903</c:v>
                </c:pt>
                <c:pt idx="48">
                  <c:v>44902</c:v>
                </c:pt>
                <c:pt idx="49">
                  <c:v>44901</c:v>
                </c:pt>
                <c:pt idx="50">
                  <c:v>44900</c:v>
                </c:pt>
                <c:pt idx="51">
                  <c:v>44899</c:v>
                </c:pt>
                <c:pt idx="52">
                  <c:v>44898</c:v>
                </c:pt>
                <c:pt idx="53">
                  <c:v>44897</c:v>
                </c:pt>
                <c:pt idx="54">
                  <c:v>44896</c:v>
                </c:pt>
                <c:pt idx="55">
                  <c:v>44895</c:v>
                </c:pt>
                <c:pt idx="56">
                  <c:v>44894</c:v>
                </c:pt>
                <c:pt idx="57">
                  <c:v>44893</c:v>
                </c:pt>
                <c:pt idx="58">
                  <c:v>44892</c:v>
                </c:pt>
                <c:pt idx="59">
                  <c:v>44891</c:v>
                </c:pt>
                <c:pt idx="60">
                  <c:v>44890</c:v>
                </c:pt>
                <c:pt idx="61">
                  <c:v>44889</c:v>
                </c:pt>
                <c:pt idx="62">
                  <c:v>44888</c:v>
                </c:pt>
                <c:pt idx="63">
                  <c:v>44887</c:v>
                </c:pt>
                <c:pt idx="64">
                  <c:v>44886</c:v>
                </c:pt>
                <c:pt idx="65">
                  <c:v>44885</c:v>
                </c:pt>
                <c:pt idx="66">
                  <c:v>44884</c:v>
                </c:pt>
                <c:pt idx="67">
                  <c:v>44883</c:v>
                </c:pt>
                <c:pt idx="68">
                  <c:v>44882</c:v>
                </c:pt>
                <c:pt idx="69">
                  <c:v>44881</c:v>
                </c:pt>
                <c:pt idx="70">
                  <c:v>44880</c:v>
                </c:pt>
                <c:pt idx="71">
                  <c:v>44879</c:v>
                </c:pt>
                <c:pt idx="72">
                  <c:v>44878</c:v>
                </c:pt>
                <c:pt idx="73">
                  <c:v>44877</c:v>
                </c:pt>
                <c:pt idx="74">
                  <c:v>44876</c:v>
                </c:pt>
                <c:pt idx="75">
                  <c:v>44875</c:v>
                </c:pt>
                <c:pt idx="76">
                  <c:v>44874</c:v>
                </c:pt>
                <c:pt idx="77">
                  <c:v>44873</c:v>
                </c:pt>
                <c:pt idx="78">
                  <c:v>44872</c:v>
                </c:pt>
                <c:pt idx="79">
                  <c:v>44871</c:v>
                </c:pt>
                <c:pt idx="80">
                  <c:v>44870</c:v>
                </c:pt>
                <c:pt idx="81">
                  <c:v>44869</c:v>
                </c:pt>
                <c:pt idx="82">
                  <c:v>44868</c:v>
                </c:pt>
                <c:pt idx="83">
                  <c:v>44867</c:v>
                </c:pt>
                <c:pt idx="84">
                  <c:v>44866</c:v>
                </c:pt>
                <c:pt idx="85">
                  <c:v>44865</c:v>
                </c:pt>
                <c:pt idx="86">
                  <c:v>44864</c:v>
                </c:pt>
                <c:pt idx="87">
                  <c:v>44863</c:v>
                </c:pt>
                <c:pt idx="88">
                  <c:v>44862</c:v>
                </c:pt>
                <c:pt idx="89">
                  <c:v>44861</c:v>
                </c:pt>
                <c:pt idx="90">
                  <c:v>44860</c:v>
                </c:pt>
                <c:pt idx="91">
                  <c:v>44859</c:v>
                </c:pt>
                <c:pt idx="92">
                  <c:v>44858</c:v>
                </c:pt>
                <c:pt idx="93">
                  <c:v>44857</c:v>
                </c:pt>
                <c:pt idx="94">
                  <c:v>44856</c:v>
                </c:pt>
                <c:pt idx="95">
                  <c:v>44855</c:v>
                </c:pt>
                <c:pt idx="96">
                  <c:v>44854</c:v>
                </c:pt>
                <c:pt idx="97">
                  <c:v>44853</c:v>
                </c:pt>
                <c:pt idx="98">
                  <c:v>44852</c:v>
                </c:pt>
                <c:pt idx="99">
                  <c:v>44851</c:v>
                </c:pt>
                <c:pt idx="100">
                  <c:v>44850</c:v>
                </c:pt>
                <c:pt idx="101">
                  <c:v>44849</c:v>
                </c:pt>
                <c:pt idx="102">
                  <c:v>44848</c:v>
                </c:pt>
                <c:pt idx="103">
                  <c:v>44847</c:v>
                </c:pt>
                <c:pt idx="104">
                  <c:v>44846</c:v>
                </c:pt>
                <c:pt idx="105">
                  <c:v>44845</c:v>
                </c:pt>
                <c:pt idx="106">
                  <c:v>44844</c:v>
                </c:pt>
                <c:pt idx="107">
                  <c:v>44843</c:v>
                </c:pt>
                <c:pt idx="108">
                  <c:v>44842</c:v>
                </c:pt>
                <c:pt idx="109">
                  <c:v>44841</c:v>
                </c:pt>
                <c:pt idx="110">
                  <c:v>44840</c:v>
                </c:pt>
                <c:pt idx="111">
                  <c:v>44839</c:v>
                </c:pt>
                <c:pt idx="112">
                  <c:v>44838</c:v>
                </c:pt>
                <c:pt idx="113">
                  <c:v>44837</c:v>
                </c:pt>
                <c:pt idx="114">
                  <c:v>44836</c:v>
                </c:pt>
                <c:pt idx="115">
                  <c:v>44835</c:v>
                </c:pt>
                <c:pt idx="116">
                  <c:v>44834</c:v>
                </c:pt>
                <c:pt idx="117">
                  <c:v>44833</c:v>
                </c:pt>
                <c:pt idx="118">
                  <c:v>44832</c:v>
                </c:pt>
                <c:pt idx="119">
                  <c:v>44831</c:v>
                </c:pt>
                <c:pt idx="120">
                  <c:v>44830</c:v>
                </c:pt>
                <c:pt idx="121">
                  <c:v>44829</c:v>
                </c:pt>
                <c:pt idx="122">
                  <c:v>44828</c:v>
                </c:pt>
                <c:pt idx="123">
                  <c:v>44827</c:v>
                </c:pt>
                <c:pt idx="124">
                  <c:v>44826</c:v>
                </c:pt>
                <c:pt idx="125">
                  <c:v>44825</c:v>
                </c:pt>
                <c:pt idx="126">
                  <c:v>44824</c:v>
                </c:pt>
                <c:pt idx="127">
                  <c:v>44823</c:v>
                </c:pt>
                <c:pt idx="128">
                  <c:v>44822</c:v>
                </c:pt>
                <c:pt idx="129">
                  <c:v>44821</c:v>
                </c:pt>
                <c:pt idx="130">
                  <c:v>44820</c:v>
                </c:pt>
                <c:pt idx="131">
                  <c:v>44819</c:v>
                </c:pt>
                <c:pt idx="132">
                  <c:v>44818</c:v>
                </c:pt>
                <c:pt idx="133">
                  <c:v>44817</c:v>
                </c:pt>
                <c:pt idx="134">
                  <c:v>44816</c:v>
                </c:pt>
                <c:pt idx="135">
                  <c:v>44815</c:v>
                </c:pt>
                <c:pt idx="136">
                  <c:v>44814</c:v>
                </c:pt>
                <c:pt idx="137">
                  <c:v>44813</c:v>
                </c:pt>
                <c:pt idx="138">
                  <c:v>44812</c:v>
                </c:pt>
                <c:pt idx="139">
                  <c:v>44811</c:v>
                </c:pt>
                <c:pt idx="140">
                  <c:v>44810</c:v>
                </c:pt>
                <c:pt idx="141">
                  <c:v>44809</c:v>
                </c:pt>
                <c:pt idx="142">
                  <c:v>44808</c:v>
                </c:pt>
                <c:pt idx="143">
                  <c:v>44807</c:v>
                </c:pt>
                <c:pt idx="144">
                  <c:v>44806</c:v>
                </c:pt>
                <c:pt idx="145">
                  <c:v>44805</c:v>
                </c:pt>
                <c:pt idx="146">
                  <c:v>44804</c:v>
                </c:pt>
                <c:pt idx="147">
                  <c:v>44803</c:v>
                </c:pt>
                <c:pt idx="148">
                  <c:v>44802</c:v>
                </c:pt>
                <c:pt idx="149">
                  <c:v>44801</c:v>
                </c:pt>
                <c:pt idx="150">
                  <c:v>44800</c:v>
                </c:pt>
                <c:pt idx="151">
                  <c:v>44799</c:v>
                </c:pt>
                <c:pt idx="152">
                  <c:v>44798</c:v>
                </c:pt>
                <c:pt idx="153">
                  <c:v>44797</c:v>
                </c:pt>
                <c:pt idx="154">
                  <c:v>44796</c:v>
                </c:pt>
                <c:pt idx="155">
                  <c:v>44795</c:v>
                </c:pt>
                <c:pt idx="156">
                  <c:v>44794</c:v>
                </c:pt>
                <c:pt idx="157">
                  <c:v>44793</c:v>
                </c:pt>
                <c:pt idx="158">
                  <c:v>44792</c:v>
                </c:pt>
                <c:pt idx="159">
                  <c:v>44791</c:v>
                </c:pt>
                <c:pt idx="160">
                  <c:v>44790</c:v>
                </c:pt>
                <c:pt idx="161">
                  <c:v>44789</c:v>
                </c:pt>
                <c:pt idx="162">
                  <c:v>44788</c:v>
                </c:pt>
                <c:pt idx="163">
                  <c:v>44787</c:v>
                </c:pt>
                <c:pt idx="164">
                  <c:v>44786</c:v>
                </c:pt>
                <c:pt idx="165">
                  <c:v>44785</c:v>
                </c:pt>
                <c:pt idx="166">
                  <c:v>44784</c:v>
                </c:pt>
                <c:pt idx="167">
                  <c:v>44783</c:v>
                </c:pt>
                <c:pt idx="168">
                  <c:v>44782</c:v>
                </c:pt>
                <c:pt idx="169">
                  <c:v>44781</c:v>
                </c:pt>
                <c:pt idx="170">
                  <c:v>44780</c:v>
                </c:pt>
                <c:pt idx="171">
                  <c:v>44779</c:v>
                </c:pt>
                <c:pt idx="172">
                  <c:v>44778</c:v>
                </c:pt>
                <c:pt idx="173">
                  <c:v>44777</c:v>
                </c:pt>
                <c:pt idx="174">
                  <c:v>44776</c:v>
                </c:pt>
                <c:pt idx="175">
                  <c:v>44775</c:v>
                </c:pt>
                <c:pt idx="176">
                  <c:v>44774</c:v>
                </c:pt>
                <c:pt idx="177">
                  <c:v>44773</c:v>
                </c:pt>
                <c:pt idx="178">
                  <c:v>44772</c:v>
                </c:pt>
                <c:pt idx="179">
                  <c:v>44771</c:v>
                </c:pt>
                <c:pt idx="180">
                  <c:v>44770</c:v>
                </c:pt>
                <c:pt idx="181">
                  <c:v>44769</c:v>
                </c:pt>
                <c:pt idx="182">
                  <c:v>44768</c:v>
                </c:pt>
                <c:pt idx="183">
                  <c:v>44767</c:v>
                </c:pt>
                <c:pt idx="184">
                  <c:v>44766</c:v>
                </c:pt>
                <c:pt idx="185">
                  <c:v>44765</c:v>
                </c:pt>
                <c:pt idx="186">
                  <c:v>44764</c:v>
                </c:pt>
                <c:pt idx="187">
                  <c:v>44763</c:v>
                </c:pt>
                <c:pt idx="188">
                  <c:v>44762</c:v>
                </c:pt>
                <c:pt idx="189">
                  <c:v>44761</c:v>
                </c:pt>
                <c:pt idx="190">
                  <c:v>44760</c:v>
                </c:pt>
                <c:pt idx="191">
                  <c:v>44759</c:v>
                </c:pt>
                <c:pt idx="192">
                  <c:v>44758</c:v>
                </c:pt>
                <c:pt idx="193">
                  <c:v>44757</c:v>
                </c:pt>
                <c:pt idx="194">
                  <c:v>44756</c:v>
                </c:pt>
                <c:pt idx="195">
                  <c:v>44755</c:v>
                </c:pt>
                <c:pt idx="196">
                  <c:v>44754</c:v>
                </c:pt>
                <c:pt idx="197">
                  <c:v>44753</c:v>
                </c:pt>
                <c:pt idx="198">
                  <c:v>44752</c:v>
                </c:pt>
                <c:pt idx="199">
                  <c:v>44751</c:v>
                </c:pt>
                <c:pt idx="200">
                  <c:v>44750</c:v>
                </c:pt>
                <c:pt idx="201">
                  <c:v>44749</c:v>
                </c:pt>
                <c:pt idx="202">
                  <c:v>44748</c:v>
                </c:pt>
                <c:pt idx="203">
                  <c:v>44747</c:v>
                </c:pt>
                <c:pt idx="204">
                  <c:v>44746</c:v>
                </c:pt>
                <c:pt idx="205">
                  <c:v>44745</c:v>
                </c:pt>
                <c:pt idx="206">
                  <c:v>44744</c:v>
                </c:pt>
                <c:pt idx="207">
                  <c:v>44743</c:v>
                </c:pt>
                <c:pt idx="208">
                  <c:v>44742</c:v>
                </c:pt>
                <c:pt idx="209">
                  <c:v>44741</c:v>
                </c:pt>
                <c:pt idx="210">
                  <c:v>44740</c:v>
                </c:pt>
                <c:pt idx="211">
                  <c:v>44739</c:v>
                </c:pt>
                <c:pt idx="212">
                  <c:v>44738</c:v>
                </c:pt>
                <c:pt idx="213">
                  <c:v>44737</c:v>
                </c:pt>
                <c:pt idx="214">
                  <c:v>44736</c:v>
                </c:pt>
                <c:pt idx="215">
                  <c:v>44735</c:v>
                </c:pt>
                <c:pt idx="216">
                  <c:v>44734</c:v>
                </c:pt>
                <c:pt idx="217">
                  <c:v>44733</c:v>
                </c:pt>
                <c:pt idx="218">
                  <c:v>44732</c:v>
                </c:pt>
                <c:pt idx="219">
                  <c:v>44731</c:v>
                </c:pt>
                <c:pt idx="220">
                  <c:v>44730</c:v>
                </c:pt>
                <c:pt idx="221">
                  <c:v>44729</c:v>
                </c:pt>
                <c:pt idx="222">
                  <c:v>44728</c:v>
                </c:pt>
                <c:pt idx="223">
                  <c:v>44727</c:v>
                </c:pt>
                <c:pt idx="224">
                  <c:v>44726</c:v>
                </c:pt>
                <c:pt idx="225">
                  <c:v>44725</c:v>
                </c:pt>
                <c:pt idx="226">
                  <c:v>44724</c:v>
                </c:pt>
                <c:pt idx="227">
                  <c:v>44723</c:v>
                </c:pt>
                <c:pt idx="228">
                  <c:v>44722</c:v>
                </c:pt>
                <c:pt idx="229">
                  <c:v>44721</c:v>
                </c:pt>
                <c:pt idx="230">
                  <c:v>44720</c:v>
                </c:pt>
                <c:pt idx="231">
                  <c:v>44719</c:v>
                </c:pt>
                <c:pt idx="232">
                  <c:v>44718</c:v>
                </c:pt>
                <c:pt idx="233">
                  <c:v>44717</c:v>
                </c:pt>
                <c:pt idx="234">
                  <c:v>44716</c:v>
                </c:pt>
                <c:pt idx="235">
                  <c:v>44715</c:v>
                </c:pt>
                <c:pt idx="236">
                  <c:v>44714</c:v>
                </c:pt>
                <c:pt idx="237">
                  <c:v>44713</c:v>
                </c:pt>
                <c:pt idx="238">
                  <c:v>44712</c:v>
                </c:pt>
                <c:pt idx="239">
                  <c:v>44711</c:v>
                </c:pt>
                <c:pt idx="240">
                  <c:v>44710</c:v>
                </c:pt>
                <c:pt idx="241">
                  <c:v>44709</c:v>
                </c:pt>
                <c:pt idx="242">
                  <c:v>44708</c:v>
                </c:pt>
                <c:pt idx="243">
                  <c:v>44707</c:v>
                </c:pt>
                <c:pt idx="244">
                  <c:v>44706</c:v>
                </c:pt>
                <c:pt idx="245">
                  <c:v>44705</c:v>
                </c:pt>
                <c:pt idx="246">
                  <c:v>44704</c:v>
                </c:pt>
                <c:pt idx="247">
                  <c:v>44703</c:v>
                </c:pt>
                <c:pt idx="248">
                  <c:v>44702</c:v>
                </c:pt>
                <c:pt idx="249">
                  <c:v>44701</c:v>
                </c:pt>
                <c:pt idx="250">
                  <c:v>44700</c:v>
                </c:pt>
                <c:pt idx="251">
                  <c:v>44699</c:v>
                </c:pt>
                <c:pt idx="252">
                  <c:v>44698</c:v>
                </c:pt>
                <c:pt idx="253">
                  <c:v>44697</c:v>
                </c:pt>
                <c:pt idx="254">
                  <c:v>44696</c:v>
                </c:pt>
                <c:pt idx="255">
                  <c:v>44695</c:v>
                </c:pt>
                <c:pt idx="256">
                  <c:v>44694</c:v>
                </c:pt>
                <c:pt idx="257">
                  <c:v>44693</c:v>
                </c:pt>
                <c:pt idx="258">
                  <c:v>44692</c:v>
                </c:pt>
                <c:pt idx="259">
                  <c:v>44691</c:v>
                </c:pt>
                <c:pt idx="260">
                  <c:v>44690</c:v>
                </c:pt>
                <c:pt idx="261">
                  <c:v>44689</c:v>
                </c:pt>
                <c:pt idx="262">
                  <c:v>44688</c:v>
                </c:pt>
                <c:pt idx="263">
                  <c:v>44687</c:v>
                </c:pt>
                <c:pt idx="264">
                  <c:v>44686</c:v>
                </c:pt>
                <c:pt idx="265">
                  <c:v>44685</c:v>
                </c:pt>
                <c:pt idx="266">
                  <c:v>44684</c:v>
                </c:pt>
                <c:pt idx="267">
                  <c:v>44683</c:v>
                </c:pt>
                <c:pt idx="268">
                  <c:v>44682</c:v>
                </c:pt>
                <c:pt idx="269">
                  <c:v>44681</c:v>
                </c:pt>
                <c:pt idx="270">
                  <c:v>44680</c:v>
                </c:pt>
                <c:pt idx="271">
                  <c:v>44679</c:v>
                </c:pt>
                <c:pt idx="272">
                  <c:v>44678</c:v>
                </c:pt>
                <c:pt idx="273">
                  <c:v>44677</c:v>
                </c:pt>
                <c:pt idx="274">
                  <c:v>44676</c:v>
                </c:pt>
                <c:pt idx="275">
                  <c:v>44675</c:v>
                </c:pt>
                <c:pt idx="276">
                  <c:v>44674</c:v>
                </c:pt>
                <c:pt idx="277">
                  <c:v>44673</c:v>
                </c:pt>
                <c:pt idx="278">
                  <c:v>44672</c:v>
                </c:pt>
                <c:pt idx="279">
                  <c:v>44671</c:v>
                </c:pt>
                <c:pt idx="280">
                  <c:v>44670</c:v>
                </c:pt>
                <c:pt idx="281">
                  <c:v>44669</c:v>
                </c:pt>
                <c:pt idx="282">
                  <c:v>44668</c:v>
                </c:pt>
                <c:pt idx="283">
                  <c:v>44667</c:v>
                </c:pt>
                <c:pt idx="284">
                  <c:v>44666</c:v>
                </c:pt>
                <c:pt idx="285">
                  <c:v>44665</c:v>
                </c:pt>
                <c:pt idx="286">
                  <c:v>44664</c:v>
                </c:pt>
                <c:pt idx="287">
                  <c:v>44663</c:v>
                </c:pt>
                <c:pt idx="288">
                  <c:v>44662</c:v>
                </c:pt>
                <c:pt idx="289">
                  <c:v>44661</c:v>
                </c:pt>
                <c:pt idx="290">
                  <c:v>44660</c:v>
                </c:pt>
                <c:pt idx="291">
                  <c:v>44659</c:v>
                </c:pt>
                <c:pt idx="292">
                  <c:v>44658</c:v>
                </c:pt>
                <c:pt idx="293">
                  <c:v>44657</c:v>
                </c:pt>
                <c:pt idx="294">
                  <c:v>44656</c:v>
                </c:pt>
                <c:pt idx="295">
                  <c:v>44655</c:v>
                </c:pt>
                <c:pt idx="296">
                  <c:v>44654</c:v>
                </c:pt>
                <c:pt idx="297">
                  <c:v>44653</c:v>
                </c:pt>
                <c:pt idx="298">
                  <c:v>44652</c:v>
                </c:pt>
                <c:pt idx="299">
                  <c:v>44651</c:v>
                </c:pt>
                <c:pt idx="300">
                  <c:v>44650</c:v>
                </c:pt>
                <c:pt idx="301">
                  <c:v>44649</c:v>
                </c:pt>
                <c:pt idx="302">
                  <c:v>44648</c:v>
                </c:pt>
                <c:pt idx="303">
                  <c:v>44647</c:v>
                </c:pt>
                <c:pt idx="304">
                  <c:v>44646</c:v>
                </c:pt>
                <c:pt idx="305">
                  <c:v>44645</c:v>
                </c:pt>
                <c:pt idx="306">
                  <c:v>44644</c:v>
                </c:pt>
                <c:pt idx="307">
                  <c:v>44643</c:v>
                </c:pt>
                <c:pt idx="308">
                  <c:v>44642</c:v>
                </c:pt>
                <c:pt idx="309">
                  <c:v>44641</c:v>
                </c:pt>
                <c:pt idx="310">
                  <c:v>44640</c:v>
                </c:pt>
                <c:pt idx="311">
                  <c:v>44639</c:v>
                </c:pt>
                <c:pt idx="312">
                  <c:v>44638</c:v>
                </c:pt>
                <c:pt idx="313">
                  <c:v>44637</c:v>
                </c:pt>
                <c:pt idx="314">
                  <c:v>44636</c:v>
                </c:pt>
                <c:pt idx="315">
                  <c:v>44635</c:v>
                </c:pt>
                <c:pt idx="316">
                  <c:v>44634</c:v>
                </c:pt>
                <c:pt idx="317">
                  <c:v>44633</c:v>
                </c:pt>
                <c:pt idx="318">
                  <c:v>44632</c:v>
                </c:pt>
                <c:pt idx="319">
                  <c:v>44631</c:v>
                </c:pt>
                <c:pt idx="320">
                  <c:v>44630</c:v>
                </c:pt>
                <c:pt idx="321">
                  <c:v>44629</c:v>
                </c:pt>
                <c:pt idx="322">
                  <c:v>44628</c:v>
                </c:pt>
                <c:pt idx="323">
                  <c:v>44627</c:v>
                </c:pt>
                <c:pt idx="324">
                  <c:v>44626</c:v>
                </c:pt>
                <c:pt idx="325">
                  <c:v>44625</c:v>
                </c:pt>
                <c:pt idx="326">
                  <c:v>44624</c:v>
                </c:pt>
                <c:pt idx="327">
                  <c:v>44623</c:v>
                </c:pt>
                <c:pt idx="328">
                  <c:v>44622</c:v>
                </c:pt>
                <c:pt idx="329">
                  <c:v>44621</c:v>
                </c:pt>
                <c:pt idx="330">
                  <c:v>44620</c:v>
                </c:pt>
                <c:pt idx="331">
                  <c:v>44619</c:v>
                </c:pt>
                <c:pt idx="332">
                  <c:v>44618</c:v>
                </c:pt>
                <c:pt idx="333">
                  <c:v>44617</c:v>
                </c:pt>
                <c:pt idx="334">
                  <c:v>44616</c:v>
                </c:pt>
                <c:pt idx="335">
                  <c:v>44615</c:v>
                </c:pt>
                <c:pt idx="336">
                  <c:v>44614</c:v>
                </c:pt>
                <c:pt idx="337">
                  <c:v>44613</c:v>
                </c:pt>
                <c:pt idx="338">
                  <c:v>44612</c:v>
                </c:pt>
                <c:pt idx="339">
                  <c:v>44611</c:v>
                </c:pt>
                <c:pt idx="340">
                  <c:v>44610</c:v>
                </c:pt>
                <c:pt idx="341">
                  <c:v>44609</c:v>
                </c:pt>
                <c:pt idx="342">
                  <c:v>44608</c:v>
                </c:pt>
                <c:pt idx="343">
                  <c:v>44607</c:v>
                </c:pt>
                <c:pt idx="344">
                  <c:v>44606</c:v>
                </c:pt>
                <c:pt idx="345">
                  <c:v>44605</c:v>
                </c:pt>
                <c:pt idx="346">
                  <c:v>44604</c:v>
                </c:pt>
                <c:pt idx="347">
                  <c:v>44603</c:v>
                </c:pt>
                <c:pt idx="348">
                  <c:v>44602</c:v>
                </c:pt>
                <c:pt idx="349">
                  <c:v>44601</c:v>
                </c:pt>
                <c:pt idx="350">
                  <c:v>44600</c:v>
                </c:pt>
                <c:pt idx="351">
                  <c:v>44599</c:v>
                </c:pt>
                <c:pt idx="352">
                  <c:v>44598</c:v>
                </c:pt>
                <c:pt idx="353">
                  <c:v>44597</c:v>
                </c:pt>
                <c:pt idx="354">
                  <c:v>44596</c:v>
                </c:pt>
                <c:pt idx="355">
                  <c:v>44595</c:v>
                </c:pt>
                <c:pt idx="356">
                  <c:v>44594</c:v>
                </c:pt>
                <c:pt idx="357">
                  <c:v>44593</c:v>
                </c:pt>
                <c:pt idx="358">
                  <c:v>44592</c:v>
                </c:pt>
                <c:pt idx="359">
                  <c:v>44591</c:v>
                </c:pt>
                <c:pt idx="360">
                  <c:v>44590</c:v>
                </c:pt>
                <c:pt idx="361">
                  <c:v>44589</c:v>
                </c:pt>
                <c:pt idx="362">
                  <c:v>44588</c:v>
                </c:pt>
                <c:pt idx="363">
                  <c:v>44587</c:v>
                </c:pt>
              </c:numCache>
            </c:numRef>
          </c:cat>
          <c:val>
            <c:numRef>
              <c:f>글로벌금융시장동향실습!$AG$14:$AG$379</c:f>
              <c:numCache>
                <c:formatCode>General</c:formatCode>
                <c:ptCount val="366"/>
                <c:pt idx="0">
                  <c:v>4.8220000000000001</c:v>
                </c:pt>
                <c:pt idx="1">
                  <c:v>4.8179999999999996</c:v>
                </c:pt>
                <c:pt idx="2">
                  <c:v>4.8159999999999998</c:v>
                </c:pt>
                <c:pt idx="3">
                  <c:v>4.8159999999999998</c:v>
                </c:pt>
                <c:pt idx="4">
                  <c:v>4.8159999999999998</c:v>
                </c:pt>
                <c:pt idx="5">
                  <c:v>4.8150000000000004</c:v>
                </c:pt>
                <c:pt idx="6">
                  <c:v>4.8079999999999998</c:v>
                </c:pt>
                <c:pt idx="7">
                  <c:v>4.798</c:v>
                </c:pt>
                <c:pt idx="8">
                  <c:v>4.7949999999999999</c:v>
                </c:pt>
                <c:pt idx="9">
                  <c:v>4.7919999999999998</c:v>
                </c:pt>
                <c:pt idx="10">
                  <c:v>4.7919999999999998</c:v>
                </c:pt>
                <c:pt idx="11">
                  <c:v>4.7919999999999998</c:v>
                </c:pt>
                <c:pt idx="12">
                  <c:v>4.83</c:v>
                </c:pt>
                <c:pt idx="13">
                  <c:v>4.8150000000000004</c:v>
                </c:pt>
                <c:pt idx="14">
                  <c:v>4.806</c:v>
                </c:pt>
                <c:pt idx="15">
                  <c:v>4.7830000000000004</c:v>
                </c:pt>
                <c:pt idx="16">
                  <c:v>4.8099999999999996</c:v>
                </c:pt>
                <c:pt idx="17">
                  <c:v>4.8099999999999996</c:v>
                </c:pt>
                <c:pt idx="18">
                  <c:v>4.8099999999999996</c:v>
                </c:pt>
                <c:pt idx="19">
                  <c:v>4.8120000000000003</c:v>
                </c:pt>
                <c:pt idx="20">
                  <c:v>4.7880000000000003</c:v>
                </c:pt>
                <c:pt idx="21">
                  <c:v>4.782</c:v>
                </c:pt>
                <c:pt idx="22">
                  <c:v>4.7670000000000003</c:v>
                </c:pt>
                <c:pt idx="23">
                  <c:v>4.7670000000000003</c:v>
                </c:pt>
                <c:pt idx="24">
                  <c:v>4.7670000000000003</c:v>
                </c:pt>
                <c:pt idx="25">
                  <c:v>4.7670000000000003</c:v>
                </c:pt>
                <c:pt idx="26">
                  <c:v>4.7539999999999996</c:v>
                </c:pt>
                <c:pt idx="27">
                  <c:v>4.7300000000000004</c:v>
                </c:pt>
                <c:pt idx="28">
                  <c:v>4.726</c:v>
                </c:pt>
                <c:pt idx="29">
                  <c:v>4.726</c:v>
                </c:pt>
                <c:pt idx="30">
                  <c:v>4.726</c:v>
                </c:pt>
                <c:pt idx="31">
                  <c:v>4.726</c:v>
                </c:pt>
                <c:pt idx="32">
                  <c:v>4.726</c:v>
                </c:pt>
                <c:pt idx="33">
                  <c:v>4.7240000000000002</c:v>
                </c:pt>
                <c:pt idx="34">
                  <c:v>4.7290000000000001</c:v>
                </c:pt>
                <c:pt idx="35">
                  <c:v>4.7530000000000001</c:v>
                </c:pt>
                <c:pt idx="36">
                  <c:v>4.7380000000000004</c:v>
                </c:pt>
                <c:pt idx="37">
                  <c:v>4.7460000000000004</c:v>
                </c:pt>
                <c:pt idx="38">
                  <c:v>4.7460000000000004</c:v>
                </c:pt>
                <c:pt idx="39">
                  <c:v>4.7460000000000004</c:v>
                </c:pt>
                <c:pt idx="40">
                  <c:v>4.7380000000000004</c:v>
                </c:pt>
                <c:pt idx="41">
                  <c:v>4.7359999999999998</c:v>
                </c:pt>
                <c:pt idx="42">
                  <c:v>4.7690000000000001</c:v>
                </c:pt>
                <c:pt idx="43">
                  <c:v>4.7530000000000001</c:v>
                </c:pt>
                <c:pt idx="44">
                  <c:v>4.7329999999999997</c:v>
                </c:pt>
                <c:pt idx="45">
                  <c:v>4.7329999999999997</c:v>
                </c:pt>
                <c:pt idx="46">
                  <c:v>4.7329999999999997</c:v>
                </c:pt>
                <c:pt idx="47">
                  <c:v>4.7350000000000003</c:v>
                </c:pt>
                <c:pt idx="48">
                  <c:v>4.7229999999999999</c:v>
                </c:pt>
                <c:pt idx="49">
                  <c:v>4.7350000000000003</c:v>
                </c:pt>
                <c:pt idx="50">
                  <c:v>4.7229999999999999</c:v>
                </c:pt>
                <c:pt idx="51">
                  <c:v>4.7329999999999997</c:v>
                </c:pt>
                <c:pt idx="52">
                  <c:v>4.7329999999999997</c:v>
                </c:pt>
                <c:pt idx="53">
                  <c:v>4.7329999999999997</c:v>
                </c:pt>
                <c:pt idx="54">
                  <c:v>4.7649999999999997</c:v>
                </c:pt>
                <c:pt idx="55">
                  <c:v>4.7789999999999999</c:v>
                </c:pt>
                <c:pt idx="56">
                  <c:v>4.7610000000000001</c:v>
                </c:pt>
                <c:pt idx="57">
                  <c:v>4.7350000000000003</c:v>
                </c:pt>
                <c:pt idx="58">
                  <c:v>4.734</c:v>
                </c:pt>
                <c:pt idx="59">
                  <c:v>4.734</c:v>
                </c:pt>
                <c:pt idx="60">
                  <c:v>4.734</c:v>
                </c:pt>
                <c:pt idx="61">
                  <c:v>4.7359999999999998</c:v>
                </c:pt>
                <c:pt idx="62">
                  <c:v>4.7569999999999997</c:v>
                </c:pt>
                <c:pt idx="63">
                  <c:v>4.6989999999999998</c:v>
                </c:pt>
                <c:pt idx="64">
                  <c:v>4.6920000000000002</c:v>
                </c:pt>
                <c:pt idx="65">
                  <c:v>4.665</c:v>
                </c:pt>
                <c:pt idx="66">
                  <c:v>4.665</c:v>
                </c:pt>
                <c:pt idx="67">
                  <c:v>4.665</c:v>
                </c:pt>
                <c:pt idx="68">
                  <c:v>4.6749999999999998</c:v>
                </c:pt>
                <c:pt idx="69">
                  <c:v>4.6740000000000004</c:v>
                </c:pt>
                <c:pt idx="70">
                  <c:v>4.6500000000000004</c:v>
                </c:pt>
                <c:pt idx="71">
                  <c:v>4.6440000000000001</c:v>
                </c:pt>
                <c:pt idx="72">
                  <c:v>4.6059999999999999</c:v>
                </c:pt>
                <c:pt idx="73">
                  <c:v>4.6059999999999999</c:v>
                </c:pt>
                <c:pt idx="74">
                  <c:v>4.6059999999999999</c:v>
                </c:pt>
                <c:pt idx="75">
                  <c:v>4.6500000000000004</c:v>
                </c:pt>
                <c:pt idx="76">
                  <c:v>4.63</c:v>
                </c:pt>
                <c:pt idx="77">
                  <c:v>4.5919999999999996</c:v>
                </c:pt>
                <c:pt idx="78">
                  <c:v>4.5570000000000004</c:v>
                </c:pt>
                <c:pt idx="79">
                  <c:v>4.55</c:v>
                </c:pt>
                <c:pt idx="80">
                  <c:v>4.55</c:v>
                </c:pt>
                <c:pt idx="81">
                  <c:v>4.55</c:v>
                </c:pt>
                <c:pt idx="82">
                  <c:v>4.532</c:v>
                </c:pt>
                <c:pt idx="83">
                  <c:v>4.508</c:v>
                </c:pt>
                <c:pt idx="84">
                  <c:v>4.46</c:v>
                </c:pt>
                <c:pt idx="85">
                  <c:v>4.46</c:v>
                </c:pt>
                <c:pt idx="86">
                  <c:v>4.4400000000000004</c:v>
                </c:pt>
                <c:pt idx="87">
                  <c:v>4.4400000000000004</c:v>
                </c:pt>
                <c:pt idx="88">
                  <c:v>4.4400000000000004</c:v>
                </c:pt>
                <c:pt idx="89">
                  <c:v>4.415</c:v>
                </c:pt>
                <c:pt idx="90">
                  <c:v>4.3739999999999997</c:v>
                </c:pt>
                <c:pt idx="91">
                  <c:v>4.3579999999999997</c:v>
                </c:pt>
                <c:pt idx="92">
                  <c:v>4.327</c:v>
                </c:pt>
                <c:pt idx="93">
                  <c:v>4.3579999999999997</c:v>
                </c:pt>
                <c:pt idx="94">
                  <c:v>4.3579999999999997</c:v>
                </c:pt>
                <c:pt idx="95">
                  <c:v>4.3579999999999997</c:v>
                </c:pt>
                <c:pt idx="96">
                  <c:v>4.3250000000000002</c:v>
                </c:pt>
                <c:pt idx="97">
                  <c:v>4.2779999999999996</c:v>
                </c:pt>
                <c:pt idx="98">
                  <c:v>4.2430000000000003</c:v>
                </c:pt>
                <c:pt idx="99">
                  <c:v>4.2270000000000003</c:v>
                </c:pt>
                <c:pt idx="100">
                  <c:v>4.194</c:v>
                </c:pt>
                <c:pt idx="101">
                  <c:v>4.194</c:v>
                </c:pt>
                <c:pt idx="102">
                  <c:v>4.194</c:v>
                </c:pt>
                <c:pt idx="103">
                  <c:v>4.0789999999999997</c:v>
                </c:pt>
                <c:pt idx="104">
                  <c:v>4.0110000000000001</c:v>
                </c:pt>
                <c:pt idx="105">
                  <c:v>3.9409999999999998</c:v>
                </c:pt>
                <c:pt idx="106">
                  <c:v>3.919</c:v>
                </c:pt>
                <c:pt idx="107">
                  <c:v>3.9089999999999998</c:v>
                </c:pt>
                <c:pt idx="108">
                  <c:v>3.9089999999999998</c:v>
                </c:pt>
                <c:pt idx="109">
                  <c:v>3.9089999999999998</c:v>
                </c:pt>
                <c:pt idx="110">
                  <c:v>3.8260000000000001</c:v>
                </c:pt>
                <c:pt idx="111">
                  <c:v>3.7839999999999998</c:v>
                </c:pt>
                <c:pt idx="112">
                  <c:v>3.7410000000000001</c:v>
                </c:pt>
                <c:pt idx="113">
                  <c:v>3.7480000000000002</c:v>
                </c:pt>
                <c:pt idx="114">
                  <c:v>3.7549999999999999</c:v>
                </c:pt>
                <c:pt idx="115">
                  <c:v>3.7549999999999999</c:v>
                </c:pt>
                <c:pt idx="116">
                  <c:v>3.7549999999999999</c:v>
                </c:pt>
                <c:pt idx="117">
                  <c:v>3.7429999999999999</c:v>
                </c:pt>
                <c:pt idx="118">
                  <c:v>3.6739999999999999</c:v>
                </c:pt>
                <c:pt idx="119">
                  <c:v>3.6419999999999999</c:v>
                </c:pt>
                <c:pt idx="120">
                  <c:v>3.641</c:v>
                </c:pt>
                <c:pt idx="121">
                  <c:v>3.6280000000000001</c:v>
                </c:pt>
                <c:pt idx="122">
                  <c:v>3.6280000000000001</c:v>
                </c:pt>
                <c:pt idx="123">
                  <c:v>3.6280000000000001</c:v>
                </c:pt>
                <c:pt idx="124">
                  <c:v>3.641</c:v>
                </c:pt>
                <c:pt idx="125">
                  <c:v>3.6040000000000001</c:v>
                </c:pt>
                <c:pt idx="126">
                  <c:v>3.6019999999999999</c:v>
                </c:pt>
                <c:pt idx="127">
                  <c:v>3.5649999999999999</c:v>
                </c:pt>
                <c:pt idx="128">
                  <c:v>3.5649999999999999</c:v>
                </c:pt>
                <c:pt idx="129">
                  <c:v>3.5649999999999999</c:v>
                </c:pt>
                <c:pt idx="130">
                  <c:v>3.5649999999999999</c:v>
                </c:pt>
                <c:pt idx="131">
                  <c:v>3.5270000000000001</c:v>
                </c:pt>
                <c:pt idx="132">
                  <c:v>3.4830000000000001</c:v>
                </c:pt>
                <c:pt idx="133">
                  <c:v>3.2930000000000001</c:v>
                </c:pt>
                <c:pt idx="134">
                  <c:v>3.27</c:v>
                </c:pt>
                <c:pt idx="135">
                  <c:v>3.2450000000000001</c:v>
                </c:pt>
                <c:pt idx="136">
                  <c:v>3.2450000000000001</c:v>
                </c:pt>
                <c:pt idx="137">
                  <c:v>3.2450000000000001</c:v>
                </c:pt>
                <c:pt idx="138">
                  <c:v>3.2360000000000002</c:v>
                </c:pt>
                <c:pt idx="139">
                  <c:v>3.194</c:v>
                </c:pt>
                <c:pt idx="140">
                  <c:v>3.1680000000000001</c:v>
                </c:pt>
                <c:pt idx="141">
                  <c:v>3.145</c:v>
                </c:pt>
                <c:pt idx="142">
                  <c:v>3.1579999999999999</c:v>
                </c:pt>
                <c:pt idx="143">
                  <c:v>3.1579999999999999</c:v>
                </c:pt>
                <c:pt idx="144">
                  <c:v>3.1579999999999999</c:v>
                </c:pt>
                <c:pt idx="145">
                  <c:v>3.1440000000000001</c:v>
                </c:pt>
                <c:pt idx="146">
                  <c:v>3.1</c:v>
                </c:pt>
                <c:pt idx="147">
                  <c:v>3.0819999999999999</c:v>
                </c:pt>
                <c:pt idx="148">
                  <c:v>3.07</c:v>
                </c:pt>
                <c:pt idx="149">
                  <c:v>3.07</c:v>
                </c:pt>
                <c:pt idx="150">
                  <c:v>3.07</c:v>
                </c:pt>
                <c:pt idx="151">
                  <c:v>3.07</c:v>
                </c:pt>
                <c:pt idx="152">
                  <c:v>3.0430000000000001</c:v>
                </c:pt>
                <c:pt idx="153">
                  <c:v>3.01</c:v>
                </c:pt>
                <c:pt idx="154">
                  <c:v>2.9969999999999999</c:v>
                </c:pt>
                <c:pt idx="155">
                  <c:v>2.98</c:v>
                </c:pt>
                <c:pt idx="156">
                  <c:v>2.9580000000000002</c:v>
                </c:pt>
                <c:pt idx="157">
                  <c:v>2.9580000000000002</c:v>
                </c:pt>
                <c:pt idx="158">
                  <c:v>2.9580000000000002</c:v>
                </c:pt>
                <c:pt idx="159">
                  <c:v>2.984</c:v>
                </c:pt>
                <c:pt idx="160">
                  <c:v>2.9769999999999999</c:v>
                </c:pt>
                <c:pt idx="161">
                  <c:v>2.9609999999999999</c:v>
                </c:pt>
                <c:pt idx="162">
                  <c:v>2.9420000000000002</c:v>
                </c:pt>
                <c:pt idx="163">
                  <c:v>2.9220000000000002</c:v>
                </c:pt>
                <c:pt idx="164">
                  <c:v>2.9220000000000002</c:v>
                </c:pt>
                <c:pt idx="165">
                  <c:v>2.9220000000000002</c:v>
                </c:pt>
                <c:pt idx="166">
                  <c:v>2.9049999999999998</c:v>
                </c:pt>
                <c:pt idx="167">
                  <c:v>2.923</c:v>
                </c:pt>
                <c:pt idx="168">
                  <c:v>2.9209999999999998</c:v>
                </c:pt>
                <c:pt idx="169">
                  <c:v>2.9119999999999999</c:v>
                </c:pt>
                <c:pt idx="170">
                  <c:v>2.867</c:v>
                </c:pt>
                <c:pt idx="171">
                  <c:v>2.867</c:v>
                </c:pt>
                <c:pt idx="172">
                  <c:v>2.867</c:v>
                </c:pt>
                <c:pt idx="173">
                  <c:v>2.863</c:v>
                </c:pt>
                <c:pt idx="174">
                  <c:v>2.8319999999999999</c:v>
                </c:pt>
                <c:pt idx="175">
                  <c:v>2.8069999999999999</c:v>
                </c:pt>
                <c:pt idx="176">
                  <c:v>2.802</c:v>
                </c:pt>
                <c:pt idx="177">
                  <c:v>2.7879999999999998</c:v>
                </c:pt>
                <c:pt idx="178">
                  <c:v>2.7879999999999998</c:v>
                </c:pt>
                <c:pt idx="179">
                  <c:v>2.7879999999999998</c:v>
                </c:pt>
                <c:pt idx="180">
                  <c:v>2.782</c:v>
                </c:pt>
                <c:pt idx="181">
                  <c:v>2.806</c:v>
                </c:pt>
                <c:pt idx="182">
                  <c:v>2.7930000000000001</c:v>
                </c:pt>
                <c:pt idx="183">
                  <c:v>2.7690000000000001</c:v>
                </c:pt>
                <c:pt idx="184">
                  <c:v>2.766</c:v>
                </c:pt>
                <c:pt idx="185">
                  <c:v>2.766</c:v>
                </c:pt>
                <c:pt idx="186">
                  <c:v>2.766</c:v>
                </c:pt>
                <c:pt idx="187">
                  <c:v>2.7829999999999999</c:v>
                </c:pt>
                <c:pt idx="188">
                  <c:v>2.7589999999999999</c:v>
                </c:pt>
                <c:pt idx="189">
                  <c:v>2.7320000000000002</c:v>
                </c:pt>
                <c:pt idx="190">
                  <c:v>2.71</c:v>
                </c:pt>
                <c:pt idx="191">
                  <c:v>2.738</c:v>
                </c:pt>
                <c:pt idx="192">
                  <c:v>2.738</c:v>
                </c:pt>
                <c:pt idx="193">
                  <c:v>2.738</c:v>
                </c:pt>
                <c:pt idx="194">
                  <c:v>2.74</c:v>
                </c:pt>
                <c:pt idx="195">
                  <c:v>2.512</c:v>
                </c:pt>
                <c:pt idx="196">
                  <c:v>2.4830000000000001</c:v>
                </c:pt>
                <c:pt idx="197">
                  <c:v>2.4550000000000001</c:v>
                </c:pt>
                <c:pt idx="198">
                  <c:v>2.423</c:v>
                </c:pt>
                <c:pt idx="199">
                  <c:v>2.423</c:v>
                </c:pt>
                <c:pt idx="200">
                  <c:v>2.423</c:v>
                </c:pt>
                <c:pt idx="201">
                  <c:v>2.4279999999999999</c:v>
                </c:pt>
                <c:pt idx="202">
                  <c:v>2.391</c:v>
                </c:pt>
                <c:pt idx="203">
                  <c:v>2.3479999999999999</c:v>
                </c:pt>
                <c:pt idx="204">
                  <c:v>2.3220000000000001</c:v>
                </c:pt>
                <c:pt idx="205">
                  <c:v>2.2930000000000001</c:v>
                </c:pt>
                <c:pt idx="206">
                  <c:v>2.2930000000000001</c:v>
                </c:pt>
                <c:pt idx="207">
                  <c:v>2.2930000000000001</c:v>
                </c:pt>
                <c:pt idx="208">
                  <c:v>2.2850000000000001</c:v>
                </c:pt>
                <c:pt idx="209">
                  <c:v>2.2770000000000001</c:v>
                </c:pt>
                <c:pt idx="210">
                  <c:v>2.25</c:v>
                </c:pt>
                <c:pt idx="211">
                  <c:v>2.2320000000000002</c:v>
                </c:pt>
                <c:pt idx="212">
                  <c:v>2.234</c:v>
                </c:pt>
                <c:pt idx="213">
                  <c:v>2.234</c:v>
                </c:pt>
                <c:pt idx="214">
                  <c:v>2.234</c:v>
                </c:pt>
                <c:pt idx="215">
                  <c:v>2.1970000000000001</c:v>
                </c:pt>
                <c:pt idx="216">
                  <c:v>2.1850000000000001</c:v>
                </c:pt>
                <c:pt idx="217">
                  <c:v>2.1539999999999999</c:v>
                </c:pt>
                <c:pt idx="218">
                  <c:v>2.1230000000000002</c:v>
                </c:pt>
                <c:pt idx="219">
                  <c:v>2.0960000000000001</c:v>
                </c:pt>
                <c:pt idx="220">
                  <c:v>2.0960000000000001</c:v>
                </c:pt>
                <c:pt idx="221">
                  <c:v>2.0960000000000001</c:v>
                </c:pt>
                <c:pt idx="222">
                  <c:v>2.0630000000000002</c:v>
                </c:pt>
                <c:pt idx="223">
                  <c:v>2.0299999999999998</c:v>
                </c:pt>
                <c:pt idx="224">
                  <c:v>2.0030000000000001</c:v>
                </c:pt>
                <c:pt idx="225">
                  <c:v>1.829</c:v>
                </c:pt>
                <c:pt idx="226">
                  <c:v>1.7450000000000001</c:v>
                </c:pt>
                <c:pt idx="227">
                  <c:v>1.7450000000000001</c:v>
                </c:pt>
                <c:pt idx="228">
                  <c:v>1.7450000000000001</c:v>
                </c:pt>
                <c:pt idx="229">
                  <c:v>1.7210000000000001</c:v>
                </c:pt>
                <c:pt idx="230">
                  <c:v>1.6879999999999999</c:v>
                </c:pt>
                <c:pt idx="231">
                  <c:v>1.69</c:v>
                </c:pt>
                <c:pt idx="232">
                  <c:v>1.665</c:v>
                </c:pt>
                <c:pt idx="233">
                  <c:v>1.6259999999999999</c:v>
                </c:pt>
                <c:pt idx="234">
                  <c:v>1.6259999999999999</c:v>
                </c:pt>
                <c:pt idx="235">
                  <c:v>1.6259999999999999</c:v>
                </c:pt>
                <c:pt idx="236">
                  <c:v>1.6259999999999999</c:v>
                </c:pt>
                <c:pt idx="237">
                  <c:v>1.6259999999999999</c:v>
                </c:pt>
                <c:pt idx="238">
                  <c:v>1.611</c:v>
                </c:pt>
                <c:pt idx="239">
                  <c:v>1.58</c:v>
                </c:pt>
                <c:pt idx="240">
                  <c:v>1.5980000000000001</c:v>
                </c:pt>
                <c:pt idx="241">
                  <c:v>1.5980000000000001</c:v>
                </c:pt>
                <c:pt idx="242">
                  <c:v>1.5980000000000001</c:v>
                </c:pt>
                <c:pt idx="243">
                  <c:v>1.575</c:v>
                </c:pt>
                <c:pt idx="244">
                  <c:v>1.5529999999999999</c:v>
                </c:pt>
                <c:pt idx="245">
                  <c:v>1.5309999999999999</c:v>
                </c:pt>
                <c:pt idx="246">
                  <c:v>1.524</c:v>
                </c:pt>
                <c:pt idx="247">
                  <c:v>1.506</c:v>
                </c:pt>
                <c:pt idx="248">
                  <c:v>1.506</c:v>
                </c:pt>
                <c:pt idx="249">
                  <c:v>1.506</c:v>
                </c:pt>
                <c:pt idx="250">
                  <c:v>1.5049999999999999</c:v>
                </c:pt>
                <c:pt idx="251">
                  <c:v>1.478</c:v>
                </c:pt>
                <c:pt idx="252">
                  <c:v>1.448</c:v>
                </c:pt>
                <c:pt idx="253">
                  <c:v>1.4550000000000001</c:v>
                </c:pt>
                <c:pt idx="254">
                  <c:v>1.444</c:v>
                </c:pt>
                <c:pt idx="255">
                  <c:v>1.444</c:v>
                </c:pt>
                <c:pt idx="256">
                  <c:v>1.444</c:v>
                </c:pt>
                <c:pt idx="257">
                  <c:v>1.411</c:v>
                </c:pt>
                <c:pt idx="258">
                  <c:v>1.4219999999999999</c:v>
                </c:pt>
                <c:pt idx="259">
                  <c:v>1.4</c:v>
                </c:pt>
                <c:pt idx="260">
                  <c:v>1.399</c:v>
                </c:pt>
                <c:pt idx="261">
                  <c:v>1.4019999999999999</c:v>
                </c:pt>
                <c:pt idx="262">
                  <c:v>1.4019999999999999</c:v>
                </c:pt>
                <c:pt idx="263">
                  <c:v>1.4019999999999999</c:v>
                </c:pt>
                <c:pt idx="264">
                  <c:v>1.371</c:v>
                </c:pt>
                <c:pt idx="265">
                  <c:v>1.4059999999999999</c:v>
                </c:pt>
                <c:pt idx="266">
                  <c:v>1.363</c:v>
                </c:pt>
                <c:pt idx="267">
                  <c:v>1.335</c:v>
                </c:pt>
                <c:pt idx="268">
                  <c:v>1.335</c:v>
                </c:pt>
                <c:pt idx="269">
                  <c:v>1.335</c:v>
                </c:pt>
                <c:pt idx="270">
                  <c:v>1.335</c:v>
                </c:pt>
                <c:pt idx="271">
                  <c:v>1.286</c:v>
                </c:pt>
                <c:pt idx="272">
                  <c:v>1.2390000000000001</c:v>
                </c:pt>
                <c:pt idx="273">
                  <c:v>1.238</c:v>
                </c:pt>
                <c:pt idx="274">
                  <c:v>1.2250000000000001</c:v>
                </c:pt>
                <c:pt idx="275">
                  <c:v>1.214</c:v>
                </c:pt>
                <c:pt idx="276">
                  <c:v>1.214</c:v>
                </c:pt>
                <c:pt idx="277">
                  <c:v>1.214</c:v>
                </c:pt>
                <c:pt idx="278">
                  <c:v>1.1839999999999999</c:v>
                </c:pt>
                <c:pt idx="279">
                  <c:v>1.1359999999999999</c:v>
                </c:pt>
                <c:pt idx="280">
                  <c:v>1.0980000000000001</c:v>
                </c:pt>
                <c:pt idx="281">
                  <c:v>1.0629999999999999</c:v>
                </c:pt>
                <c:pt idx="282">
                  <c:v>1.0629999999999999</c:v>
                </c:pt>
                <c:pt idx="283">
                  <c:v>1.0629999999999999</c:v>
                </c:pt>
                <c:pt idx="284">
                  <c:v>1.0629999999999999</c:v>
                </c:pt>
                <c:pt idx="285">
                  <c:v>1.0629999999999999</c:v>
                </c:pt>
                <c:pt idx="286">
                  <c:v>1.044</c:v>
                </c:pt>
                <c:pt idx="287">
                  <c:v>1.038</c:v>
                </c:pt>
                <c:pt idx="288">
                  <c:v>1.0209999999999999</c:v>
                </c:pt>
                <c:pt idx="289">
                  <c:v>1.0109999999999999</c:v>
                </c:pt>
                <c:pt idx="290">
                  <c:v>1.0109999999999999</c:v>
                </c:pt>
                <c:pt idx="291">
                  <c:v>1.0109999999999999</c:v>
                </c:pt>
                <c:pt idx="292">
                  <c:v>0.98899999999999999</c:v>
                </c:pt>
                <c:pt idx="293">
                  <c:v>0.98599999999999999</c:v>
                </c:pt>
                <c:pt idx="294">
                  <c:v>0.96699999999999997</c:v>
                </c:pt>
                <c:pt idx="295">
                  <c:v>0.96899999999999997</c:v>
                </c:pt>
                <c:pt idx="296">
                  <c:v>0.96199999999999997</c:v>
                </c:pt>
                <c:pt idx="297">
                  <c:v>0.96199999999999997</c:v>
                </c:pt>
                <c:pt idx="298">
                  <c:v>0.96199999999999997</c:v>
                </c:pt>
                <c:pt idx="299">
                  <c:v>0.96199999999999997</c:v>
                </c:pt>
                <c:pt idx="300">
                  <c:v>0.96699999999999997</c:v>
                </c:pt>
                <c:pt idx="301">
                  <c:v>1.006</c:v>
                </c:pt>
                <c:pt idx="302">
                  <c:v>0.996</c:v>
                </c:pt>
                <c:pt idx="303">
                  <c:v>0.98299999999999998</c:v>
                </c:pt>
                <c:pt idx="304">
                  <c:v>0.98299999999999998</c:v>
                </c:pt>
                <c:pt idx="305">
                  <c:v>0.98299999999999998</c:v>
                </c:pt>
                <c:pt idx="306">
                  <c:v>0.96599999999999997</c:v>
                </c:pt>
                <c:pt idx="307">
                  <c:v>0.96599999999999997</c:v>
                </c:pt>
                <c:pt idx="308">
                  <c:v>0.95399999999999996</c:v>
                </c:pt>
                <c:pt idx="309">
                  <c:v>0.95799999999999996</c:v>
                </c:pt>
                <c:pt idx="310">
                  <c:v>0.93400000000000005</c:v>
                </c:pt>
                <c:pt idx="311">
                  <c:v>0.93400000000000005</c:v>
                </c:pt>
                <c:pt idx="312">
                  <c:v>0.93400000000000005</c:v>
                </c:pt>
                <c:pt idx="313">
                  <c:v>0.92800000000000005</c:v>
                </c:pt>
                <c:pt idx="314">
                  <c:v>0.94799999999999995</c:v>
                </c:pt>
                <c:pt idx="315">
                  <c:v>0.91600000000000004</c:v>
                </c:pt>
                <c:pt idx="316">
                  <c:v>0.88500000000000001</c:v>
                </c:pt>
                <c:pt idx="317">
                  <c:v>0.82599999999999996</c:v>
                </c:pt>
                <c:pt idx="318">
                  <c:v>0.82599999999999996</c:v>
                </c:pt>
                <c:pt idx="319">
                  <c:v>0.82599999999999996</c:v>
                </c:pt>
                <c:pt idx="320">
                  <c:v>0.80300000000000005</c:v>
                </c:pt>
                <c:pt idx="321">
                  <c:v>0.745</c:v>
                </c:pt>
                <c:pt idx="322">
                  <c:v>0.70299999999999996</c:v>
                </c:pt>
                <c:pt idx="323">
                  <c:v>0.64300000000000002</c:v>
                </c:pt>
                <c:pt idx="324">
                  <c:v>0.61</c:v>
                </c:pt>
                <c:pt idx="325">
                  <c:v>0.61</c:v>
                </c:pt>
                <c:pt idx="326">
                  <c:v>0.61</c:v>
                </c:pt>
                <c:pt idx="327">
                  <c:v>0.58299999999999996</c:v>
                </c:pt>
                <c:pt idx="328">
                  <c:v>0.52200000000000002</c:v>
                </c:pt>
                <c:pt idx="329">
                  <c:v>0.51100000000000001</c:v>
                </c:pt>
                <c:pt idx="330">
                  <c:v>0.504</c:v>
                </c:pt>
                <c:pt idx="331">
                  <c:v>0.52300000000000002</c:v>
                </c:pt>
                <c:pt idx="332">
                  <c:v>0.52300000000000002</c:v>
                </c:pt>
                <c:pt idx="333">
                  <c:v>0.52300000000000002</c:v>
                </c:pt>
                <c:pt idx="334">
                  <c:v>0.50800000000000001</c:v>
                </c:pt>
                <c:pt idx="335">
                  <c:v>0.498</c:v>
                </c:pt>
                <c:pt idx="336">
                  <c:v>0.48799999999999999</c:v>
                </c:pt>
                <c:pt idx="337">
                  <c:v>0.46400000000000002</c:v>
                </c:pt>
                <c:pt idx="338">
                  <c:v>0.48</c:v>
                </c:pt>
                <c:pt idx="339">
                  <c:v>0.48</c:v>
                </c:pt>
                <c:pt idx="340">
                  <c:v>0.48</c:v>
                </c:pt>
                <c:pt idx="341">
                  <c:v>0.48099999999999998</c:v>
                </c:pt>
                <c:pt idx="342">
                  <c:v>0.48799999999999999</c:v>
                </c:pt>
                <c:pt idx="343">
                  <c:v>0.46899999999999997</c:v>
                </c:pt>
                <c:pt idx="344">
                  <c:v>0.45900000000000002</c:v>
                </c:pt>
                <c:pt idx="345">
                  <c:v>0.50600000000000001</c:v>
                </c:pt>
                <c:pt idx="346">
                  <c:v>0.50600000000000001</c:v>
                </c:pt>
                <c:pt idx="347">
                  <c:v>0.50600000000000001</c:v>
                </c:pt>
                <c:pt idx="348">
                  <c:v>0.39500000000000002</c:v>
                </c:pt>
                <c:pt idx="349">
                  <c:v>0.377</c:v>
                </c:pt>
                <c:pt idx="350">
                  <c:v>0.36599999999999999</c:v>
                </c:pt>
                <c:pt idx="351">
                  <c:v>0.36199999999999999</c:v>
                </c:pt>
                <c:pt idx="352">
                  <c:v>0.33900000000000002</c:v>
                </c:pt>
                <c:pt idx="353">
                  <c:v>0.33900000000000002</c:v>
                </c:pt>
                <c:pt idx="354">
                  <c:v>0.33900000000000002</c:v>
                </c:pt>
                <c:pt idx="355">
                  <c:v>0.315</c:v>
                </c:pt>
                <c:pt idx="356">
                  <c:v>0.311</c:v>
                </c:pt>
                <c:pt idx="357">
                  <c:v>0.30299999999999999</c:v>
                </c:pt>
                <c:pt idx="358">
                  <c:v>0.309</c:v>
                </c:pt>
                <c:pt idx="359">
                  <c:v>0.317</c:v>
                </c:pt>
                <c:pt idx="360">
                  <c:v>0.317</c:v>
                </c:pt>
                <c:pt idx="361">
                  <c:v>0.317</c:v>
                </c:pt>
                <c:pt idx="362">
                  <c:v>0.29899999999999999</c:v>
                </c:pt>
                <c:pt idx="363">
                  <c:v>0.27800000000000002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82752"/>
        <c:axId val="148284544"/>
      </c:lineChart>
      <c:dateAx>
        <c:axId val="148282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48284544"/>
        <c:crosses val="autoZero"/>
        <c:auto val="1"/>
        <c:lblOffset val="100"/>
        <c:baseTimeUnit val="days"/>
        <c:majorUnit val="3"/>
        <c:majorTimeUnit val="months"/>
      </c:dateAx>
      <c:valAx>
        <c:axId val="148284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8282752"/>
        <c:crosses val="autoZero"/>
        <c:crossBetween val="between"/>
      </c:valAx>
      <c:valAx>
        <c:axId val="148286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8296064"/>
        <c:crosses val="max"/>
        <c:crossBetween val="between"/>
      </c:valAx>
      <c:dateAx>
        <c:axId val="14829606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8286080"/>
        <c:crosses val="autoZero"/>
        <c:auto val="1"/>
        <c:lblOffset val="100"/>
        <c:baseTimeUnit val="days"/>
      </c:dateAx>
    </c:plotArea>
    <c:legend>
      <c:legendPos val="t"/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5" fmlaLink="$AG$3" fmlaRange="$E$43:$E$55" sel="4" val="3"/>
</file>

<file path=xl/ctrlProps/ctrlProp2.xml><?xml version="1.0" encoding="utf-8"?>
<formControlPr xmlns="http://schemas.microsoft.com/office/spreadsheetml/2009/9/main" objectType="Drop" dropStyle="combo" dx="15" fmlaLink="$AI$3" fmlaRange="$E$43:$E$55" sel="5" val="0"/>
</file>

<file path=xl/ctrlProps/ctrlProp3.xml><?xml version="1.0" encoding="utf-8"?>
<formControlPr xmlns="http://schemas.microsoft.com/office/spreadsheetml/2009/9/main" objectType="Drop" dropStyle="combo" dx="15" fmlaLink="$AJ$3" fmlaRange="$E$43:$E$55" sel="6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21</xdr:row>
      <xdr:rowOff>19050</xdr:rowOff>
    </xdr:from>
    <xdr:to>
      <xdr:col>16</xdr:col>
      <xdr:colOff>728663</xdr:colOff>
      <xdr:row>37</xdr:row>
      <xdr:rowOff>19050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111919</xdr:colOff>
      <xdr:row>42</xdr:row>
      <xdr:rowOff>66674</xdr:rowOff>
    </xdr:from>
    <xdr:to>
      <xdr:col>17</xdr:col>
      <xdr:colOff>7144</xdr:colOff>
      <xdr:row>54</xdr:row>
      <xdr:rowOff>130967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114300</xdr:colOff>
      <xdr:row>59</xdr:row>
      <xdr:rowOff>19050</xdr:rowOff>
    </xdr:from>
    <xdr:to>
      <xdr:col>16</xdr:col>
      <xdr:colOff>623888</xdr:colOff>
      <xdr:row>70</xdr:row>
      <xdr:rowOff>114301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41</xdr:row>
          <xdr:rowOff>0</xdr:rowOff>
        </xdr:from>
        <xdr:to>
          <xdr:col>12</xdr:col>
          <xdr:colOff>95250</xdr:colOff>
          <xdr:row>42</xdr:row>
          <xdr:rowOff>28575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695325</xdr:colOff>
          <xdr:row>41</xdr:row>
          <xdr:rowOff>0</xdr:rowOff>
        </xdr:from>
        <xdr:to>
          <xdr:col>14</xdr:col>
          <xdr:colOff>400050</xdr:colOff>
          <xdr:row>42</xdr:row>
          <xdr:rowOff>28575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285750</xdr:colOff>
          <xdr:row>41</xdr:row>
          <xdr:rowOff>0</xdr:rowOff>
        </xdr:from>
        <xdr:to>
          <xdr:col>17</xdr:col>
          <xdr:colOff>28575</xdr:colOff>
          <xdr:row>42</xdr:row>
          <xdr:rowOff>19050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42861</xdr:colOff>
      <xdr:row>24</xdr:row>
      <xdr:rowOff>114300</xdr:rowOff>
    </xdr:from>
    <xdr:to>
      <xdr:col>17</xdr:col>
      <xdr:colOff>19049</xdr:colOff>
      <xdr:row>40</xdr:row>
      <xdr:rowOff>114300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147636</xdr:colOff>
      <xdr:row>62</xdr:row>
      <xdr:rowOff>133349</xdr:rowOff>
    </xdr:from>
    <xdr:to>
      <xdr:col>16</xdr:col>
      <xdr:colOff>657224</xdr:colOff>
      <xdr:row>74</xdr:row>
      <xdr:rowOff>57150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45</xdr:row>
      <xdr:rowOff>28574</xdr:rowOff>
    </xdr:from>
    <xdr:to>
      <xdr:col>17</xdr:col>
      <xdr:colOff>9524</xdr:colOff>
      <xdr:row>58</xdr:row>
      <xdr:rowOff>19049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4"/>
  <sheetViews>
    <sheetView showGridLines="0" tabSelected="1" workbookViewId="0"/>
  </sheetViews>
  <sheetFormatPr defaultRowHeight="54" x14ac:dyDescent="0.25"/>
  <cols>
    <col min="1" max="1" width="1.85546875" style="147" customWidth="1"/>
    <col min="2" max="2" width="37.28515625" style="157" customWidth="1"/>
    <col min="3" max="3" width="117.7109375" style="157" customWidth="1"/>
  </cols>
  <sheetData>
    <row r="1" spans="2:3" s="147" customFormat="1" ht="13.5" customHeight="1" x14ac:dyDescent="0.25">
      <c r="B1" s="157"/>
      <c r="C1" s="157"/>
    </row>
    <row r="2" spans="2:3" ht="102" customHeight="1" x14ac:dyDescent="0.25">
      <c r="B2" s="159" t="s">
        <v>208</v>
      </c>
      <c r="C2" s="158" t="s">
        <v>211</v>
      </c>
    </row>
    <row r="3" spans="2:3" s="147" customFormat="1" ht="102" customHeight="1" x14ac:dyDescent="0.25">
      <c r="B3" s="160" t="s">
        <v>209</v>
      </c>
      <c r="C3" s="158" t="s">
        <v>212</v>
      </c>
    </row>
    <row r="4" spans="2:3" s="147" customFormat="1" ht="102" customHeight="1" x14ac:dyDescent="0.25">
      <c r="B4" s="160" t="s">
        <v>210</v>
      </c>
      <c r="C4" s="158" t="s">
        <v>213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3"/>
  <sheetViews>
    <sheetView showGridLines="0" zoomScaleNormal="100" workbookViewId="0"/>
  </sheetViews>
  <sheetFormatPr defaultRowHeight="26.25" x14ac:dyDescent="0.25"/>
  <cols>
    <col min="1" max="1" width="2" style="1" customWidth="1"/>
    <col min="2" max="2" width="32.140625" customWidth="1"/>
    <col min="3" max="3" width="72.7109375" customWidth="1"/>
    <col min="4" max="4" width="28.28515625" style="195" customWidth="1"/>
    <col min="5" max="5" width="37.42578125" style="193" customWidth="1"/>
  </cols>
  <sheetData>
    <row r="1" spans="2:5" s="1" customFormat="1" ht="10.5" customHeight="1" x14ac:dyDescent="0.25">
      <c r="D1" s="195"/>
      <c r="E1" s="193"/>
    </row>
    <row r="2" spans="2:5" s="34" customFormat="1" ht="20.25" customHeight="1" x14ac:dyDescent="0.25">
      <c r="B2" s="108" t="s">
        <v>168</v>
      </c>
      <c r="D2" s="195"/>
      <c r="E2" s="193"/>
    </row>
    <row r="3" spans="2:5" s="34" customFormat="1" ht="5.25" customHeight="1" x14ac:dyDescent="0.25">
      <c r="B3" s="57"/>
      <c r="D3" s="195"/>
      <c r="E3" s="193"/>
    </row>
    <row r="4" spans="2:5" s="34" customFormat="1" ht="52.5" customHeight="1" x14ac:dyDescent="0.25">
      <c r="B4" s="191" t="s">
        <v>155</v>
      </c>
      <c r="C4" s="192" t="s">
        <v>157</v>
      </c>
      <c r="D4" s="196">
        <f ca="1">TODAY()</f>
        <v>44951</v>
      </c>
      <c r="E4" s="194" t="s">
        <v>223</v>
      </c>
    </row>
    <row r="5" spans="2:5" ht="52.5" customHeight="1" x14ac:dyDescent="0.25">
      <c r="B5" s="191" t="s">
        <v>156</v>
      </c>
      <c r="C5" s="192" t="s">
        <v>169</v>
      </c>
      <c r="D5" s="197">
        <f ca="1">WORKDAY(TODAY(),-1)</f>
        <v>44950</v>
      </c>
      <c r="E5" s="200" t="s">
        <v>224</v>
      </c>
    </row>
    <row r="6" spans="2:5" ht="52.5" customHeight="1" x14ac:dyDescent="0.25">
      <c r="B6" s="191" t="s">
        <v>160</v>
      </c>
      <c r="C6" s="192" t="s">
        <v>158</v>
      </c>
      <c r="D6" s="197">
        <f ca="1">EDATE(TODAY(),-1)</f>
        <v>44920</v>
      </c>
      <c r="E6" s="200" t="s">
        <v>226</v>
      </c>
    </row>
    <row r="7" spans="2:5" ht="52.5" customHeight="1" x14ac:dyDescent="0.25">
      <c r="B7" s="191" t="s">
        <v>161</v>
      </c>
      <c r="C7" s="192" t="s">
        <v>159</v>
      </c>
      <c r="D7" s="197">
        <f ca="1">EOMONTH(TODAY(),-1)</f>
        <v>44926</v>
      </c>
      <c r="E7" s="200" t="s">
        <v>225</v>
      </c>
    </row>
    <row r="8" spans="2:5" ht="52.5" customHeight="1" x14ac:dyDescent="0.25">
      <c r="B8" s="191" t="s">
        <v>162</v>
      </c>
      <c r="C8" s="192" t="s">
        <v>165</v>
      </c>
      <c r="D8" s="197">
        <f>DATE(2018,1,1)</f>
        <v>43101</v>
      </c>
      <c r="E8" s="200" t="s">
        <v>227</v>
      </c>
    </row>
    <row r="9" spans="2:5" ht="52.5" customHeight="1" x14ac:dyDescent="0.25">
      <c r="B9" s="191" t="s">
        <v>163</v>
      </c>
      <c r="C9" s="192" t="s">
        <v>166</v>
      </c>
      <c r="D9" s="198">
        <f ca="1">YEAR(TODAY())</f>
        <v>2023</v>
      </c>
      <c r="E9" s="190" t="s">
        <v>228</v>
      </c>
    </row>
    <row r="10" spans="2:5" ht="52.5" customHeight="1" x14ac:dyDescent="0.25">
      <c r="B10" s="191" t="s">
        <v>164</v>
      </c>
      <c r="C10" s="192" t="s">
        <v>204</v>
      </c>
      <c r="D10" s="199">
        <f ca="1">MONTH(TODAY())</f>
        <v>1</v>
      </c>
      <c r="E10" s="201" t="s">
        <v>229</v>
      </c>
    </row>
    <row r="11" spans="2:5" s="34" customFormat="1" ht="52.5" customHeight="1" x14ac:dyDescent="0.25">
      <c r="B11" s="191" t="s">
        <v>167</v>
      </c>
      <c r="C11" s="192" t="s">
        <v>205</v>
      </c>
      <c r="D11" s="199">
        <f ca="1">DAY(TODAY())</f>
        <v>25</v>
      </c>
      <c r="E11" s="201" t="s">
        <v>230</v>
      </c>
    </row>
    <row r="12" spans="2:5" x14ac:dyDescent="0.25">
      <c r="B12" s="3"/>
    </row>
    <row r="13" spans="2:5" x14ac:dyDescent="0.25">
      <c r="C1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G9"/>
  <sheetViews>
    <sheetView showGridLines="0" workbookViewId="0">
      <selection activeCell="F12" sqref="F12"/>
    </sheetView>
  </sheetViews>
  <sheetFormatPr defaultRowHeight="13.5" x14ac:dyDescent="0.25"/>
  <cols>
    <col min="1" max="1" width="2.42578125" style="147" customWidth="1"/>
    <col min="2" max="2" width="39.5703125" customWidth="1"/>
    <col min="3" max="3" width="57.5703125" customWidth="1"/>
  </cols>
  <sheetData>
    <row r="2" spans="2:7" ht="69.75" x14ac:dyDescent="0.25">
      <c r="B2" s="152" t="s">
        <v>199</v>
      </c>
      <c r="C2" s="155">
        <f ca="1">TODAY()</f>
        <v>44951</v>
      </c>
      <c r="D2" s="153"/>
      <c r="E2" s="153"/>
      <c r="F2" s="153"/>
      <c r="G2" s="153"/>
    </row>
    <row r="3" spans="2:7" ht="69.75" x14ac:dyDescent="0.25">
      <c r="B3" s="153"/>
      <c r="C3" s="153"/>
      <c r="D3" s="153"/>
      <c r="E3" s="153"/>
      <c r="F3" s="153"/>
      <c r="G3" s="153"/>
    </row>
    <row r="4" spans="2:7" ht="69.75" x14ac:dyDescent="0.25">
      <c r="B4" s="156" t="s">
        <v>207</v>
      </c>
      <c r="C4" s="154">
        <f ca="1">DATE(YEAR(C2)-1,12,31)</f>
        <v>44926</v>
      </c>
      <c r="D4" s="153"/>
      <c r="E4" s="151" t="s">
        <v>200</v>
      </c>
      <c r="F4" s="153"/>
      <c r="G4" s="153"/>
    </row>
    <row r="5" spans="2:7" ht="69.75" x14ac:dyDescent="0.25">
      <c r="B5" s="156" t="s">
        <v>201</v>
      </c>
      <c r="C5" s="154">
        <f ca="1">EOMONTH(C2,-1)</f>
        <v>44926</v>
      </c>
      <c r="D5" s="153"/>
      <c r="E5" s="151" t="s">
        <v>202</v>
      </c>
      <c r="F5" s="153"/>
      <c r="G5" s="153"/>
    </row>
    <row r="6" spans="2:7" ht="69.75" x14ac:dyDescent="0.25">
      <c r="B6" s="156" t="s">
        <v>231</v>
      </c>
      <c r="C6" s="154">
        <f ca="1">C2-7</f>
        <v>44944</v>
      </c>
      <c r="D6" s="153"/>
      <c r="E6" s="151" t="s">
        <v>221</v>
      </c>
      <c r="F6" s="153"/>
      <c r="G6" s="153"/>
    </row>
    <row r="7" spans="2:7" ht="12" customHeight="1" x14ac:dyDescent="0.25"/>
    <row r="8" spans="2:7" ht="69.75" x14ac:dyDescent="0.25">
      <c r="B8" s="202" t="s">
        <v>206</v>
      </c>
      <c r="C8" s="154">
        <f ca="1">C2-(WEEKDAY(C2,16))</f>
        <v>44946</v>
      </c>
      <c r="E8" s="188" t="s">
        <v>203</v>
      </c>
    </row>
    <row r="9" spans="2:7" ht="26.25" x14ac:dyDescent="0.25">
      <c r="B9" s="147"/>
      <c r="C9" s="203" t="s">
        <v>222</v>
      </c>
    </row>
  </sheetData>
  <phoneticPr fontId="1" type="noConversion"/>
  <pageMargins left="0.7" right="0.7" top="0.75" bottom="0.75" header="0.3" footer="0.3"/>
  <pageSetup paperSize="9" orientation="landscape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I16"/>
  <sheetViews>
    <sheetView showGridLines="0" workbookViewId="0"/>
  </sheetViews>
  <sheetFormatPr defaultRowHeight="13.5" x14ac:dyDescent="0.25"/>
  <cols>
    <col min="1" max="1" width="3.42578125" customWidth="1"/>
  </cols>
  <sheetData>
    <row r="1" spans="2:9" ht="69.75" x14ac:dyDescent="0.25">
      <c r="B1" s="167" t="s">
        <v>214</v>
      </c>
      <c r="C1" s="162"/>
      <c r="D1" s="162"/>
      <c r="E1" s="162"/>
      <c r="F1" s="162"/>
      <c r="G1" s="162"/>
      <c r="H1" s="162"/>
      <c r="I1" s="162"/>
    </row>
    <row r="3" spans="2:9" ht="33.75" x14ac:dyDescent="0.25">
      <c r="B3" s="180" t="s">
        <v>215</v>
      </c>
      <c r="C3" s="162"/>
      <c r="D3" s="162"/>
      <c r="E3" s="162"/>
      <c r="F3" s="162"/>
      <c r="G3" s="162"/>
      <c r="H3" s="162"/>
      <c r="I3" s="162"/>
    </row>
    <row r="6" spans="2:9" ht="14.25" thickBot="1" x14ac:dyDescent="0.3">
      <c r="B6" s="162"/>
      <c r="C6" s="168">
        <v>1</v>
      </c>
      <c r="D6" s="168">
        <v>2</v>
      </c>
      <c r="E6" s="168">
        <v>3</v>
      </c>
      <c r="F6" s="168">
        <v>4</v>
      </c>
      <c r="G6" s="168">
        <v>5</v>
      </c>
      <c r="H6" s="168">
        <v>6</v>
      </c>
      <c r="I6" s="168">
        <v>7</v>
      </c>
    </row>
    <row r="7" spans="2:9" ht="31.5" customHeight="1" x14ac:dyDescent="0.25">
      <c r="B7" s="168">
        <v>1</v>
      </c>
      <c r="C7" s="169"/>
      <c r="D7" s="170"/>
      <c r="E7" s="170"/>
      <c r="F7" s="170"/>
      <c r="G7" s="170"/>
      <c r="H7" s="170"/>
      <c r="I7" s="171"/>
    </row>
    <row r="8" spans="2:9" ht="31.5" customHeight="1" x14ac:dyDescent="0.25">
      <c r="B8" s="168">
        <v>2</v>
      </c>
      <c r="C8" s="172"/>
      <c r="D8" s="173"/>
      <c r="E8" s="173"/>
      <c r="F8" s="173"/>
      <c r="G8" s="173"/>
      <c r="H8" s="173"/>
      <c r="I8" s="174"/>
    </row>
    <row r="9" spans="2:9" ht="31.5" customHeight="1" x14ac:dyDescent="0.25">
      <c r="B9" s="168">
        <v>3</v>
      </c>
      <c r="C9" s="172"/>
      <c r="D9" s="173"/>
      <c r="E9" s="173"/>
      <c r="F9" s="173"/>
      <c r="G9" s="173"/>
      <c r="H9" s="173"/>
      <c r="I9" s="174"/>
    </row>
    <row r="10" spans="2:9" ht="31.5" customHeight="1" x14ac:dyDescent="0.25">
      <c r="B10" s="168">
        <v>4</v>
      </c>
      <c r="C10" s="172"/>
      <c r="D10" s="173"/>
      <c r="E10" s="173"/>
      <c r="F10" s="173"/>
      <c r="G10" s="173"/>
      <c r="H10" s="173"/>
      <c r="I10" s="174"/>
    </row>
    <row r="11" spans="2:9" ht="31.5" customHeight="1" x14ac:dyDescent="0.25">
      <c r="B11" s="168">
        <v>5</v>
      </c>
      <c r="C11" s="172"/>
      <c r="D11" s="173"/>
      <c r="E11" s="173"/>
      <c r="F11" s="173"/>
      <c r="G11" s="179" t="s">
        <v>216</v>
      </c>
      <c r="H11" s="173"/>
      <c r="I11" s="174"/>
    </row>
    <row r="12" spans="2:9" ht="31.5" customHeight="1" x14ac:dyDescent="0.25">
      <c r="B12" s="168">
        <v>6</v>
      </c>
      <c r="C12" s="172"/>
      <c r="D12" s="173"/>
      <c r="E12" s="173"/>
      <c r="F12" s="173"/>
      <c r="G12" s="173"/>
      <c r="H12" s="173"/>
      <c r="I12" s="174"/>
    </row>
    <row r="13" spans="2:9" ht="31.5" customHeight="1" thickBot="1" x14ac:dyDescent="0.3">
      <c r="B13" s="168">
        <v>7</v>
      </c>
      <c r="C13" s="175"/>
      <c r="D13" s="176"/>
      <c r="E13" s="176"/>
      <c r="F13" s="176"/>
      <c r="G13" s="176"/>
      <c r="H13" s="176"/>
      <c r="I13" s="177"/>
    </row>
    <row r="16" spans="2:9" ht="69.75" x14ac:dyDescent="0.25">
      <c r="B16" s="162"/>
      <c r="C16" s="178" t="s">
        <v>217</v>
      </c>
      <c r="D16" s="162"/>
      <c r="E16" s="162"/>
      <c r="F16" s="162"/>
      <c r="G16" s="162"/>
      <c r="H16" s="162"/>
      <c r="I16" s="16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B2:AT10009"/>
  <sheetViews>
    <sheetView showGridLines="0" zoomScaleNormal="100" workbookViewId="0">
      <selection activeCell="S2" sqref="S2"/>
    </sheetView>
  </sheetViews>
  <sheetFormatPr defaultRowHeight="13.5" x14ac:dyDescent="0.25"/>
  <cols>
    <col min="1" max="1" width="2.85546875" style="83" customWidth="1"/>
    <col min="2" max="2" width="5.140625" style="165" hidden="1" customWidth="1"/>
    <col min="3" max="4" width="12.140625" style="165" hidden="1" customWidth="1"/>
    <col min="5" max="5" width="16.7109375" style="83" customWidth="1"/>
    <col min="6" max="6" width="16.5703125" style="83" customWidth="1"/>
    <col min="7" max="8" width="10.7109375" style="83" customWidth="1"/>
    <col min="9" max="9" width="12.140625" style="83" customWidth="1"/>
    <col min="10" max="10" width="13.5703125" style="83" customWidth="1"/>
    <col min="11" max="11" width="10" style="115" hidden="1" customWidth="1"/>
    <col min="12" max="12" width="18.140625" style="83" customWidth="1"/>
    <col min="13" max="15" width="11.28515625" style="83" bestFit="1" customWidth="1"/>
    <col min="16" max="17" width="11" style="83" customWidth="1"/>
    <col min="18" max="32" width="9.140625" style="83"/>
    <col min="33" max="33" width="12.7109375" style="83" customWidth="1"/>
    <col min="34" max="34" width="14.140625" style="83" customWidth="1"/>
    <col min="35" max="35" width="13.140625" style="83" customWidth="1"/>
    <col min="36" max="36" width="13" style="83" customWidth="1"/>
    <col min="37" max="16384" width="9.140625" style="83"/>
  </cols>
  <sheetData>
    <row r="2" spans="2:46" ht="33.75" customHeight="1" x14ac:dyDescent="0.25">
      <c r="E2" s="220" t="s">
        <v>190</v>
      </c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</row>
    <row r="3" spans="2:46" x14ac:dyDescent="0.25">
      <c r="AG3" s="83">
        <v>4</v>
      </c>
      <c r="AI3" s="83">
        <v>5</v>
      </c>
      <c r="AJ3" s="83">
        <v>6</v>
      </c>
    </row>
    <row r="4" spans="2:46" x14ac:dyDescent="0.25">
      <c r="E4" s="84" t="s">
        <v>19</v>
      </c>
      <c r="F4" s="56" t="s">
        <v>154</v>
      </c>
      <c r="G4" s="221">
        <f ca="1">WORKDAY(TODAY(),-1)</f>
        <v>44950</v>
      </c>
      <c r="H4" s="221"/>
      <c r="AG4" s="161" t="str">
        <f>INDEX($E$43:$E$55,AG$3,1)</f>
        <v>T-Bill(3M)</v>
      </c>
      <c r="AH4" s="162"/>
      <c r="AI4" s="161" t="str">
        <f>INDEX($E$43:$E$55,AI$3,1)</f>
        <v>Libor(3M)</v>
      </c>
      <c r="AJ4" s="161" t="str">
        <f>INDEX($E$43:$E$55,AJ$3,1)</f>
        <v>TED Spread</v>
      </c>
    </row>
    <row r="5" spans="2:46" ht="7.5" customHeight="1" x14ac:dyDescent="0.25"/>
    <row r="6" spans="2:46" s="115" customFormat="1" hidden="1" x14ac:dyDescent="0.25">
      <c r="B6" s="165"/>
      <c r="C6" s="165"/>
      <c r="D6" s="165"/>
      <c r="F6" s="116" t="s">
        <v>20</v>
      </c>
      <c r="G6" s="149" t="s">
        <v>21</v>
      </c>
      <c r="H6" s="149" t="s">
        <v>22</v>
      </c>
      <c r="I6" s="150">
        <f ca="1">G4-7</f>
        <v>44943</v>
      </c>
      <c r="J6" s="150">
        <f ca="1">EOMONTH($G$4,-1)</f>
        <v>44926</v>
      </c>
      <c r="K6" s="148"/>
      <c r="L6" s="150">
        <f ca="1">EOMONTH($G$4,-3)</f>
        <v>44865</v>
      </c>
      <c r="M6" s="150">
        <f ca="1">EOMONTH($G$4,-6)</f>
        <v>44773</v>
      </c>
      <c r="N6" s="150">
        <f ca="1">DATE(YEAR($G$4)-1,12,31)</f>
        <v>44926</v>
      </c>
      <c r="O6" s="150">
        <f ca="1">WORKDAY(DATE(YEAR($G$4),1,1),1)</f>
        <v>44928</v>
      </c>
      <c r="P6" s="148"/>
      <c r="Q6" s="138"/>
      <c r="AG6" s="118" t="s">
        <v>189</v>
      </c>
      <c r="AH6" s="119">
        <f ca="1">AJ6-364</f>
        <v>44586</v>
      </c>
      <c r="AI6" s="118" t="s">
        <v>176</v>
      </c>
      <c r="AJ6" s="119">
        <f ca="1">TODAY()-1</f>
        <v>44950</v>
      </c>
      <c r="AK6" s="118" t="s">
        <v>177</v>
      </c>
      <c r="AL6" s="120">
        <v>9999</v>
      </c>
      <c r="AM6" s="118" t="s">
        <v>178</v>
      </c>
      <c r="AN6" s="120" t="s">
        <v>179</v>
      </c>
      <c r="AO6" s="118" t="s">
        <v>180</v>
      </c>
      <c r="AP6" s="120" t="s">
        <v>181</v>
      </c>
      <c r="AQ6" s="118" t="s">
        <v>182</v>
      </c>
      <c r="AR6" s="120">
        <v>2</v>
      </c>
      <c r="AS6" s="118" t="s">
        <v>183</v>
      </c>
      <c r="AT6" s="120" t="s">
        <v>184</v>
      </c>
    </row>
    <row r="7" spans="2:46" x14ac:dyDescent="0.25">
      <c r="E7" s="104" t="s">
        <v>24</v>
      </c>
      <c r="F7" s="104" t="s">
        <v>25</v>
      </c>
      <c r="G7" s="104" t="s">
        <v>26</v>
      </c>
      <c r="H7" s="104" t="s">
        <v>52</v>
      </c>
      <c r="I7" s="104" t="s">
        <v>53</v>
      </c>
      <c r="J7" s="104" t="s">
        <v>28</v>
      </c>
      <c r="K7" s="122"/>
      <c r="L7" s="104" t="s">
        <v>29</v>
      </c>
      <c r="M7" s="104" t="s">
        <v>30</v>
      </c>
      <c r="N7" s="104" t="s">
        <v>31</v>
      </c>
      <c r="O7" s="104" t="s">
        <v>32</v>
      </c>
      <c r="P7" s="222" t="s">
        <v>23</v>
      </c>
      <c r="Q7" s="222"/>
      <c r="AG7" s="161" t="str">
        <f>INDEX($C$43:$C$55,AG$3,1)</f>
        <v>US03M</v>
      </c>
      <c r="AI7" s="161" t="str">
        <f>INDEX($C$43:$C$55,AI$3,1)</f>
        <v>IBRUSDBFRS  03M</v>
      </c>
      <c r="AJ7" s="161" t="str">
        <f>INDEX($C$43:$C$55,AJ$3,1)</f>
        <v>IRR:TED</v>
      </c>
    </row>
    <row r="8" spans="2:46" x14ac:dyDescent="0.25">
      <c r="B8" s="166" t="s">
        <v>33</v>
      </c>
      <c r="C8" s="110" t="s">
        <v>1</v>
      </c>
      <c r="D8" s="110" t="s">
        <v>191</v>
      </c>
      <c r="E8" s="65" t="s">
        <v>170</v>
      </c>
      <c r="F8" s="58">
        <f ca="1">_xll.IMDP($B8,$C8,F$6,$G$4,"FILL=TRUE")</f>
        <v>2395.2600000000002</v>
      </c>
      <c r="G8" s="58">
        <f ca="1">_xll.IMDP($B8,$C8,G$6,$G$4,"FILL=TRUE")</f>
        <v>14.92</v>
      </c>
      <c r="H8" s="58">
        <f ca="1">_xll.IMDP($B8,$C8,H$6,$G$4,"FILL=TRUE")</f>
        <v>0.63</v>
      </c>
      <c r="I8" s="59">
        <f ca="1">($F8-_xll.IMDP($B8,$C8,F$6,$I$6,"FILL=TRUE"))/_xll.IMDP($B8,$C8,F$6,$I$6,"FILL=TRUE")*100</f>
        <v>0.66697767074755909</v>
      </c>
      <c r="J8" s="59">
        <f ca="1">($F8-_xll.IMDP($B8,$C8,F$6,$J$6,"FILL=TRUE"))/_xll.IMDP($B8,$C8,F$6,$J$6,"FILL=TRUE")*100</f>
        <v>7.1033804328384962</v>
      </c>
      <c r="K8" s="123"/>
      <c r="L8" s="59">
        <f ca="1">($F8-_xll.IMDP($B8,$C8,$F$6,L$6,"FILL=TRUE"))/_xll.IMDP($B8,$C8,F$6,L$6,"FILL=TRUE")*100</f>
        <v>4.4318781309812953</v>
      </c>
      <c r="M8" s="61">
        <f ca="1">($F8-_xll.IMDP($B8,$C8,$F$6,M$6,"FILL=TRUE"))/_xll.IMDP($B8,$C8,$F$6,M$6,"FILL=TRUE")*100</f>
        <v>-2.2941056496022756</v>
      </c>
      <c r="N8" s="61">
        <f ca="1">($F8-_xll.IMDP($B8,$C8,$F$6,N$6,"FILL=TRUE"))/_xll.IMDP($B8,$C8,$F$6,N$6,"FILL=TRUE")*100</f>
        <v>7.1033804328384962</v>
      </c>
      <c r="O8" s="61">
        <f ca="1">($F8-_xll.IMDP($B8,$C8,$F$6,O$6,"FILL=TRUE"))/_xll.IMDP($B8,$C8,$F$6,O$6,"FILL=TRUE")*100</f>
        <v>7.6197279920203869</v>
      </c>
      <c r="P8" s="223">
        <f ca="1">_xll.IMDP($B8,$C8,$D8,$G$4,"FILL=TRUE")</f>
        <v>302506</v>
      </c>
      <c r="Q8" s="224"/>
      <c r="AG8" s="82" t="str">
        <f ca="1">_xll.IMDH("IR",AG$7,AG9:AH9,$AH$6,$AJ$6,$AL$6,"Per="&amp;$AN$6&amp;",sort="&amp;$AP$6&amp;",real=false,Bizday="&amp;$AR$6&amp;",Quote="&amp;$AT$6&amp;",ROUND=3,Pos=20,Orient=V,Title="&amp;AG4&amp;",DtFmt=1,TmFmt=1,unit=true")</f>
        <v>T-BILL(3M)</v>
      </c>
      <c r="AH8" s="82"/>
      <c r="AI8" s="82" t="str">
        <f ca="1">_xll.IMDH("IR",AI$7,AI9,$AH$6,$AJ$6,$AL$6,"Per="&amp;$AN$6&amp;",sort="&amp;$AP$6&amp;",real=false,Bizday="&amp;$AR$6&amp;",Quote="&amp;$AT$6&amp;",ROUND=3,Pos=20,Orient=V,Title="&amp;AI$4&amp;",DtFmt=1,TmFmt=1,unit=true")</f>
        <v>LIBOR(3M)</v>
      </c>
      <c r="AJ8" s="82" t="str">
        <f ca="1">_xll.IMDH("FRN",AJ$7,AJ9,$AH$6,$AJ$6,$AL$6,"Per="&amp;$AN$6&amp;",sort="&amp;$AP$6&amp;",real=false,Bizday="&amp;$AR$6&amp;",Quote="&amp;$AT$6&amp;",ROUND=3,Pos=20,Orient=V,Title="&amp;AJ$4&amp;",DtFmt=1,TmFmt=1,unit=true")</f>
        <v>TED SPREAD</v>
      </c>
    </row>
    <row r="9" spans="2:46" x14ac:dyDescent="0.25">
      <c r="B9" s="166" t="s">
        <v>34</v>
      </c>
      <c r="C9" s="165" t="s">
        <v>4</v>
      </c>
      <c r="D9" s="165" t="s">
        <v>192</v>
      </c>
      <c r="E9" s="66" t="s">
        <v>35</v>
      </c>
      <c r="F9" s="6">
        <f ca="1">_xll.IMDP($B9,$C9,F$6,$G$4,"FILL=TRUE")</f>
        <v>3264.81</v>
      </c>
      <c r="G9" s="6">
        <f ca="1">_xll.IMDP($B9,$C9,G$6,$G$4,"FILL=TRUE")</f>
        <v>24.53</v>
      </c>
      <c r="H9" s="6">
        <f ca="1">_xll.IMDP($B9,$C9,H$6,$G$4,"FILL=TRUE")</f>
        <v>0.76</v>
      </c>
      <c r="I9" s="62">
        <f ca="1">($F9-_xll.IMDP($B9,$C9,F$6,$I$6,"FILL=TRUE"))/_xll.IMDP($B9,$C9,F$6,$I$6,"FILL=TRUE")*100</f>
        <v>1.2582810212639308</v>
      </c>
      <c r="J9" s="62">
        <f ca="1">($F9-_xll.IMDP($B9,$C9,F$6,$J$6,"FILL=TRUE"))/_xll.IMDP($B9,$C9,F$6,$J$6,"FILL=TRUE")*100</f>
        <v>5.6825906527776784</v>
      </c>
      <c r="K9" s="124"/>
      <c r="L9" s="64">
        <f ca="1">($F9-_xll.IMDP($B9,$C9,$F$6,L$6,"FILL=TRUE"))/_xll.IMDP($B9,$C9,F$6,L$6,"FILL=TRUE")*100</f>
        <v>12.833335637364002</v>
      </c>
      <c r="M9" s="64">
        <f ca="1">($F9-_xll.IMDP($B9,$C9,$F$6,M$6,"FILL=TRUE"))/_xll.IMDP($B9,$C9,$F$6,M$6,"FILL=TRUE")*100</f>
        <v>0.35564544884484894</v>
      </c>
      <c r="N9" s="64">
        <f ca="1">($F9-_xll.IMDP($B9,$C9,$F$6,N$6,"FILL=TRUE"))/_xll.IMDP($B9,$C9,$F$6,N$6,"FILL=TRUE")*100</f>
        <v>5.6825906527776784</v>
      </c>
      <c r="O9" s="64">
        <f ca="1">($F9-_xll.IMDP($B9,$C9,$F$6,O$6,"FILL=TRUE"))/_xll.IMDP($B9,$C9,$F$6,O$6,"FILL=TRUE")*100</f>
        <v>5.6825906527776784</v>
      </c>
      <c r="P9" s="216">
        <f ca="1">_xll.IMDP($B9,$C9,$D9,$G$4,"FILL=TRUE")</f>
        <v>27321918</v>
      </c>
      <c r="Q9" s="217"/>
      <c r="AG9" s="106" t="s">
        <v>188</v>
      </c>
      <c r="AH9" s="107" t="s">
        <v>187</v>
      </c>
      <c r="AI9" s="107" t="s">
        <v>185</v>
      </c>
      <c r="AJ9" s="107" t="s">
        <v>187</v>
      </c>
    </row>
    <row r="10" spans="2:46" x14ac:dyDescent="0.25">
      <c r="B10" s="166" t="s">
        <v>34</v>
      </c>
      <c r="C10" s="165" t="s">
        <v>3</v>
      </c>
      <c r="D10" s="165" t="s">
        <v>192</v>
      </c>
      <c r="E10" s="66" t="s">
        <v>36</v>
      </c>
      <c r="F10" s="6">
        <f ca="1">_xll.IMDP($B10,$C10,F$6,$G$4,"FILL=TRUE")</f>
        <v>14932.93</v>
      </c>
      <c r="G10" s="6">
        <f ca="1">_xll.IMDP($B10,$C10,G$6,$G$4,"FILL=TRUE")</f>
        <v>5.92</v>
      </c>
      <c r="H10" s="6">
        <f ca="1">_xll.IMDP($B10,$C10,H$6,$G$4,"FILL=TRUE")</f>
        <v>0.04</v>
      </c>
      <c r="I10" s="62">
        <f ca="1">($F10-_xll.IMDP($B10,$C10,F$6,$I$6,"FILL=TRUE"))/_xll.IMDP($B10,$C10,F$6,$I$6,"FILL=TRUE")*100</f>
        <v>0</v>
      </c>
      <c r="J10" s="62">
        <f ca="1">($F10-_xll.IMDP($B10,$C10,F$6,$J$6,"FILL=TRUE"))/_xll.IMDP($B10,$C10,F$6,$J$6,"FILL=TRUE")*100</f>
        <v>5.6249641914626771</v>
      </c>
      <c r="K10" s="124"/>
      <c r="L10" s="64">
        <f ca="1">($F10-_xll.IMDP($B10,$C10,$F$6,L$6,"FILL=TRUE"))/_xll.IMDP($B10,$C10,F$6,L$6,"FILL=TRUE")*100</f>
        <v>15.314426919438601</v>
      </c>
      <c r="M10" s="64">
        <f ca="1">($F10-_xll.IMDP($B10,$C10,$F$6,M$6,"FILL=TRUE"))/_xll.IMDP($B10,$C10,$F$6,M$6,"FILL=TRUE")*100</f>
        <v>-0.44759791120974379</v>
      </c>
      <c r="N10" s="64">
        <f ca="1">($F10-_xll.IMDP($B10,$C10,$F$6,N$6,"FILL=TRUE"))/_xll.IMDP($B10,$C10,$F$6,N$6,"FILL=TRUE")*100</f>
        <v>5.6249641914626771</v>
      </c>
      <c r="O10" s="64">
        <f ca="1">($F10-_xll.IMDP($B10,$C10,$F$6,O$6,"FILL=TRUE"))/_xll.IMDP($B10,$C10,$F$6,O$6,"FILL=TRUE")*100</f>
        <v>5.6249641914626771</v>
      </c>
      <c r="P10" s="216">
        <f ca="1">_xll.IMDP($B10,$C10,$D10,$G$4,"FILL=TRUE")</f>
        <v>0</v>
      </c>
      <c r="Q10" s="217"/>
      <c r="AG10" s="185">
        <v>44950</v>
      </c>
      <c r="AH10" s="83">
        <v>4.6859999999999999</v>
      </c>
      <c r="AI10" s="83">
        <v>4.8220000000000001</v>
      </c>
      <c r="AJ10" s="83">
        <v>13.625999999999999</v>
      </c>
    </row>
    <row r="11" spans="2:46" x14ac:dyDescent="0.25">
      <c r="B11" s="166" t="s">
        <v>34</v>
      </c>
      <c r="C11" s="165" t="s">
        <v>2</v>
      </c>
      <c r="D11" s="165" t="s">
        <v>192</v>
      </c>
      <c r="E11" s="66" t="s">
        <v>37</v>
      </c>
      <c r="F11" s="6">
        <f ca="1">_xll.IMDP($B11,$C11,F$6,$G$4,"FILL=TRUE")</f>
        <v>27299.19</v>
      </c>
      <c r="G11" s="6">
        <f ca="1">_xll.IMDP($B11,$C11,G$6,$G$4,"FILL=TRUE")</f>
        <v>393.15</v>
      </c>
      <c r="H11" s="6">
        <f ca="1">_xll.IMDP($B11,$C11,H$6,$G$4,"FILL=TRUE")</f>
        <v>1.46</v>
      </c>
      <c r="I11" s="62">
        <f ca="1">($F11-_xll.IMDP($B11,$C11,F$6,$I$6,"FILL=TRUE"))/_xll.IMDP($B11,$C11,F$6,$I$6,"FILL=TRUE")*100</f>
        <v>4.4398186901557324</v>
      </c>
      <c r="J11" s="62">
        <f ca="1">($F11-_xll.IMDP($B11,$C11,F$6,$J$6,"FILL=TRUE"))/_xll.IMDP($B11,$C11,F$6,$J$6,"FILL=TRUE")*100</f>
        <v>4.6166433539634744</v>
      </c>
      <c r="K11" s="124"/>
      <c r="L11" s="64">
        <f ca="1">($F11-_xll.IMDP($B11,$C11,$F$6,L$6,"FILL=TRUE"))/_xll.IMDP($B11,$C11,F$6,L$6,"FILL=TRUE")*100</f>
        <v>-1.044931283996426</v>
      </c>
      <c r="M11" s="64">
        <f ca="1">($F11-_xll.IMDP($B11,$C11,$F$6,M$6,"FILL=TRUE"))/_xll.IMDP($B11,$C11,$F$6,M$6,"FILL=TRUE")*100</f>
        <v>-1.8072674849397401</v>
      </c>
      <c r="N11" s="64">
        <f ca="1">($F11-_xll.IMDP($B11,$C11,$F$6,N$6,"FILL=TRUE"))/_xll.IMDP($B11,$C11,$F$6,N$6,"FILL=TRUE")*100</f>
        <v>4.6166433539634744</v>
      </c>
      <c r="O11" s="64">
        <f ca="1">($F11-_xll.IMDP($B11,$C11,$F$6,O$6,"FILL=TRUE"))/_xll.IMDP($B11,$C11,$F$6,O$6,"FILL=TRUE")*100</f>
        <v>4.6166433539634744</v>
      </c>
      <c r="P11" s="216">
        <f ca="1">_xll.IMDP($B11,$C11,$D11,$G$4,"FILL=TRUE")</f>
        <v>693015</v>
      </c>
      <c r="Q11" s="217"/>
      <c r="AG11" s="185">
        <v>44949</v>
      </c>
      <c r="AH11" s="83">
        <v>4.6689999999999996</v>
      </c>
      <c r="AI11" s="83">
        <v>4.8179999999999996</v>
      </c>
      <c r="AJ11" s="83">
        <v>14.861000000000001</v>
      </c>
    </row>
    <row r="12" spans="2:46" x14ac:dyDescent="0.25">
      <c r="B12" s="166" t="s">
        <v>34</v>
      </c>
      <c r="C12" s="165" t="s">
        <v>38</v>
      </c>
      <c r="D12" s="165" t="s">
        <v>192</v>
      </c>
      <c r="E12" s="66" t="s">
        <v>39</v>
      </c>
      <c r="F12" s="6">
        <f ca="1">_xll.IMDP($B12,$C12,F$6,$G$4,"FILL=TRUE")</f>
        <v>7483.58</v>
      </c>
      <c r="G12" s="6">
        <f ca="1">_xll.IMDP($B12,$C12,G$6,$G$4,"FILL=TRUE")</f>
        <v>170.82</v>
      </c>
      <c r="H12" s="6">
        <f ca="1">_xll.IMDP($B12,$C12,H$6,$G$4,"FILL=TRUE")</f>
        <v>2.34</v>
      </c>
      <c r="I12" s="62">
        <f ca="1">($F12-_xll.IMDP($B12,$C12,F$6,$I$6,"FILL=TRUE"))/_xll.IMDP($B12,$C12,F$6,$I$6,"FILL=TRUE")*100</f>
        <v>2.318007558066403</v>
      </c>
      <c r="J12" s="62">
        <f ca="1">($F12-_xll.IMDP($B12,$C12,F$6,$J$6,"FILL=TRUE"))/_xll.IMDP($B12,$C12,F$6,$J$6,"FILL=TRUE")*100</f>
        <v>11.612930167906057</v>
      </c>
      <c r="K12" s="124"/>
      <c r="L12" s="64">
        <f ca="1">($F12-_xll.IMDP($B12,$C12,$F$6,L$6,"FILL=TRUE"))/_xll.IMDP($B12,$C12,F$6,L$6,"FILL=TRUE")*100</f>
        <v>51.533645435106578</v>
      </c>
      <c r="M12" s="64">
        <f ca="1">($F12-_xll.IMDP($B12,$C12,$F$6,M$6,"FILL=TRUE"))/_xll.IMDP($B12,$C12,$F$6,M$6,"FILL=TRUE")*100</f>
        <v>8.6863951387557652</v>
      </c>
      <c r="N12" s="64">
        <f ca="1">($F12-_xll.IMDP($B12,$C12,$F$6,N$6,"FILL=TRUE"))/_xll.IMDP($B12,$C12,$F$6,N$6,"FILL=TRUE")*100</f>
        <v>11.612930167906057</v>
      </c>
      <c r="O12" s="64">
        <f ca="1">($F12-_xll.IMDP($B12,$C12,$F$6,O$6,"FILL=TRUE"))/_xll.IMDP($B12,$C12,$F$6,O$6,"FILL=TRUE")*100</f>
        <v>11.612930167906057</v>
      </c>
      <c r="P12" s="216">
        <f ca="1">_xll.IMDP($B12,$C12,$D12,$G$4,"FILL=TRUE")</f>
        <v>1633669</v>
      </c>
      <c r="Q12" s="217"/>
      <c r="AG12" s="185">
        <v>44948</v>
      </c>
      <c r="AH12" s="83">
        <v>4.657</v>
      </c>
      <c r="AI12" s="83">
        <v>4.8159999999999998</v>
      </c>
      <c r="AJ12" s="83">
        <v>15.887</v>
      </c>
    </row>
    <row r="13" spans="2:46" x14ac:dyDescent="0.25">
      <c r="B13" s="166" t="s">
        <v>34</v>
      </c>
      <c r="C13" s="165" t="s">
        <v>5</v>
      </c>
      <c r="D13" s="165" t="s">
        <v>192</v>
      </c>
      <c r="E13" s="66" t="s">
        <v>40</v>
      </c>
      <c r="F13" s="6">
        <f ca="1">_xll.IMDP($B13,$C13,F$6,$G$4,"FILL=TRUE")</f>
        <v>60978.75</v>
      </c>
      <c r="G13" s="6">
        <f ca="1">_xll.IMDP($B13,$C13,G$6,$G$4,"FILL=TRUE")</f>
        <v>37.08</v>
      </c>
      <c r="H13" s="6">
        <f ca="1">_xll.IMDP($B13,$C13,H$6,$G$4,"FILL=TRUE")</f>
        <v>0.06</v>
      </c>
      <c r="I13" s="62">
        <f ca="1">($F13-_xll.IMDP($B13,$C13,F$6,$I$6,"FILL=TRUE"))/_xll.IMDP($B13,$C13,F$6,$I$6,"FILL=TRUE")*100</f>
        <v>0.53256312842383013</v>
      </c>
      <c r="J13" s="62">
        <f ca="1">($F13-_xll.IMDP($B13,$C13,F$6,$J$6,"FILL=TRUE"))/_xll.IMDP($B13,$C13,F$6,$J$6,"FILL=TRUE")*100</f>
        <v>0.22683813510486894</v>
      </c>
      <c r="K13" s="124"/>
      <c r="L13" s="64">
        <f ca="1">($F13-_xll.IMDP($B13,$C13,$F$6,L$6,"FILL=TRUE"))/_xll.IMDP($B13,$C13,F$6,L$6,"FILL=TRUE")*100</f>
        <v>0.38217783088730334</v>
      </c>
      <c r="M13" s="64">
        <f ca="1">($F13-_xll.IMDP($B13,$C13,$F$6,M$6,"FILL=TRUE"))/_xll.IMDP($B13,$C13,$F$6,M$6,"FILL=TRUE")*100</f>
        <v>5.9205926672196147</v>
      </c>
      <c r="N13" s="64">
        <f ca="1">($F13-_xll.IMDP($B13,$C13,$F$6,N$6,"FILL=TRUE"))/_xll.IMDP($B13,$C13,$F$6,N$6,"FILL=TRUE")*100</f>
        <v>0.22683813510486894</v>
      </c>
      <c r="O13" s="64">
        <f ca="1">($F13-_xll.IMDP($B13,$C13,$F$6,O$6,"FILL=TRUE"))/_xll.IMDP($B13,$C13,$F$6,O$6,"FILL=TRUE")*100</f>
        <v>-0.30905154493893089</v>
      </c>
      <c r="P13" s="216">
        <f ca="1">_xll.IMDP($B13,$C13,$D13,$G$4,"FILL=TRUE")</f>
        <v>0</v>
      </c>
      <c r="Q13" s="217"/>
      <c r="AG13" s="185">
        <v>44947</v>
      </c>
      <c r="AH13" s="83">
        <v>4.657</v>
      </c>
      <c r="AI13" s="83">
        <v>4.8159999999999998</v>
      </c>
      <c r="AJ13" s="83">
        <v>15.887</v>
      </c>
    </row>
    <row r="14" spans="2:46" x14ac:dyDescent="0.25">
      <c r="B14" s="166" t="s">
        <v>34</v>
      </c>
      <c r="C14" s="165" t="s">
        <v>41</v>
      </c>
      <c r="D14" s="165" t="s">
        <v>192</v>
      </c>
      <c r="E14" s="66" t="s">
        <v>42</v>
      </c>
      <c r="F14" s="6">
        <f ca="1">_xll.IMDP($B14,$C14,F$6,$G$4,"FILL=TRUE")</f>
        <v>28006.5</v>
      </c>
      <c r="G14" s="6">
        <f ca="1">_xll.IMDP($B14,$C14,G$6,$G$4,"FILL=TRUE")</f>
        <v>0</v>
      </c>
      <c r="H14" s="6">
        <f ca="1">_xll.IMDP($B14,$C14,H$6,$G$4,"FILL=TRUE")</f>
        <v>0</v>
      </c>
      <c r="I14" s="62">
        <f ca="1">($F14-_xll.IMDP($B14,$C14,F$6,$I$6,"FILL=TRUE"))/_xll.IMDP($B14,$C14,F$6,$I$6,"FILL=TRUE")*100</f>
        <v>2.6606770733101981</v>
      </c>
      <c r="J14" s="62">
        <f ca="1">($F14-_xll.IMDP($B14,$C14,F$6,$J$6,"FILL=TRUE"))/_xll.IMDP($B14,$C14,F$6,$J$6,"FILL=TRUE")*100</f>
        <v>1.4486401430383562</v>
      </c>
      <c r="K14" s="124"/>
      <c r="L14" s="64">
        <f ca="1">($F14-_xll.IMDP($B14,$C14,$F$6,L$6,"FILL=TRUE"))/_xll.IMDP($B14,$C14,F$6,L$6,"FILL=TRUE")*100</f>
        <v>-0.33972707251484918</v>
      </c>
      <c r="M14" s="64">
        <f ca="1">($F14-_xll.IMDP($B14,$C14,$F$6,M$6,"FILL=TRUE"))/_xll.IMDP($B14,$C14,$F$6,M$6,"FILL=TRUE")*100</f>
        <v>-0.17742908183122935</v>
      </c>
      <c r="N14" s="64">
        <f ca="1">($F14-_xll.IMDP($B14,$C14,$F$6,N$6,"FILL=TRUE"))/_xll.IMDP($B14,$C14,$F$6,N$6,"FILL=TRUE")*100</f>
        <v>1.4486401430383562</v>
      </c>
      <c r="O14" s="64">
        <f ca="1">($F14-_xll.IMDP($B14,$C14,$F$6,O$6,"FILL=TRUE"))/_xll.IMDP($B14,$C14,$F$6,O$6,"FILL=TRUE")*100</f>
        <v>1.4486401430383562</v>
      </c>
      <c r="P14" s="216">
        <f ca="1">_xll.IMDP($B14,$C14,$D14,$G$4,"FILL=TRUE")</f>
        <v>0</v>
      </c>
      <c r="Q14" s="217"/>
      <c r="AG14" s="185">
        <v>44946</v>
      </c>
      <c r="AH14" s="83">
        <v>4.657</v>
      </c>
      <c r="AI14" s="83">
        <v>4.8159999999999998</v>
      </c>
      <c r="AJ14" s="83">
        <v>15.887</v>
      </c>
    </row>
    <row r="15" spans="2:46" x14ac:dyDescent="0.25">
      <c r="B15" s="166" t="s">
        <v>34</v>
      </c>
      <c r="C15" s="165" t="s">
        <v>6</v>
      </c>
      <c r="D15" s="165" t="s">
        <v>192</v>
      </c>
      <c r="E15" s="66" t="s">
        <v>43</v>
      </c>
      <c r="F15" s="6">
        <f ca="1">_xll.IMDP($B15,$C15,F$6,$G$4,"FILL=TRUE")</f>
        <v>15093.11</v>
      </c>
      <c r="G15" s="6">
        <f ca="1">_xll.IMDP($B15,$C15,G$6,$G$4,"FILL=TRUE")</f>
        <v>-9.84</v>
      </c>
      <c r="H15" s="6">
        <f ca="1">_xll.IMDP($B15,$C15,H$6,$G$4,"FILL=TRUE")</f>
        <v>-7.0000000000000007E-2</v>
      </c>
      <c r="I15" s="62">
        <f ca="1">($F15-_xll.IMDP($B15,$C15,F$6,$I$6,"FILL=TRUE"))/_xll.IMDP($B15,$C15,F$6,$I$6,"FILL=TRUE")*100</f>
        <v>-0.61868418332172781</v>
      </c>
      <c r="J15" s="62">
        <f ca="1">($F15-_xll.IMDP($B15,$C15,F$6,$J$6,"FILL=TRUE"))/_xll.IMDP($B15,$C15,F$6,$J$6,"FILL=TRUE")*100</f>
        <v>8.3995578726463531</v>
      </c>
      <c r="K15" s="124"/>
      <c r="L15" s="64">
        <f ca="1">($F15-_xll.IMDP($B15,$C15,$F$6,L$6,"FILL=TRUE"))/_xll.IMDP($B15,$C15,F$6,L$6,"FILL=TRUE")*100</f>
        <v>13.878120439966384</v>
      </c>
      <c r="M15" s="64">
        <f ca="1">($F15-_xll.IMDP($B15,$C15,$F$6,M$6,"FILL=TRUE"))/_xll.IMDP($B15,$C15,$F$6,M$6,"FILL=TRUE")*100</f>
        <v>11.933061654324934</v>
      </c>
      <c r="N15" s="64">
        <f ca="1">($F15-_xll.IMDP($B15,$C15,$F$6,N$6,"FILL=TRUE"))/_xll.IMDP($B15,$C15,$F$6,N$6,"FILL=TRUE")*100</f>
        <v>8.3995578726463531</v>
      </c>
      <c r="O15" s="64">
        <f ca="1">($F15-_xll.IMDP($B15,$C15,$F$6,O$6,"FILL=TRUE"))/_xll.IMDP($B15,$C15,$F$6,O$6,"FILL=TRUE")*100</f>
        <v>7.2772128740246496</v>
      </c>
      <c r="P15" s="216">
        <f ca="1">_xll.IMDP($B15,$C15,$D15,$G$4,"FILL=TRUE")</f>
        <v>0</v>
      </c>
      <c r="Q15" s="217"/>
      <c r="AG15" s="185">
        <v>44945</v>
      </c>
      <c r="AH15" s="83">
        <v>4.6609999999999996</v>
      </c>
      <c r="AI15" s="83">
        <v>4.8150000000000004</v>
      </c>
      <c r="AJ15" s="83">
        <v>15.419</v>
      </c>
    </row>
    <row r="16" spans="2:46" x14ac:dyDescent="0.25">
      <c r="B16" s="166" t="s">
        <v>34</v>
      </c>
      <c r="C16" s="165" t="s">
        <v>7</v>
      </c>
      <c r="D16" s="165" t="s">
        <v>192</v>
      </c>
      <c r="E16" s="66" t="s">
        <v>44</v>
      </c>
      <c r="F16" s="6">
        <f ca="1">_xll.IMDP($B16,$C16,F$6,$G$4,"FILL=TRUE")</f>
        <v>7050.48</v>
      </c>
      <c r="G16" s="6">
        <f ca="1">_xll.IMDP($B16,$C16,G$6,$G$4,"FILL=TRUE")</f>
        <v>18.46</v>
      </c>
      <c r="H16" s="6">
        <f ca="1">_xll.IMDP($B16,$C16,H$6,$G$4,"FILL=TRUE")</f>
        <v>0.26</v>
      </c>
      <c r="I16" s="62">
        <f ca="1">($F16-_xll.IMDP($B16,$C16,F$6,$I$6,"FILL=TRUE"))/_xll.IMDP($B16,$C16,F$6,$I$6,"FILL=TRUE")*100</f>
        <v>-0.37698737911818148</v>
      </c>
      <c r="J16" s="62">
        <f ca="1">($F16-_xll.IMDP($B16,$C16,F$6,$J$6,"FILL=TRUE"))/_xll.IMDP($B16,$C16,F$6,$J$6,"FILL=TRUE")*100</f>
        <v>8.9085786312745494</v>
      </c>
      <c r="K16" s="124"/>
      <c r="L16" s="64">
        <f ca="1">($F16-_xll.IMDP($B16,$C16,$F$6,L$6,"FILL=TRUE"))/_xll.IMDP($B16,$C16,F$6,L$6,"FILL=TRUE")*100</f>
        <v>12.505804425565309</v>
      </c>
      <c r="M16" s="64">
        <f ca="1">($F16-_xll.IMDP($B16,$C16,$F$6,M$6,"FILL=TRUE"))/_xll.IMDP($B16,$C16,$F$6,M$6,"FILL=TRUE")*100</f>
        <v>9.3351942312165548</v>
      </c>
      <c r="N16" s="64">
        <f ca="1">($F16-_xll.IMDP($B16,$C16,$F$6,N$6,"FILL=TRUE"))/_xll.IMDP($B16,$C16,$F$6,N$6,"FILL=TRUE")*100</f>
        <v>8.9085786312745494</v>
      </c>
      <c r="O16" s="64">
        <f ca="1">($F16-_xll.IMDP($B16,$C16,$F$6,O$6,"FILL=TRUE"))/_xll.IMDP($B16,$C16,$F$6,O$6,"FILL=TRUE")*100</f>
        <v>6.913415127900679</v>
      </c>
      <c r="P16" s="216">
        <f ca="1">_xll.IMDP($B16,$C16,$D16,$G$4,"FILL=TRUE")</f>
        <v>0</v>
      </c>
      <c r="Q16" s="217"/>
      <c r="AG16" s="185">
        <v>44944</v>
      </c>
      <c r="AH16" s="83">
        <v>4.67</v>
      </c>
      <c r="AI16" s="83">
        <v>4.8079999999999998</v>
      </c>
      <c r="AJ16" s="83">
        <v>13.821</v>
      </c>
    </row>
    <row r="17" spans="2:36" x14ac:dyDescent="0.25">
      <c r="B17" s="166" t="s">
        <v>34</v>
      </c>
      <c r="C17" s="165" t="s">
        <v>0</v>
      </c>
      <c r="D17" s="165" t="s">
        <v>192</v>
      </c>
      <c r="E17" s="66" t="s">
        <v>45</v>
      </c>
      <c r="F17" s="6">
        <f ca="1">_xll.IMDP($B17,$C17,F$6,$G$4,"FILL=TRUE")</f>
        <v>33733.96</v>
      </c>
      <c r="G17" s="6">
        <f ca="1">_xll.IMDP($B17,$C17,G$6,$G$4,"FILL=TRUE")</f>
        <v>104.4</v>
      </c>
      <c r="H17" s="6">
        <f ca="1">_xll.IMDP($B17,$C17,H$6,$G$4,"FILL=TRUE")</f>
        <v>0.31</v>
      </c>
      <c r="I17" s="62">
        <f ca="1">($F17-_xll.IMDP($B17,$C17,F$6,$I$6,"FILL=TRUE"))/_xll.IMDP($B17,$C17,F$6,$I$6,"FILL=TRUE")*100</f>
        <v>-0.52163245686852266</v>
      </c>
      <c r="J17" s="62">
        <f ca="1">($F17-_xll.IMDP($B17,$C17,F$6,$J$6,"FILL=TRUE"))/_xll.IMDP($B17,$C17,F$6,$J$6,"FILL=TRUE")*100</f>
        <v>1.7700110868925751</v>
      </c>
      <c r="K17" s="124"/>
      <c r="L17" s="64">
        <f ca="1">($F17-_xll.IMDP($B17,$C17,$F$6,L$6,"FILL=TRUE"))/_xll.IMDP($B17,$C17,F$6,L$6,"FILL=TRUE")*100</f>
        <v>3.0581111693263159</v>
      </c>
      <c r="M17" s="64">
        <f ca="1">($F17-_xll.IMDP($B17,$C17,$F$6,M$6,"FILL=TRUE"))/_xll.IMDP($B17,$C17,$F$6,M$6,"FILL=TRUE")*100</f>
        <v>2.7061241651349892</v>
      </c>
      <c r="N17" s="64">
        <f ca="1">($F17-_xll.IMDP($B17,$C17,$F$6,N$6,"FILL=TRUE"))/_xll.IMDP($B17,$C17,$F$6,N$6,"FILL=TRUE")*100</f>
        <v>1.7700110868925751</v>
      </c>
      <c r="O17" s="64">
        <f ca="1">($F17-_xll.IMDP($B17,$C17,$F$6,O$6,"FILL=TRUE"))/_xll.IMDP($B17,$C17,$F$6,O$6,"FILL=TRUE")*100</f>
        <v>1.7700110868925751</v>
      </c>
      <c r="P17" s="216">
        <f ca="1">_xll.IMDP($B17,$C17,$D17,$G$4,"FILL=TRUE")</f>
        <v>295076</v>
      </c>
      <c r="Q17" s="217"/>
      <c r="AG17" s="185">
        <v>44943</v>
      </c>
      <c r="AH17" s="83">
        <v>4.6120000000000001</v>
      </c>
      <c r="AI17" s="83">
        <v>4.798</v>
      </c>
      <c r="AJ17" s="83">
        <v>18.606999999999999</v>
      </c>
    </row>
    <row r="18" spans="2:36" x14ac:dyDescent="0.25">
      <c r="B18" s="166" t="s">
        <v>34</v>
      </c>
      <c r="C18" s="165" t="s">
        <v>46</v>
      </c>
      <c r="D18" s="165" t="s">
        <v>192</v>
      </c>
      <c r="E18" s="66" t="s">
        <v>47</v>
      </c>
      <c r="F18" s="6">
        <f ca="1">_xll.IMDP($B18,$C18,F$6,$G$4,"FILL=TRUE")</f>
        <v>11334.27</v>
      </c>
      <c r="G18" s="6">
        <f ca="1">_xll.IMDP($B18,$C18,G$6,$G$4,"FILL=TRUE")</f>
        <v>-30.14</v>
      </c>
      <c r="H18" s="6">
        <f ca="1">_xll.IMDP($B18,$C18,H$6,$G$4,"FILL=TRUE")</f>
        <v>-0.27</v>
      </c>
      <c r="I18" s="62">
        <f ca="1">($F18-_xll.IMDP($B18,$C18,F$6,$I$6,"FILL=TRUE"))/_xll.IMDP($B18,$C18,F$6,$I$6,"FILL=TRUE")*100</f>
        <v>2.1555441992012683</v>
      </c>
      <c r="J18" s="62">
        <f ca="1">($F18-_xll.IMDP($B18,$C18,F$6,$J$6,"FILL=TRUE"))/_xll.IMDP($B18,$C18,F$6,$J$6,"FILL=TRUE")*100</f>
        <v>8.2911351285245924</v>
      </c>
      <c r="K18" s="124"/>
      <c r="L18" s="64">
        <f ca="1">($F18-_xll.IMDP($B18,$C18,$F$6,L$6,"FILL=TRUE"))/_xll.IMDP($B18,$C18,F$6,L$6,"FILL=TRUE")*100</f>
        <v>3.1499387977048077</v>
      </c>
      <c r="M18" s="64">
        <f ca="1">($F18-_xll.IMDP($B18,$C18,$F$6,M$6,"FILL=TRUE"))/_xll.IMDP($B18,$C18,$F$6,M$6,"FILL=TRUE")*100</f>
        <v>-8.5259174428542721</v>
      </c>
      <c r="N18" s="64">
        <f ca="1">($F18-_xll.IMDP($B18,$C18,$F$6,N$6,"FILL=TRUE"))/_xll.IMDP($B18,$C18,$F$6,N$6,"FILL=TRUE")*100</f>
        <v>8.2911351285245924</v>
      </c>
      <c r="O18" s="64">
        <f ca="1">($F18-_xll.IMDP($B18,$C18,$F$6,O$6,"FILL=TRUE"))/_xll.IMDP($B18,$C18,$F$6,O$6,"FILL=TRUE")*100</f>
        <v>8.2911351285245924</v>
      </c>
      <c r="P18" s="216">
        <f ca="1">_xll.IMDP($B18,$C18,$D18,$G$4,"FILL=TRUE")</f>
        <v>5222656</v>
      </c>
      <c r="Q18" s="217"/>
      <c r="AG18" s="185">
        <v>44942</v>
      </c>
      <c r="AH18" s="83">
        <v>4.6120000000000001</v>
      </c>
      <c r="AI18" s="83">
        <v>4.7949999999999999</v>
      </c>
      <c r="AJ18" s="83">
        <v>18.260999999999999</v>
      </c>
    </row>
    <row r="19" spans="2:36" x14ac:dyDescent="0.25">
      <c r="B19" s="166" t="s">
        <v>34</v>
      </c>
      <c r="C19" s="165" t="s">
        <v>48</v>
      </c>
      <c r="D19" s="165" t="s">
        <v>192</v>
      </c>
      <c r="E19" s="66" t="s">
        <v>49</v>
      </c>
      <c r="F19" s="6">
        <f ca="1">_xll.IMDP($B19,$C19,F$6,$G$4,"FILL=TRUE")</f>
        <v>4016.95</v>
      </c>
      <c r="G19" s="6">
        <f ca="1">_xll.IMDP($B19,$C19,G$6,$G$4,"FILL=TRUE")</f>
        <v>-2.86</v>
      </c>
      <c r="H19" s="6">
        <f ca="1">_xll.IMDP($B19,$C19,H$6,$G$4,"FILL=TRUE")</f>
        <v>-7.0000000000000007E-2</v>
      </c>
      <c r="I19" s="62">
        <f ca="1">($F19-_xll.IMDP($B19,$C19,F$6,$I$6,"FILL=TRUE"))/_xll.IMDP($B19,$C19,F$6,$I$6,"FILL=TRUE")*100</f>
        <v>0.65096956379025694</v>
      </c>
      <c r="J19" s="62">
        <f ca="1">($F19-_xll.IMDP($B19,$C19,F$6,$J$6,"FILL=TRUE"))/_xll.IMDP($B19,$C19,F$6,$J$6,"FILL=TRUE")*100</f>
        <v>4.6216955332725567</v>
      </c>
      <c r="K19" s="124"/>
      <c r="L19" s="64">
        <f ca="1">($F19-_xll.IMDP($B19,$C19,$F$6,L$6,"FILL=TRUE"))/_xll.IMDP($B19,$C19,F$6,L$6,"FILL=TRUE")*100</f>
        <v>3.7440792566077254</v>
      </c>
      <c r="M19" s="64">
        <f ca="1">($F19-_xll.IMDP($B19,$C19,$F$6,M$6,"FILL=TRUE"))/_xll.IMDP($B19,$C19,$F$6,M$6,"FILL=TRUE")*100</f>
        <v>-2.7441172411622463</v>
      </c>
      <c r="N19" s="64">
        <f ca="1">($F19-_xll.IMDP($B19,$C19,$F$6,N$6,"FILL=TRUE"))/_xll.IMDP($B19,$C19,$F$6,N$6,"FILL=TRUE")*100</f>
        <v>4.6216955332725567</v>
      </c>
      <c r="O19" s="64">
        <f ca="1">($F19-_xll.IMDP($B19,$C19,$F$6,O$6,"FILL=TRUE"))/_xll.IMDP($B19,$C19,$F$6,O$6,"FILL=TRUE")*100</f>
        <v>4.6216955332725567</v>
      </c>
      <c r="P19" s="216">
        <f ca="1">_xll.IMDP($B19,$C19,$D19,$G$4,"FILL=TRUE")</f>
        <v>2047999</v>
      </c>
      <c r="Q19" s="217"/>
      <c r="AG19" s="185">
        <v>44941</v>
      </c>
      <c r="AH19" s="83">
        <v>4.6120000000000001</v>
      </c>
      <c r="AI19" s="83">
        <v>4.7919999999999998</v>
      </c>
      <c r="AJ19" s="83">
        <v>18.033000000000001</v>
      </c>
    </row>
    <row r="20" spans="2:36" x14ac:dyDescent="0.25">
      <c r="B20" s="166" t="s">
        <v>34</v>
      </c>
      <c r="C20" s="165" t="s">
        <v>50</v>
      </c>
      <c r="D20" s="165" t="s">
        <v>192</v>
      </c>
      <c r="E20" s="67" t="s">
        <v>51</v>
      </c>
      <c r="F20" s="68">
        <f ca="1">_xll.IMDP($B20,$C20,F$6,$G$4,"FILL=TRUE")</f>
        <v>4153.0200000000004</v>
      </c>
      <c r="G20" s="68">
        <f ca="1">_xll.IMDP($B20,$C20,G$6,$G$4,"FILL=TRUE")</f>
        <v>2.2000000000000002</v>
      </c>
      <c r="H20" s="68">
        <f ca="1">_xll.IMDP($B20,$C20,H$6,$G$4,"FILL=TRUE")</f>
        <v>0.05</v>
      </c>
      <c r="I20" s="69">
        <f ca="1">($F20-_xll.IMDP($B20,$C20,F$6,$I$6,"FILL=TRUE"))/_xll.IMDP($B20,$C20,F$6,$I$6,"FILL=TRUE")*100</f>
        <v>-0.51050108640187741</v>
      </c>
      <c r="J20" s="69">
        <f ca="1">($F20-_xll.IMDP($B20,$C20,F$6,$J$6,"FILL=TRUE"))/_xll.IMDP($B20,$C20,F$6,$J$6,"FILL=TRUE")*100</f>
        <v>9.4738007496797394</v>
      </c>
      <c r="K20" s="125"/>
      <c r="L20" s="71">
        <f ca="1">($F20-_xll.IMDP($B20,$C20,$F$6,L$6,"FILL=TRUE"))/_xll.IMDP($B20,$C20,F$6,L$6,"FILL=TRUE")*100</f>
        <v>14.802324231383771</v>
      </c>
      <c r="M20" s="71">
        <f ca="1">($F20-_xll.IMDP($B20,$C20,$F$6,M$6,"FILL=TRUE"))/_xll.IMDP($B20,$C20,$F$6,M$6,"FILL=TRUE")*100</f>
        <v>11.998597664572168</v>
      </c>
      <c r="N20" s="71">
        <f ca="1">($F20-_xll.IMDP($B20,$C20,$F$6,N$6,"FILL=TRUE"))/_xll.IMDP($B20,$C20,$F$6,N$6,"FILL=TRUE")*100</f>
        <v>9.4738007496797394</v>
      </c>
      <c r="O20" s="71">
        <f ca="1">($F20-_xll.IMDP($B20,$C20,$F$6,O$6,"FILL=TRUE"))/_xll.IMDP($B20,$C20,$F$6,O$6,"FILL=TRUE")*100</f>
        <v>7.7002870783617672</v>
      </c>
      <c r="P20" s="218">
        <f ca="1">_xll.IMDP($B20,$C20,$D20,$G$4,"FILL=TRUE")</f>
        <v>0</v>
      </c>
      <c r="Q20" s="219"/>
      <c r="AG20" s="185">
        <v>44940</v>
      </c>
      <c r="AH20" s="83">
        <v>4.6120000000000001</v>
      </c>
      <c r="AI20" s="83">
        <v>4.7919999999999998</v>
      </c>
      <c r="AJ20" s="83">
        <v>18.033000000000001</v>
      </c>
    </row>
    <row r="21" spans="2:36" x14ac:dyDescent="0.25">
      <c r="AG21" s="185">
        <v>44939</v>
      </c>
      <c r="AH21" s="83">
        <v>4.6120000000000001</v>
      </c>
      <c r="AI21" s="83">
        <v>4.7919999999999998</v>
      </c>
      <c r="AJ21" s="83">
        <v>18.033000000000001</v>
      </c>
    </row>
    <row r="22" spans="2:36" x14ac:dyDescent="0.25">
      <c r="AG22" s="185">
        <v>44938</v>
      </c>
      <c r="AH22" s="83">
        <v>4.5960000000000001</v>
      </c>
      <c r="AI22" s="83">
        <v>4.83</v>
      </c>
      <c r="AJ22" s="83">
        <v>23.341000000000001</v>
      </c>
    </row>
    <row r="23" spans="2:36" x14ac:dyDescent="0.25">
      <c r="AG23" s="185">
        <v>44937</v>
      </c>
      <c r="AH23" s="83">
        <v>4.68</v>
      </c>
      <c r="AI23" s="83">
        <v>4.8150000000000004</v>
      </c>
      <c r="AJ23" s="83">
        <v>13.52</v>
      </c>
    </row>
    <row r="24" spans="2:36" x14ac:dyDescent="0.25">
      <c r="AG24" s="185">
        <v>44936</v>
      </c>
      <c r="AH24" s="83">
        <v>4.6230000000000002</v>
      </c>
      <c r="AI24" s="83">
        <v>4.806</v>
      </c>
      <c r="AJ24" s="83">
        <v>18.245999999999999</v>
      </c>
    </row>
    <row r="25" spans="2:36" x14ac:dyDescent="0.25">
      <c r="AG25" s="185">
        <v>44935</v>
      </c>
      <c r="AH25" s="83">
        <v>4.617</v>
      </c>
      <c r="AI25" s="83">
        <v>4.7830000000000004</v>
      </c>
      <c r="AJ25" s="83">
        <v>16.527000000000001</v>
      </c>
    </row>
    <row r="26" spans="2:36" x14ac:dyDescent="0.25">
      <c r="AG26" s="185">
        <v>44934</v>
      </c>
      <c r="AH26" s="83">
        <v>4.6150000000000002</v>
      </c>
      <c r="AI26" s="83">
        <v>4.8099999999999996</v>
      </c>
      <c r="AJ26" s="83">
        <v>19.456</v>
      </c>
    </row>
    <row r="27" spans="2:36" x14ac:dyDescent="0.25">
      <c r="AG27" s="185">
        <v>44933</v>
      </c>
      <c r="AH27" s="83">
        <v>4.6150000000000002</v>
      </c>
      <c r="AI27" s="83">
        <v>4.8099999999999996</v>
      </c>
      <c r="AJ27" s="83">
        <v>19.456</v>
      </c>
    </row>
    <row r="28" spans="2:36" x14ac:dyDescent="0.25">
      <c r="AG28" s="185">
        <v>44932</v>
      </c>
      <c r="AH28" s="83">
        <v>4.6150000000000002</v>
      </c>
      <c r="AI28" s="83">
        <v>4.8099999999999996</v>
      </c>
      <c r="AJ28" s="83">
        <v>19.456</v>
      </c>
    </row>
    <row r="29" spans="2:36" x14ac:dyDescent="0.25">
      <c r="AG29" s="185">
        <v>44931</v>
      </c>
      <c r="AH29" s="83">
        <v>4.617</v>
      </c>
      <c r="AI29" s="83">
        <v>4.8120000000000003</v>
      </c>
      <c r="AJ29" s="83">
        <v>19.471</v>
      </c>
    </row>
    <row r="30" spans="2:36" x14ac:dyDescent="0.25">
      <c r="AG30" s="185">
        <v>44930</v>
      </c>
      <c r="AH30" s="83">
        <v>4.5140000000000002</v>
      </c>
      <c r="AI30" s="83">
        <v>4.7880000000000003</v>
      </c>
      <c r="AJ30" s="83">
        <v>27.452999999999999</v>
      </c>
    </row>
    <row r="31" spans="2:36" x14ac:dyDescent="0.25">
      <c r="AG31" s="185">
        <v>44929</v>
      </c>
      <c r="AH31" s="83">
        <v>4.3849999999999998</v>
      </c>
      <c r="AI31" s="83">
        <v>4.782</v>
      </c>
      <c r="AJ31" s="83">
        <v>39.646000000000001</v>
      </c>
    </row>
    <row r="32" spans="2:36" x14ac:dyDescent="0.25">
      <c r="AG32" s="185">
        <v>44928</v>
      </c>
      <c r="AH32" s="83">
        <v>4.42</v>
      </c>
      <c r="AI32" s="83">
        <v>4.7670000000000003</v>
      </c>
      <c r="AJ32" s="83">
        <v>34.768999999999998</v>
      </c>
    </row>
    <row r="33" spans="2:36" x14ac:dyDescent="0.25">
      <c r="AG33" s="185">
        <v>44927</v>
      </c>
      <c r="AH33" s="83">
        <v>4.42</v>
      </c>
      <c r="AI33" s="83">
        <v>4.7670000000000003</v>
      </c>
      <c r="AJ33" s="83">
        <v>34.768999999999998</v>
      </c>
    </row>
    <row r="34" spans="2:36" x14ac:dyDescent="0.25">
      <c r="AG34" s="185">
        <v>44926</v>
      </c>
      <c r="AH34" s="83">
        <v>4.42</v>
      </c>
      <c r="AI34" s="83">
        <v>4.7670000000000003</v>
      </c>
      <c r="AJ34" s="83">
        <v>34.768999999999998</v>
      </c>
    </row>
    <row r="35" spans="2:36" x14ac:dyDescent="0.25">
      <c r="AG35" s="185">
        <v>44925</v>
      </c>
      <c r="AH35" s="83">
        <v>4.42</v>
      </c>
      <c r="AI35" s="83">
        <v>4.7670000000000003</v>
      </c>
      <c r="AJ35" s="83">
        <v>34.768999999999998</v>
      </c>
    </row>
    <row r="36" spans="2:36" x14ac:dyDescent="0.25">
      <c r="AG36" s="185">
        <v>44924</v>
      </c>
      <c r="AH36" s="83">
        <v>4.4139999999999997</v>
      </c>
      <c r="AI36" s="83">
        <v>4.7539999999999996</v>
      </c>
      <c r="AJ36" s="83">
        <v>33.985999999999997</v>
      </c>
    </row>
    <row r="37" spans="2:36" x14ac:dyDescent="0.25">
      <c r="AG37" s="185">
        <v>44923</v>
      </c>
      <c r="AH37" s="83">
        <v>4.4560000000000004</v>
      </c>
      <c r="AI37" s="83">
        <v>4.7300000000000004</v>
      </c>
      <c r="AJ37" s="83">
        <v>27.376000000000001</v>
      </c>
    </row>
    <row r="38" spans="2:36" x14ac:dyDescent="0.25">
      <c r="AG38" s="185">
        <v>44922</v>
      </c>
      <c r="AH38" s="83">
        <v>4.3049999999999997</v>
      </c>
      <c r="AI38" s="83">
        <v>4.726</v>
      </c>
      <c r="AJ38" s="83">
        <v>42.143000000000001</v>
      </c>
    </row>
    <row r="39" spans="2:36" x14ac:dyDescent="0.25">
      <c r="E39" s="84" t="s">
        <v>54</v>
      </c>
      <c r="AG39" s="185">
        <v>44921</v>
      </c>
      <c r="AH39" s="83">
        <v>4.3209999999999997</v>
      </c>
      <c r="AI39" s="83">
        <v>4.726</v>
      </c>
      <c r="AJ39" s="83">
        <v>40.533000000000001</v>
      </c>
    </row>
    <row r="40" spans="2:36" ht="7.5" customHeight="1" x14ac:dyDescent="0.25">
      <c r="E40" s="84"/>
      <c r="AG40" s="185">
        <v>44920</v>
      </c>
      <c r="AH40" s="83">
        <v>4.3209999999999997</v>
      </c>
      <c r="AI40" s="83">
        <v>4.726</v>
      </c>
      <c r="AJ40" s="83">
        <v>40.533000000000001</v>
      </c>
    </row>
    <row r="41" spans="2:36" s="115" customFormat="1" x14ac:dyDescent="0.25">
      <c r="B41" s="165"/>
      <c r="C41" s="165"/>
      <c r="D41" s="165"/>
      <c r="F41" s="116"/>
      <c r="G41" s="115" t="s">
        <v>198</v>
      </c>
      <c r="H41" s="150">
        <f ca="1">EOMONTH($G$4,-1)</f>
        <v>44926</v>
      </c>
      <c r="I41" s="150">
        <f ca="1">EOMONTH($G$4,-3)</f>
        <v>44865</v>
      </c>
      <c r="J41" s="150">
        <f ca="1">DATE(YEAR($G$4)-1,12,31)</f>
        <v>44926</v>
      </c>
      <c r="K41" s="148"/>
      <c r="L41" s="148"/>
      <c r="AG41" s="121">
        <v>44919</v>
      </c>
      <c r="AH41" s="115">
        <v>4.3209999999999997</v>
      </c>
      <c r="AI41" s="115">
        <v>4.726</v>
      </c>
      <c r="AJ41" s="115">
        <v>40.533000000000001</v>
      </c>
    </row>
    <row r="42" spans="2:36" x14ac:dyDescent="0.25">
      <c r="E42" s="105" t="s">
        <v>55</v>
      </c>
      <c r="F42" s="104" t="s">
        <v>175</v>
      </c>
      <c r="G42" s="104" t="s">
        <v>26</v>
      </c>
      <c r="H42" s="104" t="s">
        <v>171</v>
      </c>
      <c r="I42" s="104" t="s">
        <v>172</v>
      </c>
      <c r="J42" s="104" t="s">
        <v>173</v>
      </c>
      <c r="AG42" s="185">
        <v>44918</v>
      </c>
      <c r="AH42" s="83">
        <v>4.3209999999999997</v>
      </c>
      <c r="AI42" s="83">
        <v>4.726</v>
      </c>
      <c r="AJ42" s="83">
        <v>40.533000000000001</v>
      </c>
    </row>
    <row r="43" spans="2:36" x14ac:dyDescent="0.25">
      <c r="B43" s="111" t="s">
        <v>56</v>
      </c>
      <c r="C43" s="112" t="s">
        <v>57</v>
      </c>
      <c r="D43" s="112" t="s">
        <v>193</v>
      </c>
      <c r="E43" s="89" t="s">
        <v>58</v>
      </c>
      <c r="F43" s="101">
        <f ca="1">_xll.IMDP($B43,$C43,$D43,$G$4,"fill=true")</f>
        <v>3.33</v>
      </c>
      <c r="G43" s="101">
        <f ca="1">_xll.IMDP($B43,$C43,"전일대비",$G$4,"fill=true")</f>
        <v>8.2000000000000003E-2</v>
      </c>
      <c r="H43" s="101">
        <f ca="1">($F43-_xll.IMDP($B43,$C43,"대표수익률",H$41,"FILL=TRUE"))/_xll.IMDP($B43,$C43,"대표수익률",H$41,"FILL=TRUE")</f>
        <v>-0.10531972058033313</v>
      </c>
      <c r="I43" s="101">
        <f ca="1">($F43-_xll.IMDP($B43,$C43,"대표수익률",I$41,"FILL=TRUE"))/_xll.IMDP($B43,$C43,"대표수익률",I$41,"FILL=TRUE")</f>
        <v>-0.20430107526881711</v>
      </c>
      <c r="J43" s="102">
        <f ca="1">($F43-_xll.IMDP($B43,$C43,"대표수익률",J$41,"FILL=TRUE"))/_xll.IMDP($B43,$C43,"대표수익률",J$41,"FILL=TRUE")</f>
        <v>-0.10531972058033313</v>
      </c>
      <c r="AG43" s="185">
        <v>44917</v>
      </c>
      <c r="AH43" s="83">
        <v>4.3339999999999996</v>
      </c>
      <c r="AI43" s="83">
        <v>4.7240000000000002</v>
      </c>
      <c r="AJ43" s="83">
        <v>39.036000000000001</v>
      </c>
    </row>
    <row r="44" spans="2:36" x14ac:dyDescent="0.25">
      <c r="B44" s="111" t="s">
        <v>56</v>
      </c>
      <c r="C44" s="112" t="s">
        <v>59</v>
      </c>
      <c r="D44" s="112" t="s">
        <v>193</v>
      </c>
      <c r="E44" s="92" t="s">
        <v>60</v>
      </c>
      <c r="F44" s="86">
        <f ca="1">_xll.IMDP($B44,$C44,$D44,$G$4,"fill=true")</f>
        <v>3.2949999999999999</v>
      </c>
      <c r="G44" s="86">
        <f ca="1">_xll.IMDP($B44,$C44,"전일대비",$G$4,"fill=true")</f>
        <v>7.1999999999999995E-2</v>
      </c>
      <c r="H44" s="86">
        <f ca="1">($F44-_xll.IMDP($B44,$C44,"대표수익률",H$41,"FILL=TRUE"))/_xll.IMDP($B44,$C44,"대표수익률",H$41,"FILL=TRUE")</f>
        <v>-0.11969008816457387</v>
      </c>
      <c r="I44" s="86">
        <f ca="1">($F44-_xll.IMDP($B44,$C44,"대표수익률",I$41,"FILL=TRUE"))/_xll.IMDP($B44,$C44,"대표수익률",I$41,"FILL=TRUE")</f>
        <v>-0.22707013840018767</v>
      </c>
      <c r="J44" s="103">
        <f ca="1">($F44-_xll.IMDP($B44,$C44,"대표수익률",J$41,"FILL=TRUE"))/_xll.IMDP($B44,$C44,"대표수익률",J$41,"FILL=TRUE")</f>
        <v>-0.11969008816457387</v>
      </c>
      <c r="AG44" s="185">
        <v>44916</v>
      </c>
      <c r="AH44" s="83">
        <v>4.3390000000000004</v>
      </c>
      <c r="AI44" s="83">
        <v>4.7290000000000001</v>
      </c>
      <c r="AJ44" s="83">
        <v>38.979999999999997</v>
      </c>
    </row>
    <row r="45" spans="2:36" x14ac:dyDescent="0.25">
      <c r="B45" s="111" t="s">
        <v>56</v>
      </c>
      <c r="C45" s="112" t="s">
        <v>17</v>
      </c>
      <c r="D45" s="112" t="s">
        <v>193</v>
      </c>
      <c r="E45" s="92" t="s">
        <v>61</v>
      </c>
      <c r="F45" s="86">
        <f ca="1">_xll.IMDP($B45,$C45,$D45,$G$4,"fill=true")</f>
        <v>3.2789999999999999</v>
      </c>
      <c r="G45" s="86">
        <f ca="1">_xll.IMDP($B45,$C45,"전일대비",$G$4,"fill=true")</f>
        <v>5.7000000000000002E-2</v>
      </c>
      <c r="H45" s="86">
        <f ca="1">($F45-_xll.IMDP($B45,$C45,"대표수익률",H$41,"FILL=TRUE"))/_xll.IMDP($B45,$C45,"대표수익률",H$41,"FILL=TRUE")</f>
        <v>-0.12091152815013406</v>
      </c>
      <c r="I45" s="86">
        <f ca="1">($F45-_xll.IMDP($B45,$C45,"대표수익률",I$41,"FILL=TRUE"))/_xll.IMDP($B45,$C45,"대표수익률",I$41,"FILL=TRUE")</f>
        <v>-0.22701555869872703</v>
      </c>
      <c r="J45" s="103">
        <f ca="1">($F45-_xll.IMDP($B45,$C45,"대표수익률",J$41,"FILL=TRUE"))/_xll.IMDP($B45,$C45,"대표수익률",J$41,"FILL=TRUE")</f>
        <v>-0.12091152815013406</v>
      </c>
      <c r="AG45" s="185">
        <v>44915</v>
      </c>
      <c r="AH45" s="83">
        <v>4.3090000000000002</v>
      </c>
      <c r="AI45" s="83">
        <v>4.7530000000000001</v>
      </c>
      <c r="AJ45" s="83">
        <v>44.406999999999996</v>
      </c>
    </row>
    <row r="46" spans="2:36" x14ac:dyDescent="0.25">
      <c r="B46" s="113" t="s">
        <v>56</v>
      </c>
      <c r="C46" s="114" t="s">
        <v>62</v>
      </c>
      <c r="D46" s="114" t="s">
        <v>194</v>
      </c>
      <c r="E46" s="92" t="s">
        <v>63</v>
      </c>
      <c r="F46" s="86">
        <f ca="1">_xll.IMDP($B46,$C46,$D46,$G$4,"fill=true")</f>
        <v>4.6856</v>
      </c>
      <c r="G46" s="86">
        <f ca="1">_xll.IMDP($B46,$C46,"전일대비",$G$4,"fill=true")</f>
        <v>1.6500000000000001E-2</v>
      </c>
      <c r="H46" s="86">
        <f ca="1">($F46-_xll.IMDP($B46,$C46,"종가",H$41,"FILL=TRUE"))/_xll.IMDP($B46,$C46,"종가",H$41,"FILL=TRUE")</f>
        <v>6.018644221196489E-2</v>
      </c>
      <c r="I46" s="86">
        <f ca="1">($F46-_xll.IMDP($B46,$C46,"종가",I$41,"FILL=TRUE"))/_xll.IMDP($B46,$C46,"종가",I$41,"FILL=TRUE")</f>
        <v>0.15012272950417285</v>
      </c>
      <c r="J46" s="103">
        <f ca="1">($F46-_xll.IMDP($B46,$C46,"종가",J$41,"FILL=TRUE"))/_xll.IMDP($B46,$C46,"종가",J$41,"FILL=TRUE")</f>
        <v>6.018644221196489E-2</v>
      </c>
      <c r="AG46" s="185">
        <v>44914</v>
      </c>
      <c r="AH46" s="83">
        <v>4.2670000000000003</v>
      </c>
      <c r="AI46" s="83">
        <v>4.7380000000000004</v>
      </c>
      <c r="AJ46" s="83">
        <v>47.168999999999997</v>
      </c>
    </row>
    <row r="47" spans="2:36" x14ac:dyDescent="0.25">
      <c r="B47" s="113" t="s">
        <v>56</v>
      </c>
      <c r="C47" s="114" t="s">
        <v>64</v>
      </c>
      <c r="D47" s="114" t="s">
        <v>195</v>
      </c>
      <c r="E47" s="92" t="s">
        <v>65</v>
      </c>
      <c r="F47" s="86">
        <f ca="1">_xll.IMDP($B47,$C47,$D47,$G$4,"fill=true")</f>
        <v>4.82186</v>
      </c>
      <c r="G47" s="86">
        <f ca="1">_xll.IMDP($B47,$C47,"전일대비",$G$4,"fill=true")</f>
        <v>4.15E-3</v>
      </c>
      <c r="H47" s="86">
        <f ca="1">($F47-_xll.IMDP($B47,$C47,"금리",H$41,"FILL=TRUE"))/_xll.IMDP($B47,$C47,"금리",H$41,"FILL=TRUE")</f>
        <v>1.144675486492326E-2</v>
      </c>
      <c r="I47" s="86">
        <f ca="1">($F47-_xll.IMDP($B47,$C47,"금리",I$41,"FILL=TRUE"))/_xll.IMDP($B47,$C47,"금리",I$41,"FILL=TRUE")</f>
        <v>8.1064235733551052E-2</v>
      </c>
      <c r="J47" s="103">
        <f ca="1">($F47-_xll.IMDP($B47,$C47,"금리",J$41,"FILL=TRUE"))/_xll.IMDP($B47,$C47,"금리",J$41,"FILL=TRUE")</f>
        <v>1.144675486492326E-2</v>
      </c>
      <c r="AG47" s="185">
        <v>44913</v>
      </c>
      <c r="AH47" s="83">
        <v>4.3010000000000002</v>
      </c>
      <c r="AI47" s="83">
        <v>4.7460000000000004</v>
      </c>
      <c r="AJ47" s="83">
        <v>44.506</v>
      </c>
    </row>
    <row r="48" spans="2:36" x14ac:dyDescent="0.25">
      <c r="B48" s="113" t="s">
        <v>34</v>
      </c>
      <c r="C48" s="114" t="s">
        <v>66</v>
      </c>
      <c r="D48" s="114" t="s">
        <v>194</v>
      </c>
      <c r="E48" s="92" t="s">
        <v>67</v>
      </c>
      <c r="F48" s="86">
        <f ca="1">_xll.IMDP($B48,$C48,$D48,$G$4,"fill=true")</f>
        <v>13.625999999999999</v>
      </c>
      <c r="G48" s="86">
        <f ca="1">_xll.IMDP($B48,$C48,"전일대비",$G$4,"fill=true")</f>
        <v>-1.2350000000000001</v>
      </c>
      <c r="H48" s="86">
        <f ca="1">($F48-_xll.IMDP($B48,$C48,"종가",H$41,"FILL=TRUE"))/_xll.IMDP($B48,$C48,"종가",H$41,"FILL=TRUE")</f>
        <v>-0.60809916879979298</v>
      </c>
      <c r="I48" s="86">
        <f ca="1">($F48-_xll.IMDP($B48,$C48,"종가",I$41,"FILL=TRUE"))/_xll.IMDP($B48,$C48,"종가",I$41,"FILL=TRUE")</f>
        <v>-0.64725983069714466</v>
      </c>
      <c r="J48" s="103">
        <f ca="1">($F48-_xll.IMDP($B48,$C48,"종가",J$41,"FILL=TRUE"))/_xll.IMDP($B48,$C48,"종가",J$41,"FILL=TRUE")</f>
        <v>-0.60809916879979298</v>
      </c>
      <c r="AG48" s="185">
        <v>44912</v>
      </c>
      <c r="AH48" s="83">
        <v>4.3010000000000002</v>
      </c>
      <c r="AI48" s="83">
        <v>4.7460000000000004</v>
      </c>
      <c r="AJ48" s="83">
        <v>44.506</v>
      </c>
    </row>
    <row r="49" spans="2:36" x14ac:dyDescent="0.25">
      <c r="B49" s="113" t="s">
        <v>56</v>
      </c>
      <c r="C49" s="114" t="s">
        <v>68</v>
      </c>
      <c r="D49" s="114" t="s">
        <v>194</v>
      </c>
      <c r="E49" s="92" t="s">
        <v>69</v>
      </c>
      <c r="F49" s="86">
        <f ca="1">_xll.IMDP($B49,$C49,$D49,$G$4,"fill=true")</f>
        <v>4.7244999999999999</v>
      </c>
      <c r="G49" s="86">
        <f ca="1">_xll.IMDP($B49,$C49,"전일대비",$G$4,"fill=true")</f>
        <v>-2.2700000000000001E-2</v>
      </c>
      <c r="H49" s="86">
        <f ca="1">($F49-_xll.IMDP($B49,$C49,"종가",H$41,"FILL=TRUE"))/_xll.IMDP($B49,$C49,"종가",H$41,"FILL=TRUE")</f>
        <v>-1.669343250781895E-3</v>
      </c>
      <c r="I49" s="86">
        <f ca="1">($F49-_xll.IMDP($B49,$C49,"종가",I$41,"FILL=TRUE"))/_xll.IMDP($B49,$C49,"종가",I$41,"FILL=TRUE")</f>
        <v>6.9266837169649938E-3</v>
      </c>
      <c r="J49" s="103">
        <f ca="1">($F49-_xll.IMDP($B49,$C49,"종가",J$41,"FILL=TRUE"))/_xll.IMDP($B49,$C49,"종가",J$41,"FILL=TRUE")</f>
        <v>-1.669343250781895E-3</v>
      </c>
      <c r="AG49" s="185">
        <v>44911</v>
      </c>
      <c r="AH49" s="83">
        <v>4.3010000000000002</v>
      </c>
      <c r="AI49" s="83">
        <v>4.7460000000000004</v>
      </c>
      <c r="AJ49" s="83">
        <v>44.506</v>
      </c>
    </row>
    <row r="50" spans="2:36" x14ac:dyDescent="0.25">
      <c r="B50" s="113" t="s">
        <v>56</v>
      </c>
      <c r="C50" s="114" t="s">
        <v>70</v>
      </c>
      <c r="D50" s="114" t="s">
        <v>194</v>
      </c>
      <c r="E50" s="92" t="s">
        <v>71</v>
      </c>
      <c r="F50" s="86">
        <f ca="1">_xll.IMDP($B50,$C50,$D50,$G$4,"fill=true")</f>
        <v>3.8494999999999999</v>
      </c>
      <c r="G50" s="86">
        <f ca="1">_xll.IMDP($B50,$C50,"전일대비",$G$4,"fill=true")</f>
        <v>-3.6499999999999998E-2</v>
      </c>
      <c r="H50" s="86">
        <f ca="1">($F50-_xll.IMDP($B50,$C50,"종가",H$41,"FILL=TRUE"))/_xll.IMDP($B50,$C50,"종가",H$41,"FILL=TRUE")</f>
        <v>-9.1777751563053026E-2</v>
      </c>
      <c r="I50" s="86">
        <f ca="1">($F50-_xll.IMDP($B50,$C50,"종가",I$41,"FILL=TRUE"))/_xll.IMDP($B50,$C50,"종가",I$41,"FILL=TRUE")</f>
        <v>-0.13587590913172304</v>
      </c>
      <c r="J50" s="103">
        <f ca="1">($F50-_xll.IMDP($B50,$C50,"종가",J$41,"FILL=TRUE"))/_xll.IMDP($B50,$C50,"종가",J$41,"FILL=TRUE")</f>
        <v>-9.1777751563053026E-2</v>
      </c>
      <c r="AG50" s="185">
        <v>44910</v>
      </c>
      <c r="AH50" s="83">
        <v>4.3230000000000004</v>
      </c>
      <c r="AI50" s="83">
        <v>4.7380000000000004</v>
      </c>
      <c r="AJ50" s="83">
        <v>41.460999999999999</v>
      </c>
    </row>
    <row r="51" spans="2:36" x14ac:dyDescent="0.25">
      <c r="B51" s="113" t="s">
        <v>56</v>
      </c>
      <c r="C51" s="114" t="s">
        <v>72</v>
      </c>
      <c r="D51" s="114" t="s">
        <v>194</v>
      </c>
      <c r="E51" s="92" t="s">
        <v>73</v>
      </c>
      <c r="F51" s="86">
        <f ca="1">_xll.IMDP($B51,$C51,$D51,$G$4,"fill=true")</f>
        <v>7.1999999999999998E-3</v>
      </c>
      <c r="G51" s="86">
        <f ca="1">_xll.IMDP($B51,$C51,"전일대비",$G$4,"fill=true")</f>
        <v>7.4999999999999997E-3</v>
      </c>
      <c r="H51" s="86">
        <f ca="1">($F51-_xll.IMDP($B51,$C51,"종가",H$41,"FILL=TRUE"))/_xll.IMDP($B51,$C51,"종가",H$41,"FILL=TRUE")</f>
        <v>-0.87858347386172009</v>
      </c>
      <c r="I51" s="86">
        <f ca="1">($F51-_xll.IMDP($B51,$C51,"종가",I$41,"FILL=TRUE"))/_xll.IMDP($B51,$C51,"종가",I$41,"FILL=TRUE")</f>
        <v>-1.2045454545454546</v>
      </c>
      <c r="J51" s="103">
        <f ca="1">($F51-_xll.IMDP($B51,$C51,"종가",J$41,"FILL=TRUE"))/_xll.IMDP($B51,$C51,"종가",J$41,"FILL=TRUE")</f>
        <v>-0.87858347386172009</v>
      </c>
      <c r="AG51" s="185">
        <v>44909</v>
      </c>
      <c r="AH51" s="83">
        <v>4.3339999999999996</v>
      </c>
      <c r="AI51" s="83">
        <v>4.7359999999999998</v>
      </c>
      <c r="AJ51" s="83">
        <v>40.228999999999999</v>
      </c>
    </row>
    <row r="52" spans="2:36" x14ac:dyDescent="0.25">
      <c r="B52" s="113" t="s">
        <v>56</v>
      </c>
      <c r="C52" s="114" t="s">
        <v>74</v>
      </c>
      <c r="D52" s="114" t="s">
        <v>194</v>
      </c>
      <c r="E52" s="92" t="s">
        <v>75</v>
      </c>
      <c r="F52" s="86">
        <f ca="1">_xll.IMDP($B52,$C52,$D52,$G$4,"fill=true")</f>
        <v>3.1558999999999999</v>
      </c>
      <c r="G52" s="86">
        <f ca="1">_xll.IMDP($B52,$C52,"전일대비",$G$4,"fill=true")</f>
        <v>-0.11260000000000001</v>
      </c>
      <c r="H52" s="86">
        <f ca="1">($F52-_xll.IMDP($B52,$C52,"종가",H$41,"FILL=TRUE"))/_xll.IMDP($B52,$C52,"종가",H$41,"FILL=TRUE")</f>
        <v>-9.3601010971336635E-2</v>
      </c>
      <c r="I52" s="86">
        <f ca="1">($F52-_xll.IMDP($B52,$C52,"종가",I$41,"FILL=TRUE"))/_xll.IMDP($B52,$C52,"종가",I$41,"FILL=TRUE")</f>
        <v>-5.6842294013926639E-2</v>
      </c>
      <c r="J52" s="103">
        <f ca="1">($F52-_xll.IMDP($B52,$C52,"종가",J$41,"FILL=TRUE"))/_xll.IMDP($B52,$C52,"종가",J$41,"FILL=TRUE")</f>
        <v>-9.3601010971336635E-2</v>
      </c>
      <c r="AG52" s="185">
        <v>44908</v>
      </c>
      <c r="AH52" s="83">
        <v>4.3319999999999999</v>
      </c>
      <c r="AI52" s="83">
        <v>4.7690000000000001</v>
      </c>
      <c r="AJ52" s="83">
        <v>43.71</v>
      </c>
    </row>
    <row r="53" spans="2:36" x14ac:dyDescent="0.25">
      <c r="B53" s="113" t="s">
        <v>56</v>
      </c>
      <c r="C53" s="114" t="s">
        <v>76</v>
      </c>
      <c r="D53" s="114" t="s">
        <v>194</v>
      </c>
      <c r="E53" s="92" t="s">
        <v>77</v>
      </c>
      <c r="F53" s="86">
        <f ca="1">_xll.IMDP($B53,$C53,$D53,$G$4,"fill=true")</f>
        <v>2.2724000000000002</v>
      </c>
      <c r="G53" s="86">
        <f ca="1">_xll.IMDP($B53,$C53,"전일대비",$G$4,"fill=true")</f>
        <v>-5.1900000000000002E-2</v>
      </c>
      <c r="H53" s="86">
        <f ca="1">($F53-_xll.IMDP($B53,$C53,"종가",H$41,"FILL=TRUE"))/_xll.IMDP($B53,$C53,"종가",H$41,"FILL=TRUE")</f>
        <v>-0.10973555337904016</v>
      </c>
      <c r="I53" s="86">
        <f ca="1">($F53-_xll.IMDP($B53,$C53,"종가",I$41,"FILL=TRUE"))/_xll.IMDP($B53,$C53,"종가",I$41,"FILL=TRUE")</f>
        <v>0.20449485847556459</v>
      </c>
      <c r="J53" s="103">
        <f ca="1">($F53-_xll.IMDP($B53,$C53,"종가",J$41,"FILL=TRUE"))/_xll.IMDP($B53,$C53,"종가",J$41,"FILL=TRUE")</f>
        <v>-0.10973555337904016</v>
      </c>
      <c r="AG53" s="185">
        <v>44907</v>
      </c>
      <c r="AH53" s="83">
        <v>4.2850000000000001</v>
      </c>
      <c r="AI53" s="83">
        <v>4.7530000000000001</v>
      </c>
      <c r="AJ53" s="83">
        <v>46.790999999999997</v>
      </c>
    </row>
    <row r="54" spans="2:36" x14ac:dyDescent="0.25">
      <c r="B54" s="113" t="s">
        <v>56</v>
      </c>
      <c r="C54" s="114" t="s">
        <v>78</v>
      </c>
      <c r="D54" s="114" t="s">
        <v>194</v>
      </c>
      <c r="E54" s="92" t="s">
        <v>79</v>
      </c>
      <c r="F54" s="86">
        <f ca="1">_xll.IMDP($B54,$C54,$D54,$G$4,"fill=true")</f>
        <v>3.5783</v>
      </c>
      <c r="G54" s="86">
        <f ca="1">_xll.IMDP($B54,$C54,"전일대비",$G$4,"fill=true")</f>
        <v>-4.1700000000000001E-2</v>
      </c>
      <c r="H54" s="86">
        <f ca="1">($F54-_xll.IMDP($B54,$C54,"종가",H$41,"FILL=TRUE"))/_xll.IMDP($B54,$C54,"종가",H$41,"FILL=TRUE")</f>
        <v>-0.10667565408428206</v>
      </c>
      <c r="I54" s="86">
        <f ca="1">($F54-_xll.IMDP($B54,$C54,"종가",I$41,"FILL=TRUE"))/_xll.IMDP($B54,$C54,"종가",I$41,"FILL=TRUE")</f>
        <v>-0.15406619385342799</v>
      </c>
      <c r="J54" s="103">
        <f ca="1">($F54-_xll.IMDP($B54,$C54,"종가",J$41,"FILL=TRUE"))/_xll.IMDP($B54,$C54,"종가",J$41,"FILL=TRUE")</f>
        <v>-0.10667565408428206</v>
      </c>
      <c r="AG54" s="185">
        <v>44906</v>
      </c>
      <c r="AH54" s="83">
        <v>4.3029999999999999</v>
      </c>
      <c r="AI54" s="83">
        <v>4.7329999999999997</v>
      </c>
      <c r="AJ54" s="83">
        <v>42.973999999999997</v>
      </c>
    </row>
    <row r="55" spans="2:36" x14ac:dyDescent="0.25">
      <c r="B55" s="113" t="s">
        <v>56</v>
      </c>
      <c r="C55" s="114" t="s">
        <v>16</v>
      </c>
      <c r="D55" s="114" t="s">
        <v>194</v>
      </c>
      <c r="E55" s="94" t="s">
        <v>80</v>
      </c>
      <c r="F55" s="99">
        <f ca="1">_xll.IMDP($B55,$C55,$D55,$G$4,"fill=true")</f>
        <v>3.4601000000000002</v>
      </c>
      <c r="G55" s="99">
        <f ca="1">_xll.IMDP($B55,$C55,"전일대비",$G$4,"fill=true")</f>
        <v>-6.08E-2</v>
      </c>
      <c r="H55" s="99">
        <f ca="1">($F55-_xll.IMDP($B55,$C55,"종가",H$41,"FILL=TRUE"))/_xll.IMDP($B55,$C55,"종가",H$41,"FILL=TRUE")</f>
        <v>-0.10810671478283283</v>
      </c>
      <c r="I55" s="99">
        <f ca="1">($F55-_xll.IMDP($B55,$C55,"종가",I$41,"FILL=TRUE"))/_xll.IMDP($B55,$C55,"종가",I$41,"FILL=TRUE")</f>
        <v>-0.14649728663048842</v>
      </c>
      <c r="J55" s="100">
        <f ca="1">($F55-_xll.IMDP($B55,$C55,"종가",J$41,"FILL=TRUE"))/_xll.IMDP($B55,$C55,"종가",J$41,"FILL=TRUE")</f>
        <v>-0.10810671478283283</v>
      </c>
      <c r="AG55" s="185">
        <v>44905</v>
      </c>
      <c r="AH55" s="83">
        <v>4.3029999999999999</v>
      </c>
      <c r="AI55" s="83">
        <v>4.7329999999999997</v>
      </c>
      <c r="AJ55" s="83">
        <v>42.973999999999997</v>
      </c>
    </row>
    <row r="56" spans="2:36" x14ac:dyDescent="0.25">
      <c r="AG56" s="185">
        <v>44904</v>
      </c>
      <c r="AH56" s="83">
        <v>4.3029999999999999</v>
      </c>
      <c r="AI56" s="83">
        <v>4.7329999999999997</v>
      </c>
      <c r="AJ56" s="83">
        <v>42.973999999999997</v>
      </c>
    </row>
    <row r="57" spans="2:36" x14ac:dyDescent="0.25">
      <c r="E57" s="84" t="s">
        <v>153</v>
      </c>
      <c r="AG57" s="185">
        <v>44903</v>
      </c>
      <c r="AH57" s="83">
        <v>4.274</v>
      </c>
      <c r="AI57" s="83">
        <v>4.7350000000000003</v>
      </c>
      <c r="AJ57" s="83">
        <v>46.134</v>
      </c>
    </row>
    <row r="58" spans="2:36" ht="8.25" customHeight="1" x14ac:dyDescent="0.25">
      <c r="AG58" s="185">
        <v>44902</v>
      </c>
      <c r="AH58" s="83">
        <v>4.3049999999999997</v>
      </c>
      <c r="AI58" s="83">
        <v>4.7229999999999999</v>
      </c>
      <c r="AJ58" s="83">
        <v>41.802999999999997</v>
      </c>
    </row>
    <row r="59" spans="2:36" s="115" customFormat="1" hidden="1" x14ac:dyDescent="0.25">
      <c r="B59" s="165"/>
      <c r="C59" s="165"/>
      <c r="D59" s="165"/>
      <c r="H59" s="121">
        <f ca="1">EOMONTH($G$4,-1)</f>
        <v>44926</v>
      </c>
      <c r="I59" s="121">
        <f ca="1">EOMONTH($G$4,-3)</f>
        <v>44865</v>
      </c>
      <c r="J59" s="121">
        <f ca="1">DATE(YEAR($G$4)-1,12,31)</f>
        <v>44926</v>
      </c>
      <c r="AG59" s="121">
        <v>44901</v>
      </c>
      <c r="AH59" s="115">
        <v>4.3140000000000001</v>
      </c>
      <c r="AI59" s="115">
        <v>4.7350000000000003</v>
      </c>
      <c r="AJ59" s="115">
        <v>42.087000000000003</v>
      </c>
    </row>
    <row r="60" spans="2:36" x14ac:dyDescent="0.25">
      <c r="E60" s="104" t="s">
        <v>81</v>
      </c>
      <c r="F60" s="104" t="s">
        <v>175</v>
      </c>
      <c r="G60" s="104" t="s">
        <v>26</v>
      </c>
      <c r="H60" s="104" t="s">
        <v>28</v>
      </c>
      <c r="I60" s="104" t="s">
        <v>29</v>
      </c>
      <c r="J60" s="104" t="s">
        <v>31</v>
      </c>
      <c r="AG60" s="185">
        <v>44900</v>
      </c>
      <c r="AH60" s="83">
        <v>4.298</v>
      </c>
      <c r="AI60" s="83">
        <v>4.7229999999999999</v>
      </c>
      <c r="AJ60" s="83">
        <v>42.573</v>
      </c>
    </row>
    <row r="61" spans="2:36" x14ac:dyDescent="0.25">
      <c r="B61" s="111" t="s">
        <v>92</v>
      </c>
      <c r="C61" s="114" t="s">
        <v>18</v>
      </c>
      <c r="D61" s="114" t="s">
        <v>196</v>
      </c>
      <c r="E61" s="89" t="s">
        <v>82</v>
      </c>
      <c r="F61" s="72">
        <f ca="1">_xll.IMDP($B61,$C61,$D61,$G$4,"fill=true")</f>
        <v>1235.5</v>
      </c>
      <c r="G61" s="101">
        <f ca="1">_xll.IMDP($B61,$C61,"전일대비",$G$4,"fill=true")</f>
        <v>3.4</v>
      </c>
      <c r="H61" s="101">
        <f ca="1">($F61-_xll.IMDP($B61,$C61,"현재가",H$59,"FILL=TRUE"))/_xll.IMDP($B61,$C61,"현재가",H$59,"FILL=TRUE")</f>
        <v>-2.2933965994464216E-2</v>
      </c>
      <c r="I61" s="90">
        <f ca="1">($F61-_xll.IMDP($B61,$C61,"현재가",I$59,"FILL=TRUE"))/_xll.IMDP($B61,$C61,"현재가",I$59,"FILL=TRUE")</f>
        <v>-0.13255634346696621</v>
      </c>
      <c r="J61" s="91">
        <f ca="1">($F61-_xll.IMDP($B61,$C61,"현재가",J$59,"FILL=TRUE"))/_xll.IMDP($B61,$C61,"현재가",J$59,"FILL=TRUE")</f>
        <v>-2.2933965994464216E-2</v>
      </c>
      <c r="AG61" s="185">
        <v>44899</v>
      </c>
      <c r="AH61" s="83">
        <v>4.306</v>
      </c>
      <c r="AI61" s="83">
        <v>4.7329999999999997</v>
      </c>
      <c r="AJ61" s="83">
        <v>42.656999999999996</v>
      </c>
    </row>
    <row r="62" spans="2:36" x14ac:dyDescent="0.25">
      <c r="B62" s="111" t="s">
        <v>92</v>
      </c>
      <c r="C62" s="114" t="s">
        <v>8</v>
      </c>
      <c r="D62" s="114" t="s">
        <v>197</v>
      </c>
      <c r="E62" s="92" t="s">
        <v>83</v>
      </c>
      <c r="F62" s="73">
        <f ca="1">_xll.IMDP($B62,$C62,$D62,$G$4,"fill=true")</f>
        <v>130.16999999999999</v>
      </c>
      <c r="G62" s="86">
        <f ca="1">_xll.IMDP($B62,$C62,"뉴욕전일대비",$G$4,"fill=true")</f>
        <v>-0.53</v>
      </c>
      <c r="H62" s="85">
        <f ca="1">($F62-_xll.IMDP($B62,$C62,"뉴욕종가",H$59,"FILL=TRUE"))/_xll.IMDP($B62,$C62,"뉴욕종가",H$59,"FILL=TRUE")</f>
        <v>-8.4023371142581387E-3</v>
      </c>
      <c r="I62" s="85">
        <f ca="1">($F62-_xll.IMDP($B62,$C62,"뉴욕종가",I$59,"FILL=TRUE"))/_xll.IMDP($B62,$C62,"뉴욕종가",I$59,"FILL=TRUE")</f>
        <v>-0.12443078247650836</v>
      </c>
      <c r="J62" s="93">
        <f ca="1">($F62-_xll.IMDP($B62,$C62,"뉴욕종가",J$59,"FILL=TRUE"))/_xll.IMDP($B62,$C62,"뉴욕종가",J$59,"FILL=TRUE")</f>
        <v>-8.4023371142581387E-3</v>
      </c>
      <c r="AG62" s="185">
        <v>44898</v>
      </c>
      <c r="AH62" s="83">
        <v>4.306</v>
      </c>
      <c r="AI62" s="83">
        <v>4.7329999999999997</v>
      </c>
      <c r="AJ62" s="83">
        <v>42.656999999999996</v>
      </c>
    </row>
    <row r="63" spans="2:36" x14ac:dyDescent="0.25">
      <c r="B63" s="111" t="s">
        <v>92</v>
      </c>
      <c r="C63" s="114" t="s">
        <v>15</v>
      </c>
      <c r="D63" s="114" t="s">
        <v>197</v>
      </c>
      <c r="E63" s="92" t="s">
        <v>84</v>
      </c>
      <c r="F63" s="73">
        <f ca="1">_xll.IMDP($B63,$C63,$D63,$G$4,"fill=true")</f>
        <v>1.0882000000000001</v>
      </c>
      <c r="G63" s="86">
        <v>1E-3</v>
      </c>
      <c r="H63" s="85">
        <f ca="1">($F63-_xll.IMDP($B63,$C63,"뉴욕종가",H$59,"FILL=TRUE"))/_xll.IMDP($B63,$C63,"뉴욕종가",H$59,"FILL=TRUE")</f>
        <v>1.6344447557672618E-2</v>
      </c>
      <c r="I63" s="85">
        <f ca="1">($F63-_xll.IMDP($B63,$C63,"뉴욕종가",I$59,"FILL=TRUE"))/_xll.IMDP($B63,$C63,"뉴욕종가",I$59,"FILL=TRUE")</f>
        <v>0.10094898929604833</v>
      </c>
      <c r="J63" s="93">
        <f ca="1">($F63-_xll.IMDP($B63,$C63,"뉴욕종가",J$59,"FILL=TRUE"))/_xll.IMDP($B63,$C63,"뉴욕종가",J$59,"FILL=TRUE")</f>
        <v>1.6344447557672618E-2</v>
      </c>
      <c r="AG63" s="185">
        <v>44897</v>
      </c>
      <c r="AH63" s="83">
        <v>4.306</v>
      </c>
      <c r="AI63" s="83">
        <v>4.7329999999999997</v>
      </c>
      <c r="AJ63" s="83">
        <v>42.656999999999996</v>
      </c>
    </row>
    <row r="64" spans="2:36" x14ac:dyDescent="0.25">
      <c r="B64" s="113" t="s">
        <v>92</v>
      </c>
      <c r="C64" s="114" t="s">
        <v>13</v>
      </c>
      <c r="D64" s="114" t="s">
        <v>197</v>
      </c>
      <c r="E64" s="92" t="s">
        <v>85</v>
      </c>
      <c r="F64" s="73">
        <f ca="1">_xll.IMDP($B64,$C64,$D64,$G$4,"fill=true")</f>
        <v>7.8305999999999996</v>
      </c>
      <c r="G64" s="86">
        <v>5.0000000000000001E-4</v>
      </c>
      <c r="H64" s="85">
        <f ca="1">($F64-_xll.IMDP($B64,$C64,"뉴욕종가",H$59,"FILL=TRUE"))/_xll.IMDP($B64,$C64,"뉴욕종가",H$59,"FILL=TRUE")</f>
        <v>3.1899765555939508E-3</v>
      </c>
      <c r="I64" s="85">
        <f ca="1">($F64-_xll.IMDP($B64,$C64,"뉴욕종가",I$59,"FILL=TRUE"))/_xll.IMDP($B64,$C64,"뉴욕종가",I$59,"FILL=TRUE")</f>
        <v>-2.4459221891004294E-3</v>
      </c>
      <c r="J64" s="93">
        <f ca="1">($F64-_xll.IMDP($B64,$C64,"뉴욕종가",J$59,"FILL=TRUE"))/_xll.IMDP($B64,$C64,"뉴욕종가",J$59,"FILL=TRUE")</f>
        <v>3.1899765555939508E-3</v>
      </c>
      <c r="AG64" s="185">
        <v>44896</v>
      </c>
      <c r="AH64" s="83">
        <v>4.3280000000000003</v>
      </c>
      <c r="AI64" s="83">
        <v>4.7649999999999997</v>
      </c>
      <c r="AJ64" s="83">
        <v>43.67</v>
      </c>
    </row>
    <row r="65" spans="2:36" x14ac:dyDescent="0.25">
      <c r="B65" s="113" t="s">
        <v>92</v>
      </c>
      <c r="C65" s="114" t="s">
        <v>12</v>
      </c>
      <c r="D65" s="114" t="s">
        <v>197</v>
      </c>
      <c r="E65" s="92" t="s">
        <v>86</v>
      </c>
      <c r="F65" s="73">
        <f ca="1">_xll.IMDP($B65,$C65,$D65,$G$4,"fill=true")</f>
        <v>54.6</v>
      </c>
      <c r="G65" s="86">
        <v>-0.28000000000000003</v>
      </c>
      <c r="H65" s="85">
        <f ca="1">($F65-_xll.IMDP($B65,$C65,"뉴욕종가",H$59,"FILL=TRUE"))/_xll.IMDP($B65,$C65,"뉴욕종가",H$59,"FILL=TRUE")</f>
        <v>-1.9748653500897689E-2</v>
      </c>
      <c r="I65" s="85">
        <f ca="1">($F65-_xll.IMDP($B65,$C65,"뉴욕종가",I$59,"FILL=TRUE"))/_xll.IMDP($B65,$C65,"뉴욕종가",I$59,"FILL=TRUE")</f>
        <v>-6.0402684563758358E-2</v>
      </c>
      <c r="J65" s="93">
        <f ca="1">($F65-_xll.IMDP($B65,$C65,"뉴욕종가",J$59,"FILL=TRUE"))/_xll.IMDP($B65,$C65,"뉴욕종가",J$59,"FILL=TRUE")</f>
        <v>-1.9748653500897689E-2</v>
      </c>
      <c r="AG65" s="185">
        <v>44895</v>
      </c>
      <c r="AH65" s="83">
        <v>4.3680000000000003</v>
      </c>
      <c r="AI65" s="83">
        <v>4.7789999999999999</v>
      </c>
      <c r="AJ65" s="83">
        <v>41.076999999999998</v>
      </c>
    </row>
    <row r="66" spans="2:36" x14ac:dyDescent="0.25">
      <c r="B66" s="113" t="s">
        <v>92</v>
      </c>
      <c r="C66" s="114" t="s">
        <v>10</v>
      </c>
      <c r="D66" s="114" t="s">
        <v>197</v>
      </c>
      <c r="E66" s="92" t="s">
        <v>87</v>
      </c>
      <c r="F66" s="73">
        <f ca="1">_xll.IMDP($B66,$C66,$D66,$G$4,"fill=true")</f>
        <v>1.32</v>
      </c>
      <c r="G66" s="86">
        <v>-8.0000000000000004E-4</v>
      </c>
      <c r="H66" s="85">
        <f ca="1">($F66-_xll.IMDP($B66,$C66,"뉴욕종가",H$59,"FILL=TRUE"))/_xll.IMDP($B66,$C66,"뉴욕종가",H$59,"FILL=TRUE")</f>
        <v>-1.4484097357025431E-2</v>
      </c>
      <c r="I66" s="85">
        <f ca="1">($F66-_xll.IMDP($B66,$C66,"뉴욕종가",I$59,"FILL=TRUE"))/_xll.IMDP($B66,$C66,"뉴욕종가",I$59,"FILL=TRUE")</f>
        <v>-6.7862439093284266E-2</v>
      </c>
      <c r="J66" s="93">
        <f ca="1">($F66-_xll.IMDP($B66,$C66,"뉴욕종가",J$59,"FILL=TRUE"))/_xll.IMDP($B66,$C66,"뉴욕종가",J$59,"FILL=TRUE")</f>
        <v>-1.4484097357025431E-2</v>
      </c>
      <c r="AG66" s="185">
        <v>44894</v>
      </c>
      <c r="AH66" s="83">
        <v>4.3419999999999996</v>
      </c>
      <c r="AI66" s="83">
        <v>4.7610000000000001</v>
      </c>
      <c r="AJ66" s="83">
        <v>41.826999999999998</v>
      </c>
    </row>
    <row r="67" spans="2:36" x14ac:dyDescent="0.25">
      <c r="B67" s="113" t="s">
        <v>92</v>
      </c>
      <c r="C67" s="114" t="s">
        <v>11</v>
      </c>
      <c r="D67" s="114" t="s">
        <v>197</v>
      </c>
      <c r="E67" s="92" t="s">
        <v>88</v>
      </c>
      <c r="F67" s="73">
        <f ca="1">_xll.IMDP($B67,$C67,$D67,$G$4,"fill=true")</f>
        <v>4.2854999999999999</v>
      </c>
      <c r="G67" s="86">
        <v>0</v>
      </c>
      <c r="H67" s="85">
        <f ca="1">($F67-_xll.IMDP($B67,$C67,"뉴욕종가",H$59,"FILL=TRUE"))/_xll.IMDP($B67,$C67,"뉴욕종가",H$59,"FILL=TRUE")</f>
        <v>-2.6575809199318567E-2</v>
      </c>
      <c r="I67" s="85">
        <f ca="1">($F67-_xll.IMDP($B67,$C67,"뉴욕종가",I$59,"FILL=TRUE"))/_xll.IMDP($B67,$C67,"뉴욕종가",I$59,"FILL=TRUE")</f>
        <v>-9.3687215818970174E-2</v>
      </c>
      <c r="J67" s="93">
        <f ca="1">($F67-_xll.IMDP($B67,$C67,"뉴욕종가",J$59,"FILL=TRUE"))/_xll.IMDP($B67,$C67,"뉴욕종가",J$59,"FILL=TRUE")</f>
        <v>-2.6575809199318567E-2</v>
      </c>
      <c r="AG67" s="185">
        <v>44893</v>
      </c>
      <c r="AH67" s="83">
        <v>4.3040000000000003</v>
      </c>
      <c r="AI67" s="83">
        <v>4.7350000000000003</v>
      </c>
      <c r="AJ67" s="83">
        <v>43.076000000000001</v>
      </c>
    </row>
    <row r="68" spans="2:36" x14ac:dyDescent="0.25">
      <c r="B68" s="113" t="s">
        <v>92</v>
      </c>
      <c r="C68" s="114" t="s">
        <v>9</v>
      </c>
      <c r="D68" s="114" t="s">
        <v>197</v>
      </c>
      <c r="E68" s="92" t="s">
        <v>89</v>
      </c>
      <c r="F68" s="73">
        <f ca="1">_xll.IMDP($B68,$C68,$D68,$G$4,"fill=true")</f>
        <v>30.315999999999999</v>
      </c>
      <c r="G68" s="86">
        <v>7.5999999999999998E-2</v>
      </c>
      <c r="H68" s="85">
        <f ca="1">($F68-_xll.IMDP($B68,$C68,"뉴욕종가",H$59,"FILL=TRUE"))/_xll.IMDP($B68,$C68,"뉴욕종가",H$59,"FILL=TRUE")</f>
        <v>-1.4530442414589043E-2</v>
      </c>
      <c r="I68" s="85">
        <f ca="1">($F68-_xll.IMDP($B68,$C68,"뉴욕종가",I$59,"FILL=TRUE"))/_xll.IMDP($B68,$C68,"뉴욕종가",I$59,"FILL=TRUE")</f>
        <v>-6.1046241521355349E-2</v>
      </c>
      <c r="J68" s="93">
        <f ca="1">($F68-_xll.IMDP($B68,$C68,"뉴욕종가",J$59,"FILL=TRUE"))/_xll.IMDP($B68,$C68,"뉴욕종가",J$59,"FILL=TRUE")</f>
        <v>-1.4530442414589043E-2</v>
      </c>
      <c r="AG68" s="185">
        <v>44892</v>
      </c>
      <c r="AH68" s="83">
        <v>4.2919999999999998</v>
      </c>
      <c r="AI68" s="83">
        <v>4.734</v>
      </c>
      <c r="AJ68" s="83">
        <v>44.216000000000001</v>
      </c>
    </row>
    <row r="69" spans="2:36" x14ac:dyDescent="0.25">
      <c r="B69" s="113" t="s">
        <v>92</v>
      </c>
      <c r="C69" s="114" t="s">
        <v>14</v>
      </c>
      <c r="D69" s="114" t="s">
        <v>197</v>
      </c>
      <c r="E69" s="92" t="s">
        <v>90</v>
      </c>
      <c r="F69" s="73">
        <f ca="1">_xll.IMDP($B69,$C69,$D69,$G$4,"fill=true")</f>
        <v>14889</v>
      </c>
      <c r="G69" s="86">
        <v>-175</v>
      </c>
      <c r="H69" s="85">
        <f ca="1">($F69-_xll.IMDP($B69,$C69,"뉴욕종가",H$59,"FILL=TRUE"))/_xll.IMDP($B69,$C69,"뉴욕종가",H$59,"FILL=TRUE")</f>
        <v>-4.3676536707559895E-2</v>
      </c>
      <c r="I69" s="85">
        <f ca="1">($F69-_xll.IMDP($B69,$C69,"뉴욕종가",I$59,"FILL=TRUE"))/_xll.IMDP($B69,$C69,"뉴욕종가",I$59,"FILL=TRUE")</f>
        <v>-4.5576923076923077E-2</v>
      </c>
      <c r="J69" s="93">
        <f ca="1">($F69-_xll.IMDP($B69,$C69,"뉴욕종가",J$59,"FILL=TRUE"))/_xll.IMDP($B69,$C69,"뉴욕종가",J$59,"FILL=TRUE")</f>
        <v>-4.3676536707559895E-2</v>
      </c>
      <c r="AG69" s="185">
        <v>44891</v>
      </c>
      <c r="AH69" s="83">
        <v>4.2919999999999998</v>
      </c>
      <c r="AI69" s="83">
        <v>4.734</v>
      </c>
      <c r="AJ69" s="83">
        <v>44.216000000000001</v>
      </c>
    </row>
    <row r="70" spans="2:36" x14ac:dyDescent="0.25">
      <c r="B70" s="113" t="s">
        <v>92</v>
      </c>
      <c r="C70" s="114" t="s">
        <v>93</v>
      </c>
      <c r="D70" s="114" t="s">
        <v>197</v>
      </c>
      <c r="E70" s="94" t="s">
        <v>91</v>
      </c>
      <c r="F70" s="74">
        <f ca="1">_xll.IMDP($B70,$C70,$D70,$G$4,"fill=true")</f>
        <v>32.744999999999997</v>
      </c>
      <c r="G70" s="99">
        <v>-1.0999999999999999E-2</v>
      </c>
      <c r="H70" s="99">
        <f ca="1">($F70-_xll.IMDP($B70,$C70,"뉴욕종가",H$59,"FILL=TRUE"))/_xll.IMDP($B70,$C70,"뉴욕종가",H$59,"FILL=TRUE")</f>
        <v>-5.4022822475805414E-2</v>
      </c>
      <c r="I70" s="99">
        <f ca="1">($F70-_xll.IMDP($B70,$C70,"뉴욕종가",I$59,"FILL=TRUE"))/_xll.IMDP($B70,$C70,"뉴욕종가",I$59,"FILL=TRUE")</f>
        <v>-0.13942181340341656</v>
      </c>
      <c r="J70" s="100">
        <f ca="1">($F70-_xll.IMDP($B70,$C70,"뉴욕종가",J$59,"FILL=TRUE"))/_xll.IMDP($B70,$C70,"뉴욕종가",J$59,"FILL=TRUE")</f>
        <v>-5.4022822475805414E-2</v>
      </c>
      <c r="AG70" s="185">
        <v>44890</v>
      </c>
      <c r="AH70" s="83">
        <v>4.2919999999999998</v>
      </c>
      <c r="AI70" s="83">
        <v>4.734</v>
      </c>
      <c r="AJ70" s="83">
        <v>44.216000000000001</v>
      </c>
    </row>
    <row r="71" spans="2:36" x14ac:dyDescent="0.25">
      <c r="AG71" s="185">
        <v>44889</v>
      </c>
      <c r="AH71" s="83">
        <v>4.2779999999999996</v>
      </c>
      <c r="AI71" s="83">
        <v>4.7359999999999998</v>
      </c>
      <c r="AJ71" s="83">
        <v>48.869</v>
      </c>
    </row>
    <row r="72" spans="2:36" x14ac:dyDescent="0.25">
      <c r="AG72" s="185">
        <v>44888</v>
      </c>
      <c r="AH72" s="83">
        <v>4.2779999999999996</v>
      </c>
      <c r="AI72" s="83">
        <v>4.7569999999999997</v>
      </c>
      <c r="AJ72" s="83">
        <v>47.969000000000001</v>
      </c>
    </row>
    <row r="73" spans="2:36" x14ac:dyDescent="0.25">
      <c r="E73" s="84" t="s">
        <v>94</v>
      </c>
      <c r="AG73" s="185">
        <v>44887</v>
      </c>
      <c r="AH73" s="83">
        <v>4.2220000000000004</v>
      </c>
      <c r="AI73" s="83">
        <v>4.6989999999999998</v>
      </c>
      <c r="AJ73" s="83">
        <v>47.701000000000001</v>
      </c>
    </row>
    <row r="74" spans="2:36" ht="9" customHeight="1" x14ac:dyDescent="0.25">
      <c r="E74" s="84"/>
      <c r="AG74" s="185">
        <v>44886</v>
      </c>
      <c r="AH74" s="83">
        <v>4.2140000000000004</v>
      </c>
      <c r="AI74" s="83">
        <v>4.6920000000000002</v>
      </c>
      <c r="AJ74" s="83">
        <v>47.826000000000001</v>
      </c>
    </row>
    <row r="75" spans="2:36" s="115" customFormat="1" hidden="1" x14ac:dyDescent="0.25">
      <c r="B75" s="165"/>
      <c r="C75" s="165"/>
      <c r="D75" s="165"/>
      <c r="F75" s="115" t="s">
        <v>20</v>
      </c>
      <c r="G75" s="115" t="s">
        <v>22</v>
      </c>
      <c r="H75" s="117">
        <f ca="1">EOMONTH($G$4,-1)</f>
        <v>44926</v>
      </c>
      <c r="I75" s="117">
        <f ca="1">EOMONTH($G$4,-3)</f>
        <v>44865</v>
      </c>
      <c r="J75" s="117">
        <f ca="1">DATE(YEAR($G$4)-1,12,31)</f>
        <v>44926</v>
      </c>
      <c r="K75" s="109"/>
      <c r="M75" s="115" t="s">
        <v>20</v>
      </c>
      <c r="N75" s="115" t="s">
        <v>22</v>
      </c>
      <c r="O75" s="117">
        <f ca="1">EOMONTH($G$4,-1)</f>
        <v>44926</v>
      </c>
      <c r="P75" s="117">
        <f ca="1">EOMONTH($G$4,-3)</f>
        <v>44865</v>
      </c>
      <c r="Q75" s="117">
        <f ca="1">DATE(YEAR($G$4)-1,12,31)</f>
        <v>44926</v>
      </c>
      <c r="AG75" s="186">
        <v>44885</v>
      </c>
      <c r="AH75" s="115">
        <v>4.25</v>
      </c>
      <c r="AI75" s="115">
        <v>4.665</v>
      </c>
      <c r="AJ75" s="115">
        <v>41.456000000000003</v>
      </c>
    </row>
    <row r="76" spans="2:36" x14ac:dyDescent="0.25">
      <c r="E76" s="136" t="s">
        <v>95</v>
      </c>
      <c r="F76" s="136" t="s">
        <v>174</v>
      </c>
      <c r="G76" s="136" t="s">
        <v>27</v>
      </c>
      <c r="H76" s="136" t="s">
        <v>28</v>
      </c>
      <c r="I76" s="136" t="s">
        <v>29</v>
      </c>
      <c r="J76" s="136" t="s">
        <v>31</v>
      </c>
      <c r="K76" s="137"/>
      <c r="L76" s="136" t="s">
        <v>95</v>
      </c>
      <c r="M76" s="136" t="s">
        <v>96</v>
      </c>
      <c r="N76" s="136" t="s">
        <v>27</v>
      </c>
      <c r="O76" s="136" t="s">
        <v>28</v>
      </c>
      <c r="P76" s="136" t="s">
        <v>29</v>
      </c>
      <c r="Q76" s="136" t="s">
        <v>31</v>
      </c>
      <c r="AG76" s="185">
        <v>44884</v>
      </c>
      <c r="AH76" s="83">
        <v>4.25</v>
      </c>
      <c r="AI76" s="83">
        <v>4.665</v>
      </c>
      <c r="AJ76" s="83">
        <v>41.456000000000003</v>
      </c>
    </row>
    <row r="77" spans="2:36" x14ac:dyDescent="0.25">
      <c r="B77" s="111" t="s">
        <v>34</v>
      </c>
      <c r="C77" s="114" t="s">
        <v>97</v>
      </c>
      <c r="D77" s="114" t="s">
        <v>196</v>
      </c>
      <c r="E77" s="128" t="s">
        <v>98</v>
      </c>
      <c r="F77" s="129">
        <f ca="1">_xll.IMDP($B77,$C77,$D77,$G$4,"fill=true")</f>
        <v>83.88</v>
      </c>
      <c r="G77" s="129">
        <f ca="1">_xll.IMDP($B77,$C77,"등락률",$G$4,"fill=true")</f>
        <v>3.01</v>
      </c>
      <c r="H77" s="130">
        <f ca="1">($F77-_xll.IMDP($B77,$C77,"현재가",H$75,"FILL=TRUE"))/_xll.IMDP($B77,$C77,"현재가",H$75,"FILL=TRUE")</f>
        <v>6.4872413355338318E-2</v>
      </c>
      <c r="I77" s="130">
        <f ca="1">($F77-_xll.IMDP($B77,$C77,"현재가",I$75,"FILL=TRUE"))/_xll.IMDP($B77,$C77,"현재가",I$75,"FILL=TRUE")</f>
        <v>-7.4580759046778522E-2</v>
      </c>
      <c r="J77" s="130">
        <f ca="1">($F77-_xll.IMDP($B77,$C77,"현재가",J$75,"FILL=TRUE"))/_xll.IMDP($B77,$C77,"현재가",J$75,"FILL=TRUE")</f>
        <v>6.4872413355338318E-2</v>
      </c>
      <c r="K77" s="131" t="s">
        <v>99</v>
      </c>
      <c r="L77" s="132" t="s">
        <v>100</v>
      </c>
      <c r="M77" s="129">
        <f ca="1">_xll.IMDP($B77,$K77,"현재가",$G$4,"fill=true")</f>
        <v>2090.5</v>
      </c>
      <c r="N77" s="133">
        <f ca="1">_xll.IMDP($B77,$C77,"등락률",$G$4,"fill=true")</f>
        <v>3.01</v>
      </c>
      <c r="O77" s="134">
        <f ca="1">($F77-_xll.IMDP($B77,$K77,"현재가",O$75,"FILL=TRUE"))/_xll.IMDP($B77,$C77,"현재가",O$75,"FILL=TRUE")</f>
        <v>-26.528119842579663</v>
      </c>
      <c r="P77" s="134">
        <f ca="1">($F77-_xll.IMDP($B77,$C77,"현재가",P$75,"FILL=TRUE"))/_xll.IMDP($B77,$C77,"현재가",P$75,"FILL=TRUE")</f>
        <v>-7.4580759046778522E-2</v>
      </c>
      <c r="Q77" s="135">
        <f ca="1">($F77-_xll.IMDP($B77,$C77,"현재가",Q$75,"FILL=TRUE"))/_xll.IMDP($B77,$C77,"현재가",Q$75,"FILL=TRUE")</f>
        <v>6.4872413355338318E-2</v>
      </c>
      <c r="AG77" s="185">
        <v>44883</v>
      </c>
      <c r="AH77" s="83">
        <v>4.25</v>
      </c>
      <c r="AI77" s="83">
        <v>4.665</v>
      </c>
      <c r="AJ77" s="83">
        <v>41.456000000000003</v>
      </c>
    </row>
    <row r="78" spans="2:36" x14ac:dyDescent="0.25">
      <c r="B78" s="111" t="s">
        <v>34</v>
      </c>
      <c r="C78" s="114" t="s">
        <v>101</v>
      </c>
      <c r="D78" s="114" t="s">
        <v>196</v>
      </c>
      <c r="E78" s="92" t="s">
        <v>102</v>
      </c>
      <c r="F78" s="87">
        <f ca="1">_xll.IMDP($B78,$C78,$D78,$G$4,"fill=true")</f>
        <v>80.06</v>
      </c>
      <c r="G78" s="87">
        <f ca="1">_xll.IMDP($B78,$C78,"등락률",$G$4,"fill=true")</f>
        <v>-1.99</v>
      </c>
      <c r="H78" s="85">
        <f ca="1">($F78-_xll.IMDP($B78,$C78,"현재가",H$75,"FILL=TRUE"))/_xll.IMDP($B78,$C78,"현재가",H$75,"FILL=TRUE")</f>
        <v>-5.3422785439184075E-3</v>
      </c>
      <c r="I78" s="85">
        <f ca="1">($F78-_xll.IMDP($B78,$C78,"현재가",I$75,"FILL=TRUE"))/_xll.IMDP($B78,$C78,"현재가",I$75,"FILL=TRUE")</f>
        <v>-7.1229698375870079E-2</v>
      </c>
      <c r="J78" s="85">
        <f ca="1">($F78-_xll.IMDP($B78,$C78,"현재가",J$75,"FILL=TRUE"))/_xll.IMDP($B78,$C78,"현재가",J$75,"FILL=TRUE")</f>
        <v>-5.3422785439184075E-3</v>
      </c>
      <c r="K78" s="126" t="s">
        <v>103</v>
      </c>
      <c r="L78" s="88" t="s">
        <v>104</v>
      </c>
      <c r="M78" s="87">
        <f ca="1">_xll.IMDP($B78,$K78,"현재가",$G$4,"fill=true")</f>
        <v>2619.75</v>
      </c>
      <c r="N78" s="87">
        <v>-0.50287999999999999</v>
      </c>
      <c r="O78" s="85">
        <f ca="1">($F78-_xll.IMDP($B78,$K78,"현재가",O$75,"FILL=TRUE"))/_xll.IMDP($B78,$C78,"현재가",O$75,"FILL=TRUE")</f>
        <v>-28.1954280034787</v>
      </c>
      <c r="P78" s="85">
        <f ca="1">($F78-_xll.IMDP($B78,$C78,"현재가",P$75,"FILL=TRUE"))/_xll.IMDP($B78,$C78,"현재가",P$75,"FILL=TRUE")</f>
        <v>-7.1229698375870079E-2</v>
      </c>
      <c r="Q78" s="93">
        <f ca="1">($F78-_xll.IMDP($B78,$C78,"현재가",Q$75,"FILL=TRUE"))/_xll.IMDP($B78,$C78,"현재가",Q$75,"FILL=TRUE")</f>
        <v>-5.3422785439184075E-3</v>
      </c>
      <c r="AG78" s="185">
        <v>44882</v>
      </c>
      <c r="AH78" s="83">
        <v>4.2290000000000001</v>
      </c>
      <c r="AI78" s="83">
        <v>4.6749999999999998</v>
      </c>
      <c r="AJ78" s="83">
        <v>44.692999999999998</v>
      </c>
    </row>
    <row r="79" spans="2:36" x14ac:dyDescent="0.25">
      <c r="B79" s="111" t="s">
        <v>34</v>
      </c>
      <c r="C79" s="114" t="s">
        <v>105</v>
      </c>
      <c r="D79" s="114" t="s">
        <v>196</v>
      </c>
      <c r="E79" s="92" t="s">
        <v>106</v>
      </c>
      <c r="F79" s="87">
        <f ca="1">_xll.IMDP($B79,$C79,$D79,$G$4,"fill=true")</f>
        <v>86.26</v>
      </c>
      <c r="G79" s="87">
        <f ca="1">_xll.IMDP($B79,$C79,"등락률",$G$4,"fill=true")</f>
        <v>-2.0299999999999998</v>
      </c>
      <c r="H79" s="85">
        <f ca="1">($F79-_xll.IMDP($B79,$C79,"현재가",H$75,"FILL=TRUE"))/_xll.IMDP($B79,$C79,"현재가",H$75,"FILL=TRUE")</f>
        <v>3.6067481093659368E-3</v>
      </c>
      <c r="I79" s="85">
        <f ca="1">($F79-_xll.IMDP($B79,$C79,"현재가",I$75,"FILL=TRUE"))/_xll.IMDP($B79,$C79,"현재가",I$75,"FILL=TRUE")</f>
        <v>-6.7358633365769166E-2</v>
      </c>
      <c r="J79" s="85">
        <f ca="1">($F79-_xll.IMDP($B79,$C79,"현재가",J$75,"FILL=TRUE"))/_xll.IMDP($B79,$C79,"현재가",J$75,"FILL=TRUE")</f>
        <v>3.6067481093659368E-3</v>
      </c>
      <c r="K79" s="126" t="s">
        <v>107</v>
      </c>
      <c r="L79" s="88" t="s">
        <v>108</v>
      </c>
      <c r="M79" s="87">
        <f ca="1">_xll.IMDP($B79,$K79,"현재가",$G$4,"fill=true")</f>
        <v>9291.01</v>
      </c>
      <c r="N79" s="87">
        <v>-0.54257</v>
      </c>
      <c r="O79" s="85">
        <f ca="1">($F79-_xll.IMDP($B79,$K79,"현재가",O$75,"FILL=TRUE"))/_xll.IMDP($B79,$C79,"현재가",O$75,"FILL=TRUE")</f>
        <v>-96.317626527050606</v>
      </c>
      <c r="P79" s="85">
        <f ca="1">($F79-_xll.IMDP($B79,$C79,"현재가",P$75,"FILL=TRUE"))/_xll.IMDP($B79,$C79,"현재가",P$75,"FILL=TRUE")</f>
        <v>-6.7358633365769166E-2</v>
      </c>
      <c r="Q79" s="93">
        <f ca="1">($F79-_xll.IMDP($B79,$C79,"현재가",Q$75,"FILL=TRUE"))/_xll.IMDP($B79,$C79,"현재가",Q$75,"FILL=TRUE")</f>
        <v>3.6067481093659368E-3</v>
      </c>
      <c r="AG79" s="185">
        <v>44881</v>
      </c>
      <c r="AH79" s="83">
        <v>4.226</v>
      </c>
      <c r="AI79" s="83">
        <v>4.6740000000000004</v>
      </c>
      <c r="AJ79" s="83">
        <v>44.789000000000001</v>
      </c>
    </row>
    <row r="80" spans="2:36" x14ac:dyDescent="0.25">
      <c r="B80" s="111" t="s">
        <v>34</v>
      </c>
      <c r="C80" s="114" t="s">
        <v>109</v>
      </c>
      <c r="D80" s="114" t="s">
        <v>196</v>
      </c>
      <c r="E80" s="92" t="s">
        <v>110</v>
      </c>
      <c r="F80" s="87">
        <f ca="1">_xll.IMDP($B80,$C80,$D80,$G$4,"fill=true")</f>
        <v>80.13</v>
      </c>
      <c r="G80" s="87">
        <f ca="1">_xll.IMDP($B80,$C80,"등락률",$G$4,"fill=true")</f>
        <v>-1.83</v>
      </c>
      <c r="H80" s="85">
        <f ca="1">($F80-_xll.IMDP($B80,$C80,"현재가",H$75,"FILL=TRUE"))/_xll.IMDP($B80,$C80,"현재가",H$75,"FILL=TRUE")</f>
        <v>-1.6197358584601252E-3</v>
      </c>
      <c r="I80" s="85">
        <f ca="1">($F80-_xll.IMDP($B80,$C80,"현재가",I$75,"FILL=TRUE"))/_xll.IMDP($B80,$C80,"현재가",I$75,"FILL=TRUE")</f>
        <v>-7.3962787472552943E-2</v>
      </c>
      <c r="J80" s="85">
        <f ca="1">($F80-_xll.IMDP($B80,$C80,"현재가",J$75,"FILL=TRUE"))/_xll.IMDP($B80,$C80,"현재가",J$75,"FILL=TRUE")</f>
        <v>-1.6197358584601252E-3</v>
      </c>
      <c r="K80" s="126" t="s">
        <v>111</v>
      </c>
      <c r="L80" s="88" t="s">
        <v>112</v>
      </c>
      <c r="M80" s="87">
        <f ca="1">_xll.IMDP($B80,$K80,"현재가",$G$4,"fill=true")</f>
        <v>2120.6</v>
      </c>
      <c r="N80" s="87">
        <v>-1.98142</v>
      </c>
      <c r="O80" s="85">
        <f ca="1">($F80-_xll.IMDP($B80,$K80,"현재가",O$75,"FILL=TRUE"))/_xll.IMDP($B80,$C80,"현재가",O$75,"FILL=TRUE")</f>
        <v>-28.113256915026163</v>
      </c>
      <c r="P80" s="85">
        <f ca="1">($F80-_xll.IMDP($B80,$C80,"현재가",P$75,"FILL=TRUE"))/_xll.IMDP($B80,$C80,"현재가",P$75,"FILL=TRUE")</f>
        <v>-7.3962787472552943E-2</v>
      </c>
      <c r="Q80" s="93">
        <f ca="1">($F80-_xll.IMDP($B80,$C80,"현재가",Q$75,"FILL=TRUE"))/_xll.IMDP($B80,$C80,"현재가",Q$75,"FILL=TRUE")</f>
        <v>-1.6197358584601252E-3</v>
      </c>
      <c r="AG80" s="185">
        <v>44880</v>
      </c>
      <c r="AH80" s="83">
        <v>4.1849999999999996</v>
      </c>
      <c r="AI80" s="83">
        <v>4.6500000000000004</v>
      </c>
      <c r="AJ80" s="83">
        <v>46.430999999999997</v>
      </c>
    </row>
    <row r="81" spans="2:36" x14ac:dyDescent="0.25">
      <c r="B81" s="111" t="s">
        <v>34</v>
      </c>
      <c r="C81" s="114" t="s">
        <v>113</v>
      </c>
      <c r="D81" s="114" t="s">
        <v>196</v>
      </c>
      <c r="E81" s="92" t="s">
        <v>114</v>
      </c>
      <c r="F81" s="87">
        <f ca="1">_xll.IMDP($B81,$C81,$D81,$G$4,"fill=true")</f>
        <v>86.13</v>
      </c>
      <c r="G81" s="87">
        <f ca="1">_xll.IMDP($B81,$C81,"등락률",$G$4,"fill=true")</f>
        <v>-2.34</v>
      </c>
      <c r="H81" s="85">
        <f ca="1">($F81-_xll.IMDP($B81,$C81,"현재가",H$75,"FILL=TRUE"))/_xll.IMDP($B81,$C81,"현재가",H$75,"FILL=TRUE")</f>
        <v>2.5608194622278998E-3</v>
      </c>
      <c r="I81" s="85">
        <f ca="1">($F81-_xll.IMDP($B81,$C81,"현재가",I$75,"FILL=TRUE"))/_xll.IMDP($B81,$C81,"현재가",I$75,"FILL=TRUE")</f>
        <v>-9.1743119266055079E-2</v>
      </c>
      <c r="J81" s="85">
        <f ca="1">($F81-_xll.IMDP($B81,$C81,"현재가",J$75,"FILL=TRUE"))/_xll.IMDP($B81,$C81,"현재가",J$75,"FILL=TRUE")</f>
        <v>2.5608194622278998E-3</v>
      </c>
      <c r="K81" s="126" t="s">
        <v>115</v>
      </c>
      <c r="L81" s="88" t="s">
        <v>116</v>
      </c>
      <c r="M81" s="87">
        <f ca="1">_xll.IMDP($B81,$K81,"현재가",$G$4,"fill=true")</f>
        <v>28561</v>
      </c>
      <c r="N81" s="87">
        <v>1.2078100000000001</v>
      </c>
      <c r="O81" s="85">
        <f ca="1">($F81-_xll.IMDP($B81,$K81,"현재가",O$75,"FILL=TRUE"))/_xll.IMDP($B81,$C81,"현재가",O$75,"FILL=TRUE")</f>
        <v>-346.87312303573509</v>
      </c>
      <c r="P81" s="85">
        <f ca="1">($F81-_xll.IMDP($B81,$C81,"현재가",P$75,"FILL=TRUE"))/_xll.IMDP($B81,$C81,"현재가",P$75,"FILL=TRUE")</f>
        <v>-9.1743119266055079E-2</v>
      </c>
      <c r="Q81" s="93">
        <f ca="1">($F81-_xll.IMDP($B81,$C81,"현재가",Q$75,"FILL=TRUE"))/_xll.IMDP($B81,$C81,"현재가",Q$75,"FILL=TRUE")</f>
        <v>2.5608194622278998E-3</v>
      </c>
      <c r="AG81" s="185">
        <v>44879</v>
      </c>
      <c r="AH81" s="83">
        <v>4.1909999999999998</v>
      </c>
      <c r="AI81" s="83">
        <v>4.6440000000000001</v>
      </c>
      <c r="AJ81" s="83">
        <v>45.276000000000003</v>
      </c>
    </row>
    <row r="82" spans="2:36" x14ac:dyDescent="0.25">
      <c r="B82" s="111" t="s">
        <v>34</v>
      </c>
      <c r="C82" s="114" t="s">
        <v>117</v>
      </c>
      <c r="D82" s="114" t="s">
        <v>196</v>
      </c>
      <c r="E82" s="92" t="s">
        <v>118</v>
      </c>
      <c r="F82" s="87">
        <f ca="1">_xll.IMDP($B82,$C82,$D82,$G$4,"fill=true")</f>
        <v>3.4272</v>
      </c>
      <c r="G82" s="87">
        <f ca="1">_xll.IMDP($B82,$C82,"등락률",$G$4,"fill=true")</f>
        <v>-3.48</v>
      </c>
      <c r="H82" s="85">
        <f ca="1">($F82-_xll.IMDP($B82,$C82,"현재가",H$75,"FILL=TRUE"))/_xll.IMDP($B82,$C82,"현재가",H$75,"FILL=TRUE")</f>
        <v>1.9332579858426013E-2</v>
      </c>
      <c r="I82" s="85">
        <f ca="1">($F82-_xll.IMDP($B82,$C82,"현재가",I$75,"FILL=TRUE"))/_xll.IMDP($B82,$C82,"현재가",I$75,"FILL=TRUE")</f>
        <v>-0.18222816101553366</v>
      </c>
      <c r="J82" s="85">
        <f ca="1">($F82-_xll.IMDP($B82,$C82,"현재가",J$75,"FILL=TRUE"))/_xll.IMDP($B82,$C82,"현재가",J$75,"FILL=TRUE")</f>
        <v>1.9332579858426013E-2</v>
      </c>
      <c r="K82" s="126" t="s">
        <v>119</v>
      </c>
      <c r="L82" s="88" t="s">
        <v>120</v>
      </c>
      <c r="M82" s="87">
        <f ca="1">_xll.IMDP($B82,$K82,"현재가",$G$4,"fill=true")</f>
        <v>29900</v>
      </c>
      <c r="N82" s="87">
        <v>-0.13893</v>
      </c>
      <c r="O82" s="85">
        <f ca="1">($F82-_xll.IMDP($B82,$K82,"현재가",O$75,"FILL=TRUE"))/_xll.IMDP($B82,$C82,"현재가",O$75,"FILL=TRUE")</f>
        <v>-7361.4962821961817</v>
      </c>
      <c r="P82" s="85">
        <f ca="1">($F82-_xll.IMDP($B82,$C82,"현재가",P$75,"FILL=TRUE"))/_xll.IMDP($B82,$C82,"현재가",P$75,"FILL=TRUE")</f>
        <v>-0.18222816101553366</v>
      </c>
      <c r="Q82" s="93">
        <f ca="1">($F82-_xll.IMDP($B82,$C82,"현재가",Q$75,"FILL=TRUE"))/_xll.IMDP($B82,$C82,"현재가",Q$75,"FILL=TRUE")</f>
        <v>1.9332579858426013E-2</v>
      </c>
      <c r="AG82" s="185">
        <v>44878</v>
      </c>
      <c r="AH82" s="83">
        <v>4.17</v>
      </c>
      <c r="AI82" s="83">
        <v>4.6059999999999999</v>
      </c>
      <c r="AJ82" s="83">
        <v>43.603999999999999</v>
      </c>
    </row>
    <row r="83" spans="2:36" x14ac:dyDescent="0.25">
      <c r="B83" s="111" t="s">
        <v>34</v>
      </c>
      <c r="C83" s="112" t="s">
        <v>121</v>
      </c>
      <c r="D83" s="114" t="s">
        <v>196</v>
      </c>
      <c r="E83" s="92" t="s">
        <v>122</v>
      </c>
      <c r="F83" s="87">
        <f ca="1">_xll.IMDP($B83,$C83,$D83,$G$4,"fill=true")</f>
        <v>985.75</v>
      </c>
      <c r="G83" s="87">
        <f ca="1">_xll.IMDP($B83,$C83,"등락률",$G$4,"fill=true")</f>
        <v>-2.62</v>
      </c>
      <c r="H83" s="85">
        <f ca="1">($F83-_xll.IMDP($B83,$C83,"현재가",H$75,"FILL=TRUE"))/_xll.IMDP($B83,$C83,"현재가",H$75,"FILL=TRUE")</f>
        <v>7.0304017372421285E-2</v>
      </c>
      <c r="I83" s="85">
        <f ca="1">($F83-_xll.IMDP($B83,$C83,"현재가",I$75,"FILL=TRUE"))/_xll.IMDP($B83,$C83,"현재가",I$75,"FILL=TRUE")</f>
        <v>-0.10406725744149058</v>
      </c>
      <c r="J83" s="85">
        <f ca="1">($F83-_xll.IMDP($B83,$C83,"현재가",J$75,"FILL=TRUE"))/_xll.IMDP($B83,$C83,"현재가",J$75,"FILL=TRUE")</f>
        <v>7.0304017372421285E-2</v>
      </c>
      <c r="K83" s="126" t="s">
        <v>123</v>
      </c>
      <c r="L83" s="88" t="s">
        <v>124</v>
      </c>
      <c r="M83" s="87">
        <f ca="1">_xll.IMDP($B83,$K83,"현재가",$G$4,"fill=true")</f>
        <v>3447.25</v>
      </c>
      <c r="N83" s="87">
        <v>0.88270000000000004</v>
      </c>
      <c r="O83" s="85">
        <f ca="1">($F83-_xll.IMDP($B83,$K83,"현재가",O$75,"FILL=TRUE"))/_xll.IMDP($B83,$C83,"현재가",O$75,"FILL=TRUE")</f>
        <v>-2.1905537459283386</v>
      </c>
      <c r="P83" s="85">
        <f ca="1">($F83-_xll.IMDP($B83,$C83,"현재가",P$75,"FILL=TRUE"))/_xll.IMDP($B83,$C83,"현재가",P$75,"FILL=TRUE")</f>
        <v>-0.10406725744149058</v>
      </c>
      <c r="Q83" s="93">
        <f ca="1">($F83-_xll.IMDP($B83,$C83,"현재가",Q$75,"FILL=TRUE"))/_xll.IMDP($B83,$C83,"현재가",Q$75,"FILL=TRUE")</f>
        <v>7.0304017372421285E-2</v>
      </c>
      <c r="AG83" s="185">
        <v>44877</v>
      </c>
      <c r="AH83" s="83">
        <v>4.17</v>
      </c>
      <c r="AI83" s="83">
        <v>4.6059999999999999</v>
      </c>
      <c r="AJ83" s="83">
        <v>43.603999999999999</v>
      </c>
    </row>
    <row r="84" spans="2:36" x14ac:dyDescent="0.25">
      <c r="B84" s="111" t="s">
        <v>34</v>
      </c>
      <c r="C84" s="112" t="s">
        <v>125</v>
      </c>
      <c r="D84" s="114" t="s">
        <v>196</v>
      </c>
      <c r="E84" s="92" t="s">
        <v>126</v>
      </c>
      <c r="F84" s="87">
        <f ca="1">_xll.IMDP($B84,$C84,$D84,$G$4,"fill=true")</f>
        <v>3.258</v>
      </c>
      <c r="G84" s="87">
        <f ca="1">_xll.IMDP($B84,$C84,"등락률",$G$4,"fill=true")</f>
        <v>-5.48</v>
      </c>
      <c r="H84" s="85">
        <f ca="1">($F84-_xll.IMDP($B84,$C84,"현재가",H$75,"FILL=TRUE"))/_xll.IMDP($B84,$C84,"현재가",H$75,"FILL=TRUE")</f>
        <v>-0.27195530726256978</v>
      </c>
      <c r="I84" s="85">
        <f ca="1">($F84-_xll.IMDP($B84,$C84,"현재가",I$75,"FILL=TRUE"))/_xll.IMDP($B84,$C84,"현재가",I$75,"FILL=TRUE")</f>
        <v>-0.48733280881195912</v>
      </c>
      <c r="J84" s="85">
        <f ca="1">($F84-_xll.IMDP($B84,$C84,"현재가",J$75,"FILL=TRUE"))/_xll.IMDP($B84,$C84,"현재가",J$75,"FILL=TRUE")</f>
        <v>-0.27195530726256978</v>
      </c>
      <c r="K84" s="126" t="s">
        <v>127</v>
      </c>
      <c r="L84" s="88" t="s">
        <v>128</v>
      </c>
      <c r="M84" s="87">
        <f ca="1">_xll.IMDP($B84,$K84,"현재가",$G$4,"fill=true")</f>
        <v>677</v>
      </c>
      <c r="N84" s="87">
        <v>-0.2</v>
      </c>
      <c r="O84" s="85">
        <f ca="1">($F84-_xll.IMDP($B84,$K84,"현재가",O$75,"FILL=TRUE"))/_xll.IMDP($B84,$C84,"현재가",O$75,"FILL=TRUE")</f>
        <v>-150.89206703910614</v>
      </c>
      <c r="P84" s="85">
        <f ca="1">($F84-_xll.IMDP($B84,$C84,"현재가",P$75,"FILL=TRUE"))/_xll.IMDP($B84,$C84,"현재가",P$75,"FILL=TRUE")</f>
        <v>-0.48733280881195912</v>
      </c>
      <c r="Q84" s="93">
        <f ca="1">($F84-_xll.IMDP($B84,$C84,"현재가",Q$75,"FILL=TRUE"))/_xll.IMDP($B84,$C84,"현재가",Q$75,"FILL=TRUE")</f>
        <v>-0.27195530726256978</v>
      </c>
      <c r="AG84" s="185">
        <v>44876</v>
      </c>
      <c r="AH84" s="83">
        <v>4.17</v>
      </c>
      <c r="AI84" s="83">
        <v>4.6059999999999999</v>
      </c>
      <c r="AJ84" s="83">
        <v>43.603999999999999</v>
      </c>
    </row>
    <row r="85" spans="2:36" x14ac:dyDescent="0.25">
      <c r="B85" s="111" t="s">
        <v>34</v>
      </c>
      <c r="C85" s="112" t="s">
        <v>129</v>
      </c>
      <c r="D85" s="114" t="s">
        <v>196</v>
      </c>
      <c r="E85" s="92" t="s">
        <v>130</v>
      </c>
      <c r="F85" s="87">
        <f ca="1">_xll.IMDP($B85,$C85,$D85,$G$4,"fill=true")</f>
        <v>1.4765999999999999</v>
      </c>
      <c r="G85" s="87">
        <f ca="1">_xll.IMDP($B85,$C85,"등락률",$G$4,"fill=true")</f>
        <v>-11.43</v>
      </c>
      <c r="H85" s="85">
        <f ca="1">($F85-_xll.IMDP($B85,$C85,"현재가",H$75,"FILL=TRUE"))/_xll.IMDP($B85,$C85,"현재가",H$75,"FILL=TRUE")</f>
        <v>-0.2063423810803548</v>
      </c>
      <c r="I85" s="85">
        <f ca="1">($F85-_xll.IMDP($B85,$C85,"현재가",I$75,"FILL=TRUE"))/_xll.IMDP($B85,$C85,"현재가",I$75,"FILL=TRUE")</f>
        <v>-0.50901110593868459</v>
      </c>
      <c r="J85" s="85">
        <f ca="1">($F85-_xll.IMDP($B85,$C85,"현재가",J$75,"FILL=TRUE"))/_xll.IMDP($B85,$C85,"현재가",J$75,"FILL=TRUE")</f>
        <v>-0.2063423810803548</v>
      </c>
      <c r="K85" s="126" t="s">
        <v>131</v>
      </c>
      <c r="L85" s="88" t="s">
        <v>132</v>
      </c>
      <c r="M85" s="87">
        <f ca="1">_xll.IMDP($B85,$K85,"현재가",$G$4,"fill=true")</f>
        <v>1488.5</v>
      </c>
      <c r="N85" s="87">
        <v>-0.11</v>
      </c>
      <c r="O85" s="85">
        <f ca="1">($F85-_xll.IMDP($B85,$K85,"현재가",O$75,"FILL=TRUE"))/_xll.IMDP($B85,$C85,"현재가",O$75,"FILL=TRUE")</f>
        <v>-815.78790647675362</v>
      </c>
      <c r="P85" s="85">
        <f ca="1">($F85-_xll.IMDP($B85,$C85,"현재가",P$75,"FILL=TRUE"))/_xll.IMDP($B85,$C85,"현재가",P$75,"FILL=TRUE")</f>
        <v>-0.50901110593868459</v>
      </c>
      <c r="Q85" s="93">
        <f ca="1">($F85-_xll.IMDP($B85,$C85,"현재가",Q$75,"FILL=TRUE"))/_xll.IMDP($B85,$C85,"현재가",Q$75,"FILL=TRUE")</f>
        <v>-0.2063423810803548</v>
      </c>
      <c r="AG85" s="185">
        <v>44875</v>
      </c>
      <c r="AH85" s="83">
        <v>4.17</v>
      </c>
      <c r="AI85" s="83">
        <v>4.6500000000000004</v>
      </c>
      <c r="AJ85" s="83">
        <v>47.960999999999999</v>
      </c>
    </row>
    <row r="86" spans="2:36" x14ac:dyDescent="0.25">
      <c r="B86" s="111" t="s">
        <v>34</v>
      </c>
      <c r="C86" s="114" t="s">
        <v>133</v>
      </c>
      <c r="D86" s="114" t="s">
        <v>196</v>
      </c>
      <c r="E86" s="92" t="s">
        <v>134</v>
      </c>
      <c r="F86" s="87">
        <f ca="1">_xll.IMDP($B86,$C86,$D86,$G$4,"fill=true")</f>
        <v>1935.4</v>
      </c>
      <c r="G86" s="87">
        <f ca="1">_xll.IMDP($B86,$C86,"등락률",$G$4,"fill=true")</f>
        <v>0.35</v>
      </c>
      <c r="H86" s="85">
        <f ca="1">($F86-_xll.IMDP($B86,$C86,"현재가",H$75,"FILL=TRUE"))/_xll.IMDP($B86,$C86,"현재가",H$75,"FILL=TRUE")</f>
        <v>5.9796298324389464E-2</v>
      </c>
      <c r="I86" s="85">
        <f ca="1">($F86-_xll.IMDP($B86,$C86,"현재가",I$75,"FILL=TRUE"))/_xll.IMDP($B86,$C86,"현재가",I$75,"FILL=TRUE")</f>
        <v>0.17961845553727071</v>
      </c>
      <c r="J86" s="85">
        <f ca="1">($F86-_xll.IMDP($B86,$C86,"현재가",J$75,"FILL=TRUE"))/_xll.IMDP($B86,$C86,"현재가",J$75,"FILL=TRUE")</f>
        <v>5.9796298324389464E-2</v>
      </c>
      <c r="K86" s="126" t="s">
        <v>135</v>
      </c>
      <c r="L86" s="88" t="s">
        <v>136</v>
      </c>
      <c r="M86" s="87">
        <f ca="1">_xll.IMDP($B86,$K86,"현재가",$G$4,"fill=true")</f>
        <v>459.8</v>
      </c>
      <c r="N86" s="87">
        <v>0.26</v>
      </c>
      <c r="O86" s="85">
        <f ca="1">($F86-_xll.IMDP($B86,$K86,"현재가",O$75,"FILL=TRUE"))/_xll.IMDP($B86,$C86,"현재가",O$75,"FILL=TRUE")</f>
        <v>0.79777680429306763</v>
      </c>
      <c r="P86" s="85">
        <f ca="1">($F86-_xll.IMDP($B86,$C86,"현재가",P$75,"FILL=TRUE"))/_xll.IMDP($B86,$C86,"현재가",P$75,"FILL=TRUE")</f>
        <v>0.17961845553727071</v>
      </c>
      <c r="Q86" s="93">
        <f ca="1">($F86-_xll.IMDP($B86,$C86,"현재가",Q$75,"FILL=TRUE"))/_xll.IMDP($B86,$C86,"현재가",Q$75,"FILL=TRUE")</f>
        <v>5.9796298324389464E-2</v>
      </c>
      <c r="AG86" s="185">
        <v>44874</v>
      </c>
      <c r="AH86" s="83">
        <v>4.2009999999999996</v>
      </c>
      <c r="AI86" s="83">
        <v>4.63</v>
      </c>
      <c r="AJ86" s="83">
        <v>42.95</v>
      </c>
    </row>
    <row r="87" spans="2:36" x14ac:dyDescent="0.25">
      <c r="B87" s="111" t="s">
        <v>34</v>
      </c>
      <c r="C87" s="114" t="s">
        <v>137</v>
      </c>
      <c r="D87" s="114" t="s">
        <v>196</v>
      </c>
      <c r="E87" s="92" t="s">
        <v>138</v>
      </c>
      <c r="F87" s="87">
        <f ca="1">_xll.IMDP($B87,$C87,$D87,$G$4,"fill=true")</f>
        <v>23.748999999999999</v>
      </c>
      <c r="G87" s="87">
        <f ca="1">_xll.IMDP($B87,$C87,"등락률",$G$4,"fill=true")</f>
        <v>0.83</v>
      </c>
      <c r="H87" s="85">
        <f ca="1">($F87-_xll.IMDP($B87,$C87,"현재가",H$75,"FILL=TRUE"))/_xll.IMDP($B87,$C87,"현재가",H$75,"FILL=TRUE")</f>
        <v>-1.2104825291181381E-2</v>
      </c>
      <c r="I87" s="85">
        <f ca="1">($F87-_xll.IMDP($B87,$C87,"현재가",I$75,"FILL=TRUE"))/_xll.IMDP($B87,$C87,"현재가",I$75,"FILL=TRUE")</f>
        <v>0.24216747737852393</v>
      </c>
      <c r="J87" s="85">
        <f ca="1">($F87-_xll.IMDP($B87,$C87,"현재가",J$75,"FILL=TRUE"))/_xll.IMDP($B87,$C87,"현재가",J$75,"FILL=TRUE")</f>
        <v>-1.2104825291181381E-2</v>
      </c>
      <c r="K87" s="126" t="s">
        <v>139</v>
      </c>
      <c r="L87" s="88" t="s">
        <v>140</v>
      </c>
      <c r="M87" s="87">
        <f ca="1">_xll.IMDP($B87,$K87,"현재가",$G$4,"fill=true")</f>
        <v>60.98</v>
      </c>
      <c r="N87" s="87">
        <v>0</v>
      </c>
      <c r="O87" s="85">
        <f ca="1">($F87-_xll.IMDP($B87,$K87,"현재가",O$75,"FILL=TRUE"))/_xll.IMDP($B87,$C87,"현재가",O$75,"FILL=TRUE")</f>
        <v>-1.6664309484193016</v>
      </c>
      <c r="P87" s="85">
        <f ca="1">($F87-_xll.IMDP($B87,$C87,"현재가",P$75,"FILL=TRUE"))/_xll.IMDP($B87,$C87,"현재가",P$75,"FILL=TRUE")</f>
        <v>0.24216747737852393</v>
      </c>
      <c r="Q87" s="93">
        <f ca="1">($F87-_xll.IMDP($B87,$C87,"현재가",Q$75,"FILL=TRUE"))/_xll.IMDP($B87,$C87,"현재가",Q$75,"FILL=TRUE")</f>
        <v>-1.2104825291181381E-2</v>
      </c>
      <c r="AG87" s="185">
        <v>44873</v>
      </c>
      <c r="AH87" s="83">
        <v>4.18</v>
      </c>
      <c r="AI87" s="83">
        <v>4.5919999999999996</v>
      </c>
      <c r="AJ87" s="83">
        <v>41.17</v>
      </c>
    </row>
    <row r="88" spans="2:36" x14ac:dyDescent="0.25">
      <c r="B88" s="111" t="s">
        <v>34</v>
      </c>
      <c r="C88" s="114" t="s">
        <v>141</v>
      </c>
      <c r="D88" s="114" t="s">
        <v>196</v>
      </c>
      <c r="E88" s="92" t="s">
        <v>142</v>
      </c>
      <c r="F88" s="87">
        <f ca="1">_xll.IMDP($B88,$C88,$D88,$G$4,"fill=true")</f>
        <v>4.2484999999999999</v>
      </c>
      <c r="G88" s="87">
        <f ca="1">_xll.IMDP($B88,$C88,"등락률",$G$4,"fill=true")</f>
        <v>-0.19</v>
      </c>
      <c r="H88" s="85">
        <f ca="1">($F88-_xll.IMDP($B88,$C88,"현재가",H$75,"FILL=TRUE"))/_xll.IMDP($B88,$C88,"현재가",H$75,"FILL=TRUE")</f>
        <v>0.11494554520404139</v>
      </c>
      <c r="I88" s="85">
        <f ca="1">($F88-_xll.IMDP($B88,$C88,"현재가",I$75,"FILL=TRUE"))/_xll.IMDP($B88,$C88,"현재가",I$75,"FILL=TRUE")</f>
        <v>0.25881481481481478</v>
      </c>
      <c r="J88" s="85">
        <f ca="1">($F88-_xll.IMDP($B88,$C88,"현재가",J$75,"FILL=TRUE"))/_xll.IMDP($B88,$C88,"현재가",J$75,"FILL=TRUE")</f>
        <v>0.11494554520404139</v>
      </c>
      <c r="K88" s="126" t="s">
        <v>143</v>
      </c>
      <c r="L88" s="88" t="s">
        <v>144</v>
      </c>
      <c r="M88" s="87">
        <f ca="1">_xll.IMDP($B88,$K88,"현재가",$G$4,"fill=true")</f>
        <v>734.5</v>
      </c>
      <c r="N88" s="87">
        <v>0.94</v>
      </c>
      <c r="O88" s="85">
        <f ca="1">($F88-_xll.IMDP($B88,$K88,"현재가",O$75,"FILL=TRUE"))/_xll.IMDP($B88,$C88,"현재가",O$75,"FILL=TRUE")</f>
        <v>-206.73179372785722</v>
      </c>
      <c r="P88" s="85">
        <f ca="1">($F88-_xll.IMDP($B88,$C88,"현재가",P$75,"FILL=TRUE"))/_xll.IMDP($B88,$C88,"현재가",P$75,"FILL=TRUE")</f>
        <v>0.25881481481481478</v>
      </c>
      <c r="Q88" s="93">
        <f ca="1">($F88-_xll.IMDP($B88,$C88,"현재가",Q$75,"FILL=TRUE"))/_xll.IMDP($B88,$C88,"현재가",Q$75,"FILL=TRUE")</f>
        <v>0.11494554520404139</v>
      </c>
      <c r="AG88" s="185">
        <v>44872</v>
      </c>
      <c r="AH88" s="83">
        <v>4.0839999999999996</v>
      </c>
      <c r="AI88" s="83">
        <v>4.5570000000000004</v>
      </c>
      <c r="AJ88" s="83">
        <v>47.298999999999999</v>
      </c>
    </row>
    <row r="89" spans="2:36" x14ac:dyDescent="0.25">
      <c r="B89" s="111" t="s">
        <v>34</v>
      </c>
      <c r="C89" s="114" t="s">
        <v>145</v>
      </c>
      <c r="D89" s="114" t="s">
        <v>196</v>
      </c>
      <c r="E89" s="92" t="s">
        <v>146</v>
      </c>
      <c r="F89" s="87">
        <f ca="1">_xll.IMDP($B89,$C89,$D89,$G$4,"fill=true")</f>
        <v>1735.5</v>
      </c>
      <c r="G89" s="87">
        <f ca="1">_xll.IMDP($B89,$C89,"등락률",$G$4,"fill=true")</f>
        <v>2</v>
      </c>
      <c r="H89" s="85">
        <f ca="1">($F89-_xll.IMDP($B89,$C89,"현재가",H$75,"FILL=TRUE"))/_xll.IMDP($B89,$C89,"현재가",H$75,"FILL=TRUE")</f>
        <v>-3.4760845383759731E-2</v>
      </c>
      <c r="I89" s="85">
        <f ca="1">($F89-_xll.IMDP($B89,$C89,"현재가",I$75,"FILL=TRUE"))/_xll.IMDP($B89,$C89,"현재가",I$75,"FILL=TRUE")</f>
        <v>-5.2519517388218619E-2</v>
      </c>
      <c r="J89" s="85">
        <f ca="1">($F89-_xll.IMDP($B89,$C89,"현재가",J$75,"FILL=TRUE"))/_xll.IMDP($B89,$C89,"현재가",J$75,"FILL=TRUE")</f>
        <v>-3.4760845383759731E-2</v>
      </c>
      <c r="K89" s="126" t="s">
        <v>147</v>
      </c>
      <c r="L89" s="88" t="s">
        <v>148</v>
      </c>
      <c r="M89" s="87">
        <f ca="1">_xll.IMDP($B89,$K89,"현재가",$G$4,"fill=true")</f>
        <v>19.88</v>
      </c>
      <c r="N89" s="87">
        <v>-1.44</v>
      </c>
      <c r="O89" s="85">
        <f ca="1">($F89-_xll.IMDP($B89,$K89,"현재가",O$75,"FILL=TRUE"))/_xll.IMDP($B89,$C89,"현재가",O$75,"FILL=TRUE")</f>
        <v>0.95409343715239159</v>
      </c>
      <c r="P89" s="85">
        <f ca="1">($F89-_xll.IMDP($B89,$C89,"현재가",P$75,"FILL=TRUE"))/_xll.IMDP($B89,$C89,"현재가",P$75,"FILL=TRUE")</f>
        <v>-5.2519517388218619E-2</v>
      </c>
      <c r="Q89" s="93">
        <f ca="1">($F89-_xll.IMDP($B89,$C89,"현재가",Q$75,"FILL=TRUE"))/_xll.IMDP($B89,$C89,"현재가",Q$75,"FILL=TRUE")</f>
        <v>-3.4760845383759731E-2</v>
      </c>
      <c r="AG89" s="185">
        <v>44871</v>
      </c>
      <c r="AH89" s="83">
        <v>4.1130000000000004</v>
      </c>
      <c r="AI89" s="83">
        <v>4.55</v>
      </c>
      <c r="AJ89" s="83">
        <v>43.709000000000003</v>
      </c>
    </row>
    <row r="90" spans="2:36" x14ac:dyDescent="0.25">
      <c r="B90" s="111" t="s">
        <v>34</v>
      </c>
      <c r="C90" s="114" t="s">
        <v>149</v>
      </c>
      <c r="D90" s="114" t="s">
        <v>196</v>
      </c>
      <c r="E90" s="94" t="s">
        <v>150</v>
      </c>
      <c r="F90" s="95">
        <f ca="1">_xll.IMDP($B90,$C90,$D90,$G$4,"fill=true")</f>
        <v>1057.7</v>
      </c>
      <c r="G90" s="95">
        <f ca="1">_xll.IMDP($B90,$C90,"등락률",$G$4,"fill=true")</f>
        <v>1.05</v>
      </c>
      <c r="H90" s="96">
        <f ca="1">($F90-_xll.IMDP($B90,$C90,"현재가",H$75,"FILL=TRUE"))/_xll.IMDP($B90,$C90,"현재가",H$75,"FILL=TRUE")</f>
        <v>-1.4901741641054298E-2</v>
      </c>
      <c r="I90" s="96">
        <f ca="1">($F90-_xll.IMDP($B90,$C90,"현재가",I$75,"FILL=TRUE"))/_xll.IMDP($B90,$C90,"현재가",I$75,"FILL=TRUE")</f>
        <v>0.13718954951080531</v>
      </c>
      <c r="J90" s="96">
        <f ca="1">($F90-_xll.IMDP($B90,$C90,"현재가",J$75,"FILL=TRUE"))/_xll.IMDP($B90,$C90,"현재가",J$75,"FILL=TRUE")</f>
        <v>-1.4901741641054298E-2</v>
      </c>
      <c r="K90" s="127" t="s">
        <v>151</v>
      </c>
      <c r="L90" s="97" t="s">
        <v>152</v>
      </c>
      <c r="M90" s="95">
        <f ca="1">_xll.IMDP($B90,$K90,"현재가",$G$4,"fill=true")</f>
        <v>86.24</v>
      </c>
      <c r="N90" s="95">
        <v>-1.83</v>
      </c>
      <c r="O90" s="96">
        <f ca="1">($F90-_xll.IMDP($B90,$K90,"현재가",O$75,"FILL=TRUE"))/_xll.IMDP($B90,$C90,"현재가",O$75,"FILL=TRUE")</f>
        <v>0.90745087082052711</v>
      </c>
      <c r="P90" s="96">
        <f ca="1">($F90-_xll.IMDP($B90,$C90,"현재가",P$75,"FILL=TRUE"))/_xll.IMDP($B90,$C90,"현재가",P$75,"FILL=TRUE")</f>
        <v>0.13718954951080531</v>
      </c>
      <c r="Q90" s="98">
        <f ca="1">($F90-_xll.IMDP($B90,$C90,"현재가",Q$75,"FILL=TRUE"))/_xll.IMDP($B90,$C90,"현재가",Q$75,"FILL=TRUE")</f>
        <v>-1.4901741641054298E-2</v>
      </c>
      <c r="AG90" s="185">
        <v>44870</v>
      </c>
      <c r="AH90" s="83">
        <v>4.1130000000000004</v>
      </c>
      <c r="AI90" s="83">
        <v>4.55</v>
      </c>
      <c r="AJ90" s="83">
        <v>43.709000000000003</v>
      </c>
    </row>
    <row r="91" spans="2:36" x14ac:dyDescent="0.25">
      <c r="AG91" s="185">
        <v>44869</v>
      </c>
      <c r="AH91" s="83">
        <v>4.1130000000000004</v>
      </c>
      <c r="AI91" s="83">
        <v>4.55</v>
      </c>
      <c r="AJ91" s="83">
        <v>43.709000000000003</v>
      </c>
    </row>
    <row r="92" spans="2:36" x14ac:dyDescent="0.25">
      <c r="AG92" s="185">
        <v>44868</v>
      </c>
      <c r="AH92" s="83">
        <v>4.1379999999999999</v>
      </c>
      <c r="AI92" s="83">
        <v>4.532</v>
      </c>
      <c r="AJ92" s="83">
        <v>39.366999999999997</v>
      </c>
    </row>
    <row r="93" spans="2:36" x14ac:dyDescent="0.25">
      <c r="AG93" s="185">
        <v>44867</v>
      </c>
      <c r="AH93" s="83">
        <v>4.1360000000000001</v>
      </c>
      <c r="AI93" s="83">
        <v>4.508</v>
      </c>
      <c r="AJ93" s="83">
        <v>37.262999999999998</v>
      </c>
    </row>
    <row r="94" spans="2:36" x14ac:dyDescent="0.25">
      <c r="AG94" s="185">
        <v>44866</v>
      </c>
      <c r="AH94" s="83">
        <v>4.1289999999999996</v>
      </c>
      <c r="AI94" s="83">
        <v>4.46</v>
      </c>
      <c r="AJ94" s="83">
        <v>33.121000000000002</v>
      </c>
    </row>
    <row r="95" spans="2:36" x14ac:dyDescent="0.25">
      <c r="AG95" s="185">
        <v>44865</v>
      </c>
      <c r="AH95" s="83">
        <v>4.0739999999999998</v>
      </c>
      <c r="AI95" s="83">
        <v>4.46</v>
      </c>
      <c r="AJ95" s="83">
        <v>38.628999999999998</v>
      </c>
    </row>
    <row r="96" spans="2:36" x14ac:dyDescent="0.25">
      <c r="AG96" s="185">
        <v>44864</v>
      </c>
      <c r="AH96" s="83">
        <v>4.077</v>
      </c>
      <c r="AI96" s="83">
        <v>4.4400000000000004</v>
      </c>
      <c r="AJ96" s="83">
        <v>36.247</v>
      </c>
    </row>
    <row r="97" spans="33:36" x14ac:dyDescent="0.25">
      <c r="AG97" s="185">
        <v>44863</v>
      </c>
      <c r="AH97" s="83">
        <v>4.077</v>
      </c>
      <c r="AI97" s="83">
        <v>4.4400000000000004</v>
      </c>
      <c r="AJ97" s="83">
        <v>36.247</v>
      </c>
    </row>
    <row r="98" spans="33:36" x14ac:dyDescent="0.25">
      <c r="AG98" s="185">
        <v>44862</v>
      </c>
      <c r="AH98" s="83">
        <v>4.077</v>
      </c>
      <c r="AI98" s="83">
        <v>4.4400000000000004</v>
      </c>
      <c r="AJ98" s="83">
        <v>36.247</v>
      </c>
    </row>
    <row r="99" spans="33:36" x14ac:dyDescent="0.25">
      <c r="AG99" s="185">
        <v>44861</v>
      </c>
      <c r="AH99" s="83">
        <v>4.0369999999999999</v>
      </c>
      <c r="AI99" s="83">
        <v>4.415</v>
      </c>
      <c r="AJ99" s="83">
        <v>37.771000000000001</v>
      </c>
    </row>
    <row r="100" spans="33:36" x14ac:dyDescent="0.25">
      <c r="AG100" s="185">
        <v>44860</v>
      </c>
      <c r="AH100" s="83">
        <v>4.0250000000000004</v>
      </c>
      <c r="AI100" s="83">
        <v>4.3739999999999997</v>
      </c>
      <c r="AJ100" s="83">
        <v>34.926000000000002</v>
      </c>
    </row>
    <row r="101" spans="33:36" x14ac:dyDescent="0.25">
      <c r="AG101" s="185">
        <v>44859</v>
      </c>
      <c r="AH101" s="83">
        <v>4.0380000000000003</v>
      </c>
      <c r="AI101" s="83">
        <v>4.3579999999999997</v>
      </c>
      <c r="AJ101" s="83">
        <v>32.01</v>
      </c>
    </row>
    <row r="102" spans="33:36" x14ac:dyDescent="0.25">
      <c r="AG102" s="185">
        <v>44858</v>
      </c>
      <c r="AH102" s="83">
        <v>4.0170000000000003</v>
      </c>
      <c r="AI102" s="83">
        <v>4.327</v>
      </c>
      <c r="AJ102" s="83">
        <v>30.966000000000001</v>
      </c>
    </row>
    <row r="103" spans="33:36" x14ac:dyDescent="0.25">
      <c r="AG103" s="185">
        <v>44857</v>
      </c>
      <c r="AH103" s="83">
        <v>3.9940000000000002</v>
      </c>
      <c r="AI103" s="83">
        <v>4.3579999999999997</v>
      </c>
      <c r="AJ103" s="83">
        <v>36.402999999999999</v>
      </c>
    </row>
    <row r="104" spans="33:36" x14ac:dyDescent="0.25">
      <c r="AG104" s="185">
        <v>44856</v>
      </c>
      <c r="AH104" s="83">
        <v>3.9940000000000002</v>
      </c>
      <c r="AI104" s="83">
        <v>4.3579999999999997</v>
      </c>
      <c r="AJ104" s="83">
        <v>36.402999999999999</v>
      </c>
    </row>
    <row r="105" spans="33:36" x14ac:dyDescent="0.25">
      <c r="AG105" s="185">
        <v>44855</v>
      </c>
      <c r="AH105" s="83">
        <v>3.9940000000000002</v>
      </c>
      <c r="AI105" s="83">
        <v>4.3579999999999997</v>
      </c>
      <c r="AJ105" s="83">
        <v>36.402999999999999</v>
      </c>
    </row>
    <row r="106" spans="33:36" x14ac:dyDescent="0.25">
      <c r="AG106" s="185">
        <v>44854</v>
      </c>
      <c r="AH106" s="83">
        <v>3.9849999999999999</v>
      </c>
      <c r="AI106" s="83">
        <v>4.3250000000000002</v>
      </c>
      <c r="AJ106" s="83">
        <v>33.927</v>
      </c>
    </row>
    <row r="107" spans="33:36" x14ac:dyDescent="0.25">
      <c r="AG107" s="185">
        <v>44853</v>
      </c>
      <c r="AH107" s="83">
        <v>3.9860000000000002</v>
      </c>
      <c r="AI107" s="83">
        <v>4.2779999999999996</v>
      </c>
      <c r="AJ107" s="83">
        <v>29.177</v>
      </c>
    </row>
    <row r="108" spans="33:36" x14ac:dyDescent="0.25">
      <c r="AG108" s="185">
        <v>44852</v>
      </c>
      <c r="AH108" s="83">
        <v>3.9009999999999998</v>
      </c>
      <c r="AI108" s="83">
        <v>4.2430000000000003</v>
      </c>
      <c r="AJ108" s="83">
        <v>34.167000000000002</v>
      </c>
    </row>
    <row r="109" spans="33:36" x14ac:dyDescent="0.25">
      <c r="AG109" s="185">
        <v>44851</v>
      </c>
      <c r="AH109" s="83">
        <v>3.7690000000000001</v>
      </c>
      <c r="AI109" s="83">
        <v>4.2270000000000003</v>
      </c>
      <c r="AJ109" s="83">
        <v>45.716999999999999</v>
      </c>
    </row>
    <row r="110" spans="33:36" x14ac:dyDescent="0.25">
      <c r="AG110" s="185">
        <v>44850</v>
      </c>
      <c r="AH110" s="83">
        <v>3.7160000000000002</v>
      </c>
      <c r="AI110" s="83">
        <v>4.194</v>
      </c>
      <c r="AJ110" s="83">
        <v>47.811</v>
      </c>
    </row>
    <row r="111" spans="33:36" x14ac:dyDescent="0.25">
      <c r="AG111" s="185">
        <v>44849</v>
      </c>
      <c r="AH111" s="83">
        <v>3.7160000000000002</v>
      </c>
      <c r="AI111" s="83">
        <v>4.194</v>
      </c>
      <c r="AJ111" s="83">
        <v>47.811</v>
      </c>
    </row>
    <row r="112" spans="33:36" x14ac:dyDescent="0.25">
      <c r="AG112" s="185">
        <v>44848</v>
      </c>
      <c r="AH112" s="83">
        <v>3.7160000000000002</v>
      </c>
      <c r="AI112" s="83">
        <v>4.194</v>
      </c>
      <c r="AJ112" s="83">
        <v>47.811</v>
      </c>
    </row>
    <row r="113" spans="33:36" x14ac:dyDescent="0.25">
      <c r="AG113" s="185">
        <v>44847</v>
      </c>
      <c r="AH113" s="83">
        <v>3.7120000000000002</v>
      </c>
      <c r="AI113" s="83">
        <v>4.0789999999999997</v>
      </c>
      <c r="AJ113" s="83">
        <v>36.764000000000003</v>
      </c>
    </row>
    <row r="114" spans="33:36" x14ac:dyDescent="0.25">
      <c r="AG114" s="185">
        <v>44846</v>
      </c>
      <c r="AH114" s="83">
        <v>3.6219999999999999</v>
      </c>
      <c r="AI114" s="83">
        <v>4.0110000000000001</v>
      </c>
      <c r="AJ114" s="83">
        <v>38.926000000000002</v>
      </c>
    </row>
    <row r="115" spans="33:36" x14ac:dyDescent="0.25">
      <c r="AG115" s="185">
        <v>44845</v>
      </c>
      <c r="AH115" s="83">
        <v>3.4420000000000002</v>
      </c>
      <c r="AI115" s="83">
        <v>3.9409999999999998</v>
      </c>
      <c r="AJ115" s="83">
        <v>49.911000000000001</v>
      </c>
    </row>
    <row r="116" spans="33:36" x14ac:dyDescent="0.25">
      <c r="AG116" s="185">
        <v>44844</v>
      </c>
      <c r="AH116" s="83">
        <v>3.3650000000000002</v>
      </c>
      <c r="AI116" s="83">
        <v>3.919</v>
      </c>
      <c r="AJ116" s="83">
        <v>54.401000000000003</v>
      </c>
    </row>
    <row r="117" spans="33:36" x14ac:dyDescent="0.25">
      <c r="AG117" s="185">
        <v>44843</v>
      </c>
      <c r="AH117" s="83">
        <v>3.3650000000000002</v>
      </c>
      <c r="AI117" s="83">
        <v>3.9089999999999998</v>
      </c>
      <c r="AJ117" s="83">
        <v>54.401000000000003</v>
      </c>
    </row>
    <row r="118" spans="33:36" x14ac:dyDescent="0.25">
      <c r="AG118" s="185">
        <v>44842</v>
      </c>
      <c r="AH118" s="83">
        <v>3.3650000000000002</v>
      </c>
      <c r="AI118" s="83">
        <v>3.9089999999999998</v>
      </c>
      <c r="AJ118" s="83">
        <v>54.401000000000003</v>
      </c>
    </row>
    <row r="119" spans="33:36" x14ac:dyDescent="0.25">
      <c r="AG119" s="185">
        <v>44841</v>
      </c>
      <c r="AH119" s="83">
        <v>3.3650000000000002</v>
      </c>
      <c r="AI119" s="83">
        <v>3.9089999999999998</v>
      </c>
      <c r="AJ119" s="83">
        <v>54.401000000000003</v>
      </c>
    </row>
    <row r="120" spans="33:36" x14ac:dyDescent="0.25">
      <c r="AG120" s="185">
        <v>44840</v>
      </c>
      <c r="AH120" s="83">
        <v>3.3839999999999999</v>
      </c>
      <c r="AI120" s="83">
        <v>3.8260000000000001</v>
      </c>
      <c r="AJ120" s="83">
        <v>44.170999999999999</v>
      </c>
    </row>
    <row r="121" spans="33:36" x14ac:dyDescent="0.25">
      <c r="AG121" s="185">
        <v>44839</v>
      </c>
      <c r="AH121" s="83">
        <v>3.3769999999999998</v>
      </c>
      <c r="AI121" s="83">
        <v>3.7839999999999998</v>
      </c>
      <c r="AJ121" s="83">
        <v>40.74</v>
      </c>
    </row>
    <row r="122" spans="33:36" x14ac:dyDescent="0.25">
      <c r="AG122" s="185">
        <v>44838</v>
      </c>
      <c r="AH122" s="83">
        <v>3.387</v>
      </c>
      <c r="AI122" s="83">
        <v>3.7410000000000001</v>
      </c>
      <c r="AJ122" s="83">
        <v>35.350999999999999</v>
      </c>
    </row>
    <row r="123" spans="33:36" x14ac:dyDescent="0.25">
      <c r="AG123" s="185">
        <v>44837</v>
      </c>
      <c r="AH123" s="83">
        <v>3.2440000000000002</v>
      </c>
      <c r="AI123" s="83">
        <v>3.7480000000000002</v>
      </c>
      <c r="AJ123" s="83">
        <v>50.459000000000003</v>
      </c>
    </row>
    <row r="124" spans="33:36" x14ac:dyDescent="0.25">
      <c r="AG124" s="185">
        <v>44836</v>
      </c>
      <c r="AH124" s="83">
        <v>3.2669999999999999</v>
      </c>
      <c r="AI124" s="83">
        <v>3.7549999999999999</v>
      </c>
      <c r="AJ124" s="83">
        <v>48.750999999999998</v>
      </c>
    </row>
    <row r="125" spans="33:36" x14ac:dyDescent="0.25">
      <c r="AG125" s="185">
        <v>44835</v>
      </c>
      <c r="AH125" s="83">
        <v>3.2669999999999999</v>
      </c>
      <c r="AI125" s="83">
        <v>3.7549999999999999</v>
      </c>
      <c r="AJ125" s="83">
        <v>48.750999999999998</v>
      </c>
    </row>
    <row r="126" spans="33:36" x14ac:dyDescent="0.25">
      <c r="AG126" s="185">
        <v>44834</v>
      </c>
      <c r="AH126" s="83">
        <v>3.2669999999999999</v>
      </c>
      <c r="AI126" s="83">
        <v>3.7549999999999999</v>
      </c>
      <c r="AJ126" s="83">
        <v>48.750999999999998</v>
      </c>
    </row>
    <row r="127" spans="33:36" x14ac:dyDescent="0.25">
      <c r="AG127" s="185">
        <v>44833</v>
      </c>
      <c r="AH127" s="83">
        <v>3.3090000000000002</v>
      </c>
      <c r="AI127" s="83">
        <v>3.7429999999999999</v>
      </c>
      <c r="AJ127" s="83">
        <v>43.366</v>
      </c>
    </row>
    <row r="128" spans="33:36" x14ac:dyDescent="0.25">
      <c r="AG128" s="185">
        <v>44832</v>
      </c>
      <c r="AH128" s="83">
        <v>3.33</v>
      </c>
      <c r="AI128" s="83">
        <v>3.6739999999999999</v>
      </c>
      <c r="AJ128" s="83">
        <v>34.393999999999998</v>
      </c>
    </row>
    <row r="129" spans="33:36" x14ac:dyDescent="0.25">
      <c r="AG129" s="185">
        <v>44831</v>
      </c>
      <c r="AH129" s="83">
        <v>3.2919999999999998</v>
      </c>
      <c r="AI129" s="83">
        <v>3.6419999999999999</v>
      </c>
      <c r="AJ129" s="83">
        <v>35.006</v>
      </c>
    </row>
    <row r="130" spans="33:36" x14ac:dyDescent="0.25">
      <c r="AG130" s="185">
        <v>44830</v>
      </c>
      <c r="AH130" s="83">
        <v>3.2509999999999999</v>
      </c>
      <c r="AI130" s="83">
        <v>3.641</v>
      </c>
      <c r="AJ130" s="83">
        <v>38.945999999999998</v>
      </c>
    </row>
    <row r="131" spans="33:36" x14ac:dyDescent="0.25">
      <c r="AG131" s="185">
        <v>44829</v>
      </c>
      <c r="AH131" s="83">
        <v>3.1930000000000001</v>
      </c>
      <c r="AI131" s="83">
        <v>3.6280000000000001</v>
      </c>
      <c r="AJ131" s="83">
        <v>43.593000000000004</v>
      </c>
    </row>
    <row r="132" spans="33:36" x14ac:dyDescent="0.25">
      <c r="AG132" s="185">
        <v>44828</v>
      </c>
      <c r="AH132" s="83">
        <v>3.1930000000000001</v>
      </c>
      <c r="AI132" s="83">
        <v>3.6280000000000001</v>
      </c>
      <c r="AJ132" s="83">
        <v>43.593000000000004</v>
      </c>
    </row>
    <row r="133" spans="33:36" x14ac:dyDescent="0.25">
      <c r="AG133" s="185">
        <v>44827</v>
      </c>
      <c r="AH133" s="83">
        <v>3.1930000000000001</v>
      </c>
      <c r="AI133" s="83">
        <v>3.6280000000000001</v>
      </c>
      <c r="AJ133" s="83">
        <v>43.593000000000004</v>
      </c>
    </row>
    <row r="134" spans="33:36" x14ac:dyDescent="0.25">
      <c r="AG134" s="185">
        <v>44826</v>
      </c>
      <c r="AH134" s="83">
        <v>3.214</v>
      </c>
      <c r="AI134" s="83">
        <v>3.641</v>
      </c>
      <c r="AJ134" s="83">
        <v>42.743000000000002</v>
      </c>
    </row>
    <row r="135" spans="33:36" x14ac:dyDescent="0.25">
      <c r="AG135" s="185">
        <v>44825</v>
      </c>
      <c r="AH135" s="83">
        <v>3.2679999999999998</v>
      </c>
      <c r="AI135" s="83">
        <v>3.6040000000000001</v>
      </c>
      <c r="AJ135" s="83">
        <v>33.555999999999997</v>
      </c>
    </row>
    <row r="136" spans="33:36" x14ac:dyDescent="0.25">
      <c r="AG136" s="185">
        <v>44824</v>
      </c>
      <c r="AH136" s="83">
        <v>3.258</v>
      </c>
      <c r="AI136" s="83">
        <v>3.6019999999999999</v>
      </c>
      <c r="AJ136" s="83">
        <v>34.341000000000001</v>
      </c>
    </row>
    <row r="137" spans="33:36" x14ac:dyDescent="0.25">
      <c r="AG137" s="185">
        <v>44823</v>
      </c>
      <c r="AH137" s="83">
        <v>3.149</v>
      </c>
      <c r="AI137" s="83">
        <v>3.5649999999999999</v>
      </c>
      <c r="AJ137" s="83">
        <v>41.679000000000002</v>
      </c>
    </row>
    <row r="138" spans="33:36" x14ac:dyDescent="0.25">
      <c r="AG138" s="185">
        <v>44822</v>
      </c>
      <c r="AH138" s="83">
        <v>3.1440000000000001</v>
      </c>
      <c r="AI138" s="83">
        <v>3.5649999999999999</v>
      </c>
      <c r="AJ138" s="83">
        <v>42.168999999999997</v>
      </c>
    </row>
    <row r="139" spans="33:36" x14ac:dyDescent="0.25">
      <c r="AG139" s="185">
        <v>44821</v>
      </c>
      <c r="AH139" s="83">
        <v>3.1440000000000001</v>
      </c>
      <c r="AI139" s="83">
        <v>3.5649999999999999</v>
      </c>
      <c r="AJ139" s="83">
        <v>42.168999999999997</v>
      </c>
    </row>
    <row r="140" spans="33:36" x14ac:dyDescent="0.25">
      <c r="AG140" s="185">
        <v>44820</v>
      </c>
      <c r="AH140" s="83">
        <v>3.1440000000000001</v>
      </c>
      <c r="AI140" s="83">
        <v>3.5649999999999999</v>
      </c>
      <c r="AJ140" s="83">
        <v>42.168999999999997</v>
      </c>
    </row>
    <row r="141" spans="33:36" x14ac:dyDescent="0.25">
      <c r="AG141" s="185">
        <v>44819</v>
      </c>
      <c r="AH141" s="83">
        <v>3.16</v>
      </c>
      <c r="AI141" s="83">
        <v>3.5270000000000001</v>
      </c>
      <c r="AJ141" s="83">
        <v>36.723999999999997</v>
      </c>
    </row>
    <row r="142" spans="33:36" x14ac:dyDescent="0.25">
      <c r="AG142" s="185">
        <v>44818</v>
      </c>
      <c r="AH142" s="83">
        <v>3.2069999999999999</v>
      </c>
      <c r="AI142" s="83">
        <v>3.4830000000000001</v>
      </c>
      <c r="AJ142" s="83">
        <v>27.693000000000001</v>
      </c>
    </row>
    <row r="143" spans="33:36" x14ac:dyDescent="0.25">
      <c r="AG143" s="185">
        <v>44817</v>
      </c>
      <c r="AH143" s="83">
        <v>3.202</v>
      </c>
      <c r="AI143" s="83">
        <v>3.2930000000000001</v>
      </c>
      <c r="AJ143" s="83">
        <v>9.0969999999999995</v>
      </c>
    </row>
    <row r="144" spans="33:36" x14ac:dyDescent="0.25">
      <c r="AG144" s="185">
        <v>44816</v>
      </c>
      <c r="AH144" s="83">
        <v>3.0910000000000002</v>
      </c>
      <c r="AI144" s="83">
        <v>3.27</v>
      </c>
      <c r="AJ144" s="83">
        <v>17.893999999999998</v>
      </c>
    </row>
    <row r="145" spans="33:36" x14ac:dyDescent="0.25">
      <c r="AG145" s="185">
        <v>44815</v>
      </c>
      <c r="AH145" s="83">
        <v>3.0430000000000001</v>
      </c>
      <c r="AI145" s="83">
        <v>3.2450000000000001</v>
      </c>
      <c r="AJ145" s="83">
        <v>20.213000000000001</v>
      </c>
    </row>
    <row r="146" spans="33:36" x14ac:dyDescent="0.25">
      <c r="AG146" s="185">
        <v>44814</v>
      </c>
      <c r="AH146" s="83">
        <v>3.0430000000000001</v>
      </c>
      <c r="AI146" s="83">
        <v>3.2450000000000001</v>
      </c>
      <c r="AJ146" s="83">
        <v>20.213000000000001</v>
      </c>
    </row>
    <row r="147" spans="33:36" x14ac:dyDescent="0.25">
      <c r="AG147" s="185">
        <v>44813</v>
      </c>
      <c r="AH147" s="83">
        <v>3.0430000000000001</v>
      </c>
      <c r="AI147" s="83">
        <v>3.2450000000000001</v>
      </c>
      <c r="AJ147" s="83">
        <v>20.213000000000001</v>
      </c>
    </row>
    <row r="148" spans="33:36" x14ac:dyDescent="0.25">
      <c r="AG148" s="185">
        <v>44812</v>
      </c>
      <c r="AH148" s="83">
        <v>3.0289999999999999</v>
      </c>
      <c r="AI148" s="83">
        <v>3.2360000000000002</v>
      </c>
      <c r="AJ148" s="83">
        <v>20.710999999999999</v>
      </c>
    </row>
    <row r="149" spans="33:36" x14ac:dyDescent="0.25">
      <c r="AG149" s="185">
        <v>44811</v>
      </c>
      <c r="AH149" s="83">
        <v>3.016</v>
      </c>
      <c r="AI149" s="83">
        <v>3.194</v>
      </c>
      <c r="AJ149" s="83">
        <v>17.8</v>
      </c>
    </row>
    <row r="150" spans="33:36" x14ac:dyDescent="0.25">
      <c r="AG150" s="185">
        <v>44810</v>
      </c>
      <c r="AH150" s="83">
        <v>2.9449999999999998</v>
      </c>
      <c r="AI150" s="83">
        <v>3.1680000000000001</v>
      </c>
      <c r="AJ150" s="83">
        <v>22.276</v>
      </c>
    </row>
    <row r="151" spans="33:36" x14ac:dyDescent="0.25">
      <c r="AG151" s="185">
        <v>44809</v>
      </c>
      <c r="AH151" s="83">
        <v>2.9039999999999999</v>
      </c>
      <c r="AI151" s="83">
        <v>3.145</v>
      </c>
      <c r="AJ151" s="83">
        <v>24.056000000000001</v>
      </c>
    </row>
    <row r="152" spans="33:36" x14ac:dyDescent="0.25">
      <c r="AG152" s="185">
        <v>44808</v>
      </c>
      <c r="AH152" s="83">
        <v>2.9039999999999999</v>
      </c>
      <c r="AI152" s="83">
        <v>3.1579999999999999</v>
      </c>
      <c r="AJ152" s="83">
        <v>25.384</v>
      </c>
    </row>
    <row r="153" spans="33:36" x14ac:dyDescent="0.25">
      <c r="AG153" s="185">
        <v>44807</v>
      </c>
      <c r="AH153" s="83">
        <v>2.9039999999999999</v>
      </c>
      <c r="AI153" s="83">
        <v>3.1579999999999999</v>
      </c>
      <c r="AJ153" s="83">
        <v>25.384</v>
      </c>
    </row>
    <row r="154" spans="33:36" x14ac:dyDescent="0.25">
      <c r="AG154" s="185">
        <v>44806</v>
      </c>
      <c r="AH154" s="83">
        <v>2.9039999999999999</v>
      </c>
      <c r="AI154" s="83">
        <v>3.1579999999999999</v>
      </c>
      <c r="AJ154" s="83">
        <v>25.384</v>
      </c>
    </row>
    <row r="155" spans="33:36" x14ac:dyDescent="0.25">
      <c r="AG155" s="185">
        <v>44805</v>
      </c>
      <c r="AH155" s="83">
        <v>2.9359999999999999</v>
      </c>
      <c r="AI155" s="83">
        <v>3.1440000000000001</v>
      </c>
      <c r="AJ155" s="83">
        <v>20.814</v>
      </c>
    </row>
    <row r="156" spans="33:36" x14ac:dyDescent="0.25">
      <c r="AG156" s="185">
        <v>44804</v>
      </c>
      <c r="AH156" s="83">
        <v>2.931</v>
      </c>
      <c r="AI156" s="83">
        <v>3.1</v>
      </c>
      <c r="AJ156" s="83">
        <v>16.861000000000001</v>
      </c>
    </row>
    <row r="157" spans="33:36" x14ac:dyDescent="0.25">
      <c r="AG157" s="185">
        <v>44803</v>
      </c>
      <c r="AH157" s="83">
        <v>2.9129999999999998</v>
      </c>
      <c r="AI157" s="83">
        <v>3.0819999999999999</v>
      </c>
      <c r="AJ157" s="83">
        <v>16.873999999999999</v>
      </c>
    </row>
    <row r="158" spans="33:36" x14ac:dyDescent="0.25">
      <c r="AG158" s="185">
        <v>44802</v>
      </c>
      <c r="AH158" s="83">
        <v>2.8889999999999998</v>
      </c>
      <c r="AI158" s="83">
        <v>3.07</v>
      </c>
      <c r="AJ158" s="83">
        <v>18.047000000000001</v>
      </c>
    </row>
    <row r="159" spans="33:36" x14ac:dyDescent="0.25">
      <c r="AG159" s="185">
        <v>44801</v>
      </c>
      <c r="AH159" s="83">
        <v>2.859</v>
      </c>
      <c r="AI159" s="83">
        <v>3.07</v>
      </c>
      <c r="AJ159" s="83">
        <v>21.106999999999999</v>
      </c>
    </row>
    <row r="160" spans="33:36" x14ac:dyDescent="0.25">
      <c r="AG160" s="185">
        <v>44800</v>
      </c>
      <c r="AH160" s="83">
        <v>2.859</v>
      </c>
      <c r="AI160" s="83">
        <v>3.07</v>
      </c>
      <c r="AJ160" s="83">
        <v>21.106999999999999</v>
      </c>
    </row>
    <row r="161" spans="33:36" x14ac:dyDescent="0.25">
      <c r="AG161" s="185">
        <v>44799</v>
      </c>
      <c r="AH161" s="83">
        <v>2.859</v>
      </c>
      <c r="AI161" s="83">
        <v>3.07</v>
      </c>
      <c r="AJ161" s="83">
        <v>21.106999999999999</v>
      </c>
    </row>
    <row r="162" spans="33:36" x14ac:dyDescent="0.25">
      <c r="AG162" s="185">
        <v>44798</v>
      </c>
      <c r="AH162" s="83">
        <v>2.8050000000000002</v>
      </c>
      <c r="AI162" s="83">
        <v>3.0430000000000001</v>
      </c>
      <c r="AJ162" s="83">
        <v>23.803999999999998</v>
      </c>
    </row>
    <row r="163" spans="33:36" x14ac:dyDescent="0.25">
      <c r="AG163" s="185">
        <v>44797</v>
      </c>
      <c r="AH163" s="83">
        <v>2.7770000000000001</v>
      </c>
      <c r="AI163" s="83">
        <v>3.01</v>
      </c>
      <c r="AJ163" s="83">
        <v>23.29</v>
      </c>
    </row>
    <row r="164" spans="33:36" x14ac:dyDescent="0.25">
      <c r="AG164" s="185">
        <v>44796</v>
      </c>
      <c r="AH164" s="83">
        <v>2.7210000000000001</v>
      </c>
      <c r="AI164" s="83">
        <v>2.9969999999999999</v>
      </c>
      <c r="AJ164" s="83">
        <v>27.616</v>
      </c>
    </row>
    <row r="165" spans="33:36" x14ac:dyDescent="0.25">
      <c r="AG165" s="185">
        <v>44795</v>
      </c>
      <c r="AH165" s="83">
        <v>2.7349999999999999</v>
      </c>
      <c r="AI165" s="83">
        <v>2.98</v>
      </c>
      <c r="AJ165" s="83">
        <v>24.501000000000001</v>
      </c>
    </row>
    <row r="166" spans="33:36" x14ac:dyDescent="0.25">
      <c r="AG166" s="185">
        <v>44794</v>
      </c>
      <c r="AH166" s="83">
        <v>2.6659999999999999</v>
      </c>
      <c r="AI166" s="83">
        <v>2.9580000000000002</v>
      </c>
      <c r="AJ166" s="83">
        <v>29.210999999999999</v>
      </c>
    </row>
    <row r="167" spans="33:36" x14ac:dyDescent="0.25">
      <c r="AG167" s="185">
        <v>44793</v>
      </c>
      <c r="AH167" s="83">
        <v>2.6659999999999999</v>
      </c>
      <c r="AI167" s="83">
        <v>2.9580000000000002</v>
      </c>
      <c r="AJ167" s="83">
        <v>29.210999999999999</v>
      </c>
    </row>
    <row r="168" spans="33:36" x14ac:dyDescent="0.25">
      <c r="AG168" s="185">
        <v>44792</v>
      </c>
      <c r="AH168" s="83">
        <v>2.6659999999999999</v>
      </c>
      <c r="AI168" s="83">
        <v>2.9580000000000002</v>
      </c>
      <c r="AJ168" s="83">
        <v>29.210999999999999</v>
      </c>
    </row>
    <row r="169" spans="33:36" x14ac:dyDescent="0.25">
      <c r="AG169" s="185">
        <v>44791</v>
      </c>
      <c r="AH169" s="83">
        <v>2.6509999999999998</v>
      </c>
      <c r="AI169" s="83">
        <v>2.984</v>
      </c>
      <c r="AJ169" s="83">
        <v>33.32</v>
      </c>
    </row>
    <row r="170" spans="33:36" x14ac:dyDescent="0.25">
      <c r="AG170" s="185">
        <v>44790</v>
      </c>
      <c r="AH170" s="83">
        <v>2.6280000000000001</v>
      </c>
      <c r="AI170" s="83">
        <v>2.9769999999999999</v>
      </c>
      <c r="AJ170" s="83">
        <v>34.866999999999997</v>
      </c>
    </row>
    <row r="171" spans="33:36" x14ac:dyDescent="0.25">
      <c r="AG171" s="185">
        <v>44789</v>
      </c>
      <c r="AH171" s="83">
        <v>2.6459999999999999</v>
      </c>
      <c r="AI171" s="83">
        <v>2.9609999999999999</v>
      </c>
      <c r="AJ171" s="83">
        <v>31.457000000000001</v>
      </c>
    </row>
    <row r="172" spans="33:36" x14ac:dyDescent="0.25">
      <c r="AG172" s="185">
        <v>44788</v>
      </c>
      <c r="AH172" s="83">
        <v>2.5910000000000002</v>
      </c>
      <c r="AI172" s="83">
        <v>2.9420000000000002</v>
      </c>
      <c r="AJ172" s="83">
        <v>35.085999999999999</v>
      </c>
    </row>
    <row r="173" spans="33:36" x14ac:dyDescent="0.25">
      <c r="AG173" s="185">
        <v>44787</v>
      </c>
      <c r="AH173" s="83">
        <v>2.56</v>
      </c>
      <c r="AI173" s="83">
        <v>2.9220000000000002</v>
      </c>
      <c r="AJ173" s="83">
        <v>36.116999999999997</v>
      </c>
    </row>
    <row r="174" spans="33:36" x14ac:dyDescent="0.25">
      <c r="AG174" s="185">
        <v>44786</v>
      </c>
      <c r="AH174" s="83">
        <v>2.56</v>
      </c>
      <c r="AI174" s="83">
        <v>2.9220000000000002</v>
      </c>
      <c r="AJ174" s="83">
        <v>36.116999999999997</v>
      </c>
    </row>
    <row r="175" spans="33:36" x14ac:dyDescent="0.25">
      <c r="AG175" s="185">
        <v>44785</v>
      </c>
      <c r="AH175" s="83">
        <v>2.56</v>
      </c>
      <c r="AI175" s="83">
        <v>2.9220000000000002</v>
      </c>
      <c r="AJ175" s="83">
        <v>36.116999999999997</v>
      </c>
    </row>
    <row r="176" spans="33:36" x14ac:dyDescent="0.25">
      <c r="AG176" s="185">
        <v>44784</v>
      </c>
      <c r="AH176" s="83">
        <v>2.548</v>
      </c>
      <c r="AI176" s="83">
        <v>2.9049999999999998</v>
      </c>
      <c r="AJ176" s="83">
        <v>35.704000000000001</v>
      </c>
    </row>
    <row r="177" spans="33:36" x14ac:dyDescent="0.25">
      <c r="AG177" s="185">
        <v>44783</v>
      </c>
      <c r="AH177" s="83">
        <v>2.597</v>
      </c>
      <c r="AI177" s="83">
        <v>2.923</v>
      </c>
      <c r="AJ177" s="83">
        <v>32.561</v>
      </c>
    </row>
    <row r="178" spans="33:36" x14ac:dyDescent="0.25">
      <c r="AG178" s="185">
        <v>44782</v>
      </c>
      <c r="AH178" s="83">
        <v>2.6179999999999999</v>
      </c>
      <c r="AI178" s="83">
        <v>2.9209999999999998</v>
      </c>
      <c r="AJ178" s="83">
        <v>30.32</v>
      </c>
    </row>
    <row r="179" spans="33:36" x14ac:dyDescent="0.25">
      <c r="AG179" s="185">
        <v>44781</v>
      </c>
      <c r="AH179" s="83">
        <v>2.5190000000000001</v>
      </c>
      <c r="AI179" s="83">
        <v>2.9119999999999999</v>
      </c>
      <c r="AJ179" s="83">
        <v>39.237000000000002</v>
      </c>
    </row>
    <row r="180" spans="33:36" x14ac:dyDescent="0.25">
      <c r="AG180" s="185">
        <v>44780</v>
      </c>
      <c r="AH180" s="83">
        <v>2.504</v>
      </c>
      <c r="AI180" s="83">
        <v>2.867</v>
      </c>
      <c r="AJ180" s="83">
        <v>36.271000000000001</v>
      </c>
    </row>
    <row r="181" spans="33:36" x14ac:dyDescent="0.25">
      <c r="AG181" s="185">
        <v>44779</v>
      </c>
      <c r="AH181" s="83">
        <v>2.504</v>
      </c>
      <c r="AI181" s="83">
        <v>2.867</v>
      </c>
      <c r="AJ181" s="83">
        <v>36.271000000000001</v>
      </c>
    </row>
    <row r="182" spans="33:36" x14ac:dyDescent="0.25">
      <c r="AG182" s="185">
        <v>44778</v>
      </c>
      <c r="AH182" s="83">
        <v>2.504</v>
      </c>
      <c r="AI182" s="83">
        <v>2.867</v>
      </c>
      <c r="AJ182" s="83">
        <v>36.271000000000001</v>
      </c>
    </row>
    <row r="183" spans="33:36" x14ac:dyDescent="0.25">
      <c r="AG183" s="185">
        <v>44777</v>
      </c>
      <c r="AH183" s="83">
        <v>2.4380000000000002</v>
      </c>
      <c r="AI183" s="83">
        <v>2.863</v>
      </c>
      <c r="AJ183" s="83">
        <v>42.548999999999999</v>
      </c>
    </row>
    <row r="184" spans="33:36" x14ac:dyDescent="0.25">
      <c r="AG184" s="185">
        <v>44776</v>
      </c>
      <c r="AH184" s="83">
        <v>2.4870000000000001</v>
      </c>
      <c r="AI184" s="83">
        <v>2.8319999999999999</v>
      </c>
      <c r="AJ184" s="83">
        <v>34.558999999999997</v>
      </c>
    </row>
    <row r="185" spans="33:36" x14ac:dyDescent="0.25">
      <c r="AG185" s="185">
        <v>44775</v>
      </c>
      <c r="AH185" s="83">
        <v>2.4969999999999999</v>
      </c>
      <c r="AI185" s="83">
        <v>2.8069999999999999</v>
      </c>
      <c r="AJ185" s="83">
        <v>30.99</v>
      </c>
    </row>
    <row r="186" spans="33:36" x14ac:dyDescent="0.25">
      <c r="AG186" s="185">
        <v>44774</v>
      </c>
      <c r="AH186" s="83">
        <v>2.34</v>
      </c>
      <c r="AI186" s="83">
        <v>2.802</v>
      </c>
      <c r="AJ186" s="83">
        <v>46.244</v>
      </c>
    </row>
    <row r="187" spans="33:36" x14ac:dyDescent="0.25">
      <c r="AG187" s="185">
        <v>44773</v>
      </c>
      <c r="AH187" s="83">
        <v>2.371</v>
      </c>
      <c r="AI187" s="83">
        <v>2.7879999999999998</v>
      </c>
      <c r="AJ187" s="83">
        <v>41.768999999999998</v>
      </c>
    </row>
    <row r="188" spans="33:36" x14ac:dyDescent="0.25">
      <c r="AG188" s="185">
        <v>44772</v>
      </c>
      <c r="AH188" s="83">
        <v>2.371</v>
      </c>
      <c r="AI188" s="83">
        <v>2.7879999999999998</v>
      </c>
      <c r="AJ188" s="83">
        <v>41.768999999999998</v>
      </c>
    </row>
    <row r="189" spans="33:36" x14ac:dyDescent="0.25">
      <c r="AG189" s="185">
        <v>44771</v>
      </c>
      <c r="AH189" s="83">
        <v>2.371</v>
      </c>
      <c r="AI189" s="83">
        <v>2.7879999999999998</v>
      </c>
      <c r="AJ189" s="83">
        <v>41.768999999999998</v>
      </c>
    </row>
    <row r="190" spans="33:36" x14ac:dyDescent="0.25">
      <c r="AG190" s="185">
        <v>44770</v>
      </c>
      <c r="AH190" s="83">
        <v>2.3690000000000002</v>
      </c>
      <c r="AI190" s="83">
        <v>2.782</v>
      </c>
      <c r="AJ190" s="83">
        <v>41.378999999999998</v>
      </c>
    </row>
    <row r="191" spans="33:36" x14ac:dyDescent="0.25">
      <c r="AG191" s="185">
        <v>44769</v>
      </c>
      <c r="AH191" s="83">
        <v>2.415</v>
      </c>
      <c r="AI191" s="83">
        <v>2.806</v>
      </c>
      <c r="AJ191" s="83">
        <v>39.106000000000002</v>
      </c>
    </row>
    <row r="192" spans="33:36" x14ac:dyDescent="0.25">
      <c r="AG192" s="185">
        <v>44768</v>
      </c>
      <c r="AH192" s="83">
        <v>2.5070000000000001</v>
      </c>
      <c r="AI192" s="83">
        <v>2.7930000000000001</v>
      </c>
      <c r="AJ192" s="83">
        <v>28.545999999999999</v>
      </c>
    </row>
    <row r="193" spans="33:36" x14ac:dyDescent="0.25">
      <c r="AG193" s="185">
        <v>44767</v>
      </c>
      <c r="AH193" s="83">
        <v>2.468</v>
      </c>
      <c r="AI193" s="83">
        <v>2.7690000000000001</v>
      </c>
      <c r="AJ193" s="83">
        <v>30.138999999999999</v>
      </c>
    </row>
    <row r="194" spans="33:36" x14ac:dyDescent="0.25">
      <c r="AG194" s="185">
        <v>44766</v>
      </c>
      <c r="AH194" s="83">
        <v>2.4249999999999998</v>
      </c>
      <c r="AI194" s="83">
        <v>2.766</v>
      </c>
      <c r="AJ194" s="83">
        <v>34.179000000000002</v>
      </c>
    </row>
    <row r="195" spans="33:36" x14ac:dyDescent="0.25">
      <c r="AG195" s="185">
        <v>44765</v>
      </c>
      <c r="AH195" s="83">
        <v>2.4249999999999998</v>
      </c>
      <c r="AI195" s="83">
        <v>2.766</v>
      </c>
      <c r="AJ195" s="83">
        <v>34.179000000000002</v>
      </c>
    </row>
    <row r="196" spans="33:36" x14ac:dyDescent="0.25">
      <c r="AG196" s="185">
        <v>44764</v>
      </c>
      <c r="AH196" s="83">
        <v>2.4249999999999998</v>
      </c>
      <c r="AI196" s="83">
        <v>2.766</v>
      </c>
      <c r="AJ196" s="83">
        <v>34.179000000000002</v>
      </c>
    </row>
    <row r="197" spans="33:36" x14ac:dyDescent="0.25">
      <c r="AG197" s="185">
        <v>44763</v>
      </c>
      <c r="AH197" s="83">
        <v>2.4380000000000002</v>
      </c>
      <c r="AI197" s="83">
        <v>2.7829999999999999</v>
      </c>
      <c r="AJ197" s="83">
        <v>34.520000000000003</v>
      </c>
    </row>
    <row r="198" spans="33:36" x14ac:dyDescent="0.25">
      <c r="AG198" s="185">
        <v>44762</v>
      </c>
      <c r="AH198" s="83">
        <v>2.4689999999999999</v>
      </c>
      <c r="AI198" s="83">
        <v>2.7589999999999999</v>
      </c>
      <c r="AJ198" s="83">
        <v>29.03</v>
      </c>
    </row>
    <row r="199" spans="33:36" x14ac:dyDescent="0.25">
      <c r="AG199" s="185">
        <v>44761</v>
      </c>
      <c r="AH199" s="83">
        <v>2.484</v>
      </c>
      <c r="AI199" s="83">
        <v>2.7320000000000002</v>
      </c>
      <c r="AJ199" s="83">
        <v>24.741</v>
      </c>
    </row>
    <row r="200" spans="33:36" x14ac:dyDescent="0.25">
      <c r="AG200" s="185">
        <v>44760</v>
      </c>
      <c r="AH200" s="83">
        <v>2.327</v>
      </c>
      <c r="AI200" s="83">
        <v>2.71</v>
      </c>
      <c r="AJ200" s="83">
        <v>38.295999999999999</v>
      </c>
    </row>
    <row r="201" spans="33:36" x14ac:dyDescent="0.25">
      <c r="AG201" s="185">
        <v>44759</v>
      </c>
      <c r="AH201" s="83">
        <v>2.34</v>
      </c>
      <c r="AI201" s="83">
        <v>2.738</v>
      </c>
      <c r="AJ201" s="83">
        <v>39.767000000000003</v>
      </c>
    </row>
    <row r="202" spans="33:36" x14ac:dyDescent="0.25">
      <c r="AG202" s="185">
        <v>44758</v>
      </c>
      <c r="AH202" s="83">
        <v>2.34</v>
      </c>
      <c r="AI202" s="83">
        <v>2.738</v>
      </c>
      <c r="AJ202" s="83">
        <v>39.767000000000003</v>
      </c>
    </row>
    <row r="203" spans="33:36" x14ac:dyDescent="0.25">
      <c r="AG203" s="185">
        <v>44757</v>
      </c>
      <c r="AH203" s="83">
        <v>2.34</v>
      </c>
      <c r="AI203" s="83">
        <v>2.738</v>
      </c>
      <c r="AJ203" s="83">
        <v>39.767000000000003</v>
      </c>
    </row>
    <row r="204" spans="33:36" x14ac:dyDescent="0.25">
      <c r="AG204" s="185">
        <v>44756</v>
      </c>
      <c r="AH204" s="83">
        <v>2.3559999999999999</v>
      </c>
      <c r="AI204" s="83">
        <v>2.74</v>
      </c>
      <c r="AJ204" s="83">
        <v>38.459000000000003</v>
      </c>
    </row>
    <row r="205" spans="33:36" x14ac:dyDescent="0.25">
      <c r="AG205" s="185">
        <v>44755</v>
      </c>
      <c r="AH205" s="83">
        <v>2.3690000000000002</v>
      </c>
      <c r="AI205" s="83">
        <v>2.512</v>
      </c>
      <c r="AJ205" s="83">
        <v>14.33</v>
      </c>
    </row>
    <row r="206" spans="33:36" x14ac:dyDescent="0.25">
      <c r="AG206" s="185">
        <v>44754</v>
      </c>
      <c r="AH206" s="83">
        <v>2.0299999999999998</v>
      </c>
      <c r="AI206" s="83">
        <v>2.4830000000000001</v>
      </c>
      <c r="AJ206" s="83">
        <v>45.33</v>
      </c>
    </row>
    <row r="207" spans="33:36" x14ac:dyDescent="0.25">
      <c r="AG207" s="185">
        <v>44753</v>
      </c>
      <c r="AH207" s="83">
        <v>2.032</v>
      </c>
      <c r="AI207" s="83">
        <v>2.4550000000000001</v>
      </c>
      <c r="AJ207" s="83">
        <v>42.274000000000001</v>
      </c>
    </row>
    <row r="208" spans="33:36" x14ac:dyDescent="0.25">
      <c r="AG208" s="185">
        <v>44752</v>
      </c>
      <c r="AH208" s="83">
        <v>1.917</v>
      </c>
      <c r="AI208" s="83">
        <v>2.423</v>
      </c>
      <c r="AJ208" s="83">
        <v>50.56</v>
      </c>
    </row>
    <row r="209" spans="33:36" x14ac:dyDescent="0.25">
      <c r="AG209" s="185">
        <v>44751</v>
      </c>
      <c r="AH209" s="83">
        <v>1.917</v>
      </c>
      <c r="AI209" s="83">
        <v>2.423</v>
      </c>
      <c r="AJ209" s="83">
        <v>50.56</v>
      </c>
    </row>
    <row r="210" spans="33:36" x14ac:dyDescent="0.25">
      <c r="AG210" s="185">
        <v>44750</v>
      </c>
      <c r="AH210" s="83">
        <v>1.917</v>
      </c>
      <c r="AI210" s="83">
        <v>2.423</v>
      </c>
      <c r="AJ210" s="83">
        <v>50.56</v>
      </c>
    </row>
    <row r="211" spans="33:36" x14ac:dyDescent="0.25">
      <c r="AG211" s="185">
        <v>44749</v>
      </c>
      <c r="AH211" s="83">
        <v>1.9359999999999999</v>
      </c>
      <c r="AI211" s="83">
        <v>2.4279999999999999</v>
      </c>
      <c r="AJ211" s="83">
        <v>49.197000000000003</v>
      </c>
    </row>
    <row r="212" spans="33:36" x14ac:dyDescent="0.25">
      <c r="AG212" s="185">
        <v>44748</v>
      </c>
      <c r="AH212" s="83">
        <v>1.9</v>
      </c>
      <c r="AI212" s="83">
        <v>2.391</v>
      </c>
      <c r="AJ212" s="83">
        <v>49.067</v>
      </c>
    </row>
    <row r="213" spans="33:36" x14ac:dyDescent="0.25">
      <c r="AG213" s="185">
        <v>44747</v>
      </c>
      <c r="AH213" s="83">
        <v>1.6850000000000001</v>
      </c>
      <c r="AI213" s="83">
        <v>2.3479999999999999</v>
      </c>
      <c r="AJ213" s="83">
        <v>66.369</v>
      </c>
    </row>
    <row r="214" spans="33:36" x14ac:dyDescent="0.25">
      <c r="AG214" s="185">
        <v>44746</v>
      </c>
      <c r="AH214" s="83">
        <v>1.6739999999999999</v>
      </c>
      <c r="AI214" s="83">
        <v>2.3220000000000001</v>
      </c>
      <c r="AJ214" s="83">
        <v>64.730999999999995</v>
      </c>
    </row>
    <row r="215" spans="33:36" x14ac:dyDescent="0.25">
      <c r="AG215" s="185">
        <v>44745</v>
      </c>
      <c r="AH215" s="83">
        <v>1.6739999999999999</v>
      </c>
      <c r="AI215" s="83">
        <v>2.2930000000000001</v>
      </c>
      <c r="AJ215" s="83">
        <v>61.845999999999997</v>
      </c>
    </row>
    <row r="216" spans="33:36" x14ac:dyDescent="0.25">
      <c r="AG216" s="185">
        <v>44744</v>
      </c>
      <c r="AH216" s="83">
        <v>1.6739999999999999</v>
      </c>
      <c r="AI216" s="83">
        <v>2.2930000000000001</v>
      </c>
      <c r="AJ216" s="83">
        <v>61.845999999999997</v>
      </c>
    </row>
    <row r="217" spans="33:36" x14ac:dyDescent="0.25">
      <c r="AG217" s="185">
        <v>44743</v>
      </c>
      <c r="AH217" s="83">
        <v>1.6739999999999999</v>
      </c>
      <c r="AI217" s="83">
        <v>2.2930000000000001</v>
      </c>
      <c r="AJ217" s="83">
        <v>61.845999999999997</v>
      </c>
    </row>
    <row r="218" spans="33:36" x14ac:dyDescent="0.25">
      <c r="AG218" s="185">
        <v>44742</v>
      </c>
      <c r="AH218" s="83">
        <v>1.667</v>
      </c>
      <c r="AI218" s="83">
        <v>2.2850000000000001</v>
      </c>
      <c r="AJ218" s="83">
        <v>61.804000000000002</v>
      </c>
    </row>
    <row r="219" spans="33:36" x14ac:dyDescent="0.25">
      <c r="AG219" s="185">
        <v>44741</v>
      </c>
      <c r="AH219" s="83">
        <v>1.7230000000000001</v>
      </c>
      <c r="AI219" s="83">
        <v>2.2770000000000001</v>
      </c>
      <c r="AJ219" s="83">
        <v>55.374000000000002</v>
      </c>
    </row>
    <row r="220" spans="33:36" x14ac:dyDescent="0.25">
      <c r="AG220" s="185">
        <v>44740</v>
      </c>
      <c r="AH220" s="83">
        <v>1.6970000000000001</v>
      </c>
      <c r="AI220" s="83">
        <v>2.25</v>
      </c>
      <c r="AJ220" s="83">
        <v>55.313000000000002</v>
      </c>
    </row>
    <row r="221" spans="33:36" x14ac:dyDescent="0.25">
      <c r="AG221" s="185">
        <v>44739</v>
      </c>
      <c r="AH221" s="83">
        <v>1.669</v>
      </c>
      <c r="AI221" s="83">
        <v>2.2320000000000002</v>
      </c>
      <c r="AJ221" s="83">
        <v>56.226999999999997</v>
      </c>
    </row>
    <row r="222" spans="33:36" x14ac:dyDescent="0.25">
      <c r="AG222" s="185">
        <v>44738</v>
      </c>
      <c r="AH222" s="83">
        <v>1.6639999999999999</v>
      </c>
      <c r="AI222" s="83">
        <v>2.234</v>
      </c>
      <c r="AJ222" s="83">
        <v>57.012999999999998</v>
      </c>
    </row>
    <row r="223" spans="33:36" x14ac:dyDescent="0.25">
      <c r="AG223" s="185">
        <v>44737</v>
      </c>
      <c r="AH223" s="83">
        <v>1.6639999999999999</v>
      </c>
      <c r="AI223" s="83">
        <v>2.234</v>
      </c>
      <c r="AJ223" s="83">
        <v>57.012999999999998</v>
      </c>
    </row>
    <row r="224" spans="33:36" x14ac:dyDescent="0.25">
      <c r="AG224" s="185">
        <v>44736</v>
      </c>
      <c r="AH224" s="83">
        <v>1.6639999999999999</v>
      </c>
      <c r="AI224" s="83">
        <v>2.234</v>
      </c>
      <c r="AJ224" s="83">
        <v>57.012999999999998</v>
      </c>
    </row>
    <row r="225" spans="33:36" x14ac:dyDescent="0.25">
      <c r="AG225" s="185">
        <v>44735</v>
      </c>
      <c r="AH225" s="83">
        <v>1.601</v>
      </c>
      <c r="AI225" s="83">
        <v>2.1970000000000001</v>
      </c>
      <c r="AJ225" s="83">
        <v>59.668999999999997</v>
      </c>
    </row>
    <row r="226" spans="33:36" x14ac:dyDescent="0.25">
      <c r="AG226" s="185">
        <v>44734</v>
      </c>
      <c r="AH226" s="83">
        <v>1.5620000000000001</v>
      </c>
      <c r="AI226" s="83">
        <v>2.1850000000000001</v>
      </c>
      <c r="AJ226" s="83">
        <v>62.216999999999999</v>
      </c>
    </row>
    <row r="227" spans="33:36" x14ac:dyDescent="0.25">
      <c r="AG227" s="185">
        <v>44733</v>
      </c>
      <c r="AH227" s="83">
        <v>1.552</v>
      </c>
      <c r="AI227" s="83">
        <v>2.1539999999999999</v>
      </c>
      <c r="AJ227" s="83">
        <v>60.262999999999998</v>
      </c>
    </row>
    <row r="228" spans="33:36" x14ac:dyDescent="0.25">
      <c r="AG228" s="185">
        <v>44732</v>
      </c>
      <c r="AH228" s="83">
        <v>1.6080000000000001</v>
      </c>
      <c r="AI228" s="83">
        <v>2.1230000000000002</v>
      </c>
      <c r="AJ228" s="83">
        <v>51.533000000000001</v>
      </c>
    </row>
    <row r="229" spans="33:36" x14ac:dyDescent="0.25">
      <c r="AG229" s="185">
        <v>44731</v>
      </c>
      <c r="AH229" s="83">
        <v>1.6080000000000001</v>
      </c>
      <c r="AI229" s="83">
        <v>2.0960000000000001</v>
      </c>
      <c r="AJ229" s="83">
        <v>48.776000000000003</v>
      </c>
    </row>
    <row r="230" spans="33:36" x14ac:dyDescent="0.25">
      <c r="AG230" s="185">
        <v>44730</v>
      </c>
      <c r="AH230" s="83">
        <v>1.6080000000000001</v>
      </c>
      <c r="AI230" s="83">
        <v>2.0960000000000001</v>
      </c>
      <c r="AJ230" s="83">
        <v>48.776000000000003</v>
      </c>
    </row>
    <row r="231" spans="33:36" x14ac:dyDescent="0.25">
      <c r="AG231" s="185">
        <v>44729</v>
      </c>
      <c r="AH231" s="83">
        <v>1.6080000000000001</v>
      </c>
      <c r="AI231" s="83">
        <v>2.0960000000000001</v>
      </c>
      <c r="AJ231" s="83">
        <v>48.776000000000003</v>
      </c>
    </row>
    <row r="232" spans="33:36" x14ac:dyDescent="0.25">
      <c r="AG232" s="185">
        <v>44728</v>
      </c>
      <c r="AH232" s="83">
        <v>1.5369999999999999</v>
      </c>
      <c r="AI232" s="83">
        <v>2.0630000000000002</v>
      </c>
      <c r="AJ232" s="83">
        <v>52.662999999999997</v>
      </c>
    </row>
    <row r="233" spans="33:36" x14ac:dyDescent="0.25">
      <c r="AG233" s="185">
        <v>44727</v>
      </c>
      <c r="AH233" s="83">
        <v>1.6339999999999999</v>
      </c>
      <c r="AI233" s="83">
        <v>2.0299999999999998</v>
      </c>
      <c r="AJ233" s="83">
        <v>39.567</v>
      </c>
    </row>
    <row r="234" spans="33:36" x14ac:dyDescent="0.25">
      <c r="AG234" s="185">
        <v>44726</v>
      </c>
      <c r="AH234" s="83">
        <v>1.7869999999999999</v>
      </c>
      <c r="AI234" s="83">
        <v>2.0030000000000001</v>
      </c>
      <c r="AJ234" s="83">
        <v>21.588999999999999</v>
      </c>
    </row>
    <row r="235" spans="33:36" x14ac:dyDescent="0.25">
      <c r="AG235" s="185">
        <v>44725</v>
      </c>
      <c r="AH235" s="83">
        <v>1.623</v>
      </c>
      <c r="AI235" s="83">
        <v>1.829</v>
      </c>
      <c r="AJ235" s="83">
        <v>20.556000000000001</v>
      </c>
    </row>
    <row r="236" spans="33:36" x14ac:dyDescent="0.25">
      <c r="AG236" s="185">
        <v>44724</v>
      </c>
      <c r="AH236" s="83">
        <v>1.3380000000000001</v>
      </c>
      <c r="AI236" s="83">
        <v>1.7450000000000001</v>
      </c>
      <c r="AJ236" s="83">
        <v>40.720999999999997</v>
      </c>
    </row>
    <row r="237" spans="33:36" x14ac:dyDescent="0.25">
      <c r="AG237" s="185">
        <v>44723</v>
      </c>
      <c r="AH237" s="83">
        <v>1.3380000000000001</v>
      </c>
      <c r="AI237" s="83">
        <v>1.7450000000000001</v>
      </c>
      <c r="AJ237" s="83">
        <v>40.720999999999997</v>
      </c>
    </row>
    <row r="238" spans="33:36" x14ac:dyDescent="0.25">
      <c r="AG238" s="185">
        <v>44722</v>
      </c>
      <c r="AH238" s="83">
        <v>1.3380000000000001</v>
      </c>
      <c r="AI238" s="83">
        <v>1.7450000000000001</v>
      </c>
      <c r="AJ238" s="83">
        <v>40.720999999999997</v>
      </c>
    </row>
    <row r="239" spans="33:36" x14ac:dyDescent="0.25">
      <c r="AG239" s="185">
        <v>44721</v>
      </c>
      <c r="AH239" s="83">
        <v>1.2709999999999999</v>
      </c>
      <c r="AI239" s="83">
        <v>1.7210000000000001</v>
      </c>
      <c r="AJ239" s="83">
        <v>44.999000000000002</v>
      </c>
    </row>
    <row r="240" spans="33:36" x14ac:dyDescent="0.25">
      <c r="AG240" s="185">
        <v>44720</v>
      </c>
      <c r="AH240" s="83">
        <v>1.2589999999999999</v>
      </c>
      <c r="AI240" s="83">
        <v>1.6879999999999999</v>
      </c>
      <c r="AJ240" s="83">
        <v>42.911000000000001</v>
      </c>
    </row>
    <row r="241" spans="33:36" x14ac:dyDescent="0.25">
      <c r="AG241" s="185">
        <v>44719</v>
      </c>
      <c r="AH241" s="83">
        <v>1.2150000000000001</v>
      </c>
      <c r="AI241" s="83">
        <v>1.69</v>
      </c>
      <c r="AJ241" s="83">
        <v>47.542999999999999</v>
      </c>
    </row>
    <row r="242" spans="33:36" x14ac:dyDescent="0.25">
      <c r="AG242" s="185">
        <v>44718</v>
      </c>
      <c r="AH242" s="83">
        <v>1.21</v>
      </c>
      <c r="AI242" s="83">
        <v>1.665</v>
      </c>
      <c r="AJ242" s="83">
        <v>45.5</v>
      </c>
    </row>
    <row r="243" spans="33:36" x14ac:dyDescent="0.25">
      <c r="AG243" s="185">
        <v>44717</v>
      </c>
      <c r="AH243" s="83">
        <v>1.1850000000000001</v>
      </c>
      <c r="AI243" s="83">
        <v>1.6259999999999999</v>
      </c>
      <c r="AJ243" s="83">
        <v>44.15</v>
      </c>
    </row>
    <row r="244" spans="33:36" x14ac:dyDescent="0.25">
      <c r="AG244" s="185">
        <v>44716</v>
      </c>
      <c r="AH244" s="83">
        <v>1.1850000000000001</v>
      </c>
      <c r="AI244" s="83">
        <v>1.6259999999999999</v>
      </c>
      <c r="AJ244" s="83">
        <v>44.15</v>
      </c>
    </row>
    <row r="245" spans="33:36" x14ac:dyDescent="0.25">
      <c r="AG245" s="185">
        <v>44715</v>
      </c>
      <c r="AH245" s="83">
        <v>1.1850000000000001</v>
      </c>
      <c r="AI245" s="83">
        <v>1.6259999999999999</v>
      </c>
      <c r="AJ245" s="83">
        <v>44.15</v>
      </c>
    </row>
    <row r="246" spans="33:36" x14ac:dyDescent="0.25">
      <c r="AG246" s="185">
        <v>44714</v>
      </c>
      <c r="AH246" s="83">
        <v>1.1439999999999999</v>
      </c>
      <c r="AI246" s="83">
        <v>1.6259999999999999</v>
      </c>
      <c r="AJ246" s="83">
        <v>48.22</v>
      </c>
    </row>
    <row r="247" spans="33:36" x14ac:dyDescent="0.25">
      <c r="AG247" s="185">
        <v>44713</v>
      </c>
      <c r="AH247" s="83">
        <v>1.139</v>
      </c>
      <c r="AI247" s="83">
        <v>1.6259999999999999</v>
      </c>
      <c r="AJ247" s="83">
        <v>48.72</v>
      </c>
    </row>
    <row r="248" spans="33:36" x14ac:dyDescent="0.25">
      <c r="AG248" s="185">
        <v>44712</v>
      </c>
      <c r="AH248" s="83">
        <v>1.0669999999999999</v>
      </c>
      <c r="AI248" s="83">
        <v>1.611</v>
      </c>
      <c r="AJ248" s="83">
        <v>54.350999999999999</v>
      </c>
    </row>
    <row r="249" spans="33:36" x14ac:dyDescent="0.25">
      <c r="AG249" s="185">
        <v>44711</v>
      </c>
      <c r="AH249" s="83">
        <v>1.0569999999999999</v>
      </c>
      <c r="AI249" s="83">
        <v>1.58</v>
      </c>
      <c r="AJ249" s="83">
        <v>52.332999999999998</v>
      </c>
    </row>
    <row r="250" spans="33:36" x14ac:dyDescent="0.25">
      <c r="AG250" s="185">
        <v>44710</v>
      </c>
      <c r="AH250" s="83">
        <v>1.0569999999999999</v>
      </c>
      <c r="AI250" s="83">
        <v>1.5980000000000001</v>
      </c>
      <c r="AJ250" s="83">
        <v>54.076000000000001</v>
      </c>
    </row>
    <row r="251" spans="33:36" x14ac:dyDescent="0.25">
      <c r="AG251" s="185">
        <v>44709</v>
      </c>
      <c r="AH251" s="83">
        <v>1.0569999999999999</v>
      </c>
      <c r="AI251" s="83">
        <v>1.5980000000000001</v>
      </c>
      <c r="AJ251" s="83">
        <v>54.076000000000001</v>
      </c>
    </row>
    <row r="252" spans="33:36" x14ac:dyDescent="0.25">
      <c r="AG252" s="185">
        <v>44708</v>
      </c>
      <c r="AH252" s="83">
        <v>1.0569999999999999</v>
      </c>
      <c r="AI252" s="83">
        <v>1.5980000000000001</v>
      </c>
      <c r="AJ252" s="83">
        <v>54.076000000000001</v>
      </c>
    </row>
    <row r="253" spans="33:36" x14ac:dyDescent="0.25">
      <c r="AG253" s="185">
        <v>44707</v>
      </c>
      <c r="AH253" s="83">
        <v>1.0649999999999999</v>
      </c>
      <c r="AI253" s="83">
        <v>1.575</v>
      </c>
      <c r="AJ253" s="83">
        <v>51.006</v>
      </c>
    </row>
    <row r="254" spans="33:36" x14ac:dyDescent="0.25">
      <c r="AG254" s="185">
        <v>44706</v>
      </c>
      <c r="AH254" s="83">
        <v>1.07</v>
      </c>
      <c r="AI254" s="83">
        <v>1.5529999999999999</v>
      </c>
      <c r="AJ254" s="83">
        <v>48.286000000000001</v>
      </c>
    </row>
    <row r="255" spans="33:36" x14ac:dyDescent="0.25">
      <c r="AG255" s="185">
        <v>44705</v>
      </c>
      <c r="AH255" s="83">
        <v>1.0649999999999999</v>
      </c>
      <c r="AI255" s="83">
        <v>1.5309999999999999</v>
      </c>
      <c r="AJ255" s="83">
        <v>46.61</v>
      </c>
    </row>
    <row r="256" spans="33:36" x14ac:dyDescent="0.25">
      <c r="AG256" s="185">
        <v>44704</v>
      </c>
      <c r="AH256" s="83">
        <v>1.0289999999999999</v>
      </c>
      <c r="AI256" s="83">
        <v>1.524</v>
      </c>
      <c r="AJ256" s="83">
        <v>49.475999999999999</v>
      </c>
    </row>
    <row r="257" spans="33:36" x14ac:dyDescent="0.25">
      <c r="AG257" s="185">
        <v>44703</v>
      </c>
      <c r="AH257" s="83">
        <v>1.0269999999999999</v>
      </c>
      <c r="AI257" s="83">
        <v>1.506</v>
      </c>
      <c r="AJ257" s="83">
        <v>47.993000000000002</v>
      </c>
    </row>
    <row r="258" spans="33:36" x14ac:dyDescent="0.25">
      <c r="AG258" s="185">
        <v>44702</v>
      </c>
      <c r="AH258" s="83">
        <v>1.0269999999999999</v>
      </c>
      <c r="AI258" s="83">
        <v>1.506</v>
      </c>
      <c r="AJ258" s="83">
        <v>47.993000000000002</v>
      </c>
    </row>
    <row r="259" spans="33:36" x14ac:dyDescent="0.25">
      <c r="AG259" s="185">
        <v>44701</v>
      </c>
      <c r="AH259" s="83">
        <v>1.0269999999999999</v>
      </c>
      <c r="AI259" s="83">
        <v>1.506</v>
      </c>
      <c r="AJ259" s="83">
        <v>47.993000000000002</v>
      </c>
    </row>
    <row r="260" spans="33:36" x14ac:dyDescent="0.25">
      <c r="AG260" s="185">
        <v>44700</v>
      </c>
      <c r="AH260" s="83">
        <v>1.0189999999999999</v>
      </c>
      <c r="AI260" s="83">
        <v>1.5049999999999999</v>
      </c>
      <c r="AJ260" s="83">
        <v>48.585999999999999</v>
      </c>
    </row>
    <row r="261" spans="33:36" x14ac:dyDescent="0.25">
      <c r="AG261" s="185">
        <v>44699</v>
      </c>
      <c r="AH261" s="83">
        <v>1.024</v>
      </c>
      <c r="AI261" s="83">
        <v>1.478</v>
      </c>
      <c r="AJ261" s="83">
        <v>45.39</v>
      </c>
    </row>
    <row r="262" spans="33:36" x14ac:dyDescent="0.25">
      <c r="AG262" s="185">
        <v>44698</v>
      </c>
      <c r="AH262" s="83">
        <v>1.0649999999999999</v>
      </c>
      <c r="AI262" s="83">
        <v>1.448</v>
      </c>
      <c r="AJ262" s="83">
        <v>38.267000000000003</v>
      </c>
    </row>
    <row r="263" spans="33:36" x14ac:dyDescent="0.25">
      <c r="AG263" s="185">
        <v>44697</v>
      </c>
      <c r="AH263" s="83">
        <v>1.0189999999999999</v>
      </c>
      <c r="AI263" s="83">
        <v>1.4550000000000001</v>
      </c>
      <c r="AJ263" s="83">
        <v>43.61</v>
      </c>
    </row>
    <row r="264" spans="33:36" x14ac:dyDescent="0.25">
      <c r="AG264" s="185">
        <v>44696</v>
      </c>
      <c r="AH264" s="83">
        <v>0.99299999999999999</v>
      </c>
      <c r="AI264" s="83">
        <v>1.444</v>
      </c>
      <c r="AJ264" s="83">
        <v>45.030999999999999</v>
      </c>
    </row>
    <row r="265" spans="33:36" x14ac:dyDescent="0.25">
      <c r="AG265" s="185">
        <v>44695</v>
      </c>
      <c r="AH265" s="83">
        <v>0.99299999999999999</v>
      </c>
      <c r="AI265" s="83">
        <v>1.444</v>
      </c>
      <c r="AJ265" s="83">
        <v>45.030999999999999</v>
      </c>
    </row>
    <row r="266" spans="33:36" x14ac:dyDescent="0.25">
      <c r="AG266" s="185">
        <v>44694</v>
      </c>
      <c r="AH266" s="83">
        <v>0.99299999999999999</v>
      </c>
      <c r="AI266" s="83">
        <v>1.444</v>
      </c>
      <c r="AJ266" s="83">
        <v>45.030999999999999</v>
      </c>
    </row>
    <row r="267" spans="33:36" x14ac:dyDescent="0.25">
      <c r="AG267" s="185">
        <v>44693</v>
      </c>
      <c r="AH267" s="83">
        <v>0.95299999999999996</v>
      </c>
      <c r="AI267" s="83">
        <v>1.411</v>
      </c>
      <c r="AJ267" s="83">
        <v>45.848999999999997</v>
      </c>
    </row>
    <row r="268" spans="33:36" x14ac:dyDescent="0.25">
      <c r="AG268" s="185">
        <v>44692</v>
      </c>
      <c r="AH268" s="83">
        <v>0.91500000000000004</v>
      </c>
      <c r="AI268" s="83">
        <v>1.4219999999999999</v>
      </c>
      <c r="AJ268" s="83">
        <v>50.725999999999999</v>
      </c>
    </row>
    <row r="269" spans="33:36" x14ac:dyDescent="0.25">
      <c r="AG269" s="185">
        <v>44691</v>
      </c>
      <c r="AH269" s="83">
        <v>0.90400000000000003</v>
      </c>
      <c r="AI269" s="83">
        <v>1.4</v>
      </c>
      <c r="AJ269" s="83">
        <v>49.545999999999999</v>
      </c>
    </row>
    <row r="270" spans="33:36" x14ac:dyDescent="0.25">
      <c r="AG270" s="185">
        <v>44690</v>
      </c>
      <c r="AH270" s="83">
        <v>0.82499999999999996</v>
      </c>
      <c r="AI270" s="83">
        <v>1.399</v>
      </c>
      <c r="AJ270" s="83">
        <v>57.317</v>
      </c>
    </row>
    <row r="271" spans="33:36" x14ac:dyDescent="0.25">
      <c r="AG271" s="185">
        <v>44689</v>
      </c>
      <c r="AH271" s="83">
        <v>0.83799999999999997</v>
      </c>
      <c r="AI271" s="83">
        <v>1.4019999999999999</v>
      </c>
      <c r="AJ271" s="83">
        <v>56.375999999999998</v>
      </c>
    </row>
    <row r="272" spans="33:36" x14ac:dyDescent="0.25">
      <c r="AG272" s="185">
        <v>44688</v>
      </c>
      <c r="AH272" s="83">
        <v>0.83799999999999997</v>
      </c>
      <c r="AI272" s="83">
        <v>1.4019999999999999</v>
      </c>
      <c r="AJ272" s="83">
        <v>56.375999999999998</v>
      </c>
    </row>
    <row r="273" spans="33:36" x14ac:dyDescent="0.25">
      <c r="AG273" s="185">
        <v>44687</v>
      </c>
      <c r="AH273" s="83">
        <v>0.83799999999999997</v>
      </c>
      <c r="AI273" s="83">
        <v>1.4019999999999999</v>
      </c>
      <c r="AJ273" s="83">
        <v>56.375999999999998</v>
      </c>
    </row>
    <row r="274" spans="33:36" x14ac:dyDescent="0.25">
      <c r="AG274" s="185">
        <v>44686</v>
      </c>
      <c r="AH274" s="83">
        <v>0.82299999999999995</v>
      </c>
      <c r="AI274" s="83">
        <v>1.371</v>
      </c>
      <c r="AJ274" s="83">
        <v>54.780999999999999</v>
      </c>
    </row>
    <row r="275" spans="33:36" x14ac:dyDescent="0.25">
      <c r="AG275" s="185">
        <v>44685</v>
      </c>
      <c r="AH275" s="83">
        <v>0.88400000000000001</v>
      </c>
      <c r="AI275" s="83">
        <v>1.4059999999999999</v>
      </c>
      <c r="AJ275" s="83">
        <v>52.213999999999999</v>
      </c>
    </row>
    <row r="276" spans="33:36" x14ac:dyDescent="0.25">
      <c r="AG276" s="185">
        <v>44684</v>
      </c>
      <c r="AH276" s="83">
        <v>0.91700000000000004</v>
      </c>
      <c r="AI276" s="83">
        <v>1.363</v>
      </c>
      <c r="AJ276" s="83">
        <v>44.609000000000002</v>
      </c>
    </row>
    <row r="277" spans="33:36" x14ac:dyDescent="0.25">
      <c r="AG277" s="185">
        <v>44683</v>
      </c>
      <c r="AH277" s="83">
        <v>0.79700000000000004</v>
      </c>
      <c r="AI277" s="83">
        <v>1.335</v>
      </c>
      <c r="AJ277" s="83">
        <v>53.746000000000002</v>
      </c>
    </row>
    <row r="278" spans="33:36" x14ac:dyDescent="0.25">
      <c r="AG278" s="185">
        <v>44682</v>
      </c>
      <c r="AH278" s="83">
        <v>0.83599999999999997</v>
      </c>
      <c r="AI278" s="83">
        <v>1.335</v>
      </c>
      <c r="AJ278" s="83">
        <v>49.926000000000002</v>
      </c>
    </row>
    <row r="279" spans="33:36" x14ac:dyDescent="0.25">
      <c r="AG279" s="185">
        <v>44681</v>
      </c>
      <c r="AH279" s="83">
        <v>0.83599999999999997</v>
      </c>
      <c r="AI279" s="83">
        <v>1.335</v>
      </c>
      <c r="AJ279" s="83">
        <v>49.926000000000002</v>
      </c>
    </row>
    <row r="280" spans="33:36" x14ac:dyDescent="0.25">
      <c r="AG280" s="185">
        <v>44680</v>
      </c>
      <c r="AH280" s="83">
        <v>0.83599999999999997</v>
      </c>
      <c r="AI280" s="83">
        <v>1.335</v>
      </c>
      <c r="AJ280" s="83">
        <v>49.926000000000002</v>
      </c>
    </row>
    <row r="281" spans="33:36" x14ac:dyDescent="0.25">
      <c r="AG281" s="185">
        <v>44679</v>
      </c>
      <c r="AH281" s="83">
        <v>0.82799999999999996</v>
      </c>
      <c r="AI281" s="83">
        <v>1.286</v>
      </c>
      <c r="AJ281" s="83">
        <v>45.8</v>
      </c>
    </row>
    <row r="282" spans="33:36" x14ac:dyDescent="0.25">
      <c r="AG282" s="185">
        <v>44678</v>
      </c>
      <c r="AH282" s="83">
        <v>0.83599999999999997</v>
      </c>
      <c r="AI282" s="83">
        <v>1.2390000000000001</v>
      </c>
      <c r="AJ282" s="83">
        <v>40.316000000000003</v>
      </c>
    </row>
    <row r="283" spans="33:36" x14ac:dyDescent="0.25">
      <c r="AG283" s="185">
        <v>44677</v>
      </c>
      <c r="AH283" s="83">
        <v>0.83299999999999996</v>
      </c>
      <c r="AI283" s="83">
        <v>1.238</v>
      </c>
      <c r="AJ283" s="83">
        <v>40.503999999999998</v>
      </c>
    </row>
    <row r="284" spans="33:36" x14ac:dyDescent="0.25">
      <c r="AG284" s="185">
        <v>44676</v>
      </c>
      <c r="AH284" s="83">
        <v>0.82299999999999995</v>
      </c>
      <c r="AI284" s="83">
        <v>1.2250000000000001</v>
      </c>
      <c r="AJ284" s="83">
        <v>40.206000000000003</v>
      </c>
    </row>
    <row r="285" spans="33:36" x14ac:dyDescent="0.25">
      <c r="AG285" s="185">
        <v>44675</v>
      </c>
      <c r="AH285" s="83">
        <v>0.80800000000000005</v>
      </c>
      <c r="AI285" s="83">
        <v>1.214</v>
      </c>
      <c r="AJ285" s="83">
        <v>40.610999999999997</v>
      </c>
    </row>
    <row r="286" spans="33:36" x14ac:dyDescent="0.25">
      <c r="AG286" s="185">
        <v>44674</v>
      </c>
      <c r="AH286" s="83">
        <v>0.80800000000000005</v>
      </c>
      <c r="AI286" s="83">
        <v>1.214</v>
      </c>
      <c r="AJ286" s="83">
        <v>40.610999999999997</v>
      </c>
    </row>
    <row r="287" spans="33:36" x14ac:dyDescent="0.25">
      <c r="AG287" s="185">
        <v>44673</v>
      </c>
      <c r="AH287" s="83">
        <v>0.80800000000000005</v>
      </c>
      <c r="AI287" s="83">
        <v>1.214</v>
      </c>
      <c r="AJ287" s="83">
        <v>40.610999999999997</v>
      </c>
    </row>
    <row r="288" spans="33:36" x14ac:dyDescent="0.25">
      <c r="AG288" s="185">
        <v>44672</v>
      </c>
      <c r="AH288" s="83">
        <v>0.80300000000000005</v>
      </c>
      <c r="AI288" s="83">
        <v>1.1839999999999999</v>
      </c>
      <c r="AJ288" s="83">
        <v>38.14</v>
      </c>
    </row>
    <row r="289" spans="33:36" x14ac:dyDescent="0.25">
      <c r="AG289" s="185">
        <v>44671</v>
      </c>
      <c r="AH289" s="83">
        <v>0.83299999999999996</v>
      </c>
      <c r="AI289" s="83">
        <v>1.1359999999999999</v>
      </c>
      <c r="AJ289" s="83">
        <v>30.318999999999999</v>
      </c>
    </row>
    <row r="290" spans="33:36" x14ac:dyDescent="0.25">
      <c r="AG290" s="185">
        <v>44670</v>
      </c>
      <c r="AH290" s="83">
        <v>0.83599999999999997</v>
      </c>
      <c r="AI290" s="83">
        <v>1.0980000000000001</v>
      </c>
      <c r="AJ290" s="83">
        <v>26.259</v>
      </c>
    </row>
    <row r="291" spans="33:36" x14ac:dyDescent="0.25">
      <c r="AG291" s="185">
        <v>44669</v>
      </c>
      <c r="AH291" s="83">
        <v>0.77500000000000002</v>
      </c>
      <c r="AI291" s="83">
        <v>1.0629999999999999</v>
      </c>
      <c r="AJ291" s="83">
        <v>28.821000000000002</v>
      </c>
    </row>
    <row r="292" spans="33:36" x14ac:dyDescent="0.25">
      <c r="AG292" s="185">
        <v>44668</v>
      </c>
      <c r="AH292" s="83">
        <v>0.78</v>
      </c>
      <c r="AI292" s="83">
        <v>1.0629999999999999</v>
      </c>
      <c r="AJ292" s="83">
        <v>28.300999999999998</v>
      </c>
    </row>
    <row r="293" spans="33:36" x14ac:dyDescent="0.25">
      <c r="AG293" s="185">
        <v>44667</v>
      </c>
      <c r="AH293" s="83">
        <v>0.78</v>
      </c>
      <c r="AI293" s="83">
        <v>1.0629999999999999</v>
      </c>
      <c r="AJ293" s="83">
        <v>28.300999999999998</v>
      </c>
    </row>
    <row r="294" spans="33:36" x14ac:dyDescent="0.25">
      <c r="AG294" s="185">
        <v>44666</v>
      </c>
      <c r="AH294" s="83">
        <v>0.78</v>
      </c>
      <c r="AI294" s="83">
        <v>1.0629999999999999</v>
      </c>
      <c r="AJ294" s="83">
        <v>28.300999999999998</v>
      </c>
    </row>
    <row r="295" spans="33:36" x14ac:dyDescent="0.25">
      <c r="AG295" s="185">
        <v>44665</v>
      </c>
      <c r="AH295" s="83">
        <v>0.78</v>
      </c>
      <c r="AI295" s="83">
        <v>1.0629999999999999</v>
      </c>
      <c r="AJ295" s="83">
        <v>28.300999999999998</v>
      </c>
    </row>
    <row r="296" spans="33:36" x14ac:dyDescent="0.25">
      <c r="AG296" s="185">
        <v>44664</v>
      </c>
      <c r="AH296" s="83">
        <v>0.749</v>
      </c>
      <c r="AI296" s="83">
        <v>1.044</v>
      </c>
      <c r="AJ296" s="83">
        <v>29.518999999999998</v>
      </c>
    </row>
    <row r="297" spans="33:36" x14ac:dyDescent="0.25">
      <c r="AG297" s="185">
        <v>44663</v>
      </c>
      <c r="AH297" s="83">
        <v>0.747</v>
      </c>
      <c r="AI297" s="83">
        <v>1.038</v>
      </c>
      <c r="AJ297" s="83">
        <v>29.183</v>
      </c>
    </row>
    <row r="298" spans="33:36" x14ac:dyDescent="0.25">
      <c r="AG298" s="185">
        <v>44662</v>
      </c>
      <c r="AH298" s="83">
        <v>0.71899999999999997</v>
      </c>
      <c r="AI298" s="83">
        <v>1.0209999999999999</v>
      </c>
      <c r="AJ298" s="83">
        <v>30.292999999999999</v>
      </c>
    </row>
    <row r="299" spans="33:36" x14ac:dyDescent="0.25">
      <c r="AG299" s="185">
        <v>44661</v>
      </c>
      <c r="AH299" s="83">
        <v>0.68799999999999994</v>
      </c>
      <c r="AI299" s="83">
        <v>1.0109999999999999</v>
      </c>
      <c r="AJ299" s="83">
        <v>32.271000000000001</v>
      </c>
    </row>
    <row r="300" spans="33:36" x14ac:dyDescent="0.25">
      <c r="AG300" s="185">
        <v>44660</v>
      </c>
      <c r="AH300" s="83">
        <v>0.68799999999999994</v>
      </c>
      <c r="AI300" s="83">
        <v>1.0109999999999999</v>
      </c>
      <c r="AJ300" s="83">
        <v>32.271000000000001</v>
      </c>
    </row>
    <row r="301" spans="33:36" x14ac:dyDescent="0.25">
      <c r="AG301" s="185">
        <v>44659</v>
      </c>
      <c r="AH301" s="83">
        <v>0.68799999999999994</v>
      </c>
      <c r="AI301" s="83">
        <v>1.0109999999999999</v>
      </c>
      <c r="AJ301" s="83">
        <v>32.271000000000001</v>
      </c>
    </row>
    <row r="302" spans="33:36" x14ac:dyDescent="0.25">
      <c r="AG302" s="185">
        <v>44658</v>
      </c>
      <c r="AH302" s="83">
        <v>0.68300000000000005</v>
      </c>
      <c r="AI302" s="83">
        <v>0.98899999999999999</v>
      </c>
      <c r="AJ302" s="83">
        <v>30.585999999999999</v>
      </c>
    </row>
    <row r="303" spans="33:36" x14ac:dyDescent="0.25">
      <c r="AG303" s="185">
        <v>44657</v>
      </c>
      <c r="AH303" s="83">
        <v>0.68100000000000005</v>
      </c>
      <c r="AI303" s="83">
        <v>0.98599999999999999</v>
      </c>
      <c r="AJ303" s="83">
        <v>30.593</v>
      </c>
    </row>
    <row r="304" spans="33:36" x14ac:dyDescent="0.25">
      <c r="AG304" s="185">
        <v>44656</v>
      </c>
      <c r="AH304" s="83">
        <v>0.65800000000000003</v>
      </c>
      <c r="AI304" s="83">
        <v>0.96699999999999997</v>
      </c>
      <c r="AJ304" s="83">
        <v>30.896999999999998</v>
      </c>
    </row>
    <row r="305" spans="33:36" x14ac:dyDescent="0.25">
      <c r="AG305" s="185">
        <v>44655</v>
      </c>
      <c r="AH305" s="83">
        <v>0.56399999999999995</v>
      </c>
      <c r="AI305" s="83">
        <v>0.96899999999999997</v>
      </c>
      <c r="AJ305" s="83">
        <v>40.549999999999997</v>
      </c>
    </row>
    <row r="306" spans="33:36" x14ac:dyDescent="0.25">
      <c r="AG306" s="185">
        <v>44654</v>
      </c>
      <c r="AH306" s="83">
        <v>0.52300000000000002</v>
      </c>
      <c r="AI306" s="83">
        <v>0.96199999999999997</v>
      </c>
      <c r="AJ306" s="83">
        <v>43.92</v>
      </c>
    </row>
    <row r="307" spans="33:36" x14ac:dyDescent="0.25">
      <c r="AG307" s="185">
        <v>44653</v>
      </c>
      <c r="AH307" s="83">
        <v>0.52300000000000002</v>
      </c>
      <c r="AI307" s="83">
        <v>0.96199999999999997</v>
      </c>
      <c r="AJ307" s="83">
        <v>43.92</v>
      </c>
    </row>
    <row r="308" spans="33:36" x14ac:dyDescent="0.25">
      <c r="AG308" s="185">
        <v>44652</v>
      </c>
      <c r="AH308" s="83">
        <v>0.52300000000000002</v>
      </c>
      <c r="AI308" s="83">
        <v>0.96199999999999997</v>
      </c>
      <c r="AJ308" s="83">
        <v>43.92</v>
      </c>
    </row>
    <row r="309" spans="33:36" x14ac:dyDescent="0.25">
      <c r="AG309" s="185">
        <v>44651</v>
      </c>
      <c r="AH309" s="83">
        <v>0.52</v>
      </c>
      <c r="AI309" s="83">
        <v>0.96199999999999997</v>
      </c>
      <c r="AJ309" s="83">
        <v>44.127000000000002</v>
      </c>
    </row>
    <row r="310" spans="33:36" x14ac:dyDescent="0.25">
      <c r="AG310" s="185">
        <v>44650</v>
      </c>
      <c r="AH310" s="83">
        <v>0.53800000000000003</v>
      </c>
      <c r="AI310" s="83">
        <v>0.96699999999999997</v>
      </c>
      <c r="AJ310" s="83">
        <v>42.875999999999998</v>
      </c>
    </row>
    <row r="311" spans="33:36" x14ac:dyDescent="0.25">
      <c r="AG311" s="185">
        <v>44649</v>
      </c>
      <c r="AH311" s="83">
        <v>0.55300000000000005</v>
      </c>
      <c r="AI311" s="83">
        <v>1.006</v>
      </c>
      <c r="AJ311" s="83">
        <v>45.27</v>
      </c>
    </row>
    <row r="312" spans="33:36" x14ac:dyDescent="0.25">
      <c r="AG312" s="185">
        <v>44648</v>
      </c>
      <c r="AH312" s="83">
        <v>0.54300000000000004</v>
      </c>
      <c r="AI312" s="83">
        <v>0.996</v>
      </c>
      <c r="AJ312" s="83">
        <v>45.319000000000003</v>
      </c>
    </row>
    <row r="313" spans="33:36" x14ac:dyDescent="0.25">
      <c r="AG313" s="185">
        <v>44647</v>
      </c>
      <c r="AH313" s="83">
        <v>0.53600000000000003</v>
      </c>
      <c r="AI313" s="83">
        <v>0.98299999999999998</v>
      </c>
      <c r="AJ313" s="83">
        <v>44.735999999999997</v>
      </c>
    </row>
    <row r="314" spans="33:36" x14ac:dyDescent="0.25">
      <c r="AG314" s="185">
        <v>44646</v>
      </c>
      <c r="AH314" s="83">
        <v>0.53600000000000003</v>
      </c>
      <c r="AI314" s="83">
        <v>0.98299999999999998</v>
      </c>
      <c r="AJ314" s="83">
        <v>44.735999999999997</v>
      </c>
    </row>
    <row r="315" spans="33:36" x14ac:dyDescent="0.25">
      <c r="AG315" s="185">
        <v>44645</v>
      </c>
      <c r="AH315" s="83">
        <v>0.53600000000000003</v>
      </c>
      <c r="AI315" s="83">
        <v>0.98299999999999998</v>
      </c>
      <c r="AJ315" s="83">
        <v>44.735999999999997</v>
      </c>
    </row>
    <row r="316" spans="33:36" x14ac:dyDescent="0.25">
      <c r="AG316" s="185">
        <v>44644</v>
      </c>
      <c r="AH316" s="83">
        <v>0.505</v>
      </c>
      <c r="AI316" s="83">
        <v>0.96599999999999997</v>
      </c>
      <c r="AJ316" s="83">
        <v>46.057000000000002</v>
      </c>
    </row>
    <row r="317" spans="33:36" x14ac:dyDescent="0.25">
      <c r="AG317" s="185">
        <v>44643</v>
      </c>
      <c r="AH317" s="83">
        <v>0.49</v>
      </c>
      <c r="AI317" s="83">
        <v>0.96599999999999997</v>
      </c>
      <c r="AJ317" s="83">
        <v>47.591000000000001</v>
      </c>
    </row>
    <row r="318" spans="33:36" x14ac:dyDescent="0.25">
      <c r="AG318" s="185">
        <v>44642</v>
      </c>
      <c r="AH318" s="83">
        <v>0.502</v>
      </c>
      <c r="AI318" s="83">
        <v>0.95399999999999996</v>
      </c>
      <c r="AJ318" s="83">
        <v>45.121000000000002</v>
      </c>
    </row>
    <row r="319" spans="33:36" x14ac:dyDescent="0.25">
      <c r="AG319" s="185">
        <v>44641</v>
      </c>
      <c r="AH319" s="83">
        <v>0.48499999999999999</v>
      </c>
      <c r="AI319" s="83">
        <v>0.95799999999999996</v>
      </c>
      <c r="AJ319" s="83">
        <v>47.286999999999999</v>
      </c>
    </row>
    <row r="320" spans="33:36" x14ac:dyDescent="0.25">
      <c r="AG320" s="185">
        <v>44640</v>
      </c>
      <c r="AH320" s="83">
        <v>0.40600000000000003</v>
      </c>
      <c r="AI320" s="83">
        <v>0.93400000000000005</v>
      </c>
      <c r="AJ320" s="83">
        <v>52.81</v>
      </c>
    </row>
    <row r="321" spans="33:36" x14ac:dyDescent="0.25">
      <c r="AG321" s="185">
        <v>44639</v>
      </c>
      <c r="AH321" s="83">
        <v>0.40600000000000003</v>
      </c>
      <c r="AI321" s="83">
        <v>0.93400000000000005</v>
      </c>
      <c r="AJ321" s="83">
        <v>52.81</v>
      </c>
    </row>
    <row r="322" spans="33:36" x14ac:dyDescent="0.25">
      <c r="AG322" s="185">
        <v>44638</v>
      </c>
      <c r="AH322" s="83">
        <v>0.40600000000000003</v>
      </c>
      <c r="AI322" s="83">
        <v>0.93400000000000005</v>
      </c>
      <c r="AJ322" s="83">
        <v>52.81</v>
      </c>
    </row>
    <row r="323" spans="33:36" x14ac:dyDescent="0.25">
      <c r="AG323" s="185">
        <v>44637</v>
      </c>
      <c r="AH323" s="83">
        <v>0.39800000000000002</v>
      </c>
      <c r="AI323" s="83">
        <v>0.92800000000000005</v>
      </c>
      <c r="AJ323" s="83">
        <v>52.956000000000003</v>
      </c>
    </row>
    <row r="324" spans="33:36" x14ac:dyDescent="0.25">
      <c r="AG324" s="185">
        <v>44636</v>
      </c>
      <c r="AH324" s="83">
        <v>0.439</v>
      </c>
      <c r="AI324" s="83">
        <v>0.94799999999999995</v>
      </c>
      <c r="AJ324" s="83">
        <v>50.914000000000001</v>
      </c>
    </row>
    <row r="325" spans="33:36" x14ac:dyDescent="0.25">
      <c r="AG325" s="185">
        <v>44635</v>
      </c>
      <c r="AH325" s="83">
        <v>0.45900000000000002</v>
      </c>
      <c r="AI325" s="83">
        <v>0.91600000000000004</v>
      </c>
      <c r="AJ325" s="83">
        <v>45.713000000000001</v>
      </c>
    </row>
    <row r="326" spans="33:36" x14ac:dyDescent="0.25">
      <c r="AG326" s="185">
        <v>44634</v>
      </c>
      <c r="AH326" s="83">
        <v>0.46200000000000002</v>
      </c>
      <c r="AI326" s="83">
        <v>0.88500000000000001</v>
      </c>
      <c r="AJ326" s="83">
        <v>42.280999999999999</v>
      </c>
    </row>
    <row r="327" spans="33:36" x14ac:dyDescent="0.25">
      <c r="AG327" s="185">
        <v>44633</v>
      </c>
      <c r="AH327" s="83">
        <v>0.38600000000000001</v>
      </c>
      <c r="AI327" s="83">
        <v>0.82599999999999996</v>
      </c>
      <c r="AJ327" s="83">
        <v>44.04</v>
      </c>
    </row>
    <row r="328" spans="33:36" x14ac:dyDescent="0.25">
      <c r="AG328" s="185">
        <v>44632</v>
      </c>
      <c r="AH328" s="83">
        <v>0.38600000000000001</v>
      </c>
      <c r="AI328" s="83">
        <v>0.82599999999999996</v>
      </c>
      <c r="AJ328" s="83">
        <v>44.04</v>
      </c>
    </row>
    <row r="329" spans="33:36" x14ac:dyDescent="0.25">
      <c r="AG329" s="185">
        <v>44631</v>
      </c>
      <c r="AH329" s="83">
        <v>0.38600000000000001</v>
      </c>
      <c r="AI329" s="83">
        <v>0.82599999999999996</v>
      </c>
      <c r="AJ329" s="83">
        <v>44.04</v>
      </c>
    </row>
    <row r="330" spans="33:36" x14ac:dyDescent="0.25">
      <c r="AG330" s="185">
        <v>44630</v>
      </c>
      <c r="AH330" s="83">
        <v>0.38800000000000001</v>
      </c>
      <c r="AI330" s="83">
        <v>0.80300000000000005</v>
      </c>
      <c r="AJ330" s="83">
        <v>41.466000000000001</v>
      </c>
    </row>
    <row r="331" spans="33:36" x14ac:dyDescent="0.25">
      <c r="AG331" s="185">
        <v>44629</v>
      </c>
      <c r="AH331" s="83">
        <v>0.38100000000000001</v>
      </c>
      <c r="AI331" s="83">
        <v>0.745</v>
      </c>
      <c r="AJ331" s="83">
        <v>36.44</v>
      </c>
    </row>
    <row r="332" spans="33:36" x14ac:dyDescent="0.25">
      <c r="AG332" s="185">
        <v>44628</v>
      </c>
      <c r="AH332" s="83">
        <v>0.37</v>
      </c>
      <c r="AI332" s="83">
        <v>0.70299999999999996</v>
      </c>
      <c r="AJ332" s="83">
        <v>33.26</v>
      </c>
    </row>
    <row r="333" spans="33:36" x14ac:dyDescent="0.25">
      <c r="AG333" s="185">
        <v>44627</v>
      </c>
      <c r="AH333" s="83">
        <v>0.32700000000000001</v>
      </c>
      <c r="AI333" s="83">
        <v>0.64300000000000002</v>
      </c>
      <c r="AJ333" s="83">
        <v>31.565999999999999</v>
      </c>
    </row>
    <row r="334" spans="33:36" x14ac:dyDescent="0.25">
      <c r="AG334" s="185">
        <v>44626</v>
      </c>
      <c r="AH334" s="83">
        <v>0.32700000000000001</v>
      </c>
      <c r="AI334" s="83">
        <v>0.61</v>
      </c>
      <c r="AJ334" s="83">
        <v>28.294</v>
      </c>
    </row>
    <row r="335" spans="33:36" x14ac:dyDescent="0.25">
      <c r="AG335" s="185">
        <v>44625</v>
      </c>
      <c r="AH335" s="83">
        <v>0.32700000000000001</v>
      </c>
      <c r="AI335" s="83">
        <v>0.61</v>
      </c>
      <c r="AJ335" s="83">
        <v>28.294</v>
      </c>
    </row>
    <row r="336" spans="33:36" x14ac:dyDescent="0.25">
      <c r="AG336" s="185">
        <v>44624</v>
      </c>
      <c r="AH336" s="83">
        <v>0.32700000000000001</v>
      </c>
      <c r="AI336" s="83">
        <v>0.61</v>
      </c>
      <c r="AJ336" s="83">
        <v>28.294</v>
      </c>
    </row>
    <row r="337" spans="33:36" x14ac:dyDescent="0.25">
      <c r="AG337" s="185">
        <v>44623</v>
      </c>
      <c r="AH337" s="83">
        <v>0.34799999999999998</v>
      </c>
      <c r="AI337" s="83">
        <v>0.58299999999999996</v>
      </c>
      <c r="AJ337" s="83">
        <v>23.553999999999998</v>
      </c>
    </row>
    <row r="338" spans="33:36" x14ac:dyDescent="0.25">
      <c r="AG338" s="185">
        <v>44622</v>
      </c>
      <c r="AH338" s="83">
        <v>0.33700000000000002</v>
      </c>
      <c r="AI338" s="83">
        <v>0.52200000000000002</v>
      </c>
      <c r="AJ338" s="83">
        <v>18.474</v>
      </c>
    </row>
    <row r="339" spans="33:36" x14ac:dyDescent="0.25">
      <c r="AG339" s="185">
        <v>44621</v>
      </c>
      <c r="AH339" s="83">
        <v>0.32500000000000001</v>
      </c>
      <c r="AI339" s="83">
        <v>0.51100000000000001</v>
      </c>
      <c r="AJ339" s="83">
        <v>18.616</v>
      </c>
    </row>
    <row r="340" spans="33:36" x14ac:dyDescent="0.25">
      <c r="AG340" s="185">
        <v>44620</v>
      </c>
      <c r="AH340" s="83">
        <v>0.317</v>
      </c>
      <c r="AI340" s="83">
        <v>0.504</v>
      </c>
      <c r="AJ340" s="83">
        <v>18.719000000000001</v>
      </c>
    </row>
    <row r="341" spans="33:36" x14ac:dyDescent="0.25">
      <c r="AG341" s="185">
        <v>44619</v>
      </c>
      <c r="AH341" s="83">
        <v>0.32</v>
      </c>
      <c r="AI341" s="83">
        <v>0.52300000000000002</v>
      </c>
      <c r="AJ341" s="83">
        <v>20.34</v>
      </c>
    </row>
    <row r="342" spans="33:36" x14ac:dyDescent="0.25">
      <c r="AG342" s="185">
        <v>44618</v>
      </c>
      <c r="AH342" s="83">
        <v>0.32</v>
      </c>
      <c r="AI342" s="83">
        <v>0.52300000000000002</v>
      </c>
      <c r="AJ342" s="83">
        <v>20.34</v>
      </c>
    </row>
    <row r="343" spans="33:36" x14ac:dyDescent="0.25">
      <c r="AG343" s="185">
        <v>44617</v>
      </c>
      <c r="AH343" s="83">
        <v>0.32</v>
      </c>
      <c r="AI343" s="83">
        <v>0.52300000000000002</v>
      </c>
      <c r="AJ343" s="83">
        <v>20.34</v>
      </c>
    </row>
    <row r="344" spans="33:36" x14ac:dyDescent="0.25">
      <c r="AG344" s="185">
        <v>44616</v>
      </c>
      <c r="AH344" s="83">
        <v>0.32</v>
      </c>
      <c r="AI344" s="83">
        <v>0.50800000000000001</v>
      </c>
      <c r="AJ344" s="83">
        <v>18.826000000000001</v>
      </c>
    </row>
    <row r="345" spans="33:36" x14ac:dyDescent="0.25">
      <c r="AG345" s="185">
        <v>44615</v>
      </c>
      <c r="AH345" s="83">
        <v>0.36</v>
      </c>
      <c r="AI345" s="83">
        <v>0.498</v>
      </c>
      <c r="AJ345" s="83">
        <v>13.727</v>
      </c>
    </row>
    <row r="346" spans="33:36" x14ac:dyDescent="0.25">
      <c r="AG346" s="185">
        <v>44614</v>
      </c>
      <c r="AH346" s="83">
        <v>0.35799999999999998</v>
      </c>
      <c r="AI346" s="83">
        <v>0.48799999999999999</v>
      </c>
      <c r="AJ346" s="83">
        <v>13.016</v>
      </c>
    </row>
    <row r="347" spans="33:36" x14ac:dyDescent="0.25">
      <c r="AG347" s="185">
        <v>44613</v>
      </c>
      <c r="AH347" s="83">
        <v>0.35</v>
      </c>
      <c r="AI347" s="83">
        <v>0.46400000000000002</v>
      </c>
      <c r="AJ347" s="83">
        <v>11.375999999999999</v>
      </c>
    </row>
    <row r="348" spans="33:36" x14ac:dyDescent="0.25">
      <c r="AG348" s="185">
        <v>44612</v>
      </c>
      <c r="AH348" s="83">
        <v>0.35</v>
      </c>
      <c r="AI348" s="83">
        <v>0.48</v>
      </c>
      <c r="AJ348" s="83">
        <v>12.946999999999999</v>
      </c>
    </row>
    <row r="349" spans="33:36" x14ac:dyDescent="0.25">
      <c r="AG349" s="185">
        <v>44611</v>
      </c>
      <c r="AH349" s="83">
        <v>0.35</v>
      </c>
      <c r="AI349" s="83">
        <v>0.48</v>
      </c>
      <c r="AJ349" s="83">
        <v>12.946999999999999</v>
      </c>
    </row>
    <row r="350" spans="33:36" x14ac:dyDescent="0.25">
      <c r="AG350" s="185">
        <v>44610</v>
      </c>
      <c r="AH350" s="83">
        <v>0.35</v>
      </c>
      <c r="AI350" s="83">
        <v>0.48</v>
      </c>
      <c r="AJ350" s="83">
        <v>12.946999999999999</v>
      </c>
    </row>
    <row r="351" spans="33:36" x14ac:dyDescent="0.25">
      <c r="AG351" s="185">
        <v>44609</v>
      </c>
      <c r="AH351" s="83">
        <v>0.36299999999999999</v>
      </c>
      <c r="AI351" s="83">
        <v>0.48099999999999998</v>
      </c>
      <c r="AJ351" s="83">
        <v>11.82</v>
      </c>
    </row>
    <row r="352" spans="33:36" x14ac:dyDescent="0.25">
      <c r="AG352" s="185">
        <v>44608</v>
      </c>
      <c r="AH352" s="83">
        <v>0.39300000000000002</v>
      </c>
      <c r="AI352" s="83">
        <v>0.48799999999999999</v>
      </c>
      <c r="AJ352" s="83">
        <v>9.484</v>
      </c>
    </row>
    <row r="353" spans="33:36" x14ac:dyDescent="0.25">
      <c r="AG353" s="185">
        <v>44607</v>
      </c>
      <c r="AH353" s="83">
        <v>0.41899999999999998</v>
      </c>
      <c r="AI353" s="83">
        <v>0.46899999999999997</v>
      </c>
      <c r="AJ353" s="83">
        <v>5.0010000000000003</v>
      </c>
    </row>
    <row r="354" spans="33:36" x14ac:dyDescent="0.25">
      <c r="AG354" s="185">
        <v>44606</v>
      </c>
      <c r="AH354" s="83">
        <v>0.41599999999999998</v>
      </c>
      <c r="AI354" s="83">
        <v>0.45900000000000002</v>
      </c>
      <c r="AJ354" s="83">
        <v>4.2469999999999999</v>
      </c>
    </row>
    <row r="355" spans="33:36" x14ac:dyDescent="0.25">
      <c r="AG355" s="185">
        <v>44605</v>
      </c>
      <c r="AH355" s="83">
        <v>0.36299999999999999</v>
      </c>
      <c r="AI355" s="83">
        <v>0.50600000000000001</v>
      </c>
      <c r="AJ355" s="83">
        <v>14.363</v>
      </c>
    </row>
    <row r="356" spans="33:36" x14ac:dyDescent="0.25">
      <c r="AG356" s="185">
        <v>44604</v>
      </c>
      <c r="AH356" s="83">
        <v>0.36299999999999999</v>
      </c>
      <c r="AI356" s="83">
        <v>0.50600000000000001</v>
      </c>
      <c r="AJ356" s="83">
        <v>14.363</v>
      </c>
    </row>
    <row r="357" spans="33:36" x14ac:dyDescent="0.25">
      <c r="AG357" s="185">
        <v>44603</v>
      </c>
      <c r="AH357" s="83">
        <v>0.36299999999999999</v>
      </c>
      <c r="AI357" s="83">
        <v>0.50600000000000001</v>
      </c>
      <c r="AJ357" s="83">
        <v>14.363</v>
      </c>
    </row>
    <row r="358" spans="33:36" x14ac:dyDescent="0.25">
      <c r="AG358" s="185">
        <v>44602</v>
      </c>
      <c r="AH358" s="83">
        <v>0.40799999999999997</v>
      </c>
      <c r="AI358" s="83">
        <v>0.39500000000000002</v>
      </c>
      <c r="AJ358" s="83">
        <v>-1.3640000000000001</v>
      </c>
    </row>
    <row r="359" spans="33:36" x14ac:dyDescent="0.25">
      <c r="AG359" s="185">
        <v>44601</v>
      </c>
      <c r="AH359" s="83">
        <v>0.27900000000000003</v>
      </c>
      <c r="AI359" s="83">
        <v>0.377</v>
      </c>
      <c r="AJ359" s="83">
        <v>9.843</v>
      </c>
    </row>
    <row r="360" spans="33:36" x14ac:dyDescent="0.25">
      <c r="AG360" s="185">
        <v>44600</v>
      </c>
      <c r="AH360" s="83">
        <v>0.27400000000000002</v>
      </c>
      <c r="AI360" s="83">
        <v>0.36599999999999999</v>
      </c>
      <c r="AJ360" s="83">
        <v>9.2390000000000008</v>
      </c>
    </row>
    <row r="361" spans="33:36" x14ac:dyDescent="0.25">
      <c r="AG361" s="185">
        <v>44599</v>
      </c>
      <c r="AH361" s="83">
        <v>0.22600000000000001</v>
      </c>
      <c r="AI361" s="83">
        <v>0.36199999999999999</v>
      </c>
      <c r="AJ361" s="83">
        <v>13.673</v>
      </c>
    </row>
    <row r="362" spans="33:36" x14ac:dyDescent="0.25">
      <c r="AG362" s="185">
        <v>44598</v>
      </c>
      <c r="AH362" s="83">
        <v>0.23300000000000001</v>
      </c>
      <c r="AI362" s="83">
        <v>0.33900000000000002</v>
      </c>
      <c r="AJ362" s="83">
        <v>10.57</v>
      </c>
    </row>
    <row r="363" spans="33:36" x14ac:dyDescent="0.25">
      <c r="AG363" s="185">
        <v>44597</v>
      </c>
      <c r="AH363" s="83">
        <v>0.23300000000000001</v>
      </c>
      <c r="AI363" s="83">
        <v>0.33900000000000002</v>
      </c>
      <c r="AJ363" s="83">
        <v>10.57</v>
      </c>
    </row>
    <row r="364" spans="33:36" x14ac:dyDescent="0.25">
      <c r="AG364" s="185">
        <v>44596</v>
      </c>
      <c r="AH364" s="83">
        <v>0.23300000000000001</v>
      </c>
      <c r="AI364" s="83">
        <v>0.33900000000000002</v>
      </c>
      <c r="AJ364" s="83">
        <v>10.57</v>
      </c>
    </row>
    <row r="365" spans="33:36" x14ac:dyDescent="0.25">
      <c r="AG365" s="185">
        <v>44595</v>
      </c>
      <c r="AH365" s="83">
        <v>0.20499999999999999</v>
      </c>
      <c r="AI365" s="83">
        <v>0.315</v>
      </c>
      <c r="AJ365" s="83">
        <v>10.96</v>
      </c>
    </row>
    <row r="366" spans="33:36" x14ac:dyDescent="0.25">
      <c r="AG366" s="185">
        <v>44594</v>
      </c>
      <c r="AH366" s="83">
        <v>0.19800000000000001</v>
      </c>
      <c r="AI366" s="83">
        <v>0.311</v>
      </c>
      <c r="AJ366" s="83">
        <v>11.276999999999999</v>
      </c>
    </row>
    <row r="367" spans="33:36" x14ac:dyDescent="0.25">
      <c r="AG367" s="185">
        <v>44593</v>
      </c>
      <c r="AH367" s="83">
        <v>0.2</v>
      </c>
      <c r="AI367" s="83">
        <v>0.30299999999999999</v>
      </c>
      <c r="AJ367" s="83">
        <v>10.241</v>
      </c>
    </row>
    <row r="368" spans="33:36" x14ac:dyDescent="0.25">
      <c r="AG368" s="185">
        <v>44592</v>
      </c>
      <c r="AH368" s="83">
        <v>0.22600000000000001</v>
      </c>
      <c r="AI368" s="83">
        <v>0.309</v>
      </c>
      <c r="AJ368" s="83">
        <v>8.3160000000000007</v>
      </c>
    </row>
    <row r="369" spans="33:36" x14ac:dyDescent="0.25">
      <c r="AG369" s="185">
        <v>44591</v>
      </c>
      <c r="AH369" s="83">
        <v>0.19800000000000001</v>
      </c>
      <c r="AI369" s="83">
        <v>0.317</v>
      </c>
      <c r="AJ369" s="83">
        <v>11.877000000000001</v>
      </c>
    </row>
    <row r="370" spans="33:36" x14ac:dyDescent="0.25">
      <c r="AG370" s="185">
        <v>44590</v>
      </c>
      <c r="AH370" s="83">
        <v>0.19800000000000001</v>
      </c>
      <c r="AI370" s="83">
        <v>0.317</v>
      </c>
      <c r="AJ370" s="83">
        <v>11.877000000000001</v>
      </c>
    </row>
    <row r="371" spans="33:36" x14ac:dyDescent="0.25">
      <c r="AG371" s="185">
        <v>44589</v>
      </c>
      <c r="AH371" s="83">
        <v>0.19800000000000001</v>
      </c>
      <c r="AI371" s="83">
        <v>0.317</v>
      </c>
      <c r="AJ371" s="83">
        <v>11.877000000000001</v>
      </c>
    </row>
    <row r="372" spans="33:36" x14ac:dyDescent="0.25">
      <c r="AG372" s="185">
        <v>44588</v>
      </c>
      <c r="AH372" s="83">
        <v>0.20300000000000001</v>
      </c>
      <c r="AI372" s="83">
        <v>0.29899999999999999</v>
      </c>
      <c r="AJ372" s="83">
        <v>9.61</v>
      </c>
    </row>
    <row r="373" spans="33:36" x14ac:dyDescent="0.25">
      <c r="AG373" s="185">
        <v>44587</v>
      </c>
      <c r="AH373" s="83">
        <v>0.19500000000000001</v>
      </c>
      <c r="AI373" s="83">
        <v>0.27800000000000002</v>
      </c>
      <c r="AJ373" s="83">
        <v>8.2270000000000003</v>
      </c>
    </row>
    <row r="374" spans="33:36" x14ac:dyDescent="0.25">
      <c r="AG374" s="185">
        <v>44586</v>
      </c>
      <c r="AH374" s="83">
        <v>0.19800000000000001</v>
      </c>
      <c r="AI374" s="83">
        <v>0.26800000000000002</v>
      </c>
      <c r="AJ374" s="83">
        <v>6.9770000000000003</v>
      </c>
    </row>
    <row r="375" spans="33:36" x14ac:dyDescent="0.25">
      <c r="AG375" s="185"/>
    </row>
    <row r="376" spans="33:36" x14ac:dyDescent="0.25">
      <c r="AG376" s="185"/>
    </row>
    <row r="377" spans="33:36" x14ac:dyDescent="0.25">
      <c r="AG377" s="185"/>
    </row>
    <row r="378" spans="33:36" x14ac:dyDescent="0.25">
      <c r="AG378" s="185"/>
    </row>
    <row r="379" spans="33:36" x14ac:dyDescent="0.25">
      <c r="AG379" s="185"/>
    </row>
    <row r="380" spans="33:36" x14ac:dyDescent="0.25">
      <c r="AG380" s="185"/>
    </row>
    <row r="381" spans="33:36" x14ac:dyDescent="0.25">
      <c r="AG381" s="185"/>
    </row>
    <row r="382" spans="33:36" x14ac:dyDescent="0.25">
      <c r="AG382" s="185"/>
    </row>
    <row r="383" spans="33:36" x14ac:dyDescent="0.25">
      <c r="AG383" s="185"/>
    </row>
    <row r="384" spans="33:36" x14ac:dyDescent="0.25">
      <c r="AG384" s="185"/>
    </row>
    <row r="385" spans="33:33" x14ac:dyDescent="0.25">
      <c r="AG385" s="185"/>
    </row>
    <row r="386" spans="33:33" x14ac:dyDescent="0.25">
      <c r="AG386" s="185"/>
    </row>
    <row r="387" spans="33:33" x14ac:dyDescent="0.25">
      <c r="AG387" s="185"/>
    </row>
    <row r="388" spans="33:33" x14ac:dyDescent="0.25">
      <c r="AG388" s="185"/>
    </row>
    <row r="389" spans="33:33" x14ac:dyDescent="0.25">
      <c r="AG389" s="185"/>
    </row>
    <row r="390" spans="33:33" x14ac:dyDescent="0.25">
      <c r="AG390" s="185"/>
    </row>
    <row r="391" spans="33:33" x14ac:dyDescent="0.25">
      <c r="AG391" s="185"/>
    </row>
    <row r="392" spans="33:33" x14ac:dyDescent="0.25">
      <c r="AG392" s="185"/>
    </row>
    <row r="393" spans="33:33" x14ac:dyDescent="0.25">
      <c r="AG393" s="185"/>
    </row>
    <row r="394" spans="33:33" x14ac:dyDescent="0.25">
      <c r="AG394" s="185"/>
    </row>
    <row r="395" spans="33:33" x14ac:dyDescent="0.25">
      <c r="AG395" s="185"/>
    </row>
    <row r="396" spans="33:33" x14ac:dyDescent="0.25">
      <c r="AG396" s="185"/>
    </row>
    <row r="397" spans="33:33" x14ac:dyDescent="0.25">
      <c r="AG397" s="185"/>
    </row>
    <row r="398" spans="33:33" x14ac:dyDescent="0.25">
      <c r="AG398" s="185"/>
    </row>
    <row r="399" spans="33:33" x14ac:dyDescent="0.25">
      <c r="AG399" s="185"/>
    </row>
    <row r="400" spans="33:33" x14ac:dyDescent="0.25">
      <c r="AG400" s="185"/>
    </row>
    <row r="401" spans="33:33" x14ac:dyDescent="0.25">
      <c r="AG401" s="185"/>
    </row>
    <row r="402" spans="33:33" x14ac:dyDescent="0.25">
      <c r="AG402" s="185"/>
    </row>
    <row r="403" spans="33:33" x14ac:dyDescent="0.25">
      <c r="AG403" s="185"/>
    </row>
    <row r="404" spans="33:33" x14ac:dyDescent="0.25">
      <c r="AG404" s="185"/>
    </row>
    <row r="405" spans="33:33" x14ac:dyDescent="0.25">
      <c r="AG405" s="185"/>
    </row>
    <row r="406" spans="33:33" x14ac:dyDescent="0.25">
      <c r="AG406" s="185"/>
    </row>
    <row r="407" spans="33:33" x14ac:dyDescent="0.25">
      <c r="AG407" s="185"/>
    </row>
    <row r="408" spans="33:33" x14ac:dyDescent="0.25">
      <c r="AG408" s="185"/>
    </row>
    <row r="409" spans="33:33" x14ac:dyDescent="0.25">
      <c r="AG409" s="185"/>
    </row>
    <row r="410" spans="33:33" x14ac:dyDescent="0.25">
      <c r="AG410" s="185"/>
    </row>
    <row r="411" spans="33:33" x14ac:dyDescent="0.25">
      <c r="AG411" s="185"/>
    </row>
    <row r="412" spans="33:33" x14ac:dyDescent="0.25">
      <c r="AG412" s="185"/>
    </row>
    <row r="413" spans="33:33" x14ac:dyDescent="0.25">
      <c r="AG413" s="185"/>
    </row>
    <row r="414" spans="33:33" x14ac:dyDescent="0.25">
      <c r="AG414" s="185"/>
    </row>
    <row r="415" spans="33:33" x14ac:dyDescent="0.25">
      <c r="AG415" s="185"/>
    </row>
    <row r="416" spans="33:33" x14ac:dyDescent="0.25">
      <c r="AG416" s="185"/>
    </row>
    <row r="417" spans="33:33" x14ac:dyDescent="0.25">
      <c r="AG417" s="185"/>
    </row>
    <row r="418" spans="33:33" x14ac:dyDescent="0.25">
      <c r="AG418" s="185"/>
    </row>
    <row r="419" spans="33:33" x14ac:dyDescent="0.25">
      <c r="AG419" s="185"/>
    </row>
    <row r="420" spans="33:33" x14ac:dyDescent="0.25">
      <c r="AG420" s="185"/>
    </row>
    <row r="421" spans="33:33" x14ac:dyDescent="0.25">
      <c r="AG421" s="185"/>
    </row>
    <row r="422" spans="33:33" x14ac:dyDescent="0.25">
      <c r="AG422" s="185"/>
    </row>
    <row r="423" spans="33:33" x14ac:dyDescent="0.25">
      <c r="AG423" s="185"/>
    </row>
    <row r="424" spans="33:33" x14ac:dyDescent="0.25">
      <c r="AG424" s="185"/>
    </row>
    <row r="425" spans="33:33" x14ac:dyDescent="0.25">
      <c r="AG425" s="185"/>
    </row>
    <row r="426" spans="33:33" x14ac:dyDescent="0.25">
      <c r="AG426" s="185"/>
    </row>
    <row r="427" spans="33:33" x14ac:dyDescent="0.25">
      <c r="AG427" s="185"/>
    </row>
    <row r="428" spans="33:33" x14ac:dyDescent="0.25">
      <c r="AG428" s="185"/>
    </row>
    <row r="429" spans="33:33" x14ac:dyDescent="0.25">
      <c r="AG429" s="185"/>
    </row>
    <row r="430" spans="33:33" x14ac:dyDescent="0.25">
      <c r="AG430" s="185"/>
    </row>
    <row r="431" spans="33:33" x14ac:dyDescent="0.25">
      <c r="AG431" s="185"/>
    </row>
    <row r="432" spans="33:33" x14ac:dyDescent="0.25">
      <c r="AG432" s="185"/>
    </row>
    <row r="433" spans="33:33" x14ac:dyDescent="0.25">
      <c r="AG433" s="185"/>
    </row>
    <row r="434" spans="33:33" x14ac:dyDescent="0.25">
      <c r="AG434" s="185"/>
    </row>
    <row r="435" spans="33:33" x14ac:dyDescent="0.25">
      <c r="AG435" s="185"/>
    </row>
    <row r="436" spans="33:33" x14ac:dyDescent="0.25">
      <c r="AG436" s="185"/>
    </row>
    <row r="437" spans="33:33" x14ac:dyDescent="0.25">
      <c r="AG437" s="185"/>
    </row>
    <row r="438" spans="33:33" x14ac:dyDescent="0.25">
      <c r="AG438" s="185"/>
    </row>
    <row r="439" spans="33:33" x14ac:dyDescent="0.25">
      <c r="AG439" s="185"/>
    </row>
    <row r="440" spans="33:33" x14ac:dyDescent="0.25">
      <c r="AG440" s="185"/>
    </row>
    <row r="441" spans="33:33" x14ac:dyDescent="0.25">
      <c r="AG441" s="185"/>
    </row>
    <row r="442" spans="33:33" x14ac:dyDescent="0.25">
      <c r="AG442" s="185"/>
    </row>
    <row r="443" spans="33:33" x14ac:dyDescent="0.25">
      <c r="AG443" s="185"/>
    </row>
    <row r="444" spans="33:33" x14ac:dyDescent="0.25">
      <c r="AG444" s="185"/>
    </row>
    <row r="445" spans="33:33" x14ac:dyDescent="0.25">
      <c r="AG445" s="185"/>
    </row>
    <row r="446" spans="33:33" x14ac:dyDescent="0.25">
      <c r="AG446" s="185"/>
    </row>
    <row r="447" spans="33:33" x14ac:dyDescent="0.25">
      <c r="AG447" s="185"/>
    </row>
    <row r="448" spans="33:33" x14ac:dyDescent="0.25">
      <c r="AG448" s="185"/>
    </row>
    <row r="449" spans="33:33" x14ac:dyDescent="0.25">
      <c r="AG449" s="185"/>
    </row>
    <row r="450" spans="33:33" x14ac:dyDescent="0.25">
      <c r="AG450" s="185"/>
    </row>
    <row r="451" spans="33:33" x14ac:dyDescent="0.25">
      <c r="AG451" s="185"/>
    </row>
    <row r="452" spans="33:33" x14ac:dyDescent="0.25">
      <c r="AG452" s="185"/>
    </row>
    <row r="453" spans="33:33" x14ac:dyDescent="0.25">
      <c r="AG453" s="185"/>
    </row>
    <row r="454" spans="33:33" x14ac:dyDescent="0.25">
      <c r="AG454" s="185"/>
    </row>
    <row r="455" spans="33:33" x14ac:dyDescent="0.25">
      <c r="AG455" s="185"/>
    </row>
    <row r="456" spans="33:33" x14ac:dyDescent="0.25">
      <c r="AG456" s="185"/>
    </row>
    <row r="457" spans="33:33" x14ac:dyDescent="0.25">
      <c r="AG457" s="185"/>
    </row>
    <row r="458" spans="33:33" x14ac:dyDescent="0.25">
      <c r="AG458" s="185"/>
    </row>
    <row r="459" spans="33:33" x14ac:dyDescent="0.25">
      <c r="AG459" s="185"/>
    </row>
    <row r="460" spans="33:33" x14ac:dyDescent="0.25">
      <c r="AG460" s="185"/>
    </row>
    <row r="461" spans="33:33" x14ac:dyDescent="0.25">
      <c r="AG461" s="185"/>
    </row>
    <row r="462" spans="33:33" x14ac:dyDescent="0.25">
      <c r="AG462" s="185"/>
    </row>
    <row r="463" spans="33:33" x14ac:dyDescent="0.25">
      <c r="AG463" s="185"/>
    </row>
    <row r="464" spans="33:33" x14ac:dyDescent="0.25">
      <c r="AG464" s="185"/>
    </row>
    <row r="465" spans="33:33" x14ac:dyDescent="0.25">
      <c r="AG465" s="185"/>
    </row>
    <row r="466" spans="33:33" x14ac:dyDescent="0.25">
      <c r="AG466" s="185"/>
    </row>
    <row r="467" spans="33:33" x14ac:dyDescent="0.25">
      <c r="AG467" s="185"/>
    </row>
    <row r="468" spans="33:33" x14ac:dyDescent="0.25">
      <c r="AG468" s="185"/>
    </row>
    <row r="469" spans="33:33" x14ac:dyDescent="0.25">
      <c r="AG469" s="185"/>
    </row>
    <row r="470" spans="33:33" x14ac:dyDescent="0.25">
      <c r="AG470" s="185"/>
    </row>
    <row r="471" spans="33:33" x14ac:dyDescent="0.25">
      <c r="AG471" s="185"/>
    </row>
    <row r="472" spans="33:33" x14ac:dyDescent="0.25">
      <c r="AG472" s="185"/>
    </row>
    <row r="473" spans="33:33" x14ac:dyDescent="0.25">
      <c r="AG473" s="185"/>
    </row>
    <row r="474" spans="33:33" x14ac:dyDescent="0.25">
      <c r="AG474" s="185"/>
    </row>
    <row r="475" spans="33:33" x14ac:dyDescent="0.25">
      <c r="AG475" s="185"/>
    </row>
    <row r="476" spans="33:33" x14ac:dyDescent="0.25">
      <c r="AG476" s="185"/>
    </row>
    <row r="477" spans="33:33" x14ac:dyDescent="0.25">
      <c r="AG477" s="185"/>
    </row>
    <row r="478" spans="33:33" x14ac:dyDescent="0.25">
      <c r="AG478" s="185"/>
    </row>
    <row r="479" spans="33:33" x14ac:dyDescent="0.25">
      <c r="AG479" s="185"/>
    </row>
    <row r="480" spans="33:33" x14ac:dyDescent="0.25">
      <c r="AG480" s="185"/>
    </row>
    <row r="481" spans="33:33" x14ac:dyDescent="0.25">
      <c r="AG481" s="185"/>
    </row>
    <row r="482" spans="33:33" x14ac:dyDescent="0.25">
      <c r="AG482" s="185"/>
    </row>
    <row r="483" spans="33:33" x14ac:dyDescent="0.25">
      <c r="AG483" s="185"/>
    </row>
    <row r="484" spans="33:33" x14ac:dyDescent="0.25">
      <c r="AG484" s="185"/>
    </row>
    <row r="485" spans="33:33" x14ac:dyDescent="0.25">
      <c r="AG485" s="185"/>
    </row>
    <row r="486" spans="33:33" x14ac:dyDescent="0.25">
      <c r="AG486" s="185"/>
    </row>
    <row r="487" spans="33:33" x14ac:dyDescent="0.25">
      <c r="AG487" s="185"/>
    </row>
    <row r="488" spans="33:33" x14ac:dyDescent="0.25">
      <c r="AG488" s="185"/>
    </row>
    <row r="489" spans="33:33" x14ac:dyDescent="0.25">
      <c r="AG489" s="185"/>
    </row>
    <row r="490" spans="33:33" x14ac:dyDescent="0.25">
      <c r="AG490" s="185"/>
    </row>
    <row r="491" spans="33:33" x14ac:dyDescent="0.25">
      <c r="AG491" s="185"/>
    </row>
    <row r="492" spans="33:33" x14ac:dyDescent="0.25">
      <c r="AG492" s="185"/>
    </row>
    <row r="493" spans="33:33" x14ac:dyDescent="0.25">
      <c r="AG493" s="185"/>
    </row>
    <row r="494" spans="33:33" x14ac:dyDescent="0.25">
      <c r="AG494" s="185"/>
    </row>
    <row r="495" spans="33:33" x14ac:dyDescent="0.25">
      <c r="AG495" s="185"/>
    </row>
    <row r="496" spans="33:33" x14ac:dyDescent="0.25">
      <c r="AG496" s="185"/>
    </row>
    <row r="497" spans="33:33" x14ac:dyDescent="0.25">
      <c r="AG497" s="185"/>
    </row>
    <row r="498" spans="33:33" x14ac:dyDescent="0.25">
      <c r="AG498" s="185"/>
    </row>
    <row r="499" spans="33:33" x14ac:dyDescent="0.25">
      <c r="AG499" s="185"/>
    </row>
    <row r="500" spans="33:33" x14ac:dyDescent="0.25">
      <c r="AG500" s="185"/>
    </row>
    <row r="501" spans="33:33" x14ac:dyDescent="0.25">
      <c r="AG501" s="185"/>
    </row>
    <row r="502" spans="33:33" x14ac:dyDescent="0.25">
      <c r="AG502" s="185"/>
    </row>
    <row r="503" spans="33:33" x14ac:dyDescent="0.25">
      <c r="AG503" s="185"/>
    </row>
    <row r="504" spans="33:33" x14ac:dyDescent="0.25">
      <c r="AG504" s="185"/>
    </row>
    <row r="505" spans="33:33" x14ac:dyDescent="0.25">
      <c r="AG505" s="185"/>
    </row>
    <row r="506" spans="33:33" x14ac:dyDescent="0.25">
      <c r="AG506" s="185"/>
    </row>
    <row r="507" spans="33:33" x14ac:dyDescent="0.25">
      <c r="AG507" s="185"/>
    </row>
    <row r="508" spans="33:33" x14ac:dyDescent="0.25">
      <c r="AG508" s="185"/>
    </row>
    <row r="509" spans="33:33" x14ac:dyDescent="0.25">
      <c r="AG509" s="185"/>
    </row>
    <row r="510" spans="33:33" x14ac:dyDescent="0.25">
      <c r="AG510" s="185"/>
    </row>
    <row r="511" spans="33:33" x14ac:dyDescent="0.25">
      <c r="AG511" s="185"/>
    </row>
    <row r="512" spans="33:33" x14ac:dyDescent="0.25">
      <c r="AG512" s="185"/>
    </row>
    <row r="513" spans="33:33" x14ac:dyDescent="0.25">
      <c r="AG513" s="185"/>
    </row>
    <row r="514" spans="33:33" x14ac:dyDescent="0.25">
      <c r="AG514" s="185"/>
    </row>
    <row r="515" spans="33:33" x14ac:dyDescent="0.25">
      <c r="AG515" s="185"/>
    </row>
    <row r="516" spans="33:33" x14ac:dyDescent="0.25">
      <c r="AG516" s="185"/>
    </row>
    <row r="517" spans="33:33" x14ac:dyDescent="0.25">
      <c r="AG517" s="185"/>
    </row>
    <row r="518" spans="33:33" x14ac:dyDescent="0.25">
      <c r="AG518" s="185"/>
    </row>
    <row r="519" spans="33:33" x14ac:dyDescent="0.25">
      <c r="AG519" s="185"/>
    </row>
    <row r="520" spans="33:33" x14ac:dyDescent="0.25">
      <c r="AG520" s="185"/>
    </row>
    <row r="521" spans="33:33" x14ac:dyDescent="0.25">
      <c r="AG521" s="185"/>
    </row>
    <row r="522" spans="33:33" x14ac:dyDescent="0.25">
      <c r="AG522" s="185"/>
    </row>
    <row r="523" spans="33:33" x14ac:dyDescent="0.25">
      <c r="AG523" s="185"/>
    </row>
    <row r="524" spans="33:33" x14ac:dyDescent="0.25">
      <c r="AG524" s="185"/>
    </row>
    <row r="525" spans="33:33" x14ac:dyDescent="0.25">
      <c r="AG525" s="185"/>
    </row>
    <row r="526" spans="33:33" x14ac:dyDescent="0.25">
      <c r="AG526" s="185"/>
    </row>
    <row r="527" spans="33:33" x14ac:dyDescent="0.25">
      <c r="AG527" s="185"/>
    </row>
    <row r="528" spans="33:33" x14ac:dyDescent="0.25">
      <c r="AG528" s="185"/>
    </row>
    <row r="529" spans="33:33" x14ac:dyDescent="0.25">
      <c r="AG529" s="185"/>
    </row>
    <row r="530" spans="33:33" x14ac:dyDescent="0.25">
      <c r="AG530" s="185"/>
    </row>
    <row r="531" spans="33:33" x14ac:dyDescent="0.25">
      <c r="AG531" s="185"/>
    </row>
    <row r="532" spans="33:33" x14ac:dyDescent="0.25">
      <c r="AG532" s="185"/>
    </row>
    <row r="533" spans="33:33" x14ac:dyDescent="0.25">
      <c r="AG533" s="185"/>
    </row>
    <row r="534" spans="33:33" x14ac:dyDescent="0.25">
      <c r="AG534" s="185"/>
    </row>
    <row r="535" spans="33:33" x14ac:dyDescent="0.25">
      <c r="AG535" s="185"/>
    </row>
    <row r="536" spans="33:33" x14ac:dyDescent="0.25">
      <c r="AG536" s="185"/>
    </row>
    <row r="537" spans="33:33" x14ac:dyDescent="0.25">
      <c r="AG537" s="185"/>
    </row>
    <row r="538" spans="33:33" x14ac:dyDescent="0.25">
      <c r="AG538" s="185"/>
    </row>
    <row r="539" spans="33:33" x14ac:dyDescent="0.25">
      <c r="AG539" s="185"/>
    </row>
    <row r="540" spans="33:33" x14ac:dyDescent="0.25">
      <c r="AG540" s="185"/>
    </row>
    <row r="541" spans="33:33" x14ac:dyDescent="0.25">
      <c r="AG541" s="185"/>
    </row>
    <row r="542" spans="33:33" x14ac:dyDescent="0.25">
      <c r="AG542" s="185"/>
    </row>
    <row r="543" spans="33:33" x14ac:dyDescent="0.25">
      <c r="AG543" s="185"/>
    </row>
    <row r="544" spans="33:33" x14ac:dyDescent="0.25">
      <c r="AG544" s="185"/>
    </row>
    <row r="545" spans="33:33" x14ac:dyDescent="0.25">
      <c r="AG545" s="185"/>
    </row>
    <row r="546" spans="33:33" x14ac:dyDescent="0.25">
      <c r="AG546" s="185"/>
    </row>
    <row r="547" spans="33:33" x14ac:dyDescent="0.25">
      <c r="AG547" s="185"/>
    </row>
    <row r="548" spans="33:33" x14ac:dyDescent="0.25">
      <c r="AG548" s="185"/>
    </row>
    <row r="549" spans="33:33" x14ac:dyDescent="0.25">
      <c r="AG549" s="185"/>
    </row>
    <row r="550" spans="33:33" x14ac:dyDescent="0.25">
      <c r="AG550" s="185"/>
    </row>
    <row r="551" spans="33:33" x14ac:dyDescent="0.25">
      <c r="AG551" s="185"/>
    </row>
    <row r="552" spans="33:33" x14ac:dyDescent="0.25">
      <c r="AG552" s="185"/>
    </row>
    <row r="553" spans="33:33" x14ac:dyDescent="0.25">
      <c r="AG553" s="185"/>
    </row>
    <row r="554" spans="33:33" x14ac:dyDescent="0.25">
      <c r="AG554" s="185"/>
    </row>
    <row r="555" spans="33:33" x14ac:dyDescent="0.25">
      <c r="AG555" s="185"/>
    </row>
    <row r="556" spans="33:33" x14ac:dyDescent="0.25">
      <c r="AG556" s="185"/>
    </row>
    <row r="557" spans="33:33" x14ac:dyDescent="0.25">
      <c r="AG557" s="185"/>
    </row>
    <row r="558" spans="33:33" x14ac:dyDescent="0.25">
      <c r="AG558" s="185"/>
    </row>
    <row r="559" spans="33:33" x14ac:dyDescent="0.25">
      <c r="AG559" s="185"/>
    </row>
    <row r="560" spans="33:33" x14ac:dyDescent="0.25">
      <c r="AG560" s="185"/>
    </row>
    <row r="561" spans="33:33" x14ac:dyDescent="0.25">
      <c r="AG561" s="185"/>
    </row>
    <row r="562" spans="33:33" x14ac:dyDescent="0.25">
      <c r="AG562" s="185"/>
    </row>
    <row r="563" spans="33:33" x14ac:dyDescent="0.25">
      <c r="AG563" s="185"/>
    </row>
    <row r="564" spans="33:33" x14ac:dyDescent="0.25">
      <c r="AG564" s="185"/>
    </row>
    <row r="565" spans="33:33" x14ac:dyDescent="0.25">
      <c r="AG565" s="185"/>
    </row>
    <row r="566" spans="33:33" x14ac:dyDescent="0.25">
      <c r="AG566" s="185"/>
    </row>
    <row r="567" spans="33:33" x14ac:dyDescent="0.25">
      <c r="AG567" s="185"/>
    </row>
    <row r="568" spans="33:33" x14ac:dyDescent="0.25">
      <c r="AG568" s="185"/>
    </row>
    <row r="569" spans="33:33" x14ac:dyDescent="0.25">
      <c r="AG569" s="185"/>
    </row>
    <row r="570" spans="33:33" x14ac:dyDescent="0.25">
      <c r="AG570" s="185"/>
    </row>
    <row r="571" spans="33:33" x14ac:dyDescent="0.25">
      <c r="AG571" s="185"/>
    </row>
    <row r="572" spans="33:33" x14ac:dyDescent="0.25">
      <c r="AG572" s="185"/>
    </row>
    <row r="573" spans="33:33" x14ac:dyDescent="0.25">
      <c r="AG573" s="185"/>
    </row>
    <row r="574" spans="33:33" x14ac:dyDescent="0.25">
      <c r="AG574" s="185"/>
    </row>
    <row r="575" spans="33:33" x14ac:dyDescent="0.25">
      <c r="AG575" s="185"/>
    </row>
    <row r="576" spans="33:33" x14ac:dyDescent="0.25">
      <c r="AG576" s="185"/>
    </row>
    <row r="577" spans="33:33" x14ac:dyDescent="0.25">
      <c r="AG577" s="185"/>
    </row>
    <row r="578" spans="33:33" x14ac:dyDescent="0.25">
      <c r="AG578" s="185"/>
    </row>
    <row r="579" spans="33:33" x14ac:dyDescent="0.25">
      <c r="AG579" s="185"/>
    </row>
    <row r="580" spans="33:33" x14ac:dyDescent="0.25">
      <c r="AG580" s="185"/>
    </row>
    <row r="581" spans="33:33" x14ac:dyDescent="0.25">
      <c r="AG581" s="185"/>
    </row>
    <row r="582" spans="33:33" x14ac:dyDescent="0.25">
      <c r="AG582" s="185"/>
    </row>
    <row r="583" spans="33:33" x14ac:dyDescent="0.25">
      <c r="AG583" s="185"/>
    </row>
    <row r="584" spans="33:33" x14ac:dyDescent="0.25">
      <c r="AG584" s="185"/>
    </row>
    <row r="585" spans="33:33" x14ac:dyDescent="0.25">
      <c r="AG585" s="185"/>
    </row>
    <row r="586" spans="33:33" x14ac:dyDescent="0.25">
      <c r="AG586" s="185"/>
    </row>
    <row r="587" spans="33:33" x14ac:dyDescent="0.25">
      <c r="AG587" s="185"/>
    </row>
    <row r="588" spans="33:33" x14ac:dyDescent="0.25">
      <c r="AG588" s="185"/>
    </row>
    <row r="589" spans="33:33" x14ac:dyDescent="0.25">
      <c r="AG589" s="185"/>
    </row>
    <row r="590" spans="33:33" x14ac:dyDescent="0.25">
      <c r="AG590" s="185"/>
    </row>
    <row r="591" spans="33:33" x14ac:dyDescent="0.25">
      <c r="AG591" s="185"/>
    </row>
    <row r="592" spans="33:33" x14ac:dyDescent="0.25">
      <c r="AG592" s="185"/>
    </row>
    <row r="593" spans="33:33" x14ac:dyDescent="0.25">
      <c r="AG593" s="185"/>
    </row>
    <row r="594" spans="33:33" x14ac:dyDescent="0.25">
      <c r="AG594" s="185"/>
    </row>
    <row r="595" spans="33:33" x14ac:dyDescent="0.25">
      <c r="AG595" s="185"/>
    </row>
    <row r="596" spans="33:33" x14ac:dyDescent="0.25">
      <c r="AG596" s="185"/>
    </row>
    <row r="597" spans="33:33" x14ac:dyDescent="0.25">
      <c r="AG597" s="185"/>
    </row>
    <row r="598" spans="33:33" x14ac:dyDescent="0.25">
      <c r="AG598" s="185"/>
    </row>
    <row r="599" spans="33:33" x14ac:dyDescent="0.25">
      <c r="AG599" s="185"/>
    </row>
    <row r="600" spans="33:33" x14ac:dyDescent="0.25">
      <c r="AG600" s="185"/>
    </row>
    <row r="601" spans="33:33" x14ac:dyDescent="0.25">
      <c r="AG601" s="185"/>
    </row>
    <row r="602" spans="33:33" x14ac:dyDescent="0.25">
      <c r="AG602" s="185"/>
    </row>
    <row r="603" spans="33:33" x14ac:dyDescent="0.25">
      <c r="AG603" s="185"/>
    </row>
    <row r="604" spans="33:33" x14ac:dyDescent="0.25">
      <c r="AG604" s="185"/>
    </row>
    <row r="605" spans="33:33" x14ac:dyDescent="0.25">
      <c r="AG605" s="185"/>
    </row>
    <row r="606" spans="33:33" x14ac:dyDescent="0.25">
      <c r="AG606" s="185"/>
    </row>
    <row r="607" spans="33:33" x14ac:dyDescent="0.25">
      <c r="AG607" s="185"/>
    </row>
    <row r="608" spans="33:33" x14ac:dyDescent="0.25">
      <c r="AG608" s="185"/>
    </row>
    <row r="609" spans="33:33" x14ac:dyDescent="0.25">
      <c r="AG609" s="185"/>
    </row>
    <row r="610" spans="33:33" x14ac:dyDescent="0.25">
      <c r="AG610" s="185"/>
    </row>
    <row r="611" spans="33:33" x14ac:dyDescent="0.25">
      <c r="AG611" s="185"/>
    </row>
    <row r="612" spans="33:33" x14ac:dyDescent="0.25">
      <c r="AG612" s="185"/>
    </row>
    <row r="613" spans="33:33" x14ac:dyDescent="0.25">
      <c r="AG613" s="185"/>
    </row>
    <row r="614" spans="33:33" x14ac:dyDescent="0.25">
      <c r="AG614" s="185"/>
    </row>
    <row r="615" spans="33:33" x14ac:dyDescent="0.25">
      <c r="AG615" s="185"/>
    </row>
    <row r="616" spans="33:33" x14ac:dyDescent="0.25">
      <c r="AG616" s="185"/>
    </row>
    <row r="617" spans="33:33" x14ac:dyDescent="0.25">
      <c r="AG617" s="185"/>
    </row>
    <row r="618" spans="33:33" x14ac:dyDescent="0.25">
      <c r="AG618" s="185"/>
    </row>
    <row r="619" spans="33:33" x14ac:dyDescent="0.25">
      <c r="AG619" s="185"/>
    </row>
    <row r="620" spans="33:33" x14ac:dyDescent="0.25">
      <c r="AG620" s="185"/>
    </row>
    <row r="621" spans="33:33" x14ac:dyDescent="0.25">
      <c r="AG621" s="185"/>
    </row>
    <row r="622" spans="33:33" x14ac:dyDescent="0.25">
      <c r="AG622" s="185"/>
    </row>
    <row r="623" spans="33:33" x14ac:dyDescent="0.25">
      <c r="AG623" s="185"/>
    </row>
    <row r="624" spans="33:33" x14ac:dyDescent="0.25">
      <c r="AG624" s="185"/>
    </row>
    <row r="625" spans="33:33" x14ac:dyDescent="0.25">
      <c r="AG625" s="185"/>
    </row>
    <row r="626" spans="33:33" x14ac:dyDescent="0.25">
      <c r="AG626" s="185"/>
    </row>
    <row r="627" spans="33:33" x14ac:dyDescent="0.25">
      <c r="AG627" s="185"/>
    </row>
    <row r="628" spans="33:33" x14ac:dyDescent="0.25">
      <c r="AG628" s="185"/>
    </row>
    <row r="629" spans="33:33" x14ac:dyDescent="0.25">
      <c r="AG629" s="185"/>
    </row>
    <row r="630" spans="33:33" x14ac:dyDescent="0.25">
      <c r="AG630" s="185"/>
    </row>
    <row r="631" spans="33:33" x14ac:dyDescent="0.25">
      <c r="AG631" s="185"/>
    </row>
    <row r="632" spans="33:33" x14ac:dyDescent="0.25">
      <c r="AG632" s="185"/>
    </row>
    <row r="633" spans="33:33" x14ac:dyDescent="0.25">
      <c r="AG633" s="185"/>
    </row>
    <row r="634" spans="33:33" x14ac:dyDescent="0.25">
      <c r="AG634" s="185"/>
    </row>
    <row r="635" spans="33:33" x14ac:dyDescent="0.25">
      <c r="AG635" s="185"/>
    </row>
    <row r="636" spans="33:33" x14ac:dyDescent="0.25">
      <c r="AG636" s="185"/>
    </row>
    <row r="637" spans="33:33" x14ac:dyDescent="0.25">
      <c r="AG637" s="185"/>
    </row>
    <row r="638" spans="33:33" x14ac:dyDescent="0.25">
      <c r="AG638" s="185"/>
    </row>
    <row r="639" spans="33:33" x14ac:dyDescent="0.25">
      <c r="AG639" s="185"/>
    </row>
    <row r="640" spans="33:33" x14ac:dyDescent="0.25">
      <c r="AG640" s="185"/>
    </row>
    <row r="641" spans="33:33" x14ac:dyDescent="0.25">
      <c r="AG641" s="185"/>
    </row>
    <row r="642" spans="33:33" x14ac:dyDescent="0.25">
      <c r="AG642" s="185"/>
    </row>
    <row r="643" spans="33:33" x14ac:dyDescent="0.25">
      <c r="AG643" s="185"/>
    </row>
    <row r="644" spans="33:33" x14ac:dyDescent="0.25">
      <c r="AG644" s="185"/>
    </row>
    <row r="645" spans="33:33" x14ac:dyDescent="0.25">
      <c r="AG645" s="185"/>
    </row>
    <row r="646" spans="33:33" x14ac:dyDescent="0.25">
      <c r="AG646" s="185"/>
    </row>
    <row r="647" spans="33:33" x14ac:dyDescent="0.25">
      <c r="AG647" s="185"/>
    </row>
    <row r="648" spans="33:33" x14ac:dyDescent="0.25">
      <c r="AG648" s="185"/>
    </row>
    <row r="649" spans="33:33" x14ac:dyDescent="0.25">
      <c r="AG649" s="185"/>
    </row>
    <row r="650" spans="33:33" x14ac:dyDescent="0.25">
      <c r="AG650" s="185"/>
    </row>
    <row r="651" spans="33:33" x14ac:dyDescent="0.25">
      <c r="AG651" s="185"/>
    </row>
    <row r="652" spans="33:33" x14ac:dyDescent="0.25">
      <c r="AG652" s="185"/>
    </row>
    <row r="653" spans="33:33" x14ac:dyDescent="0.25">
      <c r="AG653" s="185"/>
    </row>
    <row r="654" spans="33:33" x14ac:dyDescent="0.25">
      <c r="AG654" s="185"/>
    </row>
    <row r="655" spans="33:33" x14ac:dyDescent="0.25">
      <c r="AG655" s="185"/>
    </row>
    <row r="656" spans="33:33" x14ac:dyDescent="0.25">
      <c r="AG656" s="185"/>
    </row>
    <row r="657" spans="33:33" x14ac:dyDescent="0.25">
      <c r="AG657" s="185"/>
    </row>
    <row r="658" spans="33:33" x14ac:dyDescent="0.25">
      <c r="AG658" s="185"/>
    </row>
    <row r="659" spans="33:33" x14ac:dyDescent="0.25">
      <c r="AG659" s="185"/>
    </row>
    <row r="660" spans="33:33" x14ac:dyDescent="0.25">
      <c r="AG660" s="185"/>
    </row>
    <row r="661" spans="33:33" x14ac:dyDescent="0.25">
      <c r="AG661" s="185"/>
    </row>
    <row r="662" spans="33:33" x14ac:dyDescent="0.25">
      <c r="AG662" s="185"/>
    </row>
    <row r="663" spans="33:33" x14ac:dyDescent="0.25">
      <c r="AG663" s="185"/>
    </row>
    <row r="664" spans="33:33" x14ac:dyDescent="0.25">
      <c r="AG664" s="185"/>
    </row>
    <row r="665" spans="33:33" x14ac:dyDescent="0.25">
      <c r="AG665" s="185"/>
    </row>
    <row r="666" spans="33:33" x14ac:dyDescent="0.25">
      <c r="AG666" s="185"/>
    </row>
    <row r="667" spans="33:33" x14ac:dyDescent="0.25">
      <c r="AG667" s="185"/>
    </row>
    <row r="668" spans="33:33" x14ac:dyDescent="0.25">
      <c r="AG668" s="185"/>
    </row>
    <row r="669" spans="33:33" x14ac:dyDescent="0.25">
      <c r="AG669" s="185"/>
    </row>
    <row r="670" spans="33:33" x14ac:dyDescent="0.25">
      <c r="AG670" s="185"/>
    </row>
    <row r="671" spans="33:33" x14ac:dyDescent="0.25">
      <c r="AG671" s="185"/>
    </row>
    <row r="672" spans="33:33" x14ac:dyDescent="0.25">
      <c r="AG672" s="185"/>
    </row>
    <row r="673" spans="33:33" x14ac:dyDescent="0.25">
      <c r="AG673" s="185"/>
    </row>
    <row r="674" spans="33:33" x14ac:dyDescent="0.25">
      <c r="AG674" s="185"/>
    </row>
    <row r="675" spans="33:33" x14ac:dyDescent="0.25">
      <c r="AG675" s="185"/>
    </row>
    <row r="676" spans="33:33" x14ac:dyDescent="0.25">
      <c r="AG676" s="185"/>
    </row>
    <row r="677" spans="33:33" x14ac:dyDescent="0.25">
      <c r="AG677" s="185"/>
    </row>
    <row r="678" spans="33:33" x14ac:dyDescent="0.25">
      <c r="AG678" s="185"/>
    </row>
    <row r="679" spans="33:33" x14ac:dyDescent="0.25">
      <c r="AG679" s="185"/>
    </row>
    <row r="680" spans="33:33" x14ac:dyDescent="0.25">
      <c r="AG680" s="185"/>
    </row>
    <row r="681" spans="33:33" x14ac:dyDescent="0.25">
      <c r="AG681" s="185"/>
    </row>
    <row r="682" spans="33:33" x14ac:dyDescent="0.25">
      <c r="AG682" s="185"/>
    </row>
    <row r="683" spans="33:33" x14ac:dyDescent="0.25">
      <c r="AG683" s="185"/>
    </row>
    <row r="684" spans="33:33" x14ac:dyDescent="0.25">
      <c r="AG684" s="185"/>
    </row>
    <row r="685" spans="33:33" x14ac:dyDescent="0.25">
      <c r="AG685" s="185"/>
    </row>
    <row r="686" spans="33:33" x14ac:dyDescent="0.25">
      <c r="AG686" s="185"/>
    </row>
    <row r="687" spans="33:33" x14ac:dyDescent="0.25">
      <c r="AG687" s="185"/>
    </row>
    <row r="688" spans="33:33" x14ac:dyDescent="0.25">
      <c r="AG688" s="185"/>
    </row>
    <row r="689" spans="33:33" x14ac:dyDescent="0.25">
      <c r="AG689" s="185"/>
    </row>
    <row r="690" spans="33:33" x14ac:dyDescent="0.25">
      <c r="AG690" s="185"/>
    </row>
    <row r="691" spans="33:33" x14ac:dyDescent="0.25">
      <c r="AG691" s="185"/>
    </row>
    <row r="692" spans="33:33" x14ac:dyDescent="0.25">
      <c r="AG692" s="185"/>
    </row>
    <row r="693" spans="33:33" x14ac:dyDescent="0.25">
      <c r="AG693" s="185"/>
    </row>
    <row r="694" spans="33:33" x14ac:dyDescent="0.25">
      <c r="AG694" s="185"/>
    </row>
    <row r="695" spans="33:33" x14ac:dyDescent="0.25">
      <c r="AG695" s="185"/>
    </row>
    <row r="696" spans="33:33" x14ac:dyDescent="0.25">
      <c r="AG696" s="185"/>
    </row>
    <row r="697" spans="33:33" x14ac:dyDescent="0.25">
      <c r="AG697" s="185"/>
    </row>
    <row r="698" spans="33:33" x14ac:dyDescent="0.25">
      <c r="AG698" s="185"/>
    </row>
    <row r="699" spans="33:33" x14ac:dyDescent="0.25">
      <c r="AG699" s="185"/>
    </row>
    <row r="700" spans="33:33" x14ac:dyDescent="0.25">
      <c r="AG700" s="185"/>
    </row>
    <row r="701" spans="33:33" x14ac:dyDescent="0.25">
      <c r="AG701" s="185"/>
    </row>
    <row r="702" spans="33:33" x14ac:dyDescent="0.25">
      <c r="AG702" s="185"/>
    </row>
    <row r="703" spans="33:33" x14ac:dyDescent="0.25">
      <c r="AG703" s="185"/>
    </row>
    <row r="704" spans="33:33" x14ac:dyDescent="0.25">
      <c r="AG704" s="185"/>
    </row>
    <row r="705" spans="33:33" x14ac:dyDescent="0.25">
      <c r="AG705" s="185"/>
    </row>
    <row r="706" spans="33:33" x14ac:dyDescent="0.25">
      <c r="AG706" s="185"/>
    </row>
    <row r="707" spans="33:33" x14ac:dyDescent="0.25">
      <c r="AG707" s="185"/>
    </row>
    <row r="708" spans="33:33" x14ac:dyDescent="0.25">
      <c r="AG708" s="185"/>
    </row>
    <row r="709" spans="33:33" x14ac:dyDescent="0.25">
      <c r="AG709" s="185"/>
    </row>
    <row r="710" spans="33:33" x14ac:dyDescent="0.25">
      <c r="AG710" s="185"/>
    </row>
    <row r="711" spans="33:33" x14ac:dyDescent="0.25">
      <c r="AG711" s="185"/>
    </row>
    <row r="712" spans="33:33" x14ac:dyDescent="0.25">
      <c r="AG712" s="185"/>
    </row>
    <row r="713" spans="33:33" x14ac:dyDescent="0.25">
      <c r="AG713" s="185"/>
    </row>
    <row r="714" spans="33:33" x14ac:dyDescent="0.25">
      <c r="AG714" s="185"/>
    </row>
    <row r="715" spans="33:33" x14ac:dyDescent="0.25">
      <c r="AG715" s="185"/>
    </row>
    <row r="716" spans="33:33" x14ac:dyDescent="0.25">
      <c r="AG716" s="185"/>
    </row>
    <row r="717" spans="33:33" x14ac:dyDescent="0.25">
      <c r="AG717" s="185"/>
    </row>
    <row r="718" spans="33:33" x14ac:dyDescent="0.25">
      <c r="AG718" s="185"/>
    </row>
    <row r="719" spans="33:33" x14ac:dyDescent="0.25">
      <c r="AG719" s="185"/>
    </row>
    <row r="720" spans="33:33" x14ac:dyDescent="0.25">
      <c r="AG720" s="185"/>
    </row>
    <row r="721" spans="33:33" x14ac:dyDescent="0.25">
      <c r="AG721" s="185"/>
    </row>
    <row r="722" spans="33:33" x14ac:dyDescent="0.25">
      <c r="AG722" s="185"/>
    </row>
    <row r="723" spans="33:33" x14ac:dyDescent="0.25">
      <c r="AG723" s="185"/>
    </row>
    <row r="724" spans="33:33" x14ac:dyDescent="0.25">
      <c r="AG724" s="185"/>
    </row>
    <row r="725" spans="33:33" x14ac:dyDescent="0.25">
      <c r="AG725" s="185"/>
    </row>
    <row r="726" spans="33:33" x14ac:dyDescent="0.25">
      <c r="AG726" s="185"/>
    </row>
    <row r="727" spans="33:33" x14ac:dyDescent="0.25">
      <c r="AG727" s="185"/>
    </row>
    <row r="728" spans="33:33" x14ac:dyDescent="0.25">
      <c r="AG728" s="185"/>
    </row>
    <row r="729" spans="33:33" x14ac:dyDescent="0.25">
      <c r="AG729" s="185"/>
    </row>
    <row r="730" spans="33:33" x14ac:dyDescent="0.25">
      <c r="AG730" s="185"/>
    </row>
    <row r="731" spans="33:33" x14ac:dyDescent="0.25">
      <c r="AG731" s="185"/>
    </row>
    <row r="732" spans="33:33" x14ac:dyDescent="0.25">
      <c r="AG732" s="185"/>
    </row>
    <row r="733" spans="33:33" x14ac:dyDescent="0.25">
      <c r="AG733" s="185"/>
    </row>
    <row r="734" spans="33:33" x14ac:dyDescent="0.25">
      <c r="AG734" s="185"/>
    </row>
    <row r="735" spans="33:33" x14ac:dyDescent="0.25">
      <c r="AG735" s="185"/>
    </row>
    <row r="736" spans="33:33" x14ac:dyDescent="0.25">
      <c r="AG736" s="185"/>
    </row>
    <row r="737" spans="33:33" x14ac:dyDescent="0.25">
      <c r="AG737" s="185"/>
    </row>
    <row r="738" spans="33:33" x14ac:dyDescent="0.25">
      <c r="AG738" s="185"/>
    </row>
    <row r="739" spans="33:33" x14ac:dyDescent="0.25">
      <c r="AG739" s="185"/>
    </row>
    <row r="740" spans="33:33" x14ac:dyDescent="0.25">
      <c r="AG740" s="185"/>
    </row>
    <row r="741" spans="33:33" x14ac:dyDescent="0.25">
      <c r="AG741" s="185"/>
    </row>
    <row r="742" spans="33:33" x14ac:dyDescent="0.25">
      <c r="AG742" s="185"/>
    </row>
    <row r="743" spans="33:33" x14ac:dyDescent="0.25">
      <c r="AG743" s="185"/>
    </row>
    <row r="744" spans="33:33" x14ac:dyDescent="0.25">
      <c r="AG744" s="185"/>
    </row>
    <row r="745" spans="33:33" x14ac:dyDescent="0.25">
      <c r="AG745" s="185"/>
    </row>
    <row r="746" spans="33:33" x14ac:dyDescent="0.25">
      <c r="AG746" s="185"/>
    </row>
    <row r="747" spans="33:33" x14ac:dyDescent="0.25">
      <c r="AG747" s="185"/>
    </row>
    <row r="748" spans="33:33" x14ac:dyDescent="0.25">
      <c r="AG748" s="185"/>
    </row>
    <row r="749" spans="33:33" x14ac:dyDescent="0.25">
      <c r="AG749" s="185"/>
    </row>
    <row r="750" spans="33:33" x14ac:dyDescent="0.25">
      <c r="AG750" s="185"/>
    </row>
    <row r="751" spans="33:33" x14ac:dyDescent="0.25">
      <c r="AG751" s="185"/>
    </row>
    <row r="752" spans="33:33" x14ac:dyDescent="0.25">
      <c r="AG752" s="185"/>
    </row>
    <row r="753" spans="33:33" x14ac:dyDescent="0.25">
      <c r="AG753" s="185"/>
    </row>
    <row r="754" spans="33:33" x14ac:dyDescent="0.25">
      <c r="AG754" s="185"/>
    </row>
    <row r="755" spans="33:33" x14ac:dyDescent="0.25">
      <c r="AG755" s="185"/>
    </row>
    <row r="756" spans="33:33" x14ac:dyDescent="0.25">
      <c r="AG756" s="185"/>
    </row>
    <row r="757" spans="33:33" x14ac:dyDescent="0.25">
      <c r="AG757" s="185"/>
    </row>
    <row r="758" spans="33:33" x14ac:dyDescent="0.25">
      <c r="AG758" s="185"/>
    </row>
    <row r="759" spans="33:33" x14ac:dyDescent="0.25">
      <c r="AG759" s="185"/>
    </row>
    <row r="760" spans="33:33" x14ac:dyDescent="0.25">
      <c r="AG760" s="185"/>
    </row>
    <row r="761" spans="33:33" x14ac:dyDescent="0.25">
      <c r="AG761" s="185"/>
    </row>
    <row r="762" spans="33:33" x14ac:dyDescent="0.25">
      <c r="AG762" s="185"/>
    </row>
    <row r="763" spans="33:33" x14ac:dyDescent="0.25">
      <c r="AG763" s="185"/>
    </row>
    <row r="764" spans="33:33" x14ac:dyDescent="0.25">
      <c r="AG764" s="185"/>
    </row>
    <row r="765" spans="33:33" x14ac:dyDescent="0.25">
      <c r="AG765" s="185"/>
    </row>
    <row r="766" spans="33:33" x14ac:dyDescent="0.25">
      <c r="AG766" s="185"/>
    </row>
    <row r="767" spans="33:33" x14ac:dyDescent="0.25">
      <c r="AG767" s="185"/>
    </row>
    <row r="768" spans="33:33" x14ac:dyDescent="0.25">
      <c r="AG768" s="185"/>
    </row>
    <row r="769" spans="33:33" x14ac:dyDescent="0.25">
      <c r="AG769" s="185"/>
    </row>
    <row r="770" spans="33:33" x14ac:dyDescent="0.25">
      <c r="AG770" s="185"/>
    </row>
    <row r="771" spans="33:33" x14ac:dyDescent="0.25">
      <c r="AG771" s="185"/>
    </row>
    <row r="772" spans="33:33" x14ac:dyDescent="0.25">
      <c r="AG772" s="185"/>
    </row>
    <row r="773" spans="33:33" x14ac:dyDescent="0.25">
      <c r="AG773" s="185"/>
    </row>
    <row r="774" spans="33:33" x14ac:dyDescent="0.25">
      <c r="AG774" s="185"/>
    </row>
    <row r="775" spans="33:33" x14ac:dyDescent="0.25">
      <c r="AG775" s="185"/>
    </row>
    <row r="776" spans="33:33" x14ac:dyDescent="0.25">
      <c r="AG776" s="185"/>
    </row>
    <row r="777" spans="33:33" x14ac:dyDescent="0.25">
      <c r="AG777" s="185"/>
    </row>
    <row r="778" spans="33:33" x14ac:dyDescent="0.25">
      <c r="AG778" s="185"/>
    </row>
    <row r="779" spans="33:33" x14ac:dyDescent="0.25">
      <c r="AG779" s="185"/>
    </row>
    <row r="780" spans="33:33" x14ac:dyDescent="0.25">
      <c r="AG780" s="185"/>
    </row>
    <row r="781" spans="33:33" x14ac:dyDescent="0.25">
      <c r="AG781" s="185"/>
    </row>
    <row r="782" spans="33:33" x14ac:dyDescent="0.25">
      <c r="AG782" s="185"/>
    </row>
    <row r="783" spans="33:33" x14ac:dyDescent="0.25">
      <c r="AG783" s="185"/>
    </row>
    <row r="784" spans="33:33" x14ac:dyDescent="0.25">
      <c r="AG784" s="185"/>
    </row>
    <row r="785" spans="33:33" x14ac:dyDescent="0.25">
      <c r="AG785" s="185"/>
    </row>
    <row r="786" spans="33:33" x14ac:dyDescent="0.25">
      <c r="AG786" s="185"/>
    </row>
    <row r="787" spans="33:33" x14ac:dyDescent="0.25">
      <c r="AG787" s="185"/>
    </row>
    <row r="788" spans="33:33" x14ac:dyDescent="0.25">
      <c r="AG788" s="185"/>
    </row>
    <row r="789" spans="33:33" x14ac:dyDescent="0.25">
      <c r="AG789" s="185"/>
    </row>
    <row r="790" spans="33:33" x14ac:dyDescent="0.25">
      <c r="AG790" s="185"/>
    </row>
    <row r="791" spans="33:33" x14ac:dyDescent="0.25">
      <c r="AG791" s="185"/>
    </row>
    <row r="792" spans="33:33" x14ac:dyDescent="0.25">
      <c r="AG792" s="185"/>
    </row>
    <row r="793" spans="33:33" x14ac:dyDescent="0.25">
      <c r="AG793" s="185"/>
    </row>
    <row r="794" spans="33:33" x14ac:dyDescent="0.25">
      <c r="AG794" s="185"/>
    </row>
    <row r="795" spans="33:33" x14ac:dyDescent="0.25">
      <c r="AG795" s="185"/>
    </row>
    <row r="796" spans="33:33" x14ac:dyDescent="0.25">
      <c r="AG796" s="185"/>
    </row>
    <row r="797" spans="33:33" x14ac:dyDescent="0.25">
      <c r="AG797" s="185"/>
    </row>
    <row r="798" spans="33:33" x14ac:dyDescent="0.25">
      <c r="AG798" s="185"/>
    </row>
    <row r="799" spans="33:33" x14ac:dyDescent="0.25">
      <c r="AG799" s="185"/>
    </row>
    <row r="800" spans="33:33" x14ac:dyDescent="0.25">
      <c r="AG800" s="185"/>
    </row>
    <row r="801" spans="33:33" x14ac:dyDescent="0.25">
      <c r="AG801" s="185"/>
    </row>
    <row r="802" spans="33:33" x14ac:dyDescent="0.25">
      <c r="AG802" s="185"/>
    </row>
    <row r="803" spans="33:33" x14ac:dyDescent="0.25">
      <c r="AG803" s="185"/>
    </row>
    <row r="804" spans="33:33" x14ac:dyDescent="0.25">
      <c r="AG804" s="185"/>
    </row>
    <row r="805" spans="33:33" x14ac:dyDescent="0.25">
      <c r="AG805" s="185"/>
    </row>
    <row r="806" spans="33:33" x14ac:dyDescent="0.25">
      <c r="AG806" s="185"/>
    </row>
    <row r="807" spans="33:33" x14ac:dyDescent="0.25">
      <c r="AG807" s="185"/>
    </row>
    <row r="808" spans="33:33" x14ac:dyDescent="0.25">
      <c r="AG808" s="185"/>
    </row>
    <row r="809" spans="33:33" x14ac:dyDescent="0.25">
      <c r="AG809" s="185"/>
    </row>
    <row r="810" spans="33:33" x14ac:dyDescent="0.25">
      <c r="AG810" s="185"/>
    </row>
    <row r="811" spans="33:33" x14ac:dyDescent="0.25">
      <c r="AG811" s="185"/>
    </row>
    <row r="812" spans="33:33" x14ac:dyDescent="0.25">
      <c r="AG812" s="185"/>
    </row>
    <row r="813" spans="33:33" x14ac:dyDescent="0.25">
      <c r="AG813" s="185"/>
    </row>
    <row r="814" spans="33:33" x14ac:dyDescent="0.25">
      <c r="AG814" s="185"/>
    </row>
    <row r="815" spans="33:33" x14ac:dyDescent="0.25">
      <c r="AG815" s="185"/>
    </row>
    <row r="816" spans="33:33" x14ac:dyDescent="0.25">
      <c r="AG816" s="185"/>
    </row>
    <row r="817" spans="33:33" x14ac:dyDescent="0.25">
      <c r="AG817" s="185"/>
    </row>
    <row r="818" spans="33:33" x14ac:dyDescent="0.25">
      <c r="AG818" s="185"/>
    </row>
    <row r="819" spans="33:33" x14ac:dyDescent="0.25">
      <c r="AG819" s="185"/>
    </row>
    <row r="820" spans="33:33" x14ac:dyDescent="0.25">
      <c r="AG820" s="185"/>
    </row>
    <row r="821" spans="33:33" x14ac:dyDescent="0.25">
      <c r="AG821" s="185"/>
    </row>
    <row r="822" spans="33:33" x14ac:dyDescent="0.25">
      <c r="AG822" s="185"/>
    </row>
    <row r="823" spans="33:33" x14ac:dyDescent="0.25">
      <c r="AG823" s="185"/>
    </row>
    <row r="824" spans="33:33" x14ac:dyDescent="0.25">
      <c r="AG824" s="185"/>
    </row>
    <row r="825" spans="33:33" x14ac:dyDescent="0.25">
      <c r="AG825" s="185"/>
    </row>
    <row r="826" spans="33:33" x14ac:dyDescent="0.25">
      <c r="AG826" s="185"/>
    </row>
    <row r="827" spans="33:33" x14ac:dyDescent="0.25">
      <c r="AG827" s="185"/>
    </row>
    <row r="828" spans="33:33" x14ac:dyDescent="0.25">
      <c r="AG828" s="185"/>
    </row>
    <row r="829" spans="33:33" x14ac:dyDescent="0.25">
      <c r="AG829" s="185"/>
    </row>
    <row r="830" spans="33:33" x14ac:dyDescent="0.25">
      <c r="AG830" s="185"/>
    </row>
    <row r="831" spans="33:33" x14ac:dyDescent="0.25">
      <c r="AG831" s="185"/>
    </row>
    <row r="832" spans="33:33" x14ac:dyDescent="0.25">
      <c r="AG832" s="185"/>
    </row>
    <row r="833" spans="33:33" x14ac:dyDescent="0.25">
      <c r="AG833" s="185"/>
    </row>
    <row r="834" spans="33:33" x14ac:dyDescent="0.25">
      <c r="AG834" s="185"/>
    </row>
    <row r="835" spans="33:33" x14ac:dyDescent="0.25">
      <c r="AG835" s="185"/>
    </row>
    <row r="836" spans="33:33" x14ac:dyDescent="0.25">
      <c r="AG836" s="185"/>
    </row>
    <row r="837" spans="33:33" x14ac:dyDescent="0.25">
      <c r="AG837" s="185"/>
    </row>
    <row r="838" spans="33:33" x14ac:dyDescent="0.25">
      <c r="AG838" s="185"/>
    </row>
    <row r="839" spans="33:33" x14ac:dyDescent="0.25">
      <c r="AG839" s="185"/>
    </row>
    <row r="840" spans="33:33" x14ac:dyDescent="0.25">
      <c r="AG840" s="185"/>
    </row>
    <row r="841" spans="33:33" x14ac:dyDescent="0.25">
      <c r="AG841" s="185"/>
    </row>
    <row r="842" spans="33:33" x14ac:dyDescent="0.25">
      <c r="AG842" s="185"/>
    </row>
    <row r="843" spans="33:33" x14ac:dyDescent="0.25">
      <c r="AG843" s="185"/>
    </row>
    <row r="844" spans="33:33" x14ac:dyDescent="0.25">
      <c r="AG844" s="185"/>
    </row>
    <row r="845" spans="33:33" x14ac:dyDescent="0.25">
      <c r="AG845" s="185"/>
    </row>
    <row r="846" spans="33:33" x14ac:dyDescent="0.25">
      <c r="AG846" s="185"/>
    </row>
    <row r="847" spans="33:33" x14ac:dyDescent="0.25">
      <c r="AG847" s="185"/>
    </row>
    <row r="848" spans="33:33" x14ac:dyDescent="0.25">
      <c r="AG848" s="185"/>
    </row>
    <row r="849" spans="33:33" x14ac:dyDescent="0.25">
      <c r="AG849" s="185"/>
    </row>
    <row r="850" spans="33:33" x14ac:dyDescent="0.25">
      <c r="AG850" s="185"/>
    </row>
    <row r="851" spans="33:33" x14ac:dyDescent="0.25">
      <c r="AG851" s="185"/>
    </row>
    <row r="852" spans="33:33" x14ac:dyDescent="0.25">
      <c r="AG852" s="185"/>
    </row>
    <row r="853" spans="33:33" x14ac:dyDescent="0.25">
      <c r="AG853" s="185"/>
    </row>
    <row r="854" spans="33:33" x14ac:dyDescent="0.25">
      <c r="AG854" s="185"/>
    </row>
    <row r="855" spans="33:33" x14ac:dyDescent="0.25">
      <c r="AG855" s="185"/>
    </row>
    <row r="856" spans="33:33" x14ac:dyDescent="0.25">
      <c r="AG856" s="185"/>
    </row>
    <row r="857" spans="33:33" x14ac:dyDescent="0.25">
      <c r="AG857" s="185"/>
    </row>
    <row r="858" spans="33:33" x14ac:dyDescent="0.25">
      <c r="AG858" s="185"/>
    </row>
    <row r="859" spans="33:33" x14ac:dyDescent="0.25">
      <c r="AG859" s="185"/>
    </row>
    <row r="860" spans="33:33" x14ac:dyDescent="0.25">
      <c r="AG860" s="185"/>
    </row>
    <row r="861" spans="33:33" x14ac:dyDescent="0.25">
      <c r="AG861" s="185"/>
    </row>
    <row r="862" spans="33:33" x14ac:dyDescent="0.25">
      <c r="AG862" s="185"/>
    </row>
    <row r="863" spans="33:33" x14ac:dyDescent="0.25">
      <c r="AG863" s="185"/>
    </row>
    <row r="864" spans="33:33" x14ac:dyDescent="0.25">
      <c r="AG864" s="185"/>
    </row>
    <row r="865" spans="33:33" x14ac:dyDescent="0.25">
      <c r="AG865" s="185"/>
    </row>
    <row r="866" spans="33:33" x14ac:dyDescent="0.25">
      <c r="AG866" s="185"/>
    </row>
    <row r="867" spans="33:33" x14ac:dyDescent="0.25">
      <c r="AG867" s="185"/>
    </row>
    <row r="868" spans="33:33" x14ac:dyDescent="0.25">
      <c r="AG868" s="185"/>
    </row>
    <row r="869" spans="33:33" x14ac:dyDescent="0.25">
      <c r="AG869" s="185"/>
    </row>
    <row r="870" spans="33:33" x14ac:dyDescent="0.25">
      <c r="AG870" s="185"/>
    </row>
    <row r="871" spans="33:33" x14ac:dyDescent="0.25">
      <c r="AG871" s="185"/>
    </row>
    <row r="872" spans="33:33" x14ac:dyDescent="0.25">
      <c r="AG872" s="185"/>
    </row>
    <row r="873" spans="33:33" x14ac:dyDescent="0.25">
      <c r="AG873" s="185"/>
    </row>
    <row r="874" spans="33:33" x14ac:dyDescent="0.25">
      <c r="AG874" s="185"/>
    </row>
    <row r="875" spans="33:33" x14ac:dyDescent="0.25">
      <c r="AG875" s="185"/>
    </row>
    <row r="876" spans="33:33" x14ac:dyDescent="0.25">
      <c r="AG876" s="185"/>
    </row>
    <row r="877" spans="33:33" x14ac:dyDescent="0.25">
      <c r="AG877" s="185"/>
    </row>
    <row r="878" spans="33:33" x14ac:dyDescent="0.25">
      <c r="AG878" s="185"/>
    </row>
    <row r="879" spans="33:33" x14ac:dyDescent="0.25">
      <c r="AG879" s="185"/>
    </row>
    <row r="880" spans="33:33" x14ac:dyDescent="0.25">
      <c r="AG880" s="185"/>
    </row>
    <row r="881" spans="33:33" x14ac:dyDescent="0.25">
      <c r="AG881" s="185"/>
    </row>
    <row r="882" spans="33:33" x14ac:dyDescent="0.25">
      <c r="AG882" s="185"/>
    </row>
    <row r="883" spans="33:33" x14ac:dyDescent="0.25">
      <c r="AG883" s="185"/>
    </row>
    <row r="884" spans="33:33" x14ac:dyDescent="0.25">
      <c r="AG884" s="185"/>
    </row>
    <row r="885" spans="33:33" x14ac:dyDescent="0.25">
      <c r="AG885" s="185"/>
    </row>
    <row r="886" spans="33:33" x14ac:dyDescent="0.25">
      <c r="AG886" s="185"/>
    </row>
    <row r="887" spans="33:33" x14ac:dyDescent="0.25">
      <c r="AG887" s="185"/>
    </row>
    <row r="888" spans="33:33" x14ac:dyDescent="0.25">
      <c r="AG888" s="185"/>
    </row>
    <row r="889" spans="33:33" x14ac:dyDescent="0.25">
      <c r="AG889" s="185"/>
    </row>
    <row r="890" spans="33:33" x14ac:dyDescent="0.25">
      <c r="AG890" s="185"/>
    </row>
    <row r="891" spans="33:33" x14ac:dyDescent="0.25">
      <c r="AG891" s="185"/>
    </row>
    <row r="892" spans="33:33" x14ac:dyDescent="0.25">
      <c r="AG892" s="185"/>
    </row>
    <row r="893" spans="33:33" x14ac:dyDescent="0.25">
      <c r="AG893" s="185"/>
    </row>
    <row r="894" spans="33:33" x14ac:dyDescent="0.25">
      <c r="AG894" s="185"/>
    </row>
    <row r="895" spans="33:33" x14ac:dyDescent="0.25">
      <c r="AG895" s="185"/>
    </row>
    <row r="896" spans="33:33" x14ac:dyDescent="0.25">
      <c r="AG896" s="185"/>
    </row>
    <row r="897" spans="33:33" x14ac:dyDescent="0.25">
      <c r="AG897" s="185"/>
    </row>
    <row r="898" spans="33:33" x14ac:dyDescent="0.25">
      <c r="AG898" s="185"/>
    </row>
    <row r="899" spans="33:33" x14ac:dyDescent="0.25">
      <c r="AG899" s="185"/>
    </row>
    <row r="900" spans="33:33" x14ac:dyDescent="0.25">
      <c r="AG900" s="185"/>
    </row>
    <row r="901" spans="33:33" x14ac:dyDescent="0.25">
      <c r="AG901" s="185"/>
    </row>
    <row r="902" spans="33:33" x14ac:dyDescent="0.25">
      <c r="AG902" s="185"/>
    </row>
    <row r="903" spans="33:33" x14ac:dyDescent="0.25">
      <c r="AG903" s="185"/>
    </row>
    <row r="904" spans="33:33" x14ac:dyDescent="0.25">
      <c r="AG904" s="185"/>
    </row>
    <row r="905" spans="33:33" x14ac:dyDescent="0.25">
      <c r="AG905" s="185"/>
    </row>
    <row r="906" spans="33:33" x14ac:dyDescent="0.25">
      <c r="AG906" s="185"/>
    </row>
    <row r="907" spans="33:33" x14ac:dyDescent="0.25">
      <c r="AG907" s="185"/>
    </row>
    <row r="908" spans="33:33" x14ac:dyDescent="0.25">
      <c r="AG908" s="185"/>
    </row>
    <row r="909" spans="33:33" x14ac:dyDescent="0.25">
      <c r="AG909" s="185"/>
    </row>
    <row r="910" spans="33:33" x14ac:dyDescent="0.25">
      <c r="AG910" s="185"/>
    </row>
    <row r="911" spans="33:33" x14ac:dyDescent="0.25">
      <c r="AG911" s="185"/>
    </row>
    <row r="912" spans="33:33" x14ac:dyDescent="0.25">
      <c r="AG912" s="185"/>
    </row>
    <row r="913" spans="33:33" x14ac:dyDescent="0.25">
      <c r="AG913" s="185"/>
    </row>
    <row r="914" spans="33:33" x14ac:dyDescent="0.25">
      <c r="AG914" s="185"/>
    </row>
    <row r="915" spans="33:33" x14ac:dyDescent="0.25">
      <c r="AG915" s="185"/>
    </row>
    <row r="916" spans="33:33" x14ac:dyDescent="0.25">
      <c r="AG916" s="185"/>
    </row>
    <row r="917" spans="33:33" x14ac:dyDescent="0.25">
      <c r="AG917" s="185"/>
    </row>
    <row r="918" spans="33:33" x14ac:dyDescent="0.25">
      <c r="AG918" s="185"/>
    </row>
    <row r="919" spans="33:33" x14ac:dyDescent="0.25">
      <c r="AG919" s="185"/>
    </row>
    <row r="920" spans="33:33" x14ac:dyDescent="0.25">
      <c r="AG920" s="185"/>
    </row>
    <row r="921" spans="33:33" x14ac:dyDescent="0.25">
      <c r="AG921" s="185"/>
    </row>
    <row r="922" spans="33:33" x14ac:dyDescent="0.25">
      <c r="AG922" s="185"/>
    </row>
    <row r="923" spans="33:33" x14ac:dyDescent="0.25">
      <c r="AG923" s="185"/>
    </row>
    <row r="924" spans="33:33" x14ac:dyDescent="0.25">
      <c r="AG924" s="185"/>
    </row>
    <row r="925" spans="33:33" x14ac:dyDescent="0.25">
      <c r="AG925" s="185"/>
    </row>
    <row r="926" spans="33:33" x14ac:dyDescent="0.25">
      <c r="AG926" s="185"/>
    </row>
    <row r="927" spans="33:33" x14ac:dyDescent="0.25">
      <c r="AG927" s="185"/>
    </row>
    <row r="928" spans="33:33" x14ac:dyDescent="0.25">
      <c r="AG928" s="185"/>
    </row>
    <row r="929" spans="33:33" x14ac:dyDescent="0.25">
      <c r="AG929" s="185"/>
    </row>
    <row r="930" spans="33:33" x14ac:dyDescent="0.25">
      <c r="AG930" s="185"/>
    </row>
    <row r="931" spans="33:33" x14ac:dyDescent="0.25">
      <c r="AG931" s="185"/>
    </row>
    <row r="932" spans="33:33" x14ac:dyDescent="0.25">
      <c r="AG932" s="185"/>
    </row>
    <row r="933" spans="33:33" x14ac:dyDescent="0.25">
      <c r="AG933" s="185"/>
    </row>
    <row r="934" spans="33:33" x14ac:dyDescent="0.25">
      <c r="AG934" s="185"/>
    </row>
    <row r="935" spans="33:33" x14ac:dyDescent="0.25">
      <c r="AG935" s="185"/>
    </row>
    <row r="936" spans="33:33" x14ac:dyDescent="0.25">
      <c r="AG936" s="185"/>
    </row>
    <row r="937" spans="33:33" x14ac:dyDescent="0.25">
      <c r="AG937" s="185"/>
    </row>
    <row r="938" spans="33:33" x14ac:dyDescent="0.25">
      <c r="AG938" s="185"/>
    </row>
    <row r="939" spans="33:33" x14ac:dyDescent="0.25">
      <c r="AG939" s="185"/>
    </row>
    <row r="940" spans="33:33" x14ac:dyDescent="0.25">
      <c r="AG940" s="185"/>
    </row>
    <row r="941" spans="33:33" x14ac:dyDescent="0.25">
      <c r="AG941" s="185"/>
    </row>
    <row r="942" spans="33:33" x14ac:dyDescent="0.25">
      <c r="AG942" s="185"/>
    </row>
    <row r="943" spans="33:33" x14ac:dyDescent="0.25">
      <c r="AG943" s="185"/>
    </row>
    <row r="944" spans="33:33" x14ac:dyDescent="0.25">
      <c r="AG944" s="185"/>
    </row>
    <row r="945" spans="33:33" x14ac:dyDescent="0.25">
      <c r="AG945" s="185"/>
    </row>
    <row r="946" spans="33:33" x14ac:dyDescent="0.25">
      <c r="AG946" s="185"/>
    </row>
    <row r="947" spans="33:33" x14ac:dyDescent="0.25">
      <c r="AG947" s="185"/>
    </row>
    <row r="948" spans="33:33" x14ac:dyDescent="0.25">
      <c r="AG948" s="185"/>
    </row>
    <row r="949" spans="33:33" x14ac:dyDescent="0.25">
      <c r="AG949" s="185"/>
    </row>
    <row r="950" spans="33:33" x14ac:dyDescent="0.25">
      <c r="AG950" s="185"/>
    </row>
    <row r="951" spans="33:33" x14ac:dyDescent="0.25">
      <c r="AG951" s="185"/>
    </row>
    <row r="952" spans="33:33" x14ac:dyDescent="0.25">
      <c r="AG952" s="185"/>
    </row>
    <row r="953" spans="33:33" x14ac:dyDescent="0.25">
      <c r="AG953" s="185"/>
    </row>
    <row r="954" spans="33:33" x14ac:dyDescent="0.25">
      <c r="AG954" s="185"/>
    </row>
    <row r="955" spans="33:33" x14ac:dyDescent="0.25">
      <c r="AG955" s="185"/>
    </row>
    <row r="956" spans="33:33" x14ac:dyDescent="0.25">
      <c r="AG956" s="185"/>
    </row>
    <row r="957" spans="33:33" x14ac:dyDescent="0.25">
      <c r="AG957" s="185"/>
    </row>
    <row r="958" spans="33:33" x14ac:dyDescent="0.25">
      <c r="AG958" s="185"/>
    </row>
    <row r="959" spans="33:33" x14ac:dyDescent="0.25">
      <c r="AG959" s="185"/>
    </row>
    <row r="960" spans="33:33" x14ac:dyDescent="0.25">
      <c r="AG960" s="185"/>
    </row>
    <row r="961" spans="33:33" x14ac:dyDescent="0.25">
      <c r="AG961" s="185"/>
    </row>
    <row r="962" spans="33:33" x14ac:dyDescent="0.25">
      <c r="AG962" s="185"/>
    </row>
    <row r="963" spans="33:33" x14ac:dyDescent="0.25">
      <c r="AG963" s="185"/>
    </row>
    <row r="964" spans="33:33" x14ac:dyDescent="0.25">
      <c r="AG964" s="185"/>
    </row>
    <row r="965" spans="33:33" x14ac:dyDescent="0.25">
      <c r="AG965" s="185"/>
    </row>
    <row r="966" spans="33:33" x14ac:dyDescent="0.25">
      <c r="AG966" s="185"/>
    </row>
    <row r="967" spans="33:33" x14ac:dyDescent="0.25">
      <c r="AG967" s="185"/>
    </row>
    <row r="968" spans="33:33" x14ac:dyDescent="0.25">
      <c r="AG968" s="185"/>
    </row>
    <row r="969" spans="33:33" x14ac:dyDescent="0.25">
      <c r="AG969" s="185"/>
    </row>
    <row r="970" spans="33:33" x14ac:dyDescent="0.25">
      <c r="AG970" s="185"/>
    </row>
    <row r="971" spans="33:33" x14ac:dyDescent="0.25">
      <c r="AG971" s="185"/>
    </row>
    <row r="972" spans="33:33" x14ac:dyDescent="0.25">
      <c r="AG972" s="185"/>
    </row>
    <row r="973" spans="33:33" x14ac:dyDescent="0.25">
      <c r="AG973" s="185"/>
    </row>
    <row r="974" spans="33:33" x14ac:dyDescent="0.25">
      <c r="AG974" s="185"/>
    </row>
    <row r="975" spans="33:33" x14ac:dyDescent="0.25">
      <c r="AG975" s="185"/>
    </row>
    <row r="976" spans="33:33" x14ac:dyDescent="0.25">
      <c r="AG976" s="185"/>
    </row>
    <row r="977" spans="33:33" x14ac:dyDescent="0.25">
      <c r="AG977" s="185"/>
    </row>
    <row r="978" spans="33:33" x14ac:dyDescent="0.25">
      <c r="AG978" s="185"/>
    </row>
    <row r="979" spans="33:33" x14ac:dyDescent="0.25">
      <c r="AG979" s="185"/>
    </row>
    <row r="980" spans="33:33" x14ac:dyDescent="0.25">
      <c r="AG980" s="185"/>
    </row>
    <row r="981" spans="33:33" x14ac:dyDescent="0.25">
      <c r="AG981" s="185"/>
    </row>
    <row r="982" spans="33:33" x14ac:dyDescent="0.25">
      <c r="AG982" s="185"/>
    </row>
    <row r="983" spans="33:33" x14ac:dyDescent="0.25">
      <c r="AG983" s="185"/>
    </row>
    <row r="984" spans="33:33" x14ac:dyDescent="0.25">
      <c r="AG984" s="185"/>
    </row>
    <row r="985" spans="33:33" x14ac:dyDescent="0.25">
      <c r="AG985" s="185"/>
    </row>
    <row r="986" spans="33:33" x14ac:dyDescent="0.25">
      <c r="AG986" s="185"/>
    </row>
    <row r="987" spans="33:33" x14ac:dyDescent="0.25">
      <c r="AG987" s="185"/>
    </row>
    <row r="988" spans="33:33" x14ac:dyDescent="0.25">
      <c r="AG988" s="185"/>
    </row>
    <row r="989" spans="33:33" x14ac:dyDescent="0.25">
      <c r="AG989" s="185"/>
    </row>
    <row r="990" spans="33:33" x14ac:dyDescent="0.25">
      <c r="AG990" s="185"/>
    </row>
    <row r="991" spans="33:33" x14ac:dyDescent="0.25">
      <c r="AG991" s="185"/>
    </row>
    <row r="992" spans="33:33" x14ac:dyDescent="0.25">
      <c r="AG992" s="185"/>
    </row>
    <row r="993" spans="33:33" x14ac:dyDescent="0.25">
      <c r="AG993" s="185"/>
    </row>
    <row r="994" spans="33:33" x14ac:dyDescent="0.25">
      <c r="AG994" s="185"/>
    </row>
    <row r="995" spans="33:33" x14ac:dyDescent="0.25">
      <c r="AG995" s="185"/>
    </row>
    <row r="996" spans="33:33" x14ac:dyDescent="0.25">
      <c r="AG996" s="185"/>
    </row>
    <row r="997" spans="33:33" x14ac:dyDescent="0.25">
      <c r="AG997" s="185"/>
    </row>
    <row r="998" spans="33:33" x14ac:dyDescent="0.25">
      <c r="AG998" s="185"/>
    </row>
    <row r="999" spans="33:33" x14ac:dyDescent="0.25">
      <c r="AG999" s="185"/>
    </row>
    <row r="1000" spans="33:33" x14ac:dyDescent="0.25">
      <c r="AG1000" s="185"/>
    </row>
    <row r="1001" spans="33:33" x14ac:dyDescent="0.25">
      <c r="AG1001" s="185"/>
    </row>
    <row r="1002" spans="33:33" x14ac:dyDescent="0.25">
      <c r="AG1002" s="185"/>
    </row>
    <row r="1003" spans="33:33" x14ac:dyDescent="0.25">
      <c r="AG1003" s="185"/>
    </row>
    <row r="1004" spans="33:33" x14ac:dyDescent="0.25">
      <c r="AG1004" s="185"/>
    </row>
    <row r="1005" spans="33:33" x14ac:dyDescent="0.25">
      <c r="AG1005" s="185"/>
    </row>
    <row r="1006" spans="33:33" x14ac:dyDescent="0.25">
      <c r="AG1006" s="185"/>
    </row>
    <row r="1007" spans="33:33" x14ac:dyDescent="0.25">
      <c r="AG1007" s="185"/>
    </row>
    <row r="1008" spans="33:33" x14ac:dyDescent="0.25">
      <c r="AG1008" s="185"/>
    </row>
    <row r="1009" spans="33:33" x14ac:dyDescent="0.25">
      <c r="AG1009" s="185"/>
    </row>
    <row r="1010" spans="33:33" x14ac:dyDescent="0.25">
      <c r="AG1010" s="185"/>
    </row>
    <row r="1011" spans="33:33" x14ac:dyDescent="0.25">
      <c r="AG1011" s="185"/>
    </row>
    <row r="1012" spans="33:33" x14ac:dyDescent="0.25">
      <c r="AG1012" s="185"/>
    </row>
    <row r="1013" spans="33:33" x14ac:dyDescent="0.25">
      <c r="AG1013" s="185"/>
    </row>
    <row r="1014" spans="33:33" x14ac:dyDescent="0.25">
      <c r="AG1014" s="185"/>
    </row>
    <row r="1015" spans="33:33" x14ac:dyDescent="0.25">
      <c r="AG1015" s="185"/>
    </row>
    <row r="1016" spans="33:33" x14ac:dyDescent="0.25">
      <c r="AG1016" s="185"/>
    </row>
    <row r="1017" spans="33:33" x14ac:dyDescent="0.25">
      <c r="AG1017" s="185"/>
    </row>
    <row r="1018" spans="33:33" x14ac:dyDescent="0.25">
      <c r="AG1018" s="185"/>
    </row>
    <row r="1019" spans="33:33" x14ac:dyDescent="0.25">
      <c r="AG1019" s="185"/>
    </row>
    <row r="1020" spans="33:33" x14ac:dyDescent="0.25">
      <c r="AG1020" s="185"/>
    </row>
    <row r="1021" spans="33:33" x14ac:dyDescent="0.25">
      <c r="AG1021" s="185"/>
    </row>
    <row r="1022" spans="33:33" x14ac:dyDescent="0.25">
      <c r="AG1022" s="185"/>
    </row>
    <row r="1023" spans="33:33" x14ac:dyDescent="0.25">
      <c r="AG1023" s="185"/>
    </row>
    <row r="1024" spans="33:33" x14ac:dyDescent="0.25">
      <c r="AG1024" s="185"/>
    </row>
    <row r="1025" spans="33:33" x14ac:dyDescent="0.25">
      <c r="AG1025" s="185"/>
    </row>
    <row r="1026" spans="33:33" x14ac:dyDescent="0.25">
      <c r="AG1026" s="185"/>
    </row>
    <row r="1027" spans="33:33" x14ac:dyDescent="0.25">
      <c r="AG1027" s="185"/>
    </row>
    <row r="1028" spans="33:33" x14ac:dyDescent="0.25">
      <c r="AG1028" s="185"/>
    </row>
    <row r="1029" spans="33:33" x14ac:dyDescent="0.25">
      <c r="AG1029" s="185"/>
    </row>
    <row r="1030" spans="33:33" x14ac:dyDescent="0.25">
      <c r="AG1030" s="185"/>
    </row>
    <row r="1031" spans="33:33" x14ac:dyDescent="0.25">
      <c r="AG1031" s="185"/>
    </row>
    <row r="1032" spans="33:33" x14ac:dyDescent="0.25">
      <c r="AG1032" s="185"/>
    </row>
    <row r="1033" spans="33:33" x14ac:dyDescent="0.25">
      <c r="AG1033" s="185"/>
    </row>
    <row r="1034" spans="33:33" x14ac:dyDescent="0.25">
      <c r="AG1034" s="185"/>
    </row>
    <row r="1035" spans="33:33" x14ac:dyDescent="0.25">
      <c r="AG1035" s="185"/>
    </row>
    <row r="1036" spans="33:33" x14ac:dyDescent="0.25">
      <c r="AG1036" s="185"/>
    </row>
    <row r="1037" spans="33:33" x14ac:dyDescent="0.25">
      <c r="AG1037" s="185"/>
    </row>
    <row r="1038" spans="33:33" x14ac:dyDescent="0.25">
      <c r="AG1038" s="185"/>
    </row>
    <row r="1039" spans="33:33" x14ac:dyDescent="0.25">
      <c r="AG1039" s="185"/>
    </row>
    <row r="1040" spans="33:33" x14ac:dyDescent="0.25">
      <c r="AG1040" s="185"/>
    </row>
    <row r="1041" spans="33:33" x14ac:dyDescent="0.25">
      <c r="AG1041" s="185"/>
    </row>
    <row r="1042" spans="33:33" x14ac:dyDescent="0.25">
      <c r="AG1042" s="185"/>
    </row>
    <row r="1043" spans="33:33" x14ac:dyDescent="0.25">
      <c r="AG1043" s="185"/>
    </row>
    <row r="1044" spans="33:33" x14ac:dyDescent="0.25">
      <c r="AG1044" s="185"/>
    </row>
    <row r="1045" spans="33:33" x14ac:dyDescent="0.25">
      <c r="AG1045" s="185"/>
    </row>
    <row r="1046" spans="33:33" x14ac:dyDescent="0.25">
      <c r="AG1046" s="185"/>
    </row>
    <row r="1047" spans="33:33" x14ac:dyDescent="0.25">
      <c r="AG1047" s="185"/>
    </row>
    <row r="1048" spans="33:33" x14ac:dyDescent="0.25">
      <c r="AG1048" s="185"/>
    </row>
    <row r="1049" spans="33:33" x14ac:dyDescent="0.25">
      <c r="AG1049" s="185"/>
    </row>
    <row r="1050" spans="33:33" x14ac:dyDescent="0.25">
      <c r="AG1050" s="185"/>
    </row>
    <row r="1051" spans="33:33" x14ac:dyDescent="0.25">
      <c r="AG1051" s="185"/>
    </row>
    <row r="1052" spans="33:33" x14ac:dyDescent="0.25">
      <c r="AG1052" s="185"/>
    </row>
    <row r="1053" spans="33:33" x14ac:dyDescent="0.25">
      <c r="AG1053" s="185"/>
    </row>
    <row r="1054" spans="33:33" x14ac:dyDescent="0.25">
      <c r="AG1054" s="185"/>
    </row>
    <row r="1055" spans="33:33" x14ac:dyDescent="0.25">
      <c r="AG1055" s="185"/>
    </row>
    <row r="1056" spans="33:33" x14ac:dyDescent="0.25">
      <c r="AG1056" s="185"/>
    </row>
    <row r="1057" spans="33:33" x14ac:dyDescent="0.25">
      <c r="AG1057" s="185"/>
    </row>
    <row r="1058" spans="33:33" x14ac:dyDescent="0.25">
      <c r="AG1058" s="185"/>
    </row>
    <row r="1059" spans="33:33" x14ac:dyDescent="0.25">
      <c r="AG1059" s="185"/>
    </row>
    <row r="1060" spans="33:33" x14ac:dyDescent="0.25">
      <c r="AG1060" s="185"/>
    </row>
    <row r="1061" spans="33:33" x14ac:dyDescent="0.25">
      <c r="AG1061" s="185"/>
    </row>
    <row r="1062" spans="33:33" x14ac:dyDescent="0.25">
      <c r="AG1062" s="185"/>
    </row>
    <row r="1063" spans="33:33" x14ac:dyDescent="0.25">
      <c r="AG1063" s="185"/>
    </row>
    <row r="1064" spans="33:33" x14ac:dyDescent="0.25">
      <c r="AG1064" s="185"/>
    </row>
    <row r="1065" spans="33:33" x14ac:dyDescent="0.25">
      <c r="AG1065" s="185"/>
    </row>
    <row r="1066" spans="33:33" x14ac:dyDescent="0.25">
      <c r="AG1066" s="185"/>
    </row>
    <row r="1067" spans="33:33" x14ac:dyDescent="0.25">
      <c r="AG1067" s="185"/>
    </row>
    <row r="1068" spans="33:33" x14ac:dyDescent="0.25">
      <c r="AG1068" s="185"/>
    </row>
    <row r="1069" spans="33:33" x14ac:dyDescent="0.25">
      <c r="AG1069" s="185"/>
    </row>
    <row r="1070" spans="33:33" x14ac:dyDescent="0.25">
      <c r="AG1070" s="185"/>
    </row>
    <row r="1071" spans="33:33" x14ac:dyDescent="0.25">
      <c r="AG1071" s="185"/>
    </row>
    <row r="1072" spans="33:33" x14ac:dyDescent="0.25">
      <c r="AG1072" s="185"/>
    </row>
    <row r="1073" spans="33:33" x14ac:dyDescent="0.25">
      <c r="AG1073" s="185"/>
    </row>
    <row r="1074" spans="33:33" x14ac:dyDescent="0.25">
      <c r="AG1074" s="185"/>
    </row>
    <row r="1075" spans="33:33" x14ac:dyDescent="0.25">
      <c r="AG1075" s="185"/>
    </row>
    <row r="1076" spans="33:33" x14ac:dyDescent="0.25">
      <c r="AG1076" s="185"/>
    </row>
    <row r="1077" spans="33:33" x14ac:dyDescent="0.25">
      <c r="AG1077" s="185"/>
    </row>
    <row r="1078" spans="33:33" x14ac:dyDescent="0.25">
      <c r="AG1078" s="185"/>
    </row>
    <row r="1079" spans="33:33" x14ac:dyDescent="0.25">
      <c r="AG1079" s="185"/>
    </row>
    <row r="1080" spans="33:33" x14ac:dyDescent="0.25">
      <c r="AG1080" s="185"/>
    </row>
    <row r="1081" spans="33:33" x14ac:dyDescent="0.25">
      <c r="AG1081" s="185"/>
    </row>
    <row r="1082" spans="33:33" x14ac:dyDescent="0.25">
      <c r="AG1082" s="185"/>
    </row>
    <row r="1083" spans="33:33" x14ac:dyDescent="0.25">
      <c r="AG1083" s="185"/>
    </row>
    <row r="1084" spans="33:33" x14ac:dyDescent="0.25">
      <c r="AG1084" s="185"/>
    </row>
    <row r="1085" spans="33:33" x14ac:dyDescent="0.25">
      <c r="AG1085" s="185"/>
    </row>
    <row r="1086" spans="33:33" x14ac:dyDescent="0.25">
      <c r="AG1086" s="185"/>
    </row>
    <row r="1087" spans="33:33" x14ac:dyDescent="0.25">
      <c r="AG1087" s="185"/>
    </row>
    <row r="1088" spans="33:33" x14ac:dyDescent="0.25">
      <c r="AG1088" s="185"/>
    </row>
    <row r="1089" spans="33:33" x14ac:dyDescent="0.25">
      <c r="AG1089" s="185"/>
    </row>
    <row r="1090" spans="33:33" x14ac:dyDescent="0.25">
      <c r="AG1090" s="185"/>
    </row>
    <row r="1091" spans="33:33" x14ac:dyDescent="0.25">
      <c r="AG1091" s="185"/>
    </row>
    <row r="1092" spans="33:33" x14ac:dyDescent="0.25">
      <c r="AG1092" s="185"/>
    </row>
    <row r="1093" spans="33:33" x14ac:dyDescent="0.25">
      <c r="AG1093" s="185"/>
    </row>
    <row r="1094" spans="33:33" x14ac:dyDescent="0.25">
      <c r="AG1094" s="185"/>
    </row>
    <row r="1095" spans="33:33" x14ac:dyDescent="0.25">
      <c r="AG1095" s="185"/>
    </row>
    <row r="1096" spans="33:33" x14ac:dyDescent="0.25">
      <c r="AG1096" s="185"/>
    </row>
    <row r="1097" spans="33:33" x14ac:dyDescent="0.25">
      <c r="AG1097" s="185"/>
    </row>
    <row r="1098" spans="33:33" x14ac:dyDescent="0.25">
      <c r="AG1098" s="185"/>
    </row>
    <row r="1099" spans="33:33" x14ac:dyDescent="0.25">
      <c r="AG1099" s="185"/>
    </row>
    <row r="1100" spans="33:33" x14ac:dyDescent="0.25">
      <c r="AG1100" s="185"/>
    </row>
    <row r="1101" spans="33:33" x14ac:dyDescent="0.25">
      <c r="AG1101" s="185"/>
    </row>
    <row r="1102" spans="33:33" x14ac:dyDescent="0.25">
      <c r="AG1102" s="185"/>
    </row>
    <row r="1103" spans="33:33" x14ac:dyDescent="0.25">
      <c r="AG1103" s="185"/>
    </row>
    <row r="1104" spans="33:33" x14ac:dyDescent="0.25">
      <c r="AG1104" s="185"/>
    </row>
    <row r="1105" spans="33:33" x14ac:dyDescent="0.25">
      <c r="AG1105" s="185"/>
    </row>
    <row r="1106" spans="33:33" x14ac:dyDescent="0.25">
      <c r="AG1106" s="185"/>
    </row>
    <row r="1107" spans="33:33" x14ac:dyDescent="0.25">
      <c r="AG1107" s="185"/>
    </row>
    <row r="1108" spans="33:33" x14ac:dyDescent="0.25">
      <c r="AG1108" s="185"/>
    </row>
    <row r="1109" spans="33:33" x14ac:dyDescent="0.25">
      <c r="AG1109" s="185"/>
    </row>
    <row r="1110" spans="33:33" x14ac:dyDescent="0.25">
      <c r="AG1110" s="185"/>
    </row>
    <row r="1111" spans="33:33" x14ac:dyDescent="0.25">
      <c r="AG1111" s="185"/>
    </row>
    <row r="1112" spans="33:33" x14ac:dyDescent="0.25">
      <c r="AG1112" s="185"/>
    </row>
    <row r="1113" spans="33:33" x14ac:dyDescent="0.25">
      <c r="AG1113" s="185"/>
    </row>
    <row r="1114" spans="33:33" x14ac:dyDescent="0.25">
      <c r="AG1114" s="185"/>
    </row>
    <row r="1115" spans="33:33" x14ac:dyDescent="0.25">
      <c r="AG1115" s="185"/>
    </row>
    <row r="1116" spans="33:33" x14ac:dyDescent="0.25">
      <c r="AG1116" s="185"/>
    </row>
    <row r="1117" spans="33:33" x14ac:dyDescent="0.25">
      <c r="AG1117" s="185"/>
    </row>
    <row r="1118" spans="33:33" x14ac:dyDescent="0.25">
      <c r="AG1118" s="185"/>
    </row>
    <row r="1119" spans="33:33" x14ac:dyDescent="0.25">
      <c r="AG1119" s="185"/>
    </row>
    <row r="1120" spans="33:33" x14ac:dyDescent="0.25">
      <c r="AG1120" s="185"/>
    </row>
    <row r="1121" spans="33:33" x14ac:dyDescent="0.25">
      <c r="AG1121" s="185"/>
    </row>
    <row r="1122" spans="33:33" x14ac:dyDescent="0.25">
      <c r="AG1122" s="185"/>
    </row>
    <row r="1123" spans="33:33" x14ac:dyDescent="0.25">
      <c r="AG1123" s="185"/>
    </row>
    <row r="1124" spans="33:33" x14ac:dyDescent="0.25">
      <c r="AG1124" s="185"/>
    </row>
    <row r="1125" spans="33:33" x14ac:dyDescent="0.25">
      <c r="AG1125" s="185"/>
    </row>
    <row r="1126" spans="33:33" x14ac:dyDescent="0.25">
      <c r="AG1126" s="185"/>
    </row>
    <row r="1127" spans="33:33" x14ac:dyDescent="0.25">
      <c r="AG1127" s="185"/>
    </row>
    <row r="1128" spans="33:33" x14ac:dyDescent="0.25">
      <c r="AG1128" s="185"/>
    </row>
    <row r="1129" spans="33:33" x14ac:dyDescent="0.25">
      <c r="AG1129" s="185"/>
    </row>
    <row r="1130" spans="33:33" x14ac:dyDescent="0.25">
      <c r="AG1130" s="185"/>
    </row>
    <row r="1131" spans="33:33" x14ac:dyDescent="0.25">
      <c r="AG1131" s="185"/>
    </row>
    <row r="1132" spans="33:33" x14ac:dyDescent="0.25">
      <c r="AG1132" s="185"/>
    </row>
    <row r="1133" spans="33:33" x14ac:dyDescent="0.25">
      <c r="AG1133" s="185"/>
    </row>
    <row r="1134" spans="33:33" x14ac:dyDescent="0.25">
      <c r="AG1134" s="185"/>
    </row>
    <row r="1135" spans="33:33" x14ac:dyDescent="0.25">
      <c r="AG1135" s="185"/>
    </row>
    <row r="1136" spans="33:33" x14ac:dyDescent="0.25">
      <c r="AG1136" s="185"/>
    </row>
    <row r="1137" spans="33:33" x14ac:dyDescent="0.25">
      <c r="AG1137" s="185"/>
    </row>
    <row r="1138" spans="33:33" x14ac:dyDescent="0.25">
      <c r="AG1138" s="185"/>
    </row>
    <row r="1139" spans="33:33" x14ac:dyDescent="0.25">
      <c r="AG1139" s="185"/>
    </row>
    <row r="1140" spans="33:33" x14ac:dyDescent="0.25">
      <c r="AG1140" s="185"/>
    </row>
    <row r="1141" spans="33:33" x14ac:dyDescent="0.25">
      <c r="AG1141" s="185"/>
    </row>
    <row r="1142" spans="33:33" x14ac:dyDescent="0.25">
      <c r="AG1142" s="185"/>
    </row>
    <row r="1143" spans="33:33" x14ac:dyDescent="0.25">
      <c r="AG1143" s="185"/>
    </row>
    <row r="1144" spans="33:33" x14ac:dyDescent="0.25">
      <c r="AG1144" s="185"/>
    </row>
    <row r="1145" spans="33:33" x14ac:dyDescent="0.25">
      <c r="AG1145" s="185"/>
    </row>
    <row r="1146" spans="33:33" x14ac:dyDescent="0.25">
      <c r="AG1146" s="185"/>
    </row>
    <row r="1147" spans="33:33" x14ac:dyDescent="0.25">
      <c r="AG1147" s="185"/>
    </row>
    <row r="1148" spans="33:33" x14ac:dyDescent="0.25">
      <c r="AG1148" s="185"/>
    </row>
    <row r="1149" spans="33:33" x14ac:dyDescent="0.25">
      <c r="AG1149" s="185"/>
    </row>
    <row r="1150" spans="33:33" x14ac:dyDescent="0.25">
      <c r="AG1150" s="185"/>
    </row>
    <row r="1151" spans="33:33" x14ac:dyDescent="0.25">
      <c r="AG1151" s="185"/>
    </row>
    <row r="1152" spans="33:33" x14ac:dyDescent="0.25">
      <c r="AG1152" s="185"/>
    </row>
    <row r="1153" spans="33:33" x14ac:dyDescent="0.25">
      <c r="AG1153" s="185"/>
    </row>
    <row r="1154" spans="33:33" x14ac:dyDescent="0.25">
      <c r="AG1154" s="185"/>
    </row>
    <row r="1155" spans="33:33" x14ac:dyDescent="0.25">
      <c r="AG1155" s="185"/>
    </row>
    <row r="1156" spans="33:33" x14ac:dyDescent="0.25">
      <c r="AG1156" s="185"/>
    </row>
    <row r="1157" spans="33:33" x14ac:dyDescent="0.25">
      <c r="AG1157" s="185"/>
    </row>
    <row r="1158" spans="33:33" x14ac:dyDescent="0.25">
      <c r="AG1158" s="185"/>
    </row>
    <row r="1159" spans="33:33" x14ac:dyDescent="0.25">
      <c r="AG1159" s="185"/>
    </row>
    <row r="1160" spans="33:33" x14ac:dyDescent="0.25">
      <c r="AG1160" s="185"/>
    </row>
    <row r="1161" spans="33:33" x14ac:dyDescent="0.25">
      <c r="AG1161" s="185"/>
    </row>
    <row r="1162" spans="33:33" x14ac:dyDescent="0.25">
      <c r="AG1162" s="185"/>
    </row>
    <row r="1163" spans="33:33" x14ac:dyDescent="0.25">
      <c r="AG1163" s="185"/>
    </row>
    <row r="1164" spans="33:33" x14ac:dyDescent="0.25">
      <c r="AG1164" s="185"/>
    </row>
    <row r="1165" spans="33:33" x14ac:dyDescent="0.25">
      <c r="AG1165" s="185"/>
    </row>
    <row r="1166" spans="33:33" x14ac:dyDescent="0.25">
      <c r="AG1166" s="185"/>
    </row>
    <row r="1167" spans="33:33" x14ac:dyDescent="0.25">
      <c r="AG1167" s="185"/>
    </row>
    <row r="1168" spans="33:33" x14ac:dyDescent="0.25">
      <c r="AG1168" s="185"/>
    </row>
    <row r="1169" spans="33:33" x14ac:dyDescent="0.25">
      <c r="AG1169" s="185"/>
    </row>
    <row r="1170" spans="33:33" x14ac:dyDescent="0.25">
      <c r="AG1170" s="185"/>
    </row>
    <row r="1171" spans="33:33" x14ac:dyDescent="0.25">
      <c r="AG1171" s="185"/>
    </row>
    <row r="1172" spans="33:33" x14ac:dyDescent="0.25">
      <c r="AG1172" s="185"/>
    </row>
    <row r="1173" spans="33:33" x14ac:dyDescent="0.25">
      <c r="AG1173" s="185"/>
    </row>
    <row r="1174" spans="33:33" x14ac:dyDescent="0.25">
      <c r="AG1174" s="185"/>
    </row>
    <row r="1175" spans="33:33" x14ac:dyDescent="0.25">
      <c r="AG1175" s="185"/>
    </row>
    <row r="1176" spans="33:33" x14ac:dyDescent="0.25">
      <c r="AG1176" s="185"/>
    </row>
    <row r="1177" spans="33:33" x14ac:dyDescent="0.25">
      <c r="AG1177" s="185"/>
    </row>
    <row r="1178" spans="33:33" x14ac:dyDescent="0.25">
      <c r="AG1178" s="185"/>
    </row>
    <row r="1179" spans="33:33" x14ac:dyDescent="0.25">
      <c r="AG1179" s="185"/>
    </row>
    <row r="1180" spans="33:33" x14ac:dyDescent="0.25">
      <c r="AG1180" s="185"/>
    </row>
    <row r="1181" spans="33:33" x14ac:dyDescent="0.25">
      <c r="AG1181" s="185"/>
    </row>
    <row r="1182" spans="33:33" x14ac:dyDescent="0.25">
      <c r="AG1182" s="185"/>
    </row>
    <row r="1183" spans="33:33" x14ac:dyDescent="0.25">
      <c r="AG1183" s="185"/>
    </row>
    <row r="1184" spans="33:33" x14ac:dyDescent="0.25">
      <c r="AG1184" s="185"/>
    </row>
    <row r="1185" spans="33:33" x14ac:dyDescent="0.25">
      <c r="AG1185" s="185"/>
    </row>
    <row r="1186" spans="33:33" x14ac:dyDescent="0.25">
      <c r="AG1186" s="185"/>
    </row>
    <row r="1187" spans="33:33" x14ac:dyDescent="0.25">
      <c r="AG1187" s="185"/>
    </row>
    <row r="1188" spans="33:33" x14ac:dyDescent="0.25">
      <c r="AG1188" s="185"/>
    </row>
    <row r="1189" spans="33:33" x14ac:dyDescent="0.25">
      <c r="AG1189" s="185"/>
    </row>
    <row r="1190" spans="33:33" x14ac:dyDescent="0.25">
      <c r="AG1190" s="185"/>
    </row>
    <row r="1191" spans="33:33" x14ac:dyDescent="0.25">
      <c r="AG1191" s="185"/>
    </row>
    <row r="1192" spans="33:33" x14ac:dyDescent="0.25">
      <c r="AG1192" s="185"/>
    </row>
    <row r="1193" spans="33:33" x14ac:dyDescent="0.25">
      <c r="AG1193" s="185"/>
    </row>
    <row r="1194" spans="33:33" x14ac:dyDescent="0.25">
      <c r="AG1194" s="185"/>
    </row>
    <row r="1195" spans="33:33" x14ac:dyDescent="0.25">
      <c r="AG1195" s="185"/>
    </row>
    <row r="1196" spans="33:33" x14ac:dyDescent="0.25">
      <c r="AG1196" s="185"/>
    </row>
    <row r="1197" spans="33:33" x14ac:dyDescent="0.25">
      <c r="AG1197" s="185"/>
    </row>
    <row r="1198" spans="33:33" x14ac:dyDescent="0.25">
      <c r="AG1198" s="185"/>
    </row>
    <row r="1199" spans="33:33" x14ac:dyDescent="0.25">
      <c r="AG1199" s="185"/>
    </row>
    <row r="1200" spans="33:33" x14ac:dyDescent="0.25">
      <c r="AG1200" s="185"/>
    </row>
    <row r="1201" spans="33:33" x14ac:dyDescent="0.25">
      <c r="AG1201" s="185"/>
    </row>
    <row r="1202" spans="33:33" x14ac:dyDescent="0.25">
      <c r="AG1202" s="185"/>
    </row>
    <row r="1203" spans="33:33" x14ac:dyDescent="0.25">
      <c r="AG1203" s="185"/>
    </row>
    <row r="1204" spans="33:33" x14ac:dyDescent="0.25">
      <c r="AG1204" s="185"/>
    </row>
    <row r="1205" spans="33:33" x14ac:dyDescent="0.25">
      <c r="AG1205" s="185"/>
    </row>
    <row r="1206" spans="33:33" x14ac:dyDescent="0.25">
      <c r="AG1206" s="185"/>
    </row>
    <row r="1207" spans="33:33" x14ac:dyDescent="0.25">
      <c r="AG1207" s="185"/>
    </row>
    <row r="1208" spans="33:33" x14ac:dyDescent="0.25">
      <c r="AG1208" s="185"/>
    </row>
    <row r="1209" spans="33:33" x14ac:dyDescent="0.25">
      <c r="AG1209" s="185"/>
    </row>
    <row r="1210" spans="33:33" x14ac:dyDescent="0.25">
      <c r="AG1210" s="185"/>
    </row>
    <row r="1211" spans="33:33" x14ac:dyDescent="0.25">
      <c r="AG1211" s="185"/>
    </row>
    <row r="1212" spans="33:33" x14ac:dyDescent="0.25">
      <c r="AG1212" s="185"/>
    </row>
    <row r="1213" spans="33:33" x14ac:dyDescent="0.25">
      <c r="AG1213" s="185"/>
    </row>
    <row r="1214" spans="33:33" x14ac:dyDescent="0.25">
      <c r="AG1214" s="185"/>
    </row>
    <row r="1215" spans="33:33" x14ac:dyDescent="0.25">
      <c r="AG1215" s="185"/>
    </row>
    <row r="1216" spans="33:33" x14ac:dyDescent="0.25">
      <c r="AG1216" s="185"/>
    </row>
    <row r="1217" spans="33:33" x14ac:dyDescent="0.25">
      <c r="AG1217" s="185"/>
    </row>
    <row r="1218" spans="33:33" x14ac:dyDescent="0.25">
      <c r="AG1218" s="185"/>
    </row>
    <row r="1219" spans="33:33" x14ac:dyDescent="0.25">
      <c r="AG1219" s="185"/>
    </row>
    <row r="1220" spans="33:33" x14ac:dyDescent="0.25">
      <c r="AG1220" s="185"/>
    </row>
    <row r="1221" spans="33:33" x14ac:dyDescent="0.25">
      <c r="AG1221" s="185"/>
    </row>
    <row r="1222" spans="33:33" x14ac:dyDescent="0.25">
      <c r="AG1222" s="185"/>
    </row>
    <row r="1223" spans="33:33" x14ac:dyDescent="0.25">
      <c r="AG1223" s="185"/>
    </row>
    <row r="1224" spans="33:33" x14ac:dyDescent="0.25">
      <c r="AG1224" s="185"/>
    </row>
    <row r="1225" spans="33:33" x14ac:dyDescent="0.25">
      <c r="AG1225" s="185"/>
    </row>
    <row r="1226" spans="33:33" x14ac:dyDescent="0.25">
      <c r="AG1226" s="185"/>
    </row>
    <row r="1227" spans="33:33" x14ac:dyDescent="0.25">
      <c r="AG1227" s="185"/>
    </row>
    <row r="1228" spans="33:33" x14ac:dyDescent="0.25">
      <c r="AG1228" s="185"/>
    </row>
    <row r="1229" spans="33:33" x14ac:dyDescent="0.25">
      <c r="AG1229" s="185"/>
    </row>
    <row r="1230" spans="33:33" x14ac:dyDescent="0.25">
      <c r="AG1230" s="185"/>
    </row>
    <row r="1231" spans="33:33" x14ac:dyDescent="0.25">
      <c r="AG1231" s="185"/>
    </row>
    <row r="1232" spans="33:33" x14ac:dyDescent="0.25">
      <c r="AG1232" s="185"/>
    </row>
    <row r="1233" spans="33:33" x14ac:dyDescent="0.25">
      <c r="AG1233" s="185"/>
    </row>
    <row r="1234" spans="33:33" x14ac:dyDescent="0.25">
      <c r="AG1234" s="185"/>
    </row>
    <row r="1235" spans="33:33" x14ac:dyDescent="0.25">
      <c r="AG1235" s="185"/>
    </row>
    <row r="1236" spans="33:33" x14ac:dyDescent="0.25">
      <c r="AG1236" s="185"/>
    </row>
    <row r="1237" spans="33:33" x14ac:dyDescent="0.25">
      <c r="AG1237" s="185"/>
    </row>
    <row r="1238" spans="33:33" x14ac:dyDescent="0.25">
      <c r="AG1238" s="185"/>
    </row>
    <row r="1239" spans="33:33" x14ac:dyDescent="0.25">
      <c r="AG1239" s="185"/>
    </row>
    <row r="1240" spans="33:33" x14ac:dyDescent="0.25">
      <c r="AG1240" s="185"/>
    </row>
    <row r="1241" spans="33:33" x14ac:dyDescent="0.25">
      <c r="AG1241" s="185"/>
    </row>
    <row r="1242" spans="33:33" x14ac:dyDescent="0.25">
      <c r="AG1242" s="185"/>
    </row>
    <row r="1243" spans="33:33" x14ac:dyDescent="0.25">
      <c r="AG1243" s="185"/>
    </row>
    <row r="1244" spans="33:33" x14ac:dyDescent="0.25">
      <c r="AG1244" s="185"/>
    </row>
    <row r="1245" spans="33:33" x14ac:dyDescent="0.25">
      <c r="AG1245" s="185"/>
    </row>
    <row r="1246" spans="33:33" x14ac:dyDescent="0.25">
      <c r="AG1246" s="185"/>
    </row>
    <row r="1247" spans="33:33" x14ac:dyDescent="0.25">
      <c r="AG1247" s="185"/>
    </row>
    <row r="1248" spans="33:33" x14ac:dyDescent="0.25">
      <c r="AG1248" s="185"/>
    </row>
    <row r="1249" spans="33:33" x14ac:dyDescent="0.25">
      <c r="AG1249" s="185"/>
    </row>
    <row r="1250" spans="33:33" x14ac:dyDescent="0.25">
      <c r="AG1250" s="185"/>
    </row>
    <row r="1251" spans="33:33" x14ac:dyDescent="0.25">
      <c r="AG1251" s="185"/>
    </row>
    <row r="1252" spans="33:33" x14ac:dyDescent="0.25">
      <c r="AG1252" s="185"/>
    </row>
    <row r="1253" spans="33:33" x14ac:dyDescent="0.25">
      <c r="AG1253" s="185"/>
    </row>
    <row r="1254" spans="33:33" x14ac:dyDescent="0.25">
      <c r="AG1254" s="185"/>
    </row>
    <row r="1255" spans="33:33" x14ac:dyDescent="0.25">
      <c r="AG1255" s="185"/>
    </row>
    <row r="1256" spans="33:33" x14ac:dyDescent="0.25">
      <c r="AG1256" s="185"/>
    </row>
    <row r="1257" spans="33:33" x14ac:dyDescent="0.25">
      <c r="AG1257" s="185"/>
    </row>
    <row r="1258" spans="33:33" x14ac:dyDescent="0.25">
      <c r="AG1258" s="185"/>
    </row>
    <row r="1259" spans="33:33" x14ac:dyDescent="0.25">
      <c r="AG1259" s="185"/>
    </row>
    <row r="1260" spans="33:33" x14ac:dyDescent="0.25">
      <c r="AG1260" s="185"/>
    </row>
    <row r="1261" spans="33:33" x14ac:dyDescent="0.25">
      <c r="AG1261" s="185"/>
    </row>
    <row r="1262" spans="33:33" x14ac:dyDescent="0.25">
      <c r="AG1262" s="185"/>
    </row>
    <row r="1263" spans="33:33" x14ac:dyDescent="0.25">
      <c r="AG1263" s="185"/>
    </row>
    <row r="1264" spans="33:33" x14ac:dyDescent="0.25">
      <c r="AG1264" s="185"/>
    </row>
    <row r="1265" spans="33:33" x14ac:dyDescent="0.25">
      <c r="AG1265" s="185"/>
    </row>
    <row r="1266" spans="33:33" x14ac:dyDescent="0.25">
      <c r="AG1266" s="185"/>
    </row>
    <row r="1267" spans="33:33" x14ac:dyDescent="0.25">
      <c r="AG1267" s="185"/>
    </row>
    <row r="1268" spans="33:33" x14ac:dyDescent="0.25">
      <c r="AG1268" s="185"/>
    </row>
    <row r="1269" spans="33:33" x14ac:dyDescent="0.25">
      <c r="AG1269" s="185"/>
    </row>
    <row r="1270" spans="33:33" x14ac:dyDescent="0.25">
      <c r="AG1270" s="185"/>
    </row>
    <row r="1271" spans="33:33" x14ac:dyDescent="0.25">
      <c r="AG1271" s="185"/>
    </row>
    <row r="1272" spans="33:33" x14ac:dyDescent="0.25">
      <c r="AG1272" s="185"/>
    </row>
    <row r="1273" spans="33:33" x14ac:dyDescent="0.25">
      <c r="AG1273" s="185"/>
    </row>
    <row r="1274" spans="33:33" x14ac:dyDescent="0.25">
      <c r="AG1274" s="185"/>
    </row>
    <row r="1275" spans="33:33" x14ac:dyDescent="0.25">
      <c r="AG1275" s="185"/>
    </row>
    <row r="1276" spans="33:33" x14ac:dyDescent="0.25">
      <c r="AG1276" s="185"/>
    </row>
    <row r="1277" spans="33:33" x14ac:dyDescent="0.25">
      <c r="AG1277" s="185"/>
    </row>
    <row r="1278" spans="33:33" x14ac:dyDescent="0.25">
      <c r="AG1278" s="185"/>
    </row>
    <row r="1279" spans="33:33" x14ac:dyDescent="0.25">
      <c r="AG1279" s="185"/>
    </row>
    <row r="1280" spans="33:33" x14ac:dyDescent="0.25">
      <c r="AG1280" s="185"/>
    </row>
    <row r="1281" spans="33:33" x14ac:dyDescent="0.25">
      <c r="AG1281" s="185"/>
    </row>
    <row r="1282" spans="33:33" x14ac:dyDescent="0.25">
      <c r="AG1282" s="185"/>
    </row>
    <row r="1283" spans="33:33" x14ac:dyDescent="0.25">
      <c r="AG1283" s="185"/>
    </row>
    <row r="1284" spans="33:33" x14ac:dyDescent="0.25">
      <c r="AG1284" s="185"/>
    </row>
    <row r="1285" spans="33:33" x14ac:dyDescent="0.25">
      <c r="AG1285" s="185"/>
    </row>
    <row r="1286" spans="33:33" x14ac:dyDescent="0.25">
      <c r="AG1286" s="185"/>
    </row>
    <row r="1287" spans="33:33" x14ac:dyDescent="0.25">
      <c r="AG1287" s="185"/>
    </row>
    <row r="1288" spans="33:33" x14ac:dyDescent="0.25">
      <c r="AG1288" s="185"/>
    </row>
    <row r="1289" spans="33:33" x14ac:dyDescent="0.25">
      <c r="AG1289" s="185"/>
    </row>
    <row r="1290" spans="33:33" x14ac:dyDescent="0.25">
      <c r="AG1290" s="185"/>
    </row>
    <row r="1291" spans="33:33" x14ac:dyDescent="0.25">
      <c r="AG1291" s="185"/>
    </row>
    <row r="1292" spans="33:33" x14ac:dyDescent="0.25">
      <c r="AG1292" s="185"/>
    </row>
    <row r="1293" spans="33:33" x14ac:dyDescent="0.25">
      <c r="AG1293" s="185"/>
    </row>
    <row r="1294" spans="33:33" x14ac:dyDescent="0.25">
      <c r="AG1294" s="185"/>
    </row>
    <row r="1295" spans="33:33" x14ac:dyDescent="0.25">
      <c r="AG1295" s="185"/>
    </row>
    <row r="1296" spans="33:33" x14ac:dyDescent="0.25">
      <c r="AG1296" s="185"/>
    </row>
    <row r="1297" spans="33:33" x14ac:dyDescent="0.25">
      <c r="AG1297" s="185"/>
    </row>
    <row r="1298" spans="33:33" x14ac:dyDescent="0.25">
      <c r="AG1298" s="185"/>
    </row>
    <row r="1299" spans="33:33" x14ac:dyDescent="0.25">
      <c r="AG1299" s="185"/>
    </row>
    <row r="1300" spans="33:33" x14ac:dyDescent="0.25">
      <c r="AG1300" s="185"/>
    </row>
    <row r="1301" spans="33:33" x14ac:dyDescent="0.25">
      <c r="AG1301" s="185"/>
    </row>
    <row r="1302" spans="33:33" x14ac:dyDescent="0.25">
      <c r="AG1302" s="185"/>
    </row>
    <row r="1303" spans="33:33" x14ac:dyDescent="0.25">
      <c r="AG1303" s="185"/>
    </row>
    <row r="1304" spans="33:33" x14ac:dyDescent="0.25">
      <c r="AG1304" s="185"/>
    </row>
    <row r="1305" spans="33:33" x14ac:dyDescent="0.25">
      <c r="AG1305" s="185"/>
    </row>
    <row r="1306" spans="33:33" x14ac:dyDescent="0.25">
      <c r="AG1306" s="185"/>
    </row>
    <row r="1307" spans="33:33" x14ac:dyDescent="0.25">
      <c r="AG1307" s="185"/>
    </row>
    <row r="1308" spans="33:33" x14ac:dyDescent="0.25">
      <c r="AG1308" s="185"/>
    </row>
    <row r="1309" spans="33:33" x14ac:dyDescent="0.25">
      <c r="AG1309" s="185"/>
    </row>
    <row r="1310" spans="33:33" x14ac:dyDescent="0.25">
      <c r="AG1310" s="185"/>
    </row>
    <row r="1311" spans="33:33" x14ac:dyDescent="0.25">
      <c r="AG1311" s="185"/>
    </row>
    <row r="1312" spans="33:33" x14ac:dyDescent="0.25">
      <c r="AG1312" s="185"/>
    </row>
    <row r="1313" spans="33:33" x14ac:dyDescent="0.25">
      <c r="AG1313" s="185"/>
    </row>
    <row r="1314" spans="33:33" x14ac:dyDescent="0.25">
      <c r="AG1314" s="185"/>
    </row>
    <row r="1315" spans="33:33" x14ac:dyDescent="0.25">
      <c r="AG1315" s="185"/>
    </row>
    <row r="1316" spans="33:33" x14ac:dyDescent="0.25">
      <c r="AG1316" s="185"/>
    </row>
    <row r="1317" spans="33:33" x14ac:dyDescent="0.25">
      <c r="AG1317" s="185"/>
    </row>
    <row r="1318" spans="33:33" x14ac:dyDescent="0.25">
      <c r="AG1318" s="185"/>
    </row>
    <row r="1319" spans="33:33" x14ac:dyDescent="0.25">
      <c r="AG1319" s="185"/>
    </row>
    <row r="1320" spans="33:33" x14ac:dyDescent="0.25">
      <c r="AG1320" s="185"/>
    </row>
    <row r="1321" spans="33:33" x14ac:dyDescent="0.25">
      <c r="AG1321" s="185"/>
    </row>
    <row r="1322" spans="33:33" x14ac:dyDescent="0.25">
      <c r="AG1322" s="185"/>
    </row>
    <row r="1323" spans="33:33" x14ac:dyDescent="0.25">
      <c r="AG1323" s="185"/>
    </row>
    <row r="1324" spans="33:33" x14ac:dyDescent="0.25">
      <c r="AG1324" s="185"/>
    </row>
    <row r="1325" spans="33:33" x14ac:dyDescent="0.25">
      <c r="AG1325" s="185"/>
    </row>
    <row r="1326" spans="33:33" x14ac:dyDescent="0.25">
      <c r="AG1326" s="185"/>
    </row>
    <row r="1327" spans="33:33" x14ac:dyDescent="0.25">
      <c r="AG1327" s="185"/>
    </row>
    <row r="1328" spans="33:33" x14ac:dyDescent="0.25">
      <c r="AG1328" s="185"/>
    </row>
    <row r="1329" spans="33:33" x14ac:dyDescent="0.25">
      <c r="AG1329" s="185"/>
    </row>
    <row r="1330" spans="33:33" x14ac:dyDescent="0.25">
      <c r="AG1330" s="185"/>
    </row>
    <row r="1331" spans="33:33" x14ac:dyDescent="0.25">
      <c r="AG1331" s="185"/>
    </row>
    <row r="1332" spans="33:33" x14ac:dyDescent="0.25">
      <c r="AG1332" s="185"/>
    </row>
    <row r="1333" spans="33:33" x14ac:dyDescent="0.25">
      <c r="AG1333" s="185"/>
    </row>
    <row r="1334" spans="33:33" x14ac:dyDescent="0.25">
      <c r="AG1334" s="185"/>
    </row>
    <row r="1335" spans="33:33" x14ac:dyDescent="0.25">
      <c r="AG1335" s="185"/>
    </row>
    <row r="1336" spans="33:33" x14ac:dyDescent="0.25">
      <c r="AG1336" s="185"/>
    </row>
    <row r="1337" spans="33:33" x14ac:dyDescent="0.25">
      <c r="AG1337" s="185"/>
    </row>
    <row r="1338" spans="33:33" x14ac:dyDescent="0.25">
      <c r="AG1338" s="185"/>
    </row>
    <row r="1339" spans="33:33" x14ac:dyDescent="0.25">
      <c r="AG1339" s="185"/>
    </row>
    <row r="1340" spans="33:33" x14ac:dyDescent="0.25">
      <c r="AG1340" s="185"/>
    </row>
    <row r="1341" spans="33:33" x14ac:dyDescent="0.25">
      <c r="AG1341" s="185"/>
    </row>
    <row r="1342" spans="33:33" x14ac:dyDescent="0.25">
      <c r="AG1342" s="185"/>
    </row>
    <row r="1343" spans="33:33" x14ac:dyDescent="0.25">
      <c r="AG1343" s="185"/>
    </row>
    <row r="1344" spans="33:33" x14ac:dyDescent="0.25">
      <c r="AG1344" s="185"/>
    </row>
    <row r="1345" spans="33:33" x14ac:dyDescent="0.25">
      <c r="AG1345" s="185"/>
    </row>
    <row r="1346" spans="33:33" x14ac:dyDescent="0.25">
      <c r="AG1346" s="185"/>
    </row>
    <row r="1347" spans="33:33" x14ac:dyDescent="0.25">
      <c r="AG1347" s="185"/>
    </row>
    <row r="1348" spans="33:33" x14ac:dyDescent="0.25">
      <c r="AG1348" s="185"/>
    </row>
    <row r="1349" spans="33:33" x14ac:dyDescent="0.25">
      <c r="AG1349" s="185"/>
    </row>
    <row r="1350" spans="33:33" x14ac:dyDescent="0.25">
      <c r="AG1350" s="185"/>
    </row>
    <row r="1351" spans="33:33" x14ac:dyDescent="0.25">
      <c r="AG1351" s="185"/>
    </row>
    <row r="1352" spans="33:33" x14ac:dyDescent="0.25">
      <c r="AG1352" s="185"/>
    </row>
    <row r="1353" spans="33:33" x14ac:dyDescent="0.25">
      <c r="AG1353" s="185"/>
    </row>
    <row r="1354" spans="33:33" x14ac:dyDescent="0.25">
      <c r="AG1354" s="185"/>
    </row>
    <row r="1355" spans="33:33" x14ac:dyDescent="0.25">
      <c r="AG1355" s="185"/>
    </row>
    <row r="1356" spans="33:33" x14ac:dyDescent="0.25">
      <c r="AG1356" s="185"/>
    </row>
    <row r="1357" spans="33:33" x14ac:dyDescent="0.25">
      <c r="AG1357" s="185"/>
    </row>
    <row r="1358" spans="33:33" x14ac:dyDescent="0.25">
      <c r="AG1358" s="185"/>
    </row>
    <row r="1359" spans="33:33" x14ac:dyDescent="0.25">
      <c r="AG1359" s="185"/>
    </row>
    <row r="1360" spans="33:33" x14ac:dyDescent="0.25">
      <c r="AG1360" s="185"/>
    </row>
    <row r="1361" spans="33:33" x14ac:dyDescent="0.25">
      <c r="AG1361" s="185"/>
    </row>
    <row r="1362" spans="33:33" x14ac:dyDescent="0.25">
      <c r="AG1362" s="185"/>
    </row>
    <row r="1363" spans="33:33" x14ac:dyDescent="0.25">
      <c r="AG1363" s="185"/>
    </row>
    <row r="1364" spans="33:33" x14ac:dyDescent="0.25">
      <c r="AG1364" s="185"/>
    </row>
    <row r="1365" spans="33:33" x14ac:dyDescent="0.25">
      <c r="AG1365" s="185"/>
    </row>
    <row r="1366" spans="33:33" x14ac:dyDescent="0.25">
      <c r="AG1366" s="185"/>
    </row>
    <row r="1367" spans="33:33" x14ac:dyDescent="0.25">
      <c r="AG1367" s="185"/>
    </row>
    <row r="1368" spans="33:33" x14ac:dyDescent="0.25">
      <c r="AG1368" s="185"/>
    </row>
    <row r="1369" spans="33:33" x14ac:dyDescent="0.25">
      <c r="AG1369" s="185"/>
    </row>
    <row r="1370" spans="33:33" x14ac:dyDescent="0.25">
      <c r="AG1370" s="185"/>
    </row>
    <row r="1371" spans="33:33" x14ac:dyDescent="0.25">
      <c r="AG1371" s="185"/>
    </row>
    <row r="1372" spans="33:33" x14ac:dyDescent="0.25">
      <c r="AG1372" s="185"/>
    </row>
    <row r="1373" spans="33:33" x14ac:dyDescent="0.25">
      <c r="AG1373" s="185"/>
    </row>
    <row r="1374" spans="33:33" x14ac:dyDescent="0.25">
      <c r="AG1374" s="185"/>
    </row>
    <row r="1375" spans="33:33" x14ac:dyDescent="0.25">
      <c r="AG1375" s="185"/>
    </row>
    <row r="1376" spans="33:33" x14ac:dyDescent="0.25">
      <c r="AG1376" s="185"/>
    </row>
    <row r="1377" spans="33:33" x14ac:dyDescent="0.25">
      <c r="AG1377" s="185"/>
    </row>
    <row r="1378" spans="33:33" x14ac:dyDescent="0.25">
      <c r="AG1378" s="185"/>
    </row>
    <row r="1379" spans="33:33" x14ac:dyDescent="0.25">
      <c r="AG1379" s="185"/>
    </row>
    <row r="1380" spans="33:33" x14ac:dyDescent="0.25">
      <c r="AG1380" s="185"/>
    </row>
    <row r="1381" spans="33:33" x14ac:dyDescent="0.25">
      <c r="AG1381" s="185"/>
    </row>
    <row r="1382" spans="33:33" x14ac:dyDescent="0.25">
      <c r="AG1382" s="185"/>
    </row>
    <row r="1383" spans="33:33" x14ac:dyDescent="0.25">
      <c r="AG1383" s="185"/>
    </row>
    <row r="1384" spans="33:33" x14ac:dyDescent="0.25">
      <c r="AG1384" s="185"/>
    </row>
    <row r="1385" spans="33:33" x14ac:dyDescent="0.25">
      <c r="AG1385" s="185"/>
    </row>
    <row r="1386" spans="33:33" x14ac:dyDescent="0.25">
      <c r="AG1386" s="185"/>
    </row>
    <row r="1387" spans="33:33" x14ac:dyDescent="0.25">
      <c r="AG1387" s="185"/>
    </row>
    <row r="1388" spans="33:33" x14ac:dyDescent="0.25">
      <c r="AG1388" s="185"/>
    </row>
    <row r="1389" spans="33:33" x14ac:dyDescent="0.25">
      <c r="AG1389" s="185"/>
    </row>
    <row r="1390" spans="33:33" x14ac:dyDescent="0.25">
      <c r="AG1390" s="185"/>
    </row>
    <row r="1391" spans="33:33" x14ac:dyDescent="0.25">
      <c r="AG1391" s="185"/>
    </row>
    <row r="1392" spans="33:33" x14ac:dyDescent="0.25">
      <c r="AG1392" s="185"/>
    </row>
    <row r="1393" spans="33:33" x14ac:dyDescent="0.25">
      <c r="AG1393" s="185"/>
    </row>
    <row r="1394" spans="33:33" x14ac:dyDescent="0.25">
      <c r="AG1394" s="185"/>
    </row>
    <row r="1395" spans="33:33" x14ac:dyDescent="0.25">
      <c r="AG1395" s="185"/>
    </row>
    <row r="1396" spans="33:33" x14ac:dyDescent="0.25">
      <c r="AG1396" s="185"/>
    </row>
    <row r="1397" spans="33:33" x14ac:dyDescent="0.25">
      <c r="AG1397" s="185"/>
    </row>
    <row r="1398" spans="33:33" x14ac:dyDescent="0.25">
      <c r="AG1398" s="185"/>
    </row>
    <row r="1399" spans="33:33" x14ac:dyDescent="0.25">
      <c r="AG1399" s="185"/>
    </row>
    <row r="1400" spans="33:33" x14ac:dyDescent="0.25">
      <c r="AG1400" s="185"/>
    </row>
    <row r="1401" spans="33:33" x14ac:dyDescent="0.25">
      <c r="AG1401" s="185"/>
    </row>
    <row r="1402" spans="33:33" x14ac:dyDescent="0.25">
      <c r="AG1402" s="185"/>
    </row>
    <row r="1403" spans="33:33" x14ac:dyDescent="0.25">
      <c r="AG1403" s="185"/>
    </row>
    <row r="1404" spans="33:33" x14ac:dyDescent="0.25">
      <c r="AG1404" s="185"/>
    </row>
    <row r="1405" spans="33:33" x14ac:dyDescent="0.25">
      <c r="AG1405" s="185"/>
    </row>
    <row r="1406" spans="33:33" x14ac:dyDescent="0.25">
      <c r="AG1406" s="185"/>
    </row>
    <row r="1407" spans="33:33" x14ac:dyDescent="0.25">
      <c r="AG1407" s="185"/>
    </row>
    <row r="1408" spans="33:33" x14ac:dyDescent="0.25">
      <c r="AG1408" s="185"/>
    </row>
    <row r="1409" spans="33:33" x14ac:dyDescent="0.25">
      <c r="AG1409" s="185"/>
    </row>
    <row r="1410" spans="33:33" x14ac:dyDescent="0.25">
      <c r="AG1410" s="185"/>
    </row>
    <row r="1411" spans="33:33" x14ac:dyDescent="0.25">
      <c r="AG1411" s="185"/>
    </row>
    <row r="1412" spans="33:33" x14ac:dyDescent="0.25">
      <c r="AG1412" s="185"/>
    </row>
    <row r="1413" spans="33:33" x14ac:dyDescent="0.25">
      <c r="AG1413" s="185"/>
    </row>
    <row r="1414" spans="33:33" x14ac:dyDescent="0.25">
      <c r="AG1414" s="185"/>
    </row>
    <row r="1415" spans="33:33" x14ac:dyDescent="0.25">
      <c r="AG1415" s="185"/>
    </row>
    <row r="1416" spans="33:33" x14ac:dyDescent="0.25">
      <c r="AG1416" s="185"/>
    </row>
    <row r="1417" spans="33:33" x14ac:dyDescent="0.25">
      <c r="AG1417" s="185"/>
    </row>
    <row r="1418" spans="33:33" x14ac:dyDescent="0.25">
      <c r="AG1418" s="185"/>
    </row>
    <row r="1419" spans="33:33" x14ac:dyDescent="0.25">
      <c r="AG1419" s="185"/>
    </row>
    <row r="1420" spans="33:33" x14ac:dyDescent="0.25">
      <c r="AG1420" s="185"/>
    </row>
    <row r="1421" spans="33:33" x14ac:dyDescent="0.25">
      <c r="AG1421" s="185"/>
    </row>
    <row r="1422" spans="33:33" x14ac:dyDescent="0.25">
      <c r="AG1422" s="185"/>
    </row>
    <row r="1423" spans="33:33" x14ac:dyDescent="0.25">
      <c r="AG1423" s="185"/>
    </row>
    <row r="1424" spans="33:33" x14ac:dyDescent="0.25">
      <c r="AG1424" s="185"/>
    </row>
    <row r="1425" spans="33:33" x14ac:dyDescent="0.25">
      <c r="AG1425" s="185"/>
    </row>
    <row r="1426" spans="33:33" x14ac:dyDescent="0.25">
      <c r="AG1426" s="185"/>
    </row>
    <row r="1427" spans="33:33" x14ac:dyDescent="0.25">
      <c r="AG1427" s="185"/>
    </row>
    <row r="1428" spans="33:33" x14ac:dyDescent="0.25">
      <c r="AG1428" s="185"/>
    </row>
    <row r="1429" spans="33:33" x14ac:dyDescent="0.25">
      <c r="AG1429" s="185"/>
    </row>
    <row r="1430" spans="33:33" x14ac:dyDescent="0.25">
      <c r="AG1430" s="185"/>
    </row>
    <row r="1431" spans="33:33" x14ac:dyDescent="0.25">
      <c r="AG1431" s="185"/>
    </row>
    <row r="1432" spans="33:33" x14ac:dyDescent="0.25">
      <c r="AG1432" s="185"/>
    </row>
    <row r="1433" spans="33:33" x14ac:dyDescent="0.25">
      <c r="AG1433" s="185"/>
    </row>
    <row r="1434" spans="33:33" x14ac:dyDescent="0.25">
      <c r="AG1434" s="185"/>
    </row>
    <row r="1435" spans="33:33" x14ac:dyDescent="0.25">
      <c r="AG1435" s="185"/>
    </row>
    <row r="1436" spans="33:33" x14ac:dyDescent="0.25">
      <c r="AG1436" s="185"/>
    </row>
    <row r="1437" spans="33:33" x14ac:dyDescent="0.25">
      <c r="AG1437" s="185"/>
    </row>
    <row r="1438" spans="33:33" x14ac:dyDescent="0.25">
      <c r="AG1438" s="185"/>
    </row>
    <row r="1439" spans="33:33" x14ac:dyDescent="0.25">
      <c r="AG1439" s="185"/>
    </row>
    <row r="1440" spans="33:33" x14ac:dyDescent="0.25">
      <c r="AG1440" s="185"/>
    </row>
    <row r="1441" spans="33:33" x14ac:dyDescent="0.25">
      <c r="AG1441" s="185"/>
    </row>
    <row r="1442" spans="33:33" x14ac:dyDescent="0.25">
      <c r="AG1442" s="185"/>
    </row>
    <row r="1443" spans="33:33" x14ac:dyDescent="0.25">
      <c r="AG1443" s="185"/>
    </row>
    <row r="1444" spans="33:33" x14ac:dyDescent="0.25">
      <c r="AG1444" s="185"/>
    </row>
    <row r="1445" spans="33:33" x14ac:dyDescent="0.25">
      <c r="AG1445" s="185"/>
    </row>
    <row r="1446" spans="33:33" x14ac:dyDescent="0.25">
      <c r="AG1446" s="185"/>
    </row>
    <row r="1447" spans="33:33" x14ac:dyDescent="0.25">
      <c r="AG1447" s="185"/>
    </row>
    <row r="1448" spans="33:33" x14ac:dyDescent="0.25">
      <c r="AG1448" s="185"/>
    </row>
    <row r="1449" spans="33:33" x14ac:dyDescent="0.25">
      <c r="AG1449" s="185"/>
    </row>
    <row r="1450" spans="33:33" x14ac:dyDescent="0.25">
      <c r="AG1450" s="185"/>
    </row>
    <row r="1451" spans="33:33" x14ac:dyDescent="0.25">
      <c r="AG1451" s="185"/>
    </row>
    <row r="1452" spans="33:33" x14ac:dyDescent="0.25">
      <c r="AG1452" s="185"/>
    </row>
    <row r="1453" spans="33:33" x14ac:dyDescent="0.25">
      <c r="AG1453" s="185"/>
    </row>
    <row r="1454" spans="33:33" x14ac:dyDescent="0.25">
      <c r="AG1454" s="185"/>
    </row>
    <row r="1455" spans="33:33" x14ac:dyDescent="0.25">
      <c r="AG1455" s="185"/>
    </row>
    <row r="1456" spans="33:33" x14ac:dyDescent="0.25">
      <c r="AG1456" s="185"/>
    </row>
    <row r="1457" spans="33:33" x14ac:dyDescent="0.25">
      <c r="AG1457" s="185"/>
    </row>
    <row r="1458" spans="33:33" x14ac:dyDescent="0.25">
      <c r="AG1458" s="185"/>
    </row>
    <row r="1459" spans="33:33" x14ac:dyDescent="0.25">
      <c r="AG1459" s="185"/>
    </row>
    <row r="1460" spans="33:33" x14ac:dyDescent="0.25">
      <c r="AG1460" s="185"/>
    </row>
    <row r="1461" spans="33:33" x14ac:dyDescent="0.25">
      <c r="AG1461" s="185"/>
    </row>
    <row r="1462" spans="33:33" x14ac:dyDescent="0.25">
      <c r="AG1462" s="185"/>
    </row>
    <row r="1463" spans="33:33" x14ac:dyDescent="0.25">
      <c r="AG1463" s="185"/>
    </row>
    <row r="1464" spans="33:33" x14ac:dyDescent="0.25">
      <c r="AG1464" s="185"/>
    </row>
    <row r="1465" spans="33:33" x14ac:dyDescent="0.25">
      <c r="AG1465" s="185"/>
    </row>
    <row r="1466" spans="33:33" x14ac:dyDescent="0.25">
      <c r="AG1466" s="185"/>
    </row>
    <row r="1467" spans="33:33" x14ac:dyDescent="0.25">
      <c r="AG1467" s="185"/>
    </row>
    <row r="1468" spans="33:33" x14ac:dyDescent="0.25">
      <c r="AG1468" s="185"/>
    </row>
    <row r="1469" spans="33:33" x14ac:dyDescent="0.25">
      <c r="AG1469" s="185"/>
    </row>
    <row r="1470" spans="33:33" x14ac:dyDescent="0.25">
      <c r="AG1470" s="185"/>
    </row>
    <row r="1471" spans="33:33" x14ac:dyDescent="0.25">
      <c r="AG1471" s="185"/>
    </row>
    <row r="1472" spans="33:33" x14ac:dyDescent="0.25">
      <c r="AG1472" s="185"/>
    </row>
    <row r="1473" spans="33:33" x14ac:dyDescent="0.25">
      <c r="AG1473" s="185"/>
    </row>
    <row r="1474" spans="33:33" x14ac:dyDescent="0.25">
      <c r="AG1474" s="185"/>
    </row>
    <row r="1475" spans="33:33" x14ac:dyDescent="0.25">
      <c r="AG1475" s="185"/>
    </row>
    <row r="1476" spans="33:33" x14ac:dyDescent="0.25">
      <c r="AG1476" s="185"/>
    </row>
    <row r="1477" spans="33:33" x14ac:dyDescent="0.25">
      <c r="AG1477" s="185"/>
    </row>
    <row r="1478" spans="33:33" x14ac:dyDescent="0.25">
      <c r="AG1478" s="185"/>
    </row>
    <row r="1479" spans="33:33" x14ac:dyDescent="0.25">
      <c r="AG1479" s="185"/>
    </row>
    <row r="1480" spans="33:33" x14ac:dyDescent="0.25">
      <c r="AG1480" s="185"/>
    </row>
    <row r="1481" spans="33:33" x14ac:dyDescent="0.25">
      <c r="AG1481" s="185"/>
    </row>
    <row r="1482" spans="33:33" x14ac:dyDescent="0.25">
      <c r="AG1482" s="185"/>
    </row>
    <row r="1483" spans="33:33" x14ac:dyDescent="0.25">
      <c r="AG1483" s="185"/>
    </row>
    <row r="1484" spans="33:33" x14ac:dyDescent="0.25">
      <c r="AG1484" s="185"/>
    </row>
    <row r="1485" spans="33:33" x14ac:dyDescent="0.25">
      <c r="AG1485" s="185"/>
    </row>
    <row r="1486" spans="33:33" x14ac:dyDescent="0.25">
      <c r="AG1486" s="185"/>
    </row>
    <row r="1487" spans="33:33" x14ac:dyDescent="0.25">
      <c r="AG1487" s="185"/>
    </row>
    <row r="1488" spans="33:33" x14ac:dyDescent="0.25">
      <c r="AG1488" s="185"/>
    </row>
    <row r="1489" spans="33:33" x14ac:dyDescent="0.25">
      <c r="AG1489" s="185"/>
    </row>
    <row r="1490" spans="33:33" x14ac:dyDescent="0.25">
      <c r="AG1490" s="185"/>
    </row>
    <row r="1491" spans="33:33" x14ac:dyDescent="0.25">
      <c r="AG1491" s="185"/>
    </row>
    <row r="1492" spans="33:33" x14ac:dyDescent="0.25">
      <c r="AG1492" s="185"/>
    </row>
    <row r="1493" spans="33:33" x14ac:dyDescent="0.25">
      <c r="AG1493" s="185"/>
    </row>
    <row r="1494" spans="33:33" x14ac:dyDescent="0.25">
      <c r="AG1494" s="185"/>
    </row>
    <row r="1495" spans="33:33" x14ac:dyDescent="0.25">
      <c r="AG1495" s="185"/>
    </row>
    <row r="1496" spans="33:33" x14ac:dyDescent="0.25">
      <c r="AG1496" s="185"/>
    </row>
    <row r="1497" spans="33:33" x14ac:dyDescent="0.25">
      <c r="AG1497" s="185"/>
    </row>
    <row r="1498" spans="33:33" x14ac:dyDescent="0.25">
      <c r="AG1498" s="185"/>
    </row>
    <row r="1499" spans="33:33" x14ac:dyDescent="0.25">
      <c r="AG1499" s="185"/>
    </row>
    <row r="1500" spans="33:33" x14ac:dyDescent="0.25">
      <c r="AG1500" s="185"/>
    </row>
    <row r="1501" spans="33:33" x14ac:dyDescent="0.25">
      <c r="AG1501" s="185"/>
    </row>
    <row r="1502" spans="33:33" x14ac:dyDescent="0.25">
      <c r="AG1502" s="185"/>
    </row>
    <row r="1503" spans="33:33" x14ac:dyDescent="0.25">
      <c r="AG1503" s="185"/>
    </row>
    <row r="1504" spans="33:33" x14ac:dyDescent="0.25">
      <c r="AG1504" s="185"/>
    </row>
    <row r="1505" spans="33:33" x14ac:dyDescent="0.25">
      <c r="AG1505" s="185"/>
    </row>
    <row r="1506" spans="33:33" x14ac:dyDescent="0.25">
      <c r="AG1506" s="185"/>
    </row>
    <row r="1507" spans="33:33" x14ac:dyDescent="0.25">
      <c r="AG1507" s="185"/>
    </row>
    <row r="1508" spans="33:33" x14ac:dyDescent="0.25">
      <c r="AG1508" s="185"/>
    </row>
    <row r="1509" spans="33:33" x14ac:dyDescent="0.25">
      <c r="AG1509" s="185"/>
    </row>
    <row r="1510" spans="33:33" x14ac:dyDescent="0.25">
      <c r="AG1510" s="185"/>
    </row>
    <row r="1511" spans="33:33" x14ac:dyDescent="0.25">
      <c r="AG1511" s="185"/>
    </row>
    <row r="1512" spans="33:33" x14ac:dyDescent="0.25">
      <c r="AG1512" s="185"/>
    </row>
    <row r="1513" spans="33:33" x14ac:dyDescent="0.25">
      <c r="AG1513" s="185"/>
    </row>
    <row r="1514" spans="33:33" x14ac:dyDescent="0.25">
      <c r="AG1514" s="185"/>
    </row>
    <row r="1515" spans="33:33" x14ac:dyDescent="0.25">
      <c r="AG1515" s="185"/>
    </row>
    <row r="1516" spans="33:33" x14ac:dyDescent="0.25">
      <c r="AG1516" s="185"/>
    </row>
    <row r="1517" spans="33:33" x14ac:dyDescent="0.25">
      <c r="AG1517" s="185"/>
    </row>
    <row r="1518" spans="33:33" x14ac:dyDescent="0.25">
      <c r="AG1518" s="185"/>
    </row>
    <row r="1519" spans="33:33" x14ac:dyDescent="0.25">
      <c r="AG1519" s="185"/>
    </row>
    <row r="1520" spans="33:33" x14ac:dyDescent="0.25">
      <c r="AG1520" s="185"/>
    </row>
    <row r="1521" spans="33:33" x14ac:dyDescent="0.25">
      <c r="AG1521" s="185"/>
    </row>
    <row r="1522" spans="33:33" x14ac:dyDescent="0.25">
      <c r="AG1522" s="185"/>
    </row>
    <row r="1523" spans="33:33" x14ac:dyDescent="0.25">
      <c r="AG1523" s="185"/>
    </row>
    <row r="1524" spans="33:33" x14ac:dyDescent="0.25">
      <c r="AG1524" s="185"/>
    </row>
    <row r="1525" spans="33:33" x14ac:dyDescent="0.25">
      <c r="AG1525" s="185"/>
    </row>
    <row r="1526" spans="33:33" x14ac:dyDescent="0.25">
      <c r="AG1526" s="185"/>
    </row>
    <row r="1527" spans="33:33" x14ac:dyDescent="0.25">
      <c r="AG1527" s="185"/>
    </row>
    <row r="1528" spans="33:33" x14ac:dyDescent="0.25">
      <c r="AG1528" s="185"/>
    </row>
    <row r="1529" spans="33:33" x14ac:dyDescent="0.25">
      <c r="AG1529" s="185"/>
    </row>
    <row r="1530" spans="33:33" x14ac:dyDescent="0.25">
      <c r="AG1530" s="185"/>
    </row>
    <row r="1531" spans="33:33" x14ac:dyDescent="0.25">
      <c r="AG1531" s="185"/>
    </row>
    <row r="1532" spans="33:33" x14ac:dyDescent="0.25">
      <c r="AG1532" s="185"/>
    </row>
    <row r="1533" spans="33:33" x14ac:dyDescent="0.25">
      <c r="AG1533" s="185"/>
    </row>
    <row r="1534" spans="33:33" x14ac:dyDescent="0.25">
      <c r="AG1534" s="185"/>
    </row>
    <row r="1535" spans="33:33" x14ac:dyDescent="0.25">
      <c r="AG1535" s="185"/>
    </row>
    <row r="1536" spans="33:33" x14ac:dyDescent="0.25">
      <c r="AG1536" s="185"/>
    </row>
    <row r="1537" spans="33:33" x14ac:dyDescent="0.25">
      <c r="AG1537" s="185"/>
    </row>
    <row r="1538" spans="33:33" x14ac:dyDescent="0.25">
      <c r="AG1538" s="185"/>
    </row>
    <row r="1539" spans="33:33" x14ac:dyDescent="0.25">
      <c r="AG1539" s="185"/>
    </row>
    <row r="1540" spans="33:33" x14ac:dyDescent="0.25">
      <c r="AG1540" s="185"/>
    </row>
    <row r="1541" spans="33:33" x14ac:dyDescent="0.25">
      <c r="AG1541" s="185"/>
    </row>
    <row r="1542" spans="33:33" x14ac:dyDescent="0.25">
      <c r="AG1542" s="185"/>
    </row>
    <row r="1543" spans="33:33" x14ac:dyDescent="0.25">
      <c r="AG1543" s="185"/>
    </row>
    <row r="1544" spans="33:33" x14ac:dyDescent="0.25">
      <c r="AG1544" s="185"/>
    </row>
    <row r="1545" spans="33:33" x14ac:dyDescent="0.25">
      <c r="AG1545" s="185"/>
    </row>
    <row r="1546" spans="33:33" x14ac:dyDescent="0.25">
      <c r="AG1546" s="185"/>
    </row>
    <row r="1547" spans="33:33" x14ac:dyDescent="0.25">
      <c r="AG1547" s="185"/>
    </row>
    <row r="1548" spans="33:33" x14ac:dyDescent="0.25">
      <c r="AG1548" s="185"/>
    </row>
    <row r="1549" spans="33:33" x14ac:dyDescent="0.25">
      <c r="AG1549" s="185"/>
    </row>
    <row r="1550" spans="33:33" x14ac:dyDescent="0.25">
      <c r="AG1550" s="185"/>
    </row>
    <row r="1551" spans="33:33" x14ac:dyDescent="0.25">
      <c r="AG1551" s="185"/>
    </row>
    <row r="1552" spans="33:33" x14ac:dyDescent="0.25">
      <c r="AG1552" s="185"/>
    </row>
    <row r="1553" spans="33:33" x14ac:dyDescent="0.25">
      <c r="AG1553" s="185"/>
    </row>
    <row r="1554" spans="33:33" x14ac:dyDescent="0.25">
      <c r="AG1554" s="185"/>
    </row>
    <row r="1555" spans="33:33" x14ac:dyDescent="0.25">
      <c r="AG1555" s="185"/>
    </row>
    <row r="1556" spans="33:33" x14ac:dyDescent="0.25">
      <c r="AG1556" s="185"/>
    </row>
    <row r="1557" spans="33:33" x14ac:dyDescent="0.25">
      <c r="AG1557" s="185"/>
    </row>
    <row r="1558" spans="33:33" x14ac:dyDescent="0.25">
      <c r="AG1558" s="185"/>
    </row>
    <row r="1559" spans="33:33" x14ac:dyDescent="0.25">
      <c r="AG1559" s="185"/>
    </row>
    <row r="1560" spans="33:33" x14ac:dyDescent="0.25">
      <c r="AG1560" s="185"/>
    </row>
    <row r="1561" spans="33:33" x14ac:dyDescent="0.25">
      <c r="AG1561" s="185"/>
    </row>
    <row r="1562" spans="33:33" x14ac:dyDescent="0.25">
      <c r="AG1562" s="185"/>
    </row>
    <row r="1563" spans="33:33" x14ac:dyDescent="0.25">
      <c r="AG1563" s="185"/>
    </row>
    <row r="1564" spans="33:33" x14ac:dyDescent="0.25">
      <c r="AG1564" s="185"/>
    </row>
    <row r="1565" spans="33:33" x14ac:dyDescent="0.25">
      <c r="AG1565" s="185"/>
    </row>
    <row r="1566" spans="33:33" x14ac:dyDescent="0.25">
      <c r="AG1566" s="185"/>
    </row>
    <row r="1567" spans="33:33" x14ac:dyDescent="0.25">
      <c r="AG1567" s="185"/>
    </row>
    <row r="1568" spans="33:33" x14ac:dyDescent="0.25">
      <c r="AG1568" s="185"/>
    </row>
    <row r="1569" spans="33:33" x14ac:dyDescent="0.25">
      <c r="AG1569" s="185"/>
    </row>
    <row r="1570" spans="33:33" x14ac:dyDescent="0.25">
      <c r="AG1570" s="185"/>
    </row>
    <row r="1571" spans="33:33" x14ac:dyDescent="0.25">
      <c r="AG1571" s="185"/>
    </row>
    <row r="1572" spans="33:33" x14ac:dyDescent="0.25">
      <c r="AG1572" s="185"/>
    </row>
    <row r="1573" spans="33:33" x14ac:dyDescent="0.25">
      <c r="AG1573" s="185"/>
    </row>
    <row r="1574" spans="33:33" x14ac:dyDescent="0.25">
      <c r="AG1574" s="185"/>
    </row>
    <row r="1575" spans="33:33" x14ac:dyDescent="0.25">
      <c r="AG1575" s="185"/>
    </row>
    <row r="1576" spans="33:33" x14ac:dyDescent="0.25">
      <c r="AG1576" s="185"/>
    </row>
    <row r="1577" spans="33:33" x14ac:dyDescent="0.25">
      <c r="AG1577" s="185"/>
    </row>
    <row r="1578" spans="33:33" x14ac:dyDescent="0.25">
      <c r="AG1578" s="185"/>
    </row>
    <row r="1579" spans="33:33" x14ac:dyDescent="0.25">
      <c r="AG1579" s="185"/>
    </row>
    <row r="1580" spans="33:33" x14ac:dyDescent="0.25">
      <c r="AG1580" s="185"/>
    </row>
    <row r="1581" spans="33:33" x14ac:dyDescent="0.25">
      <c r="AG1581" s="185"/>
    </row>
    <row r="1582" spans="33:33" x14ac:dyDescent="0.25">
      <c r="AG1582" s="185"/>
    </row>
    <row r="1583" spans="33:33" x14ac:dyDescent="0.25">
      <c r="AG1583" s="185"/>
    </row>
    <row r="1584" spans="33:33" x14ac:dyDescent="0.25">
      <c r="AG1584" s="185"/>
    </row>
    <row r="1585" spans="33:33" x14ac:dyDescent="0.25">
      <c r="AG1585" s="185"/>
    </row>
    <row r="1586" spans="33:33" x14ac:dyDescent="0.25">
      <c r="AG1586" s="185"/>
    </row>
    <row r="1587" spans="33:33" x14ac:dyDescent="0.25">
      <c r="AG1587" s="185"/>
    </row>
    <row r="1588" spans="33:33" x14ac:dyDescent="0.25">
      <c r="AG1588" s="185"/>
    </row>
    <row r="1589" spans="33:33" x14ac:dyDescent="0.25">
      <c r="AG1589" s="185"/>
    </row>
    <row r="1590" spans="33:33" x14ac:dyDescent="0.25">
      <c r="AG1590" s="185"/>
    </row>
    <row r="1591" spans="33:33" x14ac:dyDescent="0.25">
      <c r="AG1591" s="185"/>
    </row>
    <row r="1592" spans="33:33" x14ac:dyDescent="0.25">
      <c r="AG1592" s="185"/>
    </row>
    <row r="1593" spans="33:33" x14ac:dyDescent="0.25">
      <c r="AG1593" s="185"/>
    </row>
    <row r="1594" spans="33:33" x14ac:dyDescent="0.25">
      <c r="AG1594" s="185"/>
    </row>
    <row r="1595" spans="33:33" x14ac:dyDescent="0.25">
      <c r="AG1595" s="185"/>
    </row>
    <row r="1596" spans="33:33" x14ac:dyDescent="0.25">
      <c r="AG1596" s="185"/>
    </row>
    <row r="1597" spans="33:33" x14ac:dyDescent="0.25">
      <c r="AG1597" s="185"/>
    </row>
    <row r="1598" spans="33:33" x14ac:dyDescent="0.25">
      <c r="AG1598" s="185"/>
    </row>
    <row r="1599" spans="33:33" x14ac:dyDescent="0.25">
      <c r="AG1599" s="185"/>
    </row>
    <row r="1600" spans="33:33" x14ac:dyDescent="0.25">
      <c r="AG1600" s="185"/>
    </row>
    <row r="1601" spans="33:33" x14ac:dyDescent="0.25">
      <c r="AG1601" s="185"/>
    </row>
    <row r="1602" spans="33:33" x14ac:dyDescent="0.25">
      <c r="AG1602" s="185"/>
    </row>
    <row r="1603" spans="33:33" x14ac:dyDescent="0.25">
      <c r="AG1603" s="185"/>
    </row>
    <row r="1604" spans="33:33" x14ac:dyDescent="0.25">
      <c r="AG1604" s="185"/>
    </row>
    <row r="1605" spans="33:33" x14ac:dyDescent="0.25">
      <c r="AG1605" s="185"/>
    </row>
    <row r="1606" spans="33:33" x14ac:dyDescent="0.25">
      <c r="AG1606" s="185"/>
    </row>
    <row r="1607" spans="33:33" x14ac:dyDescent="0.25">
      <c r="AG1607" s="185"/>
    </row>
    <row r="1608" spans="33:33" x14ac:dyDescent="0.25">
      <c r="AG1608" s="185"/>
    </row>
    <row r="1609" spans="33:33" x14ac:dyDescent="0.25">
      <c r="AG1609" s="185"/>
    </row>
    <row r="1610" spans="33:33" x14ac:dyDescent="0.25">
      <c r="AG1610" s="185"/>
    </row>
    <row r="1611" spans="33:33" x14ac:dyDescent="0.25">
      <c r="AG1611" s="185"/>
    </row>
    <row r="1612" spans="33:33" x14ac:dyDescent="0.25">
      <c r="AG1612" s="185"/>
    </row>
    <row r="1613" spans="33:33" x14ac:dyDescent="0.25">
      <c r="AG1613" s="185"/>
    </row>
    <row r="1614" spans="33:33" x14ac:dyDescent="0.25">
      <c r="AG1614" s="185"/>
    </row>
    <row r="1615" spans="33:33" x14ac:dyDescent="0.25">
      <c r="AG1615" s="185"/>
    </row>
    <row r="1616" spans="33:33" x14ac:dyDescent="0.25">
      <c r="AG1616" s="185"/>
    </row>
    <row r="1617" spans="33:33" x14ac:dyDescent="0.25">
      <c r="AG1617" s="185"/>
    </row>
    <row r="1618" spans="33:33" x14ac:dyDescent="0.25">
      <c r="AG1618" s="185"/>
    </row>
    <row r="1619" spans="33:33" x14ac:dyDescent="0.25">
      <c r="AG1619" s="185"/>
    </row>
    <row r="1620" spans="33:33" x14ac:dyDescent="0.25">
      <c r="AG1620" s="185"/>
    </row>
    <row r="1621" spans="33:33" x14ac:dyDescent="0.25">
      <c r="AG1621" s="185"/>
    </row>
    <row r="1622" spans="33:33" x14ac:dyDescent="0.25">
      <c r="AG1622" s="185"/>
    </row>
    <row r="1623" spans="33:33" x14ac:dyDescent="0.25">
      <c r="AG1623" s="185"/>
    </row>
    <row r="1624" spans="33:33" x14ac:dyDescent="0.25">
      <c r="AG1624" s="185"/>
    </row>
    <row r="1625" spans="33:33" x14ac:dyDescent="0.25">
      <c r="AG1625" s="185"/>
    </row>
    <row r="1626" spans="33:33" x14ac:dyDescent="0.25">
      <c r="AG1626" s="185"/>
    </row>
    <row r="1627" spans="33:33" x14ac:dyDescent="0.25">
      <c r="AG1627" s="185"/>
    </row>
    <row r="1628" spans="33:33" x14ac:dyDescent="0.25">
      <c r="AG1628" s="185"/>
    </row>
    <row r="1629" spans="33:33" x14ac:dyDescent="0.25">
      <c r="AG1629" s="185"/>
    </row>
    <row r="1630" spans="33:33" x14ac:dyDescent="0.25">
      <c r="AG1630" s="185"/>
    </row>
    <row r="1631" spans="33:33" x14ac:dyDescent="0.25">
      <c r="AG1631" s="185"/>
    </row>
    <row r="1632" spans="33:33" x14ac:dyDescent="0.25">
      <c r="AG1632" s="185"/>
    </row>
    <row r="1633" spans="33:33" x14ac:dyDescent="0.25">
      <c r="AG1633" s="185"/>
    </row>
    <row r="1634" spans="33:33" x14ac:dyDescent="0.25">
      <c r="AG1634" s="185"/>
    </row>
    <row r="1635" spans="33:33" x14ac:dyDescent="0.25">
      <c r="AG1635" s="185"/>
    </row>
    <row r="1636" spans="33:33" x14ac:dyDescent="0.25">
      <c r="AG1636" s="185"/>
    </row>
    <row r="1637" spans="33:33" x14ac:dyDescent="0.25">
      <c r="AG1637" s="185"/>
    </row>
    <row r="1638" spans="33:33" x14ac:dyDescent="0.25">
      <c r="AG1638" s="185"/>
    </row>
    <row r="1639" spans="33:33" x14ac:dyDescent="0.25">
      <c r="AG1639" s="185"/>
    </row>
    <row r="1640" spans="33:33" x14ac:dyDescent="0.25">
      <c r="AG1640" s="185"/>
    </row>
    <row r="1641" spans="33:33" x14ac:dyDescent="0.25">
      <c r="AG1641" s="185"/>
    </row>
    <row r="1642" spans="33:33" x14ac:dyDescent="0.25">
      <c r="AG1642" s="185"/>
    </row>
    <row r="1643" spans="33:33" x14ac:dyDescent="0.25">
      <c r="AG1643" s="185"/>
    </row>
    <row r="1644" spans="33:33" x14ac:dyDescent="0.25">
      <c r="AG1644" s="185"/>
    </row>
    <row r="1645" spans="33:33" x14ac:dyDescent="0.25">
      <c r="AG1645" s="185"/>
    </row>
    <row r="1646" spans="33:33" x14ac:dyDescent="0.25">
      <c r="AG1646" s="185"/>
    </row>
    <row r="1647" spans="33:33" x14ac:dyDescent="0.25">
      <c r="AG1647" s="185"/>
    </row>
    <row r="1648" spans="33:33" x14ac:dyDescent="0.25">
      <c r="AG1648" s="185"/>
    </row>
    <row r="1649" spans="33:33" x14ac:dyDescent="0.25">
      <c r="AG1649" s="185"/>
    </row>
    <row r="1650" spans="33:33" x14ac:dyDescent="0.25">
      <c r="AG1650" s="185"/>
    </row>
    <row r="1651" spans="33:33" x14ac:dyDescent="0.25">
      <c r="AG1651" s="185"/>
    </row>
    <row r="1652" spans="33:33" x14ac:dyDescent="0.25">
      <c r="AG1652" s="185"/>
    </row>
    <row r="1653" spans="33:33" x14ac:dyDescent="0.25">
      <c r="AG1653" s="185"/>
    </row>
    <row r="1654" spans="33:33" x14ac:dyDescent="0.25">
      <c r="AG1654" s="185"/>
    </row>
    <row r="1655" spans="33:33" x14ac:dyDescent="0.25">
      <c r="AG1655" s="185"/>
    </row>
    <row r="1656" spans="33:33" x14ac:dyDescent="0.25">
      <c r="AG1656" s="185"/>
    </row>
    <row r="1657" spans="33:33" x14ac:dyDescent="0.25">
      <c r="AG1657" s="185"/>
    </row>
    <row r="1658" spans="33:33" x14ac:dyDescent="0.25">
      <c r="AG1658" s="185"/>
    </row>
    <row r="1659" spans="33:33" x14ac:dyDescent="0.25">
      <c r="AG1659" s="185"/>
    </row>
    <row r="1660" spans="33:33" x14ac:dyDescent="0.25">
      <c r="AG1660" s="185"/>
    </row>
    <row r="1661" spans="33:33" x14ac:dyDescent="0.25">
      <c r="AG1661" s="185"/>
    </row>
    <row r="1662" spans="33:33" x14ac:dyDescent="0.25">
      <c r="AG1662" s="185"/>
    </row>
    <row r="1663" spans="33:33" x14ac:dyDescent="0.25">
      <c r="AG1663" s="185"/>
    </row>
    <row r="1664" spans="33:33" x14ac:dyDescent="0.25">
      <c r="AG1664" s="185"/>
    </row>
    <row r="1665" spans="33:33" x14ac:dyDescent="0.25">
      <c r="AG1665" s="185"/>
    </row>
    <row r="1666" spans="33:33" x14ac:dyDescent="0.25">
      <c r="AG1666" s="185"/>
    </row>
    <row r="1667" spans="33:33" x14ac:dyDescent="0.25">
      <c r="AG1667" s="185"/>
    </row>
    <row r="1668" spans="33:33" x14ac:dyDescent="0.25">
      <c r="AG1668" s="185"/>
    </row>
    <row r="1669" spans="33:33" x14ac:dyDescent="0.25">
      <c r="AG1669" s="185"/>
    </row>
    <row r="1670" spans="33:33" x14ac:dyDescent="0.25">
      <c r="AG1670" s="185"/>
    </row>
    <row r="1671" spans="33:33" x14ac:dyDescent="0.25">
      <c r="AG1671" s="185"/>
    </row>
    <row r="1672" spans="33:33" x14ac:dyDescent="0.25">
      <c r="AG1672" s="185"/>
    </row>
    <row r="1673" spans="33:33" x14ac:dyDescent="0.25">
      <c r="AG1673" s="185"/>
    </row>
    <row r="1674" spans="33:33" x14ac:dyDescent="0.25">
      <c r="AG1674" s="185"/>
    </row>
    <row r="1675" spans="33:33" x14ac:dyDescent="0.25">
      <c r="AG1675" s="185"/>
    </row>
    <row r="1676" spans="33:33" x14ac:dyDescent="0.25">
      <c r="AG1676" s="185"/>
    </row>
    <row r="1677" spans="33:33" x14ac:dyDescent="0.25">
      <c r="AG1677" s="185"/>
    </row>
    <row r="1678" spans="33:33" x14ac:dyDescent="0.25">
      <c r="AG1678" s="185"/>
    </row>
    <row r="1679" spans="33:33" x14ac:dyDescent="0.25">
      <c r="AG1679" s="185"/>
    </row>
    <row r="1680" spans="33:33" x14ac:dyDescent="0.25">
      <c r="AG1680" s="185"/>
    </row>
    <row r="1681" spans="33:33" x14ac:dyDescent="0.25">
      <c r="AG1681" s="185"/>
    </row>
    <row r="1682" spans="33:33" x14ac:dyDescent="0.25">
      <c r="AG1682" s="185"/>
    </row>
    <row r="1683" spans="33:33" x14ac:dyDescent="0.25">
      <c r="AG1683" s="185"/>
    </row>
    <row r="1684" spans="33:33" x14ac:dyDescent="0.25">
      <c r="AG1684" s="185"/>
    </row>
    <row r="1685" spans="33:33" x14ac:dyDescent="0.25">
      <c r="AG1685" s="185"/>
    </row>
    <row r="1686" spans="33:33" x14ac:dyDescent="0.25">
      <c r="AG1686" s="185"/>
    </row>
    <row r="1687" spans="33:33" x14ac:dyDescent="0.25">
      <c r="AG1687" s="185"/>
    </row>
    <row r="1688" spans="33:33" x14ac:dyDescent="0.25">
      <c r="AG1688" s="185"/>
    </row>
    <row r="1689" spans="33:33" x14ac:dyDescent="0.25">
      <c r="AG1689" s="185"/>
    </row>
    <row r="1690" spans="33:33" x14ac:dyDescent="0.25">
      <c r="AG1690" s="185"/>
    </row>
    <row r="1691" spans="33:33" x14ac:dyDescent="0.25">
      <c r="AG1691" s="185"/>
    </row>
    <row r="1692" spans="33:33" x14ac:dyDescent="0.25">
      <c r="AG1692" s="185"/>
    </row>
    <row r="1693" spans="33:33" x14ac:dyDescent="0.25">
      <c r="AG1693" s="185"/>
    </row>
    <row r="1694" spans="33:33" x14ac:dyDescent="0.25">
      <c r="AG1694" s="185"/>
    </row>
    <row r="1695" spans="33:33" x14ac:dyDescent="0.25">
      <c r="AG1695" s="185"/>
    </row>
    <row r="1696" spans="33:33" x14ac:dyDescent="0.25">
      <c r="AG1696" s="185"/>
    </row>
    <row r="1697" spans="33:33" x14ac:dyDescent="0.25">
      <c r="AG1697" s="185"/>
    </row>
    <row r="1698" spans="33:33" x14ac:dyDescent="0.25">
      <c r="AG1698" s="185"/>
    </row>
    <row r="1699" spans="33:33" x14ac:dyDescent="0.25">
      <c r="AG1699" s="185"/>
    </row>
    <row r="1700" spans="33:33" x14ac:dyDescent="0.25">
      <c r="AG1700" s="185"/>
    </row>
    <row r="1701" spans="33:33" x14ac:dyDescent="0.25">
      <c r="AG1701" s="185"/>
    </row>
    <row r="1702" spans="33:33" x14ac:dyDescent="0.25">
      <c r="AG1702" s="185"/>
    </row>
    <row r="1703" spans="33:33" x14ac:dyDescent="0.25">
      <c r="AG1703" s="185"/>
    </row>
    <row r="1704" spans="33:33" x14ac:dyDescent="0.25">
      <c r="AG1704" s="185"/>
    </row>
    <row r="1705" spans="33:33" x14ac:dyDescent="0.25">
      <c r="AG1705" s="185"/>
    </row>
    <row r="1706" spans="33:33" x14ac:dyDescent="0.25">
      <c r="AG1706" s="185"/>
    </row>
    <row r="1707" spans="33:33" x14ac:dyDescent="0.25">
      <c r="AG1707" s="185"/>
    </row>
    <row r="1708" spans="33:33" x14ac:dyDescent="0.25">
      <c r="AG1708" s="185"/>
    </row>
    <row r="1709" spans="33:33" x14ac:dyDescent="0.25">
      <c r="AG1709" s="185"/>
    </row>
    <row r="1710" spans="33:33" x14ac:dyDescent="0.25">
      <c r="AG1710" s="185"/>
    </row>
    <row r="1711" spans="33:33" x14ac:dyDescent="0.25">
      <c r="AG1711" s="185"/>
    </row>
    <row r="1712" spans="33:33" x14ac:dyDescent="0.25">
      <c r="AG1712" s="185"/>
    </row>
    <row r="1713" spans="33:33" x14ac:dyDescent="0.25">
      <c r="AG1713" s="185"/>
    </row>
    <row r="1714" spans="33:33" x14ac:dyDescent="0.25">
      <c r="AG1714" s="185"/>
    </row>
    <row r="1715" spans="33:33" x14ac:dyDescent="0.25">
      <c r="AG1715" s="185"/>
    </row>
    <row r="1716" spans="33:33" x14ac:dyDescent="0.25">
      <c r="AG1716" s="185"/>
    </row>
    <row r="1717" spans="33:33" x14ac:dyDescent="0.25">
      <c r="AG1717" s="185"/>
    </row>
    <row r="1718" spans="33:33" x14ac:dyDescent="0.25">
      <c r="AG1718" s="185"/>
    </row>
    <row r="1719" spans="33:33" x14ac:dyDescent="0.25">
      <c r="AG1719" s="185"/>
    </row>
    <row r="1720" spans="33:33" x14ac:dyDescent="0.25">
      <c r="AG1720" s="185"/>
    </row>
    <row r="1721" spans="33:33" x14ac:dyDescent="0.25">
      <c r="AG1721" s="185"/>
    </row>
    <row r="1722" spans="33:33" x14ac:dyDescent="0.25">
      <c r="AG1722" s="185"/>
    </row>
    <row r="1723" spans="33:33" x14ac:dyDescent="0.25">
      <c r="AG1723" s="185"/>
    </row>
    <row r="1724" spans="33:33" x14ac:dyDescent="0.25">
      <c r="AG1724" s="185"/>
    </row>
    <row r="1725" spans="33:33" x14ac:dyDescent="0.25">
      <c r="AG1725" s="185"/>
    </row>
    <row r="1726" spans="33:33" x14ac:dyDescent="0.25">
      <c r="AG1726" s="185"/>
    </row>
    <row r="1727" spans="33:33" x14ac:dyDescent="0.25">
      <c r="AG1727" s="185"/>
    </row>
    <row r="1728" spans="33:33" x14ac:dyDescent="0.25">
      <c r="AG1728" s="185"/>
    </row>
    <row r="1729" spans="33:33" x14ac:dyDescent="0.25">
      <c r="AG1729" s="185"/>
    </row>
    <row r="1730" spans="33:33" x14ac:dyDescent="0.25">
      <c r="AG1730" s="185"/>
    </row>
    <row r="1731" spans="33:33" x14ac:dyDescent="0.25">
      <c r="AG1731" s="185"/>
    </row>
    <row r="1732" spans="33:33" x14ac:dyDescent="0.25">
      <c r="AG1732" s="185"/>
    </row>
    <row r="1733" spans="33:33" x14ac:dyDescent="0.25">
      <c r="AG1733" s="185"/>
    </row>
    <row r="1734" spans="33:33" x14ac:dyDescent="0.25">
      <c r="AG1734" s="185"/>
    </row>
    <row r="1735" spans="33:33" x14ac:dyDescent="0.25">
      <c r="AG1735" s="185"/>
    </row>
    <row r="1736" spans="33:33" x14ac:dyDescent="0.25">
      <c r="AG1736" s="185"/>
    </row>
    <row r="1737" spans="33:33" x14ac:dyDescent="0.25">
      <c r="AG1737" s="185"/>
    </row>
    <row r="1738" spans="33:33" x14ac:dyDescent="0.25">
      <c r="AG1738" s="185"/>
    </row>
    <row r="1739" spans="33:33" x14ac:dyDescent="0.25">
      <c r="AG1739" s="185"/>
    </row>
    <row r="1740" spans="33:33" x14ac:dyDescent="0.25">
      <c r="AG1740" s="185"/>
    </row>
    <row r="1741" spans="33:33" x14ac:dyDescent="0.25">
      <c r="AG1741" s="185"/>
    </row>
    <row r="1742" spans="33:33" x14ac:dyDescent="0.25">
      <c r="AG1742" s="185"/>
    </row>
    <row r="1743" spans="33:33" x14ac:dyDescent="0.25">
      <c r="AG1743" s="185"/>
    </row>
    <row r="1744" spans="33:33" x14ac:dyDescent="0.25">
      <c r="AG1744" s="185"/>
    </row>
    <row r="1745" spans="33:33" x14ac:dyDescent="0.25">
      <c r="AG1745" s="185"/>
    </row>
    <row r="1746" spans="33:33" x14ac:dyDescent="0.25">
      <c r="AG1746" s="185"/>
    </row>
    <row r="1747" spans="33:33" x14ac:dyDescent="0.25">
      <c r="AG1747" s="185"/>
    </row>
    <row r="1748" spans="33:33" x14ac:dyDescent="0.25">
      <c r="AG1748" s="185"/>
    </row>
    <row r="1749" spans="33:33" x14ac:dyDescent="0.25">
      <c r="AG1749" s="185"/>
    </row>
    <row r="1750" spans="33:33" x14ac:dyDescent="0.25">
      <c r="AG1750" s="185"/>
    </row>
    <row r="1751" spans="33:33" x14ac:dyDescent="0.25">
      <c r="AG1751" s="185"/>
    </row>
    <row r="1752" spans="33:33" x14ac:dyDescent="0.25">
      <c r="AG1752" s="185"/>
    </row>
    <row r="1753" spans="33:33" x14ac:dyDescent="0.25">
      <c r="AG1753" s="185"/>
    </row>
    <row r="1754" spans="33:33" x14ac:dyDescent="0.25">
      <c r="AG1754" s="185"/>
    </row>
    <row r="1755" spans="33:33" x14ac:dyDescent="0.25">
      <c r="AG1755" s="185"/>
    </row>
    <row r="1756" spans="33:33" x14ac:dyDescent="0.25">
      <c r="AG1756" s="185"/>
    </row>
    <row r="1757" spans="33:33" x14ac:dyDescent="0.25">
      <c r="AG1757" s="185"/>
    </row>
    <row r="1758" spans="33:33" x14ac:dyDescent="0.25">
      <c r="AG1758" s="185"/>
    </row>
    <row r="1759" spans="33:33" x14ac:dyDescent="0.25">
      <c r="AG1759" s="185"/>
    </row>
    <row r="1760" spans="33:33" x14ac:dyDescent="0.25">
      <c r="AG1760" s="185"/>
    </row>
    <row r="1761" spans="33:33" x14ac:dyDescent="0.25">
      <c r="AG1761" s="185"/>
    </row>
    <row r="1762" spans="33:33" x14ac:dyDescent="0.25">
      <c r="AG1762" s="185"/>
    </row>
    <row r="1763" spans="33:33" x14ac:dyDescent="0.25">
      <c r="AG1763" s="185"/>
    </row>
    <row r="1764" spans="33:33" x14ac:dyDescent="0.25">
      <c r="AG1764" s="185"/>
    </row>
    <row r="1765" spans="33:33" x14ac:dyDescent="0.25">
      <c r="AG1765" s="185"/>
    </row>
    <row r="1766" spans="33:33" x14ac:dyDescent="0.25">
      <c r="AG1766" s="185"/>
    </row>
    <row r="1767" spans="33:33" x14ac:dyDescent="0.25">
      <c r="AG1767" s="185"/>
    </row>
    <row r="1768" spans="33:33" x14ac:dyDescent="0.25">
      <c r="AG1768" s="185"/>
    </row>
    <row r="1769" spans="33:33" x14ac:dyDescent="0.25">
      <c r="AG1769" s="185"/>
    </row>
    <row r="1770" spans="33:33" x14ac:dyDescent="0.25">
      <c r="AG1770" s="185"/>
    </row>
    <row r="1771" spans="33:33" x14ac:dyDescent="0.25">
      <c r="AG1771" s="185"/>
    </row>
    <row r="1772" spans="33:33" x14ac:dyDescent="0.25">
      <c r="AG1772" s="185"/>
    </row>
    <row r="1773" spans="33:33" x14ac:dyDescent="0.25">
      <c r="AG1773" s="185"/>
    </row>
    <row r="1774" spans="33:33" x14ac:dyDescent="0.25">
      <c r="AG1774" s="185"/>
    </row>
    <row r="1775" spans="33:33" x14ac:dyDescent="0.25">
      <c r="AG1775" s="185"/>
    </row>
    <row r="1776" spans="33:33" x14ac:dyDescent="0.25">
      <c r="AG1776" s="185"/>
    </row>
    <row r="1777" spans="33:33" x14ac:dyDescent="0.25">
      <c r="AG1777" s="185"/>
    </row>
    <row r="1778" spans="33:33" x14ac:dyDescent="0.25">
      <c r="AG1778" s="185"/>
    </row>
    <row r="1779" spans="33:33" x14ac:dyDescent="0.25">
      <c r="AG1779" s="185"/>
    </row>
    <row r="1780" spans="33:33" x14ac:dyDescent="0.25">
      <c r="AG1780" s="185"/>
    </row>
    <row r="1781" spans="33:33" x14ac:dyDescent="0.25">
      <c r="AG1781" s="185"/>
    </row>
    <row r="1782" spans="33:33" x14ac:dyDescent="0.25">
      <c r="AG1782" s="185"/>
    </row>
    <row r="1783" spans="33:33" x14ac:dyDescent="0.25">
      <c r="AG1783" s="185"/>
    </row>
    <row r="1784" spans="33:33" x14ac:dyDescent="0.25">
      <c r="AG1784" s="185"/>
    </row>
    <row r="1785" spans="33:33" x14ac:dyDescent="0.25">
      <c r="AG1785" s="185"/>
    </row>
    <row r="1786" spans="33:33" x14ac:dyDescent="0.25">
      <c r="AG1786" s="185"/>
    </row>
    <row r="1787" spans="33:33" x14ac:dyDescent="0.25">
      <c r="AG1787" s="185"/>
    </row>
    <row r="1788" spans="33:33" x14ac:dyDescent="0.25">
      <c r="AG1788" s="185"/>
    </row>
    <row r="1789" spans="33:33" x14ac:dyDescent="0.25">
      <c r="AG1789" s="185"/>
    </row>
    <row r="1790" spans="33:33" x14ac:dyDescent="0.25">
      <c r="AG1790" s="185"/>
    </row>
    <row r="1791" spans="33:33" x14ac:dyDescent="0.25">
      <c r="AG1791" s="185"/>
    </row>
    <row r="1792" spans="33:33" x14ac:dyDescent="0.25">
      <c r="AG1792" s="185"/>
    </row>
    <row r="1793" spans="33:33" x14ac:dyDescent="0.25">
      <c r="AG1793" s="185"/>
    </row>
    <row r="1794" spans="33:33" x14ac:dyDescent="0.25">
      <c r="AG1794" s="185"/>
    </row>
    <row r="1795" spans="33:33" x14ac:dyDescent="0.25">
      <c r="AG1795" s="185"/>
    </row>
    <row r="1796" spans="33:33" x14ac:dyDescent="0.25">
      <c r="AG1796" s="185"/>
    </row>
    <row r="1797" spans="33:33" x14ac:dyDescent="0.25">
      <c r="AG1797" s="185"/>
    </row>
    <row r="1798" spans="33:33" x14ac:dyDescent="0.25">
      <c r="AG1798" s="185"/>
    </row>
    <row r="1799" spans="33:33" x14ac:dyDescent="0.25">
      <c r="AG1799" s="185"/>
    </row>
    <row r="1800" spans="33:33" x14ac:dyDescent="0.25">
      <c r="AG1800" s="185"/>
    </row>
    <row r="1801" spans="33:33" x14ac:dyDescent="0.25">
      <c r="AG1801" s="185"/>
    </row>
    <row r="1802" spans="33:33" x14ac:dyDescent="0.25">
      <c r="AG1802" s="185"/>
    </row>
    <row r="1803" spans="33:33" x14ac:dyDescent="0.25">
      <c r="AG1803" s="185"/>
    </row>
    <row r="1804" spans="33:33" x14ac:dyDescent="0.25">
      <c r="AG1804" s="185"/>
    </row>
    <row r="1805" spans="33:33" x14ac:dyDescent="0.25">
      <c r="AG1805" s="185"/>
    </row>
    <row r="1806" spans="33:33" x14ac:dyDescent="0.25">
      <c r="AG1806" s="185"/>
    </row>
    <row r="1807" spans="33:33" x14ac:dyDescent="0.25">
      <c r="AG1807" s="185"/>
    </row>
    <row r="1808" spans="33:33" x14ac:dyDescent="0.25">
      <c r="AG1808" s="185"/>
    </row>
    <row r="1809" spans="33:33" x14ac:dyDescent="0.25">
      <c r="AG1809" s="185"/>
    </row>
    <row r="1810" spans="33:33" x14ac:dyDescent="0.25">
      <c r="AG1810" s="185"/>
    </row>
    <row r="1811" spans="33:33" x14ac:dyDescent="0.25">
      <c r="AG1811" s="185"/>
    </row>
    <row r="1812" spans="33:33" x14ac:dyDescent="0.25">
      <c r="AG1812" s="185"/>
    </row>
    <row r="1813" spans="33:33" x14ac:dyDescent="0.25">
      <c r="AG1813" s="185"/>
    </row>
    <row r="1814" spans="33:33" x14ac:dyDescent="0.25">
      <c r="AG1814" s="185"/>
    </row>
    <row r="1815" spans="33:33" x14ac:dyDescent="0.25">
      <c r="AG1815" s="185"/>
    </row>
    <row r="1816" spans="33:33" x14ac:dyDescent="0.25">
      <c r="AG1816" s="185"/>
    </row>
    <row r="1817" spans="33:33" x14ac:dyDescent="0.25">
      <c r="AG1817" s="185"/>
    </row>
    <row r="1818" spans="33:33" x14ac:dyDescent="0.25">
      <c r="AG1818" s="185"/>
    </row>
    <row r="1819" spans="33:33" x14ac:dyDescent="0.25">
      <c r="AG1819" s="185"/>
    </row>
    <row r="1820" spans="33:33" x14ac:dyDescent="0.25">
      <c r="AG1820" s="185"/>
    </row>
    <row r="1821" spans="33:33" x14ac:dyDescent="0.25">
      <c r="AG1821" s="185"/>
    </row>
    <row r="1822" spans="33:33" x14ac:dyDescent="0.25">
      <c r="AG1822" s="185"/>
    </row>
    <row r="1823" spans="33:33" x14ac:dyDescent="0.25">
      <c r="AG1823" s="185"/>
    </row>
    <row r="1824" spans="33:33" x14ac:dyDescent="0.25">
      <c r="AG1824" s="185"/>
    </row>
    <row r="1825" spans="33:33" x14ac:dyDescent="0.25">
      <c r="AG1825" s="185"/>
    </row>
    <row r="1826" spans="33:33" x14ac:dyDescent="0.25">
      <c r="AG1826" s="185"/>
    </row>
    <row r="1827" spans="33:33" x14ac:dyDescent="0.25">
      <c r="AG1827" s="185"/>
    </row>
    <row r="1828" spans="33:33" x14ac:dyDescent="0.25">
      <c r="AG1828" s="185"/>
    </row>
    <row r="1829" spans="33:33" x14ac:dyDescent="0.25">
      <c r="AG1829" s="185"/>
    </row>
    <row r="1830" spans="33:33" x14ac:dyDescent="0.25">
      <c r="AG1830" s="185"/>
    </row>
    <row r="1831" spans="33:33" x14ac:dyDescent="0.25">
      <c r="AG1831" s="185"/>
    </row>
    <row r="1832" spans="33:33" x14ac:dyDescent="0.25">
      <c r="AG1832" s="185"/>
    </row>
    <row r="1833" spans="33:33" x14ac:dyDescent="0.25">
      <c r="AG1833" s="185"/>
    </row>
    <row r="1834" spans="33:33" x14ac:dyDescent="0.25">
      <c r="AG1834" s="185"/>
    </row>
    <row r="1835" spans="33:33" x14ac:dyDescent="0.25">
      <c r="AG1835" s="185"/>
    </row>
    <row r="1836" spans="33:33" x14ac:dyDescent="0.25">
      <c r="AG1836" s="185"/>
    </row>
    <row r="1837" spans="33:33" x14ac:dyDescent="0.25">
      <c r="AG1837" s="185"/>
    </row>
    <row r="1838" spans="33:33" x14ac:dyDescent="0.25">
      <c r="AG1838" s="185"/>
    </row>
    <row r="1839" spans="33:33" x14ac:dyDescent="0.25">
      <c r="AG1839" s="185"/>
    </row>
    <row r="1840" spans="33:33" x14ac:dyDescent="0.25">
      <c r="AG1840" s="185"/>
    </row>
    <row r="1841" spans="33:33" x14ac:dyDescent="0.25">
      <c r="AG1841" s="185"/>
    </row>
    <row r="1842" spans="33:33" x14ac:dyDescent="0.25">
      <c r="AG1842" s="185"/>
    </row>
    <row r="1843" spans="33:33" x14ac:dyDescent="0.25">
      <c r="AG1843" s="185"/>
    </row>
    <row r="1844" spans="33:33" x14ac:dyDescent="0.25">
      <c r="AG1844" s="185"/>
    </row>
    <row r="1845" spans="33:33" x14ac:dyDescent="0.25">
      <c r="AG1845" s="185"/>
    </row>
    <row r="1846" spans="33:33" x14ac:dyDescent="0.25">
      <c r="AG1846" s="185"/>
    </row>
    <row r="1847" spans="33:33" x14ac:dyDescent="0.25">
      <c r="AG1847" s="185"/>
    </row>
    <row r="1848" spans="33:33" x14ac:dyDescent="0.25">
      <c r="AG1848" s="185"/>
    </row>
    <row r="1849" spans="33:33" x14ac:dyDescent="0.25">
      <c r="AG1849" s="185"/>
    </row>
    <row r="1850" spans="33:33" x14ac:dyDescent="0.25">
      <c r="AG1850" s="185"/>
    </row>
    <row r="1851" spans="33:33" x14ac:dyDescent="0.25">
      <c r="AG1851" s="185"/>
    </row>
    <row r="1852" spans="33:33" x14ac:dyDescent="0.25">
      <c r="AG1852" s="185"/>
    </row>
    <row r="1853" spans="33:33" x14ac:dyDescent="0.25">
      <c r="AG1853" s="185"/>
    </row>
    <row r="1854" spans="33:33" x14ac:dyDescent="0.25">
      <c r="AG1854" s="185"/>
    </row>
    <row r="1855" spans="33:33" x14ac:dyDescent="0.25">
      <c r="AG1855" s="185"/>
    </row>
    <row r="1856" spans="33:33" x14ac:dyDescent="0.25">
      <c r="AG1856" s="185"/>
    </row>
    <row r="1857" spans="33:33" x14ac:dyDescent="0.25">
      <c r="AG1857" s="185"/>
    </row>
    <row r="1858" spans="33:33" x14ac:dyDescent="0.25">
      <c r="AG1858" s="185"/>
    </row>
    <row r="1859" spans="33:33" x14ac:dyDescent="0.25">
      <c r="AG1859" s="185"/>
    </row>
    <row r="1860" spans="33:33" x14ac:dyDescent="0.25">
      <c r="AG1860" s="185"/>
    </row>
    <row r="1861" spans="33:33" x14ac:dyDescent="0.25">
      <c r="AG1861" s="185"/>
    </row>
    <row r="1862" spans="33:33" x14ac:dyDescent="0.25">
      <c r="AG1862" s="185"/>
    </row>
    <row r="1863" spans="33:33" x14ac:dyDescent="0.25">
      <c r="AG1863" s="185"/>
    </row>
    <row r="1864" spans="33:33" x14ac:dyDescent="0.25">
      <c r="AG1864" s="185"/>
    </row>
    <row r="1865" spans="33:33" x14ac:dyDescent="0.25">
      <c r="AG1865" s="185"/>
    </row>
    <row r="1866" spans="33:33" x14ac:dyDescent="0.25">
      <c r="AG1866" s="185"/>
    </row>
    <row r="1867" spans="33:33" x14ac:dyDescent="0.25">
      <c r="AG1867" s="185"/>
    </row>
    <row r="1868" spans="33:33" x14ac:dyDescent="0.25">
      <c r="AG1868" s="185"/>
    </row>
    <row r="1869" spans="33:33" x14ac:dyDescent="0.25">
      <c r="AG1869" s="185"/>
    </row>
    <row r="1870" spans="33:33" x14ac:dyDescent="0.25">
      <c r="AG1870" s="185"/>
    </row>
    <row r="1871" spans="33:33" x14ac:dyDescent="0.25">
      <c r="AG1871" s="185"/>
    </row>
    <row r="1872" spans="33:33" x14ac:dyDescent="0.25">
      <c r="AG1872" s="185"/>
    </row>
    <row r="1873" spans="33:33" x14ac:dyDescent="0.25">
      <c r="AG1873" s="185"/>
    </row>
    <row r="1874" spans="33:33" x14ac:dyDescent="0.25">
      <c r="AG1874" s="185"/>
    </row>
    <row r="1875" spans="33:33" x14ac:dyDescent="0.25">
      <c r="AG1875" s="185"/>
    </row>
    <row r="1876" spans="33:33" x14ac:dyDescent="0.25">
      <c r="AG1876" s="185"/>
    </row>
    <row r="1877" spans="33:33" x14ac:dyDescent="0.25">
      <c r="AG1877" s="185"/>
    </row>
    <row r="1878" spans="33:33" x14ac:dyDescent="0.25">
      <c r="AG1878" s="185"/>
    </row>
    <row r="1879" spans="33:33" x14ac:dyDescent="0.25">
      <c r="AG1879" s="185"/>
    </row>
    <row r="1880" spans="33:33" x14ac:dyDescent="0.25">
      <c r="AG1880" s="185"/>
    </row>
    <row r="1881" spans="33:33" x14ac:dyDescent="0.25">
      <c r="AG1881" s="185"/>
    </row>
    <row r="1882" spans="33:33" x14ac:dyDescent="0.25">
      <c r="AG1882" s="185"/>
    </row>
    <row r="1883" spans="33:33" x14ac:dyDescent="0.25">
      <c r="AG1883" s="185"/>
    </row>
    <row r="1884" spans="33:33" x14ac:dyDescent="0.25">
      <c r="AG1884" s="185"/>
    </row>
    <row r="1885" spans="33:33" x14ac:dyDescent="0.25">
      <c r="AG1885" s="185"/>
    </row>
    <row r="1886" spans="33:33" x14ac:dyDescent="0.25">
      <c r="AG1886" s="185"/>
    </row>
    <row r="1887" spans="33:33" x14ac:dyDescent="0.25">
      <c r="AG1887" s="185"/>
    </row>
    <row r="1888" spans="33:33" x14ac:dyDescent="0.25">
      <c r="AG1888" s="185"/>
    </row>
    <row r="1889" spans="33:33" x14ac:dyDescent="0.25">
      <c r="AG1889" s="185"/>
    </row>
    <row r="1890" spans="33:33" x14ac:dyDescent="0.25">
      <c r="AG1890" s="185"/>
    </row>
    <row r="1891" spans="33:33" x14ac:dyDescent="0.25">
      <c r="AG1891" s="185"/>
    </row>
    <row r="1892" spans="33:33" x14ac:dyDescent="0.25">
      <c r="AG1892" s="185"/>
    </row>
    <row r="1893" spans="33:33" x14ac:dyDescent="0.25">
      <c r="AG1893" s="185"/>
    </row>
    <row r="1894" spans="33:33" x14ac:dyDescent="0.25">
      <c r="AG1894" s="185"/>
    </row>
    <row r="1895" spans="33:33" x14ac:dyDescent="0.25">
      <c r="AG1895" s="185"/>
    </row>
    <row r="1896" spans="33:33" x14ac:dyDescent="0.25">
      <c r="AG1896" s="185"/>
    </row>
    <row r="1897" spans="33:33" x14ac:dyDescent="0.25">
      <c r="AG1897" s="185"/>
    </row>
    <row r="1898" spans="33:33" x14ac:dyDescent="0.25">
      <c r="AG1898" s="185"/>
    </row>
    <row r="1899" spans="33:33" x14ac:dyDescent="0.25">
      <c r="AG1899" s="185"/>
    </row>
    <row r="1900" spans="33:33" x14ac:dyDescent="0.25">
      <c r="AG1900" s="185"/>
    </row>
    <row r="1901" spans="33:33" x14ac:dyDescent="0.25">
      <c r="AG1901" s="185"/>
    </row>
    <row r="1902" spans="33:33" x14ac:dyDescent="0.25">
      <c r="AG1902" s="185"/>
    </row>
    <row r="1903" spans="33:33" x14ac:dyDescent="0.25">
      <c r="AG1903" s="185"/>
    </row>
    <row r="1904" spans="33:33" x14ac:dyDescent="0.25">
      <c r="AG1904" s="185"/>
    </row>
    <row r="1905" spans="33:33" x14ac:dyDescent="0.25">
      <c r="AG1905" s="185"/>
    </row>
    <row r="1906" spans="33:33" x14ac:dyDescent="0.25">
      <c r="AG1906" s="185"/>
    </row>
    <row r="1907" spans="33:33" x14ac:dyDescent="0.25">
      <c r="AG1907" s="185"/>
    </row>
    <row r="1908" spans="33:33" x14ac:dyDescent="0.25">
      <c r="AG1908" s="185"/>
    </row>
    <row r="1909" spans="33:33" x14ac:dyDescent="0.25">
      <c r="AG1909" s="185"/>
    </row>
    <row r="1910" spans="33:33" x14ac:dyDescent="0.25">
      <c r="AG1910" s="185"/>
    </row>
    <row r="1911" spans="33:33" x14ac:dyDescent="0.25">
      <c r="AG1911" s="185"/>
    </row>
    <row r="1912" spans="33:33" x14ac:dyDescent="0.25">
      <c r="AG1912" s="185"/>
    </row>
    <row r="1913" spans="33:33" x14ac:dyDescent="0.25">
      <c r="AG1913" s="185"/>
    </row>
    <row r="1914" spans="33:33" x14ac:dyDescent="0.25">
      <c r="AG1914" s="185"/>
    </row>
    <row r="1915" spans="33:33" x14ac:dyDescent="0.25">
      <c r="AG1915" s="185"/>
    </row>
    <row r="1916" spans="33:33" x14ac:dyDescent="0.25">
      <c r="AG1916" s="185"/>
    </row>
    <row r="1917" spans="33:33" x14ac:dyDescent="0.25">
      <c r="AG1917" s="185"/>
    </row>
    <row r="1918" spans="33:33" x14ac:dyDescent="0.25">
      <c r="AG1918" s="185"/>
    </row>
    <row r="1919" spans="33:33" x14ac:dyDescent="0.25">
      <c r="AG1919" s="185"/>
    </row>
    <row r="1920" spans="33:33" x14ac:dyDescent="0.25">
      <c r="AG1920" s="185"/>
    </row>
    <row r="1921" spans="33:33" x14ac:dyDescent="0.25">
      <c r="AG1921" s="185"/>
    </row>
    <row r="1922" spans="33:33" x14ac:dyDescent="0.25">
      <c r="AG1922" s="185"/>
    </row>
    <row r="1923" spans="33:33" x14ac:dyDescent="0.25">
      <c r="AG1923" s="185"/>
    </row>
    <row r="1924" spans="33:33" x14ac:dyDescent="0.25">
      <c r="AG1924" s="185"/>
    </row>
    <row r="1925" spans="33:33" x14ac:dyDescent="0.25">
      <c r="AG1925" s="185"/>
    </row>
    <row r="1926" spans="33:33" x14ac:dyDescent="0.25">
      <c r="AG1926" s="185"/>
    </row>
    <row r="1927" spans="33:33" x14ac:dyDescent="0.25">
      <c r="AG1927" s="185"/>
    </row>
    <row r="1928" spans="33:33" x14ac:dyDescent="0.25">
      <c r="AG1928" s="185"/>
    </row>
    <row r="1929" spans="33:33" x14ac:dyDescent="0.25">
      <c r="AG1929" s="185"/>
    </row>
    <row r="1930" spans="33:33" x14ac:dyDescent="0.25">
      <c r="AG1930" s="185"/>
    </row>
    <row r="1931" spans="33:33" x14ac:dyDescent="0.25">
      <c r="AG1931" s="185"/>
    </row>
    <row r="1932" spans="33:33" x14ac:dyDescent="0.25">
      <c r="AG1932" s="185"/>
    </row>
    <row r="1933" spans="33:33" x14ac:dyDescent="0.25">
      <c r="AG1933" s="185"/>
    </row>
    <row r="1934" spans="33:33" x14ac:dyDescent="0.25">
      <c r="AG1934" s="185"/>
    </row>
    <row r="1935" spans="33:33" x14ac:dyDescent="0.25">
      <c r="AG1935" s="185"/>
    </row>
    <row r="1936" spans="33:33" x14ac:dyDescent="0.25">
      <c r="AG1936" s="185"/>
    </row>
    <row r="1937" spans="33:33" x14ac:dyDescent="0.25">
      <c r="AG1937" s="185"/>
    </row>
    <row r="1938" spans="33:33" x14ac:dyDescent="0.25">
      <c r="AG1938" s="185"/>
    </row>
    <row r="1939" spans="33:33" x14ac:dyDescent="0.25">
      <c r="AG1939" s="185"/>
    </row>
    <row r="1940" spans="33:33" x14ac:dyDescent="0.25">
      <c r="AG1940" s="185"/>
    </row>
    <row r="1941" spans="33:33" x14ac:dyDescent="0.25">
      <c r="AG1941" s="185"/>
    </row>
    <row r="1942" spans="33:33" x14ac:dyDescent="0.25">
      <c r="AG1942" s="185"/>
    </row>
    <row r="1943" spans="33:33" x14ac:dyDescent="0.25">
      <c r="AG1943" s="185"/>
    </row>
    <row r="1944" spans="33:33" x14ac:dyDescent="0.25">
      <c r="AG1944" s="185"/>
    </row>
    <row r="1945" spans="33:33" x14ac:dyDescent="0.25">
      <c r="AG1945" s="185"/>
    </row>
    <row r="1946" spans="33:33" x14ac:dyDescent="0.25">
      <c r="AG1946" s="185"/>
    </row>
    <row r="1947" spans="33:33" x14ac:dyDescent="0.25">
      <c r="AG1947" s="185"/>
    </row>
    <row r="1948" spans="33:33" x14ac:dyDescent="0.25">
      <c r="AG1948" s="185"/>
    </row>
    <row r="1949" spans="33:33" x14ac:dyDescent="0.25">
      <c r="AG1949" s="185"/>
    </row>
    <row r="1950" spans="33:33" x14ac:dyDescent="0.25">
      <c r="AG1950" s="185"/>
    </row>
    <row r="1951" spans="33:33" x14ac:dyDescent="0.25">
      <c r="AG1951" s="185"/>
    </row>
    <row r="1952" spans="33:33" x14ac:dyDescent="0.25">
      <c r="AG1952" s="185"/>
    </row>
    <row r="1953" spans="33:33" x14ac:dyDescent="0.25">
      <c r="AG1953" s="185"/>
    </row>
    <row r="1954" spans="33:33" x14ac:dyDescent="0.25">
      <c r="AG1954" s="185"/>
    </row>
    <row r="1955" spans="33:33" x14ac:dyDescent="0.25">
      <c r="AG1955" s="185"/>
    </row>
    <row r="1956" spans="33:33" x14ac:dyDescent="0.25">
      <c r="AG1956" s="185"/>
    </row>
    <row r="1957" spans="33:33" x14ac:dyDescent="0.25">
      <c r="AG1957" s="185"/>
    </row>
    <row r="1958" spans="33:33" x14ac:dyDescent="0.25">
      <c r="AG1958" s="185"/>
    </row>
    <row r="1959" spans="33:33" x14ac:dyDescent="0.25">
      <c r="AG1959" s="185"/>
    </row>
    <row r="1960" spans="33:33" x14ac:dyDescent="0.25">
      <c r="AG1960" s="185"/>
    </row>
    <row r="1961" spans="33:33" x14ac:dyDescent="0.25">
      <c r="AG1961" s="185"/>
    </row>
    <row r="1962" spans="33:33" x14ac:dyDescent="0.25">
      <c r="AG1962" s="185"/>
    </row>
    <row r="1963" spans="33:33" x14ac:dyDescent="0.25">
      <c r="AG1963" s="185"/>
    </row>
    <row r="1964" spans="33:33" x14ac:dyDescent="0.25">
      <c r="AG1964" s="185"/>
    </row>
    <row r="1965" spans="33:33" x14ac:dyDescent="0.25">
      <c r="AG1965" s="185"/>
    </row>
    <row r="1966" spans="33:33" x14ac:dyDescent="0.25">
      <c r="AG1966" s="185"/>
    </row>
    <row r="1967" spans="33:33" x14ac:dyDescent="0.25">
      <c r="AG1967" s="185"/>
    </row>
    <row r="1968" spans="33:33" x14ac:dyDescent="0.25">
      <c r="AG1968" s="185"/>
    </row>
    <row r="1969" spans="33:33" x14ac:dyDescent="0.25">
      <c r="AG1969" s="185"/>
    </row>
    <row r="1970" spans="33:33" x14ac:dyDescent="0.25">
      <c r="AG1970" s="185"/>
    </row>
    <row r="1971" spans="33:33" x14ac:dyDescent="0.25">
      <c r="AG1971" s="185"/>
    </row>
    <row r="1972" spans="33:33" x14ac:dyDescent="0.25">
      <c r="AG1972" s="185"/>
    </row>
    <row r="1973" spans="33:33" x14ac:dyDescent="0.25">
      <c r="AG1973" s="185"/>
    </row>
    <row r="1974" spans="33:33" x14ac:dyDescent="0.25">
      <c r="AG1974" s="185"/>
    </row>
    <row r="1975" spans="33:33" x14ac:dyDescent="0.25">
      <c r="AG1975" s="185"/>
    </row>
    <row r="1976" spans="33:33" x14ac:dyDescent="0.25">
      <c r="AG1976" s="185"/>
    </row>
    <row r="1977" spans="33:33" x14ac:dyDescent="0.25">
      <c r="AG1977" s="185"/>
    </row>
    <row r="1978" spans="33:33" x14ac:dyDescent="0.25">
      <c r="AG1978" s="185"/>
    </row>
    <row r="1979" spans="33:33" x14ac:dyDescent="0.25">
      <c r="AG1979" s="185"/>
    </row>
    <row r="1980" spans="33:33" x14ac:dyDescent="0.25">
      <c r="AG1980" s="185"/>
    </row>
    <row r="1981" spans="33:33" x14ac:dyDescent="0.25">
      <c r="AG1981" s="185"/>
    </row>
    <row r="1982" spans="33:33" x14ac:dyDescent="0.25">
      <c r="AG1982" s="185"/>
    </row>
    <row r="1983" spans="33:33" x14ac:dyDescent="0.25">
      <c r="AG1983" s="185"/>
    </row>
    <row r="1984" spans="33:33" x14ac:dyDescent="0.25">
      <c r="AG1984" s="185"/>
    </row>
    <row r="1985" spans="33:33" x14ac:dyDescent="0.25">
      <c r="AG1985" s="185"/>
    </row>
    <row r="1986" spans="33:33" x14ac:dyDescent="0.25">
      <c r="AG1986" s="185"/>
    </row>
    <row r="1987" spans="33:33" x14ac:dyDescent="0.25">
      <c r="AG1987" s="185"/>
    </row>
    <row r="1988" spans="33:33" x14ac:dyDescent="0.25">
      <c r="AG1988" s="185"/>
    </row>
    <row r="1989" spans="33:33" x14ac:dyDescent="0.25">
      <c r="AG1989" s="185"/>
    </row>
    <row r="1990" spans="33:33" x14ac:dyDescent="0.25">
      <c r="AG1990" s="185"/>
    </row>
    <row r="1991" spans="33:33" x14ac:dyDescent="0.25">
      <c r="AG1991" s="185"/>
    </row>
    <row r="1992" spans="33:33" x14ac:dyDescent="0.25">
      <c r="AG1992" s="185"/>
    </row>
    <row r="1993" spans="33:33" x14ac:dyDescent="0.25">
      <c r="AG1993" s="185"/>
    </row>
    <row r="1994" spans="33:33" x14ac:dyDescent="0.25">
      <c r="AG1994" s="185"/>
    </row>
    <row r="1995" spans="33:33" x14ac:dyDescent="0.25">
      <c r="AG1995" s="185"/>
    </row>
    <row r="1996" spans="33:33" x14ac:dyDescent="0.25">
      <c r="AG1996" s="185"/>
    </row>
    <row r="1997" spans="33:33" x14ac:dyDescent="0.25">
      <c r="AG1997" s="185"/>
    </row>
    <row r="1998" spans="33:33" x14ac:dyDescent="0.25">
      <c r="AG1998" s="185"/>
    </row>
    <row r="1999" spans="33:33" x14ac:dyDescent="0.25">
      <c r="AG1999" s="185"/>
    </row>
    <row r="2000" spans="33:33" x14ac:dyDescent="0.25">
      <c r="AG2000" s="185"/>
    </row>
    <row r="2001" spans="33:33" x14ac:dyDescent="0.25">
      <c r="AG2001" s="185"/>
    </row>
    <row r="2002" spans="33:33" x14ac:dyDescent="0.25">
      <c r="AG2002" s="185"/>
    </row>
    <row r="2003" spans="33:33" x14ac:dyDescent="0.25">
      <c r="AG2003" s="185"/>
    </row>
    <row r="2004" spans="33:33" x14ac:dyDescent="0.25">
      <c r="AG2004" s="185"/>
    </row>
    <row r="2005" spans="33:33" x14ac:dyDescent="0.25">
      <c r="AG2005" s="185"/>
    </row>
    <row r="2006" spans="33:33" x14ac:dyDescent="0.25">
      <c r="AG2006" s="185"/>
    </row>
    <row r="2007" spans="33:33" x14ac:dyDescent="0.25">
      <c r="AG2007" s="185"/>
    </row>
    <row r="2008" spans="33:33" x14ac:dyDescent="0.25">
      <c r="AG2008" s="185"/>
    </row>
    <row r="2009" spans="33:33" x14ac:dyDescent="0.25">
      <c r="AG2009" s="185"/>
    </row>
    <row r="2010" spans="33:33" x14ac:dyDescent="0.25">
      <c r="AG2010" s="185"/>
    </row>
    <row r="2011" spans="33:33" x14ac:dyDescent="0.25">
      <c r="AG2011" s="185"/>
    </row>
    <row r="2012" spans="33:33" x14ac:dyDescent="0.25">
      <c r="AG2012" s="185"/>
    </row>
    <row r="2013" spans="33:33" x14ac:dyDescent="0.25">
      <c r="AG2013" s="185"/>
    </row>
    <row r="2014" spans="33:33" x14ac:dyDescent="0.25">
      <c r="AG2014" s="185"/>
    </row>
    <row r="2015" spans="33:33" x14ac:dyDescent="0.25">
      <c r="AG2015" s="185"/>
    </row>
    <row r="2016" spans="33:33" x14ac:dyDescent="0.25">
      <c r="AG2016" s="185"/>
    </row>
    <row r="2017" spans="33:33" x14ac:dyDescent="0.25">
      <c r="AG2017" s="185"/>
    </row>
    <row r="2018" spans="33:33" x14ac:dyDescent="0.25">
      <c r="AG2018" s="185"/>
    </row>
    <row r="2019" spans="33:33" x14ac:dyDescent="0.25">
      <c r="AG2019" s="185"/>
    </row>
    <row r="2020" spans="33:33" x14ac:dyDescent="0.25">
      <c r="AG2020" s="185"/>
    </row>
    <row r="2021" spans="33:33" x14ac:dyDescent="0.25">
      <c r="AG2021" s="185"/>
    </row>
    <row r="2022" spans="33:33" x14ac:dyDescent="0.25">
      <c r="AG2022" s="185"/>
    </row>
    <row r="2023" spans="33:33" x14ac:dyDescent="0.25">
      <c r="AG2023" s="185"/>
    </row>
    <row r="2024" spans="33:33" x14ac:dyDescent="0.25">
      <c r="AG2024" s="185"/>
    </row>
    <row r="2025" spans="33:33" x14ac:dyDescent="0.25">
      <c r="AG2025" s="185"/>
    </row>
    <row r="2026" spans="33:33" x14ac:dyDescent="0.25">
      <c r="AG2026" s="185"/>
    </row>
    <row r="2027" spans="33:33" x14ac:dyDescent="0.25">
      <c r="AG2027" s="185"/>
    </row>
    <row r="2028" spans="33:33" x14ac:dyDescent="0.25">
      <c r="AG2028" s="185"/>
    </row>
    <row r="2029" spans="33:33" x14ac:dyDescent="0.25">
      <c r="AG2029" s="185"/>
    </row>
    <row r="2030" spans="33:33" x14ac:dyDescent="0.25">
      <c r="AG2030" s="185"/>
    </row>
    <row r="2031" spans="33:33" x14ac:dyDescent="0.25">
      <c r="AG2031" s="185"/>
    </row>
    <row r="2032" spans="33:33" x14ac:dyDescent="0.25">
      <c r="AG2032" s="185"/>
    </row>
    <row r="2033" spans="33:33" x14ac:dyDescent="0.25">
      <c r="AG2033" s="185"/>
    </row>
    <row r="2034" spans="33:33" x14ac:dyDescent="0.25">
      <c r="AG2034" s="185"/>
    </row>
    <row r="2035" spans="33:33" x14ac:dyDescent="0.25">
      <c r="AG2035" s="185"/>
    </row>
    <row r="2036" spans="33:33" x14ac:dyDescent="0.25">
      <c r="AG2036" s="185"/>
    </row>
    <row r="2037" spans="33:33" x14ac:dyDescent="0.25">
      <c r="AG2037" s="185"/>
    </row>
    <row r="2038" spans="33:33" x14ac:dyDescent="0.25">
      <c r="AG2038" s="185"/>
    </row>
    <row r="2039" spans="33:33" x14ac:dyDescent="0.25">
      <c r="AG2039" s="185"/>
    </row>
    <row r="2040" spans="33:33" x14ac:dyDescent="0.25">
      <c r="AG2040" s="185"/>
    </row>
    <row r="2041" spans="33:33" x14ac:dyDescent="0.25">
      <c r="AG2041" s="185"/>
    </row>
    <row r="2042" spans="33:33" x14ac:dyDescent="0.25">
      <c r="AG2042" s="185"/>
    </row>
    <row r="2043" spans="33:33" x14ac:dyDescent="0.25">
      <c r="AG2043" s="185"/>
    </row>
    <row r="2044" spans="33:33" x14ac:dyDescent="0.25">
      <c r="AG2044" s="185"/>
    </row>
    <row r="2045" spans="33:33" x14ac:dyDescent="0.25">
      <c r="AG2045" s="185"/>
    </row>
    <row r="2046" spans="33:33" x14ac:dyDescent="0.25">
      <c r="AG2046" s="185"/>
    </row>
    <row r="2047" spans="33:33" x14ac:dyDescent="0.25">
      <c r="AG2047" s="185"/>
    </row>
    <row r="2048" spans="33:33" x14ac:dyDescent="0.25">
      <c r="AG2048" s="185"/>
    </row>
    <row r="2049" spans="33:33" x14ac:dyDescent="0.25">
      <c r="AG2049" s="185"/>
    </row>
    <row r="2050" spans="33:33" x14ac:dyDescent="0.25">
      <c r="AG2050" s="185"/>
    </row>
    <row r="2051" spans="33:33" x14ac:dyDescent="0.25">
      <c r="AG2051" s="185"/>
    </row>
    <row r="2052" spans="33:33" x14ac:dyDescent="0.25">
      <c r="AG2052" s="185"/>
    </row>
    <row r="2053" spans="33:33" x14ac:dyDescent="0.25">
      <c r="AG2053" s="185"/>
    </row>
    <row r="2054" spans="33:33" x14ac:dyDescent="0.25">
      <c r="AG2054" s="185"/>
    </row>
    <row r="2055" spans="33:33" x14ac:dyDescent="0.25">
      <c r="AG2055" s="185"/>
    </row>
    <row r="2056" spans="33:33" x14ac:dyDescent="0.25">
      <c r="AG2056" s="185"/>
    </row>
    <row r="2057" spans="33:33" x14ac:dyDescent="0.25">
      <c r="AG2057" s="185"/>
    </row>
    <row r="2058" spans="33:33" x14ac:dyDescent="0.25">
      <c r="AG2058" s="185"/>
    </row>
    <row r="2059" spans="33:33" x14ac:dyDescent="0.25">
      <c r="AG2059" s="185"/>
    </row>
    <row r="2060" spans="33:33" x14ac:dyDescent="0.25">
      <c r="AG2060" s="185"/>
    </row>
    <row r="2061" spans="33:33" x14ac:dyDescent="0.25">
      <c r="AG2061" s="185"/>
    </row>
    <row r="2062" spans="33:33" x14ac:dyDescent="0.25">
      <c r="AG2062" s="185"/>
    </row>
    <row r="2063" spans="33:33" x14ac:dyDescent="0.25">
      <c r="AG2063" s="185"/>
    </row>
    <row r="2064" spans="33:33" x14ac:dyDescent="0.25">
      <c r="AG2064" s="185"/>
    </row>
    <row r="2065" spans="33:33" x14ac:dyDescent="0.25">
      <c r="AG2065" s="185"/>
    </row>
    <row r="2066" spans="33:33" x14ac:dyDescent="0.25">
      <c r="AG2066" s="185"/>
    </row>
    <row r="2067" spans="33:33" x14ac:dyDescent="0.25">
      <c r="AG2067" s="185"/>
    </row>
    <row r="2068" spans="33:33" x14ac:dyDescent="0.25">
      <c r="AG2068" s="185"/>
    </row>
    <row r="2069" spans="33:33" x14ac:dyDescent="0.25">
      <c r="AG2069" s="185"/>
    </row>
    <row r="2070" spans="33:33" x14ac:dyDescent="0.25">
      <c r="AG2070" s="185"/>
    </row>
    <row r="2071" spans="33:33" x14ac:dyDescent="0.25">
      <c r="AG2071" s="185"/>
    </row>
    <row r="2072" spans="33:33" x14ac:dyDescent="0.25">
      <c r="AG2072" s="185"/>
    </row>
    <row r="2073" spans="33:33" x14ac:dyDescent="0.25">
      <c r="AG2073" s="185"/>
    </row>
    <row r="2074" spans="33:33" x14ac:dyDescent="0.25">
      <c r="AG2074" s="185"/>
    </row>
    <row r="2075" spans="33:33" x14ac:dyDescent="0.25">
      <c r="AG2075" s="185"/>
    </row>
    <row r="2076" spans="33:33" x14ac:dyDescent="0.25">
      <c r="AG2076" s="185"/>
    </row>
    <row r="2077" spans="33:33" x14ac:dyDescent="0.25">
      <c r="AG2077" s="185"/>
    </row>
    <row r="2078" spans="33:33" x14ac:dyDescent="0.25">
      <c r="AG2078" s="185"/>
    </row>
    <row r="2079" spans="33:33" x14ac:dyDescent="0.25">
      <c r="AG2079" s="185"/>
    </row>
    <row r="2080" spans="33:33" x14ac:dyDescent="0.25">
      <c r="AG2080" s="185"/>
    </row>
    <row r="2081" spans="33:33" x14ac:dyDescent="0.25">
      <c r="AG2081" s="185"/>
    </row>
    <row r="2082" spans="33:33" x14ac:dyDescent="0.25">
      <c r="AG2082" s="185"/>
    </row>
    <row r="2083" spans="33:33" x14ac:dyDescent="0.25">
      <c r="AG2083" s="185"/>
    </row>
    <row r="2084" spans="33:33" x14ac:dyDescent="0.25">
      <c r="AG2084" s="185"/>
    </row>
    <row r="2085" spans="33:33" x14ac:dyDescent="0.25">
      <c r="AG2085" s="185"/>
    </row>
    <row r="2086" spans="33:33" x14ac:dyDescent="0.25">
      <c r="AG2086" s="185"/>
    </row>
    <row r="2087" spans="33:33" x14ac:dyDescent="0.25">
      <c r="AG2087" s="185"/>
    </row>
    <row r="2088" spans="33:33" x14ac:dyDescent="0.25">
      <c r="AG2088" s="185"/>
    </row>
    <row r="2089" spans="33:33" x14ac:dyDescent="0.25">
      <c r="AG2089" s="185"/>
    </row>
    <row r="2090" spans="33:33" x14ac:dyDescent="0.25">
      <c r="AG2090" s="185"/>
    </row>
    <row r="2091" spans="33:33" x14ac:dyDescent="0.25">
      <c r="AG2091" s="185"/>
    </row>
    <row r="2092" spans="33:33" x14ac:dyDescent="0.25">
      <c r="AG2092" s="185"/>
    </row>
    <row r="2093" spans="33:33" x14ac:dyDescent="0.25">
      <c r="AG2093" s="185"/>
    </row>
    <row r="2094" spans="33:33" x14ac:dyDescent="0.25">
      <c r="AG2094" s="185"/>
    </row>
    <row r="2095" spans="33:33" x14ac:dyDescent="0.25">
      <c r="AG2095" s="185"/>
    </row>
    <row r="2096" spans="33:33" x14ac:dyDescent="0.25">
      <c r="AG2096" s="185"/>
    </row>
    <row r="2097" spans="33:33" x14ac:dyDescent="0.25">
      <c r="AG2097" s="185"/>
    </row>
    <row r="2098" spans="33:33" x14ac:dyDescent="0.25">
      <c r="AG2098" s="185"/>
    </row>
    <row r="2099" spans="33:33" x14ac:dyDescent="0.25">
      <c r="AG2099" s="185"/>
    </row>
    <row r="2100" spans="33:33" x14ac:dyDescent="0.25">
      <c r="AG2100" s="185"/>
    </row>
    <row r="2101" spans="33:33" x14ac:dyDescent="0.25">
      <c r="AG2101" s="185"/>
    </row>
    <row r="2102" spans="33:33" x14ac:dyDescent="0.25">
      <c r="AG2102" s="185"/>
    </row>
    <row r="2103" spans="33:33" x14ac:dyDescent="0.25">
      <c r="AG2103" s="185"/>
    </row>
    <row r="2104" spans="33:33" x14ac:dyDescent="0.25">
      <c r="AG2104" s="185"/>
    </row>
    <row r="2105" spans="33:33" x14ac:dyDescent="0.25">
      <c r="AG2105" s="185"/>
    </row>
    <row r="2106" spans="33:33" x14ac:dyDescent="0.25">
      <c r="AG2106" s="185"/>
    </row>
    <row r="2107" spans="33:33" x14ac:dyDescent="0.25">
      <c r="AG2107" s="185"/>
    </row>
    <row r="2108" spans="33:33" x14ac:dyDescent="0.25">
      <c r="AG2108" s="185"/>
    </row>
    <row r="2109" spans="33:33" x14ac:dyDescent="0.25">
      <c r="AG2109" s="185"/>
    </row>
    <row r="2110" spans="33:33" x14ac:dyDescent="0.25">
      <c r="AG2110" s="185"/>
    </row>
    <row r="2111" spans="33:33" x14ac:dyDescent="0.25">
      <c r="AG2111" s="185"/>
    </row>
    <row r="2112" spans="33:33" x14ac:dyDescent="0.25">
      <c r="AG2112" s="185"/>
    </row>
    <row r="2113" spans="33:33" x14ac:dyDescent="0.25">
      <c r="AG2113" s="185"/>
    </row>
    <row r="2114" spans="33:33" x14ac:dyDescent="0.25">
      <c r="AG2114" s="185"/>
    </row>
    <row r="2115" spans="33:33" x14ac:dyDescent="0.25">
      <c r="AG2115" s="185"/>
    </row>
    <row r="2116" spans="33:33" x14ac:dyDescent="0.25">
      <c r="AG2116" s="185"/>
    </row>
    <row r="2117" spans="33:33" x14ac:dyDescent="0.25">
      <c r="AG2117" s="185"/>
    </row>
    <row r="2118" spans="33:33" x14ac:dyDescent="0.25">
      <c r="AG2118" s="185"/>
    </row>
    <row r="2119" spans="33:33" x14ac:dyDescent="0.25">
      <c r="AG2119" s="185"/>
    </row>
    <row r="2120" spans="33:33" x14ac:dyDescent="0.25">
      <c r="AG2120" s="185"/>
    </row>
    <row r="2121" spans="33:33" x14ac:dyDescent="0.25">
      <c r="AG2121" s="185"/>
    </row>
    <row r="2122" spans="33:33" x14ac:dyDescent="0.25">
      <c r="AG2122" s="185"/>
    </row>
    <row r="2123" spans="33:33" x14ac:dyDescent="0.25">
      <c r="AG2123" s="185"/>
    </row>
    <row r="2124" spans="33:33" x14ac:dyDescent="0.25">
      <c r="AG2124" s="185"/>
    </row>
    <row r="2125" spans="33:33" x14ac:dyDescent="0.25">
      <c r="AG2125" s="185"/>
    </row>
    <row r="2126" spans="33:33" x14ac:dyDescent="0.25">
      <c r="AG2126" s="185"/>
    </row>
    <row r="2127" spans="33:33" x14ac:dyDescent="0.25">
      <c r="AG2127" s="185"/>
    </row>
    <row r="2128" spans="33:33" x14ac:dyDescent="0.25">
      <c r="AG2128" s="185"/>
    </row>
    <row r="2129" spans="33:33" x14ac:dyDescent="0.25">
      <c r="AG2129" s="185"/>
    </row>
    <row r="2130" spans="33:33" x14ac:dyDescent="0.25">
      <c r="AG2130" s="185"/>
    </row>
    <row r="2131" spans="33:33" x14ac:dyDescent="0.25">
      <c r="AG2131" s="185"/>
    </row>
    <row r="2132" spans="33:33" x14ac:dyDescent="0.25">
      <c r="AG2132" s="185"/>
    </row>
    <row r="2133" spans="33:33" x14ac:dyDescent="0.25">
      <c r="AG2133" s="185"/>
    </row>
    <row r="2134" spans="33:33" x14ac:dyDescent="0.25">
      <c r="AG2134" s="185"/>
    </row>
    <row r="2135" spans="33:33" x14ac:dyDescent="0.25">
      <c r="AG2135" s="185"/>
    </row>
    <row r="2136" spans="33:33" x14ac:dyDescent="0.25">
      <c r="AG2136" s="185"/>
    </row>
    <row r="2137" spans="33:33" x14ac:dyDescent="0.25">
      <c r="AG2137" s="185"/>
    </row>
    <row r="2138" spans="33:33" x14ac:dyDescent="0.25">
      <c r="AG2138" s="185"/>
    </row>
    <row r="2139" spans="33:33" x14ac:dyDescent="0.25">
      <c r="AG2139" s="185"/>
    </row>
    <row r="2140" spans="33:33" x14ac:dyDescent="0.25">
      <c r="AG2140" s="185"/>
    </row>
    <row r="2141" spans="33:33" x14ac:dyDescent="0.25">
      <c r="AG2141" s="185"/>
    </row>
    <row r="2142" spans="33:33" x14ac:dyDescent="0.25">
      <c r="AG2142" s="185"/>
    </row>
    <row r="2143" spans="33:33" x14ac:dyDescent="0.25">
      <c r="AG2143" s="185"/>
    </row>
    <row r="2144" spans="33:33" x14ac:dyDescent="0.25">
      <c r="AG2144" s="185"/>
    </row>
    <row r="2145" spans="33:33" x14ac:dyDescent="0.25">
      <c r="AG2145" s="185"/>
    </row>
    <row r="2146" spans="33:33" x14ac:dyDescent="0.25">
      <c r="AG2146" s="185"/>
    </row>
    <row r="2147" spans="33:33" x14ac:dyDescent="0.25">
      <c r="AG2147" s="185"/>
    </row>
    <row r="2148" spans="33:33" x14ac:dyDescent="0.25">
      <c r="AG2148" s="185"/>
    </row>
    <row r="2149" spans="33:33" x14ac:dyDescent="0.25">
      <c r="AG2149" s="185"/>
    </row>
    <row r="2150" spans="33:33" x14ac:dyDescent="0.25">
      <c r="AG2150" s="185"/>
    </row>
    <row r="2151" spans="33:33" x14ac:dyDescent="0.25">
      <c r="AG2151" s="185"/>
    </row>
    <row r="2152" spans="33:33" x14ac:dyDescent="0.25">
      <c r="AG2152" s="185"/>
    </row>
    <row r="2153" spans="33:33" x14ac:dyDescent="0.25">
      <c r="AG2153" s="185"/>
    </row>
    <row r="2154" spans="33:33" x14ac:dyDescent="0.25">
      <c r="AG2154" s="185"/>
    </row>
    <row r="2155" spans="33:33" x14ac:dyDescent="0.25">
      <c r="AG2155" s="185"/>
    </row>
    <row r="2156" spans="33:33" x14ac:dyDescent="0.25">
      <c r="AG2156" s="185"/>
    </row>
    <row r="2157" spans="33:33" x14ac:dyDescent="0.25">
      <c r="AG2157" s="185"/>
    </row>
    <row r="2158" spans="33:33" x14ac:dyDescent="0.25">
      <c r="AG2158" s="185"/>
    </row>
    <row r="2159" spans="33:33" x14ac:dyDescent="0.25">
      <c r="AG2159" s="185"/>
    </row>
    <row r="2160" spans="33:33" x14ac:dyDescent="0.25">
      <c r="AG2160" s="185"/>
    </row>
    <row r="2161" spans="33:33" x14ac:dyDescent="0.25">
      <c r="AG2161" s="185"/>
    </row>
    <row r="2162" spans="33:33" x14ac:dyDescent="0.25">
      <c r="AG2162" s="185"/>
    </row>
    <row r="2163" spans="33:33" x14ac:dyDescent="0.25">
      <c r="AG2163" s="185"/>
    </row>
    <row r="2164" spans="33:33" x14ac:dyDescent="0.25">
      <c r="AG2164" s="185"/>
    </row>
    <row r="2165" spans="33:33" x14ac:dyDescent="0.25">
      <c r="AG2165" s="185"/>
    </row>
    <row r="2166" spans="33:33" x14ac:dyDescent="0.25">
      <c r="AG2166" s="185"/>
    </row>
    <row r="2167" spans="33:33" x14ac:dyDescent="0.25">
      <c r="AG2167" s="185"/>
    </row>
    <row r="2168" spans="33:33" x14ac:dyDescent="0.25">
      <c r="AG2168" s="185"/>
    </row>
    <row r="2169" spans="33:33" x14ac:dyDescent="0.25">
      <c r="AG2169" s="185"/>
    </row>
    <row r="2170" spans="33:33" x14ac:dyDescent="0.25">
      <c r="AG2170" s="185"/>
    </row>
    <row r="2171" spans="33:33" x14ac:dyDescent="0.25">
      <c r="AG2171" s="185"/>
    </row>
    <row r="2172" spans="33:33" x14ac:dyDescent="0.25">
      <c r="AG2172" s="185"/>
    </row>
    <row r="2173" spans="33:33" x14ac:dyDescent="0.25">
      <c r="AG2173" s="185"/>
    </row>
    <row r="2174" spans="33:33" x14ac:dyDescent="0.25">
      <c r="AG2174" s="185"/>
    </row>
    <row r="2175" spans="33:33" x14ac:dyDescent="0.25">
      <c r="AG2175" s="185"/>
    </row>
    <row r="2176" spans="33:33" x14ac:dyDescent="0.25">
      <c r="AG2176" s="185"/>
    </row>
    <row r="2177" spans="33:33" x14ac:dyDescent="0.25">
      <c r="AG2177" s="185"/>
    </row>
    <row r="2178" spans="33:33" x14ac:dyDescent="0.25">
      <c r="AG2178" s="185"/>
    </row>
    <row r="2179" spans="33:33" x14ac:dyDescent="0.25">
      <c r="AG2179" s="185"/>
    </row>
    <row r="2180" spans="33:33" x14ac:dyDescent="0.25">
      <c r="AG2180" s="185"/>
    </row>
    <row r="2181" spans="33:33" x14ac:dyDescent="0.25">
      <c r="AG2181" s="185"/>
    </row>
    <row r="2182" spans="33:33" x14ac:dyDescent="0.25">
      <c r="AG2182" s="185"/>
    </row>
    <row r="2183" spans="33:33" x14ac:dyDescent="0.25">
      <c r="AG2183" s="185"/>
    </row>
    <row r="2184" spans="33:33" x14ac:dyDescent="0.25">
      <c r="AG2184" s="185"/>
    </row>
    <row r="2185" spans="33:33" x14ac:dyDescent="0.25">
      <c r="AG2185" s="185"/>
    </row>
    <row r="2186" spans="33:33" x14ac:dyDescent="0.25">
      <c r="AG2186" s="185"/>
    </row>
    <row r="2187" spans="33:33" x14ac:dyDescent="0.25">
      <c r="AG2187" s="185"/>
    </row>
    <row r="2188" spans="33:33" x14ac:dyDescent="0.25">
      <c r="AG2188" s="185"/>
    </row>
    <row r="2189" spans="33:33" x14ac:dyDescent="0.25">
      <c r="AG2189" s="185"/>
    </row>
    <row r="2190" spans="33:33" x14ac:dyDescent="0.25">
      <c r="AG2190" s="185"/>
    </row>
    <row r="2191" spans="33:33" x14ac:dyDescent="0.25">
      <c r="AG2191" s="185"/>
    </row>
    <row r="2192" spans="33:33" x14ac:dyDescent="0.25">
      <c r="AG2192" s="185"/>
    </row>
    <row r="2193" spans="33:33" x14ac:dyDescent="0.25">
      <c r="AG2193" s="185"/>
    </row>
    <row r="2194" spans="33:33" x14ac:dyDescent="0.25">
      <c r="AG2194" s="185"/>
    </row>
    <row r="2195" spans="33:33" x14ac:dyDescent="0.25">
      <c r="AG2195" s="185"/>
    </row>
    <row r="2196" spans="33:33" x14ac:dyDescent="0.25">
      <c r="AG2196" s="185"/>
    </row>
    <row r="2197" spans="33:33" x14ac:dyDescent="0.25">
      <c r="AG2197" s="185"/>
    </row>
    <row r="2198" spans="33:33" x14ac:dyDescent="0.25">
      <c r="AG2198" s="185"/>
    </row>
    <row r="2199" spans="33:33" x14ac:dyDescent="0.25">
      <c r="AG2199" s="185"/>
    </row>
    <row r="2200" spans="33:33" x14ac:dyDescent="0.25">
      <c r="AG2200" s="185"/>
    </row>
    <row r="2201" spans="33:33" x14ac:dyDescent="0.25">
      <c r="AG2201" s="185"/>
    </row>
    <row r="2202" spans="33:33" x14ac:dyDescent="0.25">
      <c r="AG2202" s="185"/>
    </row>
    <row r="2203" spans="33:33" x14ac:dyDescent="0.25">
      <c r="AG2203" s="185"/>
    </row>
    <row r="2204" spans="33:33" x14ac:dyDescent="0.25">
      <c r="AG2204" s="185"/>
    </row>
    <row r="2205" spans="33:33" x14ac:dyDescent="0.25">
      <c r="AG2205" s="185"/>
    </row>
    <row r="2206" spans="33:33" x14ac:dyDescent="0.25">
      <c r="AG2206" s="185"/>
    </row>
    <row r="2207" spans="33:33" x14ac:dyDescent="0.25">
      <c r="AG2207" s="185"/>
    </row>
    <row r="2208" spans="33:33" x14ac:dyDescent="0.25">
      <c r="AG2208" s="185"/>
    </row>
    <row r="2209" spans="33:33" x14ac:dyDescent="0.25">
      <c r="AG2209" s="185"/>
    </row>
    <row r="2210" spans="33:33" x14ac:dyDescent="0.25">
      <c r="AG2210" s="185"/>
    </row>
    <row r="2211" spans="33:33" x14ac:dyDescent="0.25">
      <c r="AG2211" s="185"/>
    </row>
    <row r="2212" spans="33:33" x14ac:dyDescent="0.25">
      <c r="AG2212" s="185"/>
    </row>
    <row r="2213" spans="33:33" x14ac:dyDescent="0.25">
      <c r="AG2213" s="185"/>
    </row>
    <row r="2214" spans="33:33" x14ac:dyDescent="0.25">
      <c r="AG2214" s="185"/>
    </row>
    <row r="2215" spans="33:33" x14ac:dyDescent="0.25">
      <c r="AG2215" s="185"/>
    </row>
    <row r="2216" spans="33:33" x14ac:dyDescent="0.25">
      <c r="AG2216" s="185"/>
    </row>
    <row r="2217" spans="33:33" x14ac:dyDescent="0.25">
      <c r="AG2217" s="185"/>
    </row>
    <row r="2218" spans="33:33" x14ac:dyDescent="0.25">
      <c r="AG2218" s="185"/>
    </row>
    <row r="2219" spans="33:33" x14ac:dyDescent="0.25">
      <c r="AG2219" s="185"/>
    </row>
    <row r="2220" spans="33:33" x14ac:dyDescent="0.25">
      <c r="AG2220" s="185"/>
    </row>
    <row r="2221" spans="33:33" x14ac:dyDescent="0.25">
      <c r="AG2221" s="185"/>
    </row>
    <row r="2222" spans="33:33" x14ac:dyDescent="0.25">
      <c r="AG2222" s="185"/>
    </row>
    <row r="2223" spans="33:33" x14ac:dyDescent="0.25">
      <c r="AG2223" s="185"/>
    </row>
    <row r="2224" spans="33:33" x14ac:dyDescent="0.25">
      <c r="AG2224" s="185"/>
    </row>
    <row r="2225" spans="33:33" x14ac:dyDescent="0.25">
      <c r="AG2225" s="185"/>
    </row>
    <row r="2226" spans="33:33" x14ac:dyDescent="0.25">
      <c r="AG2226" s="185"/>
    </row>
    <row r="2227" spans="33:33" x14ac:dyDescent="0.25">
      <c r="AG2227" s="185"/>
    </row>
    <row r="2228" spans="33:33" x14ac:dyDescent="0.25">
      <c r="AG2228" s="185"/>
    </row>
    <row r="2229" spans="33:33" x14ac:dyDescent="0.25">
      <c r="AG2229" s="185"/>
    </row>
    <row r="2230" spans="33:33" x14ac:dyDescent="0.25">
      <c r="AG2230" s="185"/>
    </row>
    <row r="2231" spans="33:33" x14ac:dyDescent="0.25">
      <c r="AG2231" s="185"/>
    </row>
    <row r="2232" spans="33:33" x14ac:dyDescent="0.25">
      <c r="AG2232" s="185"/>
    </row>
    <row r="2233" spans="33:33" x14ac:dyDescent="0.25">
      <c r="AG2233" s="185"/>
    </row>
    <row r="2234" spans="33:33" x14ac:dyDescent="0.25">
      <c r="AG2234" s="185"/>
    </row>
    <row r="2235" spans="33:33" x14ac:dyDescent="0.25">
      <c r="AG2235" s="185"/>
    </row>
    <row r="2236" spans="33:33" x14ac:dyDescent="0.25">
      <c r="AG2236" s="185"/>
    </row>
    <row r="2237" spans="33:33" x14ac:dyDescent="0.25">
      <c r="AG2237" s="185"/>
    </row>
    <row r="2238" spans="33:33" x14ac:dyDescent="0.25">
      <c r="AG2238" s="185"/>
    </row>
    <row r="2239" spans="33:33" x14ac:dyDescent="0.25">
      <c r="AG2239" s="185"/>
    </row>
    <row r="2240" spans="33:33" x14ac:dyDescent="0.25">
      <c r="AG2240" s="185"/>
    </row>
    <row r="2241" spans="33:33" x14ac:dyDescent="0.25">
      <c r="AG2241" s="185"/>
    </row>
    <row r="2242" spans="33:33" x14ac:dyDescent="0.25">
      <c r="AG2242" s="185"/>
    </row>
    <row r="2243" spans="33:33" x14ac:dyDescent="0.25">
      <c r="AG2243" s="185"/>
    </row>
    <row r="2244" spans="33:33" x14ac:dyDescent="0.25">
      <c r="AG2244" s="185"/>
    </row>
    <row r="2245" spans="33:33" x14ac:dyDescent="0.25">
      <c r="AG2245" s="185"/>
    </row>
    <row r="2246" spans="33:33" x14ac:dyDescent="0.25">
      <c r="AG2246" s="185"/>
    </row>
    <row r="2247" spans="33:33" x14ac:dyDescent="0.25">
      <c r="AG2247" s="185"/>
    </row>
    <row r="2248" spans="33:33" x14ac:dyDescent="0.25">
      <c r="AG2248" s="185"/>
    </row>
    <row r="2249" spans="33:33" x14ac:dyDescent="0.25">
      <c r="AG2249" s="185"/>
    </row>
    <row r="2250" spans="33:33" x14ac:dyDescent="0.25">
      <c r="AG2250" s="185"/>
    </row>
    <row r="2251" spans="33:33" x14ac:dyDescent="0.25">
      <c r="AG2251" s="185"/>
    </row>
    <row r="2252" spans="33:33" x14ac:dyDescent="0.25">
      <c r="AG2252" s="185"/>
    </row>
    <row r="2253" spans="33:33" x14ac:dyDescent="0.25">
      <c r="AG2253" s="185"/>
    </row>
    <row r="2254" spans="33:33" x14ac:dyDescent="0.25">
      <c r="AG2254" s="185"/>
    </row>
    <row r="2255" spans="33:33" x14ac:dyDescent="0.25">
      <c r="AG2255" s="185"/>
    </row>
    <row r="2256" spans="33:33" x14ac:dyDescent="0.25">
      <c r="AG2256" s="185"/>
    </row>
    <row r="2257" spans="33:33" x14ac:dyDescent="0.25">
      <c r="AG2257" s="185"/>
    </row>
    <row r="2258" spans="33:33" x14ac:dyDescent="0.25">
      <c r="AG2258" s="185"/>
    </row>
    <row r="2259" spans="33:33" x14ac:dyDescent="0.25">
      <c r="AG2259" s="185"/>
    </row>
    <row r="2260" spans="33:33" x14ac:dyDescent="0.25">
      <c r="AG2260" s="185"/>
    </row>
    <row r="2261" spans="33:33" x14ac:dyDescent="0.25">
      <c r="AG2261" s="185"/>
    </row>
    <row r="2262" spans="33:33" x14ac:dyDescent="0.25">
      <c r="AG2262" s="185"/>
    </row>
    <row r="2263" spans="33:33" x14ac:dyDescent="0.25">
      <c r="AG2263" s="185"/>
    </row>
    <row r="2264" spans="33:33" x14ac:dyDescent="0.25">
      <c r="AG2264" s="185"/>
    </row>
    <row r="2265" spans="33:33" x14ac:dyDescent="0.25">
      <c r="AG2265" s="185"/>
    </row>
    <row r="2266" spans="33:33" x14ac:dyDescent="0.25">
      <c r="AG2266" s="185"/>
    </row>
    <row r="2267" spans="33:33" x14ac:dyDescent="0.25">
      <c r="AG2267" s="185"/>
    </row>
    <row r="2268" spans="33:33" x14ac:dyDescent="0.25">
      <c r="AG2268" s="185"/>
    </row>
    <row r="2269" spans="33:33" x14ac:dyDescent="0.25">
      <c r="AG2269" s="185"/>
    </row>
    <row r="2270" spans="33:33" x14ac:dyDescent="0.25">
      <c r="AG2270" s="185"/>
    </row>
    <row r="2271" spans="33:33" x14ac:dyDescent="0.25">
      <c r="AG2271" s="185"/>
    </row>
    <row r="2272" spans="33:33" x14ac:dyDescent="0.25">
      <c r="AG2272" s="185"/>
    </row>
    <row r="2273" spans="33:33" x14ac:dyDescent="0.25">
      <c r="AG2273" s="185"/>
    </row>
    <row r="2274" spans="33:33" x14ac:dyDescent="0.25">
      <c r="AG2274" s="185"/>
    </row>
    <row r="2275" spans="33:33" x14ac:dyDescent="0.25">
      <c r="AG2275" s="185"/>
    </row>
    <row r="2276" spans="33:33" x14ac:dyDescent="0.25">
      <c r="AG2276" s="185"/>
    </row>
    <row r="2277" spans="33:33" x14ac:dyDescent="0.25">
      <c r="AG2277" s="185"/>
    </row>
    <row r="2278" spans="33:33" x14ac:dyDescent="0.25">
      <c r="AG2278" s="185"/>
    </row>
    <row r="2279" spans="33:33" x14ac:dyDescent="0.25">
      <c r="AG2279" s="185"/>
    </row>
    <row r="2280" spans="33:33" x14ac:dyDescent="0.25">
      <c r="AG2280" s="185"/>
    </row>
    <row r="2281" spans="33:33" x14ac:dyDescent="0.25">
      <c r="AG2281" s="185"/>
    </row>
    <row r="2282" spans="33:33" x14ac:dyDescent="0.25">
      <c r="AG2282" s="185"/>
    </row>
    <row r="2283" spans="33:33" x14ac:dyDescent="0.25">
      <c r="AG2283" s="185"/>
    </row>
    <row r="2284" spans="33:33" x14ac:dyDescent="0.25">
      <c r="AG2284" s="185"/>
    </row>
    <row r="2285" spans="33:33" x14ac:dyDescent="0.25">
      <c r="AG2285" s="185"/>
    </row>
    <row r="2286" spans="33:33" x14ac:dyDescent="0.25">
      <c r="AG2286" s="185"/>
    </row>
    <row r="2287" spans="33:33" x14ac:dyDescent="0.25">
      <c r="AG2287" s="185"/>
    </row>
    <row r="2288" spans="33:33" x14ac:dyDescent="0.25">
      <c r="AG2288" s="185"/>
    </row>
    <row r="2289" spans="33:33" x14ac:dyDescent="0.25">
      <c r="AG2289" s="185"/>
    </row>
    <row r="2290" spans="33:33" x14ac:dyDescent="0.25">
      <c r="AG2290" s="185"/>
    </row>
    <row r="2291" spans="33:33" x14ac:dyDescent="0.25">
      <c r="AG2291" s="185"/>
    </row>
    <row r="2292" spans="33:33" x14ac:dyDescent="0.25">
      <c r="AG2292" s="185"/>
    </row>
    <row r="2293" spans="33:33" x14ac:dyDescent="0.25">
      <c r="AG2293" s="185"/>
    </row>
    <row r="2294" spans="33:33" x14ac:dyDescent="0.25">
      <c r="AG2294" s="185"/>
    </row>
    <row r="2295" spans="33:33" x14ac:dyDescent="0.25">
      <c r="AG2295" s="185"/>
    </row>
    <row r="2296" spans="33:33" x14ac:dyDescent="0.25">
      <c r="AG2296" s="185"/>
    </row>
    <row r="2297" spans="33:33" x14ac:dyDescent="0.25">
      <c r="AG2297" s="185"/>
    </row>
    <row r="2298" spans="33:33" x14ac:dyDescent="0.25">
      <c r="AG2298" s="185"/>
    </row>
    <row r="2299" spans="33:33" x14ac:dyDescent="0.25">
      <c r="AG2299" s="185"/>
    </row>
    <row r="2300" spans="33:33" x14ac:dyDescent="0.25">
      <c r="AG2300" s="185"/>
    </row>
    <row r="2301" spans="33:33" x14ac:dyDescent="0.25">
      <c r="AG2301" s="185"/>
    </row>
    <row r="2302" spans="33:33" x14ac:dyDescent="0.25">
      <c r="AG2302" s="185"/>
    </row>
    <row r="2303" spans="33:33" x14ac:dyDescent="0.25">
      <c r="AG2303" s="185"/>
    </row>
    <row r="2304" spans="33:33" x14ac:dyDescent="0.25">
      <c r="AG2304" s="185"/>
    </row>
    <row r="2305" spans="33:33" x14ac:dyDescent="0.25">
      <c r="AG2305" s="185"/>
    </row>
    <row r="2306" spans="33:33" x14ac:dyDescent="0.25">
      <c r="AG2306" s="185"/>
    </row>
    <row r="2307" spans="33:33" x14ac:dyDescent="0.25">
      <c r="AG2307" s="185"/>
    </row>
    <row r="2308" spans="33:33" x14ac:dyDescent="0.25">
      <c r="AG2308" s="185"/>
    </row>
    <row r="2309" spans="33:33" x14ac:dyDescent="0.25">
      <c r="AG2309" s="185"/>
    </row>
    <row r="2310" spans="33:33" x14ac:dyDescent="0.25">
      <c r="AG2310" s="185"/>
    </row>
    <row r="2311" spans="33:33" x14ac:dyDescent="0.25">
      <c r="AG2311" s="185"/>
    </row>
    <row r="2312" spans="33:33" x14ac:dyDescent="0.25">
      <c r="AG2312" s="185"/>
    </row>
    <row r="2313" spans="33:33" x14ac:dyDescent="0.25">
      <c r="AG2313" s="185"/>
    </row>
    <row r="2314" spans="33:33" x14ac:dyDescent="0.25">
      <c r="AG2314" s="185"/>
    </row>
    <row r="2315" spans="33:33" x14ac:dyDescent="0.25">
      <c r="AG2315" s="185"/>
    </row>
    <row r="2316" spans="33:33" x14ac:dyDescent="0.25">
      <c r="AG2316" s="185"/>
    </row>
    <row r="2317" spans="33:33" x14ac:dyDescent="0.25">
      <c r="AG2317" s="185"/>
    </row>
    <row r="2318" spans="33:33" x14ac:dyDescent="0.25">
      <c r="AG2318" s="185"/>
    </row>
    <row r="2319" spans="33:33" x14ac:dyDescent="0.25">
      <c r="AG2319" s="185"/>
    </row>
    <row r="2320" spans="33:33" x14ac:dyDescent="0.25">
      <c r="AG2320" s="185"/>
    </row>
    <row r="2321" spans="33:33" x14ac:dyDescent="0.25">
      <c r="AG2321" s="185"/>
    </row>
    <row r="2322" spans="33:33" x14ac:dyDescent="0.25">
      <c r="AG2322" s="185"/>
    </row>
    <row r="2323" spans="33:33" x14ac:dyDescent="0.25">
      <c r="AG2323" s="185"/>
    </row>
    <row r="2324" spans="33:33" x14ac:dyDescent="0.25">
      <c r="AG2324" s="185"/>
    </row>
    <row r="2325" spans="33:33" x14ac:dyDescent="0.25">
      <c r="AG2325" s="185"/>
    </row>
    <row r="2326" spans="33:33" x14ac:dyDescent="0.25">
      <c r="AG2326" s="185"/>
    </row>
    <row r="2327" spans="33:33" x14ac:dyDescent="0.25">
      <c r="AG2327" s="185"/>
    </row>
    <row r="2328" spans="33:33" x14ac:dyDescent="0.25">
      <c r="AG2328" s="185"/>
    </row>
    <row r="2329" spans="33:33" x14ac:dyDescent="0.25">
      <c r="AG2329" s="185"/>
    </row>
    <row r="2330" spans="33:33" x14ac:dyDescent="0.25">
      <c r="AG2330" s="185"/>
    </row>
    <row r="2331" spans="33:33" x14ac:dyDescent="0.25">
      <c r="AG2331" s="185"/>
    </row>
    <row r="2332" spans="33:33" x14ac:dyDescent="0.25">
      <c r="AG2332" s="185"/>
    </row>
    <row r="2333" spans="33:33" x14ac:dyDescent="0.25">
      <c r="AG2333" s="185"/>
    </row>
    <row r="2334" spans="33:33" x14ac:dyDescent="0.25">
      <c r="AG2334" s="185"/>
    </row>
    <row r="2335" spans="33:33" x14ac:dyDescent="0.25">
      <c r="AG2335" s="185"/>
    </row>
    <row r="2336" spans="33:33" x14ac:dyDescent="0.25">
      <c r="AG2336" s="185"/>
    </row>
    <row r="2337" spans="33:33" x14ac:dyDescent="0.25">
      <c r="AG2337" s="185"/>
    </row>
    <row r="2338" spans="33:33" x14ac:dyDescent="0.25">
      <c r="AG2338" s="185"/>
    </row>
    <row r="2339" spans="33:33" x14ac:dyDescent="0.25">
      <c r="AG2339" s="185"/>
    </row>
    <row r="2340" spans="33:33" x14ac:dyDescent="0.25">
      <c r="AG2340" s="185"/>
    </row>
    <row r="2341" spans="33:33" x14ac:dyDescent="0.25">
      <c r="AG2341" s="185"/>
    </row>
    <row r="2342" spans="33:33" x14ac:dyDescent="0.25">
      <c r="AG2342" s="185"/>
    </row>
    <row r="2343" spans="33:33" x14ac:dyDescent="0.25">
      <c r="AG2343" s="185"/>
    </row>
    <row r="2344" spans="33:33" x14ac:dyDescent="0.25">
      <c r="AG2344" s="185"/>
    </row>
    <row r="2345" spans="33:33" x14ac:dyDescent="0.25">
      <c r="AG2345" s="185"/>
    </row>
    <row r="2346" spans="33:33" x14ac:dyDescent="0.25">
      <c r="AG2346" s="185"/>
    </row>
    <row r="2347" spans="33:33" x14ac:dyDescent="0.25">
      <c r="AG2347" s="185"/>
    </row>
    <row r="2348" spans="33:33" x14ac:dyDescent="0.25">
      <c r="AG2348" s="185"/>
    </row>
    <row r="2349" spans="33:33" x14ac:dyDescent="0.25">
      <c r="AG2349" s="185"/>
    </row>
    <row r="2350" spans="33:33" x14ac:dyDescent="0.25">
      <c r="AG2350" s="185"/>
    </row>
    <row r="2351" spans="33:33" x14ac:dyDescent="0.25">
      <c r="AG2351" s="185"/>
    </row>
    <row r="2352" spans="33:33" x14ac:dyDescent="0.25">
      <c r="AG2352" s="185"/>
    </row>
    <row r="2353" spans="33:33" x14ac:dyDescent="0.25">
      <c r="AG2353" s="185"/>
    </row>
    <row r="2354" spans="33:33" x14ac:dyDescent="0.25">
      <c r="AG2354" s="185"/>
    </row>
    <row r="2355" spans="33:33" x14ac:dyDescent="0.25">
      <c r="AG2355" s="185"/>
    </row>
    <row r="2356" spans="33:33" x14ac:dyDescent="0.25">
      <c r="AG2356" s="185"/>
    </row>
    <row r="2357" spans="33:33" x14ac:dyDescent="0.25">
      <c r="AG2357" s="185"/>
    </row>
    <row r="2358" spans="33:33" x14ac:dyDescent="0.25">
      <c r="AG2358" s="185"/>
    </row>
    <row r="2359" spans="33:33" x14ac:dyDescent="0.25">
      <c r="AG2359" s="185"/>
    </row>
    <row r="2360" spans="33:33" x14ac:dyDescent="0.25">
      <c r="AG2360" s="185"/>
    </row>
    <row r="2361" spans="33:33" x14ac:dyDescent="0.25">
      <c r="AG2361" s="185"/>
    </row>
    <row r="2362" spans="33:33" x14ac:dyDescent="0.25">
      <c r="AG2362" s="185"/>
    </row>
    <row r="2363" spans="33:33" x14ac:dyDescent="0.25">
      <c r="AG2363" s="185"/>
    </row>
    <row r="2364" spans="33:33" x14ac:dyDescent="0.25">
      <c r="AG2364" s="185"/>
    </row>
    <row r="2365" spans="33:33" x14ac:dyDescent="0.25">
      <c r="AG2365" s="185"/>
    </row>
    <row r="2366" spans="33:33" x14ac:dyDescent="0.25">
      <c r="AG2366" s="185"/>
    </row>
    <row r="2367" spans="33:33" x14ac:dyDescent="0.25">
      <c r="AG2367" s="185"/>
    </row>
    <row r="2368" spans="33:33" x14ac:dyDescent="0.25">
      <c r="AG2368" s="185"/>
    </row>
    <row r="2369" spans="33:33" x14ac:dyDescent="0.25">
      <c r="AG2369" s="185"/>
    </row>
    <row r="2370" spans="33:33" x14ac:dyDescent="0.25">
      <c r="AG2370" s="185"/>
    </row>
    <row r="2371" spans="33:33" x14ac:dyDescent="0.25">
      <c r="AG2371" s="185"/>
    </row>
    <row r="2372" spans="33:33" x14ac:dyDescent="0.25">
      <c r="AG2372" s="185"/>
    </row>
    <row r="2373" spans="33:33" x14ac:dyDescent="0.25">
      <c r="AG2373" s="185"/>
    </row>
    <row r="2374" spans="33:33" x14ac:dyDescent="0.25">
      <c r="AG2374" s="185"/>
    </row>
    <row r="2375" spans="33:33" x14ac:dyDescent="0.25">
      <c r="AG2375" s="185"/>
    </row>
    <row r="2376" spans="33:33" x14ac:dyDescent="0.25">
      <c r="AG2376" s="185"/>
    </row>
    <row r="2377" spans="33:33" x14ac:dyDescent="0.25">
      <c r="AG2377" s="185"/>
    </row>
    <row r="2378" spans="33:33" x14ac:dyDescent="0.25">
      <c r="AG2378" s="185"/>
    </row>
    <row r="2379" spans="33:33" x14ac:dyDescent="0.25">
      <c r="AG2379" s="185"/>
    </row>
    <row r="2380" spans="33:33" x14ac:dyDescent="0.25">
      <c r="AG2380" s="185"/>
    </row>
    <row r="2381" spans="33:33" x14ac:dyDescent="0.25">
      <c r="AG2381" s="185"/>
    </row>
    <row r="2382" spans="33:33" x14ac:dyDescent="0.25">
      <c r="AG2382" s="185"/>
    </row>
    <row r="2383" spans="33:33" x14ac:dyDescent="0.25">
      <c r="AG2383" s="185"/>
    </row>
    <row r="2384" spans="33:33" x14ac:dyDescent="0.25">
      <c r="AG2384" s="185"/>
    </row>
    <row r="2385" spans="33:33" x14ac:dyDescent="0.25">
      <c r="AG2385" s="185"/>
    </row>
    <row r="2386" spans="33:33" x14ac:dyDescent="0.25">
      <c r="AG2386" s="185"/>
    </row>
    <row r="2387" spans="33:33" x14ac:dyDescent="0.25">
      <c r="AG2387" s="185"/>
    </row>
    <row r="2388" spans="33:33" x14ac:dyDescent="0.25">
      <c r="AG2388" s="185"/>
    </row>
    <row r="2389" spans="33:33" x14ac:dyDescent="0.25">
      <c r="AG2389" s="185"/>
    </row>
    <row r="2390" spans="33:33" x14ac:dyDescent="0.25">
      <c r="AG2390" s="185"/>
    </row>
    <row r="2391" spans="33:33" x14ac:dyDescent="0.25">
      <c r="AG2391" s="185"/>
    </row>
    <row r="2392" spans="33:33" x14ac:dyDescent="0.25">
      <c r="AG2392" s="185"/>
    </row>
    <row r="2393" spans="33:33" x14ac:dyDescent="0.25">
      <c r="AG2393" s="185"/>
    </row>
    <row r="2394" spans="33:33" x14ac:dyDescent="0.25">
      <c r="AG2394" s="185"/>
    </row>
    <row r="2395" spans="33:33" x14ac:dyDescent="0.25">
      <c r="AG2395" s="185"/>
    </row>
    <row r="2396" spans="33:33" x14ac:dyDescent="0.25">
      <c r="AG2396" s="185"/>
    </row>
    <row r="2397" spans="33:33" x14ac:dyDescent="0.25">
      <c r="AG2397" s="185"/>
    </row>
    <row r="2398" spans="33:33" x14ac:dyDescent="0.25">
      <c r="AG2398" s="185"/>
    </row>
    <row r="2399" spans="33:33" x14ac:dyDescent="0.25">
      <c r="AG2399" s="185"/>
    </row>
    <row r="2400" spans="33:33" x14ac:dyDescent="0.25">
      <c r="AG2400" s="185"/>
    </row>
    <row r="2401" spans="33:33" x14ac:dyDescent="0.25">
      <c r="AG2401" s="185"/>
    </row>
    <row r="2402" spans="33:33" x14ac:dyDescent="0.25">
      <c r="AG2402" s="185"/>
    </row>
    <row r="2403" spans="33:33" x14ac:dyDescent="0.25">
      <c r="AG2403" s="185"/>
    </row>
    <row r="2404" spans="33:33" x14ac:dyDescent="0.25">
      <c r="AG2404" s="185"/>
    </row>
    <row r="2405" spans="33:33" x14ac:dyDescent="0.25">
      <c r="AG2405" s="185"/>
    </row>
    <row r="2406" spans="33:33" x14ac:dyDescent="0.25">
      <c r="AG2406" s="185"/>
    </row>
    <row r="2407" spans="33:33" x14ac:dyDescent="0.25">
      <c r="AG2407" s="185"/>
    </row>
    <row r="2408" spans="33:33" x14ac:dyDescent="0.25">
      <c r="AG2408" s="185"/>
    </row>
    <row r="2409" spans="33:33" x14ac:dyDescent="0.25">
      <c r="AG2409" s="185"/>
    </row>
    <row r="2410" spans="33:33" x14ac:dyDescent="0.25">
      <c r="AG2410" s="185"/>
    </row>
    <row r="2411" spans="33:33" x14ac:dyDescent="0.25">
      <c r="AG2411" s="185"/>
    </row>
    <row r="2412" spans="33:33" x14ac:dyDescent="0.25">
      <c r="AG2412" s="185"/>
    </row>
    <row r="2413" spans="33:33" x14ac:dyDescent="0.25">
      <c r="AG2413" s="185"/>
    </row>
    <row r="2414" spans="33:33" x14ac:dyDescent="0.25">
      <c r="AG2414" s="185"/>
    </row>
    <row r="2415" spans="33:33" x14ac:dyDescent="0.25">
      <c r="AG2415" s="185"/>
    </row>
    <row r="2416" spans="33:33" x14ac:dyDescent="0.25">
      <c r="AG2416" s="185"/>
    </row>
    <row r="2417" spans="33:33" x14ac:dyDescent="0.25">
      <c r="AG2417" s="185"/>
    </row>
    <row r="2418" spans="33:33" x14ac:dyDescent="0.25">
      <c r="AG2418" s="185"/>
    </row>
    <row r="2419" spans="33:33" x14ac:dyDescent="0.25">
      <c r="AG2419" s="185"/>
    </row>
    <row r="2420" spans="33:33" x14ac:dyDescent="0.25">
      <c r="AG2420" s="185"/>
    </row>
    <row r="2421" spans="33:33" x14ac:dyDescent="0.25">
      <c r="AG2421" s="185"/>
    </row>
    <row r="2422" spans="33:33" x14ac:dyDescent="0.25">
      <c r="AG2422" s="185"/>
    </row>
    <row r="2423" spans="33:33" x14ac:dyDescent="0.25">
      <c r="AG2423" s="185"/>
    </row>
    <row r="2424" spans="33:33" x14ac:dyDescent="0.25">
      <c r="AG2424" s="185"/>
    </row>
    <row r="2425" spans="33:33" x14ac:dyDescent="0.25">
      <c r="AG2425" s="185"/>
    </row>
    <row r="2426" spans="33:33" x14ac:dyDescent="0.25">
      <c r="AG2426" s="185"/>
    </row>
    <row r="2427" spans="33:33" x14ac:dyDescent="0.25">
      <c r="AG2427" s="185"/>
    </row>
    <row r="2428" spans="33:33" x14ac:dyDescent="0.25">
      <c r="AG2428" s="185"/>
    </row>
    <row r="2429" spans="33:33" x14ac:dyDescent="0.25">
      <c r="AG2429" s="185"/>
    </row>
    <row r="2430" spans="33:33" x14ac:dyDescent="0.25">
      <c r="AG2430" s="185"/>
    </row>
    <row r="2431" spans="33:33" x14ac:dyDescent="0.25">
      <c r="AG2431" s="185"/>
    </row>
    <row r="2432" spans="33:33" x14ac:dyDescent="0.25">
      <c r="AG2432" s="185"/>
    </row>
    <row r="2433" spans="33:33" x14ac:dyDescent="0.25">
      <c r="AG2433" s="185"/>
    </row>
    <row r="2434" spans="33:33" x14ac:dyDescent="0.25">
      <c r="AG2434" s="185"/>
    </row>
    <row r="2435" spans="33:33" x14ac:dyDescent="0.25">
      <c r="AG2435" s="185"/>
    </row>
    <row r="2436" spans="33:33" x14ac:dyDescent="0.25">
      <c r="AG2436" s="185"/>
    </row>
    <row r="2437" spans="33:33" x14ac:dyDescent="0.25">
      <c r="AG2437" s="185"/>
    </row>
    <row r="2438" spans="33:33" x14ac:dyDescent="0.25">
      <c r="AG2438" s="185"/>
    </row>
    <row r="2439" spans="33:33" x14ac:dyDescent="0.25">
      <c r="AG2439" s="185"/>
    </row>
    <row r="2440" spans="33:33" x14ac:dyDescent="0.25">
      <c r="AG2440" s="185"/>
    </row>
    <row r="2441" spans="33:33" x14ac:dyDescent="0.25">
      <c r="AG2441" s="185"/>
    </row>
    <row r="2442" spans="33:33" x14ac:dyDescent="0.25">
      <c r="AG2442" s="185"/>
    </row>
    <row r="2443" spans="33:33" x14ac:dyDescent="0.25">
      <c r="AG2443" s="185"/>
    </row>
    <row r="2444" spans="33:33" x14ac:dyDescent="0.25">
      <c r="AG2444" s="185"/>
    </row>
    <row r="2445" spans="33:33" x14ac:dyDescent="0.25">
      <c r="AG2445" s="185"/>
    </row>
    <row r="2446" spans="33:33" x14ac:dyDescent="0.25">
      <c r="AG2446" s="185"/>
    </row>
    <row r="2447" spans="33:33" x14ac:dyDescent="0.25">
      <c r="AG2447" s="185"/>
    </row>
    <row r="2448" spans="33:33" x14ac:dyDescent="0.25">
      <c r="AG2448" s="185"/>
    </row>
    <row r="2449" spans="33:33" x14ac:dyDescent="0.25">
      <c r="AG2449" s="185"/>
    </row>
    <row r="2450" spans="33:33" x14ac:dyDescent="0.25">
      <c r="AG2450" s="185"/>
    </row>
    <row r="2451" spans="33:33" x14ac:dyDescent="0.25">
      <c r="AG2451" s="185"/>
    </row>
    <row r="2452" spans="33:33" x14ac:dyDescent="0.25">
      <c r="AG2452" s="185"/>
    </row>
    <row r="2453" spans="33:33" x14ac:dyDescent="0.25">
      <c r="AG2453" s="185"/>
    </row>
    <row r="2454" spans="33:33" x14ac:dyDescent="0.25">
      <c r="AG2454" s="185"/>
    </row>
    <row r="2455" spans="33:33" x14ac:dyDescent="0.25">
      <c r="AG2455" s="185"/>
    </row>
    <row r="2456" spans="33:33" x14ac:dyDescent="0.25">
      <c r="AG2456" s="185"/>
    </row>
    <row r="2457" spans="33:33" x14ac:dyDescent="0.25">
      <c r="AG2457" s="185"/>
    </row>
    <row r="2458" spans="33:33" x14ac:dyDescent="0.25">
      <c r="AG2458" s="185"/>
    </row>
    <row r="2459" spans="33:33" x14ac:dyDescent="0.25">
      <c r="AG2459" s="185"/>
    </row>
    <row r="2460" spans="33:33" x14ac:dyDescent="0.25">
      <c r="AG2460" s="185"/>
    </row>
    <row r="2461" spans="33:33" x14ac:dyDescent="0.25">
      <c r="AG2461" s="185"/>
    </row>
    <row r="2462" spans="33:33" x14ac:dyDescent="0.25">
      <c r="AG2462" s="185"/>
    </row>
    <row r="2463" spans="33:33" x14ac:dyDescent="0.25">
      <c r="AG2463" s="185"/>
    </row>
    <row r="2464" spans="33:33" x14ac:dyDescent="0.25">
      <c r="AG2464" s="185"/>
    </row>
    <row r="2465" spans="33:33" x14ac:dyDescent="0.25">
      <c r="AG2465" s="185"/>
    </row>
    <row r="2466" spans="33:33" x14ac:dyDescent="0.25">
      <c r="AG2466" s="185"/>
    </row>
    <row r="2467" spans="33:33" x14ac:dyDescent="0.25">
      <c r="AG2467" s="185"/>
    </row>
    <row r="2468" spans="33:33" x14ac:dyDescent="0.25">
      <c r="AG2468" s="185"/>
    </row>
    <row r="2469" spans="33:33" x14ac:dyDescent="0.25">
      <c r="AG2469" s="185"/>
    </row>
    <row r="2470" spans="33:33" x14ac:dyDescent="0.25">
      <c r="AG2470" s="185"/>
    </row>
    <row r="2471" spans="33:33" x14ac:dyDescent="0.25">
      <c r="AG2471" s="185"/>
    </row>
    <row r="2472" spans="33:33" x14ac:dyDescent="0.25">
      <c r="AG2472" s="185"/>
    </row>
    <row r="2473" spans="33:33" x14ac:dyDescent="0.25">
      <c r="AG2473" s="185"/>
    </row>
    <row r="2474" spans="33:33" x14ac:dyDescent="0.25">
      <c r="AG2474" s="185"/>
    </row>
    <row r="2475" spans="33:33" x14ac:dyDescent="0.25">
      <c r="AG2475" s="185"/>
    </row>
    <row r="2476" spans="33:33" x14ac:dyDescent="0.25">
      <c r="AG2476" s="185"/>
    </row>
    <row r="2477" spans="33:33" x14ac:dyDescent="0.25">
      <c r="AG2477" s="185"/>
    </row>
    <row r="2478" spans="33:33" x14ac:dyDescent="0.25">
      <c r="AG2478" s="185"/>
    </row>
    <row r="2479" spans="33:33" x14ac:dyDescent="0.25">
      <c r="AG2479" s="185"/>
    </row>
    <row r="2480" spans="33:33" x14ac:dyDescent="0.25">
      <c r="AG2480" s="185"/>
    </row>
    <row r="2481" spans="33:33" x14ac:dyDescent="0.25">
      <c r="AG2481" s="185"/>
    </row>
    <row r="2482" spans="33:33" x14ac:dyDescent="0.25">
      <c r="AG2482" s="185"/>
    </row>
    <row r="2483" spans="33:33" x14ac:dyDescent="0.25">
      <c r="AG2483" s="185"/>
    </row>
    <row r="2484" spans="33:33" x14ac:dyDescent="0.25">
      <c r="AG2484" s="185"/>
    </row>
    <row r="2485" spans="33:33" x14ac:dyDescent="0.25">
      <c r="AG2485" s="185"/>
    </row>
    <row r="2486" spans="33:33" x14ac:dyDescent="0.25">
      <c r="AG2486" s="185"/>
    </row>
    <row r="2487" spans="33:33" x14ac:dyDescent="0.25">
      <c r="AG2487" s="185"/>
    </row>
    <row r="2488" spans="33:33" x14ac:dyDescent="0.25">
      <c r="AG2488" s="185"/>
    </row>
    <row r="2489" spans="33:33" x14ac:dyDescent="0.25">
      <c r="AG2489" s="185"/>
    </row>
    <row r="2490" spans="33:33" x14ac:dyDescent="0.25">
      <c r="AG2490" s="185"/>
    </row>
    <row r="2491" spans="33:33" x14ac:dyDescent="0.25">
      <c r="AG2491" s="185"/>
    </row>
    <row r="2492" spans="33:33" x14ac:dyDescent="0.25">
      <c r="AG2492" s="185"/>
    </row>
    <row r="2493" spans="33:33" x14ac:dyDescent="0.25">
      <c r="AG2493" s="185"/>
    </row>
    <row r="2494" spans="33:33" x14ac:dyDescent="0.25">
      <c r="AG2494" s="185"/>
    </row>
    <row r="2495" spans="33:33" x14ac:dyDescent="0.25">
      <c r="AG2495" s="185"/>
    </row>
    <row r="2496" spans="33:33" x14ac:dyDescent="0.25">
      <c r="AG2496" s="185"/>
    </row>
    <row r="2497" spans="33:33" x14ac:dyDescent="0.25">
      <c r="AG2497" s="185"/>
    </row>
    <row r="2498" spans="33:33" x14ac:dyDescent="0.25">
      <c r="AG2498" s="185"/>
    </row>
    <row r="2499" spans="33:33" x14ac:dyDescent="0.25">
      <c r="AG2499" s="185"/>
    </row>
    <row r="2500" spans="33:33" x14ac:dyDescent="0.25">
      <c r="AG2500" s="185"/>
    </row>
    <row r="2501" spans="33:33" x14ac:dyDescent="0.25">
      <c r="AG2501" s="185"/>
    </row>
    <row r="2502" spans="33:33" x14ac:dyDescent="0.25">
      <c r="AG2502" s="185"/>
    </row>
    <row r="2503" spans="33:33" x14ac:dyDescent="0.25">
      <c r="AG2503" s="185"/>
    </row>
    <row r="2504" spans="33:33" x14ac:dyDescent="0.25">
      <c r="AG2504" s="185"/>
    </row>
    <row r="2505" spans="33:33" x14ac:dyDescent="0.25">
      <c r="AG2505" s="185"/>
    </row>
    <row r="2506" spans="33:33" x14ac:dyDescent="0.25">
      <c r="AG2506" s="185"/>
    </row>
    <row r="2507" spans="33:33" x14ac:dyDescent="0.25">
      <c r="AG2507" s="185"/>
    </row>
    <row r="2508" spans="33:33" x14ac:dyDescent="0.25">
      <c r="AG2508" s="185"/>
    </row>
    <row r="2509" spans="33:33" x14ac:dyDescent="0.25">
      <c r="AG2509" s="185"/>
    </row>
    <row r="2510" spans="33:33" x14ac:dyDescent="0.25">
      <c r="AG2510" s="185"/>
    </row>
    <row r="2511" spans="33:33" x14ac:dyDescent="0.25">
      <c r="AG2511" s="185"/>
    </row>
    <row r="2512" spans="33:33" x14ac:dyDescent="0.25">
      <c r="AG2512" s="185"/>
    </row>
    <row r="2513" spans="33:33" x14ac:dyDescent="0.25">
      <c r="AG2513" s="185"/>
    </row>
    <row r="2514" spans="33:33" x14ac:dyDescent="0.25">
      <c r="AG2514" s="185"/>
    </row>
    <row r="2515" spans="33:33" x14ac:dyDescent="0.25">
      <c r="AG2515" s="185"/>
    </row>
    <row r="2516" spans="33:33" x14ac:dyDescent="0.25">
      <c r="AG2516" s="185"/>
    </row>
    <row r="2517" spans="33:33" x14ac:dyDescent="0.25">
      <c r="AG2517" s="185"/>
    </row>
    <row r="2518" spans="33:33" x14ac:dyDescent="0.25">
      <c r="AG2518" s="185"/>
    </row>
    <row r="2519" spans="33:33" x14ac:dyDescent="0.25">
      <c r="AG2519" s="185"/>
    </row>
    <row r="2520" spans="33:33" x14ac:dyDescent="0.25">
      <c r="AG2520" s="185"/>
    </row>
    <row r="2521" spans="33:33" x14ac:dyDescent="0.25">
      <c r="AG2521" s="185"/>
    </row>
    <row r="2522" spans="33:33" x14ac:dyDescent="0.25">
      <c r="AG2522" s="185"/>
    </row>
    <row r="2523" spans="33:33" x14ac:dyDescent="0.25">
      <c r="AG2523" s="185"/>
    </row>
    <row r="2524" spans="33:33" x14ac:dyDescent="0.25">
      <c r="AG2524" s="185"/>
    </row>
    <row r="2525" spans="33:33" x14ac:dyDescent="0.25">
      <c r="AG2525" s="185"/>
    </row>
    <row r="2526" spans="33:33" x14ac:dyDescent="0.25">
      <c r="AG2526" s="185"/>
    </row>
    <row r="2527" spans="33:33" x14ac:dyDescent="0.25">
      <c r="AG2527" s="185"/>
    </row>
    <row r="2528" spans="33:33" x14ac:dyDescent="0.25">
      <c r="AG2528" s="185"/>
    </row>
    <row r="2529" spans="33:33" x14ac:dyDescent="0.25">
      <c r="AG2529" s="185"/>
    </row>
    <row r="2530" spans="33:33" x14ac:dyDescent="0.25">
      <c r="AG2530" s="185"/>
    </row>
    <row r="2531" spans="33:33" x14ac:dyDescent="0.25">
      <c r="AG2531" s="185"/>
    </row>
    <row r="2532" spans="33:33" x14ac:dyDescent="0.25">
      <c r="AG2532" s="185"/>
    </row>
    <row r="2533" spans="33:33" x14ac:dyDescent="0.25">
      <c r="AG2533" s="185"/>
    </row>
    <row r="2534" spans="33:33" x14ac:dyDescent="0.25">
      <c r="AG2534" s="185"/>
    </row>
    <row r="2535" spans="33:33" x14ac:dyDescent="0.25">
      <c r="AG2535" s="185"/>
    </row>
    <row r="2536" spans="33:33" x14ac:dyDescent="0.25">
      <c r="AG2536" s="185"/>
    </row>
    <row r="2537" spans="33:33" x14ac:dyDescent="0.25">
      <c r="AG2537" s="185"/>
    </row>
    <row r="2538" spans="33:33" x14ac:dyDescent="0.25">
      <c r="AG2538" s="185"/>
    </row>
    <row r="2539" spans="33:33" x14ac:dyDescent="0.25">
      <c r="AG2539" s="185"/>
    </row>
    <row r="2540" spans="33:33" x14ac:dyDescent="0.25">
      <c r="AG2540" s="185"/>
    </row>
    <row r="2541" spans="33:33" x14ac:dyDescent="0.25">
      <c r="AG2541" s="185"/>
    </row>
    <row r="2542" spans="33:33" x14ac:dyDescent="0.25">
      <c r="AG2542" s="185"/>
    </row>
    <row r="2543" spans="33:33" x14ac:dyDescent="0.25">
      <c r="AG2543" s="185"/>
    </row>
    <row r="2544" spans="33:33" x14ac:dyDescent="0.25">
      <c r="AG2544" s="185"/>
    </row>
    <row r="2545" spans="33:33" x14ac:dyDescent="0.25">
      <c r="AG2545" s="185"/>
    </row>
    <row r="2546" spans="33:33" x14ac:dyDescent="0.25">
      <c r="AG2546" s="185"/>
    </row>
    <row r="2547" spans="33:33" x14ac:dyDescent="0.25">
      <c r="AG2547" s="185"/>
    </row>
    <row r="2548" spans="33:33" x14ac:dyDescent="0.25">
      <c r="AG2548" s="185"/>
    </row>
    <row r="2549" spans="33:33" x14ac:dyDescent="0.25">
      <c r="AG2549" s="185"/>
    </row>
    <row r="2550" spans="33:33" x14ac:dyDescent="0.25">
      <c r="AG2550" s="185"/>
    </row>
    <row r="2551" spans="33:33" x14ac:dyDescent="0.25">
      <c r="AG2551" s="185"/>
    </row>
    <row r="2552" spans="33:33" x14ac:dyDescent="0.25">
      <c r="AG2552" s="185"/>
    </row>
    <row r="2553" spans="33:33" x14ac:dyDescent="0.25">
      <c r="AG2553" s="185"/>
    </row>
    <row r="2554" spans="33:33" x14ac:dyDescent="0.25">
      <c r="AG2554" s="185"/>
    </row>
    <row r="2555" spans="33:33" x14ac:dyDescent="0.25">
      <c r="AG2555" s="185"/>
    </row>
    <row r="2556" spans="33:33" x14ac:dyDescent="0.25">
      <c r="AG2556" s="185"/>
    </row>
    <row r="2557" spans="33:33" x14ac:dyDescent="0.25">
      <c r="AG2557" s="185"/>
    </row>
    <row r="2558" spans="33:33" x14ac:dyDescent="0.25">
      <c r="AG2558" s="185"/>
    </row>
    <row r="2559" spans="33:33" x14ac:dyDescent="0.25">
      <c r="AG2559" s="185"/>
    </row>
    <row r="2560" spans="33:33" x14ac:dyDescent="0.25">
      <c r="AG2560" s="185"/>
    </row>
    <row r="2561" spans="33:33" x14ac:dyDescent="0.25">
      <c r="AG2561" s="185"/>
    </row>
    <row r="2562" spans="33:33" x14ac:dyDescent="0.25">
      <c r="AG2562" s="185"/>
    </row>
    <row r="2563" spans="33:33" x14ac:dyDescent="0.25">
      <c r="AG2563" s="185"/>
    </row>
    <row r="2564" spans="33:33" x14ac:dyDescent="0.25">
      <c r="AG2564" s="185"/>
    </row>
    <row r="2565" spans="33:33" x14ac:dyDescent="0.25">
      <c r="AG2565" s="185"/>
    </row>
    <row r="2566" spans="33:33" x14ac:dyDescent="0.25">
      <c r="AG2566" s="185"/>
    </row>
    <row r="2567" spans="33:33" x14ac:dyDescent="0.25">
      <c r="AG2567" s="185"/>
    </row>
    <row r="2568" spans="33:33" x14ac:dyDescent="0.25">
      <c r="AG2568" s="185"/>
    </row>
    <row r="2569" spans="33:33" x14ac:dyDescent="0.25">
      <c r="AG2569" s="185"/>
    </row>
    <row r="2570" spans="33:33" x14ac:dyDescent="0.25">
      <c r="AG2570" s="185"/>
    </row>
    <row r="2571" spans="33:33" x14ac:dyDescent="0.25">
      <c r="AG2571" s="185"/>
    </row>
    <row r="2572" spans="33:33" x14ac:dyDescent="0.25">
      <c r="AG2572" s="185"/>
    </row>
    <row r="2573" spans="33:33" x14ac:dyDescent="0.25">
      <c r="AG2573" s="185"/>
    </row>
    <row r="2574" spans="33:33" x14ac:dyDescent="0.25">
      <c r="AG2574" s="185"/>
    </row>
    <row r="2575" spans="33:33" x14ac:dyDescent="0.25">
      <c r="AG2575" s="185"/>
    </row>
    <row r="2576" spans="33:33" x14ac:dyDescent="0.25">
      <c r="AG2576" s="185"/>
    </row>
    <row r="2577" spans="33:33" x14ac:dyDescent="0.25">
      <c r="AG2577" s="185"/>
    </row>
    <row r="2578" spans="33:33" x14ac:dyDescent="0.25">
      <c r="AG2578" s="185"/>
    </row>
    <row r="2579" spans="33:33" x14ac:dyDescent="0.25">
      <c r="AG2579" s="185"/>
    </row>
    <row r="2580" spans="33:33" x14ac:dyDescent="0.25">
      <c r="AG2580" s="185"/>
    </row>
    <row r="2581" spans="33:33" x14ac:dyDescent="0.25">
      <c r="AG2581" s="185"/>
    </row>
    <row r="2582" spans="33:33" x14ac:dyDescent="0.25">
      <c r="AG2582" s="185"/>
    </row>
    <row r="2583" spans="33:33" x14ac:dyDescent="0.25">
      <c r="AG2583" s="185"/>
    </row>
    <row r="2584" spans="33:33" x14ac:dyDescent="0.25">
      <c r="AG2584" s="185"/>
    </row>
    <row r="2585" spans="33:33" x14ac:dyDescent="0.25">
      <c r="AG2585" s="185"/>
    </row>
    <row r="2586" spans="33:33" x14ac:dyDescent="0.25">
      <c r="AG2586" s="185"/>
    </row>
    <row r="2587" spans="33:33" x14ac:dyDescent="0.25">
      <c r="AG2587" s="185"/>
    </row>
    <row r="2588" spans="33:33" x14ac:dyDescent="0.25">
      <c r="AG2588" s="185"/>
    </row>
    <row r="2589" spans="33:33" x14ac:dyDescent="0.25">
      <c r="AG2589" s="185"/>
    </row>
    <row r="2590" spans="33:33" x14ac:dyDescent="0.25">
      <c r="AG2590" s="185"/>
    </row>
    <row r="2591" spans="33:33" x14ac:dyDescent="0.25">
      <c r="AG2591" s="185"/>
    </row>
    <row r="2592" spans="33:33" x14ac:dyDescent="0.25">
      <c r="AG2592" s="185"/>
    </row>
    <row r="2593" spans="33:33" x14ac:dyDescent="0.25">
      <c r="AG2593" s="185"/>
    </row>
    <row r="2594" spans="33:33" x14ac:dyDescent="0.25">
      <c r="AG2594" s="185"/>
    </row>
    <row r="2595" spans="33:33" x14ac:dyDescent="0.25">
      <c r="AG2595" s="185"/>
    </row>
    <row r="2596" spans="33:33" x14ac:dyDescent="0.25">
      <c r="AG2596" s="185"/>
    </row>
    <row r="2597" spans="33:33" x14ac:dyDescent="0.25">
      <c r="AG2597" s="185"/>
    </row>
    <row r="2598" spans="33:33" x14ac:dyDescent="0.25">
      <c r="AG2598" s="185"/>
    </row>
    <row r="2599" spans="33:33" x14ac:dyDescent="0.25">
      <c r="AG2599" s="185"/>
    </row>
    <row r="2600" spans="33:33" x14ac:dyDescent="0.25">
      <c r="AG2600" s="185"/>
    </row>
    <row r="2601" spans="33:33" x14ac:dyDescent="0.25">
      <c r="AG2601" s="185"/>
    </row>
    <row r="2602" spans="33:33" x14ac:dyDescent="0.25">
      <c r="AG2602" s="185"/>
    </row>
    <row r="2603" spans="33:33" x14ac:dyDescent="0.25">
      <c r="AG2603" s="185"/>
    </row>
    <row r="2604" spans="33:33" x14ac:dyDescent="0.25">
      <c r="AG2604" s="185"/>
    </row>
    <row r="2605" spans="33:33" x14ac:dyDescent="0.25">
      <c r="AG2605" s="185"/>
    </row>
    <row r="2606" spans="33:33" x14ac:dyDescent="0.25">
      <c r="AG2606" s="185"/>
    </row>
    <row r="2607" spans="33:33" x14ac:dyDescent="0.25">
      <c r="AG2607" s="185"/>
    </row>
    <row r="2608" spans="33:33" x14ac:dyDescent="0.25">
      <c r="AG2608" s="185"/>
    </row>
    <row r="2609" spans="33:33" x14ac:dyDescent="0.25">
      <c r="AG2609" s="185"/>
    </row>
    <row r="2610" spans="33:33" x14ac:dyDescent="0.25">
      <c r="AG2610" s="185"/>
    </row>
    <row r="2611" spans="33:33" x14ac:dyDescent="0.25">
      <c r="AG2611" s="185"/>
    </row>
    <row r="2612" spans="33:33" x14ac:dyDescent="0.25">
      <c r="AG2612" s="185"/>
    </row>
    <row r="2613" spans="33:33" x14ac:dyDescent="0.25">
      <c r="AG2613" s="185"/>
    </row>
    <row r="2614" spans="33:33" x14ac:dyDescent="0.25">
      <c r="AG2614" s="185"/>
    </row>
    <row r="2615" spans="33:33" x14ac:dyDescent="0.25">
      <c r="AG2615" s="185"/>
    </row>
    <row r="2616" spans="33:33" x14ac:dyDescent="0.25">
      <c r="AG2616" s="185"/>
    </row>
    <row r="2617" spans="33:33" x14ac:dyDescent="0.25">
      <c r="AG2617" s="185"/>
    </row>
    <row r="2618" spans="33:33" x14ac:dyDescent="0.25">
      <c r="AG2618" s="185"/>
    </row>
    <row r="2619" spans="33:33" x14ac:dyDescent="0.25">
      <c r="AG2619" s="185"/>
    </row>
    <row r="2620" spans="33:33" x14ac:dyDescent="0.25">
      <c r="AG2620" s="185"/>
    </row>
    <row r="2621" spans="33:33" x14ac:dyDescent="0.25">
      <c r="AG2621" s="185"/>
    </row>
    <row r="2622" spans="33:33" x14ac:dyDescent="0.25">
      <c r="AG2622" s="185"/>
    </row>
    <row r="2623" spans="33:33" x14ac:dyDescent="0.25">
      <c r="AG2623" s="185"/>
    </row>
    <row r="2624" spans="33:33" x14ac:dyDescent="0.25">
      <c r="AG2624" s="185"/>
    </row>
    <row r="2625" spans="33:33" x14ac:dyDescent="0.25">
      <c r="AG2625" s="185"/>
    </row>
    <row r="2626" spans="33:33" x14ac:dyDescent="0.25">
      <c r="AG2626" s="185"/>
    </row>
    <row r="2627" spans="33:33" x14ac:dyDescent="0.25">
      <c r="AG2627" s="185"/>
    </row>
    <row r="2628" spans="33:33" x14ac:dyDescent="0.25">
      <c r="AG2628" s="185"/>
    </row>
    <row r="2629" spans="33:33" x14ac:dyDescent="0.25">
      <c r="AG2629" s="185"/>
    </row>
    <row r="2630" spans="33:33" x14ac:dyDescent="0.25">
      <c r="AG2630" s="185"/>
    </row>
    <row r="2631" spans="33:33" x14ac:dyDescent="0.25">
      <c r="AG2631" s="185"/>
    </row>
    <row r="2632" spans="33:33" x14ac:dyDescent="0.25">
      <c r="AG2632" s="185"/>
    </row>
    <row r="2633" spans="33:33" x14ac:dyDescent="0.25">
      <c r="AG2633" s="185"/>
    </row>
    <row r="2634" spans="33:33" x14ac:dyDescent="0.25">
      <c r="AG2634" s="185"/>
    </row>
    <row r="2635" spans="33:33" x14ac:dyDescent="0.25">
      <c r="AG2635" s="185"/>
    </row>
    <row r="2636" spans="33:33" x14ac:dyDescent="0.25">
      <c r="AG2636" s="185"/>
    </row>
    <row r="2637" spans="33:33" x14ac:dyDescent="0.25">
      <c r="AG2637" s="185"/>
    </row>
    <row r="2638" spans="33:33" x14ac:dyDescent="0.25">
      <c r="AG2638" s="185"/>
    </row>
    <row r="2639" spans="33:33" x14ac:dyDescent="0.25">
      <c r="AG2639" s="185"/>
    </row>
    <row r="2640" spans="33:33" x14ac:dyDescent="0.25">
      <c r="AG2640" s="185"/>
    </row>
    <row r="2641" spans="33:33" x14ac:dyDescent="0.25">
      <c r="AG2641" s="185"/>
    </row>
    <row r="2642" spans="33:33" x14ac:dyDescent="0.25">
      <c r="AG2642" s="185"/>
    </row>
    <row r="2643" spans="33:33" x14ac:dyDescent="0.25">
      <c r="AG2643" s="185"/>
    </row>
    <row r="2644" spans="33:33" x14ac:dyDescent="0.25">
      <c r="AG2644" s="185"/>
    </row>
    <row r="2645" spans="33:33" x14ac:dyDescent="0.25">
      <c r="AG2645" s="185"/>
    </row>
    <row r="2646" spans="33:33" x14ac:dyDescent="0.25">
      <c r="AG2646" s="185"/>
    </row>
    <row r="2647" spans="33:33" x14ac:dyDescent="0.25">
      <c r="AG2647" s="185"/>
    </row>
    <row r="2648" spans="33:33" x14ac:dyDescent="0.25">
      <c r="AG2648" s="185"/>
    </row>
    <row r="2649" spans="33:33" x14ac:dyDescent="0.25">
      <c r="AG2649" s="185"/>
    </row>
    <row r="2650" spans="33:33" x14ac:dyDescent="0.25">
      <c r="AG2650" s="185"/>
    </row>
    <row r="2651" spans="33:33" x14ac:dyDescent="0.25">
      <c r="AG2651" s="185"/>
    </row>
    <row r="2652" spans="33:33" x14ac:dyDescent="0.25">
      <c r="AG2652" s="185"/>
    </row>
    <row r="2653" spans="33:33" x14ac:dyDescent="0.25">
      <c r="AG2653" s="185"/>
    </row>
    <row r="2654" spans="33:33" x14ac:dyDescent="0.25">
      <c r="AG2654" s="185"/>
    </row>
    <row r="2655" spans="33:33" x14ac:dyDescent="0.25">
      <c r="AG2655" s="185"/>
    </row>
    <row r="2656" spans="33:33" x14ac:dyDescent="0.25">
      <c r="AG2656" s="185"/>
    </row>
    <row r="2657" spans="33:33" x14ac:dyDescent="0.25">
      <c r="AG2657" s="185"/>
    </row>
    <row r="2658" spans="33:33" x14ac:dyDescent="0.25">
      <c r="AG2658" s="185"/>
    </row>
    <row r="2659" spans="33:33" x14ac:dyDescent="0.25">
      <c r="AG2659" s="185"/>
    </row>
    <row r="2660" spans="33:33" x14ac:dyDescent="0.25">
      <c r="AG2660" s="185"/>
    </row>
    <row r="2661" spans="33:33" x14ac:dyDescent="0.25">
      <c r="AG2661" s="185"/>
    </row>
    <row r="2662" spans="33:33" x14ac:dyDescent="0.25">
      <c r="AG2662" s="185"/>
    </row>
    <row r="2663" spans="33:33" x14ac:dyDescent="0.25">
      <c r="AG2663" s="185"/>
    </row>
    <row r="2664" spans="33:33" x14ac:dyDescent="0.25">
      <c r="AG2664" s="185"/>
    </row>
    <row r="2665" spans="33:33" x14ac:dyDescent="0.25">
      <c r="AG2665" s="185"/>
    </row>
    <row r="2666" spans="33:33" x14ac:dyDescent="0.25">
      <c r="AG2666" s="185"/>
    </row>
    <row r="2667" spans="33:33" x14ac:dyDescent="0.25">
      <c r="AG2667" s="185"/>
    </row>
    <row r="2668" spans="33:33" x14ac:dyDescent="0.25">
      <c r="AG2668" s="185"/>
    </row>
    <row r="2669" spans="33:33" x14ac:dyDescent="0.25">
      <c r="AG2669" s="185"/>
    </row>
    <row r="2670" spans="33:33" x14ac:dyDescent="0.25">
      <c r="AG2670" s="185"/>
    </row>
    <row r="2671" spans="33:33" x14ac:dyDescent="0.25">
      <c r="AG2671" s="185"/>
    </row>
    <row r="2672" spans="33:33" x14ac:dyDescent="0.25">
      <c r="AG2672" s="185"/>
    </row>
    <row r="2673" spans="33:33" x14ac:dyDescent="0.25">
      <c r="AG2673" s="185"/>
    </row>
    <row r="2674" spans="33:33" x14ac:dyDescent="0.25">
      <c r="AG2674" s="185"/>
    </row>
    <row r="2675" spans="33:33" x14ac:dyDescent="0.25">
      <c r="AG2675" s="185"/>
    </row>
    <row r="2676" spans="33:33" x14ac:dyDescent="0.25">
      <c r="AG2676" s="185"/>
    </row>
    <row r="2677" spans="33:33" x14ac:dyDescent="0.25">
      <c r="AG2677" s="185"/>
    </row>
    <row r="2678" spans="33:33" x14ac:dyDescent="0.25">
      <c r="AG2678" s="185"/>
    </row>
    <row r="2679" spans="33:33" x14ac:dyDescent="0.25">
      <c r="AG2679" s="185"/>
    </row>
    <row r="2680" spans="33:33" x14ac:dyDescent="0.25">
      <c r="AG2680" s="185"/>
    </row>
    <row r="2681" spans="33:33" x14ac:dyDescent="0.25">
      <c r="AG2681" s="185"/>
    </row>
    <row r="2682" spans="33:33" x14ac:dyDescent="0.25">
      <c r="AG2682" s="185"/>
    </row>
    <row r="2683" spans="33:33" x14ac:dyDescent="0.25">
      <c r="AG2683" s="185"/>
    </row>
    <row r="2684" spans="33:33" x14ac:dyDescent="0.25">
      <c r="AG2684" s="185"/>
    </row>
    <row r="2685" spans="33:33" x14ac:dyDescent="0.25">
      <c r="AG2685" s="185"/>
    </row>
    <row r="2686" spans="33:33" x14ac:dyDescent="0.25">
      <c r="AG2686" s="185"/>
    </row>
    <row r="2687" spans="33:33" x14ac:dyDescent="0.25">
      <c r="AG2687" s="185"/>
    </row>
    <row r="2688" spans="33:33" x14ac:dyDescent="0.25">
      <c r="AG2688" s="185"/>
    </row>
    <row r="2689" spans="33:33" x14ac:dyDescent="0.25">
      <c r="AG2689" s="185"/>
    </row>
    <row r="2690" spans="33:33" x14ac:dyDescent="0.25">
      <c r="AG2690" s="185"/>
    </row>
    <row r="2691" spans="33:33" x14ac:dyDescent="0.25">
      <c r="AG2691" s="185"/>
    </row>
    <row r="2692" spans="33:33" x14ac:dyDescent="0.25">
      <c r="AG2692" s="185"/>
    </row>
    <row r="2693" spans="33:33" x14ac:dyDescent="0.25">
      <c r="AG2693" s="185"/>
    </row>
    <row r="2694" spans="33:33" x14ac:dyDescent="0.25">
      <c r="AG2694" s="185"/>
    </row>
    <row r="2695" spans="33:33" x14ac:dyDescent="0.25">
      <c r="AG2695" s="185"/>
    </row>
    <row r="2696" spans="33:33" x14ac:dyDescent="0.25">
      <c r="AG2696" s="185"/>
    </row>
    <row r="2697" spans="33:33" x14ac:dyDescent="0.25">
      <c r="AG2697" s="185"/>
    </row>
    <row r="2698" spans="33:33" x14ac:dyDescent="0.25">
      <c r="AG2698" s="185"/>
    </row>
    <row r="2699" spans="33:33" x14ac:dyDescent="0.25">
      <c r="AG2699" s="185"/>
    </row>
    <row r="2700" spans="33:33" x14ac:dyDescent="0.25">
      <c r="AG2700" s="185"/>
    </row>
    <row r="2701" spans="33:33" x14ac:dyDescent="0.25">
      <c r="AG2701" s="185"/>
    </row>
    <row r="2702" spans="33:33" x14ac:dyDescent="0.25">
      <c r="AG2702" s="185"/>
    </row>
    <row r="2703" spans="33:33" x14ac:dyDescent="0.25">
      <c r="AG2703" s="185"/>
    </row>
    <row r="2704" spans="33:33" x14ac:dyDescent="0.25">
      <c r="AG2704" s="185"/>
    </row>
    <row r="2705" spans="33:33" x14ac:dyDescent="0.25">
      <c r="AG2705" s="185"/>
    </row>
    <row r="2706" spans="33:33" x14ac:dyDescent="0.25">
      <c r="AG2706" s="185"/>
    </row>
    <row r="2707" spans="33:33" x14ac:dyDescent="0.25">
      <c r="AG2707" s="185"/>
    </row>
    <row r="2708" spans="33:33" x14ac:dyDescent="0.25">
      <c r="AG2708" s="185"/>
    </row>
    <row r="2709" spans="33:33" x14ac:dyDescent="0.25">
      <c r="AG2709" s="185"/>
    </row>
    <row r="2710" spans="33:33" x14ac:dyDescent="0.25">
      <c r="AG2710" s="185"/>
    </row>
    <row r="2711" spans="33:33" x14ac:dyDescent="0.25">
      <c r="AG2711" s="185"/>
    </row>
    <row r="2712" spans="33:33" x14ac:dyDescent="0.25">
      <c r="AG2712" s="185"/>
    </row>
    <row r="2713" spans="33:33" x14ac:dyDescent="0.25">
      <c r="AG2713" s="185"/>
    </row>
    <row r="2714" spans="33:33" x14ac:dyDescent="0.25">
      <c r="AG2714" s="185"/>
    </row>
    <row r="2715" spans="33:33" x14ac:dyDescent="0.25">
      <c r="AG2715" s="185"/>
    </row>
    <row r="2716" spans="33:33" x14ac:dyDescent="0.25">
      <c r="AG2716" s="185"/>
    </row>
    <row r="2717" spans="33:33" x14ac:dyDescent="0.25">
      <c r="AG2717" s="185"/>
    </row>
    <row r="2718" spans="33:33" x14ac:dyDescent="0.25">
      <c r="AG2718" s="185"/>
    </row>
    <row r="2719" spans="33:33" x14ac:dyDescent="0.25">
      <c r="AG2719" s="185"/>
    </row>
    <row r="2720" spans="33:33" x14ac:dyDescent="0.25">
      <c r="AG2720" s="185"/>
    </row>
    <row r="2721" spans="33:33" x14ac:dyDescent="0.25">
      <c r="AG2721" s="185"/>
    </row>
    <row r="2722" spans="33:33" x14ac:dyDescent="0.25">
      <c r="AG2722" s="185"/>
    </row>
    <row r="2723" spans="33:33" x14ac:dyDescent="0.25">
      <c r="AG2723" s="185"/>
    </row>
    <row r="2724" spans="33:33" x14ac:dyDescent="0.25">
      <c r="AG2724" s="185"/>
    </row>
    <row r="2725" spans="33:33" x14ac:dyDescent="0.25">
      <c r="AG2725" s="185"/>
    </row>
    <row r="2726" spans="33:33" x14ac:dyDescent="0.25">
      <c r="AG2726" s="185"/>
    </row>
    <row r="2727" spans="33:33" x14ac:dyDescent="0.25">
      <c r="AG2727" s="185"/>
    </row>
    <row r="2728" spans="33:33" x14ac:dyDescent="0.25">
      <c r="AG2728" s="185"/>
    </row>
    <row r="2729" spans="33:33" x14ac:dyDescent="0.25">
      <c r="AG2729" s="185"/>
    </row>
    <row r="2730" spans="33:33" x14ac:dyDescent="0.25">
      <c r="AG2730" s="185"/>
    </row>
    <row r="2731" spans="33:33" x14ac:dyDescent="0.25">
      <c r="AG2731" s="185"/>
    </row>
    <row r="2732" spans="33:33" x14ac:dyDescent="0.25">
      <c r="AG2732" s="185"/>
    </row>
    <row r="2733" spans="33:33" x14ac:dyDescent="0.25">
      <c r="AG2733" s="185"/>
    </row>
    <row r="2734" spans="33:33" x14ac:dyDescent="0.25">
      <c r="AG2734" s="185"/>
    </row>
    <row r="2735" spans="33:33" x14ac:dyDescent="0.25">
      <c r="AG2735" s="185"/>
    </row>
    <row r="2736" spans="33:33" x14ac:dyDescent="0.25">
      <c r="AG2736" s="185"/>
    </row>
    <row r="2737" spans="33:33" x14ac:dyDescent="0.25">
      <c r="AG2737" s="185"/>
    </row>
    <row r="2738" spans="33:33" x14ac:dyDescent="0.25">
      <c r="AG2738" s="185"/>
    </row>
    <row r="2739" spans="33:33" x14ac:dyDescent="0.25">
      <c r="AG2739" s="185"/>
    </row>
    <row r="2740" spans="33:33" x14ac:dyDescent="0.25">
      <c r="AG2740" s="185"/>
    </row>
    <row r="2741" spans="33:33" x14ac:dyDescent="0.25">
      <c r="AG2741" s="185"/>
    </row>
    <row r="2742" spans="33:33" x14ac:dyDescent="0.25">
      <c r="AG2742" s="185"/>
    </row>
    <row r="2743" spans="33:33" x14ac:dyDescent="0.25">
      <c r="AG2743" s="185"/>
    </row>
    <row r="2744" spans="33:33" x14ac:dyDescent="0.25">
      <c r="AG2744" s="185"/>
    </row>
    <row r="2745" spans="33:33" x14ac:dyDescent="0.25">
      <c r="AG2745" s="185"/>
    </row>
    <row r="2746" spans="33:33" x14ac:dyDescent="0.25">
      <c r="AG2746" s="185"/>
    </row>
    <row r="2747" spans="33:33" x14ac:dyDescent="0.25">
      <c r="AG2747" s="185"/>
    </row>
    <row r="2748" spans="33:33" x14ac:dyDescent="0.25">
      <c r="AG2748" s="185"/>
    </row>
    <row r="2749" spans="33:33" x14ac:dyDescent="0.25">
      <c r="AG2749" s="185"/>
    </row>
    <row r="2750" spans="33:33" x14ac:dyDescent="0.25">
      <c r="AG2750" s="185"/>
    </row>
    <row r="2751" spans="33:33" x14ac:dyDescent="0.25">
      <c r="AG2751" s="185"/>
    </row>
    <row r="2752" spans="33:33" x14ac:dyDescent="0.25">
      <c r="AG2752" s="185"/>
    </row>
    <row r="2753" spans="33:33" x14ac:dyDescent="0.25">
      <c r="AG2753" s="185"/>
    </row>
    <row r="2754" spans="33:33" x14ac:dyDescent="0.25">
      <c r="AG2754" s="185"/>
    </row>
    <row r="2755" spans="33:33" x14ac:dyDescent="0.25">
      <c r="AG2755" s="185"/>
    </row>
    <row r="2756" spans="33:33" x14ac:dyDescent="0.25">
      <c r="AG2756" s="185"/>
    </row>
    <row r="2757" spans="33:33" x14ac:dyDescent="0.25">
      <c r="AG2757" s="185"/>
    </row>
    <row r="2758" spans="33:33" x14ac:dyDescent="0.25">
      <c r="AG2758" s="185"/>
    </row>
    <row r="2759" spans="33:33" x14ac:dyDescent="0.25">
      <c r="AG2759" s="185"/>
    </row>
    <row r="2760" spans="33:33" x14ac:dyDescent="0.25">
      <c r="AG2760" s="185"/>
    </row>
    <row r="2761" spans="33:33" x14ac:dyDescent="0.25">
      <c r="AG2761" s="185"/>
    </row>
    <row r="2762" spans="33:33" x14ac:dyDescent="0.25">
      <c r="AG2762" s="185"/>
    </row>
    <row r="2763" spans="33:33" x14ac:dyDescent="0.25">
      <c r="AG2763" s="185"/>
    </row>
    <row r="2764" spans="33:33" x14ac:dyDescent="0.25">
      <c r="AG2764" s="185"/>
    </row>
    <row r="2765" spans="33:33" x14ac:dyDescent="0.25">
      <c r="AG2765" s="185"/>
    </row>
    <row r="2766" spans="33:33" x14ac:dyDescent="0.25">
      <c r="AG2766" s="185"/>
    </row>
    <row r="2767" spans="33:33" x14ac:dyDescent="0.25">
      <c r="AG2767" s="185"/>
    </row>
    <row r="2768" spans="33:33" x14ac:dyDescent="0.25">
      <c r="AG2768" s="185"/>
    </row>
    <row r="2769" spans="33:33" x14ac:dyDescent="0.25">
      <c r="AG2769" s="185"/>
    </row>
    <row r="2770" spans="33:33" x14ac:dyDescent="0.25">
      <c r="AG2770" s="185"/>
    </row>
    <row r="2771" spans="33:33" x14ac:dyDescent="0.25">
      <c r="AG2771" s="185"/>
    </row>
    <row r="2772" spans="33:33" x14ac:dyDescent="0.25">
      <c r="AG2772" s="185"/>
    </row>
    <row r="2773" spans="33:33" x14ac:dyDescent="0.25">
      <c r="AG2773" s="185"/>
    </row>
    <row r="2774" spans="33:33" x14ac:dyDescent="0.25">
      <c r="AG2774" s="185"/>
    </row>
    <row r="2775" spans="33:33" x14ac:dyDescent="0.25">
      <c r="AG2775" s="185"/>
    </row>
    <row r="2776" spans="33:33" x14ac:dyDescent="0.25">
      <c r="AG2776" s="185"/>
    </row>
    <row r="2777" spans="33:33" x14ac:dyDescent="0.25">
      <c r="AG2777" s="185"/>
    </row>
    <row r="2778" spans="33:33" x14ac:dyDescent="0.25">
      <c r="AG2778" s="185"/>
    </row>
    <row r="2779" spans="33:33" x14ac:dyDescent="0.25">
      <c r="AG2779" s="185"/>
    </row>
    <row r="2780" spans="33:33" x14ac:dyDescent="0.25">
      <c r="AG2780" s="185"/>
    </row>
    <row r="2781" spans="33:33" x14ac:dyDescent="0.25">
      <c r="AG2781" s="185"/>
    </row>
    <row r="2782" spans="33:33" x14ac:dyDescent="0.25">
      <c r="AG2782" s="185"/>
    </row>
    <row r="2783" spans="33:33" x14ac:dyDescent="0.25">
      <c r="AG2783" s="185"/>
    </row>
    <row r="2784" spans="33:33" x14ac:dyDescent="0.25">
      <c r="AG2784" s="185"/>
    </row>
    <row r="2785" spans="33:33" x14ac:dyDescent="0.25">
      <c r="AG2785" s="185"/>
    </row>
    <row r="2786" spans="33:33" x14ac:dyDescent="0.25">
      <c r="AG2786" s="185"/>
    </row>
    <row r="2787" spans="33:33" x14ac:dyDescent="0.25">
      <c r="AG2787" s="185"/>
    </row>
    <row r="2788" spans="33:33" x14ac:dyDescent="0.25">
      <c r="AG2788" s="185"/>
    </row>
    <row r="2789" spans="33:33" x14ac:dyDescent="0.25">
      <c r="AG2789" s="185"/>
    </row>
    <row r="2790" spans="33:33" x14ac:dyDescent="0.25">
      <c r="AG2790" s="185"/>
    </row>
    <row r="2791" spans="33:33" x14ac:dyDescent="0.25">
      <c r="AG2791" s="185"/>
    </row>
    <row r="2792" spans="33:33" x14ac:dyDescent="0.25">
      <c r="AG2792" s="185"/>
    </row>
    <row r="2793" spans="33:33" x14ac:dyDescent="0.25">
      <c r="AG2793" s="185"/>
    </row>
    <row r="2794" spans="33:33" x14ac:dyDescent="0.25">
      <c r="AG2794" s="185"/>
    </row>
    <row r="2795" spans="33:33" x14ac:dyDescent="0.25">
      <c r="AG2795" s="185"/>
    </row>
    <row r="2796" spans="33:33" x14ac:dyDescent="0.25">
      <c r="AG2796" s="185"/>
    </row>
    <row r="2797" spans="33:33" x14ac:dyDescent="0.25">
      <c r="AG2797" s="185"/>
    </row>
    <row r="2798" spans="33:33" x14ac:dyDescent="0.25">
      <c r="AG2798" s="185"/>
    </row>
    <row r="2799" spans="33:33" x14ac:dyDescent="0.25">
      <c r="AG2799" s="185"/>
    </row>
    <row r="2800" spans="33:33" x14ac:dyDescent="0.25">
      <c r="AG2800" s="185"/>
    </row>
    <row r="2801" spans="33:33" x14ac:dyDescent="0.25">
      <c r="AG2801" s="185"/>
    </row>
    <row r="2802" spans="33:33" x14ac:dyDescent="0.25">
      <c r="AG2802" s="185"/>
    </row>
    <row r="2803" spans="33:33" x14ac:dyDescent="0.25">
      <c r="AG2803" s="185"/>
    </row>
    <row r="2804" spans="33:33" x14ac:dyDescent="0.25">
      <c r="AG2804" s="185"/>
    </row>
    <row r="2805" spans="33:33" x14ac:dyDescent="0.25">
      <c r="AG2805" s="185"/>
    </row>
    <row r="2806" spans="33:33" x14ac:dyDescent="0.25">
      <c r="AG2806" s="185"/>
    </row>
    <row r="2807" spans="33:33" x14ac:dyDescent="0.25">
      <c r="AG2807" s="185"/>
    </row>
    <row r="2808" spans="33:33" x14ac:dyDescent="0.25">
      <c r="AG2808" s="185"/>
    </row>
    <row r="2809" spans="33:33" x14ac:dyDescent="0.25">
      <c r="AG2809" s="185"/>
    </row>
    <row r="2810" spans="33:33" x14ac:dyDescent="0.25">
      <c r="AG2810" s="185"/>
    </row>
    <row r="2811" spans="33:33" x14ac:dyDescent="0.25">
      <c r="AG2811" s="185"/>
    </row>
    <row r="2812" spans="33:33" x14ac:dyDescent="0.25">
      <c r="AG2812" s="185"/>
    </row>
    <row r="2813" spans="33:33" x14ac:dyDescent="0.25">
      <c r="AG2813" s="185"/>
    </row>
    <row r="2814" spans="33:33" x14ac:dyDescent="0.25">
      <c r="AG2814" s="185"/>
    </row>
    <row r="2815" spans="33:33" x14ac:dyDescent="0.25">
      <c r="AG2815" s="185"/>
    </row>
    <row r="2816" spans="33:33" x14ac:dyDescent="0.25">
      <c r="AG2816" s="185"/>
    </row>
    <row r="2817" spans="33:33" x14ac:dyDescent="0.25">
      <c r="AG2817" s="185"/>
    </row>
    <row r="2818" spans="33:33" x14ac:dyDescent="0.25">
      <c r="AG2818" s="185"/>
    </row>
    <row r="2819" spans="33:33" x14ac:dyDescent="0.25">
      <c r="AG2819" s="185"/>
    </row>
    <row r="2820" spans="33:33" x14ac:dyDescent="0.25">
      <c r="AG2820" s="185"/>
    </row>
    <row r="2821" spans="33:33" x14ac:dyDescent="0.25">
      <c r="AG2821" s="185"/>
    </row>
    <row r="2822" spans="33:33" x14ac:dyDescent="0.25">
      <c r="AG2822" s="185"/>
    </row>
    <row r="2823" spans="33:33" x14ac:dyDescent="0.25">
      <c r="AG2823" s="185"/>
    </row>
    <row r="2824" spans="33:33" x14ac:dyDescent="0.25">
      <c r="AG2824" s="185"/>
    </row>
    <row r="2825" spans="33:33" x14ac:dyDescent="0.25">
      <c r="AG2825" s="185"/>
    </row>
    <row r="2826" spans="33:33" x14ac:dyDescent="0.25">
      <c r="AG2826" s="185"/>
    </row>
    <row r="2827" spans="33:33" x14ac:dyDescent="0.25">
      <c r="AG2827" s="185"/>
    </row>
    <row r="2828" spans="33:33" x14ac:dyDescent="0.25">
      <c r="AG2828" s="185"/>
    </row>
    <row r="2829" spans="33:33" x14ac:dyDescent="0.25">
      <c r="AG2829" s="185"/>
    </row>
    <row r="2830" spans="33:33" x14ac:dyDescent="0.25">
      <c r="AG2830" s="185"/>
    </row>
    <row r="2831" spans="33:33" x14ac:dyDescent="0.25">
      <c r="AG2831" s="185"/>
    </row>
    <row r="2832" spans="33:33" x14ac:dyDescent="0.25">
      <c r="AG2832" s="185"/>
    </row>
    <row r="2833" spans="33:33" x14ac:dyDescent="0.25">
      <c r="AG2833" s="185"/>
    </row>
    <row r="2834" spans="33:33" x14ac:dyDescent="0.25">
      <c r="AG2834" s="185"/>
    </row>
    <row r="2835" spans="33:33" x14ac:dyDescent="0.25">
      <c r="AG2835" s="185"/>
    </row>
    <row r="2836" spans="33:33" x14ac:dyDescent="0.25">
      <c r="AG2836" s="185"/>
    </row>
    <row r="2837" spans="33:33" x14ac:dyDescent="0.25">
      <c r="AG2837" s="185"/>
    </row>
    <row r="2838" spans="33:33" x14ac:dyDescent="0.25">
      <c r="AG2838" s="185"/>
    </row>
    <row r="2839" spans="33:33" x14ac:dyDescent="0.25">
      <c r="AG2839" s="185"/>
    </row>
    <row r="2840" spans="33:33" x14ac:dyDescent="0.25">
      <c r="AG2840" s="185"/>
    </row>
    <row r="2841" spans="33:33" x14ac:dyDescent="0.25">
      <c r="AG2841" s="185"/>
    </row>
    <row r="2842" spans="33:33" x14ac:dyDescent="0.25">
      <c r="AG2842" s="185"/>
    </row>
    <row r="2843" spans="33:33" x14ac:dyDescent="0.25">
      <c r="AG2843" s="185"/>
    </row>
    <row r="2844" spans="33:33" x14ac:dyDescent="0.25">
      <c r="AG2844" s="185"/>
    </row>
    <row r="2845" spans="33:33" x14ac:dyDescent="0.25">
      <c r="AG2845" s="185"/>
    </row>
    <row r="2846" spans="33:33" x14ac:dyDescent="0.25">
      <c r="AG2846" s="185"/>
    </row>
    <row r="2847" spans="33:33" x14ac:dyDescent="0.25">
      <c r="AG2847" s="185"/>
    </row>
    <row r="2848" spans="33:33" x14ac:dyDescent="0.25">
      <c r="AG2848" s="185"/>
    </row>
    <row r="2849" spans="33:33" x14ac:dyDescent="0.25">
      <c r="AG2849" s="185"/>
    </row>
    <row r="2850" spans="33:33" x14ac:dyDescent="0.25">
      <c r="AG2850" s="185"/>
    </row>
    <row r="2851" spans="33:33" x14ac:dyDescent="0.25">
      <c r="AG2851" s="185"/>
    </row>
    <row r="2852" spans="33:33" x14ac:dyDescent="0.25">
      <c r="AG2852" s="185"/>
    </row>
    <row r="2853" spans="33:33" x14ac:dyDescent="0.25">
      <c r="AG2853" s="185"/>
    </row>
    <row r="2854" spans="33:33" x14ac:dyDescent="0.25">
      <c r="AG2854" s="185"/>
    </row>
    <row r="2855" spans="33:33" x14ac:dyDescent="0.25">
      <c r="AG2855" s="185"/>
    </row>
    <row r="2856" spans="33:33" x14ac:dyDescent="0.25">
      <c r="AG2856" s="185"/>
    </row>
    <row r="2857" spans="33:33" x14ac:dyDescent="0.25">
      <c r="AG2857" s="185"/>
    </row>
    <row r="2858" spans="33:33" x14ac:dyDescent="0.25">
      <c r="AG2858" s="185"/>
    </row>
    <row r="2859" spans="33:33" x14ac:dyDescent="0.25">
      <c r="AG2859" s="185"/>
    </row>
    <row r="2860" spans="33:33" x14ac:dyDescent="0.25">
      <c r="AG2860" s="185"/>
    </row>
    <row r="2861" spans="33:33" x14ac:dyDescent="0.25">
      <c r="AG2861" s="185"/>
    </row>
    <row r="2862" spans="33:33" x14ac:dyDescent="0.25">
      <c r="AG2862" s="185"/>
    </row>
    <row r="2863" spans="33:33" x14ac:dyDescent="0.25">
      <c r="AG2863" s="185"/>
    </row>
    <row r="2864" spans="33:33" x14ac:dyDescent="0.25">
      <c r="AG2864" s="185"/>
    </row>
    <row r="2865" spans="33:33" x14ac:dyDescent="0.25">
      <c r="AG2865" s="185"/>
    </row>
    <row r="2866" spans="33:33" x14ac:dyDescent="0.25">
      <c r="AG2866" s="185"/>
    </row>
    <row r="2867" spans="33:33" x14ac:dyDescent="0.25">
      <c r="AG2867" s="185"/>
    </row>
    <row r="2868" spans="33:33" x14ac:dyDescent="0.25">
      <c r="AG2868" s="185"/>
    </row>
    <row r="2869" spans="33:33" x14ac:dyDescent="0.25">
      <c r="AG2869" s="185"/>
    </row>
    <row r="2870" spans="33:33" x14ac:dyDescent="0.25">
      <c r="AG2870" s="185"/>
    </row>
    <row r="2871" spans="33:33" x14ac:dyDescent="0.25">
      <c r="AG2871" s="185"/>
    </row>
    <row r="2872" spans="33:33" x14ac:dyDescent="0.25">
      <c r="AG2872" s="185"/>
    </row>
    <row r="2873" spans="33:33" x14ac:dyDescent="0.25">
      <c r="AG2873" s="185"/>
    </row>
    <row r="2874" spans="33:33" x14ac:dyDescent="0.25">
      <c r="AG2874" s="185"/>
    </row>
    <row r="2875" spans="33:33" x14ac:dyDescent="0.25">
      <c r="AG2875" s="185"/>
    </row>
    <row r="2876" spans="33:33" x14ac:dyDescent="0.25">
      <c r="AG2876" s="185"/>
    </row>
    <row r="2877" spans="33:33" x14ac:dyDescent="0.25">
      <c r="AG2877" s="185"/>
    </row>
    <row r="2878" spans="33:33" x14ac:dyDescent="0.25">
      <c r="AG2878" s="185"/>
    </row>
    <row r="2879" spans="33:33" x14ac:dyDescent="0.25">
      <c r="AG2879" s="185"/>
    </row>
    <row r="2880" spans="33:33" x14ac:dyDescent="0.25">
      <c r="AG2880" s="185"/>
    </row>
    <row r="2881" spans="33:33" x14ac:dyDescent="0.25">
      <c r="AG2881" s="185"/>
    </row>
    <row r="2882" spans="33:33" x14ac:dyDescent="0.25">
      <c r="AG2882" s="185"/>
    </row>
    <row r="2883" spans="33:33" x14ac:dyDescent="0.25">
      <c r="AG2883" s="185"/>
    </row>
    <row r="2884" spans="33:33" x14ac:dyDescent="0.25">
      <c r="AG2884" s="185"/>
    </row>
    <row r="2885" spans="33:33" x14ac:dyDescent="0.25">
      <c r="AG2885" s="185"/>
    </row>
    <row r="2886" spans="33:33" x14ac:dyDescent="0.25">
      <c r="AG2886" s="185"/>
    </row>
    <row r="2887" spans="33:33" x14ac:dyDescent="0.25">
      <c r="AG2887" s="185"/>
    </row>
    <row r="2888" spans="33:33" x14ac:dyDescent="0.25">
      <c r="AG2888" s="185"/>
    </row>
    <row r="2889" spans="33:33" x14ac:dyDescent="0.25">
      <c r="AG2889" s="185"/>
    </row>
    <row r="2890" spans="33:33" x14ac:dyDescent="0.25">
      <c r="AG2890" s="185"/>
    </row>
    <row r="2891" spans="33:33" x14ac:dyDescent="0.25">
      <c r="AG2891" s="185"/>
    </row>
    <row r="2892" spans="33:33" x14ac:dyDescent="0.25">
      <c r="AG2892" s="185"/>
    </row>
    <row r="2893" spans="33:33" x14ac:dyDescent="0.25">
      <c r="AG2893" s="185"/>
    </row>
    <row r="2894" spans="33:33" x14ac:dyDescent="0.25">
      <c r="AG2894" s="185"/>
    </row>
    <row r="2895" spans="33:33" x14ac:dyDescent="0.25">
      <c r="AG2895" s="185"/>
    </row>
    <row r="2896" spans="33:33" x14ac:dyDescent="0.25">
      <c r="AG2896" s="185"/>
    </row>
    <row r="2897" spans="33:33" x14ac:dyDescent="0.25">
      <c r="AG2897" s="185"/>
    </row>
    <row r="2898" spans="33:33" x14ac:dyDescent="0.25">
      <c r="AG2898" s="185"/>
    </row>
    <row r="2899" spans="33:33" x14ac:dyDescent="0.25">
      <c r="AG2899" s="185"/>
    </row>
    <row r="2900" spans="33:33" x14ac:dyDescent="0.25">
      <c r="AG2900" s="185"/>
    </row>
    <row r="2901" spans="33:33" x14ac:dyDescent="0.25">
      <c r="AG2901" s="185"/>
    </row>
    <row r="2902" spans="33:33" x14ac:dyDescent="0.25">
      <c r="AG2902" s="185"/>
    </row>
    <row r="2903" spans="33:33" x14ac:dyDescent="0.25">
      <c r="AG2903" s="185"/>
    </row>
    <row r="2904" spans="33:33" x14ac:dyDescent="0.25">
      <c r="AG2904" s="185"/>
    </row>
    <row r="2905" spans="33:33" x14ac:dyDescent="0.25">
      <c r="AG2905" s="185"/>
    </row>
    <row r="2906" spans="33:33" x14ac:dyDescent="0.25">
      <c r="AG2906" s="185"/>
    </row>
    <row r="2907" spans="33:33" x14ac:dyDescent="0.25">
      <c r="AG2907" s="185"/>
    </row>
    <row r="2908" spans="33:33" x14ac:dyDescent="0.25">
      <c r="AG2908" s="185"/>
    </row>
    <row r="2909" spans="33:33" x14ac:dyDescent="0.25">
      <c r="AG2909" s="185"/>
    </row>
    <row r="2910" spans="33:33" x14ac:dyDescent="0.25">
      <c r="AG2910" s="185"/>
    </row>
    <row r="2911" spans="33:33" x14ac:dyDescent="0.25">
      <c r="AG2911" s="185"/>
    </row>
    <row r="2912" spans="33:33" x14ac:dyDescent="0.25">
      <c r="AG2912" s="185"/>
    </row>
    <row r="2913" spans="33:33" x14ac:dyDescent="0.25">
      <c r="AG2913" s="185"/>
    </row>
    <row r="2914" spans="33:33" x14ac:dyDescent="0.25">
      <c r="AG2914" s="185"/>
    </row>
    <row r="2915" spans="33:33" x14ac:dyDescent="0.25">
      <c r="AG2915" s="185"/>
    </row>
    <row r="2916" spans="33:33" x14ac:dyDescent="0.25">
      <c r="AG2916" s="185"/>
    </row>
    <row r="2917" spans="33:33" x14ac:dyDescent="0.25">
      <c r="AG2917" s="185"/>
    </row>
    <row r="2918" spans="33:33" x14ac:dyDescent="0.25">
      <c r="AG2918" s="185"/>
    </row>
    <row r="2919" spans="33:33" x14ac:dyDescent="0.25">
      <c r="AG2919" s="185"/>
    </row>
    <row r="2920" spans="33:33" x14ac:dyDescent="0.25">
      <c r="AG2920" s="185"/>
    </row>
    <row r="2921" spans="33:33" x14ac:dyDescent="0.25">
      <c r="AG2921" s="185"/>
    </row>
    <row r="2922" spans="33:33" x14ac:dyDescent="0.25">
      <c r="AG2922" s="185"/>
    </row>
    <row r="2923" spans="33:33" x14ac:dyDescent="0.25">
      <c r="AG2923" s="185"/>
    </row>
    <row r="2924" spans="33:33" x14ac:dyDescent="0.25">
      <c r="AG2924" s="185"/>
    </row>
    <row r="2925" spans="33:33" x14ac:dyDescent="0.25">
      <c r="AG2925" s="185"/>
    </row>
    <row r="2926" spans="33:33" x14ac:dyDescent="0.25">
      <c r="AG2926" s="185"/>
    </row>
    <row r="2927" spans="33:33" x14ac:dyDescent="0.25">
      <c r="AG2927" s="185"/>
    </row>
    <row r="2928" spans="33:33" x14ac:dyDescent="0.25">
      <c r="AG2928" s="185"/>
    </row>
    <row r="2929" spans="33:33" x14ac:dyDescent="0.25">
      <c r="AG2929" s="185"/>
    </row>
    <row r="2930" spans="33:33" x14ac:dyDescent="0.25">
      <c r="AG2930" s="185"/>
    </row>
    <row r="2931" spans="33:33" x14ac:dyDescent="0.25">
      <c r="AG2931" s="185"/>
    </row>
    <row r="2932" spans="33:33" x14ac:dyDescent="0.25">
      <c r="AG2932" s="185"/>
    </row>
    <row r="2933" spans="33:33" x14ac:dyDescent="0.25">
      <c r="AG2933" s="185"/>
    </row>
    <row r="2934" spans="33:33" x14ac:dyDescent="0.25">
      <c r="AG2934" s="185"/>
    </row>
    <row r="2935" spans="33:33" x14ac:dyDescent="0.25">
      <c r="AG2935" s="185"/>
    </row>
    <row r="2936" spans="33:33" x14ac:dyDescent="0.25">
      <c r="AG2936" s="185"/>
    </row>
    <row r="2937" spans="33:33" x14ac:dyDescent="0.25">
      <c r="AG2937" s="185"/>
    </row>
    <row r="2938" spans="33:33" x14ac:dyDescent="0.25">
      <c r="AG2938" s="185"/>
    </row>
    <row r="2939" spans="33:33" x14ac:dyDescent="0.25">
      <c r="AG2939" s="185"/>
    </row>
    <row r="2940" spans="33:33" x14ac:dyDescent="0.25">
      <c r="AG2940" s="185"/>
    </row>
    <row r="2941" spans="33:33" x14ac:dyDescent="0.25">
      <c r="AG2941" s="185"/>
    </row>
    <row r="2942" spans="33:33" x14ac:dyDescent="0.25">
      <c r="AG2942" s="185"/>
    </row>
    <row r="2943" spans="33:33" x14ac:dyDescent="0.25">
      <c r="AG2943" s="185"/>
    </row>
    <row r="2944" spans="33:33" x14ac:dyDescent="0.25">
      <c r="AG2944" s="185"/>
    </row>
    <row r="2945" spans="33:33" x14ac:dyDescent="0.25">
      <c r="AG2945" s="185"/>
    </row>
    <row r="2946" spans="33:33" x14ac:dyDescent="0.25">
      <c r="AG2946" s="185"/>
    </row>
    <row r="2947" spans="33:33" x14ac:dyDescent="0.25">
      <c r="AG2947" s="185"/>
    </row>
    <row r="2948" spans="33:33" x14ac:dyDescent="0.25">
      <c r="AG2948" s="185"/>
    </row>
    <row r="2949" spans="33:33" x14ac:dyDescent="0.25">
      <c r="AG2949" s="185"/>
    </row>
    <row r="2950" spans="33:33" x14ac:dyDescent="0.25">
      <c r="AG2950" s="185"/>
    </row>
    <row r="2951" spans="33:33" x14ac:dyDescent="0.25">
      <c r="AG2951" s="185"/>
    </row>
    <row r="2952" spans="33:33" x14ac:dyDescent="0.25">
      <c r="AG2952" s="185"/>
    </row>
    <row r="2953" spans="33:33" x14ac:dyDescent="0.25">
      <c r="AG2953" s="185"/>
    </row>
    <row r="2954" spans="33:33" x14ac:dyDescent="0.25">
      <c r="AG2954" s="185"/>
    </row>
    <row r="2955" spans="33:33" x14ac:dyDescent="0.25">
      <c r="AG2955" s="185"/>
    </row>
    <row r="2956" spans="33:33" x14ac:dyDescent="0.25">
      <c r="AG2956" s="185"/>
    </row>
    <row r="2957" spans="33:33" x14ac:dyDescent="0.25">
      <c r="AG2957" s="185"/>
    </row>
    <row r="2958" spans="33:33" x14ac:dyDescent="0.25">
      <c r="AG2958" s="185"/>
    </row>
    <row r="2959" spans="33:33" x14ac:dyDescent="0.25">
      <c r="AG2959" s="185"/>
    </row>
    <row r="2960" spans="33:33" x14ac:dyDescent="0.25">
      <c r="AG2960" s="185"/>
    </row>
    <row r="2961" spans="33:33" x14ac:dyDescent="0.25">
      <c r="AG2961" s="185"/>
    </row>
    <row r="2962" spans="33:33" x14ac:dyDescent="0.25">
      <c r="AG2962" s="185"/>
    </row>
    <row r="2963" spans="33:33" x14ac:dyDescent="0.25">
      <c r="AG2963" s="185"/>
    </row>
    <row r="2964" spans="33:33" x14ac:dyDescent="0.25">
      <c r="AG2964" s="185"/>
    </row>
    <row r="2965" spans="33:33" x14ac:dyDescent="0.25">
      <c r="AG2965" s="185"/>
    </row>
    <row r="2966" spans="33:33" x14ac:dyDescent="0.25">
      <c r="AG2966" s="185"/>
    </row>
    <row r="2967" spans="33:33" x14ac:dyDescent="0.25">
      <c r="AG2967" s="185"/>
    </row>
    <row r="2968" spans="33:33" x14ac:dyDescent="0.25">
      <c r="AG2968" s="185"/>
    </row>
    <row r="2969" spans="33:33" x14ac:dyDescent="0.25">
      <c r="AG2969" s="185"/>
    </row>
    <row r="2970" spans="33:33" x14ac:dyDescent="0.25">
      <c r="AG2970" s="185"/>
    </row>
    <row r="2971" spans="33:33" x14ac:dyDescent="0.25">
      <c r="AG2971" s="185"/>
    </row>
    <row r="2972" spans="33:33" x14ac:dyDescent="0.25">
      <c r="AG2972" s="185"/>
    </row>
    <row r="2973" spans="33:33" x14ac:dyDescent="0.25">
      <c r="AG2973" s="185"/>
    </row>
    <row r="2974" spans="33:33" x14ac:dyDescent="0.25">
      <c r="AG2974" s="185"/>
    </row>
    <row r="2975" spans="33:33" x14ac:dyDescent="0.25">
      <c r="AG2975" s="185"/>
    </row>
    <row r="2976" spans="33:33" x14ac:dyDescent="0.25">
      <c r="AG2976" s="185"/>
    </row>
    <row r="2977" spans="33:33" x14ac:dyDescent="0.25">
      <c r="AG2977" s="185"/>
    </row>
    <row r="2978" spans="33:33" x14ac:dyDescent="0.25">
      <c r="AG2978" s="185"/>
    </row>
    <row r="2979" spans="33:33" x14ac:dyDescent="0.25">
      <c r="AG2979" s="185"/>
    </row>
    <row r="2980" spans="33:33" x14ac:dyDescent="0.25">
      <c r="AG2980" s="185"/>
    </row>
    <row r="2981" spans="33:33" x14ac:dyDescent="0.25">
      <c r="AG2981" s="185"/>
    </row>
    <row r="2982" spans="33:33" x14ac:dyDescent="0.25">
      <c r="AG2982" s="185"/>
    </row>
    <row r="2983" spans="33:33" x14ac:dyDescent="0.25">
      <c r="AG2983" s="185"/>
    </row>
    <row r="2984" spans="33:33" x14ac:dyDescent="0.25">
      <c r="AG2984" s="185"/>
    </row>
    <row r="2985" spans="33:33" x14ac:dyDescent="0.25">
      <c r="AG2985" s="185"/>
    </row>
    <row r="2986" spans="33:33" x14ac:dyDescent="0.25">
      <c r="AG2986" s="185"/>
    </row>
    <row r="2987" spans="33:33" x14ac:dyDescent="0.25">
      <c r="AG2987" s="185"/>
    </row>
    <row r="2988" spans="33:33" x14ac:dyDescent="0.25">
      <c r="AG2988" s="185"/>
    </row>
    <row r="2989" spans="33:33" x14ac:dyDescent="0.25">
      <c r="AG2989" s="185"/>
    </row>
    <row r="2990" spans="33:33" x14ac:dyDescent="0.25">
      <c r="AG2990" s="185"/>
    </row>
    <row r="2991" spans="33:33" x14ac:dyDescent="0.25">
      <c r="AG2991" s="185"/>
    </row>
    <row r="2992" spans="33:33" x14ac:dyDescent="0.25">
      <c r="AG2992" s="185"/>
    </row>
    <row r="2993" spans="33:33" x14ac:dyDescent="0.25">
      <c r="AG2993" s="185"/>
    </row>
    <row r="2994" spans="33:33" x14ac:dyDescent="0.25">
      <c r="AG2994" s="185"/>
    </row>
    <row r="2995" spans="33:33" x14ac:dyDescent="0.25">
      <c r="AG2995" s="185"/>
    </row>
    <row r="2996" spans="33:33" x14ac:dyDescent="0.25">
      <c r="AG2996" s="185"/>
    </row>
    <row r="2997" spans="33:33" x14ac:dyDescent="0.25">
      <c r="AG2997" s="185"/>
    </row>
    <row r="2998" spans="33:33" x14ac:dyDescent="0.25">
      <c r="AG2998" s="185"/>
    </row>
    <row r="2999" spans="33:33" x14ac:dyDescent="0.25">
      <c r="AG2999" s="185"/>
    </row>
    <row r="3000" spans="33:33" x14ac:dyDescent="0.25">
      <c r="AG3000" s="185"/>
    </row>
    <row r="3001" spans="33:33" x14ac:dyDescent="0.25">
      <c r="AG3001" s="185"/>
    </row>
    <row r="3002" spans="33:33" x14ac:dyDescent="0.25">
      <c r="AG3002" s="185"/>
    </row>
    <row r="3003" spans="33:33" x14ac:dyDescent="0.25">
      <c r="AG3003" s="185"/>
    </row>
    <row r="3004" spans="33:33" x14ac:dyDescent="0.25">
      <c r="AG3004" s="185"/>
    </row>
    <row r="3005" spans="33:33" x14ac:dyDescent="0.25">
      <c r="AG3005" s="185"/>
    </row>
    <row r="3006" spans="33:33" x14ac:dyDescent="0.25">
      <c r="AG3006" s="185"/>
    </row>
    <row r="3007" spans="33:33" x14ac:dyDescent="0.25">
      <c r="AG3007" s="185"/>
    </row>
    <row r="3008" spans="33:33" x14ac:dyDescent="0.25">
      <c r="AG3008" s="185"/>
    </row>
    <row r="3009" spans="33:33" x14ac:dyDescent="0.25">
      <c r="AG3009" s="185"/>
    </row>
    <row r="3010" spans="33:33" x14ac:dyDescent="0.25">
      <c r="AG3010" s="185"/>
    </row>
    <row r="3011" spans="33:33" x14ac:dyDescent="0.25">
      <c r="AG3011" s="185"/>
    </row>
    <row r="3012" spans="33:33" x14ac:dyDescent="0.25">
      <c r="AG3012" s="185"/>
    </row>
    <row r="3013" spans="33:33" x14ac:dyDescent="0.25">
      <c r="AG3013" s="185"/>
    </row>
    <row r="3014" spans="33:33" x14ac:dyDescent="0.25">
      <c r="AG3014" s="185"/>
    </row>
    <row r="3015" spans="33:33" x14ac:dyDescent="0.25">
      <c r="AG3015" s="185"/>
    </row>
    <row r="3016" spans="33:33" x14ac:dyDescent="0.25">
      <c r="AG3016" s="185"/>
    </row>
    <row r="3017" spans="33:33" x14ac:dyDescent="0.25">
      <c r="AG3017" s="185"/>
    </row>
    <row r="3018" spans="33:33" x14ac:dyDescent="0.25">
      <c r="AG3018" s="185"/>
    </row>
    <row r="3019" spans="33:33" x14ac:dyDescent="0.25">
      <c r="AG3019" s="185"/>
    </row>
    <row r="3020" spans="33:33" x14ac:dyDescent="0.25">
      <c r="AG3020" s="185"/>
    </row>
    <row r="3021" spans="33:33" x14ac:dyDescent="0.25">
      <c r="AG3021" s="185"/>
    </row>
    <row r="3022" spans="33:33" x14ac:dyDescent="0.25">
      <c r="AG3022" s="185"/>
    </row>
    <row r="3023" spans="33:33" x14ac:dyDescent="0.25">
      <c r="AG3023" s="185"/>
    </row>
    <row r="3024" spans="33:33" x14ac:dyDescent="0.25">
      <c r="AG3024" s="185"/>
    </row>
    <row r="3025" spans="33:33" x14ac:dyDescent="0.25">
      <c r="AG3025" s="185"/>
    </row>
    <row r="3026" spans="33:33" x14ac:dyDescent="0.25">
      <c r="AG3026" s="185"/>
    </row>
    <row r="3027" spans="33:33" x14ac:dyDescent="0.25">
      <c r="AG3027" s="185"/>
    </row>
    <row r="3028" spans="33:33" x14ac:dyDescent="0.25">
      <c r="AG3028" s="185"/>
    </row>
    <row r="3029" spans="33:33" x14ac:dyDescent="0.25">
      <c r="AG3029" s="185"/>
    </row>
    <row r="3030" spans="33:33" x14ac:dyDescent="0.25">
      <c r="AG3030" s="185"/>
    </row>
    <row r="3031" spans="33:33" x14ac:dyDescent="0.25">
      <c r="AG3031" s="185"/>
    </row>
    <row r="3032" spans="33:33" x14ac:dyDescent="0.25">
      <c r="AG3032" s="185"/>
    </row>
    <row r="3033" spans="33:33" x14ac:dyDescent="0.25">
      <c r="AG3033" s="185"/>
    </row>
    <row r="3034" spans="33:33" x14ac:dyDescent="0.25">
      <c r="AG3034" s="185"/>
    </row>
    <row r="3035" spans="33:33" x14ac:dyDescent="0.25">
      <c r="AG3035" s="185"/>
    </row>
    <row r="3036" spans="33:33" x14ac:dyDescent="0.25">
      <c r="AG3036" s="185"/>
    </row>
    <row r="3037" spans="33:33" x14ac:dyDescent="0.25">
      <c r="AG3037" s="185"/>
    </row>
    <row r="3038" spans="33:33" x14ac:dyDescent="0.25">
      <c r="AG3038" s="185"/>
    </row>
    <row r="3039" spans="33:33" x14ac:dyDescent="0.25">
      <c r="AG3039" s="185"/>
    </row>
    <row r="3040" spans="33:33" x14ac:dyDescent="0.25">
      <c r="AG3040" s="185"/>
    </row>
    <row r="3041" spans="33:33" x14ac:dyDescent="0.25">
      <c r="AG3041" s="185"/>
    </row>
    <row r="3042" spans="33:33" x14ac:dyDescent="0.25">
      <c r="AG3042" s="185"/>
    </row>
    <row r="3043" spans="33:33" x14ac:dyDescent="0.25">
      <c r="AG3043" s="185"/>
    </row>
    <row r="3044" spans="33:33" x14ac:dyDescent="0.25">
      <c r="AG3044" s="185"/>
    </row>
    <row r="3045" spans="33:33" x14ac:dyDescent="0.25">
      <c r="AG3045" s="185"/>
    </row>
    <row r="3046" spans="33:33" x14ac:dyDescent="0.25">
      <c r="AG3046" s="185"/>
    </row>
    <row r="3047" spans="33:33" x14ac:dyDescent="0.25">
      <c r="AG3047" s="185"/>
    </row>
    <row r="3048" spans="33:33" x14ac:dyDescent="0.25">
      <c r="AG3048" s="185"/>
    </row>
    <row r="3049" spans="33:33" x14ac:dyDescent="0.25">
      <c r="AG3049" s="185"/>
    </row>
    <row r="3050" spans="33:33" x14ac:dyDescent="0.25">
      <c r="AG3050" s="185"/>
    </row>
    <row r="3051" spans="33:33" x14ac:dyDescent="0.25">
      <c r="AG3051" s="185"/>
    </row>
    <row r="3052" spans="33:33" x14ac:dyDescent="0.25">
      <c r="AG3052" s="185"/>
    </row>
    <row r="3053" spans="33:33" x14ac:dyDescent="0.25">
      <c r="AG3053" s="185"/>
    </row>
    <row r="3054" spans="33:33" x14ac:dyDescent="0.25">
      <c r="AG3054" s="185"/>
    </row>
    <row r="3055" spans="33:33" x14ac:dyDescent="0.25">
      <c r="AG3055" s="185"/>
    </row>
    <row r="3056" spans="33:33" x14ac:dyDescent="0.25">
      <c r="AG3056" s="185"/>
    </row>
    <row r="3057" spans="33:33" x14ac:dyDescent="0.25">
      <c r="AG3057" s="185"/>
    </row>
    <row r="3058" spans="33:33" x14ac:dyDescent="0.25">
      <c r="AG3058" s="185"/>
    </row>
    <row r="3059" spans="33:33" x14ac:dyDescent="0.25">
      <c r="AG3059" s="185"/>
    </row>
    <row r="3060" spans="33:33" x14ac:dyDescent="0.25">
      <c r="AG3060" s="185"/>
    </row>
    <row r="3061" spans="33:33" x14ac:dyDescent="0.25">
      <c r="AG3061" s="185"/>
    </row>
    <row r="3062" spans="33:33" x14ac:dyDescent="0.25">
      <c r="AG3062" s="185"/>
    </row>
    <row r="3063" spans="33:33" x14ac:dyDescent="0.25">
      <c r="AG3063" s="185"/>
    </row>
    <row r="3064" spans="33:33" x14ac:dyDescent="0.25">
      <c r="AG3064" s="185"/>
    </row>
    <row r="3065" spans="33:33" x14ac:dyDescent="0.25">
      <c r="AG3065" s="185"/>
    </row>
    <row r="3066" spans="33:33" x14ac:dyDescent="0.25">
      <c r="AG3066" s="185"/>
    </row>
    <row r="3067" spans="33:33" x14ac:dyDescent="0.25">
      <c r="AG3067" s="185"/>
    </row>
    <row r="3068" spans="33:33" x14ac:dyDescent="0.25">
      <c r="AG3068" s="185"/>
    </row>
    <row r="3069" spans="33:33" x14ac:dyDescent="0.25">
      <c r="AG3069" s="185"/>
    </row>
    <row r="3070" spans="33:33" x14ac:dyDescent="0.25">
      <c r="AG3070" s="185"/>
    </row>
    <row r="3071" spans="33:33" x14ac:dyDescent="0.25">
      <c r="AG3071" s="185"/>
    </row>
    <row r="3072" spans="33:33" x14ac:dyDescent="0.25">
      <c r="AG3072" s="185"/>
    </row>
    <row r="3073" spans="33:33" x14ac:dyDescent="0.25">
      <c r="AG3073" s="185"/>
    </row>
    <row r="3074" spans="33:33" x14ac:dyDescent="0.25">
      <c r="AG3074" s="185"/>
    </row>
    <row r="3075" spans="33:33" x14ac:dyDescent="0.25">
      <c r="AG3075" s="185"/>
    </row>
    <row r="3076" spans="33:33" x14ac:dyDescent="0.25">
      <c r="AG3076" s="185"/>
    </row>
    <row r="3077" spans="33:33" x14ac:dyDescent="0.25">
      <c r="AG3077" s="185"/>
    </row>
    <row r="3078" spans="33:33" x14ac:dyDescent="0.25">
      <c r="AG3078" s="185"/>
    </row>
    <row r="3079" spans="33:33" x14ac:dyDescent="0.25">
      <c r="AG3079" s="185"/>
    </row>
    <row r="3080" spans="33:33" x14ac:dyDescent="0.25">
      <c r="AG3080" s="185"/>
    </row>
    <row r="3081" spans="33:33" x14ac:dyDescent="0.25">
      <c r="AG3081" s="185"/>
    </row>
    <row r="3082" spans="33:33" x14ac:dyDescent="0.25">
      <c r="AG3082" s="185"/>
    </row>
    <row r="3083" spans="33:33" x14ac:dyDescent="0.25">
      <c r="AG3083" s="185"/>
    </row>
    <row r="3084" spans="33:33" x14ac:dyDescent="0.25">
      <c r="AG3084" s="185"/>
    </row>
    <row r="3085" spans="33:33" x14ac:dyDescent="0.25">
      <c r="AG3085" s="185"/>
    </row>
    <row r="3086" spans="33:33" x14ac:dyDescent="0.25">
      <c r="AG3086" s="185"/>
    </row>
    <row r="3087" spans="33:33" x14ac:dyDescent="0.25">
      <c r="AG3087" s="185"/>
    </row>
    <row r="3088" spans="33:33" x14ac:dyDescent="0.25">
      <c r="AG3088" s="185"/>
    </row>
    <row r="3089" spans="33:33" x14ac:dyDescent="0.25">
      <c r="AG3089" s="185"/>
    </row>
    <row r="3090" spans="33:33" x14ac:dyDescent="0.25">
      <c r="AG3090" s="185"/>
    </row>
    <row r="3091" spans="33:33" x14ac:dyDescent="0.25">
      <c r="AG3091" s="185"/>
    </row>
    <row r="3092" spans="33:33" x14ac:dyDescent="0.25">
      <c r="AG3092" s="185"/>
    </row>
    <row r="3093" spans="33:33" x14ac:dyDescent="0.25">
      <c r="AG3093" s="185"/>
    </row>
    <row r="3094" spans="33:33" x14ac:dyDescent="0.25">
      <c r="AG3094" s="185"/>
    </row>
    <row r="3095" spans="33:33" x14ac:dyDescent="0.25">
      <c r="AG3095" s="185"/>
    </row>
    <row r="3096" spans="33:33" x14ac:dyDescent="0.25">
      <c r="AG3096" s="185"/>
    </row>
    <row r="3097" spans="33:33" x14ac:dyDescent="0.25">
      <c r="AG3097" s="185"/>
    </row>
    <row r="3098" spans="33:33" x14ac:dyDescent="0.25">
      <c r="AG3098" s="185"/>
    </row>
    <row r="3099" spans="33:33" x14ac:dyDescent="0.25">
      <c r="AG3099" s="185"/>
    </row>
    <row r="3100" spans="33:33" x14ac:dyDescent="0.25">
      <c r="AG3100" s="185"/>
    </row>
    <row r="3101" spans="33:33" x14ac:dyDescent="0.25">
      <c r="AG3101" s="185"/>
    </row>
    <row r="3102" spans="33:33" x14ac:dyDescent="0.25">
      <c r="AG3102" s="185"/>
    </row>
    <row r="3103" spans="33:33" x14ac:dyDescent="0.25">
      <c r="AG3103" s="185"/>
    </row>
    <row r="3104" spans="33:33" x14ac:dyDescent="0.25">
      <c r="AG3104" s="185"/>
    </row>
    <row r="3105" spans="33:33" x14ac:dyDescent="0.25">
      <c r="AG3105" s="185"/>
    </row>
    <row r="3106" spans="33:33" x14ac:dyDescent="0.25">
      <c r="AG3106" s="185"/>
    </row>
    <row r="3107" spans="33:33" x14ac:dyDescent="0.25">
      <c r="AG3107" s="185"/>
    </row>
    <row r="3108" spans="33:33" x14ac:dyDescent="0.25">
      <c r="AG3108" s="185"/>
    </row>
    <row r="3109" spans="33:33" x14ac:dyDescent="0.25">
      <c r="AG3109" s="185"/>
    </row>
    <row r="3110" spans="33:33" x14ac:dyDescent="0.25">
      <c r="AG3110" s="185"/>
    </row>
    <row r="3111" spans="33:33" x14ac:dyDescent="0.25">
      <c r="AG3111" s="185"/>
    </row>
    <row r="3112" spans="33:33" x14ac:dyDescent="0.25">
      <c r="AG3112" s="185"/>
    </row>
    <row r="3113" spans="33:33" x14ac:dyDescent="0.25">
      <c r="AG3113" s="185"/>
    </row>
    <row r="3114" spans="33:33" x14ac:dyDescent="0.25">
      <c r="AG3114" s="185"/>
    </row>
    <row r="3115" spans="33:33" x14ac:dyDescent="0.25">
      <c r="AG3115" s="185"/>
    </row>
    <row r="3116" spans="33:33" x14ac:dyDescent="0.25">
      <c r="AG3116" s="185"/>
    </row>
    <row r="3117" spans="33:33" x14ac:dyDescent="0.25">
      <c r="AG3117" s="185"/>
    </row>
    <row r="3118" spans="33:33" x14ac:dyDescent="0.25">
      <c r="AG3118" s="185"/>
    </row>
    <row r="3119" spans="33:33" x14ac:dyDescent="0.25">
      <c r="AG3119" s="185"/>
    </row>
    <row r="3120" spans="33:33" x14ac:dyDescent="0.25">
      <c r="AG3120" s="185"/>
    </row>
    <row r="3121" spans="33:33" x14ac:dyDescent="0.25">
      <c r="AG3121" s="185"/>
    </row>
    <row r="3122" spans="33:33" x14ac:dyDescent="0.25">
      <c r="AG3122" s="185"/>
    </row>
    <row r="3123" spans="33:33" x14ac:dyDescent="0.25">
      <c r="AG3123" s="185"/>
    </row>
    <row r="3124" spans="33:33" x14ac:dyDescent="0.25">
      <c r="AG3124" s="185"/>
    </row>
    <row r="3125" spans="33:33" x14ac:dyDescent="0.25">
      <c r="AG3125" s="185"/>
    </row>
    <row r="3126" spans="33:33" x14ac:dyDescent="0.25">
      <c r="AG3126" s="185"/>
    </row>
    <row r="3127" spans="33:33" x14ac:dyDescent="0.25">
      <c r="AG3127" s="185"/>
    </row>
    <row r="3128" spans="33:33" x14ac:dyDescent="0.25">
      <c r="AG3128" s="185"/>
    </row>
    <row r="3129" spans="33:33" x14ac:dyDescent="0.25">
      <c r="AG3129" s="185"/>
    </row>
    <row r="3130" spans="33:33" x14ac:dyDescent="0.25">
      <c r="AG3130" s="185"/>
    </row>
    <row r="3131" spans="33:33" x14ac:dyDescent="0.25">
      <c r="AG3131" s="185"/>
    </row>
    <row r="3132" spans="33:33" x14ac:dyDescent="0.25">
      <c r="AG3132" s="185"/>
    </row>
    <row r="3133" spans="33:33" x14ac:dyDescent="0.25">
      <c r="AG3133" s="185"/>
    </row>
    <row r="3134" spans="33:33" x14ac:dyDescent="0.25">
      <c r="AG3134" s="185"/>
    </row>
    <row r="3135" spans="33:33" x14ac:dyDescent="0.25">
      <c r="AG3135" s="185"/>
    </row>
    <row r="3136" spans="33:33" x14ac:dyDescent="0.25">
      <c r="AG3136" s="185"/>
    </row>
    <row r="3137" spans="33:33" x14ac:dyDescent="0.25">
      <c r="AG3137" s="185"/>
    </row>
    <row r="3138" spans="33:33" x14ac:dyDescent="0.25">
      <c r="AG3138" s="185"/>
    </row>
    <row r="3139" spans="33:33" x14ac:dyDescent="0.25">
      <c r="AG3139" s="185"/>
    </row>
    <row r="3140" spans="33:33" x14ac:dyDescent="0.25">
      <c r="AG3140" s="185"/>
    </row>
    <row r="3141" spans="33:33" x14ac:dyDescent="0.25">
      <c r="AG3141" s="185"/>
    </row>
    <row r="3142" spans="33:33" x14ac:dyDescent="0.25">
      <c r="AG3142" s="185"/>
    </row>
    <row r="3143" spans="33:33" x14ac:dyDescent="0.25">
      <c r="AG3143" s="185"/>
    </row>
    <row r="3144" spans="33:33" x14ac:dyDescent="0.25">
      <c r="AG3144" s="185"/>
    </row>
    <row r="3145" spans="33:33" x14ac:dyDescent="0.25">
      <c r="AG3145" s="185"/>
    </row>
    <row r="3146" spans="33:33" x14ac:dyDescent="0.25">
      <c r="AG3146" s="185"/>
    </row>
    <row r="3147" spans="33:33" x14ac:dyDescent="0.25">
      <c r="AG3147" s="185"/>
    </row>
    <row r="3148" spans="33:33" x14ac:dyDescent="0.25">
      <c r="AG3148" s="185"/>
    </row>
    <row r="3149" spans="33:33" x14ac:dyDescent="0.25">
      <c r="AG3149" s="185"/>
    </row>
    <row r="3150" spans="33:33" x14ac:dyDescent="0.25">
      <c r="AG3150" s="185"/>
    </row>
    <row r="3151" spans="33:33" x14ac:dyDescent="0.25">
      <c r="AG3151" s="185"/>
    </row>
    <row r="3152" spans="33:33" x14ac:dyDescent="0.25">
      <c r="AG3152" s="185"/>
    </row>
    <row r="3153" spans="33:33" x14ac:dyDescent="0.25">
      <c r="AG3153" s="185"/>
    </row>
    <row r="3154" spans="33:33" x14ac:dyDescent="0.25">
      <c r="AG3154" s="185"/>
    </row>
    <row r="3155" spans="33:33" x14ac:dyDescent="0.25">
      <c r="AG3155" s="185"/>
    </row>
    <row r="3156" spans="33:33" x14ac:dyDescent="0.25">
      <c r="AG3156" s="185"/>
    </row>
    <row r="3157" spans="33:33" x14ac:dyDescent="0.25">
      <c r="AG3157" s="185"/>
    </row>
    <row r="3158" spans="33:33" x14ac:dyDescent="0.25">
      <c r="AG3158" s="185"/>
    </row>
    <row r="3159" spans="33:33" x14ac:dyDescent="0.25">
      <c r="AG3159" s="185"/>
    </row>
    <row r="3160" spans="33:33" x14ac:dyDescent="0.25">
      <c r="AG3160" s="185"/>
    </row>
    <row r="3161" spans="33:33" x14ac:dyDescent="0.25">
      <c r="AG3161" s="185"/>
    </row>
    <row r="3162" spans="33:33" x14ac:dyDescent="0.25">
      <c r="AG3162" s="185"/>
    </row>
    <row r="3163" spans="33:33" x14ac:dyDescent="0.25">
      <c r="AG3163" s="185"/>
    </row>
    <row r="3164" spans="33:33" x14ac:dyDescent="0.25">
      <c r="AG3164" s="185"/>
    </row>
    <row r="3165" spans="33:33" x14ac:dyDescent="0.25">
      <c r="AG3165" s="185"/>
    </row>
    <row r="3166" spans="33:33" x14ac:dyDescent="0.25">
      <c r="AG3166" s="185"/>
    </row>
    <row r="3167" spans="33:33" x14ac:dyDescent="0.25">
      <c r="AG3167" s="185"/>
    </row>
    <row r="3168" spans="33:33" x14ac:dyDescent="0.25">
      <c r="AG3168" s="185"/>
    </row>
    <row r="3169" spans="33:33" x14ac:dyDescent="0.25">
      <c r="AG3169" s="185"/>
    </row>
    <row r="3170" spans="33:33" x14ac:dyDescent="0.25">
      <c r="AG3170" s="185"/>
    </row>
    <row r="3171" spans="33:33" x14ac:dyDescent="0.25">
      <c r="AG3171" s="185"/>
    </row>
    <row r="3172" spans="33:33" x14ac:dyDescent="0.25">
      <c r="AG3172" s="185"/>
    </row>
    <row r="3173" spans="33:33" x14ac:dyDescent="0.25">
      <c r="AG3173" s="185"/>
    </row>
    <row r="3174" spans="33:33" x14ac:dyDescent="0.25">
      <c r="AG3174" s="185"/>
    </row>
    <row r="3175" spans="33:33" x14ac:dyDescent="0.25">
      <c r="AG3175" s="185"/>
    </row>
    <row r="3176" spans="33:33" x14ac:dyDescent="0.25">
      <c r="AG3176" s="185"/>
    </row>
    <row r="3177" spans="33:33" x14ac:dyDescent="0.25">
      <c r="AG3177" s="185"/>
    </row>
    <row r="3178" spans="33:33" x14ac:dyDescent="0.25">
      <c r="AG3178" s="185"/>
    </row>
    <row r="3179" spans="33:33" x14ac:dyDescent="0.25">
      <c r="AG3179" s="185"/>
    </row>
    <row r="3180" spans="33:33" x14ac:dyDescent="0.25">
      <c r="AG3180" s="185"/>
    </row>
    <row r="3181" spans="33:33" x14ac:dyDescent="0.25">
      <c r="AG3181" s="185"/>
    </row>
    <row r="3182" spans="33:33" x14ac:dyDescent="0.25">
      <c r="AG3182" s="185"/>
    </row>
    <row r="3183" spans="33:33" x14ac:dyDescent="0.25">
      <c r="AG3183" s="185"/>
    </row>
    <row r="3184" spans="33:33" x14ac:dyDescent="0.25">
      <c r="AG3184" s="185"/>
    </row>
    <row r="3185" spans="33:33" x14ac:dyDescent="0.25">
      <c r="AG3185" s="185"/>
    </row>
    <row r="3186" spans="33:33" x14ac:dyDescent="0.25">
      <c r="AG3186" s="185"/>
    </row>
    <row r="3187" spans="33:33" x14ac:dyDescent="0.25">
      <c r="AG3187" s="185"/>
    </row>
    <row r="3188" spans="33:33" x14ac:dyDescent="0.25">
      <c r="AG3188" s="185"/>
    </row>
    <row r="3189" spans="33:33" x14ac:dyDescent="0.25">
      <c r="AG3189" s="185"/>
    </row>
    <row r="3190" spans="33:33" x14ac:dyDescent="0.25">
      <c r="AG3190" s="185"/>
    </row>
    <row r="3191" spans="33:33" x14ac:dyDescent="0.25">
      <c r="AG3191" s="185"/>
    </row>
    <row r="3192" spans="33:33" x14ac:dyDescent="0.25">
      <c r="AG3192" s="185"/>
    </row>
    <row r="3193" spans="33:33" x14ac:dyDescent="0.25">
      <c r="AG3193" s="185"/>
    </row>
    <row r="3194" spans="33:33" x14ac:dyDescent="0.25">
      <c r="AG3194" s="185"/>
    </row>
    <row r="3195" spans="33:33" x14ac:dyDescent="0.25">
      <c r="AG3195" s="185"/>
    </row>
    <row r="3196" spans="33:33" x14ac:dyDescent="0.25">
      <c r="AG3196" s="185"/>
    </row>
    <row r="3197" spans="33:33" x14ac:dyDescent="0.25">
      <c r="AG3197" s="185"/>
    </row>
    <row r="3198" spans="33:33" x14ac:dyDescent="0.25">
      <c r="AG3198" s="185"/>
    </row>
    <row r="3199" spans="33:33" x14ac:dyDescent="0.25">
      <c r="AG3199" s="185"/>
    </row>
    <row r="3200" spans="33:33" x14ac:dyDescent="0.25">
      <c r="AG3200" s="185"/>
    </row>
    <row r="3201" spans="33:33" x14ac:dyDescent="0.25">
      <c r="AG3201" s="185"/>
    </row>
    <row r="3202" spans="33:33" x14ac:dyDescent="0.25">
      <c r="AG3202" s="185"/>
    </row>
    <row r="3203" spans="33:33" x14ac:dyDescent="0.25">
      <c r="AG3203" s="185"/>
    </row>
    <row r="3204" spans="33:33" x14ac:dyDescent="0.25">
      <c r="AG3204" s="185"/>
    </row>
    <row r="3205" spans="33:33" x14ac:dyDescent="0.25">
      <c r="AG3205" s="185"/>
    </row>
    <row r="3206" spans="33:33" x14ac:dyDescent="0.25">
      <c r="AG3206" s="185"/>
    </row>
    <row r="3207" spans="33:33" x14ac:dyDescent="0.25">
      <c r="AG3207" s="185"/>
    </row>
    <row r="3208" spans="33:33" x14ac:dyDescent="0.25">
      <c r="AG3208" s="185"/>
    </row>
    <row r="3209" spans="33:33" x14ac:dyDescent="0.25">
      <c r="AG3209" s="185"/>
    </row>
    <row r="3210" spans="33:33" x14ac:dyDescent="0.25">
      <c r="AG3210" s="185"/>
    </row>
    <row r="3211" spans="33:33" x14ac:dyDescent="0.25">
      <c r="AG3211" s="185"/>
    </row>
    <row r="3212" spans="33:33" x14ac:dyDescent="0.25">
      <c r="AG3212" s="185"/>
    </row>
    <row r="3213" spans="33:33" x14ac:dyDescent="0.25">
      <c r="AG3213" s="185"/>
    </row>
    <row r="3214" spans="33:33" x14ac:dyDescent="0.25">
      <c r="AG3214" s="185"/>
    </row>
    <row r="3215" spans="33:33" x14ac:dyDescent="0.25">
      <c r="AG3215" s="185"/>
    </row>
    <row r="3216" spans="33:33" x14ac:dyDescent="0.25">
      <c r="AG3216" s="185"/>
    </row>
    <row r="3217" spans="33:33" x14ac:dyDescent="0.25">
      <c r="AG3217" s="185"/>
    </row>
    <row r="3218" spans="33:33" x14ac:dyDescent="0.25">
      <c r="AG3218" s="185"/>
    </row>
    <row r="3219" spans="33:33" x14ac:dyDescent="0.25">
      <c r="AG3219" s="185"/>
    </row>
    <row r="3220" spans="33:33" x14ac:dyDescent="0.25">
      <c r="AG3220" s="185"/>
    </row>
    <row r="3221" spans="33:33" x14ac:dyDescent="0.25">
      <c r="AG3221" s="185"/>
    </row>
    <row r="3222" spans="33:33" x14ac:dyDescent="0.25">
      <c r="AG3222" s="185"/>
    </row>
    <row r="3223" spans="33:33" x14ac:dyDescent="0.25">
      <c r="AG3223" s="185"/>
    </row>
    <row r="3224" spans="33:33" x14ac:dyDescent="0.25">
      <c r="AG3224" s="185"/>
    </row>
    <row r="3225" spans="33:33" x14ac:dyDescent="0.25">
      <c r="AG3225" s="185"/>
    </row>
    <row r="3226" spans="33:33" x14ac:dyDescent="0.25">
      <c r="AG3226" s="185"/>
    </row>
    <row r="3227" spans="33:33" x14ac:dyDescent="0.25">
      <c r="AG3227" s="185"/>
    </row>
    <row r="3228" spans="33:33" x14ac:dyDescent="0.25">
      <c r="AG3228" s="185"/>
    </row>
    <row r="3229" spans="33:33" x14ac:dyDescent="0.25">
      <c r="AG3229" s="185"/>
    </row>
    <row r="3230" spans="33:33" x14ac:dyDescent="0.25">
      <c r="AG3230" s="185"/>
    </row>
    <row r="3231" spans="33:33" x14ac:dyDescent="0.25">
      <c r="AG3231" s="185"/>
    </row>
    <row r="3232" spans="33:33" x14ac:dyDescent="0.25">
      <c r="AG3232" s="185"/>
    </row>
    <row r="3233" spans="33:33" x14ac:dyDescent="0.25">
      <c r="AG3233" s="185"/>
    </row>
    <row r="3234" spans="33:33" x14ac:dyDescent="0.25">
      <c r="AG3234" s="185"/>
    </row>
    <row r="3235" spans="33:33" x14ac:dyDescent="0.25">
      <c r="AG3235" s="185"/>
    </row>
    <row r="3236" spans="33:33" x14ac:dyDescent="0.25">
      <c r="AG3236" s="185"/>
    </row>
    <row r="3237" spans="33:33" x14ac:dyDescent="0.25">
      <c r="AG3237" s="185"/>
    </row>
    <row r="3238" spans="33:33" x14ac:dyDescent="0.25">
      <c r="AG3238" s="185"/>
    </row>
    <row r="3239" spans="33:33" x14ac:dyDescent="0.25">
      <c r="AG3239" s="185"/>
    </row>
    <row r="3240" spans="33:33" x14ac:dyDescent="0.25">
      <c r="AG3240" s="185"/>
    </row>
    <row r="3241" spans="33:33" x14ac:dyDescent="0.25">
      <c r="AG3241" s="185"/>
    </row>
    <row r="3242" spans="33:33" x14ac:dyDescent="0.25">
      <c r="AG3242" s="185"/>
    </row>
    <row r="3243" spans="33:33" x14ac:dyDescent="0.25">
      <c r="AG3243" s="185"/>
    </row>
    <row r="3244" spans="33:33" x14ac:dyDescent="0.25">
      <c r="AG3244" s="185"/>
    </row>
    <row r="3245" spans="33:33" x14ac:dyDescent="0.25">
      <c r="AG3245" s="185"/>
    </row>
    <row r="3246" spans="33:33" x14ac:dyDescent="0.25">
      <c r="AG3246" s="185"/>
    </row>
    <row r="3247" spans="33:33" x14ac:dyDescent="0.25">
      <c r="AG3247" s="185"/>
    </row>
    <row r="3248" spans="33:33" x14ac:dyDescent="0.25">
      <c r="AG3248" s="185"/>
    </row>
    <row r="3249" spans="33:33" x14ac:dyDescent="0.25">
      <c r="AG3249" s="185"/>
    </row>
    <row r="3250" spans="33:33" x14ac:dyDescent="0.25">
      <c r="AG3250" s="185"/>
    </row>
    <row r="3251" spans="33:33" x14ac:dyDescent="0.25">
      <c r="AG3251" s="185"/>
    </row>
    <row r="3252" spans="33:33" x14ac:dyDescent="0.25">
      <c r="AG3252" s="185"/>
    </row>
    <row r="3253" spans="33:33" x14ac:dyDescent="0.25">
      <c r="AG3253" s="185"/>
    </row>
    <row r="3254" spans="33:33" x14ac:dyDescent="0.25">
      <c r="AG3254" s="185"/>
    </row>
    <row r="3255" spans="33:33" x14ac:dyDescent="0.25">
      <c r="AG3255" s="185"/>
    </row>
    <row r="3256" spans="33:33" x14ac:dyDescent="0.25">
      <c r="AG3256" s="185"/>
    </row>
    <row r="3257" spans="33:33" x14ac:dyDescent="0.25">
      <c r="AG3257" s="185"/>
    </row>
    <row r="3258" spans="33:33" x14ac:dyDescent="0.25">
      <c r="AG3258" s="185"/>
    </row>
    <row r="3259" spans="33:33" x14ac:dyDescent="0.25">
      <c r="AG3259" s="185"/>
    </row>
    <row r="3260" spans="33:33" x14ac:dyDescent="0.25">
      <c r="AG3260" s="185"/>
    </row>
    <row r="3261" spans="33:33" x14ac:dyDescent="0.25">
      <c r="AG3261" s="185"/>
    </row>
    <row r="3262" spans="33:33" x14ac:dyDescent="0.25">
      <c r="AG3262" s="185"/>
    </row>
    <row r="3263" spans="33:33" x14ac:dyDescent="0.25">
      <c r="AG3263" s="185"/>
    </row>
    <row r="3264" spans="33:33" x14ac:dyDescent="0.25">
      <c r="AG3264" s="185"/>
    </row>
    <row r="3265" spans="33:33" x14ac:dyDescent="0.25">
      <c r="AG3265" s="185"/>
    </row>
    <row r="3266" spans="33:33" x14ac:dyDescent="0.25">
      <c r="AG3266" s="185"/>
    </row>
    <row r="3267" spans="33:33" x14ac:dyDescent="0.25">
      <c r="AG3267" s="185"/>
    </row>
    <row r="3268" spans="33:33" x14ac:dyDescent="0.25">
      <c r="AG3268" s="185"/>
    </row>
    <row r="3269" spans="33:33" x14ac:dyDescent="0.25">
      <c r="AG3269" s="185"/>
    </row>
    <row r="3270" spans="33:33" x14ac:dyDescent="0.25">
      <c r="AG3270" s="185"/>
    </row>
    <row r="3271" spans="33:33" x14ac:dyDescent="0.25">
      <c r="AG3271" s="185"/>
    </row>
    <row r="3272" spans="33:33" x14ac:dyDescent="0.25">
      <c r="AG3272" s="185"/>
    </row>
    <row r="3273" spans="33:33" x14ac:dyDescent="0.25">
      <c r="AG3273" s="185"/>
    </row>
    <row r="3274" spans="33:33" x14ac:dyDescent="0.25">
      <c r="AG3274" s="185"/>
    </row>
    <row r="3275" spans="33:33" x14ac:dyDescent="0.25">
      <c r="AG3275" s="185"/>
    </row>
    <row r="3276" spans="33:33" x14ac:dyDescent="0.25">
      <c r="AG3276" s="185"/>
    </row>
    <row r="3277" spans="33:33" x14ac:dyDescent="0.25">
      <c r="AG3277" s="185"/>
    </row>
    <row r="3278" spans="33:33" x14ac:dyDescent="0.25">
      <c r="AG3278" s="185"/>
    </row>
    <row r="3279" spans="33:33" x14ac:dyDescent="0.25">
      <c r="AG3279" s="185"/>
    </row>
    <row r="3280" spans="33:33" x14ac:dyDescent="0.25">
      <c r="AG3280" s="185"/>
    </row>
    <row r="3281" spans="33:33" x14ac:dyDescent="0.25">
      <c r="AG3281" s="185"/>
    </row>
    <row r="3282" spans="33:33" x14ac:dyDescent="0.25">
      <c r="AG3282" s="185"/>
    </row>
    <row r="3283" spans="33:33" x14ac:dyDescent="0.25">
      <c r="AG3283" s="185"/>
    </row>
    <row r="3284" spans="33:33" x14ac:dyDescent="0.25">
      <c r="AG3284" s="185"/>
    </row>
    <row r="3285" spans="33:33" x14ac:dyDescent="0.25">
      <c r="AG3285" s="185"/>
    </row>
    <row r="3286" spans="33:33" x14ac:dyDescent="0.25">
      <c r="AG3286" s="185"/>
    </row>
    <row r="3287" spans="33:33" x14ac:dyDescent="0.25">
      <c r="AG3287" s="185"/>
    </row>
    <row r="3288" spans="33:33" x14ac:dyDescent="0.25">
      <c r="AG3288" s="185"/>
    </row>
    <row r="3289" spans="33:33" x14ac:dyDescent="0.25">
      <c r="AG3289" s="185"/>
    </row>
    <row r="3290" spans="33:33" x14ac:dyDescent="0.25">
      <c r="AG3290" s="185"/>
    </row>
    <row r="3291" spans="33:33" x14ac:dyDescent="0.25">
      <c r="AG3291" s="185"/>
    </row>
    <row r="3292" spans="33:33" x14ac:dyDescent="0.25">
      <c r="AG3292" s="185"/>
    </row>
    <row r="3293" spans="33:33" x14ac:dyDescent="0.25">
      <c r="AG3293" s="185"/>
    </row>
    <row r="3294" spans="33:33" x14ac:dyDescent="0.25">
      <c r="AG3294" s="185"/>
    </row>
    <row r="3295" spans="33:33" x14ac:dyDescent="0.25">
      <c r="AG3295" s="185"/>
    </row>
    <row r="3296" spans="33:33" x14ac:dyDescent="0.25">
      <c r="AG3296" s="185"/>
    </row>
    <row r="3297" spans="33:33" x14ac:dyDescent="0.25">
      <c r="AG3297" s="185"/>
    </row>
    <row r="3298" spans="33:33" x14ac:dyDescent="0.25">
      <c r="AG3298" s="185"/>
    </row>
    <row r="3299" spans="33:33" x14ac:dyDescent="0.25">
      <c r="AG3299" s="185"/>
    </row>
    <row r="3300" spans="33:33" x14ac:dyDescent="0.25">
      <c r="AG3300" s="185"/>
    </row>
    <row r="3301" spans="33:33" x14ac:dyDescent="0.25">
      <c r="AG3301" s="185"/>
    </row>
    <row r="3302" spans="33:33" x14ac:dyDescent="0.25">
      <c r="AG3302" s="185"/>
    </row>
    <row r="3303" spans="33:33" x14ac:dyDescent="0.25">
      <c r="AG3303" s="185"/>
    </row>
    <row r="3304" spans="33:33" x14ac:dyDescent="0.25">
      <c r="AG3304" s="185"/>
    </row>
    <row r="3305" spans="33:33" x14ac:dyDescent="0.25">
      <c r="AG3305" s="185"/>
    </row>
    <row r="3306" spans="33:33" x14ac:dyDescent="0.25">
      <c r="AG3306" s="185"/>
    </row>
    <row r="3307" spans="33:33" x14ac:dyDescent="0.25">
      <c r="AG3307" s="185"/>
    </row>
    <row r="3308" spans="33:33" x14ac:dyDescent="0.25">
      <c r="AG3308" s="185"/>
    </row>
    <row r="3309" spans="33:33" x14ac:dyDescent="0.25">
      <c r="AG3309" s="185"/>
    </row>
    <row r="3310" spans="33:33" x14ac:dyDescent="0.25">
      <c r="AG3310" s="185"/>
    </row>
    <row r="3311" spans="33:33" x14ac:dyDescent="0.25">
      <c r="AG3311" s="185"/>
    </row>
    <row r="3312" spans="33:33" x14ac:dyDescent="0.25">
      <c r="AG3312" s="185"/>
    </row>
    <row r="3313" spans="33:33" x14ac:dyDescent="0.25">
      <c r="AG3313" s="185"/>
    </row>
    <row r="3314" spans="33:33" x14ac:dyDescent="0.25">
      <c r="AG3314" s="185"/>
    </row>
    <row r="3315" spans="33:33" x14ac:dyDescent="0.25">
      <c r="AG3315" s="185"/>
    </row>
    <row r="3316" spans="33:33" x14ac:dyDescent="0.25">
      <c r="AG3316" s="185"/>
    </row>
    <row r="3317" spans="33:33" x14ac:dyDescent="0.25">
      <c r="AG3317" s="185"/>
    </row>
    <row r="3318" spans="33:33" x14ac:dyDescent="0.25">
      <c r="AG3318" s="185"/>
    </row>
    <row r="3319" spans="33:33" x14ac:dyDescent="0.25">
      <c r="AG3319" s="185"/>
    </row>
    <row r="3320" spans="33:33" x14ac:dyDescent="0.25">
      <c r="AG3320" s="185"/>
    </row>
    <row r="3321" spans="33:33" x14ac:dyDescent="0.25">
      <c r="AG3321" s="185"/>
    </row>
    <row r="3322" spans="33:33" x14ac:dyDescent="0.25">
      <c r="AG3322" s="185"/>
    </row>
    <row r="3323" spans="33:33" x14ac:dyDescent="0.25">
      <c r="AG3323" s="185"/>
    </row>
    <row r="3324" spans="33:33" x14ac:dyDescent="0.25">
      <c r="AG3324" s="185"/>
    </row>
    <row r="3325" spans="33:33" x14ac:dyDescent="0.25">
      <c r="AG3325" s="185"/>
    </row>
    <row r="3326" spans="33:33" x14ac:dyDescent="0.25">
      <c r="AG3326" s="185"/>
    </row>
    <row r="3327" spans="33:33" x14ac:dyDescent="0.25">
      <c r="AG3327" s="185"/>
    </row>
    <row r="3328" spans="33:33" x14ac:dyDescent="0.25">
      <c r="AG3328" s="185"/>
    </row>
    <row r="3329" spans="33:33" x14ac:dyDescent="0.25">
      <c r="AG3329" s="185"/>
    </row>
    <row r="3330" spans="33:33" x14ac:dyDescent="0.25">
      <c r="AG3330" s="185"/>
    </row>
    <row r="3331" spans="33:33" x14ac:dyDescent="0.25">
      <c r="AG3331" s="185"/>
    </row>
    <row r="3332" spans="33:33" x14ac:dyDescent="0.25">
      <c r="AG3332" s="185"/>
    </row>
    <row r="3333" spans="33:33" x14ac:dyDescent="0.25">
      <c r="AG3333" s="185"/>
    </row>
    <row r="3334" spans="33:33" x14ac:dyDescent="0.25">
      <c r="AG3334" s="185"/>
    </row>
    <row r="3335" spans="33:33" x14ac:dyDescent="0.25">
      <c r="AG3335" s="185"/>
    </row>
    <row r="3336" spans="33:33" x14ac:dyDescent="0.25">
      <c r="AG3336" s="185"/>
    </row>
    <row r="3337" spans="33:33" x14ac:dyDescent="0.25">
      <c r="AG3337" s="185"/>
    </row>
    <row r="3338" spans="33:33" x14ac:dyDescent="0.25">
      <c r="AG3338" s="185"/>
    </row>
    <row r="3339" spans="33:33" x14ac:dyDescent="0.25">
      <c r="AG3339" s="185"/>
    </row>
    <row r="3340" spans="33:33" x14ac:dyDescent="0.25">
      <c r="AG3340" s="185"/>
    </row>
    <row r="3341" spans="33:33" x14ac:dyDescent="0.25">
      <c r="AG3341" s="185"/>
    </row>
    <row r="3342" spans="33:33" x14ac:dyDescent="0.25">
      <c r="AG3342" s="185"/>
    </row>
    <row r="3343" spans="33:33" x14ac:dyDescent="0.25">
      <c r="AG3343" s="185"/>
    </row>
    <row r="3344" spans="33:33" x14ac:dyDescent="0.25">
      <c r="AG3344" s="185"/>
    </row>
    <row r="3345" spans="33:33" x14ac:dyDescent="0.25">
      <c r="AG3345" s="185"/>
    </row>
    <row r="3346" spans="33:33" x14ac:dyDescent="0.25">
      <c r="AG3346" s="185"/>
    </row>
    <row r="3347" spans="33:33" x14ac:dyDescent="0.25">
      <c r="AG3347" s="185"/>
    </row>
    <row r="3348" spans="33:33" x14ac:dyDescent="0.25">
      <c r="AG3348" s="185"/>
    </row>
    <row r="3349" spans="33:33" x14ac:dyDescent="0.25">
      <c r="AG3349" s="185"/>
    </row>
    <row r="3350" spans="33:33" x14ac:dyDescent="0.25">
      <c r="AG3350" s="185"/>
    </row>
    <row r="3351" spans="33:33" x14ac:dyDescent="0.25">
      <c r="AG3351" s="185"/>
    </row>
    <row r="3352" spans="33:33" x14ac:dyDescent="0.25">
      <c r="AG3352" s="185"/>
    </row>
    <row r="3353" spans="33:33" x14ac:dyDescent="0.25">
      <c r="AG3353" s="185"/>
    </row>
    <row r="3354" spans="33:33" x14ac:dyDescent="0.25">
      <c r="AG3354" s="185"/>
    </row>
    <row r="3355" spans="33:33" x14ac:dyDescent="0.25">
      <c r="AG3355" s="185"/>
    </row>
    <row r="3356" spans="33:33" x14ac:dyDescent="0.25">
      <c r="AG3356" s="185"/>
    </row>
    <row r="3357" spans="33:33" x14ac:dyDescent="0.25">
      <c r="AG3357" s="185"/>
    </row>
    <row r="3358" spans="33:33" x14ac:dyDescent="0.25">
      <c r="AG3358" s="185"/>
    </row>
    <row r="3359" spans="33:33" x14ac:dyDescent="0.25">
      <c r="AG3359" s="185"/>
    </row>
    <row r="3360" spans="33:33" x14ac:dyDescent="0.25">
      <c r="AG3360" s="185"/>
    </row>
    <row r="3361" spans="33:33" x14ac:dyDescent="0.25">
      <c r="AG3361" s="185"/>
    </row>
    <row r="3362" spans="33:33" x14ac:dyDescent="0.25">
      <c r="AG3362" s="185"/>
    </row>
    <row r="3363" spans="33:33" x14ac:dyDescent="0.25">
      <c r="AG3363" s="185"/>
    </row>
    <row r="3364" spans="33:33" x14ac:dyDescent="0.25">
      <c r="AG3364" s="185"/>
    </row>
    <row r="3365" spans="33:33" x14ac:dyDescent="0.25">
      <c r="AG3365" s="185"/>
    </row>
    <row r="3366" spans="33:33" x14ac:dyDescent="0.25">
      <c r="AG3366" s="185"/>
    </row>
    <row r="3367" spans="33:33" x14ac:dyDescent="0.25">
      <c r="AG3367" s="185"/>
    </row>
    <row r="3368" spans="33:33" x14ac:dyDescent="0.25">
      <c r="AG3368" s="185"/>
    </row>
    <row r="3369" spans="33:33" x14ac:dyDescent="0.25">
      <c r="AG3369" s="185"/>
    </row>
    <row r="3370" spans="33:33" x14ac:dyDescent="0.25">
      <c r="AG3370" s="185"/>
    </row>
    <row r="3371" spans="33:33" x14ac:dyDescent="0.25">
      <c r="AG3371" s="185"/>
    </row>
    <row r="3372" spans="33:33" x14ac:dyDescent="0.25">
      <c r="AG3372" s="185"/>
    </row>
    <row r="3373" spans="33:33" x14ac:dyDescent="0.25">
      <c r="AG3373" s="185"/>
    </row>
    <row r="3374" spans="33:33" x14ac:dyDescent="0.25">
      <c r="AG3374" s="185"/>
    </row>
    <row r="3375" spans="33:33" x14ac:dyDescent="0.25">
      <c r="AG3375" s="185"/>
    </row>
    <row r="3376" spans="33:33" x14ac:dyDescent="0.25">
      <c r="AG3376" s="185"/>
    </row>
    <row r="3377" spans="33:33" x14ac:dyDescent="0.25">
      <c r="AG3377" s="185"/>
    </row>
    <row r="3378" spans="33:33" x14ac:dyDescent="0.25">
      <c r="AG3378" s="185"/>
    </row>
    <row r="3379" spans="33:33" x14ac:dyDescent="0.25">
      <c r="AG3379" s="185"/>
    </row>
    <row r="3380" spans="33:33" x14ac:dyDescent="0.25">
      <c r="AG3380" s="185"/>
    </row>
    <row r="3381" spans="33:33" x14ac:dyDescent="0.25">
      <c r="AG3381" s="185"/>
    </row>
    <row r="3382" spans="33:33" x14ac:dyDescent="0.25">
      <c r="AG3382" s="185"/>
    </row>
    <row r="3383" spans="33:33" x14ac:dyDescent="0.25">
      <c r="AG3383" s="185"/>
    </row>
    <row r="3384" spans="33:33" x14ac:dyDescent="0.25">
      <c r="AG3384" s="185"/>
    </row>
    <row r="3385" spans="33:33" x14ac:dyDescent="0.25">
      <c r="AG3385" s="185"/>
    </row>
    <row r="3386" spans="33:33" x14ac:dyDescent="0.25">
      <c r="AG3386" s="185"/>
    </row>
    <row r="3387" spans="33:33" x14ac:dyDescent="0.25">
      <c r="AG3387" s="185"/>
    </row>
    <row r="3388" spans="33:33" x14ac:dyDescent="0.25">
      <c r="AG3388" s="185"/>
    </row>
    <row r="3389" spans="33:33" x14ac:dyDescent="0.25">
      <c r="AG3389" s="185"/>
    </row>
    <row r="3390" spans="33:33" x14ac:dyDescent="0.25">
      <c r="AG3390" s="185"/>
    </row>
    <row r="3391" spans="33:33" x14ac:dyDescent="0.25">
      <c r="AG3391" s="185"/>
    </row>
    <row r="3392" spans="33:33" x14ac:dyDescent="0.25">
      <c r="AG3392" s="185"/>
    </row>
    <row r="3393" spans="33:33" x14ac:dyDescent="0.25">
      <c r="AG3393" s="185"/>
    </row>
    <row r="3394" spans="33:33" x14ac:dyDescent="0.25">
      <c r="AG3394" s="185"/>
    </row>
    <row r="3395" spans="33:33" x14ac:dyDescent="0.25">
      <c r="AG3395" s="185"/>
    </row>
    <row r="3396" spans="33:33" x14ac:dyDescent="0.25">
      <c r="AG3396" s="185"/>
    </row>
    <row r="3397" spans="33:33" x14ac:dyDescent="0.25">
      <c r="AG3397" s="185"/>
    </row>
    <row r="3398" spans="33:33" x14ac:dyDescent="0.25">
      <c r="AG3398" s="185"/>
    </row>
    <row r="3399" spans="33:33" x14ac:dyDescent="0.25">
      <c r="AG3399" s="185"/>
    </row>
    <row r="3400" spans="33:33" x14ac:dyDescent="0.25">
      <c r="AG3400" s="185"/>
    </row>
    <row r="3401" spans="33:33" x14ac:dyDescent="0.25">
      <c r="AG3401" s="185"/>
    </row>
    <row r="3402" spans="33:33" x14ac:dyDescent="0.25">
      <c r="AG3402" s="185"/>
    </row>
    <row r="3403" spans="33:33" x14ac:dyDescent="0.25">
      <c r="AG3403" s="185"/>
    </row>
    <row r="3404" spans="33:33" x14ac:dyDescent="0.25">
      <c r="AG3404" s="185"/>
    </row>
    <row r="3405" spans="33:33" x14ac:dyDescent="0.25">
      <c r="AG3405" s="185"/>
    </row>
    <row r="3406" spans="33:33" x14ac:dyDescent="0.25">
      <c r="AG3406" s="185"/>
    </row>
    <row r="3407" spans="33:33" x14ac:dyDescent="0.25">
      <c r="AG3407" s="185"/>
    </row>
    <row r="3408" spans="33:33" x14ac:dyDescent="0.25">
      <c r="AG3408" s="185"/>
    </row>
    <row r="3409" spans="33:33" x14ac:dyDescent="0.25">
      <c r="AG3409" s="185"/>
    </row>
    <row r="3410" spans="33:33" x14ac:dyDescent="0.25">
      <c r="AG3410" s="185"/>
    </row>
    <row r="3411" spans="33:33" x14ac:dyDescent="0.25">
      <c r="AG3411" s="185"/>
    </row>
    <row r="3412" spans="33:33" x14ac:dyDescent="0.25">
      <c r="AG3412" s="185"/>
    </row>
    <row r="3413" spans="33:33" x14ac:dyDescent="0.25">
      <c r="AG3413" s="185"/>
    </row>
    <row r="3414" spans="33:33" x14ac:dyDescent="0.25">
      <c r="AG3414" s="185"/>
    </row>
    <row r="3415" spans="33:33" x14ac:dyDescent="0.25">
      <c r="AG3415" s="185"/>
    </row>
    <row r="3416" spans="33:33" x14ac:dyDescent="0.25">
      <c r="AG3416" s="185"/>
    </row>
    <row r="3417" spans="33:33" x14ac:dyDescent="0.25">
      <c r="AG3417" s="185"/>
    </row>
    <row r="3418" spans="33:33" x14ac:dyDescent="0.25">
      <c r="AG3418" s="185"/>
    </row>
    <row r="3419" spans="33:33" x14ac:dyDescent="0.25">
      <c r="AG3419" s="185"/>
    </row>
    <row r="3420" spans="33:33" x14ac:dyDescent="0.25">
      <c r="AG3420" s="185"/>
    </row>
    <row r="3421" spans="33:33" x14ac:dyDescent="0.25">
      <c r="AG3421" s="185"/>
    </row>
    <row r="3422" spans="33:33" x14ac:dyDescent="0.25">
      <c r="AG3422" s="185"/>
    </row>
    <row r="3423" spans="33:33" x14ac:dyDescent="0.25">
      <c r="AG3423" s="185"/>
    </row>
    <row r="3424" spans="33:33" x14ac:dyDescent="0.25">
      <c r="AG3424" s="185"/>
    </row>
    <row r="3425" spans="33:33" x14ac:dyDescent="0.25">
      <c r="AG3425" s="185"/>
    </row>
    <row r="3426" spans="33:33" x14ac:dyDescent="0.25">
      <c r="AG3426" s="185"/>
    </row>
    <row r="3427" spans="33:33" x14ac:dyDescent="0.25">
      <c r="AG3427" s="185"/>
    </row>
    <row r="3428" spans="33:33" x14ac:dyDescent="0.25">
      <c r="AG3428" s="185"/>
    </row>
    <row r="3429" spans="33:33" x14ac:dyDescent="0.25">
      <c r="AG3429" s="185"/>
    </row>
    <row r="3430" spans="33:33" x14ac:dyDescent="0.25">
      <c r="AG3430" s="185"/>
    </row>
    <row r="3431" spans="33:33" x14ac:dyDescent="0.25">
      <c r="AG3431" s="185"/>
    </row>
    <row r="3432" spans="33:33" x14ac:dyDescent="0.25">
      <c r="AG3432" s="185"/>
    </row>
    <row r="3433" spans="33:33" x14ac:dyDescent="0.25">
      <c r="AG3433" s="185"/>
    </row>
    <row r="3434" spans="33:33" x14ac:dyDescent="0.25">
      <c r="AG3434" s="185"/>
    </row>
    <row r="3435" spans="33:33" x14ac:dyDescent="0.25">
      <c r="AG3435" s="185"/>
    </row>
    <row r="3436" spans="33:33" x14ac:dyDescent="0.25">
      <c r="AG3436" s="185"/>
    </row>
    <row r="3437" spans="33:33" x14ac:dyDescent="0.25">
      <c r="AG3437" s="185"/>
    </row>
    <row r="3438" spans="33:33" x14ac:dyDescent="0.25">
      <c r="AG3438" s="185"/>
    </row>
    <row r="3439" spans="33:33" x14ac:dyDescent="0.25">
      <c r="AG3439" s="185"/>
    </row>
    <row r="3440" spans="33:33" x14ac:dyDescent="0.25">
      <c r="AG3440" s="185"/>
    </row>
    <row r="3441" spans="33:33" x14ac:dyDescent="0.25">
      <c r="AG3441" s="185"/>
    </row>
    <row r="3442" spans="33:33" x14ac:dyDescent="0.25">
      <c r="AG3442" s="185"/>
    </row>
    <row r="3443" spans="33:33" x14ac:dyDescent="0.25">
      <c r="AG3443" s="185"/>
    </row>
    <row r="3444" spans="33:33" x14ac:dyDescent="0.25">
      <c r="AG3444" s="185"/>
    </row>
    <row r="3445" spans="33:33" x14ac:dyDescent="0.25">
      <c r="AG3445" s="185"/>
    </row>
    <row r="3446" spans="33:33" x14ac:dyDescent="0.25">
      <c r="AG3446" s="185"/>
    </row>
    <row r="3447" spans="33:33" x14ac:dyDescent="0.25">
      <c r="AG3447" s="185"/>
    </row>
    <row r="3448" spans="33:33" x14ac:dyDescent="0.25">
      <c r="AG3448" s="185"/>
    </row>
    <row r="3449" spans="33:33" x14ac:dyDescent="0.25">
      <c r="AG3449" s="185"/>
    </row>
    <row r="3450" spans="33:33" x14ac:dyDescent="0.25">
      <c r="AG3450" s="185"/>
    </row>
    <row r="3451" spans="33:33" x14ac:dyDescent="0.25">
      <c r="AG3451" s="185"/>
    </row>
    <row r="3452" spans="33:33" x14ac:dyDescent="0.25">
      <c r="AG3452" s="185"/>
    </row>
    <row r="3453" spans="33:33" x14ac:dyDescent="0.25">
      <c r="AG3453" s="185"/>
    </row>
    <row r="3454" spans="33:33" x14ac:dyDescent="0.25">
      <c r="AG3454" s="185"/>
    </row>
    <row r="3455" spans="33:33" x14ac:dyDescent="0.25">
      <c r="AG3455" s="185"/>
    </row>
    <row r="3456" spans="33:33" x14ac:dyDescent="0.25">
      <c r="AG3456" s="185"/>
    </row>
    <row r="3457" spans="33:33" x14ac:dyDescent="0.25">
      <c r="AG3457" s="185"/>
    </row>
    <row r="3458" spans="33:33" x14ac:dyDescent="0.25">
      <c r="AG3458" s="185"/>
    </row>
    <row r="3459" spans="33:33" x14ac:dyDescent="0.25">
      <c r="AG3459" s="185"/>
    </row>
    <row r="3460" spans="33:33" x14ac:dyDescent="0.25">
      <c r="AG3460" s="185"/>
    </row>
    <row r="3461" spans="33:33" x14ac:dyDescent="0.25">
      <c r="AG3461" s="185"/>
    </row>
    <row r="3462" spans="33:33" x14ac:dyDescent="0.25">
      <c r="AG3462" s="185"/>
    </row>
    <row r="3463" spans="33:33" x14ac:dyDescent="0.25">
      <c r="AG3463" s="185"/>
    </row>
    <row r="3464" spans="33:33" x14ac:dyDescent="0.25">
      <c r="AG3464" s="185"/>
    </row>
    <row r="3465" spans="33:33" x14ac:dyDescent="0.25">
      <c r="AG3465" s="185"/>
    </row>
    <row r="3466" spans="33:33" x14ac:dyDescent="0.25">
      <c r="AG3466" s="185"/>
    </row>
    <row r="3467" spans="33:33" x14ac:dyDescent="0.25">
      <c r="AG3467" s="185"/>
    </row>
    <row r="3468" spans="33:33" x14ac:dyDescent="0.25">
      <c r="AG3468" s="185"/>
    </row>
    <row r="3469" spans="33:33" x14ac:dyDescent="0.25">
      <c r="AG3469" s="185"/>
    </row>
    <row r="3470" spans="33:33" x14ac:dyDescent="0.25">
      <c r="AG3470" s="185"/>
    </row>
    <row r="3471" spans="33:33" x14ac:dyDescent="0.25">
      <c r="AG3471" s="185"/>
    </row>
    <row r="3472" spans="33:33" x14ac:dyDescent="0.25">
      <c r="AG3472" s="185"/>
    </row>
    <row r="3473" spans="33:33" x14ac:dyDescent="0.25">
      <c r="AG3473" s="185"/>
    </row>
    <row r="3474" spans="33:33" x14ac:dyDescent="0.25">
      <c r="AG3474" s="185"/>
    </row>
    <row r="3475" spans="33:33" x14ac:dyDescent="0.25">
      <c r="AG3475" s="185"/>
    </row>
    <row r="3476" spans="33:33" x14ac:dyDescent="0.25">
      <c r="AG3476" s="185"/>
    </row>
    <row r="3477" spans="33:33" x14ac:dyDescent="0.25">
      <c r="AG3477" s="185"/>
    </row>
    <row r="3478" spans="33:33" x14ac:dyDescent="0.25">
      <c r="AG3478" s="185"/>
    </row>
    <row r="3479" spans="33:33" x14ac:dyDescent="0.25">
      <c r="AG3479" s="185"/>
    </row>
    <row r="3480" spans="33:33" x14ac:dyDescent="0.25">
      <c r="AG3480" s="185"/>
    </row>
    <row r="3481" spans="33:33" x14ac:dyDescent="0.25">
      <c r="AG3481" s="185"/>
    </row>
    <row r="3482" spans="33:33" x14ac:dyDescent="0.25">
      <c r="AG3482" s="185"/>
    </row>
    <row r="3483" spans="33:33" x14ac:dyDescent="0.25">
      <c r="AG3483" s="185"/>
    </row>
    <row r="3484" spans="33:33" x14ac:dyDescent="0.25">
      <c r="AG3484" s="185"/>
    </row>
    <row r="3485" spans="33:33" x14ac:dyDescent="0.25">
      <c r="AG3485" s="185"/>
    </row>
    <row r="3486" spans="33:33" x14ac:dyDescent="0.25">
      <c r="AG3486" s="185"/>
    </row>
    <row r="3487" spans="33:33" x14ac:dyDescent="0.25">
      <c r="AG3487" s="185"/>
    </row>
    <row r="3488" spans="33:33" x14ac:dyDescent="0.25">
      <c r="AG3488" s="185"/>
    </row>
    <row r="3489" spans="33:33" x14ac:dyDescent="0.25">
      <c r="AG3489" s="185"/>
    </row>
    <row r="3490" spans="33:33" x14ac:dyDescent="0.25">
      <c r="AG3490" s="185"/>
    </row>
    <row r="3491" spans="33:33" x14ac:dyDescent="0.25">
      <c r="AG3491" s="185"/>
    </row>
    <row r="3492" spans="33:33" x14ac:dyDescent="0.25">
      <c r="AG3492" s="185"/>
    </row>
    <row r="3493" spans="33:33" x14ac:dyDescent="0.25">
      <c r="AG3493" s="185"/>
    </row>
    <row r="3494" spans="33:33" x14ac:dyDescent="0.25">
      <c r="AG3494" s="185"/>
    </row>
    <row r="3495" spans="33:33" x14ac:dyDescent="0.25">
      <c r="AG3495" s="185"/>
    </row>
    <row r="3496" spans="33:33" x14ac:dyDescent="0.25">
      <c r="AG3496" s="185"/>
    </row>
    <row r="3497" spans="33:33" x14ac:dyDescent="0.25">
      <c r="AG3497" s="185"/>
    </row>
    <row r="3498" spans="33:33" x14ac:dyDescent="0.25">
      <c r="AG3498" s="185"/>
    </row>
    <row r="3499" spans="33:33" x14ac:dyDescent="0.25">
      <c r="AG3499" s="185"/>
    </row>
    <row r="3500" spans="33:33" x14ac:dyDescent="0.25">
      <c r="AG3500" s="185"/>
    </row>
    <row r="3501" spans="33:33" x14ac:dyDescent="0.25">
      <c r="AG3501" s="185"/>
    </row>
    <row r="3502" spans="33:33" x14ac:dyDescent="0.25">
      <c r="AG3502" s="185"/>
    </row>
    <row r="3503" spans="33:33" x14ac:dyDescent="0.25">
      <c r="AG3503" s="185"/>
    </row>
    <row r="3504" spans="33:33" x14ac:dyDescent="0.25">
      <c r="AG3504" s="185"/>
    </row>
    <row r="3505" spans="33:33" x14ac:dyDescent="0.25">
      <c r="AG3505" s="185"/>
    </row>
    <row r="3506" spans="33:33" x14ac:dyDescent="0.25">
      <c r="AG3506" s="185"/>
    </row>
    <row r="3507" spans="33:33" x14ac:dyDescent="0.25">
      <c r="AG3507" s="185"/>
    </row>
    <row r="3508" spans="33:33" x14ac:dyDescent="0.25">
      <c r="AG3508" s="185"/>
    </row>
    <row r="3509" spans="33:33" x14ac:dyDescent="0.25">
      <c r="AG3509" s="185"/>
    </row>
    <row r="3510" spans="33:33" x14ac:dyDescent="0.25">
      <c r="AG3510" s="185"/>
    </row>
    <row r="3511" spans="33:33" x14ac:dyDescent="0.25">
      <c r="AG3511" s="185"/>
    </row>
    <row r="3512" spans="33:33" x14ac:dyDescent="0.25">
      <c r="AG3512" s="185"/>
    </row>
    <row r="3513" spans="33:33" x14ac:dyDescent="0.25">
      <c r="AG3513" s="185"/>
    </row>
    <row r="3514" spans="33:33" x14ac:dyDescent="0.25">
      <c r="AG3514" s="185"/>
    </row>
    <row r="3515" spans="33:33" x14ac:dyDescent="0.25">
      <c r="AG3515" s="185"/>
    </row>
    <row r="3516" spans="33:33" x14ac:dyDescent="0.25">
      <c r="AG3516" s="185"/>
    </row>
    <row r="3517" spans="33:33" x14ac:dyDescent="0.25">
      <c r="AG3517" s="185"/>
    </row>
    <row r="3518" spans="33:33" x14ac:dyDescent="0.25">
      <c r="AG3518" s="185"/>
    </row>
    <row r="3519" spans="33:33" x14ac:dyDescent="0.25">
      <c r="AG3519" s="185"/>
    </row>
    <row r="3520" spans="33:33" x14ac:dyDescent="0.25">
      <c r="AG3520" s="185"/>
    </row>
    <row r="3521" spans="33:33" x14ac:dyDescent="0.25">
      <c r="AG3521" s="185"/>
    </row>
    <row r="3522" spans="33:33" x14ac:dyDescent="0.25">
      <c r="AG3522" s="185"/>
    </row>
    <row r="3523" spans="33:33" x14ac:dyDescent="0.25">
      <c r="AG3523" s="185"/>
    </row>
    <row r="3524" spans="33:33" x14ac:dyDescent="0.25">
      <c r="AG3524" s="185"/>
    </row>
    <row r="3525" spans="33:33" x14ac:dyDescent="0.25">
      <c r="AG3525" s="185"/>
    </row>
    <row r="3526" spans="33:33" x14ac:dyDescent="0.25">
      <c r="AG3526" s="185"/>
    </row>
    <row r="3527" spans="33:33" x14ac:dyDescent="0.25">
      <c r="AG3527" s="185"/>
    </row>
    <row r="3528" spans="33:33" x14ac:dyDescent="0.25">
      <c r="AG3528" s="185"/>
    </row>
    <row r="3529" spans="33:33" x14ac:dyDescent="0.25">
      <c r="AG3529" s="185"/>
    </row>
    <row r="3530" spans="33:33" x14ac:dyDescent="0.25">
      <c r="AG3530" s="185"/>
    </row>
    <row r="3531" spans="33:33" x14ac:dyDescent="0.25">
      <c r="AG3531" s="185"/>
    </row>
    <row r="3532" spans="33:33" x14ac:dyDescent="0.25">
      <c r="AG3532" s="185"/>
    </row>
    <row r="3533" spans="33:33" x14ac:dyDescent="0.25">
      <c r="AG3533" s="185"/>
    </row>
    <row r="3534" spans="33:33" x14ac:dyDescent="0.25">
      <c r="AG3534" s="185"/>
    </row>
    <row r="3535" spans="33:33" x14ac:dyDescent="0.25">
      <c r="AG3535" s="185"/>
    </row>
    <row r="3536" spans="33:33" x14ac:dyDescent="0.25">
      <c r="AG3536" s="185"/>
    </row>
    <row r="3537" spans="33:33" x14ac:dyDescent="0.25">
      <c r="AG3537" s="185"/>
    </row>
    <row r="3538" spans="33:33" x14ac:dyDescent="0.25">
      <c r="AG3538" s="185"/>
    </row>
    <row r="3539" spans="33:33" x14ac:dyDescent="0.25">
      <c r="AG3539" s="185"/>
    </row>
    <row r="3540" spans="33:33" x14ac:dyDescent="0.25">
      <c r="AG3540" s="185"/>
    </row>
    <row r="3541" spans="33:33" x14ac:dyDescent="0.25">
      <c r="AG3541" s="185"/>
    </row>
    <row r="3542" spans="33:33" x14ac:dyDescent="0.25">
      <c r="AG3542" s="185"/>
    </row>
    <row r="3543" spans="33:33" x14ac:dyDescent="0.25">
      <c r="AG3543" s="185"/>
    </row>
    <row r="3544" spans="33:33" x14ac:dyDescent="0.25">
      <c r="AG3544" s="185"/>
    </row>
    <row r="3545" spans="33:33" x14ac:dyDescent="0.25">
      <c r="AG3545" s="185"/>
    </row>
    <row r="3546" spans="33:33" x14ac:dyDescent="0.25">
      <c r="AG3546" s="185"/>
    </row>
    <row r="3547" spans="33:33" x14ac:dyDescent="0.25">
      <c r="AG3547" s="185"/>
    </row>
    <row r="3548" spans="33:33" x14ac:dyDescent="0.25">
      <c r="AG3548" s="185"/>
    </row>
    <row r="3549" spans="33:33" x14ac:dyDescent="0.25">
      <c r="AG3549" s="185"/>
    </row>
    <row r="3550" spans="33:33" x14ac:dyDescent="0.25">
      <c r="AG3550" s="185"/>
    </row>
    <row r="3551" spans="33:33" x14ac:dyDescent="0.25">
      <c r="AG3551" s="185"/>
    </row>
    <row r="3552" spans="33:33" x14ac:dyDescent="0.25">
      <c r="AG3552" s="185"/>
    </row>
    <row r="3553" spans="33:33" x14ac:dyDescent="0.25">
      <c r="AG3553" s="185"/>
    </row>
    <row r="3554" spans="33:33" x14ac:dyDescent="0.25">
      <c r="AG3554" s="185"/>
    </row>
    <row r="3555" spans="33:33" x14ac:dyDescent="0.25">
      <c r="AG3555" s="185"/>
    </row>
    <row r="3556" spans="33:33" x14ac:dyDescent="0.25">
      <c r="AG3556" s="185"/>
    </row>
    <row r="3557" spans="33:33" x14ac:dyDescent="0.25">
      <c r="AG3557" s="185"/>
    </row>
    <row r="3558" spans="33:33" x14ac:dyDescent="0.25">
      <c r="AG3558" s="185"/>
    </row>
    <row r="3559" spans="33:33" x14ac:dyDescent="0.25">
      <c r="AG3559" s="185"/>
    </row>
    <row r="3560" spans="33:33" x14ac:dyDescent="0.25">
      <c r="AG3560" s="185"/>
    </row>
    <row r="3561" spans="33:33" x14ac:dyDescent="0.25">
      <c r="AG3561" s="185"/>
    </row>
    <row r="3562" spans="33:33" x14ac:dyDescent="0.25">
      <c r="AG3562" s="185"/>
    </row>
    <row r="3563" spans="33:33" x14ac:dyDescent="0.25">
      <c r="AG3563" s="185"/>
    </row>
    <row r="3564" spans="33:33" x14ac:dyDescent="0.25">
      <c r="AG3564" s="185"/>
    </row>
    <row r="3565" spans="33:33" x14ac:dyDescent="0.25">
      <c r="AG3565" s="185"/>
    </row>
    <row r="3566" spans="33:33" x14ac:dyDescent="0.25">
      <c r="AG3566" s="185"/>
    </row>
    <row r="3567" spans="33:33" x14ac:dyDescent="0.25">
      <c r="AG3567" s="185"/>
    </row>
    <row r="3568" spans="33:33" x14ac:dyDescent="0.25">
      <c r="AG3568" s="185"/>
    </row>
    <row r="3569" spans="33:33" x14ac:dyDescent="0.25">
      <c r="AG3569" s="185"/>
    </row>
    <row r="3570" spans="33:33" x14ac:dyDescent="0.25">
      <c r="AG3570" s="185"/>
    </row>
    <row r="3571" spans="33:33" x14ac:dyDescent="0.25">
      <c r="AG3571" s="185"/>
    </row>
    <row r="3572" spans="33:33" x14ac:dyDescent="0.25">
      <c r="AG3572" s="185"/>
    </row>
    <row r="3573" spans="33:33" x14ac:dyDescent="0.25">
      <c r="AG3573" s="185"/>
    </row>
    <row r="3574" spans="33:33" x14ac:dyDescent="0.25">
      <c r="AG3574" s="185"/>
    </row>
    <row r="3575" spans="33:33" x14ac:dyDescent="0.25">
      <c r="AG3575" s="185"/>
    </row>
    <row r="3576" spans="33:33" x14ac:dyDescent="0.25">
      <c r="AG3576" s="185"/>
    </row>
    <row r="3577" spans="33:33" x14ac:dyDescent="0.25">
      <c r="AG3577" s="185"/>
    </row>
    <row r="3578" spans="33:33" x14ac:dyDescent="0.25">
      <c r="AG3578" s="185"/>
    </row>
    <row r="3579" spans="33:33" x14ac:dyDescent="0.25">
      <c r="AG3579" s="185"/>
    </row>
    <row r="3580" spans="33:33" x14ac:dyDescent="0.25">
      <c r="AG3580" s="185"/>
    </row>
    <row r="3581" spans="33:33" x14ac:dyDescent="0.25">
      <c r="AG3581" s="185"/>
    </row>
    <row r="3582" spans="33:33" x14ac:dyDescent="0.25">
      <c r="AG3582" s="185"/>
    </row>
    <row r="3583" spans="33:33" x14ac:dyDescent="0.25">
      <c r="AG3583" s="185"/>
    </row>
    <row r="3584" spans="33:33" x14ac:dyDescent="0.25">
      <c r="AG3584" s="185"/>
    </row>
    <row r="3585" spans="33:33" x14ac:dyDescent="0.25">
      <c r="AG3585" s="185"/>
    </row>
    <row r="3586" spans="33:33" x14ac:dyDescent="0.25">
      <c r="AG3586" s="185"/>
    </row>
    <row r="3587" spans="33:33" x14ac:dyDescent="0.25">
      <c r="AG3587" s="185"/>
    </row>
    <row r="3588" spans="33:33" x14ac:dyDescent="0.25">
      <c r="AG3588" s="185"/>
    </row>
    <row r="3589" spans="33:33" x14ac:dyDescent="0.25">
      <c r="AG3589" s="185"/>
    </row>
    <row r="3590" spans="33:33" x14ac:dyDescent="0.25">
      <c r="AG3590" s="185"/>
    </row>
    <row r="3591" spans="33:33" x14ac:dyDescent="0.25">
      <c r="AG3591" s="185"/>
    </row>
    <row r="3592" spans="33:33" x14ac:dyDescent="0.25">
      <c r="AG3592" s="185"/>
    </row>
    <row r="3593" spans="33:33" x14ac:dyDescent="0.25">
      <c r="AG3593" s="185"/>
    </row>
    <row r="3594" spans="33:33" x14ac:dyDescent="0.25">
      <c r="AG3594" s="185"/>
    </row>
    <row r="3595" spans="33:33" x14ac:dyDescent="0.25">
      <c r="AG3595" s="185"/>
    </row>
    <row r="3596" spans="33:33" x14ac:dyDescent="0.25">
      <c r="AG3596" s="185"/>
    </row>
    <row r="3597" spans="33:33" x14ac:dyDescent="0.25">
      <c r="AG3597" s="185"/>
    </row>
    <row r="3598" spans="33:33" x14ac:dyDescent="0.25">
      <c r="AG3598" s="185"/>
    </row>
    <row r="3599" spans="33:33" x14ac:dyDescent="0.25">
      <c r="AG3599" s="185"/>
    </row>
    <row r="3600" spans="33:33" x14ac:dyDescent="0.25">
      <c r="AG3600" s="185"/>
    </row>
    <row r="3601" spans="33:33" x14ac:dyDescent="0.25">
      <c r="AG3601" s="185"/>
    </row>
    <row r="3602" spans="33:33" x14ac:dyDescent="0.25">
      <c r="AG3602" s="185"/>
    </row>
    <row r="3603" spans="33:33" x14ac:dyDescent="0.25">
      <c r="AG3603" s="185"/>
    </row>
    <row r="3604" spans="33:33" x14ac:dyDescent="0.25">
      <c r="AG3604" s="185"/>
    </row>
    <row r="3605" spans="33:33" x14ac:dyDescent="0.25">
      <c r="AG3605" s="185"/>
    </row>
    <row r="3606" spans="33:33" x14ac:dyDescent="0.25">
      <c r="AG3606" s="185"/>
    </row>
    <row r="3607" spans="33:33" x14ac:dyDescent="0.25">
      <c r="AG3607" s="185"/>
    </row>
    <row r="3608" spans="33:33" x14ac:dyDescent="0.25">
      <c r="AG3608" s="185"/>
    </row>
    <row r="3609" spans="33:33" x14ac:dyDescent="0.25">
      <c r="AG3609" s="185"/>
    </row>
    <row r="3610" spans="33:33" x14ac:dyDescent="0.25">
      <c r="AG3610" s="185"/>
    </row>
    <row r="3611" spans="33:33" x14ac:dyDescent="0.25">
      <c r="AG3611" s="185"/>
    </row>
    <row r="3612" spans="33:33" x14ac:dyDescent="0.25">
      <c r="AG3612" s="185"/>
    </row>
    <row r="3613" spans="33:33" x14ac:dyDescent="0.25">
      <c r="AG3613" s="185"/>
    </row>
    <row r="3614" spans="33:33" x14ac:dyDescent="0.25">
      <c r="AG3614" s="185"/>
    </row>
    <row r="3615" spans="33:33" x14ac:dyDescent="0.25">
      <c r="AG3615" s="185"/>
    </row>
    <row r="3616" spans="33:33" x14ac:dyDescent="0.25">
      <c r="AG3616" s="185"/>
    </row>
    <row r="3617" spans="33:33" x14ac:dyDescent="0.25">
      <c r="AG3617" s="185"/>
    </row>
    <row r="3618" spans="33:33" x14ac:dyDescent="0.25">
      <c r="AG3618" s="185"/>
    </row>
    <row r="3619" spans="33:33" x14ac:dyDescent="0.25">
      <c r="AG3619" s="185"/>
    </row>
    <row r="3620" spans="33:33" x14ac:dyDescent="0.25">
      <c r="AG3620" s="185"/>
    </row>
    <row r="3621" spans="33:33" x14ac:dyDescent="0.25">
      <c r="AG3621" s="185"/>
    </row>
    <row r="3622" spans="33:33" x14ac:dyDescent="0.25">
      <c r="AG3622" s="185"/>
    </row>
    <row r="3623" spans="33:33" x14ac:dyDescent="0.25">
      <c r="AG3623" s="185"/>
    </row>
    <row r="3624" spans="33:33" x14ac:dyDescent="0.25">
      <c r="AG3624" s="185"/>
    </row>
    <row r="3625" spans="33:33" x14ac:dyDescent="0.25">
      <c r="AG3625" s="185"/>
    </row>
    <row r="3626" spans="33:33" x14ac:dyDescent="0.25">
      <c r="AG3626" s="185"/>
    </row>
    <row r="3627" spans="33:33" x14ac:dyDescent="0.25">
      <c r="AG3627" s="185"/>
    </row>
    <row r="3628" spans="33:33" x14ac:dyDescent="0.25">
      <c r="AG3628" s="185"/>
    </row>
    <row r="3629" spans="33:33" x14ac:dyDescent="0.25">
      <c r="AG3629" s="185"/>
    </row>
    <row r="3630" spans="33:33" x14ac:dyDescent="0.25">
      <c r="AG3630" s="185"/>
    </row>
    <row r="3631" spans="33:33" x14ac:dyDescent="0.25">
      <c r="AG3631" s="185"/>
    </row>
    <row r="3632" spans="33:33" x14ac:dyDescent="0.25">
      <c r="AG3632" s="185"/>
    </row>
    <row r="3633" spans="33:33" x14ac:dyDescent="0.25">
      <c r="AG3633" s="185"/>
    </row>
    <row r="3634" spans="33:33" x14ac:dyDescent="0.25">
      <c r="AG3634" s="185"/>
    </row>
    <row r="3635" spans="33:33" x14ac:dyDescent="0.25">
      <c r="AG3635" s="185"/>
    </row>
    <row r="3636" spans="33:33" x14ac:dyDescent="0.25">
      <c r="AG3636" s="185"/>
    </row>
    <row r="3637" spans="33:33" x14ac:dyDescent="0.25">
      <c r="AG3637" s="185"/>
    </row>
    <row r="3638" spans="33:33" x14ac:dyDescent="0.25">
      <c r="AG3638" s="185"/>
    </row>
    <row r="3639" spans="33:33" x14ac:dyDescent="0.25">
      <c r="AG3639" s="185"/>
    </row>
    <row r="3640" spans="33:33" x14ac:dyDescent="0.25">
      <c r="AG3640" s="185"/>
    </row>
    <row r="3641" spans="33:33" x14ac:dyDescent="0.25">
      <c r="AG3641" s="185"/>
    </row>
    <row r="3642" spans="33:33" x14ac:dyDescent="0.25">
      <c r="AG3642" s="185"/>
    </row>
    <row r="3643" spans="33:33" x14ac:dyDescent="0.25">
      <c r="AG3643" s="185"/>
    </row>
    <row r="3644" spans="33:33" x14ac:dyDescent="0.25">
      <c r="AG3644" s="185"/>
    </row>
    <row r="3645" spans="33:33" x14ac:dyDescent="0.25">
      <c r="AG3645" s="185"/>
    </row>
    <row r="3646" spans="33:33" x14ac:dyDescent="0.25">
      <c r="AG3646" s="185"/>
    </row>
    <row r="3647" spans="33:33" x14ac:dyDescent="0.25">
      <c r="AG3647" s="185"/>
    </row>
    <row r="3648" spans="33:33" x14ac:dyDescent="0.25">
      <c r="AG3648" s="185"/>
    </row>
    <row r="3649" spans="33:33" x14ac:dyDescent="0.25">
      <c r="AG3649" s="185"/>
    </row>
    <row r="3650" spans="33:33" x14ac:dyDescent="0.25">
      <c r="AG3650" s="185"/>
    </row>
    <row r="3651" spans="33:33" x14ac:dyDescent="0.25">
      <c r="AG3651" s="185"/>
    </row>
    <row r="3652" spans="33:33" x14ac:dyDescent="0.25">
      <c r="AG3652" s="185"/>
    </row>
    <row r="3653" spans="33:33" x14ac:dyDescent="0.25">
      <c r="AG3653" s="185"/>
    </row>
    <row r="3654" spans="33:33" x14ac:dyDescent="0.25">
      <c r="AG3654" s="185"/>
    </row>
    <row r="3655" spans="33:33" x14ac:dyDescent="0.25">
      <c r="AG3655" s="185"/>
    </row>
    <row r="3656" spans="33:33" x14ac:dyDescent="0.25">
      <c r="AG3656" s="185"/>
    </row>
    <row r="3657" spans="33:33" x14ac:dyDescent="0.25">
      <c r="AG3657" s="185"/>
    </row>
    <row r="3658" spans="33:33" x14ac:dyDescent="0.25">
      <c r="AG3658" s="185"/>
    </row>
    <row r="3659" spans="33:33" x14ac:dyDescent="0.25">
      <c r="AG3659" s="185"/>
    </row>
    <row r="3660" spans="33:33" x14ac:dyDescent="0.25">
      <c r="AG3660" s="185"/>
    </row>
    <row r="3661" spans="33:33" x14ac:dyDescent="0.25">
      <c r="AG3661" s="185"/>
    </row>
    <row r="3662" spans="33:33" x14ac:dyDescent="0.25">
      <c r="AG3662" s="185"/>
    </row>
    <row r="3663" spans="33:33" x14ac:dyDescent="0.25">
      <c r="AG3663" s="185"/>
    </row>
    <row r="3664" spans="33:33" x14ac:dyDescent="0.25">
      <c r="AG3664" s="185"/>
    </row>
    <row r="3665" spans="33:33" x14ac:dyDescent="0.25">
      <c r="AG3665" s="185"/>
    </row>
    <row r="3666" spans="33:33" x14ac:dyDescent="0.25">
      <c r="AG3666" s="185"/>
    </row>
    <row r="3667" spans="33:33" x14ac:dyDescent="0.25">
      <c r="AG3667" s="185"/>
    </row>
    <row r="3668" spans="33:33" x14ac:dyDescent="0.25">
      <c r="AG3668" s="185"/>
    </row>
    <row r="3669" spans="33:33" x14ac:dyDescent="0.25">
      <c r="AG3669" s="185"/>
    </row>
    <row r="3670" spans="33:33" x14ac:dyDescent="0.25">
      <c r="AG3670" s="185"/>
    </row>
    <row r="3671" spans="33:33" x14ac:dyDescent="0.25">
      <c r="AG3671" s="185"/>
    </row>
    <row r="3672" spans="33:33" x14ac:dyDescent="0.25">
      <c r="AG3672" s="185"/>
    </row>
    <row r="3673" spans="33:33" x14ac:dyDescent="0.25">
      <c r="AG3673" s="185"/>
    </row>
    <row r="3674" spans="33:33" x14ac:dyDescent="0.25">
      <c r="AG3674" s="185"/>
    </row>
    <row r="3675" spans="33:33" x14ac:dyDescent="0.25">
      <c r="AG3675" s="185"/>
    </row>
    <row r="3676" spans="33:33" x14ac:dyDescent="0.25">
      <c r="AG3676" s="185"/>
    </row>
    <row r="3677" spans="33:33" x14ac:dyDescent="0.25">
      <c r="AG3677" s="185"/>
    </row>
    <row r="3678" spans="33:33" x14ac:dyDescent="0.25">
      <c r="AG3678" s="185"/>
    </row>
    <row r="3679" spans="33:33" x14ac:dyDescent="0.25">
      <c r="AG3679" s="185"/>
    </row>
    <row r="3680" spans="33:33" x14ac:dyDescent="0.25">
      <c r="AG3680" s="185"/>
    </row>
    <row r="3681" spans="33:33" x14ac:dyDescent="0.25">
      <c r="AG3681" s="185"/>
    </row>
    <row r="3682" spans="33:33" x14ac:dyDescent="0.25">
      <c r="AG3682" s="185"/>
    </row>
    <row r="3683" spans="33:33" x14ac:dyDescent="0.25">
      <c r="AG3683" s="185"/>
    </row>
    <row r="3684" spans="33:33" x14ac:dyDescent="0.25">
      <c r="AG3684" s="185"/>
    </row>
    <row r="3685" spans="33:33" x14ac:dyDescent="0.25">
      <c r="AG3685" s="185"/>
    </row>
    <row r="3686" spans="33:33" x14ac:dyDescent="0.25">
      <c r="AG3686" s="185"/>
    </row>
    <row r="3687" spans="33:33" x14ac:dyDescent="0.25">
      <c r="AG3687" s="185"/>
    </row>
    <row r="3688" spans="33:33" x14ac:dyDescent="0.25">
      <c r="AG3688" s="185"/>
    </row>
    <row r="3689" spans="33:33" x14ac:dyDescent="0.25">
      <c r="AG3689" s="185"/>
    </row>
    <row r="3690" spans="33:33" x14ac:dyDescent="0.25">
      <c r="AG3690" s="185"/>
    </row>
    <row r="3691" spans="33:33" x14ac:dyDescent="0.25">
      <c r="AG3691" s="185"/>
    </row>
    <row r="3692" spans="33:33" x14ac:dyDescent="0.25">
      <c r="AG3692" s="185"/>
    </row>
    <row r="3693" spans="33:33" x14ac:dyDescent="0.25">
      <c r="AG3693" s="185"/>
    </row>
    <row r="3694" spans="33:33" x14ac:dyDescent="0.25">
      <c r="AG3694" s="185"/>
    </row>
    <row r="3695" spans="33:33" x14ac:dyDescent="0.25">
      <c r="AG3695" s="185"/>
    </row>
    <row r="3696" spans="33:33" x14ac:dyDescent="0.25">
      <c r="AG3696" s="185"/>
    </row>
    <row r="3697" spans="33:33" x14ac:dyDescent="0.25">
      <c r="AG3697" s="185"/>
    </row>
    <row r="3698" spans="33:33" x14ac:dyDescent="0.25">
      <c r="AG3698" s="185"/>
    </row>
    <row r="3699" spans="33:33" x14ac:dyDescent="0.25">
      <c r="AG3699" s="185"/>
    </row>
    <row r="3700" spans="33:33" x14ac:dyDescent="0.25">
      <c r="AG3700" s="185"/>
    </row>
    <row r="3701" spans="33:33" x14ac:dyDescent="0.25">
      <c r="AG3701" s="185"/>
    </row>
    <row r="3702" spans="33:33" x14ac:dyDescent="0.25">
      <c r="AG3702" s="185"/>
    </row>
    <row r="3703" spans="33:33" x14ac:dyDescent="0.25">
      <c r="AG3703" s="185"/>
    </row>
    <row r="3704" spans="33:33" x14ac:dyDescent="0.25">
      <c r="AG3704" s="185"/>
    </row>
    <row r="3705" spans="33:33" x14ac:dyDescent="0.25">
      <c r="AG3705" s="185"/>
    </row>
    <row r="3706" spans="33:33" x14ac:dyDescent="0.25">
      <c r="AG3706" s="185"/>
    </row>
    <row r="3707" spans="33:33" x14ac:dyDescent="0.25">
      <c r="AG3707" s="185"/>
    </row>
    <row r="3708" spans="33:33" x14ac:dyDescent="0.25">
      <c r="AG3708" s="185"/>
    </row>
    <row r="3709" spans="33:33" x14ac:dyDescent="0.25">
      <c r="AG3709" s="185"/>
    </row>
    <row r="3710" spans="33:33" x14ac:dyDescent="0.25">
      <c r="AG3710" s="185"/>
    </row>
    <row r="3711" spans="33:33" x14ac:dyDescent="0.25">
      <c r="AG3711" s="185"/>
    </row>
    <row r="3712" spans="33:33" x14ac:dyDescent="0.25">
      <c r="AG3712" s="185"/>
    </row>
    <row r="3713" spans="33:33" x14ac:dyDescent="0.25">
      <c r="AG3713" s="185"/>
    </row>
    <row r="3714" spans="33:33" x14ac:dyDescent="0.25">
      <c r="AG3714" s="185"/>
    </row>
    <row r="3715" spans="33:33" x14ac:dyDescent="0.25">
      <c r="AG3715" s="185"/>
    </row>
    <row r="3716" spans="33:33" x14ac:dyDescent="0.25">
      <c r="AG3716" s="185"/>
    </row>
    <row r="3717" spans="33:33" x14ac:dyDescent="0.25">
      <c r="AG3717" s="185"/>
    </row>
    <row r="3718" spans="33:33" x14ac:dyDescent="0.25">
      <c r="AG3718" s="185"/>
    </row>
    <row r="3719" spans="33:33" x14ac:dyDescent="0.25">
      <c r="AG3719" s="185"/>
    </row>
    <row r="3720" spans="33:33" x14ac:dyDescent="0.25">
      <c r="AG3720" s="185"/>
    </row>
    <row r="3721" spans="33:33" x14ac:dyDescent="0.25">
      <c r="AG3721" s="185"/>
    </row>
    <row r="3722" spans="33:33" x14ac:dyDescent="0.25">
      <c r="AG3722" s="185"/>
    </row>
    <row r="3723" spans="33:33" x14ac:dyDescent="0.25">
      <c r="AG3723" s="185"/>
    </row>
    <row r="3724" spans="33:33" x14ac:dyDescent="0.25">
      <c r="AG3724" s="185"/>
    </row>
    <row r="3725" spans="33:33" x14ac:dyDescent="0.25">
      <c r="AG3725" s="185"/>
    </row>
    <row r="3726" spans="33:33" x14ac:dyDescent="0.25">
      <c r="AG3726" s="185"/>
    </row>
    <row r="3727" spans="33:33" x14ac:dyDescent="0.25">
      <c r="AG3727" s="185"/>
    </row>
    <row r="3728" spans="33:33" x14ac:dyDescent="0.25">
      <c r="AG3728" s="185"/>
    </row>
    <row r="3729" spans="33:33" x14ac:dyDescent="0.25">
      <c r="AG3729" s="185"/>
    </row>
    <row r="3730" spans="33:33" x14ac:dyDescent="0.25">
      <c r="AG3730" s="185"/>
    </row>
    <row r="3731" spans="33:33" x14ac:dyDescent="0.25">
      <c r="AG3731" s="185"/>
    </row>
    <row r="3732" spans="33:33" x14ac:dyDescent="0.25">
      <c r="AG3732" s="185"/>
    </row>
    <row r="3733" spans="33:33" x14ac:dyDescent="0.25">
      <c r="AG3733" s="185"/>
    </row>
    <row r="3734" spans="33:33" x14ac:dyDescent="0.25">
      <c r="AG3734" s="185"/>
    </row>
    <row r="3735" spans="33:33" x14ac:dyDescent="0.25">
      <c r="AG3735" s="185"/>
    </row>
    <row r="3736" spans="33:33" x14ac:dyDescent="0.25">
      <c r="AG3736" s="185"/>
    </row>
    <row r="3737" spans="33:33" x14ac:dyDescent="0.25">
      <c r="AG3737" s="185"/>
    </row>
    <row r="3738" spans="33:33" x14ac:dyDescent="0.25">
      <c r="AG3738" s="185"/>
    </row>
    <row r="3739" spans="33:33" x14ac:dyDescent="0.25">
      <c r="AG3739" s="185"/>
    </row>
    <row r="3740" spans="33:33" x14ac:dyDescent="0.25">
      <c r="AG3740" s="185"/>
    </row>
    <row r="3741" spans="33:33" x14ac:dyDescent="0.25">
      <c r="AG3741" s="185"/>
    </row>
    <row r="3742" spans="33:33" x14ac:dyDescent="0.25">
      <c r="AG3742" s="185"/>
    </row>
    <row r="3743" spans="33:33" x14ac:dyDescent="0.25">
      <c r="AG3743" s="185"/>
    </row>
    <row r="3744" spans="33:33" x14ac:dyDescent="0.25">
      <c r="AG3744" s="185"/>
    </row>
    <row r="3745" spans="33:33" x14ac:dyDescent="0.25">
      <c r="AG3745" s="185"/>
    </row>
    <row r="3746" spans="33:33" x14ac:dyDescent="0.25">
      <c r="AG3746" s="185"/>
    </row>
    <row r="3747" spans="33:33" x14ac:dyDescent="0.25">
      <c r="AG3747" s="185"/>
    </row>
    <row r="3748" spans="33:33" x14ac:dyDescent="0.25">
      <c r="AG3748" s="185"/>
    </row>
    <row r="3749" spans="33:33" x14ac:dyDescent="0.25">
      <c r="AG3749" s="185"/>
    </row>
    <row r="3750" spans="33:33" x14ac:dyDescent="0.25">
      <c r="AG3750" s="185"/>
    </row>
    <row r="3751" spans="33:33" x14ac:dyDescent="0.25">
      <c r="AG3751" s="185"/>
    </row>
    <row r="3752" spans="33:33" x14ac:dyDescent="0.25">
      <c r="AG3752" s="185"/>
    </row>
    <row r="3753" spans="33:33" x14ac:dyDescent="0.25">
      <c r="AG3753" s="185"/>
    </row>
    <row r="3754" spans="33:33" x14ac:dyDescent="0.25">
      <c r="AG3754" s="185"/>
    </row>
    <row r="3755" spans="33:33" x14ac:dyDescent="0.25">
      <c r="AG3755" s="185"/>
    </row>
    <row r="3756" spans="33:33" x14ac:dyDescent="0.25">
      <c r="AG3756" s="185"/>
    </row>
    <row r="3757" spans="33:33" x14ac:dyDescent="0.25">
      <c r="AG3757" s="185"/>
    </row>
    <row r="3758" spans="33:33" x14ac:dyDescent="0.25">
      <c r="AG3758" s="185"/>
    </row>
    <row r="3759" spans="33:33" x14ac:dyDescent="0.25">
      <c r="AG3759" s="185"/>
    </row>
    <row r="3760" spans="33:33" x14ac:dyDescent="0.25">
      <c r="AG3760" s="185"/>
    </row>
    <row r="3761" spans="33:33" x14ac:dyDescent="0.25">
      <c r="AG3761" s="185"/>
    </row>
    <row r="3762" spans="33:33" x14ac:dyDescent="0.25">
      <c r="AG3762" s="185"/>
    </row>
    <row r="3763" spans="33:33" x14ac:dyDescent="0.25">
      <c r="AG3763" s="185"/>
    </row>
    <row r="3764" spans="33:33" x14ac:dyDescent="0.25">
      <c r="AG3764" s="185"/>
    </row>
    <row r="3765" spans="33:33" x14ac:dyDescent="0.25">
      <c r="AG3765" s="185"/>
    </row>
    <row r="3766" spans="33:33" x14ac:dyDescent="0.25">
      <c r="AG3766" s="185"/>
    </row>
    <row r="3767" spans="33:33" x14ac:dyDescent="0.25">
      <c r="AG3767" s="185"/>
    </row>
    <row r="3768" spans="33:33" x14ac:dyDescent="0.25">
      <c r="AG3768" s="185"/>
    </row>
    <row r="3769" spans="33:33" x14ac:dyDescent="0.25">
      <c r="AG3769" s="185"/>
    </row>
    <row r="3770" spans="33:33" x14ac:dyDescent="0.25">
      <c r="AG3770" s="185"/>
    </row>
    <row r="3771" spans="33:33" x14ac:dyDescent="0.25">
      <c r="AG3771" s="185"/>
    </row>
    <row r="3772" spans="33:33" x14ac:dyDescent="0.25">
      <c r="AG3772" s="185"/>
    </row>
    <row r="3773" spans="33:33" x14ac:dyDescent="0.25">
      <c r="AG3773" s="185"/>
    </row>
    <row r="3774" spans="33:33" x14ac:dyDescent="0.25">
      <c r="AG3774" s="185"/>
    </row>
    <row r="3775" spans="33:33" x14ac:dyDescent="0.25">
      <c r="AG3775" s="185"/>
    </row>
    <row r="3776" spans="33:33" x14ac:dyDescent="0.25">
      <c r="AG3776" s="185"/>
    </row>
    <row r="3777" spans="33:33" x14ac:dyDescent="0.25">
      <c r="AG3777" s="185"/>
    </row>
    <row r="3778" spans="33:33" x14ac:dyDescent="0.25">
      <c r="AG3778" s="185"/>
    </row>
    <row r="3779" spans="33:33" x14ac:dyDescent="0.25">
      <c r="AG3779" s="185"/>
    </row>
    <row r="3780" spans="33:33" x14ac:dyDescent="0.25">
      <c r="AG3780" s="185"/>
    </row>
    <row r="3781" spans="33:33" x14ac:dyDescent="0.25">
      <c r="AG3781" s="185"/>
    </row>
    <row r="3782" spans="33:33" x14ac:dyDescent="0.25">
      <c r="AG3782" s="185"/>
    </row>
    <row r="3783" spans="33:33" x14ac:dyDescent="0.25">
      <c r="AG3783" s="185"/>
    </row>
    <row r="3784" spans="33:33" x14ac:dyDescent="0.25">
      <c r="AG3784" s="185"/>
    </row>
    <row r="3785" spans="33:33" x14ac:dyDescent="0.25">
      <c r="AG3785" s="185"/>
    </row>
    <row r="3786" spans="33:33" x14ac:dyDescent="0.25">
      <c r="AG3786" s="185"/>
    </row>
    <row r="3787" spans="33:33" x14ac:dyDescent="0.25">
      <c r="AG3787" s="185"/>
    </row>
    <row r="3788" spans="33:33" x14ac:dyDescent="0.25">
      <c r="AG3788" s="185"/>
    </row>
    <row r="3789" spans="33:33" x14ac:dyDescent="0.25">
      <c r="AG3789" s="185"/>
    </row>
    <row r="3790" spans="33:33" x14ac:dyDescent="0.25">
      <c r="AG3790" s="185"/>
    </row>
    <row r="3791" spans="33:33" x14ac:dyDescent="0.25">
      <c r="AG3791" s="185"/>
    </row>
    <row r="3792" spans="33:33" x14ac:dyDescent="0.25">
      <c r="AG3792" s="185"/>
    </row>
    <row r="3793" spans="33:33" x14ac:dyDescent="0.25">
      <c r="AG3793" s="185"/>
    </row>
    <row r="3794" spans="33:33" x14ac:dyDescent="0.25">
      <c r="AG3794" s="185"/>
    </row>
    <row r="3795" spans="33:33" x14ac:dyDescent="0.25">
      <c r="AG3795" s="185"/>
    </row>
    <row r="3796" spans="33:33" x14ac:dyDescent="0.25">
      <c r="AG3796" s="185"/>
    </row>
    <row r="3797" spans="33:33" x14ac:dyDescent="0.25">
      <c r="AG3797" s="185"/>
    </row>
    <row r="3798" spans="33:33" x14ac:dyDescent="0.25">
      <c r="AG3798" s="185"/>
    </row>
    <row r="3799" spans="33:33" x14ac:dyDescent="0.25">
      <c r="AG3799" s="185"/>
    </row>
    <row r="3800" spans="33:33" x14ac:dyDescent="0.25">
      <c r="AG3800" s="185"/>
    </row>
    <row r="3801" spans="33:33" x14ac:dyDescent="0.25">
      <c r="AG3801" s="185"/>
    </row>
    <row r="3802" spans="33:33" x14ac:dyDescent="0.25">
      <c r="AG3802" s="185"/>
    </row>
    <row r="3803" spans="33:33" x14ac:dyDescent="0.25">
      <c r="AG3803" s="185"/>
    </row>
    <row r="3804" spans="33:33" x14ac:dyDescent="0.25">
      <c r="AG3804" s="185"/>
    </row>
    <row r="3805" spans="33:33" x14ac:dyDescent="0.25">
      <c r="AG3805" s="185"/>
    </row>
    <row r="3806" spans="33:33" x14ac:dyDescent="0.25">
      <c r="AG3806" s="185"/>
    </row>
    <row r="3807" spans="33:33" x14ac:dyDescent="0.25">
      <c r="AG3807" s="185"/>
    </row>
    <row r="3808" spans="33:33" x14ac:dyDescent="0.25">
      <c r="AG3808" s="185"/>
    </row>
    <row r="3809" spans="33:33" x14ac:dyDescent="0.25">
      <c r="AG3809" s="185"/>
    </row>
    <row r="3810" spans="33:33" x14ac:dyDescent="0.25">
      <c r="AG3810" s="185"/>
    </row>
    <row r="3811" spans="33:33" x14ac:dyDescent="0.25">
      <c r="AG3811" s="185"/>
    </row>
    <row r="3812" spans="33:33" x14ac:dyDescent="0.25">
      <c r="AG3812" s="185"/>
    </row>
    <row r="3813" spans="33:33" x14ac:dyDescent="0.25">
      <c r="AG3813" s="185"/>
    </row>
    <row r="3814" spans="33:33" x14ac:dyDescent="0.25">
      <c r="AG3814" s="185"/>
    </row>
    <row r="3815" spans="33:33" x14ac:dyDescent="0.25">
      <c r="AG3815" s="185"/>
    </row>
    <row r="3816" spans="33:33" x14ac:dyDescent="0.25">
      <c r="AG3816" s="185"/>
    </row>
    <row r="3817" spans="33:33" x14ac:dyDescent="0.25">
      <c r="AG3817" s="185"/>
    </row>
    <row r="3818" spans="33:33" x14ac:dyDescent="0.25">
      <c r="AG3818" s="185"/>
    </row>
    <row r="3819" spans="33:33" x14ac:dyDescent="0.25">
      <c r="AG3819" s="185"/>
    </row>
    <row r="3820" spans="33:33" x14ac:dyDescent="0.25">
      <c r="AG3820" s="185"/>
    </row>
    <row r="3821" spans="33:33" x14ac:dyDescent="0.25">
      <c r="AG3821" s="185"/>
    </row>
    <row r="3822" spans="33:33" x14ac:dyDescent="0.25">
      <c r="AG3822" s="185"/>
    </row>
    <row r="3823" spans="33:33" x14ac:dyDescent="0.25">
      <c r="AG3823" s="185"/>
    </row>
    <row r="3824" spans="33:33" x14ac:dyDescent="0.25">
      <c r="AG3824" s="185"/>
    </row>
    <row r="3825" spans="33:33" x14ac:dyDescent="0.25">
      <c r="AG3825" s="185"/>
    </row>
    <row r="3826" spans="33:33" x14ac:dyDescent="0.25">
      <c r="AG3826" s="185"/>
    </row>
    <row r="3827" spans="33:33" x14ac:dyDescent="0.25">
      <c r="AG3827" s="185"/>
    </row>
    <row r="3828" spans="33:33" x14ac:dyDescent="0.25">
      <c r="AG3828" s="185"/>
    </row>
    <row r="3829" spans="33:33" x14ac:dyDescent="0.25">
      <c r="AG3829" s="185"/>
    </row>
    <row r="3830" spans="33:33" x14ac:dyDescent="0.25">
      <c r="AG3830" s="185"/>
    </row>
    <row r="3831" spans="33:33" x14ac:dyDescent="0.25">
      <c r="AG3831" s="185"/>
    </row>
    <row r="3832" spans="33:33" x14ac:dyDescent="0.25">
      <c r="AG3832" s="185"/>
    </row>
    <row r="3833" spans="33:33" x14ac:dyDescent="0.25">
      <c r="AG3833" s="185"/>
    </row>
    <row r="3834" spans="33:33" x14ac:dyDescent="0.25">
      <c r="AG3834" s="185"/>
    </row>
    <row r="3835" spans="33:33" x14ac:dyDescent="0.25">
      <c r="AG3835" s="185"/>
    </row>
    <row r="3836" spans="33:33" x14ac:dyDescent="0.25">
      <c r="AG3836" s="185"/>
    </row>
    <row r="3837" spans="33:33" x14ac:dyDescent="0.25">
      <c r="AG3837" s="185"/>
    </row>
    <row r="3838" spans="33:33" x14ac:dyDescent="0.25">
      <c r="AG3838" s="185"/>
    </row>
    <row r="3839" spans="33:33" x14ac:dyDescent="0.25">
      <c r="AG3839" s="185"/>
    </row>
    <row r="3840" spans="33:33" x14ac:dyDescent="0.25">
      <c r="AG3840" s="185"/>
    </row>
    <row r="3841" spans="33:33" x14ac:dyDescent="0.25">
      <c r="AG3841" s="185"/>
    </row>
    <row r="3842" spans="33:33" x14ac:dyDescent="0.25">
      <c r="AG3842" s="185"/>
    </row>
    <row r="3843" spans="33:33" x14ac:dyDescent="0.25">
      <c r="AG3843" s="185"/>
    </row>
    <row r="3844" spans="33:33" x14ac:dyDescent="0.25">
      <c r="AG3844" s="185"/>
    </row>
    <row r="3845" spans="33:33" x14ac:dyDescent="0.25">
      <c r="AG3845" s="185"/>
    </row>
    <row r="3846" spans="33:33" x14ac:dyDescent="0.25">
      <c r="AG3846" s="185"/>
    </row>
    <row r="3847" spans="33:33" x14ac:dyDescent="0.25">
      <c r="AG3847" s="185"/>
    </row>
    <row r="3848" spans="33:33" x14ac:dyDescent="0.25">
      <c r="AG3848" s="185"/>
    </row>
    <row r="3849" spans="33:33" x14ac:dyDescent="0.25">
      <c r="AG3849" s="185"/>
    </row>
    <row r="3850" spans="33:33" x14ac:dyDescent="0.25">
      <c r="AG3850" s="185"/>
    </row>
    <row r="3851" spans="33:33" x14ac:dyDescent="0.25">
      <c r="AG3851" s="185"/>
    </row>
    <row r="3852" spans="33:33" x14ac:dyDescent="0.25">
      <c r="AG3852" s="185"/>
    </row>
    <row r="3853" spans="33:33" x14ac:dyDescent="0.25">
      <c r="AG3853" s="185"/>
    </row>
    <row r="3854" spans="33:33" x14ac:dyDescent="0.25">
      <c r="AG3854" s="185"/>
    </row>
    <row r="3855" spans="33:33" x14ac:dyDescent="0.25">
      <c r="AG3855" s="185"/>
    </row>
    <row r="3856" spans="33:33" x14ac:dyDescent="0.25">
      <c r="AG3856" s="185"/>
    </row>
    <row r="3857" spans="33:33" x14ac:dyDescent="0.25">
      <c r="AG3857" s="185"/>
    </row>
    <row r="3858" spans="33:33" x14ac:dyDescent="0.25">
      <c r="AG3858" s="185"/>
    </row>
    <row r="3859" spans="33:33" x14ac:dyDescent="0.25">
      <c r="AG3859" s="185"/>
    </row>
    <row r="3860" spans="33:33" x14ac:dyDescent="0.25">
      <c r="AG3860" s="185"/>
    </row>
    <row r="3861" spans="33:33" x14ac:dyDescent="0.25">
      <c r="AG3861" s="185"/>
    </row>
    <row r="3862" spans="33:33" x14ac:dyDescent="0.25">
      <c r="AG3862" s="185"/>
    </row>
    <row r="3863" spans="33:33" x14ac:dyDescent="0.25">
      <c r="AG3863" s="185"/>
    </row>
    <row r="3864" spans="33:33" x14ac:dyDescent="0.25">
      <c r="AG3864" s="185"/>
    </row>
    <row r="3865" spans="33:33" x14ac:dyDescent="0.25">
      <c r="AG3865" s="185"/>
    </row>
    <row r="3866" spans="33:33" x14ac:dyDescent="0.25">
      <c r="AG3866" s="185"/>
    </row>
    <row r="3867" spans="33:33" x14ac:dyDescent="0.25">
      <c r="AG3867" s="185"/>
    </row>
    <row r="3868" spans="33:33" x14ac:dyDescent="0.25">
      <c r="AG3868" s="185"/>
    </row>
    <row r="3869" spans="33:33" x14ac:dyDescent="0.25">
      <c r="AG3869" s="185"/>
    </row>
    <row r="3870" spans="33:33" x14ac:dyDescent="0.25">
      <c r="AG3870" s="185"/>
    </row>
    <row r="3871" spans="33:33" x14ac:dyDescent="0.25">
      <c r="AG3871" s="185"/>
    </row>
    <row r="3872" spans="33:33" x14ac:dyDescent="0.25">
      <c r="AG3872" s="185"/>
    </row>
    <row r="3873" spans="33:33" x14ac:dyDescent="0.25">
      <c r="AG3873" s="185"/>
    </row>
    <row r="3874" spans="33:33" x14ac:dyDescent="0.25">
      <c r="AG3874" s="185"/>
    </row>
    <row r="3875" spans="33:33" x14ac:dyDescent="0.25">
      <c r="AG3875" s="185"/>
    </row>
    <row r="3876" spans="33:33" x14ac:dyDescent="0.25">
      <c r="AG3876" s="185"/>
    </row>
    <row r="3877" spans="33:33" x14ac:dyDescent="0.25">
      <c r="AG3877" s="185"/>
    </row>
    <row r="3878" spans="33:33" x14ac:dyDescent="0.25">
      <c r="AG3878" s="185"/>
    </row>
    <row r="3879" spans="33:33" x14ac:dyDescent="0.25">
      <c r="AG3879" s="185"/>
    </row>
    <row r="3880" spans="33:33" x14ac:dyDescent="0.25">
      <c r="AG3880" s="185"/>
    </row>
    <row r="3881" spans="33:33" x14ac:dyDescent="0.25">
      <c r="AG3881" s="185"/>
    </row>
    <row r="3882" spans="33:33" x14ac:dyDescent="0.25">
      <c r="AG3882" s="185"/>
    </row>
    <row r="3883" spans="33:33" x14ac:dyDescent="0.25">
      <c r="AG3883" s="185"/>
    </row>
    <row r="3884" spans="33:33" x14ac:dyDescent="0.25">
      <c r="AG3884" s="185"/>
    </row>
    <row r="3885" spans="33:33" x14ac:dyDescent="0.25">
      <c r="AG3885" s="185"/>
    </row>
    <row r="3886" spans="33:33" x14ac:dyDescent="0.25">
      <c r="AG3886" s="185"/>
    </row>
    <row r="3887" spans="33:33" x14ac:dyDescent="0.25">
      <c r="AG3887" s="185"/>
    </row>
    <row r="3888" spans="33:33" x14ac:dyDescent="0.25">
      <c r="AG3888" s="185"/>
    </row>
    <row r="3889" spans="33:33" x14ac:dyDescent="0.25">
      <c r="AG3889" s="185"/>
    </row>
    <row r="3890" spans="33:33" x14ac:dyDescent="0.25">
      <c r="AG3890" s="185"/>
    </row>
    <row r="3891" spans="33:33" x14ac:dyDescent="0.25">
      <c r="AG3891" s="185"/>
    </row>
    <row r="3892" spans="33:33" x14ac:dyDescent="0.25">
      <c r="AG3892" s="185"/>
    </row>
    <row r="3893" spans="33:33" x14ac:dyDescent="0.25">
      <c r="AG3893" s="185"/>
    </row>
    <row r="3894" spans="33:33" x14ac:dyDescent="0.25">
      <c r="AG3894" s="185"/>
    </row>
    <row r="3895" spans="33:33" x14ac:dyDescent="0.25">
      <c r="AG3895" s="185"/>
    </row>
    <row r="3896" spans="33:33" x14ac:dyDescent="0.25">
      <c r="AG3896" s="185"/>
    </row>
    <row r="3897" spans="33:33" x14ac:dyDescent="0.25">
      <c r="AG3897" s="185"/>
    </row>
    <row r="3898" spans="33:33" x14ac:dyDescent="0.25">
      <c r="AG3898" s="185"/>
    </row>
    <row r="3899" spans="33:33" x14ac:dyDescent="0.25">
      <c r="AG3899" s="185"/>
    </row>
    <row r="3900" spans="33:33" x14ac:dyDescent="0.25">
      <c r="AG3900" s="185"/>
    </row>
    <row r="3901" spans="33:33" x14ac:dyDescent="0.25">
      <c r="AG3901" s="185"/>
    </row>
    <row r="3902" spans="33:33" x14ac:dyDescent="0.25">
      <c r="AG3902" s="185"/>
    </row>
    <row r="3903" spans="33:33" x14ac:dyDescent="0.25">
      <c r="AG3903" s="185"/>
    </row>
    <row r="3904" spans="33:33" x14ac:dyDescent="0.25">
      <c r="AG3904" s="185"/>
    </row>
    <row r="3905" spans="33:33" x14ac:dyDescent="0.25">
      <c r="AG3905" s="185"/>
    </row>
    <row r="3906" spans="33:33" x14ac:dyDescent="0.25">
      <c r="AG3906" s="185"/>
    </row>
    <row r="3907" spans="33:33" x14ac:dyDescent="0.25">
      <c r="AG3907" s="185"/>
    </row>
    <row r="3908" spans="33:33" x14ac:dyDescent="0.25">
      <c r="AG3908" s="185"/>
    </row>
    <row r="3909" spans="33:33" x14ac:dyDescent="0.25">
      <c r="AG3909" s="185"/>
    </row>
    <row r="3910" spans="33:33" x14ac:dyDescent="0.25">
      <c r="AG3910" s="185"/>
    </row>
    <row r="3911" spans="33:33" x14ac:dyDescent="0.25">
      <c r="AG3911" s="185"/>
    </row>
    <row r="3912" spans="33:33" x14ac:dyDescent="0.25">
      <c r="AG3912" s="185"/>
    </row>
    <row r="3913" spans="33:33" x14ac:dyDescent="0.25">
      <c r="AG3913" s="185"/>
    </row>
    <row r="3914" spans="33:33" x14ac:dyDescent="0.25">
      <c r="AG3914" s="185"/>
    </row>
    <row r="3915" spans="33:33" x14ac:dyDescent="0.25">
      <c r="AG3915" s="185"/>
    </row>
    <row r="3916" spans="33:33" x14ac:dyDescent="0.25">
      <c r="AG3916" s="185"/>
    </row>
    <row r="3917" spans="33:33" x14ac:dyDescent="0.25">
      <c r="AG3917" s="185"/>
    </row>
    <row r="3918" spans="33:33" x14ac:dyDescent="0.25">
      <c r="AG3918" s="185"/>
    </row>
    <row r="3919" spans="33:33" x14ac:dyDescent="0.25">
      <c r="AG3919" s="185"/>
    </row>
    <row r="3920" spans="33:33" x14ac:dyDescent="0.25">
      <c r="AG3920" s="185"/>
    </row>
    <row r="3921" spans="33:33" x14ac:dyDescent="0.25">
      <c r="AG3921" s="185"/>
    </row>
    <row r="3922" spans="33:33" x14ac:dyDescent="0.25">
      <c r="AG3922" s="185"/>
    </row>
    <row r="3923" spans="33:33" x14ac:dyDescent="0.25">
      <c r="AG3923" s="185"/>
    </row>
    <row r="3924" spans="33:33" x14ac:dyDescent="0.25">
      <c r="AG3924" s="185"/>
    </row>
    <row r="3925" spans="33:33" x14ac:dyDescent="0.25">
      <c r="AG3925" s="185"/>
    </row>
    <row r="3926" spans="33:33" x14ac:dyDescent="0.25">
      <c r="AG3926" s="185"/>
    </row>
    <row r="3927" spans="33:33" x14ac:dyDescent="0.25">
      <c r="AG3927" s="185"/>
    </row>
    <row r="3928" spans="33:33" x14ac:dyDescent="0.25">
      <c r="AG3928" s="185"/>
    </row>
    <row r="3929" spans="33:33" x14ac:dyDescent="0.25">
      <c r="AG3929" s="185"/>
    </row>
    <row r="3930" spans="33:33" x14ac:dyDescent="0.25">
      <c r="AG3930" s="185"/>
    </row>
    <row r="3931" spans="33:33" x14ac:dyDescent="0.25">
      <c r="AG3931" s="185"/>
    </row>
    <row r="3932" spans="33:33" x14ac:dyDescent="0.25">
      <c r="AG3932" s="185"/>
    </row>
    <row r="3933" spans="33:33" x14ac:dyDescent="0.25">
      <c r="AG3933" s="185"/>
    </row>
    <row r="3934" spans="33:33" x14ac:dyDescent="0.25">
      <c r="AG3934" s="185"/>
    </row>
    <row r="3935" spans="33:33" x14ac:dyDescent="0.25">
      <c r="AG3935" s="185"/>
    </row>
    <row r="3936" spans="33:33" x14ac:dyDescent="0.25">
      <c r="AG3936" s="185"/>
    </row>
    <row r="3937" spans="33:33" x14ac:dyDescent="0.25">
      <c r="AG3937" s="185"/>
    </row>
    <row r="3938" spans="33:33" x14ac:dyDescent="0.25">
      <c r="AG3938" s="185"/>
    </row>
    <row r="3939" spans="33:33" x14ac:dyDescent="0.25">
      <c r="AG3939" s="185"/>
    </row>
    <row r="3940" spans="33:33" x14ac:dyDescent="0.25">
      <c r="AG3940" s="185"/>
    </row>
    <row r="3941" spans="33:33" x14ac:dyDescent="0.25">
      <c r="AG3941" s="185"/>
    </row>
    <row r="3942" spans="33:33" x14ac:dyDescent="0.25">
      <c r="AG3942" s="185"/>
    </row>
    <row r="3943" spans="33:33" x14ac:dyDescent="0.25">
      <c r="AG3943" s="185"/>
    </row>
    <row r="3944" spans="33:33" x14ac:dyDescent="0.25">
      <c r="AG3944" s="185"/>
    </row>
    <row r="3945" spans="33:33" x14ac:dyDescent="0.25">
      <c r="AG3945" s="185"/>
    </row>
    <row r="3946" spans="33:33" x14ac:dyDescent="0.25">
      <c r="AG3946" s="185"/>
    </row>
    <row r="3947" spans="33:33" x14ac:dyDescent="0.25">
      <c r="AG3947" s="185"/>
    </row>
    <row r="3948" spans="33:33" x14ac:dyDescent="0.25">
      <c r="AG3948" s="185"/>
    </row>
    <row r="3949" spans="33:33" x14ac:dyDescent="0.25">
      <c r="AG3949" s="185"/>
    </row>
    <row r="3950" spans="33:33" x14ac:dyDescent="0.25">
      <c r="AG3950" s="185"/>
    </row>
    <row r="3951" spans="33:33" x14ac:dyDescent="0.25">
      <c r="AG3951" s="185"/>
    </row>
    <row r="3952" spans="33:33" x14ac:dyDescent="0.25">
      <c r="AG3952" s="185"/>
    </row>
    <row r="3953" spans="33:33" x14ac:dyDescent="0.25">
      <c r="AG3953" s="185"/>
    </row>
    <row r="3954" spans="33:33" x14ac:dyDescent="0.25">
      <c r="AG3954" s="185"/>
    </row>
    <row r="3955" spans="33:33" x14ac:dyDescent="0.25">
      <c r="AG3955" s="185"/>
    </row>
    <row r="3956" spans="33:33" x14ac:dyDescent="0.25">
      <c r="AG3956" s="185"/>
    </row>
    <row r="3957" spans="33:33" x14ac:dyDescent="0.25">
      <c r="AG3957" s="185"/>
    </row>
    <row r="3958" spans="33:33" x14ac:dyDescent="0.25">
      <c r="AG3958" s="185"/>
    </row>
    <row r="3959" spans="33:33" x14ac:dyDescent="0.25">
      <c r="AG3959" s="185"/>
    </row>
    <row r="3960" spans="33:33" x14ac:dyDescent="0.25">
      <c r="AG3960" s="185"/>
    </row>
    <row r="3961" spans="33:33" x14ac:dyDescent="0.25">
      <c r="AG3961" s="185"/>
    </row>
    <row r="3962" spans="33:33" x14ac:dyDescent="0.25">
      <c r="AG3962" s="185"/>
    </row>
    <row r="3963" spans="33:33" x14ac:dyDescent="0.25">
      <c r="AG3963" s="185"/>
    </row>
    <row r="3964" spans="33:33" x14ac:dyDescent="0.25">
      <c r="AG3964" s="185"/>
    </row>
    <row r="3965" spans="33:33" x14ac:dyDescent="0.25">
      <c r="AG3965" s="185"/>
    </row>
    <row r="3966" spans="33:33" x14ac:dyDescent="0.25">
      <c r="AG3966" s="185"/>
    </row>
    <row r="3967" spans="33:33" x14ac:dyDescent="0.25">
      <c r="AG3967" s="185"/>
    </row>
    <row r="3968" spans="33:33" x14ac:dyDescent="0.25">
      <c r="AG3968" s="185"/>
    </row>
    <row r="3969" spans="33:33" x14ac:dyDescent="0.25">
      <c r="AG3969" s="185"/>
    </row>
    <row r="3970" spans="33:33" x14ac:dyDescent="0.25">
      <c r="AG3970" s="185"/>
    </row>
    <row r="3971" spans="33:33" x14ac:dyDescent="0.25">
      <c r="AG3971" s="185"/>
    </row>
    <row r="3972" spans="33:33" x14ac:dyDescent="0.25">
      <c r="AG3972" s="185"/>
    </row>
    <row r="3973" spans="33:33" x14ac:dyDescent="0.25">
      <c r="AG3973" s="185"/>
    </row>
    <row r="3974" spans="33:33" x14ac:dyDescent="0.25">
      <c r="AG3974" s="185"/>
    </row>
    <row r="3975" spans="33:33" x14ac:dyDescent="0.25">
      <c r="AG3975" s="185"/>
    </row>
    <row r="3976" spans="33:33" x14ac:dyDescent="0.25">
      <c r="AG3976" s="185"/>
    </row>
    <row r="3977" spans="33:33" x14ac:dyDescent="0.25">
      <c r="AG3977" s="185"/>
    </row>
    <row r="3978" spans="33:33" x14ac:dyDescent="0.25">
      <c r="AG3978" s="185"/>
    </row>
    <row r="3979" spans="33:33" x14ac:dyDescent="0.25">
      <c r="AG3979" s="185"/>
    </row>
    <row r="3980" spans="33:33" x14ac:dyDescent="0.25">
      <c r="AG3980" s="185"/>
    </row>
    <row r="3981" spans="33:33" x14ac:dyDescent="0.25">
      <c r="AG3981" s="185"/>
    </row>
    <row r="3982" spans="33:33" x14ac:dyDescent="0.25">
      <c r="AG3982" s="185"/>
    </row>
    <row r="3983" spans="33:33" x14ac:dyDescent="0.25">
      <c r="AG3983" s="185"/>
    </row>
    <row r="3984" spans="33:33" x14ac:dyDescent="0.25">
      <c r="AG3984" s="185"/>
    </row>
    <row r="3985" spans="33:33" x14ac:dyDescent="0.25">
      <c r="AG3985" s="185"/>
    </row>
    <row r="3986" spans="33:33" x14ac:dyDescent="0.25">
      <c r="AG3986" s="185"/>
    </row>
    <row r="3987" spans="33:33" x14ac:dyDescent="0.25">
      <c r="AG3987" s="185"/>
    </row>
    <row r="3988" spans="33:33" x14ac:dyDescent="0.25">
      <c r="AG3988" s="185"/>
    </row>
    <row r="3989" spans="33:33" x14ac:dyDescent="0.25">
      <c r="AG3989" s="185"/>
    </row>
    <row r="3990" spans="33:33" x14ac:dyDescent="0.25">
      <c r="AG3990" s="185"/>
    </row>
    <row r="3991" spans="33:33" x14ac:dyDescent="0.25">
      <c r="AG3991" s="185"/>
    </row>
    <row r="3992" spans="33:33" x14ac:dyDescent="0.25">
      <c r="AG3992" s="185"/>
    </row>
    <row r="3993" spans="33:33" x14ac:dyDescent="0.25">
      <c r="AG3993" s="185"/>
    </row>
    <row r="3994" spans="33:33" x14ac:dyDescent="0.25">
      <c r="AG3994" s="185"/>
    </row>
    <row r="3995" spans="33:33" x14ac:dyDescent="0.25">
      <c r="AG3995" s="185"/>
    </row>
    <row r="3996" spans="33:33" x14ac:dyDescent="0.25">
      <c r="AG3996" s="185"/>
    </row>
    <row r="3997" spans="33:33" x14ac:dyDescent="0.25">
      <c r="AG3997" s="185"/>
    </row>
    <row r="3998" spans="33:33" x14ac:dyDescent="0.25">
      <c r="AG3998" s="185"/>
    </row>
    <row r="3999" spans="33:33" x14ac:dyDescent="0.25">
      <c r="AG3999" s="185"/>
    </row>
    <row r="4000" spans="33:33" x14ac:dyDescent="0.25">
      <c r="AG4000" s="185"/>
    </row>
    <row r="4001" spans="33:33" x14ac:dyDescent="0.25">
      <c r="AG4001" s="185"/>
    </row>
    <row r="4002" spans="33:33" x14ac:dyDescent="0.25">
      <c r="AG4002" s="185"/>
    </row>
    <row r="4003" spans="33:33" x14ac:dyDescent="0.25">
      <c r="AG4003" s="185"/>
    </row>
    <row r="4004" spans="33:33" x14ac:dyDescent="0.25">
      <c r="AG4004" s="185"/>
    </row>
    <row r="4005" spans="33:33" x14ac:dyDescent="0.25">
      <c r="AG4005" s="185"/>
    </row>
    <row r="4006" spans="33:33" x14ac:dyDescent="0.25">
      <c r="AG4006" s="185"/>
    </row>
    <row r="4007" spans="33:33" x14ac:dyDescent="0.25">
      <c r="AG4007" s="185"/>
    </row>
    <row r="4008" spans="33:33" x14ac:dyDescent="0.25">
      <c r="AG4008" s="185"/>
    </row>
    <row r="4009" spans="33:33" x14ac:dyDescent="0.25">
      <c r="AG4009" s="185"/>
    </row>
    <row r="4010" spans="33:33" x14ac:dyDescent="0.25">
      <c r="AG4010" s="185"/>
    </row>
    <row r="4011" spans="33:33" x14ac:dyDescent="0.25">
      <c r="AG4011" s="185"/>
    </row>
    <row r="4012" spans="33:33" x14ac:dyDescent="0.25">
      <c r="AG4012" s="185"/>
    </row>
    <row r="4013" spans="33:33" x14ac:dyDescent="0.25">
      <c r="AG4013" s="185"/>
    </row>
    <row r="4014" spans="33:33" x14ac:dyDescent="0.25">
      <c r="AG4014" s="185"/>
    </row>
    <row r="4015" spans="33:33" x14ac:dyDescent="0.25">
      <c r="AG4015" s="185"/>
    </row>
    <row r="4016" spans="33:33" x14ac:dyDescent="0.25">
      <c r="AG4016" s="185"/>
    </row>
    <row r="4017" spans="33:33" x14ac:dyDescent="0.25">
      <c r="AG4017" s="185"/>
    </row>
    <row r="4018" spans="33:33" x14ac:dyDescent="0.25">
      <c r="AG4018" s="185"/>
    </row>
    <row r="4019" spans="33:33" x14ac:dyDescent="0.25">
      <c r="AG4019" s="185"/>
    </row>
    <row r="4020" spans="33:33" x14ac:dyDescent="0.25">
      <c r="AG4020" s="185"/>
    </row>
    <row r="4021" spans="33:33" x14ac:dyDescent="0.25">
      <c r="AG4021" s="185"/>
    </row>
    <row r="4022" spans="33:33" x14ac:dyDescent="0.25">
      <c r="AG4022" s="185"/>
    </row>
    <row r="4023" spans="33:33" x14ac:dyDescent="0.25">
      <c r="AG4023" s="185"/>
    </row>
    <row r="4024" spans="33:33" x14ac:dyDescent="0.25">
      <c r="AG4024" s="185"/>
    </row>
    <row r="4025" spans="33:33" x14ac:dyDescent="0.25">
      <c r="AG4025" s="185"/>
    </row>
    <row r="4026" spans="33:33" x14ac:dyDescent="0.25">
      <c r="AG4026" s="185"/>
    </row>
    <row r="4027" spans="33:33" x14ac:dyDescent="0.25">
      <c r="AG4027" s="185"/>
    </row>
    <row r="4028" spans="33:33" x14ac:dyDescent="0.25">
      <c r="AG4028" s="185"/>
    </row>
    <row r="4029" spans="33:33" x14ac:dyDescent="0.25">
      <c r="AG4029" s="185"/>
    </row>
    <row r="4030" spans="33:33" x14ac:dyDescent="0.25">
      <c r="AG4030" s="185"/>
    </row>
    <row r="4031" spans="33:33" x14ac:dyDescent="0.25">
      <c r="AG4031" s="185"/>
    </row>
    <row r="4032" spans="33:33" x14ac:dyDescent="0.25">
      <c r="AG4032" s="185"/>
    </row>
    <row r="4033" spans="33:33" x14ac:dyDescent="0.25">
      <c r="AG4033" s="185"/>
    </row>
    <row r="4034" spans="33:33" x14ac:dyDescent="0.25">
      <c r="AG4034" s="185"/>
    </row>
    <row r="4035" spans="33:33" x14ac:dyDescent="0.25">
      <c r="AG4035" s="185"/>
    </row>
    <row r="4036" spans="33:33" x14ac:dyDescent="0.25">
      <c r="AG4036" s="185"/>
    </row>
    <row r="4037" spans="33:33" x14ac:dyDescent="0.25">
      <c r="AG4037" s="185"/>
    </row>
    <row r="4038" spans="33:33" x14ac:dyDescent="0.25">
      <c r="AG4038" s="185"/>
    </row>
    <row r="4039" spans="33:33" x14ac:dyDescent="0.25">
      <c r="AG4039" s="185"/>
    </row>
    <row r="4040" spans="33:33" x14ac:dyDescent="0.25">
      <c r="AG4040" s="185"/>
    </row>
    <row r="4041" spans="33:33" x14ac:dyDescent="0.25">
      <c r="AG4041" s="185"/>
    </row>
    <row r="4042" spans="33:33" x14ac:dyDescent="0.25">
      <c r="AG4042" s="185"/>
    </row>
    <row r="4043" spans="33:33" x14ac:dyDescent="0.25">
      <c r="AG4043" s="185"/>
    </row>
    <row r="4044" spans="33:33" x14ac:dyDescent="0.25">
      <c r="AG4044" s="185"/>
    </row>
    <row r="4045" spans="33:33" x14ac:dyDescent="0.25">
      <c r="AG4045" s="185"/>
    </row>
    <row r="4046" spans="33:33" x14ac:dyDescent="0.25">
      <c r="AG4046" s="185"/>
    </row>
    <row r="4047" spans="33:33" x14ac:dyDescent="0.25">
      <c r="AG4047" s="185"/>
    </row>
    <row r="4048" spans="33:33" x14ac:dyDescent="0.25">
      <c r="AG4048" s="185"/>
    </row>
    <row r="4049" spans="33:33" x14ac:dyDescent="0.25">
      <c r="AG4049" s="185"/>
    </row>
    <row r="4050" spans="33:33" x14ac:dyDescent="0.25">
      <c r="AG4050" s="185"/>
    </row>
    <row r="4051" spans="33:33" x14ac:dyDescent="0.25">
      <c r="AG4051" s="185"/>
    </row>
    <row r="4052" spans="33:33" x14ac:dyDescent="0.25">
      <c r="AG4052" s="185"/>
    </row>
    <row r="4053" spans="33:33" x14ac:dyDescent="0.25">
      <c r="AG4053" s="185"/>
    </row>
    <row r="4054" spans="33:33" x14ac:dyDescent="0.25">
      <c r="AG4054" s="185"/>
    </row>
    <row r="4055" spans="33:33" x14ac:dyDescent="0.25">
      <c r="AG4055" s="185"/>
    </row>
    <row r="4056" spans="33:33" x14ac:dyDescent="0.25">
      <c r="AG4056" s="185"/>
    </row>
    <row r="4057" spans="33:33" x14ac:dyDescent="0.25">
      <c r="AG4057" s="185"/>
    </row>
    <row r="4058" spans="33:33" x14ac:dyDescent="0.25">
      <c r="AG4058" s="185"/>
    </row>
    <row r="4059" spans="33:33" x14ac:dyDescent="0.25">
      <c r="AG4059" s="185"/>
    </row>
    <row r="4060" spans="33:33" x14ac:dyDescent="0.25">
      <c r="AG4060" s="185"/>
    </row>
    <row r="4061" spans="33:33" x14ac:dyDescent="0.25">
      <c r="AG4061" s="185"/>
    </row>
    <row r="4062" spans="33:33" x14ac:dyDescent="0.25">
      <c r="AG4062" s="185"/>
    </row>
    <row r="4063" spans="33:33" x14ac:dyDescent="0.25">
      <c r="AG4063" s="185"/>
    </row>
    <row r="4064" spans="33:33" x14ac:dyDescent="0.25">
      <c r="AG4064" s="185"/>
    </row>
    <row r="4065" spans="33:33" x14ac:dyDescent="0.25">
      <c r="AG4065" s="185"/>
    </row>
    <row r="4066" spans="33:33" x14ac:dyDescent="0.25">
      <c r="AG4066" s="185"/>
    </row>
    <row r="4067" spans="33:33" x14ac:dyDescent="0.25">
      <c r="AG4067" s="185"/>
    </row>
    <row r="4068" spans="33:33" x14ac:dyDescent="0.25">
      <c r="AG4068" s="185"/>
    </row>
    <row r="4069" spans="33:33" x14ac:dyDescent="0.25">
      <c r="AG4069" s="185"/>
    </row>
    <row r="4070" spans="33:33" x14ac:dyDescent="0.25">
      <c r="AG4070" s="185"/>
    </row>
    <row r="4071" spans="33:33" x14ac:dyDescent="0.25">
      <c r="AG4071" s="185"/>
    </row>
    <row r="4072" spans="33:33" x14ac:dyDescent="0.25">
      <c r="AG4072" s="185"/>
    </row>
    <row r="4073" spans="33:33" x14ac:dyDescent="0.25">
      <c r="AG4073" s="185"/>
    </row>
    <row r="4074" spans="33:33" x14ac:dyDescent="0.25">
      <c r="AG4074" s="185"/>
    </row>
    <row r="4075" spans="33:33" x14ac:dyDescent="0.25">
      <c r="AG4075" s="185"/>
    </row>
    <row r="4076" spans="33:33" x14ac:dyDescent="0.25">
      <c r="AG4076" s="185"/>
    </row>
    <row r="4077" spans="33:33" x14ac:dyDescent="0.25">
      <c r="AG4077" s="185"/>
    </row>
    <row r="4078" spans="33:33" x14ac:dyDescent="0.25">
      <c r="AG4078" s="185"/>
    </row>
    <row r="4079" spans="33:33" x14ac:dyDescent="0.25">
      <c r="AG4079" s="185"/>
    </row>
    <row r="4080" spans="33:33" x14ac:dyDescent="0.25">
      <c r="AG4080" s="185"/>
    </row>
    <row r="4081" spans="33:33" x14ac:dyDescent="0.25">
      <c r="AG4081" s="185"/>
    </row>
    <row r="4082" spans="33:33" x14ac:dyDescent="0.25">
      <c r="AG4082" s="185"/>
    </row>
    <row r="4083" spans="33:33" x14ac:dyDescent="0.25">
      <c r="AG4083" s="185"/>
    </row>
    <row r="4084" spans="33:33" x14ac:dyDescent="0.25">
      <c r="AG4084" s="185"/>
    </row>
    <row r="4085" spans="33:33" x14ac:dyDescent="0.25">
      <c r="AG4085" s="185"/>
    </row>
    <row r="4086" spans="33:33" x14ac:dyDescent="0.25">
      <c r="AG4086" s="185"/>
    </row>
    <row r="4087" spans="33:33" x14ac:dyDescent="0.25">
      <c r="AG4087" s="185"/>
    </row>
    <row r="4088" spans="33:33" x14ac:dyDescent="0.25">
      <c r="AG4088" s="185"/>
    </row>
    <row r="4089" spans="33:33" x14ac:dyDescent="0.25">
      <c r="AG4089" s="185"/>
    </row>
    <row r="4090" spans="33:33" x14ac:dyDescent="0.25">
      <c r="AG4090" s="185"/>
    </row>
    <row r="4091" spans="33:33" x14ac:dyDescent="0.25">
      <c r="AG4091" s="185"/>
    </row>
    <row r="4092" spans="33:33" x14ac:dyDescent="0.25">
      <c r="AG4092" s="185"/>
    </row>
    <row r="4093" spans="33:33" x14ac:dyDescent="0.25">
      <c r="AG4093" s="185"/>
    </row>
    <row r="4094" spans="33:33" x14ac:dyDescent="0.25">
      <c r="AG4094" s="185"/>
    </row>
    <row r="4095" spans="33:33" x14ac:dyDescent="0.25">
      <c r="AG4095" s="185"/>
    </row>
    <row r="4096" spans="33:33" x14ac:dyDescent="0.25">
      <c r="AG4096" s="185"/>
    </row>
    <row r="4097" spans="33:33" x14ac:dyDescent="0.25">
      <c r="AG4097" s="185"/>
    </row>
    <row r="4098" spans="33:33" x14ac:dyDescent="0.25">
      <c r="AG4098" s="185"/>
    </row>
    <row r="4099" spans="33:33" x14ac:dyDescent="0.25">
      <c r="AG4099" s="185"/>
    </row>
    <row r="4100" spans="33:33" x14ac:dyDescent="0.25">
      <c r="AG4100" s="185"/>
    </row>
    <row r="4101" spans="33:33" x14ac:dyDescent="0.25">
      <c r="AG4101" s="185"/>
    </row>
    <row r="4102" spans="33:33" x14ac:dyDescent="0.25">
      <c r="AG4102" s="185"/>
    </row>
    <row r="4103" spans="33:33" x14ac:dyDescent="0.25">
      <c r="AG4103" s="185"/>
    </row>
    <row r="4104" spans="33:33" x14ac:dyDescent="0.25">
      <c r="AG4104" s="185"/>
    </row>
    <row r="4105" spans="33:33" x14ac:dyDescent="0.25">
      <c r="AG4105" s="185"/>
    </row>
    <row r="4106" spans="33:33" x14ac:dyDescent="0.25">
      <c r="AG4106" s="185"/>
    </row>
    <row r="4107" spans="33:33" x14ac:dyDescent="0.25">
      <c r="AG4107" s="185"/>
    </row>
    <row r="4108" spans="33:33" x14ac:dyDescent="0.25">
      <c r="AG4108" s="185"/>
    </row>
    <row r="4109" spans="33:33" x14ac:dyDescent="0.25">
      <c r="AG4109" s="185"/>
    </row>
    <row r="4110" spans="33:33" x14ac:dyDescent="0.25">
      <c r="AG4110" s="185"/>
    </row>
    <row r="4111" spans="33:33" x14ac:dyDescent="0.25">
      <c r="AG4111" s="185"/>
    </row>
    <row r="4112" spans="33:33" x14ac:dyDescent="0.25">
      <c r="AG4112" s="185"/>
    </row>
    <row r="4113" spans="33:33" x14ac:dyDescent="0.25">
      <c r="AG4113" s="185"/>
    </row>
    <row r="4114" spans="33:33" x14ac:dyDescent="0.25">
      <c r="AG4114" s="185"/>
    </row>
    <row r="4115" spans="33:33" x14ac:dyDescent="0.25">
      <c r="AG4115" s="185"/>
    </row>
    <row r="4116" spans="33:33" x14ac:dyDescent="0.25">
      <c r="AG4116" s="185"/>
    </row>
    <row r="4117" spans="33:33" x14ac:dyDescent="0.25">
      <c r="AG4117" s="185"/>
    </row>
    <row r="4118" spans="33:33" x14ac:dyDescent="0.25">
      <c r="AG4118" s="185"/>
    </row>
    <row r="4119" spans="33:33" x14ac:dyDescent="0.25">
      <c r="AG4119" s="185"/>
    </row>
    <row r="4120" spans="33:33" x14ac:dyDescent="0.25">
      <c r="AG4120" s="185"/>
    </row>
    <row r="4121" spans="33:33" x14ac:dyDescent="0.25">
      <c r="AG4121" s="185"/>
    </row>
    <row r="4122" spans="33:33" x14ac:dyDescent="0.25">
      <c r="AG4122" s="185"/>
    </row>
    <row r="4123" spans="33:33" x14ac:dyDescent="0.25">
      <c r="AG4123" s="185"/>
    </row>
    <row r="4124" spans="33:33" x14ac:dyDescent="0.25">
      <c r="AG4124" s="185"/>
    </row>
    <row r="4125" spans="33:33" x14ac:dyDescent="0.25">
      <c r="AG4125" s="185"/>
    </row>
    <row r="4126" spans="33:33" x14ac:dyDescent="0.25">
      <c r="AG4126" s="185"/>
    </row>
    <row r="4127" spans="33:33" x14ac:dyDescent="0.25">
      <c r="AG4127" s="185"/>
    </row>
    <row r="4128" spans="33:33" x14ac:dyDescent="0.25">
      <c r="AG4128" s="185"/>
    </row>
    <row r="4129" spans="33:33" x14ac:dyDescent="0.25">
      <c r="AG4129" s="185"/>
    </row>
    <row r="4130" spans="33:33" x14ac:dyDescent="0.25">
      <c r="AG4130" s="185"/>
    </row>
    <row r="4131" spans="33:33" x14ac:dyDescent="0.25">
      <c r="AG4131" s="185"/>
    </row>
    <row r="4132" spans="33:33" x14ac:dyDescent="0.25">
      <c r="AG4132" s="185"/>
    </row>
    <row r="4133" spans="33:33" x14ac:dyDescent="0.25">
      <c r="AG4133" s="185"/>
    </row>
    <row r="4134" spans="33:33" x14ac:dyDescent="0.25">
      <c r="AG4134" s="185"/>
    </row>
    <row r="4135" spans="33:33" x14ac:dyDescent="0.25">
      <c r="AG4135" s="185"/>
    </row>
    <row r="4136" spans="33:33" x14ac:dyDescent="0.25">
      <c r="AG4136" s="185"/>
    </row>
    <row r="4137" spans="33:33" x14ac:dyDescent="0.25">
      <c r="AG4137" s="185"/>
    </row>
    <row r="4138" spans="33:33" x14ac:dyDescent="0.25">
      <c r="AG4138" s="185"/>
    </row>
    <row r="4139" spans="33:33" x14ac:dyDescent="0.25">
      <c r="AG4139" s="185"/>
    </row>
    <row r="4140" spans="33:33" x14ac:dyDescent="0.25">
      <c r="AG4140" s="185"/>
    </row>
    <row r="4141" spans="33:33" x14ac:dyDescent="0.25">
      <c r="AG4141" s="185"/>
    </row>
    <row r="4142" spans="33:33" x14ac:dyDescent="0.25">
      <c r="AG4142" s="185"/>
    </row>
    <row r="4143" spans="33:33" x14ac:dyDescent="0.25">
      <c r="AG4143" s="185"/>
    </row>
    <row r="4144" spans="33:33" x14ac:dyDescent="0.25">
      <c r="AG4144" s="185"/>
    </row>
    <row r="4145" spans="33:33" x14ac:dyDescent="0.25">
      <c r="AG4145" s="185"/>
    </row>
    <row r="4146" spans="33:33" x14ac:dyDescent="0.25">
      <c r="AG4146" s="185"/>
    </row>
    <row r="4147" spans="33:33" x14ac:dyDescent="0.25">
      <c r="AG4147" s="185"/>
    </row>
    <row r="4148" spans="33:33" x14ac:dyDescent="0.25">
      <c r="AG4148" s="185"/>
    </row>
    <row r="4149" spans="33:33" x14ac:dyDescent="0.25">
      <c r="AG4149" s="185"/>
    </row>
    <row r="4150" spans="33:33" x14ac:dyDescent="0.25">
      <c r="AG4150" s="185"/>
    </row>
    <row r="4151" spans="33:33" x14ac:dyDescent="0.25">
      <c r="AG4151" s="185"/>
    </row>
    <row r="4152" spans="33:33" x14ac:dyDescent="0.25">
      <c r="AG4152" s="185"/>
    </row>
    <row r="4153" spans="33:33" x14ac:dyDescent="0.25">
      <c r="AG4153" s="185"/>
    </row>
    <row r="4154" spans="33:33" x14ac:dyDescent="0.25">
      <c r="AG4154" s="185"/>
    </row>
    <row r="4155" spans="33:33" x14ac:dyDescent="0.25">
      <c r="AG4155" s="185"/>
    </row>
    <row r="4156" spans="33:33" x14ac:dyDescent="0.25">
      <c r="AG4156" s="185"/>
    </row>
    <row r="4157" spans="33:33" x14ac:dyDescent="0.25">
      <c r="AG4157" s="185"/>
    </row>
    <row r="4158" spans="33:33" x14ac:dyDescent="0.25">
      <c r="AG4158" s="185"/>
    </row>
    <row r="4159" spans="33:33" x14ac:dyDescent="0.25">
      <c r="AG4159" s="185"/>
    </row>
    <row r="4160" spans="33:33" x14ac:dyDescent="0.25">
      <c r="AG4160" s="185"/>
    </row>
    <row r="4161" spans="33:33" x14ac:dyDescent="0.25">
      <c r="AG4161" s="185"/>
    </row>
    <row r="4162" spans="33:33" x14ac:dyDescent="0.25">
      <c r="AG4162" s="185"/>
    </row>
    <row r="4163" spans="33:33" x14ac:dyDescent="0.25">
      <c r="AG4163" s="185"/>
    </row>
    <row r="4164" spans="33:33" x14ac:dyDescent="0.25">
      <c r="AG4164" s="185"/>
    </row>
    <row r="4165" spans="33:33" x14ac:dyDescent="0.25">
      <c r="AG4165" s="185"/>
    </row>
    <row r="4166" spans="33:33" x14ac:dyDescent="0.25">
      <c r="AG4166" s="185"/>
    </row>
    <row r="4167" spans="33:33" x14ac:dyDescent="0.25">
      <c r="AG4167" s="185"/>
    </row>
    <row r="4168" spans="33:33" x14ac:dyDescent="0.25">
      <c r="AG4168" s="185"/>
    </row>
    <row r="4169" spans="33:33" x14ac:dyDescent="0.25">
      <c r="AG4169" s="185"/>
    </row>
    <row r="4170" spans="33:33" x14ac:dyDescent="0.25">
      <c r="AG4170" s="185"/>
    </row>
    <row r="4171" spans="33:33" x14ac:dyDescent="0.25">
      <c r="AG4171" s="185"/>
    </row>
    <row r="4172" spans="33:33" x14ac:dyDescent="0.25">
      <c r="AG4172" s="185"/>
    </row>
    <row r="4173" spans="33:33" x14ac:dyDescent="0.25">
      <c r="AG4173" s="185"/>
    </row>
    <row r="4174" spans="33:33" x14ac:dyDescent="0.25">
      <c r="AG4174" s="185"/>
    </row>
    <row r="4175" spans="33:33" x14ac:dyDescent="0.25">
      <c r="AG4175" s="185"/>
    </row>
    <row r="4176" spans="33:33" x14ac:dyDescent="0.25">
      <c r="AG4176" s="185"/>
    </row>
    <row r="4177" spans="33:33" x14ac:dyDescent="0.25">
      <c r="AG4177" s="185"/>
    </row>
    <row r="4178" spans="33:33" x14ac:dyDescent="0.25">
      <c r="AG4178" s="185"/>
    </row>
    <row r="4179" spans="33:33" x14ac:dyDescent="0.25">
      <c r="AG4179" s="185"/>
    </row>
    <row r="4180" spans="33:33" x14ac:dyDescent="0.25">
      <c r="AG4180" s="185"/>
    </row>
    <row r="4181" spans="33:33" x14ac:dyDescent="0.25">
      <c r="AG4181" s="185"/>
    </row>
    <row r="4182" spans="33:33" x14ac:dyDescent="0.25">
      <c r="AG4182" s="185"/>
    </row>
    <row r="4183" spans="33:33" x14ac:dyDescent="0.25">
      <c r="AG4183" s="185"/>
    </row>
    <row r="4184" spans="33:33" x14ac:dyDescent="0.25">
      <c r="AG4184" s="185"/>
    </row>
    <row r="4185" spans="33:33" x14ac:dyDescent="0.25">
      <c r="AG4185" s="185"/>
    </row>
    <row r="4186" spans="33:33" x14ac:dyDescent="0.25">
      <c r="AG4186" s="185"/>
    </row>
    <row r="4187" spans="33:33" x14ac:dyDescent="0.25">
      <c r="AG4187" s="185"/>
    </row>
    <row r="4188" spans="33:33" x14ac:dyDescent="0.25">
      <c r="AG4188" s="185"/>
    </row>
    <row r="4189" spans="33:33" x14ac:dyDescent="0.25">
      <c r="AG4189" s="185"/>
    </row>
    <row r="4190" spans="33:33" x14ac:dyDescent="0.25">
      <c r="AG4190" s="185"/>
    </row>
    <row r="4191" spans="33:33" x14ac:dyDescent="0.25">
      <c r="AG4191" s="185"/>
    </row>
    <row r="4192" spans="33:33" x14ac:dyDescent="0.25">
      <c r="AG4192" s="185"/>
    </row>
    <row r="4193" spans="33:33" x14ac:dyDescent="0.25">
      <c r="AG4193" s="185"/>
    </row>
    <row r="4194" spans="33:33" x14ac:dyDescent="0.25">
      <c r="AG4194" s="185"/>
    </row>
    <row r="4195" spans="33:33" x14ac:dyDescent="0.25">
      <c r="AG4195" s="185"/>
    </row>
    <row r="4196" spans="33:33" x14ac:dyDescent="0.25">
      <c r="AG4196" s="185"/>
    </row>
    <row r="4197" spans="33:33" x14ac:dyDescent="0.25">
      <c r="AG4197" s="185"/>
    </row>
    <row r="4198" spans="33:33" x14ac:dyDescent="0.25">
      <c r="AG4198" s="185"/>
    </row>
    <row r="4199" spans="33:33" x14ac:dyDescent="0.25">
      <c r="AG4199" s="185"/>
    </row>
    <row r="4200" spans="33:33" x14ac:dyDescent="0.25">
      <c r="AG4200" s="185"/>
    </row>
    <row r="4201" spans="33:33" x14ac:dyDescent="0.25">
      <c r="AG4201" s="185"/>
    </row>
    <row r="4202" spans="33:33" x14ac:dyDescent="0.25">
      <c r="AG4202" s="185"/>
    </row>
    <row r="4203" spans="33:33" x14ac:dyDescent="0.25">
      <c r="AG4203" s="185"/>
    </row>
    <row r="4204" spans="33:33" x14ac:dyDescent="0.25">
      <c r="AG4204" s="185"/>
    </row>
    <row r="4205" spans="33:33" x14ac:dyDescent="0.25">
      <c r="AG4205" s="185"/>
    </row>
    <row r="4206" spans="33:33" x14ac:dyDescent="0.25">
      <c r="AG4206" s="185"/>
    </row>
    <row r="4207" spans="33:33" x14ac:dyDescent="0.25">
      <c r="AG4207" s="185"/>
    </row>
    <row r="4208" spans="33:33" x14ac:dyDescent="0.25">
      <c r="AG4208" s="185"/>
    </row>
    <row r="4209" spans="33:33" x14ac:dyDescent="0.25">
      <c r="AG4209" s="185"/>
    </row>
    <row r="4210" spans="33:33" x14ac:dyDescent="0.25">
      <c r="AG4210" s="185"/>
    </row>
    <row r="4211" spans="33:33" x14ac:dyDescent="0.25">
      <c r="AG4211" s="185"/>
    </row>
    <row r="4212" spans="33:33" x14ac:dyDescent="0.25">
      <c r="AG4212" s="185"/>
    </row>
    <row r="4213" spans="33:33" x14ac:dyDescent="0.25">
      <c r="AG4213" s="185"/>
    </row>
    <row r="4214" spans="33:33" x14ac:dyDescent="0.25">
      <c r="AG4214" s="185"/>
    </row>
    <row r="4215" spans="33:33" x14ac:dyDescent="0.25">
      <c r="AG4215" s="185"/>
    </row>
    <row r="4216" spans="33:33" x14ac:dyDescent="0.25">
      <c r="AG4216" s="185"/>
    </row>
    <row r="4217" spans="33:33" x14ac:dyDescent="0.25">
      <c r="AG4217" s="185"/>
    </row>
    <row r="4218" spans="33:33" x14ac:dyDescent="0.25">
      <c r="AG4218" s="185"/>
    </row>
    <row r="4219" spans="33:33" x14ac:dyDescent="0.25">
      <c r="AG4219" s="185"/>
    </row>
    <row r="4220" spans="33:33" x14ac:dyDescent="0.25">
      <c r="AG4220" s="185"/>
    </row>
    <row r="4221" spans="33:33" x14ac:dyDescent="0.25">
      <c r="AG4221" s="185"/>
    </row>
    <row r="4222" spans="33:33" x14ac:dyDescent="0.25">
      <c r="AG4222" s="185"/>
    </row>
    <row r="4223" spans="33:33" x14ac:dyDescent="0.25">
      <c r="AG4223" s="185"/>
    </row>
    <row r="4224" spans="33:33" x14ac:dyDescent="0.25">
      <c r="AG4224" s="185"/>
    </row>
    <row r="4225" spans="33:33" x14ac:dyDescent="0.25">
      <c r="AG4225" s="185"/>
    </row>
    <row r="4226" spans="33:33" x14ac:dyDescent="0.25">
      <c r="AG4226" s="185"/>
    </row>
    <row r="4227" spans="33:33" x14ac:dyDescent="0.25">
      <c r="AG4227" s="185"/>
    </row>
    <row r="4228" spans="33:33" x14ac:dyDescent="0.25">
      <c r="AG4228" s="185"/>
    </row>
    <row r="4229" spans="33:33" x14ac:dyDescent="0.25">
      <c r="AG4229" s="185"/>
    </row>
    <row r="4230" spans="33:33" x14ac:dyDescent="0.25">
      <c r="AG4230" s="185"/>
    </row>
    <row r="4231" spans="33:33" x14ac:dyDescent="0.25">
      <c r="AG4231" s="185"/>
    </row>
    <row r="4232" spans="33:33" x14ac:dyDescent="0.25">
      <c r="AG4232" s="185"/>
    </row>
    <row r="4233" spans="33:33" x14ac:dyDescent="0.25">
      <c r="AG4233" s="185"/>
    </row>
    <row r="4234" spans="33:33" x14ac:dyDescent="0.25">
      <c r="AG4234" s="185"/>
    </row>
    <row r="4235" spans="33:33" x14ac:dyDescent="0.25">
      <c r="AG4235" s="185"/>
    </row>
    <row r="4236" spans="33:33" x14ac:dyDescent="0.25">
      <c r="AG4236" s="185"/>
    </row>
    <row r="4237" spans="33:33" x14ac:dyDescent="0.25">
      <c r="AG4237" s="185"/>
    </row>
    <row r="4238" spans="33:33" x14ac:dyDescent="0.25">
      <c r="AG4238" s="185"/>
    </row>
    <row r="4239" spans="33:33" x14ac:dyDescent="0.25">
      <c r="AG4239" s="185"/>
    </row>
    <row r="4240" spans="33:33" x14ac:dyDescent="0.25">
      <c r="AG4240" s="185"/>
    </row>
    <row r="4241" spans="33:33" x14ac:dyDescent="0.25">
      <c r="AG4241" s="185"/>
    </row>
    <row r="4242" spans="33:33" x14ac:dyDescent="0.25">
      <c r="AG4242" s="185"/>
    </row>
    <row r="4243" spans="33:33" x14ac:dyDescent="0.25">
      <c r="AG4243" s="185"/>
    </row>
    <row r="4244" spans="33:33" x14ac:dyDescent="0.25">
      <c r="AG4244" s="185"/>
    </row>
    <row r="4245" spans="33:33" x14ac:dyDescent="0.25">
      <c r="AG4245" s="185"/>
    </row>
    <row r="4246" spans="33:33" x14ac:dyDescent="0.25">
      <c r="AG4246" s="185"/>
    </row>
    <row r="4247" spans="33:33" x14ac:dyDescent="0.25">
      <c r="AG4247" s="185"/>
    </row>
    <row r="4248" spans="33:33" x14ac:dyDescent="0.25">
      <c r="AG4248" s="185"/>
    </row>
    <row r="4249" spans="33:33" x14ac:dyDescent="0.25">
      <c r="AG4249" s="185"/>
    </row>
    <row r="4250" spans="33:33" x14ac:dyDescent="0.25">
      <c r="AG4250" s="185"/>
    </row>
    <row r="4251" spans="33:33" x14ac:dyDescent="0.25">
      <c r="AG4251" s="185"/>
    </row>
    <row r="4252" spans="33:33" x14ac:dyDescent="0.25">
      <c r="AG4252" s="185"/>
    </row>
    <row r="4253" spans="33:33" x14ac:dyDescent="0.25">
      <c r="AG4253" s="185"/>
    </row>
    <row r="4254" spans="33:33" x14ac:dyDescent="0.25">
      <c r="AG4254" s="185"/>
    </row>
    <row r="4255" spans="33:33" x14ac:dyDescent="0.25">
      <c r="AG4255" s="185"/>
    </row>
    <row r="4256" spans="33:33" x14ac:dyDescent="0.25">
      <c r="AG4256" s="185"/>
    </row>
    <row r="4257" spans="33:33" x14ac:dyDescent="0.25">
      <c r="AG4257" s="185"/>
    </row>
    <row r="4258" spans="33:33" x14ac:dyDescent="0.25">
      <c r="AG4258" s="185"/>
    </row>
    <row r="4259" spans="33:33" x14ac:dyDescent="0.25">
      <c r="AG4259" s="185"/>
    </row>
    <row r="4260" spans="33:33" x14ac:dyDescent="0.25">
      <c r="AG4260" s="185"/>
    </row>
    <row r="4261" spans="33:33" x14ac:dyDescent="0.25">
      <c r="AG4261" s="185"/>
    </row>
    <row r="4262" spans="33:33" x14ac:dyDescent="0.25">
      <c r="AG4262" s="185"/>
    </row>
    <row r="4263" spans="33:33" x14ac:dyDescent="0.25">
      <c r="AG4263" s="185"/>
    </row>
    <row r="4264" spans="33:33" x14ac:dyDescent="0.25">
      <c r="AG4264" s="185"/>
    </row>
    <row r="4265" spans="33:33" x14ac:dyDescent="0.25">
      <c r="AG4265" s="185"/>
    </row>
    <row r="4266" spans="33:33" x14ac:dyDescent="0.25">
      <c r="AG4266" s="185"/>
    </row>
    <row r="4267" spans="33:33" x14ac:dyDescent="0.25">
      <c r="AG4267" s="185"/>
    </row>
    <row r="4268" spans="33:33" x14ac:dyDescent="0.25">
      <c r="AG4268" s="185"/>
    </row>
    <row r="4269" spans="33:33" x14ac:dyDescent="0.25">
      <c r="AG4269" s="185"/>
    </row>
    <row r="4270" spans="33:33" x14ac:dyDescent="0.25">
      <c r="AG4270" s="185"/>
    </row>
    <row r="4271" spans="33:33" x14ac:dyDescent="0.25">
      <c r="AG4271" s="185"/>
    </row>
    <row r="4272" spans="33:33" x14ac:dyDescent="0.25">
      <c r="AG4272" s="185"/>
    </row>
    <row r="4273" spans="33:33" x14ac:dyDescent="0.25">
      <c r="AG4273" s="185"/>
    </row>
    <row r="4274" spans="33:33" x14ac:dyDescent="0.25">
      <c r="AG4274" s="185"/>
    </row>
    <row r="4275" spans="33:33" x14ac:dyDescent="0.25">
      <c r="AG4275" s="185"/>
    </row>
    <row r="4276" spans="33:33" x14ac:dyDescent="0.25">
      <c r="AG4276" s="185"/>
    </row>
    <row r="4277" spans="33:33" x14ac:dyDescent="0.25">
      <c r="AG4277" s="185"/>
    </row>
    <row r="4278" spans="33:33" x14ac:dyDescent="0.25">
      <c r="AG4278" s="185"/>
    </row>
    <row r="4279" spans="33:33" x14ac:dyDescent="0.25">
      <c r="AG4279" s="185"/>
    </row>
    <row r="4280" spans="33:33" x14ac:dyDescent="0.25">
      <c r="AG4280" s="185"/>
    </row>
    <row r="4281" spans="33:33" x14ac:dyDescent="0.25">
      <c r="AG4281" s="185"/>
    </row>
    <row r="4282" spans="33:33" x14ac:dyDescent="0.25">
      <c r="AG4282" s="185"/>
    </row>
    <row r="4283" spans="33:33" x14ac:dyDescent="0.25">
      <c r="AG4283" s="185"/>
    </row>
    <row r="4284" spans="33:33" x14ac:dyDescent="0.25">
      <c r="AG4284" s="185"/>
    </row>
    <row r="4285" spans="33:33" x14ac:dyDescent="0.25">
      <c r="AG4285" s="185"/>
    </row>
    <row r="4286" spans="33:33" x14ac:dyDescent="0.25">
      <c r="AG4286" s="185"/>
    </row>
    <row r="4287" spans="33:33" x14ac:dyDescent="0.25">
      <c r="AG4287" s="185"/>
    </row>
    <row r="4288" spans="33:33" x14ac:dyDescent="0.25">
      <c r="AG4288" s="185"/>
    </row>
    <row r="4289" spans="33:33" x14ac:dyDescent="0.25">
      <c r="AG4289" s="185"/>
    </row>
    <row r="4290" spans="33:33" x14ac:dyDescent="0.25">
      <c r="AG4290" s="185"/>
    </row>
    <row r="4291" spans="33:33" x14ac:dyDescent="0.25">
      <c r="AG4291" s="185"/>
    </row>
    <row r="4292" spans="33:33" x14ac:dyDescent="0.25">
      <c r="AG4292" s="185"/>
    </row>
    <row r="4293" spans="33:33" x14ac:dyDescent="0.25">
      <c r="AG4293" s="185"/>
    </row>
    <row r="4294" spans="33:33" x14ac:dyDescent="0.25">
      <c r="AG4294" s="185"/>
    </row>
    <row r="4295" spans="33:33" x14ac:dyDescent="0.25">
      <c r="AG4295" s="185"/>
    </row>
    <row r="4296" spans="33:33" x14ac:dyDescent="0.25">
      <c r="AG4296" s="185"/>
    </row>
    <row r="4297" spans="33:33" x14ac:dyDescent="0.25">
      <c r="AG4297" s="185"/>
    </row>
    <row r="4298" spans="33:33" x14ac:dyDescent="0.25">
      <c r="AG4298" s="185"/>
    </row>
    <row r="4299" spans="33:33" x14ac:dyDescent="0.25">
      <c r="AG4299" s="185"/>
    </row>
    <row r="4300" spans="33:33" x14ac:dyDescent="0.25">
      <c r="AG4300" s="185"/>
    </row>
    <row r="4301" spans="33:33" x14ac:dyDescent="0.25">
      <c r="AG4301" s="185"/>
    </row>
    <row r="4302" spans="33:33" x14ac:dyDescent="0.25">
      <c r="AG4302" s="185"/>
    </row>
    <row r="4303" spans="33:33" x14ac:dyDescent="0.25">
      <c r="AG4303" s="185"/>
    </row>
    <row r="4304" spans="33:33" x14ac:dyDescent="0.25">
      <c r="AG4304" s="185"/>
    </row>
    <row r="4305" spans="33:33" x14ac:dyDescent="0.25">
      <c r="AG4305" s="185"/>
    </row>
    <row r="4306" spans="33:33" x14ac:dyDescent="0.25">
      <c r="AG4306" s="185"/>
    </row>
    <row r="4307" spans="33:33" x14ac:dyDescent="0.25">
      <c r="AG4307" s="185"/>
    </row>
    <row r="4308" spans="33:33" x14ac:dyDescent="0.25">
      <c r="AG4308" s="185"/>
    </row>
    <row r="4309" spans="33:33" x14ac:dyDescent="0.25">
      <c r="AG4309" s="185"/>
    </row>
    <row r="4310" spans="33:33" x14ac:dyDescent="0.25">
      <c r="AG4310" s="185"/>
    </row>
    <row r="4311" spans="33:33" x14ac:dyDescent="0.25">
      <c r="AG4311" s="185"/>
    </row>
    <row r="4312" spans="33:33" x14ac:dyDescent="0.25">
      <c r="AG4312" s="185"/>
    </row>
    <row r="4313" spans="33:33" x14ac:dyDescent="0.25">
      <c r="AG4313" s="185"/>
    </row>
    <row r="4314" spans="33:33" x14ac:dyDescent="0.25">
      <c r="AG4314" s="185"/>
    </row>
    <row r="4315" spans="33:33" x14ac:dyDescent="0.25">
      <c r="AG4315" s="185"/>
    </row>
    <row r="4316" spans="33:33" x14ac:dyDescent="0.25">
      <c r="AG4316" s="185"/>
    </row>
    <row r="4317" spans="33:33" x14ac:dyDescent="0.25">
      <c r="AG4317" s="185"/>
    </row>
    <row r="4318" spans="33:33" x14ac:dyDescent="0.25">
      <c r="AG4318" s="185"/>
    </row>
    <row r="4319" spans="33:33" x14ac:dyDescent="0.25">
      <c r="AG4319" s="185"/>
    </row>
    <row r="4320" spans="33:33" x14ac:dyDescent="0.25">
      <c r="AG4320" s="185"/>
    </row>
    <row r="4321" spans="33:33" x14ac:dyDescent="0.25">
      <c r="AG4321" s="185"/>
    </row>
    <row r="4322" spans="33:33" x14ac:dyDescent="0.25">
      <c r="AG4322" s="185"/>
    </row>
    <row r="4323" spans="33:33" x14ac:dyDescent="0.25">
      <c r="AG4323" s="185"/>
    </row>
    <row r="4324" spans="33:33" x14ac:dyDescent="0.25">
      <c r="AG4324" s="185"/>
    </row>
    <row r="4325" spans="33:33" x14ac:dyDescent="0.25">
      <c r="AG4325" s="185"/>
    </row>
    <row r="4326" spans="33:33" x14ac:dyDescent="0.25">
      <c r="AG4326" s="185"/>
    </row>
    <row r="4327" spans="33:33" x14ac:dyDescent="0.25">
      <c r="AG4327" s="185"/>
    </row>
    <row r="4328" spans="33:33" x14ac:dyDescent="0.25">
      <c r="AG4328" s="185"/>
    </row>
    <row r="4329" spans="33:33" x14ac:dyDescent="0.25">
      <c r="AG4329" s="185"/>
    </row>
    <row r="4330" spans="33:33" x14ac:dyDescent="0.25">
      <c r="AG4330" s="185"/>
    </row>
    <row r="4331" spans="33:33" x14ac:dyDescent="0.25">
      <c r="AG4331" s="185"/>
    </row>
    <row r="4332" spans="33:33" x14ac:dyDescent="0.25">
      <c r="AG4332" s="185"/>
    </row>
    <row r="4333" spans="33:33" x14ac:dyDescent="0.25">
      <c r="AG4333" s="185"/>
    </row>
    <row r="4334" spans="33:33" x14ac:dyDescent="0.25">
      <c r="AG4334" s="185"/>
    </row>
    <row r="4335" spans="33:33" x14ac:dyDescent="0.25">
      <c r="AG4335" s="185"/>
    </row>
    <row r="4336" spans="33:33" x14ac:dyDescent="0.25">
      <c r="AG4336" s="185"/>
    </row>
    <row r="4337" spans="33:33" x14ac:dyDescent="0.25">
      <c r="AG4337" s="185"/>
    </row>
    <row r="4338" spans="33:33" x14ac:dyDescent="0.25">
      <c r="AG4338" s="185"/>
    </row>
    <row r="4339" spans="33:33" x14ac:dyDescent="0.25">
      <c r="AG4339" s="185"/>
    </row>
    <row r="4340" spans="33:33" x14ac:dyDescent="0.25">
      <c r="AG4340" s="185"/>
    </row>
    <row r="4341" spans="33:33" x14ac:dyDescent="0.25">
      <c r="AG4341" s="185"/>
    </row>
    <row r="4342" spans="33:33" x14ac:dyDescent="0.25">
      <c r="AG4342" s="185"/>
    </row>
    <row r="4343" spans="33:33" x14ac:dyDescent="0.25">
      <c r="AG4343" s="185"/>
    </row>
    <row r="4344" spans="33:33" x14ac:dyDescent="0.25">
      <c r="AG4344" s="185"/>
    </row>
    <row r="4345" spans="33:33" x14ac:dyDescent="0.25">
      <c r="AG4345" s="185"/>
    </row>
    <row r="4346" spans="33:33" x14ac:dyDescent="0.25">
      <c r="AG4346" s="185"/>
    </row>
    <row r="4347" spans="33:33" x14ac:dyDescent="0.25">
      <c r="AG4347" s="185"/>
    </row>
    <row r="4348" spans="33:33" x14ac:dyDescent="0.25">
      <c r="AG4348" s="185"/>
    </row>
    <row r="4349" spans="33:33" x14ac:dyDescent="0.25">
      <c r="AG4349" s="185"/>
    </row>
    <row r="4350" spans="33:33" x14ac:dyDescent="0.25">
      <c r="AG4350" s="185"/>
    </row>
    <row r="4351" spans="33:33" x14ac:dyDescent="0.25">
      <c r="AG4351" s="185"/>
    </row>
    <row r="4352" spans="33:33" x14ac:dyDescent="0.25">
      <c r="AG4352" s="185"/>
    </row>
    <row r="4353" spans="33:33" x14ac:dyDescent="0.25">
      <c r="AG4353" s="185"/>
    </row>
    <row r="4354" spans="33:33" x14ac:dyDescent="0.25">
      <c r="AG4354" s="185"/>
    </row>
    <row r="4355" spans="33:33" x14ac:dyDescent="0.25">
      <c r="AG4355" s="185"/>
    </row>
    <row r="4356" spans="33:33" x14ac:dyDescent="0.25">
      <c r="AG4356" s="185"/>
    </row>
    <row r="4357" spans="33:33" x14ac:dyDescent="0.25">
      <c r="AG4357" s="185"/>
    </row>
    <row r="4358" spans="33:33" x14ac:dyDescent="0.25">
      <c r="AG4358" s="185"/>
    </row>
    <row r="4359" spans="33:33" x14ac:dyDescent="0.25">
      <c r="AG4359" s="185"/>
    </row>
    <row r="4360" spans="33:33" x14ac:dyDescent="0.25">
      <c r="AG4360" s="185"/>
    </row>
    <row r="4361" spans="33:33" x14ac:dyDescent="0.25">
      <c r="AG4361" s="185"/>
    </row>
    <row r="4362" spans="33:33" x14ac:dyDescent="0.25">
      <c r="AG4362" s="185"/>
    </row>
    <row r="4363" spans="33:33" x14ac:dyDescent="0.25">
      <c r="AG4363" s="185"/>
    </row>
    <row r="4364" spans="33:33" x14ac:dyDescent="0.25">
      <c r="AG4364" s="185"/>
    </row>
    <row r="4365" spans="33:33" x14ac:dyDescent="0.25">
      <c r="AG4365" s="185"/>
    </row>
    <row r="4366" spans="33:33" x14ac:dyDescent="0.25">
      <c r="AG4366" s="185"/>
    </row>
    <row r="4367" spans="33:33" x14ac:dyDescent="0.25">
      <c r="AG4367" s="185"/>
    </row>
    <row r="4368" spans="33:33" x14ac:dyDescent="0.25">
      <c r="AG4368" s="185"/>
    </row>
    <row r="4369" spans="33:33" x14ac:dyDescent="0.25">
      <c r="AG4369" s="185"/>
    </row>
    <row r="4370" spans="33:33" x14ac:dyDescent="0.25">
      <c r="AG4370" s="185"/>
    </row>
    <row r="4371" spans="33:33" x14ac:dyDescent="0.25">
      <c r="AG4371" s="185"/>
    </row>
    <row r="4372" spans="33:33" x14ac:dyDescent="0.25">
      <c r="AG4372" s="185"/>
    </row>
    <row r="4373" spans="33:33" x14ac:dyDescent="0.25">
      <c r="AG4373" s="185"/>
    </row>
    <row r="4374" spans="33:33" x14ac:dyDescent="0.25">
      <c r="AG4374" s="185"/>
    </row>
    <row r="4375" spans="33:33" x14ac:dyDescent="0.25">
      <c r="AG4375" s="185"/>
    </row>
    <row r="4376" spans="33:33" x14ac:dyDescent="0.25">
      <c r="AG4376" s="185"/>
    </row>
    <row r="4377" spans="33:33" x14ac:dyDescent="0.25">
      <c r="AG4377" s="185"/>
    </row>
    <row r="4378" spans="33:33" x14ac:dyDescent="0.25">
      <c r="AG4378" s="185"/>
    </row>
    <row r="4379" spans="33:33" x14ac:dyDescent="0.25">
      <c r="AG4379" s="185"/>
    </row>
    <row r="4380" spans="33:33" x14ac:dyDescent="0.25">
      <c r="AG4380" s="185"/>
    </row>
    <row r="4381" spans="33:33" x14ac:dyDescent="0.25">
      <c r="AG4381" s="185"/>
    </row>
    <row r="4382" spans="33:33" x14ac:dyDescent="0.25">
      <c r="AG4382" s="185"/>
    </row>
    <row r="4383" spans="33:33" x14ac:dyDescent="0.25">
      <c r="AG4383" s="185"/>
    </row>
    <row r="4384" spans="33:33" x14ac:dyDescent="0.25">
      <c r="AG4384" s="185"/>
    </row>
    <row r="4385" spans="33:33" x14ac:dyDescent="0.25">
      <c r="AG4385" s="185"/>
    </row>
    <row r="4386" spans="33:33" x14ac:dyDescent="0.25">
      <c r="AG4386" s="185"/>
    </row>
    <row r="4387" spans="33:33" x14ac:dyDescent="0.25">
      <c r="AG4387" s="185"/>
    </row>
    <row r="4388" spans="33:33" x14ac:dyDescent="0.25">
      <c r="AG4388" s="185"/>
    </row>
    <row r="4389" spans="33:33" x14ac:dyDescent="0.25">
      <c r="AG4389" s="185"/>
    </row>
    <row r="4390" spans="33:33" x14ac:dyDescent="0.25">
      <c r="AG4390" s="185"/>
    </row>
    <row r="4391" spans="33:33" x14ac:dyDescent="0.25">
      <c r="AG4391" s="185"/>
    </row>
    <row r="4392" spans="33:33" x14ac:dyDescent="0.25">
      <c r="AG4392" s="185"/>
    </row>
    <row r="4393" spans="33:33" x14ac:dyDescent="0.25">
      <c r="AG4393" s="185"/>
    </row>
    <row r="4394" spans="33:33" x14ac:dyDescent="0.25">
      <c r="AG4394" s="185"/>
    </row>
    <row r="4395" spans="33:33" x14ac:dyDescent="0.25">
      <c r="AG4395" s="185"/>
    </row>
    <row r="4396" spans="33:33" x14ac:dyDescent="0.25">
      <c r="AG4396" s="185"/>
    </row>
    <row r="4397" spans="33:33" x14ac:dyDescent="0.25">
      <c r="AG4397" s="185"/>
    </row>
    <row r="4398" spans="33:33" x14ac:dyDescent="0.25">
      <c r="AG4398" s="185"/>
    </row>
    <row r="4399" spans="33:33" x14ac:dyDescent="0.25">
      <c r="AG4399" s="185"/>
    </row>
    <row r="4400" spans="33:33" x14ac:dyDescent="0.25">
      <c r="AG4400" s="185"/>
    </row>
    <row r="4401" spans="33:33" x14ac:dyDescent="0.25">
      <c r="AG4401" s="185"/>
    </row>
    <row r="4402" spans="33:33" x14ac:dyDescent="0.25">
      <c r="AG4402" s="185"/>
    </row>
    <row r="4403" spans="33:33" x14ac:dyDescent="0.25">
      <c r="AG4403" s="185"/>
    </row>
    <row r="4404" spans="33:33" x14ac:dyDescent="0.25">
      <c r="AG4404" s="185"/>
    </row>
    <row r="4405" spans="33:33" x14ac:dyDescent="0.25">
      <c r="AG4405" s="185"/>
    </row>
    <row r="4406" spans="33:33" x14ac:dyDescent="0.25">
      <c r="AG4406" s="185"/>
    </row>
    <row r="4407" spans="33:33" x14ac:dyDescent="0.25">
      <c r="AG4407" s="185"/>
    </row>
    <row r="4408" spans="33:33" x14ac:dyDescent="0.25">
      <c r="AG4408" s="185"/>
    </row>
    <row r="4409" spans="33:33" x14ac:dyDescent="0.25">
      <c r="AG4409" s="185"/>
    </row>
    <row r="4410" spans="33:33" x14ac:dyDescent="0.25">
      <c r="AG4410" s="185"/>
    </row>
    <row r="4411" spans="33:33" x14ac:dyDescent="0.25">
      <c r="AG4411" s="185"/>
    </row>
    <row r="4412" spans="33:33" x14ac:dyDescent="0.25">
      <c r="AG4412" s="185"/>
    </row>
    <row r="4413" spans="33:33" x14ac:dyDescent="0.25">
      <c r="AG4413" s="185"/>
    </row>
    <row r="4414" spans="33:33" x14ac:dyDescent="0.25">
      <c r="AG4414" s="185"/>
    </row>
    <row r="4415" spans="33:33" x14ac:dyDescent="0.25">
      <c r="AG4415" s="185"/>
    </row>
    <row r="4416" spans="33:33" x14ac:dyDescent="0.25">
      <c r="AG4416" s="185"/>
    </row>
    <row r="4417" spans="33:33" x14ac:dyDescent="0.25">
      <c r="AG4417" s="185"/>
    </row>
    <row r="4418" spans="33:33" x14ac:dyDescent="0.25">
      <c r="AG4418" s="185"/>
    </row>
    <row r="4419" spans="33:33" x14ac:dyDescent="0.25">
      <c r="AG4419" s="185"/>
    </row>
    <row r="4420" spans="33:33" x14ac:dyDescent="0.25">
      <c r="AG4420" s="185"/>
    </row>
    <row r="4421" spans="33:33" x14ac:dyDescent="0.25">
      <c r="AG4421" s="185"/>
    </row>
    <row r="4422" spans="33:33" x14ac:dyDescent="0.25">
      <c r="AG4422" s="185"/>
    </row>
    <row r="4423" spans="33:33" x14ac:dyDescent="0.25">
      <c r="AG4423" s="185"/>
    </row>
    <row r="4424" spans="33:33" x14ac:dyDescent="0.25">
      <c r="AG4424" s="185"/>
    </row>
    <row r="4425" spans="33:33" x14ac:dyDescent="0.25">
      <c r="AG4425" s="185"/>
    </row>
    <row r="4426" spans="33:33" x14ac:dyDescent="0.25">
      <c r="AG4426" s="185"/>
    </row>
    <row r="4427" spans="33:33" x14ac:dyDescent="0.25">
      <c r="AG4427" s="185"/>
    </row>
    <row r="4428" spans="33:33" x14ac:dyDescent="0.25">
      <c r="AG4428" s="185"/>
    </row>
    <row r="4429" spans="33:33" x14ac:dyDescent="0.25">
      <c r="AG4429" s="185"/>
    </row>
    <row r="4430" spans="33:33" x14ac:dyDescent="0.25">
      <c r="AG4430" s="185"/>
    </row>
    <row r="4431" spans="33:33" x14ac:dyDescent="0.25">
      <c r="AG4431" s="185"/>
    </row>
    <row r="4432" spans="33:33" x14ac:dyDescent="0.25">
      <c r="AG4432" s="185"/>
    </row>
    <row r="4433" spans="33:33" x14ac:dyDescent="0.25">
      <c r="AG4433" s="185"/>
    </row>
    <row r="4434" spans="33:33" x14ac:dyDescent="0.25">
      <c r="AG4434" s="185"/>
    </row>
    <row r="4435" spans="33:33" x14ac:dyDescent="0.25">
      <c r="AG4435" s="185"/>
    </row>
    <row r="4436" spans="33:33" x14ac:dyDescent="0.25">
      <c r="AG4436" s="185"/>
    </row>
    <row r="4437" spans="33:33" x14ac:dyDescent="0.25">
      <c r="AG4437" s="185"/>
    </row>
    <row r="4438" spans="33:33" x14ac:dyDescent="0.25">
      <c r="AG4438" s="185"/>
    </row>
    <row r="4439" spans="33:33" x14ac:dyDescent="0.25">
      <c r="AG4439" s="185"/>
    </row>
    <row r="4440" spans="33:33" x14ac:dyDescent="0.25">
      <c r="AG4440" s="185"/>
    </row>
    <row r="4441" spans="33:33" x14ac:dyDescent="0.25">
      <c r="AG4441" s="185"/>
    </row>
    <row r="4442" spans="33:33" x14ac:dyDescent="0.25">
      <c r="AG4442" s="185"/>
    </row>
    <row r="4443" spans="33:33" x14ac:dyDescent="0.25">
      <c r="AG4443" s="185"/>
    </row>
    <row r="4444" spans="33:33" x14ac:dyDescent="0.25">
      <c r="AG4444" s="185"/>
    </row>
    <row r="4445" spans="33:33" x14ac:dyDescent="0.25">
      <c r="AG4445" s="185"/>
    </row>
    <row r="4446" spans="33:33" x14ac:dyDescent="0.25">
      <c r="AG4446" s="185"/>
    </row>
    <row r="4447" spans="33:33" x14ac:dyDescent="0.25">
      <c r="AG4447" s="185"/>
    </row>
    <row r="4448" spans="33:33" x14ac:dyDescent="0.25">
      <c r="AG4448" s="185"/>
    </row>
    <row r="4449" spans="33:33" x14ac:dyDescent="0.25">
      <c r="AG4449" s="185"/>
    </row>
    <row r="4450" spans="33:33" x14ac:dyDescent="0.25">
      <c r="AG4450" s="185"/>
    </row>
    <row r="4451" spans="33:33" x14ac:dyDescent="0.25">
      <c r="AG4451" s="185"/>
    </row>
    <row r="4452" spans="33:33" x14ac:dyDescent="0.25">
      <c r="AG4452" s="185"/>
    </row>
    <row r="4453" spans="33:33" x14ac:dyDescent="0.25">
      <c r="AG4453" s="185"/>
    </row>
    <row r="4454" spans="33:33" x14ac:dyDescent="0.25">
      <c r="AG4454" s="185"/>
    </row>
    <row r="4455" spans="33:33" x14ac:dyDescent="0.25">
      <c r="AG4455" s="185"/>
    </row>
    <row r="4456" spans="33:33" x14ac:dyDescent="0.25">
      <c r="AG4456" s="185"/>
    </row>
    <row r="4457" spans="33:33" x14ac:dyDescent="0.25">
      <c r="AG4457" s="185"/>
    </row>
    <row r="4458" spans="33:33" x14ac:dyDescent="0.25">
      <c r="AG4458" s="185"/>
    </row>
    <row r="4459" spans="33:33" x14ac:dyDescent="0.25">
      <c r="AG4459" s="185"/>
    </row>
    <row r="4460" spans="33:33" x14ac:dyDescent="0.25">
      <c r="AG4460" s="185"/>
    </row>
    <row r="4461" spans="33:33" x14ac:dyDescent="0.25">
      <c r="AG4461" s="185"/>
    </row>
    <row r="4462" spans="33:33" x14ac:dyDescent="0.25">
      <c r="AG4462" s="185"/>
    </row>
    <row r="4463" spans="33:33" x14ac:dyDescent="0.25">
      <c r="AG4463" s="185"/>
    </row>
    <row r="4464" spans="33:33" x14ac:dyDescent="0.25">
      <c r="AG4464" s="185"/>
    </row>
    <row r="4465" spans="33:33" x14ac:dyDescent="0.25">
      <c r="AG4465" s="185"/>
    </row>
    <row r="4466" spans="33:33" x14ac:dyDescent="0.25">
      <c r="AG4466" s="185"/>
    </row>
    <row r="4467" spans="33:33" x14ac:dyDescent="0.25">
      <c r="AG4467" s="185"/>
    </row>
    <row r="4468" spans="33:33" x14ac:dyDescent="0.25">
      <c r="AG4468" s="185"/>
    </row>
    <row r="4469" spans="33:33" x14ac:dyDescent="0.25">
      <c r="AG4469" s="185"/>
    </row>
    <row r="4470" spans="33:33" x14ac:dyDescent="0.25">
      <c r="AG4470" s="185"/>
    </row>
    <row r="4471" spans="33:33" x14ac:dyDescent="0.25">
      <c r="AG4471" s="185"/>
    </row>
    <row r="4472" spans="33:33" x14ac:dyDescent="0.25">
      <c r="AG4472" s="185"/>
    </row>
    <row r="4473" spans="33:33" x14ac:dyDescent="0.25">
      <c r="AG4473" s="185"/>
    </row>
    <row r="4474" spans="33:33" x14ac:dyDescent="0.25">
      <c r="AG4474" s="185"/>
    </row>
    <row r="4475" spans="33:33" x14ac:dyDescent="0.25">
      <c r="AG4475" s="185"/>
    </row>
    <row r="4476" spans="33:33" x14ac:dyDescent="0.25">
      <c r="AG4476" s="185"/>
    </row>
    <row r="4477" spans="33:33" x14ac:dyDescent="0.25">
      <c r="AG4477" s="185"/>
    </row>
    <row r="4478" spans="33:33" x14ac:dyDescent="0.25">
      <c r="AG4478" s="185"/>
    </row>
    <row r="4479" spans="33:33" x14ac:dyDescent="0.25">
      <c r="AG4479" s="185"/>
    </row>
    <row r="4480" spans="33:33" x14ac:dyDescent="0.25">
      <c r="AG4480" s="185"/>
    </row>
    <row r="4481" spans="33:33" x14ac:dyDescent="0.25">
      <c r="AG4481" s="185"/>
    </row>
    <row r="4482" spans="33:33" x14ac:dyDescent="0.25">
      <c r="AG4482" s="185"/>
    </row>
    <row r="4483" spans="33:33" x14ac:dyDescent="0.25">
      <c r="AG4483" s="185"/>
    </row>
    <row r="4484" spans="33:33" x14ac:dyDescent="0.25">
      <c r="AG4484" s="185"/>
    </row>
    <row r="4485" spans="33:33" x14ac:dyDescent="0.25">
      <c r="AG4485" s="185"/>
    </row>
    <row r="4486" spans="33:33" x14ac:dyDescent="0.25">
      <c r="AG4486" s="185"/>
    </row>
    <row r="4487" spans="33:33" x14ac:dyDescent="0.25">
      <c r="AG4487" s="185"/>
    </row>
    <row r="4488" spans="33:33" x14ac:dyDescent="0.25">
      <c r="AG4488" s="185"/>
    </row>
    <row r="4489" spans="33:33" x14ac:dyDescent="0.25">
      <c r="AG4489" s="185"/>
    </row>
    <row r="4490" spans="33:33" x14ac:dyDescent="0.25">
      <c r="AG4490" s="185"/>
    </row>
    <row r="4491" spans="33:33" x14ac:dyDescent="0.25">
      <c r="AG4491" s="185"/>
    </row>
    <row r="4492" spans="33:33" x14ac:dyDescent="0.25">
      <c r="AG4492" s="185"/>
    </row>
    <row r="4493" spans="33:33" x14ac:dyDescent="0.25">
      <c r="AG4493" s="185"/>
    </row>
    <row r="4494" spans="33:33" x14ac:dyDescent="0.25">
      <c r="AG4494" s="185"/>
    </row>
    <row r="4495" spans="33:33" x14ac:dyDescent="0.25">
      <c r="AG4495" s="185"/>
    </row>
    <row r="4496" spans="33:33" x14ac:dyDescent="0.25">
      <c r="AG4496" s="185"/>
    </row>
    <row r="4497" spans="33:33" x14ac:dyDescent="0.25">
      <c r="AG4497" s="185"/>
    </row>
    <row r="4498" spans="33:33" x14ac:dyDescent="0.25">
      <c r="AG4498" s="185"/>
    </row>
    <row r="4499" spans="33:33" x14ac:dyDescent="0.25">
      <c r="AG4499" s="185"/>
    </row>
    <row r="4500" spans="33:33" x14ac:dyDescent="0.25">
      <c r="AG4500" s="185"/>
    </row>
    <row r="4501" spans="33:33" x14ac:dyDescent="0.25">
      <c r="AG4501" s="185"/>
    </row>
    <row r="4502" spans="33:33" x14ac:dyDescent="0.25">
      <c r="AG4502" s="185"/>
    </row>
    <row r="4503" spans="33:33" x14ac:dyDescent="0.25">
      <c r="AG4503" s="185"/>
    </row>
    <row r="4504" spans="33:33" x14ac:dyDescent="0.25">
      <c r="AG4504" s="185"/>
    </row>
    <row r="4505" spans="33:33" x14ac:dyDescent="0.25">
      <c r="AG4505" s="185"/>
    </row>
    <row r="4506" spans="33:33" x14ac:dyDescent="0.25">
      <c r="AG4506" s="185"/>
    </row>
    <row r="4507" spans="33:33" x14ac:dyDescent="0.25">
      <c r="AG4507" s="185"/>
    </row>
    <row r="4508" spans="33:33" x14ac:dyDescent="0.25">
      <c r="AG4508" s="185"/>
    </row>
    <row r="4509" spans="33:33" x14ac:dyDescent="0.25">
      <c r="AG4509" s="185"/>
    </row>
    <row r="4510" spans="33:33" x14ac:dyDescent="0.25">
      <c r="AG4510" s="185"/>
    </row>
    <row r="4511" spans="33:33" x14ac:dyDescent="0.25">
      <c r="AG4511" s="185"/>
    </row>
    <row r="4512" spans="33:33" x14ac:dyDescent="0.25">
      <c r="AG4512" s="185"/>
    </row>
    <row r="4513" spans="33:33" x14ac:dyDescent="0.25">
      <c r="AG4513" s="185"/>
    </row>
    <row r="4514" spans="33:33" x14ac:dyDescent="0.25">
      <c r="AG4514" s="185"/>
    </row>
    <row r="4515" spans="33:33" x14ac:dyDescent="0.25">
      <c r="AG4515" s="185"/>
    </row>
    <row r="4516" spans="33:33" x14ac:dyDescent="0.25">
      <c r="AG4516" s="185"/>
    </row>
    <row r="4517" spans="33:33" x14ac:dyDescent="0.25">
      <c r="AG4517" s="185"/>
    </row>
    <row r="4518" spans="33:33" x14ac:dyDescent="0.25">
      <c r="AG4518" s="185"/>
    </row>
    <row r="4519" spans="33:33" x14ac:dyDescent="0.25">
      <c r="AG4519" s="185"/>
    </row>
    <row r="4520" spans="33:33" x14ac:dyDescent="0.25">
      <c r="AG4520" s="185"/>
    </row>
    <row r="4521" spans="33:33" x14ac:dyDescent="0.25">
      <c r="AG4521" s="185"/>
    </row>
    <row r="4522" spans="33:33" x14ac:dyDescent="0.25">
      <c r="AG4522" s="185"/>
    </row>
    <row r="4523" spans="33:33" x14ac:dyDescent="0.25">
      <c r="AG4523" s="185"/>
    </row>
    <row r="4524" spans="33:33" x14ac:dyDescent="0.25">
      <c r="AG4524" s="185"/>
    </row>
    <row r="4525" spans="33:33" x14ac:dyDescent="0.25">
      <c r="AG4525" s="185"/>
    </row>
    <row r="4526" spans="33:33" x14ac:dyDescent="0.25">
      <c r="AG4526" s="185"/>
    </row>
    <row r="4527" spans="33:33" x14ac:dyDescent="0.25">
      <c r="AG4527" s="185"/>
    </row>
    <row r="4528" spans="33:33" x14ac:dyDescent="0.25">
      <c r="AG4528" s="185"/>
    </row>
    <row r="4529" spans="33:33" x14ac:dyDescent="0.25">
      <c r="AG4529" s="185"/>
    </row>
    <row r="4530" spans="33:33" x14ac:dyDescent="0.25">
      <c r="AG4530" s="185"/>
    </row>
    <row r="4531" spans="33:33" x14ac:dyDescent="0.25">
      <c r="AG4531" s="185"/>
    </row>
    <row r="4532" spans="33:33" x14ac:dyDescent="0.25">
      <c r="AG4532" s="185"/>
    </row>
    <row r="4533" spans="33:33" x14ac:dyDescent="0.25">
      <c r="AG4533" s="185"/>
    </row>
    <row r="4534" spans="33:33" x14ac:dyDescent="0.25">
      <c r="AG4534" s="185"/>
    </row>
    <row r="4535" spans="33:33" x14ac:dyDescent="0.25">
      <c r="AG4535" s="185"/>
    </row>
    <row r="4536" spans="33:33" x14ac:dyDescent="0.25">
      <c r="AG4536" s="185"/>
    </row>
    <row r="4537" spans="33:33" x14ac:dyDescent="0.25">
      <c r="AG4537" s="185"/>
    </row>
    <row r="4538" spans="33:33" x14ac:dyDescent="0.25">
      <c r="AG4538" s="185"/>
    </row>
    <row r="4539" spans="33:33" x14ac:dyDescent="0.25">
      <c r="AG4539" s="185"/>
    </row>
    <row r="4540" spans="33:33" x14ac:dyDescent="0.25">
      <c r="AG4540" s="185"/>
    </row>
    <row r="4541" spans="33:33" x14ac:dyDescent="0.25">
      <c r="AG4541" s="185"/>
    </row>
    <row r="4542" spans="33:33" x14ac:dyDescent="0.25">
      <c r="AG4542" s="185"/>
    </row>
    <row r="4543" spans="33:33" x14ac:dyDescent="0.25">
      <c r="AG4543" s="185"/>
    </row>
    <row r="4544" spans="33:33" x14ac:dyDescent="0.25">
      <c r="AG4544" s="185"/>
    </row>
    <row r="4545" spans="33:33" x14ac:dyDescent="0.25">
      <c r="AG4545" s="185"/>
    </row>
    <row r="4546" spans="33:33" x14ac:dyDescent="0.25">
      <c r="AG4546" s="185"/>
    </row>
    <row r="4547" spans="33:33" x14ac:dyDescent="0.25">
      <c r="AG4547" s="185"/>
    </row>
    <row r="4548" spans="33:33" x14ac:dyDescent="0.25">
      <c r="AG4548" s="185"/>
    </row>
    <row r="4549" spans="33:33" x14ac:dyDescent="0.25">
      <c r="AG4549" s="185"/>
    </row>
    <row r="4550" spans="33:33" x14ac:dyDescent="0.25">
      <c r="AG4550" s="185"/>
    </row>
    <row r="4551" spans="33:33" x14ac:dyDescent="0.25">
      <c r="AG4551" s="185"/>
    </row>
    <row r="4552" spans="33:33" x14ac:dyDescent="0.25">
      <c r="AG4552" s="185"/>
    </row>
    <row r="4553" spans="33:33" x14ac:dyDescent="0.25">
      <c r="AG4553" s="185"/>
    </row>
    <row r="4554" spans="33:33" x14ac:dyDescent="0.25">
      <c r="AG4554" s="185"/>
    </row>
    <row r="4555" spans="33:33" x14ac:dyDescent="0.25">
      <c r="AG4555" s="185"/>
    </row>
    <row r="4556" spans="33:33" x14ac:dyDescent="0.25">
      <c r="AG4556" s="185"/>
    </row>
    <row r="4557" spans="33:33" x14ac:dyDescent="0.25">
      <c r="AG4557" s="185"/>
    </row>
    <row r="4558" spans="33:33" x14ac:dyDescent="0.25">
      <c r="AG4558" s="185"/>
    </row>
    <row r="4559" spans="33:33" x14ac:dyDescent="0.25">
      <c r="AG4559" s="185"/>
    </row>
    <row r="4560" spans="33:33" x14ac:dyDescent="0.25">
      <c r="AG4560" s="185"/>
    </row>
    <row r="4561" spans="33:33" x14ac:dyDescent="0.25">
      <c r="AG4561" s="185"/>
    </row>
    <row r="4562" spans="33:33" x14ac:dyDescent="0.25">
      <c r="AG4562" s="185"/>
    </row>
    <row r="4563" spans="33:33" x14ac:dyDescent="0.25">
      <c r="AG4563" s="185"/>
    </row>
    <row r="4564" spans="33:33" x14ac:dyDescent="0.25">
      <c r="AG4564" s="185"/>
    </row>
    <row r="4565" spans="33:33" x14ac:dyDescent="0.25">
      <c r="AG4565" s="185"/>
    </row>
    <row r="4566" spans="33:33" x14ac:dyDescent="0.25">
      <c r="AG4566" s="185"/>
    </row>
    <row r="4567" spans="33:33" x14ac:dyDescent="0.25">
      <c r="AG4567" s="185"/>
    </row>
    <row r="4568" spans="33:33" x14ac:dyDescent="0.25">
      <c r="AG4568" s="185"/>
    </row>
    <row r="4569" spans="33:33" x14ac:dyDescent="0.25">
      <c r="AG4569" s="185"/>
    </row>
    <row r="4570" spans="33:33" x14ac:dyDescent="0.25">
      <c r="AG4570" s="185"/>
    </row>
    <row r="4571" spans="33:33" x14ac:dyDescent="0.25">
      <c r="AG4571" s="185"/>
    </row>
    <row r="4572" spans="33:33" x14ac:dyDescent="0.25">
      <c r="AG4572" s="185"/>
    </row>
    <row r="4573" spans="33:33" x14ac:dyDescent="0.25">
      <c r="AG4573" s="185"/>
    </row>
    <row r="4574" spans="33:33" x14ac:dyDescent="0.25">
      <c r="AG4574" s="185"/>
    </row>
    <row r="4575" spans="33:33" x14ac:dyDescent="0.25">
      <c r="AG4575" s="185"/>
    </row>
    <row r="4576" spans="33:33" x14ac:dyDescent="0.25">
      <c r="AG4576" s="185"/>
    </row>
    <row r="4577" spans="33:33" x14ac:dyDescent="0.25">
      <c r="AG4577" s="185"/>
    </row>
    <row r="4578" spans="33:33" x14ac:dyDescent="0.25">
      <c r="AG4578" s="185"/>
    </row>
    <row r="4579" spans="33:33" x14ac:dyDescent="0.25">
      <c r="AG4579" s="185"/>
    </row>
    <row r="4580" spans="33:33" x14ac:dyDescent="0.25">
      <c r="AG4580" s="185"/>
    </row>
    <row r="4581" spans="33:33" x14ac:dyDescent="0.25">
      <c r="AG4581" s="185"/>
    </row>
    <row r="4582" spans="33:33" x14ac:dyDescent="0.25">
      <c r="AG4582" s="185"/>
    </row>
    <row r="4583" spans="33:33" x14ac:dyDescent="0.25">
      <c r="AG4583" s="185"/>
    </row>
    <row r="4584" spans="33:33" x14ac:dyDescent="0.25">
      <c r="AG4584" s="185"/>
    </row>
    <row r="4585" spans="33:33" x14ac:dyDescent="0.25">
      <c r="AG4585" s="185"/>
    </row>
    <row r="4586" spans="33:33" x14ac:dyDescent="0.25">
      <c r="AG4586" s="185"/>
    </row>
    <row r="4587" spans="33:33" x14ac:dyDescent="0.25">
      <c r="AG4587" s="185"/>
    </row>
    <row r="4588" spans="33:33" x14ac:dyDescent="0.25">
      <c r="AG4588" s="185"/>
    </row>
    <row r="4589" spans="33:33" x14ac:dyDescent="0.25">
      <c r="AG4589" s="185"/>
    </row>
    <row r="4590" spans="33:33" x14ac:dyDescent="0.25">
      <c r="AG4590" s="185"/>
    </row>
    <row r="4591" spans="33:33" x14ac:dyDescent="0.25">
      <c r="AG4591" s="185"/>
    </row>
    <row r="4592" spans="33:33" x14ac:dyDescent="0.25">
      <c r="AG4592" s="185"/>
    </row>
    <row r="4593" spans="33:33" x14ac:dyDescent="0.25">
      <c r="AG4593" s="185"/>
    </row>
    <row r="4594" spans="33:33" x14ac:dyDescent="0.25">
      <c r="AG4594" s="185"/>
    </row>
    <row r="4595" spans="33:33" x14ac:dyDescent="0.25">
      <c r="AG4595" s="185"/>
    </row>
    <row r="4596" spans="33:33" x14ac:dyDescent="0.25">
      <c r="AG4596" s="185"/>
    </row>
    <row r="4597" spans="33:33" x14ac:dyDescent="0.25">
      <c r="AG4597" s="185"/>
    </row>
    <row r="4598" spans="33:33" x14ac:dyDescent="0.25">
      <c r="AG4598" s="185"/>
    </row>
    <row r="4599" spans="33:33" x14ac:dyDescent="0.25">
      <c r="AG4599" s="185"/>
    </row>
    <row r="4600" spans="33:33" x14ac:dyDescent="0.25">
      <c r="AG4600" s="185"/>
    </row>
    <row r="4601" spans="33:33" x14ac:dyDescent="0.25">
      <c r="AG4601" s="185"/>
    </row>
    <row r="4602" spans="33:33" x14ac:dyDescent="0.25">
      <c r="AG4602" s="185"/>
    </row>
    <row r="4603" spans="33:33" x14ac:dyDescent="0.25">
      <c r="AG4603" s="185"/>
    </row>
    <row r="4604" spans="33:33" x14ac:dyDescent="0.25">
      <c r="AG4604" s="185"/>
    </row>
    <row r="4605" spans="33:33" x14ac:dyDescent="0.25">
      <c r="AG4605" s="185"/>
    </row>
    <row r="4606" spans="33:33" x14ac:dyDescent="0.25">
      <c r="AG4606" s="185"/>
    </row>
    <row r="4607" spans="33:33" x14ac:dyDescent="0.25">
      <c r="AG4607" s="185"/>
    </row>
    <row r="4608" spans="33:33" x14ac:dyDescent="0.25">
      <c r="AG4608" s="185"/>
    </row>
    <row r="4609" spans="33:33" x14ac:dyDescent="0.25">
      <c r="AG4609" s="185"/>
    </row>
    <row r="4610" spans="33:33" x14ac:dyDescent="0.25">
      <c r="AG4610" s="185"/>
    </row>
    <row r="4611" spans="33:33" x14ac:dyDescent="0.25">
      <c r="AG4611" s="185"/>
    </row>
    <row r="4612" spans="33:33" x14ac:dyDescent="0.25">
      <c r="AG4612" s="185"/>
    </row>
    <row r="4613" spans="33:33" x14ac:dyDescent="0.25">
      <c r="AG4613" s="185"/>
    </row>
    <row r="4614" spans="33:33" x14ac:dyDescent="0.25">
      <c r="AG4614" s="185"/>
    </row>
    <row r="4615" spans="33:33" x14ac:dyDescent="0.25">
      <c r="AG4615" s="185"/>
    </row>
    <row r="4616" spans="33:33" x14ac:dyDescent="0.25">
      <c r="AG4616" s="185"/>
    </row>
    <row r="4617" spans="33:33" x14ac:dyDescent="0.25">
      <c r="AG4617" s="185"/>
    </row>
    <row r="4618" spans="33:33" x14ac:dyDescent="0.25">
      <c r="AG4618" s="185"/>
    </row>
    <row r="4619" spans="33:33" x14ac:dyDescent="0.25">
      <c r="AG4619" s="185"/>
    </row>
    <row r="4620" spans="33:33" x14ac:dyDescent="0.25">
      <c r="AG4620" s="185"/>
    </row>
    <row r="4621" spans="33:33" x14ac:dyDescent="0.25">
      <c r="AG4621" s="185"/>
    </row>
    <row r="4622" spans="33:33" x14ac:dyDescent="0.25">
      <c r="AG4622" s="185"/>
    </row>
    <row r="4623" spans="33:33" x14ac:dyDescent="0.25">
      <c r="AG4623" s="185"/>
    </row>
    <row r="4624" spans="33:33" x14ac:dyDescent="0.25">
      <c r="AG4624" s="185"/>
    </row>
    <row r="4625" spans="33:33" x14ac:dyDescent="0.25">
      <c r="AG4625" s="185"/>
    </row>
    <row r="4626" spans="33:33" x14ac:dyDescent="0.25">
      <c r="AG4626" s="185"/>
    </row>
    <row r="4627" spans="33:33" x14ac:dyDescent="0.25">
      <c r="AG4627" s="185"/>
    </row>
    <row r="4628" spans="33:33" x14ac:dyDescent="0.25">
      <c r="AG4628" s="185"/>
    </row>
    <row r="4629" spans="33:33" x14ac:dyDescent="0.25">
      <c r="AG4629" s="185"/>
    </row>
    <row r="4630" spans="33:33" x14ac:dyDescent="0.25">
      <c r="AG4630" s="185"/>
    </row>
    <row r="4631" spans="33:33" x14ac:dyDescent="0.25">
      <c r="AG4631" s="185"/>
    </row>
    <row r="4632" spans="33:33" x14ac:dyDescent="0.25">
      <c r="AG4632" s="185"/>
    </row>
    <row r="4633" spans="33:33" x14ac:dyDescent="0.25">
      <c r="AG4633" s="185"/>
    </row>
    <row r="4634" spans="33:33" x14ac:dyDescent="0.25">
      <c r="AG4634" s="185"/>
    </row>
    <row r="4635" spans="33:33" x14ac:dyDescent="0.25">
      <c r="AG4635" s="185"/>
    </row>
    <row r="4636" spans="33:33" x14ac:dyDescent="0.25">
      <c r="AG4636" s="185"/>
    </row>
    <row r="4637" spans="33:33" x14ac:dyDescent="0.25">
      <c r="AG4637" s="185"/>
    </row>
    <row r="4638" spans="33:33" x14ac:dyDescent="0.25">
      <c r="AG4638" s="185"/>
    </row>
    <row r="4639" spans="33:33" x14ac:dyDescent="0.25">
      <c r="AG4639" s="185"/>
    </row>
    <row r="4640" spans="33:33" x14ac:dyDescent="0.25">
      <c r="AG4640" s="185"/>
    </row>
    <row r="4641" spans="33:33" x14ac:dyDescent="0.25">
      <c r="AG4641" s="185"/>
    </row>
    <row r="4642" spans="33:33" x14ac:dyDescent="0.25">
      <c r="AG4642" s="185"/>
    </row>
    <row r="4643" spans="33:33" x14ac:dyDescent="0.25">
      <c r="AG4643" s="185"/>
    </row>
    <row r="4644" spans="33:33" x14ac:dyDescent="0.25">
      <c r="AG4644" s="185"/>
    </row>
    <row r="4645" spans="33:33" x14ac:dyDescent="0.25">
      <c r="AG4645" s="185"/>
    </row>
    <row r="4646" spans="33:33" x14ac:dyDescent="0.25">
      <c r="AG4646" s="185"/>
    </row>
    <row r="4647" spans="33:33" x14ac:dyDescent="0.25">
      <c r="AG4647" s="185"/>
    </row>
    <row r="4648" spans="33:33" x14ac:dyDescent="0.25">
      <c r="AG4648" s="185"/>
    </row>
    <row r="4649" spans="33:33" x14ac:dyDescent="0.25">
      <c r="AG4649" s="185"/>
    </row>
    <row r="4650" spans="33:33" x14ac:dyDescent="0.25">
      <c r="AG4650" s="185"/>
    </row>
    <row r="4651" spans="33:33" x14ac:dyDescent="0.25">
      <c r="AG4651" s="185"/>
    </row>
    <row r="4652" spans="33:33" x14ac:dyDescent="0.25">
      <c r="AG4652" s="185"/>
    </row>
    <row r="4653" spans="33:33" x14ac:dyDescent="0.25">
      <c r="AG4653" s="185"/>
    </row>
    <row r="4654" spans="33:33" x14ac:dyDescent="0.25">
      <c r="AG4654" s="185"/>
    </row>
    <row r="4655" spans="33:33" x14ac:dyDescent="0.25">
      <c r="AG4655" s="185"/>
    </row>
    <row r="4656" spans="33:33" x14ac:dyDescent="0.25">
      <c r="AG4656" s="185"/>
    </row>
    <row r="4657" spans="33:33" x14ac:dyDescent="0.25">
      <c r="AG4657" s="185"/>
    </row>
    <row r="4658" spans="33:33" x14ac:dyDescent="0.25">
      <c r="AG4658" s="185"/>
    </row>
    <row r="4659" spans="33:33" x14ac:dyDescent="0.25">
      <c r="AG4659" s="185"/>
    </row>
    <row r="4660" spans="33:33" x14ac:dyDescent="0.25">
      <c r="AG4660" s="185"/>
    </row>
    <row r="4661" spans="33:33" x14ac:dyDescent="0.25">
      <c r="AG4661" s="185"/>
    </row>
    <row r="4662" spans="33:33" x14ac:dyDescent="0.25">
      <c r="AG4662" s="185"/>
    </row>
    <row r="4663" spans="33:33" x14ac:dyDescent="0.25">
      <c r="AG4663" s="185"/>
    </row>
    <row r="4664" spans="33:33" x14ac:dyDescent="0.25">
      <c r="AG4664" s="185"/>
    </row>
    <row r="4665" spans="33:33" x14ac:dyDescent="0.25">
      <c r="AG4665" s="185"/>
    </row>
    <row r="4666" spans="33:33" x14ac:dyDescent="0.25">
      <c r="AG4666" s="185"/>
    </row>
    <row r="4667" spans="33:33" x14ac:dyDescent="0.25">
      <c r="AG4667" s="185"/>
    </row>
    <row r="4668" spans="33:33" x14ac:dyDescent="0.25">
      <c r="AG4668" s="185"/>
    </row>
    <row r="4669" spans="33:33" x14ac:dyDescent="0.25">
      <c r="AG4669" s="185"/>
    </row>
    <row r="4670" spans="33:33" x14ac:dyDescent="0.25">
      <c r="AG4670" s="185"/>
    </row>
    <row r="4671" spans="33:33" x14ac:dyDescent="0.25">
      <c r="AG4671" s="185"/>
    </row>
    <row r="4672" spans="33:33" x14ac:dyDescent="0.25">
      <c r="AG4672" s="185"/>
    </row>
    <row r="4673" spans="33:33" x14ac:dyDescent="0.25">
      <c r="AG4673" s="185"/>
    </row>
    <row r="4674" spans="33:33" x14ac:dyDescent="0.25">
      <c r="AG4674" s="185"/>
    </row>
    <row r="4675" spans="33:33" x14ac:dyDescent="0.25">
      <c r="AG4675" s="185"/>
    </row>
    <row r="4676" spans="33:33" x14ac:dyDescent="0.25">
      <c r="AG4676" s="185"/>
    </row>
    <row r="4677" spans="33:33" x14ac:dyDescent="0.25">
      <c r="AG4677" s="185"/>
    </row>
    <row r="4678" spans="33:33" x14ac:dyDescent="0.25">
      <c r="AG4678" s="185"/>
    </row>
    <row r="4679" spans="33:33" x14ac:dyDescent="0.25">
      <c r="AG4679" s="185"/>
    </row>
    <row r="4680" spans="33:33" x14ac:dyDescent="0.25">
      <c r="AG4680" s="185"/>
    </row>
    <row r="4681" spans="33:33" x14ac:dyDescent="0.25">
      <c r="AG4681" s="185"/>
    </row>
    <row r="4682" spans="33:33" x14ac:dyDescent="0.25">
      <c r="AG4682" s="185"/>
    </row>
    <row r="4683" spans="33:33" x14ac:dyDescent="0.25">
      <c r="AG4683" s="185"/>
    </row>
    <row r="4684" spans="33:33" x14ac:dyDescent="0.25">
      <c r="AG4684" s="185"/>
    </row>
    <row r="4685" spans="33:33" x14ac:dyDescent="0.25">
      <c r="AG4685" s="185"/>
    </row>
    <row r="4686" spans="33:33" x14ac:dyDescent="0.25">
      <c r="AG4686" s="185"/>
    </row>
    <row r="4687" spans="33:33" x14ac:dyDescent="0.25">
      <c r="AG4687" s="185"/>
    </row>
    <row r="4688" spans="33:33" x14ac:dyDescent="0.25">
      <c r="AG4688" s="185"/>
    </row>
    <row r="4689" spans="33:33" x14ac:dyDescent="0.25">
      <c r="AG4689" s="185"/>
    </row>
    <row r="4690" spans="33:33" x14ac:dyDescent="0.25">
      <c r="AG4690" s="185"/>
    </row>
    <row r="4691" spans="33:33" x14ac:dyDescent="0.25">
      <c r="AG4691" s="185"/>
    </row>
    <row r="4692" spans="33:33" x14ac:dyDescent="0.25">
      <c r="AG4692" s="185"/>
    </row>
    <row r="4693" spans="33:33" x14ac:dyDescent="0.25">
      <c r="AG4693" s="185"/>
    </row>
    <row r="4694" spans="33:33" x14ac:dyDescent="0.25">
      <c r="AG4694" s="185"/>
    </row>
    <row r="4695" spans="33:33" x14ac:dyDescent="0.25">
      <c r="AG4695" s="185"/>
    </row>
    <row r="4696" spans="33:33" x14ac:dyDescent="0.25">
      <c r="AG4696" s="185"/>
    </row>
    <row r="4697" spans="33:33" x14ac:dyDescent="0.25">
      <c r="AG4697" s="185"/>
    </row>
    <row r="4698" spans="33:33" x14ac:dyDescent="0.25">
      <c r="AG4698" s="185"/>
    </row>
    <row r="4699" spans="33:33" x14ac:dyDescent="0.25">
      <c r="AG4699" s="185"/>
    </row>
    <row r="4700" spans="33:33" x14ac:dyDescent="0.25">
      <c r="AG4700" s="185"/>
    </row>
    <row r="4701" spans="33:33" x14ac:dyDescent="0.25">
      <c r="AG4701" s="185"/>
    </row>
    <row r="4702" spans="33:33" x14ac:dyDescent="0.25">
      <c r="AG4702" s="185"/>
    </row>
    <row r="4703" spans="33:33" x14ac:dyDescent="0.25">
      <c r="AG4703" s="185"/>
    </row>
    <row r="4704" spans="33:33" x14ac:dyDescent="0.25">
      <c r="AG4704" s="185"/>
    </row>
    <row r="4705" spans="33:33" x14ac:dyDescent="0.25">
      <c r="AG4705" s="185"/>
    </row>
    <row r="4706" spans="33:33" x14ac:dyDescent="0.25">
      <c r="AG4706" s="185"/>
    </row>
    <row r="4707" spans="33:33" x14ac:dyDescent="0.25">
      <c r="AG4707" s="185"/>
    </row>
    <row r="4708" spans="33:33" x14ac:dyDescent="0.25">
      <c r="AG4708" s="185"/>
    </row>
    <row r="4709" spans="33:33" x14ac:dyDescent="0.25">
      <c r="AG4709" s="185"/>
    </row>
    <row r="4710" spans="33:33" x14ac:dyDescent="0.25">
      <c r="AG4710" s="185"/>
    </row>
    <row r="4711" spans="33:33" x14ac:dyDescent="0.25">
      <c r="AG4711" s="185"/>
    </row>
    <row r="4712" spans="33:33" x14ac:dyDescent="0.25">
      <c r="AG4712" s="185"/>
    </row>
    <row r="4713" spans="33:33" x14ac:dyDescent="0.25">
      <c r="AG4713" s="185"/>
    </row>
    <row r="4714" spans="33:33" x14ac:dyDescent="0.25">
      <c r="AG4714" s="185"/>
    </row>
    <row r="4715" spans="33:33" x14ac:dyDescent="0.25">
      <c r="AG4715" s="185"/>
    </row>
    <row r="4716" spans="33:33" x14ac:dyDescent="0.25">
      <c r="AG4716" s="185"/>
    </row>
    <row r="4717" spans="33:33" x14ac:dyDescent="0.25">
      <c r="AG4717" s="185"/>
    </row>
    <row r="4718" spans="33:33" x14ac:dyDescent="0.25">
      <c r="AG4718" s="185"/>
    </row>
    <row r="4719" spans="33:33" x14ac:dyDescent="0.25">
      <c r="AG4719" s="185"/>
    </row>
    <row r="4720" spans="33:33" x14ac:dyDescent="0.25">
      <c r="AG4720" s="185"/>
    </row>
    <row r="4721" spans="33:33" x14ac:dyDescent="0.25">
      <c r="AG4721" s="185"/>
    </row>
    <row r="4722" spans="33:33" x14ac:dyDescent="0.25">
      <c r="AG4722" s="185"/>
    </row>
    <row r="4723" spans="33:33" x14ac:dyDescent="0.25">
      <c r="AG4723" s="185"/>
    </row>
    <row r="4724" spans="33:33" x14ac:dyDescent="0.25">
      <c r="AG4724" s="185"/>
    </row>
    <row r="4725" spans="33:33" x14ac:dyDescent="0.25">
      <c r="AG4725" s="185"/>
    </row>
    <row r="4726" spans="33:33" x14ac:dyDescent="0.25">
      <c r="AG4726" s="185"/>
    </row>
    <row r="4727" spans="33:33" x14ac:dyDescent="0.25">
      <c r="AG4727" s="185"/>
    </row>
    <row r="4728" spans="33:33" x14ac:dyDescent="0.25">
      <c r="AG4728" s="185"/>
    </row>
    <row r="4729" spans="33:33" x14ac:dyDescent="0.25">
      <c r="AG4729" s="185"/>
    </row>
    <row r="4730" spans="33:33" x14ac:dyDescent="0.25">
      <c r="AG4730" s="185"/>
    </row>
    <row r="4731" spans="33:33" x14ac:dyDescent="0.25">
      <c r="AG4731" s="185"/>
    </row>
    <row r="4732" spans="33:33" x14ac:dyDescent="0.25">
      <c r="AG4732" s="185"/>
    </row>
    <row r="4733" spans="33:33" x14ac:dyDescent="0.25">
      <c r="AG4733" s="185"/>
    </row>
    <row r="4734" spans="33:33" x14ac:dyDescent="0.25">
      <c r="AG4734" s="185"/>
    </row>
    <row r="4735" spans="33:33" x14ac:dyDescent="0.25">
      <c r="AG4735" s="185"/>
    </row>
    <row r="4736" spans="33:33" x14ac:dyDescent="0.25">
      <c r="AG4736" s="185"/>
    </row>
    <row r="4737" spans="33:33" x14ac:dyDescent="0.25">
      <c r="AG4737" s="185"/>
    </row>
    <row r="4738" spans="33:33" x14ac:dyDescent="0.25">
      <c r="AG4738" s="185"/>
    </row>
    <row r="4739" spans="33:33" x14ac:dyDescent="0.25">
      <c r="AG4739" s="185"/>
    </row>
    <row r="4740" spans="33:33" x14ac:dyDescent="0.25">
      <c r="AG4740" s="185"/>
    </row>
    <row r="4741" spans="33:33" x14ac:dyDescent="0.25">
      <c r="AG4741" s="185"/>
    </row>
    <row r="4742" spans="33:33" x14ac:dyDescent="0.25">
      <c r="AG4742" s="185"/>
    </row>
    <row r="4743" spans="33:33" x14ac:dyDescent="0.25">
      <c r="AG4743" s="185"/>
    </row>
    <row r="4744" spans="33:33" x14ac:dyDescent="0.25">
      <c r="AG4744" s="185"/>
    </row>
    <row r="4745" spans="33:33" x14ac:dyDescent="0.25">
      <c r="AG4745" s="185"/>
    </row>
    <row r="4746" spans="33:33" x14ac:dyDescent="0.25">
      <c r="AG4746" s="185"/>
    </row>
    <row r="4747" spans="33:33" x14ac:dyDescent="0.25">
      <c r="AG4747" s="185"/>
    </row>
    <row r="4748" spans="33:33" x14ac:dyDescent="0.25">
      <c r="AG4748" s="185"/>
    </row>
    <row r="4749" spans="33:33" x14ac:dyDescent="0.25">
      <c r="AG4749" s="185"/>
    </row>
    <row r="4750" spans="33:33" x14ac:dyDescent="0.25">
      <c r="AG4750" s="185"/>
    </row>
    <row r="4751" spans="33:33" x14ac:dyDescent="0.25">
      <c r="AG4751" s="185"/>
    </row>
    <row r="4752" spans="33:33" x14ac:dyDescent="0.25">
      <c r="AG4752" s="185"/>
    </row>
    <row r="4753" spans="33:33" x14ac:dyDescent="0.25">
      <c r="AG4753" s="185"/>
    </row>
    <row r="4754" spans="33:33" x14ac:dyDescent="0.25">
      <c r="AG4754" s="185"/>
    </row>
    <row r="4755" spans="33:33" x14ac:dyDescent="0.25">
      <c r="AG4755" s="185"/>
    </row>
    <row r="4756" spans="33:33" x14ac:dyDescent="0.25">
      <c r="AG4756" s="185"/>
    </row>
    <row r="4757" spans="33:33" x14ac:dyDescent="0.25">
      <c r="AG4757" s="185"/>
    </row>
    <row r="4758" spans="33:33" x14ac:dyDescent="0.25">
      <c r="AG4758" s="185"/>
    </row>
    <row r="4759" spans="33:33" x14ac:dyDescent="0.25">
      <c r="AG4759" s="185"/>
    </row>
    <row r="4760" spans="33:33" x14ac:dyDescent="0.25">
      <c r="AG4760" s="185"/>
    </row>
    <row r="4761" spans="33:33" x14ac:dyDescent="0.25">
      <c r="AG4761" s="185"/>
    </row>
    <row r="4762" spans="33:33" x14ac:dyDescent="0.25">
      <c r="AG4762" s="185"/>
    </row>
    <row r="4763" spans="33:33" x14ac:dyDescent="0.25">
      <c r="AG4763" s="185"/>
    </row>
    <row r="4764" spans="33:33" x14ac:dyDescent="0.25">
      <c r="AG4764" s="185"/>
    </row>
    <row r="4765" spans="33:33" x14ac:dyDescent="0.25">
      <c r="AG4765" s="185"/>
    </row>
    <row r="4766" spans="33:33" x14ac:dyDescent="0.25">
      <c r="AG4766" s="185"/>
    </row>
    <row r="4767" spans="33:33" x14ac:dyDescent="0.25">
      <c r="AG4767" s="185"/>
    </row>
    <row r="4768" spans="33:33" x14ac:dyDescent="0.25">
      <c r="AG4768" s="185"/>
    </row>
    <row r="4769" spans="33:33" x14ac:dyDescent="0.25">
      <c r="AG4769" s="185"/>
    </row>
    <row r="4770" spans="33:33" x14ac:dyDescent="0.25">
      <c r="AG4770" s="185"/>
    </row>
    <row r="4771" spans="33:33" x14ac:dyDescent="0.25">
      <c r="AG4771" s="185"/>
    </row>
    <row r="4772" spans="33:33" x14ac:dyDescent="0.25">
      <c r="AG4772" s="185"/>
    </row>
    <row r="4773" spans="33:33" x14ac:dyDescent="0.25">
      <c r="AG4773" s="185"/>
    </row>
    <row r="4774" spans="33:33" x14ac:dyDescent="0.25">
      <c r="AG4774" s="185"/>
    </row>
    <row r="4775" spans="33:33" x14ac:dyDescent="0.25">
      <c r="AG4775" s="185"/>
    </row>
    <row r="4776" spans="33:33" x14ac:dyDescent="0.25">
      <c r="AG4776" s="185"/>
    </row>
    <row r="4777" spans="33:33" x14ac:dyDescent="0.25">
      <c r="AG4777" s="185"/>
    </row>
    <row r="4778" spans="33:33" x14ac:dyDescent="0.25">
      <c r="AG4778" s="185"/>
    </row>
    <row r="4779" spans="33:33" x14ac:dyDescent="0.25">
      <c r="AG4779" s="185"/>
    </row>
    <row r="4780" spans="33:33" x14ac:dyDescent="0.25">
      <c r="AG4780" s="185"/>
    </row>
    <row r="4781" spans="33:33" x14ac:dyDescent="0.25">
      <c r="AG4781" s="185"/>
    </row>
    <row r="4782" spans="33:33" x14ac:dyDescent="0.25">
      <c r="AG4782" s="185"/>
    </row>
    <row r="4783" spans="33:33" x14ac:dyDescent="0.25">
      <c r="AG4783" s="185"/>
    </row>
    <row r="4784" spans="33:33" x14ac:dyDescent="0.25">
      <c r="AG4784" s="185"/>
    </row>
    <row r="4785" spans="33:33" x14ac:dyDescent="0.25">
      <c r="AG4785" s="185"/>
    </row>
    <row r="4786" spans="33:33" x14ac:dyDescent="0.25">
      <c r="AG4786" s="185"/>
    </row>
    <row r="4787" spans="33:33" x14ac:dyDescent="0.25">
      <c r="AG4787" s="185"/>
    </row>
    <row r="4788" spans="33:33" x14ac:dyDescent="0.25">
      <c r="AG4788" s="185"/>
    </row>
    <row r="4789" spans="33:33" x14ac:dyDescent="0.25">
      <c r="AG4789" s="185"/>
    </row>
    <row r="4790" spans="33:33" x14ac:dyDescent="0.25">
      <c r="AG4790" s="185"/>
    </row>
    <row r="4791" spans="33:33" x14ac:dyDescent="0.25">
      <c r="AG4791" s="185"/>
    </row>
    <row r="4792" spans="33:33" x14ac:dyDescent="0.25">
      <c r="AG4792" s="185"/>
    </row>
    <row r="4793" spans="33:33" x14ac:dyDescent="0.25">
      <c r="AG4793" s="185"/>
    </row>
    <row r="4794" spans="33:33" x14ac:dyDescent="0.25">
      <c r="AG4794" s="185"/>
    </row>
    <row r="4795" spans="33:33" x14ac:dyDescent="0.25">
      <c r="AG4795" s="185"/>
    </row>
    <row r="4796" spans="33:33" x14ac:dyDescent="0.25">
      <c r="AG4796" s="185"/>
    </row>
    <row r="4797" spans="33:33" x14ac:dyDescent="0.25">
      <c r="AG4797" s="185"/>
    </row>
    <row r="4798" spans="33:33" x14ac:dyDescent="0.25">
      <c r="AG4798" s="185"/>
    </row>
    <row r="4799" spans="33:33" x14ac:dyDescent="0.25">
      <c r="AG4799" s="185"/>
    </row>
    <row r="4800" spans="33:33" x14ac:dyDescent="0.25">
      <c r="AG4800" s="185"/>
    </row>
    <row r="4801" spans="33:33" x14ac:dyDescent="0.25">
      <c r="AG4801" s="185"/>
    </row>
    <row r="4802" spans="33:33" x14ac:dyDescent="0.25">
      <c r="AG4802" s="185"/>
    </row>
    <row r="4803" spans="33:33" x14ac:dyDescent="0.25">
      <c r="AG4803" s="185"/>
    </row>
    <row r="4804" spans="33:33" x14ac:dyDescent="0.25">
      <c r="AG4804" s="185"/>
    </row>
    <row r="4805" spans="33:33" x14ac:dyDescent="0.25">
      <c r="AG4805" s="185"/>
    </row>
    <row r="4806" spans="33:33" x14ac:dyDescent="0.25">
      <c r="AG4806" s="185"/>
    </row>
    <row r="4807" spans="33:33" x14ac:dyDescent="0.25">
      <c r="AG4807" s="185"/>
    </row>
    <row r="4808" spans="33:33" x14ac:dyDescent="0.25">
      <c r="AG4808" s="185"/>
    </row>
    <row r="4809" spans="33:33" x14ac:dyDescent="0.25">
      <c r="AG4809" s="185"/>
    </row>
    <row r="4810" spans="33:33" x14ac:dyDescent="0.25">
      <c r="AG4810" s="185"/>
    </row>
    <row r="4811" spans="33:33" x14ac:dyDescent="0.25">
      <c r="AG4811" s="185"/>
    </row>
    <row r="4812" spans="33:33" x14ac:dyDescent="0.25">
      <c r="AG4812" s="185"/>
    </row>
    <row r="4813" spans="33:33" x14ac:dyDescent="0.25">
      <c r="AG4813" s="185"/>
    </row>
    <row r="4814" spans="33:33" x14ac:dyDescent="0.25">
      <c r="AG4814" s="185"/>
    </row>
    <row r="4815" spans="33:33" x14ac:dyDescent="0.25">
      <c r="AG4815" s="185"/>
    </row>
    <row r="4816" spans="33:33" x14ac:dyDescent="0.25">
      <c r="AG4816" s="185"/>
    </row>
    <row r="4817" spans="33:33" x14ac:dyDescent="0.25">
      <c r="AG4817" s="185"/>
    </row>
    <row r="4818" spans="33:33" x14ac:dyDescent="0.25">
      <c r="AG4818" s="185"/>
    </row>
    <row r="4819" spans="33:33" x14ac:dyDescent="0.25">
      <c r="AG4819" s="185"/>
    </row>
    <row r="4820" spans="33:33" x14ac:dyDescent="0.25">
      <c r="AG4820" s="185"/>
    </row>
    <row r="4821" spans="33:33" x14ac:dyDescent="0.25">
      <c r="AG4821" s="185"/>
    </row>
    <row r="4822" spans="33:33" x14ac:dyDescent="0.25">
      <c r="AG4822" s="185"/>
    </row>
    <row r="4823" spans="33:33" x14ac:dyDescent="0.25">
      <c r="AG4823" s="185"/>
    </row>
    <row r="4824" spans="33:33" x14ac:dyDescent="0.25">
      <c r="AG4824" s="185"/>
    </row>
    <row r="4825" spans="33:33" x14ac:dyDescent="0.25">
      <c r="AG4825" s="185"/>
    </row>
    <row r="4826" spans="33:33" x14ac:dyDescent="0.25">
      <c r="AG4826" s="185"/>
    </row>
    <row r="4827" spans="33:33" x14ac:dyDescent="0.25">
      <c r="AG4827" s="185"/>
    </row>
    <row r="4828" spans="33:33" x14ac:dyDescent="0.25">
      <c r="AG4828" s="185"/>
    </row>
    <row r="4829" spans="33:33" x14ac:dyDescent="0.25">
      <c r="AG4829" s="185"/>
    </row>
    <row r="4830" spans="33:33" x14ac:dyDescent="0.25">
      <c r="AG4830" s="185"/>
    </row>
    <row r="4831" spans="33:33" x14ac:dyDescent="0.25">
      <c r="AG4831" s="185"/>
    </row>
    <row r="4832" spans="33:33" x14ac:dyDescent="0.25">
      <c r="AG4832" s="185"/>
    </row>
    <row r="4833" spans="33:33" x14ac:dyDescent="0.25">
      <c r="AG4833" s="185"/>
    </row>
    <row r="4834" spans="33:33" x14ac:dyDescent="0.25">
      <c r="AG4834" s="185"/>
    </row>
    <row r="4835" spans="33:33" x14ac:dyDescent="0.25">
      <c r="AG4835" s="185"/>
    </row>
    <row r="4836" spans="33:33" x14ac:dyDescent="0.25">
      <c r="AG4836" s="185"/>
    </row>
    <row r="4837" spans="33:33" x14ac:dyDescent="0.25">
      <c r="AG4837" s="185"/>
    </row>
    <row r="4838" spans="33:33" x14ac:dyDescent="0.25">
      <c r="AG4838" s="185"/>
    </row>
    <row r="4839" spans="33:33" x14ac:dyDescent="0.25">
      <c r="AG4839" s="185"/>
    </row>
    <row r="4840" spans="33:33" x14ac:dyDescent="0.25">
      <c r="AG4840" s="185"/>
    </row>
    <row r="4841" spans="33:33" x14ac:dyDescent="0.25">
      <c r="AG4841" s="185"/>
    </row>
    <row r="4842" spans="33:33" x14ac:dyDescent="0.25">
      <c r="AG4842" s="185"/>
    </row>
    <row r="4843" spans="33:33" x14ac:dyDescent="0.25">
      <c r="AG4843" s="185"/>
    </row>
    <row r="4844" spans="33:33" x14ac:dyDescent="0.25">
      <c r="AG4844" s="185"/>
    </row>
    <row r="4845" spans="33:33" x14ac:dyDescent="0.25">
      <c r="AG4845" s="185"/>
    </row>
    <row r="4846" spans="33:33" x14ac:dyDescent="0.25">
      <c r="AG4846" s="185"/>
    </row>
    <row r="4847" spans="33:33" x14ac:dyDescent="0.25">
      <c r="AG4847" s="185"/>
    </row>
    <row r="4848" spans="33:33" x14ac:dyDescent="0.25">
      <c r="AG4848" s="185"/>
    </row>
    <row r="4849" spans="33:33" x14ac:dyDescent="0.25">
      <c r="AG4849" s="185"/>
    </row>
    <row r="4850" spans="33:33" x14ac:dyDescent="0.25">
      <c r="AG4850" s="185"/>
    </row>
    <row r="4851" spans="33:33" x14ac:dyDescent="0.25">
      <c r="AG4851" s="185"/>
    </row>
    <row r="4852" spans="33:33" x14ac:dyDescent="0.25">
      <c r="AG4852" s="185"/>
    </row>
    <row r="4853" spans="33:33" x14ac:dyDescent="0.25">
      <c r="AG4853" s="185"/>
    </row>
    <row r="4854" spans="33:33" x14ac:dyDescent="0.25">
      <c r="AG4854" s="185"/>
    </row>
    <row r="4855" spans="33:33" x14ac:dyDescent="0.25">
      <c r="AG4855" s="185"/>
    </row>
    <row r="4856" spans="33:33" x14ac:dyDescent="0.25">
      <c r="AG4856" s="185"/>
    </row>
    <row r="4857" spans="33:33" x14ac:dyDescent="0.25">
      <c r="AG4857" s="185"/>
    </row>
    <row r="4858" spans="33:33" x14ac:dyDescent="0.25">
      <c r="AG4858" s="185"/>
    </row>
    <row r="4859" spans="33:33" x14ac:dyDescent="0.25">
      <c r="AG4859" s="185"/>
    </row>
    <row r="4860" spans="33:33" x14ac:dyDescent="0.25">
      <c r="AG4860" s="185"/>
    </row>
    <row r="4861" spans="33:33" x14ac:dyDescent="0.25">
      <c r="AG4861" s="185"/>
    </row>
    <row r="4862" spans="33:33" x14ac:dyDescent="0.25">
      <c r="AG4862" s="185"/>
    </row>
    <row r="4863" spans="33:33" x14ac:dyDescent="0.25">
      <c r="AG4863" s="185"/>
    </row>
    <row r="4864" spans="33:33" x14ac:dyDescent="0.25">
      <c r="AG4864" s="185"/>
    </row>
    <row r="4865" spans="33:33" x14ac:dyDescent="0.25">
      <c r="AG4865" s="185"/>
    </row>
    <row r="4866" spans="33:33" x14ac:dyDescent="0.25">
      <c r="AG4866" s="185"/>
    </row>
    <row r="4867" spans="33:33" x14ac:dyDescent="0.25">
      <c r="AG4867" s="185"/>
    </row>
    <row r="4868" spans="33:33" x14ac:dyDescent="0.25">
      <c r="AG4868" s="185"/>
    </row>
    <row r="4869" spans="33:33" x14ac:dyDescent="0.25">
      <c r="AG4869" s="185"/>
    </row>
    <row r="4870" spans="33:33" x14ac:dyDescent="0.25">
      <c r="AG4870" s="185"/>
    </row>
    <row r="4871" spans="33:33" x14ac:dyDescent="0.25">
      <c r="AG4871" s="185"/>
    </row>
    <row r="4872" spans="33:33" x14ac:dyDescent="0.25">
      <c r="AG4872" s="185"/>
    </row>
    <row r="4873" spans="33:33" x14ac:dyDescent="0.25">
      <c r="AG4873" s="185"/>
    </row>
    <row r="4874" spans="33:33" x14ac:dyDescent="0.25">
      <c r="AG4874" s="185"/>
    </row>
    <row r="4875" spans="33:33" x14ac:dyDescent="0.25">
      <c r="AG4875" s="185"/>
    </row>
    <row r="4876" spans="33:33" x14ac:dyDescent="0.25">
      <c r="AG4876" s="185"/>
    </row>
    <row r="4877" spans="33:33" x14ac:dyDescent="0.25">
      <c r="AG4877" s="185"/>
    </row>
    <row r="4878" spans="33:33" x14ac:dyDescent="0.25">
      <c r="AG4878" s="185"/>
    </row>
    <row r="4879" spans="33:33" x14ac:dyDescent="0.25">
      <c r="AG4879" s="185"/>
    </row>
    <row r="4880" spans="33:33" x14ac:dyDescent="0.25">
      <c r="AG4880" s="185"/>
    </row>
    <row r="4881" spans="33:33" x14ac:dyDescent="0.25">
      <c r="AG4881" s="185"/>
    </row>
    <row r="4882" spans="33:33" x14ac:dyDescent="0.25">
      <c r="AG4882" s="185"/>
    </row>
    <row r="4883" spans="33:33" x14ac:dyDescent="0.25">
      <c r="AG4883" s="185"/>
    </row>
    <row r="4884" spans="33:33" x14ac:dyDescent="0.25">
      <c r="AG4884" s="185"/>
    </row>
    <row r="4885" spans="33:33" x14ac:dyDescent="0.25">
      <c r="AG4885" s="185"/>
    </row>
    <row r="4886" spans="33:33" x14ac:dyDescent="0.25">
      <c r="AG4886" s="185"/>
    </row>
    <row r="4887" spans="33:33" x14ac:dyDescent="0.25">
      <c r="AG4887" s="185"/>
    </row>
    <row r="4888" spans="33:33" x14ac:dyDescent="0.25">
      <c r="AG4888" s="185"/>
    </row>
    <row r="4889" spans="33:33" x14ac:dyDescent="0.25">
      <c r="AG4889" s="185"/>
    </row>
    <row r="4890" spans="33:33" x14ac:dyDescent="0.25">
      <c r="AG4890" s="185"/>
    </row>
    <row r="4891" spans="33:33" x14ac:dyDescent="0.25">
      <c r="AG4891" s="185"/>
    </row>
    <row r="4892" spans="33:33" x14ac:dyDescent="0.25">
      <c r="AG4892" s="185"/>
    </row>
    <row r="4893" spans="33:33" x14ac:dyDescent="0.25">
      <c r="AG4893" s="185"/>
    </row>
    <row r="4894" spans="33:33" x14ac:dyDescent="0.25">
      <c r="AG4894" s="185"/>
    </row>
    <row r="4895" spans="33:33" x14ac:dyDescent="0.25">
      <c r="AG4895" s="185"/>
    </row>
    <row r="4896" spans="33:33" x14ac:dyDescent="0.25">
      <c r="AG4896" s="185"/>
    </row>
    <row r="4897" spans="33:33" x14ac:dyDescent="0.25">
      <c r="AG4897" s="185"/>
    </row>
    <row r="4898" spans="33:33" x14ac:dyDescent="0.25">
      <c r="AG4898" s="185"/>
    </row>
    <row r="4899" spans="33:33" x14ac:dyDescent="0.25">
      <c r="AG4899" s="185"/>
    </row>
    <row r="4900" spans="33:33" x14ac:dyDescent="0.25">
      <c r="AG4900" s="185"/>
    </row>
    <row r="4901" spans="33:33" x14ac:dyDescent="0.25">
      <c r="AG4901" s="185"/>
    </row>
    <row r="4902" spans="33:33" x14ac:dyDescent="0.25">
      <c r="AG4902" s="185"/>
    </row>
    <row r="4903" spans="33:33" x14ac:dyDescent="0.25">
      <c r="AG4903" s="185"/>
    </row>
    <row r="4904" spans="33:33" x14ac:dyDescent="0.25">
      <c r="AG4904" s="185"/>
    </row>
    <row r="4905" spans="33:33" x14ac:dyDescent="0.25">
      <c r="AG4905" s="185"/>
    </row>
    <row r="4906" spans="33:33" x14ac:dyDescent="0.25">
      <c r="AG4906" s="185"/>
    </row>
    <row r="4907" spans="33:33" x14ac:dyDescent="0.25">
      <c r="AG4907" s="185"/>
    </row>
    <row r="4908" spans="33:33" x14ac:dyDescent="0.25">
      <c r="AG4908" s="185"/>
    </row>
    <row r="4909" spans="33:33" x14ac:dyDescent="0.25">
      <c r="AG4909" s="185"/>
    </row>
    <row r="4910" spans="33:33" x14ac:dyDescent="0.25">
      <c r="AG4910" s="185"/>
    </row>
    <row r="4911" spans="33:33" x14ac:dyDescent="0.25">
      <c r="AG4911" s="185"/>
    </row>
    <row r="4912" spans="33:33" x14ac:dyDescent="0.25">
      <c r="AG4912" s="185"/>
    </row>
    <row r="4913" spans="33:33" x14ac:dyDescent="0.25">
      <c r="AG4913" s="185"/>
    </row>
    <row r="4914" spans="33:33" x14ac:dyDescent="0.25">
      <c r="AG4914" s="185"/>
    </row>
    <row r="4915" spans="33:33" x14ac:dyDescent="0.25">
      <c r="AG4915" s="185"/>
    </row>
    <row r="4916" spans="33:33" x14ac:dyDescent="0.25">
      <c r="AG4916" s="185"/>
    </row>
    <row r="4917" spans="33:33" x14ac:dyDescent="0.25">
      <c r="AG4917" s="185"/>
    </row>
    <row r="4918" spans="33:33" x14ac:dyDescent="0.25">
      <c r="AG4918" s="185"/>
    </row>
    <row r="4919" spans="33:33" x14ac:dyDescent="0.25">
      <c r="AG4919" s="185"/>
    </row>
    <row r="4920" spans="33:33" x14ac:dyDescent="0.25">
      <c r="AG4920" s="185"/>
    </row>
    <row r="4921" spans="33:33" x14ac:dyDescent="0.25">
      <c r="AG4921" s="185"/>
    </row>
    <row r="4922" spans="33:33" x14ac:dyDescent="0.25">
      <c r="AG4922" s="185"/>
    </row>
    <row r="4923" spans="33:33" x14ac:dyDescent="0.25">
      <c r="AG4923" s="185"/>
    </row>
    <row r="4924" spans="33:33" x14ac:dyDescent="0.25">
      <c r="AG4924" s="185"/>
    </row>
    <row r="4925" spans="33:33" x14ac:dyDescent="0.25">
      <c r="AG4925" s="185"/>
    </row>
    <row r="4926" spans="33:33" x14ac:dyDescent="0.25">
      <c r="AG4926" s="185"/>
    </row>
    <row r="4927" spans="33:33" x14ac:dyDescent="0.25">
      <c r="AG4927" s="185"/>
    </row>
    <row r="4928" spans="33:33" x14ac:dyDescent="0.25">
      <c r="AG4928" s="185"/>
    </row>
    <row r="4929" spans="33:33" x14ac:dyDescent="0.25">
      <c r="AG4929" s="185"/>
    </row>
    <row r="4930" spans="33:33" x14ac:dyDescent="0.25">
      <c r="AG4930" s="185"/>
    </row>
    <row r="4931" spans="33:33" x14ac:dyDescent="0.25">
      <c r="AG4931" s="185"/>
    </row>
    <row r="4932" spans="33:33" x14ac:dyDescent="0.25">
      <c r="AG4932" s="185"/>
    </row>
    <row r="4933" spans="33:33" x14ac:dyDescent="0.25">
      <c r="AG4933" s="185"/>
    </row>
    <row r="4934" spans="33:33" x14ac:dyDescent="0.25">
      <c r="AG4934" s="185"/>
    </row>
    <row r="4935" spans="33:33" x14ac:dyDescent="0.25">
      <c r="AG4935" s="185"/>
    </row>
    <row r="4936" spans="33:33" x14ac:dyDescent="0.25">
      <c r="AG4936" s="185"/>
    </row>
    <row r="4937" spans="33:33" x14ac:dyDescent="0.25">
      <c r="AG4937" s="185"/>
    </row>
    <row r="4938" spans="33:33" x14ac:dyDescent="0.25">
      <c r="AG4938" s="185"/>
    </row>
    <row r="4939" spans="33:33" x14ac:dyDescent="0.25">
      <c r="AG4939" s="185"/>
    </row>
    <row r="4940" spans="33:33" x14ac:dyDescent="0.25">
      <c r="AG4940" s="185"/>
    </row>
    <row r="4941" spans="33:33" x14ac:dyDescent="0.25">
      <c r="AG4941" s="185"/>
    </row>
    <row r="4942" spans="33:33" x14ac:dyDescent="0.25">
      <c r="AG4942" s="185"/>
    </row>
    <row r="4943" spans="33:33" x14ac:dyDescent="0.25">
      <c r="AG4943" s="185"/>
    </row>
    <row r="4944" spans="33:33" x14ac:dyDescent="0.25">
      <c r="AG4944" s="185"/>
    </row>
    <row r="4945" spans="33:33" x14ac:dyDescent="0.25">
      <c r="AG4945" s="185"/>
    </row>
    <row r="4946" spans="33:33" x14ac:dyDescent="0.25">
      <c r="AG4946" s="185"/>
    </row>
    <row r="4947" spans="33:33" x14ac:dyDescent="0.25">
      <c r="AG4947" s="185"/>
    </row>
    <row r="4948" spans="33:33" x14ac:dyDescent="0.25">
      <c r="AG4948" s="185"/>
    </row>
    <row r="4949" spans="33:33" x14ac:dyDescent="0.25">
      <c r="AG4949" s="185"/>
    </row>
    <row r="4950" spans="33:33" x14ac:dyDescent="0.25">
      <c r="AG4950" s="185"/>
    </row>
    <row r="4951" spans="33:33" x14ac:dyDescent="0.25">
      <c r="AG4951" s="185"/>
    </row>
    <row r="4952" spans="33:33" x14ac:dyDescent="0.25">
      <c r="AG4952" s="185"/>
    </row>
    <row r="4953" spans="33:33" x14ac:dyDescent="0.25">
      <c r="AG4953" s="185"/>
    </row>
    <row r="4954" spans="33:33" x14ac:dyDescent="0.25">
      <c r="AG4954" s="185"/>
    </row>
    <row r="4955" spans="33:33" x14ac:dyDescent="0.25">
      <c r="AG4955" s="185"/>
    </row>
    <row r="4956" spans="33:33" x14ac:dyDescent="0.25">
      <c r="AG4956" s="185"/>
    </row>
    <row r="4957" spans="33:33" x14ac:dyDescent="0.25">
      <c r="AG4957" s="185"/>
    </row>
    <row r="4958" spans="33:33" x14ac:dyDescent="0.25">
      <c r="AG4958" s="185"/>
    </row>
    <row r="4959" spans="33:33" x14ac:dyDescent="0.25">
      <c r="AG4959" s="185"/>
    </row>
    <row r="4960" spans="33:33" x14ac:dyDescent="0.25">
      <c r="AG4960" s="185"/>
    </row>
    <row r="4961" spans="33:33" x14ac:dyDescent="0.25">
      <c r="AG4961" s="185"/>
    </row>
    <row r="4962" spans="33:33" x14ac:dyDescent="0.25">
      <c r="AG4962" s="185"/>
    </row>
    <row r="4963" spans="33:33" x14ac:dyDescent="0.25">
      <c r="AG4963" s="185"/>
    </row>
    <row r="4964" spans="33:33" x14ac:dyDescent="0.25">
      <c r="AG4964" s="185"/>
    </row>
    <row r="4965" spans="33:33" x14ac:dyDescent="0.25">
      <c r="AG4965" s="185"/>
    </row>
    <row r="4966" spans="33:33" x14ac:dyDescent="0.25">
      <c r="AG4966" s="185"/>
    </row>
    <row r="4967" spans="33:33" x14ac:dyDescent="0.25">
      <c r="AG4967" s="185"/>
    </row>
    <row r="4968" spans="33:33" x14ac:dyDescent="0.25">
      <c r="AG4968" s="185"/>
    </row>
    <row r="4969" spans="33:33" x14ac:dyDescent="0.25">
      <c r="AG4969" s="185"/>
    </row>
    <row r="4970" spans="33:33" x14ac:dyDescent="0.25">
      <c r="AG4970" s="185"/>
    </row>
    <row r="4971" spans="33:33" x14ac:dyDescent="0.25">
      <c r="AG4971" s="185"/>
    </row>
    <row r="4972" spans="33:33" x14ac:dyDescent="0.25">
      <c r="AG4972" s="185"/>
    </row>
    <row r="4973" spans="33:33" x14ac:dyDescent="0.25">
      <c r="AG4973" s="185"/>
    </row>
    <row r="4974" spans="33:33" x14ac:dyDescent="0.25">
      <c r="AG4974" s="185"/>
    </row>
    <row r="4975" spans="33:33" x14ac:dyDescent="0.25">
      <c r="AG4975" s="185"/>
    </row>
    <row r="4976" spans="33:33" x14ac:dyDescent="0.25">
      <c r="AG4976" s="185"/>
    </row>
    <row r="4977" spans="33:33" x14ac:dyDescent="0.25">
      <c r="AG4977" s="185"/>
    </row>
    <row r="4978" spans="33:33" x14ac:dyDescent="0.25">
      <c r="AG4978" s="185"/>
    </row>
    <row r="4979" spans="33:33" x14ac:dyDescent="0.25">
      <c r="AG4979" s="185"/>
    </row>
    <row r="4980" spans="33:33" x14ac:dyDescent="0.25">
      <c r="AG4980" s="185"/>
    </row>
    <row r="4981" spans="33:33" x14ac:dyDescent="0.25">
      <c r="AG4981" s="185"/>
    </row>
    <row r="4982" spans="33:33" x14ac:dyDescent="0.25">
      <c r="AG4982" s="185"/>
    </row>
    <row r="4983" spans="33:33" x14ac:dyDescent="0.25">
      <c r="AG4983" s="185"/>
    </row>
    <row r="4984" spans="33:33" x14ac:dyDescent="0.25">
      <c r="AG4984" s="185"/>
    </row>
    <row r="4985" spans="33:33" x14ac:dyDescent="0.25">
      <c r="AG4985" s="185"/>
    </row>
    <row r="4986" spans="33:33" x14ac:dyDescent="0.25">
      <c r="AG4986" s="185"/>
    </row>
    <row r="4987" spans="33:33" x14ac:dyDescent="0.25">
      <c r="AG4987" s="185"/>
    </row>
    <row r="4988" spans="33:33" x14ac:dyDescent="0.25">
      <c r="AG4988" s="185"/>
    </row>
    <row r="4989" spans="33:33" x14ac:dyDescent="0.25">
      <c r="AG4989" s="185"/>
    </row>
    <row r="4990" spans="33:33" x14ac:dyDescent="0.25">
      <c r="AG4990" s="185"/>
    </row>
    <row r="4991" spans="33:33" x14ac:dyDescent="0.25">
      <c r="AG4991" s="185"/>
    </row>
    <row r="4992" spans="33:33" x14ac:dyDescent="0.25">
      <c r="AG4992" s="185"/>
    </row>
    <row r="4993" spans="33:33" x14ac:dyDescent="0.25">
      <c r="AG4993" s="185"/>
    </row>
    <row r="4994" spans="33:33" x14ac:dyDescent="0.25">
      <c r="AG4994" s="185"/>
    </row>
    <row r="4995" spans="33:33" x14ac:dyDescent="0.25">
      <c r="AG4995" s="185"/>
    </row>
    <row r="4996" spans="33:33" x14ac:dyDescent="0.25">
      <c r="AG4996" s="185"/>
    </row>
    <row r="4997" spans="33:33" x14ac:dyDescent="0.25">
      <c r="AG4997" s="185"/>
    </row>
    <row r="4998" spans="33:33" x14ac:dyDescent="0.25">
      <c r="AG4998" s="185"/>
    </row>
    <row r="4999" spans="33:33" x14ac:dyDescent="0.25">
      <c r="AG4999" s="185"/>
    </row>
    <row r="5000" spans="33:33" x14ac:dyDescent="0.25">
      <c r="AG5000" s="185"/>
    </row>
    <row r="5001" spans="33:33" x14ac:dyDescent="0.25">
      <c r="AG5001" s="185"/>
    </row>
    <row r="5002" spans="33:33" x14ac:dyDescent="0.25">
      <c r="AG5002" s="185"/>
    </row>
    <row r="5003" spans="33:33" x14ac:dyDescent="0.25">
      <c r="AG5003" s="185"/>
    </row>
    <row r="5004" spans="33:33" x14ac:dyDescent="0.25">
      <c r="AG5004" s="185"/>
    </row>
    <row r="5005" spans="33:33" x14ac:dyDescent="0.25">
      <c r="AG5005" s="185"/>
    </row>
    <row r="5006" spans="33:33" x14ac:dyDescent="0.25">
      <c r="AG5006" s="185"/>
    </row>
    <row r="5007" spans="33:33" x14ac:dyDescent="0.25">
      <c r="AG5007" s="185"/>
    </row>
    <row r="5008" spans="33:33" x14ac:dyDescent="0.25">
      <c r="AG5008" s="185"/>
    </row>
    <row r="5009" spans="33:33" x14ac:dyDescent="0.25">
      <c r="AG5009" s="185"/>
    </row>
    <row r="5010" spans="33:33" x14ac:dyDescent="0.25">
      <c r="AG5010" s="185"/>
    </row>
    <row r="5011" spans="33:33" x14ac:dyDescent="0.25">
      <c r="AG5011" s="185"/>
    </row>
    <row r="5012" spans="33:33" x14ac:dyDescent="0.25">
      <c r="AG5012" s="185"/>
    </row>
    <row r="5013" spans="33:33" x14ac:dyDescent="0.25">
      <c r="AG5013" s="185"/>
    </row>
    <row r="5014" spans="33:33" x14ac:dyDescent="0.25">
      <c r="AG5014" s="185"/>
    </row>
    <row r="5015" spans="33:33" x14ac:dyDescent="0.25">
      <c r="AG5015" s="185"/>
    </row>
    <row r="5016" spans="33:33" x14ac:dyDescent="0.25">
      <c r="AG5016" s="185"/>
    </row>
    <row r="5017" spans="33:33" x14ac:dyDescent="0.25">
      <c r="AG5017" s="185"/>
    </row>
    <row r="5018" spans="33:33" x14ac:dyDescent="0.25">
      <c r="AG5018" s="185"/>
    </row>
    <row r="5019" spans="33:33" x14ac:dyDescent="0.25">
      <c r="AG5019" s="185"/>
    </row>
    <row r="5020" spans="33:33" x14ac:dyDescent="0.25">
      <c r="AG5020" s="185"/>
    </row>
    <row r="5021" spans="33:33" x14ac:dyDescent="0.25">
      <c r="AG5021" s="185"/>
    </row>
    <row r="5022" spans="33:33" x14ac:dyDescent="0.25">
      <c r="AG5022" s="185"/>
    </row>
    <row r="5023" spans="33:33" x14ac:dyDescent="0.25">
      <c r="AG5023" s="185"/>
    </row>
    <row r="5024" spans="33:33" x14ac:dyDescent="0.25">
      <c r="AG5024" s="185"/>
    </row>
    <row r="5025" spans="33:33" x14ac:dyDescent="0.25">
      <c r="AG5025" s="185"/>
    </row>
    <row r="5026" spans="33:33" x14ac:dyDescent="0.25">
      <c r="AG5026" s="185"/>
    </row>
    <row r="5027" spans="33:33" x14ac:dyDescent="0.25">
      <c r="AG5027" s="185"/>
    </row>
    <row r="5028" spans="33:33" x14ac:dyDescent="0.25">
      <c r="AG5028" s="185"/>
    </row>
    <row r="5029" spans="33:33" x14ac:dyDescent="0.25">
      <c r="AG5029" s="185"/>
    </row>
    <row r="5030" spans="33:33" x14ac:dyDescent="0.25">
      <c r="AG5030" s="185"/>
    </row>
    <row r="5031" spans="33:33" x14ac:dyDescent="0.25">
      <c r="AG5031" s="185"/>
    </row>
    <row r="5032" spans="33:33" x14ac:dyDescent="0.25">
      <c r="AG5032" s="185"/>
    </row>
    <row r="5033" spans="33:33" x14ac:dyDescent="0.25">
      <c r="AG5033" s="185"/>
    </row>
    <row r="5034" spans="33:33" x14ac:dyDescent="0.25">
      <c r="AG5034" s="185"/>
    </row>
    <row r="5035" spans="33:33" x14ac:dyDescent="0.25">
      <c r="AG5035" s="185"/>
    </row>
    <row r="5036" spans="33:33" x14ac:dyDescent="0.25">
      <c r="AG5036" s="185"/>
    </row>
    <row r="5037" spans="33:33" x14ac:dyDescent="0.25">
      <c r="AG5037" s="185"/>
    </row>
    <row r="5038" spans="33:33" x14ac:dyDescent="0.25">
      <c r="AG5038" s="185"/>
    </row>
    <row r="5039" spans="33:33" x14ac:dyDescent="0.25">
      <c r="AG5039" s="185"/>
    </row>
    <row r="5040" spans="33:33" x14ac:dyDescent="0.25">
      <c r="AG5040" s="185"/>
    </row>
    <row r="5041" spans="33:33" x14ac:dyDescent="0.25">
      <c r="AG5041" s="185"/>
    </row>
    <row r="5042" spans="33:33" x14ac:dyDescent="0.25">
      <c r="AG5042" s="185"/>
    </row>
    <row r="5043" spans="33:33" x14ac:dyDescent="0.25">
      <c r="AG5043" s="185"/>
    </row>
    <row r="5044" spans="33:33" x14ac:dyDescent="0.25">
      <c r="AG5044" s="185"/>
    </row>
    <row r="5045" spans="33:33" x14ac:dyDescent="0.25">
      <c r="AG5045" s="185"/>
    </row>
    <row r="5046" spans="33:33" x14ac:dyDescent="0.25">
      <c r="AG5046" s="185"/>
    </row>
    <row r="5047" spans="33:33" x14ac:dyDescent="0.25">
      <c r="AG5047" s="185"/>
    </row>
    <row r="5048" spans="33:33" x14ac:dyDescent="0.25">
      <c r="AG5048" s="185"/>
    </row>
    <row r="5049" spans="33:33" x14ac:dyDescent="0.25">
      <c r="AG5049" s="185"/>
    </row>
    <row r="5050" spans="33:33" x14ac:dyDescent="0.25">
      <c r="AG5050" s="185"/>
    </row>
    <row r="5051" spans="33:33" x14ac:dyDescent="0.25">
      <c r="AG5051" s="185"/>
    </row>
    <row r="5052" spans="33:33" x14ac:dyDescent="0.25">
      <c r="AG5052" s="185"/>
    </row>
    <row r="5053" spans="33:33" x14ac:dyDescent="0.25">
      <c r="AG5053" s="185"/>
    </row>
    <row r="5054" spans="33:33" x14ac:dyDescent="0.25">
      <c r="AG5054" s="185"/>
    </row>
    <row r="5055" spans="33:33" x14ac:dyDescent="0.25">
      <c r="AG5055" s="185"/>
    </row>
    <row r="5056" spans="33:33" x14ac:dyDescent="0.25">
      <c r="AG5056" s="185"/>
    </row>
    <row r="5057" spans="33:33" x14ac:dyDescent="0.25">
      <c r="AG5057" s="185"/>
    </row>
    <row r="5058" spans="33:33" x14ac:dyDescent="0.25">
      <c r="AG5058" s="185"/>
    </row>
    <row r="5059" spans="33:33" x14ac:dyDescent="0.25">
      <c r="AG5059" s="185"/>
    </row>
    <row r="5060" spans="33:33" x14ac:dyDescent="0.25">
      <c r="AG5060" s="185"/>
    </row>
    <row r="5061" spans="33:33" x14ac:dyDescent="0.25">
      <c r="AG5061" s="185"/>
    </row>
    <row r="5062" spans="33:33" x14ac:dyDescent="0.25">
      <c r="AG5062" s="185"/>
    </row>
    <row r="5063" spans="33:33" x14ac:dyDescent="0.25">
      <c r="AG5063" s="185"/>
    </row>
    <row r="5064" spans="33:33" x14ac:dyDescent="0.25">
      <c r="AG5064" s="185"/>
    </row>
    <row r="5065" spans="33:33" x14ac:dyDescent="0.25">
      <c r="AG5065" s="185"/>
    </row>
    <row r="5066" spans="33:33" x14ac:dyDescent="0.25">
      <c r="AG5066" s="185"/>
    </row>
    <row r="5067" spans="33:33" x14ac:dyDescent="0.25">
      <c r="AG5067" s="185"/>
    </row>
    <row r="5068" spans="33:33" x14ac:dyDescent="0.25">
      <c r="AG5068" s="185"/>
    </row>
    <row r="5069" spans="33:33" x14ac:dyDescent="0.25">
      <c r="AG5069" s="185"/>
    </row>
    <row r="5070" spans="33:33" x14ac:dyDescent="0.25">
      <c r="AG5070" s="185"/>
    </row>
    <row r="5071" spans="33:33" x14ac:dyDescent="0.25">
      <c r="AG5071" s="185"/>
    </row>
    <row r="5072" spans="33:33" x14ac:dyDescent="0.25">
      <c r="AG5072" s="185"/>
    </row>
    <row r="5073" spans="33:33" x14ac:dyDescent="0.25">
      <c r="AG5073" s="185"/>
    </row>
    <row r="5074" spans="33:33" x14ac:dyDescent="0.25">
      <c r="AG5074" s="185"/>
    </row>
    <row r="5075" spans="33:33" x14ac:dyDescent="0.25">
      <c r="AG5075" s="185"/>
    </row>
    <row r="5076" spans="33:33" x14ac:dyDescent="0.25">
      <c r="AG5076" s="185"/>
    </row>
    <row r="5077" spans="33:33" x14ac:dyDescent="0.25">
      <c r="AG5077" s="185"/>
    </row>
    <row r="5078" spans="33:33" x14ac:dyDescent="0.25">
      <c r="AG5078" s="185"/>
    </row>
    <row r="5079" spans="33:33" x14ac:dyDescent="0.25">
      <c r="AG5079" s="185"/>
    </row>
    <row r="5080" spans="33:33" x14ac:dyDescent="0.25">
      <c r="AG5080" s="185"/>
    </row>
    <row r="5081" spans="33:33" x14ac:dyDescent="0.25">
      <c r="AG5081" s="185"/>
    </row>
    <row r="5082" spans="33:33" x14ac:dyDescent="0.25">
      <c r="AG5082" s="185"/>
    </row>
    <row r="5083" spans="33:33" x14ac:dyDescent="0.25">
      <c r="AG5083" s="185"/>
    </row>
    <row r="5084" spans="33:33" x14ac:dyDescent="0.25">
      <c r="AG5084" s="185"/>
    </row>
    <row r="5085" spans="33:33" x14ac:dyDescent="0.25">
      <c r="AG5085" s="185"/>
    </row>
    <row r="5086" spans="33:33" x14ac:dyDescent="0.25">
      <c r="AG5086" s="185"/>
    </row>
    <row r="5087" spans="33:33" x14ac:dyDescent="0.25">
      <c r="AG5087" s="185"/>
    </row>
    <row r="5088" spans="33:33" x14ac:dyDescent="0.25">
      <c r="AG5088" s="185"/>
    </row>
    <row r="5089" spans="33:33" x14ac:dyDescent="0.25">
      <c r="AG5089" s="185"/>
    </row>
    <row r="5090" spans="33:33" x14ac:dyDescent="0.25">
      <c r="AG5090" s="185"/>
    </row>
    <row r="5091" spans="33:33" x14ac:dyDescent="0.25">
      <c r="AG5091" s="185"/>
    </row>
    <row r="5092" spans="33:33" x14ac:dyDescent="0.25">
      <c r="AG5092" s="185"/>
    </row>
    <row r="5093" spans="33:33" x14ac:dyDescent="0.25">
      <c r="AG5093" s="185"/>
    </row>
    <row r="5094" spans="33:33" x14ac:dyDescent="0.25">
      <c r="AG5094" s="185"/>
    </row>
    <row r="5095" spans="33:33" x14ac:dyDescent="0.25">
      <c r="AG5095" s="185"/>
    </row>
    <row r="5096" spans="33:33" x14ac:dyDescent="0.25">
      <c r="AG5096" s="185"/>
    </row>
    <row r="5097" spans="33:33" x14ac:dyDescent="0.25">
      <c r="AG5097" s="185"/>
    </row>
    <row r="5098" spans="33:33" x14ac:dyDescent="0.25">
      <c r="AG5098" s="185"/>
    </row>
    <row r="5099" spans="33:33" x14ac:dyDescent="0.25">
      <c r="AG5099" s="185"/>
    </row>
    <row r="5100" spans="33:33" x14ac:dyDescent="0.25">
      <c r="AG5100" s="185"/>
    </row>
    <row r="5101" spans="33:33" x14ac:dyDescent="0.25">
      <c r="AG5101" s="185"/>
    </row>
    <row r="5102" spans="33:33" x14ac:dyDescent="0.25">
      <c r="AG5102" s="185"/>
    </row>
    <row r="5103" spans="33:33" x14ac:dyDescent="0.25">
      <c r="AG5103" s="185"/>
    </row>
    <row r="5104" spans="33:33" x14ac:dyDescent="0.25">
      <c r="AG5104" s="185"/>
    </row>
    <row r="5105" spans="33:33" x14ac:dyDescent="0.25">
      <c r="AG5105" s="185"/>
    </row>
    <row r="5106" spans="33:33" x14ac:dyDescent="0.25">
      <c r="AG5106" s="185"/>
    </row>
    <row r="5107" spans="33:33" x14ac:dyDescent="0.25">
      <c r="AG5107" s="185"/>
    </row>
    <row r="5108" spans="33:33" x14ac:dyDescent="0.25">
      <c r="AG5108" s="185"/>
    </row>
    <row r="5109" spans="33:33" x14ac:dyDescent="0.25">
      <c r="AG5109" s="185"/>
    </row>
    <row r="5110" spans="33:33" x14ac:dyDescent="0.25">
      <c r="AG5110" s="185"/>
    </row>
    <row r="5111" spans="33:33" x14ac:dyDescent="0.25">
      <c r="AG5111" s="185"/>
    </row>
    <row r="5112" spans="33:33" x14ac:dyDescent="0.25">
      <c r="AG5112" s="185"/>
    </row>
    <row r="5113" spans="33:33" x14ac:dyDescent="0.25">
      <c r="AG5113" s="185"/>
    </row>
    <row r="5114" spans="33:33" x14ac:dyDescent="0.25">
      <c r="AG5114" s="185"/>
    </row>
    <row r="5115" spans="33:33" x14ac:dyDescent="0.25">
      <c r="AG5115" s="185"/>
    </row>
    <row r="5116" spans="33:33" x14ac:dyDescent="0.25">
      <c r="AG5116" s="185"/>
    </row>
    <row r="5117" spans="33:33" x14ac:dyDescent="0.25">
      <c r="AG5117" s="185"/>
    </row>
    <row r="5118" spans="33:33" x14ac:dyDescent="0.25">
      <c r="AG5118" s="185"/>
    </row>
    <row r="5119" spans="33:33" x14ac:dyDescent="0.25">
      <c r="AG5119" s="185"/>
    </row>
    <row r="5120" spans="33:33" x14ac:dyDescent="0.25">
      <c r="AG5120" s="185"/>
    </row>
    <row r="5121" spans="33:33" x14ac:dyDescent="0.25">
      <c r="AG5121" s="185"/>
    </row>
    <row r="5122" spans="33:33" x14ac:dyDescent="0.25">
      <c r="AG5122" s="185"/>
    </row>
    <row r="5123" spans="33:33" x14ac:dyDescent="0.25">
      <c r="AG5123" s="185"/>
    </row>
    <row r="5124" spans="33:33" x14ac:dyDescent="0.25">
      <c r="AG5124" s="185"/>
    </row>
    <row r="5125" spans="33:33" x14ac:dyDescent="0.25">
      <c r="AG5125" s="185"/>
    </row>
    <row r="5126" spans="33:33" x14ac:dyDescent="0.25">
      <c r="AG5126" s="185"/>
    </row>
    <row r="5127" spans="33:33" x14ac:dyDescent="0.25">
      <c r="AG5127" s="185"/>
    </row>
    <row r="5128" spans="33:33" x14ac:dyDescent="0.25">
      <c r="AG5128" s="185"/>
    </row>
    <row r="5129" spans="33:33" x14ac:dyDescent="0.25">
      <c r="AG5129" s="185"/>
    </row>
    <row r="5130" spans="33:33" x14ac:dyDescent="0.25">
      <c r="AG5130" s="185"/>
    </row>
    <row r="5131" spans="33:33" x14ac:dyDescent="0.25">
      <c r="AG5131" s="185"/>
    </row>
    <row r="5132" spans="33:33" x14ac:dyDescent="0.25">
      <c r="AG5132" s="185"/>
    </row>
    <row r="5133" spans="33:33" x14ac:dyDescent="0.25">
      <c r="AG5133" s="185"/>
    </row>
    <row r="5134" spans="33:33" x14ac:dyDescent="0.25">
      <c r="AG5134" s="185"/>
    </row>
    <row r="5135" spans="33:33" x14ac:dyDescent="0.25">
      <c r="AG5135" s="185"/>
    </row>
    <row r="5136" spans="33:33" x14ac:dyDescent="0.25">
      <c r="AG5136" s="185"/>
    </row>
    <row r="5137" spans="33:33" x14ac:dyDescent="0.25">
      <c r="AG5137" s="185"/>
    </row>
    <row r="5138" spans="33:33" x14ac:dyDescent="0.25">
      <c r="AG5138" s="185"/>
    </row>
    <row r="5139" spans="33:33" x14ac:dyDescent="0.25">
      <c r="AG5139" s="185"/>
    </row>
    <row r="5140" spans="33:33" x14ac:dyDescent="0.25">
      <c r="AG5140" s="185"/>
    </row>
    <row r="5141" spans="33:33" x14ac:dyDescent="0.25">
      <c r="AG5141" s="185"/>
    </row>
    <row r="5142" spans="33:33" x14ac:dyDescent="0.25">
      <c r="AG5142" s="185"/>
    </row>
    <row r="5143" spans="33:33" x14ac:dyDescent="0.25">
      <c r="AG5143" s="185"/>
    </row>
    <row r="5144" spans="33:33" x14ac:dyDescent="0.25">
      <c r="AG5144" s="185"/>
    </row>
    <row r="5145" spans="33:33" x14ac:dyDescent="0.25">
      <c r="AG5145" s="185"/>
    </row>
    <row r="5146" spans="33:33" x14ac:dyDescent="0.25">
      <c r="AG5146" s="185"/>
    </row>
    <row r="5147" spans="33:33" x14ac:dyDescent="0.25">
      <c r="AG5147" s="185"/>
    </row>
    <row r="5148" spans="33:33" x14ac:dyDescent="0.25">
      <c r="AG5148" s="185"/>
    </row>
    <row r="5149" spans="33:33" x14ac:dyDescent="0.25">
      <c r="AG5149" s="185"/>
    </row>
    <row r="5150" spans="33:33" x14ac:dyDescent="0.25">
      <c r="AG5150" s="185"/>
    </row>
    <row r="5151" spans="33:33" x14ac:dyDescent="0.25">
      <c r="AG5151" s="185"/>
    </row>
    <row r="5152" spans="33:33" x14ac:dyDescent="0.25">
      <c r="AG5152" s="185"/>
    </row>
    <row r="5153" spans="33:33" x14ac:dyDescent="0.25">
      <c r="AG5153" s="185"/>
    </row>
    <row r="5154" spans="33:33" x14ac:dyDescent="0.25">
      <c r="AG5154" s="185"/>
    </row>
    <row r="5155" spans="33:33" x14ac:dyDescent="0.25">
      <c r="AG5155" s="185"/>
    </row>
    <row r="5156" spans="33:33" x14ac:dyDescent="0.25">
      <c r="AG5156" s="185"/>
    </row>
    <row r="5157" spans="33:33" x14ac:dyDescent="0.25">
      <c r="AG5157" s="185"/>
    </row>
    <row r="5158" spans="33:33" x14ac:dyDescent="0.25">
      <c r="AG5158" s="185"/>
    </row>
    <row r="5159" spans="33:33" x14ac:dyDescent="0.25">
      <c r="AG5159" s="185"/>
    </row>
    <row r="5160" spans="33:33" x14ac:dyDescent="0.25">
      <c r="AG5160" s="185"/>
    </row>
    <row r="5161" spans="33:33" x14ac:dyDescent="0.25">
      <c r="AG5161" s="185"/>
    </row>
    <row r="5162" spans="33:33" x14ac:dyDescent="0.25">
      <c r="AG5162" s="185"/>
    </row>
    <row r="5163" spans="33:33" x14ac:dyDescent="0.25">
      <c r="AG5163" s="185"/>
    </row>
    <row r="5164" spans="33:33" x14ac:dyDescent="0.25">
      <c r="AG5164" s="185"/>
    </row>
    <row r="5165" spans="33:33" x14ac:dyDescent="0.25">
      <c r="AG5165" s="185"/>
    </row>
    <row r="5166" spans="33:33" x14ac:dyDescent="0.25">
      <c r="AG5166" s="185"/>
    </row>
    <row r="5167" spans="33:33" x14ac:dyDescent="0.25">
      <c r="AG5167" s="185"/>
    </row>
    <row r="5168" spans="33:33" x14ac:dyDescent="0.25">
      <c r="AG5168" s="185"/>
    </row>
    <row r="5169" spans="33:33" x14ac:dyDescent="0.25">
      <c r="AG5169" s="185"/>
    </row>
    <row r="5170" spans="33:33" x14ac:dyDescent="0.25">
      <c r="AG5170" s="185"/>
    </row>
    <row r="5171" spans="33:33" x14ac:dyDescent="0.25">
      <c r="AG5171" s="185"/>
    </row>
    <row r="5172" spans="33:33" x14ac:dyDescent="0.25">
      <c r="AG5172" s="185"/>
    </row>
    <row r="5173" spans="33:33" x14ac:dyDescent="0.25">
      <c r="AG5173" s="185"/>
    </row>
    <row r="5174" spans="33:33" x14ac:dyDescent="0.25">
      <c r="AG5174" s="185"/>
    </row>
    <row r="5175" spans="33:33" x14ac:dyDescent="0.25">
      <c r="AG5175" s="185"/>
    </row>
    <row r="5176" spans="33:33" x14ac:dyDescent="0.25">
      <c r="AG5176" s="185"/>
    </row>
    <row r="5177" spans="33:33" x14ac:dyDescent="0.25">
      <c r="AG5177" s="185"/>
    </row>
    <row r="5178" spans="33:33" x14ac:dyDescent="0.25">
      <c r="AG5178" s="185"/>
    </row>
    <row r="5179" spans="33:33" x14ac:dyDescent="0.25">
      <c r="AG5179" s="185"/>
    </row>
    <row r="5180" spans="33:33" x14ac:dyDescent="0.25">
      <c r="AG5180" s="185"/>
    </row>
    <row r="5181" spans="33:33" x14ac:dyDescent="0.25">
      <c r="AG5181" s="185"/>
    </row>
    <row r="5182" spans="33:33" x14ac:dyDescent="0.25">
      <c r="AG5182" s="185"/>
    </row>
    <row r="5183" spans="33:33" x14ac:dyDescent="0.25">
      <c r="AG5183" s="185"/>
    </row>
    <row r="5184" spans="33:33" x14ac:dyDescent="0.25">
      <c r="AG5184" s="185"/>
    </row>
    <row r="5185" spans="33:33" x14ac:dyDescent="0.25">
      <c r="AG5185" s="185"/>
    </row>
    <row r="5186" spans="33:33" x14ac:dyDescent="0.25">
      <c r="AG5186" s="185"/>
    </row>
    <row r="5187" spans="33:33" x14ac:dyDescent="0.25">
      <c r="AG5187" s="185"/>
    </row>
    <row r="5188" spans="33:33" x14ac:dyDescent="0.25">
      <c r="AG5188" s="185"/>
    </row>
    <row r="5189" spans="33:33" x14ac:dyDescent="0.25">
      <c r="AG5189" s="185"/>
    </row>
    <row r="5190" spans="33:33" x14ac:dyDescent="0.25">
      <c r="AG5190" s="185"/>
    </row>
    <row r="5191" spans="33:33" x14ac:dyDescent="0.25">
      <c r="AG5191" s="185"/>
    </row>
    <row r="5192" spans="33:33" x14ac:dyDescent="0.25">
      <c r="AG5192" s="185"/>
    </row>
    <row r="5193" spans="33:33" x14ac:dyDescent="0.25">
      <c r="AG5193" s="185"/>
    </row>
    <row r="5194" spans="33:33" x14ac:dyDescent="0.25">
      <c r="AG5194" s="185"/>
    </row>
    <row r="5195" spans="33:33" x14ac:dyDescent="0.25">
      <c r="AG5195" s="185"/>
    </row>
    <row r="5196" spans="33:33" x14ac:dyDescent="0.25">
      <c r="AG5196" s="185"/>
    </row>
    <row r="5197" spans="33:33" x14ac:dyDescent="0.25">
      <c r="AG5197" s="185"/>
    </row>
    <row r="5198" spans="33:33" x14ac:dyDescent="0.25">
      <c r="AG5198" s="185"/>
    </row>
    <row r="5199" spans="33:33" x14ac:dyDescent="0.25">
      <c r="AG5199" s="185"/>
    </row>
    <row r="5200" spans="33:33" x14ac:dyDescent="0.25">
      <c r="AG5200" s="185"/>
    </row>
    <row r="5201" spans="33:33" x14ac:dyDescent="0.25">
      <c r="AG5201" s="185"/>
    </row>
    <row r="5202" spans="33:33" x14ac:dyDescent="0.25">
      <c r="AG5202" s="185"/>
    </row>
    <row r="5203" spans="33:33" x14ac:dyDescent="0.25">
      <c r="AG5203" s="185"/>
    </row>
    <row r="5204" spans="33:33" x14ac:dyDescent="0.25">
      <c r="AG5204" s="185"/>
    </row>
    <row r="5205" spans="33:33" x14ac:dyDescent="0.25">
      <c r="AG5205" s="185"/>
    </row>
    <row r="5206" spans="33:33" x14ac:dyDescent="0.25">
      <c r="AG5206" s="185"/>
    </row>
    <row r="5207" spans="33:33" x14ac:dyDescent="0.25">
      <c r="AG5207" s="185"/>
    </row>
    <row r="5208" spans="33:33" x14ac:dyDescent="0.25">
      <c r="AG5208" s="185"/>
    </row>
    <row r="5209" spans="33:33" x14ac:dyDescent="0.25">
      <c r="AG5209" s="185"/>
    </row>
    <row r="5210" spans="33:33" x14ac:dyDescent="0.25">
      <c r="AG5210" s="185"/>
    </row>
    <row r="5211" spans="33:33" x14ac:dyDescent="0.25">
      <c r="AG5211" s="185"/>
    </row>
    <row r="5212" spans="33:33" x14ac:dyDescent="0.25">
      <c r="AG5212" s="185"/>
    </row>
    <row r="5213" spans="33:33" x14ac:dyDescent="0.25">
      <c r="AG5213" s="185"/>
    </row>
    <row r="5214" spans="33:33" x14ac:dyDescent="0.25">
      <c r="AG5214" s="185"/>
    </row>
    <row r="5215" spans="33:33" x14ac:dyDescent="0.25">
      <c r="AG5215" s="185"/>
    </row>
    <row r="5216" spans="33:33" x14ac:dyDescent="0.25">
      <c r="AG5216" s="185"/>
    </row>
    <row r="5217" spans="33:33" x14ac:dyDescent="0.25">
      <c r="AG5217" s="185"/>
    </row>
    <row r="5218" spans="33:33" x14ac:dyDescent="0.25">
      <c r="AG5218" s="185"/>
    </row>
    <row r="5219" spans="33:33" x14ac:dyDescent="0.25">
      <c r="AG5219" s="185"/>
    </row>
    <row r="5220" spans="33:33" x14ac:dyDescent="0.25">
      <c r="AG5220" s="185"/>
    </row>
    <row r="5221" spans="33:33" x14ac:dyDescent="0.25">
      <c r="AG5221" s="185"/>
    </row>
    <row r="5222" spans="33:33" x14ac:dyDescent="0.25">
      <c r="AG5222" s="185"/>
    </row>
    <row r="5223" spans="33:33" x14ac:dyDescent="0.25">
      <c r="AG5223" s="185"/>
    </row>
    <row r="5224" spans="33:33" x14ac:dyDescent="0.25">
      <c r="AG5224" s="185"/>
    </row>
    <row r="5225" spans="33:33" x14ac:dyDescent="0.25">
      <c r="AG5225" s="185"/>
    </row>
    <row r="5226" spans="33:33" x14ac:dyDescent="0.25">
      <c r="AG5226" s="185"/>
    </row>
    <row r="5227" spans="33:33" x14ac:dyDescent="0.25">
      <c r="AG5227" s="185"/>
    </row>
    <row r="5228" spans="33:33" x14ac:dyDescent="0.25">
      <c r="AG5228" s="185"/>
    </row>
    <row r="5229" spans="33:33" x14ac:dyDescent="0.25">
      <c r="AG5229" s="185"/>
    </row>
    <row r="5230" spans="33:33" x14ac:dyDescent="0.25">
      <c r="AG5230" s="185"/>
    </row>
    <row r="5231" spans="33:33" x14ac:dyDescent="0.25">
      <c r="AG5231" s="185"/>
    </row>
    <row r="5232" spans="33:33" x14ac:dyDescent="0.25">
      <c r="AG5232" s="185"/>
    </row>
    <row r="5233" spans="33:33" x14ac:dyDescent="0.25">
      <c r="AG5233" s="185"/>
    </row>
    <row r="5234" spans="33:33" x14ac:dyDescent="0.25">
      <c r="AG5234" s="185"/>
    </row>
    <row r="5235" spans="33:33" x14ac:dyDescent="0.25">
      <c r="AG5235" s="185"/>
    </row>
    <row r="5236" spans="33:33" x14ac:dyDescent="0.25">
      <c r="AG5236" s="185"/>
    </row>
    <row r="5237" spans="33:33" x14ac:dyDescent="0.25">
      <c r="AG5237" s="185"/>
    </row>
    <row r="5238" spans="33:33" x14ac:dyDescent="0.25">
      <c r="AG5238" s="185"/>
    </row>
    <row r="5239" spans="33:33" x14ac:dyDescent="0.25">
      <c r="AG5239" s="185"/>
    </row>
    <row r="5240" spans="33:33" x14ac:dyDescent="0.25">
      <c r="AG5240" s="185"/>
    </row>
    <row r="5241" spans="33:33" x14ac:dyDescent="0.25">
      <c r="AG5241" s="185"/>
    </row>
    <row r="5242" spans="33:33" x14ac:dyDescent="0.25">
      <c r="AG5242" s="185"/>
    </row>
    <row r="5243" spans="33:33" x14ac:dyDescent="0.25">
      <c r="AG5243" s="185"/>
    </row>
    <row r="5244" spans="33:33" x14ac:dyDescent="0.25">
      <c r="AG5244" s="185"/>
    </row>
    <row r="5245" spans="33:33" x14ac:dyDescent="0.25">
      <c r="AG5245" s="185"/>
    </row>
    <row r="5246" spans="33:33" x14ac:dyDescent="0.25">
      <c r="AG5246" s="185"/>
    </row>
    <row r="5247" spans="33:33" x14ac:dyDescent="0.25">
      <c r="AG5247" s="185"/>
    </row>
    <row r="5248" spans="33:33" x14ac:dyDescent="0.25">
      <c r="AG5248" s="185"/>
    </row>
    <row r="5249" spans="33:33" x14ac:dyDescent="0.25">
      <c r="AG5249" s="185"/>
    </row>
    <row r="5250" spans="33:33" x14ac:dyDescent="0.25">
      <c r="AG5250" s="185"/>
    </row>
    <row r="5251" spans="33:33" x14ac:dyDescent="0.25">
      <c r="AG5251" s="185"/>
    </row>
    <row r="5252" spans="33:33" x14ac:dyDescent="0.25">
      <c r="AG5252" s="185"/>
    </row>
    <row r="5253" spans="33:33" x14ac:dyDescent="0.25">
      <c r="AG5253" s="185"/>
    </row>
    <row r="5254" spans="33:33" x14ac:dyDescent="0.25">
      <c r="AG5254" s="185"/>
    </row>
    <row r="5255" spans="33:33" x14ac:dyDescent="0.25">
      <c r="AG5255" s="185"/>
    </row>
    <row r="5256" spans="33:33" x14ac:dyDescent="0.25">
      <c r="AG5256" s="185"/>
    </row>
    <row r="5257" spans="33:33" x14ac:dyDescent="0.25">
      <c r="AG5257" s="185"/>
    </row>
    <row r="5258" spans="33:33" x14ac:dyDescent="0.25">
      <c r="AG5258" s="185"/>
    </row>
    <row r="5259" spans="33:33" x14ac:dyDescent="0.25">
      <c r="AG5259" s="185"/>
    </row>
    <row r="5260" spans="33:33" x14ac:dyDescent="0.25">
      <c r="AG5260" s="185"/>
    </row>
    <row r="5261" spans="33:33" x14ac:dyDescent="0.25">
      <c r="AG5261" s="185"/>
    </row>
    <row r="5262" spans="33:33" x14ac:dyDescent="0.25">
      <c r="AG5262" s="185"/>
    </row>
    <row r="5263" spans="33:33" x14ac:dyDescent="0.25">
      <c r="AG5263" s="185"/>
    </row>
    <row r="5264" spans="33:33" x14ac:dyDescent="0.25">
      <c r="AG5264" s="185"/>
    </row>
    <row r="5265" spans="33:33" x14ac:dyDescent="0.25">
      <c r="AG5265" s="185"/>
    </row>
    <row r="5266" spans="33:33" x14ac:dyDescent="0.25">
      <c r="AG5266" s="185"/>
    </row>
    <row r="5267" spans="33:33" x14ac:dyDescent="0.25">
      <c r="AG5267" s="185"/>
    </row>
    <row r="5268" spans="33:33" x14ac:dyDescent="0.25">
      <c r="AG5268" s="185"/>
    </row>
    <row r="5269" spans="33:33" x14ac:dyDescent="0.25">
      <c r="AG5269" s="185"/>
    </row>
    <row r="5270" spans="33:33" x14ac:dyDescent="0.25">
      <c r="AG5270" s="185"/>
    </row>
    <row r="5271" spans="33:33" x14ac:dyDescent="0.25">
      <c r="AG5271" s="185"/>
    </row>
    <row r="5272" spans="33:33" x14ac:dyDescent="0.25">
      <c r="AG5272" s="185"/>
    </row>
    <row r="5273" spans="33:33" x14ac:dyDescent="0.25">
      <c r="AG5273" s="185"/>
    </row>
    <row r="5274" spans="33:33" x14ac:dyDescent="0.25">
      <c r="AG5274" s="185"/>
    </row>
    <row r="5275" spans="33:33" x14ac:dyDescent="0.25">
      <c r="AG5275" s="185"/>
    </row>
    <row r="5276" spans="33:33" x14ac:dyDescent="0.25">
      <c r="AG5276" s="185"/>
    </row>
    <row r="5277" spans="33:33" x14ac:dyDescent="0.25">
      <c r="AG5277" s="185"/>
    </row>
    <row r="5278" spans="33:33" x14ac:dyDescent="0.25">
      <c r="AG5278" s="185"/>
    </row>
    <row r="5279" spans="33:33" x14ac:dyDescent="0.25">
      <c r="AG5279" s="185"/>
    </row>
    <row r="5280" spans="33:33" x14ac:dyDescent="0.25">
      <c r="AG5280" s="185"/>
    </row>
    <row r="5281" spans="33:33" x14ac:dyDescent="0.25">
      <c r="AG5281" s="185"/>
    </row>
    <row r="5282" spans="33:33" x14ac:dyDescent="0.25">
      <c r="AG5282" s="185"/>
    </row>
    <row r="5283" spans="33:33" x14ac:dyDescent="0.25">
      <c r="AG5283" s="185"/>
    </row>
    <row r="5284" spans="33:33" x14ac:dyDescent="0.25">
      <c r="AG5284" s="185"/>
    </row>
    <row r="5285" spans="33:33" x14ac:dyDescent="0.25">
      <c r="AG5285" s="185"/>
    </row>
    <row r="5286" spans="33:33" x14ac:dyDescent="0.25">
      <c r="AG5286" s="185"/>
    </row>
    <row r="5287" spans="33:33" x14ac:dyDescent="0.25">
      <c r="AG5287" s="185"/>
    </row>
    <row r="5288" spans="33:33" x14ac:dyDescent="0.25">
      <c r="AG5288" s="185"/>
    </row>
    <row r="5289" spans="33:33" x14ac:dyDescent="0.25">
      <c r="AG5289" s="185"/>
    </row>
    <row r="5290" spans="33:33" x14ac:dyDescent="0.25">
      <c r="AG5290" s="185"/>
    </row>
    <row r="5291" spans="33:33" x14ac:dyDescent="0.25">
      <c r="AG5291" s="185"/>
    </row>
    <row r="5292" spans="33:33" x14ac:dyDescent="0.25">
      <c r="AG5292" s="185"/>
    </row>
    <row r="5293" spans="33:33" x14ac:dyDescent="0.25">
      <c r="AG5293" s="185"/>
    </row>
    <row r="5294" spans="33:33" x14ac:dyDescent="0.25">
      <c r="AG5294" s="185"/>
    </row>
    <row r="5295" spans="33:33" x14ac:dyDescent="0.25">
      <c r="AG5295" s="185"/>
    </row>
    <row r="5296" spans="33:33" x14ac:dyDescent="0.25">
      <c r="AG5296" s="185"/>
    </row>
    <row r="5297" spans="33:33" x14ac:dyDescent="0.25">
      <c r="AG5297" s="185"/>
    </row>
    <row r="5298" spans="33:33" x14ac:dyDescent="0.25">
      <c r="AG5298" s="185"/>
    </row>
    <row r="5299" spans="33:33" x14ac:dyDescent="0.25">
      <c r="AG5299" s="185"/>
    </row>
    <row r="5300" spans="33:33" x14ac:dyDescent="0.25">
      <c r="AG5300" s="185"/>
    </row>
    <row r="5301" spans="33:33" x14ac:dyDescent="0.25">
      <c r="AG5301" s="185"/>
    </row>
    <row r="5302" spans="33:33" x14ac:dyDescent="0.25">
      <c r="AG5302" s="185"/>
    </row>
    <row r="5303" spans="33:33" x14ac:dyDescent="0.25">
      <c r="AG5303" s="185"/>
    </row>
    <row r="5304" spans="33:33" x14ac:dyDescent="0.25">
      <c r="AG5304" s="185"/>
    </row>
    <row r="5305" spans="33:33" x14ac:dyDescent="0.25">
      <c r="AG5305" s="185"/>
    </row>
    <row r="5306" spans="33:33" x14ac:dyDescent="0.25">
      <c r="AG5306" s="185"/>
    </row>
    <row r="5307" spans="33:33" x14ac:dyDescent="0.25">
      <c r="AG5307" s="185"/>
    </row>
    <row r="5308" spans="33:33" x14ac:dyDescent="0.25">
      <c r="AG5308" s="185"/>
    </row>
    <row r="5309" spans="33:33" x14ac:dyDescent="0.25">
      <c r="AG5309" s="185"/>
    </row>
    <row r="5310" spans="33:33" x14ac:dyDescent="0.25">
      <c r="AG5310" s="185"/>
    </row>
    <row r="5311" spans="33:33" x14ac:dyDescent="0.25">
      <c r="AG5311" s="185"/>
    </row>
    <row r="5312" spans="33:33" x14ac:dyDescent="0.25">
      <c r="AG5312" s="185"/>
    </row>
    <row r="5313" spans="33:33" x14ac:dyDescent="0.25">
      <c r="AG5313" s="185"/>
    </row>
    <row r="5314" spans="33:33" x14ac:dyDescent="0.25">
      <c r="AG5314" s="185"/>
    </row>
    <row r="5315" spans="33:33" x14ac:dyDescent="0.25">
      <c r="AG5315" s="185"/>
    </row>
    <row r="5316" spans="33:33" x14ac:dyDescent="0.25">
      <c r="AG5316" s="185"/>
    </row>
    <row r="5317" spans="33:33" x14ac:dyDescent="0.25">
      <c r="AG5317" s="185"/>
    </row>
    <row r="5318" spans="33:33" x14ac:dyDescent="0.25">
      <c r="AG5318" s="185"/>
    </row>
    <row r="5319" spans="33:33" x14ac:dyDescent="0.25">
      <c r="AG5319" s="185"/>
    </row>
    <row r="5320" spans="33:33" x14ac:dyDescent="0.25">
      <c r="AG5320" s="185"/>
    </row>
    <row r="5321" spans="33:33" x14ac:dyDescent="0.25">
      <c r="AG5321" s="185"/>
    </row>
    <row r="5322" spans="33:33" x14ac:dyDescent="0.25">
      <c r="AG5322" s="185"/>
    </row>
    <row r="5323" spans="33:33" x14ac:dyDescent="0.25">
      <c r="AG5323" s="185"/>
    </row>
    <row r="5324" spans="33:33" x14ac:dyDescent="0.25">
      <c r="AG5324" s="185"/>
    </row>
    <row r="5325" spans="33:33" x14ac:dyDescent="0.25">
      <c r="AG5325" s="185"/>
    </row>
    <row r="5326" spans="33:33" x14ac:dyDescent="0.25">
      <c r="AG5326" s="185"/>
    </row>
    <row r="5327" spans="33:33" x14ac:dyDescent="0.25">
      <c r="AG5327" s="185"/>
    </row>
    <row r="5328" spans="33:33" x14ac:dyDescent="0.25">
      <c r="AG5328" s="185"/>
    </row>
    <row r="5329" spans="33:33" x14ac:dyDescent="0.25">
      <c r="AG5329" s="185"/>
    </row>
    <row r="5330" spans="33:33" x14ac:dyDescent="0.25">
      <c r="AG5330" s="185"/>
    </row>
    <row r="5331" spans="33:33" x14ac:dyDescent="0.25">
      <c r="AG5331" s="185"/>
    </row>
    <row r="5332" spans="33:33" x14ac:dyDescent="0.25">
      <c r="AG5332" s="185"/>
    </row>
    <row r="5333" spans="33:33" x14ac:dyDescent="0.25">
      <c r="AG5333" s="185"/>
    </row>
    <row r="5334" spans="33:33" x14ac:dyDescent="0.25">
      <c r="AG5334" s="185"/>
    </row>
    <row r="5335" spans="33:33" x14ac:dyDescent="0.25">
      <c r="AG5335" s="185"/>
    </row>
    <row r="5336" spans="33:33" x14ac:dyDescent="0.25">
      <c r="AG5336" s="185"/>
    </row>
    <row r="5337" spans="33:33" x14ac:dyDescent="0.25">
      <c r="AG5337" s="185"/>
    </row>
    <row r="5338" spans="33:33" x14ac:dyDescent="0.25">
      <c r="AG5338" s="185"/>
    </row>
    <row r="5339" spans="33:33" x14ac:dyDescent="0.25">
      <c r="AG5339" s="185"/>
    </row>
    <row r="5340" spans="33:33" x14ac:dyDescent="0.25">
      <c r="AG5340" s="185"/>
    </row>
    <row r="5341" spans="33:33" x14ac:dyDescent="0.25">
      <c r="AG5341" s="185"/>
    </row>
    <row r="5342" spans="33:33" x14ac:dyDescent="0.25">
      <c r="AG5342" s="185"/>
    </row>
    <row r="5343" spans="33:33" x14ac:dyDescent="0.25">
      <c r="AG5343" s="185"/>
    </row>
    <row r="5344" spans="33:33" x14ac:dyDescent="0.25">
      <c r="AG5344" s="185"/>
    </row>
    <row r="5345" spans="33:33" x14ac:dyDescent="0.25">
      <c r="AG5345" s="185"/>
    </row>
    <row r="5346" spans="33:33" x14ac:dyDescent="0.25">
      <c r="AG5346" s="185"/>
    </row>
    <row r="5347" spans="33:33" x14ac:dyDescent="0.25">
      <c r="AG5347" s="185"/>
    </row>
    <row r="5348" spans="33:33" x14ac:dyDescent="0.25">
      <c r="AG5348" s="185"/>
    </row>
    <row r="5349" spans="33:33" x14ac:dyDescent="0.25">
      <c r="AG5349" s="185"/>
    </row>
    <row r="5350" spans="33:33" x14ac:dyDescent="0.25">
      <c r="AG5350" s="185"/>
    </row>
    <row r="5351" spans="33:33" x14ac:dyDescent="0.25">
      <c r="AG5351" s="185"/>
    </row>
    <row r="5352" spans="33:33" x14ac:dyDescent="0.25">
      <c r="AG5352" s="185"/>
    </row>
    <row r="5353" spans="33:33" x14ac:dyDescent="0.25">
      <c r="AG5353" s="185"/>
    </row>
    <row r="5354" spans="33:33" x14ac:dyDescent="0.25">
      <c r="AG5354" s="185"/>
    </row>
    <row r="5355" spans="33:33" x14ac:dyDescent="0.25">
      <c r="AG5355" s="185"/>
    </row>
    <row r="5356" spans="33:33" x14ac:dyDescent="0.25">
      <c r="AG5356" s="185"/>
    </row>
    <row r="5357" spans="33:33" x14ac:dyDescent="0.25">
      <c r="AG5357" s="185"/>
    </row>
    <row r="5358" spans="33:33" x14ac:dyDescent="0.25">
      <c r="AG5358" s="185"/>
    </row>
    <row r="5359" spans="33:33" x14ac:dyDescent="0.25">
      <c r="AG5359" s="185"/>
    </row>
    <row r="5360" spans="33:33" x14ac:dyDescent="0.25">
      <c r="AG5360" s="185"/>
    </row>
    <row r="5361" spans="33:33" x14ac:dyDescent="0.25">
      <c r="AG5361" s="185"/>
    </row>
    <row r="5362" spans="33:33" x14ac:dyDescent="0.25">
      <c r="AG5362" s="185"/>
    </row>
    <row r="5363" spans="33:33" x14ac:dyDescent="0.25">
      <c r="AG5363" s="185"/>
    </row>
    <row r="5364" spans="33:33" x14ac:dyDescent="0.25">
      <c r="AG5364" s="185"/>
    </row>
    <row r="5365" spans="33:33" x14ac:dyDescent="0.25">
      <c r="AG5365" s="185"/>
    </row>
    <row r="5366" spans="33:33" x14ac:dyDescent="0.25">
      <c r="AG5366" s="185"/>
    </row>
    <row r="5367" spans="33:33" x14ac:dyDescent="0.25">
      <c r="AG5367" s="185"/>
    </row>
    <row r="5368" spans="33:33" x14ac:dyDescent="0.25">
      <c r="AG5368" s="185"/>
    </row>
    <row r="5369" spans="33:33" x14ac:dyDescent="0.25">
      <c r="AG5369" s="185"/>
    </row>
    <row r="5370" spans="33:33" x14ac:dyDescent="0.25">
      <c r="AG5370" s="185"/>
    </row>
    <row r="5371" spans="33:33" x14ac:dyDescent="0.25">
      <c r="AG5371" s="185"/>
    </row>
    <row r="5372" spans="33:33" x14ac:dyDescent="0.25">
      <c r="AG5372" s="185"/>
    </row>
    <row r="5373" spans="33:33" x14ac:dyDescent="0.25">
      <c r="AG5373" s="185"/>
    </row>
    <row r="5374" spans="33:33" x14ac:dyDescent="0.25">
      <c r="AG5374" s="185"/>
    </row>
    <row r="5375" spans="33:33" x14ac:dyDescent="0.25">
      <c r="AG5375" s="185"/>
    </row>
    <row r="5376" spans="33:33" x14ac:dyDescent="0.25">
      <c r="AG5376" s="185"/>
    </row>
    <row r="5377" spans="33:33" x14ac:dyDescent="0.25">
      <c r="AG5377" s="185"/>
    </row>
    <row r="5378" spans="33:33" x14ac:dyDescent="0.25">
      <c r="AG5378" s="185"/>
    </row>
    <row r="5379" spans="33:33" x14ac:dyDescent="0.25">
      <c r="AG5379" s="185"/>
    </row>
    <row r="5380" spans="33:33" x14ac:dyDescent="0.25">
      <c r="AG5380" s="185"/>
    </row>
    <row r="5381" spans="33:33" x14ac:dyDescent="0.25">
      <c r="AG5381" s="185"/>
    </row>
    <row r="5382" spans="33:33" x14ac:dyDescent="0.25">
      <c r="AG5382" s="185"/>
    </row>
    <row r="5383" spans="33:33" x14ac:dyDescent="0.25">
      <c r="AG5383" s="185"/>
    </row>
    <row r="5384" spans="33:33" x14ac:dyDescent="0.25">
      <c r="AG5384" s="185"/>
    </row>
    <row r="5385" spans="33:33" x14ac:dyDescent="0.25">
      <c r="AG5385" s="185"/>
    </row>
    <row r="5386" spans="33:33" x14ac:dyDescent="0.25">
      <c r="AG5386" s="185"/>
    </row>
    <row r="5387" spans="33:33" x14ac:dyDescent="0.25">
      <c r="AG5387" s="185"/>
    </row>
    <row r="5388" spans="33:33" x14ac:dyDescent="0.25">
      <c r="AG5388" s="185"/>
    </row>
    <row r="5389" spans="33:33" x14ac:dyDescent="0.25">
      <c r="AG5389" s="185"/>
    </row>
    <row r="5390" spans="33:33" x14ac:dyDescent="0.25">
      <c r="AG5390" s="185"/>
    </row>
    <row r="5391" spans="33:33" x14ac:dyDescent="0.25">
      <c r="AG5391" s="185"/>
    </row>
    <row r="5392" spans="33:33" x14ac:dyDescent="0.25">
      <c r="AG5392" s="185"/>
    </row>
    <row r="5393" spans="33:33" x14ac:dyDescent="0.25">
      <c r="AG5393" s="185"/>
    </row>
    <row r="5394" spans="33:33" x14ac:dyDescent="0.25">
      <c r="AG5394" s="185"/>
    </row>
    <row r="5395" spans="33:33" x14ac:dyDescent="0.25">
      <c r="AG5395" s="185"/>
    </row>
    <row r="5396" spans="33:33" x14ac:dyDescent="0.25">
      <c r="AG5396" s="185"/>
    </row>
    <row r="5397" spans="33:33" x14ac:dyDescent="0.25">
      <c r="AG5397" s="185"/>
    </row>
    <row r="5398" spans="33:33" x14ac:dyDescent="0.25">
      <c r="AG5398" s="185"/>
    </row>
    <row r="5399" spans="33:33" x14ac:dyDescent="0.25">
      <c r="AG5399" s="185"/>
    </row>
    <row r="5400" spans="33:33" x14ac:dyDescent="0.25">
      <c r="AG5400" s="185"/>
    </row>
    <row r="5401" spans="33:33" x14ac:dyDescent="0.25">
      <c r="AG5401" s="185"/>
    </row>
    <row r="5402" spans="33:33" x14ac:dyDescent="0.25">
      <c r="AG5402" s="185"/>
    </row>
    <row r="5403" spans="33:33" x14ac:dyDescent="0.25">
      <c r="AG5403" s="185"/>
    </row>
    <row r="5404" spans="33:33" x14ac:dyDescent="0.25">
      <c r="AG5404" s="185"/>
    </row>
    <row r="5405" spans="33:33" x14ac:dyDescent="0.25">
      <c r="AG5405" s="185"/>
    </row>
    <row r="5406" spans="33:33" x14ac:dyDescent="0.25">
      <c r="AG5406" s="185"/>
    </row>
    <row r="5407" spans="33:33" x14ac:dyDescent="0.25">
      <c r="AG5407" s="185"/>
    </row>
    <row r="5408" spans="33:33" x14ac:dyDescent="0.25">
      <c r="AG5408" s="185"/>
    </row>
    <row r="5409" spans="33:33" x14ac:dyDescent="0.25">
      <c r="AG5409" s="185"/>
    </row>
    <row r="5410" spans="33:33" x14ac:dyDescent="0.25">
      <c r="AG5410" s="185"/>
    </row>
    <row r="5411" spans="33:33" x14ac:dyDescent="0.25">
      <c r="AG5411" s="185"/>
    </row>
    <row r="5412" spans="33:33" x14ac:dyDescent="0.25">
      <c r="AG5412" s="185"/>
    </row>
    <row r="5413" spans="33:33" x14ac:dyDescent="0.25">
      <c r="AG5413" s="185"/>
    </row>
    <row r="5414" spans="33:33" x14ac:dyDescent="0.25">
      <c r="AG5414" s="185"/>
    </row>
    <row r="5415" spans="33:33" x14ac:dyDescent="0.25">
      <c r="AG5415" s="185"/>
    </row>
    <row r="5416" spans="33:33" x14ac:dyDescent="0.25">
      <c r="AG5416" s="185"/>
    </row>
    <row r="5417" spans="33:33" x14ac:dyDescent="0.25">
      <c r="AG5417" s="185"/>
    </row>
    <row r="5418" spans="33:33" x14ac:dyDescent="0.25">
      <c r="AG5418" s="185"/>
    </row>
    <row r="5419" spans="33:33" x14ac:dyDescent="0.25">
      <c r="AG5419" s="185"/>
    </row>
    <row r="5420" spans="33:33" x14ac:dyDescent="0.25">
      <c r="AG5420" s="185"/>
    </row>
    <row r="5421" spans="33:33" x14ac:dyDescent="0.25">
      <c r="AG5421" s="185"/>
    </row>
    <row r="5422" spans="33:33" x14ac:dyDescent="0.25">
      <c r="AG5422" s="185"/>
    </row>
    <row r="5423" spans="33:33" x14ac:dyDescent="0.25">
      <c r="AG5423" s="185"/>
    </row>
    <row r="5424" spans="33:33" x14ac:dyDescent="0.25">
      <c r="AG5424" s="185"/>
    </row>
    <row r="5425" spans="33:33" x14ac:dyDescent="0.25">
      <c r="AG5425" s="185"/>
    </row>
    <row r="5426" spans="33:33" x14ac:dyDescent="0.25">
      <c r="AG5426" s="185"/>
    </row>
    <row r="5427" spans="33:33" x14ac:dyDescent="0.25">
      <c r="AG5427" s="185"/>
    </row>
    <row r="5428" spans="33:33" x14ac:dyDescent="0.25">
      <c r="AG5428" s="185"/>
    </row>
    <row r="5429" spans="33:33" x14ac:dyDescent="0.25">
      <c r="AG5429" s="185"/>
    </row>
    <row r="5430" spans="33:33" x14ac:dyDescent="0.25">
      <c r="AG5430" s="185"/>
    </row>
    <row r="5431" spans="33:33" x14ac:dyDescent="0.25">
      <c r="AG5431" s="185"/>
    </row>
    <row r="5432" spans="33:33" x14ac:dyDescent="0.25">
      <c r="AG5432" s="185"/>
    </row>
    <row r="5433" spans="33:33" x14ac:dyDescent="0.25">
      <c r="AG5433" s="185"/>
    </row>
    <row r="5434" spans="33:33" x14ac:dyDescent="0.25">
      <c r="AG5434" s="185"/>
    </row>
    <row r="5435" spans="33:33" x14ac:dyDescent="0.25">
      <c r="AG5435" s="185"/>
    </row>
    <row r="5436" spans="33:33" x14ac:dyDescent="0.25">
      <c r="AG5436" s="185"/>
    </row>
    <row r="5437" spans="33:33" x14ac:dyDescent="0.25">
      <c r="AG5437" s="185"/>
    </row>
    <row r="5438" spans="33:33" x14ac:dyDescent="0.25">
      <c r="AG5438" s="185"/>
    </row>
    <row r="5439" spans="33:33" x14ac:dyDescent="0.25">
      <c r="AG5439" s="185"/>
    </row>
    <row r="5440" spans="33:33" x14ac:dyDescent="0.25">
      <c r="AG5440" s="185"/>
    </row>
    <row r="5441" spans="33:33" x14ac:dyDescent="0.25">
      <c r="AG5441" s="185"/>
    </row>
    <row r="5442" spans="33:33" x14ac:dyDescent="0.25">
      <c r="AG5442" s="185"/>
    </row>
    <row r="5443" spans="33:33" x14ac:dyDescent="0.25">
      <c r="AG5443" s="185"/>
    </row>
    <row r="5444" spans="33:33" x14ac:dyDescent="0.25">
      <c r="AG5444" s="185"/>
    </row>
    <row r="5445" spans="33:33" x14ac:dyDescent="0.25">
      <c r="AG5445" s="185"/>
    </row>
    <row r="5446" spans="33:33" x14ac:dyDescent="0.25">
      <c r="AG5446" s="185"/>
    </row>
    <row r="5447" spans="33:33" x14ac:dyDescent="0.25">
      <c r="AG5447" s="185"/>
    </row>
    <row r="5448" spans="33:33" x14ac:dyDescent="0.25">
      <c r="AG5448" s="185"/>
    </row>
    <row r="5449" spans="33:33" x14ac:dyDescent="0.25">
      <c r="AG5449" s="185"/>
    </row>
    <row r="5450" spans="33:33" x14ac:dyDescent="0.25">
      <c r="AG5450" s="185"/>
    </row>
    <row r="5451" spans="33:33" x14ac:dyDescent="0.25">
      <c r="AG5451" s="185"/>
    </row>
    <row r="5452" spans="33:33" x14ac:dyDescent="0.25">
      <c r="AG5452" s="185"/>
    </row>
    <row r="5453" spans="33:33" x14ac:dyDescent="0.25">
      <c r="AG5453" s="185"/>
    </row>
    <row r="5454" spans="33:33" x14ac:dyDescent="0.25">
      <c r="AG5454" s="185"/>
    </row>
    <row r="5455" spans="33:33" x14ac:dyDescent="0.25">
      <c r="AG5455" s="185"/>
    </row>
    <row r="5456" spans="33:33" x14ac:dyDescent="0.25">
      <c r="AG5456" s="185"/>
    </row>
    <row r="5457" spans="33:33" x14ac:dyDescent="0.25">
      <c r="AG5457" s="185"/>
    </row>
    <row r="5458" spans="33:33" x14ac:dyDescent="0.25">
      <c r="AG5458" s="185"/>
    </row>
    <row r="5459" spans="33:33" x14ac:dyDescent="0.25">
      <c r="AG5459" s="185"/>
    </row>
    <row r="5460" spans="33:33" x14ac:dyDescent="0.25">
      <c r="AG5460" s="185"/>
    </row>
    <row r="5461" spans="33:33" x14ac:dyDescent="0.25">
      <c r="AG5461" s="185"/>
    </row>
    <row r="5462" spans="33:33" x14ac:dyDescent="0.25">
      <c r="AG5462" s="185"/>
    </row>
    <row r="5463" spans="33:33" x14ac:dyDescent="0.25">
      <c r="AG5463" s="185"/>
    </row>
    <row r="5464" spans="33:33" x14ac:dyDescent="0.25">
      <c r="AG5464" s="185"/>
    </row>
    <row r="5465" spans="33:33" x14ac:dyDescent="0.25">
      <c r="AG5465" s="185"/>
    </row>
    <row r="5466" spans="33:33" x14ac:dyDescent="0.25">
      <c r="AG5466" s="185"/>
    </row>
    <row r="5467" spans="33:33" x14ac:dyDescent="0.25">
      <c r="AG5467" s="185"/>
    </row>
    <row r="5468" spans="33:33" x14ac:dyDescent="0.25">
      <c r="AG5468" s="185"/>
    </row>
    <row r="5469" spans="33:33" x14ac:dyDescent="0.25">
      <c r="AG5469" s="185"/>
    </row>
    <row r="5470" spans="33:33" x14ac:dyDescent="0.25">
      <c r="AG5470" s="185"/>
    </row>
    <row r="5471" spans="33:33" x14ac:dyDescent="0.25">
      <c r="AG5471" s="185"/>
    </row>
    <row r="5472" spans="33:33" x14ac:dyDescent="0.25">
      <c r="AG5472" s="185"/>
    </row>
    <row r="5473" spans="33:33" x14ac:dyDescent="0.25">
      <c r="AG5473" s="185"/>
    </row>
    <row r="5474" spans="33:33" x14ac:dyDescent="0.25">
      <c r="AG5474" s="185"/>
    </row>
    <row r="5475" spans="33:33" x14ac:dyDescent="0.25">
      <c r="AG5475" s="185"/>
    </row>
    <row r="5476" spans="33:33" x14ac:dyDescent="0.25">
      <c r="AG5476" s="185"/>
    </row>
    <row r="5477" spans="33:33" x14ac:dyDescent="0.25">
      <c r="AG5477" s="185"/>
    </row>
    <row r="5478" spans="33:33" x14ac:dyDescent="0.25">
      <c r="AG5478" s="185"/>
    </row>
    <row r="5479" spans="33:33" x14ac:dyDescent="0.25">
      <c r="AG5479" s="185"/>
    </row>
    <row r="5480" spans="33:33" x14ac:dyDescent="0.25">
      <c r="AG5480" s="185"/>
    </row>
    <row r="5481" spans="33:33" x14ac:dyDescent="0.25">
      <c r="AG5481" s="185"/>
    </row>
    <row r="5482" spans="33:33" x14ac:dyDescent="0.25">
      <c r="AG5482" s="185"/>
    </row>
    <row r="5483" spans="33:33" x14ac:dyDescent="0.25">
      <c r="AG5483" s="185"/>
    </row>
    <row r="5484" spans="33:33" x14ac:dyDescent="0.25">
      <c r="AG5484" s="185"/>
    </row>
    <row r="5485" spans="33:33" x14ac:dyDescent="0.25">
      <c r="AG5485" s="185"/>
    </row>
    <row r="5486" spans="33:33" x14ac:dyDescent="0.25">
      <c r="AG5486" s="185"/>
    </row>
    <row r="5487" spans="33:33" x14ac:dyDescent="0.25">
      <c r="AG5487" s="185"/>
    </row>
    <row r="5488" spans="33:33" x14ac:dyDescent="0.25">
      <c r="AG5488" s="185"/>
    </row>
    <row r="5489" spans="33:33" x14ac:dyDescent="0.25">
      <c r="AG5489" s="185"/>
    </row>
    <row r="5490" spans="33:33" x14ac:dyDescent="0.25">
      <c r="AG5490" s="185"/>
    </row>
    <row r="5491" spans="33:33" x14ac:dyDescent="0.25">
      <c r="AG5491" s="185"/>
    </row>
    <row r="5492" spans="33:33" x14ac:dyDescent="0.25">
      <c r="AG5492" s="185"/>
    </row>
    <row r="5493" spans="33:33" x14ac:dyDescent="0.25">
      <c r="AG5493" s="185"/>
    </row>
    <row r="5494" spans="33:33" x14ac:dyDescent="0.25">
      <c r="AG5494" s="185"/>
    </row>
    <row r="5495" spans="33:33" x14ac:dyDescent="0.25">
      <c r="AG5495" s="185"/>
    </row>
    <row r="5496" spans="33:33" x14ac:dyDescent="0.25">
      <c r="AG5496" s="185"/>
    </row>
    <row r="5497" spans="33:33" x14ac:dyDescent="0.25">
      <c r="AG5497" s="185"/>
    </row>
    <row r="5498" spans="33:33" x14ac:dyDescent="0.25">
      <c r="AG5498" s="185"/>
    </row>
    <row r="5499" spans="33:33" x14ac:dyDescent="0.25">
      <c r="AG5499" s="185"/>
    </row>
    <row r="5500" spans="33:33" x14ac:dyDescent="0.25">
      <c r="AG5500" s="185"/>
    </row>
    <row r="5501" spans="33:33" x14ac:dyDescent="0.25">
      <c r="AG5501" s="185"/>
    </row>
    <row r="5502" spans="33:33" x14ac:dyDescent="0.25">
      <c r="AG5502" s="185"/>
    </row>
    <row r="5503" spans="33:33" x14ac:dyDescent="0.25">
      <c r="AG5503" s="185"/>
    </row>
    <row r="5504" spans="33:33" x14ac:dyDescent="0.25">
      <c r="AG5504" s="185"/>
    </row>
    <row r="5505" spans="33:33" x14ac:dyDescent="0.25">
      <c r="AG5505" s="185"/>
    </row>
    <row r="5506" spans="33:33" x14ac:dyDescent="0.25">
      <c r="AG5506" s="185"/>
    </row>
    <row r="5507" spans="33:33" x14ac:dyDescent="0.25">
      <c r="AG5507" s="185"/>
    </row>
    <row r="5508" spans="33:33" x14ac:dyDescent="0.25">
      <c r="AG5508" s="185"/>
    </row>
    <row r="5509" spans="33:33" x14ac:dyDescent="0.25">
      <c r="AG5509" s="185"/>
    </row>
    <row r="5510" spans="33:33" x14ac:dyDescent="0.25">
      <c r="AG5510" s="185"/>
    </row>
    <row r="5511" spans="33:33" x14ac:dyDescent="0.25">
      <c r="AG5511" s="185"/>
    </row>
    <row r="5512" spans="33:33" x14ac:dyDescent="0.25">
      <c r="AG5512" s="185"/>
    </row>
    <row r="5513" spans="33:33" x14ac:dyDescent="0.25">
      <c r="AG5513" s="185"/>
    </row>
    <row r="5514" spans="33:33" x14ac:dyDescent="0.25">
      <c r="AG5514" s="185"/>
    </row>
    <row r="5515" spans="33:33" x14ac:dyDescent="0.25">
      <c r="AG5515" s="185"/>
    </row>
    <row r="5516" spans="33:33" x14ac:dyDescent="0.25">
      <c r="AG5516" s="185"/>
    </row>
    <row r="5517" spans="33:33" x14ac:dyDescent="0.25">
      <c r="AG5517" s="185"/>
    </row>
    <row r="5518" spans="33:33" x14ac:dyDescent="0.25">
      <c r="AG5518" s="185"/>
    </row>
    <row r="5519" spans="33:33" x14ac:dyDescent="0.25">
      <c r="AG5519" s="185"/>
    </row>
    <row r="5520" spans="33:33" x14ac:dyDescent="0.25">
      <c r="AG5520" s="185"/>
    </row>
    <row r="5521" spans="33:33" x14ac:dyDescent="0.25">
      <c r="AG5521" s="185"/>
    </row>
    <row r="5522" spans="33:33" x14ac:dyDescent="0.25">
      <c r="AG5522" s="185"/>
    </row>
    <row r="5523" spans="33:33" x14ac:dyDescent="0.25">
      <c r="AG5523" s="185"/>
    </row>
    <row r="5524" spans="33:33" x14ac:dyDescent="0.25">
      <c r="AG5524" s="185"/>
    </row>
    <row r="5525" spans="33:33" x14ac:dyDescent="0.25">
      <c r="AG5525" s="185"/>
    </row>
    <row r="5526" spans="33:33" x14ac:dyDescent="0.25">
      <c r="AG5526" s="185"/>
    </row>
    <row r="5527" spans="33:33" x14ac:dyDescent="0.25">
      <c r="AG5527" s="185"/>
    </row>
    <row r="5528" spans="33:33" x14ac:dyDescent="0.25">
      <c r="AG5528" s="185"/>
    </row>
    <row r="5529" spans="33:33" x14ac:dyDescent="0.25">
      <c r="AG5529" s="185"/>
    </row>
    <row r="5530" spans="33:33" x14ac:dyDescent="0.25">
      <c r="AG5530" s="185"/>
    </row>
    <row r="5531" spans="33:33" x14ac:dyDescent="0.25">
      <c r="AG5531" s="185"/>
    </row>
    <row r="5532" spans="33:33" x14ac:dyDescent="0.25">
      <c r="AG5532" s="185"/>
    </row>
    <row r="5533" spans="33:33" x14ac:dyDescent="0.25">
      <c r="AG5533" s="185"/>
    </row>
    <row r="5534" spans="33:33" x14ac:dyDescent="0.25">
      <c r="AG5534" s="185"/>
    </row>
    <row r="5535" spans="33:33" x14ac:dyDescent="0.25">
      <c r="AG5535" s="185"/>
    </row>
    <row r="5536" spans="33:33" x14ac:dyDescent="0.25">
      <c r="AG5536" s="185"/>
    </row>
    <row r="5537" spans="33:33" x14ac:dyDescent="0.25">
      <c r="AG5537" s="185"/>
    </row>
    <row r="5538" spans="33:33" x14ac:dyDescent="0.25">
      <c r="AG5538" s="185"/>
    </row>
    <row r="5539" spans="33:33" x14ac:dyDescent="0.25">
      <c r="AG5539" s="185"/>
    </row>
    <row r="5540" spans="33:33" x14ac:dyDescent="0.25">
      <c r="AG5540" s="185"/>
    </row>
    <row r="5541" spans="33:33" x14ac:dyDescent="0.25">
      <c r="AG5541" s="185"/>
    </row>
    <row r="5542" spans="33:33" x14ac:dyDescent="0.25">
      <c r="AG5542" s="185"/>
    </row>
    <row r="5543" spans="33:33" x14ac:dyDescent="0.25">
      <c r="AG5543" s="185"/>
    </row>
    <row r="5544" spans="33:33" x14ac:dyDescent="0.25">
      <c r="AG5544" s="185"/>
    </row>
    <row r="5545" spans="33:33" x14ac:dyDescent="0.25">
      <c r="AG5545" s="185"/>
    </row>
    <row r="5546" spans="33:33" x14ac:dyDescent="0.25">
      <c r="AG5546" s="185"/>
    </row>
    <row r="5547" spans="33:33" x14ac:dyDescent="0.25">
      <c r="AG5547" s="185"/>
    </row>
    <row r="5548" spans="33:33" x14ac:dyDescent="0.25">
      <c r="AG5548" s="185"/>
    </row>
    <row r="5549" spans="33:33" x14ac:dyDescent="0.25">
      <c r="AG5549" s="185"/>
    </row>
    <row r="5550" spans="33:33" x14ac:dyDescent="0.25">
      <c r="AG5550" s="185"/>
    </row>
    <row r="5551" spans="33:33" x14ac:dyDescent="0.25">
      <c r="AG5551" s="185"/>
    </row>
    <row r="5552" spans="33:33" x14ac:dyDescent="0.25">
      <c r="AG5552" s="185"/>
    </row>
    <row r="5553" spans="33:33" x14ac:dyDescent="0.25">
      <c r="AG5553" s="185"/>
    </row>
    <row r="5554" spans="33:33" x14ac:dyDescent="0.25">
      <c r="AG5554" s="185"/>
    </row>
    <row r="5555" spans="33:33" x14ac:dyDescent="0.25">
      <c r="AG5555" s="185"/>
    </row>
    <row r="5556" spans="33:33" x14ac:dyDescent="0.25">
      <c r="AG5556" s="185"/>
    </row>
    <row r="5557" spans="33:33" x14ac:dyDescent="0.25">
      <c r="AG5557" s="185"/>
    </row>
    <row r="5558" spans="33:33" x14ac:dyDescent="0.25">
      <c r="AG5558" s="185"/>
    </row>
    <row r="5559" spans="33:33" x14ac:dyDescent="0.25">
      <c r="AG5559" s="185"/>
    </row>
    <row r="5560" spans="33:33" x14ac:dyDescent="0.25">
      <c r="AG5560" s="185"/>
    </row>
    <row r="5561" spans="33:33" x14ac:dyDescent="0.25">
      <c r="AG5561" s="185"/>
    </row>
    <row r="5562" spans="33:33" x14ac:dyDescent="0.25">
      <c r="AG5562" s="185"/>
    </row>
    <row r="5563" spans="33:33" x14ac:dyDescent="0.25">
      <c r="AG5563" s="185"/>
    </row>
    <row r="5564" spans="33:33" x14ac:dyDescent="0.25">
      <c r="AG5564" s="185"/>
    </row>
    <row r="5565" spans="33:33" x14ac:dyDescent="0.25">
      <c r="AG5565" s="185"/>
    </row>
    <row r="5566" spans="33:33" x14ac:dyDescent="0.25">
      <c r="AG5566" s="185"/>
    </row>
    <row r="5567" spans="33:33" x14ac:dyDescent="0.25">
      <c r="AG5567" s="185"/>
    </row>
    <row r="5568" spans="33:33" x14ac:dyDescent="0.25">
      <c r="AG5568" s="185"/>
    </row>
    <row r="5569" spans="33:33" x14ac:dyDescent="0.25">
      <c r="AG5569" s="185"/>
    </row>
    <row r="5570" spans="33:33" x14ac:dyDescent="0.25">
      <c r="AG5570" s="185"/>
    </row>
    <row r="5571" spans="33:33" x14ac:dyDescent="0.25">
      <c r="AG5571" s="185"/>
    </row>
    <row r="5572" spans="33:33" x14ac:dyDescent="0.25">
      <c r="AG5572" s="185"/>
    </row>
    <row r="5573" spans="33:33" x14ac:dyDescent="0.25">
      <c r="AG5573" s="185"/>
    </row>
    <row r="5574" spans="33:33" x14ac:dyDescent="0.25">
      <c r="AG5574" s="185"/>
    </row>
    <row r="5575" spans="33:33" x14ac:dyDescent="0.25">
      <c r="AG5575" s="185"/>
    </row>
    <row r="5576" spans="33:33" x14ac:dyDescent="0.25">
      <c r="AG5576" s="185"/>
    </row>
    <row r="5577" spans="33:33" x14ac:dyDescent="0.25">
      <c r="AG5577" s="185"/>
    </row>
    <row r="5578" spans="33:33" x14ac:dyDescent="0.25">
      <c r="AG5578" s="185"/>
    </row>
    <row r="5579" spans="33:33" x14ac:dyDescent="0.25">
      <c r="AG5579" s="185"/>
    </row>
    <row r="5580" spans="33:33" x14ac:dyDescent="0.25">
      <c r="AG5580" s="185"/>
    </row>
    <row r="5581" spans="33:33" x14ac:dyDescent="0.25">
      <c r="AG5581" s="185"/>
    </row>
    <row r="5582" spans="33:33" x14ac:dyDescent="0.25">
      <c r="AG5582" s="185"/>
    </row>
    <row r="5583" spans="33:33" x14ac:dyDescent="0.25">
      <c r="AG5583" s="185"/>
    </row>
    <row r="5584" spans="33:33" x14ac:dyDescent="0.25">
      <c r="AG5584" s="185"/>
    </row>
    <row r="5585" spans="33:33" x14ac:dyDescent="0.25">
      <c r="AG5585" s="185"/>
    </row>
    <row r="5586" spans="33:33" x14ac:dyDescent="0.25">
      <c r="AG5586" s="185"/>
    </row>
    <row r="5587" spans="33:33" x14ac:dyDescent="0.25">
      <c r="AG5587" s="185"/>
    </row>
    <row r="5588" spans="33:33" x14ac:dyDescent="0.25">
      <c r="AG5588" s="185"/>
    </row>
    <row r="5589" spans="33:33" x14ac:dyDescent="0.25">
      <c r="AG5589" s="185"/>
    </row>
    <row r="5590" spans="33:33" x14ac:dyDescent="0.25">
      <c r="AG5590" s="185"/>
    </row>
    <row r="5591" spans="33:33" x14ac:dyDescent="0.25">
      <c r="AG5591" s="185"/>
    </row>
    <row r="5592" spans="33:33" x14ac:dyDescent="0.25">
      <c r="AG5592" s="185"/>
    </row>
    <row r="5593" spans="33:33" x14ac:dyDescent="0.25">
      <c r="AG5593" s="185"/>
    </row>
    <row r="5594" spans="33:33" x14ac:dyDescent="0.25">
      <c r="AG5594" s="185"/>
    </row>
    <row r="5595" spans="33:33" x14ac:dyDescent="0.25">
      <c r="AG5595" s="185"/>
    </row>
    <row r="5596" spans="33:33" x14ac:dyDescent="0.25">
      <c r="AG5596" s="185"/>
    </row>
    <row r="5597" spans="33:33" x14ac:dyDescent="0.25">
      <c r="AG5597" s="185"/>
    </row>
    <row r="5598" spans="33:33" x14ac:dyDescent="0.25">
      <c r="AG5598" s="185"/>
    </row>
    <row r="5599" spans="33:33" x14ac:dyDescent="0.25">
      <c r="AG5599" s="185"/>
    </row>
    <row r="5600" spans="33:33" x14ac:dyDescent="0.25">
      <c r="AG5600" s="185"/>
    </row>
    <row r="5601" spans="33:33" x14ac:dyDescent="0.25">
      <c r="AG5601" s="185"/>
    </row>
    <row r="5602" spans="33:33" x14ac:dyDescent="0.25">
      <c r="AG5602" s="185"/>
    </row>
    <row r="5603" spans="33:33" x14ac:dyDescent="0.25">
      <c r="AG5603" s="185"/>
    </row>
    <row r="5604" spans="33:33" x14ac:dyDescent="0.25">
      <c r="AG5604" s="185"/>
    </row>
    <row r="5605" spans="33:33" x14ac:dyDescent="0.25">
      <c r="AG5605" s="185"/>
    </row>
    <row r="5606" spans="33:33" x14ac:dyDescent="0.25">
      <c r="AG5606" s="185"/>
    </row>
    <row r="5607" spans="33:33" x14ac:dyDescent="0.25">
      <c r="AG5607" s="185"/>
    </row>
    <row r="5608" spans="33:33" x14ac:dyDescent="0.25">
      <c r="AG5608" s="185"/>
    </row>
    <row r="5609" spans="33:33" x14ac:dyDescent="0.25">
      <c r="AG5609" s="185"/>
    </row>
    <row r="5610" spans="33:33" x14ac:dyDescent="0.25">
      <c r="AG5610" s="185"/>
    </row>
    <row r="5611" spans="33:33" x14ac:dyDescent="0.25">
      <c r="AG5611" s="185"/>
    </row>
    <row r="5612" spans="33:33" x14ac:dyDescent="0.25">
      <c r="AG5612" s="185"/>
    </row>
    <row r="5613" spans="33:33" x14ac:dyDescent="0.25">
      <c r="AG5613" s="185"/>
    </row>
    <row r="5614" spans="33:33" x14ac:dyDescent="0.25">
      <c r="AG5614" s="185"/>
    </row>
    <row r="5615" spans="33:33" x14ac:dyDescent="0.25">
      <c r="AG5615" s="185"/>
    </row>
    <row r="5616" spans="33:33" x14ac:dyDescent="0.25">
      <c r="AG5616" s="185"/>
    </row>
    <row r="5617" spans="33:33" x14ac:dyDescent="0.25">
      <c r="AG5617" s="185"/>
    </row>
    <row r="5618" spans="33:33" x14ac:dyDescent="0.25">
      <c r="AG5618" s="185"/>
    </row>
    <row r="5619" spans="33:33" x14ac:dyDescent="0.25">
      <c r="AG5619" s="185"/>
    </row>
    <row r="5620" spans="33:33" x14ac:dyDescent="0.25">
      <c r="AG5620" s="185"/>
    </row>
    <row r="5621" spans="33:33" x14ac:dyDescent="0.25">
      <c r="AG5621" s="185"/>
    </row>
    <row r="5622" spans="33:33" x14ac:dyDescent="0.25">
      <c r="AG5622" s="185"/>
    </row>
    <row r="5623" spans="33:33" x14ac:dyDescent="0.25">
      <c r="AG5623" s="185"/>
    </row>
    <row r="5624" spans="33:33" x14ac:dyDescent="0.25">
      <c r="AG5624" s="185"/>
    </row>
    <row r="5625" spans="33:33" x14ac:dyDescent="0.25">
      <c r="AG5625" s="185"/>
    </row>
    <row r="5626" spans="33:33" x14ac:dyDescent="0.25">
      <c r="AG5626" s="185"/>
    </row>
    <row r="5627" spans="33:33" x14ac:dyDescent="0.25">
      <c r="AG5627" s="185"/>
    </row>
    <row r="5628" spans="33:33" x14ac:dyDescent="0.25">
      <c r="AG5628" s="185"/>
    </row>
    <row r="5629" spans="33:33" x14ac:dyDescent="0.25">
      <c r="AG5629" s="185"/>
    </row>
    <row r="5630" spans="33:33" x14ac:dyDescent="0.25">
      <c r="AG5630" s="185"/>
    </row>
    <row r="5631" spans="33:33" x14ac:dyDescent="0.25">
      <c r="AG5631" s="185"/>
    </row>
    <row r="5632" spans="33:33" x14ac:dyDescent="0.25">
      <c r="AG5632" s="185"/>
    </row>
    <row r="5633" spans="33:33" x14ac:dyDescent="0.25">
      <c r="AG5633" s="185"/>
    </row>
    <row r="5634" spans="33:33" x14ac:dyDescent="0.25">
      <c r="AG5634" s="185"/>
    </row>
    <row r="5635" spans="33:33" x14ac:dyDescent="0.25">
      <c r="AG5635" s="185"/>
    </row>
    <row r="5636" spans="33:33" x14ac:dyDescent="0.25">
      <c r="AG5636" s="185"/>
    </row>
    <row r="5637" spans="33:33" x14ac:dyDescent="0.25">
      <c r="AG5637" s="185"/>
    </row>
    <row r="5638" spans="33:33" x14ac:dyDescent="0.25">
      <c r="AG5638" s="185"/>
    </row>
    <row r="5639" spans="33:33" x14ac:dyDescent="0.25">
      <c r="AG5639" s="185"/>
    </row>
    <row r="5640" spans="33:33" x14ac:dyDescent="0.25">
      <c r="AG5640" s="185"/>
    </row>
    <row r="5641" spans="33:33" x14ac:dyDescent="0.25">
      <c r="AG5641" s="185"/>
    </row>
    <row r="5642" spans="33:33" x14ac:dyDescent="0.25">
      <c r="AG5642" s="185"/>
    </row>
    <row r="5643" spans="33:33" x14ac:dyDescent="0.25">
      <c r="AG5643" s="185"/>
    </row>
    <row r="5644" spans="33:33" x14ac:dyDescent="0.25">
      <c r="AG5644" s="185"/>
    </row>
    <row r="5645" spans="33:33" x14ac:dyDescent="0.25">
      <c r="AG5645" s="185"/>
    </row>
    <row r="5646" spans="33:33" x14ac:dyDescent="0.25">
      <c r="AG5646" s="185"/>
    </row>
    <row r="5647" spans="33:33" x14ac:dyDescent="0.25">
      <c r="AG5647" s="185"/>
    </row>
    <row r="5648" spans="33:33" x14ac:dyDescent="0.25">
      <c r="AG5648" s="185"/>
    </row>
    <row r="5649" spans="33:33" x14ac:dyDescent="0.25">
      <c r="AG5649" s="185"/>
    </row>
    <row r="5650" spans="33:33" x14ac:dyDescent="0.25">
      <c r="AG5650" s="185"/>
    </row>
    <row r="5651" spans="33:33" x14ac:dyDescent="0.25">
      <c r="AG5651" s="185"/>
    </row>
    <row r="5652" spans="33:33" x14ac:dyDescent="0.25">
      <c r="AG5652" s="185"/>
    </row>
    <row r="5653" spans="33:33" x14ac:dyDescent="0.25">
      <c r="AG5653" s="185"/>
    </row>
    <row r="5654" spans="33:33" x14ac:dyDescent="0.25">
      <c r="AG5654" s="185"/>
    </row>
    <row r="5655" spans="33:33" x14ac:dyDescent="0.25">
      <c r="AG5655" s="185"/>
    </row>
    <row r="5656" spans="33:33" x14ac:dyDescent="0.25">
      <c r="AG5656" s="185"/>
    </row>
    <row r="5657" spans="33:33" x14ac:dyDescent="0.25">
      <c r="AG5657" s="185"/>
    </row>
    <row r="5658" spans="33:33" x14ac:dyDescent="0.25">
      <c r="AG5658" s="185"/>
    </row>
    <row r="5659" spans="33:33" x14ac:dyDescent="0.25">
      <c r="AG5659" s="185"/>
    </row>
    <row r="5660" spans="33:33" x14ac:dyDescent="0.25">
      <c r="AG5660" s="185"/>
    </row>
    <row r="5661" spans="33:33" x14ac:dyDescent="0.25">
      <c r="AG5661" s="185"/>
    </row>
    <row r="5662" spans="33:33" x14ac:dyDescent="0.25">
      <c r="AG5662" s="185"/>
    </row>
    <row r="5663" spans="33:33" x14ac:dyDescent="0.25">
      <c r="AG5663" s="185"/>
    </row>
    <row r="5664" spans="33:33" x14ac:dyDescent="0.25">
      <c r="AG5664" s="185"/>
    </row>
    <row r="5665" spans="33:33" x14ac:dyDescent="0.25">
      <c r="AG5665" s="185"/>
    </row>
    <row r="5666" spans="33:33" x14ac:dyDescent="0.25">
      <c r="AG5666" s="185"/>
    </row>
    <row r="5667" spans="33:33" x14ac:dyDescent="0.25">
      <c r="AG5667" s="185"/>
    </row>
    <row r="5668" spans="33:33" x14ac:dyDescent="0.25">
      <c r="AG5668" s="185"/>
    </row>
    <row r="5669" spans="33:33" x14ac:dyDescent="0.25">
      <c r="AG5669" s="185"/>
    </row>
    <row r="5670" spans="33:33" x14ac:dyDescent="0.25">
      <c r="AG5670" s="185"/>
    </row>
    <row r="5671" spans="33:33" x14ac:dyDescent="0.25">
      <c r="AG5671" s="185"/>
    </row>
    <row r="5672" spans="33:33" x14ac:dyDescent="0.25">
      <c r="AG5672" s="185"/>
    </row>
    <row r="5673" spans="33:33" x14ac:dyDescent="0.25">
      <c r="AG5673" s="185"/>
    </row>
    <row r="5674" spans="33:33" x14ac:dyDescent="0.25">
      <c r="AG5674" s="185"/>
    </row>
    <row r="5675" spans="33:33" x14ac:dyDescent="0.25">
      <c r="AG5675" s="185"/>
    </row>
    <row r="5676" spans="33:33" x14ac:dyDescent="0.25">
      <c r="AG5676" s="185"/>
    </row>
    <row r="5677" spans="33:33" x14ac:dyDescent="0.25">
      <c r="AG5677" s="185"/>
    </row>
    <row r="5678" spans="33:33" x14ac:dyDescent="0.25">
      <c r="AG5678" s="185"/>
    </row>
    <row r="5679" spans="33:33" x14ac:dyDescent="0.25">
      <c r="AG5679" s="185"/>
    </row>
    <row r="5680" spans="33:33" x14ac:dyDescent="0.25">
      <c r="AG5680" s="185"/>
    </row>
    <row r="5681" spans="33:33" x14ac:dyDescent="0.25">
      <c r="AG5681" s="185"/>
    </row>
    <row r="5682" spans="33:33" x14ac:dyDescent="0.25">
      <c r="AG5682" s="185"/>
    </row>
    <row r="5683" spans="33:33" x14ac:dyDescent="0.25">
      <c r="AG5683" s="185"/>
    </row>
    <row r="5684" spans="33:33" x14ac:dyDescent="0.25">
      <c r="AG5684" s="185"/>
    </row>
    <row r="5685" spans="33:33" x14ac:dyDescent="0.25">
      <c r="AG5685" s="185"/>
    </row>
    <row r="5686" spans="33:33" x14ac:dyDescent="0.25">
      <c r="AG5686" s="185"/>
    </row>
    <row r="5687" spans="33:33" x14ac:dyDescent="0.25">
      <c r="AG5687" s="185"/>
    </row>
    <row r="5688" spans="33:33" x14ac:dyDescent="0.25">
      <c r="AG5688" s="185"/>
    </row>
    <row r="5689" spans="33:33" x14ac:dyDescent="0.25">
      <c r="AG5689" s="185"/>
    </row>
    <row r="5690" spans="33:33" x14ac:dyDescent="0.25">
      <c r="AG5690" s="185"/>
    </row>
    <row r="5691" spans="33:33" x14ac:dyDescent="0.25">
      <c r="AG5691" s="185"/>
    </row>
    <row r="5692" spans="33:33" x14ac:dyDescent="0.25">
      <c r="AG5692" s="185"/>
    </row>
    <row r="5693" spans="33:33" x14ac:dyDescent="0.25">
      <c r="AG5693" s="185"/>
    </row>
    <row r="5694" spans="33:33" x14ac:dyDescent="0.25">
      <c r="AG5694" s="185"/>
    </row>
    <row r="5695" spans="33:33" x14ac:dyDescent="0.25">
      <c r="AG5695" s="185"/>
    </row>
    <row r="5696" spans="33:33" x14ac:dyDescent="0.25">
      <c r="AG5696" s="185"/>
    </row>
    <row r="5697" spans="33:33" x14ac:dyDescent="0.25">
      <c r="AG5697" s="185"/>
    </row>
    <row r="5698" spans="33:33" x14ac:dyDescent="0.25">
      <c r="AG5698" s="185"/>
    </row>
    <row r="5699" spans="33:33" x14ac:dyDescent="0.25">
      <c r="AG5699" s="185"/>
    </row>
    <row r="5700" spans="33:33" x14ac:dyDescent="0.25">
      <c r="AG5700" s="185"/>
    </row>
    <row r="5701" spans="33:33" x14ac:dyDescent="0.25">
      <c r="AG5701" s="185"/>
    </row>
    <row r="5702" spans="33:33" x14ac:dyDescent="0.25">
      <c r="AG5702" s="185"/>
    </row>
    <row r="5703" spans="33:33" x14ac:dyDescent="0.25">
      <c r="AG5703" s="185"/>
    </row>
    <row r="5704" spans="33:33" x14ac:dyDescent="0.25">
      <c r="AG5704" s="185"/>
    </row>
    <row r="5705" spans="33:33" x14ac:dyDescent="0.25">
      <c r="AG5705" s="185"/>
    </row>
    <row r="5706" spans="33:33" x14ac:dyDescent="0.25">
      <c r="AG5706" s="185"/>
    </row>
    <row r="5707" spans="33:33" x14ac:dyDescent="0.25">
      <c r="AG5707" s="185"/>
    </row>
    <row r="5708" spans="33:33" x14ac:dyDescent="0.25">
      <c r="AG5708" s="185"/>
    </row>
    <row r="5709" spans="33:33" x14ac:dyDescent="0.25">
      <c r="AG5709" s="185"/>
    </row>
    <row r="5710" spans="33:33" x14ac:dyDescent="0.25">
      <c r="AG5710" s="185"/>
    </row>
    <row r="5711" spans="33:33" x14ac:dyDescent="0.25">
      <c r="AG5711" s="185"/>
    </row>
    <row r="5712" spans="33:33" x14ac:dyDescent="0.25">
      <c r="AG5712" s="185"/>
    </row>
    <row r="5713" spans="33:33" x14ac:dyDescent="0.25">
      <c r="AG5713" s="185"/>
    </row>
    <row r="5714" spans="33:33" x14ac:dyDescent="0.25">
      <c r="AG5714" s="185"/>
    </row>
    <row r="5715" spans="33:33" x14ac:dyDescent="0.25">
      <c r="AG5715" s="185"/>
    </row>
    <row r="5716" spans="33:33" x14ac:dyDescent="0.25">
      <c r="AG5716" s="185"/>
    </row>
    <row r="5717" spans="33:33" x14ac:dyDescent="0.25">
      <c r="AG5717" s="185"/>
    </row>
    <row r="5718" spans="33:33" x14ac:dyDescent="0.25">
      <c r="AG5718" s="185"/>
    </row>
    <row r="5719" spans="33:33" x14ac:dyDescent="0.25">
      <c r="AG5719" s="185"/>
    </row>
    <row r="5720" spans="33:33" x14ac:dyDescent="0.25">
      <c r="AG5720" s="185"/>
    </row>
    <row r="5721" spans="33:33" x14ac:dyDescent="0.25">
      <c r="AG5721" s="185"/>
    </row>
    <row r="5722" spans="33:33" x14ac:dyDescent="0.25">
      <c r="AG5722" s="185"/>
    </row>
    <row r="5723" spans="33:33" x14ac:dyDescent="0.25">
      <c r="AG5723" s="185"/>
    </row>
    <row r="5724" spans="33:33" x14ac:dyDescent="0.25">
      <c r="AG5724" s="185"/>
    </row>
    <row r="5725" spans="33:33" x14ac:dyDescent="0.25">
      <c r="AG5725" s="185"/>
    </row>
    <row r="5726" spans="33:33" x14ac:dyDescent="0.25">
      <c r="AG5726" s="185"/>
    </row>
    <row r="5727" spans="33:33" x14ac:dyDescent="0.25">
      <c r="AG5727" s="185"/>
    </row>
    <row r="5728" spans="33:33" x14ac:dyDescent="0.25">
      <c r="AG5728" s="185"/>
    </row>
    <row r="5729" spans="33:33" x14ac:dyDescent="0.25">
      <c r="AG5729" s="185"/>
    </row>
    <row r="5730" spans="33:33" x14ac:dyDescent="0.25">
      <c r="AG5730" s="185"/>
    </row>
    <row r="5731" spans="33:33" x14ac:dyDescent="0.25">
      <c r="AG5731" s="185"/>
    </row>
    <row r="5732" spans="33:33" x14ac:dyDescent="0.25">
      <c r="AG5732" s="185"/>
    </row>
    <row r="5733" spans="33:33" x14ac:dyDescent="0.25">
      <c r="AG5733" s="185"/>
    </row>
    <row r="5734" spans="33:33" x14ac:dyDescent="0.25">
      <c r="AG5734" s="185"/>
    </row>
    <row r="5735" spans="33:33" x14ac:dyDescent="0.25">
      <c r="AG5735" s="185"/>
    </row>
    <row r="5736" spans="33:33" x14ac:dyDescent="0.25">
      <c r="AG5736" s="185"/>
    </row>
    <row r="5737" spans="33:33" x14ac:dyDescent="0.25">
      <c r="AG5737" s="185"/>
    </row>
    <row r="5738" spans="33:33" x14ac:dyDescent="0.25">
      <c r="AG5738" s="185"/>
    </row>
    <row r="5739" spans="33:33" x14ac:dyDescent="0.25">
      <c r="AG5739" s="185"/>
    </row>
    <row r="5740" spans="33:33" x14ac:dyDescent="0.25">
      <c r="AG5740" s="185"/>
    </row>
    <row r="5741" spans="33:33" x14ac:dyDescent="0.25">
      <c r="AG5741" s="185"/>
    </row>
    <row r="5742" spans="33:33" x14ac:dyDescent="0.25">
      <c r="AG5742" s="185"/>
    </row>
    <row r="5743" spans="33:33" x14ac:dyDescent="0.25">
      <c r="AG5743" s="185"/>
    </row>
    <row r="5744" spans="33:33" x14ac:dyDescent="0.25">
      <c r="AG5744" s="185"/>
    </row>
    <row r="5745" spans="33:33" x14ac:dyDescent="0.25">
      <c r="AG5745" s="185"/>
    </row>
    <row r="5746" spans="33:33" x14ac:dyDescent="0.25">
      <c r="AG5746" s="185"/>
    </row>
    <row r="5747" spans="33:33" x14ac:dyDescent="0.25">
      <c r="AG5747" s="185"/>
    </row>
    <row r="5748" spans="33:33" x14ac:dyDescent="0.25">
      <c r="AG5748" s="185"/>
    </row>
    <row r="5749" spans="33:33" x14ac:dyDescent="0.25">
      <c r="AG5749" s="185"/>
    </row>
    <row r="5750" spans="33:33" x14ac:dyDescent="0.25">
      <c r="AG5750" s="185"/>
    </row>
    <row r="5751" spans="33:33" x14ac:dyDescent="0.25">
      <c r="AG5751" s="185"/>
    </row>
    <row r="5752" spans="33:33" x14ac:dyDescent="0.25">
      <c r="AG5752" s="185"/>
    </row>
    <row r="5753" spans="33:33" x14ac:dyDescent="0.25">
      <c r="AG5753" s="185"/>
    </row>
    <row r="5754" spans="33:33" x14ac:dyDescent="0.25">
      <c r="AG5754" s="185"/>
    </row>
    <row r="5755" spans="33:33" x14ac:dyDescent="0.25">
      <c r="AG5755" s="185"/>
    </row>
    <row r="5756" spans="33:33" x14ac:dyDescent="0.25">
      <c r="AG5756" s="185"/>
    </row>
    <row r="5757" spans="33:33" x14ac:dyDescent="0.25">
      <c r="AG5757" s="185"/>
    </row>
    <row r="5758" spans="33:33" x14ac:dyDescent="0.25">
      <c r="AG5758" s="185"/>
    </row>
    <row r="5759" spans="33:33" x14ac:dyDescent="0.25">
      <c r="AG5759" s="185"/>
    </row>
    <row r="5760" spans="33:33" x14ac:dyDescent="0.25">
      <c r="AG5760" s="185"/>
    </row>
    <row r="5761" spans="33:33" x14ac:dyDescent="0.25">
      <c r="AG5761" s="185"/>
    </row>
    <row r="5762" spans="33:33" x14ac:dyDescent="0.25">
      <c r="AG5762" s="185"/>
    </row>
    <row r="5763" spans="33:33" x14ac:dyDescent="0.25">
      <c r="AG5763" s="185"/>
    </row>
    <row r="5764" spans="33:33" x14ac:dyDescent="0.25">
      <c r="AG5764" s="185"/>
    </row>
    <row r="5765" spans="33:33" x14ac:dyDescent="0.25">
      <c r="AG5765" s="185"/>
    </row>
    <row r="5766" spans="33:33" x14ac:dyDescent="0.25">
      <c r="AG5766" s="185"/>
    </row>
    <row r="5767" spans="33:33" x14ac:dyDescent="0.25">
      <c r="AG5767" s="185"/>
    </row>
    <row r="5768" spans="33:33" x14ac:dyDescent="0.25">
      <c r="AG5768" s="185"/>
    </row>
    <row r="5769" spans="33:33" x14ac:dyDescent="0.25">
      <c r="AG5769" s="185"/>
    </row>
    <row r="5770" spans="33:33" x14ac:dyDescent="0.25">
      <c r="AG5770" s="185"/>
    </row>
    <row r="5771" spans="33:33" x14ac:dyDescent="0.25">
      <c r="AG5771" s="185"/>
    </row>
    <row r="5772" spans="33:33" x14ac:dyDescent="0.25">
      <c r="AG5772" s="185"/>
    </row>
    <row r="5773" spans="33:33" x14ac:dyDescent="0.25">
      <c r="AG5773" s="185"/>
    </row>
    <row r="5774" spans="33:33" x14ac:dyDescent="0.25">
      <c r="AG5774" s="185"/>
    </row>
    <row r="5775" spans="33:33" x14ac:dyDescent="0.25">
      <c r="AG5775" s="185"/>
    </row>
    <row r="5776" spans="33:33" x14ac:dyDescent="0.25">
      <c r="AG5776" s="185"/>
    </row>
    <row r="5777" spans="33:33" x14ac:dyDescent="0.25">
      <c r="AG5777" s="185"/>
    </row>
    <row r="5778" spans="33:33" x14ac:dyDescent="0.25">
      <c r="AG5778" s="185"/>
    </row>
    <row r="5779" spans="33:33" x14ac:dyDescent="0.25">
      <c r="AG5779" s="185"/>
    </row>
    <row r="5780" spans="33:33" x14ac:dyDescent="0.25">
      <c r="AG5780" s="185"/>
    </row>
    <row r="5781" spans="33:33" x14ac:dyDescent="0.25">
      <c r="AG5781" s="185"/>
    </row>
    <row r="5782" spans="33:33" x14ac:dyDescent="0.25">
      <c r="AG5782" s="185"/>
    </row>
    <row r="5783" spans="33:33" x14ac:dyDescent="0.25">
      <c r="AG5783" s="185"/>
    </row>
    <row r="5784" spans="33:33" x14ac:dyDescent="0.25">
      <c r="AG5784" s="185"/>
    </row>
    <row r="5785" spans="33:33" x14ac:dyDescent="0.25">
      <c r="AG5785" s="185"/>
    </row>
    <row r="5786" spans="33:33" x14ac:dyDescent="0.25">
      <c r="AG5786" s="185"/>
    </row>
    <row r="5787" spans="33:33" x14ac:dyDescent="0.25">
      <c r="AG5787" s="185"/>
    </row>
    <row r="5788" spans="33:33" x14ac:dyDescent="0.25">
      <c r="AG5788" s="185"/>
    </row>
    <row r="5789" spans="33:33" x14ac:dyDescent="0.25">
      <c r="AG5789" s="185"/>
    </row>
    <row r="5790" spans="33:33" x14ac:dyDescent="0.25">
      <c r="AG5790" s="185"/>
    </row>
    <row r="5791" spans="33:33" x14ac:dyDescent="0.25">
      <c r="AG5791" s="185"/>
    </row>
    <row r="5792" spans="33:33" x14ac:dyDescent="0.25">
      <c r="AG5792" s="185"/>
    </row>
    <row r="5793" spans="33:33" x14ac:dyDescent="0.25">
      <c r="AG5793" s="185"/>
    </row>
    <row r="5794" spans="33:33" x14ac:dyDescent="0.25">
      <c r="AG5794" s="185"/>
    </row>
    <row r="5795" spans="33:33" x14ac:dyDescent="0.25">
      <c r="AG5795" s="185"/>
    </row>
    <row r="5796" spans="33:33" x14ac:dyDescent="0.25">
      <c r="AG5796" s="185"/>
    </row>
    <row r="5797" spans="33:33" x14ac:dyDescent="0.25">
      <c r="AG5797" s="185"/>
    </row>
    <row r="5798" spans="33:33" x14ac:dyDescent="0.25">
      <c r="AG5798" s="185"/>
    </row>
    <row r="5799" spans="33:33" x14ac:dyDescent="0.25">
      <c r="AG5799" s="185"/>
    </row>
    <row r="5800" spans="33:33" x14ac:dyDescent="0.25">
      <c r="AG5800" s="185"/>
    </row>
    <row r="5801" spans="33:33" x14ac:dyDescent="0.25">
      <c r="AG5801" s="185"/>
    </row>
    <row r="5802" spans="33:33" x14ac:dyDescent="0.25">
      <c r="AG5802" s="185"/>
    </row>
    <row r="5803" spans="33:33" x14ac:dyDescent="0.25">
      <c r="AG5803" s="185"/>
    </row>
    <row r="5804" spans="33:33" x14ac:dyDescent="0.25">
      <c r="AG5804" s="185"/>
    </row>
    <row r="5805" spans="33:33" x14ac:dyDescent="0.25">
      <c r="AG5805" s="185"/>
    </row>
    <row r="5806" spans="33:33" x14ac:dyDescent="0.25">
      <c r="AG5806" s="185"/>
    </row>
    <row r="5807" spans="33:33" x14ac:dyDescent="0.25">
      <c r="AG5807" s="185"/>
    </row>
    <row r="5808" spans="33:33" x14ac:dyDescent="0.25">
      <c r="AG5808" s="185"/>
    </row>
    <row r="5809" spans="33:33" x14ac:dyDescent="0.25">
      <c r="AG5809" s="185"/>
    </row>
    <row r="5810" spans="33:33" x14ac:dyDescent="0.25">
      <c r="AG5810" s="185"/>
    </row>
    <row r="5811" spans="33:33" x14ac:dyDescent="0.25">
      <c r="AG5811" s="185"/>
    </row>
    <row r="5812" spans="33:33" x14ac:dyDescent="0.25">
      <c r="AG5812" s="185"/>
    </row>
    <row r="5813" spans="33:33" x14ac:dyDescent="0.25">
      <c r="AG5813" s="185"/>
    </row>
    <row r="5814" spans="33:33" x14ac:dyDescent="0.25">
      <c r="AG5814" s="185"/>
    </row>
    <row r="5815" spans="33:33" x14ac:dyDescent="0.25">
      <c r="AG5815" s="185"/>
    </row>
    <row r="5816" spans="33:33" x14ac:dyDescent="0.25">
      <c r="AG5816" s="185"/>
    </row>
    <row r="5817" spans="33:33" x14ac:dyDescent="0.25">
      <c r="AG5817" s="185"/>
    </row>
    <row r="5818" spans="33:33" x14ac:dyDescent="0.25">
      <c r="AG5818" s="185"/>
    </row>
    <row r="5819" spans="33:33" x14ac:dyDescent="0.25">
      <c r="AG5819" s="185"/>
    </row>
    <row r="5820" spans="33:33" x14ac:dyDescent="0.25">
      <c r="AG5820" s="185"/>
    </row>
    <row r="5821" spans="33:33" x14ac:dyDescent="0.25">
      <c r="AG5821" s="185"/>
    </row>
    <row r="5822" spans="33:33" x14ac:dyDescent="0.25">
      <c r="AG5822" s="185"/>
    </row>
    <row r="5823" spans="33:33" x14ac:dyDescent="0.25">
      <c r="AG5823" s="185"/>
    </row>
    <row r="5824" spans="33:33" x14ac:dyDescent="0.25">
      <c r="AG5824" s="185"/>
    </row>
    <row r="5825" spans="33:33" x14ac:dyDescent="0.25">
      <c r="AG5825" s="185"/>
    </row>
    <row r="5826" spans="33:33" x14ac:dyDescent="0.25">
      <c r="AG5826" s="185"/>
    </row>
    <row r="5827" spans="33:33" x14ac:dyDescent="0.25">
      <c r="AG5827" s="185"/>
    </row>
    <row r="5828" spans="33:33" x14ac:dyDescent="0.25">
      <c r="AG5828" s="185"/>
    </row>
    <row r="5829" spans="33:33" x14ac:dyDescent="0.25">
      <c r="AG5829" s="185"/>
    </row>
    <row r="5830" spans="33:33" x14ac:dyDescent="0.25">
      <c r="AG5830" s="185"/>
    </row>
    <row r="5831" spans="33:33" x14ac:dyDescent="0.25">
      <c r="AG5831" s="185"/>
    </row>
    <row r="5832" spans="33:33" x14ac:dyDescent="0.25">
      <c r="AG5832" s="185"/>
    </row>
    <row r="5833" spans="33:33" x14ac:dyDescent="0.25">
      <c r="AG5833" s="185"/>
    </row>
    <row r="5834" spans="33:33" x14ac:dyDescent="0.25">
      <c r="AG5834" s="185"/>
    </row>
    <row r="5835" spans="33:33" x14ac:dyDescent="0.25">
      <c r="AG5835" s="185"/>
    </row>
    <row r="5836" spans="33:33" x14ac:dyDescent="0.25">
      <c r="AG5836" s="185"/>
    </row>
    <row r="5837" spans="33:33" x14ac:dyDescent="0.25">
      <c r="AG5837" s="185"/>
    </row>
    <row r="5838" spans="33:33" x14ac:dyDescent="0.25">
      <c r="AG5838" s="185"/>
    </row>
    <row r="5839" spans="33:33" x14ac:dyDescent="0.25">
      <c r="AG5839" s="185"/>
    </row>
    <row r="5840" spans="33:33" x14ac:dyDescent="0.25">
      <c r="AG5840" s="185"/>
    </row>
    <row r="5841" spans="33:33" x14ac:dyDescent="0.25">
      <c r="AG5841" s="185"/>
    </row>
    <row r="5842" spans="33:33" x14ac:dyDescent="0.25">
      <c r="AG5842" s="185"/>
    </row>
    <row r="5843" spans="33:33" x14ac:dyDescent="0.25">
      <c r="AG5843" s="185"/>
    </row>
    <row r="5844" spans="33:33" x14ac:dyDescent="0.25">
      <c r="AG5844" s="185"/>
    </row>
    <row r="5845" spans="33:33" x14ac:dyDescent="0.25">
      <c r="AG5845" s="185"/>
    </row>
    <row r="5846" spans="33:33" x14ac:dyDescent="0.25">
      <c r="AG5846" s="185"/>
    </row>
    <row r="5847" spans="33:33" x14ac:dyDescent="0.25">
      <c r="AG5847" s="185"/>
    </row>
    <row r="5848" spans="33:33" x14ac:dyDescent="0.25">
      <c r="AG5848" s="185"/>
    </row>
    <row r="5849" spans="33:33" x14ac:dyDescent="0.25">
      <c r="AG5849" s="185"/>
    </row>
    <row r="5850" spans="33:33" x14ac:dyDescent="0.25">
      <c r="AG5850" s="185"/>
    </row>
    <row r="5851" spans="33:33" x14ac:dyDescent="0.25">
      <c r="AG5851" s="185"/>
    </row>
    <row r="5852" spans="33:33" x14ac:dyDescent="0.25">
      <c r="AG5852" s="185"/>
    </row>
    <row r="5853" spans="33:33" x14ac:dyDescent="0.25">
      <c r="AG5853" s="185"/>
    </row>
    <row r="5854" spans="33:33" x14ac:dyDescent="0.25">
      <c r="AG5854" s="185"/>
    </row>
    <row r="5855" spans="33:33" x14ac:dyDescent="0.25">
      <c r="AG5855" s="185"/>
    </row>
    <row r="5856" spans="33:33" x14ac:dyDescent="0.25">
      <c r="AG5856" s="185"/>
    </row>
    <row r="5857" spans="33:33" x14ac:dyDescent="0.25">
      <c r="AG5857" s="185"/>
    </row>
    <row r="5858" spans="33:33" x14ac:dyDescent="0.25">
      <c r="AG5858" s="185"/>
    </row>
    <row r="5859" spans="33:33" x14ac:dyDescent="0.25">
      <c r="AG5859" s="185"/>
    </row>
    <row r="5860" spans="33:33" x14ac:dyDescent="0.25">
      <c r="AG5860" s="185"/>
    </row>
    <row r="5861" spans="33:33" x14ac:dyDescent="0.25">
      <c r="AG5861" s="185"/>
    </row>
    <row r="5862" spans="33:33" x14ac:dyDescent="0.25">
      <c r="AG5862" s="185"/>
    </row>
    <row r="5863" spans="33:33" x14ac:dyDescent="0.25">
      <c r="AG5863" s="185"/>
    </row>
    <row r="5864" spans="33:33" x14ac:dyDescent="0.25">
      <c r="AG5864" s="185"/>
    </row>
    <row r="5865" spans="33:33" x14ac:dyDescent="0.25">
      <c r="AG5865" s="185"/>
    </row>
    <row r="5866" spans="33:33" x14ac:dyDescent="0.25">
      <c r="AG5866" s="185"/>
    </row>
    <row r="5867" spans="33:33" x14ac:dyDescent="0.25">
      <c r="AG5867" s="185"/>
    </row>
    <row r="5868" spans="33:33" x14ac:dyDescent="0.25">
      <c r="AG5868" s="185"/>
    </row>
    <row r="5869" spans="33:33" x14ac:dyDescent="0.25">
      <c r="AG5869" s="185"/>
    </row>
    <row r="5870" spans="33:33" x14ac:dyDescent="0.25">
      <c r="AG5870" s="185"/>
    </row>
    <row r="5871" spans="33:33" x14ac:dyDescent="0.25">
      <c r="AG5871" s="185"/>
    </row>
    <row r="5872" spans="33:33" x14ac:dyDescent="0.25">
      <c r="AG5872" s="185"/>
    </row>
    <row r="5873" spans="33:33" x14ac:dyDescent="0.25">
      <c r="AG5873" s="185"/>
    </row>
    <row r="5874" spans="33:33" x14ac:dyDescent="0.25">
      <c r="AG5874" s="185"/>
    </row>
    <row r="5875" spans="33:33" x14ac:dyDescent="0.25">
      <c r="AG5875" s="185"/>
    </row>
    <row r="5876" spans="33:33" x14ac:dyDescent="0.25">
      <c r="AG5876" s="185"/>
    </row>
    <row r="5877" spans="33:33" x14ac:dyDescent="0.25">
      <c r="AG5877" s="185"/>
    </row>
    <row r="5878" spans="33:33" x14ac:dyDescent="0.25">
      <c r="AG5878" s="185"/>
    </row>
    <row r="5879" spans="33:33" x14ac:dyDescent="0.25">
      <c r="AG5879" s="185"/>
    </row>
    <row r="5880" spans="33:33" x14ac:dyDescent="0.25">
      <c r="AG5880" s="185"/>
    </row>
    <row r="5881" spans="33:33" x14ac:dyDescent="0.25">
      <c r="AG5881" s="185"/>
    </row>
    <row r="5882" spans="33:33" x14ac:dyDescent="0.25">
      <c r="AG5882" s="185"/>
    </row>
    <row r="5883" spans="33:33" x14ac:dyDescent="0.25">
      <c r="AG5883" s="185"/>
    </row>
    <row r="5884" spans="33:33" x14ac:dyDescent="0.25">
      <c r="AG5884" s="185"/>
    </row>
    <row r="5885" spans="33:33" x14ac:dyDescent="0.25">
      <c r="AG5885" s="185"/>
    </row>
    <row r="5886" spans="33:33" x14ac:dyDescent="0.25">
      <c r="AG5886" s="185"/>
    </row>
    <row r="5887" spans="33:33" x14ac:dyDescent="0.25">
      <c r="AG5887" s="185"/>
    </row>
    <row r="5888" spans="33:33" x14ac:dyDescent="0.25">
      <c r="AG5888" s="185"/>
    </row>
    <row r="5889" spans="33:33" x14ac:dyDescent="0.25">
      <c r="AG5889" s="185"/>
    </row>
    <row r="5890" spans="33:33" x14ac:dyDescent="0.25">
      <c r="AG5890" s="185"/>
    </row>
    <row r="5891" spans="33:33" x14ac:dyDescent="0.25">
      <c r="AG5891" s="185"/>
    </row>
    <row r="5892" spans="33:33" x14ac:dyDescent="0.25">
      <c r="AG5892" s="185"/>
    </row>
    <row r="5893" spans="33:33" x14ac:dyDescent="0.25">
      <c r="AG5893" s="185"/>
    </row>
    <row r="5894" spans="33:33" x14ac:dyDescent="0.25">
      <c r="AG5894" s="185"/>
    </row>
    <row r="5895" spans="33:33" x14ac:dyDescent="0.25">
      <c r="AG5895" s="185"/>
    </row>
    <row r="5896" spans="33:33" x14ac:dyDescent="0.25">
      <c r="AG5896" s="185"/>
    </row>
    <row r="5897" spans="33:33" x14ac:dyDescent="0.25">
      <c r="AG5897" s="185"/>
    </row>
    <row r="5898" spans="33:33" x14ac:dyDescent="0.25">
      <c r="AG5898" s="185"/>
    </row>
    <row r="5899" spans="33:33" x14ac:dyDescent="0.25">
      <c r="AG5899" s="185"/>
    </row>
    <row r="5900" spans="33:33" x14ac:dyDescent="0.25">
      <c r="AG5900" s="185"/>
    </row>
    <row r="5901" spans="33:33" x14ac:dyDescent="0.25">
      <c r="AG5901" s="185"/>
    </row>
    <row r="5902" spans="33:33" x14ac:dyDescent="0.25">
      <c r="AG5902" s="185"/>
    </row>
    <row r="5903" spans="33:33" x14ac:dyDescent="0.25">
      <c r="AG5903" s="185"/>
    </row>
    <row r="5904" spans="33:33" x14ac:dyDescent="0.25">
      <c r="AG5904" s="185"/>
    </row>
    <row r="5905" spans="33:33" x14ac:dyDescent="0.25">
      <c r="AG5905" s="185"/>
    </row>
    <row r="5906" spans="33:33" x14ac:dyDescent="0.25">
      <c r="AG5906" s="185"/>
    </row>
    <row r="5907" spans="33:33" x14ac:dyDescent="0.25">
      <c r="AG5907" s="185"/>
    </row>
    <row r="5908" spans="33:33" x14ac:dyDescent="0.25">
      <c r="AG5908" s="185"/>
    </row>
    <row r="5909" spans="33:33" x14ac:dyDescent="0.25">
      <c r="AG5909" s="185"/>
    </row>
    <row r="5910" spans="33:33" x14ac:dyDescent="0.25">
      <c r="AG5910" s="185"/>
    </row>
    <row r="5911" spans="33:33" x14ac:dyDescent="0.25">
      <c r="AG5911" s="185"/>
    </row>
    <row r="5912" spans="33:33" x14ac:dyDescent="0.25">
      <c r="AG5912" s="185"/>
    </row>
    <row r="5913" spans="33:33" x14ac:dyDescent="0.25">
      <c r="AG5913" s="185"/>
    </row>
    <row r="5914" spans="33:33" x14ac:dyDescent="0.25">
      <c r="AG5914" s="185"/>
    </row>
    <row r="5915" spans="33:33" x14ac:dyDescent="0.25">
      <c r="AG5915" s="185"/>
    </row>
    <row r="5916" spans="33:33" x14ac:dyDescent="0.25">
      <c r="AG5916" s="185"/>
    </row>
    <row r="5917" spans="33:33" x14ac:dyDescent="0.25">
      <c r="AG5917" s="185"/>
    </row>
    <row r="5918" spans="33:33" x14ac:dyDescent="0.25">
      <c r="AG5918" s="185"/>
    </row>
    <row r="5919" spans="33:33" x14ac:dyDescent="0.25">
      <c r="AG5919" s="185"/>
    </row>
    <row r="5920" spans="33:33" x14ac:dyDescent="0.25">
      <c r="AG5920" s="185"/>
    </row>
    <row r="5921" spans="33:33" x14ac:dyDescent="0.25">
      <c r="AG5921" s="185"/>
    </row>
    <row r="5922" spans="33:33" x14ac:dyDescent="0.25">
      <c r="AG5922" s="185"/>
    </row>
    <row r="5923" spans="33:33" x14ac:dyDescent="0.25">
      <c r="AG5923" s="185"/>
    </row>
    <row r="5924" spans="33:33" x14ac:dyDescent="0.25">
      <c r="AG5924" s="185"/>
    </row>
    <row r="5925" spans="33:33" x14ac:dyDescent="0.25">
      <c r="AG5925" s="185"/>
    </row>
    <row r="5926" spans="33:33" x14ac:dyDescent="0.25">
      <c r="AG5926" s="185"/>
    </row>
    <row r="5927" spans="33:33" x14ac:dyDescent="0.25">
      <c r="AG5927" s="185"/>
    </row>
    <row r="5928" spans="33:33" x14ac:dyDescent="0.25">
      <c r="AG5928" s="185"/>
    </row>
    <row r="5929" spans="33:33" x14ac:dyDescent="0.25">
      <c r="AG5929" s="185"/>
    </row>
    <row r="5930" spans="33:33" x14ac:dyDescent="0.25">
      <c r="AG5930" s="185"/>
    </row>
    <row r="5931" spans="33:33" x14ac:dyDescent="0.25">
      <c r="AG5931" s="185"/>
    </row>
    <row r="5932" spans="33:33" x14ac:dyDescent="0.25">
      <c r="AG5932" s="185"/>
    </row>
    <row r="5933" spans="33:33" x14ac:dyDescent="0.25">
      <c r="AG5933" s="185"/>
    </row>
    <row r="5934" spans="33:33" x14ac:dyDescent="0.25">
      <c r="AG5934" s="185"/>
    </row>
    <row r="5935" spans="33:33" x14ac:dyDescent="0.25">
      <c r="AG5935" s="185"/>
    </row>
    <row r="5936" spans="33:33" x14ac:dyDescent="0.25">
      <c r="AG5936" s="185"/>
    </row>
    <row r="5937" spans="33:33" x14ac:dyDescent="0.25">
      <c r="AG5937" s="185"/>
    </row>
    <row r="5938" spans="33:33" x14ac:dyDescent="0.25">
      <c r="AG5938" s="185"/>
    </row>
    <row r="5939" spans="33:33" x14ac:dyDescent="0.25">
      <c r="AG5939" s="185"/>
    </row>
    <row r="5940" spans="33:33" x14ac:dyDescent="0.25">
      <c r="AG5940" s="185"/>
    </row>
    <row r="5941" spans="33:33" x14ac:dyDescent="0.25">
      <c r="AG5941" s="185"/>
    </row>
    <row r="5942" spans="33:33" x14ac:dyDescent="0.25">
      <c r="AG5942" s="185"/>
    </row>
    <row r="5943" spans="33:33" x14ac:dyDescent="0.25">
      <c r="AG5943" s="185"/>
    </row>
    <row r="5944" spans="33:33" x14ac:dyDescent="0.25">
      <c r="AG5944" s="185"/>
    </row>
    <row r="5945" spans="33:33" x14ac:dyDescent="0.25">
      <c r="AG5945" s="185"/>
    </row>
    <row r="5946" spans="33:33" x14ac:dyDescent="0.25">
      <c r="AG5946" s="185"/>
    </row>
    <row r="5947" spans="33:33" x14ac:dyDescent="0.25">
      <c r="AG5947" s="185"/>
    </row>
    <row r="5948" spans="33:33" x14ac:dyDescent="0.25">
      <c r="AG5948" s="185"/>
    </row>
    <row r="5949" spans="33:33" x14ac:dyDescent="0.25">
      <c r="AG5949" s="185"/>
    </row>
    <row r="5950" spans="33:33" x14ac:dyDescent="0.25">
      <c r="AG5950" s="185"/>
    </row>
    <row r="5951" spans="33:33" x14ac:dyDescent="0.25">
      <c r="AG5951" s="185"/>
    </row>
    <row r="5952" spans="33:33" x14ac:dyDescent="0.25">
      <c r="AG5952" s="185"/>
    </row>
    <row r="5953" spans="33:33" x14ac:dyDescent="0.25">
      <c r="AG5953" s="185"/>
    </row>
    <row r="5954" spans="33:33" x14ac:dyDescent="0.25">
      <c r="AG5954" s="185"/>
    </row>
    <row r="5955" spans="33:33" x14ac:dyDescent="0.25">
      <c r="AG5955" s="185"/>
    </row>
    <row r="5956" spans="33:33" x14ac:dyDescent="0.25">
      <c r="AG5956" s="185"/>
    </row>
    <row r="5957" spans="33:33" x14ac:dyDescent="0.25">
      <c r="AG5957" s="185"/>
    </row>
    <row r="5958" spans="33:33" x14ac:dyDescent="0.25">
      <c r="AG5958" s="185"/>
    </row>
    <row r="5959" spans="33:33" x14ac:dyDescent="0.25">
      <c r="AG5959" s="185"/>
    </row>
    <row r="5960" spans="33:33" x14ac:dyDescent="0.25">
      <c r="AG5960" s="185"/>
    </row>
    <row r="5961" spans="33:33" x14ac:dyDescent="0.25">
      <c r="AG5961" s="185"/>
    </row>
    <row r="5962" spans="33:33" x14ac:dyDescent="0.25">
      <c r="AG5962" s="185"/>
    </row>
    <row r="5963" spans="33:33" x14ac:dyDescent="0.25">
      <c r="AG5963" s="185"/>
    </row>
    <row r="5964" spans="33:33" x14ac:dyDescent="0.25">
      <c r="AG5964" s="185"/>
    </row>
    <row r="5965" spans="33:33" x14ac:dyDescent="0.25">
      <c r="AG5965" s="185"/>
    </row>
    <row r="5966" spans="33:33" x14ac:dyDescent="0.25">
      <c r="AG5966" s="185"/>
    </row>
    <row r="5967" spans="33:33" x14ac:dyDescent="0.25">
      <c r="AG5967" s="185"/>
    </row>
    <row r="5968" spans="33:33" x14ac:dyDescent="0.25">
      <c r="AG5968" s="185"/>
    </row>
    <row r="5969" spans="33:33" x14ac:dyDescent="0.25">
      <c r="AG5969" s="185"/>
    </row>
    <row r="5970" spans="33:33" x14ac:dyDescent="0.25">
      <c r="AG5970" s="185"/>
    </row>
    <row r="5971" spans="33:33" x14ac:dyDescent="0.25">
      <c r="AG5971" s="185"/>
    </row>
    <row r="5972" spans="33:33" x14ac:dyDescent="0.25">
      <c r="AG5972" s="185"/>
    </row>
    <row r="5973" spans="33:33" x14ac:dyDescent="0.25">
      <c r="AG5973" s="185"/>
    </row>
    <row r="5974" spans="33:33" x14ac:dyDescent="0.25">
      <c r="AG5974" s="185"/>
    </row>
    <row r="5975" spans="33:33" x14ac:dyDescent="0.25">
      <c r="AG5975" s="185"/>
    </row>
    <row r="5976" spans="33:33" x14ac:dyDescent="0.25">
      <c r="AG5976" s="185"/>
    </row>
    <row r="5977" spans="33:33" x14ac:dyDescent="0.25">
      <c r="AG5977" s="185"/>
    </row>
    <row r="5978" spans="33:33" x14ac:dyDescent="0.25">
      <c r="AG5978" s="185"/>
    </row>
    <row r="5979" spans="33:33" x14ac:dyDescent="0.25">
      <c r="AG5979" s="185"/>
    </row>
    <row r="5980" spans="33:33" x14ac:dyDescent="0.25">
      <c r="AG5980" s="185"/>
    </row>
    <row r="5981" spans="33:33" x14ac:dyDescent="0.25">
      <c r="AG5981" s="185"/>
    </row>
    <row r="5982" spans="33:33" x14ac:dyDescent="0.25">
      <c r="AG5982" s="185"/>
    </row>
    <row r="5983" spans="33:33" x14ac:dyDescent="0.25">
      <c r="AG5983" s="185"/>
    </row>
    <row r="5984" spans="33:33" x14ac:dyDescent="0.25">
      <c r="AG5984" s="185"/>
    </row>
    <row r="5985" spans="33:33" x14ac:dyDescent="0.25">
      <c r="AG5985" s="185"/>
    </row>
    <row r="5986" spans="33:33" x14ac:dyDescent="0.25">
      <c r="AG5986" s="185"/>
    </row>
    <row r="5987" spans="33:33" x14ac:dyDescent="0.25">
      <c r="AG5987" s="185"/>
    </row>
    <row r="5988" spans="33:33" x14ac:dyDescent="0.25">
      <c r="AG5988" s="185"/>
    </row>
    <row r="5989" spans="33:33" x14ac:dyDescent="0.25">
      <c r="AG5989" s="185"/>
    </row>
    <row r="5990" spans="33:33" x14ac:dyDescent="0.25">
      <c r="AG5990" s="185"/>
    </row>
    <row r="5991" spans="33:33" x14ac:dyDescent="0.25">
      <c r="AG5991" s="185"/>
    </row>
    <row r="5992" spans="33:33" x14ac:dyDescent="0.25">
      <c r="AG5992" s="185"/>
    </row>
    <row r="5993" spans="33:33" x14ac:dyDescent="0.25">
      <c r="AG5993" s="185"/>
    </row>
    <row r="5994" spans="33:33" x14ac:dyDescent="0.25">
      <c r="AG5994" s="185"/>
    </row>
    <row r="5995" spans="33:33" x14ac:dyDescent="0.25">
      <c r="AG5995" s="185"/>
    </row>
    <row r="5996" spans="33:33" x14ac:dyDescent="0.25">
      <c r="AG5996" s="185"/>
    </row>
    <row r="5997" spans="33:33" x14ac:dyDescent="0.25">
      <c r="AG5997" s="185"/>
    </row>
    <row r="5998" spans="33:33" x14ac:dyDescent="0.25">
      <c r="AG5998" s="185"/>
    </row>
    <row r="5999" spans="33:33" x14ac:dyDescent="0.25">
      <c r="AG5999" s="185"/>
    </row>
    <row r="6000" spans="33:33" x14ac:dyDescent="0.25">
      <c r="AG6000" s="185"/>
    </row>
    <row r="6001" spans="33:33" x14ac:dyDescent="0.25">
      <c r="AG6001" s="185"/>
    </row>
    <row r="6002" spans="33:33" x14ac:dyDescent="0.25">
      <c r="AG6002" s="185"/>
    </row>
    <row r="6003" spans="33:33" x14ac:dyDescent="0.25">
      <c r="AG6003" s="185"/>
    </row>
    <row r="6004" spans="33:33" x14ac:dyDescent="0.25">
      <c r="AG6004" s="185"/>
    </row>
    <row r="6005" spans="33:33" x14ac:dyDescent="0.25">
      <c r="AG6005" s="185"/>
    </row>
    <row r="6006" spans="33:33" x14ac:dyDescent="0.25">
      <c r="AG6006" s="185"/>
    </row>
    <row r="6007" spans="33:33" x14ac:dyDescent="0.25">
      <c r="AG6007" s="185"/>
    </row>
    <row r="6008" spans="33:33" x14ac:dyDescent="0.25">
      <c r="AG6008" s="185"/>
    </row>
    <row r="6009" spans="33:33" x14ac:dyDescent="0.25">
      <c r="AG6009" s="185"/>
    </row>
    <row r="6010" spans="33:33" x14ac:dyDescent="0.25">
      <c r="AG6010" s="185"/>
    </row>
    <row r="6011" spans="33:33" x14ac:dyDescent="0.25">
      <c r="AG6011" s="185"/>
    </row>
    <row r="6012" spans="33:33" x14ac:dyDescent="0.25">
      <c r="AG6012" s="185"/>
    </row>
    <row r="6013" spans="33:33" x14ac:dyDescent="0.25">
      <c r="AG6013" s="185"/>
    </row>
    <row r="6014" spans="33:33" x14ac:dyDescent="0.25">
      <c r="AG6014" s="185"/>
    </row>
    <row r="6015" spans="33:33" x14ac:dyDescent="0.25">
      <c r="AG6015" s="185"/>
    </row>
    <row r="6016" spans="33:33" x14ac:dyDescent="0.25">
      <c r="AG6016" s="185"/>
    </row>
    <row r="6017" spans="33:33" x14ac:dyDescent="0.25">
      <c r="AG6017" s="185"/>
    </row>
    <row r="6018" spans="33:33" x14ac:dyDescent="0.25">
      <c r="AG6018" s="185"/>
    </row>
    <row r="6019" spans="33:33" x14ac:dyDescent="0.25">
      <c r="AG6019" s="185"/>
    </row>
    <row r="6020" spans="33:33" x14ac:dyDescent="0.25">
      <c r="AG6020" s="185"/>
    </row>
    <row r="6021" spans="33:33" x14ac:dyDescent="0.25">
      <c r="AG6021" s="185"/>
    </row>
    <row r="6022" spans="33:33" x14ac:dyDescent="0.25">
      <c r="AG6022" s="185"/>
    </row>
    <row r="6023" spans="33:33" x14ac:dyDescent="0.25">
      <c r="AG6023" s="185"/>
    </row>
    <row r="6024" spans="33:33" x14ac:dyDescent="0.25">
      <c r="AG6024" s="185"/>
    </row>
    <row r="6025" spans="33:33" x14ac:dyDescent="0.25">
      <c r="AG6025" s="185"/>
    </row>
    <row r="6026" spans="33:33" x14ac:dyDescent="0.25">
      <c r="AG6026" s="185"/>
    </row>
    <row r="6027" spans="33:33" x14ac:dyDescent="0.25">
      <c r="AG6027" s="185"/>
    </row>
    <row r="6028" spans="33:33" x14ac:dyDescent="0.25">
      <c r="AG6028" s="185"/>
    </row>
    <row r="6029" spans="33:33" x14ac:dyDescent="0.25">
      <c r="AG6029" s="185"/>
    </row>
    <row r="6030" spans="33:33" x14ac:dyDescent="0.25">
      <c r="AG6030" s="185"/>
    </row>
    <row r="6031" spans="33:33" x14ac:dyDescent="0.25">
      <c r="AG6031" s="185"/>
    </row>
    <row r="6032" spans="33:33" x14ac:dyDescent="0.25">
      <c r="AG6032" s="185"/>
    </row>
    <row r="6033" spans="33:33" x14ac:dyDescent="0.25">
      <c r="AG6033" s="185"/>
    </row>
    <row r="6034" spans="33:33" x14ac:dyDescent="0.25">
      <c r="AG6034" s="185"/>
    </row>
    <row r="6035" spans="33:33" x14ac:dyDescent="0.25">
      <c r="AG6035" s="185"/>
    </row>
    <row r="6036" spans="33:33" x14ac:dyDescent="0.25">
      <c r="AG6036" s="185"/>
    </row>
    <row r="6037" spans="33:33" x14ac:dyDescent="0.25">
      <c r="AG6037" s="185"/>
    </row>
    <row r="6038" spans="33:33" x14ac:dyDescent="0.25">
      <c r="AG6038" s="185"/>
    </row>
    <row r="6039" spans="33:33" x14ac:dyDescent="0.25">
      <c r="AG6039" s="185"/>
    </row>
    <row r="6040" spans="33:33" x14ac:dyDescent="0.25">
      <c r="AG6040" s="185"/>
    </row>
    <row r="6041" spans="33:33" x14ac:dyDescent="0.25">
      <c r="AG6041" s="185"/>
    </row>
    <row r="6042" spans="33:33" x14ac:dyDescent="0.25">
      <c r="AG6042" s="185"/>
    </row>
    <row r="6043" spans="33:33" x14ac:dyDescent="0.25">
      <c r="AG6043" s="185"/>
    </row>
    <row r="6044" spans="33:33" x14ac:dyDescent="0.25">
      <c r="AG6044" s="185"/>
    </row>
    <row r="6045" spans="33:33" x14ac:dyDescent="0.25">
      <c r="AG6045" s="185"/>
    </row>
    <row r="6046" spans="33:33" x14ac:dyDescent="0.25">
      <c r="AG6046" s="185"/>
    </row>
    <row r="6047" spans="33:33" x14ac:dyDescent="0.25">
      <c r="AG6047" s="185"/>
    </row>
    <row r="6048" spans="33:33" x14ac:dyDescent="0.25">
      <c r="AG6048" s="185"/>
    </row>
    <row r="6049" spans="33:33" x14ac:dyDescent="0.25">
      <c r="AG6049" s="185"/>
    </row>
    <row r="6050" spans="33:33" x14ac:dyDescent="0.25">
      <c r="AG6050" s="185"/>
    </row>
    <row r="6051" spans="33:33" x14ac:dyDescent="0.25">
      <c r="AG6051" s="185"/>
    </row>
    <row r="6052" spans="33:33" x14ac:dyDescent="0.25">
      <c r="AG6052" s="185"/>
    </row>
    <row r="6053" spans="33:33" x14ac:dyDescent="0.25">
      <c r="AG6053" s="185"/>
    </row>
    <row r="6054" spans="33:33" x14ac:dyDescent="0.25">
      <c r="AG6054" s="185"/>
    </row>
    <row r="6055" spans="33:33" x14ac:dyDescent="0.25">
      <c r="AG6055" s="185"/>
    </row>
    <row r="6056" spans="33:33" x14ac:dyDescent="0.25">
      <c r="AG6056" s="185"/>
    </row>
    <row r="6057" spans="33:33" x14ac:dyDescent="0.25">
      <c r="AG6057" s="185"/>
    </row>
    <row r="6058" spans="33:33" x14ac:dyDescent="0.25">
      <c r="AG6058" s="185"/>
    </row>
    <row r="6059" spans="33:33" x14ac:dyDescent="0.25">
      <c r="AG6059" s="185"/>
    </row>
    <row r="6060" spans="33:33" x14ac:dyDescent="0.25">
      <c r="AG6060" s="185"/>
    </row>
    <row r="6061" spans="33:33" x14ac:dyDescent="0.25">
      <c r="AG6061" s="185"/>
    </row>
    <row r="6062" spans="33:33" x14ac:dyDescent="0.25">
      <c r="AG6062" s="185"/>
    </row>
    <row r="6063" spans="33:33" x14ac:dyDescent="0.25">
      <c r="AG6063" s="185"/>
    </row>
    <row r="6064" spans="33:33" x14ac:dyDescent="0.25">
      <c r="AG6064" s="185"/>
    </row>
    <row r="6065" spans="33:33" x14ac:dyDescent="0.25">
      <c r="AG6065" s="185"/>
    </row>
    <row r="6066" spans="33:33" x14ac:dyDescent="0.25">
      <c r="AG6066" s="185"/>
    </row>
    <row r="6067" spans="33:33" x14ac:dyDescent="0.25">
      <c r="AG6067" s="185"/>
    </row>
    <row r="6068" spans="33:33" x14ac:dyDescent="0.25">
      <c r="AG6068" s="185"/>
    </row>
    <row r="6069" spans="33:33" x14ac:dyDescent="0.25">
      <c r="AG6069" s="185"/>
    </row>
    <row r="6070" spans="33:33" x14ac:dyDescent="0.25">
      <c r="AG6070" s="185"/>
    </row>
    <row r="6071" spans="33:33" x14ac:dyDescent="0.25">
      <c r="AG6071" s="185"/>
    </row>
    <row r="6072" spans="33:33" x14ac:dyDescent="0.25">
      <c r="AG6072" s="185"/>
    </row>
    <row r="6073" spans="33:33" x14ac:dyDescent="0.25">
      <c r="AG6073" s="185"/>
    </row>
    <row r="6074" spans="33:33" x14ac:dyDescent="0.25">
      <c r="AG6074" s="185"/>
    </row>
    <row r="6075" spans="33:33" x14ac:dyDescent="0.25">
      <c r="AG6075" s="185"/>
    </row>
    <row r="6076" spans="33:33" x14ac:dyDescent="0.25">
      <c r="AG6076" s="185"/>
    </row>
    <row r="6077" spans="33:33" x14ac:dyDescent="0.25">
      <c r="AG6077" s="185"/>
    </row>
    <row r="6078" spans="33:33" x14ac:dyDescent="0.25">
      <c r="AG6078" s="185"/>
    </row>
    <row r="6079" spans="33:33" x14ac:dyDescent="0.25">
      <c r="AG6079" s="185"/>
    </row>
    <row r="6080" spans="33:33" x14ac:dyDescent="0.25">
      <c r="AG6080" s="185"/>
    </row>
    <row r="6081" spans="33:33" x14ac:dyDescent="0.25">
      <c r="AG6081" s="185"/>
    </row>
    <row r="6082" spans="33:33" x14ac:dyDescent="0.25">
      <c r="AG6082" s="185"/>
    </row>
    <row r="6083" spans="33:33" x14ac:dyDescent="0.25">
      <c r="AG6083" s="185"/>
    </row>
    <row r="6084" spans="33:33" x14ac:dyDescent="0.25">
      <c r="AG6084" s="185"/>
    </row>
    <row r="6085" spans="33:33" x14ac:dyDescent="0.25">
      <c r="AG6085" s="185"/>
    </row>
    <row r="6086" spans="33:33" x14ac:dyDescent="0.25">
      <c r="AG6086" s="185"/>
    </row>
    <row r="6087" spans="33:33" x14ac:dyDescent="0.25">
      <c r="AG6087" s="185"/>
    </row>
    <row r="6088" spans="33:33" x14ac:dyDescent="0.25">
      <c r="AG6088" s="185"/>
    </row>
    <row r="6089" spans="33:33" x14ac:dyDescent="0.25">
      <c r="AG6089" s="185"/>
    </row>
    <row r="6090" spans="33:33" x14ac:dyDescent="0.25">
      <c r="AG6090" s="185"/>
    </row>
    <row r="6091" spans="33:33" x14ac:dyDescent="0.25">
      <c r="AG6091" s="185"/>
    </row>
    <row r="6092" spans="33:33" x14ac:dyDescent="0.25">
      <c r="AG6092" s="185"/>
    </row>
    <row r="6093" spans="33:33" x14ac:dyDescent="0.25">
      <c r="AG6093" s="185"/>
    </row>
    <row r="6094" spans="33:33" x14ac:dyDescent="0.25">
      <c r="AG6094" s="185"/>
    </row>
    <row r="6095" spans="33:33" x14ac:dyDescent="0.25">
      <c r="AG6095" s="185"/>
    </row>
    <row r="6096" spans="33:33" x14ac:dyDescent="0.25">
      <c r="AG6096" s="185"/>
    </row>
    <row r="6097" spans="33:33" x14ac:dyDescent="0.25">
      <c r="AG6097" s="185"/>
    </row>
    <row r="6098" spans="33:33" x14ac:dyDescent="0.25">
      <c r="AG6098" s="185"/>
    </row>
    <row r="6099" spans="33:33" x14ac:dyDescent="0.25">
      <c r="AG6099" s="185"/>
    </row>
    <row r="6100" spans="33:33" x14ac:dyDescent="0.25">
      <c r="AG6100" s="185"/>
    </row>
    <row r="6101" spans="33:33" x14ac:dyDescent="0.25">
      <c r="AG6101" s="185"/>
    </row>
    <row r="6102" spans="33:33" x14ac:dyDescent="0.25">
      <c r="AG6102" s="185"/>
    </row>
    <row r="6103" spans="33:33" x14ac:dyDescent="0.25">
      <c r="AG6103" s="185"/>
    </row>
    <row r="6104" spans="33:33" x14ac:dyDescent="0.25">
      <c r="AG6104" s="185"/>
    </row>
    <row r="6105" spans="33:33" x14ac:dyDescent="0.25">
      <c r="AG6105" s="185"/>
    </row>
    <row r="6106" spans="33:33" x14ac:dyDescent="0.25">
      <c r="AG6106" s="185"/>
    </row>
    <row r="6107" spans="33:33" x14ac:dyDescent="0.25">
      <c r="AG6107" s="185"/>
    </row>
    <row r="6108" spans="33:33" x14ac:dyDescent="0.25">
      <c r="AG6108" s="185"/>
    </row>
    <row r="6109" spans="33:33" x14ac:dyDescent="0.25">
      <c r="AG6109" s="185"/>
    </row>
    <row r="6110" spans="33:33" x14ac:dyDescent="0.25">
      <c r="AG6110" s="185"/>
    </row>
    <row r="6111" spans="33:33" x14ac:dyDescent="0.25">
      <c r="AG6111" s="185"/>
    </row>
    <row r="6112" spans="33:33" x14ac:dyDescent="0.25">
      <c r="AG6112" s="185"/>
    </row>
    <row r="6113" spans="33:33" x14ac:dyDescent="0.25">
      <c r="AG6113" s="185"/>
    </row>
    <row r="6114" spans="33:33" x14ac:dyDescent="0.25">
      <c r="AG6114" s="185"/>
    </row>
    <row r="6115" spans="33:33" x14ac:dyDescent="0.25">
      <c r="AG6115" s="185"/>
    </row>
    <row r="6116" spans="33:33" x14ac:dyDescent="0.25">
      <c r="AG6116" s="185"/>
    </row>
    <row r="6117" spans="33:33" x14ac:dyDescent="0.25">
      <c r="AG6117" s="185"/>
    </row>
    <row r="6118" spans="33:33" x14ac:dyDescent="0.25">
      <c r="AG6118" s="185"/>
    </row>
    <row r="6119" spans="33:33" x14ac:dyDescent="0.25">
      <c r="AG6119" s="185"/>
    </row>
    <row r="6120" spans="33:33" x14ac:dyDescent="0.25">
      <c r="AG6120" s="185"/>
    </row>
    <row r="6121" spans="33:33" x14ac:dyDescent="0.25">
      <c r="AG6121" s="185"/>
    </row>
    <row r="6122" spans="33:33" x14ac:dyDescent="0.25">
      <c r="AG6122" s="185"/>
    </row>
    <row r="6123" spans="33:33" x14ac:dyDescent="0.25">
      <c r="AG6123" s="185"/>
    </row>
    <row r="6124" spans="33:33" x14ac:dyDescent="0.25">
      <c r="AG6124" s="185"/>
    </row>
    <row r="6125" spans="33:33" x14ac:dyDescent="0.25">
      <c r="AG6125" s="185"/>
    </row>
    <row r="6126" spans="33:33" x14ac:dyDescent="0.25">
      <c r="AG6126" s="185"/>
    </row>
    <row r="6127" spans="33:33" x14ac:dyDescent="0.25">
      <c r="AG6127" s="185"/>
    </row>
    <row r="6128" spans="33:33" x14ac:dyDescent="0.25">
      <c r="AG6128" s="185"/>
    </row>
    <row r="6129" spans="33:33" x14ac:dyDescent="0.25">
      <c r="AG6129" s="185"/>
    </row>
    <row r="6130" spans="33:33" x14ac:dyDescent="0.25">
      <c r="AG6130" s="185"/>
    </row>
    <row r="6131" spans="33:33" x14ac:dyDescent="0.25">
      <c r="AG6131" s="185"/>
    </row>
    <row r="6132" spans="33:33" x14ac:dyDescent="0.25">
      <c r="AG6132" s="185"/>
    </row>
    <row r="6133" spans="33:33" x14ac:dyDescent="0.25">
      <c r="AG6133" s="185"/>
    </row>
    <row r="6134" spans="33:33" x14ac:dyDescent="0.25">
      <c r="AG6134" s="185"/>
    </row>
    <row r="6135" spans="33:33" x14ac:dyDescent="0.25">
      <c r="AG6135" s="185"/>
    </row>
    <row r="6136" spans="33:33" x14ac:dyDescent="0.25">
      <c r="AG6136" s="185"/>
    </row>
    <row r="6137" spans="33:33" x14ac:dyDescent="0.25">
      <c r="AG6137" s="185"/>
    </row>
    <row r="6138" spans="33:33" x14ac:dyDescent="0.25">
      <c r="AG6138" s="185"/>
    </row>
    <row r="6139" spans="33:33" x14ac:dyDescent="0.25">
      <c r="AG6139" s="185"/>
    </row>
    <row r="6140" spans="33:33" x14ac:dyDescent="0.25">
      <c r="AG6140" s="185"/>
    </row>
    <row r="6141" spans="33:33" x14ac:dyDescent="0.25">
      <c r="AG6141" s="185"/>
    </row>
    <row r="6142" spans="33:33" x14ac:dyDescent="0.25">
      <c r="AG6142" s="185"/>
    </row>
    <row r="6143" spans="33:33" x14ac:dyDescent="0.25">
      <c r="AG6143" s="185"/>
    </row>
    <row r="6144" spans="33:33" x14ac:dyDescent="0.25">
      <c r="AG6144" s="185"/>
    </row>
    <row r="6145" spans="33:33" x14ac:dyDescent="0.25">
      <c r="AG6145" s="185"/>
    </row>
    <row r="6146" spans="33:33" x14ac:dyDescent="0.25">
      <c r="AG6146" s="185"/>
    </row>
    <row r="6147" spans="33:33" x14ac:dyDescent="0.25">
      <c r="AG6147" s="185"/>
    </row>
    <row r="6148" spans="33:33" x14ac:dyDescent="0.25">
      <c r="AG6148" s="185"/>
    </row>
    <row r="6149" spans="33:33" x14ac:dyDescent="0.25">
      <c r="AG6149" s="185"/>
    </row>
    <row r="6150" spans="33:33" x14ac:dyDescent="0.25">
      <c r="AG6150" s="185"/>
    </row>
    <row r="6151" spans="33:33" x14ac:dyDescent="0.25">
      <c r="AG6151" s="185"/>
    </row>
    <row r="6152" spans="33:33" x14ac:dyDescent="0.25">
      <c r="AG6152" s="185"/>
    </row>
    <row r="6153" spans="33:33" x14ac:dyDescent="0.25">
      <c r="AG6153" s="185"/>
    </row>
    <row r="6154" spans="33:33" x14ac:dyDescent="0.25">
      <c r="AG6154" s="185"/>
    </row>
    <row r="6155" spans="33:33" x14ac:dyDescent="0.25">
      <c r="AG6155" s="185"/>
    </row>
    <row r="6156" spans="33:33" x14ac:dyDescent="0.25">
      <c r="AG6156" s="185"/>
    </row>
    <row r="6157" spans="33:33" x14ac:dyDescent="0.25">
      <c r="AG6157" s="185"/>
    </row>
    <row r="6158" spans="33:33" x14ac:dyDescent="0.25">
      <c r="AG6158" s="185"/>
    </row>
    <row r="6159" spans="33:33" x14ac:dyDescent="0.25">
      <c r="AG6159" s="185"/>
    </row>
    <row r="6160" spans="33:33" x14ac:dyDescent="0.25">
      <c r="AG6160" s="185"/>
    </row>
    <row r="6161" spans="33:33" x14ac:dyDescent="0.25">
      <c r="AG6161" s="185"/>
    </row>
    <row r="6162" spans="33:33" x14ac:dyDescent="0.25">
      <c r="AG6162" s="185"/>
    </row>
    <row r="6163" spans="33:33" x14ac:dyDescent="0.25">
      <c r="AG6163" s="185"/>
    </row>
    <row r="6164" spans="33:33" x14ac:dyDescent="0.25">
      <c r="AG6164" s="185"/>
    </row>
    <row r="6165" spans="33:33" x14ac:dyDescent="0.25">
      <c r="AG6165" s="185"/>
    </row>
    <row r="6166" spans="33:33" x14ac:dyDescent="0.25">
      <c r="AG6166" s="185"/>
    </row>
    <row r="6167" spans="33:33" x14ac:dyDescent="0.25">
      <c r="AG6167" s="185"/>
    </row>
    <row r="6168" spans="33:33" x14ac:dyDescent="0.25">
      <c r="AG6168" s="185"/>
    </row>
    <row r="6169" spans="33:33" x14ac:dyDescent="0.25">
      <c r="AG6169" s="185"/>
    </row>
    <row r="6170" spans="33:33" x14ac:dyDescent="0.25">
      <c r="AG6170" s="185"/>
    </row>
    <row r="6171" spans="33:33" x14ac:dyDescent="0.25">
      <c r="AG6171" s="185"/>
    </row>
    <row r="6172" spans="33:33" x14ac:dyDescent="0.25">
      <c r="AG6172" s="185"/>
    </row>
    <row r="6173" spans="33:33" x14ac:dyDescent="0.25">
      <c r="AG6173" s="185"/>
    </row>
    <row r="6174" spans="33:33" x14ac:dyDescent="0.25">
      <c r="AG6174" s="185"/>
    </row>
    <row r="6175" spans="33:33" x14ac:dyDescent="0.25">
      <c r="AG6175" s="185"/>
    </row>
    <row r="6176" spans="33:33" x14ac:dyDescent="0.25">
      <c r="AG6176" s="185"/>
    </row>
    <row r="6177" spans="33:33" x14ac:dyDescent="0.25">
      <c r="AG6177" s="185"/>
    </row>
    <row r="6178" spans="33:33" x14ac:dyDescent="0.25">
      <c r="AG6178" s="185"/>
    </row>
    <row r="6179" spans="33:33" x14ac:dyDescent="0.25">
      <c r="AG6179" s="185"/>
    </row>
    <row r="6180" spans="33:33" x14ac:dyDescent="0.25">
      <c r="AG6180" s="185"/>
    </row>
    <row r="6181" spans="33:33" x14ac:dyDescent="0.25">
      <c r="AG6181" s="185"/>
    </row>
    <row r="6182" spans="33:33" x14ac:dyDescent="0.25">
      <c r="AG6182" s="185"/>
    </row>
    <row r="6183" spans="33:33" x14ac:dyDescent="0.25">
      <c r="AG6183" s="185"/>
    </row>
    <row r="6184" spans="33:33" x14ac:dyDescent="0.25">
      <c r="AG6184" s="185"/>
    </row>
    <row r="6185" spans="33:33" x14ac:dyDescent="0.25">
      <c r="AG6185" s="185"/>
    </row>
    <row r="6186" spans="33:33" x14ac:dyDescent="0.25">
      <c r="AG6186" s="185"/>
    </row>
    <row r="6187" spans="33:33" x14ac:dyDescent="0.25">
      <c r="AG6187" s="185"/>
    </row>
    <row r="6188" spans="33:33" x14ac:dyDescent="0.25">
      <c r="AG6188" s="185"/>
    </row>
    <row r="6189" spans="33:33" x14ac:dyDescent="0.25">
      <c r="AG6189" s="185"/>
    </row>
    <row r="6190" spans="33:33" x14ac:dyDescent="0.25">
      <c r="AG6190" s="185"/>
    </row>
    <row r="6191" spans="33:33" x14ac:dyDescent="0.25">
      <c r="AG6191" s="185"/>
    </row>
    <row r="6192" spans="33:33" x14ac:dyDescent="0.25">
      <c r="AG6192" s="185"/>
    </row>
    <row r="6193" spans="33:33" x14ac:dyDescent="0.25">
      <c r="AG6193" s="185"/>
    </row>
    <row r="6194" spans="33:33" x14ac:dyDescent="0.25">
      <c r="AG6194" s="185"/>
    </row>
    <row r="6195" spans="33:33" x14ac:dyDescent="0.25">
      <c r="AG6195" s="185"/>
    </row>
    <row r="6196" spans="33:33" x14ac:dyDescent="0.25">
      <c r="AG6196" s="185"/>
    </row>
    <row r="6197" spans="33:33" x14ac:dyDescent="0.25">
      <c r="AG6197" s="185"/>
    </row>
    <row r="6198" spans="33:33" x14ac:dyDescent="0.25">
      <c r="AG6198" s="185"/>
    </row>
    <row r="6199" spans="33:33" x14ac:dyDescent="0.25">
      <c r="AG6199" s="185"/>
    </row>
    <row r="6200" spans="33:33" x14ac:dyDescent="0.25">
      <c r="AG6200" s="185"/>
    </row>
    <row r="6201" spans="33:33" x14ac:dyDescent="0.25">
      <c r="AG6201" s="185"/>
    </row>
    <row r="6202" spans="33:33" x14ac:dyDescent="0.25">
      <c r="AG6202" s="185"/>
    </row>
    <row r="6203" spans="33:33" x14ac:dyDescent="0.25">
      <c r="AG6203" s="185"/>
    </row>
    <row r="6204" spans="33:33" x14ac:dyDescent="0.25">
      <c r="AG6204" s="185"/>
    </row>
    <row r="6205" spans="33:33" x14ac:dyDescent="0.25">
      <c r="AG6205" s="185"/>
    </row>
    <row r="6206" spans="33:33" x14ac:dyDescent="0.25">
      <c r="AG6206" s="185"/>
    </row>
    <row r="6207" spans="33:33" x14ac:dyDescent="0.25">
      <c r="AG6207" s="185"/>
    </row>
    <row r="6208" spans="33:33" x14ac:dyDescent="0.25">
      <c r="AG6208" s="185"/>
    </row>
    <row r="6209" spans="33:33" x14ac:dyDescent="0.25">
      <c r="AG6209" s="185"/>
    </row>
    <row r="6210" spans="33:33" x14ac:dyDescent="0.25">
      <c r="AG6210" s="185"/>
    </row>
    <row r="6211" spans="33:33" x14ac:dyDescent="0.25">
      <c r="AG6211" s="185"/>
    </row>
    <row r="6212" spans="33:33" x14ac:dyDescent="0.25">
      <c r="AG6212" s="185"/>
    </row>
    <row r="6213" spans="33:33" x14ac:dyDescent="0.25">
      <c r="AG6213" s="185"/>
    </row>
    <row r="6214" spans="33:33" x14ac:dyDescent="0.25">
      <c r="AG6214" s="185"/>
    </row>
    <row r="6215" spans="33:33" x14ac:dyDescent="0.25">
      <c r="AG6215" s="185"/>
    </row>
    <row r="6216" spans="33:33" x14ac:dyDescent="0.25">
      <c r="AG6216" s="185"/>
    </row>
    <row r="6217" spans="33:33" x14ac:dyDescent="0.25">
      <c r="AG6217" s="185"/>
    </row>
    <row r="6218" spans="33:33" x14ac:dyDescent="0.25">
      <c r="AG6218" s="185"/>
    </row>
    <row r="6219" spans="33:33" x14ac:dyDescent="0.25">
      <c r="AG6219" s="185"/>
    </row>
    <row r="6220" spans="33:33" x14ac:dyDescent="0.25">
      <c r="AG6220" s="185"/>
    </row>
    <row r="6221" spans="33:33" x14ac:dyDescent="0.25">
      <c r="AG6221" s="185"/>
    </row>
    <row r="6222" spans="33:33" x14ac:dyDescent="0.25">
      <c r="AG6222" s="185"/>
    </row>
    <row r="6223" spans="33:33" x14ac:dyDescent="0.25">
      <c r="AG6223" s="185"/>
    </row>
    <row r="6224" spans="33:33" x14ac:dyDescent="0.25">
      <c r="AG6224" s="185"/>
    </row>
    <row r="6225" spans="33:33" x14ac:dyDescent="0.25">
      <c r="AG6225" s="185"/>
    </row>
    <row r="6226" spans="33:33" x14ac:dyDescent="0.25">
      <c r="AG6226" s="185"/>
    </row>
    <row r="6227" spans="33:33" x14ac:dyDescent="0.25">
      <c r="AG6227" s="185"/>
    </row>
    <row r="6228" spans="33:33" x14ac:dyDescent="0.25">
      <c r="AG6228" s="185"/>
    </row>
    <row r="6229" spans="33:33" x14ac:dyDescent="0.25">
      <c r="AG6229" s="185"/>
    </row>
    <row r="6230" spans="33:33" x14ac:dyDescent="0.25">
      <c r="AG6230" s="185"/>
    </row>
    <row r="6231" spans="33:33" x14ac:dyDescent="0.25">
      <c r="AG6231" s="185"/>
    </row>
    <row r="6232" spans="33:33" x14ac:dyDescent="0.25">
      <c r="AG6232" s="185"/>
    </row>
    <row r="6233" spans="33:33" x14ac:dyDescent="0.25">
      <c r="AG6233" s="185"/>
    </row>
    <row r="6234" spans="33:33" x14ac:dyDescent="0.25">
      <c r="AG6234" s="185"/>
    </row>
    <row r="6235" spans="33:33" x14ac:dyDescent="0.25">
      <c r="AG6235" s="185"/>
    </row>
    <row r="6236" spans="33:33" x14ac:dyDescent="0.25">
      <c r="AG6236" s="185"/>
    </row>
    <row r="6237" spans="33:33" x14ac:dyDescent="0.25">
      <c r="AG6237" s="185"/>
    </row>
    <row r="6238" spans="33:33" x14ac:dyDescent="0.25">
      <c r="AG6238" s="185"/>
    </row>
    <row r="6239" spans="33:33" x14ac:dyDescent="0.25">
      <c r="AG6239" s="185"/>
    </row>
    <row r="6240" spans="33:33" x14ac:dyDescent="0.25">
      <c r="AG6240" s="185"/>
    </row>
    <row r="6241" spans="33:33" x14ac:dyDescent="0.25">
      <c r="AG6241" s="185"/>
    </row>
    <row r="6242" spans="33:33" x14ac:dyDescent="0.25">
      <c r="AG6242" s="185"/>
    </row>
    <row r="6243" spans="33:33" x14ac:dyDescent="0.25">
      <c r="AG6243" s="185"/>
    </row>
    <row r="6244" spans="33:33" x14ac:dyDescent="0.25">
      <c r="AG6244" s="185"/>
    </row>
    <row r="6245" spans="33:33" x14ac:dyDescent="0.25">
      <c r="AG6245" s="185"/>
    </row>
    <row r="6246" spans="33:33" x14ac:dyDescent="0.25">
      <c r="AG6246" s="185"/>
    </row>
    <row r="6247" spans="33:33" x14ac:dyDescent="0.25">
      <c r="AG6247" s="185"/>
    </row>
    <row r="6248" spans="33:33" x14ac:dyDescent="0.25">
      <c r="AG6248" s="185"/>
    </row>
    <row r="6249" spans="33:33" x14ac:dyDescent="0.25">
      <c r="AG6249" s="185"/>
    </row>
    <row r="6250" spans="33:33" x14ac:dyDescent="0.25">
      <c r="AG6250" s="185"/>
    </row>
    <row r="6251" spans="33:33" x14ac:dyDescent="0.25">
      <c r="AG6251" s="185"/>
    </row>
    <row r="6252" spans="33:33" x14ac:dyDescent="0.25">
      <c r="AG6252" s="185"/>
    </row>
    <row r="6253" spans="33:33" x14ac:dyDescent="0.25">
      <c r="AG6253" s="185"/>
    </row>
    <row r="6254" spans="33:33" x14ac:dyDescent="0.25">
      <c r="AG6254" s="185"/>
    </row>
    <row r="6255" spans="33:33" x14ac:dyDescent="0.25">
      <c r="AG6255" s="185"/>
    </row>
    <row r="6256" spans="33:33" x14ac:dyDescent="0.25">
      <c r="AG6256" s="185"/>
    </row>
    <row r="6257" spans="33:33" x14ac:dyDescent="0.25">
      <c r="AG6257" s="185"/>
    </row>
    <row r="6258" spans="33:33" x14ac:dyDescent="0.25">
      <c r="AG6258" s="185"/>
    </row>
    <row r="6259" spans="33:33" x14ac:dyDescent="0.25">
      <c r="AG6259" s="185"/>
    </row>
    <row r="6260" spans="33:33" x14ac:dyDescent="0.25">
      <c r="AG6260" s="185"/>
    </row>
    <row r="6261" spans="33:33" x14ac:dyDescent="0.25">
      <c r="AG6261" s="185"/>
    </row>
    <row r="6262" spans="33:33" x14ac:dyDescent="0.25">
      <c r="AG6262" s="185"/>
    </row>
    <row r="6263" spans="33:33" x14ac:dyDescent="0.25">
      <c r="AG6263" s="185"/>
    </row>
    <row r="6264" spans="33:33" x14ac:dyDescent="0.25">
      <c r="AG6264" s="185"/>
    </row>
    <row r="6265" spans="33:33" x14ac:dyDescent="0.25">
      <c r="AG6265" s="185"/>
    </row>
    <row r="6266" spans="33:33" x14ac:dyDescent="0.25">
      <c r="AG6266" s="185"/>
    </row>
    <row r="6267" spans="33:33" x14ac:dyDescent="0.25">
      <c r="AG6267" s="185"/>
    </row>
    <row r="6268" spans="33:33" x14ac:dyDescent="0.25">
      <c r="AG6268" s="185"/>
    </row>
    <row r="6269" spans="33:33" x14ac:dyDescent="0.25">
      <c r="AG6269" s="185"/>
    </row>
    <row r="6270" spans="33:33" x14ac:dyDescent="0.25">
      <c r="AG6270" s="185"/>
    </row>
    <row r="6271" spans="33:33" x14ac:dyDescent="0.25">
      <c r="AG6271" s="185"/>
    </row>
    <row r="6272" spans="33:33" x14ac:dyDescent="0.25">
      <c r="AG6272" s="185"/>
    </row>
    <row r="6273" spans="33:33" x14ac:dyDescent="0.25">
      <c r="AG6273" s="185"/>
    </row>
    <row r="6274" spans="33:33" x14ac:dyDescent="0.25">
      <c r="AG6274" s="185"/>
    </row>
    <row r="6275" spans="33:33" x14ac:dyDescent="0.25">
      <c r="AG6275" s="185"/>
    </row>
    <row r="6276" spans="33:33" x14ac:dyDescent="0.25">
      <c r="AG6276" s="185"/>
    </row>
    <row r="6277" spans="33:33" x14ac:dyDescent="0.25">
      <c r="AG6277" s="185"/>
    </row>
    <row r="6278" spans="33:33" x14ac:dyDescent="0.25">
      <c r="AG6278" s="185"/>
    </row>
    <row r="6279" spans="33:33" x14ac:dyDescent="0.25">
      <c r="AG6279" s="185"/>
    </row>
    <row r="6280" spans="33:33" x14ac:dyDescent="0.25">
      <c r="AG6280" s="185"/>
    </row>
    <row r="6281" spans="33:33" x14ac:dyDescent="0.25">
      <c r="AG6281" s="185"/>
    </row>
    <row r="6282" spans="33:33" x14ac:dyDescent="0.25">
      <c r="AG6282" s="185"/>
    </row>
    <row r="6283" spans="33:33" x14ac:dyDescent="0.25">
      <c r="AG6283" s="185"/>
    </row>
    <row r="6284" spans="33:33" x14ac:dyDescent="0.25">
      <c r="AG6284" s="185"/>
    </row>
    <row r="6285" spans="33:33" x14ac:dyDescent="0.25">
      <c r="AG6285" s="185"/>
    </row>
    <row r="6286" spans="33:33" x14ac:dyDescent="0.25">
      <c r="AG6286" s="185"/>
    </row>
    <row r="6287" spans="33:33" x14ac:dyDescent="0.25">
      <c r="AG6287" s="185"/>
    </row>
    <row r="6288" spans="33:33" x14ac:dyDescent="0.25">
      <c r="AG6288" s="185"/>
    </row>
    <row r="6289" spans="33:33" x14ac:dyDescent="0.25">
      <c r="AG6289" s="185"/>
    </row>
    <row r="6290" spans="33:33" x14ac:dyDescent="0.25">
      <c r="AG6290" s="185"/>
    </row>
    <row r="6291" spans="33:33" x14ac:dyDescent="0.25">
      <c r="AG6291" s="185"/>
    </row>
    <row r="6292" spans="33:33" x14ac:dyDescent="0.25">
      <c r="AG6292" s="185"/>
    </row>
    <row r="6293" spans="33:33" x14ac:dyDescent="0.25">
      <c r="AG6293" s="185"/>
    </row>
    <row r="6294" spans="33:33" x14ac:dyDescent="0.25">
      <c r="AG6294" s="185"/>
    </row>
    <row r="6295" spans="33:33" x14ac:dyDescent="0.25">
      <c r="AG6295" s="185"/>
    </row>
    <row r="6296" spans="33:33" x14ac:dyDescent="0.25">
      <c r="AG6296" s="185"/>
    </row>
    <row r="6297" spans="33:33" x14ac:dyDescent="0.25">
      <c r="AG6297" s="185"/>
    </row>
    <row r="6298" spans="33:33" x14ac:dyDescent="0.25">
      <c r="AG6298" s="185"/>
    </row>
    <row r="6299" spans="33:33" x14ac:dyDescent="0.25">
      <c r="AG6299" s="185"/>
    </row>
    <row r="6300" spans="33:33" x14ac:dyDescent="0.25">
      <c r="AG6300" s="185"/>
    </row>
    <row r="6301" spans="33:33" x14ac:dyDescent="0.25">
      <c r="AG6301" s="185"/>
    </row>
    <row r="6302" spans="33:33" x14ac:dyDescent="0.25">
      <c r="AG6302" s="185"/>
    </row>
    <row r="6303" spans="33:33" x14ac:dyDescent="0.25">
      <c r="AG6303" s="185"/>
    </row>
    <row r="6304" spans="33:33" x14ac:dyDescent="0.25">
      <c r="AG6304" s="185"/>
    </row>
    <row r="6305" spans="33:33" x14ac:dyDescent="0.25">
      <c r="AG6305" s="185"/>
    </row>
    <row r="6306" spans="33:33" x14ac:dyDescent="0.25">
      <c r="AG6306" s="185"/>
    </row>
    <row r="6307" spans="33:33" x14ac:dyDescent="0.25">
      <c r="AG6307" s="185"/>
    </row>
    <row r="6308" spans="33:33" x14ac:dyDescent="0.25">
      <c r="AG6308" s="185"/>
    </row>
    <row r="6309" spans="33:33" x14ac:dyDescent="0.25">
      <c r="AG6309" s="185"/>
    </row>
    <row r="6310" spans="33:33" x14ac:dyDescent="0.25">
      <c r="AG6310" s="185"/>
    </row>
    <row r="6311" spans="33:33" x14ac:dyDescent="0.25">
      <c r="AG6311" s="185"/>
    </row>
    <row r="6312" spans="33:33" x14ac:dyDescent="0.25">
      <c r="AG6312" s="185"/>
    </row>
    <row r="6313" spans="33:33" x14ac:dyDescent="0.25">
      <c r="AG6313" s="185"/>
    </row>
    <row r="6314" spans="33:33" x14ac:dyDescent="0.25">
      <c r="AG6314" s="185"/>
    </row>
    <row r="6315" spans="33:33" x14ac:dyDescent="0.25">
      <c r="AG6315" s="185"/>
    </row>
    <row r="6316" spans="33:33" x14ac:dyDescent="0.25">
      <c r="AG6316" s="185"/>
    </row>
    <row r="6317" spans="33:33" x14ac:dyDescent="0.25">
      <c r="AG6317" s="185"/>
    </row>
    <row r="6318" spans="33:33" x14ac:dyDescent="0.25">
      <c r="AG6318" s="185"/>
    </row>
    <row r="6319" spans="33:33" x14ac:dyDescent="0.25">
      <c r="AG6319" s="185"/>
    </row>
    <row r="6320" spans="33:33" x14ac:dyDescent="0.25">
      <c r="AG6320" s="185"/>
    </row>
    <row r="6321" spans="33:33" x14ac:dyDescent="0.25">
      <c r="AG6321" s="185"/>
    </row>
    <row r="6322" spans="33:33" x14ac:dyDescent="0.25">
      <c r="AG6322" s="185"/>
    </row>
    <row r="6323" spans="33:33" x14ac:dyDescent="0.25">
      <c r="AG6323" s="185"/>
    </row>
    <row r="6324" spans="33:33" x14ac:dyDescent="0.25">
      <c r="AG6324" s="185"/>
    </row>
    <row r="6325" spans="33:33" x14ac:dyDescent="0.25">
      <c r="AG6325" s="185"/>
    </row>
    <row r="6326" spans="33:33" x14ac:dyDescent="0.25">
      <c r="AG6326" s="185"/>
    </row>
    <row r="6327" spans="33:33" x14ac:dyDescent="0.25">
      <c r="AG6327" s="185"/>
    </row>
    <row r="6328" spans="33:33" x14ac:dyDescent="0.25">
      <c r="AG6328" s="185"/>
    </row>
    <row r="6329" spans="33:33" x14ac:dyDescent="0.25">
      <c r="AG6329" s="185"/>
    </row>
    <row r="6330" spans="33:33" x14ac:dyDescent="0.25">
      <c r="AG6330" s="185"/>
    </row>
    <row r="6331" spans="33:33" x14ac:dyDescent="0.25">
      <c r="AG6331" s="185"/>
    </row>
    <row r="6332" spans="33:33" x14ac:dyDescent="0.25">
      <c r="AG6332" s="185"/>
    </row>
    <row r="6333" spans="33:33" x14ac:dyDescent="0.25">
      <c r="AG6333" s="185"/>
    </row>
    <row r="6334" spans="33:33" x14ac:dyDescent="0.25">
      <c r="AG6334" s="185"/>
    </row>
    <row r="6335" spans="33:33" x14ac:dyDescent="0.25">
      <c r="AG6335" s="185"/>
    </row>
    <row r="6336" spans="33:33" x14ac:dyDescent="0.25">
      <c r="AG6336" s="185"/>
    </row>
    <row r="6337" spans="33:33" x14ac:dyDescent="0.25">
      <c r="AG6337" s="185"/>
    </row>
    <row r="6338" spans="33:33" x14ac:dyDescent="0.25">
      <c r="AG6338" s="185"/>
    </row>
    <row r="6339" spans="33:33" x14ac:dyDescent="0.25">
      <c r="AG6339" s="185"/>
    </row>
    <row r="6340" spans="33:33" x14ac:dyDescent="0.25">
      <c r="AG6340" s="185"/>
    </row>
    <row r="6341" spans="33:33" x14ac:dyDescent="0.25">
      <c r="AG6341" s="185"/>
    </row>
    <row r="6342" spans="33:33" x14ac:dyDescent="0.25">
      <c r="AG6342" s="185"/>
    </row>
    <row r="6343" spans="33:33" x14ac:dyDescent="0.25">
      <c r="AG6343" s="185"/>
    </row>
    <row r="6344" spans="33:33" x14ac:dyDescent="0.25">
      <c r="AG6344" s="185"/>
    </row>
    <row r="6345" spans="33:33" x14ac:dyDescent="0.25">
      <c r="AG6345" s="185"/>
    </row>
    <row r="6346" spans="33:33" x14ac:dyDescent="0.25">
      <c r="AG6346" s="185"/>
    </row>
    <row r="6347" spans="33:33" x14ac:dyDescent="0.25">
      <c r="AG6347" s="185"/>
    </row>
    <row r="6348" spans="33:33" x14ac:dyDescent="0.25">
      <c r="AG6348" s="185"/>
    </row>
    <row r="6349" spans="33:33" x14ac:dyDescent="0.25">
      <c r="AG6349" s="185"/>
    </row>
    <row r="6350" spans="33:33" x14ac:dyDescent="0.25">
      <c r="AG6350" s="185"/>
    </row>
    <row r="6351" spans="33:33" x14ac:dyDescent="0.25">
      <c r="AG6351" s="185"/>
    </row>
    <row r="6352" spans="33:33" x14ac:dyDescent="0.25">
      <c r="AG6352" s="185"/>
    </row>
    <row r="6353" spans="33:33" x14ac:dyDescent="0.25">
      <c r="AG6353" s="185"/>
    </row>
    <row r="6354" spans="33:33" x14ac:dyDescent="0.25">
      <c r="AG6354" s="185"/>
    </row>
    <row r="6355" spans="33:33" x14ac:dyDescent="0.25">
      <c r="AG6355" s="185"/>
    </row>
    <row r="6356" spans="33:33" x14ac:dyDescent="0.25">
      <c r="AG6356" s="185"/>
    </row>
    <row r="6357" spans="33:33" x14ac:dyDescent="0.25">
      <c r="AG6357" s="185"/>
    </row>
    <row r="6358" spans="33:33" x14ac:dyDescent="0.25">
      <c r="AG6358" s="185"/>
    </row>
    <row r="6359" spans="33:33" x14ac:dyDescent="0.25">
      <c r="AG6359" s="185"/>
    </row>
    <row r="6360" spans="33:33" x14ac:dyDescent="0.25">
      <c r="AG6360" s="185"/>
    </row>
    <row r="6361" spans="33:33" x14ac:dyDescent="0.25">
      <c r="AG6361" s="185"/>
    </row>
    <row r="6362" spans="33:33" x14ac:dyDescent="0.25">
      <c r="AG6362" s="185"/>
    </row>
    <row r="6363" spans="33:33" x14ac:dyDescent="0.25">
      <c r="AG6363" s="185"/>
    </row>
    <row r="6364" spans="33:33" x14ac:dyDescent="0.25">
      <c r="AG6364" s="185"/>
    </row>
    <row r="6365" spans="33:33" x14ac:dyDescent="0.25">
      <c r="AG6365" s="185"/>
    </row>
    <row r="6366" spans="33:33" x14ac:dyDescent="0.25">
      <c r="AG6366" s="185"/>
    </row>
    <row r="6367" spans="33:33" x14ac:dyDescent="0.25">
      <c r="AG6367" s="185"/>
    </row>
    <row r="6368" spans="33:33" x14ac:dyDescent="0.25">
      <c r="AG6368" s="185"/>
    </row>
    <row r="6369" spans="33:33" x14ac:dyDescent="0.25">
      <c r="AG6369" s="185"/>
    </row>
    <row r="6370" spans="33:33" x14ac:dyDescent="0.25">
      <c r="AG6370" s="185"/>
    </row>
    <row r="6371" spans="33:33" x14ac:dyDescent="0.25">
      <c r="AG6371" s="185"/>
    </row>
    <row r="6372" spans="33:33" x14ac:dyDescent="0.25">
      <c r="AG6372" s="185"/>
    </row>
    <row r="6373" spans="33:33" x14ac:dyDescent="0.25">
      <c r="AG6373" s="185"/>
    </row>
    <row r="6374" spans="33:33" x14ac:dyDescent="0.25">
      <c r="AG6374" s="185"/>
    </row>
    <row r="6375" spans="33:33" x14ac:dyDescent="0.25">
      <c r="AG6375" s="185"/>
    </row>
    <row r="6376" spans="33:33" x14ac:dyDescent="0.25">
      <c r="AG6376" s="185"/>
    </row>
    <row r="6377" spans="33:33" x14ac:dyDescent="0.25">
      <c r="AG6377" s="185"/>
    </row>
    <row r="6378" spans="33:33" x14ac:dyDescent="0.25">
      <c r="AG6378" s="185"/>
    </row>
    <row r="6379" spans="33:33" x14ac:dyDescent="0.25">
      <c r="AG6379" s="185"/>
    </row>
    <row r="6380" spans="33:33" x14ac:dyDescent="0.25">
      <c r="AG6380" s="185"/>
    </row>
    <row r="6381" spans="33:33" x14ac:dyDescent="0.25">
      <c r="AG6381" s="185"/>
    </row>
    <row r="6382" spans="33:33" x14ac:dyDescent="0.25">
      <c r="AG6382" s="185"/>
    </row>
    <row r="6383" spans="33:33" x14ac:dyDescent="0.25">
      <c r="AG6383" s="185"/>
    </row>
    <row r="6384" spans="33:33" x14ac:dyDescent="0.25">
      <c r="AG6384" s="185"/>
    </row>
    <row r="6385" spans="33:33" x14ac:dyDescent="0.25">
      <c r="AG6385" s="185"/>
    </row>
    <row r="6386" spans="33:33" x14ac:dyDescent="0.25">
      <c r="AG6386" s="185"/>
    </row>
    <row r="6387" spans="33:33" x14ac:dyDescent="0.25">
      <c r="AG6387" s="185"/>
    </row>
    <row r="6388" spans="33:33" x14ac:dyDescent="0.25">
      <c r="AG6388" s="185"/>
    </row>
    <row r="6389" spans="33:33" x14ac:dyDescent="0.25">
      <c r="AG6389" s="185"/>
    </row>
    <row r="6390" spans="33:33" x14ac:dyDescent="0.25">
      <c r="AG6390" s="185"/>
    </row>
    <row r="6391" spans="33:33" x14ac:dyDescent="0.25">
      <c r="AG6391" s="185"/>
    </row>
    <row r="6392" spans="33:33" x14ac:dyDescent="0.25">
      <c r="AG6392" s="185"/>
    </row>
    <row r="6393" spans="33:33" x14ac:dyDescent="0.25">
      <c r="AG6393" s="185"/>
    </row>
    <row r="6394" spans="33:33" x14ac:dyDescent="0.25">
      <c r="AG6394" s="185"/>
    </row>
    <row r="6395" spans="33:33" x14ac:dyDescent="0.25">
      <c r="AG6395" s="185"/>
    </row>
    <row r="6396" spans="33:33" x14ac:dyDescent="0.25">
      <c r="AG6396" s="185"/>
    </row>
    <row r="6397" spans="33:33" x14ac:dyDescent="0.25">
      <c r="AG6397" s="185"/>
    </row>
    <row r="6398" spans="33:33" x14ac:dyDescent="0.25">
      <c r="AG6398" s="185"/>
    </row>
    <row r="6399" spans="33:33" x14ac:dyDescent="0.25">
      <c r="AG6399" s="185"/>
    </row>
    <row r="6400" spans="33:33" x14ac:dyDescent="0.25">
      <c r="AG6400" s="185"/>
    </row>
    <row r="6401" spans="33:33" x14ac:dyDescent="0.25">
      <c r="AG6401" s="185"/>
    </row>
    <row r="6402" spans="33:33" x14ac:dyDescent="0.25">
      <c r="AG6402" s="185"/>
    </row>
    <row r="6403" spans="33:33" x14ac:dyDescent="0.25">
      <c r="AG6403" s="185"/>
    </row>
    <row r="6404" spans="33:33" x14ac:dyDescent="0.25">
      <c r="AG6404" s="185"/>
    </row>
    <row r="6405" spans="33:33" x14ac:dyDescent="0.25">
      <c r="AG6405" s="185"/>
    </row>
    <row r="6406" spans="33:33" x14ac:dyDescent="0.25">
      <c r="AG6406" s="185"/>
    </row>
    <row r="6407" spans="33:33" x14ac:dyDescent="0.25">
      <c r="AG6407" s="185"/>
    </row>
    <row r="6408" spans="33:33" x14ac:dyDescent="0.25">
      <c r="AG6408" s="185"/>
    </row>
    <row r="6409" spans="33:33" x14ac:dyDescent="0.25">
      <c r="AG6409" s="185"/>
    </row>
    <row r="6410" spans="33:33" x14ac:dyDescent="0.25">
      <c r="AG6410" s="185"/>
    </row>
    <row r="6411" spans="33:33" x14ac:dyDescent="0.25">
      <c r="AG6411" s="185"/>
    </row>
    <row r="6412" spans="33:33" x14ac:dyDescent="0.25">
      <c r="AG6412" s="185"/>
    </row>
    <row r="6413" spans="33:33" x14ac:dyDescent="0.25">
      <c r="AG6413" s="185"/>
    </row>
    <row r="6414" spans="33:33" x14ac:dyDescent="0.25">
      <c r="AG6414" s="185"/>
    </row>
    <row r="6415" spans="33:33" x14ac:dyDescent="0.25">
      <c r="AG6415" s="185"/>
    </row>
    <row r="6416" spans="33:33" x14ac:dyDescent="0.25">
      <c r="AG6416" s="185"/>
    </row>
    <row r="6417" spans="33:33" x14ac:dyDescent="0.25">
      <c r="AG6417" s="185"/>
    </row>
    <row r="6418" spans="33:33" x14ac:dyDescent="0.25">
      <c r="AG6418" s="185"/>
    </row>
    <row r="6419" spans="33:33" x14ac:dyDescent="0.25">
      <c r="AG6419" s="185"/>
    </row>
    <row r="6420" spans="33:33" x14ac:dyDescent="0.25">
      <c r="AG6420" s="185"/>
    </row>
    <row r="6421" spans="33:33" x14ac:dyDescent="0.25">
      <c r="AG6421" s="185"/>
    </row>
    <row r="6422" spans="33:33" x14ac:dyDescent="0.25">
      <c r="AG6422" s="185"/>
    </row>
    <row r="6423" spans="33:33" x14ac:dyDescent="0.25">
      <c r="AG6423" s="185"/>
    </row>
    <row r="6424" spans="33:33" x14ac:dyDescent="0.25">
      <c r="AG6424" s="185"/>
    </row>
    <row r="6425" spans="33:33" x14ac:dyDescent="0.25">
      <c r="AG6425" s="185"/>
    </row>
    <row r="6426" spans="33:33" x14ac:dyDescent="0.25">
      <c r="AG6426" s="185"/>
    </row>
    <row r="6427" spans="33:33" x14ac:dyDescent="0.25">
      <c r="AG6427" s="185"/>
    </row>
    <row r="6428" spans="33:33" x14ac:dyDescent="0.25">
      <c r="AG6428" s="185"/>
    </row>
    <row r="6429" spans="33:33" x14ac:dyDescent="0.25">
      <c r="AG6429" s="185"/>
    </row>
    <row r="6430" spans="33:33" x14ac:dyDescent="0.25">
      <c r="AG6430" s="185"/>
    </row>
    <row r="6431" spans="33:33" x14ac:dyDescent="0.25">
      <c r="AG6431" s="185"/>
    </row>
    <row r="6432" spans="33:33" x14ac:dyDescent="0.25">
      <c r="AG6432" s="185"/>
    </row>
    <row r="6433" spans="33:33" x14ac:dyDescent="0.25">
      <c r="AG6433" s="185"/>
    </row>
    <row r="6434" spans="33:33" x14ac:dyDescent="0.25">
      <c r="AG6434" s="185"/>
    </row>
    <row r="6435" spans="33:33" x14ac:dyDescent="0.25">
      <c r="AG6435" s="185"/>
    </row>
    <row r="6436" spans="33:33" x14ac:dyDescent="0.25">
      <c r="AG6436" s="185"/>
    </row>
    <row r="6437" spans="33:33" x14ac:dyDescent="0.25">
      <c r="AG6437" s="185"/>
    </row>
    <row r="6438" spans="33:33" x14ac:dyDescent="0.25">
      <c r="AG6438" s="185"/>
    </row>
    <row r="6439" spans="33:33" x14ac:dyDescent="0.25">
      <c r="AG6439" s="185"/>
    </row>
    <row r="6440" spans="33:33" x14ac:dyDescent="0.25">
      <c r="AG6440" s="185"/>
    </row>
    <row r="6441" spans="33:33" x14ac:dyDescent="0.25">
      <c r="AG6441" s="185"/>
    </row>
    <row r="6442" spans="33:33" x14ac:dyDescent="0.25">
      <c r="AG6442" s="185"/>
    </row>
    <row r="6443" spans="33:33" x14ac:dyDescent="0.25">
      <c r="AG6443" s="185"/>
    </row>
    <row r="6444" spans="33:33" x14ac:dyDescent="0.25">
      <c r="AG6444" s="185"/>
    </row>
    <row r="6445" spans="33:33" x14ac:dyDescent="0.25">
      <c r="AG6445" s="185"/>
    </row>
    <row r="6446" spans="33:33" x14ac:dyDescent="0.25">
      <c r="AG6446" s="185"/>
    </row>
    <row r="6447" spans="33:33" x14ac:dyDescent="0.25">
      <c r="AG6447" s="185"/>
    </row>
    <row r="6448" spans="33:33" x14ac:dyDescent="0.25">
      <c r="AG6448" s="185"/>
    </row>
    <row r="6449" spans="33:33" x14ac:dyDescent="0.25">
      <c r="AG6449" s="185"/>
    </row>
    <row r="6450" spans="33:33" x14ac:dyDescent="0.25">
      <c r="AG6450" s="185"/>
    </row>
    <row r="6451" spans="33:33" x14ac:dyDescent="0.25">
      <c r="AG6451" s="185"/>
    </row>
    <row r="6452" spans="33:33" x14ac:dyDescent="0.25">
      <c r="AG6452" s="185"/>
    </row>
    <row r="6453" spans="33:33" x14ac:dyDescent="0.25">
      <c r="AG6453" s="185"/>
    </row>
    <row r="6454" spans="33:33" x14ac:dyDescent="0.25">
      <c r="AG6454" s="185"/>
    </row>
    <row r="6455" spans="33:33" x14ac:dyDescent="0.25">
      <c r="AG6455" s="185"/>
    </row>
    <row r="6456" spans="33:33" x14ac:dyDescent="0.25">
      <c r="AG6456" s="185"/>
    </row>
    <row r="6457" spans="33:33" x14ac:dyDescent="0.25">
      <c r="AG6457" s="185"/>
    </row>
    <row r="6458" spans="33:33" x14ac:dyDescent="0.25">
      <c r="AG6458" s="185"/>
    </row>
    <row r="6459" spans="33:33" x14ac:dyDescent="0.25">
      <c r="AG6459" s="185"/>
    </row>
    <row r="6460" spans="33:33" x14ac:dyDescent="0.25">
      <c r="AG6460" s="185"/>
    </row>
    <row r="6461" spans="33:33" x14ac:dyDescent="0.25">
      <c r="AG6461" s="185"/>
    </row>
    <row r="6462" spans="33:33" x14ac:dyDescent="0.25">
      <c r="AG6462" s="185"/>
    </row>
    <row r="6463" spans="33:33" x14ac:dyDescent="0.25">
      <c r="AG6463" s="185"/>
    </row>
    <row r="6464" spans="33:33" x14ac:dyDescent="0.25">
      <c r="AG6464" s="185"/>
    </row>
    <row r="6465" spans="33:33" x14ac:dyDescent="0.25">
      <c r="AG6465" s="185"/>
    </row>
    <row r="6466" spans="33:33" x14ac:dyDescent="0.25">
      <c r="AG6466" s="185"/>
    </row>
    <row r="6467" spans="33:33" x14ac:dyDescent="0.25">
      <c r="AG6467" s="185"/>
    </row>
    <row r="6468" spans="33:33" x14ac:dyDescent="0.25">
      <c r="AG6468" s="185"/>
    </row>
    <row r="6469" spans="33:33" x14ac:dyDescent="0.25">
      <c r="AG6469" s="185"/>
    </row>
    <row r="6470" spans="33:33" x14ac:dyDescent="0.25">
      <c r="AG6470" s="185"/>
    </row>
    <row r="6471" spans="33:33" x14ac:dyDescent="0.25">
      <c r="AG6471" s="185"/>
    </row>
    <row r="6472" spans="33:33" x14ac:dyDescent="0.25">
      <c r="AG6472" s="185"/>
    </row>
    <row r="6473" spans="33:33" x14ac:dyDescent="0.25">
      <c r="AG6473" s="185"/>
    </row>
    <row r="6474" spans="33:33" x14ac:dyDescent="0.25">
      <c r="AG6474" s="185"/>
    </row>
    <row r="6475" spans="33:33" x14ac:dyDescent="0.25">
      <c r="AG6475" s="185"/>
    </row>
    <row r="6476" spans="33:33" x14ac:dyDescent="0.25">
      <c r="AG6476" s="185"/>
    </row>
    <row r="6477" spans="33:33" x14ac:dyDescent="0.25">
      <c r="AG6477" s="185"/>
    </row>
    <row r="6478" spans="33:33" x14ac:dyDescent="0.25">
      <c r="AG6478" s="185"/>
    </row>
    <row r="6479" spans="33:33" x14ac:dyDescent="0.25">
      <c r="AG6479" s="185"/>
    </row>
    <row r="6480" spans="33:33" x14ac:dyDescent="0.25">
      <c r="AG6480" s="185"/>
    </row>
    <row r="6481" spans="33:33" x14ac:dyDescent="0.25">
      <c r="AG6481" s="185"/>
    </row>
    <row r="6482" spans="33:33" x14ac:dyDescent="0.25">
      <c r="AG6482" s="185"/>
    </row>
    <row r="6483" spans="33:33" x14ac:dyDescent="0.25">
      <c r="AG6483" s="185"/>
    </row>
    <row r="6484" spans="33:33" x14ac:dyDescent="0.25">
      <c r="AG6484" s="185"/>
    </row>
    <row r="6485" spans="33:33" x14ac:dyDescent="0.25">
      <c r="AG6485" s="185"/>
    </row>
    <row r="6486" spans="33:33" x14ac:dyDescent="0.25">
      <c r="AG6486" s="185"/>
    </row>
    <row r="6487" spans="33:33" x14ac:dyDescent="0.25">
      <c r="AG6487" s="185"/>
    </row>
    <row r="6488" spans="33:33" x14ac:dyDescent="0.25">
      <c r="AG6488" s="185"/>
    </row>
    <row r="6489" spans="33:33" x14ac:dyDescent="0.25">
      <c r="AG6489" s="185"/>
    </row>
    <row r="6490" spans="33:33" x14ac:dyDescent="0.25">
      <c r="AG6490" s="185"/>
    </row>
    <row r="6491" spans="33:33" x14ac:dyDescent="0.25">
      <c r="AG6491" s="185"/>
    </row>
    <row r="6492" spans="33:33" x14ac:dyDescent="0.25">
      <c r="AG6492" s="185"/>
    </row>
    <row r="6493" spans="33:33" x14ac:dyDescent="0.25">
      <c r="AG6493" s="185"/>
    </row>
    <row r="6494" spans="33:33" x14ac:dyDescent="0.25">
      <c r="AG6494" s="185"/>
    </row>
    <row r="6495" spans="33:33" x14ac:dyDescent="0.25">
      <c r="AG6495" s="185"/>
    </row>
    <row r="6496" spans="33:33" x14ac:dyDescent="0.25">
      <c r="AG6496" s="185"/>
    </row>
    <row r="6497" spans="33:33" x14ac:dyDescent="0.25">
      <c r="AG6497" s="185"/>
    </row>
    <row r="6498" spans="33:33" x14ac:dyDescent="0.25">
      <c r="AG6498" s="185"/>
    </row>
    <row r="6499" spans="33:33" x14ac:dyDescent="0.25">
      <c r="AG6499" s="185"/>
    </row>
    <row r="6500" spans="33:33" x14ac:dyDescent="0.25">
      <c r="AG6500" s="185"/>
    </row>
    <row r="6501" spans="33:33" x14ac:dyDescent="0.25">
      <c r="AG6501" s="185"/>
    </row>
    <row r="6502" spans="33:33" x14ac:dyDescent="0.25">
      <c r="AG6502" s="185"/>
    </row>
    <row r="6503" spans="33:33" x14ac:dyDescent="0.25">
      <c r="AG6503" s="185"/>
    </row>
    <row r="6504" spans="33:33" x14ac:dyDescent="0.25">
      <c r="AG6504" s="185"/>
    </row>
    <row r="6505" spans="33:33" x14ac:dyDescent="0.25">
      <c r="AG6505" s="185"/>
    </row>
    <row r="6506" spans="33:33" x14ac:dyDescent="0.25">
      <c r="AG6506" s="185"/>
    </row>
    <row r="6507" spans="33:33" x14ac:dyDescent="0.25">
      <c r="AG6507" s="185"/>
    </row>
    <row r="6508" spans="33:33" x14ac:dyDescent="0.25">
      <c r="AG6508" s="185"/>
    </row>
    <row r="6509" spans="33:33" x14ac:dyDescent="0.25">
      <c r="AG6509" s="185"/>
    </row>
    <row r="6510" spans="33:33" x14ac:dyDescent="0.25">
      <c r="AG6510" s="185"/>
    </row>
    <row r="6511" spans="33:33" x14ac:dyDescent="0.25">
      <c r="AG6511" s="185"/>
    </row>
    <row r="6512" spans="33:33" x14ac:dyDescent="0.25">
      <c r="AG6512" s="185"/>
    </row>
    <row r="6513" spans="33:33" x14ac:dyDescent="0.25">
      <c r="AG6513" s="185"/>
    </row>
    <row r="6514" spans="33:33" x14ac:dyDescent="0.25">
      <c r="AG6514" s="185"/>
    </row>
    <row r="6515" spans="33:33" x14ac:dyDescent="0.25">
      <c r="AG6515" s="185"/>
    </row>
    <row r="6516" spans="33:33" x14ac:dyDescent="0.25">
      <c r="AG6516" s="185"/>
    </row>
    <row r="6517" spans="33:33" x14ac:dyDescent="0.25">
      <c r="AG6517" s="185"/>
    </row>
    <row r="6518" spans="33:33" x14ac:dyDescent="0.25">
      <c r="AG6518" s="185"/>
    </row>
    <row r="6519" spans="33:33" x14ac:dyDescent="0.25">
      <c r="AG6519" s="185"/>
    </row>
    <row r="6520" spans="33:33" x14ac:dyDescent="0.25">
      <c r="AG6520" s="185"/>
    </row>
    <row r="6521" spans="33:33" x14ac:dyDescent="0.25">
      <c r="AG6521" s="185"/>
    </row>
    <row r="6522" spans="33:33" x14ac:dyDescent="0.25">
      <c r="AG6522" s="185"/>
    </row>
    <row r="6523" spans="33:33" x14ac:dyDescent="0.25">
      <c r="AG6523" s="185"/>
    </row>
    <row r="6524" spans="33:33" x14ac:dyDescent="0.25">
      <c r="AG6524" s="185"/>
    </row>
    <row r="6525" spans="33:33" x14ac:dyDescent="0.25">
      <c r="AG6525" s="185"/>
    </row>
    <row r="6526" spans="33:33" x14ac:dyDescent="0.25">
      <c r="AG6526" s="185"/>
    </row>
    <row r="6527" spans="33:33" x14ac:dyDescent="0.25">
      <c r="AG6527" s="185"/>
    </row>
    <row r="6528" spans="33:33" x14ac:dyDescent="0.25">
      <c r="AG6528" s="185"/>
    </row>
    <row r="6529" spans="33:33" x14ac:dyDescent="0.25">
      <c r="AG6529" s="185"/>
    </row>
    <row r="6530" spans="33:33" x14ac:dyDescent="0.25">
      <c r="AG6530" s="185"/>
    </row>
    <row r="6531" spans="33:33" x14ac:dyDescent="0.25">
      <c r="AG6531" s="185"/>
    </row>
    <row r="6532" spans="33:33" x14ac:dyDescent="0.25">
      <c r="AG6532" s="185"/>
    </row>
    <row r="6533" spans="33:33" x14ac:dyDescent="0.25">
      <c r="AG6533" s="185"/>
    </row>
    <row r="6534" spans="33:33" x14ac:dyDescent="0.25">
      <c r="AG6534" s="185"/>
    </row>
    <row r="6535" spans="33:33" x14ac:dyDescent="0.25">
      <c r="AG6535" s="185"/>
    </row>
    <row r="6536" spans="33:33" x14ac:dyDescent="0.25">
      <c r="AG6536" s="185"/>
    </row>
    <row r="6537" spans="33:33" x14ac:dyDescent="0.25">
      <c r="AG6537" s="185"/>
    </row>
    <row r="6538" spans="33:33" x14ac:dyDescent="0.25">
      <c r="AG6538" s="185"/>
    </row>
    <row r="6539" spans="33:33" x14ac:dyDescent="0.25">
      <c r="AG6539" s="185"/>
    </row>
    <row r="6540" spans="33:33" x14ac:dyDescent="0.25">
      <c r="AG6540" s="185"/>
    </row>
    <row r="6541" spans="33:33" x14ac:dyDescent="0.25">
      <c r="AG6541" s="185"/>
    </row>
    <row r="6542" spans="33:33" x14ac:dyDescent="0.25">
      <c r="AG6542" s="185"/>
    </row>
    <row r="6543" spans="33:33" x14ac:dyDescent="0.25">
      <c r="AG6543" s="185"/>
    </row>
    <row r="6544" spans="33:33" x14ac:dyDescent="0.25">
      <c r="AG6544" s="185"/>
    </row>
    <row r="6545" spans="33:33" x14ac:dyDescent="0.25">
      <c r="AG6545" s="185"/>
    </row>
    <row r="6546" spans="33:33" x14ac:dyDescent="0.25">
      <c r="AG6546" s="185"/>
    </row>
    <row r="6547" spans="33:33" x14ac:dyDescent="0.25">
      <c r="AG6547" s="185"/>
    </row>
    <row r="6548" spans="33:33" x14ac:dyDescent="0.25">
      <c r="AG6548" s="185"/>
    </row>
    <row r="6549" spans="33:33" x14ac:dyDescent="0.25">
      <c r="AG6549" s="185"/>
    </row>
    <row r="6550" spans="33:33" x14ac:dyDescent="0.25">
      <c r="AG6550" s="185"/>
    </row>
    <row r="6551" spans="33:33" x14ac:dyDescent="0.25">
      <c r="AG6551" s="185"/>
    </row>
    <row r="6552" spans="33:33" x14ac:dyDescent="0.25">
      <c r="AG6552" s="185"/>
    </row>
    <row r="6553" spans="33:33" x14ac:dyDescent="0.25">
      <c r="AG6553" s="185"/>
    </row>
    <row r="6554" spans="33:33" x14ac:dyDescent="0.25">
      <c r="AG6554" s="185"/>
    </row>
    <row r="6555" spans="33:33" x14ac:dyDescent="0.25">
      <c r="AG6555" s="185"/>
    </row>
    <row r="6556" spans="33:33" x14ac:dyDescent="0.25">
      <c r="AG6556" s="185"/>
    </row>
    <row r="6557" spans="33:33" x14ac:dyDescent="0.25">
      <c r="AG6557" s="185"/>
    </row>
    <row r="6558" spans="33:33" x14ac:dyDescent="0.25">
      <c r="AG6558" s="185"/>
    </row>
    <row r="6559" spans="33:33" x14ac:dyDescent="0.25">
      <c r="AG6559" s="185"/>
    </row>
    <row r="6560" spans="33:33" x14ac:dyDescent="0.25">
      <c r="AG6560" s="185"/>
    </row>
    <row r="6561" spans="33:33" x14ac:dyDescent="0.25">
      <c r="AG6561" s="185"/>
    </row>
    <row r="6562" spans="33:33" x14ac:dyDescent="0.25">
      <c r="AG6562" s="185"/>
    </row>
    <row r="6563" spans="33:33" x14ac:dyDescent="0.25">
      <c r="AG6563" s="185"/>
    </row>
    <row r="6564" spans="33:33" x14ac:dyDescent="0.25">
      <c r="AG6564" s="185"/>
    </row>
    <row r="6565" spans="33:33" x14ac:dyDescent="0.25">
      <c r="AG6565" s="185"/>
    </row>
    <row r="6566" spans="33:33" x14ac:dyDescent="0.25">
      <c r="AG6566" s="185"/>
    </row>
    <row r="6567" spans="33:33" x14ac:dyDescent="0.25">
      <c r="AG6567" s="185"/>
    </row>
    <row r="6568" spans="33:33" x14ac:dyDescent="0.25">
      <c r="AG6568" s="185"/>
    </row>
    <row r="6569" spans="33:33" x14ac:dyDescent="0.25">
      <c r="AG6569" s="185"/>
    </row>
    <row r="6570" spans="33:33" x14ac:dyDescent="0.25">
      <c r="AG6570" s="185"/>
    </row>
    <row r="6571" spans="33:33" x14ac:dyDescent="0.25">
      <c r="AG6571" s="185"/>
    </row>
    <row r="6572" spans="33:33" x14ac:dyDescent="0.25">
      <c r="AG6572" s="185"/>
    </row>
    <row r="6573" spans="33:33" x14ac:dyDescent="0.25">
      <c r="AG6573" s="185"/>
    </row>
    <row r="6574" spans="33:33" x14ac:dyDescent="0.25">
      <c r="AG6574" s="185"/>
    </row>
    <row r="6575" spans="33:33" x14ac:dyDescent="0.25">
      <c r="AG6575" s="185"/>
    </row>
    <row r="6576" spans="33:33" x14ac:dyDescent="0.25">
      <c r="AG6576" s="185"/>
    </row>
    <row r="6577" spans="33:33" x14ac:dyDescent="0.25">
      <c r="AG6577" s="185"/>
    </row>
    <row r="6578" spans="33:33" x14ac:dyDescent="0.25">
      <c r="AG6578" s="185"/>
    </row>
    <row r="6579" spans="33:33" x14ac:dyDescent="0.25">
      <c r="AG6579" s="185"/>
    </row>
    <row r="6580" spans="33:33" x14ac:dyDescent="0.25">
      <c r="AG6580" s="185"/>
    </row>
    <row r="6581" spans="33:33" x14ac:dyDescent="0.25">
      <c r="AG6581" s="185"/>
    </row>
    <row r="6582" spans="33:33" x14ac:dyDescent="0.25">
      <c r="AG6582" s="185"/>
    </row>
    <row r="6583" spans="33:33" x14ac:dyDescent="0.25">
      <c r="AG6583" s="185"/>
    </row>
    <row r="6584" spans="33:33" x14ac:dyDescent="0.25">
      <c r="AG6584" s="185"/>
    </row>
    <row r="6585" spans="33:33" x14ac:dyDescent="0.25">
      <c r="AG6585" s="185"/>
    </row>
    <row r="6586" spans="33:33" x14ac:dyDescent="0.25">
      <c r="AG6586" s="185"/>
    </row>
    <row r="6587" spans="33:33" x14ac:dyDescent="0.25">
      <c r="AG6587" s="185"/>
    </row>
    <row r="6588" spans="33:33" x14ac:dyDescent="0.25">
      <c r="AG6588" s="185"/>
    </row>
    <row r="6589" spans="33:33" x14ac:dyDescent="0.25">
      <c r="AG6589" s="185"/>
    </row>
    <row r="6590" spans="33:33" x14ac:dyDescent="0.25">
      <c r="AG6590" s="185"/>
    </row>
    <row r="6591" spans="33:33" x14ac:dyDescent="0.25">
      <c r="AG6591" s="185"/>
    </row>
    <row r="6592" spans="33:33" x14ac:dyDescent="0.25">
      <c r="AG6592" s="185"/>
    </row>
    <row r="6593" spans="33:33" x14ac:dyDescent="0.25">
      <c r="AG6593" s="185"/>
    </row>
    <row r="6594" spans="33:33" x14ac:dyDescent="0.25">
      <c r="AG6594" s="185"/>
    </row>
    <row r="6595" spans="33:33" x14ac:dyDescent="0.25">
      <c r="AG6595" s="185"/>
    </row>
    <row r="6596" spans="33:33" x14ac:dyDescent="0.25">
      <c r="AG6596" s="185"/>
    </row>
    <row r="6597" spans="33:33" x14ac:dyDescent="0.25">
      <c r="AG6597" s="185"/>
    </row>
    <row r="6598" spans="33:33" x14ac:dyDescent="0.25">
      <c r="AG6598" s="185"/>
    </row>
    <row r="6599" spans="33:33" x14ac:dyDescent="0.25">
      <c r="AG6599" s="185"/>
    </row>
    <row r="6600" spans="33:33" x14ac:dyDescent="0.25">
      <c r="AG6600" s="185"/>
    </row>
    <row r="6601" spans="33:33" x14ac:dyDescent="0.25">
      <c r="AG6601" s="185"/>
    </row>
    <row r="6602" spans="33:33" x14ac:dyDescent="0.25">
      <c r="AG6602" s="185"/>
    </row>
    <row r="6603" spans="33:33" x14ac:dyDescent="0.25">
      <c r="AG6603" s="185"/>
    </row>
    <row r="6604" spans="33:33" x14ac:dyDescent="0.25">
      <c r="AG6604" s="185"/>
    </row>
    <row r="6605" spans="33:33" x14ac:dyDescent="0.25">
      <c r="AG6605" s="185"/>
    </row>
    <row r="6606" spans="33:33" x14ac:dyDescent="0.25">
      <c r="AG6606" s="185"/>
    </row>
    <row r="6607" spans="33:33" x14ac:dyDescent="0.25">
      <c r="AG6607" s="185"/>
    </row>
    <row r="6608" spans="33:33" x14ac:dyDescent="0.25">
      <c r="AG6608" s="185"/>
    </row>
    <row r="6609" spans="33:33" x14ac:dyDescent="0.25">
      <c r="AG6609" s="185"/>
    </row>
    <row r="6610" spans="33:33" x14ac:dyDescent="0.25">
      <c r="AG6610" s="185"/>
    </row>
    <row r="6611" spans="33:33" x14ac:dyDescent="0.25">
      <c r="AG6611" s="185"/>
    </row>
    <row r="6612" spans="33:33" x14ac:dyDescent="0.25">
      <c r="AG6612" s="185"/>
    </row>
    <row r="6613" spans="33:33" x14ac:dyDescent="0.25">
      <c r="AG6613" s="185"/>
    </row>
    <row r="6614" spans="33:33" x14ac:dyDescent="0.25">
      <c r="AG6614" s="185"/>
    </row>
    <row r="6615" spans="33:33" x14ac:dyDescent="0.25">
      <c r="AG6615" s="185"/>
    </row>
    <row r="6616" spans="33:33" x14ac:dyDescent="0.25">
      <c r="AG6616" s="185"/>
    </row>
    <row r="6617" spans="33:33" x14ac:dyDescent="0.25">
      <c r="AG6617" s="185"/>
    </row>
    <row r="6618" spans="33:33" x14ac:dyDescent="0.25">
      <c r="AG6618" s="185"/>
    </row>
    <row r="6619" spans="33:33" x14ac:dyDescent="0.25">
      <c r="AG6619" s="185"/>
    </row>
    <row r="6620" spans="33:33" x14ac:dyDescent="0.25">
      <c r="AG6620" s="185"/>
    </row>
    <row r="6621" spans="33:33" x14ac:dyDescent="0.25">
      <c r="AG6621" s="185"/>
    </row>
    <row r="6622" spans="33:33" x14ac:dyDescent="0.25">
      <c r="AG6622" s="185"/>
    </row>
    <row r="6623" spans="33:33" x14ac:dyDescent="0.25">
      <c r="AG6623" s="185"/>
    </row>
    <row r="6624" spans="33:33" x14ac:dyDescent="0.25">
      <c r="AG6624" s="185"/>
    </row>
    <row r="6625" spans="33:33" x14ac:dyDescent="0.25">
      <c r="AG6625" s="185"/>
    </row>
    <row r="6626" spans="33:33" x14ac:dyDescent="0.25">
      <c r="AG6626" s="185"/>
    </row>
    <row r="6627" spans="33:33" x14ac:dyDescent="0.25">
      <c r="AG6627" s="185"/>
    </row>
    <row r="6628" spans="33:33" x14ac:dyDescent="0.25">
      <c r="AG6628" s="185"/>
    </row>
    <row r="6629" spans="33:33" x14ac:dyDescent="0.25">
      <c r="AG6629" s="185"/>
    </row>
    <row r="6630" spans="33:33" x14ac:dyDescent="0.25">
      <c r="AG6630" s="185"/>
    </row>
    <row r="6631" spans="33:33" x14ac:dyDescent="0.25">
      <c r="AG6631" s="185"/>
    </row>
    <row r="6632" spans="33:33" x14ac:dyDescent="0.25">
      <c r="AG6632" s="185"/>
    </row>
    <row r="6633" spans="33:33" x14ac:dyDescent="0.25">
      <c r="AG6633" s="185"/>
    </row>
    <row r="6634" spans="33:33" x14ac:dyDescent="0.25">
      <c r="AG6634" s="185"/>
    </row>
    <row r="6635" spans="33:33" x14ac:dyDescent="0.25">
      <c r="AG6635" s="185"/>
    </row>
    <row r="6636" spans="33:33" x14ac:dyDescent="0.25">
      <c r="AG6636" s="185"/>
    </row>
    <row r="6637" spans="33:33" x14ac:dyDescent="0.25">
      <c r="AG6637" s="185"/>
    </row>
    <row r="6638" spans="33:33" x14ac:dyDescent="0.25">
      <c r="AG6638" s="185"/>
    </row>
    <row r="6639" spans="33:33" x14ac:dyDescent="0.25">
      <c r="AG6639" s="185"/>
    </row>
    <row r="6640" spans="33:33" x14ac:dyDescent="0.25">
      <c r="AG6640" s="185"/>
    </row>
    <row r="6641" spans="33:33" x14ac:dyDescent="0.25">
      <c r="AG6641" s="185"/>
    </row>
    <row r="6642" spans="33:33" x14ac:dyDescent="0.25">
      <c r="AG6642" s="185"/>
    </row>
    <row r="6643" spans="33:33" x14ac:dyDescent="0.25">
      <c r="AG6643" s="185"/>
    </row>
    <row r="6644" spans="33:33" x14ac:dyDescent="0.25">
      <c r="AG6644" s="185"/>
    </row>
    <row r="6645" spans="33:33" x14ac:dyDescent="0.25">
      <c r="AG6645" s="185"/>
    </row>
    <row r="6646" spans="33:33" x14ac:dyDescent="0.25">
      <c r="AG6646" s="185"/>
    </row>
    <row r="6647" spans="33:33" x14ac:dyDescent="0.25">
      <c r="AG6647" s="185"/>
    </row>
    <row r="6648" spans="33:33" x14ac:dyDescent="0.25">
      <c r="AG6648" s="185"/>
    </row>
    <row r="6649" spans="33:33" x14ac:dyDescent="0.25">
      <c r="AG6649" s="185"/>
    </row>
    <row r="6650" spans="33:33" x14ac:dyDescent="0.25">
      <c r="AG6650" s="185"/>
    </row>
    <row r="6651" spans="33:33" x14ac:dyDescent="0.25">
      <c r="AG6651" s="185"/>
    </row>
    <row r="6652" spans="33:33" x14ac:dyDescent="0.25">
      <c r="AG6652" s="185"/>
    </row>
    <row r="6653" spans="33:33" x14ac:dyDescent="0.25">
      <c r="AG6653" s="185"/>
    </row>
    <row r="6654" spans="33:33" x14ac:dyDescent="0.25">
      <c r="AG6654" s="185"/>
    </row>
    <row r="6655" spans="33:33" x14ac:dyDescent="0.25">
      <c r="AG6655" s="185"/>
    </row>
    <row r="6656" spans="33:33" x14ac:dyDescent="0.25">
      <c r="AG6656" s="185"/>
    </row>
    <row r="6657" spans="33:33" x14ac:dyDescent="0.25">
      <c r="AG6657" s="185"/>
    </row>
    <row r="6658" spans="33:33" x14ac:dyDescent="0.25">
      <c r="AG6658" s="185"/>
    </row>
    <row r="6659" spans="33:33" x14ac:dyDescent="0.25">
      <c r="AG6659" s="185"/>
    </row>
    <row r="6660" spans="33:33" x14ac:dyDescent="0.25">
      <c r="AG6660" s="185"/>
    </row>
    <row r="6661" spans="33:33" x14ac:dyDescent="0.25">
      <c r="AG6661" s="185"/>
    </row>
    <row r="6662" spans="33:33" x14ac:dyDescent="0.25">
      <c r="AG6662" s="185"/>
    </row>
    <row r="6663" spans="33:33" x14ac:dyDescent="0.25">
      <c r="AG6663" s="185"/>
    </row>
    <row r="6664" spans="33:33" x14ac:dyDescent="0.25">
      <c r="AG6664" s="185"/>
    </row>
    <row r="6665" spans="33:33" x14ac:dyDescent="0.25">
      <c r="AG6665" s="185"/>
    </row>
    <row r="6666" spans="33:33" x14ac:dyDescent="0.25">
      <c r="AG6666" s="185"/>
    </row>
    <row r="6667" spans="33:33" x14ac:dyDescent="0.25">
      <c r="AG6667" s="185"/>
    </row>
    <row r="6668" spans="33:33" x14ac:dyDescent="0.25">
      <c r="AG6668" s="185"/>
    </row>
    <row r="6669" spans="33:33" x14ac:dyDescent="0.25">
      <c r="AG6669" s="185"/>
    </row>
    <row r="6670" spans="33:33" x14ac:dyDescent="0.25">
      <c r="AG6670" s="185"/>
    </row>
    <row r="6671" spans="33:33" x14ac:dyDescent="0.25">
      <c r="AG6671" s="185"/>
    </row>
    <row r="6672" spans="33:33" x14ac:dyDescent="0.25">
      <c r="AG6672" s="185"/>
    </row>
    <row r="6673" spans="33:33" x14ac:dyDescent="0.25">
      <c r="AG6673" s="185"/>
    </row>
    <row r="6674" spans="33:33" x14ac:dyDescent="0.25">
      <c r="AG6674" s="185"/>
    </row>
    <row r="6675" spans="33:33" x14ac:dyDescent="0.25">
      <c r="AG6675" s="185"/>
    </row>
    <row r="6676" spans="33:33" x14ac:dyDescent="0.25">
      <c r="AG6676" s="185"/>
    </row>
    <row r="6677" spans="33:33" x14ac:dyDescent="0.25">
      <c r="AG6677" s="185"/>
    </row>
    <row r="6678" spans="33:33" x14ac:dyDescent="0.25">
      <c r="AG6678" s="185"/>
    </row>
    <row r="6679" spans="33:33" x14ac:dyDescent="0.25">
      <c r="AG6679" s="185"/>
    </row>
    <row r="6680" spans="33:33" x14ac:dyDescent="0.25">
      <c r="AG6680" s="185"/>
    </row>
    <row r="6681" spans="33:33" x14ac:dyDescent="0.25">
      <c r="AG6681" s="185"/>
    </row>
    <row r="6682" spans="33:33" x14ac:dyDescent="0.25">
      <c r="AG6682" s="185"/>
    </row>
    <row r="6683" spans="33:33" x14ac:dyDescent="0.25">
      <c r="AG6683" s="185"/>
    </row>
    <row r="6684" spans="33:33" x14ac:dyDescent="0.25">
      <c r="AG6684" s="185"/>
    </row>
    <row r="6685" spans="33:33" x14ac:dyDescent="0.25">
      <c r="AG6685" s="185"/>
    </row>
    <row r="6686" spans="33:33" x14ac:dyDescent="0.25">
      <c r="AG6686" s="185"/>
    </row>
    <row r="6687" spans="33:33" x14ac:dyDescent="0.25">
      <c r="AG6687" s="185"/>
    </row>
    <row r="6688" spans="33:33" x14ac:dyDescent="0.25">
      <c r="AG6688" s="185"/>
    </row>
    <row r="6689" spans="33:33" x14ac:dyDescent="0.25">
      <c r="AG6689" s="185"/>
    </row>
    <row r="6690" spans="33:33" x14ac:dyDescent="0.25">
      <c r="AG6690" s="185"/>
    </row>
    <row r="6691" spans="33:33" x14ac:dyDescent="0.25">
      <c r="AG6691" s="185"/>
    </row>
    <row r="6692" spans="33:33" x14ac:dyDescent="0.25">
      <c r="AG6692" s="185"/>
    </row>
    <row r="6693" spans="33:33" x14ac:dyDescent="0.25">
      <c r="AG6693" s="185"/>
    </row>
    <row r="6694" spans="33:33" x14ac:dyDescent="0.25">
      <c r="AG6694" s="185"/>
    </row>
    <row r="6695" spans="33:33" x14ac:dyDescent="0.25">
      <c r="AG6695" s="185"/>
    </row>
    <row r="6696" spans="33:33" x14ac:dyDescent="0.25">
      <c r="AG6696" s="185"/>
    </row>
    <row r="6697" spans="33:33" x14ac:dyDescent="0.25">
      <c r="AG6697" s="185"/>
    </row>
    <row r="6698" spans="33:33" x14ac:dyDescent="0.25">
      <c r="AG6698" s="185"/>
    </row>
    <row r="6699" spans="33:33" x14ac:dyDescent="0.25">
      <c r="AG6699" s="185"/>
    </row>
    <row r="6700" spans="33:33" x14ac:dyDescent="0.25">
      <c r="AG6700" s="185"/>
    </row>
    <row r="6701" spans="33:33" x14ac:dyDescent="0.25">
      <c r="AG6701" s="185"/>
    </row>
    <row r="6702" spans="33:33" x14ac:dyDescent="0.25">
      <c r="AG6702" s="185"/>
    </row>
    <row r="6703" spans="33:33" x14ac:dyDescent="0.25">
      <c r="AG6703" s="185"/>
    </row>
    <row r="6704" spans="33:33" x14ac:dyDescent="0.25">
      <c r="AG6704" s="185"/>
    </row>
    <row r="6705" spans="33:33" x14ac:dyDescent="0.25">
      <c r="AG6705" s="185"/>
    </row>
    <row r="6706" spans="33:33" x14ac:dyDescent="0.25">
      <c r="AG6706" s="185"/>
    </row>
    <row r="6707" spans="33:33" x14ac:dyDescent="0.25">
      <c r="AG6707" s="185"/>
    </row>
    <row r="6708" spans="33:33" x14ac:dyDescent="0.25">
      <c r="AG6708" s="185"/>
    </row>
    <row r="6709" spans="33:33" x14ac:dyDescent="0.25">
      <c r="AG6709" s="185"/>
    </row>
    <row r="6710" spans="33:33" x14ac:dyDescent="0.25">
      <c r="AG6710" s="185"/>
    </row>
    <row r="6711" spans="33:33" x14ac:dyDescent="0.25">
      <c r="AG6711" s="185"/>
    </row>
    <row r="6712" spans="33:33" x14ac:dyDescent="0.25">
      <c r="AG6712" s="185"/>
    </row>
    <row r="6713" spans="33:33" x14ac:dyDescent="0.25">
      <c r="AG6713" s="185"/>
    </row>
    <row r="6714" spans="33:33" x14ac:dyDescent="0.25">
      <c r="AG6714" s="185"/>
    </row>
    <row r="6715" spans="33:33" x14ac:dyDescent="0.25">
      <c r="AG6715" s="185"/>
    </row>
    <row r="6716" spans="33:33" x14ac:dyDescent="0.25">
      <c r="AG6716" s="185"/>
    </row>
    <row r="6717" spans="33:33" x14ac:dyDescent="0.25">
      <c r="AG6717" s="185"/>
    </row>
    <row r="6718" spans="33:33" x14ac:dyDescent="0.25">
      <c r="AG6718" s="185"/>
    </row>
    <row r="6719" spans="33:33" x14ac:dyDescent="0.25">
      <c r="AG6719" s="185"/>
    </row>
    <row r="6720" spans="33:33" x14ac:dyDescent="0.25">
      <c r="AG6720" s="185"/>
    </row>
    <row r="6721" spans="33:33" x14ac:dyDescent="0.25">
      <c r="AG6721" s="185"/>
    </row>
    <row r="6722" spans="33:33" x14ac:dyDescent="0.25">
      <c r="AG6722" s="185"/>
    </row>
    <row r="6723" spans="33:33" x14ac:dyDescent="0.25">
      <c r="AG6723" s="185"/>
    </row>
    <row r="6724" spans="33:33" x14ac:dyDescent="0.25">
      <c r="AG6724" s="185"/>
    </row>
    <row r="6725" spans="33:33" x14ac:dyDescent="0.25">
      <c r="AG6725" s="185"/>
    </row>
    <row r="6726" spans="33:33" x14ac:dyDescent="0.25">
      <c r="AG6726" s="185"/>
    </row>
    <row r="6727" spans="33:33" x14ac:dyDescent="0.25">
      <c r="AG6727" s="185"/>
    </row>
    <row r="6728" spans="33:33" x14ac:dyDescent="0.25">
      <c r="AG6728" s="185"/>
    </row>
    <row r="6729" spans="33:33" x14ac:dyDescent="0.25">
      <c r="AG6729" s="185"/>
    </row>
    <row r="6730" spans="33:33" x14ac:dyDescent="0.25">
      <c r="AG6730" s="185"/>
    </row>
    <row r="6731" spans="33:33" x14ac:dyDescent="0.25">
      <c r="AG6731" s="185"/>
    </row>
    <row r="6732" spans="33:33" x14ac:dyDescent="0.25">
      <c r="AG6732" s="185"/>
    </row>
    <row r="6733" spans="33:33" x14ac:dyDescent="0.25">
      <c r="AG6733" s="185"/>
    </row>
    <row r="6734" spans="33:33" x14ac:dyDescent="0.25">
      <c r="AG6734" s="185"/>
    </row>
    <row r="6735" spans="33:33" x14ac:dyDescent="0.25">
      <c r="AG6735" s="185"/>
    </row>
    <row r="6736" spans="33:33" x14ac:dyDescent="0.25">
      <c r="AG6736" s="185"/>
    </row>
    <row r="6737" spans="33:33" x14ac:dyDescent="0.25">
      <c r="AG6737" s="185"/>
    </row>
    <row r="6738" spans="33:33" x14ac:dyDescent="0.25">
      <c r="AG6738" s="185"/>
    </row>
    <row r="6739" spans="33:33" x14ac:dyDescent="0.25">
      <c r="AG6739" s="185"/>
    </row>
    <row r="6740" spans="33:33" x14ac:dyDescent="0.25">
      <c r="AG6740" s="185"/>
    </row>
    <row r="6741" spans="33:33" x14ac:dyDescent="0.25">
      <c r="AG6741" s="185"/>
    </row>
    <row r="6742" spans="33:33" x14ac:dyDescent="0.25">
      <c r="AG6742" s="185"/>
    </row>
    <row r="6743" spans="33:33" x14ac:dyDescent="0.25">
      <c r="AG6743" s="185"/>
    </row>
    <row r="6744" spans="33:33" x14ac:dyDescent="0.25">
      <c r="AG6744" s="185"/>
    </row>
    <row r="6745" spans="33:33" x14ac:dyDescent="0.25">
      <c r="AG6745" s="185"/>
    </row>
    <row r="6746" spans="33:33" x14ac:dyDescent="0.25">
      <c r="AG6746" s="185"/>
    </row>
    <row r="6747" spans="33:33" x14ac:dyDescent="0.25">
      <c r="AG6747" s="185"/>
    </row>
    <row r="6748" spans="33:33" x14ac:dyDescent="0.25">
      <c r="AG6748" s="185"/>
    </row>
    <row r="6749" spans="33:33" x14ac:dyDescent="0.25">
      <c r="AG6749" s="185"/>
    </row>
    <row r="6750" spans="33:33" x14ac:dyDescent="0.25">
      <c r="AG6750" s="185"/>
    </row>
    <row r="6751" spans="33:33" x14ac:dyDescent="0.25">
      <c r="AG6751" s="185"/>
    </row>
    <row r="6752" spans="33:33" x14ac:dyDescent="0.25">
      <c r="AG6752" s="185"/>
    </row>
    <row r="6753" spans="33:33" x14ac:dyDescent="0.25">
      <c r="AG6753" s="185"/>
    </row>
    <row r="6754" spans="33:33" x14ac:dyDescent="0.25">
      <c r="AG6754" s="185"/>
    </row>
    <row r="6755" spans="33:33" x14ac:dyDescent="0.25">
      <c r="AG6755" s="185"/>
    </row>
    <row r="6756" spans="33:33" x14ac:dyDescent="0.25">
      <c r="AG6756" s="185"/>
    </row>
    <row r="6757" spans="33:33" x14ac:dyDescent="0.25">
      <c r="AG6757" s="185"/>
    </row>
    <row r="6758" spans="33:33" x14ac:dyDescent="0.25">
      <c r="AG6758" s="185"/>
    </row>
    <row r="6759" spans="33:33" x14ac:dyDescent="0.25">
      <c r="AG6759" s="185"/>
    </row>
    <row r="6760" spans="33:33" x14ac:dyDescent="0.25">
      <c r="AG6760" s="185"/>
    </row>
    <row r="6761" spans="33:33" x14ac:dyDescent="0.25">
      <c r="AG6761" s="185"/>
    </row>
    <row r="6762" spans="33:33" x14ac:dyDescent="0.25">
      <c r="AG6762" s="185"/>
    </row>
    <row r="6763" spans="33:33" x14ac:dyDescent="0.25">
      <c r="AG6763" s="185"/>
    </row>
    <row r="6764" spans="33:33" x14ac:dyDescent="0.25">
      <c r="AG6764" s="185"/>
    </row>
    <row r="6765" spans="33:33" x14ac:dyDescent="0.25">
      <c r="AG6765" s="185"/>
    </row>
    <row r="6766" spans="33:33" x14ac:dyDescent="0.25">
      <c r="AG6766" s="185"/>
    </row>
    <row r="6767" spans="33:33" x14ac:dyDescent="0.25">
      <c r="AG6767" s="185"/>
    </row>
    <row r="6768" spans="33:33" x14ac:dyDescent="0.25">
      <c r="AG6768" s="185"/>
    </row>
    <row r="6769" spans="33:33" x14ac:dyDescent="0.25">
      <c r="AG6769" s="185"/>
    </row>
    <row r="6770" spans="33:33" x14ac:dyDescent="0.25">
      <c r="AG6770" s="185"/>
    </row>
    <row r="6771" spans="33:33" x14ac:dyDescent="0.25">
      <c r="AG6771" s="185"/>
    </row>
    <row r="6772" spans="33:33" x14ac:dyDescent="0.25">
      <c r="AG6772" s="185"/>
    </row>
    <row r="6773" spans="33:33" x14ac:dyDescent="0.25">
      <c r="AG6773" s="185"/>
    </row>
    <row r="6774" spans="33:33" x14ac:dyDescent="0.25">
      <c r="AG6774" s="185"/>
    </row>
    <row r="6775" spans="33:33" x14ac:dyDescent="0.25">
      <c r="AG6775" s="185"/>
    </row>
    <row r="6776" spans="33:33" x14ac:dyDescent="0.25">
      <c r="AG6776" s="185"/>
    </row>
    <row r="6777" spans="33:33" x14ac:dyDescent="0.25">
      <c r="AG6777" s="185"/>
    </row>
    <row r="6778" spans="33:33" x14ac:dyDescent="0.25">
      <c r="AG6778" s="185"/>
    </row>
    <row r="6779" spans="33:33" x14ac:dyDescent="0.25">
      <c r="AG6779" s="185"/>
    </row>
    <row r="6780" spans="33:33" x14ac:dyDescent="0.25">
      <c r="AG6780" s="185"/>
    </row>
    <row r="6781" spans="33:33" x14ac:dyDescent="0.25">
      <c r="AG6781" s="185"/>
    </row>
    <row r="6782" spans="33:33" x14ac:dyDescent="0.25">
      <c r="AG6782" s="185"/>
    </row>
    <row r="6783" spans="33:33" x14ac:dyDescent="0.25">
      <c r="AG6783" s="185"/>
    </row>
    <row r="6784" spans="33:33" x14ac:dyDescent="0.25">
      <c r="AG6784" s="185"/>
    </row>
    <row r="6785" spans="33:33" x14ac:dyDescent="0.25">
      <c r="AG6785" s="185"/>
    </row>
    <row r="6786" spans="33:33" x14ac:dyDescent="0.25">
      <c r="AG6786" s="185"/>
    </row>
    <row r="6787" spans="33:33" x14ac:dyDescent="0.25">
      <c r="AG6787" s="185"/>
    </row>
    <row r="6788" spans="33:33" x14ac:dyDescent="0.25">
      <c r="AG6788" s="185"/>
    </row>
    <row r="6789" spans="33:33" x14ac:dyDescent="0.25">
      <c r="AG6789" s="185"/>
    </row>
    <row r="6790" spans="33:33" x14ac:dyDescent="0.25">
      <c r="AG6790" s="185"/>
    </row>
    <row r="6791" spans="33:33" x14ac:dyDescent="0.25">
      <c r="AG6791" s="185"/>
    </row>
    <row r="6792" spans="33:33" x14ac:dyDescent="0.25">
      <c r="AG6792" s="185"/>
    </row>
    <row r="6793" spans="33:33" x14ac:dyDescent="0.25">
      <c r="AG6793" s="185"/>
    </row>
    <row r="6794" spans="33:33" x14ac:dyDescent="0.25">
      <c r="AG6794" s="185"/>
    </row>
    <row r="6795" spans="33:33" x14ac:dyDescent="0.25">
      <c r="AG6795" s="185"/>
    </row>
    <row r="6796" spans="33:33" x14ac:dyDescent="0.25">
      <c r="AG6796" s="185"/>
    </row>
    <row r="6797" spans="33:33" x14ac:dyDescent="0.25">
      <c r="AG6797" s="185"/>
    </row>
    <row r="6798" spans="33:33" x14ac:dyDescent="0.25">
      <c r="AG6798" s="185"/>
    </row>
    <row r="6799" spans="33:33" x14ac:dyDescent="0.25">
      <c r="AG6799" s="185"/>
    </row>
    <row r="6800" spans="33:33" x14ac:dyDescent="0.25">
      <c r="AG6800" s="185"/>
    </row>
    <row r="6801" spans="33:33" x14ac:dyDescent="0.25">
      <c r="AG6801" s="185"/>
    </row>
    <row r="6802" spans="33:33" x14ac:dyDescent="0.25">
      <c r="AG6802" s="185"/>
    </row>
    <row r="6803" spans="33:33" x14ac:dyDescent="0.25">
      <c r="AG6803" s="185"/>
    </row>
    <row r="6804" spans="33:33" x14ac:dyDescent="0.25">
      <c r="AG6804" s="185"/>
    </row>
    <row r="6805" spans="33:33" x14ac:dyDescent="0.25">
      <c r="AG6805" s="185"/>
    </row>
    <row r="6806" spans="33:33" x14ac:dyDescent="0.25">
      <c r="AG6806" s="185"/>
    </row>
    <row r="6807" spans="33:33" x14ac:dyDescent="0.25">
      <c r="AG6807" s="185"/>
    </row>
    <row r="6808" spans="33:33" x14ac:dyDescent="0.25">
      <c r="AG6808" s="185"/>
    </row>
    <row r="6809" spans="33:33" x14ac:dyDescent="0.25">
      <c r="AG6809" s="185"/>
    </row>
    <row r="6810" spans="33:33" x14ac:dyDescent="0.25">
      <c r="AG6810" s="185"/>
    </row>
    <row r="6811" spans="33:33" x14ac:dyDescent="0.25">
      <c r="AG6811" s="185"/>
    </row>
    <row r="6812" spans="33:33" x14ac:dyDescent="0.25">
      <c r="AG6812" s="185"/>
    </row>
    <row r="6813" spans="33:33" x14ac:dyDescent="0.25">
      <c r="AG6813" s="185"/>
    </row>
    <row r="6814" spans="33:33" x14ac:dyDescent="0.25">
      <c r="AG6814" s="185"/>
    </row>
    <row r="6815" spans="33:33" x14ac:dyDescent="0.25">
      <c r="AG6815" s="185"/>
    </row>
    <row r="6816" spans="33:33" x14ac:dyDescent="0.25">
      <c r="AG6816" s="185"/>
    </row>
    <row r="6817" spans="33:33" x14ac:dyDescent="0.25">
      <c r="AG6817" s="185"/>
    </row>
    <row r="6818" spans="33:33" x14ac:dyDescent="0.25">
      <c r="AG6818" s="185"/>
    </row>
    <row r="6819" spans="33:33" x14ac:dyDescent="0.25">
      <c r="AG6819" s="185"/>
    </row>
    <row r="6820" spans="33:33" x14ac:dyDescent="0.25">
      <c r="AG6820" s="185"/>
    </row>
    <row r="6821" spans="33:33" x14ac:dyDescent="0.25">
      <c r="AG6821" s="185"/>
    </row>
    <row r="6822" spans="33:33" x14ac:dyDescent="0.25">
      <c r="AG6822" s="185"/>
    </row>
    <row r="6823" spans="33:33" x14ac:dyDescent="0.25">
      <c r="AG6823" s="185"/>
    </row>
    <row r="6824" spans="33:33" x14ac:dyDescent="0.25">
      <c r="AG6824" s="185"/>
    </row>
    <row r="6825" spans="33:33" x14ac:dyDescent="0.25">
      <c r="AG6825" s="185"/>
    </row>
    <row r="6826" spans="33:33" x14ac:dyDescent="0.25">
      <c r="AG6826" s="185"/>
    </row>
    <row r="6827" spans="33:33" x14ac:dyDescent="0.25">
      <c r="AG6827" s="185"/>
    </row>
    <row r="6828" spans="33:33" x14ac:dyDescent="0.25">
      <c r="AG6828" s="185"/>
    </row>
    <row r="6829" spans="33:33" x14ac:dyDescent="0.25">
      <c r="AG6829" s="185"/>
    </row>
    <row r="6830" spans="33:33" x14ac:dyDescent="0.25">
      <c r="AG6830" s="185"/>
    </row>
    <row r="6831" spans="33:33" x14ac:dyDescent="0.25">
      <c r="AG6831" s="185"/>
    </row>
    <row r="6832" spans="33:33" x14ac:dyDescent="0.25">
      <c r="AG6832" s="185"/>
    </row>
    <row r="6833" spans="33:33" x14ac:dyDescent="0.25">
      <c r="AG6833" s="185"/>
    </row>
    <row r="6834" spans="33:33" x14ac:dyDescent="0.25">
      <c r="AG6834" s="185"/>
    </row>
    <row r="6835" spans="33:33" x14ac:dyDescent="0.25">
      <c r="AG6835" s="185"/>
    </row>
    <row r="6836" spans="33:33" x14ac:dyDescent="0.25">
      <c r="AG6836" s="185"/>
    </row>
    <row r="6837" spans="33:33" x14ac:dyDescent="0.25">
      <c r="AG6837" s="185"/>
    </row>
    <row r="6838" spans="33:33" x14ac:dyDescent="0.25">
      <c r="AG6838" s="185"/>
    </row>
    <row r="6839" spans="33:33" x14ac:dyDescent="0.25">
      <c r="AG6839" s="185"/>
    </row>
    <row r="6840" spans="33:33" x14ac:dyDescent="0.25">
      <c r="AG6840" s="185"/>
    </row>
    <row r="6841" spans="33:33" x14ac:dyDescent="0.25">
      <c r="AG6841" s="185"/>
    </row>
    <row r="6842" spans="33:33" x14ac:dyDescent="0.25">
      <c r="AG6842" s="185"/>
    </row>
    <row r="6843" spans="33:33" x14ac:dyDescent="0.25">
      <c r="AG6843" s="185"/>
    </row>
    <row r="6844" spans="33:33" x14ac:dyDescent="0.25">
      <c r="AG6844" s="185"/>
    </row>
    <row r="6845" spans="33:33" x14ac:dyDescent="0.25">
      <c r="AG6845" s="185"/>
    </row>
    <row r="6846" spans="33:33" x14ac:dyDescent="0.25">
      <c r="AG6846" s="185"/>
    </row>
    <row r="6847" spans="33:33" x14ac:dyDescent="0.25">
      <c r="AG6847" s="185"/>
    </row>
    <row r="6848" spans="33:33" x14ac:dyDescent="0.25">
      <c r="AG6848" s="185"/>
    </row>
    <row r="6849" spans="33:33" x14ac:dyDescent="0.25">
      <c r="AG6849" s="185"/>
    </row>
    <row r="6850" spans="33:33" x14ac:dyDescent="0.25">
      <c r="AG6850" s="185"/>
    </row>
    <row r="6851" spans="33:33" x14ac:dyDescent="0.25">
      <c r="AG6851" s="185"/>
    </row>
    <row r="6852" spans="33:33" x14ac:dyDescent="0.25">
      <c r="AG6852" s="185"/>
    </row>
    <row r="6853" spans="33:33" x14ac:dyDescent="0.25">
      <c r="AG6853" s="185"/>
    </row>
    <row r="6854" spans="33:33" x14ac:dyDescent="0.25">
      <c r="AG6854" s="185"/>
    </row>
    <row r="6855" spans="33:33" x14ac:dyDescent="0.25">
      <c r="AG6855" s="185"/>
    </row>
    <row r="6856" spans="33:33" x14ac:dyDescent="0.25">
      <c r="AG6856" s="185"/>
    </row>
    <row r="6857" spans="33:33" x14ac:dyDescent="0.25">
      <c r="AG6857" s="185"/>
    </row>
    <row r="6858" spans="33:33" x14ac:dyDescent="0.25">
      <c r="AG6858" s="185"/>
    </row>
    <row r="6859" spans="33:33" x14ac:dyDescent="0.25">
      <c r="AG6859" s="185"/>
    </row>
    <row r="6860" spans="33:33" x14ac:dyDescent="0.25">
      <c r="AG6860" s="185"/>
    </row>
    <row r="6861" spans="33:33" x14ac:dyDescent="0.25">
      <c r="AG6861" s="185"/>
    </row>
    <row r="6862" spans="33:33" x14ac:dyDescent="0.25">
      <c r="AG6862" s="185"/>
    </row>
    <row r="6863" spans="33:33" x14ac:dyDescent="0.25">
      <c r="AG6863" s="185"/>
    </row>
    <row r="6864" spans="33:33" x14ac:dyDescent="0.25">
      <c r="AG6864" s="185"/>
    </row>
    <row r="6865" spans="33:33" x14ac:dyDescent="0.25">
      <c r="AG6865" s="185"/>
    </row>
    <row r="6866" spans="33:33" x14ac:dyDescent="0.25">
      <c r="AG6866" s="185"/>
    </row>
    <row r="6867" spans="33:33" x14ac:dyDescent="0.25">
      <c r="AG6867" s="185"/>
    </row>
    <row r="6868" spans="33:33" x14ac:dyDescent="0.25">
      <c r="AG6868" s="185"/>
    </row>
    <row r="6869" spans="33:33" x14ac:dyDescent="0.25">
      <c r="AG6869" s="185"/>
    </row>
    <row r="6870" spans="33:33" x14ac:dyDescent="0.25">
      <c r="AG6870" s="185"/>
    </row>
    <row r="6871" spans="33:33" x14ac:dyDescent="0.25">
      <c r="AG6871" s="185"/>
    </row>
    <row r="6872" spans="33:33" x14ac:dyDescent="0.25">
      <c r="AG6872" s="185"/>
    </row>
    <row r="6873" spans="33:33" x14ac:dyDescent="0.25">
      <c r="AG6873" s="185"/>
    </row>
    <row r="6874" spans="33:33" x14ac:dyDescent="0.25">
      <c r="AG6874" s="185"/>
    </row>
    <row r="6875" spans="33:33" x14ac:dyDescent="0.25">
      <c r="AG6875" s="185"/>
    </row>
    <row r="6876" spans="33:33" x14ac:dyDescent="0.25">
      <c r="AG6876" s="185"/>
    </row>
    <row r="6877" spans="33:33" x14ac:dyDescent="0.25">
      <c r="AG6877" s="185"/>
    </row>
    <row r="6878" spans="33:33" x14ac:dyDescent="0.25">
      <c r="AG6878" s="185"/>
    </row>
    <row r="6879" spans="33:33" x14ac:dyDescent="0.25">
      <c r="AG6879" s="185"/>
    </row>
    <row r="6880" spans="33:33" x14ac:dyDescent="0.25">
      <c r="AG6880" s="185"/>
    </row>
    <row r="6881" spans="33:33" x14ac:dyDescent="0.25">
      <c r="AG6881" s="185"/>
    </row>
    <row r="6882" spans="33:33" x14ac:dyDescent="0.25">
      <c r="AG6882" s="185"/>
    </row>
    <row r="6883" spans="33:33" x14ac:dyDescent="0.25">
      <c r="AG6883" s="185"/>
    </row>
    <row r="6884" spans="33:33" x14ac:dyDescent="0.25">
      <c r="AG6884" s="185"/>
    </row>
    <row r="6885" spans="33:33" x14ac:dyDescent="0.25">
      <c r="AG6885" s="185"/>
    </row>
    <row r="6886" spans="33:33" x14ac:dyDescent="0.25">
      <c r="AG6886" s="185"/>
    </row>
    <row r="6887" spans="33:33" x14ac:dyDescent="0.25">
      <c r="AG6887" s="185"/>
    </row>
    <row r="6888" spans="33:33" x14ac:dyDescent="0.25">
      <c r="AG6888" s="185"/>
    </row>
    <row r="6889" spans="33:33" x14ac:dyDescent="0.25">
      <c r="AG6889" s="185"/>
    </row>
    <row r="6890" spans="33:33" x14ac:dyDescent="0.25">
      <c r="AG6890" s="185"/>
    </row>
    <row r="6891" spans="33:33" x14ac:dyDescent="0.25">
      <c r="AG6891" s="185"/>
    </row>
    <row r="6892" spans="33:33" x14ac:dyDescent="0.25">
      <c r="AG6892" s="185"/>
    </row>
    <row r="6893" spans="33:33" x14ac:dyDescent="0.25">
      <c r="AG6893" s="185"/>
    </row>
    <row r="6894" spans="33:33" x14ac:dyDescent="0.25">
      <c r="AG6894" s="185"/>
    </row>
    <row r="6895" spans="33:33" x14ac:dyDescent="0.25">
      <c r="AG6895" s="185"/>
    </row>
    <row r="6896" spans="33:33" x14ac:dyDescent="0.25">
      <c r="AG6896" s="185"/>
    </row>
    <row r="6897" spans="33:33" x14ac:dyDescent="0.25">
      <c r="AG6897" s="185"/>
    </row>
    <row r="6898" spans="33:33" x14ac:dyDescent="0.25">
      <c r="AG6898" s="185"/>
    </row>
    <row r="6899" spans="33:33" x14ac:dyDescent="0.25">
      <c r="AG6899" s="185"/>
    </row>
    <row r="6900" spans="33:33" x14ac:dyDescent="0.25">
      <c r="AG6900" s="185"/>
    </row>
    <row r="6901" spans="33:33" x14ac:dyDescent="0.25">
      <c r="AG6901" s="185"/>
    </row>
    <row r="6902" spans="33:33" x14ac:dyDescent="0.25">
      <c r="AG6902" s="185"/>
    </row>
    <row r="6903" spans="33:33" x14ac:dyDescent="0.25">
      <c r="AG6903" s="185"/>
    </row>
    <row r="6904" spans="33:33" x14ac:dyDescent="0.25">
      <c r="AG6904" s="185"/>
    </row>
    <row r="6905" spans="33:33" x14ac:dyDescent="0.25">
      <c r="AG6905" s="185"/>
    </row>
    <row r="6906" spans="33:33" x14ac:dyDescent="0.25">
      <c r="AG6906" s="185"/>
    </row>
    <row r="6907" spans="33:33" x14ac:dyDescent="0.25">
      <c r="AG6907" s="185"/>
    </row>
    <row r="6908" spans="33:33" x14ac:dyDescent="0.25">
      <c r="AG6908" s="185"/>
    </row>
    <row r="6909" spans="33:33" x14ac:dyDescent="0.25">
      <c r="AG6909" s="185"/>
    </row>
    <row r="6910" spans="33:33" x14ac:dyDescent="0.25">
      <c r="AG6910" s="185"/>
    </row>
    <row r="6911" spans="33:33" x14ac:dyDescent="0.25">
      <c r="AG6911" s="185"/>
    </row>
    <row r="6912" spans="33:33" x14ac:dyDescent="0.25">
      <c r="AG6912" s="185"/>
    </row>
    <row r="6913" spans="33:33" x14ac:dyDescent="0.25">
      <c r="AG6913" s="185"/>
    </row>
    <row r="6914" spans="33:33" x14ac:dyDescent="0.25">
      <c r="AG6914" s="185"/>
    </row>
    <row r="6915" spans="33:33" x14ac:dyDescent="0.25">
      <c r="AG6915" s="185"/>
    </row>
    <row r="6916" spans="33:33" x14ac:dyDescent="0.25">
      <c r="AG6916" s="185"/>
    </row>
    <row r="6917" spans="33:33" x14ac:dyDescent="0.25">
      <c r="AG6917" s="185"/>
    </row>
    <row r="6918" spans="33:33" x14ac:dyDescent="0.25">
      <c r="AG6918" s="185"/>
    </row>
    <row r="6919" spans="33:33" x14ac:dyDescent="0.25">
      <c r="AG6919" s="185"/>
    </row>
    <row r="6920" spans="33:33" x14ac:dyDescent="0.25">
      <c r="AG6920" s="185"/>
    </row>
    <row r="6921" spans="33:33" x14ac:dyDescent="0.25">
      <c r="AG6921" s="185"/>
    </row>
    <row r="6922" spans="33:33" x14ac:dyDescent="0.25">
      <c r="AG6922" s="185"/>
    </row>
    <row r="6923" spans="33:33" x14ac:dyDescent="0.25">
      <c r="AG6923" s="185"/>
    </row>
    <row r="6924" spans="33:33" x14ac:dyDescent="0.25">
      <c r="AG6924" s="185"/>
    </row>
    <row r="6925" spans="33:33" x14ac:dyDescent="0.25">
      <c r="AG6925" s="185"/>
    </row>
    <row r="6926" spans="33:33" x14ac:dyDescent="0.25">
      <c r="AG6926" s="185"/>
    </row>
    <row r="6927" spans="33:33" x14ac:dyDescent="0.25">
      <c r="AG6927" s="185"/>
    </row>
    <row r="6928" spans="33:33" x14ac:dyDescent="0.25">
      <c r="AG6928" s="185"/>
    </row>
    <row r="6929" spans="33:33" x14ac:dyDescent="0.25">
      <c r="AG6929" s="185"/>
    </row>
    <row r="6930" spans="33:33" x14ac:dyDescent="0.25">
      <c r="AG6930" s="185"/>
    </row>
    <row r="6931" spans="33:33" x14ac:dyDescent="0.25">
      <c r="AG6931" s="185"/>
    </row>
    <row r="6932" spans="33:33" x14ac:dyDescent="0.25">
      <c r="AG6932" s="185"/>
    </row>
    <row r="6933" spans="33:33" x14ac:dyDescent="0.25">
      <c r="AG6933" s="185"/>
    </row>
    <row r="6934" spans="33:33" x14ac:dyDescent="0.25">
      <c r="AG6934" s="185"/>
    </row>
    <row r="6935" spans="33:33" x14ac:dyDescent="0.25">
      <c r="AG6935" s="185"/>
    </row>
    <row r="6936" spans="33:33" x14ac:dyDescent="0.25">
      <c r="AG6936" s="185"/>
    </row>
    <row r="6937" spans="33:33" x14ac:dyDescent="0.25">
      <c r="AG6937" s="185"/>
    </row>
    <row r="6938" spans="33:33" x14ac:dyDescent="0.25">
      <c r="AG6938" s="185"/>
    </row>
    <row r="6939" spans="33:33" x14ac:dyDescent="0.25">
      <c r="AG6939" s="185"/>
    </row>
    <row r="6940" spans="33:33" x14ac:dyDescent="0.25">
      <c r="AG6940" s="185"/>
    </row>
    <row r="6941" spans="33:33" x14ac:dyDescent="0.25">
      <c r="AG6941" s="185"/>
    </row>
    <row r="6942" spans="33:33" x14ac:dyDescent="0.25">
      <c r="AG6942" s="185"/>
    </row>
    <row r="6943" spans="33:33" x14ac:dyDescent="0.25">
      <c r="AG6943" s="185"/>
    </row>
    <row r="6944" spans="33:33" x14ac:dyDescent="0.25">
      <c r="AG6944" s="185"/>
    </row>
    <row r="6945" spans="33:33" x14ac:dyDescent="0.25">
      <c r="AG6945" s="185"/>
    </row>
    <row r="6946" spans="33:33" x14ac:dyDescent="0.25">
      <c r="AG6946" s="185"/>
    </row>
    <row r="6947" spans="33:33" x14ac:dyDescent="0.25">
      <c r="AG6947" s="185"/>
    </row>
    <row r="6948" spans="33:33" x14ac:dyDescent="0.25">
      <c r="AG6948" s="185"/>
    </row>
    <row r="6949" spans="33:33" x14ac:dyDescent="0.25">
      <c r="AG6949" s="185"/>
    </row>
    <row r="6950" spans="33:33" x14ac:dyDescent="0.25">
      <c r="AG6950" s="185"/>
    </row>
    <row r="6951" spans="33:33" x14ac:dyDescent="0.25">
      <c r="AG6951" s="185"/>
    </row>
    <row r="6952" spans="33:33" x14ac:dyDescent="0.25">
      <c r="AG6952" s="185"/>
    </row>
    <row r="6953" spans="33:33" x14ac:dyDescent="0.25">
      <c r="AG6953" s="185"/>
    </row>
    <row r="6954" spans="33:33" x14ac:dyDescent="0.25">
      <c r="AG6954" s="185"/>
    </row>
    <row r="6955" spans="33:33" x14ac:dyDescent="0.25">
      <c r="AG6955" s="185"/>
    </row>
    <row r="6956" spans="33:33" x14ac:dyDescent="0.25">
      <c r="AG6956" s="185"/>
    </row>
    <row r="6957" spans="33:33" x14ac:dyDescent="0.25">
      <c r="AG6957" s="185"/>
    </row>
    <row r="6958" spans="33:33" x14ac:dyDescent="0.25">
      <c r="AG6958" s="185"/>
    </row>
    <row r="6959" spans="33:33" x14ac:dyDescent="0.25">
      <c r="AG6959" s="185"/>
    </row>
    <row r="6960" spans="33:33" x14ac:dyDescent="0.25">
      <c r="AG6960" s="185"/>
    </row>
    <row r="6961" spans="33:33" x14ac:dyDescent="0.25">
      <c r="AG6961" s="185"/>
    </row>
    <row r="6962" spans="33:33" x14ac:dyDescent="0.25">
      <c r="AG6962" s="185"/>
    </row>
    <row r="6963" spans="33:33" x14ac:dyDescent="0.25">
      <c r="AG6963" s="185"/>
    </row>
    <row r="6964" spans="33:33" x14ac:dyDescent="0.25">
      <c r="AG6964" s="185"/>
    </row>
    <row r="6965" spans="33:33" x14ac:dyDescent="0.25">
      <c r="AG6965" s="185"/>
    </row>
    <row r="6966" spans="33:33" x14ac:dyDescent="0.25">
      <c r="AG6966" s="185"/>
    </row>
    <row r="6967" spans="33:33" x14ac:dyDescent="0.25">
      <c r="AG6967" s="185"/>
    </row>
    <row r="6968" spans="33:33" x14ac:dyDescent="0.25">
      <c r="AG6968" s="185"/>
    </row>
    <row r="6969" spans="33:33" x14ac:dyDescent="0.25">
      <c r="AG6969" s="185"/>
    </row>
    <row r="6970" spans="33:33" x14ac:dyDescent="0.25">
      <c r="AG6970" s="185"/>
    </row>
    <row r="6971" spans="33:33" x14ac:dyDescent="0.25">
      <c r="AG6971" s="185"/>
    </row>
    <row r="6972" spans="33:33" x14ac:dyDescent="0.25">
      <c r="AG6972" s="185"/>
    </row>
    <row r="6973" spans="33:33" x14ac:dyDescent="0.25">
      <c r="AG6973" s="185"/>
    </row>
    <row r="6974" spans="33:33" x14ac:dyDescent="0.25">
      <c r="AG6974" s="185"/>
    </row>
    <row r="6975" spans="33:33" x14ac:dyDescent="0.25">
      <c r="AG6975" s="185"/>
    </row>
    <row r="6976" spans="33:33" x14ac:dyDescent="0.25">
      <c r="AG6976" s="185"/>
    </row>
    <row r="6977" spans="33:33" x14ac:dyDescent="0.25">
      <c r="AG6977" s="185"/>
    </row>
    <row r="6978" spans="33:33" x14ac:dyDescent="0.25">
      <c r="AG6978" s="185"/>
    </row>
    <row r="6979" spans="33:33" x14ac:dyDescent="0.25">
      <c r="AG6979" s="185"/>
    </row>
    <row r="6980" spans="33:33" x14ac:dyDescent="0.25">
      <c r="AG6980" s="185"/>
    </row>
    <row r="6981" spans="33:33" x14ac:dyDescent="0.25">
      <c r="AG6981" s="185"/>
    </row>
    <row r="6982" spans="33:33" x14ac:dyDescent="0.25">
      <c r="AG6982" s="185"/>
    </row>
    <row r="6983" spans="33:33" x14ac:dyDescent="0.25">
      <c r="AG6983" s="185"/>
    </row>
    <row r="6984" spans="33:33" x14ac:dyDescent="0.25">
      <c r="AG6984" s="185"/>
    </row>
    <row r="6985" spans="33:33" x14ac:dyDescent="0.25">
      <c r="AG6985" s="185"/>
    </row>
    <row r="6986" spans="33:33" x14ac:dyDescent="0.25">
      <c r="AG6986" s="185"/>
    </row>
    <row r="6987" spans="33:33" x14ac:dyDescent="0.25">
      <c r="AG6987" s="185"/>
    </row>
    <row r="6988" spans="33:33" x14ac:dyDescent="0.25">
      <c r="AG6988" s="185"/>
    </row>
    <row r="6989" spans="33:33" x14ac:dyDescent="0.25">
      <c r="AG6989" s="185"/>
    </row>
    <row r="6990" spans="33:33" x14ac:dyDescent="0.25">
      <c r="AG6990" s="185"/>
    </row>
    <row r="6991" spans="33:33" x14ac:dyDescent="0.25">
      <c r="AG6991" s="185"/>
    </row>
    <row r="6992" spans="33:33" x14ac:dyDescent="0.25">
      <c r="AG6992" s="185"/>
    </row>
    <row r="6993" spans="33:33" x14ac:dyDescent="0.25">
      <c r="AG6993" s="185"/>
    </row>
    <row r="6994" spans="33:33" x14ac:dyDescent="0.25">
      <c r="AG6994" s="185"/>
    </row>
    <row r="6995" spans="33:33" x14ac:dyDescent="0.25">
      <c r="AG6995" s="185"/>
    </row>
    <row r="6996" spans="33:33" x14ac:dyDescent="0.25">
      <c r="AG6996" s="185"/>
    </row>
    <row r="6997" spans="33:33" x14ac:dyDescent="0.25">
      <c r="AG6997" s="185"/>
    </row>
    <row r="6998" spans="33:33" x14ac:dyDescent="0.25">
      <c r="AG6998" s="185"/>
    </row>
    <row r="6999" spans="33:33" x14ac:dyDescent="0.25">
      <c r="AG6999" s="185"/>
    </row>
    <row r="7000" spans="33:33" x14ac:dyDescent="0.25">
      <c r="AG7000" s="185"/>
    </row>
    <row r="7001" spans="33:33" x14ac:dyDescent="0.25">
      <c r="AG7001" s="185"/>
    </row>
    <row r="7002" spans="33:33" x14ac:dyDescent="0.25">
      <c r="AG7002" s="185"/>
    </row>
    <row r="7003" spans="33:33" x14ac:dyDescent="0.25">
      <c r="AG7003" s="185"/>
    </row>
    <row r="7004" spans="33:33" x14ac:dyDescent="0.25">
      <c r="AG7004" s="185"/>
    </row>
    <row r="7005" spans="33:33" x14ac:dyDescent="0.25">
      <c r="AG7005" s="185"/>
    </row>
    <row r="7006" spans="33:33" x14ac:dyDescent="0.25">
      <c r="AG7006" s="185"/>
    </row>
    <row r="7007" spans="33:33" x14ac:dyDescent="0.25">
      <c r="AG7007" s="185"/>
    </row>
    <row r="7008" spans="33:33" x14ac:dyDescent="0.25">
      <c r="AG7008" s="185"/>
    </row>
    <row r="7009" spans="33:33" x14ac:dyDescent="0.25">
      <c r="AG7009" s="185"/>
    </row>
    <row r="7010" spans="33:33" x14ac:dyDescent="0.25">
      <c r="AG7010" s="185"/>
    </row>
    <row r="7011" spans="33:33" x14ac:dyDescent="0.25">
      <c r="AG7011" s="185"/>
    </row>
    <row r="7012" spans="33:33" x14ac:dyDescent="0.25">
      <c r="AG7012" s="185"/>
    </row>
    <row r="7013" spans="33:33" x14ac:dyDescent="0.25">
      <c r="AG7013" s="185"/>
    </row>
    <row r="7014" spans="33:33" x14ac:dyDescent="0.25">
      <c r="AG7014" s="185"/>
    </row>
    <row r="7015" spans="33:33" x14ac:dyDescent="0.25">
      <c r="AG7015" s="185"/>
    </row>
    <row r="7016" spans="33:33" x14ac:dyDescent="0.25">
      <c r="AG7016" s="185"/>
    </row>
    <row r="7017" spans="33:33" x14ac:dyDescent="0.25">
      <c r="AG7017" s="185"/>
    </row>
    <row r="7018" spans="33:33" x14ac:dyDescent="0.25">
      <c r="AG7018" s="185"/>
    </row>
    <row r="7019" spans="33:33" x14ac:dyDescent="0.25">
      <c r="AG7019" s="185"/>
    </row>
    <row r="7020" spans="33:33" x14ac:dyDescent="0.25">
      <c r="AG7020" s="185"/>
    </row>
    <row r="7021" spans="33:33" x14ac:dyDescent="0.25">
      <c r="AG7021" s="185"/>
    </row>
    <row r="7022" spans="33:33" x14ac:dyDescent="0.25">
      <c r="AG7022" s="185"/>
    </row>
    <row r="7023" spans="33:33" x14ac:dyDescent="0.25">
      <c r="AG7023" s="185"/>
    </row>
    <row r="7024" spans="33:33" x14ac:dyDescent="0.25">
      <c r="AG7024" s="185"/>
    </row>
    <row r="7025" spans="33:33" x14ac:dyDescent="0.25">
      <c r="AG7025" s="185"/>
    </row>
    <row r="7026" spans="33:33" x14ac:dyDescent="0.25">
      <c r="AG7026" s="185"/>
    </row>
    <row r="7027" spans="33:33" x14ac:dyDescent="0.25">
      <c r="AG7027" s="185"/>
    </row>
    <row r="7028" spans="33:33" x14ac:dyDescent="0.25">
      <c r="AG7028" s="185"/>
    </row>
    <row r="7029" spans="33:33" x14ac:dyDescent="0.25">
      <c r="AG7029" s="185"/>
    </row>
    <row r="7030" spans="33:33" x14ac:dyDescent="0.25">
      <c r="AG7030" s="185"/>
    </row>
    <row r="7031" spans="33:33" x14ac:dyDescent="0.25">
      <c r="AG7031" s="185"/>
    </row>
    <row r="7032" spans="33:33" x14ac:dyDescent="0.25">
      <c r="AG7032" s="185"/>
    </row>
    <row r="7033" spans="33:33" x14ac:dyDescent="0.25">
      <c r="AG7033" s="185"/>
    </row>
    <row r="7034" spans="33:33" x14ac:dyDescent="0.25">
      <c r="AG7034" s="185"/>
    </row>
    <row r="7035" spans="33:33" x14ac:dyDescent="0.25">
      <c r="AG7035" s="185"/>
    </row>
    <row r="7036" spans="33:33" x14ac:dyDescent="0.25">
      <c r="AG7036" s="185"/>
    </row>
    <row r="7037" spans="33:33" x14ac:dyDescent="0.25">
      <c r="AG7037" s="185"/>
    </row>
    <row r="7038" spans="33:33" x14ac:dyDescent="0.25">
      <c r="AG7038" s="185"/>
    </row>
    <row r="7039" spans="33:33" x14ac:dyDescent="0.25">
      <c r="AG7039" s="185"/>
    </row>
    <row r="7040" spans="33:33" x14ac:dyDescent="0.25">
      <c r="AG7040" s="185"/>
    </row>
    <row r="7041" spans="33:33" x14ac:dyDescent="0.25">
      <c r="AG7041" s="185"/>
    </row>
    <row r="7042" spans="33:33" x14ac:dyDescent="0.25">
      <c r="AG7042" s="185"/>
    </row>
    <row r="7043" spans="33:33" x14ac:dyDescent="0.25">
      <c r="AG7043" s="185"/>
    </row>
    <row r="7044" spans="33:33" x14ac:dyDescent="0.25">
      <c r="AG7044" s="185"/>
    </row>
    <row r="7045" spans="33:33" x14ac:dyDescent="0.25">
      <c r="AG7045" s="185"/>
    </row>
    <row r="7046" spans="33:33" x14ac:dyDescent="0.25">
      <c r="AG7046" s="185"/>
    </row>
    <row r="7047" spans="33:33" x14ac:dyDescent="0.25">
      <c r="AG7047" s="185"/>
    </row>
    <row r="7048" spans="33:33" x14ac:dyDescent="0.25">
      <c r="AG7048" s="185"/>
    </row>
    <row r="7049" spans="33:33" x14ac:dyDescent="0.25">
      <c r="AG7049" s="185"/>
    </row>
    <row r="7050" spans="33:33" x14ac:dyDescent="0.25">
      <c r="AG7050" s="185"/>
    </row>
    <row r="7051" spans="33:33" x14ac:dyDescent="0.25">
      <c r="AG7051" s="185"/>
    </row>
    <row r="7052" spans="33:33" x14ac:dyDescent="0.25">
      <c r="AG7052" s="185"/>
    </row>
    <row r="7053" spans="33:33" x14ac:dyDescent="0.25">
      <c r="AG7053" s="185"/>
    </row>
    <row r="7054" spans="33:33" x14ac:dyDescent="0.25">
      <c r="AG7054" s="185"/>
    </row>
    <row r="7055" spans="33:33" x14ac:dyDescent="0.25">
      <c r="AG7055" s="185"/>
    </row>
    <row r="7056" spans="33:33" x14ac:dyDescent="0.25">
      <c r="AG7056" s="185"/>
    </row>
    <row r="7057" spans="33:33" x14ac:dyDescent="0.25">
      <c r="AG7057" s="185"/>
    </row>
    <row r="7058" spans="33:33" x14ac:dyDescent="0.25">
      <c r="AG7058" s="185"/>
    </row>
    <row r="7059" spans="33:33" x14ac:dyDescent="0.25">
      <c r="AG7059" s="185"/>
    </row>
    <row r="7060" spans="33:33" x14ac:dyDescent="0.25">
      <c r="AG7060" s="185"/>
    </row>
    <row r="7061" spans="33:33" x14ac:dyDescent="0.25">
      <c r="AG7061" s="185"/>
    </row>
    <row r="7062" spans="33:33" x14ac:dyDescent="0.25">
      <c r="AG7062" s="185"/>
    </row>
    <row r="7063" spans="33:33" x14ac:dyDescent="0.25">
      <c r="AG7063" s="185"/>
    </row>
    <row r="7064" spans="33:33" x14ac:dyDescent="0.25">
      <c r="AG7064" s="185"/>
    </row>
    <row r="7065" spans="33:33" x14ac:dyDescent="0.25">
      <c r="AG7065" s="185"/>
    </row>
    <row r="7066" spans="33:33" x14ac:dyDescent="0.25">
      <c r="AG7066" s="185"/>
    </row>
    <row r="7067" spans="33:33" x14ac:dyDescent="0.25">
      <c r="AG7067" s="185"/>
    </row>
    <row r="7068" spans="33:33" x14ac:dyDescent="0.25">
      <c r="AG7068" s="185"/>
    </row>
    <row r="7069" spans="33:33" x14ac:dyDescent="0.25">
      <c r="AG7069" s="185"/>
    </row>
    <row r="7070" spans="33:33" x14ac:dyDescent="0.25">
      <c r="AG7070" s="185"/>
    </row>
    <row r="7071" spans="33:33" x14ac:dyDescent="0.25">
      <c r="AG7071" s="185"/>
    </row>
    <row r="7072" spans="33:33" x14ac:dyDescent="0.25">
      <c r="AG7072" s="185"/>
    </row>
    <row r="7073" spans="33:33" x14ac:dyDescent="0.25">
      <c r="AG7073" s="185"/>
    </row>
    <row r="7074" spans="33:33" x14ac:dyDescent="0.25">
      <c r="AG7074" s="185"/>
    </row>
    <row r="7075" spans="33:33" x14ac:dyDescent="0.25">
      <c r="AG7075" s="185"/>
    </row>
    <row r="7076" spans="33:33" x14ac:dyDescent="0.25">
      <c r="AG7076" s="185"/>
    </row>
    <row r="7077" spans="33:33" x14ac:dyDescent="0.25">
      <c r="AG7077" s="185"/>
    </row>
    <row r="7078" spans="33:33" x14ac:dyDescent="0.25">
      <c r="AG7078" s="185"/>
    </row>
    <row r="7079" spans="33:33" x14ac:dyDescent="0.25">
      <c r="AG7079" s="185"/>
    </row>
    <row r="7080" spans="33:33" x14ac:dyDescent="0.25">
      <c r="AG7080" s="185"/>
    </row>
    <row r="7081" spans="33:33" x14ac:dyDescent="0.25">
      <c r="AG7081" s="185"/>
    </row>
    <row r="7082" spans="33:33" x14ac:dyDescent="0.25">
      <c r="AG7082" s="185"/>
    </row>
    <row r="7083" spans="33:33" x14ac:dyDescent="0.25">
      <c r="AG7083" s="185"/>
    </row>
    <row r="7084" spans="33:33" x14ac:dyDescent="0.25">
      <c r="AG7084" s="185"/>
    </row>
    <row r="7085" spans="33:33" x14ac:dyDescent="0.25">
      <c r="AG7085" s="185"/>
    </row>
    <row r="7086" spans="33:33" x14ac:dyDescent="0.25">
      <c r="AG7086" s="185"/>
    </row>
    <row r="7087" spans="33:33" x14ac:dyDescent="0.25">
      <c r="AG7087" s="185"/>
    </row>
    <row r="7088" spans="33:33" x14ac:dyDescent="0.25">
      <c r="AG7088" s="185"/>
    </row>
    <row r="7089" spans="33:33" x14ac:dyDescent="0.25">
      <c r="AG7089" s="185"/>
    </row>
    <row r="7090" spans="33:33" x14ac:dyDescent="0.25">
      <c r="AG7090" s="185"/>
    </row>
    <row r="7091" spans="33:33" x14ac:dyDescent="0.25">
      <c r="AG7091" s="185"/>
    </row>
    <row r="7092" spans="33:33" x14ac:dyDescent="0.25">
      <c r="AG7092" s="185"/>
    </row>
    <row r="7093" spans="33:33" x14ac:dyDescent="0.25">
      <c r="AG7093" s="185"/>
    </row>
    <row r="7094" spans="33:33" x14ac:dyDescent="0.25">
      <c r="AG7094" s="185"/>
    </row>
    <row r="7095" spans="33:33" x14ac:dyDescent="0.25">
      <c r="AG7095" s="185"/>
    </row>
    <row r="7096" spans="33:33" x14ac:dyDescent="0.25">
      <c r="AG7096" s="185"/>
    </row>
    <row r="7097" spans="33:33" x14ac:dyDescent="0.25">
      <c r="AG7097" s="185"/>
    </row>
    <row r="7098" spans="33:33" x14ac:dyDescent="0.25">
      <c r="AG7098" s="185"/>
    </row>
    <row r="7099" spans="33:33" x14ac:dyDescent="0.25">
      <c r="AG7099" s="185"/>
    </row>
    <row r="7100" spans="33:33" x14ac:dyDescent="0.25">
      <c r="AG7100" s="185"/>
    </row>
    <row r="7101" spans="33:33" x14ac:dyDescent="0.25">
      <c r="AG7101" s="185"/>
    </row>
    <row r="7102" spans="33:33" x14ac:dyDescent="0.25">
      <c r="AG7102" s="185"/>
    </row>
    <row r="7103" spans="33:33" x14ac:dyDescent="0.25">
      <c r="AG7103" s="185"/>
    </row>
    <row r="7104" spans="33:33" x14ac:dyDescent="0.25">
      <c r="AG7104" s="185"/>
    </row>
    <row r="7105" spans="33:33" x14ac:dyDescent="0.25">
      <c r="AG7105" s="185"/>
    </row>
    <row r="7106" spans="33:33" x14ac:dyDescent="0.25">
      <c r="AG7106" s="185"/>
    </row>
    <row r="7107" spans="33:33" x14ac:dyDescent="0.25">
      <c r="AG7107" s="185"/>
    </row>
    <row r="7108" spans="33:33" x14ac:dyDescent="0.25">
      <c r="AG7108" s="185"/>
    </row>
    <row r="7109" spans="33:33" x14ac:dyDescent="0.25">
      <c r="AG7109" s="185"/>
    </row>
    <row r="7110" spans="33:33" x14ac:dyDescent="0.25">
      <c r="AG7110" s="185"/>
    </row>
    <row r="7111" spans="33:33" x14ac:dyDescent="0.25">
      <c r="AG7111" s="185"/>
    </row>
    <row r="7112" spans="33:33" x14ac:dyDescent="0.25">
      <c r="AG7112" s="185"/>
    </row>
    <row r="7113" spans="33:33" x14ac:dyDescent="0.25">
      <c r="AG7113" s="185"/>
    </row>
    <row r="7114" spans="33:33" x14ac:dyDescent="0.25">
      <c r="AG7114" s="185"/>
    </row>
    <row r="7115" spans="33:33" x14ac:dyDescent="0.25">
      <c r="AG7115" s="185"/>
    </row>
    <row r="7116" spans="33:33" x14ac:dyDescent="0.25">
      <c r="AG7116" s="185"/>
    </row>
    <row r="7117" spans="33:33" x14ac:dyDescent="0.25">
      <c r="AG7117" s="185"/>
    </row>
    <row r="7118" spans="33:33" x14ac:dyDescent="0.25">
      <c r="AG7118" s="185"/>
    </row>
    <row r="7119" spans="33:33" x14ac:dyDescent="0.25">
      <c r="AG7119" s="185"/>
    </row>
    <row r="7120" spans="33:33" x14ac:dyDescent="0.25">
      <c r="AG7120" s="185"/>
    </row>
    <row r="7121" spans="33:33" x14ac:dyDescent="0.25">
      <c r="AG7121" s="185"/>
    </row>
    <row r="7122" spans="33:33" x14ac:dyDescent="0.25">
      <c r="AG7122" s="185"/>
    </row>
    <row r="7123" spans="33:33" x14ac:dyDescent="0.25">
      <c r="AG7123" s="185"/>
    </row>
    <row r="7124" spans="33:33" x14ac:dyDescent="0.25">
      <c r="AG7124" s="185"/>
    </row>
    <row r="7125" spans="33:33" x14ac:dyDescent="0.25">
      <c r="AG7125" s="185"/>
    </row>
    <row r="7126" spans="33:33" x14ac:dyDescent="0.25">
      <c r="AG7126" s="185"/>
    </row>
    <row r="7127" spans="33:33" x14ac:dyDescent="0.25">
      <c r="AG7127" s="185"/>
    </row>
    <row r="7128" spans="33:33" x14ac:dyDescent="0.25">
      <c r="AG7128" s="185"/>
    </row>
    <row r="7129" spans="33:33" x14ac:dyDescent="0.25">
      <c r="AG7129" s="185"/>
    </row>
    <row r="7130" spans="33:33" x14ac:dyDescent="0.25">
      <c r="AG7130" s="185"/>
    </row>
    <row r="7131" spans="33:33" x14ac:dyDescent="0.25">
      <c r="AG7131" s="185"/>
    </row>
    <row r="7132" spans="33:33" x14ac:dyDescent="0.25">
      <c r="AG7132" s="185"/>
    </row>
    <row r="7133" spans="33:33" x14ac:dyDescent="0.25">
      <c r="AG7133" s="185"/>
    </row>
    <row r="7134" spans="33:33" x14ac:dyDescent="0.25">
      <c r="AG7134" s="185"/>
    </row>
    <row r="7135" spans="33:33" x14ac:dyDescent="0.25">
      <c r="AG7135" s="185"/>
    </row>
    <row r="7136" spans="33:33" x14ac:dyDescent="0.25">
      <c r="AG7136" s="185"/>
    </row>
    <row r="7137" spans="33:33" x14ac:dyDescent="0.25">
      <c r="AG7137" s="185"/>
    </row>
    <row r="7138" spans="33:33" x14ac:dyDescent="0.25">
      <c r="AG7138" s="185"/>
    </row>
    <row r="7139" spans="33:33" x14ac:dyDescent="0.25">
      <c r="AG7139" s="185"/>
    </row>
    <row r="7140" spans="33:33" x14ac:dyDescent="0.25">
      <c r="AG7140" s="185"/>
    </row>
    <row r="7141" spans="33:33" x14ac:dyDescent="0.25">
      <c r="AG7141" s="185"/>
    </row>
    <row r="7142" spans="33:33" x14ac:dyDescent="0.25">
      <c r="AG7142" s="185"/>
    </row>
    <row r="7143" spans="33:33" x14ac:dyDescent="0.25">
      <c r="AG7143" s="185"/>
    </row>
    <row r="7144" spans="33:33" x14ac:dyDescent="0.25">
      <c r="AG7144" s="185"/>
    </row>
    <row r="7145" spans="33:33" x14ac:dyDescent="0.25">
      <c r="AG7145" s="185"/>
    </row>
    <row r="7146" spans="33:33" x14ac:dyDescent="0.25">
      <c r="AG7146" s="185"/>
    </row>
    <row r="7147" spans="33:33" x14ac:dyDescent="0.25">
      <c r="AG7147" s="185"/>
    </row>
    <row r="7148" spans="33:33" x14ac:dyDescent="0.25">
      <c r="AG7148" s="185"/>
    </row>
    <row r="7149" spans="33:33" x14ac:dyDescent="0.25">
      <c r="AG7149" s="185"/>
    </row>
    <row r="7150" spans="33:33" x14ac:dyDescent="0.25">
      <c r="AG7150" s="185"/>
    </row>
    <row r="7151" spans="33:33" x14ac:dyDescent="0.25">
      <c r="AG7151" s="185"/>
    </row>
    <row r="7152" spans="33:33" x14ac:dyDescent="0.25">
      <c r="AG7152" s="185"/>
    </row>
    <row r="7153" spans="33:33" x14ac:dyDescent="0.25">
      <c r="AG7153" s="185"/>
    </row>
    <row r="7154" spans="33:33" x14ac:dyDescent="0.25">
      <c r="AG7154" s="185"/>
    </row>
    <row r="7155" spans="33:33" x14ac:dyDescent="0.25">
      <c r="AG7155" s="185"/>
    </row>
    <row r="7156" spans="33:33" x14ac:dyDescent="0.25">
      <c r="AG7156" s="185"/>
    </row>
    <row r="7157" spans="33:33" x14ac:dyDescent="0.25">
      <c r="AG7157" s="185"/>
    </row>
    <row r="7158" spans="33:33" x14ac:dyDescent="0.25">
      <c r="AG7158" s="185"/>
    </row>
    <row r="7159" spans="33:33" x14ac:dyDescent="0.25">
      <c r="AG7159" s="185"/>
    </row>
    <row r="7160" spans="33:33" x14ac:dyDescent="0.25">
      <c r="AG7160" s="185"/>
    </row>
    <row r="7161" spans="33:33" x14ac:dyDescent="0.25">
      <c r="AG7161" s="185"/>
    </row>
    <row r="7162" spans="33:33" x14ac:dyDescent="0.25">
      <c r="AG7162" s="185"/>
    </row>
    <row r="7163" spans="33:33" x14ac:dyDescent="0.25">
      <c r="AG7163" s="185"/>
    </row>
    <row r="7164" spans="33:33" x14ac:dyDescent="0.25">
      <c r="AG7164" s="185"/>
    </row>
    <row r="7165" spans="33:33" x14ac:dyDescent="0.25">
      <c r="AG7165" s="185"/>
    </row>
    <row r="7166" spans="33:33" x14ac:dyDescent="0.25">
      <c r="AG7166" s="185"/>
    </row>
    <row r="7167" spans="33:33" x14ac:dyDescent="0.25">
      <c r="AG7167" s="185"/>
    </row>
    <row r="7168" spans="33:33" x14ac:dyDescent="0.25">
      <c r="AG7168" s="185"/>
    </row>
    <row r="7169" spans="33:33" x14ac:dyDescent="0.25">
      <c r="AG7169" s="185"/>
    </row>
    <row r="7170" spans="33:33" x14ac:dyDescent="0.25">
      <c r="AG7170" s="185"/>
    </row>
    <row r="7171" spans="33:33" x14ac:dyDescent="0.25">
      <c r="AG7171" s="185"/>
    </row>
    <row r="7172" spans="33:33" x14ac:dyDescent="0.25">
      <c r="AG7172" s="185"/>
    </row>
    <row r="7173" spans="33:33" x14ac:dyDescent="0.25">
      <c r="AG7173" s="185"/>
    </row>
    <row r="7174" spans="33:33" x14ac:dyDescent="0.25">
      <c r="AG7174" s="185"/>
    </row>
    <row r="7175" spans="33:33" x14ac:dyDescent="0.25">
      <c r="AG7175" s="185"/>
    </row>
    <row r="7176" spans="33:33" x14ac:dyDescent="0.25">
      <c r="AG7176" s="185"/>
    </row>
    <row r="7177" spans="33:33" x14ac:dyDescent="0.25">
      <c r="AG7177" s="185"/>
    </row>
    <row r="7178" spans="33:33" x14ac:dyDescent="0.25">
      <c r="AG7178" s="185"/>
    </row>
    <row r="7179" spans="33:33" x14ac:dyDescent="0.25">
      <c r="AG7179" s="185"/>
    </row>
    <row r="7180" spans="33:33" x14ac:dyDescent="0.25">
      <c r="AG7180" s="185"/>
    </row>
    <row r="7181" spans="33:33" x14ac:dyDescent="0.25">
      <c r="AG7181" s="185"/>
    </row>
    <row r="7182" spans="33:33" x14ac:dyDescent="0.25">
      <c r="AG7182" s="185"/>
    </row>
    <row r="7183" spans="33:33" x14ac:dyDescent="0.25">
      <c r="AG7183" s="185"/>
    </row>
    <row r="7184" spans="33:33" x14ac:dyDescent="0.25">
      <c r="AG7184" s="185"/>
    </row>
    <row r="7185" spans="33:33" x14ac:dyDescent="0.25">
      <c r="AG7185" s="185"/>
    </row>
    <row r="7186" spans="33:33" x14ac:dyDescent="0.25">
      <c r="AG7186" s="185"/>
    </row>
    <row r="7187" spans="33:33" x14ac:dyDescent="0.25">
      <c r="AG7187" s="185"/>
    </row>
    <row r="7188" spans="33:33" x14ac:dyDescent="0.25">
      <c r="AG7188" s="185"/>
    </row>
    <row r="7189" spans="33:33" x14ac:dyDescent="0.25">
      <c r="AG7189" s="185"/>
    </row>
    <row r="7190" spans="33:33" x14ac:dyDescent="0.25">
      <c r="AG7190" s="185"/>
    </row>
    <row r="7191" spans="33:33" x14ac:dyDescent="0.25">
      <c r="AG7191" s="185"/>
    </row>
    <row r="7192" spans="33:33" x14ac:dyDescent="0.25">
      <c r="AG7192" s="185"/>
    </row>
    <row r="7193" spans="33:33" x14ac:dyDescent="0.25">
      <c r="AG7193" s="185"/>
    </row>
    <row r="7194" spans="33:33" x14ac:dyDescent="0.25">
      <c r="AG7194" s="185"/>
    </row>
    <row r="7195" spans="33:33" x14ac:dyDescent="0.25">
      <c r="AG7195" s="185"/>
    </row>
    <row r="7196" spans="33:33" x14ac:dyDescent="0.25">
      <c r="AG7196" s="185"/>
    </row>
    <row r="7197" spans="33:33" x14ac:dyDescent="0.25">
      <c r="AG7197" s="185"/>
    </row>
    <row r="7198" spans="33:33" x14ac:dyDescent="0.25">
      <c r="AG7198" s="185"/>
    </row>
    <row r="7199" spans="33:33" x14ac:dyDescent="0.25">
      <c r="AG7199" s="185"/>
    </row>
    <row r="7200" spans="33:33" x14ac:dyDescent="0.25">
      <c r="AG7200" s="185"/>
    </row>
    <row r="7201" spans="33:33" x14ac:dyDescent="0.25">
      <c r="AG7201" s="185"/>
    </row>
    <row r="7202" spans="33:33" x14ac:dyDescent="0.25">
      <c r="AG7202" s="185"/>
    </row>
    <row r="7203" spans="33:33" x14ac:dyDescent="0.25">
      <c r="AG7203" s="185"/>
    </row>
    <row r="7204" spans="33:33" x14ac:dyDescent="0.25">
      <c r="AG7204" s="185"/>
    </row>
    <row r="7205" spans="33:33" x14ac:dyDescent="0.25">
      <c r="AG7205" s="185"/>
    </row>
    <row r="7206" spans="33:33" x14ac:dyDescent="0.25">
      <c r="AG7206" s="185"/>
    </row>
    <row r="7207" spans="33:33" x14ac:dyDescent="0.25">
      <c r="AG7207" s="185"/>
    </row>
    <row r="7208" spans="33:33" x14ac:dyDescent="0.25">
      <c r="AG7208" s="185"/>
    </row>
    <row r="7209" spans="33:33" x14ac:dyDescent="0.25">
      <c r="AG7209" s="185"/>
    </row>
    <row r="7210" spans="33:33" x14ac:dyDescent="0.25">
      <c r="AG7210" s="185"/>
    </row>
    <row r="7211" spans="33:33" x14ac:dyDescent="0.25">
      <c r="AG7211" s="185"/>
    </row>
    <row r="7212" spans="33:33" x14ac:dyDescent="0.25">
      <c r="AG7212" s="185"/>
    </row>
    <row r="7213" spans="33:33" x14ac:dyDescent="0.25">
      <c r="AG7213" s="185"/>
    </row>
    <row r="7214" spans="33:33" x14ac:dyDescent="0.25">
      <c r="AG7214" s="185"/>
    </row>
    <row r="7215" spans="33:33" x14ac:dyDescent="0.25">
      <c r="AG7215" s="185"/>
    </row>
    <row r="7216" spans="33:33" x14ac:dyDescent="0.25">
      <c r="AG7216" s="185"/>
    </row>
    <row r="7217" spans="33:33" x14ac:dyDescent="0.25">
      <c r="AG7217" s="185"/>
    </row>
    <row r="7218" spans="33:33" x14ac:dyDescent="0.25">
      <c r="AG7218" s="185"/>
    </row>
    <row r="7219" spans="33:33" x14ac:dyDescent="0.25">
      <c r="AG7219" s="185"/>
    </row>
    <row r="7220" spans="33:33" x14ac:dyDescent="0.25">
      <c r="AG7220" s="185"/>
    </row>
    <row r="7221" spans="33:33" x14ac:dyDescent="0.25">
      <c r="AG7221" s="185"/>
    </row>
    <row r="7222" spans="33:33" x14ac:dyDescent="0.25">
      <c r="AG7222" s="185"/>
    </row>
    <row r="7223" spans="33:33" x14ac:dyDescent="0.25">
      <c r="AG7223" s="185"/>
    </row>
    <row r="7224" spans="33:33" x14ac:dyDescent="0.25">
      <c r="AG7224" s="185"/>
    </row>
    <row r="7225" spans="33:33" x14ac:dyDescent="0.25">
      <c r="AG7225" s="185"/>
    </row>
    <row r="7226" spans="33:33" x14ac:dyDescent="0.25">
      <c r="AG7226" s="185"/>
    </row>
    <row r="7227" spans="33:33" x14ac:dyDescent="0.25">
      <c r="AG7227" s="185"/>
    </row>
    <row r="7228" spans="33:33" x14ac:dyDescent="0.25">
      <c r="AG7228" s="185"/>
    </row>
    <row r="7229" spans="33:33" x14ac:dyDescent="0.25">
      <c r="AG7229" s="185"/>
    </row>
    <row r="7230" spans="33:33" x14ac:dyDescent="0.25">
      <c r="AG7230" s="185"/>
    </row>
    <row r="7231" spans="33:33" x14ac:dyDescent="0.25">
      <c r="AG7231" s="185"/>
    </row>
    <row r="7232" spans="33:33" x14ac:dyDescent="0.25">
      <c r="AG7232" s="185"/>
    </row>
    <row r="7233" spans="33:33" x14ac:dyDescent="0.25">
      <c r="AG7233" s="185"/>
    </row>
    <row r="7234" spans="33:33" x14ac:dyDescent="0.25">
      <c r="AG7234" s="185"/>
    </row>
    <row r="7235" spans="33:33" x14ac:dyDescent="0.25">
      <c r="AG7235" s="185"/>
    </row>
    <row r="7236" spans="33:33" x14ac:dyDescent="0.25">
      <c r="AG7236" s="185"/>
    </row>
    <row r="7237" spans="33:33" x14ac:dyDescent="0.25">
      <c r="AG7237" s="185"/>
    </row>
    <row r="7238" spans="33:33" x14ac:dyDescent="0.25">
      <c r="AG7238" s="185"/>
    </row>
    <row r="7239" spans="33:33" x14ac:dyDescent="0.25">
      <c r="AG7239" s="185"/>
    </row>
    <row r="7240" spans="33:33" x14ac:dyDescent="0.25">
      <c r="AG7240" s="185"/>
    </row>
    <row r="7241" spans="33:33" x14ac:dyDescent="0.25">
      <c r="AG7241" s="185"/>
    </row>
    <row r="7242" spans="33:33" x14ac:dyDescent="0.25">
      <c r="AG7242" s="185"/>
    </row>
    <row r="7243" spans="33:33" x14ac:dyDescent="0.25">
      <c r="AG7243" s="185"/>
    </row>
    <row r="7244" spans="33:33" x14ac:dyDescent="0.25">
      <c r="AG7244" s="185"/>
    </row>
    <row r="7245" spans="33:33" x14ac:dyDescent="0.25">
      <c r="AG7245" s="185"/>
    </row>
    <row r="7246" spans="33:33" x14ac:dyDescent="0.25">
      <c r="AG7246" s="185"/>
    </row>
    <row r="7247" spans="33:33" x14ac:dyDescent="0.25">
      <c r="AG7247" s="185"/>
    </row>
    <row r="7248" spans="33:33" x14ac:dyDescent="0.25">
      <c r="AG7248" s="185"/>
    </row>
    <row r="7249" spans="33:33" x14ac:dyDescent="0.25">
      <c r="AG7249" s="185"/>
    </row>
    <row r="7250" spans="33:33" x14ac:dyDescent="0.25">
      <c r="AG7250" s="185"/>
    </row>
    <row r="7251" spans="33:33" x14ac:dyDescent="0.25">
      <c r="AG7251" s="185"/>
    </row>
    <row r="7252" spans="33:33" x14ac:dyDescent="0.25">
      <c r="AG7252" s="185"/>
    </row>
    <row r="7253" spans="33:33" x14ac:dyDescent="0.25">
      <c r="AG7253" s="185"/>
    </row>
    <row r="7254" spans="33:33" x14ac:dyDescent="0.25">
      <c r="AG7254" s="185"/>
    </row>
    <row r="7255" spans="33:33" x14ac:dyDescent="0.25">
      <c r="AG7255" s="185"/>
    </row>
    <row r="7256" spans="33:33" x14ac:dyDescent="0.25">
      <c r="AG7256" s="185"/>
    </row>
    <row r="7257" spans="33:33" x14ac:dyDescent="0.25">
      <c r="AG7257" s="185"/>
    </row>
    <row r="7258" spans="33:33" x14ac:dyDescent="0.25">
      <c r="AG7258" s="185"/>
    </row>
    <row r="7259" spans="33:33" x14ac:dyDescent="0.25">
      <c r="AG7259" s="185"/>
    </row>
    <row r="7260" spans="33:33" x14ac:dyDescent="0.25">
      <c r="AG7260" s="185"/>
    </row>
    <row r="7261" spans="33:33" x14ac:dyDescent="0.25">
      <c r="AG7261" s="185"/>
    </row>
    <row r="7262" spans="33:33" x14ac:dyDescent="0.25">
      <c r="AG7262" s="185"/>
    </row>
    <row r="7263" spans="33:33" x14ac:dyDescent="0.25">
      <c r="AG7263" s="185"/>
    </row>
    <row r="7264" spans="33:33" x14ac:dyDescent="0.25">
      <c r="AG7264" s="185"/>
    </row>
    <row r="7265" spans="33:33" x14ac:dyDescent="0.25">
      <c r="AG7265" s="185"/>
    </row>
    <row r="7266" spans="33:33" x14ac:dyDescent="0.25">
      <c r="AG7266" s="185"/>
    </row>
    <row r="7267" spans="33:33" x14ac:dyDescent="0.25">
      <c r="AG7267" s="185"/>
    </row>
    <row r="7268" spans="33:33" x14ac:dyDescent="0.25">
      <c r="AG7268" s="185"/>
    </row>
    <row r="7269" spans="33:33" x14ac:dyDescent="0.25">
      <c r="AG7269" s="185"/>
    </row>
    <row r="7270" spans="33:33" x14ac:dyDescent="0.25">
      <c r="AG7270" s="185"/>
    </row>
    <row r="7271" spans="33:33" x14ac:dyDescent="0.25">
      <c r="AG7271" s="185"/>
    </row>
    <row r="7272" spans="33:33" x14ac:dyDescent="0.25">
      <c r="AG7272" s="185"/>
    </row>
    <row r="7273" spans="33:33" x14ac:dyDescent="0.25">
      <c r="AG7273" s="185"/>
    </row>
    <row r="7274" spans="33:33" x14ac:dyDescent="0.25">
      <c r="AG7274" s="185"/>
    </row>
    <row r="7275" spans="33:33" x14ac:dyDescent="0.25">
      <c r="AG7275" s="185"/>
    </row>
    <row r="7276" spans="33:33" x14ac:dyDescent="0.25">
      <c r="AG7276" s="185"/>
    </row>
    <row r="7277" spans="33:33" x14ac:dyDescent="0.25">
      <c r="AG7277" s="185"/>
    </row>
    <row r="7278" spans="33:33" x14ac:dyDescent="0.25">
      <c r="AG7278" s="185"/>
    </row>
    <row r="7279" spans="33:33" x14ac:dyDescent="0.25">
      <c r="AG7279" s="185"/>
    </row>
    <row r="7280" spans="33:33" x14ac:dyDescent="0.25">
      <c r="AG7280" s="185"/>
    </row>
    <row r="7281" spans="33:33" x14ac:dyDescent="0.25">
      <c r="AG7281" s="185"/>
    </row>
    <row r="7282" spans="33:33" x14ac:dyDescent="0.25">
      <c r="AG7282" s="185"/>
    </row>
    <row r="7283" spans="33:33" x14ac:dyDescent="0.25">
      <c r="AG7283" s="185"/>
    </row>
    <row r="7284" spans="33:33" x14ac:dyDescent="0.25">
      <c r="AG7284" s="185"/>
    </row>
    <row r="7285" spans="33:33" x14ac:dyDescent="0.25">
      <c r="AG7285" s="185"/>
    </row>
    <row r="7286" spans="33:33" x14ac:dyDescent="0.25">
      <c r="AG7286" s="185"/>
    </row>
    <row r="7287" spans="33:33" x14ac:dyDescent="0.25">
      <c r="AG7287" s="185"/>
    </row>
    <row r="7288" spans="33:33" x14ac:dyDescent="0.25">
      <c r="AG7288" s="185"/>
    </row>
    <row r="7289" spans="33:33" x14ac:dyDescent="0.25">
      <c r="AG7289" s="185"/>
    </row>
    <row r="7290" spans="33:33" x14ac:dyDescent="0.25">
      <c r="AG7290" s="185"/>
    </row>
    <row r="7291" spans="33:33" x14ac:dyDescent="0.25">
      <c r="AG7291" s="185"/>
    </row>
    <row r="7292" spans="33:33" x14ac:dyDescent="0.25">
      <c r="AG7292" s="185"/>
    </row>
    <row r="7293" spans="33:33" x14ac:dyDescent="0.25">
      <c r="AG7293" s="185"/>
    </row>
    <row r="7294" spans="33:33" x14ac:dyDescent="0.25">
      <c r="AG7294" s="185"/>
    </row>
    <row r="7295" spans="33:33" x14ac:dyDescent="0.25">
      <c r="AG7295" s="185"/>
    </row>
    <row r="7296" spans="33:33" x14ac:dyDescent="0.25">
      <c r="AG7296" s="185"/>
    </row>
    <row r="7297" spans="33:33" x14ac:dyDescent="0.25">
      <c r="AG7297" s="185"/>
    </row>
    <row r="7298" spans="33:33" x14ac:dyDescent="0.25">
      <c r="AG7298" s="185"/>
    </row>
    <row r="7299" spans="33:33" x14ac:dyDescent="0.25">
      <c r="AG7299" s="185"/>
    </row>
    <row r="7300" spans="33:33" x14ac:dyDescent="0.25">
      <c r="AG7300" s="185"/>
    </row>
    <row r="7301" spans="33:33" x14ac:dyDescent="0.25">
      <c r="AG7301" s="185"/>
    </row>
    <row r="7302" spans="33:33" x14ac:dyDescent="0.25">
      <c r="AG7302" s="185"/>
    </row>
    <row r="7303" spans="33:33" x14ac:dyDescent="0.25">
      <c r="AG7303" s="185"/>
    </row>
    <row r="7304" spans="33:33" x14ac:dyDescent="0.25">
      <c r="AG7304" s="185"/>
    </row>
    <row r="7305" spans="33:33" x14ac:dyDescent="0.25">
      <c r="AG7305" s="185"/>
    </row>
    <row r="7306" spans="33:33" x14ac:dyDescent="0.25">
      <c r="AG7306" s="185"/>
    </row>
    <row r="7307" spans="33:33" x14ac:dyDescent="0.25">
      <c r="AG7307" s="185"/>
    </row>
    <row r="7308" spans="33:33" x14ac:dyDescent="0.25">
      <c r="AG7308" s="185"/>
    </row>
    <row r="7309" spans="33:33" x14ac:dyDescent="0.25">
      <c r="AG7309" s="185"/>
    </row>
    <row r="7310" spans="33:33" x14ac:dyDescent="0.25">
      <c r="AG7310" s="185"/>
    </row>
    <row r="7311" spans="33:33" x14ac:dyDescent="0.25">
      <c r="AG7311" s="185"/>
    </row>
    <row r="7312" spans="33:33" x14ac:dyDescent="0.25">
      <c r="AG7312" s="185"/>
    </row>
    <row r="7313" spans="33:33" x14ac:dyDescent="0.25">
      <c r="AG7313" s="185"/>
    </row>
    <row r="7314" spans="33:33" x14ac:dyDescent="0.25">
      <c r="AG7314" s="185"/>
    </row>
    <row r="7315" spans="33:33" x14ac:dyDescent="0.25">
      <c r="AG7315" s="185"/>
    </row>
    <row r="7316" spans="33:33" x14ac:dyDescent="0.25">
      <c r="AG7316" s="185"/>
    </row>
    <row r="7317" spans="33:33" x14ac:dyDescent="0.25">
      <c r="AG7317" s="185"/>
    </row>
    <row r="7318" spans="33:33" x14ac:dyDescent="0.25">
      <c r="AG7318" s="185"/>
    </row>
    <row r="7319" spans="33:33" x14ac:dyDescent="0.25">
      <c r="AG7319" s="185"/>
    </row>
    <row r="7320" spans="33:33" x14ac:dyDescent="0.25">
      <c r="AG7320" s="185"/>
    </row>
    <row r="7321" spans="33:33" x14ac:dyDescent="0.25">
      <c r="AG7321" s="185"/>
    </row>
    <row r="7322" spans="33:33" x14ac:dyDescent="0.25">
      <c r="AG7322" s="185"/>
    </row>
    <row r="7323" spans="33:33" x14ac:dyDescent="0.25">
      <c r="AG7323" s="185"/>
    </row>
    <row r="7324" spans="33:33" x14ac:dyDescent="0.25">
      <c r="AG7324" s="185"/>
    </row>
    <row r="7325" spans="33:33" x14ac:dyDescent="0.25">
      <c r="AG7325" s="185"/>
    </row>
    <row r="7326" spans="33:33" x14ac:dyDescent="0.25">
      <c r="AG7326" s="185"/>
    </row>
    <row r="7327" spans="33:33" x14ac:dyDescent="0.25">
      <c r="AG7327" s="185"/>
    </row>
    <row r="7328" spans="33:33" x14ac:dyDescent="0.25">
      <c r="AG7328" s="185"/>
    </row>
    <row r="7329" spans="33:33" x14ac:dyDescent="0.25">
      <c r="AG7329" s="185"/>
    </row>
    <row r="7330" spans="33:33" x14ac:dyDescent="0.25">
      <c r="AG7330" s="185"/>
    </row>
    <row r="7331" spans="33:33" x14ac:dyDescent="0.25">
      <c r="AG7331" s="185"/>
    </row>
    <row r="7332" spans="33:33" x14ac:dyDescent="0.25">
      <c r="AG7332" s="185"/>
    </row>
    <row r="7333" spans="33:33" x14ac:dyDescent="0.25">
      <c r="AG7333" s="185"/>
    </row>
    <row r="7334" spans="33:33" x14ac:dyDescent="0.25">
      <c r="AG7334" s="185"/>
    </row>
    <row r="7335" spans="33:33" x14ac:dyDescent="0.25">
      <c r="AG7335" s="185"/>
    </row>
    <row r="7336" spans="33:33" x14ac:dyDescent="0.25">
      <c r="AG7336" s="185"/>
    </row>
    <row r="7337" spans="33:33" x14ac:dyDescent="0.25">
      <c r="AG7337" s="185"/>
    </row>
    <row r="7338" spans="33:33" x14ac:dyDescent="0.25">
      <c r="AG7338" s="185"/>
    </row>
    <row r="7339" spans="33:33" x14ac:dyDescent="0.25">
      <c r="AG7339" s="185"/>
    </row>
    <row r="7340" spans="33:33" x14ac:dyDescent="0.25">
      <c r="AG7340" s="185"/>
    </row>
    <row r="7341" spans="33:33" x14ac:dyDescent="0.25">
      <c r="AG7341" s="185"/>
    </row>
    <row r="7342" spans="33:33" x14ac:dyDescent="0.25">
      <c r="AG7342" s="185"/>
    </row>
    <row r="7343" spans="33:33" x14ac:dyDescent="0.25">
      <c r="AG7343" s="185"/>
    </row>
    <row r="7344" spans="33:33" x14ac:dyDescent="0.25">
      <c r="AG7344" s="185"/>
    </row>
    <row r="7345" spans="33:33" x14ac:dyDescent="0.25">
      <c r="AG7345" s="185"/>
    </row>
    <row r="7346" spans="33:33" x14ac:dyDescent="0.25">
      <c r="AG7346" s="185"/>
    </row>
    <row r="7347" spans="33:33" x14ac:dyDescent="0.25">
      <c r="AG7347" s="185"/>
    </row>
    <row r="7348" spans="33:33" x14ac:dyDescent="0.25">
      <c r="AG7348" s="185"/>
    </row>
    <row r="7349" spans="33:33" x14ac:dyDescent="0.25">
      <c r="AG7349" s="185"/>
    </row>
    <row r="7350" spans="33:33" x14ac:dyDescent="0.25">
      <c r="AG7350" s="185"/>
    </row>
    <row r="7351" spans="33:33" x14ac:dyDescent="0.25">
      <c r="AG7351" s="185"/>
    </row>
    <row r="7352" spans="33:33" x14ac:dyDescent="0.25">
      <c r="AG7352" s="185"/>
    </row>
    <row r="7353" spans="33:33" x14ac:dyDescent="0.25">
      <c r="AG7353" s="185"/>
    </row>
    <row r="7354" spans="33:33" x14ac:dyDescent="0.25">
      <c r="AG7354" s="185"/>
    </row>
    <row r="7355" spans="33:33" x14ac:dyDescent="0.25">
      <c r="AG7355" s="185"/>
    </row>
    <row r="7356" spans="33:33" x14ac:dyDescent="0.25">
      <c r="AG7356" s="185"/>
    </row>
    <row r="7357" spans="33:33" x14ac:dyDescent="0.25">
      <c r="AG7357" s="185"/>
    </row>
    <row r="7358" spans="33:33" x14ac:dyDescent="0.25">
      <c r="AG7358" s="185"/>
    </row>
    <row r="7359" spans="33:33" x14ac:dyDescent="0.25">
      <c r="AG7359" s="185"/>
    </row>
    <row r="7360" spans="33:33" x14ac:dyDescent="0.25">
      <c r="AG7360" s="185"/>
    </row>
    <row r="7361" spans="33:33" x14ac:dyDescent="0.25">
      <c r="AG7361" s="185"/>
    </row>
    <row r="7362" spans="33:33" x14ac:dyDescent="0.25">
      <c r="AG7362" s="185"/>
    </row>
    <row r="7363" spans="33:33" x14ac:dyDescent="0.25">
      <c r="AG7363" s="185"/>
    </row>
    <row r="7364" spans="33:33" x14ac:dyDescent="0.25">
      <c r="AG7364" s="185"/>
    </row>
    <row r="7365" spans="33:33" x14ac:dyDescent="0.25">
      <c r="AG7365" s="185"/>
    </row>
    <row r="7366" spans="33:33" x14ac:dyDescent="0.25">
      <c r="AG7366" s="185"/>
    </row>
    <row r="7367" spans="33:33" x14ac:dyDescent="0.25">
      <c r="AG7367" s="185"/>
    </row>
    <row r="7368" spans="33:33" x14ac:dyDescent="0.25">
      <c r="AG7368" s="185"/>
    </row>
    <row r="7369" spans="33:33" x14ac:dyDescent="0.25">
      <c r="AG7369" s="185"/>
    </row>
    <row r="7370" spans="33:33" x14ac:dyDescent="0.25">
      <c r="AG7370" s="185"/>
    </row>
    <row r="7371" spans="33:33" x14ac:dyDescent="0.25">
      <c r="AG7371" s="185"/>
    </row>
    <row r="7372" spans="33:33" x14ac:dyDescent="0.25">
      <c r="AG7372" s="185"/>
    </row>
    <row r="7373" spans="33:33" x14ac:dyDescent="0.25">
      <c r="AG7373" s="185"/>
    </row>
    <row r="7374" spans="33:33" x14ac:dyDescent="0.25">
      <c r="AG7374" s="185"/>
    </row>
    <row r="7375" spans="33:33" x14ac:dyDescent="0.25">
      <c r="AG7375" s="185"/>
    </row>
    <row r="7376" spans="33:33" x14ac:dyDescent="0.25">
      <c r="AG7376" s="185"/>
    </row>
    <row r="7377" spans="33:33" x14ac:dyDescent="0.25">
      <c r="AG7377" s="185"/>
    </row>
    <row r="7378" spans="33:33" x14ac:dyDescent="0.25">
      <c r="AG7378" s="185"/>
    </row>
    <row r="7379" spans="33:33" x14ac:dyDescent="0.25">
      <c r="AG7379" s="185"/>
    </row>
    <row r="7380" spans="33:33" x14ac:dyDescent="0.25">
      <c r="AG7380" s="185"/>
    </row>
    <row r="7381" spans="33:33" x14ac:dyDescent="0.25">
      <c r="AG7381" s="185"/>
    </row>
    <row r="7382" spans="33:33" x14ac:dyDescent="0.25">
      <c r="AG7382" s="185"/>
    </row>
    <row r="7383" spans="33:33" x14ac:dyDescent="0.25">
      <c r="AG7383" s="185"/>
    </row>
    <row r="7384" spans="33:33" x14ac:dyDescent="0.25">
      <c r="AG7384" s="185"/>
    </row>
    <row r="7385" spans="33:33" x14ac:dyDescent="0.25">
      <c r="AG7385" s="185"/>
    </row>
    <row r="7386" spans="33:33" x14ac:dyDescent="0.25">
      <c r="AG7386" s="185"/>
    </row>
    <row r="7387" spans="33:33" x14ac:dyDescent="0.25">
      <c r="AG7387" s="185"/>
    </row>
    <row r="7388" spans="33:33" x14ac:dyDescent="0.25">
      <c r="AG7388" s="185"/>
    </row>
    <row r="7389" spans="33:33" x14ac:dyDescent="0.25">
      <c r="AG7389" s="185"/>
    </row>
    <row r="7390" spans="33:33" x14ac:dyDescent="0.25">
      <c r="AG7390" s="185"/>
    </row>
    <row r="7391" spans="33:33" x14ac:dyDescent="0.25">
      <c r="AG7391" s="185"/>
    </row>
    <row r="7392" spans="33:33" x14ac:dyDescent="0.25">
      <c r="AG7392" s="185"/>
    </row>
    <row r="7393" spans="33:33" x14ac:dyDescent="0.25">
      <c r="AG7393" s="185"/>
    </row>
    <row r="7394" spans="33:33" x14ac:dyDescent="0.25">
      <c r="AG7394" s="185"/>
    </row>
    <row r="7395" spans="33:33" x14ac:dyDescent="0.25">
      <c r="AG7395" s="185"/>
    </row>
    <row r="7396" spans="33:33" x14ac:dyDescent="0.25">
      <c r="AG7396" s="185"/>
    </row>
    <row r="7397" spans="33:33" x14ac:dyDescent="0.25">
      <c r="AG7397" s="185"/>
    </row>
    <row r="7398" spans="33:33" x14ac:dyDescent="0.25">
      <c r="AG7398" s="185"/>
    </row>
    <row r="7399" spans="33:33" x14ac:dyDescent="0.25">
      <c r="AG7399" s="185"/>
    </row>
    <row r="7400" spans="33:33" x14ac:dyDescent="0.25">
      <c r="AG7400" s="185"/>
    </row>
    <row r="7401" spans="33:33" x14ac:dyDescent="0.25">
      <c r="AG7401" s="185"/>
    </row>
    <row r="7402" spans="33:33" x14ac:dyDescent="0.25">
      <c r="AG7402" s="185"/>
    </row>
    <row r="7403" spans="33:33" x14ac:dyDescent="0.25">
      <c r="AG7403" s="185"/>
    </row>
    <row r="7404" spans="33:33" x14ac:dyDescent="0.25">
      <c r="AG7404" s="185"/>
    </row>
    <row r="7405" spans="33:33" x14ac:dyDescent="0.25">
      <c r="AG7405" s="185"/>
    </row>
    <row r="7406" spans="33:33" x14ac:dyDescent="0.25">
      <c r="AG7406" s="185"/>
    </row>
    <row r="7407" spans="33:33" x14ac:dyDescent="0.25">
      <c r="AG7407" s="185"/>
    </row>
    <row r="7408" spans="33:33" x14ac:dyDescent="0.25">
      <c r="AG7408" s="185"/>
    </row>
    <row r="7409" spans="33:33" x14ac:dyDescent="0.25">
      <c r="AG7409" s="185"/>
    </row>
    <row r="7410" spans="33:33" x14ac:dyDescent="0.25">
      <c r="AG7410" s="185"/>
    </row>
    <row r="7411" spans="33:33" x14ac:dyDescent="0.25">
      <c r="AG7411" s="185"/>
    </row>
    <row r="7412" spans="33:33" x14ac:dyDescent="0.25">
      <c r="AG7412" s="185"/>
    </row>
    <row r="7413" spans="33:33" x14ac:dyDescent="0.25">
      <c r="AG7413" s="185"/>
    </row>
    <row r="7414" spans="33:33" x14ac:dyDescent="0.25">
      <c r="AG7414" s="185"/>
    </row>
    <row r="7415" spans="33:33" x14ac:dyDescent="0.25">
      <c r="AG7415" s="185"/>
    </row>
    <row r="7416" spans="33:33" x14ac:dyDescent="0.25">
      <c r="AG7416" s="185"/>
    </row>
    <row r="7417" spans="33:33" x14ac:dyDescent="0.25">
      <c r="AG7417" s="185"/>
    </row>
    <row r="7418" spans="33:33" x14ac:dyDescent="0.25">
      <c r="AG7418" s="185"/>
    </row>
    <row r="7419" spans="33:33" x14ac:dyDescent="0.25">
      <c r="AG7419" s="185"/>
    </row>
    <row r="7420" spans="33:33" x14ac:dyDescent="0.25">
      <c r="AG7420" s="185"/>
    </row>
    <row r="7421" spans="33:33" x14ac:dyDescent="0.25">
      <c r="AG7421" s="185"/>
    </row>
    <row r="7422" spans="33:33" x14ac:dyDescent="0.25">
      <c r="AG7422" s="185"/>
    </row>
    <row r="7423" spans="33:33" x14ac:dyDescent="0.25">
      <c r="AG7423" s="185"/>
    </row>
    <row r="7424" spans="33:33" x14ac:dyDescent="0.25">
      <c r="AG7424" s="185"/>
    </row>
    <row r="7425" spans="33:33" x14ac:dyDescent="0.25">
      <c r="AG7425" s="185"/>
    </row>
    <row r="7426" spans="33:33" x14ac:dyDescent="0.25">
      <c r="AG7426" s="185"/>
    </row>
    <row r="7427" spans="33:33" x14ac:dyDescent="0.25">
      <c r="AG7427" s="185"/>
    </row>
    <row r="7428" spans="33:33" x14ac:dyDescent="0.25">
      <c r="AG7428" s="185"/>
    </row>
    <row r="7429" spans="33:33" x14ac:dyDescent="0.25">
      <c r="AG7429" s="185"/>
    </row>
    <row r="7430" spans="33:33" x14ac:dyDescent="0.25">
      <c r="AG7430" s="185"/>
    </row>
    <row r="7431" spans="33:33" x14ac:dyDescent="0.25">
      <c r="AG7431" s="185"/>
    </row>
    <row r="7432" spans="33:33" x14ac:dyDescent="0.25">
      <c r="AG7432" s="185"/>
    </row>
    <row r="7433" spans="33:33" x14ac:dyDescent="0.25">
      <c r="AG7433" s="185"/>
    </row>
    <row r="7434" spans="33:33" x14ac:dyDescent="0.25">
      <c r="AG7434" s="185"/>
    </row>
    <row r="7435" spans="33:33" x14ac:dyDescent="0.25">
      <c r="AG7435" s="185"/>
    </row>
    <row r="7436" spans="33:33" x14ac:dyDescent="0.25">
      <c r="AG7436" s="185"/>
    </row>
    <row r="7437" spans="33:33" x14ac:dyDescent="0.25">
      <c r="AG7437" s="185"/>
    </row>
    <row r="7438" spans="33:33" x14ac:dyDescent="0.25">
      <c r="AG7438" s="185"/>
    </row>
    <row r="7439" spans="33:33" x14ac:dyDescent="0.25">
      <c r="AG7439" s="185"/>
    </row>
    <row r="7440" spans="33:33" x14ac:dyDescent="0.25">
      <c r="AG7440" s="185"/>
    </row>
    <row r="7441" spans="33:33" x14ac:dyDescent="0.25">
      <c r="AG7441" s="185"/>
    </row>
    <row r="7442" spans="33:33" x14ac:dyDescent="0.25">
      <c r="AG7442" s="185"/>
    </row>
    <row r="7443" spans="33:33" x14ac:dyDescent="0.25">
      <c r="AG7443" s="185"/>
    </row>
    <row r="7444" spans="33:33" x14ac:dyDescent="0.25">
      <c r="AG7444" s="185"/>
    </row>
    <row r="7445" spans="33:33" x14ac:dyDescent="0.25">
      <c r="AG7445" s="185"/>
    </row>
    <row r="7446" spans="33:33" x14ac:dyDescent="0.25">
      <c r="AG7446" s="185"/>
    </row>
    <row r="7447" spans="33:33" x14ac:dyDescent="0.25">
      <c r="AG7447" s="185"/>
    </row>
    <row r="7448" spans="33:33" x14ac:dyDescent="0.25">
      <c r="AG7448" s="185"/>
    </row>
    <row r="7449" spans="33:33" x14ac:dyDescent="0.25">
      <c r="AG7449" s="185"/>
    </row>
    <row r="7450" spans="33:33" x14ac:dyDescent="0.25">
      <c r="AG7450" s="185"/>
    </row>
    <row r="7451" spans="33:33" x14ac:dyDescent="0.25">
      <c r="AG7451" s="185"/>
    </row>
    <row r="7452" spans="33:33" x14ac:dyDescent="0.25">
      <c r="AG7452" s="185"/>
    </row>
    <row r="7453" spans="33:33" x14ac:dyDescent="0.25">
      <c r="AG7453" s="185"/>
    </row>
    <row r="7454" spans="33:33" x14ac:dyDescent="0.25">
      <c r="AG7454" s="185"/>
    </row>
    <row r="7455" spans="33:33" x14ac:dyDescent="0.25">
      <c r="AG7455" s="185"/>
    </row>
    <row r="7456" spans="33:33" x14ac:dyDescent="0.25">
      <c r="AG7456" s="185"/>
    </row>
    <row r="7457" spans="33:33" x14ac:dyDescent="0.25">
      <c r="AG7457" s="185"/>
    </row>
    <row r="7458" spans="33:33" x14ac:dyDescent="0.25">
      <c r="AG7458" s="185"/>
    </row>
    <row r="7459" spans="33:33" x14ac:dyDescent="0.25">
      <c r="AG7459" s="185"/>
    </row>
    <row r="7460" spans="33:33" x14ac:dyDescent="0.25">
      <c r="AG7460" s="185"/>
    </row>
    <row r="7461" spans="33:33" x14ac:dyDescent="0.25">
      <c r="AG7461" s="185"/>
    </row>
    <row r="7462" spans="33:33" x14ac:dyDescent="0.25">
      <c r="AG7462" s="185"/>
    </row>
    <row r="7463" spans="33:33" x14ac:dyDescent="0.25">
      <c r="AG7463" s="185"/>
    </row>
    <row r="7464" spans="33:33" x14ac:dyDescent="0.25">
      <c r="AG7464" s="185"/>
    </row>
    <row r="7465" spans="33:33" x14ac:dyDescent="0.25">
      <c r="AG7465" s="185"/>
    </row>
    <row r="7466" spans="33:33" x14ac:dyDescent="0.25">
      <c r="AG7466" s="185"/>
    </row>
    <row r="7467" spans="33:33" x14ac:dyDescent="0.25">
      <c r="AG7467" s="185"/>
    </row>
    <row r="7468" spans="33:33" x14ac:dyDescent="0.25">
      <c r="AG7468" s="185"/>
    </row>
    <row r="7469" spans="33:33" x14ac:dyDescent="0.25">
      <c r="AG7469" s="185"/>
    </row>
    <row r="7470" spans="33:33" x14ac:dyDescent="0.25">
      <c r="AG7470" s="185"/>
    </row>
    <row r="7471" spans="33:33" x14ac:dyDescent="0.25">
      <c r="AG7471" s="185"/>
    </row>
    <row r="7472" spans="33:33" x14ac:dyDescent="0.25">
      <c r="AG7472" s="185"/>
    </row>
    <row r="7473" spans="33:33" x14ac:dyDescent="0.25">
      <c r="AG7473" s="185"/>
    </row>
    <row r="7474" spans="33:33" x14ac:dyDescent="0.25">
      <c r="AG7474" s="185"/>
    </row>
    <row r="7475" spans="33:33" x14ac:dyDescent="0.25">
      <c r="AG7475" s="185"/>
    </row>
    <row r="7476" spans="33:33" x14ac:dyDescent="0.25">
      <c r="AG7476" s="185"/>
    </row>
    <row r="7477" spans="33:33" x14ac:dyDescent="0.25">
      <c r="AG7477" s="185"/>
    </row>
    <row r="7478" spans="33:33" x14ac:dyDescent="0.25">
      <c r="AG7478" s="185"/>
    </row>
    <row r="7479" spans="33:33" x14ac:dyDescent="0.25">
      <c r="AG7479" s="185"/>
    </row>
    <row r="7480" spans="33:33" x14ac:dyDescent="0.25">
      <c r="AG7480" s="185"/>
    </row>
    <row r="7481" spans="33:33" x14ac:dyDescent="0.25">
      <c r="AG7481" s="185"/>
    </row>
    <row r="7482" spans="33:33" x14ac:dyDescent="0.25">
      <c r="AG7482" s="185"/>
    </row>
    <row r="7483" spans="33:33" x14ac:dyDescent="0.25">
      <c r="AG7483" s="185"/>
    </row>
    <row r="7484" spans="33:33" x14ac:dyDescent="0.25">
      <c r="AG7484" s="185"/>
    </row>
    <row r="7485" spans="33:33" x14ac:dyDescent="0.25">
      <c r="AG7485" s="185"/>
    </row>
    <row r="7486" spans="33:33" x14ac:dyDescent="0.25">
      <c r="AG7486" s="185"/>
    </row>
    <row r="7487" spans="33:33" x14ac:dyDescent="0.25">
      <c r="AG7487" s="185"/>
    </row>
    <row r="7488" spans="33:33" x14ac:dyDescent="0.25">
      <c r="AG7488" s="185"/>
    </row>
    <row r="7489" spans="33:33" x14ac:dyDescent="0.25">
      <c r="AG7489" s="185"/>
    </row>
    <row r="7490" spans="33:33" x14ac:dyDescent="0.25">
      <c r="AG7490" s="185"/>
    </row>
    <row r="7491" spans="33:33" x14ac:dyDescent="0.25">
      <c r="AG7491" s="185"/>
    </row>
    <row r="7492" spans="33:33" x14ac:dyDescent="0.25">
      <c r="AG7492" s="185"/>
    </row>
    <row r="7493" spans="33:33" x14ac:dyDescent="0.25">
      <c r="AG7493" s="185"/>
    </row>
    <row r="7494" spans="33:33" x14ac:dyDescent="0.25">
      <c r="AG7494" s="185"/>
    </row>
    <row r="7495" spans="33:33" x14ac:dyDescent="0.25">
      <c r="AG7495" s="185"/>
    </row>
    <row r="7496" spans="33:33" x14ac:dyDescent="0.25">
      <c r="AG7496" s="185"/>
    </row>
    <row r="7497" spans="33:33" x14ac:dyDescent="0.25">
      <c r="AG7497" s="185"/>
    </row>
    <row r="7498" spans="33:33" x14ac:dyDescent="0.25">
      <c r="AG7498" s="185"/>
    </row>
    <row r="7499" spans="33:33" x14ac:dyDescent="0.25">
      <c r="AG7499" s="185"/>
    </row>
    <row r="7500" spans="33:33" x14ac:dyDescent="0.25">
      <c r="AG7500" s="185"/>
    </row>
    <row r="7501" spans="33:33" x14ac:dyDescent="0.25">
      <c r="AG7501" s="185"/>
    </row>
    <row r="7502" spans="33:33" x14ac:dyDescent="0.25">
      <c r="AG7502" s="185"/>
    </row>
    <row r="7503" spans="33:33" x14ac:dyDescent="0.25">
      <c r="AG7503" s="185"/>
    </row>
    <row r="7504" spans="33:33" x14ac:dyDescent="0.25">
      <c r="AG7504" s="185"/>
    </row>
    <row r="7505" spans="33:33" x14ac:dyDescent="0.25">
      <c r="AG7505" s="185"/>
    </row>
    <row r="7506" spans="33:33" x14ac:dyDescent="0.25">
      <c r="AG7506" s="185"/>
    </row>
    <row r="7507" spans="33:33" x14ac:dyDescent="0.25">
      <c r="AG7507" s="185"/>
    </row>
    <row r="7508" spans="33:33" x14ac:dyDescent="0.25">
      <c r="AG7508" s="185"/>
    </row>
    <row r="7509" spans="33:33" x14ac:dyDescent="0.25">
      <c r="AG7509" s="185"/>
    </row>
    <row r="7510" spans="33:33" x14ac:dyDescent="0.25">
      <c r="AG7510" s="185"/>
    </row>
    <row r="7511" spans="33:33" x14ac:dyDescent="0.25">
      <c r="AG7511" s="185"/>
    </row>
    <row r="7512" spans="33:33" x14ac:dyDescent="0.25">
      <c r="AG7512" s="185"/>
    </row>
    <row r="7513" spans="33:33" x14ac:dyDescent="0.25">
      <c r="AG7513" s="185"/>
    </row>
    <row r="7514" spans="33:33" x14ac:dyDescent="0.25">
      <c r="AG7514" s="185"/>
    </row>
    <row r="7515" spans="33:33" x14ac:dyDescent="0.25">
      <c r="AG7515" s="185"/>
    </row>
    <row r="7516" spans="33:33" x14ac:dyDescent="0.25">
      <c r="AG7516" s="185"/>
    </row>
    <row r="7517" spans="33:33" x14ac:dyDescent="0.25">
      <c r="AG7517" s="185"/>
    </row>
    <row r="7518" spans="33:33" x14ac:dyDescent="0.25">
      <c r="AG7518" s="185"/>
    </row>
    <row r="7519" spans="33:33" x14ac:dyDescent="0.25">
      <c r="AG7519" s="185"/>
    </row>
    <row r="7520" spans="33:33" x14ac:dyDescent="0.25">
      <c r="AG7520" s="185"/>
    </row>
    <row r="7521" spans="33:33" x14ac:dyDescent="0.25">
      <c r="AG7521" s="185"/>
    </row>
    <row r="7522" spans="33:33" x14ac:dyDescent="0.25">
      <c r="AG7522" s="185"/>
    </row>
    <row r="7523" spans="33:33" x14ac:dyDescent="0.25">
      <c r="AG7523" s="185"/>
    </row>
    <row r="7524" spans="33:33" x14ac:dyDescent="0.25">
      <c r="AG7524" s="185"/>
    </row>
    <row r="7525" spans="33:33" x14ac:dyDescent="0.25">
      <c r="AG7525" s="185"/>
    </row>
    <row r="7526" spans="33:33" x14ac:dyDescent="0.25">
      <c r="AG7526" s="185"/>
    </row>
    <row r="7527" spans="33:33" x14ac:dyDescent="0.25">
      <c r="AG7527" s="185"/>
    </row>
    <row r="7528" spans="33:33" x14ac:dyDescent="0.25">
      <c r="AG7528" s="185"/>
    </row>
    <row r="7529" spans="33:33" x14ac:dyDescent="0.25">
      <c r="AG7529" s="185"/>
    </row>
    <row r="7530" spans="33:33" x14ac:dyDescent="0.25">
      <c r="AG7530" s="185"/>
    </row>
    <row r="7531" spans="33:33" x14ac:dyDescent="0.25">
      <c r="AG7531" s="185"/>
    </row>
    <row r="7532" spans="33:33" x14ac:dyDescent="0.25">
      <c r="AG7532" s="185"/>
    </row>
    <row r="7533" spans="33:33" x14ac:dyDescent="0.25">
      <c r="AG7533" s="185"/>
    </row>
    <row r="7534" spans="33:33" x14ac:dyDescent="0.25">
      <c r="AG7534" s="185"/>
    </row>
    <row r="7535" spans="33:33" x14ac:dyDescent="0.25">
      <c r="AG7535" s="185"/>
    </row>
    <row r="7536" spans="33:33" x14ac:dyDescent="0.25">
      <c r="AG7536" s="185"/>
    </row>
    <row r="7537" spans="33:33" x14ac:dyDescent="0.25">
      <c r="AG7537" s="185"/>
    </row>
    <row r="7538" spans="33:33" x14ac:dyDescent="0.25">
      <c r="AG7538" s="185"/>
    </row>
    <row r="7539" spans="33:33" x14ac:dyDescent="0.25">
      <c r="AG7539" s="185"/>
    </row>
    <row r="7540" spans="33:33" x14ac:dyDescent="0.25">
      <c r="AG7540" s="185"/>
    </row>
    <row r="7541" spans="33:33" x14ac:dyDescent="0.25">
      <c r="AG7541" s="185"/>
    </row>
    <row r="7542" spans="33:33" x14ac:dyDescent="0.25">
      <c r="AG7542" s="185"/>
    </row>
    <row r="7543" spans="33:33" x14ac:dyDescent="0.25">
      <c r="AG7543" s="185"/>
    </row>
    <row r="7544" spans="33:33" x14ac:dyDescent="0.25">
      <c r="AG7544" s="185"/>
    </row>
    <row r="7545" spans="33:33" x14ac:dyDescent="0.25">
      <c r="AG7545" s="185"/>
    </row>
    <row r="7546" spans="33:33" x14ac:dyDescent="0.25">
      <c r="AG7546" s="185"/>
    </row>
    <row r="7547" spans="33:33" x14ac:dyDescent="0.25">
      <c r="AG7547" s="185"/>
    </row>
    <row r="7548" spans="33:33" x14ac:dyDescent="0.25">
      <c r="AG7548" s="185"/>
    </row>
    <row r="7549" spans="33:33" x14ac:dyDescent="0.25">
      <c r="AG7549" s="185"/>
    </row>
    <row r="7550" spans="33:33" x14ac:dyDescent="0.25">
      <c r="AG7550" s="185"/>
    </row>
    <row r="7551" spans="33:33" x14ac:dyDescent="0.25">
      <c r="AG7551" s="185"/>
    </row>
    <row r="7552" spans="33:33" x14ac:dyDescent="0.25">
      <c r="AG7552" s="185"/>
    </row>
    <row r="7553" spans="33:33" x14ac:dyDescent="0.25">
      <c r="AG7553" s="185"/>
    </row>
    <row r="7554" spans="33:33" x14ac:dyDescent="0.25">
      <c r="AG7554" s="185"/>
    </row>
    <row r="7555" spans="33:33" x14ac:dyDescent="0.25">
      <c r="AG7555" s="185"/>
    </row>
    <row r="7556" spans="33:33" x14ac:dyDescent="0.25">
      <c r="AG7556" s="185"/>
    </row>
    <row r="7557" spans="33:33" x14ac:dyDescent="0.25">
      <c r="AG7557" s="185"/>
    </row>
    <row r="7558" spans="33:33" x14ac:dyDescent="0.25">
      <c r="AG7558" s="185"/>
    </row>
    <row r="7559" spans="33:33" x14ac:dyDescent="0.25">
      <c r="AG7559" s="185"/>
    </row>
    <row r="7560" spans="33:33" x14ac:dyDescent="0.25">
      <c r="AG7560" s="185"/>
    </row>
    <row r="7561" spans="33:33" x14ac:dyDescent="0.25">
      <c r="AG7561" s="185"/>
    </row>
    <row r="7562" spans="33:33" x14ac:dyDescent="0.25">
      <c r="AG7562" s="185"/>
    </row>
    <row r="7563" spans="33:33" x14ac:dyDescent="0.25">
      <c r="AG7563" s="185"/>
    </row>
    <row r="7564" spans="33:33" x14ac:dyDescent="0.25">
      <c r="AG7564" s="185"/>
    </row>
    <row r="7565" spans="33:33" x14ac:dyDescent="0.25">
      <c r="AG7565" s="185"/>
    </row>
    <row r="7566" spans="33:33" x14ac:dyDescent="0.25">
      <c r="AG7566" s="185"/>
    </row>
    <row r="7567" spans="33:33" x14ac:dyDescent="0.25">
      <c r="AG7567" s="185"/>
    </row>
    <row r="7568" spans="33:33" x14ac:dyDescent="0.25">
      <c r="AG7568" s="185"/>
    </row>
    <row r="7569" spans="33:33" x14ac:dyDescent="0.25">
      <c r="AG7569" s="185"/>
    </row>
    <row r="7570" spans="33:33" x14ac:dyDescent="0.25">
      <c r="AG7570" s="185"/>
    </row>
    <row r="7571" spans="33:33" x14ac:dyDescent="0.25">
      <c r="AG7571" s="185"/>
    </row>
    <row r="7572" spans="33:33" x14ac:dyDescent="0.25">
      <c r="AG7572" s="185"/>
    </row>
    <row r="7573" spans="33:33" x14ac:dyDescent="0.25">
      <c r="AG7573" s="185"/>
    </row>
    <row r="7574" spans="33:33" x14ac:dyDescent="0.25">
      <c r="AG7574" s="185"/>
    </row>
    <row r="7575" spans="33:33" x14ac:dyDescent="0.25">
      <c r="AG7575" s="185"/>
    </row>
    <row r="7576" spans="33:33" x14ac:dyDescent="0.25">
      <c r="AG7576" s="185"/>
    </row>
    <row r="7577" spans="33:33" x14ac:dyDescent="0.25">
      <c r="AG7577" s="185"/>
    </row>
    <row r="7578" spans="33:33" x14ac:dyDescent="0.25">
      <c r="AG7578" s="185"/>
    </row>
    <row r="7579" spans="33:33" x14ac:dyDescent="0.25">
      <c r="AG7579" s="185"/>
    </row>
    <row r="7580" spans="33:33" x14ac:dyDescent="0.25">
      <c r="AG7580" s="185"/>
    </row>
    <row r="7581" spans="33:33" x14ac:dyDescent="0.25">
      <c r="AG7581" s="185"/>
    </row>
    <row r="7582" spans="33:33" x14ac:dyDescent="0.25">
      <c r="AG7582" s="185"/>
    </row>
    <row r="7583" spans="33:33" x14ac:dyDescent="0.25">
      <c r="AG7583" s="185"/>
    </row>
    <row r="7584" spans="33:33" x14ac:dyDescent="0.25">
      <c r="AG7584" s="185"/>
    </row>
    <row r="7585" spans="33:33" x14ac:dyDescent="0.25">
      <c r="AG7585" s="185"/>
    </row>
    <row r="7586" spans="33:33" x14ac:dyDescent="0.25">
      <c r="AG7586" s="185"/>
    </row>
    <row r="7587" spans="33:33" x14ac:dyDescent="0.25">
      <c r="AG7587" s="185"/>
    </row>
    <row r="7588" spans="33:33" x14ac:dyDescent="0.25">
      <c r="AG7588" s="185"/>
    </row>
    <row r="7589" spans="33:33" x14ac:dyDescent="0.25">
      <c r="AG7589" s="185"/>
    </row>
    <row r="7590" spans="33:33" x14ac:dyDescent="0.25">
      <c r="AG7590" s="185"/>
    </row>
    <row r="7591" spans="33:33" x14ac:dyDescent="0.25">
      <c r="AG7591" s="185"/>
    </row>
    <row r="7592" spans="33:33" x14ac:dyDescent="0.25">
      <c r="AG7592" s="185"/>
    </row>
    <row r="7593" spans="33:33" x14ac:dyDescent="0.25">
      <c r="AG7593" s="185"/>
    </row>
    <row r="7594" spans="33:33" x14ac:dyDescent="0.25">
      <c r="AG7594" s="185"/>
    </row>
    <row r="7595" spans="33:33" x14ac:dyDescent="0.25">
      <c r="AG7595" s="185"/>
    </row>
    <row r="7596" spans="33:33" x14ac:dyDescent="0.25">
      <c r="AG7596" s="185"/>
    </row>
    <row r="7597" spans="33:33" x14ac:dyDescent="0.25">
      <c r="AG7597" s="185"/>
    </row>
    <row r="7598" spans="33:33" x14ac:dyDescent="0.25">
      <c r="AG7598" s="185"/>
    </row>
    <row r="7599" spans="33:33" x14ac:dyDescent="0.25">
      <c r="AG7599" s="185"/>
    </row>
    <row r="7600" spans="33:33" x14ac:dyDescent="0.25">
      <c r="AG7600" s="185"/>
    </row>
    <row r="7601" spans="33:33" x14ac:dyDescent="0.25">
      <c r="AG7601" s="185"/>
    </row>
    <row r="7602" spans="33:33" x14ac:dyDescent="0.25">
      <c r="AG7602" s="185"/>
    </row>
    <row r="7603" spans="33:33" x14ac:dyDescent="0.25">
      <c r="AG7603" s="185"/>
    </row>
    <row r="7604" spans="33:33" x14ac:dyDescent="0.25">
      <c r="AG7604" s="185"/>
    </row>
    <row r="7605" spans="33:33" x14ac:dyDescent="0.25">
      <c r="AG7605" s="185"/>
    </row>
    <row r="7606" spans="33:33" x14ac:dyDescent="0.25">
      <c r="AG7606" s="185"/>
    </row>
    <row r="7607" spans="33:33" x14ac:dyDescent="0.25">
      <c r="AG7607" s="185"/>
    </row>
    <row r="7608" spans="33:33" x14ac:dyDescent="0.25">
      <c r="AG7608" s="185"/>
    </row>
    <row r="7609" spans="33:33" x14ac:dyDescent="0.25">
      <c r="AG7609" s="185"/>
    </row>
    <row r="7610" spans="33:33" x14ac:dyDescent="0.25">
      <c r="AG7610" s="185"/>
    </row>
    <row r="7611" spans="33:33" x14ac:dyDescent="0.25">
      <c r="AG7611" s="185"/>
    </row>
    <row r="7612" spans="33:33" x14ac:dyDescent="0.25">
      <c r="AG7612" s="185"/>
    </row>
    <row r="7613" spans="33:33" x14ac:dyDescent="0.25">
      <c r="AG7613" s="185"/>
    </row>
    <row r="7614" spans="33:33" x14ac:dyDescent="0.25">
      <c r="AG7614" s="185"/>
    </row>
    <row r="7615" spans="33:33" x14ac:dyDescent="0.25">
      <c r="AG7615" s="185"/>
    </row>
    <row r="7616" spans="33:33" x14ac:dyDescent="0.25">
      <c r="AG7616" s="185"/>
    </row>
    <row r="7617" spans="33:33" x14ac:dyDescent="0.25">
      <c r="AG7617" s="185"/>
    </row>
    <row r="7618" spans="33:33" x14ac:dyDescent="0.25">
      <c r="AG7618" s="185"/>
    </row>
    <row r="7619" spans="33:33" x14ac:dyDescent="0.25">
      <c r="AG7619" s="185"/>
    </row>
    <row r="7620" spans="33:33" x14ac:dyDescent="0.25">
      <c r="AG7620" s="185"/>
    </row>
    <row r="7621" spans="33:33" x14ac:dyDescent="0.25">
      <c r="AG7621" s="185"/>
    </row>
    <row r="7622" spans="33:33" x14ac:dyDescent="0.25">
      <c r="AG7622" s="185"/>
    </row>
    <row r="7623" spans="33:33" x14ac:dyDescent="0.25">
      <c r="AG7623" s="185"/>
    </row>
    <row r="7624" spans="33:33" x14ac:dyDescent="0.25">
      <c r="AG7624" s="185"/>
    </row>
    <row r="7625" spans="33:33" x14ac:dyDescent="0.25">
      <c r="AG7625" s="185"/>
    </row>
    <row r="7626" spans="33:33" x14ac:dyDescent="0.25">
      <c r="AG7626" s="185"/>
    </row>
    <row r="7627" spans="33:33" x14ac:dyDescent="0.25">
      <c r="AG7627" s="185"/>
    </row>
    <row r="7628" spans="33:33" x14ac:dyDescent="0.25">
      <c r="AG7628" s="185"/>
    </row>
    <row r="7629" spans="33:33" x14ac:dyDescent="0.25">
      <c r="AG7629" s="185"/>
    </row>
    <row r="7630" spans="33:33" x14ac:dyDescent="0.25">
      <c r="AG7630" s="185"/>
    </row>
    <row r="7631" spans="33:33" x14ac:dyDescent="0.25">
      <c r="AG7631" s="185"/>
    </row>
    <row r="7632" spans="33:33" x14ac:dyDescent="0.25">
      <c r="AG7632" s="185"/>
    </row>
    <row r="7633" spans="33:33" x14ac:dyDescent="0.25">
      <c r="AG7633" s="185"/>
    </row>
    <row r="7634" spans="33:33" x14ac:dyDescent="0.25">
      <c r="AG7634" s="185"/>
    </row>
    <row r="7635" spans="33:33" x14ac:dyDescent="0.25">
      <c r="AG7635" s="185"/>
    </row>
    <row r="7636" spans="33:33" x14ac:dyDescent="0.25">
      <c r="AG7636" s="185"/>
    </row>
    <row r="7637" spans="33:33" x14ac:dyDescent="0.25">
      <c r="AG7637" s="185"/>
    </row>
    <row r="7638" spans="33:33" x14ac:dyDescent="0.25">
      <c r="AG7638" s="185"/>
    </row>
    <row r="7639" spans="33:33" x14ac:dyDescent="0.25">
      <c r="AG7639" s="185"/>
    </row>
    <row r="7640" spans="33:33" x14ac:dyDescent="0.25">
      <c r="AG7640" s="185"/>
    </row>
    <row r="7641" spans="33:33" x14ac:dyDescent="0.25">
      <c r="AG7641" s="185"/>
    </row>
    <row r="7642" spans="33:33" x14ac:dyDescent="0.25">
      <c r="AG7642" s="185"/>
    </row>
    <row r="7643" spans="33:33" x14ac:dyDescent="0.25">
      <c r="AG7643" s="185"/>
    </row>
    <row r="7644" spans="33:33" x14ac:dyDescent="0.25">
      <c r="AG7644" s="185"/>
    </row>
    <row r="7645" spans="33:33" x14ac:dyDescent="0.25">
      <c r="AG7645" s="185"/>
    </row>
    <row r="7646" spans="33:33" x14ac:dyDescent="0.25">
      <c r="AG7646" s="185"/>
    </row>
    <row r="7647" spans="33:33" x14ac:dyDescent="0.25">
      <c r="AG7647" s="185"/>
    </row>
    <row r="7648" spans="33:33" x14ac:dyDescent="0.25">
      <c r="AG7648" s="185"/>
    </row>
    <row r="7649" spans="33:33" x14ac:dyDescent="0.25">
      <c r="AG7649" s="185"/>
    </row>
    <row r="7650" spans="33:33" x14ac:dyDescent="0.25">
      <c r="AG7650" s="185"/>
    </row>
    <row r="7651" spans="33:33" x14ac:dyDescent="0.25">
      <c r="AG7651" s="185"/>
    </row>
    <row r="7652" spans="33:33" x14ac:dyDescent="0.25">
      <c r="AG7652" s="185"/>
    </row>
    <row r="7653" spans="33:33" x14ac:dyDescent="0.25">
      <c r="AG7653" s="185"/>
    </row>
    <row r="7654" spans="33:33" x14ac:dyDescent="0.25">
      <c r="AG7654" s="185"/>
    </row>
    <row r="7655" spans="33:33" x14ac:dyDescent="0.25">
      <c r="AG7655" s="185"/>
    </row>
    <row r="7656" spans="33:33" x14ac:dyDescent="0.25">
      <c r="AG7656" s="185"/>
    </row>
    <row r="7657" spans="33:33" x14ac:dyDescent="0.25">
      <c r="AG7657" s="185"/>
    </row>
    <row r="7658" spans="33:33" x14ac:dyDescent="0.25">
      <c r="AG7658" s="185"/>
    </row>
    <row r="7659" spans="33:33" x14ac:dyDescent="0.25">
      <c r="AG7659" s="185"/>
    </row>
    <row r="7660" spans="33:33" x14ac:dyDescent="0.25">
      <c r="AG7660" s="185"/>
    </row>
    <row r="7661" spans="33:33" x14ac:dyDescent="0.25">
      <c r="AG7661" s="185"/>
    </row>
    <row r="7662" spans="33:33" x14ac:dyDescent="0.25">
      <c r="AG7662" s="185"/>
    </row>
    <row r="7663" spans="33:33" x14ac:dyDescent="0.25">
      <c r="AG7663" s="185"/>
    </row>
    <row r="7664" spans="33:33" x14ac:dyDescent="0.25">
      <c r="AG7664" s="185"/>
    </row>
    <row r="7665" spans="33:33" x14ac:dyDescent="0.25">
      <c r="AG7665" s="185"/>
    </row>
    <row r="7666" spans="33:33" x14ac:dyDescent="0.25">
      <c r="AG7666" s="185"/>
    </row>
    <row r="7667" spans="33:33" x14ac:dyDescent="0.25">
      <c r="AG7667" s="185"/>
    </row>
    <row r="7668" spans="33:33" x14ac:dyDescent="0.25">
      <c r="AG7668" s="185"/>
    </row>
    <row r="7669" spans="33:33" x14ac:dyDescent="0.25">
      <c r="AG7669" s="185"/>
    </row>
    <row r="7670" spans="33:33" x14ac:dyDescent="0.25">
      <c r="AG7670" s="185"/>
    </row>
    <row r="7671" spans="33:33" x14ac:dyDescent="0.25">
      <c r="AG7671" s="185"/>
    </row>
    <row r="7672" spans="33:33" x14ac:dyDescent="0.25">
      <c r="AG7672" s="185"/>
    </row>
    <row r="7673" spans="33:33" x14ac:dyDescent="0.25">
      <c r="AG7673" s="185"/>
    </row>
    <row r="7674" spans="33:33" x14ac:dyDescent="0.25">
      <c r="AG7674" s="185"/>
    </row>
    <row r="7675" spans="33:33" x14ac:dyDescent="0.25">
      <c r="AG7675" s="185"/>
    </row>
    <row r="7676" spans="33:33" x14ac:dyDescent="0.25">
      <c r="AG7676" s="185"/>
    </row>
    <row r="7677" spans="33:33" x14ac:dyDescent="0.25">
      <c r="AG7677" s="185"/>
    </row>
    <row r="7678" spans="33:33" x14ac:dyDescent="0.25">
      <c r="AG7678" s="185"/>
    </row>
    <row r="7679" spans="33:33" x14ac:dyDescent="0.25">
      <c r="AG7679" s="185"/>
    </row>
    <row r="7680" spans="33:33" x14ac:dyDescent="0.25">
      <c r="AG7680" s="185"/>
    </row>
    <row r="7681" spans="33:33" x14ac:dyDescent="0.25">
      <c r="AG7681" s="185"/>
    </row>
    <row r="7682" spans="33:33" x14ac:dyDescent="0.25">
      <c r="AG7682" s="185"/>
    </row>
    <row r="7683" spans="33:33" x14ac:dyDescent="0.25">
      <c r="AG7683" s="185"/>
    </row>
    <row r="7684" spans="33:33" x14ac:dyDescent="0.25">
      <c r="AG7684" s="185"/>
    </row>
    <row r="7685" spans="33:33" x14ac:dyDescent="0.25">
      <c r="AG7685" s="185"/>
    </row>
    <row r="7686" spans="33:33" x14ac:dyDescent="0.25">
      <c r="AG7686" s="185"/>
    </row>
    <row r="7687" spans="33:33" x14ac:dyDescent="0.25">
      <c r="AG7687" s="185"/>
    </row>
    <row r="7688" spans="33:33" x14ac:dyDescent="0.25">
      <c r="AG7688" s="185"/>
    </row>
    <row r="7689" spans="33:33" x14ac:dyDescent="0.25">
      <c r="AG7689" s="185"/>
    </row>
    <row r="7690" spans="33:33" x14ac:dyDescent="0.25">
      <c r="AG7690" s="185"/>
    </row>
    <row r="7691" spans="33:33" x14ac:dyDescent="0.25">
      <c r="AG7691" s="185"/>
    </row>
    <row r="7692" spans="33:33" x14ac:dyDescent="0.25">
      <c r="AG7692" s="185"/>
    </row>
    <row r="7693" spans="33:33" x14ac:dyDescent="0.25">
      <c r="AG7693" s="185"/>
    </row>
    <row r="7694" spans="33:33" x14ac:dyDescent="0.25">
      <c r="AG7694" s="185"/>
    </row>
    <row r="7695" spans="33:33" x14ac:dyDescent="0.25">
      <c r="AG7695" s="185"/>
    </row>
    <row r="7696" spans="33:33" x14ac:dyDescent="0.25">
      <c r="AG7696" s="185"/>
    </row>
    <row r="7697" spans="33:33" x14ac:dyDescent="0.25">
      <c r="AG7697" s="185"/>
    </row>
    <row r="7698" spans="33:33" x14ac:dyDescent="0.25">
      <c r="AG7698" s="185"/>
    </row>
    <row r="7699" spans="33:33" x14ac:dyDescent="0.25">
      <c r="AG7699" s="185"/>
    </row>
    <row r="7700" spans="33:33" x14ac:dyDescent="0.25">
      <c r="AG7700" s="185"/>
    </row>
    <row r="7701" spans="33:33" x14ac:dyDescent="0.25">
      <c r="AG7701" s="185"/>
    </row>
    <row r="7702" spans="33:33" x14ac:dyDescent="0.25">
      <c r="AG7702" s="185"/>
    </row>
    <row r="7703" spans="33:33" x14ac:dyDescent="0.25">
      <c r="AG7703" s="185"/>
    </row>
    <row r="7704" spans="33:33" x14ac:dyDescent="0.25">
      <c r="AG7704" s="185"/>
    </row>
    <row r="7705" spans="33:33" x14ac:dyDescent="0.25">
      <c r="AG7705" s="185"/>
    </row>
    <row r="7706" spans="33:33" x14ac:dyDescent="0.25">
      <c r="AG7706" s="185"/>
    </row>
    <row r="7707" spans="33:33" x14ac:dyDescent="0.25">
      <c r="AG7707" s="185"/>
    </row>
    <row r="7708" spans="33:33" x14ac:dyDescent="0.25">
      <c r="AG7708" s="185"/>
    </row>
    <row r="7709" spans="33:33" x14ac:dyDescent="0.25">
      <c r="AG7709" s="185"/>
    </row>
    <row r="7710" spans="33:33" x14ac:dyDescent="0.25">
      <c r="AG7710" s="185"/>
    </row>
    <row r="7711" spans="33:33" x14ac:dyDescent="0.25">
      <c r="AG7711" s="185"/>
    </row>
    <row r="7712" spans="33:33" x14ac:dyDescent="0.25">
      <c r="AG7712" s="185"/>
    </row>
    <row r="7713" spans="33:33" x14ac:dyDescent="0.25">
      <c r="AG7713" s="185"/>
    </row>
    <row r="7714" spans="33:33" x14ac:dyDescent="0.25">
      <c r="AG7714" s="185"/>
    </row>
    <row r="7715" spans="33:33" x14ac:dyDescent="0.25">
      <c r="AG7715" s="185"/>
    </row>
    <row r="7716" spans="33:33" x14ac:dyDescent="0.25">
      <c r="AG7716" s="185"/>
    </row>
    <row r="7717" spans="33:33" x14ac:dyDescent="0.25">
      <c r="AG7717" s="185"/>
    </row>
    <row r="7718" spans="33:33" x14ac:dyDescent="0.25">
      <c r="AG7718" s="185"/>
    </row>
    <row r="7719" spans="33:33" x14ac:dyDescent="0.25">
      <c r="AG7719" s="185"/>
    </row>
    <row r="7720" spans="33:33" x14ac:dyDescent="0.25">
      <c r="AG7720" s="185"/>
    </row>
    <row r="7721" spans="33:33" x14ac:dyDescent="0.25">
      <c r="AG7721" s="185"/>
    </row>
    <row r="7722" spans="33:33" x14ac:dyDescent="0.25">
      <c r="AG7722" s="185"/>
    </row>
    <row r="7723" spans="33:33" x14ac:dyDescent="0.25">
      <c r="AG7723" s="185"/>
    </row>
    <row r="7724" spans="33:33" x14ac:dyDescent="0.25">
      <c r="AG7724" s="185"/>
    </row>
    <row r="7725" spans="33:33" x14ac:dyDescent="0.25">
      <c r="AG7725" s="185"/>
    </row>
    <row r="7726" spans="33:33" x14ac:dyDescent="0.25">
      <c r="AG7726" s="185"/>
    </row>
    <row r="7727" spans="33:33" x14ac:dyDescent="0.25">
      <c r="AG7727" s="185"/>
    </row>
    <row r="7728" spans="33:33" x14ac:dyDescent="0.25">
      <c r="AG7728" s="185"/>
    </row>
    <row r="7729" spans="33:33" x14ac:dyDescent="0.25">
      <c r="AG7729" s="185"/>
    </row>
    <row r="7730" spans="33:33" x14ac:dyDescent="0.25">
      <c r="AG7730" s="185"/>
    </row>
    <row r="7731" spans="33:33" x14ac:dyDescent="0.25">
      <c r="AG7731" s="185"/>
    </row>
    <row r="7732" spans="33:33" x14ac:dyDescent="0.25">
      <c r="AG7732" s="185"/>
    </row>
    <row r="7733" spans="33:33" x14ac:dyDescent="0.25">
      <c r="AG7733" s="185"/>
    </row>
    <row r="7734" spans="33:33" x14ac:dyDescent="0.25">
      <c r="AG7734" s="185"/>
    </row>
    <row r="7735" spans="33:33" x14ac:dyDescent="0.25">
      <c r="AG7735" s="185"/>
    </row>
    <row r="7736" spans="33:33" x14ac:dyDescent="0.25">
      <c r="AG7736" s="185"/>
    </row>
    <row r="7737" spans="33:33" x14ac:dyDescent="0.25">
      <c r="AG7737" s="185"/>
    </row>
    <row r="7738" spans="33:33" x14ac:dyDescent="0.25">
      <c r="AG7738" s="185"/>
    </row>
    <row r="7739" spans="33:33" x14ac:dyDescent="0.25">
      <c r="AG7739" s="185"/>
    </row>
    <row r="7740" spans="33:33" x14ac:dyDescent="0.25">
      <c r="AG7740" s="185"/>
    </row>
    <row r="7741" spans="33:33" x14ac:dyDescent="0.25">
      <c r="AG7741" s="185"/>
    </row>
    <row r="7742" spans="33:33" x14ac:dyDescent="0.25">
      <c r="AG7742" s="185"/>
    </row>
    <row r="7743" spans="33:33" x14ac:dyDescent="0.25">
      <c r="AG7743" s="185"/>
    </row>
    <row r="7744" spans="33:33" x14ac:dyDescent="0.25">
      <c r="AG7744" s="185"/>
    </row>
    <row r="7745" spans="33:33" x14ac:dyDescent="0.25">
      <c r="AG7745" s="185"/>
    </row>
    <row r="7746" spans="33:33" x14ac:dyDescent="0.25">
      <c r="AG7746" s="185"/>
    </row>
    <row r="7747" spans="33:33" x14ac:dyDescent="0.25">
      <c r="AG7747" s="185"/>
    </row>
    <row r="7748" spans="33:33" x14ac:dyDescent="0.25">
      <c r="AG7748" s="185"/>
    </row>
    <row r="7749" spans="33:33" x14ac:dyDescent="0.25">
      <c r="AG7749" s="185"/>
    </row>
    <row r="7750" spans="33:33" x14ac:dyDescent="0.25">
      <c r="AG7750" s="185"/>
    </row>
    <row r="7751" spans="33:33" x14ac:dyDescent="0.25">
      <c r="AG7751" s="185"/>
    </row>
    <row r="7752" spans="33:33" x14ac:dyDescent="0.25">
      <c r="AG7752" s="185"/>
    </row>
    <row r="7753" spans="33:33" x14ac:dyDescent="0.25">
      <c r="AG7753" s="185"/>
    </row>
    <row r="7754" spans="33:33" x14ac:dyDescent="0.25">
      <c r="AG7754" s="185"/>
    </row>
    <row r="7755" spans="33:33" x14ac:dyDescent="0.25">
      <c r="AG7755" s="185"/>
    </row>
    <row r="7756" spans="33:33" x14ac:dyDescent="0.25">
      <c r="AG7756" s="185"/>
    </row>
    <row r="7757" spans="33:33" x14ac:dyDescent="0.25">
      <c r="AG7757" s="185"/>
    </row>
    <row r="7758" spans="33:33" x14ac:dyDescent="0.25">
      <c r="AG7758" s="185"/>
    </row>
    <row r="7759" spans="33:33" x14ac:dyDescent="0.25">
      <c r="AG7759" s="185"/>
    </row>
    <row r="7760" spans="33:33" x14ac:dyDescent="0.25">
      <c r="AG7760" s="185"/>
    </row>
    <row r="7761" spans="33:33" x14ac:dyDescent="0.25">
      <c r="AG7761" s="185"/>
    </row>
    <row r="7762" spans="33:33" x14ac:dyDescent="0.25">
      <c r="AG7762" s="185"/>
    </row>
    <row r="7763" spans="33:33" x14ac:dyDescent="0.25">
      <c r="AG7763" s="185"/>
    </row>
    <row r="7764" spans="33:33" x14ac:dyDescent="0.25">
      <c r="AG7764" s="185"/>
    </row>
    <row r="7765" spans="33:33" x14ac:dyDescent="0.25">
      <c r="AG7765" s="185"/>
    </row>
    <row r="7766" spans="33:33" x14ac:dyDescent="0.25">
      <c r="AG7766" s="185"/>
    </row>
    <row r="7767" spans="33:33" x14ac:dyDescent="0.25">
      <c r="AG7767" s="185"/>
    </row>
    <row r="7768" spans="33:33" x14ac:dyDescent="0.25">
      <c r="AG7768" s="185"/>
    </row>
    <row r="7769" spans="33:33" x14ac:dyDescent="0.25">
      <c r="AG7769" s="185"/>
    </row>
    <row r="7770" spans="33:33" x14ac:dyDescent="0.25">
      <c r="AG7770" s="185"/>
    </row>
    <row r="7771" spans="33:33" x14ac:dyDescent="0.25">
      <c r="AG7771" s="185"/>
    </row>
    <row r="7772" spans="33:33" x14ac:dyDescent="0.25">
      <c r="AG7772" s="185"/>
    </row>
    <row r="7773" spans="33:33" x14ac:dyDescent="0.25">
      <c r="AG7773" s="185"/>
    </row>
    <row r="7774" spans="33:33" x14ac:dyDescent="0.25">
      <c r="AG7774" s="185"/>
    </row>
    <row r="7775" spans="33:33" x14ac:dyDescent="0.25">
      <c r="AG7775" s="185"/>
    </row>
    <row r="7776" spans="33:33" x14ac:dyDescent="0.25">
      <c r="AG7776" s="185"/>
    </row>
    <row r="7777" spans="33:33" x14ac:dyDescent="0.25">
      <c r="AG7777" s="185"/>
    </row>
    <row r="7778" spans="33:33" x14ac:dyDescent="0.25">
      <c r="AG7778" s="185"/>
    </row>
    <row r="7779" spans="33:33" x14ac:dyDescent="0.25">
      <c r="AG7779" s="185"/>
    </row>
    <row r="7780" spans="33:33" x14ac:dyDescent="0.25">
      <c r="AG7780" s="185"/>
    </row>
    <row r="7781" spans="33:33" x14ac:dyDescent="0.25">
      <c r="AG7781" s="185"/>
    </row>
    <row r="7782" spans="33:33" x14ac:dyDescent="0.25">
      <c r="AG7782" s="185"/>
    </row>
    <row r="7783" spans="33:33" x14ac:dyDescent="0.25">
      <c r="AG7783" s="185"/>
    </row>
    <row r="7784" spans="33:33" x14ac:dyDescent="0.25">
      <c r="AG7784" s="185"/>
    </row>
    <row r="7785" spans="33:33" x14ac:dyDescent="0.25">
      <c r="AG7785" s="185"/>
    </row>
    <row r="7786" spans="33:33" x14ac:dyDescent="0.25">
      <c r="AG7786" s="185"/>
    </row>
    <row r="7787" spans="33:33" x14ac:dyDescent="0.25">
      <c r="AG7787" s="185"/>
    </row>
    <row r="7788" spans="33:33" x14ac:dyDescent="0.25">
      <c r="AG7788" s="185"/>
    </row>
    <row r="7789" spans="33:33" x14ac:dyDescent="0.25">
      <c r="AG7789" s="185"/>
    </row>
    <row r="7790" spans="33:33" x14ac:dyDescent="0.25">
      <c r="AG7790" s="185"/>
    </row>
    <row r="7791" spans="33:33" x14ac:dyDescent="0.25">
      <c r="AG7791" s="185"/>
    </row>
    <row r="7792" spans="33:33" x14ac:dyDescent="0.25">
      <c r="AG7792" s="185"/>
    </row>
    <row r="7793" spans="33:33" x14ac:dyDescent="0.25">
      <c r="AG7793" s="185"/>
    </row>
    <row r="7794" spans="33:33" x14ac:dyDescent="0.25">
      <c r="AG7794" s="185"/>
    </row>
    <row r="7795" spans="33:33" x14ac:dyDescent="0.25">
      <c r="AG7795" s="185"/>
    </row>
    <row r="7796" spans="33:33" x14ac:dyDescent="0.25">
      <c r="AG7796" s="185"/>
    </row>
    <row r="7797" spans="33:33" x14ac:dyDescent="0.25">
      <c r="AG7797" s="185"/>
    </row>
    <row r="7798" spans="33:33" x14ac:dyDescent="0.25">
      <c r="AG7798" s="185"/>
    </row>
    <row r="7799" spans="33:33" x14ac:dyDescent="0.25">
      <c r="AG7799" s="185"/>
    </row>
    <row r="7800" spans="33:33" x14ac:dyDescent="0.25">
      <c r="AG7800" s="185"/>
    </row>
    <row r="7801" spans="33:33" x14ac:dyDescent="0.25">
      <c r="AG7801" s="185"/>
    </row>
    <row r="7802" spans="33:33" x14ac:dyDescent="0.25">
      <c r="AG7802" s="185"/>
    </row>
    <row r="7803" spans="33:33" x14ac:dyDescent="0.25">
      <c r="AG7803" s="185"/>
    </row>
    <row r="7804" spans="33:33" x14ac:dyDescent="0.25">
      <c r="AG7804" s="185"/>
    </row>
    <row r="7805" spans="33:33" x14ac:dyDescent="0.25">
      <c r="AG7805" s="185"/>
    </row>
    <row r="7806" spans="33:33" x14ac:dyDescent="0.25">
      <c r="AG7806" s="185"/>
    </row>
    <row r="7807" spans="33:33" x14ac:dyDescent="0.25">
      <c r="AG7807" s="185"/>
    </row>
    <row r="7808" spans="33:33" x14ac:dyDescent="0.25">
      <c r="AG7808" s="185"/>
    </row>
    <row r="7809" spans="33:33" x14ac:dyDescent="0.25">
      <c r="AG7809" s="185"/>
    </row>
    <row r="7810" spans="33:33" x14ac:dyDescent="0.25">
      <c r="AG7810" s="185"/>
    </row>
    <row r="7811" spans="33:33" x14ac:dyDescent="0.25">
      <c r="AG7811" s="185"/>
    </row>
    <row r="7812" spans="33:33" x14ac:dyDescent="0.25">
      <c r="AG7812" s="185"/>
    </row>
    <row r="7813" spans="33:33" x14ac:dyDescent="0.25">
      <c r="AG7813" s="185"/>
    </row>
    <row r="7814" spans="33:33" x14ac:dyDescent="0.25">
      <c r="AG7814" s="185"/>
    </row>
    <row r="7815" spans="33:33" x14ac:dyDescent="0.25">
      <c r="AG7815" s="185"/>
    </row>
    <row r="7816" spans="33:33" x14ac:dyDescent="0.25">
      <c r="AG7816" s="185"/>
    </row>
    <row r="7817" spans="33:33" x14ac:dyDescent="0.25">
      <c r="AG7817" s="185"/>
    </row>
    <row r="7818" spans="33:33" x14ac:dyDescent="0.25">
      <c r="AG7818" s="185"/>
    </row>
    <row r="7819" spans="33:33" x14ac:dyDescent="0.25">
      <c r="AG7819" s="185"/>
    </row>
    <row r="7820" spans="33:33" x14ac:dyDescent="0.25">
      <c r="AG7820" s="185"/>
    </row>
    <row r="7821" spans="33:33" x14ac:dyDescent="0.25">
      <c r="AG7821" s="185"/>
    </row>
    <row r="7822" spans="33:33" x14ac:dyDescent="0.25">
      <c r="AG7822" s="185"/>
    </row>
    <row r="7823" spans="33:33" x14ac:dyDescent="0.25">
      <c r="AG7823" s="185"/>
    </row>
    <row r="7824" spans="33:33" x14ac:dyDescent="0.25">
      <c r="AG7824" s="185"/>
    </row>
    <row r="7825" spans="33:33" x14ac:dyDescent="0.25">
      <c r="AG7825" s="185"/>
    </row>
    <row r="7826" spans="33:33" x14ac:dyDescent="0.25">
      <c r="AG7826" s="185"/>
    </row>
    <row r="7827" spans="33:33" x14ac:dyDescent="0.25">
      <c r="AG7827" s="185"/>
    </row>
    <row r="7828" spans="33:33" x14ac:dyDescent="0.25">
      <c r="AG7828" s="185"/>
    </row>
    <row r="7829" spans="33:33" x14ac:dyDescent="0.25">
      <c r="AG7829" s="185"/>
    </row>
    <row r="7830" spans="33:33" x14ac:dyDescent="0.25">
      <c r="AG7830" s="185"/>
    </row>
    <row r="7831" spans="33:33" x14ac:dyDescent="0.25">
      <c r="AG7831" s="185"/>
    </row>
    <row r="7832" spans="33:33" x14ac:dyDescent="0.25">
      <c r="AG7832" s="185"/>
    </row>
    <row r="7833" spans="33:33" x14ac:dyDescent="0.25">
      <c r="AG7833" s="185"/>
    </row>
    <row r="7834" spans="33:33" x14ac:dyDescent="0.25">
      <c r="AG7834" s="185"/>
    </row>
    <row r="7835" spans="33:33" x14ac:dyDescent="0.25">
      <c r="AG7835" s="185"/>
    </row>
    <row r="7836" spans="33:33" x14ac:dyDescent="0.25">
      <c r="AG7836" s="185"/>
    </row>
    <row r="7837" spans="33:33" x14ac:dyDescent="0.25">
      <c r="AG7837" s="185"/>
    </row>
    <row r="7838" spans="33:33" x14ac:dyDescent="0.25">
      <c r="AG7838" s="185"/>
    </row>
    <row r="7839" spans="33:33" x14ac:dyDescent="0.25">
      <c r="AG7839" s="185"/>
    </row>
    <row r="7840" spans="33:33" x14ac:dyDescent="0.25">
      <c r="AG7840" s="185"/>
    </row>
    <row r="7841" spans="33:33" x14ac:dyDescent="0.25">
      <c r="AG7841" s="185"/>
    </row>
    <row r="7842" spans="33:33" x14ac:dyDescent="0.25">
      <c r="AG7842" s="185"/>
    </row>
    <row r="7843" spans="33:33" x14ac:dyDescent="0.25">
      <c r="AG7843" s="185"/>
    </row>
    <row r="7844" spans="33:33" x14ac:dyDescent="0.25">
      <c r="AG7844" s="185"/>
    </row>
    <row r="7845" spans="33:33" x14ac:dyDescent="0.25">
      <c r="AG7845" s="185"/>
    </row>
    <row r="7846" spans="33:33" x14ac:dyDescent="0.25">
      <c r="AG7846" s="185"/>
    </row>
    <row r="7847" spans="33:33" x14ac:dyDescent="0.25">
      <c r="AG7847" s="185"/>
    </row>
    <row r="7848" spans="33:33" x14ac:dyDescent="0.25">
      <c r="AG7848" s="185"/>
    </row>
    <row r="7849" spans="33:33" x14ac:dyDescent="0.25">
      <c r="AG7849" s="185"/>
    </row>
    <row r="7850" spans="33:33" x14ac:dyDescent="0.25">
      <c r="AG7850" s="185"/>
    </row>
    <row r="7851" spans="33:33" x14ac:dyDescent="0.25">
      <c r="AG7851" s="185"/>
    </row>
    <row r="7852" spans="33:33" x14ac:dyDescent="0.25">
      <c r="AG7852" s="185"/>
    </row>
    <row r="7853" spans="33:33" x14ac:dyDescent="0.25">
      <c r="AG7853" s="185"/>
    </row>
    <row r="7854" spans="33:33" x14ac:dyDescent="0.25">
      <c r="AG7854" s="185"/>
    </row>
    <row r="7855" spans="33:33" x14ac:dyDescent="0.25">
      <c r="AG7855" s="185"/>
    </row>
    <row r="7856" spans="33:33" x14ac:dyDescent="0.25">
      <c r="AG7856" s="185"/>
    </row>
    <row r="7857" spans="33:33" x14ac:dyDescent="0.25">
      <c r="AG7857" s="185"/>
    </row>
    <row r="7858" spans="33:33" x14ac:dyDescent="0.25">
      <c r="AG7858" s="185"/>
    </row>
    <row r="7859" spans="33:33" x14ac:dyDescent="0.25">
      <c r="AG7859" s="185"/>
    </row>
    <row r="7860" spans="33:33" x14ac:dyDescent="0.25">
      <c r="AG7860" s="185"/>
    </row>
    <row r="7861" spans="33:33" x14ac:dyDescent="0.25">
      <c r="AG7861" s="185"/>
    </row>
    <row r="7862" spans="33:33" x14ac:dyDescent="0.25">
      <c r="AG7862" s="185"/>
    </row>
    <row r="7863" spans="33:33" x14ac:dyDescent="0.25">
      <c r="AG7863" s="185"/>
    </row>
    <row r="7864" spans="33:33" x14ac:dyDescent="0.25">
      <c r="AG7864" s="185"/>
    </row>
    <row r="7865" spans="33:33" x14ac:dyDescent="0.25">
      <c r="AG7865" s="185"/>
    </row>
    <row r="7866" spans="33:33" x14ac:dyDescent="0.25">
      <c r="AG7866" s="185"/>
    </row>
    <row r="7867" spans="33:33" x14ac:dyDescent="0.25">
      <c r="AG7867" s="185"/>
    </row>
    <row r="7868" spans="33:33" x14ac:dyDescent="0.25">
      <c r="AG7868" s="185"/>
    </row>
    <row r="7869" spans="33:33" x14ac:dyDescent="0.25">
      <c r="AG7869" s="185"/>
    </row>
    <row r="7870" spans="33:33" x14ac:dyDescent="0.25">
      <c r="AG7870" s="185"/>
    </row>
    <row r="7871" spans="33:33" x14ac:dyDescent="0.25">
      <c r="AG7871" s="185"/>
    </row>
    <row r="7872" spans="33:33" x14ac:dyDescent="0.25">
      <c r="AG7872" s="185"/>
    </row>
    <row r="7873" spans="33:33" x14ac:dyDescent="0.25">
      <c r="AG7873" s="185"/>
    </row>
    <row r="7874" spans="33:33" x14ac:dyDescent="0.25">
      <c r="AG7874" s="185"/>
    </row>
    <row r="7875" spans="33:33" x14ac:dyDescent="0.25">
      <c r="AG7875" s="185"/>
    </row>
    <row r="7876" spans="33:33" x14ac:dyDescent="0.25">
      <c r="AG7876" s="185"/>
    </row>
    <row r="7877" spans="33:33" x14ac:dyDescent="0.25">
      <c r="AG7877" s="185"/>
    </row>
    <row r="7878" spans="33:33" x14ac:dyDescent="0.25">
      <c r="AG7878" s="185"/>
    </row>
    <row r="7879" spans="33:33" x14ac:dyDescent="0.25">
      <c r="AG7879" s="185"/>
    </row>
    <row r="7880" spans="33:33" x14ac:dyDescent="0.25">
      <c r="AG7880" s="185"/>
    </row>
    <row r="7881" spans="33:33" x14ac:dyDescent="0.25">
      <c r="AG7881" s="185"/>
    </row>
    <row r="7882" spans="33:33" x14ac:dyDescent="0.25">
      <c r="AG7882" s="185"/>
    </row>
    <row r="7883" spans="33:33" x14ac:dyDescent="0.25">
      <c r="AG7883" s="185"/>
    </row>
    <row r="7884" spans="33:33" x14ac:dyDescent="0.25">
      <c r="AG7884" s="185"/>
    </row>
    <row r="7885" spans="33:33" x14ac:dyDescent="0.25">
      <c r="AG7885" s="185"/>
    </row>
    <row r="7886" spans="33:33" x14ac:dyDescent="0.25">
      <c r="AG7886" s="185"/>
    </row>
    <row r="7887" spans="33:33" x14ac:dyDescent="0.25">
      <c r="AG7887" s="185"/>
    </row>
    <row r="7888" spans="33:33" x14ac:dyDescent="0.25">
      <c r="AG7888" s="185"/>
    </row>
    <row r="7889" spans="33:33" x14ac:dyDescent="0.25">
      <c r="AG7889" s="185"/>
    </row>
    <row r="7890" spans="33:33" x14ac:dyDescent="0.25">
      <c r="AG7890" s="185"/>
    </row>
    <row r="7891" spans="33:33" x14ac:dyDescent="0.25">
      <c r="AG7891" s="185"/>
    </row>
    <row r="7892" spans="33:33" x14ac:dyDescent="0.25">
      <c r="AG7892" s="185"/>
    </row>
    <row r="7893" spans="33:33" x14ac:dyDescent="0.25">
      <c r="AG7893" s="185"/>
    </row>
    <row r="7894" spans="33:33" x14ac:dyDescent="0.25">
      <c r="AG7894" s="185"/>
    </row>
    <row r="7895" spans="33:33" x14ac:dyDescent="0.25">
      <c r="AG7895" s="185"/>
    </row>
    <row r="7896" spans="33:33" x14ac:dyDescent="0.25">
      <c r="AG7896" s="185"/>
    </row>
    <row r="7897" spans="33:33" x14ac:dyDescent="0.25">
      <c r="AG7897" s="185"/>
    </row>
    <row r="7898" spans="33:33" x14ac:dyDescent="0.25">
      <c r="AG7898" s="185"/>
    </row>
    <row r="7899" spans="33:33" x14ac:dyDescent="0.25">
      <c r="AG7899" s="185"/>
    </row>
    <row r="7900" spans="33:33" x14ac:dyDescent="0.25">
      <c r="AG7900" s="185"/>
    </row>
    <row r="7901" spans="33:33" x14ac:dyDescent="0.25">
      <c r="AG7901" s="185"/>
    </row>
    <row r="7902" spans="33:33" x14ac:dyDescent="0.25">
      <c r="AG7902" s="185"/>
    </row>
    <row r="7903" spans="33:33" x14ac:dyDescent="0.25">
      <c r="AG7903" s="185"/>
    </row>
    <row r="7904" spans="33:33" x14ac:dyDescent="0.25">
      <c r="AG7904" s="185"/>
    </row>
    <row r="7905" spans="33:33" x14ac:dyDescent="0.25">
      <c r="AG7905" s="185"/>
    </row>
    <row r="7906" spans="33:33" x14ac:dyDescent="0.25">
      <c r="AG7906" s="185"/>
    </row>
    <row r="7907" spans="33:33" x14ac:dyDescent="0.25">
      <c r="AG7907" s="185"/>
    </row>
    <row r="7908" spans="33:33" x14ac:dyDescent="0.25">
      <c r="AG7908" s="185"/>
    </row>
    <row r="7909" spans="33:33" x14ac:dyDescent="0.25">
      <c r="AG7909" s="185"/>
    </row>
    <row r="7910" spans="33:33" x14ac:dyDescent="0.25">
      <c r="AG7910" s="185"/>
    </row>
    <row r="7911" spans="33:33" x14ac:dyDescent="0.25">
      <c r="AG7911" s="185"/>
    </row>
    <row r="7912" spans="33:33" x14ac:dyDescent="0.25">
      <c r="AG7912" s="185"/>
    </row>
    <row r="7913" spans="33:33" x14ac:dyDescent="0.25">
      <c r="AG7913" s="185"/>
    </row>
    <row r="7914" spans="33:33" x14ac:dyDescent="0.25">
      <c r="AG7914" s="185"/>
    </row>
    <row r="7915" spans="33:33" x14ac:dyDescent="0.25">
      <c r="AG7915" s="185"/>
    </row>
    <row r="7916" spans="33:33" x14ac:dyDescent="0.25">
      <c r="AG7916" s="185"/>
    </row>
    <row r="7917" spans="33:33" x14ac:dyDescent="0.25">
      <c r="AG7917" s="185"/>
    </row>
    <row r="7918" spans="33:33" x14ac:dyDescent="0.25">
      <c r="AG7918" s="185"/>
    </row>
    <row r="7919" spans="33:33" x14ac:dyDescent="0.25">
      <c r="AG7919" s="185"/>
    </row>
    <row r="7920" spans="33:33" x14ac:dyDescent="0.25">
      <c r="AG7920" s="185"/>
    </row>
    <row r="7921" spans="33:33" x14ac:dyDescent="0.25">
      <c r="AG7921" s="185"/>
    </row>
    <row r="7922" spans="33:33" x14ac:dyDescent="0.25">
      <c r="AG7922" s="185"/>
    </row>
    <row r="7923" spans="33:33" x14ac:dyDescent="0.25">
      <c r="AG7923" s="185"/>
    </row>
    <row r="7924" spans="33:33" x14ac:dyDescent="0.25">
      <c r="AG7924" s="185"/>
    </row>
    <row r="7925" spans="33:33" x14ac:dyDescent="0.25">
      <c r="AG7925" s="185"/>
    </row>
    <row r="7926" spans="33:33" x14ac:dyDescent="0.25">
      <c r="AG7926" s="185"/>
    </row>
    <row r="7927" spans="33:33" x14ac:dyDescent="0.25">
      <c r="AG7927" s="185"/>
    </row>
    <row r="7928" spans="33:33" x14ac:dyDescent="0.25">
      <c r="AG7928" s="185"/>
    </row>
    <row r="7929" spans="33:33" x14ac:dyDescent="0.25">
      <c r="AG7929" s="185"/>
    </row>
    <row r="7930" spans="33:33" x14ac:dyDescent="0.25">
      <c r="AG7930" s="185"/>
    </row>
    <row r="7931" spans="33:33" x14ac:dyDescent="0.25">
      <c r="AG7931" s="185"/>
    </row>
    <row r="7932" spans="33:33" x14ac:dyDescent="0.25">
      <c r="AG7932" s="185"/>
    </row>
    <row r="7933" spans="33:33" x14ac:dyDescent="0.25">
      <c r="AG7933" s="185"/>
    </row>
    <row r="7934" spans="33:33" x14ac:dyDescent="0.25">
      <c r="AG7934" s="185"/>
    </row>
    <row r="7935" spans="33:33" x14ac:dyDescent="0.25">
      <c r="AG7935" s="185"/>
    </row>
    <row r="7936" spans="33:33" x14ac:dyDescent="0.25">
      <c r="AG7936" s="185"/>
    </row>
    <row r="7937" spans="33:33" x14ac:dyDescent="0.25">
      <c r="AG7937" s="185"/>
    </row>
    <row r="7938" spans="33:33" x14ac:dyDescent="0.25">
      <c r="AG7938" s="185"/>
    </row>
    <row r="7939" spans="33:33" x14ac:dyDescent="0.25">
      <c r="AG7939" s="185"/>
    </row>
    <row r="7940" spans="33:33" x14ac:dyDescent="0.25">
      <c r="AG7940" s="185"/>
    </row>
    <row r="7941" spans="33:33" x14ac:dyDescent="0.25">
      <c r="AG7941" s="185"/>
    </row>
    <row r="7942" spans="33:33" x14ac:dyDescent="0.25">
      <c r="AG7942" s="185"/>
    </row>
    <row r="7943" spans="33:33" x14ac:dyDescent="0.25">
      <c r="AG7943" s="185"/>
    </row>
    <row r="7944" spans="33:33" x14ac:dyDescent="0.25">
      <c r="AG7944" s="185"/>
    </row>
    <row r="7945" spans="33:33" x14ac:dyDescent="0.25">
      <c r="AG7945" s="185"/>
    </row>
    <row r="7946" spans="33:33" x14ac:dyDescent="0.25">
      <c r="AG7946" s="185"/>
    </row>
    <row r="7947" spans="33:33" x14ac:dyDescent="0.25">
      <c r="AG7947" s="185"/>
    </row>
    <row r="7948" spans="33:33" x14ac:dyDescent="0.25">
      <c r="AG7948" s="185"/>
    </row>
    <row r="7949" spans="33:33" x14ac:dyDescent="0.25">
      <c r="AG7949" s="185"/>
    </row>
    <row r="7950" spans="33:33" x14ac:dyDescent="0.25">
      <c r="AG7950" s="185"/>
    </row>
    <row r="7951" spans="33:33" x14ac:dyDescent="0.25">
      <c r="AG7951" s="185"/>
    </row>
    <row r="7952" spans="33:33" x14ac:dyDescent="0.25">
      <c r="AG7952" s="185"/>
    </row>
    <row r="7953" spans="33:33" x14ac:dyDescent="0.25">
      <c r="AG7953" s="185"/>
    </row>
    <row r="7954" spans="33:33" x14ac:dyDescent="0.25">
      <c r="AG7954" s="185"/>
    </row>
    <row r="7955" spans="33:33" x14ac:dyDescent="0.25">
      <c r="AG7955" s="185"/>
    </row>
    <row r="7956" spans="33:33" x14ac:dyDescent="0.25">
      <c r="AG7956" s="185"/>
    </row>
    <row r="7957" spans="33:33" x14ac:dyDescent="0.25">
      <c r="AG7957" s="185"/>
    </row>
    <row r="7958" spans="33:33" x14ac:dyDescent="0.25">
      <c r="AG7958" s="185"/>
    </row>
    <row r="7959" spans="33:33" x14ac:dyDescent="0.25">
      <c r="AG7959" s="185"/>
    </row>
    <row r="7960" spans="33:33" x14ac:dyDescent="0.25">
      <c r="AG7960" s="185"/>
    </row>
    <row r="7961" spans="33:33" x14ac:dyDescent="0.25">
      <c r="AG7961" s="185"/>
    </row>
    <row r="7962" spans="33:33" x14ac:dyDescent="0.25">
      <c r="AG7962" s="185"/>
    </row>
    <row r="7963" spans="33:33" x14ac:dyDescent="0.25">
      <c r="AG7963" s="185"/>
    </row>
    <row r="7964" spans="33:33" x14ac:dyDescent="0.25">
      <c r="AG7964" s="185"/>
    </row>
    <row r="7965" spans="33:33" x14ac:dyDescent="0.25">
      <c r="AG7965" s="185"/>
    </row>
    <row r="7966" spans="33:33" x14ac:dyDescent="0.25">
      <c r="AG7966" s="185"/>
    </row>
    <row r="7967" spans="33:33" x14ac:dyDescent="0.25">
      <c r="AG7967" s="185"/>
    </row>
    <row r="7968" spans="33:33" x14ac:dyDescent="0.25">
      <c r="AG7968" s="185"/>
    </row>
    <row r="7969" spans="33:33" x14ac:dyDescent="0.25">
      <c r="AG7969" s="185"/>
    </row>
    <row r="7970" spans="33:33" x14ac:dyDescent="0.25">
      <c r="AG7970" s="185"/>
    </row>
    <row r="7971" spans="33:33" x14ac:dyDescent="0.25">
      <c r="AG7971" s="185"/>
    </row>
    <row r="7972" spans="33:33" x14ac:dyDescent="0.25">
      <c r="AG7972" s="185"/>
    </row>
    <row r="7973" spans="33:33" x14ac:dyDescent="0.25">
      <c r="AG7973" s="185"/>
    </row>
    <row r="7974" spans="33:33" x14ac:dyDescent="0.25">
      <c r="AG7974" s="185"/>
    </row>
    <row r="7975" spans="33:33" x14ac:dyDescent="0.25">
      <c r="AG7975" s="185"/>
    </row>
    <row r="7976" spans="33:33" x14ac:dyDescent="0.25">
      <c r="AG7976" s="185"/>
    </row>
    <row r="7977" spans="33:33" x14ac:dyDescent="0.25">
      <c r="AG7977" s="185"/>
    </row>
    <row r="7978" spans="33:33" x14ac:dyDescent="0.25">
      <c r="AG7978" s="185"/>
    </row>
    <row r="7979" spans="33:33" x14ac:dyDescent="0.25">
      <c r="AG7979" s="185"/>
    </row>
    <row r="7980" spans="33:33" x14ac:dyDescent="0.25">
      <c r="AG7980" s="185"/>
    </row>
    <row r="7981" spans="33:33" x14ac:dyDescent="0.25">
      <c r="AG7981" s="185"/>
    </row>
    <row r="7982" spans="33:33" x14ac:dyDescent="0.25">
      <c r="AG7982" s="185"/>
    </row>
    <row r="7983" spans="33:33" x14ac:dyDescent="0.25">
      <c r="AG7983" s="185"/>
    </row>
    <row r="7984" spans="33:33" x14ac:dyDescent="0.25">
      <c r="AG7984" s="185"/>
    </row>
    <row r="7985" spans="33:33" x14ac:dyDescent="0.25">
      <c r="AG7985" s="185"/>
    </row>
    <row r="7986" spans="33:33" x14ac:dyDescent="0.25">
      <c r="AG7986" s="185"/>
    </row>
    <row r="7987" spans="33:33" x14ac:dyDescent="0.25">
      <c r="AG7987" s="185"/>
    </row>
    <row r="7988" spans="33:33" x14ac:dyDescent="0.25">
      <c r="AG7988" s="185"/>
    </row>
    <row r="7989" spans="33:33" x14ac:dyDescent="0.25">
      <c r="AG7989" s="185"/>
    </row>
    <row r="7990" spans="33:33" x14ac:dyDescent="0.25">
      <c r="AG7990" s="185"/>
    </row>
    <row r="7991" spans="33:33" x14ac:dyDescent="0.25">
      <c r="AG7991" s="185"/>
    </row>
    <row r="7992" spans="33:33" x14ac:dyDescent="0.25">
      <c r="AG7992" s="185"/>
    </row>
    <row r="7993" spans="33:33" x14ac:dyDescent="0.25">
      <c r="AG7993" s="185"/>
    </row>
    <row r="7994" spans="33:33" x14ac:dyDescent="0.25">
      <c r="AG7994" s="185"/>
    </row>
    <row r="7995" spans="33:33" x14ac:dyDescent="0.25">
      <c r="AG7995" s="185"/>
    </row>
    <row r="7996" spans="33:33" x14ac:dyDescent="0.25">
      <c r="AG7996" s="185"/>
    </row>
    <row r="7997" spans="33:33" x14ac:dyDescent="0.25">
      <c r="AG7997" s="185"/>
    </row>
    <row r="7998" spans="33:33" x14ac:dyDescent="0.25">
      <c r="AG7998" s="185"/>
    </row>
    <row r="7999" spans="33:33" x14ac:dyDescent="0.25">
      <c r="AG7999" s="185"/>
    </row>
    <row r="8000" spans="33:33" x14ac:dyDescent="0.25">
      <c r="AG8000" s="185"/>
    </row>
    <row r="8001" spans="33:33" x14ac:dyDescent="0.25">
      <c r="AG8001" s="185"/>
    </row>
    <row r="8002" spans="33:33" x14ac:dyDescent="0.25">
      <c r="AG8002" s="185"/>
    </row>
    <row r="8003" spans="33:33" x14ac:dyDescent="0.25">
      <c r="AG8003" s="185"/>
    </row>
    <row r="8004" spans="33:33" x14ac:dyDescent="0.25">
      <c r="AG8004" s="185"/>
    </row>
    <row r="8005" spans="33:33" x14ac:dyDescent="0.25">
      <c r="AG8005" s="185"/>
    </row>
    <row r="8006" spans="33:33" x14ac:dyDescent="0.25">
      <c r="AG8006" s="185"/>
    </row>
    <row r="8007" spans="33:33" x14ac:dyDescent="0.25">
      <c r="AG8007" s="185"/>
    </row>
    <row r="8008" spans="33:33" x14ac:dyDescent="0.25">
      <c r="AG8008" s="185"/>
    </row>
    <row r="8009" spans="33:33" x14ac:dyDescent="0.25">
      <c r="AG8009" s="185"/>
    </row>
    <row r="8010" spans="33:33" x14ac:dyDescent="0.25">
      <c r="AG8010" s="185"/>
    </row>
    <row r="8011" spans="33:33" x14ac:dyDescent="0.25">
      <c r="AG8011" s="185"/>
    </row>
    <row r="8012" spans="33:33" x14ac:dyDescent="0.25">
      <c r="AG8012" s="185"/>
    </row>
    <row r="8013" spans="33:33" x14ac:dyDescent="0.25">
      <c r="AG8013" s="185"/>
    </row>
    <row r="8014" spans="33:33" x14ac:dyDescent="0.25">
      <c r="AG8014" s="185"/>
    </row>
    <row r="8015" spans="33:33" x14ac:dyDescent="0.25">
      <c r="AG8015" s="185"/>
    </row>
    <row r="8016" spans="33:33" x14ac:dyDescent="0.25">
      <c r="AG8016" s="185"/>
    </row>
    <row r="8017" spans="33:33" x14ac:dyDescent="0.25">
      <c r="AG8017" s="185"/>
    </row>
    <row r="8018" spans="33:33" x14ac:dyDescent="0.25">
      <c r="AG8018" s="185"/>
    </row>
    <row r="8019" spans="33:33" x14ac:dyDescent="0.25">
      <c r="AG8019" s="185"/>
    </row>
    <row r="8020" spans="33:33" x14ac:dyDescent="0.25">
      <c r="AG8020" s="185"/>
    </row>
    <row r="8021" spans="33:33" x14ac:dyDescent="0.25">
      <c r="AG8021" s="185"/>
    </row>
    <row r="8022" spans="33:33" x14ac:dyDescent="0.25">
      <c r="AG8022" s="185"/>
    </row>
    <row r="8023" spans="33:33" x14ac:dyDescent="0.25">
      <c r="AG8023" s="185"/>
    </row>
    <row r="8024" spans="33:33" x14ac:dyDescent="0.25">
      <c r="AG8024" s="185"/>
    </row>
    <row r="8025" spans="33:33" x14ac:dyDescent="0.25">
      <c r="AG8025" s="185"/>
    </row>
    <row r="8026" spans="33:33" x14ac:dyDescent="0.25">
      <c r="AG8026" s="185"/>
    </row>
    <row r="8027" spans="33:33" x14ac:dyDescent="0.25">
      <c r="AG8027" s="185"/>
    </row>
    <row r="8028" spans="33:33" x14ac:dyDescent="0.25">
      <c r="AG8028" s="185"/>
    </row>
    <row r="8029" spans="33:33" x14ac:dyDescent="0.25">
      <c r="AG8029" s="185"/>
    </row>
    <row r="8030" spans="33:33" x14ac:dyDescent="0.25">
      <c r="AG8030" s="185"/>
    </row>
    <row r="8031" spans="33:33" x14ac:dyDescent="0.25">
      <c r="AG8031" s="185"/>
    </row>
    <row r="8032" spans="33:33" x14ac:dyDescent="0.25">
      <c r="AG8032" s="185"/>
    </row>
    <row r="8033" spans="33:33" x14ac:dyDescent="0.25">
      <c r="AG8033" s="185"/>
    </row>
    <row r="8034" spans="33:33" x14ac:dyDescent="0.25">
      <c r="AG8034" s="185"/>
    </row>
    <row r="8035" spans="33:33" x14ac:dyDescent="0.25">
      <c r="AG8035" s="185"/>
    </row>
    <row r="8036" spans="33:33" x14ac:dyDescent="0.25">
      <c r="AG8036" s="185"/>
    </row>
    <row r="8037" spans="33:33" x14ac:dyDescent="0.25">
      <c r="AG8037" s="185"/>
    </row>
    <row r="8038" spans="33:33" x14ac:dyDescent="0.25">
      <c r="AG8038" s="185"/>
    </row>
    <row r="8039" spans="33:33" x14ac:dyDescent="0.25">
      <c r="AG8039" s="185"/>
    </row>
    <row r="8040" spans="33:33" x14ac:dyDescent="0.25">
      <c r="AG8040" s="185"/>
    </row>
    <row r="8041" spans="33:33" x14ac:dyDescent="0.25">
      <c r="AG8041" s="185"/>
    </row>
    <row r="8042" spans="33:33" x14ac:dyDescent="0.25">
      <c r="AG8042" s="185"/>
    </row>
    <row r="8043" spans="33:33" x14ac:dyDescent="0.25">
      <c r="AG8043" s="185"/>
    </row>
    <row r="8044" spans="33:33" x14ac:dyDescent="0.25">
      <c r="AG8044" s="185"/>
    </row>
    <row r="8045" spans="33:33" x14ac:dyDescent="0.25">
      <c r="AG8045" s="185"/>
    </row>
    <row r="8046" spans="33:33" x14ac:dyDescent="0.25">
      <c r="AG8046" s="185"/>
    </row>
    <row r="8047" spans="33:33" x14ac:dyDescent="0.25">
      <c r="AG8047" s="185"/>
    </row>
    <row r="8048" spans="33:33" x14ac:dyDescent="0.25">
      <c r="AG8048" s="185"/>
    </row>
    <row r="8049" spans="33:33" x14ac:dyDescent="0.25">
      <c r="AG8049" s="185"/>
    </row>
    <row r="8050" spans="33:33" x14ac:dyDescent="0.25">
      <c r="AG8050" s="185"/>
    </row>
    <row r="8051" spans="33:33" x14ac:dyDescent="0.25">
      <c r="AG8051" s="185"/>
    </row>
    <row r="8052" spans="33:33" x14ac:dyDescent="0.25">
      <c r="AG8052" s="185"/>
    </row>
    <row r="8053" spans="33:33" x14ac:dyDescent="0.25">
      <c r="AG8053" s="185"/>
    </row>
    <row r="8054" spans="33:33" x14ac:dyDescent="0.25">
      <c r="AG8054" s="185"/>
    </row>
    <row r="8055" spans="33:33" x14ac:dyDescent="0.25">
      <c r="AG8055" s="185"/>
    </row>
    <row r="8056" spans="33:33" x14ac:dyDescent="0.25">
      <c r="AG8056" s="185"/>
    </row>
    <row r="8057" spans="33:33" x14ac:dyDescent="0.25">
      <c r="AG8057" s="185"/>
    </row>
    <row r="8058" spans="33:33" x14ac:dyDescent="0.25">
      <c r="AG8058" s="185"/>
    </row>
    <row r="8059" spans="33:33" x14ac:dyDescent="0.25">
      <c r="AG8059" s="185"/>
    </row>
    <row r="8060" spans="33:33" x14ac:dyDescent="0.25">
      <c r="AG8060" s="185"/>
    </row>
    <row r="8061" spans="33:33" x14ac:dyDescent="0.25">
      <c r="AG8061" s="185"/>
    </row>
    <row r="8062" spans="33:33" x14ac:dyDescent="0.25">
      <c r="AG8062" s="185"/>
    </row>
    <row r="8063" spans="33:33" x14ac:dyDescent="0.25">
      <c r="AG8063" s="185"/>
    </row>
    <row r="8064" spans="33:33" x14ac:dyDescent="0.25">
      <c r="AG8064" s="185"/>
    </row>
    <row r="8065" spans="33:33" x14ac:dyDescent="0.25">
      <c r="AG8065" s="185"/>
    </row>
    <row r="8066" spans="33:33" x14ac:dyDescent="0.25">
      <c r="AG8066" s="185"/>
    </row>
    <row r="8067" spans="33:33" x14ac:dyDescent="0.25">
      <c r="AG8067" s="185"/>
    </row>
    <row r="8068" spans="33:33" x14ac:dyDescent="0.25">
      <c r="AG8068" s="185"/>
    </row>
    <row r="8069" spans="33:33" x14ac:dyDescent="0.25">
      <c r="AG8069" s="185"/>
    </row>
    <row r="8070" spans="33:33" x14ac:dyDescent="0.25">
      <c r="AG8070" s="185"/>
    </row>
    <row r="8071" spans="33:33" x14ac:dyDescent="0.25">
      <c r="AG8071" s="185"/>
    </row>
    <row r="8072" spans="33:33" x14ac:dyDescent="0.25">
      <c r="AG8072" s="185"/>
    </row>
    <row r="8073" spans="33:33" x14ac:dyDescent="0.25">
      <c r="AG8073" s="185"/>
    </row>
    <row r="8074" spans="33:33" x14ac:dyDescent="0.25">
      <c r="AG8074" s="185"/>
    </row>
    <row r="8075" spans="33:33" x14ac:dyDescent="0.25">
      <c r="AG8075" s="185"/>
    </row>
    <row r="8076" spans="33:33" x14ac:dyDescent="0.25">
      <c r="AG8076" s="185"/>
    </row>
    <row r="8077" spans="33:33" x14ac:dyDescent="0.25">
      <c r="AG8077" s="185"/>
    </row>
    <row r="8078" spans="33:33" x14ac:dyDescent="0.25">
      <c r="AG8078" s="185"/>
    </row>
    <row r="8079" spans="33:33" x14ac:dyDescent="0.25">
      <c r="AG8079" s="185"/>
    </row>
    <row r="8080" spans="33:33" x14ac:dyDescent="0.25">
      <c r="AG8080" s="185"/>
    </row>
    <row r="8081" spans="33:33" x14ac:dyDescent="0.25">
      <c r="AG8081" s="185"/>
    </row>
    <row r="8082" spans="33:33" x14ac:dyDescent="0.25">
      <c r="AG8082" s="185"/>
    </row>
    <row r="8083" spans="33:33" x14ac:dyDescent="0.25">
      <c r="AG8083" s="185"/>
    </row>
    <row r="8084" spans="33:33" x14ac:dyDescent="0.25">
      <c r="AG8084" s="185"/>
    </row>
    <row r="8085" spans="33:33" x14ac:dyDescent="0.25">
      <c r="AG8085" s="185"/>
    </row>
    <row r="8086" spans="33:33" x14ac:dyDescent="0.25">
      <c r="AG8086" s="185"/>
    </row>
    <row r="8087" spans="33:33" x14ac:dyDescent="0.25">
      <c r="AG8087" s="185"/>
    </row>
    <row r="8088" spans="33:33" x14ac:dyDescent="0.25">
      <c r="AG8088" s="185"/>
    </row>
    <row r="8089" spans="33:33" x14ac:dyDescent="0.25">
      <c r="AG8089" s="185"/>
    </row>
    <row r="8090" spans="33:33" x14ac:dyDescent="0.25">
      <c r="AG8090" s="185"/>
    </row>
    <row r="8091" spans="33:33" x14ac:dyDescent="0.25">
      <c r="AG8091" s="185"/>
    </row>
    <row r="8092" spans="33:33" x14ac:dyDescent="0.25">
      <c r="AG8092" s="185"/>
    </row>
    <row r="8093" spans="33:33" x14ac:dyDescent="0.25">
      <c r="AG8093" s="185"/>
    </row>
    <row r="8094" spans="33:33" x14ac:dyDescent="0.25">
      <c r="AG8094" s="185"/>
    </row>
    <row r="8095" spans="33:33" x14ac:dyDescent="0.25">
      <c r="AG8095" s="185"/>
    </row>
    <row r="8096" spans="33:33" x14ac:dyDescent="0.25">
      <c r="AG8096" s="185"/>
    </row>
    <row r="8097" spans="33:33" x14ac:dyDescent="0.25">
      <c r="AG8097" s="185"/>
    </row>
    <row r="8098" spans="33:33" x14ac:dyDescent="0.25">
      <c r="AG8098" s="185"/>
    </row>
    <row r="8099" spans="33:33" x14ac:dyDescent="0.25">
      <c r="AG8099" s="185"/>
    </row>
    <row r="8100" spans="33:33" x14ac:dyDescent="0.25">
      <c r="AG8100" s="185"/>
    </row>
    <row r="8101" spans="33:33" x14ac:dyDescent="0.25">
      <c r="AG8101" s="185"/>
    </row>
    <row r="8102" spans="33:33" x14ac:dyDescent="0.25">
      <c r="AG8102" s="185"/>
    </row>
    <row r="8103" spans="33:33" x14ac:dyDescent="0.25">
      <c r="AG8103" s="185"/>
    </row>
    <row r="8104" spans="33:33" x14ac:dyDescent="0.25">
      <c r="AG8104" s="185"/>
    </row>
    <row r="8105" spans="33:33" x14ac:dyDescent="0.25">
      <c r="AG8105" s="185"/>
    </row>
    <row r="8106" spans="33:33" x14ac:dyDescent="0.25">
      <c r="AG8106" s="185"/>
    </row>
    <row r="8107" spans="33:33" x14ac:dyDescent="0.25">
      <c r="AG8107" s="185"/>
    </row>
    <row r="8108" spans="33:33" x14ac:dyDescent="0.25">
      <c r="AG8108" s="185"/>
    </row>
    <row r="8109" spans="33:33" x14ac:dyDescent="0.25">
      <c r="AG8109" s="185"/>
    </row>
    <row r="8110" spans="33:33" x14ac:dyDescent="0.25">
      <c r="AG8110" s="185"/>
    </row>
    <row r="8111" spans="33:33" x14ac:dyDescent="0.25">
      <c r="AG8111" s="185"/>
    </row>
    <row r="8112" spans="33:33" x14ac:dyDescent="0.25">
      <c r="AG8112" s="185"/>
    </row>
    <row r="8113" spans="33:33" x14ac:dyDescent="0.25">
      <c r="AG8113" s="185"/>
    </row>
    <row r="8114" spans="33:33" x14ac:dyDescent="0.25">
      <c r="AG8114" s="185"/>
    </row>
    <row r="8115" spans="33:33" x14ac:dyDescent="0.25">
      <c r="AG8115" s="185"/>
    </row>
    <row r="8116" spans="33:33" x14ac:dyDescent="0.25">
      <c r="AG8116" s="185"/>
    </row>
    <row r="8117" spans="33:33" x14ac:dyDescent="0.25">
      <c r="AG8117" s="185"/>
    </row>
    <row r="8118" spans="33:33" x14ac:dyDescent="0.25">
      <c r="AG8118" s="185"/>
    </row>
    <row r="8119" spans="33:33" x14ac:dyDescent="0.25">
      <c r="AG8119" s="185"/>
    </row>
    <row r="8120" spans="33:33" x14ac:dyDescent="0.25">
      <c r="AG8120" s="185"/>
    </row>
    <row r="8121" spans="33:33" x14ac:dyDescent="0.25">
      <c r="AG8121" s="185"/>
    </row>
    <row r="8122" spans="33:33" x14ac:dyDescent="0.25">
      <c r="AG8122" s="185"/>
    </row>
    <row r="8123" spans="33:33" x14ac:dyDescent="0.25">
      <c r="AG8123" s="185"/>
    </row>
    <row r="8124" spans="33:33" x14ac:dyDescent="0.25">
      <c r="AG8124" s="185"/>
    </row>
    <row r="8125" spans="33:33" x14ac:dyDescent="0.25">
      <c r="AG8125" s="185"/>
    </row>
    <row r="8126" spans="33:33" x14ac:dyDescent="0.25">
      <c r="AG8126" s="185"/>
    </row>
    <row r="8127" spans="33:33" x14ac:dyDescent="0.25">
      <c r="AG8127" s="185"/>
    </row>
    <row r="8128" spans="33:33" x14ac:dyDescent="0.25">
      <c r="AG8128" s="185"/>
    </row>
    <row r="8129" spans="33:33" x14ac:dyDescent="0.25">
      <c r="AG8129" s="185"/>
    </row>
    <row r="8130" spans="33:33" x14ac:dyDescent="0.25">
      <c r="AG8130" s="185"/>
    </row>
    <row r="8131" spans="33:33" x14ac:dyDescent="0.25">
      <c r="AG8131" s="185"/>
    </row>
    <row r="8132" spans="33:33" x14ac:dyDescent="0.25">
      <c r="AG8132" s="185"/>
    </row>
    <row r="8133" spans="33:33" x14ac:dyDescent="0.25">
      <c r="AG8133" s="185"/>
    </row>
    <row r="8134" spans="33:33" x14ac:dyDescent="0.25">
      <c r="AG8134" s="185"/>
    </row>
    <row r="8135" spans="33:33" x14ac:dyDescent="0.25">
      <c r="AG8135" s="185"/>
    </row>
    <row r="8136" spans="33:33" x14ac:dyDescent="0.25">
      <c r="AG8136" s="185"/>
    </row>
    <row r="8137" spans="33:33" x14ac:dyDescent="0.25">
      <c r="AG8137" s="185"/>
    </row>
    <row r="8138" spans="33:33" x14ac:dyDescent="0.25">
      <c r="AG8138" s="185"/>
    </row>
    <row r="8139" spans="33:33" x14ac:dyDescent="0.25">
      <c r="AG8139" s="185"/>
    </row>
    <row r="8140" spans="33:33" x14ac:dyDescent="0.25">
      <c r="AG8140" s="185"/>
    </row>
    <row r="8141" spans="33:33" x14ac:dyDescent="0.25">
      <c r="AG8141" s="185"/>
    </row>
    <row r="8142" spans="33:33" x14ac:dyDescent="0.25">
      <c r="AG8142" s="185"/>
    </row>
    <row r="8143" spans="33:33" x14ac:dyDescent="0.25">
      <c r="AG8143" s="185"/>
    </row>
    <row r="8144" spans="33:33" x14ac:dyDescent="0.25">
      <c r="AG8144" s="185"/>
    </row>
    <row r="8145" spans="33:33" x14ac:dyDescent="0.25">
      <c r="AG8145" s="185"/>
    </row>
    <row r="8146" spans="33:33" x14ac:dyDescent="0.25">
      <c r="AG8146" s="185"/>
    </row>
    <row r="8147" spans="33:33" x14ac:dyDescent="0.25">
      <c r="AG8147" s="185"/>
    </row>
    <row r="8148" spans="33:33" x14ac:dyDescent="0.25">
      <c r="AG8148" s="185"/>
    </row>
    <row r="8149" spans="33:33" x14ac:dyDescent="0.25">
      <c r="AG8149" s="185"/>
    </row>
    <row r="8150" spans="33:33" x14ac:dyDescent="0.25">
      <c r="AG8150" s="185"/>
    </row>
    <row r="8151" spans="33:33" x14ac:dyDescent="0.25">
      <c r="AG8151" s="185"/>
    </row>
    <row r="8152" spans="33:33" x14ac:dyDescent="0.25">
      <c r="AG8152" s="185"/>
    </row>
    <row r="8153" spans="33:33" x14ac:dyDescent="0.25">
      <c r="AG8153" s="185"/>
    </row>
    <row r="8154" spans="33:33" x14ac:dyDescent="0.25">
      <c r="AG8154" s="185"/>
    </row>
    <row r="8155" spans="33:33" x14ac:dyDescent="0.25">
      <c r="AG8155" s="185"/>
    </row>
    <row r="8156" spans="33:33" x14ac:dyDescent="0.25">
      <c r="AG8156" s="185"/>
    </row>
    <row r="8157" spans="33:33" x14ac:dyDescent="0.25">
      <c r="AG8157" s="185"/>
    </row>
    <row r="8158" spans="33:33" x14ac:dyDescent="0.25">
      <c r="AG8158" s="185"/>
    </row>
    <row r="8159" spans="33:33" x14ac:dyDescent="0.25">
      <c r="AG8159" s="185"/>
    </row>
    <row r="8160" spans="33:33" x14ac:dyDescent="0.25">
      <c r="AG8160" s="185"/>
    </row>
    <row r="8161" spans="33:33" x14ac:dyDescent="0.25">
      <c r="AG8161" s="185"/>
    </row>
    <row r="8162" spans="33:33" x14ac:dyDescent="0.25">
      <c r="AG8162" s="185"/>
    </row>
    <row r="8163" spans="33:33" x14ac:dyDescent="0.25">
      <c r="AG8163" s="185"/>
    </row>
    <row r="8164" spans="33:33" x14ac:dyDescent="0.25">
      <c r="AG8164" s="185"/>
    </row>
    <row r="8165" spans="33:33" x14ac:dyDescent="0.25">
      <c r="AG8165" s="185"/>
    </row>
    <row r="8166" spans="33:33" x14ac:dyDescent="0.25">
      <c r="AG8166" s="185"/>
    </row>
    <row r="8167" spans="33:33" x14ac:dyDescent="0.25">
      <c r="AG8167" s="185"/>
    </row>
    <row r="8168" spans="33:33" x14ac:dyDescent="0.25">
      <c r="AG8168" s="185"/>
    </row>
    <row r="8169" spans="33:33" x14ac:dyDescent="0.25">
      <c r="AG8169" s="185"/>
    </row>
    <row r="8170" spans="33:33" x14ac:dyDescent="0.25">
      <c r="AG8170" s="185"/>
    </row>
    <row r="8171" spans="33:33" x14ac:dyDescent="0.25">
      <c r="AG8171" s="185"/>
    </row>
    <row r="8172" spans="33:33" x14ac:dyDescent="0.25">
      <c r="AG8172" s="185"/>
    </row>
    <row r="8173" spans="33:33" x14ac:dyDescent="0.25">
      <c r="AG8173" s="185"/>
    </row>
    <row r="8174" spans="33:33" x14ac:dyDescent="0.25">
      <c r="AG8174" s="185"/>
    </row>
    <row r="8175" spans="33:33" x14ac:dyDescent="0.25">
      <c r="AG8175" s="185"/>
    </row>
    <row r="8176" spans="33:33" x14ac:dyDescent="0.25">
      <c r="AG8176" s="185"/>
    </row>
    <row r="8177" spans="33:33" x14ac:dyDescent="0.25">
      <c r="AG8177" s="185"/>
    </row>
    <row r="8178" spans="33:33" x14ac:dyDescent="0.25">
      <c r="AG8178" s="185"/>
    </row>
    <row r="8179" spans="33:33" x14ac:dyDescent="0.25">
      <c r="AG8179" s="185"/>
    </row>
    <row r="8180" spans="33:33" x14ac:dyDescent="0.25">
      <c r="AG8180" s="185"/>
    </row>
    <row r="8181" spans="33:33" x14ac:dyDescent="0.25">
      <c r="AG8181" s="185"/>
    </row>
    <row r="8182" spans="33:33" x14ac:dyDescent="0.25">
      <c r="AG8182" s="185"/>
    </row>
    <row r="8183" spans="33:33" x14ac:dyDescent="0.25">
      <c r="AG8183" s="185"/>
    </row>
    <row r="8184" spans="33:33" x14ac:dyDescent="0.25">
      <c r="AG8184" s="185"/>
    </row>
    <row r="8185" spans="33:33" x14ac:dyDescent="0.25">
      <c r="AG8185" s="185"/>
    </row>
    <row r="8186" spans="33:33" x14ac:dyDescent="0.25">
      <c r="AG8186" s="185"/>
    </row>
    <row r="8187" spans="33:33" x14ac:dyDescent="0.25">
      <c r="AG8187" s="185"/>
    </row>
    <row r="8188" spans="33:33" x14ac:dyDescent="0.25">
      <c r="AG8188" s="185"/>
    </row>
    <row r="8189" spans="33:33" x14ac:dyDescent="0.25">
      <c r="AG8189" s="185"/>
    </row>
    <row r="8190" spans="33:33" x14ac:dyDescent="0.25">
      <c r="AG8190" s="185"/>
    </row>
    <row r="8191" spans="33:33" x14ac:dyDescent="0.25">
      <c r="AG8191" s="185"/>
    </row>
    <row r="8192" spans="33:33" x14ac:dyDescent="0.25">
      <c r="AG8192" s="185"/>
    </row>
    <row r="8193" spans="33:33" x14ac:dyDescent="0.25">
      <c r="AG8193" s="185"/>
    </row>
    <row r="8194" spans="33:33" x14ac:dyDescent="0.25">
      <c r="AG8194" s="185"/>
    </row>
    <row r="8195" spans="33:33" x14ac:dyDescent="0.25">
      <c r="AG8195" s="185"/>
    </row>
    <row r="8196" spans="33:33" x14ac:dyDescent="0.25">
      <c r="AG8196" s="185"/>
    </row>
    <row r="8197" spans="33:33" x14ac:dyDescent="0.25">
      <c r="AG8197" s="185"/>
    </row>
    <row r="8198" spans="33:33" x14ac:dyDescent="0.25">
      <c r="AG8198" s="185"/>
    </row>
    <row r="8199" spans="33:33" x14ac:dyDescent="0.25">
      <c r="AG8199" s="185"/>
    </row>
    <row r="8200" spans="33:33" x14ac:dyDescent="0.25">
      <c r="AG8200" s="185"/>
    </row>
    <row r="8201" spans="33:33" x14ac:dyDescent="0.25">
      <c r="AG8201" s="185"/>
    </row>
    <row r="8202" spans="33:33" x14ac:dyDescent="0.25">
      <c r="AG8202" s="185"/>
    </row>
    <row r="8203" spans="33:33" x14ac:dyDescent="0.25">
      <c r="AG8203" s="185"/>
    </row>
    <row r="8204" spans="33:33" x14ac:dyDescent="0.25">
      <c r="AG8204" s="185"/>
    </row>
    <row r="8205" spans="33:33" x14ac:dyDescent="0.25">
      <c r="AG8205" s="185"/>
    </row>
    <row r="8206" spans="33:33" x14ac:dyDescent="0.25">
      <c r="AG8206" s="185"/>
    </row>
    <row r="8207" spans="33:33" x14ac:dyDescent="0.25">
      <c r="AG8207" s="185"/>
    </row>
    <row r="8208" spans="33:33" x14ac:dyDescent="0.25">
      <c r="AG8208" s="185"/>
    </row>
    <row r="8209" spans="33:33" x14ac:dyDescent="0.25">
      <c r="AG8209" s="185"/>
    </row>
    <row r="8210" spans="33:33" x14ac:dyDescent="0.25">
      <c r="AG8210" s="185"/>
    </row>
    <row r="8211" spans="33:33" x14ac:dyDescent="0.25">
      <c r="AG8211" s="185"/>
    </row>
    <row r="8212" spans="33:33" x14ac:dyDescent="0.25">
      <c r="AG8212" s="185"/>
    </row>
    <row r="8213" spans="33:33" x14ac:dyDescent="0.25">
      <c r="AG8213" s="185"/>
    </row>
    <row r="8214" spans="33:33" x14ac:dyDescent="0.25">
      <c r="AG8214" s="185"/>
    </row>
    <row r="8215" spans="33:33" x14ac:dyDescent="0.25">
      <c r="AG8215" s="185"/>
    </row>
    <row r="8216" spans="33:33" x14ac:dyDescent="0.25">
      <c r="AG8216" s="185"/>
    </row>
    <row r="8217" spans="33:33" x14ac:dyDescent="0.25">
      <c r="AG8217" s="185"/>
    </row>
    <row r="8218" spans="33:33" x14ac:dyDescent="0.25">
      <c r="AG8218" s="185"/>
    </row>
    <row r="8219" spans="33:33" x14ac:dyDescent="0.25">
      <c r="AG8219" s="185"/>
    </row>
    <row r="8220" spans="33:33" x14ac:dyDescent="0.25">
      <c r="AG8220" s="185"/>
    </row>
    <row r="8221" spans="33:33" x14ac:dyDescent="0.25">
      <c r="AG8221" s="185"/>
    </row>
    <row r="8222" spans="33:33" x14ac:dyDescent="0.25">
      <c r="AG8222" s="185"/>
    </row>
    <row r="8223" spans="33:33" x14ac:dyDescent="0.25">
      <c r="AG8223" s="185"/>
    </row>
    <row r="8224" spans="33:33" x14ac:dyDescent="0.25">
      <c r="AG8224" s="185"/>
    </row>
    <row r="8225" spans="33:33" x14ac:dyDescent="0.25">
      <c r="AG8225" s="185"/>
    </row>
    <row r="8226" spans="33:33" x14ac:dyDescent="0.25">
      <c r="AG8226" s="185"/>
    </row>
    <row r="8227" spans="33:33" x14ac:dyDescent="0.25">
      <c r="AG8227" s="185"/>
    </row>
    <row r="8228" spans="33:33" x14ac:dyDescent="0.25">
      <c r="AG8228" s="185"/>
    </row>
    <row r="8229" spans="33:33" x14ac:dyDescent="0.25">
      <c r="AG8229" s="185"/>
    </row>
    <row r="8230" spans="33:33" x14ac:dyDescent="0.25">
      <c r="AG8230" s="185"/>
    </row>
    <row r="8231" spans="33:33" x14ac:dyDescent="0.25">
      <c r="AG8231" s="185"/>
    </row>
    <row r="8232" spans="33:33" x14ac:dyDescent="0.25">
      <c r="AG8232" s="185"/>
    </row>
    <row r="8233" spans="33:33" x14ac:dyDescent="0.25">
      <c r="AG8233" s="185"/>
    </row>
    <row r="8234" spans="33:33" x14ac:dyDescent="0.25">
      <c r="AG8234" s="185"/>
    </row>
    <row r="8235" spans="33:33" x14ac:dyDescent="0.25">
      <c r="AG8235" s="185"/>
    </row>
    <row r="8236" spans="33:33" x14ac:dyDescent="0.25">
      <c r="AG8236" s="185"/>
    </row>
    <row r="8237" spans="33:33" x14ac:dyDescent="0.25">
      <c r="AG8237" s="185"/>
    </row>
    <row r="8238" spans="33:33" x14ac:dyDescent="0.25">
      <c r="AG8238" s="185"/>
    </row>
    <row r="8239" spans="33:33" x14ac:dyDescent="0.25">
      <c r="AG8239" s="185"/>
    </row>
    <row r="8240" spans="33:33" x14ac:dyDescent="0.25">
      <c r="AG8240" s="185"/>
    </row>
    <row r="8241" spans="33:33" x14ac:dyDescent="0.25">
      <c r="AG8241" s="185"/>
    </row>
    <row r="8242" spans="33:33" x14ac:dyDescent="0.25">
      <c r="AG8242" s="185"/>
    </row>
    <row r="8243" spans="33:33" x14ac:dyDescent="0.25">
      <c r="AG8243" s="185"/>
    </row>
    <row r="8244" spans="33:33" x14ac:dyDescent="0.25">
      <c r="AG8244" s="185"/>
    </row>
    <row r="8245" spans="33:33" x14ac:dyDescent="0.25">
      <c r="AG8245" s="185"/>
    </row>
    <row r="8246" spans="33:33" x14ac:dyDescent="0.25">
      <c r="AG8246" s="185"/>
    </row>
    <row r="8247" spans="33:33" x14ac:dyDescent="0.25">
      <c r="AG8247" s="185"/>
    </row>
    <row r="8248" spans="33:33" x14ac:dyDescent="0.25">
      <c r="AG8248" s="185"/>
    </row>
    <row r="8249" spans="33:33" x14ac:dyDescent="0.25">
      <c r="AG8249" s="185"/>
    </row>
    <row r="8250" spans="33:33" x14ac:dyDescent="0.25">
      <c r="AG8250" s="185"/>
    </row>
    <row r="8251" spans="33:33" x14ac:dyDescent="0.25">
      <c r="AG8251" s="185"/>
    </row>
    <row r="8252" spans="33:33" x14ac:dyDescent="0.25">
      <c r="AG8252" s="185"/>
    </row>
    <row r="8253" spans="33:33" x14ac:dyDescent="0.25">
      <c r="AG8253" s="185"/>
    </row>
    <row r="8254" spans="33:33" x14ac:dyDescent="0.25">
      <c r="AG8254" s="185"/>
    </row>
    <row r="8255" spans="33:33" x14ac:dyDescent="0.25">
      <c r="AG8255" s="185"/>
    </row>
    <row r="8256" spans="33:33" x14ac:dyDescent="0.25">
      <c r="AG8256" s="185"/>
    </row>
    <row r="8257" spans="33:33" x14ac:dyDescent="0.25">
      <c r="AG8257" s="185"/>
    </row>
    <row r="8258" spans="33:33" x14ac:dyDescent="0.25">
      <c r="AG8258" s="185"/>
    </row>
    <row r="8259" spans="33:33" x14ac:dyDescent="0.25">
      <c r="AG8259" s="185"/>
    </row>
    <row r="8260" spans="33:33" x14ac:dyDescent="0.25">
      <c r="AG8260" s="185"/>
    </row>
    <row r="8261" spans="33:33" x14ac:dyDescent="0.25">
      <c r="AG8261" s="185"/>
    </row>
    <row r="8262" spans="33:33" x14ac:dyDescent="0.25">
      <c r="AG8262" s="185"/>
    </row>
    <row r="8263" spans="33:33" x14ac:dyDescent="0.25">
      <c r="AG8263" s="185"/>
    </row>
    <row r="8264" spans="33:33" x14ac:dyDescent="0.25">
      <c r="AG8264" s="185"/>
    </row>
    <row r="8265" spans="33:33" x14ac:dyDescent="0.25">
      <c r="AG8265" s="185"/>
    </row>
    <row r="8266" spans="33:33" x14ac:dyDescent="0.25">
      <c r="AG8266" s="185"/>
    </row>
    <row r="8267" spans="33:33" x14ac:dyDescent="0.25">
      <c r="AG8267" s="185"/>
    </row>
    <row r="8268" spans="33:33" x14ac:dyDescent="0.25">
      <c r="AG8268" s="185"/>
    </row>
    <row r="8269" spans="33:33" x14ac:dyDescent="0.25">
      <c r="AG8269" s="185"/>
    </row>
    <row r="8270" spans="33:33" x14ac:dyDescent="0.25">
      <c r="AG8270" s="185"/>
    </row>
    <row r="8271" spans="33:33" x14ac:dyDescent="0.25">
      <c r="AG8271" s="185"/>
    </row>
    <row r="8272" spans="33:33" x14ac:dyDescent="0.25">
      <c r="AG8272" s="185"/>
    </row>
    <row r="8273" spans="33:33" x14ac:dyDescent="0.25">
      <c r="AG8273" s="185"/>
    </row>
    <row r="8274" spans="33:33" x14ac:dyDescent="0.25">
      <c r="AG8274" s="185"/>
    </row>
    <row r="8275" spans="33:33" x14ac:dyDescent="0.25">
      <c r="AG8275" s="185"/>
    </row>
    <row r="8276" spans="33:33" x14ac:dyDescent="0.25">
      <c r="AG8276" s="185"/>
    </row>
    <row r="8277" spans="33:33" x14ac:dyDescent="0.25">
      <c r="AG8277" s="185"/>
    </row>
    <row r="8278" spans="33:33" x14ac:dyDescent="0.25">
      <c r="AG8278" s="185"/>
    </row>
    <row r="8279" spans="33:33" x14ac:dyDescent="0.25">
      <c r="AG8279" s="185"/>
    </row>
    <row r="8280" spans="33:33" x14ac:dyDescent="0.25">
      <c r="AG8280" s="185"/>
    </row>
    <row r="8281" spans="33:33" x14ac:dyDescent="0.25">
      <c r="AG8281" s="185"/>
    </row>
    <row r="8282" spans="33:33" x14ac:dyDescent="0.25">
      <c r="AG8282" s="185"/>
    </row>
    <row r="8283" spans="33:33" x14ac:dyDescent="0.25">
      <c r="AG8283" s="185"/>
    </row>
    <row r="8284" spans="33:33" x14ac:dyDescent="0.25">
      <c r="AG8284" s="185"/>
    </row>
    <row r="8285" spans="33:33" x14ac:dyDescent="0.25">
      <c r="AG8285" s="185"/>
    </row>
    <row r="8286" spans="33:33" x14ac:dyDescent="0.25">
      <c r="AG8286" s="185"/>
    </row>
    <row r="8287" spans="33:33" x14ac:dyDescent="0.25">
      <c r="AG8287" s="185"/>
    </row>
    <row r="8288" spans="33:33" x14ac:dyDescent="0.25">
      <c r="AG8288" s="185"/>
    </row>
    <row r="8289" spans="33:33" x14ac:dyDescent="0.25">
      <c r="AG8289" s="185"/>
    </row>
    <row r="8290" spans="33:33" x14ac:dyDescent="0.25">
      <c r="AG8290" s="185"/>
    </row>
    <row r="8291" spans="33:33" x14ac:dyDescent="0.25">
      <c r="AG8291" s="185"/>
    </row>
    <row r="8292" spans="33:33" x14ac:dyDescent="0.25">
      <c r="AG8292" s="185"/>
    </row>
    <row r="8293" spans="33:33" x14ac:dyDescent="0.25">
      <c r="AG8293" s="185"/>
    </row>
    <row r="8294" spans="33:33" x14ac:dyDescent="0.25">
      <c r="AG8294" s="185"/>
    </row>
    <row r="8295" spans="33:33" x14ac:dyDescent="0.25">
      <c r="AG8295" s="185"/>
    </row>
    <row r="8296" spans="33:33" x14ac:dyDescent="0.25">
      <c r="AG8296" s="185"/>
    </row>
    <row r="8297" spans="33:33" x14ac:dyDescent="0.25">
      <c r="AG8297" s="185"/>
    </row>
    <row r="8298" spans="33:33" x14ac:dyDescent="0.25">
      <c r="AG8298" s="185"/>
    </row>
    <row r="8299" spans="33:33" x14ac:dyDescent="0.25">
      <c r="AG8299" s="185"/>
    </row>
    <row r="8300" spans="33:33" x14ac:dyDescent="0.25">
      <c r="AG8300" s="185"/>
    </row>
    <row r="8301" spans="33:33" x14ac:dyDescent="0.25">
      <c r="AG8301" s="185"/>
    </row>
    <row r="8302" spans="33:33" x14ac:dyDescent="0.25">
      <c r="AG8302" s="185"/>
    </row>
    <row r="8303" spans="33:33" x14ac:dyDescent="0.25">
      <c r="AG8303" s="185"/>
    </row>
    <row r="8304" spans="33:33" x14ac:dyDescent="0.25">
      <c r="AG8304" s="185"/>
    </row>
    <row r="8305" spans="33:33" x14ac:dyDescent="0.25">
      <c r="AG8305" s="185"/>
    </row>
    <row r="8306" spans="33:33" x14ac:dyDescent="0.25">
      <c r="AG8306" s="185"/>
    </row>
    <row r="8307" spans="33:33" x14ac:dyDescent="0.25">
      <c r="AG8307" s="185"/>
    </row>
    <row r="8308" spans="33:33" x14ac:dyDescent="0.25">
      <c r="AG8308" s="185"/>
    </row>
    <row r="8309" spans="33:33" x14ac:dyDescent="0.25">
      <c r="AG8309" s="185"/>
    </row>
    <row r="8310" spans="33:33" x14ac:dyDescent="0.25">
      <c r="AG8310" s="185"/>
    </row>
    <row r="8311" spans="33:33" x14ac:dyDescent="0.25">
      <c r="AG8311" s="185"/>
    </row>
    <row r="8312" spans="33:33" x14ac:dyDescent="0.25">
      <c r="AG8312" s="185"/>
    </row>
    <row r="8313" spans="33:33" x14ac:dyDescent="0.25">
      <c r="AG8313" s="185"/>
    </row>
    <row r="8314" spans="33:33" x14ac:dyDescent="0.25">
      <c r="AG8314" s="185"/>
    </row>
    <row r="8315" spans="33:33" x14ac:dyDescent="0.25">
      <c r="AG8315" s="185"/>
    </row>
    <row r="8316" spans="33:33" x14ac:dyDescent="0.25">
      <c r="AG8316" s="185"/>
    </row>
    <row r="8317" spans="33:33" x14ac:dyDescent="0.25">
      <c r="AG8317" s="185"/>
    </row>
    <row r="8318" spans="33:33" x14ac:dyDescent="0.25">
      <c r="AG8318" s="185"/>
    </row>
    <row r="8319" spans="33:33" x14ac:dyDescent="0.25">
      <c r="AG8319" s="185"/>
    </row>
    <row r="8320" spans="33:33" x14ac:dyDescent="0.25">
      <c r="AG8320" s="185"/>
    </row>
    <row r="8321" spans="33:33" x14ac:dyDescent="0.25">
      <c r="AG8321" s="185"/>
    </row>
    <row r="8322" spans="33:33" x14ac:dyDescent="0.25">
      <c r="AG8322" s="185"/>
    </row>
    <row r="8323" spans="33:33" x14ac:dyDescent="0.25">
      <c r="AG8323" s="185"/>
    </row>
    <row r="8324" spans="33:33" x14ac:dyDescent="0.25">
      <c r="AG8324" s="185"/>
    </row>
    <row r="8325" spans="33:33" x14ac:dyDescent="0.25">
      <c r="AG8325" s="185"/>
    </row>
    <row r="8326" spans="33:33" x14ac:dyDescent="0.25">
      <c r="AG8326" s="185"/>
    </row>
    <row r="8327" spans="33:33" x14ac:dyDescent="0.25">
      <c r="AG8327" s="185"/>
    </row>
    <row r="8328" spans="33:33" x14ac:dyDescent="0.25">
      <c r="AG8328" s="185"/>
    </row>
    <row r="8329" spans="33:33" x14ac:dyDescent="0.25">
      <c r="AG8329" s="185"/>
    </row>
    <row r="8330" spans="33:33" x14ac:dyDescent="0.25">
      <c r="AG8330" s="185"/>
    </row>
    <row r="8331" spans="33:33" x14ac:dyDescent="0.25">
      <c r="AG8331" s="185"/>
    </row>
    <row r="8332" spans="33:33" x14ac:dyDescent="0.25">
      <c r="AG8332" s="185"/>
    </row>
    <row r="8333" spans="33:33" x14ac:dyDescent="0.25">
      <c r="AG8333" s="185"/>
    </row>
    <row r="8334" spans="33:33" x14ac:dyDescent="0.25">
      <c r="AG8334" s="185"/>
    </row>
    <row r="8335" spans="33:33" x14ac:dyDescent="0.25">
      <c r="AG8335" s="185"/>
    </row>
    <row r="8336" spans="33:33" x14ac:dyDescent="0.25">
      <c r="AG8336" s="185"/>
    </row>
    <row r="8337" spans="33:33" x14ac:dyDescent="0.25">
      <c r="AG8337" s="185"/>
    </row>
    <row r="8338" spans="33:33" x14ac:dyDescent="0.25">
      <c r="AG8338" s="185"/>
    </row>
    <row r="8339" spans="33:33" x14ac:dyDescent="0.25">
      <c r="AG8339" s="185"/>
    </row>
    <row r="8340" spans="33:33" x14ac:dyDescent="0.25">
      <c r="AG8340" s="185"/>
    </row>
    <row r="8341" spans="33:33" x14ac:dyDescent="0.25">
      <c r="AG8341" s="185"/>
    </row>
    <row r="8342" spans="33:33" x14ac:dyDescent="0.25">
      <c r="AG8342" s="185"/>
    </row>
    <row r="8343" spans="33:33" x14ac:dyDescent="0.25">
      <c r="AG8343" s="185"/>
    </row>
    <row r="8344" spans="33:33" x14ac:dyDescent="0.25">
      <c r="AG8344" s="185"/>
    </row>
    <row r="8345" spans="33:33" x14ac:dyDescent="0.25">
      <c r="AG8345" s="185"/>
    </row>
    <row r="8346" spans="33:33" x14ac:dyDescent="0.25">
      <c r="AG8346" s="185"/>
    </row>
    <row r="8347" spans="33:33" x14ac:dyDescent="0.25">
      <c r="AG8347" s="185"/>
    </row>
    <row r="8348" spans="33:33" x14ac:dyDescent="0.25">
      <c r="AG8348" s="185"/>
    </row>
    <row r="8349" spans="33:33" x14ac:dyDescent="0.25">
      <c r="AG8349" s="185"/>
    </row>
    <row r="8350" spans="33:33" x14ac:dyDescent="0.25">
      <c r="AG8350" s="185"/>
    </row>
    <row r="8351" spans="33:33" x14ac:dyDescent="0.25">
      <c r="AG8351" s="185"/>
    </row>
    <row r="8352" spans="33:33" x14ac:dyDescent="0.25">
      <c r="AG8352" s="185"/>
    </row>
    <row r="8353" spans="33:33" x14ac:dyDescent="0.25">
      <c r="AG8353" s="185"/>
    </row>
    <row r="8354" spans="33:33" x14ac:dyDescent="0.25">
      <c r="AG8354" s="185"/>
    </row>
    <row r="8355" spans="33:33" x14ac:dyDescent="0.25">
      <c r="AG8355" s="185"/>
    </row>
    <row r="8356" spans="33:33" x14ac:dyDescent="0.25">
      <c r="AG8356" s="185"/>
    </row>
    <row r="8357" spans="33:33" x14ac:dyDescent="0.25">
      <c r="AG8357" s="185"/>
    </row>
    <row r="8358" spans="33:33" x14ac:dyDescent="0.25">
      <c r="AG8358" s="185"/>
    </row>
    <row r="8359" spans="33:33" x14ac:dyDescent="0.25">
      <c r="AG8359" s="185"/>
    </row>
    <row r="8360" spans="33:33" x14ac:dyDescent="0.25">
      <c r="AG8360" s="185"/>
    </row>
    <row r="8361" spans="33:33" x14ac:dyDescent="0.25">
      <c r="AG8361" s="185"/>
    </row>
    <row r="8362" spans="33:33" x14ac:dyDescent="0.25">
      <c r="AG8362" s="185"/>
    </row>
    <row r="8363" spans="33:33" x14ac:dyDescent="0.25">
      <c r="AG8363" s="185"/>
    </row>
    <row r="8364" spans="33:33" x14ac:dyDescent="0.25">
      <c r="AG8364" s="185"/>
    </row>
    <row r="8365" spans="33:33" x14ac:dyDescent="0.25">
      <c r="AG8365" s="185"/>
    </row>
    <row r="8366" spans="33:33" x14ac:dyDescent="0.25">
      <c r="AG8366" s="185"/>
    </row>
    <row r="8367" spans="33:33" x14ac:dyDescent="0.25">
      <c r="AG8367" s="185"/>
    </row>
    <row r="8368" spans="33:33" x14ac:dyDescent="0.25">
      <c r="AG8368" s="185"/>
    </row>
    <row r="8369" spans="33:33" x14ac:dyDescent="0.25">
      <c r="AG8369" s="185"/>
    </row>
    <row r="8370" spans="33:33" x14ac:dyDescent="0.25">
      <c r="AG8370" s="185"/>
    </row>
    <row r="8371" spans="33:33" x14ac:dyDescent="0.25">
      <c r="AG8371" s="185"/>
    </row>
    <row r="8372" spans="33:33" x14ac:dyDescent="0.25">
      <c r="AG8372" s="185"/>
    </row>
    <row r="8373" spans="33:33" x14ac:dyDescent="0.25">
      <c r="AG8373" s="185"/>
    </row>
    <row r="8374" spans="33:33" x14ac:dyDescent="0.25">
      <c r="AG8374" s="185"/>
    </row>
    <row r="8375" spans="33:33" x14ac:dyDescent="0.25">
      <c r="AG8375" s="185"/>
    </row>
    <row r="8376" spans="33:33" x14ac:dyDescent="0.25">
      <c r="AG8376" s="185"/>
    </row>
    <row r="8377" spans="33:33" x14ac:dyDescent="0.25">
      <c r="AG8377" s="185"/>
    </row>
    <row r="8378" spans="33:33" x14ac:dyDescent="0.25">
      <c r="AG8378" s="185"/>
    </row>
    <row r="8379" spans="33:33" x14ac:dyDescent="0.25">
      <c r="AG8379" s="185"/>
    </row>
    <row r="8380" spans="33:33" x14ac:dyDescent="0.25">
      <c r="AG8380" s="185"/>
    </row>
    <row r="8381" spans="33:33" x14ac:dyDescent="0.25">
      <c r="AG8381" s="185"/>
    </row>
    <row r="8382" spans="33:33" x14ac:dyDescent="0.25">
      <c r="AG8382" s="185"/>
    </row>
    <row r="8383" spans="33:33" x14ac:dyDescent="0.25">
      <c r="AG8383" s="185"/>
    </row>
    <row r="8384" spans="33:33" x14ac:dyDescent="0.25">
      <c r="AG8384" s="185"/>
    </row>
    <row r="8385" spans="33:33" x14ac:dyDescent="0.25">
      <c r="AG8385" s="185"/>
    </row>
    <row r="8386" spans="33:33" x14ac:dyDescent="0.25">
      <c r="AG8386" s="185"/>
    </row>
    <row r="8387" spans="33:33" x14ac:dyDescent="0.25">
      <c r="AG8387" s="185"/>
    </row>
    <row r="8388" spans="33:33" x14ac:dyDescent="0.25">
      <c r="AG8388" s="185"/>
    </row>
    <row r="8389" spans="33:33" x14ac:dyDescent="0.25">
      <c r="AG8389" s="185"/>
    </row>
    <row r="8390" spans="33:33" x14ac:dyDescent="0.25">
      <c r="AG8390" s="185"/>
    </row>
    <row r="8391" spans="33:33" x14ac:dyDescent="0.25">
      <c r="AG8391" s="185"/>
    </row>
    <row r="8392" spans="33:33" x14ac:dyDescent="0.25">
      <c r="AG8392" s="185"/>
    </row>
    <row r="8393" spans="33:33" x14ac:dyDescent="0.25">
      <c r="AG8393" s="185"/>
    </row>
    <row r="8394" spans="33:33" x14ac:dyDescent="0.25">
      <c r="AG8394" s="185"/>
    </row>
    <row r="8395" spans="33:33" x14ac:dyDescent="0.25">
      <c r="AG8395" s="185"/>
    </row>
    <row r="8396" spans="33:33" x14ac:dyDescent="0.25">
      <c r="AG8396" s="185"/>
    </row>
    <row r="8397" spans="33:33" x14ac:dyDescent="0.25">
      <c r="AG8397" s="185"/>
    </row>
    <row r="8398" spans="33:33" x14ac:dyDescent="0.25">
      <c r="AG8398" s="185"/>
    </row>
    <row r="8399" spans="33:33" x14ac:dyDescent="0.25">
      <c r="AG8399" s="185"/>
    </row>
    <row r="8400" spans="33:33" x14ac:dyDescent="0.25">
      <c r="AG8400" s="185"/>
    </row>
    <row r="8401" spans="33:33" x14ac:dyDescent="0.25">
      <c r="AG8401" s="185"/>
    </row>
    <row r="8402" spans="33:33" x14ac:dyDescent="0.25">
      <c r="AG8402" s="185"/>
    </row>
    <row r="8403" spans="33:33" x14ac:dyDescent="0.25">
      <c r="AG8403" s="185"/>
    </row>
    <row r="8404" spans="33:33" x14ac:dyDescent="0.25">
      <c r="AG8404" s="185"/>
    </row>
    <row r="8405" spans="33:33" x14ac:dyDescent="0.25">
      <c r="AG8405" s="185"/>
    </row>
    <row r="8406" spans="33:33" x14ac:dyDescent="0.25">
      <c r="AG8406" s="185"/>
    </row>
    <row r="8407" spans="33:33" x14ac:dyDescent="0.25">
      <c r="AG8407" s="185"/>
    </row>
    <row r="8408" spans="33:33" x14ac:dyDescent="0.25">
      <c r="AG8408" s="185"/>
    </row>
    <row r="8409" spans="33:33" x14ac:dyDescent="0.25">
      <c r="AG8409" s="185"/>
    </row>
    <row r="8410" spans="33:33" x14ac:dyDescent="0.25">
      <c r="AG8410" s="185"/>
    </row>
    <row r="8411" spans="33:33" x14ac:dyDescent="0.25">
      <c r="AG8411" s="185"/>
    </row>
    <row r="8412" spans="33:33" x14ac:dyDescent="0.25">
      <c r="AG8412" s="185"/>
    </row>
    <row r="8413" spans="33:33" x14ac:dyDescent="0.25">
      <c r="AG8413" s="185"/>
    </row>
    <row r="8414" spans="33:33" x14ac:dyDescent="0.25">
      <c r="AG8414" s="185"/>
    </row>
    <row r="8415" spans="33:33" x14ac:dyDescent="0.25">
      <c r="AG8415" s="185"/>
    </row>
    <row r="8416" spans="33:33" x14ac:dyDescent="0.25">
      <c r="AG8416" s="185"/>
    </row>
    <row r="8417" spans="33:33" x14ac:dyDescent="0.25">
      <c r="AG8417" s="185"/>
    </row>
    <row r="8418" spans="33:33" x14ac:dyDescent="0.25">
      <c r="AG8418" s="185"/>
    </row>
    <row r="8419" spans="33:33" x14ac:dyDescent="0.25">
      <c r="AG8419" s="185"/>
    </row>
    <row r="8420" spans="33:33" x14ac:dyDescent="0.25">
      <c r="AG8420" s="185"/>
    </row>
    <row r="8421" spans="33:33" x14ac:dyDescent="0.25">
      <c r="AG8421" s="185"/>
    </row>
    <row r="8422" spans="33:33" x14ac:dyDescent="0.25">
      <c r="AG8422" s="185"/>
    </row>
    <row r="8423" spans="33:33" x14ac:dyDescent="0.25">
      <c r="AG8423" s="185"/>
    </row>
    <row r="8424" spans="33:33" x14ac:dyDescent="0.25">
      <c r="AG8424" s="185"/>
    </row>
    <row r="8425" spans="33:33" x14ac:dyDescent="0.25">
      <c r="AG8425" s="185"/>
    </row>
    <row r="8426" spans="33:33" x14ac:dyDescent="0.25">
      <c r="AG8426" s="185"/>
    </row>
    <row r="8427" spans="33:33" x14ac:dyDescent="0.25">
      <c r="AG8427" s="185"/>
    </row>
    <row r="8428" spans="33:33" x14ac:dyDescent="0.25">
      <c r="AG8428" s="185"/>
    </row>
    <row r="8429" spans="33:33" x14ac:dyDescent="0.25">
      <c r="AG8429" s="185"/>
    </row>
    <row r="8430" spans="33:33" x14ac:dyDescent="0.25">
      <c r="AG8430" s="185"/>
    </row>
    <row r="8431" spans="33:33" x14ac:dyDescent="0.25">
      <c r="AG8431" s="185"/>
    </row>
    <row r="8432" spans="33:33" x14ac:dyDescent="0.25">
      <c r="AG8432" s="185"/>
    </row>
    <row r="8433" spans="33:33" x14ac:dyDescent="0.25">
      <c r="AG8433" s="185"/>
    </row>
    <row r="8434" spans="33:33" x14ac:dyDescent="0.25">
      <c r="AG8434" s="185"/>
    </row>
    <row r="8435" spans="33:33" x14ac:dyDescent="0.25">
      <c r="AG8435" s="185"/>
    </row>
    <row r="8436" spans="33:33" x14ac:dyDescent="0.25">
      <c r="AG8436" s="185"/>
    </row>
    <row r="8437" spans="33:33" x14ac:dyDescent="0.25">
      <c r="AG8437" s="185"/>
    </row>
    <row r="8438" spans="33:33" x14ac:dyDescent="0.25">
      <c r="AG8438" s="185"/>
    </row>
    <row r="8439" spans="33:33" x14ac:dyDescent="0.25">
      <c r="AG8439" s="185"/>
    </row>
    <row r="8440" spans="33:33" x14ac:dyDescent="0.25">
      <c r="AG8440" s="185"/>
    </row>
    <row r="8441" spans="33:33" x14ac:dyDescent="0.25">
      <c r="AG8441" s="185"/>
    </row>
    <row r="8442" spans="33:33" x14ac:dyDescent="0.25">
      <c r="AG8442" s="185"/>
    </row>
    <row r="8443" spans="33:33" x14ac:dyDescent="0.25">
      <c r="AG8443" s="185"/>
    </row>
    <row r="8444" spans="33:33" x14ac:dyDescent="0.25">
      <c r="AG8444" s="185"/>
    </row>
    <row r="8445" spans="33:33" x14ac:dyDescent="0.25">
      <c r="AG8445" s="185"/>
    </row>
    <row r="8446" spans="33:33" x14ac:dyDescent="0.25">
      <c r="AG8446" s="185"/>
    </row>
    <row r="8447" spans="33:33" x14ac:dyDescent="0.25">
      <c r="AG8447" s="185"/>
    </row>
    <row r="8448" spans="33:33" x14ac:dyDescent="0.25">
      <c r="AG8448" s="185"/>
    </row>
    <row r="8449" spans="33:33" x14ac:dyDescent="0.25">
      <c r="AG8449" s="185"/>
    </row>
    <row r="8450" spans="33:33" x14ac:dyDescent="0.25">
      <c r="AG8450" s="185"/>
    </row>
    <row r="8451" spans="33:33" x14ac:dyDescent="0.25">
      <c r="AG8451" s="185"/>
    </row>
    <row r="8452" spans="33:33" x14ac:dyDescent="0.25">
      <c r="AG8452" s="185"/>
    </row>
    <row r="8453" spans="33:33" x14ac:dyDescent="0.25">
      <c r="AG8453" s="185"/>
    </row>
    <row r="8454" spans="33:33" x14ac:dyDescent="0.25">
      <c r="AG8454" s="185"/>
    </row>
    <row r="8455" spans="33:33" x14ac:dyDescent="0.25">
      <c r="AG8455" s="185"/>
    </row>
    <row r="8456" spans="33:33" x14ac:dyDescent="0.25">
      <c r="AG8456" s="185"/>
    </row>
    <row r="8457" spans="33:33" x14ac:dyDescent="0.25">
      <c r="AG8457" s="185"/>
    </row>
    <row r="8458" spans="33:33" x14ac:dyDescent="0.25">
      <c r="AG8458" s="185"/>
    </row>
    <row r="8459" spans="33:33" x14ac:dyDescent="0.25">
      <c r="AG8459" s="185"/>
    </row>
    <row r="8460" spans="33:33" x14ac:dyDescent="0.25">
      <c r="AG8460" s="185"/>
    </row>
    <row r="8461" spans="33:33" x14ac:dyDescent="0.25">
      <c r="AG8461" s="185"/>
    </row>
    <row r="8462" spans="33:33" x14ac:dyDescent="0.25">
      <c r="AG8462" s="185"/>
    </row>
    <row r="8463" spans="33:33" x14ac:dyDescent="0.25">
      <c r="AG8463" s="185"/>
    </row>
    <row r="8464" spans="33:33" x14ac:dyDescent="0.25">
      <c r="AG8464" s="185"/>
    </row>
    <row r="8465" spans="33:33" x14ac:dyDescent="0.25">
      <c r="AG8465" s="185"/>
    </row>
    <row r="8466" spans="33:33" x14ac:dyDescent="0.25">
      <c r="AG8466" s="185"/>
    </row>
    <row r="8467" spans="33:33" x14ac:dyDescent="0.25">
      <c r="AG8467" s="185"/>
    </row>
    <row r="8468" spans="33:33" x14ac:dyDescent="0.25">
      <c r="AG8468" s="185"/>
    </row>
    <row r="8469" spans="33:33" x14ac:dyDescent="0.25">
      <c r="AG8469" s="185"/>
    </row>
    <row r="8470" spans="33:33" x14ac:dyDescent="0.25">
      <c r="AG8470" s="185"/>
    </row>
    <row r="8471" spans="33:33" x14ac:dyDescent="0.25">
      <c r="AG8471" s="185"/>
    </row>
    <row r="8472" spans="33:33" x14ac:dyDescent="0.25">
      <c r="AG8472" s="185"/>
    </row>
    <row r="8473" spans="33:33" x14ac:dyDescent="0.25">
      <c r="AG8473" s="185"/>
    </row>
    <row r="8474" spans="33:33" x14ac:dyDescent="0.25">
      <c r="AG8474" s="185"/>
    </row>
    <row r="8475" spans="33:33" x14ac:dyDescent="0.25">
      <c r="AG8475" s="185"/>
    </row>
    <row r="8476" spans="33:33" x14ac:dyDescent="0.25">
      <c r="AG8476" s="185"/>
    </row>
    <row r="8477" spans="33:33" x14ac:dyDescent="0.25">
      <c r="AG8477" s="185"/>
    </row>
    <row r="8478" spans="33:33" x14ac:dyDescent="0.25">
      <c r="AG8478" s="185"/>
    </row>
    <row r="8479" spans="33:33" x14ac:dyDescent="0.25">
      <c r="AG8479" s="185"/>
    </row>
    <row r="8480" spans="33:33" x14ac:dyDescent="0.25">
      <c r="AG8480" s="185"/>
    </row>
    <row r="8481" spans="33:33" x14ac:dyDescent="0.25">
      <c r="AG8481" s="185"/>
    </row>
    <row r="8482" spans="33:33" x14ac:dyDescent="0.25">
      <c r="AG8482" s="185"/>
    </row>
    <row r="8483" spans="33:33" x14ac:dyDescent="0.25">
      <c r="AG8483" s="185"/>
    </row>
    <row r="8484" spans="33:33" x14ac:dyDescent="0.25">
      <c r="AG8484" s="185"/>
    </row>
    <row r="8485" spans="33:33" x14ac:dyDescent="0.25">
      <c r="AG8485" s="185"/>
    </row>
    <row r="8486" spans="33:33" x14ac:dyDescent="0.25">
      <c r="AG8486" s="185"/>
    </row>
    <row r="8487" spans="33:33" x14ac:dyDescent="0.25">
      <c r="AG8487" s="185"/>
    </row>
    <row r="8488" spans="33:33" x14ac:dyDescent="0.25">
      <c r="AG8488" s="185"/>
    </row>
    <row r="8489" spans="33:33" x14ac:dyDescent="0.25">
      <c r="AG8489" s="185"/>
    </row>
    <row r="8490" spans="33:33" x14ac:dyDescent="0.25">
      <c r="AG8490" s="185"/>
    </row>
    <row r="8491" spans="33:33" x14ac:dyDescent="0.25">
      <c r="AG8491" s="185"/>
    </row>
    <row r="8492" spans="33:33" x14ac:dyDescent="0.25">
      <c r="AG8492" s="185"/>
    </row>
    <row r="8493" spans="33:33" x14ac:dyDescent="0.25">
      <c r="AG8493" s="185"/>
    </row>
    <row r="8494" spans="33:33" x14ac:dyDescent="0.25">
      <c r="AG8494" s="185"/>
    </row>
    <row r="8495" spans="33:33" x14ac:dyDescent="0.25">
      <c r="AG8495" s="185"/>
    </row>
    <row r="8496" spans="33:33" x14ac:dyDescent="0.25">
      <c r="AG8496" s="185"/>
    </row>
    <row r="8497" spans="33:33" x14ac:dyDescent="0.25">
      <c r="AG8497" s="185"/>
    </row>
    <row r="8498" spans="33:33" x14ac:dyDescent="0.25">
      <c r="AG8498" s="185"/>
    </row>
    <row r="8499" spans="33:33" x14ac:dyDescent="0.25">
      <c r="AG8499" s="185"/>
    </row>
    <row r="8500" spans="33:33" x14ac:dyDescent="0.25">
      <c r="AG8500" s="185"/>
    </row>
    <row r="8501" spans="33:33" x14ac:dyDescent="0.25">
      <c r="AG8501" s="185"/>
    </row>
    <row r="8502" spans="33:33" x14ac:dyDescent="0.25">
      <c r="AG8502" s="185"/>
    </row>
    <row r="8503" spans="33:33" x14ac:dyDescent="0.25">
      <c r="AG8503" s="185"/>
    </row>
    <row r="8504" spans="33:33" x14ac:dyDescent="0.25">
      <c r="AG8504" s="185"/>
    </row>
    <row r="8505" spans="33:33" x14ac:dyDescent="0.25">
      <c r="AG8505" s="185"/>
    </row>
    <row r="8506" spans="33:33" x14ac:dyDescent="0.25">
      <c r="AG8506" s="185"/>
    </row>
    <row r="8507" spans="33:33" x14ac:dyDescent="0.25">
      <c r="AG8507" s="185"/>
    </row>
    <row r="8508" spans="33:33" x14ac:dyDescent="0.25">
      <c r="AG8508" s="185"/>
    </row>
    <row r="8509" spans="33:33" x14ac:dyDescent="0.25">
      <c r="AG8509" s="185"/>
    </row>
    <row r="8510" spans="33:33" x14ac:dyDescent="0.25">
      <c r="AG8510" s="185"/>
    </row>
    <row r="8511" spans="33:33" x14ac:dyDescent="0.25">
      <c r="AG8511" s="185"/>
    </row>
    <row r="8512" spans="33:33" x14ac:dyDescent="0.25">
      <c r="AG8512" s="185"/>
    </row>
    <row r="8513" spans="33:33" x14ac:dyDescent="0.25">
      <c r="AG8513" s="185"/>
    </row>
    <row r="8514" spans="33:33" x14ac:dyDescent="0.25">
      <c r="AG8514" s="185"/>
    </row>
    <row r="8515" spans="33:33" x14ac:dyDescent="0.25">
      <c r="AG8515" s="185"/>
    </row>
    <row r="8516" spans="33:33" x14ac:dyDescent="0.25">
      <c r="AG8516" s="185"/>
    </row>
    <row r="8517" spans="33:33" x14ac:dyDescent="0.25">
      <c r="AG8517" s="185"/>
    </row>
    <row r="8518" spans="33:33" x14ac:dyDescent="0.25">
      <c r="AG8518" s="185"/>
    </row>
    <row r="8519" spans="33:33" x14ac:dyDescent="0.25">
      <c r="AG8519" s="185"/>
    </row>
    <row r="8520" spans="33:33" x14ac:dyDescent="0.25">
      <c r="AG8520" s="185"/>
    </row>
    <row r="8521" spans="33:33" x14ac:dyDescent="0.25">
      <c r="AG8521" s="185"/>
    </row>
    <row r="8522" spans="33:33" x14ac:dyDescent="0.25">
      <c r="AG8522" s="185"/>
    </row>
    <row r="8523" spans="33:33" x14ac:dyDescent="0.25">
      <c r="AG8523" s="185"/>
    </row>
    <row r="8524" spans="33:33" x14ac:dyDescent="0.25">
      <c r="AG8524" s="185"/>
    </row>
    <row r="8525" spans="33:33" x14ac:dyDescent="0.25">
      <c r="AG8525" s="185"/>
    </row>
    <row r="8526" spans="33:33" x14ac:dyDescent="0.25">
      <c r="AG8526" s="185"/>
    </row>
    <row r="8527" spans="33:33" x14ac:dyDescent="0.25">
      <c r="AG8527" s="185"/>
    </row>
    <row r="8528" spans="33:33" x14ac:dyDescent="0.25">
      <c r="AG8528" s="185"/>
    </row>
    <row r="8529" spans="33:33" x14ac:dyDescent="0.25">
      <c r="AG8529" s="185"/>
    </row>
    <row r="8530" spans="33:33" x14ac:dyDescent="0.25">
      <c r="AG8530" s="185"/>
    </row>
    <row r="8531" spans="33:33" x14ac:dyDescent="0.25">
      <c r="AG8531" s="185"/>
    </row>
    <row r="8532" spans="33:33" x14ac:dyDescent="0.25">
      <c r="AG8532" s="185"/>
    </row>
    <row r="8533" spans="33:33" x14ac:dyDescent="0.25">
      <c r="AG8533" s="185"/>
    </row>
    <row r="8534" spans="33:33" x14ac:dyDescent="0.25">
      <c r="AG8534" s="185"/>
    </row>
    <row r="8535" spans="33:33" x14ac:dyDescent="0.25">
      <c r="AG8535" s="185"/>
    </row>
    <row r="8536" spans="33:33" x14ac:dyDescent="0.25">
      <c r="AG8536" s="185"/>
    </row>
    <row r="8537" spans="33:33" x14ac:dyDescent="0.25">
      <c r="AG8537" s="185"/>
    </row>
    <row r="8538" spans="33:33" x14ac:dyDescent="0.25">
      <c r="AG8538" s="185"/>
    </row>
    <row r="8539" spans="33:33" x14ac:dyDescent="0.25">
      <c r="AG8539" s="185"/>
    </row>
    <row r="8540" spans="33:33" x14ac:dyDescent="0.25">
      <c r="AG8540" s="185"/>
    </row>
    <row r="8541" spans="33:33" x14ac:dyDescent="0.25">
      <c r="AG8541" s="185"/>
    </row>
    <row r="8542" spans="33:33" x14ac:dyDescent="0.25">
      <c r="AG8542" s="185"/>
    </row>
    <row r="8543" spans="33:33" x14ac:dyDescent="0.25">
      <c r="AG8543" s="185"/>
    </row>
    <row r="8544" spans="33:33" x14ac:dyDescent="0.25">
      <c r="AG8544" s="185"/>
    </row>
    <row r="8545" spans="33:33" x14ac:dyDescent="0.25">
      <c r="AG8545" s="185"/>
    </row>
    <row r="8546" spans="33:33" x14ac:dyDescent="0.25">
      <c r="AG8546" s="185"/>
    </row>
    <row r="8547" spans="33:33" x14ac:dyDescent="0.25">
      <c r="AG8547" s="185"/>
    </row>
    <row r="8548" spans="33:33" x14ac:dyDescent="0.25">
      <c r="AG8548" s="185"/>
    </row>
    <row r="8549" spans="33:33" x14ac:dyDescent="0.25">
      <c r="AG8549" s="185"/>
    </row>
    <row r="8550" spans="33:33" x14ac:dyDescent="0.25">
      <c r="AG8550" s="185"/>
    </row>
    <row r="8551" spans="33:33" x14ac:dyDescent="0.25">
      <c r="AG8551" s="185"/>
    </row>
    <row r="8552" spans="33:33" x14ac:dyDescent="0.25">
      <c r="AG8552" s="185"/>
    </row>
    <row r="8553" spans="33:33" x14ac:dyDescent="0.25">
      <c r="AG8553" s="185"/>
    </row>
    <row r="8554" spans="33:33" x14ac:dyDescent="0.25">
      <c r="AG8554" s="185"/>
    </row>
    <row r="8555" spans="33:33" x14ac:dyDescent="0.25">
      <c r="AG8555" s="185"/>
    </row>
    <row r="8556" spans="33:33" x14ac:dyDescent="0.25">
      <c r="AG8556" s="185"/>
    </row>
    <row r="8557" spans="33:33" x14ac:dyDescent="0.25">
      <c r="AG8557" s="185"/>
    </row>
    <row r="8558" spans="33:33" x14ac:dyDescent="0.25">
      <c r="AG8558" s="185"/>
    </row>
    <row r="8559" spans="33:33" x14ac:dyDescent="0.25">
      <c r="AG8559" s="185"/>
    </row>
    <row r="8560" spans="33:33" x14ac:dyDescent="0.25">
      <c r="AG8560" s="185"/>
    </row>
    <row r="8561" spans="33:33" x14ac:dyDescent="0.25">
      <c r="AG8561" s="185"/>
    </row>
    <row r="8562" spans="33:33" x14ac:dyDescent="0.25">
      <c r="AG8562" s="185"/>
    </row>
    <row r="8563" spans="33:33" x14ac:dyDescent="0.25">
      <c r="AG8563" s="185"/>
    </row>
    <row r="8564" spans="33:33" x14ac:dyDescent="0.25">
      <c r="AG8564" s="185"/>
    </row>
    <row r="8565" spans="33:33" x14ac:dyDescent="0.25">
      <c r="AG8565" s="185"/>
    </row>
    <row r="8566" spans="33:33" x14ac:dyDescent="0.25">
      <c r="AG8566" s="185"/>
    </row>
    <row r="8567" spans="33:33" x14ac:dyDescent="0.25">
      <c r="AG8567" s="185"/>
    </row>
    <row r="8568" spans="33:33" x14ac:dyDescent="0.25">
      <c r="AG8568" s="185"/>
    </row>
    <row r="8569" spans="33:33" x14ac:dyDescent="0.25">
      <c r="AG8569" s="185"/>
    </row>
    <row r="8570" spans="33:33" x14ac:dyDescent="0.25">
      <c r="AG8570" s="185"/>
    </row>
    <row r="8571" spans="33:33" x14ac:dyDescent="0.25">
      <c r="AG8571" s="185"/>
    </row>
    <row r="8572" spans="33:33" x14ac:dyDescent="0.25">
      <c r="AG8572" s="185"/>
    </row>
    <row r="8573" spans="33:33" x14ac:dyDescent="0.25">
      <c r="AG8573" s="185"/>
    </row>
    <row r="8574" spans="33:33" x14ac:dyDescent="0.25">
      <c r="AG8574" s="185"/>
    </row>
    <row r="8575" spans="33:33" x14ac:dyDescent="0.25">
      <c r="AG8575" s="185"/>
    </row>
    <row r="8576" spans="33:33" x14ac:dyDescent="0.25">
      <c r="AG8576" s="185"/>
    </row>
    <row r="8577" spans="33:33" x14ac:dyDescent="0.25">
      <c r="AG8577" s="185"/>
    </row>
    <row r="8578" spans="33:33" x14ac:dyDescent="0.25">
      <c r="AG8578" s="185"/>
    </row>
    <row r="8579" spans="33:33" x14ac:dyDescent="0.25">
      <c r="AG8579" s="185"/>
    </row>
    <row r="8580" spans="33:33" x14ac:dyDescent="0.25">
      <c r="AG8580" s="185"/>
    </row>
    <row r="8581" spans="33:33" x14ac:dyDescent="0.25">
      <c r="AG8581" s="185"/>
    </row>
    <row r="8582" spans="33:33" x14ac:dyDescent="0.25">
      <c r="AG8582" s="185"/>
    </row>
    <row r="8583" spans="33:33" x14ac:dyDescent="0.25">
      <c r="AG8583" s="185"/>
    </row>
    <row r="8584" spans="33:33" x14ac:dyDescent="0.25">
      <c r="AG8584" s="185"/>
    </row>
    <row r="8585" spans="33:33" x14ac:dyDescent="0.25">
      <c r="AG8585" s="185"/>
    </row>
    <row r="8586" spans="33:33" x14ac:dyDescent="0.25">
      <c r="AG8586" s="185"/>
    </row>
    <row r="8587" spans="33:33" x14ac:dyDescent="0.25">
      <c r="AG8587" s="185"/>
    </row>
    <row r="8588" spans="33:33" x14ac:dyDescent="0.25">
      <c r="AG8588" s="185"/>
    </row>
    <row r="8589" spans="33:33" x14ac:dyDescent="0.25">
      <c r="AG8589" s="185"/>
    </row>
    <row r="8590" spans="33:33" x14ac:dyDescent="0.25">
      <c r="AG8590" s="185"/>
    </row>
    <row r="8591" spans="33:33" x14ac:dyDescent="0.25">
      <c r="AG8591" s="185"/>
    </row>
    <row r="8592" spans="33:33" x14ac:dyDescent="0.25">
      <c r="AG8592" s="185"/>
    </row>
    <row r="8593" spans="33:33" x14ac:dyDescent="0.25">
      <c r="AG8593" s="185"/>
    </row>
    <row r="8594" spans="33:33" x14ac:dyDescent="0.25">
      <c r="AG8594" s="185"/>
    </row>
    <row r="8595" spans="33:33" x14ac:dyDescent="0.25">
      <c r="AG8595" s="185"/>
    </row>
    <row r="8596" spans="33:33" x14ac:dyDescent="0.25">
      <c r="AG8596" s="185"/>
    </row>
    <row r="8597" spans="33:33" x14ac:dyDescent="0.25">
      <c r="AG8597" s="185"/>
    </row>
    <row r="8598" spans="33:33" x14ac:dyDescent="0.25">
      <c r="AG8598" s="185"/>
    </row>
    <row r="8599" spans="33:33" x14ac:dyDescent="0.25">
      <c r="AG8599" s="185"/>
    </row>
    <row r="8600" spans="33:33" x14ac:dyDescent="0.25">
      <c r="AG8600" s="185"/>
    </row>
    <row r="8601" spans="33:33" x14ac:dyDescent="0.25">
      <c r="AG8601" s="185"/>
    </row>
    <row r="8602" spans="33:33" x14ac:dyDescent="0.25">
      <c r="AG8602" s="185"/>
    </row>
    <row r="8603" spans="33:33" x14ac:dyDescent="0.25">
      <c r="AG8603" s="185"/>
    </row>
    <row r="8604" spans="33:33" x14ac:dyDescent="0.25">
      <c r="AG8604" s="185"/>
    </row>
    <row r="8605" spans="33:33" x14ac:dyDescent="0.25">
      <c r="AG8605" s="185"/>
    </row>
    <row r="8606" spans="33:33" x14ac:dyDescent="0.25">
      <c r="AG8606" s="185"/>
    </row>
    <row r="8607" spans="33:33" x14ac:dyDescent="0.25">
      <c r="AG8607" s="185"/>
    </row>
    <row r="8608" spans="33:33" x14ac:dyDescent="0.25">
      <c r="AG8608" s="185"/>
    </row>
    <row r="8609" spans="33:33" x14ac:dyDescent="0.25">
      <c r="AG8609" s="185"/>
    </row>
    <row r="8610" spans="33:33" x14ac:dyDescent="0.25">
      <c r="AG8610" s="185"/>
    </row>
    <row r="8611" spans="33:33" x14ac:dyDescent="0.25">
      <c r="AG8611" s="185"/>
    </row>
    <row r="8612" spans="33:33" x14ac:dyDescent="0.25">
      <c r="AG8612" s="185"/>
    </row>
    <row r="8613" spans="33:33" x14ac:dyDescent="0.25">
      <c r="AG8613" s="185"/>
    </row>
    <row r="8614" spans="33:33" x14ac:dyDescent="0.25">
      <c r="AG8614" s="185"/>
    </row>
    <row r="8615" spans="33:33" x14ac:dyDescent="0.25">
      <c r="AG8615" s="185"/>
    </row>
    <row r="8616" spans="33:33" x14ac:dyDescent="0.25">
      <c r="AG8616" s="185"/>
    </row>
    <row r="8617" spans="33:33" x14ac:dyDescent="0.25">
      <c r="AG8617" s="185"/>
    </row>
    <row r="8618" spans="33:33" x14ac:dyDescent="0.25">
      <c r="AG8618" s="185"/>
    </row>
    <row r="8619" spans="33:33" x14ac:dyDescent="0.25">
      <c r="AG8619" s="185"/>
    </row>
    <row r="8620" spans="33:33" x14ac:dyDescent="0.25">
      <c r="AG8620" s="185"/>
    </row>
    <row r="8621" spans="33:33" x14ac:dyDescent="0.25">
      <c r="AG8621" s="185"/>
    </row>
    <row r="8622" spans="33:33" x14ac:dyDescent="0.25">
      <c r="AG8622" s="185"/>
    </row>
    <row r="8623" spans="33:33" x14ac:dyDescent="0.25">
      <c r="AG8623" s="185"/>
    </row>
    <row r="8624" spans="33:33" x14ac:dyDescent="0.25">
      <c r="AG8624" s="185"/>
    </row>
    <row r="8625" spans="33:33" x14ac:dyDescent="0.25">
      <c r="AG8625" s="185"/>
    </row>
    <row r="8626" spans="33:33" x14ac:dyDescent="0.25">
      <c r="AG8626" s="185"/>
    </row>
    <row r="8627" spans="33:33" x14ac:dyDescent="0.25">
      <c r="AG8627" s="185"/>
    </row>
    <row r="8628" spans="33:33" x14ac:dyDescent="0.25">
      <c r="AG8628" s="185"/>
    </row>
    <row r="8629" spans="33:33" x14ac:dyDescent="0.25">
      <c r="AG8629" s="185"/>
    </row>
    <row r="8630" spans="33:33" x14ac:dyDescent="0.25">
      <c r="AG8630" s="185"/>
    </row>
    <row r="8631" spans="33:33" x14ac:dyDescent="0.25">
      <c r="AG8631" s="185"/>
    </row>
    <row r="8632" spans="33:33" x14ac:dyDescent="0.25">
      <c r="AG8632" s="185"/>
    </row>
    <row r="8633" spans="33:33" x14ac:dyDescent="0.25">
      <c r="AG8633" s="185"/>
    </row>
    <row r="8634" spans="33:33" x14ac:dyDescent="0.25">
      <c r="AG8634" s="185"/>
    </row>
    <row r="8635" spans="33:33" x14ac:dyDescent="0.25">
      <c r="AG8635" s="185"/>
    </row>
    <row r="8636" spans="33:33" x14ac:dyDescent="0.25">
      <c r="AG8636" s="185"/>
    </row>
    <row r="8637" spans="33:33" x14ac:dyDescent="0.25">
      <c r="AG8637" s="185"/>
    </row>
    <row r="8638" spans="33:33" x14ac:dyDescent="0.25">
      <c r="AG8638" s="185"/>
    </row>
    <row r="8639" spans="33:33" x14ac:dyDescent="0.25">
      <c r="AG8639" s="185"/>
    </row>
    <row r="8640" spans="33:33" x14ac:dyDescent="0.25">
      <c r="AG8640" s="185"/>
    </row>
    <row r="8641" spans="33:33" x14ac:dyDescent="0.25">
      <c r="AG8641" s="185"/>
    </row>
    <row r="8642" spans="33:33" x14ac:dyDescent="0.25">
      <c r="AG8642" s="185"/>
    </row>
    <row r="8643" spans="33:33" x14ac:dyDescent="0.25">
      <c r="AG8643" s="185"/>
    </row>
    <row r="8644" spans="33:33" x14ac:dyDescent="0.25">
      <c r="AG8644" s="185"/>
    </row>
    <row r="8645" spans="33:33" x14ac:dyDescent="0.25">
      <c r="AG8645" s="185"/>
    </row>
    <row r="8646" spans="33:33" x14ac:dyDescent="0.25">
      <c r="AG8646" s="185"/>
    </row>
    <row r="8647" spans="33:33" x14ac:dyDescent="0.25">
      <c r="AG8647" s="185"/>
    </row>
    <row r="8648" spans="33:33" x14ac:dyDescent="0.25">
      <c r="AG8648" s="185"/>
    </row>
    <row r="8649" spans="33:33" x14ac:dyDescent="0.25">
      <c r="AG8649" s="185"/>
    </row>
    <row r="8650" spans="33:33" x14ac:dyDescent="0.25">
      <c r="AG8650" s="185"/>
    </row>
    <row r="8651" spans="33:33" x14ac:dyDescent="0.25">
      <c r="AG8651" s="185"/>
    </row>
    <row r="8652" spans="33:33" x14ac:dyDescent="0.25">
      <c r="AG8652" s="185"/>
    </row>
    <row r="8653" spans="33:33" x14ac:dyDescent="0.25">
      <c r="AG8653" s="185"/>
    </row>
    <row r="8654" spans="33:33" x14ac:dyDescent="0.25">
      <c r="AG8654" s="185"/>
    </row>
    <row r="8655" spans="33:33" x14ac:dyDescent="0.25">
      <c r="AG8655" s="185"/>
    </row>
    <row r="8656" spans="33:33" x14ac:dyDescent="0.25">
      <c r="AG8656" s="185"/>
    </row>
    <row r="8657" spans="33:33" x14ac:dyDescent="0.25">
      <c r="AG8657" s="185"/>
    </row>
    <row r="8658" spans="33:33" x14ac:dyDescent="0.25">
      <c r="AG8658" s="185"/>
    </row>
    <row r="8659" spans="33:33" x14ac:dyDescent="0.25">
      <c r="AG8659" s="185"/>
    </row>
    <row r="8660" spans="33:33" x14ac:dyDescent="0.25">
      <c r="AG8660" s="185"/>
    </row>
    <row r="8661" spans="33:33" x14ac:dyDescent="0.25">
      <c r="AG8661" s="185"/>
    </row>
    <row r="8662" spans="33:33" x14ac:dyDescent="0.25">
      <c r="AG8662" s="185"/>
    </row>
    <row r="8663" spans="33:33" x14ac:dyDescent="0.25">
      <c r="AG8663" s="185"/>
    </row>
    <row r="8664" spans="33:33" x14ac:dyDescent="0.25">
      <c r="AG8664" s="185"/>
    </row>
    <row r="8665" spans="33:33" x14ac:dyDescent="0.25">
      <c r="AG8665" s="185"/>
    </row>
    <row r="8666" spans="33:33" x14ac:dyDescent="0.25">
      <c r="AG8666" s="185"/>
    </row>
    <row r="8667" spans="33:33" x14ac:dyDescent="0.25">
      <c r="AG8667" s="185"/>
    </row>
    <row r="8668" spans="33:33" x14ac:dyDescent="0.25">
      <c r="AG8668" s="185"/>
    </row>
    <row r="8669" spans="33:33" x14ac:dyDescent="0.25">
      <c r="AG8669" s="185"/>
    </row>
    <row r="8670" spans="33:33" x14ac:dyDescent="0.25">
      <c r="AG8670" s="185"/>
    </row>
    <row r="8671" spans="33:33" x14ac:dyDescent="0.25">
      <c r="AG8671" s="185"/>
    </row>
    <row r="8672" spans="33:33" x14ac:dyDescent="0.25">
      <c r="AG8672" s="185"/>
    </row>
    <row r="8673" spans="33:33" x14ac:dyDescent="0.25">
      <c r="AG8673" s="185"/>
    </row>
    <row r="8674" spans="33:33" x14ac:dyDescent="0.25">
      <c r="AG8674" s="185"/>
    </row>
    <row r="8675" spans="33:33" x14ac:dyDescent="0.25">
      <c r="AG8675" s="185"/>
    </row>
    <row r="8676" spans="33:33" x14ac:dyDescent="0.25">
      <c r="AG8676" s="185"/>
    </row>
    <row r="8677" spans="33:33" x14ac:dyDescent="0.25">
      <c r="AG8677" s="185"/>
    </row>
    <row r="8678" spans="33:33" x14ac:dyDescent="0.25">
      <c r="AG8678" s="185"/>
    </row>
    <row r="8679" spans="33:33" x14ac:dyDescent="0.25">
      <c r="AG8679" s="185"/>
    </row>
    <row r="8680" spans="33:33" x14ac:dyDescent="0.25">
      <c r="AG8680" s="185"/>
    </row>
    <row r="8681" spans="33:33" x14ac:dyDescent="0.25">
      <c r="AG8681" s="185"/>
    </row>
    <row r="8682" spans="33:33" x14ac:dyDescent="0.25">
      <c r="AG8682" s="185"/>
    </row>
    <row r="8683" spans="33:33" x14ac:dyDescent="0.25">
      <c r="AG8683" s="185"/>
    </row>
    <row r="8684" spans="33:33" x14ac:dyDescent="0.25">
      <c r="AG8684" s="185"/>
    </row>
    <row r="8685" spans="33:33" x14ac:dyDescent="0.25">
      <c r="AG8685" s="185"/>
    </row>
    <row r="8686" spans="33:33" x14ac:dyDescent="0.25">
      <c r="AG8686" s="185"/>
    </row>
    <row r="8687" spans="33:33" x14ac:dyDescent="0.25">
      <c r="AG8687" s="185"/>
    </row>
    <row r="8688" spans="33:33" x14ac:dyDescent="0.25">
      <c r="AG8688" s="185"/>
    </row>
    <row r="8689" spans="33:33" x14ac:dyDescent="0.25">
      <c r="AG8689" s="185"/>
    </row>
    <row r="8690" spans="33:33" x14ac:dyDescent="0.25">
      <c r="AG8690" s="185"/>
    </row>
    <row r="8691" spans="33:33" x14ac:dyDescent="0.25">
      <c r="AG8691" s="185"/>
    </row>
    <row r="8692" spans="33:33" x14ac:dyDescent="0.25">
      <c r="AG8692" s="185"/>
    </row>
    <row r="8693" spans="33:33" x14ac:dyDescent="0.25">
      <c r="AG8693" s="185"/>
    </row>
    <row r="8694" spans="33:33" x14ac:dyDescent="0.25">
      <c r="AG8694" s="185"/>
    </row>
    <row r="8695" spans="33:33" x14ac:dyDescent="0.25">
      <c r="AG8695" s="185"/>
    </row>
    <row r="8696" spans="33:33" x14ac:dyDescent="0.25">
      <c r="AG8696" s="185"/>
    </row>
    <row r="8697" spans="33:33" x14ac:dyDescent="0.25">
      <c r="AG8697" s="185"/>
    </row>
    <row r="8698" spans="33:33" x14ac:dyDescent="0.25">
      <c r="AG8698" s="185"/>
    </row>
    <row r="8699" spans="33:33" x14ac:dyDescent="0.25">
      <c r="AG8699" s="185"/>
    </row>
    <row r="8700" spans="33:33" x14ac:dyDescent="0.25">
      <c r="AG8700" s="185"/>
    </row>
    <row r="8701" spans="33:33" x14ac:dyDescent="0.25">
      <c r="AG8701" s="185"/>
    </row>
    <row r="8702" spans="33:33" x14ac:dyDescent="0.25">
      <c r="AG8702" s="185"/>
    </row>
    <row r="8703" spans="33:33" x14ac:dyDescent="0.25">
      <c r="AG8703" s="185"/>
    </row>
    <row r="8704" spans="33:33" x14ac:dyDescent="0.25">
      <c r="AG8704" s="185"/>
    </row>
    <row r="8705" spans="33:33" x14ac:dyDescent="0.25">
      <c r="AG8705" s="185"/>
    </row>
    <row r="8706" spans="33:33" x14ac:dyDescent="0.25">
      <c r="AG8706" s="185"/>
    </row>
    <row r="8707" spans="33:33" x14ac:dyDescent="0.25">
      <c r="AG8707" s="185"/>
    </row>
    <row r="8708" spans="33:33" x14ac:dyDescent="0.25">
      <c r="AG8708" s="185"/>
    </row>
    <row r="8709" spans="33:33" x14ac:dyDescent="0.25">
      <c r="AG8709" s="185"/>
    </row>
    <row r="8710" spans="33:33" x14ac:dyDescent="0.25">
      <c r="AG8710" s="185"/>
    </row>
    <row r="8711" spans="33:33" x14ac:dyDescent="0.25">
      <c r="AG8711" s="185"/>
    </row>
    <row r="8712" spans="33:33" x14ac:dyDescent="0.25">
      <c r="AG8712" s="185"/>
    </row>
    <row r="8713" spans="33:33" x14ac:dyDescent="0.25">
      <c r="AG8713" s="185"/>
    </row>
    <row r="8714" spans="33:33" x14ac:dyDescent="0.25">
      <c r="AG8714" s="185"/>
    </row>
    <row r="8715" spans="33:33" x14ac:dyDescent="0.25">
      <c r="AG8715" s="185"/>
    </row>
    <row r="8716" spans="33:33" x14ac:dyDescent="0.25">
      <c r="AG8716" s="185"/>
    </row>
    <row r="8717" spans="33:33" x14ac:dyDescent="0.25">
      <c r="AG8717" s="185"/>
    </row>
    <row r="8718" spans="33:33" x14ac:dyDescent="0.25">
      <c r="AG8718" s="185"/>
    </row>
    <row r="8719" spans="33:33" x14ac:dyDescent="0.25">
      <c r="AG8719" s="185"/>
    </row>
    <row r="8720" spans="33:33" x14ac:dyDescent="0.25">
      <c r="AG8720" s="185"/>
    </row>
    <row r="8721" spans="33:33" x14ac:dyDescent="0.25">
      <c r="AG8721" s="185"/>
    </row>
    <row r="8722" spans="33:33" x14ac:dyDescent="0.25">
      <c r="AG8722" s="185"/>
    </row>
    <row r="8723" spans="33:33" x14ac:dyDescent="0.25">
      <c r="AG8723" s="185"/>
    </row>
    <row r="8724" spans="33:33" x14ac:dyDescent="0.25">
      <c r="AG8724" s="185"/>
    </row>
    <row r="8725" spans="33:33" x14ac:dyDescent="0.25">
      <c r="AG8725" s="185"/>
    </row>
    <row r="8726" spans="33:33" x14ac:dyDescent="0.25">
      <c r="AG8726" s="185"/>
    </row>
    <row r="8727" spans="33:33" x14ac:dyDescent="0.25">
      <c r="AG8727" s="185"/>
    </row>
    <row r="8728" spans="33:33" x14ac:dyDescent="0.25">
      <c r="AG8728" s="185"/>
    </row>
    <row r="8729" spans="33:33" x14ac:dyDescent="0.25">
      <c r="AG8729" s="185"/>
    </row>
    <row r="8730" spans="33:33" x14ac:dyDescent="0.25">
      <c r="AG8730" s="185"/>
    </row>
    <row r="8731" spans="33:33" x14ac:dyDescent="0.25">
      <c r="AG8731" s="185"/>
    </row>
    <row r="8732" spans="33:33" x14ac:dyDescent="0.25">
      <c r="AG8732" s="185"/>
    </row>
    <row r="8733" spans="33:33" x14ac:dyDescent="0.25">
      <c r="AG8733" s="185"/>
    </row>
    <row r="8734" spans="33:33" x14ac:dyDescent="0.25">
      <c r="AG8734" s="185"/>
    </row>
    <row r="8735" spans="33:33" x14ac:dyDescent="0.25">
      <c r="AG8735" s="185"/>
    </row>
    <row r="8736" spans="33:33" x14ac:dyDescent="0.25">
      <c r="AG8736" s="185"/>
    </row>
    <row r="8737" spans="33:33" x14ac:dyDescent="0.25">
      <c r="AG8737" s="185"/>
    </row>
    <row r="8738" spans="33:33" x14ac:dyDescent="0.25">
      <c r="AG8738" s="185"/>
    </row>
    <row r="8739" spans="33:33" x14ac:dyDescent="0.25">
      <c r="AG8739" s="185"/>
    </row>
    <row r="8740" spans="33:33" x14ac:dyDescent="0.25">
      <c r="AG8740" s="185"/>
    </row>
    <row r="8741" spans="33:33" x14ac:dyDescent="0.25">
      <c r="AG8741" s="185"/>
    </row>
    <row r="8742" spans="33:33" x14ac:dyDescent="0.25">
      <c r="AG8742" s="185"/>
    </row>
    <row r="8743" spans="33:33" x14ac:dyDescent="0.25">
      <c r="AG8743" s="185"/>
    </row>
    <row r="8744" spans="33:33" x14ac:dyDescent="0.25">
      <c r="AG8744" s="185"/>
    </row>
    <row r="8745" spans="33:33" x14ac:dyDescent="0.25">
      <c r="AG8745" s="185"/>
    </row>
    <row r="8746" spans="33:33" x14ac:dyDescent="0.25">
      <c r="AG8746" s="185"/>
    </row>
    <row r="8747" spans="33:33" x14ac:dyDescent="0.25">
      <c r="AG8747" s="185"/>
    </row>
    <row r="8748" spans="33:33" x14ac:dyDescent="0.25">
      <c r="AG8748" s="185"/>
    </row>
    <row r="8749" spans="33:33" x14ac:dyDescent="0.25">
      <c r="AG8749" s="185"/>
    </row>
    <row r="8750" spans="33:33" x14ac:dyDescent="0.25">
      <c r="AG8750" s="185"/>
    </row>
    <row r="8751" spans="33:33" x14ac:dyDescent="0.25">
      <c r="AG8751" s="185"/>
    </row>
    <row r="8752" spans="33:33" x14ac:dyDescent="0.25">
      <c r="AG8752" s="185"/>
    </row>
    <row r="8753" spans="33:33" x14ac:dyDescent="0.25">
      <c r="AG8753" s="185"/>
    </row>
    <row r="8754" spans="33:33" x14ac:dyDescent="0.25">
      <c r="AG8754" s="185"/>
    </row>
    <row r="8755" spans="33:33" x14ac:dyDescent="0.25">
      <c r="AG8755" s="185"/>
    </row>
    <row r="8756" spans="33:33" x14ac:dyDescent="0.25">
      <c r="AG8756" s="185"/>
    </row>
    <row r="8757" spans="33:33" x14ac:dyDescent="0.25">
      <c r="AG8757" s="185"/>
    </row>
    <row r="8758" spans="33:33" x14ac:dyDescent="0.25">
      <c r="AG8758" s="185"/>
    </row>
    <row r="8759" spans="33:33" x14ac:dyDescent="0.25">
      <c r="AG8759" s="185"/>
    </row>
    <row r="8760" spans="33:33" x14ac:dyDescent="0.25">
      <c r="AG8760" s="185"/>
    </row>
    <row r="8761" spans="33:33" x14ac:dyDescent="0.25">
      <c r="AG8761" s="185"/>
    </row>
    <row r="8762" spans="33:33" x14ac:dyDescent="0.25">
      <c r="AG8762" s="185"/>
    </row>
    <row r="8763" spans="33:33" x14ac:dyDescent="0.25">
      <c r="AG8763" s="185"/>
    </row>
    <row r="8764" spans="33:33" x14ac:dyDescent="0.25">
      <c r="AG8764" s="185"/>
    </row>
    <row r="8765" spans="33:33" x14ac:dyDescent="0.25">
      <c r="AG8765" s="185"/>
    </row>
    <row r="8766" spans="33:33" x14ac:dyDescent="0.25">
      <c r="AG8766" s="185"/>
    </row>
    <row r="8767" spans="33:33" x14ac:dyDescent="0.25">
      <c r="AG8767" s="185"/>
    </row>
    <row r="8768" spans="33:33" x14ac:dyDescent="0.25">
      <c r="AG8768" s="185"/>
    </row>
    <row r="8769" spans="33:33" x14ac:dyDescent="0.25">
      <c r="AG8769" s="185"/>
    </row>
    <row r="8770" spans="33:33" x14ac:dyDescent="0.25">
      <c r="AG8770" s="185"/>
    </row>
    <row r="8771" spans="33:33" x14ac:dyDescent="0.25">
      <c r="AG8771" s="185"/>
    </row>
    <row r="8772" spans="33:33" x14ac:dyDescent="0.25">
      <c r="AG8772" s="185"/>
    </row>
    <row r="8773" spans="33:33" x14ac:dyDescent="0.25">
      <c r="AG8773" s="185"/>
    </row>
    <row r="8774" spans="33:33" x14ac:dyDescent="0.25">
      <c r="AG8774" s="185"/>
    </row>
    <row r="8775" spans="33:33" x14ac:dyDescent="0.25">
      <c r="AG8775" s="185"/>
    </row>
    <row r="8776" spans="33:33" x14ac:dyDescent="0.25">
      <c r="AG8776" s="185"/>
    </row>
    <row r="8777" spans="33:33" x14ac:dyDescent="0.25">
      <c r="AG8777" s="185"/>
    </row>
    <row r="8778" spans="33:33" x14ac:dyDescent="0.25">
      <c r="AG8778" s="185"/>
    </row>
    <row r="8779" spans="33:33" x14ac:dyDescent="0.25">
      <c r="AG8779" s="185"/>
    </row>
    <row r="8780" spans="33:33" x14ac:dyDescent="0.25">
      <c r="AG8780" s="185"/>
    </row>
    <row r="8781" spans="33:33" x14ac:dyDescent="0.25">
      <c r="AG8781" s="185"/>
    </row>
    <row r="8782" spans="33:33" x14ac:dyDescent="0.25">
      <c r="AG8782" s="185"/>
    </row>
    <row r="8783" spans="33:33" x14ac:dyDescent="0.25">
      <c r="AG8783" s="185"/>
    </row>
    <row r="8784" spans="33:33" x14ac:dyDescent="0.25">
      <c r="AG8784" s="185"/>
    </row>
    <row r="8785" spans="33:33" x14ac:dyDescent="0.25">
      <c r="AG8785" s="185"/>
    </row>
    <row r="8786" spans="33:33" x14ac:dyDescent="0.25">
      <c r="AG8786" s="185"/>
    </row>
    <row r="8787" spans="33:33" x14ac:dyDescent="0.25">
      <c r="AG8787" s="185"/>
    </row>
    <row r="8788" spans="33:33" x14ac:dyDescent="0.25">
      <c r="AG8788" s="185"/>
    </row>
    <row r="8789" spans="33:33" x14ac:dyDescent="0.25">
      <c r="AG8789" s="185"/>
    </row>
    <row r="8790" spans="33:33" x14ac:dyDescent="0.25">
      <c r="AG8790" s="185"/>
    </row>
    <row r="8791" spans="33:33" x14ac:dyDescent="0.25">
      <c r="AG8791" s="185"/>
    </row>
    <row r="8792" spans="33:33" x14ac:dyDescent="0.25">
      <c r="AG8792" s="185"/>
    </row>
    <row r="8793" spans="33:33" x14ac:dyDescent="0.25">
      <c r="AG8793" s="185"/>
    </row>
    <row r="8794" spans="33:33" x14ac:dyDescent="0.25">
      <c r="AG8794" s="185"/>
    </row>
    <row r="8795" spans="33:33" x14ac:dyDescent="0.25">
      <c r="AG8795" s="185"/>
    </row>
    <row r="8796" spans="33:33" x14ac:dyDescent="0.25">
      <c r="AG8796" s="185"/>
    </row>
    <row r="8797" spans="33:33" x14ac:dyDescent="0.25">
      <c r="AG8797" s="185"/>
    </row>
    <row r="8798" spans="33:33" x14ac:dyDescent="0.25">
      <c r="AG8798" s="185"/>
    </row>
    <row r="8799" spans="33:33" x14ac:dyDescent="0.25">
      <c r="AG8799" s="185"/>
    </row>
    <row r="8800" spans="33:33" x14ac:dyDescent="0.25">
      <c r="AG8800" s="185"/>
    </row>
    <row r="8801" spans="33:33" x14ac:dyDescent="0.25">
      <c r="AG8801" s="185"/>
    </row>
    <row r="8802" spans="33:33" x14ac:dyDescent="0.25">
      <c r="AG8802" s="185"/>
    </row>
    <row r="8803" spans="33:33" x14ac:dyDescent="0.25">
      <c r="AG8803" s="185"/>
    </row>
    <row r="8804" spans="33:33" x14ac:dyDescent="0.25">
      <c r="AG8804" s="185"/>
    </row>
    <row r="8805" spans="33:33" x14ac:dyDescent="0.25">
      <c r="AG8805" s="185"/>
    </row>
    <row r="8806" spans="33:33" x14ac:dyDescent="0.25">
      <c r="AG8806" s="185"/>
    </row>
    <row r="8807" spans="33:33" x14ac:dyDescent="0.25">
      <c r="AG8807" s="185"/>
    </row>
    <row r="8808" spans="33:33" x14ac:dyDescent="0.25">
      <c r="AG8808" s="185"/>
    </row>
    <row r="8809" spans="33:33" x14ac:dyDescent="0.25">
      <c r="AG8809" s="185"/>
    </row>
    <row r="8810" spans="33:33" x14ac:dyDescent="0.25">
      <c r="AG8810" s="185"/>
    </row>
    <row r="8811" spans="33:33" x14ac:dyDescent="0.25">
      <c r="AG8811" s="185"/>
    </row>
    <row r="8812" spans="33:33" x14ac:dyDescent="0.25">
      <c r="AG8812" s="185"/>
    </row>
    <row r="8813" spans="33:33" x14ac:dyDescent="0.25">
      <c r="AG8813" s="185"/>
    </row>
    <row r="8814" spans="33:33" x14ac:dyDescent="0.25">
      <c r="AG8814" s="185"/>
    </row>
    <row r="8815" spans="33:33" x14ac:dyDescent="0.25">
      <c r="AG8815" s="185"/>
    </row>
    <row r="8816" spans="33:33" x14ac:dyDescent="0.25">
      <c r="AG8816" s="185"/>
    </row>
    <row r="8817" spans="33:33" x14ac:dyDescent="0.25">
      <c r="AG8817" s="185"/>
    </row>
    <row r="8818" spans="33:33" x14ac:dyDescent="0.25">
      <c r="AG8818" s="185"/>
    </row>
    <row r="8819" spans="33:33" x14ac:dyDescent="0.25">
      <c r="AG8819" s="185"/>
    </row>
    <row r="8820" spans="33:33" x14ac:dyDescent="0.25">
      <c r="AG8820" s="185"/>
    </row>
    <row r="8821" spans="33:33" x14ac:dyDescent="0.25">
      <c r="AG8821" s="185"/>
    </row>
    <row r="8822" spans="33:33" x14ac:dyDescent="0.25">
      <c r="AG8822" s="185"/>
    </row>
    <row r="8823" spans="33:33" x14ac:dyDescent="0.25">
      <c r="AG8823" s="185"/>
    </row>
    <row r="8824" spans="33:33" x14ac:dyDescent="0.25">
      <c r="AG8824" s="185"/>
    </row>
    <row r="8825" spans="33:33" x14ac:dyDescent="0.25">
      <c r="AG8825" s="185"/>
    </row>
    <row r="8826" spans="33:33" x14ac:dyDescent="0.25">
      <c r="AG8826" s="185"/>
    </row>
    <row r="8827" spans="33:33" x14ac:dyDescent="0.25">
      <c r="AG8827" s="185"/>
    </row>
    <row r="8828" spans="33:33" x14ac:dyDescent="0.25">
      <c r="AG8828" s="185"/>
    </row>
    <row r="8829" spans="33:33" x14ac:dyDescent="0.25">
      <c r="AG8829" s="185"/>
    </row>
    <row r="8830" spans="33:33" x14ac:dyDescent="0.25">
      <c r="AG8830" s="185"/>
    </row>
    <row r="8831" spans="33:33" x14ac:dyDescent="0.25">
      <c r="AG8831" s="185"/>
    </row>
    <row r="8832" spans="33:33" x14ac:dyDescent="0.25">
      <c r="AG8832" s="185"/>
    </row>
    <row r="8833" spans="33:33" x14ac:dyDescent="0.25">
      <c r="AG8833" s="185"/>
    </row>
    <row r="8834" spans="33:33" x14ac:dyDescent="0.25">
      <c r="AG8834" s="185"/>
    </row>
    <row r="8835" spans="33:33" x14ac:dyDescent="0.25">
      <c r="AG8835" s="185"/>
    </row>
    <row r="8836" spans="33:33" x14ac:dyDescent="0.25">
      <c r="AG8836" s="185"/>
    </row>
    <row r="8837" spans="33:33" x14ac:dyDescent="0.25">
      <c r="AG8837" s="185"/>
    </row>
    <row r="8838" spans="33:33" x14ac:dyDescent="0.25">
      <c r="AG8838" s="185"/>
    </row>
    <row r="8839" spans="33:33" x14ac:dyDescent="0.25">
      <c r="AG8839" s="185"/>
    </row>
    <row r="8840" spans="33:33" x14ac:dyDescent="0.25">
      <c r="AG8840" s="185"/>
    </row>
    <row r="8841" spans="33:33" x14ac:dyDescent="0.25">
      <c r="AG8841" s="185"/>
    </row>
    <row r="8842" spans="33:33" x14ac:dyDescent="0.25">
      <c r="AG8842" s="185"/>
    </row>
    <row r="8843" spans="33:33" x14ac:dyDescent="0.25">
      <c r="AG8843" s="185"/>
    </row>
    <row r="8844" spans="33:33" x14ac:dyDescent="0.25">
      <c r="AG8844" s="185"/>
    </row>
    <row r="8845" spans="33:33" x14ac:dyDescent="0.25">
      <c r="AG8845" s="185"/>
    </row>
    <row r="8846" spans="33:33" x14ac:dyDescent="0.25">
      <c r="AG8846" s="185"/>
    </row>
    <row r="8847" spans="33:33" x14ac:dyDescent="0.25">
      <c r="AG8847" s="185"/>
    </row>
    <row r="8848" spans="33:33" x14ac:dyDescent="0.25">
      <c r="AG8848" s="185"/>
    </row>
    <row r="8849" spans="33:33" x14ac:dyDescent="0.25">
      <c r="AG8849" s="185"/>
    </row>
    <row r="8850" spans="33:33" x14ac:dyDescent="0.25">
      <c r="AG8850" s="185"/>
    </row>
    <row r="8851" spans="33:33" x14ac:dyDescent="0.25">
      <c r="AG8851" s="185"/>
    </row>
    <row r="8852" spans="33:33" x14ac:dyDescent="0.25">
      <c r="AG8852" s="185"/>
    </row>
    <row r="8853" spans="33:33" x14ac:dyDescent="0.25">
      <c r="AG8853" s="185"/>
    </row>
    <row r="8854" spans="33:33" x14ac:dyDescent="0.25">
      <c r="AG8854" s="185"/>
    </row>
    <row r="8855" spans="33:33" x14ac:dyDescent="0.25">
      <c r="AG8855" s="185"/>
    </row>
    <row r="8856" spans="33:33" x14ac:dyDescent="0.25">
      <c r="AG8856" s="185"/>
    </row>
    <row r="8857" spans="33:33" x14ac:dyDescent="0.25">
      <c r="AG8857" s="185"/>
    </row>
    <row r="8858" spans="33:33" x14ac:dyDescent="0.25">
      <c r="AG8858" s="185"/>
    </row>
    <row r="8859" spans="33:33" x14ac:dyDescent="0.25">
      <c r="AG8859" s="185"/>
    </row>
    <row r="8860" spans="33:33" x14ac:dyDescent="0.25">
      <c r="AG8860" s="185"/>
    </row>
    <row r="8861" spans="33:33" x14ac:dyDescent="0.25">
      <c r="AG8861" s="185"/>
    </row>
    <row r="8862" spans="33:33" x14ac:dyDescent="0.25">
      <c r="AG8862" s="185"/>
    </row>
    <row r="8863" spans="33:33" x14ac:dyDescent="0.25">
      <c r="AG8863" s="185"/>
    </row>
    <row r="8864" spans="33:33" x14ac:dyDescent="0.25">
      <c r="AG8864" s="185"/>
    </row>
    <row r="8865" spans="33:33" x14ac:dyDescent="0.25">
      <c r="AG8865" s="185"/>
    </row>
    <row r="8866" spans="33:33" x14ac:dyDescent="0.25">
      <c r="AG8866" s="185"/>
    </row>
    <row r="8867" spans="33:33" x14ac:dyDescent="0.25">
      <c r="AG8867" s="185"/>
    </row>
    <row r="8868" spans="33:33" x14ac:dyDescent="0.25">
      <c r="AG8868" s="185"/>
    </row>
    <row r="8869" spans="33:33" x14ac:dyDescent="0.25">
      <c r="AG8869" s="185"/>
    </row>
    <row r="8870" spans="33:33" x14ac:dyDescent="0.25">
      <c r="AG8870" s="185"/>
    </row>
    <row r="8871" spans="33:33" x14ac:dyDescent="0.25">
      <c r="AG8871" s="185"/>
    </row>
    <row r="8872" spans="33:33" x14ac:dyDescent="0.25">
      <c r="AG8872" s="185"/>
    </row>
    <row r="8873" spans="33:33" x14ac:dyDescent="0.25">
      <c r="AG8873" s="185"/>
    </row>
    <row r="8874" spans="33:33" x14ac:dyDescent="0.25">
      <c r="AG8874" s="185"/>
    </row>
    <row r="8875" spans="33:33" x14ac:dyDescent="0.25">
      <c r="AG8875" s="185"/>
    </row>
    <row r="8876" spans="33:33" x14ac:dyDescent="0.25">
      <c r="AG8876" s="185"/>
    </row>
    <row r="8877" spans="33:33" x14ac:dyDescent="0.25">
      <c r="AG8877" s="185"/>
    </row>
    <row r="8878" spans="33:33" x14ac:dyDescent="0.25">
      <c r="AG8878" s="185"/>
    </row>
    <row r="8879" spans="33:33" x14ac:dyDescent="0.25">
      <c r="AG8879" s="185"/>
    </row>
    <row r="8880" spans="33:33" x14ac:dyDescent="0.25">
      <c r="AG8880" s="185"/>
    </row>
    <row r="8881" spans="33:33" x14ac:dyDescent="0.25">
      <c r="AG8881" s="185"/>
    </row>
    <row r="8882" spans="33:33" x14ac:dyDescent="0.25">
      <c r="AG8882" s="185"/>
    </row>
    <row r="8883" spans="33:33" x14ac:dyDescent="0.25">
      <c r="AG8883" s="185"/>
    </row>
    <row r="8884" spans="33:33" x14ac:dyDescent="0.25">
      <c r="AG8884" s="185"/>
    </row>
    <row r="8885" spans="33:33" x14ac:dyDescent="0.25">
      <c r="AG8885" s="185"/>
    </row>
    <row r="8886" spans="33:33" x14ac:dyDescent="0.25">
      <c r="AG8886" s="185"/>
    </row>
    <row r="8887" spans="33:33" x14ac:dyDescent="0.25">
      <c r="AG8887" s="185"/>
    </row>
    <row r="8888" spans="33:33" x14ac:dyDescent="0.25">
      <c r="AG8888" s="185"/>
    </row>
    <row r="8889" spans="33:33" x14ac:dyDescent="0.25">
      <c r="AG8889" s="185"/>
    </row>
    <row r="8890" spans="33:33" x14ac:dyDescent="0.25">
      <c r="AG8890" s="185"/>
    </row>
    <row r="8891" spans="33:33" x14ac:dyDescent="0.25">
      <c r="AG8891" s="185"/>
    </row>
    <row r="8892" spans="33:33" x14ac:dyDescent="0.25">
      <c r="AG8892" s="185"/>
    </row>
    <row r="8893" spans="33:33" x14ac:dyDescent="0.25">
      <c r="AG8893" s="185"/>
    </row>
    <row r="8894" spans="33:33" x14ac:dyDescent="0.25">
      <c r="AG8894" s="185"/>
    </row>
    <row r="8895" spans="33:33" x14ac:dyDescent="0.25">
      <c r="AG8895" s="185"/>
    </row>
    <row r="8896" spans="33:33" x14ac:dyDescent="0.25">
      <c r="AG8896" s="185"/>
    </row>
    <row r="8897" spans="33:33" x14ac:dyDescent="0.25">
      <c r="AG8897" s="185"/>
    </row>
    <row r="8898" spans="33:33" x14ac:dyDescent="0.25">
      <c r="AG8898" s="185"/>
    </row>
    <row r="8899" spans="33:33" x14ac:dyDescent="0.25">
      <c r="AG8899" s="185"/>
    </row>
    <row r="8900" spans="33:33" x14ac:dyDescent="0.25">
      <c r="AG8900" s="185"/>
    </row>
    <row r="8901" spans="33:33" x14ac:dyDescent="0.25">
      <c r="AG8901" s="185"/>
    </row>
    <row r="8902" spans="33:33" x14ac:dyDescent="0.25">
      <c r="AG8902" s="185"/>
    </row>
    <row r="8903" spans="33:33" x14ac:dyDescent="0.25">
      <c r="AG8903" s="185"/>
    </row>
    <row r="8904" spans="33:33" x14ac:dyDescent="0.25">
      <c r="AG8904" s="185"/>
    </row>
    <row r="8905" spans="33:33" x14ac:dyDescent="0.25">
      <c r="AG8905" s="185"/>
    </row>
    <row r="8906" spans="33:33" x14ac:dyDescent="0.25">
      <c r="AG8906" s="185"/>
    </row>
    <row r="8907" spans="33:33" x14ac:dyDescent="0.25">
      <c r="AG8907" s="185"/>
    </row>
    <row r="8908" spans="33:33" x14ac:dyDescent="0.25">
      <c r="AG8908" s="185"/>
    </row>
    <row r="8909" spans="33:33" x14ac:dyDescent="0.25">
      <c r="AG8909" s="185"/>
    </row>
    <row r="8910" spans="33:33" x14ac:dyDescent="0.25">
      <c r="AG8910" s="185"/>
    </row>
    <row r="8911" spans="33:33" x14ac:dyDescent="0.25">
      <c r="AG8911" s="185"/>
    </row>
    <row r="8912" spans="33:33" x14ac:dyDescent="0.25">
      <c r="AG8912" s="185"/>
    </row>
    <row r="8913" spans="33:33" x14ac:dyDescent="0.25">
      <c r="AG8913" s="185"/>
    </row>
    <row r="8914" spans="33:33" x14ac:dyDescent="0.25">
      <c r="AG8914" s="185"/>
    </row>
    <row r="8915" spans="33:33" x14ac:dyDescent="0.25">
      <c r="AG8915" s="185"/>
    </row>
    <row r="8916" spans="33:33" x14ac:dyDescent="0.25">
      <c r="AG8916" s="185"/>
    </row>
    <row r="8917" spans="33:33" x14ac:dyDescent="0.25">
      <c r="AG8917" s="185"/>
    </row>
    <row r="8918" spans="33:33" x14ac:dyDescent="0.25">
      <c r="AG8918" s="185"/>
    </row>
    <row r="8919" spans="33:33" x14ac:dyDescent="0.25">
      <c r="AG8919" s="185"/>
    </row>
    <row r="8920" spans="33:33" x14ac:dyDescent="0.25">
      <c r="AG8920" s="185"/>
    </row>
    <row r="8921" spans="33:33" x14ac:dyDescent="0.25">
      <c r="AG8921" s="185"/>
    </row>
    <row r="8922" spans="33:33" x14ac:dyDescent="0.25">
      <c r="AG8922" s="185"/>
    </row>
    <row r="8923" spans="33:33" x14ac:dyDescent="0.25">
      <c r="AG8923" s="185"/>
    </row>
    <row r="8924" spans="33:33" x14ac:dyDescent="0.25">
      <c r="AG8924" s="185"/>
    </row>
    <row r="8925" spans="33:33" x14ac:dyDescent="0.25">
      <c r="AG8925" s="185"/>
    </row>
    <row r="8926" spans="33:33" x14ac:dyDescent="0.25">
      <c r="AG8926" s="185"/>
    </row>
    <row r="8927" spans="33:33" x14ac:dyDescent="0.25">
      <c r="AG8927" s="185"/>
    </row>
    <row r="8928" spans="33:33" x14ac:dyDescent="0.25">
      <c r="AG8928" s="185"/>
    </row>
    <row r="8929" spans="33:33" x14ac:dyDescent="0.25">
      <c r="AG8929" s="185"/>
    </row>
    <row r="8930" spans="33:33" x14ac:dyDescent="0.25">
      <c r="AG8930" s="185"/>
    </row>
    <row r="8931" spans="33:33" x14ac:dyDescent="0.25">
      <c r="AG8931" s="185"/>
    </row>
    <row r="8932" spans="33:33" x14ac:dyDescent="0.25">
      <c r="AG8932" s="185"/>
    </row>
    <row r="8933" spans="33:33" x14ac:dyDescent="0.25">
      <c r="AG8933" s="185"/>
    </row>
    <row r="8934" spans="33:33" x14ac:dyDescent="0.25">
      <c r="AG8934" s="185"/>
    </row>
    <row r="8935" spans="33:33" x14ac:dyDescent="0.25">
      <c r="AG8935" s="185"/>
    </row>
    <row r="8936" spans="33:33" x14ac:dyDescent="0.25">
      <c r="AG8936" s="185"/>
    </row>
    <row r="8937" spans="33:33" x14ac:dyDescent="0.25">
      <c r="AG8937" s="185"/>
    </row>
    <row r="8938" spans="33:33" x14ac:dyDescent="0.25">
      <c r="AG8938" s="185"/>
    </row>
    <row r="8939" spans="33:33" x14ac:dyDescent="0.25">
      <c r="AG8939" s="185"/>
    </row>
    <row r="8940" spans="33:33" x14ac:dyDescent="0.25">
      <c r="AG8940" s="185"/>
    </row>
    <row r="8941" spans="33:33" x14ac:dyDescent="0.25">
      <c r="AG8941" s="185"/>
    </row>
    <row r="8942" spans="33:33" x14ac:dyDescent="0.25">
      <c r="AG8942" s="185"/>
    </row>
    <row r="8943" spans="33:33" x14ac:dyDescent="0.25">
      <c r="AG8943" s="185"/>
    </row>
    <row r="8944" spans="33:33" x14ac:dyDescent="0.25">
      <c r="AG8944" s="185"/>
    </row>
    <row r="8945" spans="33:33" x14ac:dyDescent="0.25">
      <c r="AG8945" s="185"/>
    </row>
    <row r="8946" spans="33:33" x14ac:dyDescent="0.25">
      <c r="AG8946" s="185"/>
    </row>
    <row r="8947" spans="33:33" x14ac:dyDescent="0.25">
      <c r="AG8947" s="185"/>
    </row>
    <row r="8948" spans="33:33" x14ac:dyDescent="0.25">
      <c r="AG8948" s="185"/>
    </row>
    <row r="8949" spans="33:33" x14ac:dyDescent="0.25">
      <c r="AG8949" s="185"/>
    </row>
    <row r="8950" spans="33:33" x14ac:dyDescent="0.25">
      <c r="AG8950" s="185"/>
    </row>
    <row r="8951" spans="33:33" x14ac:dyDescent="0.25">
      <c r="AG8951" s="185"/>
    </row>
    <row r="8952" spans="33:33" x14ac:dyDescent="0.25">
      <c r="AG8952" s="185"/>
    </row>
    <row r="8953" spans="33:33" x14ac:dyDescent="0.25">
      <c r="AG8953" s="185"/>
    </row>
    <row r="8954" spans="33:33" x14ac:dyDescent="0.25">
      <c r="AG8954" s="185"/>
    </row>
    <row r="8955" spans="33:33" x14ac:dyDescent="0.25">
      <c r="AG8955" s="185"/>
    </row>
    <row r="8956" spans="33:33" x14ac:dyDescent="0.25">
      <c r="AG8956" s="185"/>
    </row>
    <row r="8957" spans="33:33" x14ac:dyDescent="0.25">
      <c r="AG8957" s="185"/>
    </row>
    <row r="8958" spans="33:33" x14ac:dyDescent="0.25">
      <c r="AG8958" s="185"/>
    </row>
    <row r="8959" spans="33:33" x14ac:dyDescent="0.25">
      <c r="AG8959" s="185"/>
    </row>
    <row r="8960" spans="33:33" x14ac:dyDescent="0.25">
      <c r="AG8960" s="185"/>
    </row>
    <row r="8961" spans="33:33" x14ac:dyDescent="0.25">
      <c r="AG8961" s="185"/>
    </row>
    <row r="8962" spans="33:33" x14ac:dyDescent="0.25">
      <c r="AG8962" s="185"/>
    </row>
    <row r="8963" spans="33:33" x14ac:dyDescent="0.25">
      <c r="AG8963" s="185"/>
    </row>
    <row r="8964" spans="33:33" x14ac:dyDescent="0.25">
      <c r="AG8964" s="185"/>
    </row>
    <row r="8965" spans="33:33" x14ac:dyDescent="0.25">
      <c r="AG8965" s="185"/>
    </row>
    <row r="8966" spans="33:33" x14ac:dyDescent="0.25">
      <c r="AG8966" s="185"/>
    </row>
    <row r="8967" spans="33:33" x14ac:dyDescent="0.25">
      <c r="AG8967" s="185"/>
    </row>
    <row r="8968" spans="33:33" x14ac:dyDescent="0.25">
      <c r="AG8968" s="185"/>
    </row>
    <row r="8969" spans="33:33" x14ac:dyDescent="0.25">
      <c r="AG8969" s="185"/>
    </row>
    <row r="8970" spans="33:33" x14ac:dyDescent="0.25">
      <c r="AG8970" s="185"/>
    </row>
    <row r="8971" spans="33:33" x14ac:dyDescent="0.25">
      <c r="AG8971" s="185"/>
    </row>
    <row r="8972" spans="33:33" x14ac:dyDescent="0.25">
      <c r="AG8972" s="185"/>
    </row>
    <row r="8973" spans="33:33" x14ac:dyDescent="0.25">
      <c r="AG8973" s="185"/>
    </row>
    <row r="8974" spans="33:33" x14ac:dyDescent="0.25">
      <c r="AG8974" s="185"/>
    </row>
    <row r="8975" spans="33:33" x14ac:dyDescent="0.25">
      <c r="AG8975" s="185"/>
    </row>
    <row r="8976" spans="33:33" x14ac:dyDescent="0.25">
      <c r="AG8976" s="185"/>
    </row>
    <row r="8977" spans="33:33" x14ac:dyDescent="0.25">
      <c r="AG8977" s="185"/>
    </row>
    <row r="8978" spans="33:33" x14ac:dyDescent="0.25">
      <c r="AG8978" s="185"/>
    </row>
    <row r="8979" spans="33:33" x14ac:dyDescent="0.25">
      <c r="AG8979" s="185"/>
    </row>
    <row r="8980" spans="33:33" x14ac:dyDescent="0.25">
      <c r="AG8980" s="185"/>
    </row>
    <row r="8981" spans="33:33" x14ac:dyDescent="0.25">
      <c r="AG8981" s="185"/>
    </row>
    <row r="8982" spans="33:33" x14ac:dyDescent="0.25">
      <c r="AG8982" s="185"/>
    </row>
    <row r="8983" spans="33:33" x14ac:dyDescent="0.25">
      <c r="AG8983" s="185"/>
    </row>
    <row r="8984" spans="33:33" x14ac:dyDescent="0.25">
      <c r="AG8984" s="185"/>
    </row>
    <row r="8985" spans="33:33" x14ac:dyDescent="0.25">
      <c r="AG8985" s="185"/>
    </row>
    <row r="8986" spans="33:33" x14ac:dyDescent="0.25">
      <c r="AG8986" s="185"/>
    </row>
    <row r="8987" spans="33:33" x14ac:dyDescent="0.25">
      <c r="AG8987" s="185"/>
    </row>
    <row r="8988" spans="33:33" x14ac:dyDescent="0.25">
      <c r="AG8988" s="185"/>
    </row>
    <row r="8989" spans="33:33" x14ac:dyDescent="0.25">
      <c r="AG8989" s="185"/>
    </row>
    <row r="8990" spans="33:33" x14ac:dyDescent="0.25">
      <c r="AG8990" s="185"/>
    </row>
    <row r="8991" spans="33:33" x14ac:dyDescent="0.25">
      <c r="AG8991" s="185"/>
    </row>
    <row r="8992" spans="33:33" x14ac:dyDescent="0.25">
      <c r="AG8992" s="185"/>
    </row>
    <row r="8993" spans="33:33" x14ac:dyDescent="0.25">
      <c r="AG8993" s="185"/>
    </row>
    <row r="8994" spans="33:33" x14ac:dyDescent="0.25">
      <c r="AG8994" s="185"/>
    </row>
    <row r="8995" spans="33:33" x14ac:dyDescent="0.25">
      <c r="AG8995" s="185"/>
    </row>
    <row r="8996" spans="33:33" x14ac:dyDescent="0.25">
      <c r="AG8996" s="185"/>
    </row>
    <row r="8997" spans="33:33" x14ac:dyDescent="0.25">
      <c r="AG8997" s="185"/>
    </row>
    <row r="8998" spans="33:33" x14ac:dyDescent="0.25">
      <c r="AG8998" s="185"/>
    </row>
    <row r="8999" spans="33:33" x14ac:dyDescent="0.25">
      <c r="AG8999" s="185"/>
    </row>
    <row r="9000" spans="33:33" x14ac:dyDescent="0.25">
      <c r="AG9000" s="185"/>
    </row>
    <row r="9001" spans="33:33" x14ac:dyDescent="0.25">
      <c r="AG9001" s="185"/>
    </row>
    <row r="9002" spans="33:33" x14ac:dyDescent="0.25">
      <c r="AG9002" s="185"/>
    </row>
    <row r="9003" spans="33:33" x14ac:dyDescent="0.25">
      <c r="AG9003" s="185"/>
    </row>
    <row r="9004" spans="33:33" x14ac:dyDescent="0.25">
      <c r="AG9004" s="185"/>
    </row>
    <row r="9005" spans="33:33" x14ac:dyDescent="0.25">
      <c r="AG9005" s="185"/>
    </row>
    <row r="9006" spans="33:33" x14ac:dyDescent="0.25">
      <c r="AG9006" s="185"/>
    </row>
    <row r="9007" spans="33:33" x14ac:dyDescent="0.25">
      <c r="AG9007" s="185"/>
    </row>
    <row r="9008" spans="33:33" x14ac:dyDescent="0.25">
      <c r="AG9008" s="185"/>
    </row>
    <row r="9009" spans="33:33" x14ac:dyDescent="0.25">
      <c r="AG9009" s="185"/>
    </row>
    <row r="9010" spans="33:33" x14ac:dyDescent="0.25">
      <c r="AG9010" s="185"/>
    </row>
    <row r="9011" spans="33:33" x14ac:dyDescent="0.25">
      <c r="AG9011" s="185"/>
    </row>
    <row r="9012" spans="33:33" x14ac:dyDescent="0.25">
      <c r="AG9012" s="185"/>
    </row>
    <row r="9013" spans="33:33" x14ac:dyDescent="0.25">
      <c r="AG9013" s="185"/>
    </row>
    <row r="9014" spans="33:33" x14ac:dyDescent="0.25">
      <c r="AG9014" s="185"/>
    </row>
    <row r="9015" spans="33:33" x14ac:dyDescent="0.25">
      <c r="AG9015" s="185"/>
    </row>
    <row r="9016" spans="33:33" x14ac:dyDescent="0.25">
      <c r="AG9016" s="185"/>
    </row>
    <row r="9017" spans="33:33" x14ac:dyDescent="0.25">
      <c r="AG9017" s="185"/>
    </row>
    <row r="9018" spans="33:33" x14ac:dyDescent="0.25">
      <c r="AG9018" s="185"/>
    </row>
    <row r="9019" spans="33:33" x14ac:dyDescent="0.25">
      <c r="AG9019" s="185"/>
    </row>
    <row r="9020" spans="33:33" x14ac:dyDescent="0.25">
      <c r="AG9020" s="185"/>
    </row>
    <row r="9021" spans="33:33" x14ac:dyDescent="0.25">
      <c r="AG9021" s="185"/>
    </row>
    <row r="9022" spans="33:33" x14ac:dyDescent="0.25">
      <c r="AG9022" s="185"/>
    </row>
    <row r="9023" spans="33:33" x14ac:dyDescent="0.25">
      <c r="AG9023" s="185"/>
    </row>
    <row r="9024" spans="33:33" x14ac:dyDescent="0.25">
      <c r="AG9024" s="185"/>
    </row>
    <row r="9025" spans="33:33" x14ac:dyDescent="0.25">
      <c r="AG9025" s="185"/>
    </row>
    <row r="9026" spans="33:33" x14ac:dyDescent="0.25">
      <c r="AG9026" s="185"/>
    </row>
    <row r="9027" spans="33:33" x14ac:dyDescent="0.25">
      <c r="AG9027" s="185"/>
    </row>
    <row r="9028" spans="33:33" x14ac:dyDescent="0.25">
      <c r="AG9028" s="185"/>
    </row>
    <row r="9029" spans="33:33" x14ac:dyDescent="0.25">
      <c r="AG9029" s="185"/>
    </row>
    <row r="9030" spans="33:33" x14ac:dyDescent="0.25">
      <c r="AG9030" s="185"/>
    </row>
    <row r="9031" spans="33:33" x14ac:dyDescent="0.25">
      <c r="AG9031" s="185"/>
    </row>
    <row r="9032" spans="33:33" x14ac:dyDescent="0.25">
      <c r="AG9032" s="185"/>
    </row>
    <row r="9033" spans="33:33" x14ac:dyDescent="0.25">
      <c r="AG9033" s="185"/>
    </row>
    <row r="9034" spans="33:33" x14ac:dyDescent="0.25">
      <c r="AG9034" s="185"/>
    </row>
    <row r="9035" spans="33:33" x14ac:dyDescent="0.25">
      <c r="AG9035" s="185"/>
    </row>
    <row r="9036" spans="33:33" x14ac:dyDescent="0.25">
      <c r="AG9036" s="185"/>
    </row>
    <row r="9037" spans="33:33" x14ac:dyDescent="0.25">
      <c r="AG9037" s="185"/>
    </row>
    <row r="9038" spans="33:33" x14ac:dyDescent="0.25">
      <c r="AG9038" s="185"/>
    </row>
    <row r="9039" spans="33:33" x14ac:dyDescent="0.25">
      <c r="AG9039" s="185"/>
    </row>
    <row r="9040" spans="33:33" x14ac:dyDescent="0.25">
      <c r="AG9040" s="185"/>
    </row>
    <row r="9041" spans="33:33" x14ac:dyDescent="0.25">
      <c r="AG9041" s="185"/>
    </row>
    <row r="9042" spans="33:33" x14ac:dyDescent="0.25">
      <c r="AG9042" s="185"/>
    </row>
    <row r="9043" spans="33:33" x14ac:dyDescent="0.25">
      <c r="AG9043" s="185"/>
    </row>
    <row r="9044" spans="33:33" x14ac:dyDescent="0.25">
      <c r="AG9044" s="185"/>
    </row>
    <row r="9045" spans="33:33" x14ac:dyDescent="0.25">
      <c r="AG9045" s="185"/>
    </row>
    <row r="9046" spans="33:33" x14ac:dyDescent="0.25">
      <c r="AG9046" s="185"/>
    </row>
    <row r="9047" spans="33:33" x14ac:dyDescent="0.25">
      <c r="AG9047" s="185"/>
    </row>
    <row r="9048" spans="33:33" x14ac:dyDescent="0.25">
      <c r="AG9048" s="185"/>
    </row>
    <row r="9049" spans="33:33" x14ac:dyDescent="0.25">
      <c r="AG9049" s="185"/>
    </row>
    <row r="9050" spans="33:33" x14ac:dyDescent="0.25">
      <c r="AG9050" s="185"/>
    </row>
    <row r="9051" spans="33:33" x14ac:dyDescent="0.25">
      <c r="AG9051" s="185"/>
    </row>
    <row r="9052" spans="33:33" x14ac:dyDescent="0.25">
      <c r="AG9052" s="185"/>
    </row>
    <row r="9053" spans="33:33" x14ac:dyDescent="0.25">
      <c r="AG9053" s="185"/>
    </row>
    <row r="9054" spans="33:33" x14ac:dyDescent="0.25">
      <c r="AG9054" s="185"/>
    </row>
    <row r="9055" spans="33:33" x14ac:dyDescent="0.25">
      <c r="AG9055" s="185"/>
    </row>
    <row r="9056" spans="33:33" x14ac:dyDescent="0.25">
      <c r="AG9056" s="185"/>
    </row>
    <row r="9057" spans="33:33" x14ac:dyDescent="0.25">
      <c r="AG9057" s="185"/>
    </row>
    <row r="9058" spans="33:33" x14ac:dyDescent="0.25">
      <c r="AG9058" s="185"/>
    </row>
    <row r="9059" spans="33:33" x14ac:dyDescent="0.25">
      <c r="AG9059" s="185"/>
    </row>
    <row r="9060" spans="33:33" x14ac:dyDescent="0.25">
      <c r="AG9060" s="185"/>
    </row>
    <row r="9061" spans="33:33" x14ac:dyDescent="0.25">
      <c r="AG9061" s="185"/>
    </row>
    <row r="9062" spans="33:33" x14ac:dyDescent="0.25">
      <c r="AG9062" s="185"/>
    </row>
    <row r="9063" spans="33:33" x14ac:dyDescent="0.25">
      <c r="AG9063" s="185"/>
    </row>
    <row r="9064" spans="33:33" x14ac:dyDescent="0.25">
      <c r="AG9064" s="185"/>
    </row>
    <row r="9065" spans="33:33" x14ac:dyDescent="0.25">
      <c r="AG9065" s="185"/>
    </row>
    <row r="9066" spans="33:33" x14ac:dyDescent="0.25">
      <c r="AG9066" s="185"/>
    </row>
    <row r="9067" spans="33:33" x14ac:dyDescent="0.25">
      <c r="AG9067" s="185"/>
    </row>
    <row r="9068" spans="33:33" x14ac:dyDescent="0.25">
      <c r="AG9068" s="185"/>
    </row>
    <row r="9069" spans="33:33" x14ac:dyDescent="0.25">
      <c r="AG9069" s="185"/>
    </row>
    <row r="9070" spans="33:33" x14ac:dyDescent="0.25">
      <c r="AG9070" s="185"/>
    </row>
    <row r="9071" spans="33:33" x14ac:dyDescent="0.25">
      <c r="AG9071" s="185"/>
    </row>
    <row r="9072" spans="33:33" x14ac:dyDescent="0.25">
      <c r="AG9072" s="185"/>
    </row>
    <row r="9073" spans="33:33" x14ac:dyDescent="0.25">
      <c r="AG9073" s="185"/>
    </row>
    <row r="9074" spans="33:33" x14ac:dyDescent="0.25">
      <c r="AG9074" s="185"/>
    </row>
    <row r="9075" spans="33:33" x14ac:dyDescent="0.25">
      <c r="AG9075" s="185"/>
    </row>
    <row r="9076" spans="33:33" x14ac:dyDescent="0.25">
      <c r="AG9076" s="185"/>
    </row>
    <row r="9077" spans="33:33" x14ac:dyDescent="0.25">
      <c r="AG9077" s="185"/>
    </row>
    <row r="9078" spans="33:33" x14ac:dyDescent="0.25">
      <c r="AG9078" s="185"/>
    </row>
    <row r="9079" spans="33:33" x14ac:dyDescent="0.25">
      <c r="AG9079" s="185"/>
    </row>
    <row r="9080" spans="33:33" x14ac:dyDescent="0.25">
      <c r="AG9080" s="185"/>
    </row>
    <row r="9081" spans="33:33" x14ac:dyDescent="0.25">
      <c r="AG9081" s="185"/>
    </row>
    <row r="9082" spans="33:33" x14ac:dyDescent="0.25">
      <c r="AG9082" s="185"/>
    </row>
    <row r="9083" spans="33:33" x14ac:dyDescent="0.25">
      <c r="AG9083" s="185"/>
    </row>
    <row r="9084" spans="33:33" x14ac:dyDescent="0.25">
      <c r="AG9084" s="185"/>
    </row>
    <row r="9085" spans="33:33" x14ac:dyDescent="0.25">
      <c r="AG9085" s="185"/>
    </row>
    <row r="9086" spans="33:33" x14ac:dyDescent="0.25">
      <c r="AG9086" s="185"/>
    </row>
    <row r="9087" spans="33:33" x14ac:dyDescent="0.25">
      <c r="AG9087" s="185"/>
    </row>
    <row r="9088" spans="33:33" x14ac:dyDescent="0.25">
      <c r="AG9088" s="185"/>
    </row>
    <row r="9089" spans="33:33" x14ac:dyDescent="0.25">
      <c r="AG9089" s="185"/>
    </row>
    <row r="9090" spans="33:33" x14ac:dyDescent="0.25">
      <c r="AG9090" s="185"/>
    </row>
    <row r="9091" spans="33:33" x14ac:dyDescent="0.25">
      <c r="AG9091" s="185"/>
    </row>
    <row r="9092" spans="33:33" x14ac:dyDescent="0.25">
      <c r="AG9092" s="185"/>
    </row>
    <row r="9093" spans="33:33" x14ac:dyDescent="0.25">
      <c r="AG9093" s="185"/>
    </row>
    <row r="9094" spans="33:33" x14ac:dyDescent="0.25">
      <c r="AG9094" s="185"/>
    </row>
    <row r="9095" spans="33:33" x14ac:dyDescent="0.25">
      <c r="AG9095" s="185"/>
    </row>
    <row r="9096" spans="33:33" x14ac:dyDescent="0.25">
      <c r="AG9096" s="185"/>
    </row>
    <row r="9097" spans="33:33" x14ac:dyDescent="0.25">
      <c r="AG9097" s="185"/>
    </row>
    <row r="9098" spans="33:33" x14ac:dyDescent="0.25">
      <c r="AG9098" s="185"/>
    </row>
    <row r="9099" spans="33:33" x14ac:dyDescent="0.25">
      <c r="AG9099" s="185"/>
    </row>
    <row r="9100" spans="33:33" x14ac:dyDescent="0.25">
      <c r="AG9100" s="185"/>
    </row>
    <row r="9101" spans="33:33" x14ac:dyDescent="0.25">
      <c r="AG9101" s="185"/>
    </row>
    <row r="9102" spans="33:33" x14ac:dyDescent="0.25">
      <c r="AG9102" s="185"/>
    </row>
    <row r="9103" spans="33:33" x14ac:dyDescent="0.25">
      <c r="AG9103" s="185"/>
    </row>
    <row r="9104" spans="33:33" x14ac:dyDescent="0.25">
      <c r="AG9104" s="185"/>
    </row>
    <row r="9105" spans="33:33" x14ac:dyDescent="0.25">
      <c r="AG9105" s="185"/>
    </row>
    <row r="9106" spans="33:33" x14ac:dyDescent="0.25">
      <c r="AG9106" s="185"/>
    </row>
    <row r="9107" spans="33:33" x14ac:dyDescent="0.25">
      <c r="AG9107" s="185"/>
    </row>
    <row r="9108" spans="33:33" x14ac:dyDescent="0.25">
      <c r="AG9108" s="185"/>
    </row>
    <row r="9109" spans="33:33" x14ac:dyDescent="0.25">
      <c r="AG9109" s="185"/>
    </row>
    <row r="9110" spans="33:33" x14ac:dyDescent="0.25">
      <c r="AG9110" s="185"/>
    </row>
    <row r="9111" spans="33:33" x14ac:dyDescent="0.25">
      <c r="AG9111" s="185"/>
    </row>
    <row r="9112" spans="33:33" x14ac:dyDescent="0.25">
      <c r="AG9112" s="185"/>
    </row>
    <row r="9113" spans="33:33" x14ac:dyDescent="0.25">
      <c r="AG9113" s="185"/>
    </row>
    <row r="9114" spans="33:33" x14ac:dyDescent="0.25">
      <c r="AG9114" s="185"/>
    </row>
    <row r="9115" spans="33:33" x14ac:dyDescent="0.25">
      <c r="AG9115" s="185"/>
    </row>
    <row r="9116" spans="33:33" x14ac:dyDescent="0.25">
      <c r="AG9116" s="185"/>
    </row>
    <row r="9117" spans="33:33" x14ac:dyDescent="0.25">
      <c r="AG9117" s="185"/>
    </row>
    <row r="9118" spans="33:33" x14ac:dyDescent="0.25">
      <c r="AG9118" s="185"/>
    </row>
    <row r="9119" spans="33:33" x14ac:dyDescent="0.25">
      <c r="AG9119" s="185"/>
    </row>
    <row r="9120" spans="33:33" x14ac:dyDescent="0.25">
      <c r="AG9120" s="185"/>
    </row>
    <row r="9121" spans="33:33" x14ac:dyDescent="0.25">
      <c r="AG9121" s="185"/>
    </row>
    <row r="9122" spans="33:33" x14ac:dyDescent="0.25">
      <c r="AG9122" s="185"/>
    </row>
    <row r="9123" spans="33:33" x14ac:dyDescent="0.25">
      <c r="AG9123" s="185"/>
    </row>
    <row r="9124" spans="33:33" x14ac:dyDescent="0.25">
      <c r="AG9124" s="185"/>
    </row>
    <row r="9125" spans="33:33" x14ac:dyDescent="0.25">
      <c r="AG9125" s="185"/>
    </row>
    <row r="9126" spans="33:33" x14ac:dyDescent="0.25">
      <c r="AG9126" s="185"/>
    </row>
    <row r="9127" spans="33:33" x14ac:dyDescent="0.25">
      <c r="AG9127" s="185"/>
    </row>
    <row r="9128" spans="33:33" x14ac:dyDescent="0.25">
      <c r="AG9128" s="185"/>
    </row>
    <row r="9129" spans="33:33" x14ac:dyDescent="0.25">
      <c r="AG9129" s="185"/>
    </row>
    <row r="9130" spans="33:33" x14ac:dyDescent="0.25">
      <c r="AG9130" s="185"/>
    </row>
    <row r="9131" spans="33:33" x14ac:dyDescent="0.25">
      <c r="AG9131" s="185"/>
    </row>
    <row r="9132" spans="33:33" x14ac:dyDescent="0.25">
      <c r="AG9132" s="185"/>
    </row>
    <row r="9133" spans="33:33" x14ac:dyDescent="0.25">
      <c r="AG9133" s="185"/>
    </row>
    <row r="9134" spans="33:33" x14ac:dyDescent="0.25">
      <c r="AG9134" s="185"/>
    </row>
    <row r="9135" spans="33:33" x14ac:dyDescent="0.25">
      <c r="AG9135" s="185"/>
    </row>
    <row r="9136" spans="33:33" x14ac:dyDescent="0.25">
      <c r="AG9136" s="185"/>
    </row>
    <row r="9137" spans="33:33" x14ac:dyDescent="0.25">
      <c r="AG9137" s="185"/>
    </row>
    <row r="9138" spans="33:33" x14ac:dyDescent="0.25">
      <c r="AG9138" s="185"/>
    </row>
    <row r="9139" spans="33:33" x14ac:dyDescent="0.25">
      <c r="AG9139" s="185"/>
    </row>
    <row r="9140" spans="33:33" x14ac:dyDescent="0.25">
      <c r="AG9140" s="185"/>
    </row>
    <row r="9141" spans="33:33" x14ac:dyDescent="0.25">
      <c r="AG9141" s="185"/>
    </row>
    <row r="9142" spans="33:33" x14ac:dyDescent="0.25">
      <c r="AG9142" s="185"/>
    </row>
    <row r="9143" spans="33:33" x14ac:dyDescent="0.25">
      <c r="AG9143" s="185"/>
    </row>
    <row r="9144" spans="33:33" x14ac:dyDescent="0.25">
      <c r="AG9144" s="185"/>
    </row>
    <row r="9145" spans="33:33" x14ac:dyDescent="0.25">
      <c r="AG9145" s="185"/>
    </row>
    <row r="9146" spans="33:33" x14ac:dyDescent="0.25">
      <c r="AG9146" s="185"/>
    </row>
    <row r="9147" spans="33:33" x14ac:dyDescent="0.25">
      <c r="AG9147" s="185"/>
    </row>
    <row r="9148" spans="33:33" x14ac:dyDescent="0.25">
      <c r="AG9148" s="185"/>
    </row>
    <row r="9149" spans="33:33" x14ac:dyDescent="0.25">
      <c r="AG9149" s="185"/>
    </row>
    <row r="9150" spans="33:33" x14ac:dyDescent="0.25">
      <c r="AG9150" s="185"/>
    </row>
    <row r="9151" spans="33:33" x14ac:dyDescent="0.25">
      <c r="AG9151" s="185"/>
    </row>
    <row r="9152" spans="33:33" x14ac:dyDescent="0.25">
      <c r="AG9152" s="185"/>
    </row>
    <row r="9153" spans="33:33" x14ac:dyDescent="0.25">
      <c r="AG9153" s="185"/>
    </row>
    <row r="9154" spans="33:33" x14ac:dyDescent="0.25">
      <c r="AG9154" s="185"/>
    </row>
    <row r="9155" spans="33:33" x14ac:dyDescent="0.25">
      <c r="AG9155" s="185"/>
    </row>
    <row r="9156" spans="33:33" x14ac:dyDescent="0.25">
      <c r="AG9156" s="185"/>
    </row>
    <row r="9157" spans="33:33" x14ac:dyDescent="0.25">
      <c r="AG9157" s="185"/>
    </row>
    <row r="9158" spans="33:33" x14ac:dyDescent="0.25">
      <c r="AG9158" s="185"/>
    </row>
    <row r="9159" spans="33:33" x14ac:dyDescent="0.25">
      <c r="AG9159" s="185"/>
    </row>
    <row r="9160" spans="33:33" x14ac:dyDescent="0.25">
      <c r="AG9160" s="185"/>
    </row>
    <row r="9161" spans="33:33" x14ac:dyDescent="0.25">
      <c r="AG9161" s="185"/>
    </row>
    <row r="9162" spans="33:33" x14ac:dyDescent="0.25">
      <c r="AG9162" s="185"/>
    </row>
    <row r="9163" spans="33:33" x14ac:dyDescent="0.25">
      <c r="AG9163" s="185"/>
    </row>
    <row r="9164" spans="33:33" x14ac:dyDescent="0.25">
      <c r="AG9164" s="185"/>
    </row>
    <row r="9165" spans="33:33" x14ac:dyDescent="0.25">
      <c r="AG9165" s="185"/>
    </row>
    <row r="9166" spans="33:33" x14ac:dyDescent="0.25">
      <c r="AG9166" s="185"/>
    </row>
    <row r="9167" spans="33:33" x14ac:dyDescent="0.25">
      <c r="AG9167" s="185"/>
    </row>
    <row r="9168" spans="33:33" x14ac:dyDescent="0.25">
      <c r="AG9168" s="185"/>
    </row>
    <row r="9169" spans="33:33" x14ac:dyDescent="0.25">
      <c r="AG9169" s="185"/>
    </row>
    <row r="9170" spans="33:33" x14ac:dyDescent="0.25">
      <c r="AG9170" s="185"/>
    </row>
    <row r="9171" spans="33:33" x14ac:dyDescent="0.25">
      <c r="AG9171" s="185"/>
    </row>
    <row r="9172" spans="33:33" x14ac:dyDescent="0.25">
      <c r="AG9172" s="185"/>
    </row>
    <row r="9173" spans="33:33" x14ac:dyDescent="0.25">
      <c r="AG9173" s="185"/>
    </row>
    <row r="9174" spans="33:33" x14ac:dyDescent="0.25">
      <c r="AG9174" s="185"/>
    </row>
    <row r="9175" spans="33:33" x14ac:dyDescent="0.25">
      <c r="AG9175" s="185"/>
    </row>
    <row r="9176" spans="33:33" x14ac:dyDescent="0.25">
      <c r="AG9176" s="185"/>
    </row>
    <row r="9177" spans="33:33" x14ac:dyDescent="0.25">
      <c r="AG9177" s="185"/>
    </row>
    <row r="9178" spans="33:33" x14ac:dyDescent="0.25">
      <c r="AG9178" s="185"/>
    </row>
    <row r="9179" spans="33:33" x14ac:dyDescent="0.25">
      <c r="AG9179" s="185"/>
    </row>
    <row r="9180" spans="33:33" x14ac:dyDescent="0.25">
      <c r="AG9180" s="185"/>
    </row>
    <row r="9181" spans="33:33" x14ac:dyDescent="0.25">
      <c r="AG9181" s="185"/>
    </row>
    <row r="9182" spans="33:33" x14ac:dyDescent="0.25">
      <c r="AG9182" s="185"/>
    </row>
    <row r="9183" spans="33:33" x14ac:dyDescent="0.25">
      <c r="AG9183" s="185"/>
    </row>
    <row r="9184" spans="33:33" x14ac:dyDescent="0.25">
      <c r="AG9184" s="185"/>
    </row>
    <row r="9185" spans="33:33" x14ac:dyDescent="0.25">
      <c r="AG9185" s="185"/>
    </row>
    <row r="9186" spans="33:33" x14ac:dyDescent="0.25">
      <c r="AG9186" s="185"/>
    </row>
    <row r="9187" spans="33:33" x14ac:dyDescent="0.25">
      <c r="AG9187" s="185"/>
    </row>
    <row r="9188" spans="33:33" x14ac:dyDescent="0.25">
      <c r="AG9188" s="185"/>
    </row>
    <row r="9189" spans="33:33" x14ac:dyDescent="0.25">
      <c r="AG9189" s="185"/>
    </row>
    <row r="9190" spans="33:33" x14ac:dyDescent="0.25">
      <c r="AG9190" s="185"/>
    </row>
    <row r="9191" spans="33:33" x14ac:dyDescent="0.25">
      <c r="AG9191" s="185"/>
    </row>
    <row r="9192" spans="33:33" x14ac:dyDescent="0.25">
      <c r="AG9192" s="185"/>
    </row>
    <row r="9193" spans="33:33" x14ac:dyDescent="0.25">
      <c r="AG9193" s="185"/>
    </row>
    <row r="9194" spans="33:33" x14ac:dyDescent="0.25">
      <c r="AG9194" s="185"/>
    </row>
    <row r="9195" spans="33:33" x14ac:dyDescent="0.25">
      <c r="AG9195" s="185"/>
    </row>
    <row r="9196" spans="33:33" x14ac:dyDescent="0.25">
      <c r="AG9196" s="185"/>
    </row>
    <row r="9197" spans="33:33" x14ac:dyDescent="0.25">
      <c r="AG9197" s="185"/>
    </row>
    <row r="9198" spans="33:33" x14ac:dyDescent="0.25">
      <c r="AG9198" s="185"/>
    </row>
    <row r="9199" spans="33:33" x14ac:dyDescent="0.25">
      <c r="AG9199" s="185"/>
    </row>
    <row r="9200" spans="33:33" x14ac:dyDescent="0.25">
      <c r="AG9200" s="185"/>
    </row>
    <row r="9201" spans="33:33" x14ac:dyDescent="0.25">
      <c r="AG9201" s="185"/>
    </row>
    <row r="9202" spans="33:33" x14ac:dyDescent="0.25">
      <c r="AG9202" s="185"/>
    </row>
    <row r="9203" spans="33:33" x14ac:dyDescent="0.25">
      <c r="AG9203" s="185"/>
    </row>
    <row r="9204" spans="33:33" x14ac:dyDescent="0.25">
      <c r="AG9204" s="185"/>
    </row>
    <row r="9205" spans="33:33" x14ac:dyDescent="0.25">
      <c r="AG9205" s="185"/>
    </row>
    <row r="9206" spans="33:33" x14ac:dyDescent="0.25">
      <c r="AG9206" s="185"/>
    </row>
    <row r="9207" spans="33:33" x14ac:dyDescent="0.25">
      <c r="AG9207" s="185"/>
    </row>
    <row r="9208" spans="33:33" x14ac:dyDescent="0.25">
      <c r="AG9208" s="185"/>
    </row>
    <row r="9209" spans="33:33" x14ac:dyDescent="0.25">
      <c r="AG9209" s="185"/>
    </row>
    <row r="9210" spans="33:33" x14ac:dyDescent="0.25">
      <c r="AG9210" s="185"/>
    </row>
    <row r="9211" spans="33:33" x14ac:dyDescent="0.25">
      <c r="AG9211" s="185"/>
    </row>
    <row r="9212" spans="33:33" x14ac:dyDescent="0.25">
      <c r="AG9212" s="185"/>
    </row>
    <row r="9213" spans="33:33" x14ac:dyDescent="0.25">
      <c r="AG9213" s="185"/>
    </row>
    <row r="9214" spans="33:33" x14ac:dyDescent="0.25">
      <c r="AG9214" s="185"/>
    </row>
    <row r="9215" spans="33:33" x14ac:dyDescent="0.25">
      <c r="AG9215" s="185"/>
    </row>
    <row r="9216" spans="33:33" x14ac:dyDescent="0.25">
      <c r="AG9216" s="185"/>
    </row>
    <row r="9217" spans="33:33" x14ac:dyDescent="0.25">
      <c r="AG9217" s="185"/>
    </row>
    <row r="9218" spans="33:33" x14ac:dyDescent="0.25">
      <c r="AG9218" s="185"/>
    </row>
    <row r="9219" spans="33:33" x14ac:dyDescent="0.25">
      <c r="AG9219" s="185"/>
    </row>
    <row r="9220" spans="33:33" x14ac:dyDescent="0.25">
      <c r="AG9220" s="185"/>
    </row>
    <row r="9221" spans="33:33" x14ac:dyDescent="0.25">
      <c r="AG9221" s="185"/>
    </row>
    <row r="9222" spans="33:33" x14ac:dyDescent="0.25">
      <c r="AG9222" s="185"/>
    </row>
    <row r="9223" spans="33:33" x14ac:dyDescent="0.25">
      <c r="AG9223" s="185"/>
    </row>
    <row r="9224" spans="33:33" x14ac:dyDescent="0.25">
      <c r="AG9224" s="185"/>
    </row>
    <row r="9225" spans="33:33" x14ac:dyDescent="0.25">
      <c r="AG9225" s="185"/>
    </row>
    <row r="9226" spans="33:33" x14ac:dyDescent="0.25">
      <c r="AG9226" s="185"/>
    </row>
    <row r="9227" spans="33:33" x14ac:dyDescent="0.25">
      <c r="AG9227" s="185"/>
    </row>
    <row r="9228" spans="33:33" x14ac:dyDescent="0.25">
      <c r="AG9228" s="185"/>
    </row>
    <row r="9229" spans="33:33" x14ac:dyDescent="0.25">
      <c r="AG9229" s="185"/>
    </row>
    <row r="9230" spans="33:33" x14ac:dyDescent="0.25">
      <c r="AG9230" s="185"/>
    </row>
    <row r="9231" spans="33:33" x14ac:dyDescent="0.25">
      <c r="AG9231" s="185"/>
    </row>
    <row r="9232" spans="33:33" x14ac:dyDescent="0.25">
      <c r="AG9232" s="185"/>
    </row>
    <row r="9233" spans="33:33" x14ac:dyDescent="0.25">
      <c r="AG9233" s="185"/>
    </row>
    <row r="9234" spans="33:33" x14ac:dyDescent="0.25">
      <c r="AG9234" s="185"/>
    </row>
    <row r="9235" spans="33:33" x14ac:dyDescent="0.25">
      <c r="AG9235" s="185"/>
    </row>
    <row r="9236" spans="33:33" x14ac:dyDescent="0.25">
      <c r="AG9236" s="185"/>
    </row>
    <row r="9237" spans="33:33" x14ac:dyDescent="0.25">
      <c r="AG9237" s="185"/>
    </row>
    <row r="9238" spans="33:33" x14ac:dyDescent="0.25">
      <c r="AG9238" s="185"/>
    </row>
    <row r="9239" spans="33:33" x14ac:dyDescent="0.25">
      <c r="AG9239" s="185"/>
    </row>
    <row r="9240" spans="33:33" x14ac:dyDescent="0.25">
      <c r="AG9240" s="185"/>
    </row>
    <row r="9241" spans="33:33" x14ac:dyDescent="0.25">
      <c r="AG9241" s="185"/>
    </row>
    <row r="9242" spans="33:33" x14ac:dyDescent="0.25">
      <c r="AG9242" s="185"/>
    </row>
    <row r="9243" spans="33:33" x14ac:dyDescent="0.25">
      <c r="AG9243" s="185"/>
    </row>
    <row r="9244" spans="33:33" x14ac:dyDescent="0.25">
      <c r="AG9244" s="185"/>
    </row>
    <row r="9245" spans="33:33" x14ac:dyDescent="0.25">
      <c r="AG9245" s="185"/>
    </row>
    <row r="9246" spans="33:33" x14ac:dyDescent="0.25">
      <c r="AG9246" s="185"/>
    </row>
    <row r="9247" spans="33:33" x14ac:dyDescent="0.25">
      <c r="AG9247" s="185"/>
    </row>
    <row r="9248" spans="33:33" x14ac:dyDescent="0.25">
      <c r="AG9248" s="185"/>
    </row>
    <row r="9249" spans="33:33" x14ac:dyDescent="0.25">
      <c r="AG9249" s="185"/>
    </row>
    <row r="9250" spans="33:33" x14ac:dyDescent="0.25">
      <c r="AG9250" s="185"/>
    </row>
    <row r="9251" spans="33:33" x14ac:dyDescent="0.25">
      <c r="AG9251" s="185"/>
    </row>
    <row r="9252" spans="33:33" x14ac:dyDescent="0.25">
      <c r="AG9252" s="185"/>
    </row>
    <row r="9253" spans="33:33" x14ac:dyDescent="0.25">
      <c r="AG9253" s="185"/>
    </row>
    <row r="9254" spans="33:33" x14ac:dyDescent="0.25">
      <c r="AG9254" s="185"/>
    </row>
    <row r="9255" spans="33:33" x14ac:dyDescent="0.25">
      <c r="AG9255" s="185"/>
    </row>
    <row r="9256" spans="33:33" x14ac:dyDescent="0.25">
      <c r="AG9256" s="185"/>
    </row>
    <row r="9257" spans="33:33" x14ac:dyDescent="0.25">
      <c r="AG9257" s="185"/>
    </row>
    <row r="9258" spans="33:33" x14ac:dyDescent="0.25">
      <c r="AG9258" s="185"/>
    </row>
    <row r="9259" spans="33:33" x14ac:dyDescent="0.25">
      <c r="AG9259" s="185"/>
    </row>
    <row r="9260" spans="33:33" x14ac:dyDescent="0.25">
      <c r="AG9260" s="185"/>
    </row>
    <row r="9261" spans="33:33" x14ac:dyDescent="0.25">
      <c r="AG9261" s="185"/>
    </row>
    <row r="9262" spans="33:33" x14ac:dyDescent="0.25">
      <c r="AG9262" s="185"/>
    </row>
    <row r="9263" spans="33:33" x14ac:dyDescent="0.25">
      <c r="AG9263" s="185"/>
    </row>
    <row r="9264" spans="33:33" x14ac:dyDescent="0.25">
      <c r="AG9264" s="185"/>
    </row>
    <row r="9265" spans="33:33" x14ac:dyDescent="0.25">
      <c r="AG9265" s="185"/>
    </row>
    <row r="9266" spans="33:33" x14ac:dyDescent="0.25">
      <c r="AG9266" s="185"/>
    </row>
    <row r="9267" spans="33:33" x14ac:dyDescent="0.25">
      <c r="AG9267" s="185"/>
    </row>
    <row r="9268" spans="33:33" x14ac:dyDescent="0.25">
      <c r="AG9268" s="185"/>
    </row>
    <row r="9269" spans="33:33" x14ac:dyDescent="0.25">
      <c r="AG9269" s="185"/>
    </row>
    <row r="9270" spans="33:33" x14ac:dyDescent="0.25">
      <c r="AG9270" s="185"/>
    </row>
    <row r="9271" spans="33:33" x14ac:dyDescent="0.25">
      <c r="AG9271" s="185"/>
    </row>
    <row r="9272" spans="33:33" x14ac:dyDescent="0.25">
      <c r="AG9272" s="185"/>
    </row>
    <row r="9273" spans="33:33" x14ac:dyDescent="0.25">
      <c r="AG9273" s="185"/>
    </row>
    <row r="9274" spans="33:33" x14ac:dyDescent="0.25">
      <c r="AG9274" s="185"/>
    </row>
    <row r="9275" spans="33:33" x14ac:dyDescent="0.25">
      <c r="AG9275" s="185"/>
    </row>
    <row r="9276" spans="33:33" x14ac:dyDescent="0.25">
      <c r="AG9276" s="185"/>
    </row>
    <row r="9277" spans="33:33" x14ac:dyDescent="0.25">
      <c r="AG9277" s="185"/>
    </row>
    <row r="9278" spans="33:33" x14ac:dyDescent="0.25">
      <c r="AG9278" s="185"/>
    </row>
    <row r="9279" spans="33:33" x14ac:dyDescent="0.25">
      <c r="AG9279" s="185"/>
    </row>
    <row r="9280" spans="33:33" x14ac:dyDescent="0.25">
      <c r="AG9280" s="185"/>
    </row>
    <row r="9281" spans="33:33" x14ac:dyDescent="0.25">
      <c r="AG9281" s="185"/>
    </row>
    <row r="9282" spans="33:33" x14ac:dyDescent="0.25">
      <c r="AG9282" s="185"/>
    </row>
    <row r="9283" spans="33:33" x14ac:dyDescent="0.25">
      <c r="AG9283" s="185"/>
    </row>
    <row r="9284" spans="33:33" x14ac:dyDescent="0.25">
      <c r="AG9284" s="185"/>
    </row>
    <row r="9285" spans="33:33" x14ac:dyDescent="0.25">
      <c r="AG9285" s="185"/>
    </row>
    <row r="9286" spans="33:33" x14ac:dyDescent="0.25">
      <c r="AG9286" s="185"/>
    </row>
    <row r="9287" spans="33:33" x14ac:dyDescent="0.25">
      <c r="AG9287" s="185"/>
    </row>
    <row r="9288" spans="33:33" x14ac:dyDescent="0.25">
      <c r="AG9288" s="185"/>
    </row>
    <row r="9289" spans="33:33" x14ac:dyDescent="0.25">
      <c r="AG9289" s="185"/>
    </row>
    <row r="9290" spans="33:33" x14ac:dyDescent="0.25">
      <c r="AG9290" s="185"/>
    </row>
    <row r="9291" spans="33:33" x14ac:dyDescent="0.25">
      <c r="AG9291" s="185"/>
    </row>
    <row r="9292" spans="33:33" x14ac:dyDescent="0.25">
      <c r="AG9292" s="185"/>
    </row>
    <row r="9293" spans="33:33" x14ac:dyDescent="0.25">
      <c r="AG9293" s="185"/>
    </row>
    <row r="9294" spans="33:33" x14ac:dyDescent="0.25">
      <c r="AG9294" s="185"/>
    </row>
    <row r="9295" spans="33:33" x14ac:dyDescent="0.25">
      <c r="AG9295" s="185"/>
    </row>
    <row r="9296" spans="33:33" x14ac:dyDescent="0.25">
      <c r="AG9296" s="185"/>
    </row>
    <row r="9297" spans="33:33" x14ac:dyDescent="0.25">
      <c r="AG9297" s="185"/>
    </row>
    <row r="9298" spans="33:33" x14ac:dyDescent="0.25">
      <c r="AG9298" s="185"/>
    </row>
    <row r="9299" spans="33:33" x14ac:dyDescent="0.25">
      <c r="AG9299" s="185"/>
    </row>
    <row r="9300" spans="33:33" x14ac:dyDescent="0.25">
      <c r="AG9300" s="185"/>
    </row>
    <row r="9301" spans="33:33" x14ac:dyDescent="0.25">
      <c r="AG9301" s="185"/>
    </row>
    <row r="9302" spans="33:33" x14ac:dyDescent="0.25">
      <c r="AG9302" s="185"/>
    </row>
    <row r="9303" spans="33:33" x14ac:dyDescent="0.25">
      <c r="AG9303" s="185"/>
    </row>
    <row r="9304" spans="33:33" x14ac:dyDescent="0.25">
      <c r="AG9304" s="185"/>
    </row>
    <row r="9305" spans="33:33" x14ac:dyDescent="0.25">
      <c r="AG9305" s="185"/>
    </row>
    <row r="9306" spans="33:33" x14ac:dyDescent="0.25">
      <c r="AG9306" s="185"/>
    </row>
    <row r="9307" spans="33:33" x14ac:dyDescent="0.25">
      <c r="AG9307" s="185"/>
    </row>
    <row r="9308" spans="33:33" x14ac:dyDescent="0.25">
      <c r="AG9308" s="185"/>
    </row>
    <row r="9309" spans="33:33" x14ac:dyDescent="0.25">
      <c r="AG9309" s="185"/>
    </row>
    <row r="9310" spans="33:33" x14ac:dyDescent="0.25">
      <c r="AG9310" s="185"/>
    </row>
    <row r="9311" spans="33:33" x14ac:dyDescent="0.25">
      <c r="AG9311" s="185"/>
    </row>
    <row r="9312" spans="33:33" x14ac:dyDescent="0.25">
      <c r="AG9312" s="185"/>
    </row>
    <row r="9313" spans="33:33" x14ac:dyDescent="0.25">
      <c r="AG9313" s="185"/>
    </row>
    <row r="9314" spans="33:33" x14ac:dyDescent="0.25">
      <c r="AG9314" s="185"/>
    </row>
    <row r="9315" spans="33:33" x14ac:dyDescent="0.25">
      <c r="AG9315" s="185"/>
    </row>
    <row r="9316" spans="33:33" x14ac:dyDescent="0.25">
      <c r="AG9316" s="185"/>
    </row>
    <row r="9317" spans="33:33" x14ac:dyDescent="0.25">
      <c r="AG9317" s="185"/>
    </row>
    <row r="9318" spans="33:33" x14ac:dyDescent="0.25">
      <c r="AG9318" s="185"/>
    </row>
    <row r="9319" spans="33:33" x14ac:dyDescent="0.25">
      <c r="AG9319" s="185"/>
    </row>
    <row r="9320" spans="33:33" x14ac:dyDescent="0.25">
      <c r="AG9320" s="185"/>
    </row>
    <row r="9321" spans="33:33" x14ac:dyDescent="0.25">
      <c r="AG9321" s="185"/>
    </row>
    <row r="9322" spans="33:33" x14ac:dyDescent="0.25">
      <c r="AG9322" s="185"/>
    </row>
    <row r="9323" spans="33:33" x14ac:dyDescent="0.25">
      <c r="AG9323" s="185"/>
    </row>
    <row r="9324" spans="33:33" x14ac:dyDescent="0.25">
      <c r="AG9324" s="185"/>
    </row>
    <row r="9325" spans="33:33" x14ac:dyDescent="0.25">
      <c r="AG9325" s="185"/>
    </row>
    <row r="9326" spans="33:33" x14ac:dyDescent="0.25">
      <c r="AG9326" s="185"/>
    </row>
    <row r="9327" spans="33:33" x14ac:dyDescent="0.25">
      <c r="AG9327" s="185"/>
    </row>
    <row r="9328" spans="33:33" x14ac:dyDescent="0.25">
      <c r="AG9328" s="185"/>
    </row>
    <row r="9329" spans="33:33" x14ac:dyDescent="0.25">
      <c r="AG9329" s="185"/>
    </row>
    <row r="9330" spans="33:33" x14ac:dyDescent="0.25">
      <c r="AG9330" s="185"/>
    </row>
    <row r="9331" spans="33:33" x14ac:dyDescent="0.25">
      <c r="AG9331" s="185"/>
    </row>
    <row r="9332" spans="33:33" x14ac:dyDescent="0.25">
      <c r="AG9332" s="185"/>
    </row>
    <row r="9333" spans="33:33" x14ac:dyDescent="0.25">
      <c r="AG9333" s="185"/>
    </row>
    <row r="9334" spans="33:33" x14ac:dyDescent="0.25">
      <c r="AG9334" s="185"/>
    </row>
    <row r="9335" spans="33:33" x14ac:dyDescent="0.25">
      <c r="AG9335" s="185"/>
    </row>
    <row r="9336" spans="33:33" x14ac:dyDescent="0.25">
      <c r="AG9336" s="185"/>
    </row>
    <row r="9337" spans="33:33" x14ac:dyDescent="0.25">
      <c r="AG9337" s="185"/>
    </row>
    <row r="9338" spans="33:33" x14ac:dyDescent="0.25">
      <c r="AG9338" s="185"/>
    </row>
    <row r="9339" spans="33:33" x14ac:dyDescent="0.25">
      <c r="AG9339" s="185"/>
    </row>
    <row r="9340" spans="33:33" x14ac:dyDescent="0.25">
      <c r="AG9340" s="185"/>
    </row>
    <row r="9341" spans="33:33" x14ac:dyDescent="0.25">
      <c r="AG9341" s="185"/>
    </row>
    <row r="9342" spans="33:33" x14ac:dyDescent="0.25">
      <c r="AG9342" s="185"/>
    </row>
    <row r="9343" spans="33:33" x14ac:dyDescent="0.25">
      <c r="AG9343" s="185"/>
    </row>
    <row r="9344" spans="33:33" x14ac:dyDescent="0.25">
      <c r="AG9344" s="185"/>
    </row>
    <row r="9345" spans="33:33" x14ac:dyDescent="0.25">
      <c r="AG9345" s="185"/>
    </row>
    <row r="9346" spans="33:33" x14ac:dyDescent="0.25">
      <c r="AG9346" s="185"/>
    </row>
    <row r="9347" spans="33:33" x14ac:dyDescent="0.25">
      <c r="AG9347" s="185"/>
    </row>
    <row r="9348" spans="33:33" x14ac:dyDescent="0.25">
      <c r="AG9348" s="185"/>
    </row>
    <row r="9349" spans="33:33" x14ac:dyDescent="0.25">
      <c r="AG9349" s="185"/>
    </row>
    <row r="9350" spans="33:33" x14ac:dyDescent="0.25">
      <c r="AG9350" s="185"/>
    </row>
    <row r="9351" spans="33:33" x14ac:dyDescent="0.25">
      <c r="AG9351" s="185"/>
    </row>
    <row r="9352" spans="33:33" x14ac:dyDescent="0.25">
      <c r="AG9352" s="185"/>
    </row>
    <row r="9353" spans="33:33" x14ac:dyDescent="0.25">
      <c r="AG9353" s="185"/>
    </row>
    <row r="9354" spans="33:33" x14ac:dyDescent="0.25">
      <c r="AG9354" s="185"/>
    </row>
    <row r="9355" spans="33:33" x14ac:dyDescent="0.25">
      <c r="AG9355" s="185"/>
    </row>
    <row r="9356" spans="33:33" x14ac:dyDescent="0.25">
      <c r="AG9356" s="185"/>
    </row>
    <row r="9357" spans="33:33" x14ac:dyDescent="0.25">
      <c r="AG9357" s="185"/>
    </row>
    <row r="9358" spans="33:33" x14ac:dyDescent="0.25">
      <c r="AG9358" s="185"/>
    </row>
    <row r="9359" spans="33:33" x14ac:dyDescent="0.25">
      <c r="AG9359" s="185"/>
    </row>
    <row r="9360" spans="33:33" x14ac:dyDescent="0.25">
      <c r="AG9360" s="185"/>
    </row>
    <row r="9361" spans="33:33" x14ac:dyDescent="0.25">
      <c r="AG9361" s="185"/>
    </row>
    <row r="9362" spans="33:33" x14ac:dyDescent="0.25">
      <c r="AG9362" s="185"/>
    </row>
    <row r="9363" spans="33:33" x14ac:dyDescent="0.25">
      <c r="AG9363" s="185"/>
    </row>
    <row r="9364" spans="33:33" x14ac:dyDescent="0.25">
      <c r="AG9364" s="185"/>
    </row>
    <row r="9365" spans="33:33" x14ac:dyDescent="0.25">
      <c r="AG9365" s="185"/>
    </row>
    <row r="9366" spans="33:33" x14ac:dyDescent="0.25">
      <c r="AG9366" s="185"/>
    </row>
    <row r="9367" spans="33:33" x14ac:dyDescent="0.25">
      <c r="AG9367" s="185"/>
    </row>
    <row r="9368" spans="33:33" x14ac:dyDescent="0.25">
      <c r="AG9368" s="185"/>
    </row>
    <row r="9369" spans="33:33" x14ac:dyDescent="0.25">
      <c r="AG9369" s="185"/>
    </row>
    <row r="9370" spans="33:33" x14ac:dyDescent="0.25">
      <c r="AG9370" s="185"/>
    </row>
    <row r="9371" spans="33:33" x14ac:dyDescent="0.25">
      <c r="AG9371" s="185"/>
    </row>
    <row r="9372" spans="33:33" x14ac:dyDescent="0.25">
      <c r="AG9372" s="185"/>
    </row>
    <row r="9373" spans="33:33" x14ac:dyDescent="0.25">
      <c r="AG9373" s="185"/>
    </row>
    <row r="9374" spans="33:33" x14ac:dyDescent="0.25">
      <c r="AG9374" s="185"/>
    </row>
    <row r="9375" spans="33:33" x14ac:dyDescent="0.25">
      <c r="AG9375" s="185"/>
    </row>
    <row r="9376" spans="33:33" x14ac:dyDescent="0.25">
      <c r="AG9376" s="185"/>
    </row>
    <row r="9377" spans="33:33" x14ac:dyDescent="0.25">
      <c r="AG9377" s="185"/>
    </row>
    <row r="9378" spans="33:33" x14ac:dyDescent="0.25">
      <c r="AG9378" s="185"/>
    </row>
    <row r="9379" spans="33:33" x14ac:dyDescent="0.25">
      <c r="AG9379" s="185"/>
    </row>
    <row r="9380" spans="33:33" x14ac:dyDescent="0.25">
      <c r="AG9380" s="185"/>
    </row>
    <row r="9381" spans="33:33" x14ac:dyDescent="0.25">
      <c r="AG9381" s="185"/>
    </row>
    <row r="9382" spans="33:33" x14ac:dyDescent="0.25">
      <c r="AG9382" s="185"/>
    </row>
    <row r="9383" spans="33:33" x14ac:dyDescent="0.25">
      <c r="AG9383" s="185"/>
    </row>
    <row r="9384" spans="33:33" x14ac:dyDescent="0.25">
      <c r="AG9384" s="185"/>
    </row>
    <row r="9385" spans="33:33" x14ac:dyDescent="0.25">
      <c r="AG9385" s="185"/>
    </row>
    <row r="9386" spans="33:33" x14ac:dyDescent="0.25">
      <c r="AG9386" s="185"/>
    </row>
    <row r="9387" spans="33:33" x14ac:dyDescent="0.25">
      <c r="AG9387" s="185"/>
    </row>
    <row r="9388" spans="33:33" x14ac:dyDescent="0.25">
      <c r="AG9388" s="185"/>
    </row>
    <row r="9389" spans="33:33" x14ac:dyDescent="0.25">
      <c r="AG9389" s="185"/>
    </row>
    <row r="9390" spans="33:33" x14ac:dyDescent="0.25">
      <c r="AG9390" s="185"/>
    </row>
    <row r="9391" spans="33:33" x14ac:dyDescent="0.25">
      <c r="AG9391" s="185"/>
    </row>
    <row r="9392" spans="33:33" x14ac:dyDescent="0.25">
      <c r="AG9392" s="185"/>
    </row>
    <row r="9393" spans="33:33" x14ac:dyDescent="0.25">
      <c r="AG9393" s="185"/>
    </row>
    <row r="9394" spans="33:33" x14ac:dyDescent="0.25">
      <c r="AG9394" s="185"/>
    </row>
    <row r="9395" spans="33:33" x14ac:dyDescent="0.25">
      <c r="AG9395" s="185"/>
    </row>
    <row r="9396" spans="33:33" x14ac:dyDescent="0.25">
      <c r="AG9396" s="185"/>
    </row>
    <row r="9397" spans="33:33" x14ac:dyDescent="0.25">
      <c r="AG9397" s="185"/>
    </row>
    <row r="9398" spans="33:33" x14ac:dyDescent="0.25">
      <c r="AG9398" s="185"/>
    </row>
    <row r="9399" spans="33:33" x14ac:dyDescent="0.25">
      <c r="AG9399" s="185"/>
    </row>
    <row r="9400" spans="33:33" x14ac:dyDescent="0.25">
      <c r="AG9400" s="185"/>
    </row>
    <row r="9401" spans="33:33" x14ac:dyDescent="0.25">
      <c r="AG9401" s="185"/>
    </row>
    <row r="9402" spans="33:33" x14ac:dyDescent="0.25">
      <c r="AG9402" s="185"/>
    </row>
    <row r="9403" spans="33:33" x14ac:dyDescent="0.25">
      <c r="AG9403" s="185"/>
    </row>
    <row r="9404" spans="33:33" x14ac:dyDescent="0.25">
      <c r="AG9404" s="185"/>
    </row>
    <row r="9405" spans="33:33" x14ac:dyDescent="0.25">
      <c r="AG9405" s="185"/>
    </row>
    <row r="9406" spans="33:33" x14ac:dyDescent="0.25">
      <c r="AG9406" s="185"/>
    </row>
    <row r="9407" spans="33:33" x14ac:dyDescent="0.25">
      <c r="AG9407" s="185"/>
    </row>
    <row r="9408" spans="33:33" x14ac:dyDescent="0.25">
      <c r="AG9408" s="185"/>
    </row>
    <row r="9409" spans="33:33" x14ac:dyDescent="0.25">
      <c r="AG9409" s="185"/>
    </row>
    <row r="9410" spans="33:33" x14ac:dyDescent="0.25">
      <c r="AG9410" s="185"/>
    </row>
    <row r="9411" spans="33:33" x14ac:dyDescent="0.25">
      <c r="AG9411" s="185"/>
    </row>
    <row r="9412" spans="33:33" x14ac:dyDescent="0.25">
      <c r="AG9412" s="185"/>
    </row>
    <row r="9413" spans="33:33" x14ac:dyDescent="0.25">
      <c r="AG9413" s="185"/>
    </row>
    <row r="9414" spans="33:33" x14ac:dyDescent="0.25">
      <c r="AG9414" s="185"/>
    </row>
    <row r="9415" spans="33:33" x14ac:dyDescent="0.25">
      <c r="AG9415" s="185"/>
    </row>
    <row r="9416" spans="33:33" x14ac:dyDescent="0.25">
      <c r="AG9416" s="185"/>
    </row>
    <row r="9417" spans="33:33" x14ac:dyDescent="0.25">
      <c r="AG9417" s="185"/>
    </row>
    <row r="9418" spans="33:33" x14ac:dyDescent="0.25">
      <c r="AG9418" s="185"/>
    </row>
    <row r="9419" spans="33:33" x14ac:dyDescent="0.25">
      <c r="AG9419" s="185"/>
    </row>
    <row r="9420" spans="33:33" x14ac:dyDescent="0.25">
      <c r="AG9420" s="185"/>
    </row>
    <row r="9421" spans="33:33" x14ac:dyDescent="0.25">
      <c r="AG9421" s="185"/>
    </row>
    <row r="9422" spans="33:33" x14ac:dyDescent="0.25">
      <c r="AG9422" s="185"/>
    </row>
    <row r="9423" spans="33:33" x14ac:dyDescent="0.25">
      <c r="AG9423" s="185"/>
    </row>
    <row r="9424" spans="33:33" x14ac:dyDescent="0.25">
      <c r="AG9424" s="185"/>
    </row>
    <row r="9425" spans="33:33" x14ac:dyDescent="0.25">
      <c r="AG9425" s="185"/>
    </row>
    <row r="9426" spans="33:33" x14ac:dyDescent="0.25">
      <c r="AG9426" s="185"/>
    </row>
    <row r="9427" spans="33:33" x14ac:dyDescent="0.25">
      <c r="AG9427" s="185"/>
    </row>
    <row r="9428" spans="33:33" x14ac:dyDescent="0.25">
      <c r="AG9428" s="185"/>
    </row>
    <row r="9429" spans="33:33" x14ac:dyDescent="0.25">
      <c r="AG9429" s="185"/>
    </row>
    <row r="9430" spans="33:33" x14ac:dyDescent="0.25">
      <c r="AG9430" s="185"/>
    </row>
    <row r="9431" spans="33:33" x14ac:dyDescent="0.25">
      <c r="AG9431" s="185"/>
    </row>
    <row r="9432" spans="33:33" x14ac:dyDescent="0.25">
      <c r="AG9432" s="185"/>
    </row>
    <row r="9433" spans="33:33" x14ac:dyDescent="0.25">
      <c r="AG9433" s="185"/>
    </row>
    <row r="9434" spans="33:33" x14ac:dyDescent="0.25">
      <c r="AG9434" s="185"/>
    </row>
    <row r="9435" spans="33:33" x14ac:dyDescent="0.25">
      <c r="AG9435" s="185"/>
    </row>
    <row r="9436" spans="33:33" x14ac:dyDescent="0.25">
      <c r="AG9436" s="185"/>
    </row>
    <row r="9437" spans="33:33" x14ac:dyDescent="0.25">
      <c r="AG9437" s="185"/>
    </row>
    <row r="9438" spans="33:33" x14ac:dyDescent="0.25">
      <c r="AG9438" s="185"/>
    </row>
    <row r="9439" spans="33:33" x14ac:dyDescent="0.25">
      <c r="AG9439" s="185"/>
    </row>
    <row r="9440" spans="33:33" x14ac:dyDescent="0.25">
      <c r="AG9440" s="185"/>
    </row>
    <row r="9441" spans="33:33" x14ac:dyDescent="0.25">
      <c r="AG9441" s="185"/>
    </row>
    <row r="9442" spans="33:33" x14ac:dyDescent="0.25">
      <c r="AG9442" s="185"/>
    </row>
    <row r="9443" spans="33:33" x14ac:dyDescent="0.25">
      <c r="AG9443" s="185"/>
    </row>
    <row r="9444" spans="33:33" x14ac:dyDescent="0.25">
      <c r="AG9444" s="185"/>
    </row>
    <row r="9445" spans="33:33" x14ac:dyDescent="0.25">
      <c r="AG9445" s="185"/>
    </row>
    <row r="9446" spans="33:33" x14ac:dyDescent="0.25">
      <c r="AG9446" s="185"/>
    </row>
    <row r="9447" spans="33:33" x14ac:dyDescent="0.25">
      <c r="AG9447" s="185"/>
    </row>
    <row r="9448" spans="33:33" x14ac:dyDescent="0.25">
      <c r="AG9448" s="185"/>
    </row>
    <row r="9449" spans="33:33" x14ac:dyDescent="0.25">
      <c r="AG9449" s="185"/>
    </row>
    <row r="9450" spans="33:33" x14ac:dyDescent="0.25">
      <c r="AG9450" s="185"/>
    </row>
    <row r="9451" spans="33:33" x14ac:dyDescent="0.25">
      <c r="AG9451" s="185"/>
    </row>
    <row r="9452" spans="33:33" x14ac:dyDescent="0.25">
      <c r="AG9452" s="185"/>
    </row>
    <row r="9453" spans="33:33" x14ac:dyDescent="0.25">
      <c r="AG9453" s="185"/>
    </row>
    <row r="9454" spans="33:33" x14ac:dyDescent="0.25">
      <c r="AG9454" s="185"/>
    </row>
    <row r="9455" spans="33:33" x14ac:dyDescent="0.25">
      <c r="AG9455" s="185"/>
    </row>
    <row r="9456" spans="33:33" x14ac:dyDescent="0.25">
      <c r="AG9456" s="185"/>
    </row>
    <row r="9457" spans="33:33" x14ac:dyDescent="0.25">
      <c r="AG9457" s="185"/>
    </row>
    <row r="9458" spans="33:33" x14ac:dyDescent="0.25">
      <c r="AG9458" s="185"/>
    </row>
    <row r="9459" spans="33:33" x14ac:dyDescent="0.25">
      <c r="AG9459" s="185"/>
    </row>
    <row r="9460" spans="33:33" x14ac:dyDescent="0.25">
      <c r="AG9460" s="185"/>
    </row>
    <row r="9461" spans="33:33" x14ac:dyDescent="0.25">
      <c r="AG9461" s="185"/>
    </row>
    <row r="9462" spans="33:33" x14ac:dyDescent="0.25">
      <c r="AG9462" s="185"/>
    </row>
    <row r="9463" spans="33:33" x14ac:dyDescent="0.25">
      <c r="AG9463" s="185"/>
    </row>
    <row r="9464" spans="33:33" x14ac:dyDescent="0.25">
      <c r="AG9464" s="185"/>
    </row>
    <row r="9465" spans="33:33" x14ac:dyDescent="0.25">
      <c r="AG9465" s="185"/>
    </row>
    <row r="9466" spans="33:33" x14ac:dyDescent="0.25">
      <c r="AG9466" s="185"/>
    </row>
    <row r="9467" spans="33:33" x14ac:dyDescent="0.25">
      <c r="AG9467" s="185"/>
    </row>
    <row r="9468" spans="33:33" x14ac:dyDescent="0.25">
      <c r="AG9468" s="185"/>
    </row>
    <row r="9469" spans="33:33" x14ac:dyDescent="0.25">
      <c r="AG9469" s="185"/>
    </row>
    <row r="9470" spans="33:33" x14ac:dyDescent="0.25">
      <c r="AG9470" s="185"/>
    </row>
    <row r="9471" spans="33:33" x14ac:dyDescent="0.25">
      <c r="AG9471" s="185"/>
    </row>
    <row r="9472" spans="33:33" x14ac:dyDescent="0.25">
      <c r="AG9472" s="185"/>
    </row>
    <row r="9473" spans="33:33" x14ac:dyDescent="0.25">
      <c r="AG9473" s="185"/>
    </row>
    <row r="9474" spans="33:33" x14ac:dyDescent="0.25">
      <c r="AG9474" s="185"/>
    </row>
    <row r="9475" spans="33:33" x14ac:dyDescent="0.25">
      <c r="AG9475" s="185"/>
    </row>
    <row r="9476" spans="33:33" x14ac:dyDescent="0.25">
      <c r="AG9476" s="185"/>
    </row>
    <row r="9477" spans="33:33" x14ac:dyDescent="0.25">
      <c r="AG9477" s="185"/>
    </row>
    <row r="9478" spans="33:33" x14ac:dyDescent="0.25">
      <c r="AG9478" s="185"/>
    </row>
    <row r="9479" spans="33:33" x14ac:dyDescent="0.25">
      <c r="AG9479" s="185"/>
    </row>
    <row r="9480" spans="33:33" x14ac:dyDescent="0.25">
      <c r="AG9480" s="185"/>
    </row>
    <row r="9481" spans="33:33" x14ac:dyDescent="0.25">
      <c r="AG9481" s="185"/>
    </row>
    <row r="9482" spans="33:33" x14ac:dyDescent="0.25">
      <c r="AG9482" s="185"/>
    </row>
    <row r="9483" spans="33:33" x14ac:dyDescent="0.25">
      <c r="AG9483" s="185"/>
    </row>
    <row r="9484" spans="33:33" x14ac:dyDescent="0.25">
      <c r="AG9484" s="185"/>
    </row>
    <row r="9485" spans="33:33" x14ac:dyDescent="0.25">
      <c r="AG9485" s="185"/>
    </row>
    <row r="9486" spans="33:33" x14ac:dyDescent="0.25">
      <c r="AG9486" s="185"/>
    </row>
    <row r="9487" spans="33:33" x14ac:dyDescent="0.25">
      <c r="AG9487" s="185"/>
    </row>
    <row r="9488" spans="33:33" x14ac:dyDescent="0.25">
      <c r="AG9488" s="185"/>
    </row>
    <row r="9489" spans="33:33" x14ac:dyDescent="0.25">
      <c r="AG9489" s="185"/>
    </row>
    <row r="9490" spans="33:33" x14ac:dyDescent="0.25">
      <c r="AG9490" s="185"/>
    </row>
    <row r="9491" spans="33:33" x14ac:dyDescent="0.25">
      <c r="AG9491" s="185"/>
    </row>
    <row r="9492" spans="33:33" x14ac:dyDescent="0.25">
      <c r="AG9492" s="185"/>
    </row>
    <row r="9493" spans="33:33" x14ac:dyDescent="0.25">
      <c r="AG9493" s="185"/>
    </row>
    <row r="9494" spans="33:33" x14ac:dyDescent="0.25">
      <c r="AG9494" s="185"/>
    </row>
    <row r="9495" spans="33:33" x14ac:dyDescent="0.25">
      <c r="AG9495" s="185"/>
    </row>
    <row r="9496" spans="33:33" x14ac:dyDescent="0.25">
      <c r="AG9496" s="185"/>
    </row>
    <row r="9497" spans="33:33" x14ac:dyDescent="0.25">
      <c r="AG9497" s="185"/>
    </row>
    <row r="9498" spans="33:33" x14ac:dyDescent="0.25">
      <c r="AG9498" s="185"/>
    </row>
    <row r="9499" spans="33:33" x14ac:dyDescent="0.25">
      <c r="AG9499" s="185"/>
    </row>
    <row r="9500" spans="33:33" x14ac:dyDescent="0.25">
      <c r="AG9500" s="185"/>
    </row>
    <row r="9501" spans="33:33" x14ac:dyDescent="0.25">
      <c r="AG9501" s="185"/>
    </row>
    <row r="9502" spans="33:33" x14ac:dyDescent="0.25">
      <c r="AG9502" s="185"/>
    </row>
    <row r="9503" spans="33:33" x14ac:dyDescent="0.25">
      <c r="AG9503" s="185"/>
    </row>
    <row r="9504" spans="33:33" x14ac:dyDescent="0.25">
      <c r="AG9504" s="185"/>
    </row>
    <row r="9505" spans="33:33" x14ac:dyDescent="0.25">
      <c r="AG9505" s="185"/>
    </row>
    <row r="9506" spans="33:33" x14ac:dyDescent="0.25">
      <c r="AG9506" s="185"/>
    </row>
    <row r="9507" spans="33:33" x14ac:dyDescent="0.25">
      <c r="AG9507" s="185"/>
    </row>
    <row r="9508" spans="33:33" x14ac:dyDescent="0.25">
      <c r="AG9508" s="185"/>
    </row>
    <row r="9509" spans="33:33" x14ac:dyDescent="0.25">
      <c r="AG9509" s="185"/>
    </row>
    <row r="9510" spans="33:33" x14ac:dyDescent="0.25">
      <c r="AG9510" s="185"/>
    </row>
    <row r="9511" spans="33:33" x14ac:dyDescent="0.25">
      <c r="AG9511" s="185"/>
    </row>
    <row r="9512" spans="33:33" x14ac:dyDescent="0.25">
      <c r="AG9512" s="185"/>
    </row>
    <row r="9513" spans="33:33" x14ac:dyDescent="0.25">
      <c r="AG9513" s="185"/>
    </row>
    <row r="9514" spans="33:33" x14ac:dyDescent="0.25">
      <c r="AG9514" s="185"/>
    </row>
    <row r="9515" spans="33:33" x14ac:dyDescent="0.25">
      <c r="AG9515" s="185"/>
    </row>
    <row r="9516" spans="33:33" x14ac:dyDescent="0.25">
      <c r="AG9516" s="185"/>
    </row>
    <row r="9517" spans="33:33" x14ac:dyDescent="0.25">
      <c r="AG9517" s="185"/>
    </row>
    <row r="9518" spans="33:33" x14ac:dyDescent="0.25">
      <c r="AG9518" s="185"/>
    </row>
    <row r="9519" spans="33:33" x14ac:dyDescent="0.25">
      <c r="AG9519" s="185"/>
    </row>
    <row r="9520" spans="33:33" x14ac:dyDescent="0.25">
      <c r="AG9520" s="185"/>
    </row>
    <row r="9521" spans="33:33" x14ac:dyDescent="0.25">
      <c r="AG9521" s="185"/>
    </row>
    <row r="9522" spans="33:33" x14ac:dyDescent="0.25">
      <c r="AG9522" s="185"/>
    </row>
    <row r="9523" spans="33:33" x14ac:dyDescent="0.25">
      <c r="AG9523" s="185"/>
    </row>
    <row r="9524" spans="33:33" x14ac:dyDescent="0.25">
      <c r="AG9524" s="185"/>
    </row>
    <row r="9525" spans="33:33" x14ac:dyDescent="0.25">
      <c r="AG9525" s="185"/>
    </row>
    <row r="9526" spans="33:33" x14ac:dyDescent="0.25">
      <c r="AG9526" s="185"/>
    </row>
    <row r="9527" spans="33:33" x14ac:dyDescent="0.25">
      <c r="AG9527" s="185"/>
    </row>
    <row r="9528" spans="33:33" x14ac:dyDescent="0.25">
      <c r="AG9528" s="185"/>
    </row>
    <row r="9529" spans="33:33" x14ac:dyDescent="0.25">
      <c r="AG9529" s="185"/>
    </row>
    <row r="9530" spans="33:33" x14ac:dyDescent="0.25">
      <c r="AG9530" s="185"/>
    </row>
    <row r="9531" spans="33:33" x14ac:dyDescent="0.25">
      <c r="AG9531" s="185"/>
    </row>
    <row r="9532" spans="33:33" x14ac:dyDescent="0.25">
      <c r="AG9532" s="185"/>
    </row>
    <row r="9533" spans="33:33" x14ac:dyDescent="0.25">
      <c r="AG9533" s="185"/>
    </row>
    <row r="9534" spans="33:33" x14ac:dyDescent="0.25">
      <c r="AG9534" s="185"/>
    </row>
    <row r="9535" spans="33:33" x14ac:dyDescent="0.25">
      <c r="AG9535" s="185"/>
    </row>
    <row r="9536" spans="33:33" x14ac:dyDescent="0.25">
      <c r="AG9536" s="185"/>
    </row>
    <row r="9537" spans="33:33" x14ac:dyDescent="0.25">
      <c r="AG9537" s="185"/>
    </row>
    <row r="9538" spans="33:33" x14ac:dyDescent="0.25">
      <c r="AG9538" s="185"/>
    </row>
    <row r="9539" spans="33:33" x14ac:dyDescent="0.25">
      <c r="AG9539" s="185"/>
    </row>
    <row r="9540" spans="33:33" x14ac:dyDescent="0.25">
      <c r="AG9540" s="185"/>
    </row>
    <row r="9541" spans="33:33" x14ac:dyDescent="0.25">
      <c r="AG9541" s="185"/>
    </row>
    <row r="9542" spans="33:33" x14ac:dyDescent="0.25">
      <c r="AG9542" s="185"/>
    </row>
    <row r="9543" spans="33:33" x14ac:dyDescent="0.25">
      <c r="AG9543" s="185"/>
    </row>
    <row r="9544" spans="33:33" x14ac:dyDescent="0.25">
      <c r="AG9544" s="185"/>
    </row>
    <row r="9545" spans="33:33" x14ac:dyDescent="0.25">
      <c r="AG9545" s="185"/>
    </row>
    <row r="9546" spans="33:33" x14ac:dyDescent="0.25">
      <c r="AG9546" s="185"/>
    </row>
    <row r="9547" spans="33:33" x14ac:dyDescent="0.25">
      <c r="AG9547" s="185"/>
    </row>
    <row r="9548" spans="33:33" x14ac:dyDescent="0.25">
      <c r="AG9548" s="185"/>
    </row>
    <row r="9549" spans="33:33" x14ac:dyDescent="0.25">
      <c r="AG9549" s="185"/>
    </row>
    <row r="9550" spans="33:33" x14ac:dyDescent="0.25">
      <c r="AG9550" s="185"/>
    </row>
    <row r="9551" spans="33:33" x14ac:dyDescent="0.25">
      <c r="AG9551" s="185"/>
    </row>
    <row r="9552" spans="33:33" x14ac:dyDescent="0.25">
      <c r="AG9552" s="185"/>
    </row>
    <row r="9553" spans="33:33" x14ac:dyDescent="0.25">
      <c r="AG9553" s="185"/>
    </row>
    <row r="9554" spans="33:33" x14ac:dyDescent="0.25">
      <c r="AG9554" s="185"/>
    </row>
    <row r="9555" spans="33:33" x14ac:dyDescent="0.25">
      <c r="AG9555" s="185"/>
    </row>
    <row r="9556" spans="33:33" x14ac:dyDescent="0.25">
      <c r="AG9556" s="185"/>
    </row>
    <row r="9557" spans="33:33" x14ac:dyDescent="0.25">
      <c r="AG9557" s="185"/>
    </row>
    <row r="9558" spans="33:33" x14ac:dyDescent="0.25">
      <c r="AG9558" s="185"/>
    </row>
    <row r="9559" spans="33:33" x14ac:dyDescent="0.25">
      <c r="AG9559" s="185"/>
    </row>
    <row r="9560" spans="33:33" x14ac:dyDescent="0.25">
      <c r="AG9560" s="185"/>
    </row>
    <row r="9561" spans="33:33" x14ac:dyDescent="0.25">
      <c r="AG9561" s="185"/>
    </row>
    <row r="9562" spans="33:33" x14ac:dyDescent="0.25">
      <c r="AG9562" s="185"/>
    </row>
    <row r="9563" spans="33:33" x14ac:dyDescent="0.25">
      <c r="AG9563" s="185"/>
    </row>
    <row r="9564" spans="33:33" x14ac:dyDescent="0.25">
      <c r="AG9564" s="185"/>
    </row>
    <row r="9565" spans="33:33" x14ac:dyDescent="0.25">
      <c r="AG9565" s="185"/>
    </row>
    <row r="9566" spans="33:33" x14ac:dyDescent="0.25">
      <c r="AG9566" s="185"/>
    </row>
    <row r="9567" spans="33:33" x14ac:dyDescent="0.25">
      <c r="AG9567" s="185"/>
    </row>
    <row r="9568" spans="33:33" x14ac:dyDescent="0.25">
      <c r="AG9568" s="185"/>
    </row>
    <row r="9569" spans="33:33" x14ac:dyDescent="0.25">
      <c r="AG9569" s="185"/>
    </row>
    <row r="9570" spans="33:33" x14ac:dyDescent="0.25">
      <c r="AG9570" s="185"/>
    </row>
    <row r="9571" spans="33:33" x14ac:dyDescent="0.25">
      <c r="AG9571" s="185"/>
    </row>
    <row r="9572" spans="33:33" x14ac:dyDescent="0.25">
      <c r="AG9572" s="185"/>
    </row>
    <row r="9573" spans="33:33" x14ac:dyDescent="0.25">
      <c r="AG9573" s="185"/>
    </row>
    <row r="9574" spans="33:33" x14ac:dyDescent="0.25">
      <c r="AG9574" s="185"/>
    </row>
    <row r="9575" spans="33:33" x14ac:dyDescent="0.25">
      <c r="AG9575" s="185"/>
    </row>
    <row r="9576" spans="33:33" x14ac:dyDescent="0.25">
      <c r="AG9576" s="185"/>
    </row>
    <row r="9577" spans="33:33" x14ac:dyDescent="0.25">
      <c r="AG9577" s="185"/>
    </row>
    <row r="9578" spans="33:33" x14ac:dyDescent="0.25">
      <c r="AG9578" s="185"/>
    </row>
    <row r="9579" spans="33:33" x14ac:dyDescent="0.25">
      <c r="AG9579" s="185"/>
    </row>
    <row r="9580" spans="33:33" x14ac:dyDescent="0.25">
      <c r="AG9580" s="185"/>
    </row>
    <row r="9581" spans="33:33" x14ac:dyDescent="0.25">
      <c r="AG9581" s="185"/>
    </row>
    <row r="9582" spans="33:33" x14ac:dyDescent="0.25">
      <c r="AG9582" s="185"/>
    </row>
    <row r="9583" spans="33:33" x14ac:dyDescent="0.25">
      <c r="AG9583" s="185"/>
    </row>
    <row r="9584" spans="33:33" x14ac:dyDescent="0.25">
      <c r="AG9584" s="185"/>
    </row>
    <row r="9585" spans="33:33" x14ac:dyDescent="0.25">
      <c r="AG9585" s="185"/>
    </row>
    <row r="9586" spans="33:33" x14ac:dyDescent="0.25">
      <c r="AG9586" s="185"/>
    </row>
    <row r="9587" spans="33:33" x14ac:dyDescent="0.25">
      <c r="AG9587" s="185"/>
    </row>
    <row r="9588" spans="33:33" x14ac:dyDescent="0.25">
      <c r="AG9588" s="185"/>
    </row>
    <row r="9589" spans="33:33" x14ac:dyDescent="0.25">
      <c r="AG9589" s="185"/>
    </row>
    <row r="9590" spans="33:33" x14ac:dyDescent="0.25">
      <c r="AG9590" s="185"/>
    </row>
    <row r="9591" spans="33:33" x14ac:dyDescent="0.25">
      <c r="AG9591" s="185"/>
    </row>
    <row r="9592" spans="33:33" x14ac:dyDescent="0.25">
      <c r="AG9592" s="185"/>
    </row>
    <row r="9593" spans="33:33" x14ac:dyDescent="0.25">
      <c r="AG9593" s="185"/>
    </row>
    <row r="9594" spans="33:33" x14ac:dyDescent="0.25">
      <c r="AG9594" s="185"/>
    </row>
    <row r="9595" spans="33:33" x14ac:dyDescent="0.25">
      <c r="AG9595" s="185"/>
    </row>
    <row r="9596" spans="33:33" x14ac:dyDescent="0.25">
      <c r="AG9596" s="185"/>
    </row>
    <row r="9597" spans="33:33" x14ac:dyDescent="0.25">
      <c r="AG9597" s="185"/>
    </row>
    <row r="9598" spans="33:33" x14ac:dyDescent="0.25">
      <c r="AG9598" s="185"/>
    </row>
    <row r="9599" spans="33:33" x14ac:dyDescent="0.25">
      <c r="AG9599" s="185"/>
    </row>
    <row r="9600" spans="33:33" x14ac:dyDescent="0.25">
      <c r="AG9600" s="185"/>
    </row>
    <row r="9601" spans="33:33" x14ac:dyDescent="0.25">
      <c r="AG9601" s="185"/>
    </row>
    <row r="9602" spans="33:33" x14ac:dyDescent="0.25">
      <c r="AG9602" s="185"/>
    </row>
    <row r="9603" spans="33:33" x14ac:dyDescent="0.25">
      <c r="AG9603" s="185"/>
    </row>
    <row r="9604" spans="33:33" x14ac:dyDescent="0.25">
      <c r="AG9604" s="185"/>
    </row>
    <row r="9605" spans="33:33" x14ac:dyDescent="0.25">
      <c r="AG9605" s="185"/>
    </row>
    <row r="9606" spans="33:33" x14ac:dyDescent="0.25">
      <c r="AG9606" s="185"/>
    </row>
    <row r="9607" spans="33:33" x14ac:dyDescent="0.25">
      <c r="AG9607" s="185"/>
    </row>
    <row r="9608" spans="33:33" x14ac:dyDescent="0.25">
      <c r="AG9608" s="185"/>
    </row>
    <row r="9609" spans="33:33" x14ac:dyDescent="0.25">
      <c r="AG9609" s="185"/>
    </row>
    <row r="9610" spans="33:33" x14ac:dyDescent="0.25">
      <c r="AG9610" s="185"/>
    </row>
    <row r="9611" spans="33:33" x14ac:dyDescent="0.25">
      <c r="AG9611" s="185"/>
    </row>
    <row r="9612" spans="33:33" x14ac:dyDescent="0.25">
      <c r="AG9612" s="185"/>
    </row>
    <row r="9613" spans="33:33" x14ac:dyDescent="0.25">
      <c r="AG9613" s="185"/>
    </row>
    <row r="9614" spans="33:33" x14ac:dyDescent="0.25">
      <c r="AG9614" s="185"/>
    </row>
    <row r="9615" spans="33:33" x14ac:dyDescent="0.25">
      <c r="AG9615" s="185"/>
    </row>
    <row r="9616" spans="33:33" x14ac:dyDescent="0.25">
      <c r="AG9616" s="185"/>
    </row>
    <row r="9617" spans="33:33" x14ac:dyDescent="0.25">
      <c r="AG9617" s="185"/>
    </row>
    <row r="9618" spans="33:33" x14ac:dyDescent="0.25">
      <c r="AG9618" s="185"/>
    </row>
    <row r="9619" spans="33:33" x14ac:dyDescent="0.25">
      <c r="AG9619" s="185"/>
    </row>
    <row r="9620" spans="33:33" x14ac:dyDescent="0.25">
      <c r="AG9620" s="185"/>
    </row>
    <row r="9621" spans="33:33" x14ac:dyDescent="0.25">
      <c r="AG9621" s="185"/>
    </row>
    <row r="9622" spans="33:33" x14ac:dyDescent="0.25">
      <c r="AG9622" s="185"/>
    </row>
    <row r="9623" spans="33:33" x14ac:dyDescent="0.25">
      <c r="AG9623" s="185"/>
    </row>
    <row r="9624" spans="33:33" x14ac:dyDescent="0.25">
      <c r="AG9624" s="185"/>
    </row>
    <row r="9625" spans="33:33" x14ac:dyDescent="0.25">
      <c r="AG9625" s="185"/>
    </row>
    <row r="9626" spans="33:33" x14ac:dyDescent="0.25">
      <c r="AG9626" s="185"/>
    </row>
    <row r="9627" spans="33:33" x14ac:dyDescent="0.25">
      <c r="AG9627" s="185"/>
    </row>
    <row r="9628" spans="33:33" x14ac:dyDescent="0.25">
      <c r="AG9628" s="185"/>
    </row>
    <row r="9629" spans="33:33" x14ac:dyDescent="0.25">
      <c r="AG9629" s="185"/>
    </row>
    <row r="9630" spans="33:33" x14ac:dyDescent="0.25">
      <c r="AG9630" s="185"/>
    </row>
    <row r="9631" spans="33:33" x14ac:dyDescent="0.25">
      <c r="AG9631" s="185"/>
    </row>
    <row r="9632" spans="33:33" x14ac:dyDescent="0.25">
      <c r="AG9632" s="185"/>
    </row>
    <row r="9633" spans="33:33" x14ac:dyDescent="0.25">
      <c r="AG9633" s="185"/>
    </row>
    <row r="9634" spans="33:33" x14ac:dyDescent="0.25">
      <c r="AG9634" s="185"/>
    </row>
    <row r="9635" spans="33:33" x14ac:dyDescent="0.25">
      <c r="AG9635" s="185"/>
    </row>
    <row r="9636" spans="33:33" x14ac:dyDescent="0.25">
      <c r="AG9636" s="185"/>
    </row>
    <row r="9637" spans="33:33" x14ac:dyDescent="0.25">
      <c r="AG9637" s="185"/>
    </row>
    <row r="9638" spans="33:33" x14ac:dyDescent="0.25">
      <c r="AG9638" s="185"/>
    </row>
    <row r="9639" spans="33:33" x14ac:dyDescent="0.25">
      <c r="AG9639" s="185"/>
    </row>
    <row r="9640" spans="33:33" x14ac:dyDescent="0.25">
      <c r="AG9640" s="185"/>
    </row>
    <row r="9641" spans="33:33" x14ac:dyDescent="0.25">
      <c r="AG9641" s="185"/>
    </row>
    <row r="9642" spans="33:33" x14ac:dyDescent="0.25">
      <c r="AG9642" s="185"/>
    </row>
    <row r="9643" spans="33:33" x14ac:dyDescent="0.25">
      <c r="AG9643" s="185"/>
    </row>
    <row r="9644" spans="33:33" x14ac:dyDescent="0.25">
      <c r="AG9644" s="185"/>
    </row>
    <row r="9645" spans="33:33" x14ac:dyDescent="0.25">
      <c r="AG9645" s="185"/>
    </row>
    <row r="9646" spans="33:33" x14ac:dyDescent="0.25">
      <c r="AG9646" s="185"/>
    </row>
    <row r="9647" spans="33:33" x14ac:dyDescent="0.25">
      <c r="AG9647" s="185"/>
    </row>
    <row r="9648" spans="33:33" x14ac:dyDescent="0.25">
      <c r="AG9648" s="185"/>
    </row>
    <row r="9649" spans="33:33" x14ac:dyDescent="0.25">
      <c r="AG9649" s="185"/>
    </row>
    <row r="9650" spans="33:33" x14ac:dyDescent="0.25">
      <c r="AG9650" s="185"/>
    </row>
    <row r="9651" spans="33:33" x14ac:dyDescent="0.25">
      <c r="AG9651" s="185"/>
    </row>
    <row r="9652" spans="33:33" x14ac:dyDescent="0.25">
      <c r="AG9652" s="185"/>
    </row>
    <row r="9653" spans="33:33" x14ac:dyDescent="0.25">
      <c r="AG9653" s="185"/>
    </row>
    <row r="9654" spans="33:33" x14ac:dyDescent="0.25">
      <c r="AG9654" s="185"/>
    </row>
    <row r="9655" spans="33:33" x14ac:dyDescent="0.25">
      <c r="AG9655" s="185"/>
    </row>
    <row r="9656" spans="33:33" x14ac:dyDescent="0.25">
      <c r="AG9656" s="185"/>
    </row>
    <row r="9657" spans="33:33" x14ac:dyDescent="0.25">
      <c r="AG9657" s="185"/>
    </row>
    <row r="9658" spans="33:33" x14ac:dyDescent="0.25">
      <c r="AG9658" s="185"/>
    </row>
    <row r="9659" spans="33:33" x14ac:dyDescent="0.25">
      <c r="AG9659" s="185"/>
    </row>
    <row r="9660" spans="33:33" x14ac:dyDescent="0.25">
      <c r="AG9660" s="185"/>
    </row>
    <row r="9661" spans="33:33" x14ac:dyDescent="0.25">
      <c r="AG9661" s="185"/>
    </row>
    <row r="9662" spans="33:33" x14ac:dyDescent="0.25">
      <c r="AG9662" s="185"/>
    </row>
    <row r="9663" spans="33:33" x14ac:dyDescent="0.25">
      <c r="AG9663" s="185"/>
    </row>
    <row r="9664" spans="33:33" x14ac:dyDescent="0.25">
      <c r="AG9664" s="185"/>
    </row>
    <row r="9665" spans="33:33" x14ac:dyDescent="0.25">
      <c r="AG9665" s="185"/>
    </row>
    <row r="9666" spans="33:33" x14ac:dyDescent="0.25">
      <c r="AG9666" s="185"/>
    </row>
    <row r="9667" spans="33:33" x14ac:dyDescent="0.25">
      <c r="AG9667" s="185"/>
    </row>
    <row r="9668" spans="33:33" x14ac:dyDescent="0.25">
      <c r="AG9668" s="185"/>
    </row>
    <row r="9669" spans="33:33" x14ac:dyDescent="0.25">
      <c r="AG9669" s="185"/>
    </row>
    <row r="9670" spans="33:33" x14ac:dyDescent="0.25">
      <c r="AG9670" s="185"/>
    </row>
    <row r="9671" spans="33:33" x14ac:dyDescent="0.25">
      <c r="AG9671" s="185"/>
    </row>
    <row r="9672" spans="33:33" x14ac:dyDescent="0.25">
      <c r="AG9672" s="185"/>
    </row>
    <row r="9673" spans="33:33" x14ac:dyDescent="0.25">
      <c r="AG9673" s="185"/>
    </row>
    <row r="9674" spans="33:33" x14ac:dyDescent="0.25">
      <c r="AG9674" s="185"/>
    </row>
    <row r="9675" spans="33:33" x14ac:dyDescent="0.25">
      <c r="AG9675" s="185"/>
    </row>
    <row r="9676" spans="33:33" x14ac:dyDescent="0.25">
      <c r="AG9676" s="185"/>
    </row>
    <row r="9677" spans="33:33" x14ac:dyDescent="0.25">
      <c r="AG9677" s="185"/>
    </row>
    <row r="9678" spans="33:33" x14ac:dyDescent="0.25">
      <c r="AG9678" s="185"/>
    </row>
    <row r="9679" spans="33:33" x14ac:dyDescent="0.25">
      <c r="AG9679" s="185"/>
    </row>
    <row r="9680" spans="33:33" x14ac:dyDescent="0.25">
      <c r="AG9680" s="185"/>
    </row>
    <row r="9681" spans="33:33" x14ac:dyDescent="0.25">
      <c r="AG9681" s="185"/>
    </row>
    <row r="9682" spans="33:33" x14ac:dyDescent="0.25">
      <c r="AG9682" s="185"/>
    </row>
    <row r="9683" spans="33:33" x14ac:dyDescent="0.25">
      <c r="AG9683" s="185"/>
    </row>
    <row r="9684" spans="33:33" x14ac:dyDescent="0.25">
      <c r="AG9684" s="185"/>
    </row>
    <row r="9685" spans="33:33" x14ac:dyDescent="0.25">
      <c r="AG9685" s="185"/>
    </row>
    <row r="9686" spans="33:33" x14ac:dyDescent="0.25">
      <c r="AG9686" s="185"/>
    </row>
    <row r="9687" spans="33:33" x14ac:dyDescent="0.25">
      <c r="AG9687" s="185"/>
    </row>
    <row r="9688" spans="33:33" x14ac:dyDescent="0.25">
      <c r="AG9688" s="185"/>
    </row>
    <row r="9689" spans="33:33" x14ac:dyDescent="0.25">
      <c r="AG9689" s="185"/>
    </row>
    <row r="9690" spans="33:33" x14ac:dyDescent="0.25">
      <c r="AG9690" s="185"/>
    </row>
    <row r="9691" spans="33:33" x14ac:dyDescent="0.25">
      <c r="AG9691" s="185"/>
    </row>
    <row r="9692" spans="33:33" x14ac:dyDescent="0.25">
      <c r="AG9692" s="185"/>
    </row>
    <row r="9693" spans="33:33" x14ac:dyDescent="0.25">
      <c r="AG9693" s="185"/>
    </row>
    <row r="9694" spans="33:33" x14ac:dyDescent="0.25">
      <c r="AG9694" s="185"/>
    </row>
    <row r="9695" spans="33:33" x14ac:dyDescent="0.25">
      <c r="AG9695" s="185"/>
    </row>
    <row r="9696" spans="33:33" x14ac:dyDescent="0.25">
      <c r="AG9696" s="185"/>
    </row>
    <row r="9697" spans="33:33" x14ac:dyDescent="0.25">
      <c r="AG9697" s="185"/>
    </row>
    <row r="9698" spans="33:33" x14ac:dyDescent="0.25">
      <c r="AG9698" s="185"/>
    </row>
    <row r="9699" spans="33:33" x14ac:dyDescent="0.25">
      <c r="AG9699" s="185"/>
    </row>
    <row r="9700" spans="33:33" x14ac:dyDescent="0.25">
      <c r="AG9700" s="185"/>
    </row>
    <row r="9701" spans="33:33" x14ac:dyDescent="0.25">
      <c r="AG9701" s="185"/>
    </row>
    <row r="9702" spans="33:33" x14ac:dyDescent="0.25">
      <c r="AG9702" s="185"/>
    </row>
    <row r="9703" spans="33:33" x14ac:dyDescent="0.25">
      <c r="AG9703" s="185"/>
    </row>
    <row r="9704" spans="33:33" x14ac:dyDescent="0.25">
      <c r="AG9704" s="185"/>
    </row>
    <row r="9705" spans="33:33" x14ac:dyDescent="0.25">
      <c r="AG9705" s="185"/>
    </row>
    <row r="9706" spans="33:33" x14ac:dyDescent="0.25">
      <c r="AG9706" s="185"/>
    </row>
    <row r="9707" spans="33:33" x14ac:dyDescent="0.25">
      <c r="AG9707" s="185"/>
    </row>
    <row r="9708" spans="33:33" x14ac:dyDescent="0.25">
      <c r="AG9708" s="185"/>
    </row>
    <row r="9709" spans="33:33" x14ac:dyDescent="0.25">
      <c r="AG9709" s="185"/>
    </row>
    <row r="9710" spans="33:33" x14ac:dyDescent="0.25">
      <c r="AG9710" s="185"/>
    </row>
    <row r="9711" spans="33:33" x14ac:dyDescent="0.25">
      <c r="AG9711" s="185"/>
    </row>
    <row r="9712" spans="33:33" x14ac:dyDescent="0.25">
      <c r="AG9712" s="185"/>
    </row>
    <row r="9713" spans="33:33" x14ac:dyDescent="0.25">
      <c r="AG9713" s="185"/>
    </row>
    <row r="9714" spans="33:33" x14ac:dyDescent="0.25">
      <c r="AG9714" s="185"/>
    </row>
    <row r="9715" spans="33:33" x14ac:dyDescent="0.25">
      <c r="AG9715" s="185"/>
    </row>
    <row r="9716" spans="33:33" x14ac:dyDescent="0.25">
      <c r="AG9716" s="185"/>
    </row>
    <row r="9717" spans="33:33" x14ac:dyDescent="0.25">
      <c r="AG9717" s="185"/>
    </row>
    <row r="9718" spans="33:33" x14ac:dyDescent="0.25">
      <c r="AG9718" s="185"/>
    </row>
    <row r="9719" spans="33:33" x14ac:dyDescent="0.25">
      <c r="AG9719" s="185"/>
    </row>
    <row r="9720" spans="33:33" x14ac:dyDescent="0.25">
      <c r="AG9720" s="185"/>
    </row>
    <row r="9721" spans="33:33" x14ac:dyDescent="0.25">
      <c r="AG9721" s="185"/>
    </row>
    <row r="9722" spans="33:33" x14ac:dyDescent="0.25">
      <c r="AG9722" s="185"/>
    </row>
    <row r="9723" spans="33:33" x14ac:dyDescent="0.25">
      <c r="AG9723" s="185"/>
    </row>
    <row r="9724" spans="33:33" x14ac:dyDescent="0.25">
      <c r="AG9724" s="185"/>
    </row>
    <row r="9725" spans="33:33" x14ac:dyDescent="0.25">
      <c r="AG9725" s="185"/>
    </row>
    <row r="9726" spans="33:33" x14ac:dyDescent="0.25">
      <c r="AG9726" s="185"/>
    </row>
    <row r="9727" spans="33:33" x14ac:dyDescent="0.25">
      <c r="AG9727" s="185"/>
    </row>
    <row r="9728" spans="33:33" x14ac:dyDescent="0.25">
      <c r="AG9728" s="185"/>
    </row>
    <row r="9729" spans="33:33" x14ac:dyDescent="0.25">
      <c r="AG9729" s="185"/>
    </row>
    <row r="9730" spans="33:33" x14ac:dyDescent="0.25">
      <c r="AG9730" s="185"/>
    </row>
    <row r="9731" spans="33:33" x14ac:dyDescent="0.25">
      <c r="AG9731" s="185"/>
    </row>
    <row r="9732" spans="33:33" x14ac:dyDescent="0.25">
      <c r="AG9732" s="185"/>
    </row>
    <row r="9733" spans="33:33" x14ac:dyDescent="0.25">
      <c r="AG9733" s="185"/>
    </row>
    <row r="9734" spans="33:33" x14ac:dyDescent="0.25">
      <c r="AG9734" s="185"/>
    </row>
    <row r="9735" spans="33:33" x14ac:dyDescent="0.25">
      <c r="AG9735" s="185"/>
    </row>
    <row r="9736" spans="33:33" x14ac:dyDescent="0.25">
      <c r="AG9736" s="185"/>
    </row>
    <row r="9737" spans="33:33" x14ac:dyDescent="0.25">
      <c r="AG9737" s="185"/>
    </row>
    <row r="9738" spans="33:33" x14ac:dyDescent="0.25">
      <c r="AG9738" s="185"/>
    </row>
    <row r="9739" spans="33:33" x14ac:dyDescent="0.25">
      <c r="AG9739" s="185"/>
    </row>
    <row r="9740" spans="33:33" x14ac:dyDescent="0.25">
      <c r="AG9740" s="185"/>
    </row>
    <row r="9741" spans="33:33" x14ac:dyDescent="0.25">
      <c r="AG9741" s="185"/>
    </row>
    <row r="9742" spans="33:33" x14ac:dyDescent="0.25">
      <c r="AG9742" s="185"/>
    </row>
    <row r="9743" spans="33:33" x14ac:dyDescent="0.25">
      <c r="AG9743" s="185"/>
    </row>
    <row r="9744" spans="33:33" x14ac:dyDescent="0.25">
      <c r="AG9744" s="185"/>
    </row>
    <row r="9745" spans="33:33" x14ac:dyDescent="0.25">
      <c r="AG9745" s="185"/>
    </row>
    <row r="9746" spans="33:33" x14ac:dyDescent="0.25">
      <c r="AG9746" s="185"/>
    </row>
    <row r="9747" spans="33:33" x14ac:dyDescent="0.25">
      <c r="AG9747" s="185"/>
    </row>
    <row r="9748" spans="33:33" x14ac:dyDescent="0.25">
      <c r="AG9748" s="185"/>
    </row>
    <row r="9749" spans="33:33" x14ac:dyDescent="0.25">
      <c r="AG9749" s="185"/>
    </row>
    <row r="9750" spans="33:33" x14ac:dyDescent="0.25">
      <c r="AG9750" s="185"/>
    </row>
    <row r="9751" spans="33:33" x14ac:dyDescent="0.25">
      <c r="AG9751" s="185"/>
    </row>
    <row r="9752" spans="33:33" x14ac:dyDescent="0.25">
      <c r="AG9752" s="185"/>
    </row>
    <row r="9753" spans="33:33" x14ac:dyDescent="0.25">
      <c r="AG9753" s="185"/>
    </row>
    <row r="9754" spans="33:33" x14ac:dyDescent="0.25">
      <c r="AG9754" s="185"/>
    </row>
    <row r="9755" spans="33:33" x14ac:dyDescent="0.25">
      <c r="AG9755" s="185"/>
    </row>
    <row r="9756" spans="33:33" x14ac:dyDescent="0.25">
      <c r="AG9756" s="185"/>
    </row>
    <row r="9757" spans="33:33" x14ac:dyDescent="0.25">
      <c r="AG9757" s="185"/>
    </row>
    <row r="9758" spans="33:33" x14ac:dyDescent="0.25">
      <c r="AG9758" s="185"/>
    </row>
    <row r="9759" spans="33:33" x14ac:dyDescent="0.25">
      <c r="AG9759" s="185"/>
    </row>
    <row r="9760" spans="33:33" x14ac:dyDescent="0.25">
      <c r="AG9760" s="185"/>
    </row>
    <row r="9761" spans="33:33" x14ac:dyDescent="0.25">
      <c r="AG9761" s="185"/>
    </row>
    <row r="9762" spans="33:33" x14ac:dyDescent="0.25">
      <c r="AG9762" s="185"/>
    </row>
    <row r="9763" spans="33:33" x14ac:dyDescent="0.25">
      <c r="AG9763" s="185"/>
    </row>
    <row r="9764" spans="33:33" x14ac:dyDescent="0.25">
      <c r="AG9764" s="185"/>
    </row>
    <row r="9765" spans="33:33" x14ac:dyDescent="0.25">
      <c r="AG9765" s="185"/>
    </row>
    <row r="9766" spans="33:33" x14ac:dyDescent="0.25">
      <c r="AG9766" s="185"/>
    </row>
    <row r="9767" spans="33:33" x14ac:dyDescent="0.25">
      <c r="AG9767" s="185"/>
    </row>
    <row r="9768" spans="33:33" x14ac:dyDescent="0.25">
      <c r="AG9768" s="185"/>
    </row>
    <row r="9769" spans="33:33" x14ac:dyDescent="0.25">
      <c r="AG9769" s="185"/>
    </row>
    <row r="9770" spans="33:33" x14ac:dyDescent="0.25">
      <c r="AG9770" s="185"/>
    </row>
    <row r="9771" spans="33:33" x14ac:dyDescent="0.25">
      <c r="AG9771" s="185"/>
    </row>
    <row r="9772" spans="33:33" x14ac:dyDescent="0.25">
      <c r="AG9772" s="185"/>
    </row>
    <row r="9773" spans="33:33" x14ac:dyDescent="0.25">
      <c r="AG9773" s="185"/>
    </row>
    <row r="9774" spans="33:33" x14ac:dyDescent="0.25">
      <c r="AG9774" s="185"/>
    </row>
    <row r="9775" spans="33:33" x14ac:dyDescent="0.25">
      <c r="AG9775" s="185"/>
    </row>
    <row r="9776" spans="33:33" x14ac:dyDescent="0.25">
      <c r="AG9776" s="185"/>
    </row>
    <row r="9777" spans="33:33" x14ac:dyDescent="0.25">
      <c r="AG9777" s="185"/>
    </row>
    <row r="9778" spans="33:33" x14ac:dyDescent="0.25">
      <c r="AG9778" s="185"/>
    </row>
    <row r="9779" spans="33:33" x14ac:dyDescent="0.25">
      <c r="AG9779" s="185"/>
    </row>
    <row r="9780" spans="33:33" x14ac:dyDescent="0.25">
      <c r="AG9780" s="185"/>
    </row>
    <row r="9781" spans="33:33" x14ac:dyDescent="0.25">
      <c r="AG9781" s="185"/>
    </row>
    <row r="9782" spans="33:33" x14ac:dyDescent="0.25">
      <c r="AG9782" s="185"/>
    </row>
    <row r="9783" spans="33:33" x14ac:dyDescent="0.25">
      <c r="AG9783" s="185"/>
    </row>
    <row r="9784" spans="33:33" x14ac:dyDescent="0.25">
      <c r="AG9784" s="185"/>
    </row>
    <row r="9785" spans="33:33" x14ac:dyDescent="0.25">
      <c r="AG9785" s="185"/>
    </row>
    <row r="9786" spans="33:33" x14ac:dyDescent="0.25">
      <c r="AG9786" s="185"/>
    </row>
    <row r="9787" spans="33:33" x14ac:dyDescent="0.25">
      <c r="AG9787" s="185"/>
    </row>
    <row r="9788" spans="33:33" x14ac:dyDescent="0.25">
      <c r="AG9788" s="185"/>
    </row>
    <row r="9789" spans="33:33" x14ac:dyDescent="0.25">
      <c r="AG9789" s="185"/>
    </row>
    <row r="9790" spans="33:33" x14ac:dyDescent="0.25">
      <c r="AG9790" s="185"/>
    </row>
    <row r="9791" spans="33:33" x14ac:dyDescent="0.25">
      <c r="AG9791" s="185"/>
    </row>
    <row r="9792" spans="33:33" x14ac:dyDescent="0.25">
      <c r="AG9792" s="185"/>
    </row>
    <row r="9793" spans="33:33" x14ac:dyDescent="0.25">
      <c r="AG9793" s="185"/>
    </row>
    <row r="9794" spans="33:33" x14ac:dyDescent="0.25">
      <c r="AG9794" s="185"/>
    </row>
    <row r="9795" spans="33:33" x14ac:dyDescent="0.25">
      <c r="AG9795" s="185"/>
    </row>
    <row r="9796" spans="33:33" x14ac:dyDescent="0.25">
      <c r="AG9796" s="185"/>
    </row>
    <row r="9797" spans="33:33" x14ac:dyDescent="0.25">
      <c r="AG9797" s="185"/>
    </row>
    <row r="9798" spans="33:33" x14ac:dyDescent="0.25">
      <c r="AG9798" s="185"/>
    </row>
    <row r="9799" spans="33:33" x14ac:dyDescent="0.25">
      <c r="AG9799" s="185"/>
    </row>
    <row r="9800" spans="33:33" x14ac:dyDescent="0.25">
      <c r="AG9800" s="185"/>
    </row>
    <row r="9801" spans="33:33" x14ac:dyDescent="0.25">
      <c r="AG9801" s="185"/>
    </row>
    <row r="9802" spans="33:33" x14ac:dyDescent="0.25">
      <c r="AG9802" s="185"/>
    </row>
    <row r="9803" spans="33:33" x14ac:dyDescent="0.25">
      <c r="AG9803" s="185"/>
    </row>
    <row r="9804" spans="33:33" x14ac:dyDescent="0.25">
      <c r="AG9804" s="185"/>
    </row>
    <row r="9805" spans="33:33" x14ac:dyDescent="0.25">
      <c r="AG9805" s="185"/>
    </row>
    <row r="9806" spans="33:33" x14ac:dyDescent="0.25">
      <c r="AG9806" s="185"/>
    </row>
    <row r="9807" spans="33:33" x14ac:dyDescent="0.25">
      <c r="AG9807" s="185"/>
    </row>
    <row r="9808" spans="33:33" x14ac:dyDescent="0.25">
      <c r="AG9808" s="185"/>
    </row>
    <row r="9809" spans="33:33" x14ac:dyDescent="0.25">
      <c r="AG9809" s="185"/>
    </row>
    <row r="9810" spans="33:33" x14ac:dyDescent="0.25">
      <c r="AG9810" s="185"/>
    </row>
    <row r="9811" spans="33:33" x14ac:dyDescent="0.25">
      <c r="AG9811" s="185"/>
    </row>
    <row r="9812" spans="33:33" x14ac:dyDescent="0.25">
      <c r="AG9812" s="185"/>
    </row>
    <row r="9813" spans="33:33" x14ac:dyDescent="0.25">
      <c r="AG9813" s="185"/>
    </row>
    <row r="9814" spans="33:33" x14ac:dyDescent="0.25">
      <c r="AG9814" s="185"/>
    </row>
    <row r="9815" spans="33:33" x14ac:dyDescent="0.25">
      <c r="AG9815" s="185"/>
    </row>
    <row r="9816" spans="33:33" x14ac:dyDescent="0.25">
      <c r="AG9816" s="185"/>
    </row>
    <row r="9817" spans="33:33" x14ac:dyDescent="0.25">
      <c r="AG9817" s="185"/>
    </row>
    <row r="9818" spans="33:33" x14ac:dyDescent="0.25">
      <c r="AG9818" s="185"/>
    </row>
    <row r="9819" spans="33:33" x14ac:dyDescent="0.25">
      <c r="AG9819" s="185"/>
    </row>
    <row r="9820" spans="33:33" x14ac:dyDescent="0.25">
      <c r="AG9820" s="185"/>
    </row>
    <row r="9821" spans="33:33" x14ac:dyDescent="0.25">
      <c r="AG9821" s="185"/>
    </row>
    <row r="9822" spans="33:33" x14ac:dyDescent="0.25">
      <c r="AG9822" s="185"/>
    </row>
    <row r="9823" spans="33:33" x14ac:dyDescent="0.25">
      <c r="AG9823" s="185"/>
    </row>
    <row r="9824" spans="33:33" x14ac:dyDescent="0.25">
      <c r="AG9824" s="185"/>
    </row>
    <row r="9825" spans="33:33" x14ac:dyDescent="0.25">
      <c r="AG9825" s="185"/>
    </row>
    <row r="9826" spans="33:33" x14ac:dyDescent="0.25">
      <c r="AG9826" s="185"/>
    </row>
    <row r="9827" spans="33:33" x14ac:dyDescent="0.25">
      <c r="AG9827" s="185"/>
    </row>
    <row r="9828" spans="33:33" x14ac:dyDescent="0.25">
      <c r="AG9828" s="185"/>
    </row>
    <row r="9829" spans="33:33" x14ac:dyDescent="0.25">
      <c r="AG9829" s="185"/>
    </row>
    <row r="9830" spans="33:33" x14ac:dyDescent="0.25">
      <c r="AG9830" s="185"/>
    </row>
    <row r="9831" spans="33:33" x14ac:dyDescent="0.25">
      <c r="AG9831" s="185"/>
    </row>
    <row r="9832" spans="33:33" x14ac:dyDescent="0.25">
      <c r="AG9832" s="185"/>
    </row>
    <row r="9833" spans="33:33" x14ac:dyDescent="0.25">
      <c r="AG9833" s="185"/>
    </row>
    <row r="9834" spans="33:33" x14ac:dyDescent="0.25">
      <c r="AG9834" s="185"/>
    </row>
    <row r="9835" spans="33:33" x14ac:dyDescent="0.25">
      <c r="AG9835" s="185"/>
    </row>
    <row r="9836" spans="33:33" x14ac:dyDescent="0.25">
      <c r="AG9836" s="185"/>
    </row>
    <row r="9837" spans="33:33" x14ac:dyDescent="0.25">
      <c r="AG9837" s="185"/>
    </row>
    <row r="9838" spans="33:33" x14ac:dyDescent="0.25">
      <c r="AG9838" s="185"/>
    </row>
    <row r="9839" spans="33:33" x14ac:dyDescent="0.25">
      <c r="AG9839" s="185"/>
    </row>
    <row r="9840" spans="33:33" x14ac:dyDescent="0.25">
      <c r="AG9840" s="185"/>
    </row>
    <row r="9841" spans="33:33" x14ac:dyDescent="0.25">
      <c r="AG9841" s="185"/>
    </row>
    <row r="9842" spans="33:33" x14ac:dyDescent="0.25">
      <c r="AG9842" s="185"/>
    </row>
    <row r="9843" spans="33:33" x14ac:dyDescent="0.25">
      <c r="AG9843" s="185"/>
    </row>
    <row r="9844" spans="33:33" x14ac:dyDescent="0.25">
      <c r="AG9844" s="185"/>
    </row>
    <row r="9845" spans="33:33" x14ac:dyDescent="0.25">
      <c r="AG9845" s="185"/>
    </row>
    <row r="9846" spans="33:33" x14ac:dyDescent="0.25">
      <c r="AG9846" s="185"/>
    </row>
    <row r="9847" spans="33:33" x14ac:dyDescent="0.25">
      <c r="AG9847" s="185"/>
    </row>
    <row r="9848" spans="33:33" x14ac:dyDescent="0.25">
      <c r="AG9848" s="185"/>
    </row>
    <row r="9849" spans="33:33" x14ac:dyDescent="0.25">
      <c r="AG9849" s="185"/>
    </row>
    <row r="9850" spans="33:33" x14ac:dyDescent="0.25">
      <c r="AG9850" s="185"/>
    </row>
    <row r="9851" spans="33:33" x14ac:dyDescent="0.25">
      <c r="AG9851" s="185"/>
    </row>
    <row r="9852" spans="33:33" x14ac:dyDescent="0.25">
      <c r="AG9852" s="185"/>
    </row>
    <row r="9853" spans="33:33" x14ac:dyDescent="0.25">
      <c r="AG9853" s="185"/>
    </row>
    <row r="9854" spans="33:33" x14ac:dyDescent="0.25">
      <c r="AG9854" s="185"/>
    </row>
    <row r="9855" spans="33:33" x14ac:dyDescent="0.25">
      <c r="AG9855" s="185"/>
    </row>
    <row r="9856" spans="33:33" x14ac:dyDescent="0.25">
      <c r="AG9856" s="185"/>
    </row>
    <row r="9857" spans="33:33" x14ac:dyDescent="0.25">
      <c r="AG9857" s="185"/>
    </row>
    <row r="9858" spans="33:33" x14ac:dyDescent="0.25">
      <c r="AG9858" s="185"/>
    </row>
    <row r="9859" spans="33:33" x14ac:dyDescent="0.25">
      <c r="AG9859" s="185"/>
    </row>
    <row r="9860" spans="33:33" x14ac:dyDescent="0.25">
      <c r="AG9860" s="185"/>
    </row>
    <row r="9861" spans="33:33" x14ac:dyDescent="0.25">
      <c r="AG9861" s="185"/>
    </row>
    <row r="9862" spans="33:33" x14ac:dyDescent="0.25">
      <c r="AG9862" s="185"/>
    </row>
    <row r="9863" spans="33:33" x14ac:dyDescent="0.25">
      <c r="AG9863" s="185"/>
    </row>
    <row r="9864" spans="33:33" x14ac:dyDescent="0.25">
      <c r="AG9864" s="185"/>
    </row>
    <row r="9865" spans="33:33" x14ac:dyDescent="0.25">
      <c r="AG9865" s="185"/>
    </row>
    <row r="9866" spans="33:33" x14ac:dyDescent="0.25">
      <c r="AG9866" s="185"/>
    </row>
    <row r="9867" spans="33:33" x14ac:dyDescent="0.25">
      <c r="AG9867" s="185"/>
    </row>
    <row r="9868" spans="33:33" x14ac:dyDescent="0.25">
      <c r="AG9868" s="185"/>
    </row>
    <row r="9869" spans="33:33" x14ac:dyDescent="0.25">
      <c r="AG9869" s="185"/>
    </row>
    <row r="9870" spans="33:33" x14ac:dyDescent="0.25">
      <c r="AG9870" s="185"/>
    </row>
    <row r="9871" spans="33:33" x14ac:dyDescent="0.25">
      <c r="AG9871" s="185"/>
    </row>
    <row r="9872" spans="33:33" x14ac:dyDescent="0.25">
      <c r="AG9872" s="185"/>
    </row>
    <row r="9873" spans="33:33" x14ac:dyDescent="0.25">
      <c r="AG9873" s="185"/>
    </row>
    <row r="9874" spans="33:33" x14ac:dyDescent="0.25">
      <c r="AG9874" s="185"/>
    </row>
    <row r="9875" spans="33:33" x14ac:dyDescent="0.25">
      <c r="AG9875" s="185"/>
    </row>
    <row r="9876" spans="33:33" x14ac:dyDescent="0.25">
      <c r="AG9876" s="185"/>
    </row>
    <row r="9877" spans="33:33" x14ac:dyDescent="0.25">
      <c r="AG9877" s="185"/>
    </row>
    <row r="9878" spans="33:33" x14ac:dyDescent="0.25">
      <c r="AG9878" s="185"/>
    </row>
    <row r="9879" spans="33:33" x14ac:dyDescent="0.25">
      <c r="AG9879" s="185"/>
    </row>
    <row r="9880" spans="33:33" x14ac:dyDescent="0.25">
      <c r="AG9880" s="185"/>
    </row>
    <row r="9881" spans="33:33" x14ac:dyDescent="0.25">
      <c r="AG9881" s="185"/>
    </row>
    <row r="9882" spans="33:33" x14ac:dyDescent="0.25">
      <c r="AG9882" s="185"/>
    </row>
    <row r="9883" spans="33:33" x14ac:dyDescent="0.25">
      <c r="AG9883" s="185"/>
    </row>
    <row r="9884" spans="33:33" x14ac:dyDescent="0.25">
      <c r="AG9884" s="185"/>
    </row>
    <row r="9885" spans="33:33" x14ac:dyDescent="0.25">
      <c r="AG9885" s="185"/>
    </row>
    <row r="9886" spans="33:33" x14ac:dyDescent="0.25">
      <c r="AG9886" s="185"/>
    </row>
    <row r="9887" spans="33:33" x14ac:dyDescent="0.25">
      <c r="AG9887" s="185"/>
    </row>
    <row r="9888" spans="33:33" x14ac:dyDescent="0.25">
      <c r="AG9888" s="185"/>
    </row>
    <row r="9889" spans="33:33" x14ac:dyDescent="0.25">
      <c r="AG9889" s="185"/>
    </row>
    <row r="9890" spans="33:33" x14ac:dyDescent="0.25">
      <c r="AG9890" s="185"/>
    </row>
    <row r="9891" spans="33:33" x14ac:dyDescent="0.25">
      <c r="AG9891" s="185"/>
    </row>
    <row r="9892" spans="33:33" x14ac:dyDescent="0.25">
      <c r="AG9892" s="185"/>
    </row>
    <row r="9893" spans="33:33" x14ac:dyDescent="0.25">
      <c r="AG9893" s="185"/>
    </row>
    <row r="9894" spans="33:33" x14ac:dyDescent="0.25">
      <c r="AG9894" s="185"/>
    </row>
    <row r="9895" spans="33:33" x14ac:dyDescent="0.25">
      <c r="AG9895" s="185"/>
    </row>
    <row r="9896" spans="33:33" x14ac:dyDescent="0.25">
      <c r="AG9896" s="185"/>
    </row>
    <row r="9897" spans="33:33" x14ac:dyDescent="0.25">
      <c r="AG9897" s="185"/>
    </row>
    <row r="9898" spans="33:33" x14ac:dyDescent="0.25">
      <c r="AG9898" s="185"/>
    </row>
    <row r="9899" spans="33:33" x14ac:dyDescent="0.25">
      <c r="AG9899" s="185"/>
    </row>
    <row r="9900" spans="33:33" x14ac:dyDescent="0.25">
      <c r="AG9900" s="185"/>
    </row>
    <row r="9901" spans="33:33" x14ac:dyDescent="0.25">
      <c r="AG9901" s="185"/>
    </row>
    <row r="9902" spans="33:33" x14ac:dyDescent="0.25">
      <c r="AG9902" s="185"/>
    </row>
    <row r="9903" spans="33:33" x14ac:dyDescent="0.25">
      <c r="AG9903" s="185"/>
    </row>
    <row r="9904" spans="33:33" x14ac:dyDescent="0.25">
      <c r="AG9904" s="185"/>
    </row>
    <row r="9905" spans="33:33" x14ac:dyDescent="0.25">
      <c r="AG9905" s="185"/>
    </row>
    <row r="9906" spans="33:33" x14ac:dyDescent="0.25">
      <c r="AG9906" s="185"/>
    </row>
    <row r="9907" spans="33:33" x14ac:dyDescent="0.25">
      <c r="AG9907" s="185"/>
    </row>
    <row r="9908" spans="33:33" x14ac:dyDescent="0.25">
      <c r="AG9908" s="185"/>
    </row>
    <row r="9909" spans="33:33" x14ac:dyDescent="0.25">
      <c r="AG9909" s="185"/>
    </row>
    <row r="9910" spans="33:33" x14ac:dyDescent="0.25">
      <c r="AG9910" s="185"/>
    </row>
    <row r="9911" spans="33:33" x14ac:dyDescent="0.25">
      <c r="AG9911" s="185"/>
    </row>
    <row r="9912" spans="33:33" x14ac:dyDescent="0.25">
      <c r="AG9912" s="185"/>
    </row>
    <row r="9913" spans="33:33" x14ac:dyDescent="0.25">
      <c r="AG9913" s="185"/>
    </row>
    <row r="9914" spans="33:33" x14ac:dyDescent="0.25">
      <c r="AG9914" s="185"/>
    </row>
    <row r="9915" spans="33:33" x14ac:dyDescent="0.25">
      <c r="AG9915" s="185"/>
    </row>
    <row r="9916" spans="33:33" x14ac:dyDescent="0.25">
      <c r="AG9916" s="185"/>
    </row>
    <row r="9917" spans="33:33" x14ac:dyDescent="0.25">
      <c r="AG9917" s="185"/>
    </row>
    <row r="9918" spans="33:33" x14ac:dyDescent="0.25">
      <c r="AG9918" s="185"/>
    </row>
    <row r="9919" spans="33:33" x14ac:dyDescent="0.25">
      <c r="AG9919" s="185"/>
    </row>
    <row r="9920" spans="33:33" x14ac:dyDescent="0.25">
      <c r="AG9920" s="185"/>
    </row>
    <row r="9921" spans="33:33" x14ac:dyDescent="0.25">
      <c r="AG9921" s="185"/>
    </row>
    <row r="9922" spans="33:33" x14ac:dyDescent="0.25">
      <c r="AG9922" s="185"/>
    </row>
    <row r="9923" spans="33:33" x14ac:dyDescent="0.25">
      <c r="AG9923" s="185"/>
    </row>
    <row r="9924" spans="33:33" x14ac:dyDescent="0.25">
      <c r="AG9924" s="185"/>
    </row>
    <row r="9925" spans="33:33" x14ac:dyDescent="0.25">
      <c r="AG9925" s="185"/>
    </row>
    <row r="9926" spans="33:33" x14ac:dyDescent="0.25">
      <c r="AG9926" s="185"/>
    </row>
    <row r="9927" spans="33:33" x14ac:dyDescent="0.25">
      <c r="AG9927" s="185"/>
    </row>
    <row r="9928" spans="33:33" x14ac:dyDescent="0.25">
      <c r="AG9928" s="185"/>
    </row>
    <row r="9929" spans="33:33" x14ac:dyDescent="0.25">
      <c r="AG9929" s="185"/>
    </row>
    <row r="9930" spans="33:33" x14ac:dyDescent="0.25">
      <c r="AG9930" s="185"/>
    </row>
    <row r="9931" spans="33:33" x14ac:dyDescent="0.25">
      <c r="AG9931" s="185"/>
    </row>
    <row r="9932" spans="33:33" x14ac:dyDescent="0.25">
      <c r="AG9932" s="185"/>
    </row>
    <row r="9933" spans="33:33" x14ac:dyDescent="0.25">
      <c r="AG9933" s="185"/>
    </row>
    <row r="9934" spans="33:33" x14ac:dyDescent="0.25">
      <c r="AG9934" s="185"/>
    </row>
    <row r="9935" spans="33:33" x14ac:dyDescent="0.25">
      <c r="AG9935" s="185"/>
    </row>
    <row r="9936" spans="33:33" x14ac:dyDescent="0.25">
      <c r="AG9936" s="185"/>
    </row>
    <row r="9937" spans="33:33" x14ac:dyDescent="0.25">
      <c r="AG9937" s="185"/>
    </row>
    <row r="9938" spans="33:33" x14ac:dyDescent="0.25">
      <c r="AG9938" s="185"/>
    </row>
    <row r="9939" spans="33:33" x14ac:dyDescent="0.25">
      <c r="AG9939" s="185"/>
    </row>
    <row r="9940" spans="33:33" x14ac:dyDescent="0.25">
      <c r="AG9940" s="185"/>
    </row>
    <row r="9941" spans="33:33" x14ac:dyDescent="0.25">
      <c r="AG9941" s="185"/>
    </row>
    <row r="9942" spans="33:33" x14ac:dyDescent="0.25">
      <c r="AG9942" s="185"/>
    </row>
    <row r="9943" spans="33:33" x14ac:dyDescent="0.25">
      <c r="AG9943" s="185"/>
    </row>
    <row r="9944" spans="33:33" x14ac:dyDescent="0.25">
      <c r="AG9944" s="185"/>
    </row>
    <row r="9945" spans="33:33" x14ac:dyDescent="0.25">
      <c r="AG9945" s="185"/>
    </row>
    <row r="9946" spans="33:33" x14ac:dyDescent="0.25">
      <c r="AG9946" s="185"/>
    </row>
    <row r="9947" spans="33:33" x14ac:dyDescent="0.25">
      <c r="AG9947" s="185"/>
    </row>
    <row r="9948" spans="33:33" x14ac:dyDescent="0.25">
      <c r="AG9948" s="185"/>
    </row>
    <row r="9949" spans="33:33" x14ac:dyDescent="0.25">
      <c r="AG9949" s="185"/>
    </row>
    <row r="9950" spans="33:33" x14ac:dyDescent="0.25">
      <c r="AG9950" s="185"/>
    </row>
    <row r="9951" spans="33:33" x14ac:dyDescent="0.25">
      <c r="AG9951" s="185"/>
    </row>
    <row r="9952" spans="33:33" x14ac:dyDescent="0.25">
      <c r="AG9952" s="185"/>
    </row>
    <row r="9953" spans="33:33" x14ac:dyDescent="0.25">
      <c r="AG9953" s="185"/>
    </row>
    <row r="9954" spans="33:33" x14ac:dyDescent="0.25">
      <c r="AG9954" s="185"/>
    </row>
    <row r="9955" spans="33:33" x14ac:dyDescent="0.25">
      <c r="AG9955" s="185"/>
    </row>
    <row r="9956" spans="33:33" x14ac:dyDescent="0.25">
      <c r="AG9956" s="185"/>
    </row>
    <row r="9957" spans="33:33" x14ac:dyDescent="0.25">
      <c r="AG9957" s="185"/>
    </row>
    <row r="9958" spans="33:33" x14ac:dyDescent="0.25">
      <c r="AG9958" s="185"/>
    </row>
    <row r="9959" spans="33:33" x14ac:dyDescent="0.25">
      <c r="AG9959" s="185"/>
    </row>
    <row r="9960" spans="33:33" x14ac:dyDescent="0.25">
      <c r="AG9960" s="185"/>
    </row>
    <row r="9961" spans="33:33" x14ac:dyDescent="0.25">
      <c r="AG9961" s="185"/>
    </row>
    <row r="9962" spans="33:33" x14ac:dyDescent="0.25">
      <c r="AG9962" s="185"/>
    </row>
    <row r="9963" spans="33:33" x14ac:dyDescent="0.25">
      <c r="AG9963" s="185"/>
    </row>
    <row r="9964" spans="33:33" x14ac:dyDescent="0.25">
      <c r="AG9964" s="185"/>
    </row>
    <row r="9965" spans="33:33" x14ac:dyDescent="0.25">
      <c r="AG9965" s="185"/>
    </row>
    <row r="9966" spans="33:33" x14ac:dyDescent="0.25">
      <c r="AG9966" s="185"/>
    </row>
    <row r="9967" spans="33:33" x14ac:dyDescent="0.25">
      <c r="AG9967" s="185"/>
    </row>
    <row r="9968" spans="33:33" x14ac:dyDescent="0.25">
      <c r="AG9968" s="185"/>
    </row>
    <row r="9969" spans="33:33" x14ac:dyDescent="0.25">
      <c r="AG9969" s="185"/>
    </row>
    <row r="9970" spans="33:33" x14ac:dyDescent="0.25">
      <c r="AG9970" s="185"/>
    </row>
    <row r="9971" spans="33:33" x14ac:dyDescent="0.25">
      <c r="AG9971" s="185"/>
    </row>
    <row r="9972" spans="33:33" x14ac:dyDescent="0.25">
      <c r="AG9972" s="185"/>
    </row>
    <row r="9973" spans="33:33" x14ac:dyDescent="0.25">
      <c r="AG9973" s="185"/>
    </row>
    <row r="9974" spans="33:33" x14ac:dyDescent="0.25">
      <c r="AG9974" s="185"/>
    </row>
    <row r="9975" spans="33:33" x14ac:dyDescent="0.25">
      <c r="AG9975" s="185"/>
    </row>
    <row r="9976" spans="33:33" x14ac:dyDescent="0.25">
      <c r="AG9976" s="185"/>
    </row>
    <row r="9977" spans="33:33" x14ac:dyDescent="0.25">
      <c r="AG9977" s="185"/>
    </row>
    <row r="9978" spans="33:33" x14ac:dyDescent="0.25">
      <c r="AG9978" s="185"/>
    </row>
    <row r="9979" spans="33:33" x14ac:dyDescent="0.25">
      <c r="AG9979" s="185"/>
    </row>
    <row r="9980" spans="33:33" x14ac:dyDescent="0.25">
      <c r="AG9980" s="185"/>
    </row>
    <row r="9981" spans="33:33" x14ac:dyDescent="0.25">
      <c r="AG9981" s="185"/>
    </row>
    <row r="9982" spans="33:33" x14ac:dyDescent="0.25">
      <c r="AG9982" s="185"/>
    </row>
    <row r="9983" spans="33:33" x14ac:dyDescent="0.25">
      <c r="AG9983" s="185"/>
    </row>
    <row r="9984" spans="33:33" x14ac:dyDescent="0.25">
      <c r="AG9984" s="185"/>
    </row>
    <row r="9985" spans="33:33" x14ac:dyDescent="0.25">
      <c r="AG9985" s="185"/>
    </row>
    <row r="9986" spans="33:33" x14ac:dyDescent="0.25">
      <c r="AG9986" s="185"/>
    </row>
    <row r="9987" spans="33:33" x14ac:dyDescent="0.25">
      <c r="AG9987" s="185"/>
    </row>
    <row r="9988" spans="33:33" x14ac:dyDescent="0.25">
      <c r="AG9988" s="185"/>
    </row>
    <row r="9989" spans="33:33" x14ac:dyDescent="0.25">
      <c r="AG9989" s="185"/>
    </row>
    <row r="9990" spans="33:33" x14ac:dyDescent="0.25">
      <c r="AG9990" s="185"/>
    </row>
    <row r="9991" spans="33:33" x14ac:dyDescent="0.25">
      <c r="AG9991" s="185"/>
    </row>
    <row r="9992" spans="33:33" x14ac:dyDescent="0.25">
      <c r="AG9992" s="185"/>
    </row>
    <row r="9993" spans="33:33" x14ac:dyDescent="0.25">
      <c r="AG9993" s="185"/>
    </row>
    <row r="9994" spans="33:33" x14ac:dyDescent="0.25">
      <c r="AG9994" s="185"/>
    </row>
    <row r="9995" spans="33:33" x14ac:dyDescent="0.25">
      <c r="AG9995" s="185"/>
    </row>
    <row r="9996" spans="33:33" x14ac:dyDescent="0.25">
      <c r="AG9996" s="185"/>
    </row>
    <row r="9997" spans="33:33" x14ac:dyDescent="0.25">
      <c r="AG9997" s="185"/>
    </row>
    <row r="9998" spans="33:33" x14ac:dyDescent="0.25">
      <c r="AG9998" s="185"/>
    </row>
    <row r="9999" spans="33:33" x14ac:dyDescent="0.25">
      <c r="AG9999" s="185"/>
    </row>
    <row r="10000" spans="33:33" x14ac:dyDescent="0.25">
      <c r="AG10000" s="185"/>
    </row>
    <row r="10001" spans="33:33" x14ac:dyDescent="0.25">
      <c r="AG10001" s="185"/>
    </row>
    <row r="10002" spans="33:33" x14ac:dyDescent="0.25">
      <c r="AG10002" s="185"/>
    </row>
    <row r="10003" spans="33:33" x14ac:dyDescent="0.25">
      <c r="AG10003" s="185"/>
    </row>
    <row r="10004" spans="33:33" x14ac:dyDescent="0.25">
      <c r="AG10004" s="185"/>
    </row>
    <row r="10005" spans="33:33" x14ac:dyDescent="0.25">
      <c r="AG10005" s="185"/>
    </row>
    <row r="10006" spans="33:33" x14ac:dyDescent="0.25">
      <c r="AG10006" s="185"/>
    </row>
    <row r="10007" spans="33:33" x14ac:dyDescent="0.25">
      <c r="AG10007" s="185"/>
    </row>
    <row r="10008" spans="33:33" x14ac:dyDescent="0.25">
      <c r="AG10008" s="185"/>
    </row>
    <row r="10009" spans="33:33" x14ac:dyDescent="0.25">
      <c r="AG10009" s="81"/>
    </row>
  </sheetData>
  <mergeCells count="16">
    <mergeCell ref="P11:Q11"/>
    <mergeCell ref="E2:Q2"/>
    <mergeCell ref="G4:H4"/>
    <mergeCell ref="P7:Q7"/>
    <mergeCell ref="P8:Q8"/>
    <mergeCell ref="P9:Q9"/>
    <mergeCell ref="P10:Q10"/>
    <mergeCell ref="P18:Q18"/>
    <mergeCell ref="P19:Q19"/>
    <mergeCell ref="P20:Q20"/>
    <mergeCell ref="P12:Q12"/>
    <mergeCell ref="P13:Q13"/>
    <mergeCell ref="P14:Q14"/>
    <mergeCell ref="P15:Q15"/>
    <mergeCell ref="P16:Q16"/>
    <mergeCell ref="P17:Q17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11</xdr:col>
                    <xdr:colOff>114300</xdr:colOff>
                    <xdr:row>41</xdr:row>
                    <xdr:rowOff>0</xdr:rowOff>
                  </from>
                  <to>
                    <xdr:col>12</xdr:col>
                    <xdr:colOff>95250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12</xdr:col>
                    <xdr:colOff>695325</xdr:colOff>
                    <xdr:row>41</xdr:row>
                    <xdr:rowOff>0</xdr:rowOff>
                  </from>
                  <to>
                    <xdr:col>14</xdr:col>
                    <xdr:colOff>400050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autoLine="0" autoPict="0">
                <anchor moveWithCells="1">
                  <from>
                    <xdr:col>15</xdr:col>
                    <xdr:colOff>285750</xdr:colOff>
                    <xdr:row>41</xdr:row>
                    <xdr:rowOff>0</xdr:rowOff>
                  </from>
                  <to>
                    <xdr:col>17</xdr:col>
                    <xdr:colOff>28575</xdr:colOff>
                    <xdr:row>42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UI10012"/>
  <sheetViews>
    <sheetView showGridLines="0" workbookViewId="0"/>
  </sheetViews>
  <sheetFormatPr defaultRowHeight="13.5" x14ac:dyDescent="0.25"/>
  <cols>
    <col min="1" max="1" width="9.140625" style="181"/>
    <col min="2" max="2" width="5.140625" style="204" customWidth="1"/>
    <col min="3" max="4" width="12.140625" style="204" customWidth="1"/>
    <col min="5" max="5" width="16.7109375" customWidth="1"/>
    <col min="6" max="6" width="16.5703125" customWidth="1"/>
    <col min="7" max="8" width="10.7109375" customWidth="1"/>
    <col min="9" max="9" width="12.140625" customWidth="1"/>
    <col min="10" max="10" width="13.5703125" customWidth="1"/>
    <col min="11" max="11" width="10" customWidth="1"/>
    <col min="12" max="12" width="18.140625" customWidth="1"/>
    <col min="13" max="15" width="11.28515625" bestFit="1" customWidth="1"/>
    <col min="16" max="17" width="11" customWidth="1"/>
    <col min="20" max="20" width="13.85546875" customWidth="1"/>
    <col min="21" max="22" width="9.140625" style="83"/>
    <col min="23" max="23" width="15" style="83" customWidth="1"/>
    <col min="24" max="30" width="9.140625" style="83"/>
    <col min="31" max="31" width="12.7109375" customWidth="1"/>
    <col min="32" max="32" width="14.140625" customWidth="1"/>
    <col min="33" max="33" width="13.140625" customWidth="1"/>
    <col min="34" max="34" width="13" customWidth="1"/>
  </cols>
  <sheetData>
    <row r="1" spans="1:10019" s="162" customFormat="1" x14ac:dyDescent="0.25">
      <c r="A1" s="181"/>
      <c r="B1" s="204"/>
      <c r="C1" s="204"/>
      <c r="D1" s="204"/>
    </row>
    <row r="2" spans="1:10019" s="162" customFormat="1" ht="69.75" x14ac:dyDescent="0.25">
      <c r="A2" s="181"/>
      <c r="B2" s="204"/>
      <c r="C2" s="204"/>
      <c r="D2" s="204"/>
      <c r="E2" s="188" t="s">
        <v>218</v>
      </c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2"/>
      <c r="AN2" s="183"/>
      <c r="AO2" s="184"/>
      <c r="AP2" s="184"/>
      <c r="AQ2" s="184"/>
      <c r="AR2" s="184"/>
      <c r="AS2" s="184"/>
      <c r="AT2" s="184"/>
      <c r="AU2" s="187"/>
      <c r="AV2" s="187"/>
      <c r="AW2" s="184"/>
      <c r="AX2" s="184"/>
      <c r="AY2" s="187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2"/>
      <c r="CF2" s="182"/>
      <c r="CG2" s="182"/>
      <c r="CH2" s="182"/>
      <c r="CI2" s="182"/>
      <c r="CJ2" s="182"/>
      <c r="CK2" s="182"/>
      <c r="CL2" s="182"/>
      <c r="CM2" s="182"/>
      <c r="CN2" s="182"/>
      <c r="CO2" s="182"/>
      <c r="CP2" s="182"/>
      <c r="CQ2" s="182"/>
      <c r="CR2" s="182"/>
      <c r="CS2" s="182"/>
      <c r="CT2" s="182"/>
      <c r="CU2" s="182"/>
      <c r="CV2" s="182"/>
      <c r="CW2" s="182"/>
      <c r="CX2" s="182"/>
      <c r="CY2" s="182"/>
      <c r="CZ2" s="182"/>
      <c r="DA2" s="182"/>
      <c r="DB2" s="182"/>
      <c r="DC2" s="182"/>
      <c r="DD2" s="182"/>
      <c r="DE2" s="182"/>
      <c r="DF2" s="182"/>
      <c r="DG2" s="182"/>
      <c r="DH2" s="182"/>
      <c r="DI2" s="182"/>
      <c r="DJ2" s="182"/>
      <c r="DK2" s="182"/>
      <c r="DL2" s="182"/>
      <c r="DM2" s="182"/>
      <c r="DN2" s="182"/>
      <c r="DO2" s="182"/>
      <c r="DP2" s="182"/>
      <c r="DQ2" s="182"/>
      <c r="DR2" s="182"/>
      <c r="DS2" s="182"/>
      <c r="DT2" s="182"/>
      <c r="DU2" s="182"/>
      <c r="DV2" s="182"/>
      <c r="DW2" s="182"/>
      <c r="DX2" s="182"/>
      <c r="DY2" s="182"/>
      <c r="DZ2" s="182"/>
      <c r="EA2" s="182"/>
      <c r="EB2" s="182"/>
      <c r="EC2" s="182"/>
      <c r="ED2" s="182"/>
      <c r="EE2" s="182"/>
      <c r="EF2" s="182"/>
      <c r="EG2" s="182"/>
      <c r="EH2" s="182"/>
      <c r="EI2" s="182"/>
      <c r="EJ2" s="182"/>
      <c r="EK2" s="182"/>
      <c r="EL2" s="182"/>
      <c r="EM2" s="182"/>
      <c r="EN2" s="182"/>
      <c r="EO2" s="182"/>
      <c r="EP2" s="182"/>
      <c r="EQ2" s="182"/>
      <c r="ER2" s="182"/>
      <c r="ES2" s="182"/>
      <c r="ET2" s="182"/>
      <c r="EU2" s="182"/>
      <c r="EV2" s="182"/>
      <c r="EW2" s="182"/>
      <c r="EX2" s="182"/>
      <c r="EY2" s="182"/>
      <c r="EZ2" s="182"/>
      <c r="FA2" s="182"/>
      <c r="FB2" s="182"/>
      <c r="FC2" s="182"/>
      <c r="FD2" s="182"/>
      <c r="FE2" s="182"/>
      <c r="FF2" s="182"/>
      <c r="FG2" s="182"/>
      <c r="FH2" s="182"/>
      <c r="FI2" s="182"/>
      <c r="FJ2" s="182"/>
      <c r="FK2" s="182"/>
      <c r="FL2" s="182"/>
      <c r="FM2" s="182"/>
      <c r="FN2" s="182"/>
      <c r="FO2" s="182"/>
      <c r="FP2" s="182"/>
      <c r="FQ2" s="182"/>
      <c r="FR2" s="182"/>
      <c r="FS2" s="182"/>
      <c r="FT2" s="182"/>
      <c r="FU2" s="182"/>
      <c r="FV2" s="182"/>
      <c r="FW2" s="182"/>
      <c r="FX2" s="182"/>
      <c r="FY2" s="182"/>
      <c r="FZ2" s="182"/>
      <c r="GA2" s="182"/>
      <c r="GB2" s="182"/>
      <c r="GC2" s="182"/>
      <c r="GD2" s="182"/>
      <c r="GE2" s="182"/>
      <c r="GF2" s="182"/>
      <c r="GG2" s="182"/>
      <c r="GH2" s="182"/>
      <c r="GI2" s="182"/>
      <c r="GJ2" s="182"/>
      <c r="GK2" s="182"/>
      <c r="GL2" s="182"/>
      <c r="GM2" s="182"/>
      <c r="GN2" s="182"/>
      <c r="GO2" s="182"/>
      <c r="GP2" s="182"/>
      <c r="GQ2" s="182"/>
      <c r="GR2" s="182"/>
      <c r="GS2" s="182"/>
      <c r="GT2" s="182"/>
      <c r="GU2" s="182"/>
      <c r="GV2" s="182"/>
      <c r="GW2" s="182"/>
      <c r="GX2" s="182"/>
      <c r="GY2" s="182"/>
      <c r="GZ2" s="182"/>
      <c r="HA2" s="182"/>
      <c r="HB2" s="182"/>
      <c r="HC2" s="182"/>
      <c r="HD2" s="182"/>
      <c r="HE2" s="182"/>
      <c r="HF2" s="182"/>
      <c r="HG2" s="182"/>
      <c r="HH2" s="182"/>
      <c r="HI2" s="182"/>
      <c r="HJ2" s="182"/>
      <c r="HK2" s="182"/>
      <c r="HL2" s="182"/>
      <c r="HM2" s="182"/>
      <c r="HN2" s="182"/>
      <c r="HO2" s="182"/>
      <c r="HP2" s="182"/>
      <c r="HQ2" s="182"/>
      <c r="HR2" s="182"/>
      <c r="HS2" s="182"/>
      <c r="HT2" s="182"/>
      <c r="HU2" s="182"/>
      <c r="HV2" s="182"/>
      <c r="HW2" s="182"/>
      <c r="HX2" s="182"/>
      <c r="HY2" s="182"/>
      <c r="HZ2" s="182"/>
      <c r="IA2" s="182"/>
      <c r="IB2" s="182"/>
      <c r="IC2" s="182"/>
      <c r="ID2" s="182"/>
      <c r="IE2" s="182"/>
      <c r="IF2" s="182"/>
      <c r="IG2" s="182"/>
      <c r="IH2" s="182"/>
      <c r="II2" s="182"/>
      <c r="IJ2" s="182"/>
      <c r="IK2" s="182"/>
      <c r="IL2" s="182"/>
      <c r="IM2" s="182"/>
      <c r="IN2" s="182"/>
      <c r="IO2" s="182"/>
      <c r="IP2" s="182"/>
      <c r="IQ2" s="182"/>
      <c r="IR2" s="182"/>
      <c r="IS2" s="182"/>
      <c r="IT2" s="182"/>
      <c r="IU2" s="182"/>
      <c r="IV2" s="182"/>
      <c r="IW2" s="182"/>
      <c r="IX2" s="182"/>
      <c r="IY2" s="182"/>
      <c r="IZ2" s="182"/>
      <c r="JA2" s="182"/>
      <c r="JB2" s="182"/>
      <c r="JC2" s="182"/>
      <c r="JD2" s="182"/>
      <c r="JE2" s="182"/>
      <c r="JF2" s="182"/>
      <c r="JG2" s="182"/>
      <c r="JH2" s="182"/>
      <c r="JI2" s="182"/>
      <c r="JJ2" s="182"/>
      <c r="JK2" s="182"/>
      <c r="JL2" s="182"/>
      <c r="JM2" s="182"/>
      <c r="JN2" s="182"/>
      <c r="JO2" s="182"/>
      <c r="JP2" s="182"/>
      <c r="JQ2" s="182"/>
      <c r="JR2" s="182"/>
      <c r="JS2" s="182"/>
      <c r="JT2" s="182"/>
      <c r="JU2" s="182"/>
      <c r="JV2" s="182"/>
      <c r="JW2" s="182"/>
      <c r="JX2" s="182"/>
      <c r="JY2" s="182"/>
      <c r="JZ2" s="182"/>
      <c r="KA2" s="182"/>
      <c r="KB2" s="182"/>
      <c r="KC2" s="182"/>
      <c r="KD2" s="182"/>
      <c r="KE2" s="182"/>
      <c r="KF2" s="182"/>
      <c r="KG2" s="182"/>
      <c r="KH2" s="182"/>
      <c r="KI2" s="182"/>
      <c r="KJ2" s="182"/>
      <c r="KK2" s="182"/>
      <c r="KL2" s="182"/>
      <c r="KM2" s="182"/>
      <c r="KN2" s="182"/>
      <c r="KO2" s="182"/>
      <c r="KP2" s="182"/>
      <c r="KQ2" s="182"/>
      <c r="KR2" s="182"/>
      <c r="KS2" s="182"/>
      <c r="KT2" s="182"/>
      <c r="KU2" s="182"/>
      <c r="KV2" s="182"/>
      <c r="KW2" s="182"/>
      <c r="KX2" s="182"/>
      <c r="KY2" s="182"/>
      <c r="KZ2" s="182"/>
      <c r="LA2" s="182"/>
      <c r="LB2" s="182"/>
      <c r="LC2" s="182"/>
      <c r="LD2" s="182"/>
      <c r="LE2" s="182"/>
      <c r="LF2" s="182"/>
      <c r="LG2" s="182"/>
      <c r="LH2" s="182"/>
      <c r="LI2" s="182"/>
      <c r="LJ2" s="182"/>
      <c r="LK2" s="182"/>
      <c r="LL2" s="182"/>
      <c r="LM2" s="182"/>
      <c r="LN2" s="182"/>
      <c r="LO2" s="182"/>
      <c r="LP2" s="182"/>
      <c r="LQ2" s="182"/>
      <c r="LR2" s="182"/>
      <c r="LS2" s="182"/>
      <c r="LT2" s="182"/>
      <c r="LU2" s="182"/>
      <c r="LV2" s="182"/>
      <c r="LW2" s="182"/>
      <c r="LX2" s="182"/>
      <c r="LY2" s="182"/>
      <c r="LZ2" s="182"/>
      <c r="MA2" s="182"/>
      <c r="MB2" s="182"/>
      <c r="MC2" s="182"/>
      <c r="MD2" s="182"/>
      <c r="ME2" s="182"/>
      <c r="MF2" s="182"/>
      <c r="MG2" s="182"/>
      <c r="MH2" s="182"/>
      <c r="MI2" s="182"/>
      <c r="MJ2" s="182"/>
      <c r="MK2" s="182"/>
      <c r="ML2" s="182"/>
      <c r="MM2" s="182"/>
      <c r="MN2" s="182"/>
      <c r="MO2" s="182"/>
      <c r="MP2" s="182"/>
      <c r="MQ2" s="182"/>
      <c r="MR2" s="182"/>
      <c r="MS2" s="182"/>
      <c r="MT2" s="182"/>
      <c r="MU2" s="182"/>
      <c r="MV2" s="182"/>
      <c r="MW2" s="182"/>
      <c r="MX2" s="182"/>
      <c r="MY2" s="182"/>
      <c r="MZ2" s="182"/>
      <c r="NA2" s="182"/>
      <c r="NB2" s="182"/>
      <c r="NC2" s="182"/>
      <c r="ND2" s="182"/>
      <c r="NE2" s="182"/>
      <c r="NF2" s="182"/>
      <c r="NG2" s="182"/>
      <c r="NH2" s="182"/>
      <c r="NI2" s="182"/>
      <c r="NJ2" s="182"/>
      <c r="NK2" s="182"/>
      <c r="NL2" s="182"/>
      <c r="NM2" s="182"/>
      <c r="NN2" s="182"/>
      <c r="NO2" s="182"/>
      <c r="NP2" s="182"/>
      <c r="NQ2" s="182"/>
      <c r="NR2" s="182"/>
      <c r="NS2" s="182"/>
      <c r="NT2" s="182"/>
      <c r="NU2" s="182"/>
      <c r="NV2" s="182"/>
      <c r="NW2" s="182"/>
      <c r="NX2" s="182"/>
      <c r="NY2" s="182"/>
      <c r="NZ2" s="182"/>
      <c r="OA2" s="182"/>
      <c r="OB2" s="182"/>
      <c r="OC2" s="182"/>
      <c r="OD2" s="182"/>
      <c r="OE2" s="182"/>
      <c r="OF2" s="182"/>
      <c r="OG2" s="182"/>
      <c r="OH2" s="182"/>
      <c r="OI2" s="182"/>
      <c r="OJ2" s="182"/>
      <c r="OK2" s="182"/>
      <c r="OL2" s="182"/>
      <c r="OM2" s="182"/>
      <c r="ON2" s="182"/>
      <c r="OO2" s="182"/>
      <c r="OP2" s="182"/>
      <c r="OQ2" s="182"/>
      <c r="OR2" s="182"/>
      <c r="OS2" s="182"/>
      <c r="OT2" s="182"/>
      <c r="OU2" s="182"/>
      <c r="OV2" s="182"/>
      <c r="OW2" s="182"/>
      <c r="OX2" s="182"/>
      <c r="OY2" s="182"/>
      <c r="OZ2" s="182"/>
      <c r="PA2" s="182"/>
      <c r="PB2" s="182"/>
      <c r="PC2" s="182"/>
      <c r="PD2" s="182"/>
      <c r="PE2" s="182"/>
      <c r="PF2" s="182"/>
      <c r="PG2" s="182"/>
      <c r="PH2" s="182"/>
      <c r="PI2" s="182"/>
      <c r="PJ2" s="182"/>
      <c r="PK2" s="182"/>
      <c r="PL2" s="182"/>
      <c r="PM2" s="182"/>
      <c r="PN2" s="182"/>
      <c r="PO2" s="182"/>
      <c r="PP2" s="182"/>
      <c r="PQ2" s="182"/>
      <c r="PR2" s="182"/>
      <c r="PS2" s="182"/>
      <c r="PT2" s="182"/>
      <c r="PU2" s="182"/>
      <c r="PV2" s="182"/>
      <c r="PW2" s="182"/>
      <c r="PX2" s="182"/>
      <c r="PY2" s="182"/>
      <c r="PZ2" s="182"/>
      <c r="QA2" s="182"/>
      <c r="QB2" s="182"/>
      <c r="QC2" s="182"/>
      <c r="QD2" s="182"/>
      <c r="QE2" s="182"/>
      <c r="QF2" s="182"/>
      <c r="QG2" s="182"/>
      <c r="QH2" s="182"/>
      <c r="QI2" s="182"/>
      <c r="QJ2" s="182"/>
      <c r="QK2" s="182"/>
      <c r="QL2" s="182"/>
      <c r="QM2" s="182"/>
      <c r="QN2" s="182"/>
      <c r="QO2" s="182"/>
      <c r="QP2" s="182"/>
      <c r="QQ2" s="182"/>
      <c r="QR2" s="182"/>
      <c r="QS2" s="182"/>
      <c r="QT2" s="182"/>
      <c r="QU2" s="182"/>
      <c r="QV2" s="182"/>
      <c r="QW2" s="182"/>
      <c r="QX2" s="182"/>
      <c r="QY2" s="182"/>
      <c r="QZ2" s="182"/>
      <c r="RA2" s="182"/>
      <c r="RB2" s="182"/>
      <c r="RC2" s="182"/>
      <c r="RD2" s="182"/>
      <c r="RE2" s="182"/>
      <c r="RF2" s="182"/>
      <c r="RG2" s="182"/>
      <c r="RH2" s="182"/>
      <c r="RI2" s="182"/>
      <c r="RJ2" s="182"/>
      <c r="RK2" s="182"/>
      <c r="RL2" s="182"/>
      <c r="RM2" s="182"/>
      <c r="RN2" s="182"/>
      <c r="RO2" s="182"/>
      <c r="RP2" s="182"/>
      <c r="RQ2" s="182"/>
      <c r="RR2" s="182"/>
      <c r="RS2" s="182"/>
      <c r="RT2" s="182"/>
      <c r="RU2" s="182"/>
      <c r="RV2" s="182"/>
      <c r="RW2" s="182"/>
      <c r="RX2" s="182"/>
      <c r="RY2" s="182"/>
      <c r="RZ2" s="182"/>
      <c r="SA2" s="182"/>
      <c r="SB2" s="182"/>
      <c r="SC2" s="182"/>
      <c r="SD2" s="182"/>
      <c r="SE2" s="182"/>
      <c r="SF2" s="182"/>
      <c r="SG2" s="182"/>
      <c r="SH2" s="182"/>
      <c r="SI2" s="182"/>
      <c r="SJ2" s="182"/>
      <c r="SK2" s="182"/>
      <c r="SL2" s="182"/>
      <c r="SM2" s="182"/>
      <c r="SN2" s="182"/>
      <c r="SO2" s="182"/>
      <c r="SP2" s="182"/>
      <c r="SQ2" s="182"/>
      <c r="SR2" s="182"/>
      <c r="SS2" s="182"/>
      <c r="ST2" s="182"/>
      <c r="SU2" s="182"/>
      <c r="SV2" s="182"/>
      <c r="SW2" s="182"/>
      <c r="SX2" s="182"/>
      <c r="SY2" s="182"/>
      <c r="SZ2" s="182"/>
      <c r="TA2" s="182"/>
      <c r="TB2" s="182"/>
      <c r="TC2" s="182"/>
      <c r="TD2" s="182"/>
      <c r="TE2" s="182"/>
      <c r="TF2" s="182"/>
      <c r="TG2" s="182"/>
      <c r="TH2" s="182"/>
      <c r="TI2" s="182"/>
      <c r="TJ2" s="182"/>
      <c r="TK2" s="182"/>
      <c r="TL2" s="182"/>
      <c r="TM2" s="182"/>
      <c r="TN2" s="182"/>
      <c r="TO2" s="182"/>
      <c r="TP2" s="182"/>
      <c r="TQ2" s="182"/>
      <c r="TR2" s="182"/>
      <c r="TS2" s="182"/>
      <c r="TT2" s="182"/>
      <c r="TU2" s="182"/>
      <c r="TV2" s="182"/>
      <c r="TW2" s="182"/>
      <c r="TX2" s="182"/>
      <c r="TY2" s="182"/>
      <c r="TZ2" s="182"/>
      <c r="UA2" s="182"/>
      <c r="UB2" s="182"/>
      <c r="UC2" s="182"/>
      <c r="UD2" s="182"/>
      <c r="UE2" s="182"/>
      <c r="UF2" s="182"/>
      <c r="UG2" s="182"/>
      <c r="UH2" s="182"/>
      <c r="UI2" s="182"/>
      <c r="UJ2" s="182"/>
      <c r="UK2" s="182"/>
      <c r="UL2" s="182"/>
      <c r="UM2" s="182"/>
      <c r="UN2" s="182"/>
      <c r="UO2" s="182"/>
      <c r="UP2" s="182"/>
      <c r="UQ2" s="182"/>
      <c r="UR2" s="182"/>
      <c r="US2" s="182"/>
      <c r="UT2" s="182"/>
      <c r="UU2" s="182"/>
      <c r="UV2" s="182"/>
      <c r="UW2" s="182"/>
      <c r="UX2" s="182"/>
      <c r="UY2" s="182"/>
      <c r="UZ2" s="182"/>
      <c r="VA2" s="182"/>
      <c r="VB2" s="182"/>
      <c r="VC2" s="182"/>
      <c r="VD2" s="182"/>
      <c r="VE2" s="182"/>
      <c r="VF2" s="182"/>
      <c r="VG2" s="182"/>
      <c r="VH2" s="182"/>
      <c r="VI2" s="182"/>
      <c r="VJ2" s="182"/>
      <c r="VK2" s="182"/>
      <c r="VL2" s="182"/>
      <c r="VM2" s="182"/>
      <c r="VN2" s="182"/>
      <c r="VO2" s="182"/>
      <c r="VP2" s="182"/>
      <c r="VQ2" s="182"/>
      <c r="VR2" s="182"/>
      <c r="VS2" s="182"/>
      <c r="VT2" s="182"/>
      <c r="VU2" s="182"/>
      <c r="VV2" s="182"/>
      <c r="VW2" s="182"/>
      <c r="VX2" s="182"/>
      <c r="VY2" s="182"/>
      <c r="VZ2" s="182"/>
      <c r="WA2" s="182"/>
      <c r="WB2" s="182"/>
      <c r="WC2" s="182"/>
      <c r="WD2" s="182"/>
      <c r="WE2" s="182"/>
      <c r="WF2" s="182"/>
      <c r="WG2" s="182"/>
      <c r="WH2" s="182"/>
      <c r="WI2" s="182"/>
      <c r="WJ2" s="182"/>
      <c r="WK2" s="182"/>
      <c r="WL2" s="182"/>
      <c r="WM2" s="182"/>
      <c r="WN2" s="182"/>
      <c r="WO2" s="182"/>
      <c r="WP2" s="182"/>
      <c r="WQ2" s="182"/>
      <c r="WR2" s="182"/>
      <c r="WS2" s="182"/>
      <c r="WT2" s="182"/>
      <c r="WU2" s="182"/>
      <c r="WV2" s="182"/>
      <c r="WW2" s="182"/>
      <c r="WX2" s="182"/>
      <c r="WY2" s="182"/>
      <c r="WZ2" s="182"/>
      <c r="XA2" s="182"/>
      <c r="XB2" s="182"/>
      <c r="XC2" s="182"/>
      <c r="XD2" s="182"/>
      <c r="XE2" s="182"/>
      <c r="XF2" s="182"/>
      <c r="XG2" s="182"/>
      <c r="XH2" s="182"/>
      <c r="XI2" s="182"/>
      <c r="XJ2" s="182"/>
      <c r="XK2" s="182"/>
      <c r="XL2" s="182"/>
      <c r="XM2" s="182"/>
      <c r="XN2" s="182"/>
      <c r="XO2" s="182"/>
      <c r="XP2" s="182"/>
      <c r="XQ2" s="182"/>
      <c r="XR2" s="182"/>
      <c r="XS2" s="182"/>
      <c r="XT2" s="182"/>
      <c r="XU2" s="182"/>
      <c r="XV2" s="182"/>
      <c r="XW2" s="182"/>
      <c r="XX2" s="182"/>
      <c r="XY2" s="182"/>
      <c r="XZ2" s="182"/>
      <c r="YA2" s="182"/>
      <c r="YB2" s="182"/>
      <c r="YC2" s="182"/>
      <c r="YD2" s="182"/>
      <c r="YE2" s="182"/>
      <c r="YF2" s="182"/>
      <c r="YG2" s="182"/>
      <c r="YH2" s="182"/>
      <c r="YI2" s="182"/>
      <c r="YJ2" s="182"/>
      <c r="YK2" s="182"/>
      <c r="YL2" s="182"/>
      <c r="YM2" s="182"/>
      <c r="YN2" s="182"/>
      <c r="YO2" s="182"/>
      <c r="YP2" s="182"/>
      <c r="YQ2" s="182"/>
      <c r="YR2" s="182"/>
      <c r="YS2" s="182"/>
      <c r="YT2" s="182"/>
      <c r="YU2" s="182"/>
      <c r="YV2" s="182"/>
      <c r="YW2" s="182"/>
      <c r="YX2" s="182"/>
      <c r="YY2" s="182"/>
      <c r="YZ2" s="182"/>
      <c r="ZA2" s="182"/>
      <c r="ZB2" s="182"/>
      <c r="ZC2" s="182"/>
      <c r="ZD2" s="182"/>
      <c r="ZE2" s="182"/>
      <c r="ZF2" s="182"/>
      <c r="ZG2" s="182"/>
      <c r="ZH2" s="182"/>
      <c r="ZI2" s="182"/>
      <c r="ZJ2" s="182"/>
      <c r="ZK2" s="182"/>
      <c r="ZL2" s="182"/>
      <c r="ZM2" s="182"/>
      <c r="ZN2" s="182"/>
      <c r="ZO2" s="182"/>
      <c r="ZP2" s="182"/>
      <c r="ZQ2" s="182"/>
      <c r="ZR2" s="182"/>
      <c r="ZS2" s="182"/>
      <c r="ZT2" s="182"/>
      <c r="ZU2" s="182"/>
      <c r="ZV2" s="182"/>
      <c r="ZW2" s="182"/>
      <c r="ZX2" s="182"/>
      <c r="ZY2" s="182"/>
      <c r="ZZ2" s="182"/>
      <c r="AAA2" s="182"/>
      <c r="AAB2" s="182"/>
      <c r="AAC2" s="182"/>
      <c r="AAD2" s="182"/>
      <c r="AAE2" s="182"/>
      <c r="AAF2" s="182"/>
      <c r="AAG2" s="182"/>
      <c r="AAH2" s="182"/>
      <c r="AAI2" s="182"/>
      <c r="AAJ2" s="182"/>
      <c r="AAK2" s="182"/>
      <c r="AAL2" s="182"/>
      <c r="AAM2" s="182"/>
      <c r="AAN2" s="182"/>
      <c r="AAO2" s="182"/>
      <c r="AAP2" s="182"/>
      <c r="AAQ2" s="182"/>
      <c r="AAR2" s="182"/>
      <c r="AAS2" s="182"/>
      <c r="AAT2" s="182"/>
      <c r="AAU2" s="182"/>
      <c r="AAV2" s="182"/>
      <c r="AAW2" s="182"/>
      <c r="AAX2" s="182"/>
      <c r="AAY2" s="182"/>
      <c r="AAZ2" s="182"/>
      <c r="ABA2" s="182"/>
      <c r="ABB2" s="182"/>
      <c r="ABC2" s="182"/>
      <c r="ABD2" s="182"/>
      <c r="ABE2" s="182"/>
      <c r="ABF2" s="182"/>
      <c r="ABG2" s="182"/>
      <c r="ABH2" s="182"/>
      <c r="ABI2" s="182"/>
      <c r="ABJ2" s="182"/>
      <c r="ABK2" s="182"/>
      <c r="ABL2" s="182"/>
      <c r="ABM2" s="182"/>
      <c r="ABN2" s="182"/>
      <c r="ABO2" s="182"/>
      <c r="ABP2" s="182"/>
      <c r="ABQ2" s="182"/>
      <c r="ABR2" s="182"/>
      <c r="ABS2" s="182"/>
      <c r="ABT2" s="182"/>
      <c r="ABU2" s="182"/>
      <c r="ABV2" s="182"/>
      <c r="ABW2" s="182"/>
      <c r="ABX2" s="182"/>
      <c r="ABY2" s="182"/>
      <c r="ABZ2" s="182"/>
      <c r="ACA2" s="182"/>
      <c r="ACB2" s="182"/>
      <c r="ACC2" s="182"/>
      <c r="ACD2" s="182"/>
      <c r="ACE2" s="182"/>
      <c r="ACF2" s="182"/>
      <c r="ACG2" s="182"/>
      <c r="ACH2" s="182"/>
      <c r="ACI2" s="182"/>
      <c r="ACJ2" s="182"/>
      <c r="ACK2" s="182"/>
      <c r="ACL2" s="182"/>
      <c r="ACM2" s="182"/>
      <c r="ACN2" s="182"/>
      <c r="ACO2" s="182"/>
      <c r="ACP2" s="182"/>
      <c r="ACQ2" s="182"/>
      <c r="ACR2" s="182"/>
      <c r="ACS2" s="182"/>
      <c r="ACT2" s="182"/>
      <c r="ACU2" s="182"/>
      <c r="ACV2" s="182"/>
      <c r="ACW2" s="182"/>
      <c r="ACX2" s="182"/>
      <c r="ACY2" s="182"/>
      <c r="ACZ2" s="182"/>
      <c r="ADA2" s="182"/>
      <c r="ADB2" s="182"/>
      <c r="ADC2" s="182"/>
      <c r="ADD2" s="182"/>
      <c r="ADE2" s="182"/>
      <c r="ADF2" s="182"/>
      <c r="ADG2" s="182"/>
      <c r="ADH2" s="182"/>
      <c r="ADI2" s="182"/>
      <c r="ADJ2" s="182"/>
      <c r="ADK2" s="182"/>
      <c r="ADL2" s="182"/>
      <c r="ADM2" s="182"/>
      <c r="ADN2" s="182"/>
      <c r="ADO2" s="182"/>
      <c r="ADP2" s="182"/>
      <c r="ADQ2" s="182"/>
      <c r="ADR2" s="182"/>
      <c r="ADS2" s="182"/>
      <c r="ADT2" s="182"/>
      <c r="ADU2" s="182"/>
      <c r="ADV2" s="182"/>
      <c r="ADW2" s="182"/>
      <c r="ADX2" s="182"/>
      <c r="ADY2" s="182"/>
      <c r="ADZ2" s="182"/>
      <c r="AEA2" s="182"/>
      <c r="AEB2" s="182"/>
      <c r="AEC2" s="182"/>
      <c r="AED2" s="182"/>
      <c r="AEE2" s="182"/>
      <c r="AEF2" s="182"/>
      <c r="AEG2" s="182"/>
      <c r="AEH2" s="182"/>
      <c r="AEI2" s="182"/>
      <c r="AEJ2" s="182"/>
      <c r="AEK2" s="182"/>
      <c r="AEL2" s="182"/>
      <c r="AEM2" s="182"/>
      <c r="AEN2" s="182"/>
      <c r="AEO2" s="182"/>
      <c r="AEP2" s="182"/>
      <c r="AEQ2" s="182"/>
      <c r="AER2" s="182"/>
      <c r="AES2" s="182"/>
      <c r="AET2" s="182"/>
      <c r="AEU2" s="182"/>
      <c r="AEV2" s="182"/>
      <c r="AEW2" s="182"/>
      <c r="AEX2" s="182"/>
      <c r="AEY2" s="182"/>
      <c r="AEZ2" s="182"/>
      <c r="AFA2" s="182"/>
      <c r="AFB2" s="182"/>
      <c r="AFC2" s="182"/>
      <c r="AFD2" s="182"/>
      <c r="AFE2" s="182"/>
      <c r="AFF2" s="182"/>
      <c r="AFG2" s="182"/>
      <c r="AFH2" s="182"/>
      <c r="AFI2" s="182"/>
      <c r="AFJ2" s="182"/>
      <c r="AFK2" s="182"/>
      <c r="AFL2" s="182"/>
      <c r="AFM2" s="182"/>
      <c r="AFN2" s="182"/>
      <c r="AFO2" s="182"/>
      <c r="AFP2" s="182"/>
      <c r="AFQ2" s="182"/>
      <c r="AFR2" s="182"/>
      <c r="AFS2" s="182"/>
      <c r="AFT2" s="182"/>
      <c r="AFU2" s="182"/>
      <c r="AFV2" s="182"/>
      <c r="AFW2" s="182"/>
      <c r="AFX2" s="182"/>
      <c r="AFY2" s="182"/>
      <c r="AFZ2" s="182"/>
      <c r="AGA2" s="182"/>
      <c r="AGB2" s="182"/>
      <c r="AGC2" s="182"/>
      <c r="AGD2" s="182"/>
      <c r="AGE2" s="182"/>
      <c r="AGF2" s="182"/>
      <c r="AGG2" s="182"/>
      <c r="AGH2" s="182"/>
      <c r="AGI2" s="182"/>
      <c r="AGJ2" s="182"/>
      <c r="AGK2" s="182"/>
      <c r="AGL2" s="182"/>
      <c r="AGM2" s="182"/>
      <c r="AGN2" s="182"/>
      <c r="AGO2" s="182"/>
      <c r="AGP2" s="182"/>
      <c r="AGQ2" s="182"/>
      <c r="AGR2" s="182"/>
      <c r="AGS2" s="182"/>
      <c r="AGT2" s="182"/>
      <c r="AGU2" s="182"/>
      <c r="AGV2" s="182"/>
      <c r="AGW2" s="182"/>
      <c r="AGX2" s="182"/>
      <c r="AGY2" s="182"/>
      <c r="AGZ2" s="182"/>
      <c r="AHA2" s="182"/>
      <c r="AHB2" s="182"/>
      <c r="AHC2" s="182"/>
      <c r="AHD2" s="182"/>
      <c r="AHE2" s="182"/>
      <c r="AHF2" s="182"/>
      <c r="AHG2" s="182"/>
      <c r="AHH2" s="182"/>
      <c r="AHI2" s="182"/>
      <c r="AHJ2" s="182"/>
      <c r="AHK2" s="182"/>
      <c r="AHL2" s="182"/>
      <c r="AHM2" s="182"/>
      <c r="AHN2" s="182"/>
      <c r="AHO2" s="182"/>
      <c r="AHP2" s="182"/>
      <c r="AHQ2" s="182"/>
      <c r="AHR2" s="182"/>
      <c r="AHS2" s="182"/>
      <c r="AHT2" s="182"/>
      <c r="AHU2" s="182"/>
      <c r="AHV2" s="182"/>
      <c r="AHW2" s="182"/>
      <c r="AHX2" s="182"/>
      <c r="AHY2" s="182"/>
      <c r="AHZ2" s="182"/>
      <c r="AIA2" s="182"/>
      <c r="AIB2" s="182"/>
      <c r="AIC2" s="182"/>
      <c r="AID2" s="182"/>
      <c r="AIE2" s="182"/>
      <c r="AIF2" s="182"/>
      <c r="AIG2" s="182"/>
      <c r="AIH2" s="182"/>
      <c r="AII2" s="182"/>
      <c r="AIJ2" s="182"/>
      <c r="AIK2" s="182"/>
      <c r="AIL2" s="182"/>
      <c r="AIM2" s="182"/>
      <c r="AIN2" s="182"/>
      <c r="AIO2" s="182"/>
      <c r="AIP2" s="182"/>
      <c r="AIQ2" s="182"/>
      <c r="AIR2" s="182"/>
      <c r="AIS2" s="182"/>
      <c r="AIT2" s="182"/>
      <c r="AIU2" s="182"/>
      <c r="AIV2" s="182"/>
      <c r="AIW2" s="182"/>
      <c r="AIX2" s="182"/>
      <c r="AIY2" s="182"/>
      <c r="AIZ2" s="182"/>
      <c r="AJA2" s="182"/>
      <c r="AJB2" s="182"/>
      <c r="AJC2" s="182"/>
      <c r="AJD2" s="182"/>
      <c r="AJE2" s="182"/>
      <c r="AJF2" s="182"/>
      <c r="AJG2" s="182"/>
      <c r="AJH2" s="182"/>
      <c r="AJI2" s="182"/>
      <c r="AJJ2" s="182"/>
      <c r="AJK2" s="182"/>
      <c r="AJL2" s="182"/>
      <c r="AJM2" s="182"/>
      <c r="AJN2" s="182"/>
      <c r="AJO2" s="182"/>
      <c r="AJP2" s="182"/>
      <c r="AJQ2" s="182"/>
      <c r="AJR2" s="182"/>
      <c r="AJS2" s="182"/>
      <c r="AJT2" s="182"/>
      <c r="AJU2" s="182"/>
      <c r="AJV2" s="182"/>
      <c r="AJW2" s="182"/>
      <c r="AJX2" s="182"/>
      <c r="AJY2" s="182"/>
      <c r="AJZ2" s="182"/>
      <c r="AKA2" s="182"/>
      <c r="AKB2" s="182"/>
      <c r="AKC2" s="182"/>
      <c r="AKD2" s="182"/>
      <c r="AKE2" s="182"/>
      <c r="AKF2" s="182"/>
      <c r="AKG2" s="182"/>
      <c r="AKH2" s="182"/>
      <c r="AKI2" s="182"/>
      <c r="AKJ2" s="182"/>
      <c r="AKK2" s="182"/>
      <c r="AKL2" s="182"/>
      <c r="AKM2" s="182"/>
      <c r="AKN2" s="182"/>
      <c r="AKO2" s="182"/>
      <c r="AKP2" s="182"/>
      <c r="AKQ2" s="182"/>
      <c r="AKR2" s="182"/>
      <c r="AKS2" s="182"/>
      <c r="AKT2" s="182"/>
      <c r="AKU2" s="182"/>
      <c r="AKV2" s="182"/>
      <c r="AKW2" s="182"/>
      <c r="AKX2" s="182"/>
      <c r="AKY2" s="182"/>
      <c r="AKZ2" s="182"/>
      <c r="ALA2" s="182"/>
      <c r="ALB2" s="182"/>
      <c r="ALC2" s="182"/>
      <c r="ALD2" s="182"/>
      <c r="ALE2" s="182"/>
      <c r="ALF2" s="182"/>
      <c r="ALG2" s="182"/>
      <c r="ALH2" s="182"/>
      <c r="ALI2" s="182"/>
      <c r="ALJ2" s="182"/>
      <c r="ALK2" s="182"/>
      <c r="ALL2" s="182"/>
      <c r="ALM2" s="182"/>
      <c r="ALN2" s="182"/>
      <c r="ALO2" s="182"/>
      <c r="ALP2" s="182"/>
      <c r="ALQ2" s="182"/>
      <c r="ALR2" s="182"/>
      <c r="ALS2" s="182"/>
      <c r="ALT2" s="182"/>
      <c r="ALU2" s="182"/>
      <c r="ALV2" s="182"/>
      <c r="ALW2" s="182"/>
      <c r="ALX2" s="182"/>
      <c r="ALY2" s="182"/>
      <c r="ALZ2" s="182"/>
      <c r="AMA2" s="182"/>
      <c r="AMB2" s="182"/>
      <c r="AMC2" s="182"/>
      <c r="AMD2" s="182"/>
      <c r="AME2" s="182"/>
      <c r="AMF2" s="182"/>
      <c r="AMG2" s="182"/>
      <c r="AMH2" s="182"/>
      <c r="AMI2" s="182"/>
      <c r="AMJ2" s="182"/>
      <c r="AMK2" s="182"/>
      <c r="AML2" s="182"/>
      <c r="AMM2" s="182"/>
      <c r="AMN2" s="182"/>
      <c r="AMO2" s="182"/>
      <c r="AMP2" s="182"/>
      <c r="AMQ2" s="182"/>
      <c r="AMR2" s="182"/>
      <c r="AMS2" s="182"/>
      <c r="AMT2" s="182"/>
      <c r="AMU2" s="182"/>
      <c r="AMV2" s="182"/>
      <c r="AMW2" s="182"/>
      <c r="AMX2" s="182"/>
      <c r="AMY2" s="182"/>
      <c r="AMZ2" s="182"/>
      <c r="ANA2" s="182"/>
      <c r="ANB2" s="182"/>
      <c r="ANC2" s="182"/>
      <c r="AND2" s="182"/>
      <c r="ANE2" s="182"/>
      <c r="ANF2" s="182"/>
      <c r="ANG2" s="182"/>
      <c r="ANH2" s="182"/>
      <c r="ANI2" s="182"/>
      <c r="ANJ2" s="182"/>
      <c r="ANK2" s="182"/>
      <c r="ANL2" s="182"/>
      <c r="ANM2" s="182"/>
      <c r="ANN2" s="182"/>
      <c r="ANO2" s="182"/>
      <c r="ANP2" s="182"/>
      <c r="ANQ2" s="182"/>
      <c r="ANR2" s="182"/>
      <c r="ANS2" s="182"/>
      <c r="ANT2" s="182"/>
      <c r="ANU2" s="182"/>
      <c r="ANV2" s="182"/>
      <c r="ANW2" s="182"/>
      <c r="ANX2" s="182"/>
      <c r="ANY2" s="182"/>
      <c r="ANZ2" s="182"/>
      <c r="AOA2" s="182"/>
      <c r="AOB2" s="182"/>
      <c r="AOC2" s="182"/>
      <c r="AOD2" s="182"/>
      <c r="AOE2" s="182"/>
      <c r="AOF2" s="182"/>
      <c r="AOG2" s="182"/>
      <c r="AOH2" s="182"/>
      <c r="AOI2" s="182"/>
      <c r="AOJ2" s="182"/>
      <c r="AOK2" s="182"/>
      <c r="AOL2" s="182"/>
      <c r="AOM2" s="182"/>
      <c r="AON2" s="182"/>
      <c r="AOO2" s="182"/>
      <c r="AOP2" s="182"/>
      <c r="AOQ2" s="182"/>
      <c r="AOR2" s="182"/>
      <c r="AOS2" s="182"/>
      <c r="AOT2" s="182"/>
      <c r="AOU2" s="182"/>
      <c r="AOV2" s="182"/>
      <c r="AOW2" s="182"/>
      <c r="AOX2" s="182"/>
      <c r="AOY2" s="182"/>
      <c r="AOZ2" s="182"/>
      <c r="APA2" s="182"/>
      <c r="APB2" s="182"/>
      <c r="APC2" s="182"/>
      <c r="APD2" s="182"/>
      <c r="APE2" s="182"/>
      <c r="APF2" s="182"/>
      <c r="APG2" s="182"/>
      <c r="APH2" s="182"/>
      <c r="API2" s="182"/>
      <c r="APJ2" s="182"/>
      <c r="APK2" s="182"/>
      <c r="APL2" s="182"/>
      <c r="APM2" s="182"/>
      <c r="APN2" s="182"/>
      <c r="APO2" s="182"/>
      <c r="APP2" s="182"/>
      <c r="APQ2" s="182"/>
      <c r="APR2" s="182"/>
      <c r="APS2" s="182"/>
      <c r="APT2" s="182"/>
      <c r="APU2" s="182"/>
      <c r="APV2" s="182"/>
      <c r="APW2" s="182"/>
      <c r="APX2" s="182"/>
      <c r="APY2" s="182"/>
      <c r="APZ2" s="182"/>
      <c r="AQA2" s="182"/>
      <c r="AQB2" s="182"/>
      <c r="AQC2" s="182"/>
      <c r="AQD2" s="182"/>
      <c r="AQE2" s="182"/>
      <c r="AQF2" s="182"/>
      <c r="AQG2" s="182"/>
      <c r="AQH2" s="182"/>
      <c r="AQI2" s="182"/>
      <c r="AQJ2" s="182"/>
      <c r="AQK2" s="182"/>
      <c r="AQL2" s="182"/>
      <c r="AQM2" s="182"/>
      <c r="AQN2" s="182"/>
      <c r="AQO2" s="182"/>
      <c r="AQP2" s="182"/>
      <c r="AQQ2" s="182"/>
      <c r="AQR2" s="182"/>
      <c r="AQS2" s="182"/>
      <c r="AQT2" s="182"/>
      <c r="AQU2" s="182"/>
      <c r="AQV2" s="182"/>
      <c r="AQW2" s="182"/>
      <c r="AQX2" s="182"/>
      <c r="AQY2" s="182"/>
      <c r="AQZ2" s="182"/>
      <c r="ARA2" s="182"/>
      <c r="ARB2" s="182"/>
      <c r="ARC2" s="182"/>
      <c r="ARD2" s="182"/>
      <c r="ARE2" s="182"/>
      <c r="ARF2" s="182"/>
      <c r="ARG2" s="182"/>
      <c r="ARH2" s="182"/>
      <c r="ARI2" s="182"/>
      <c r="ARJ2" s="182"/>
      <c r="ARK2" s="182"/>
      <c r="ARL2" s="182"/>
      <c r="ARM2" s="182"/>
      <c r="ARN2" s="182"/>
      <c r="ARO2" s="182"/>
      <c r="ARP2" s="182"/>
      <c r="ARQ2" s="182"/>
      <c r="ARR2" s="182"/>
      <c r="ARS2" s="182"/>
      <c r="ART2" s="182"/>
      <c r="ARU2" s="182"/>
      <c r="ARV2" s="182"/>
      <c r="ARW2" s="182"/>
      <c r="ARX2" s="182"/>
      <c r="ARY2" s="182"/>
      <c r="ARZ2" s="182"/>
      <c r="ASA2" s="182"/>
      <c r="ASB2" s="182"/>
      <c r="ASC2" s="182"/>
      <c r="ASD2" s="182"/>
      <c r="ASE2" s="182"/>
      <c r="ASF2" s="182"/>
      <c r="ASG2" s="182"/>
      <c r="ASH2" s="182"/>
      <c r="ASI2" s="182"/>
      <c r="ASJ2" s="182"/>
      <c r="ASK2" s="182"/>
      <c r="ASL2" s="182"/>
      <c r="ASM2" s="182"/>
      <c r="ASN2" s="182"/>
      <c r="ASO2" s="182"/>
      <c r="ASP2" s="182"/>
      <c r="ASQ2" s="182"/>
      <c r="ASR2" s="182"/>
      <c r="ASS2" s="182"/>
      <c r="AST2" s="182"/>
      <c r="ASU2" s="182"/>
      <c r="ASV2" s="182"/>
      <c r="ASW2" s="182"/>
      <c r="ASX2" s="182"/>
      <c r="ASY2" s="182"/>
      <c r="ASZ2" s="182"/>
      <c r="ATA2" s="182"/>
      <c r="ATB2" s="182"/>
      <c r="ATC2" s="182"/>
      <c r="ATD2" s="182"/>
      <c r="ATE2" s="182"/>
      <c r="ATF2" s="182"/>
      <c r="ATG2" s="182"/>
      <c r="ATH2" s="182"/>
      <c r="ATI2" s="182"/>
      <c r="ATJ2" s="182"/>
      <c r="ATK2" s="182"/>
      <c r="ATL2" s="182"/>
      <c r="ATM2" s="182"/>
      <c r="ATN2" s="182"/>
      <c r="ATO2" s="182"/>
      <c r="ATP2" s="182"/>
      <c r="ATQ2" s="182"/>
      <c r="ATR2" s="182"/>
      <c r="ATS2" s="182"/>
      <c r="ATT2" s="182"/>
      <c r="ATU2" s="182"/>
      <c r="ATV2" s="182"/>
      <c r="ATW2" s="182"/>
      <c r="ATX2" s="182"/>
      <c r="ATY2" s="182"/>
      <c r="ATZ2" s="182"/>
      <c r="AUA2" s="182"/>
      <c r="AUB2" s="182"/>
      <c r="AUC2" s="182"/>
      <c r="AUD2" s="182"/>
      <c r="AUE2" s="182"/>
      <c r="AUF2" s="182"/>
      <c r="AUG2" s="182"/>
      <c r="AUH2" s="182"/>
      <c r="AUI2" s="182"/>
      <c r="AUJ2" s="182"/>
      <c r="AUK2" s="182"/>
      <c r="AUL2" s="182"/>
      <c r="AUM2" s="182"/>
      <c r="AUN2" s="182"/>
      <c r="AUO2" s="182"/>
      <c r="AUP2" s="182"/>
      <c r="AUQ2" s="182"/>
      <c r="AUR2" s="182"/>
      <c r="AUS2" s="182"/>
      <c r="AUT2" s="182"/>
      <c r="AUU2" s="182"/>
      <c r="AUV2" s="182"/>
      <c r="AUW2" s="182"/>
      <c r="AUX2" s="182"/>
      <c r="AUY2" s="182"/>
      <c r="AUZ2" s="182"/>
      <c r="AVA2" s="182"/>
      <c r="AVB2" s="182"/>
      <c r="AVC2" s="182"/>
      <c r="AVD2" s="182"/>
      <c r="AVE2" s="182"/>
      <c r="AVF2" s="182"/>
      <c r="AVG2" s="182"/>
      <c r="AVH2" s="182"/>
      <c r="AVI2" s="182"/>
      <c r="AVJ2" s="182"/>
      <c r="AVK2" s="182"/>
      <c r="AVL2" s="182"/>
      <c r="AVM2" s="182"/>
      <c r="AVN2" s="182"/>
      <c r="AVO2" s="182"/>
      <c r="AVP2" s="182"/>
      <c r="AVQ2" s="182"/>
      <c r="AVR2" s="182"/>
      <c r="AVS2" s="182"/>
      <c r="AVT2" s="182"/>
      <c r="AVU2" s="182"/>
      <c r="AVV2" s="182"/>
      <c r="AVW2" s="182"/>
      <c r="AVX2" s="182"/>
      <c r="AVY2" s="182"/>
      <c r="AVZ2" s="182"/>
      <c r="AWA2" s="182"/>
      <c r="AWB2" s="182"/>
      <c r="AWC2" s="182"/>
      <c r="AWD2" s="182"/>
      <c r="AWE2" s="182"/>
      <c r="AWF2" s="182"/>
      <c r="AWG2" s="182"/>
      <c r="AWH2" s="182"/>
      <c r="AWI2" s="182"/>
      <c r="AWJ2" s="182"/>
      <c r="AWK2" s="182"/>
      <c r="AWL2" s="182"/>
      <c r="AWM2" s="182"/>
      <c r="AWN2" s="182"/>
      <c r="AWO2" s="182"/>
      <c r="AWP2" s="182"/>
      <c r="AWQ2" s="182"/>
      <c r="AWR2" s="182"/>
      <c r="AWS2" s="182"/>
      <c r="AWT2" s="182"/>
      <c r="AWU2" s="182"/>
      <c r="AWV2" s="182"/>
      <c r="AWW2" s="182"/>
      <c r="AWX2" s="182"/>
      <c r="AWY2" s="182"/>
      <c r="AWZ2" s="182"/>
      <c r="AXA2" s="182"/>
      <c r="AXB2" s="182"/>
      <c r="AXC2" s="182"/>
      <c r="AXD2" s="182"/>
      <c r="AXE2" s="182"/>
      <c r="AXF2" s="182"/>
      <c r="AXG2" s="182"/>
      <c r="AXH2" s="182"/>
      <c r="AXI2" s="182"/>
      <c r="AXJ2" s="182"/>
      <c r="AXK2" s="182"/>
      <c r="AXL2" s="182"/>
      <c r="AXM2" s="182"/>
      <c r="AXN2" s="182"/>
      <c r="AXO2" s="182"/>
      <c r="AXP2" s="182"/>
      <c r="AXQ2" s="182"/>
      <c r="AXR2" s="182"/>
      <c r="AXS2" s="182"/>
      <c r="AXT2" s="182"/>
      <c r="AXU2" s="182"/>
      <c r="AXV2" s="182"/>
      <c r="AXW2" s="182"/>
      <c r="AXX2" s="182"/>
      <c r="AXY2" s="182"/>
      <c r="AXZ2" s="182"/>
      <c r="AYA2" s="182"/>
      <c r="AYB2" s="182"/>
      <c r="AYC2" s="182"/>
      <c r="AYD2" s="182"/>
      <c r="AYE2" s="182"/>
      <c r="AYF2" s="182"/>
      <c r="AYG2" s="182"/>
      <c r="AYH2" s="182"/>
      <c r="AYI2" s="182"/>
      <c r="AYJ2" s="182"/>
      <c r="AYK2" s="182"/>
      <c r="AYL2" s="182"/>
      <c r="AYM2" s="182"/>
      <c r="AYN2" s="182"/>
      <c r="AYO2" s="182"/>
      <c r="AYP2" s="182"/>
      <c r="AYQ2" s="182"/>
      <c r="AYR2" s="182"/>
      <c r="AYS2" s="182"/>
      <c r="AYT2" s="182"/>
      <c r="AYU2" s="182"/>
      <c r="AYV2" s="182"/>
      <c r="AYW2" s="182"/>
      <c r="AYX2" s="182"/>
      <c r="AYY2" s="182"/>
      <c r="AYZ2" s="182"/>
      <c r="AZA2" s="182"/>
      <c r="AZB2" s="182"/>
      <c r="AZC2" s="182"/>
      <c r="AZD2" s="182"/>
      <c r="AZE2" s="182"/>
      <c r="AZF2" s="182"/>
      <c r="AZG2" s="182"/>
      <c r="AZH2" s="182"/>
      <c r="AZI2" s="182"/>
      <c r="AZJ2" s="182"/>
      <c r="AZK2" s="182"/>
      <c r="AZL2" s="182"/>
      <c r="AZM2" s="182"/>
      <c r="AZN2" s="182"/>
      <c r="AZO2" s="182"/>
      <c r="AZP2" s="182"/>
      <c r="AZQ2" s="182"/>
      <c r="AZR2" s="182"/>
      <c r="AZS2" s="182"/>
      <c r="AZT2" s="182"/>
      <c r="AZU2" s="182"/>
      <c r="AZV2" s="182"/>
      <c r="AZW2" s="182"/>
      <c r="AZX2" s="182"/>
      <c r="AZY2" s="182"/>
      <c r="AZZ2" s="182"/>
      <c r="BAA2" s="182"/>
      <c r="BAB2" s="182"/>
      <c r="BAC2" s="182"/>
      <c r="BAD2" s="182"/>
      <c r="BAE2" s="182"/>
      <c r="BAF2" s="182"/>
      <c r="BAG2" s="182"/>
      <c r="BAH2" s="182"/>
      <c r="BAI2" s="182"/>
      <c r="BAJ2" s="182"/>
      <c r="BAK2" s="182"/>
      <c r="BAL2" s="182"/>
      <c r="BAM2" s="182"/>
      <c r="BAN2" s="182"/>
      <c r="BAO2" s="182"/>
      <c r="BAP2" s="182"/>
      <c r="BAQ2" s="182"/>
      <c r="BAR2" s="182"/>
      <c r="BAS2" s="182"/>
      <c r="BAT2" s="182"/>
      <c r="BAU2" s="182"/>
      <c r="BAV2" s="182"/>
      <c r="BAW2" s="182"/>
      <c r="BAX2" s="182"/>
      <c r="BAY2" s="182"/>
      <c r="BAZ2" s="182"/>
      <c r="BBA2" s="182"/>
      <c r="BBB2" s="182"/>
      <c r="BBC2" s="182"/>
      <c r="BBD2" s="182"/>
      <c r="BBE2" s="182"/>
      <c r="BBF2" s="182"/>
      <c r="BBG2" s="182"/>
      <c r="BBH2" s="182"/>
      <c r="BBI2" s="182"/>
      <c r="BBJ2" s="182"/>
      <c r="BBK2" s="182"/>
      <c r="BBL2" s="182"/>
      <c r="BBM2" s="182"/>
      <c r="BBN2" s="182"/>
      <c r="BBO2" s="182"/>
      <c r="BBP2" s="182"/>
      <c r="BBQ2" s="182"/>
      <c r="BBR2" s="182"/>
      <c r="BBS2" s="182"/>
      <c r="BBT2" s="182"/>
      <c r="BBU2" s="182"/>
      <c r="BBV2" s="182"/>
      <c r="BBW2" s="182"/>
      <c r="BBX2" s="182"/>
      <c r="BBY2" s="182"/>
      <c r="BBZ2" s="182"/>
      <c r="BCA2" s="182"/>
      <c r="BCB2" s="182"/>
      <c r="BCC2" s="182"/>
      <c r="BCD2" s="182"/>
      <c r="BCE2" s="182"/>
      <c r="BCF2" s="182"/>
      <c r="BCG2" s="182"/>
      <c r="BCH2" s="182"/>
      <c r="BCI2" s="182"/>
      <c r="BCJ2" s="182"/>
      <c r="BCK2" s="182"/>
      <c r="BCL2" s="182"/>
      <c r="BCM2" s="182"/>
      <c r="BCN2" s="182"/>
      <c r="BCO2" s="182"/>
      <c r="BCP2" s="182"/>
      <c r="BCQ2" s="182"/>
      <c r="BCR2" s="182"/>
      <c r="BCS2" s="182"/>
      <c r="BCT2" s="182"/>
      <c r="BCU2" s="182"/>
      <c r="BCV2" s="182"/>
      <c r="BCW2" s="182"/>
      <c r="BCX2" s="182"/>
      <c r="BCY2" s="182"/>
      <c r="BCZ2" s="182"/>
      <c r="BDA2" s="182"/>
      <c r="BDB2" s="182"/>
      <c r="BDC2" s="182"/>
      <c r="BDD2" s="182"/>
      <c r="BDE2" s="182"/>
      <c r="BDF2" s="182"/>
      <c r="BDG2" s="182"/>
      <c r="BDH2" s="182"/>
      <c r="BDI2" s="182"/>
      <c r="BDJ2" s="182"/>
      <c r="BDK2" s="182"/>
      <c r="BDL2" s="182"/>
      <c r="BDM2" s="182"/>
      <c r="BDN2" s="182"/>
      <c r="BDO2" s="182"/>
      <c r="BDP2" s="182"/>
      <c r="BDQ2" s="182"/>
      <c r="BDR2" s="182"/>
      <c r="BDS2" s="182"/>
      <c r="BDT2" s="182"/>
      <c r="BDU2" s="182"/>
      <c r="BDV2" s="182"/>
      <c r="BDW2" s="182"/>
      <c r="BDX2" s="182"/>
      <c r="BDY2" s="182"/>
      <c r="BDZ2" s="182"/>
      <c r="BEA2" s="182"/>
      <c r="BEB2" s="182"/>
      <c r="BEC2" s="182"/>
      <c r="BED2" s="182"/>
      <c r="BEE2" s="182"/>
      <c r="BEF2" s="182"/>
      <c r="BEG2" s="182"/>
      <c r="BEH2" s="182"/>
      <c r="BEI2" s="182"/>
      <c r="BEJ2" s="182"/>
      <c r="BEK2" s="182"/>
      <c r="BEL2" s="182"/>
      <c r="BEM2" s="182"/>
      <c r="BEN2" s="182"/>
      <c r="BEO2" s="182"/>
      <c r="BEP2" s="182"/>
      <c r="BEQ2" s="182"/>
      <c r="BER2" s="182"/>
      <c r="BES2" s="182"/>
      <c r="BET2" s="182"/>
      <c r="BEU2" s="182"/>
      <c r="BEV2" s="182"/>
      <c r="BEW2" s="182"/>
      <c r="BEX2" s="182"/>
      <c r="BEY2" s="182"/>
      <c r="BEZ2" s="182"/>
      <c r="BFA2" s="182"/>
      <c r="BFB2" s="182"/>
      <c r="BFC2" s="182"/>
      <c r="BFD2" s="182"/>
      <c r="BFE2" s="182"/>
      <c r="BFF2" s="182"/>
      <c r="BFG2" s="182"/>
      <c r="BFH2" s="182"/>
      <c r="BFI2" s="182"/>
      <c r="BFJ2" s="182"/>
      <c r="BFK2" s="182"/>
      <c r="BFL2" s="182"/>
      <c r="BFM2" s="182"/>
      <c r="BFN2" s="182"/>
      <c r="BFO2" s="182"/>
      <c r="BFP2" s="182"/>
      <c r="BFQ2" s="182"/>
      <c r="BFR2" s="182"/>
      <c r="BFS2" s="182"/>
      <c r="BFT2" s="182"/>
      <c r="BFU2" s="182"/>
      <c r="BFV2" s="182"/>
      <c r="BFW2" s="182"/>
      <c r="BFX2" s="182"/>
      <c r="BFY2" s="182"/>
      <c r="BFZ2" s="182"/>
      <c r="BGA2" s="182"/>
      <c r="BGB2" s="182"/>
      <c r="BGC2" s="182"/>
      <c r="BGD2" s="182"/>
      <c r="BGE2" s="182"/>
      <c r="BGF2" s="182"/>
      <c r="BGG2" s="182"/>
      <c r="BGH2" s="182"/>
      <c r="BGI2" s="182"/>
      <c r="BGJ2" s="182"/>
      <c r="BGK2" s="182"/>
      <c r="BGL2" s="182"/>
      <c r="BGM2" s="182"/>
      <c r="BGN2" s="182"/>
      <c r="BGO2" s="182"/>
      <c r="BGP2" s="182"/>
      <c r="BGQ2" s="182"/>
      <c r="BGR2" s="182"/>
      <c r="BGS2" s="182"/>
      <c r="BGT2" s="182"/>
      <c r="BGU2" s="182"/>
      <c r="BGV2" s="182"/>
      <c r="BGW2" s="182"/>
      <c r="BGX2" s="182"/>
      <c r="BGY2" s="182"/>
      <c r="BGZ2" s="182"/>
      <c r="BHA2" s="182"/>
      <c r="BHB2" s="182"/>
      <c r="BHC2" s="182"/>
      <c r="BHD2" s="182"/>
      <c r="BHE2" s="182"/>
      <c r="BHF2" s="182"/>
      <c r="BHG2" s="182"/>
      <c r="BHH2" s="182"/>
      <c r="BHI2" s="182"/>
      <c r="BHJ2" s="182"/>
      <c r="BHK2" s="182"/>
      <c r="BHL2" s="182"/>
      <c r="BHM2" s="182"/>
      <c r="BHN2" s="182"/>
      <c r="BHO2" s="182"/>
      <c r="BHP2" s="182"/>
      <c r="BHQ2" s="182"/>
      <c r="BHR2" s="182"/>
      <c r="BHS2" s="182"/>
      <c r="BHT2" s="182"/>
      <c r="BHU2" s="182"/>
      <c r="BHV2" s="182"/>
      <c r="BHW2" s="182"/>
      <c r="BHX2" s="182"/>
      <c r="BHY2" s="182"/>
      <c r="BHZ2" s="182"/>
      <c r="BIA2" s="182"/>
      <c r="BIB2" s="182"/>
      <c r="BIC2" s="182"/>
      <c r="BID2" s="182"/>
      <c r="BIE2" s="182"/>
      <c r="BIF2" s="182"/>
      <c r="BIG2" s="182"/>
      <c r="BIH2" s="182"/>
      <c r="BII2" s="182"/>
      <c r="BIJ2" s="182"/>
      <c r="BIK2" s="182"/>
      <c r="BIL2" s="182"/>
      <c r="BIM2" s="182"/>
      <c r="BIN2" s="182"/>
      <c r="BIO2" s="182"/>
      <c r="BIP2" s="182"/>
      <c r="BIQ2" s="182"/>
      <c r="BIR2" s="182"/>
      <c r="BIS2" s="182"/>
      <c r="BIT2" s="182"/>
      <c r="BIU2" s="182"/>
      <c r="BIV2" s="182"/>
      <c r="BIW2" s="182"/>
      <c r="BIX2" s="182"/>
      <c r="BIY2" s="182"/>
      <c r="BIZ2" s="182"/>
      <c r="BJA2" s="182"/>
      <c r="BJB2" s="182"/>
      <c r="BJC2" s="182"/>
      <c r="BJD2" s="182"/>
      <c r="BJE2" s="182"/>
      <c r="BJF2" s="182"/>
      <c r="BJG2" s="182"/>
      <c r="BJH2" s="182"/>
      <c r="BJI2" s="182"/>
      <c r="BJJ2" s="182"/>
      <c r="BJK2" s="182"/>
      <c r="BJL2" s="182"/>
      <c r="BJM2" s="182"/>
      <c r="BJN2" s="182"/>
      <c r="BJO2" s="182"/>
      <c r="BJP2" s="182"/>
      <c r="BJQ2" s="182"/>
      <c r="BJR2" s="182"/>
      <c r="BJS2" s="182"/>
      <c r="BJT2" s="182"/>
      <c r="BJU2" s="182"/>
      <c r="BJV2" s="182"/>
      <c r="BJW2" s="182"/>
      <c r="BJX2" s="182"/>
      <c r="BJY2" s="182"/>
      <c r="BJZ2" s="182"/>
      <c r="BKA2" s="182"/>
      <c r="BKB2" s="182"/>
      <c r="BKC2" s="182"/>
      <c r="BKD2" s="182"/>
      <c r="BKE2" s="182"/>
      <c r="BKF2" s="182"/>
      <c r="BKG2" s="182"/>
      <c r="BKH2" s="182"/>
      <c r="BKI2" s="182"/>
      <c r="BKJ2" s="182"/>
      <c r="BKK2" s="182"/>
      <c r="BKL2" s="182"/>
      <c r="BKM2" s="182"/>
      <c r="BKN2" s="182"/>
      <c r="BKO2" s="182"/>
      <c r="BKP2" s="182"/>
      <c r="BKQ2" s="182"/>
      <c r="BKR2" s="182"/>
      <c r="BKS2" s="182"/>
      <c r="BKT2" s="182"/>
      <c r="BKU2" s="182"/>
      <c r="BKV2" s="182"/>
      <c r="BKW2" s="182"/>
      <c r="BKX2" s="182"/>
      <c r="BKY2" s="182"/>
      <c r="BKZ2" s="182"/>
      <c r="BLA2" s="182"/>
      <c r="BLB2" s="182"/>
      <c r="BLC2" s="182"/>
      <c r="BLD2" s="182"/>
      <c r="BLE2" s="182"/>
      <c r="BLF2" s="182"/>
      <c r="BLG2" s="182"/>
      <c r="BLH2" s="182"/>
      <c r="BLI2" s="182"/>
      <c r="BLJ2" s="182"/>
      <c r="BLK2" s="182"/>
      <c r="BLL2" s="182"/>
      <c r="BLM2" s="182"/>
      <c r="BLN2" s="182"/>
      <c r="BLO2" s="182"/>
      <c r="BLP2" s="182"/>
      <c r="BLQ2" s="182"/>
      <c r="BLR2" s="182"/>
      <c r="BLS2" s="182"/>
      <c r="BLT2" s="182"/>
      <c r="BLU2" s="182"/>
      <c r="BLV2" s="182"/>
      <c r="BLW2" s="182"/>
      <c r="BLX2" s="182"/>
      <c r="BLY2" s="182"/>
      <c r="BLZ2" s="182"/>
      <c r="BMA2" s="182"/>
      <c r="BMB2" s="182"/>
      <c r="BMC2" s="182"/>
      <c r="BMD2" s="182"/>
      <c r="BME2" s="182"/>
      <c r="BMF2" s="182"/>
      <c r="BMG2" s="182"/>
      <c r="BMH2" s="182"/>
      <c r="BMI2" s="182"/>
      <c r="BMJ2" s="182"/>
      <c r="BMK2" s="182"/>
      <c r="BML2" s="182"/>
      <c r="BMM2" s="182"/>
      <c r="BMN2" s="182"/>
      <c r="BMO2" s="182"/>
      <c r="BMP2" s="182"/>
      <c r="BMQ2" s="182"/>
      <c r="BMR2" s="182"/>
      <c r="BMS2" s="182"/>
      <c r="BMT2" s="182"/>
      <c r="BMU2" s="182"/>
      <c r="BMV2" s="182"/>
      <c r="BMW2" s="182"/>
      <c r="BMX2" s="182"/>
      <c r="BMY2" s="182"/>
      <c r="BMZ2" s="182"/>
      <c r="BNA2" s="182"/>
      <c r="BNB2" s="182"/>
      <c r="BNC2" s="182"/>
      <c r="BND2" s="182"/>
      <c r="BNE2" s="182"/>
      <c r="BNF2" s="182"/>
      <c r="BNG2" s="182"/>
      <c r="BNH2" s="182"/>
      <c r="BNI2" s="182"/>
      <c r="BNJ2" s="182"/>
      <c r="BNK2" s="182"/>
      <c r="BNL2" s="182"/>
      <c r="BNM2" s="182"/>
      <c r="BNN2" s="182"/>
      <c r="BNO2" s="182"/>
      <c r="BNP2" s="182"/>
      <c r="BNQ2" s="182"/>
      <c r="BNR2" s="182"/>
      <c r="BNS2" s="182"/>
      <c r="BNT2" s="182"/>
      <c r="BNU2" s="182"/>
      <c r="BNV2" s="182"/>
      <c r="BNW2" s="182"/>
      <c r="BNX2" s="182"/>
      <c r="BNY2" s="182"/>
      <c r="BNZ2" s="182"/>
      <c r="BOA2" s="182"/>
      <c r="BOB2" s="182"/>
      <c r="BOC2" s="182"/>
      <c r="BOD2" s="182"/>
      <c r="BOE2" s="182"/>
      <c r="BOF2" s="182"/>
      <c r="BOG2" s="182"/>
      <c r="BOH2" s="182"/>
      <c r="BOI2" s="182"/>
      <c r="BOJ2" s="182"/>
      <c r="BOK2" s="182"/>
      <c r="BOL2" s="182"/>
      <c r="BOM2" s="182"/>
      <c r="BON2" s="182"/>
      <c r="BOO2" s="182"/>
      <c r="BOP2" s="182"/>
      <c r="BOQ2" s="182"/>
      <c r="BOR2" s="182"/>
      <c r="BOS2" s="182"/>
      <c r="BOT2" s="182"/>
      <c r="BOU2" s="182"/>
      <c r="BOV2" s="182"/>
      <c r="BOW2" s="182"/>
      <c r="BOX2" s="182"/>
      <c r="BOY2" s="182"/>
      <c r="BOZ2" s="182"/>
      <c r="BPA2" s="182"/>
      <c r="BPB2" s="182"/>
      <c r="BPC2" s="182"/>
      <c r="BPD2" s="182"/>
      <c r="BPE2" s="182"/>
      <c r="BPF2" s="182"/>
      <c r="BPG2" s="182"/>
      <c r="BPH2" s="182"/>
      <c r="BPI2" s="182"/>
      <c r="BPJ2" s="182"/>
      <c r="BPK2" s="182"/>
      <c r="BPL2" s="182"/>
      <c r="BPM2" s="182"/>
      <c r="BPN2" s="182"/>
      <c r="BPO2" s="182"/>
      <c r="BPP2" s="182"/>
      <c r="BPQ2" s="182"/>
      <c r="BPR2" s="182"/>
      <c r="BPS2" s="182"/>
      <c r="BPT2" s="182"/>
      <c r="BPU2" s="182"/>
      <c r="BPV2" s="182"/>
      <c r="BPW2" s="182"/>
      <c r="BPX2" s="182"/>
      <c r="BPY2" s="182"/>
      <c r="BPZ2" s="182"/>
      <c r="BQA2" s="182"/>
      <c r="BQB2" s="182"/>
      <c r="BQC2" s="182"/>
      <c r="BQD2" s="182"/>
      <c r="BQE2" s="182"/>
      <c r="BQF2" s="182"/>
      <c r="BQG2" s="182"/>
      <c r="BQH2" s="182"/>
      <c r="BQI2" s="182"/>
      <c r="BQJ2" s="182"/>
      <c r="BQK2" s="182"/>
      <c r="BQL2" s="182"/>
      <c r="BQM2" s="182"/>
      <c r="BQN2" s="182"/>
      <c r="BQO2" s="182"/>
      <c r="BQP2" s="182"/>
      <c r="BQQ2" s="182"/>
      <c r="BQR2" s="182"/>
      <c r="BQS2" s="182"/>
      <c r="BQT2" s="182"/>
      <c r="BQU2" s="182"/>
      <c r="BQV2" s="182"/>
      <c r="BQW2" s="182"/>
      <c r="BQX2" s="182"/>
      <c r="BQY2" s="182"/>
      <c r="BQZ2" s="182"/>
      <c r="BRA2" s="182"/>
      <c r="BRB2" s="182"/>
      <c r="BRC2" s="182"/>
      <c r="BRD2" s="182"/>
      <c r="BRE2" s="182"/>
      <c r="BRF2" s="182"/>
      <c r="BRG2" s="182"/>
      <c r="BRH2" s="182"/>
      <c r="BRI2" s="182"/>
      <c r="BRJ2" s="182"/>
      <c r="BRK2" s="182"/>
      <c r="BRL2" s="182"/>
      <c r="BRM2" s="182"/>
      <c r="BRN2" s="182"/>
      <c r="BRO2" s="182"/>
      <c r="BRP2" s="182"/>
      <c r="BRQ2" s="182"/>
      <c r="BRR2" s="182"/>
      <c r="BRS2" s="182"/>
      <c r="BRT2" s="182"/>
      <c r="BRU2" s="182"/>
      <c r="BRV2" s="182"/>
      <c r="BRW2" s="182"/>
      <c r="BRX2" s="182"/>
      <c r="BRY2" s="182"/>
      <c r="BRZ2" s="182"/>
      <c r="BSA2" s="182"/>
      <c r="BSB2" s="182"/>
      <c r="BSC2" s="182"/>
      <c r="BSD2" s="182"/>
      <c r="BSE2" s="182"/>
      <c r="BSF2" s="182"/>
      <c r="BSG2" s="182"/>
      <c r="BSH2" s="182"/>
      <c r="BSI2" s="182"/>
      <c r="BSJ2" s="182"/>
      <c r="BSK2" s="182"/>
      <c r="BSL2" s="182"/>
      <c r="BSM2" s="182"/>
      <c r="BSN2" s="182"/>
      <c r="BSO2" s="182"/>
      <c r="BSP2" s="182"/>
      <c r="BSQ2" s="182"/>
      <c r="BSR2" s="182"/>
      <c r="BSS2" s="182"/>
      <c r="BST2" s="182"/>
      <c r="BSU2" s="182"/>
      <c r="BSV2" s="182"/>
      <c r="BSW2" s="182"/>
      <c r="BSX2" s="182"/>
      <c r="BSY2" s="182"/>
      <c r="BSZ2" s="182"/>
      <c r="BTA2" s="182"/>
      <c r="BTB2" s="182"/>
      <c r="BTC2" s="182"/>
      <c r="BTD2" s="182"/>
      <c r="BTE2" s="182"/>
      <c r="BTF2" s="182"/>
      <c r="BTG2" s="182"/>
      <c r="BTH2" s="182"/>
      <c r="BTI2" s="182"/>
      <c r="BTJ2" s="182"/>
      <c r="BTK2" s="182"/>
      <c r="BTL2" s="182"/>
      <c r="BTM2" s="182"/>
      <c r="BTN2" s="182"/>
      <c r="BTO2" s="182"/>
      <c r="BTP2" s="182"/>
      <c r="BTQ2" s="182"/>
      <c r="BTR2" s="182"/>
      <c r="BTS2" s="182"/>
      <c r="BTT2" s="182"/>
      <c r="BTU2" s="182"/>
      <c r="BTV2" s="182"/>
      <c r="BTW2" s="182"/>
      <c r="BTX2" s="182"/>
      <c r="BTY2" s="182"/>
      <c r="BTZ2" s="182"/>
      <c r="BUA2" s="182"/>
      <c r="BUB2" s="182"/>
      <c r="BUC2" s="182"/>
      <c r="BUD2" s="182"/>
      <c r="BUE2" s="182"/>
      <c r="BUF2" s="182"/>
      <c r="BUG2" s="182"/>
      <c r="BUH2" s="182"/>
      <c r="BUI2" s="182"/>
      <c r="BUJ2" s="182"/>
      <c r="BUK2" s="182"/>
      <c r="BUL2" s="182"/>
      <c r="BUM2" s="182"/>
      <c r="BUN2" s="182"/>
      <c r="BUO2" s="182"/>
      <c r="BUP2" s="182"/>
      <c r="BUQ2" s="182"/>
      <c r="BUR2" s="182"/>
      <c r="BUS2" s="182"/>
      <c r="BUT2" s="182"/>
      <c r="BUU2" s="182"/>
      <c r="BUV2" s="182"/>
      <c r="BUW2" s="182"/>
      <c r="BUX2" s="182"/>
      <c r="BUY2" s="182"/>
      <c r="BUZ2" s="182"/>
      <c r="BVA2" s="182"/>
      <c r="BVB2" s="182"/>
      <c r="BVC2" s="182"/>
      <c r="BVD2" s="182"/>
      <c r="BVE2" s="182"/>
      <c r="BVF2" s="182"/>
      <c r="BVG2" s="182"/>
      <c r="BVH2" s="182"/>
      <c r="BVI2" s="182"/>
      <c r="BVJ2" s="182"/>
      <c r="BVK2" s="182"/>
      <c r="BVL2" s="182"/>
      <c r="BVM2" s="182"/>
      <c r="BVN2" s="182"/>
      <c r="BVO2" s="182"/>
      <c r="BVP2" s="182"/>
      <c r="BVQ2" s="182"/>
      <c r="BVR2" s="182"/>
      <c r="BVS2" s="182"/>
      <c r="BVT2" s="182"/>
      <c r="BVU2" s="182"/>
      <c r="BVV2" s="182"/>
      <c r="BVW2" s="182"/>
      <c r="BVX2" s="182"/>
      <c r="BVY2" s="182"/>
      <c r="BVZ2" s="182"/>
      <c r="BWA2" s="182"/>
      <c r="BWB2" s="182"/>
      <c r="BWC2" s="182"/>
      <c r="BWD2" s="182"/>
      <c r="BWE2" s="182"/>
      <c r="BWF2" s="182"/>
      <c r="BWG2" s="182"/>
      <c r="BWH2" s="182"/>
      <c r="BWI2" s="182"/>
      <c r="BWJ2" s="182"/>
      <c r="BWK2" s="182"/>
      <c r="BWL2" s="182"/>
      <c r="BWM2" s="182"/>
      <c r="BWN2" s="182"/>
      <c r="BWO2" s="182"/>
      <c r="BWP2" s="182"/>
      <c r="BWQ2" s="182"/>
      <c r="BWR2" s="182"/>
      <c r="BWS2" s="182"/>
      <c r="BWT2" s="182"/>
      <c r="BWU2" s="182"/>
      <c r="BWV2" s="182"/>
      <c r="BWW2" s="182"/>
      <c r="BWX2" s="182"/>
      <c r="BWY2" s="182"/>
      <c r="BWZ2" s="182"/>
      <c r="BXA2" s="182"/>
      <c r="BXB2" s="182"/>
      <c r="BXC2" s="182"/>
      <c r="BXD2" s="182"/>
      <c r="BXE2" s="182"/>
      <c r="BXF2" s="182"/>
      <c r="BXG2" s="182"/>
      <c r="BXH2" s="182"/>
      <c r="BXI2" s="182"/>
      <c r="BXJ2" s="182"/>
      <c r="BXK2" s="182"/>
      <c r="BXL2" s="182"/>
      <c r="BXM2" s="182"/>
      <c r="BXN2" s="182"/>
      <c r="BXO2" s="182"/>
      <c r="BXP2" s="182"/>
      <c r="BXQ2" s="182"/>
      <c r="BXR2" s="182"/>
      <c r="BXS2" s="182"/>
      <c r="BXT2" s="182"/>
      <c r="BXU2" s="182"/>
      <c r="BXV2" s="182"/>
      <c r="BXW2" s="182"/>
      <c r="BXX2" s="182"/>
      <c r="BXY2" s="182"/>
      <c r="BXZ2" s="182"/>
      <c r="BYA2" s="182"/>
      <c r="BYB2" s="182"/>
      <c r="BYC2" s="182"/>
      <c r="BYD2" s="182"/>
      <c r="BYE2" s="182"/>
      <c r="BYF2" s="182"/>
      <c r="BYG2" s="182"/>
      <c r="BYH2" s="182"/>
      <c r="BYI2" s="182"/>
      <c r="BYJ2" s="182"/>
      <c r="BYK2" s="182"/>
      <c r="BYL2" s="182"/>
      <c r="BYM2" s="182"/>
      <c r="BYN2" s="182"/>
      <c r="BYO2" s="182"/>
      <c r="BYP2" s="182"/>
      <c r="BYQ2" s="182"/>
      <c r="BYR2" s="182"/>
      <c r="BYS2" s="182"/>
      <c r="BYT2" s="182"/>
      <c r="BYU2" s="182"/>
      <c r="BYV2" s="182"/>
      <c r="BYW2" s="182"/>
      <c r="BYX2" s="182"/>
      <c r="BYY2" s="182"/>
      <c r="BYZ2" s="182"/>
      <c r="BZA2" s="182"/>
      <c r="BZB2" s="182"/>
      <c r="BZC2" s="182"/>
      <c r="BZD2" s="182"/>
      <c r="BZE2" s="182"/>
      <c r="BZF2" s="182"/>
      <c r="BZG2" s="182"/>
      <c r="BZH2" s="182"/>
      <c r="BZI2" s="182"/>
      <c r="BZJ2" s="182"/>
      <c r="BZK2" s="182"/>
      <c r="BZL2" s="182"/>
      <c r="BZM2" s="182"/>
      <c r="BZN2" s="182"/>
      <c r="BZO2" s="182"/>
      <c r="BZP2" s="182"/>
      <c r="BZQ2" s="182"/>
      <c r="BZR2" s="182"/>
      <c r="BZS2" s="182"/>
      <c r="BZT2" s="182"/>
      <c r="BZU2" s="182"/>
      <c r="BZV2" s="182"/>
      <c r="BZW2" s="182"/>
      <c r="BZX2" s="182"/>
      <c r="BZY2" s="182"/>
      <c r="BZZ2" s="182"/>
      <c r="CAA2" s="182"/>
      <c r="CAB2" s="182"/>
      <c r="CAC2" s="182"/>
      <c r="CAD2" s="182"/>
      <c r="CAE2" s="182"/>
      <c r="CAF2" s="182"/>
      <c r="CAG2" s="182"/>
      <c r="CAH2" s="182"/>
      <c r="CAI2" s="182"/>
      <c r="CAJ2" s="182"/>
      <c r="CAK2" s="182"/>
      <c r="CAL2" s="182"/>
      <c r="CAM2" s="182"/>
      <c r="CAN2" s="182"/>
      <c r="CAO2" s="182"/>
      <c r="CAP2" s="182"/>
      <c r="CAQ2" s="182"/>
      <c r="CAR2" s="182"/>
      <c r="CAS2" s="182"/>
      <c r="CAT2" s="182"/>
      <c r="CAU2" s="182"/>
      <c r="CAV2" s="182"/>
      <c r="CAW2" s="182"/>
      <c r="CAX2" s="182"/>
      <c r="CAY2" s="182"/>
      <c r="CAZ2" s="182"/>
      <c r="CBA2" s="182"/>
      <c r="CBB2" s="182"/>
      <c r="CBC2" s="182"/>
      <c r="CBD2" s="182"/>
      <c r="CBE2" s="182"/>
      <c r="CBF2" s="182"/>
      <c r="CBG2" s="182"/>
      <c r="CBH2" s="182"/>
      <c r="CBI2" s="182"/>
      <c r="CBJ2" s="182"/>
      <c r="CBK2" s="182"/>
      <c r="CBL2" s="182"/>
      <c r="CBM2" s="182"/>
      <c r="CBN2" s="182"/>
      <c r="CBO2" s="182"/>
      <c r="CBP2" s="182"/>
      <c r="CBQ2" s="182"/>
      <c r="CBR2" s="182"/>
      <c r="CBS2" s="182"/>
      <c r="CBT2" s="182"/>
      <c r="CBU2" s="182"/>
      <c r="CBV2" s="182"/>
      <c r="CBW2" s="182"/>
      <c r="CBX2" s="182"/>
      <c r="CBY2" s="182"/>
      <c r="CBZ2" s="182"/>
      <c r="CCA2" s="182"/>
      <c r="CCB2" s="182"/>
      <c r="CCC2" s="182"/>
      <c r="CCD2" s="182"/>
      <c r="CCE2" s="182"/>
      <c r="CCF2" s="182"/>
      <c r="CCG2" s="182"/>
      <c r="CCH2" s="182"/>
      <c r="CCI2" s="182"/>
      <c r="CCJ2" s="182"/>
      <c r="CCK2" s="182"/>
      <c r="CCL2" s="182"/>
      <c r="CCM2" s="182"/>
      <c r="CCN2" s="182"/>
      <c r="CCO2" s="182"/>
      <c r="CCP2" s="182"/>
      <c r="CCQ2" s="182"/>
      <c r="CCR2" s="182"/>
      <c r="CCS2" s="182"/>
      <c r="CCT2" s="182"/>
      <c r="CCU2" s="182"/>
      <c r="CCV2" s="182"/>
      <c r="CCW2" s="182"/>
      <c r="CCX2" s="182"/>
      <c r="CCY2" s="182"/>
      <c r="CCZ2" s="182"/>
      <c r="CDA2" s="182"/>
      <c r="CDB2" s="182"/>
      <c r="CDC2" s="182"/>
      <c r="CDD2" s="182"/>
      <c r="CDE2" s="182"/>
      <c r="CDF2" s="182"/>
      <c r="CDG2" s="182"/>
      <c r="CDH2" s="182"/>
      <c r="CDI2" s="182"/>
      <c r="CDJ2" s="182"/>
      <c r="CDK2" s="182"/>
      <c r="CDL2" s="182"/>
      <c r="CDM2" s="182"/>
      <c r="CDN2" s="182"/>
      <c r="CDO2" s="182"/>
      <c r="CDP2" s="182"/>
      <c r="CDQ2" s="182"/>
      <c r="CDR2" s="182"/>
      <c r="CDS2" s="182"/>
      <c r="CDT2" s="182"/>
      <c r="CDU2" s="182"/>
      <c r="CDV2" s="182"/>
      <c r="CDW2" s="182"/>
      <c r="CDX2" s="182"/>
      <c r="CDY2" s="182"/>
      <c r="CDZ2" s="182"/>
      <c r="CEA2" s="182"/>
      <c r="CEB2" s="182"/>
      <c r="CEC2" s="182"/>
      <c r="CED2" s="182"/>
      <c r="CEE2" s="182"/>
      <c r="CEF2" s="182"/>
      <c r="CEG2" s="182"/>
      <c r="CEH2" s="182"/>
      <c r="CEI2" s="182"/>
      <c r="CEJ2" s="182"/>
      <c r="CEK2" s="182"/>
      <c r="CEL2" s="182"/>
      <c r="CEM2" s="182"/>
      <c r="CEN2" s="182"/>
      <c r="CEO2" s="182"/>
      <c r="CEP2" s="182"/>
      <c r="CEQ2" s="182"/>
      <c r="CER2" s="182"/>
      <c r="CES2" s="182"/>
      <c r="CET2" s="182"/>
      <c r="CEU2" s="182"/>
      <c r="CEV2" s="182"/>
      <c r="CEW2" s="182"/>
      <c r="CEX2" s="182"/>
      <c r="CEY2" s="182"/>
      <c r="CEZ2" s="182"/>
      <c r="CFA2" s="182"/>
      <c r="CFB2" s="182"/>
      <c r="CFC2" s="182"/>
      <c r="CFD2" s="182"/>
      <c r="CFE2" s="182"/>
      <c r="CFF2" s="182"/>
      <c r="CFG2" s="182"/>
      <c r="CFH2" s="182"/>
      <c r="CFI2" s="182"/>
      <c r="CFJ2" s="182"/>
      <c r="CFK2" s="182"/>
      <c r="CFL2" s="182"/>
      <c r="CFM2" s="182"/>
      <c r="CFN2" s="182"/>
      <c r="CFO2" s="182"/>
      <c r="CFP2" s="182"/>
      <c r="CFQ2" s="182"/>
      <c r="CFR2" s="182"/>
      <c r="CFS2" s="182"/>
      <c r="CFT2" s="182"/>
      <c r="CFU2" s="182"/>
      <c r="CFV2" s="182"/>
      <c r="CFW2" s="182"/>
      <c r="CFX2" s="182"/>
      <c r="CFY2" s="182"/>
      <c r="CFZ2" s="182"/>
      <c r="CGA2" s="182"/>
      <c r="CGB2" s="182"/>
      <c r="CGC2" s="182"/>
      <c r="CGD2" s="182"/>
      <c r="CGE2" s="182"/>
      <c r="CGF2" s="182"/>
      <c r="CGG2" s="182"/>
      <c r="CGH2" s="182"/>
      <c r="CGI2" s="182"/>
      <c r="CGJ2" s="182"/>
      <c r="CGK2" s="182"/>
      <c r="CGL2" s="182"/>
      <c r="CGM2" s="182"/>
      <c r="CGN2" s="182"/>
      <c r="CGO2" s="182"/>
      <c r="CGP2" s="182"/>
      <c r="CGQ2" s="182"/>
      <c r="CGR2" s="182"/>
      <c r="CGS2" s="182"/>
      <c r="CGT2" s="182"/>
      <c r="CGU2" s="182"/>
      <c r="CGV2" s="182"/>
      <c r="CGW2" s="182"/>
      <c r="CGX2" s="182"/>
      <c r="CGY2" s="182"/>
      <c r="CGZ2" s="182"/>
      <c r="CHA2" s="182"/>
      <c r="CHB2" s="182"/>
      <c r="CHC2" s="182"/>
      <c r="CHD2" s="182"/>
      <c r="CHE2" s="182"/>
      <c r="CHF2" s="182"/>
      <c r="CHG2" s="182"/>
      <c r="CHH2" s="182"/>
      <c r="CHI2" s="182"/>
      <c r="CHJ2" s="182"/>
      <c r="CHK2" s="182"/>
      <c r="CHL2" s="182"/>
      <c r="CHM2" s="182"/>
      <c r="CHN2" s="182"/>
      <c r="CHO2" s="182"/>
      <c r="CHP2" s="182"/>
      <c r="CHQ2" s="182"/>
      <c r="CHR2" s="182"/>
      <c r="CHS2" s="182"/>
      <c r="CHT2" s="182"/>
      <c r="CHU2" s="182"/>
      <c r="CHV2" s="182"/>
      <c r="CHW2" s="182"/>
      <c r="CHX2" s="182"/>
      <c r="CHY2" s="182"/>
      <c r="CHZ2" s="182"/>
      <c r="CIA2" s="182"/>
      <c r="CIB2" s="182"/>
      <c r="CIC2" s="182"/>
      <c r="CID2" s="182"/>
      <c r="CIE2" s="182"/>
      <c r="CIF2" s="182"/>
      <c r="CIG2" s="182"/>
      <c r="CIH2" s="182"/>
      <c r="CII2" s="182"/>
      <c r="CIJ2" s="182"/>
      <c r="CIK2" s="182"/>
      <c r="CIL2" s="182"/>
      <c r="CIM2" s="182"/>
      <c r="CIN2" s="182"/>
      <c r="CIO2" s="182"/>
      <c r="CIP2" s="182"/>
      <c r="CIQ2" s="182"/>
      <c r="CIR2" s="182"/>
      <c r="CIS2" s="182"/>
      <c r="CIT2" s="182"/>
      <c r="CIU2" s="182"/>
      <c r="CIV2" s="182"/>
      <c r="CIW2" s="182"/>
      <c r="CIX2" s="182"/>
      <c r="CIY2" s="182"/>
      <c r="CIZ2" s="182"/>
      <c r="CJA2" s="182"/>
      <c r="CJB2" s="182"/>
      <c r="CJC2" s="182"/>
      <c r="CJD2" s="182"/>
      <c r="CJE2" s="182"/>
      <c r="CJF2" s="182"/>
      <c r="CJG2" s="182"/>
      <c r="CJH2" s="182"/>
      <c r="CJI2" s="182"/>
      <c r="CJJ2" s="182"/>
      <c r="CJK2" s="182"/>
      <c r="CJL2" s="182"/>
      <c r="CJM2" s="182"/>
      <c r="CJN2" s="182"/>
      <c r="CJO2" s="182"/>
      <c r="CJP2" s="182"/>
      <c r="CJQ2" s="182"/>
      <c r="CJR2" s="182"/>
      <c r="CJS2" s="182"/>
      <c r="CJT2" s="182"/>
      <c r="CJU2" s="182"/>
      <c r="CJV2" s="182"/>
      <c r="CJW2" s="182"/>
      <c r="CJX2" s="182"/>
      <c r="CJY2" s="182"/>
      <c r="CJZ2" s="182"/>
      <c r="CKA2" s="182"/>
      <c r="CKB2" s="182"/>
      <c r="CKC2" s="182"/>
      <c r="CKD2" s="182"/>
      <c r="CKE2" s="182"/>
      <c r="CKF2" s="182"/>
      <c r="CKG2" s="182"/>
      <c r="CKH2" s="182"/>
      <c r="CKI2" s="182"/>
      <c r="CKJ2" s="182"/>
      <c r="CKK2" s="182"/>
      <c r="CKL2" s="182"/>
      <c r="CKM2" s="182"/>
      <c r="CKN2" s="182"/>
      <c r="CKO2" s="182"/>
      <c r="CKP2" s="182"/>
      <c r="CKQ2" s="182"/>
      <c r="CKR2" s="182"/>
      <c r="CKS2" s="182"/>
      <c r="CKT2" s="182"/>
      <c r="CKU2" s="182"/>
      <c r="CKV2" s="182"/>
      <c r="CKW2" s="182"/>
      <c r="CKX2" s="182"/>
      <c r="CKY2" s="182"/>
      <c r="CKZ2" s="182"/>
      <c r="CLA2" s="182"/>
      <c r="CLB2" s="182"/>
      <c r="CLC2" s="182"/>
      <c r="CLD2" s="182"/>
      <c r="CLE2" s="182"/>
      <c r="CLF2" s="182"/>
      <c r="CLG2" s="182"/>
      <c r="CLH2" s="182"/>
      <c r="CLI2" s="182"/>
      <c r="CLJ2" s="182"/>
      <c r="CLK2" s="182"/>
      <c r="CLL2" s="182"/>
      <c r="CLM2" s="182"/>
      <c r="CLN2" s="182"/>
      <c r="CLO2" s="182"/>
      <c r="CLP2" s="182"/>
      <c r="CLQ2" s="182"/>
      <c r="CLR2" s="182"/>
      <c r="CLS2" s="182"/>
      <c r="CLT2" s="182"/>
      <c r="CLU2" s="182"/>
      <c r="CLV2" s="182"/>
      <c r="CLW2" s="182"/>
      <c r="CLX2" s="182"/>
      <c r="CLY2" s="182"/>
      <c r="CLZ2" s="182"/>
      <c r="CMA2" s="182"/>
      <c r="CMB2" s="182"/>
      <c r="CMC2" s="182"/>
      <c r="CMD2" s="182"/>
      <c r="CME2" s="182"/>
      <c r="CMF2" s="182"/>
      <c r="CMG2" s="182"/>
      <c r="CMH2" s="182"/>
      <c r="CMI2" s="182"/>
      <c r="CMJ2" s="182"/>
      <c r="CMK2" s="182"/>
      <c r="CML2" s="182"/>
      <c r="CMM2" s="182"/>
      <c r="CMN2" s="182"/>
      <c r="CMO2" s="182"/>
      <c r="CMP2" s="182"/>
      <c r="CMQ2" s="182"/>
      <c r="CMR2" s="182"/>
      <c r="CMS2" s="182"/>
      <c r="CMT2" s="182"/>
      <c r="CMU2" s="182"/>
      <c r="CMV2" s="182"/>
      <c r="CMW2" s="182"/>
      <c r="CMX2" s="182"/>
      <c r="CMY2" s="182"/>
      <c r="CMZ2" s="182"/>
      <c r="CNA2" s="182"/>
      <c r="CNB2" s="182"/>
      <c r="CNC2" s="182"/>
      <c r="CND2" s="182"/>
      <c r="CNE2" s="182"/>
      <c r="CNF2" s="182"/>
      <c r="CNG2" s="182"/>
      <c r="CNH2" s="182"/>
      <c r="CNI2" s="182"/>
      <c r="CNJ2" s="182"/>
      <c r="CNK2" s="182"/>
      <c r="CNL2" s="182"/>
      <c r="CNM2" s="182"/>
      <c r="CNN2" s="182"/>
      <c r="CNO2" s="182"/>
      <c r="CNP2" s="182"/>
      <c r="CNQ2" s="182"/>
      <c r="CNR2" s="182"/>
      <c r="CNS2" s="182"/>
      <c r="CNT2" s="182"/>
      <c r="CNU2" s="182"/>
      <c r="CNV2" s="182"/>
      <c r="CNW2" s="182"/>
      <c r="CNX2" s="182"/>
      <c r="CNY2" s="182"/>
      <c r="CNZ2" s="182"/>
      <c r="COA2" s="182"/>
      <c r="COB2" s="182"/>
      <c r="COC2" s="182"/>
      <c r="COD2" s="182"/>
      <c r="COE2" s="182"/>
      <c r="COF2" s="182"/>
      <c r="COG2" s="182"/>
      <c r="COH2" s="182"/>
      <c r="COI2" s="182"/>
      <c r="COJ2" s="182"/>
      <c r="COK2" s="182"/>
      <c r="COL2" s="182"/>
      <c r="COM2" s="182"/>
      <c r="CON2" s="182"/>
      <c r="COO2" s="182"/>
      <c r="COP2" s="182"/>
      <c r="COQ2" s="182"/>
      <c r="COR2" s="182"/>
      <c r="COS2" s="182"/>
      <c r="COT2" s="182"/>
      <c r="COU2" s="182"/>
      <c r="COV2" s="182"/>
      <c r="COW2" s="182"/>
      <c r="COX2" s="182"/>
      <c r="COY2" s="182"/>
      <c r="COZ2" s="182"/>
      <c r="CPA2" s="182"/>
      <c r="CPB2" s="182"/>
      <c r="CPC2" s="182"/>
      <c r="CPD2" s="182"/>
      <c r="CPE2" s="182"/>
      <c r="CPF2" s="182"/>
      <c r="CPG2" s="182"/>
      <c r="CPH2" s="182"/>
      <c r="CPI2" s="182"/>
      <c r="CPJ2" s="182"/>
      <c r="CPK2" s="182"/>
      <c r="CPL2" s="182"/>
      <c r="CPM2" s="182"/>
      <c r="CPN2" s="182"/>
      <c r="CPO2" s="182"/>
      <c r="CPP2" s="182"/>
      <c r="CPQ2" s="182"/>
      <c r="CPR2" s="182"/>
      <c r="CPS2" s="182"/>
      <c r="CPT2" s="182"/>
      <c r="CPU2" s="182"/>
      <c r="CPV2" s="182"/>
      <c r="CPW2" s="182"/>
      <c r="CPX2" s="182"/>
      <c r="CPY2" s="182"/>
      <c r="CPZ2" s="182"/>
      <c r="CQA2" s="182"/>
      <c r="CQB2" s="182"/>
      <c r="CQC2" s="182"/>
      <c r="CQD2" s="182"/>
      <c r="CQE2" s="182"/>
      <c r="CQF2" s="182"/>
      <c r="CQG2" s="182"/>
      <c r="CQH2" s="182"/>
      <c r="CQI2" s="182"/>
      <c r="CQJ2" s="182"/>
      <c r="CQK2" s="182"/>
      <c r="CQL2" s="182"/>
      <c r="CQM2" s="182"/>
      <c r="CQN2" s="182"/>
      <c r="CQO2" s="182"/>
      <c r="CQP2" s="182"/>
      <c r="CQQ2" s="182"/>
      <c r="CQR2" s="182"/>
      <c r="CQS2" s="182"/>
      <c r="CQT2" s="182"/>
      <c r="CQU2" s="182"/>
      <c r="CQV2" s="182"/>
      <c r="CQW2" s="182"/>
      <c r="CQX2" s="182"/>
      <c r="CQY2" s="182"/>
      <c r="CQZ2" s="182"/>
      <c r="CRA2" s="182"/>
      <c r="CRB2" s="182"/>
      <c r="CRC2" s="182"/>
      <c r="CRD2" s="182"/>
      <c r="CRE2" s="182"/>
      <c r="CRF2" s="182"/>
      <c r="CRG2" s="182"/>
      <c r="CRH2" s="182"/>
      <c r="CRI2" s="182"/>
      <c r="CRJ2" s="182"/>
      <c r="CRK2" s="182"/>
      <c r="CRL2" s="182"/>
      <c r="CRM2" s="182"/>
      <c r="CRN2" s="182"/>
      <c r="CRO2" s="182"/>
      <c r="CRP2" s="182"/>
      <c r="CRQ2" s="182"/>
      <c r="CRR2" s="182"/>
      <c r="CRS2" s="182"/>
      <c r="CRT2" s="182"/>
      <c r="CRU2" s="182"/>
      <c r="CRV2" s="182"/>
      <c r="CRW2" s="182"/>
      <c r="CRX2" s="182"/>
      <c r="CRY2" s="182"/>
      <c r="CRZ2" s="182"/>
      <c r="CSA2" s="182"/>
      <c r="CSB2" s="182"/>
      <c r="CSC2" s="182"/>
      <c r="CSD2" s="182"/>
      <c r="CSE2" s="182"/>
      <c r="CSF2" s="182"/>
      <c r="CSG2" s="182"/>
      <c r="CSH2" s="182"/>
      <c r="CSI2" s="182"/>
      <c r="CSJ2" s="182"/>
      <c r="CSK2" s="182"/>
      <c r="CSL2" s="182"/>
      <c r="CSM2" s="182"/>
      <c r="CSN2" s="182"/>
      <c r="CSO2" s="182"/>
      <c r="CSP2" s="182"/>
      <c r="CSQ2" s="182"/>
      <c r="CSR2" s="182"/>
      <c r="CSS2" s="182"/>
      <c r="CST2" s="182"/>
      <c r="CSU2" s="182"/>
      <c r="CSV2" s="182"/>
      <c r="CSW2" s="182"/>
      <c r="CSX2" s="182"/>
      <c r="CSY2" s="182"/>
      <c r="CSZ2" s="182"/>
      <c r="CTA2" s="182"/>
      <c r="CTB2" s="182"/>
      <c r="CTC2" s="182"/>
      <c r="CTD2" s="182"/>
      <c r="CTE2" s="182"/>
      <c r="CTF2" s="182"/>
      <c r="CTG2" s="182"/>
      <c r="CTH2" s="182"/>
      <c r="CTI2" s="182"/>
      <c r="CTJ2" s="182"/>
      <c r="CTK2" s="182"/>
      <c r="CTL2" s="182"/>
      <c r="CTM2" s="182"/>
      <c r="CTN2" s="182"/>
      <c r="CTO2" s="182"/>
      <c r="CTP2" s="182"/>
      <c r="CTQ2" s="182"/>
      <c r="CTR2" s="182"/>
      <c r="CTS2" s="182"/>
      <c r="CTT2" s="182"/>
      <c r="CTU2" s="182"/>
      <c r="CTV2" s="182"/>
      <c r="CTW2" s="182"/>
      <c r="CTX2" s="182"/>
      <c r="CTY2" s="182"/>
      <c r="CTZ2" s="182"/>
      <c r="CUA2" s="182"/>
      <c r="CUB2" s="182"/>
      <c r="CUC2" s="182"/>
      <c r="CUD2" s="182"/>
      <c r="CUE2" s="182"/>
      <c r="CUF2" s="182"/>
      <c r="CUG2" s="182"/>
      <c r="CUH2" s="182"/>
      <c r="CUI2" s="182"/>
      <c r="CUJ2" s="182"/>
      <c r="CUK2" s="182"/>
      <c r="CUL2" s="182"/>
      <c r="CUM2" s="182"/>
      <c r="CUN2" s="182"/>
      <c r="CUO2" s="182"/>
      <c r="CUP2" s="182"/>
      <c r="CUQ2" s="182"/>
      <c r="CUR2" s="182"/>
      <c r="CUS2" s="182"/>
      <c r="CUT2" s="182"/>
      <c r="CUU2" s="182"/>
      <c r="CUV2" s="182"/>
      <c r="CUW2" s="182"/>
      <c r="CUX2" s="182"/>
      <c r="CUY2" s="182"/>
      <c r="CUZ2" s="182"/>
      <c r="CVA2" s="182"/>
      <c r="CVB2" s="182"/>
      <c r="CVC2" s="182"/>
      <c r="CVD2" s="182"/>
      <c r="CVE2" s="182"/>
      <c r="CVF2" s="182"/>
      <c r="CVG2" s="182"/>
      <c r="CVH2" s="182"/>
      <c r="CVI2" s="182"/>
      <c r="CVJ2" s="182"/>
      <c r="CVK2" s="182"/>
      <c r="CVL2" s="182"/>
      <c r="CVM2" s="182"/>
      <c r="CVN2" s="182"/>
      <c r="CVO2" s="182"/>
      <c r="CVP2" s="182"/>
      <c r="CVQ2" s="182"/>
      <c r="CVR2" s="182"/>
      <c r="CVS2" s="182"/>
      <c r="CVT2" s="182"/>
      <c r="CVU2" s="182"/>
      <c r="CVV2" s="182"/>
      <c r="CVW2" s="182"/>
      <c r="CVX2" s="182"/>
      <c r="CVY2" s="182"/>
      <c r="CVZ2" s="182"/>
      <c r="CWA2" s="182"/>
      <c r="CWB2" s="182"/>
      <c r="CWC2" s="182"/>
      <c r="CWD2" s="182"/>
      <c r="CWE2" s="182"/>
      <c r="CWF2" s="182"/>
      <c r="CWG2" s="182"/>
      <c r="CWH2" s="182"/>
      <c r="CWI2" s="182"/>
      <c r="CWJ2" s="182"/>
      <c r="CWK2" s="182"/>
      <c r="CWL2" s="182"/>
      <c r="CWM2" s="182"/>
      <c r="CWN2" s="182"/>
      <c r="CWO2" s="182"/>
      <c r="CWP2" s="182"/>
      <c r="CWQ2" s="182"/>
      <c r="CWR2" s="182"/>
      <c r="CWS2" s="182"/>
      <c r="CWT2" s="182"/>
      <c r="CWU2" s="182"/>
      <c r="CWV2" s="182"/>
      <c r="CWW2" s="182"/>
      <c r="CWX2" s="182"/>
      <c r="CWY2" s="182"/>
      <c r="CWZ2" s="182"/>
      <c r="CXA2" s="182"/>
      <c r="CXB2" s="182"/>
      <c r="CXC2" s="182"/>
      <c r="CXD2" s="182"/>
      <c r="CXE2" s="182"/>
      <c r="CXF2" s="182"/>
      <c r="CXG2" s="182"/>
      <c r="CXH2" s="182"/>
      <c r="CXI2" s="182"/>
      <c r="CXJ2" s="182"/>
      <c r="CXK2" s="182"/>
      <c r="CXL2" s="182"/>
      <c r="CXM2" s="182"/>
      <c r="CXN2" s="182"/>
      <c r="CXO2" s="182"/>
      <c r="CXP2" s="182"/>
      <c r="CXQ2" s="182"/>
      <c r="CXR2" s="182"/>
      <c r="CXS2" s="182"/>
      <c r="CXT2" s="182"/>
      <c r="CXU2" s="182"/>
      <c r="CXV2" s="182"/>
      <c r="CXW2" s="182"/>
      <c r="CXX2" s="182"/>
      <c r="CXY2" s="182"/>
      <c r="CXZ2" s="182"/>
      <c r="CYA2" s="182"/>
      <c r="CYB2" s="182"/>
      <c r="CYC2" s="182"/>
      <c r="CYD2" s="182"/>
      <c r="CYE2" s="182"/>
      <c r="CYF2" s="182"/>
      <c r="CYG2" s="182"/>
      <c r="CYH2" s="182"/>
      <c r="CYI2" s="182"/>
      <c r="CYJ2" s="182"/>
      <c r="CYK2" s="182"/>
      <c r="CYL2" s="182"/>
      <c r="CYM2" s="182"/>
      <c r="CYN2" s="182"/>
      <c r="CYO2" s="182"/>
      <c r="CYP2" s="182"/>
      <c r="CYQ2" s="182"/>
      <c r="CYR2" s="182"/>
      <c r="CYS2" s="182"/>
      <c r="CYT2" s="182"/>
      <c r="CYU2" s="182"/>
      <c r="CYV2" s="182"/>
      <c r="CYW2" s="182"/>
      <c r="CYX2" s="182"/>
      <c r="CYY2" s="182"/>
      <c r="CYZ2" s="182"/>
      <c r="CZA2" s="182"/>
      <c r="CZB2" s="182"/>
      <c r="CZC2" s="182"/>
      <c r="CZD2" s="182"/>
      <c r="CZE2" s="182"/>
      <c r="CZF2" s="182"/>
      <c r="CZG2" s="182"/>
      <c r="CZH2" s="182"/>
      <c r="CZI2" s="182"/>
      <c r="CZJ2" s="182"/>
      <c r="CZK2" s="182"/>
      <c r="CZL2" s="182"/>
      <c r="CZM2" s="182"/>
      <c r="CZN2" s="182"/>
      <c r="CZO2" s="182"/>
      <c r="CZP2" s="182"/>
      <c r="CZQ2" s="182"/>
      <c r="CZR2" s="182"/>
      <c r="CZS2" s="182"/>
      <c r="CZT2" s="182"/>
      <c r="CZU2" s="182"/>
      <c r="CZV2" s="182"/>
      <c r="CZW2" s="182"/>
      <c r="CZX2" s="182"/>
      <c r="CZY2" s="182"/>
      <c r="CZZ2" s="182"/>
      <c r="DAA2" s="182"/>
      <c r="DAB2" s="182"/>
      <c r="DAC2" s="182"/>
      <c r="DAD2" s="182"/>
      <c r="DAE2" s="182"/>
      <c r="DAF2" s="182"/>
      <c r="DAG2" s="182"/>
      <c r="DAH2" s="182"/>
      <c r="DAI2" s="182"/>
      <c r="DAJ2" s="182"/>
      <c r="DAK2" s="182"/>
      <c r="DAL2" s="182"/>
      <c r="DAM2" s="182"/>
      <c r="DAN2" s="182"/>
      <c r="DAO2" s="182"/>
      <c r="DAP2" s="182"/>
      <c r="DAQ2" s="182"/>
      <c r="DAR2" s="182"/>
      <c r="DAS2" s="182"/>
      <c r="DAT2" s="182"/>
      <c r="DAU2" s="182"/>
      <c r="DAV2" s="182"/>
      <c r="DAW2" s="182"/>
      <c r="DAX2" s="182"/>
      <c r="DAY2" s="182"/>
      <c r="DAZ2" s="182"/>
      <c r="DBA2" s="182"/>
      <c r="DBB2" s="182"/>
      <c r="DBC2" s="182"/>
      <c r="DBD2" s="182"/>
      <c r="DBE2" s="182"/>
      <c r="DBF2" s="182"/>
      <c r="DBG2" s="182"/>
      <c r="DBH2" s="182"/>
      <c r="DBI2" s="182"/>
      <c r="DBJ2" s="182"/>
      <c r="DBK2" s="182"/>
      <c r="DBL2" s="182"/>
      <c r="DBM2" s="182"/>
      <c r="DBN2" s="182"/>
      <c r="DBO2" s="182"/>
      <c r="DBP2" s="182"/>
      <c r="DBQ2" s="182"/>
      <c r="DBR2" s="182"/>
      <c r="DBS2" s="182"/>
      <c r="DBT2" s="182"/>
      <c r="DBU2" s="182"/>
      <c r="DBV2" s="182"/>
      <c r="DBW2" s="182"/>
      <c r="DBX2" s="182"/>
      <c r="DBY2" s="182"/>
      <c r="DBZ2" s="182"/>
      <c r="DCA2" s="182"/>
      <c r="DCB2" s="182"/>
      <c r="DCC2" s="182"/>
      <c r="DCD2" s="182"/>
      <c r="DCE2" s="182"/>
      <c r="DCF2" s="182"/>
      <c r="DCG2" s="182"/>
      <c r="DCH2" s="182"/>
      <c r="DCI2" s="182"/>
      <c r="DCJ2" s="182"/>
      <c r="DCK2" s="182"/>
      <c r="DCL2" s="182"/>
      <c r="DCM2" s="182"/>
      <c r="DCN2" s="182"/>
      <c r="DCO2" s="182"/>
      <c r="DCP2" s="182"/>
      <c r="DCQ2" s="182"/>
      <c r="DCR2" s="182"/>
      <c r="DCS2" s="182"/>
      <c r="DCT2" s="182"/>
      <c r="DCU2" s="182"/>
      <c r="DCV2" s="182"/>
      <c r="DCW2" s="182"/>
      <c r="DCX2" s="182"/>
      <c r="DCY2" s="182"/>
      <c r="DCZ2" s="182"/>
      <c r="DDA2" s="182"/>
      <c r="DDB2" s="182"/>
      <c r="DDC2" s="182"/>
      <c r="DDD2" s="182"/>
      <c r="DDE2" s="182"/>
      <c r="DDF2" s="182"/>
      <c r="DDG2" s="182"/>
      <c r="DDH2" s="182"/>
      <c r="DDI2" s="182"/>
      <c r="DDJ2" s="182"/>
      <c r="DDK2" s="182"/>
      <c r="DDL2" s="182"/>
      <c r="DDM2" s="182"/>
      <c r="DDN2" s="182"/>
      <c r="DDO2" s="182"/>
      <c r="DDP2" s="182"/>
      <c r="DDQ2" s="182"/>
      <c r="DDR2" s="182"/>
      <c r="DDS2" s="182"/>
      <c r="DDT2" s="182"/>
      <c r="DDU2" s="182"/>
      <c r="DDV2" s="182"/>
      <c r="DDW2" s="182"/>
      <c r="DDX2" s="182"/>
      <c r="DDY2" s="182"/>
      <c r="DDZ2" s="182"/>
      <c r="DEA2" s="182"/>
      <c r="DEB2" s="182"/>
      <c r="DEC2" s="182"/>
      <c r="DED2" s="182"/>
      <c r="DEE2" s="182"/>
      <c r="DEF2" s="182"/>
      <c r="DEG2" s="182"/>
      <c r="DEH2" s="182"/>
      <c r="DEI2" s="182"/>
      <c r="DEJ2" s="182"/>
      <c r="DEK2" s="182"/>
      <c r="DEL2" s="182"/>
      <c r="DEM2" s="182"/>
      <c r="DEN2" s="182"/>
      <c r="DEO2" s="182"/>
      <c r="DEP2" s="182"/>
      <c r="DEQ2" s="182"/>
      <c r="DER2" s="182"/>
      <c r="DES2" s="182"/>
      <c r="DET2" s="182"/>
      <c r="DEU2" s="182"/>
      <c r="DEV2" s="182"/>
      <c r="DEW2" s="182"/>
      <c r="DEX2" s="182"/>
      <c r="DEY2" s="182"/>
      <c r="DEZ2" s="182"/>
      <c r="DFA2" s="182"/>
      <c r="DFB2" s="182"/>
      <c r="DFC2" s="182"/>
      <c r="DFD2" s="182"/>
      <c r="DFE2" s="182"/>
      <c r="DFF2" s="182"/>
      <c r="DFG2" s="182"/>
      <c r="DFH2" s="182"/>
      <c r="DFI2" s="182"/>
      <c r="DFJ2" s="182"/>
      <c r="DFK2" s="182"/>
      <c r="DFL2" s="182"/>
      <c r="DFM2" s="182"/>
      <c r="DFN2" s="182"/>
      <c r="DFO2" s="182"/>
      <c r="DFP2" s="182"/>
      <c r="DFQ2" s="182"/>
      <c r="DFR2" s="182"/>
      <c r="DFS2" s="182"/>
      <c r="DFT2" s="182"/>
      <c r="DFU2" s="182"/>
      <c r="DFV2" s="182"/>
      <c r="DFW2" s="182"/>
      <c r="DFX2" s="182"/>
      <c r="DFY2" s="182"/>
      <c r="DFZ2" s="182"/>
      <c r="DGA2" s="182"/>
      <c r="DGB2" s="182"/>
      <c r="DGC2" s="182"/>
      <c r="DGD2" s="182"/>
      <c r="DGE2" s="182"/>
      <c r="DGF2" s="182"/>
      <c r="DGG2" s="182"/>
      <c r="DGH2" s="182"/>
      <c r="DGI2" s="182"/>
      <c r="DGJ2" s="182"/>
      <c r="DGK2" s="182"/>
      <c r="DGL2" s="182"/>
      <c r="DGM2" s="182"/>
      <c r="DGN2" s="182"/>
      <c r="DGO2" s="182"/>
      <c r="DGP2" s="182"/>
      <c r="DGQ2" s="182"/>
      <c r="DGR2" s="182"/>
      <c r="DGS2" s="182"/>
      <c r="DGT2" s="182"/>
      <c r="DGU2" s="182"/>
      <c r="DGV2" s="182"/>
      <c r="DGW2" s="182"/>
      <c r="DGX2" s="182"/>
      <c r="DGY2" s="182"/>
      <c r="DGZ2" s="182"/>
      <c r="DHA2" s="182"/>
      <c r="DHB2" s="182"/>
      <c r="DHC2" s="182"/>
      <c r="DHD2" s="182"/>
      <c r="DHE2" s="182"/>
      <c r="DHF2" s="182"/>
      <c r="DHG2" s="182"/>
      <c r="DHH2" s="182"/>
      <c r="DHI2" s="182"/>
      <c r="DHJ2" s="182"/>
      <c r="DHK2" s="182"/>
      <c r="DHL2" s="182"/>
      <c r="DHM2" s="182"/>
      <c r="DHN2" s="182"/>
      <c r="DHO2" s="182"/>
      <c r="DHP2" s="182"/>
      <c r="DHQ2" s="182"/>
      <c r="DHR2" s="182"/>
      <c r="DHS2" s="182"/>
      <c r="DHT2" s="182"/>
      <c r="DHU2" s="182"/>
      <c r="DHV2" s="182"/>
      <c r="DHW2" s="182"/>
      <c r="DHX2" s="182"/>
      <c r="DHY2" s="182"/>
      <c r="DHZ2" s="182"/>
      <c r="DIA2" s="182"/>
      <c r="DIB2" s="182"/>
      <c r="DIC2" s="182"/>
      <c r="DID2" s="182"/>
      <c r="DIE2" s="182"/>
      <c r="DIF2" s="182"/>
      <c r="DIG2" s="182"/>
      <c r="DIH2" s="182"/>
      <c r="DII2" s="182"/>
      <c r="DIJ2" s="182"/>
      <c r="DIK2" s="182"/>
      <c r="DIL2" s="182"/>
      <c r="DIM2" s="182"/>
      <c r="DIN2" s="182"/>
      <c r="DIO2" s="182"/>
      <c r="DIP2" s="182"/>
      <c r="DIQ2" s="182"/>
      <c r="DIR2" s="182"/>
      <c r="DIS2" s="182"/>
      <c r="DIT2" s="182"/>
      <c r="DIU2" s="182"/>
      <c r="DIV2" s="182"/>
      <c r="DIW2" s="182"/>
      <c r="DIX2" s="182"/>
      <c r="DIY2" s="182"/>
      <c r="DIZ2" s="182"/>
      <c r="DJA2" s="182"/>
      <c r="DJB2" s="182"/>
      <c r="DJC2" s="182"/>
      <c r="DJD2" s="182"/>
      <c r="DJE2" s="182"/>
      <c r="DJF2" s="182"/>
      <c r="DJG2" s="182"/>
      <c r="DJH2" s="182"/>
      <c r="DJI2" s="182"/>
      <c r="DJJ2" s="182"/>
      <c r="DJK2" s="182"/>
      <c r="DJL2" s="182"/>
      <c r="DJM2" s="182"/>
      <c r="DJN2" s="182"/>
      <c r="DJO2" s="182"/>
      <c r="DJP2" s="182"/>
      <c r="DJQ2" s="182"/>
      <c r="DJR2" s="182"/>
      <c r="DJS2" s="182"/>
      <c r="DJT2" s="182"/>
      <c r="DJU2" s="182"/>
      <c r="DJV2" s="182"/>
      <c r="DJW2" s="182"/>
      <c r="DJX2" s="182"/>
      <c r="DJY2" s="182"/>
      <c r="DJZ2" s="182"/>
      <c r="DKA2" s="182"/>
      <c r="DKB2" s="182"/>
      <c r="DKC2" s="182"/>
      <c r="DKD2" s="182"/>
      <c r="DKE2" s="182"/>
      <c r="DKF2" s="182"/>
      <c r="DKG2" s="182"/>
      <c r="DKH2" s="182"/>
      <c r="DKI2" s="182"/>
      <c r="DKJ2" s="182"/>
      <c r="DKK2" s="182"/>
      <c r="DKL2" s="182"/>
      <c r="DKM2" s="182"/>
      <c r="DKN2" s="182"/>
      <c r="DKO2" s="182"/>
      <c r="DKP2" s="182"/>
      <c r="DKQ2" s="182"/>
      <c r="DKR2" s="182"/>
      <c r="DKS2" s="182"/>
      <c r="DKT2" s="182"/>
      <c r="DKU2" s="182"/>
      <c r="DKV2" s="182"/>
      <c r="DKW2" s="182"/>
      <c r="DKX2" s="182"/>
      <c r="DKY2" s="182"/>
      <c r="DKZ2" s="182"/>
      <c r="DLA2" s="182"/>
      <c r="DLB2" s="182"/>
      <c r="DLC2" s="182"/>
      <c r="DLD2" s="182"/>
      <c r="DLE2" s="182"/>
      <c r="DLF2" s="182"/>
      <c r="DLG2" s="182"/>
      <c r="DLH2" s="182"/>
      <c r="DLI2" s="182"/>
      <c r="DLJ2" s="182"/>
      <c r="DLK2" s="182"/>
      <c r="DLL2" s="182"/>
      <c r="DLM2" s="182"/>
      <c r="DLN2" s="182"/>
      <c r="DLO2" s="182"/>
      <c r="DLP2" s="182"/>
      <c r="DLQ2" s="182"/>
      <c r="DLR2" s="182"/>
      <c r="DLS2" s="182"/>
      <c r="DLT2" s="182"/>
      <c r="DLU2" s="182"/>
      <c r="DLV2" s="182"/>
      <c r="DLW2" s="182"/>
      <c r="DLX2" s="182"/>
      <c r="DLY2" s="182"/>
      <c r="DLZ2" s="182"/>
      <c r="DMA2" s="182"/>
      <c r="DMB2" s="182"/>
      <c r="DMC2" s="182"/>
      <c r="DMD2" s="182"/>
      <c r="DME2" s="182"/>
      <c r="DMF2" s="182"/>
      <c r="DMG2" s="182"/>
      <c r="DMH2" s="182"/>
      <c r="DMI2" s="182"/>
      <c r="DMJ2" s="182"/>
      <c r="DMK2" s="182"/>
      <c r="DML2" s="182"/>
      <c r="DMM2" s="182"/>
      <c r="DMN2" s="182"/>
      <c r="DMO2" s="182"/>
      <c r="DMP2" s="182"/>
      <c r="DMQ2" s="182"/>
      <c r="DMR2" s="182"/>
      <c r="DMS2" s="182"/>
      <c r="DMT2" s="182"/>
      <c r="DMU2" s="182"/>
      <c r="DMV2" s="182"/>
      <c r="DMW2" s="182"/>
      <c r="DMX2" s="182"/>
      <c r="DMY2" s="182"/>
      <c r="DMZ2" s="182"/>
      <c r="DNA2" s="182"/>
      <c r="DNB2" s="182"/>
      <c r="DNC2" s="182"/>
      <c r="DND2" s="182"/>
      <c r="DNE2" s="182"/>
      <c r="DNF2" s="182"/>
      <c r="DNG2" s="182"/>
      <c r="DNH2" s="182"/>
      <c r="DNI2" s="182"/>
      <c r="DNJ2" s="182"/>
      <c r="DNK2" s="182"/>
      <c r="DNL2" s="182"/>
      <c r="DNM2" s="182"/>
      <c r="DNN2" s="182"/>
      <c r="DNO2" s="182"/>
      <c r="DNP2" s="182"/>
      <c r="DNQ2" s="182"/>
      <c r="DNR2" s="182"/>
      <c r="DNS2" s="182"/>
      <c r="DNT2" s="182"/>
      <c r="DNU2" s="182"/>
      <c r="DNV2" s="182"/>
      <c r="DNW2" s="182"/>
      <c r="DNX2" s="182"/>
      <c r="DNY2" s="182"/>
      <c r="DNZ2" s="182"/>
      <c r="DOA2" s="182"/>
      <c r="DOB2" s="182"/>
      <c r="DOC2" s="182"/>
      <c r="DOD2" s="182"/>
      <c r="DOE2" s="182"/>
      <c r="DOF2" s="182"/>
      <c r="DOG2" s="182"/>
      <c r="DOH2" s="182"/>
      <c r="DOI2" s="182"/>
      <c r="DOJ2" s="182"/>
      <c r="DOK2" s="182"/>
      <c r="DOL2" s="182"/>
      <c r="DOM2" s="182"/>
      <c r="DON2" s="182"/>
      <c r="DOO2" s="182"/>
      <c r="DOP2" s="182"/>
      <c r="DOQ2" s="182"/>
      <c r="DOR2" s="182"/>
      <c r="DOS2" s="182"/>
      <c r="DOT2" s="182"/>
      <c r="DOU2" s="182"/>
      <c r="DOV2" s="182"/>
      <c r="DOW2" s="182"/>
      <c r="DOX2" s="182"/>
      <c r="DOY2" s="182"/>
      <c r="DOZ2" s="182"/>
      <c r="DPA2" s="182"/>
      <c r="DPB2" s="182"/>
      <c r="DPC2" s="182"/>
      <c r="DPD2" s="182"/>
      <c r="DPE2" s="182"/>
      <c r="DPF2" s="182"/>
      <c r="DPG2" s="182"/>
      <c r="DPH2" s="182"/>
      <c r="DPI2" s="182"/>
      <c r="DPJ2" s="182"/>
      <c r="DPK2" s="182"/>
      <c r="DPL2" s="182"/>
      <c r="DPM2" s="182"/>
      <c r="DPN2" s="182"/>
      <c r="DPO2" s="182"/>
      <c r="DPP2" s="182"/>
      <c r="DPQ2" s="182"/>
      <c r="DPR2" s="182"/>
      <c r="DPS2" s="182"/>
      <c r="DPT2" s="182"/>
      <c r="DPU2" s="182"/>
      <c r="DPV2" s="182"/>
      <c r="DPW2" s="182"/>
      <c r="DPX2" s="182"/>
      <c r="DPY2" s="182"/>
      <c r="DPZ2" s="182"/>
      <c r="DQA2" s="182"/>
      <c r="DQB2" s="182"/>
      <c r="DQC2" s="182"/>
      <c r="DQD2" s="182"/>
      <c r="DQE2" s="182"/>
      <c r="DQF2" s="182"/>
      <c r="DQG2" s="182"/>
      <c r="DQH2" s="182"/>
      <c r="DQI2" s="182"/>
      <c r="DQJ2" s="182"/>
      <c r="DQK2" s="182"/>
      <c r="DQL2" s="182"/>
      <c r="DQM2" s="182"/>
      <c r="DQN2" s="182"/>
      <c r="DQO2" s="182"/>
      <c r="DQP2" s="182"/>
      <c r="DQQ2" s="182"/>
      <c r="DQR2" s="182"/>
      <c r="DQS2" s="182"/>
      <c r="DQT2" s="182"/>
      <c r="DQU2" s="182"/>
      <c r="DQV2" s="182"/>
      <c r="DQW2" s="182"/>
      <c r="DQX2" s="182"/>
      <c r="DQY2" s="182"/>
      <c r="DQZ2" s="182"/>
      <c r="DRA2" s="182"/>
      <c r="DRB2" s="182"/>
      <c r="DRC2" s="182"/>
      <c r="DRD2" s="182"/>
      <c r="DRE2" s="182"/>
      <c r="DRF2" s="182"/>
      <c r="DRG2" s="182"/>
      <c r="DRH2" s="182"/>
      <c r="DRI2" s="182"/>
      <c r="DRJ2" s="182"/>
      <c r="DRK2" s="182"/>
      <c r="DRL2" s="182"/>
      <c r="DRM2" s="182"/>
      <c r="DRN2" s="182"/>
      <c r="DRO2" s="182"/>
      <c r="DRP2" s="182"/>
      <c r="DRQ2" s="182"/>
      <c r="DRR2" s="182"/>
      <c r="DRS2" s="182"/>
      <c r="DRT2" s="182"/>
      <c r="DRU2" s="182"/>
      <c r="DRV2" s="182"/>
      <c r="DRW2" s="182"/>
      <c r="DRX2" s="182"/>
      <c r="DRY2" s="182"/>
      <c r="DRZ2" s="182"/>
      <c r="DSA2" s="182"/>
      <c r="DSB2" s="182"/>
      <c r="DSC2" s="182"/>
      <c r="DSD2" s="182"/>
      <c r="DSE2" s="182"/>
      <c r="DSF2" s="182"/>
      <c r="DSG2" s="182"/>
      <c r="DSH2" s="182"/>
      <c r="DSI2" s="182"/>
      <c r="DSJ2" s="182"/>
      <c r="DSK2" s="182"/>
      <c r="DSL2" s="182"/>
      <c r="DSM2" s="182"/>
      <c r="DSN2" s="182"/>
      <c r="DSO2" s="182"/>
      <c r="DSP2" s="182"/>
      <c r="DSQ2" s="182"/>
      <c r="DSR2" s="182"/>
      <c r="DSS2" s="182"/>
      <c r="DST2" s="182"/>
      <c r="DSU2" s="182"/>
      <c r="DSV2" s="182"/>
      <c r="DSW2" s="182"/>
      <c r="DSX2" s="182"/>
      <c r="DSY2" s="182"/>
      <c r="DSZ2" s="182"/>
      <c r="DTA2" s="182"/>
      <c r="DTB2" s="182"/>
      <c r="DTC2" s="182"/>
      <c r="DTD2" s="182"/>
      <c r="DTE2" s="182"/>
      <c r="DTF2" s="182"/>
      <c r="DTG2" s="182"/>
      <c r="DTH2" s="182"/>
      <c r="DTI2" s="182"/>
      <c r="DTJ2" s="182"/>
      <c r="DTK2" s="182"/>
      <c r="DTL2" s="182"/>
      <c r="DTM2" s="182"/>
      <c r="DTN2" s="182"/>
      <c r="DTO2" s="182"/>
      <c r="DTP2" s="182"/>
      <c r="DTQ2" s="182"/>
      <c r="DTR2" s="182"/>
      <c r="DTS2" s="182"/>
      <c r="DTT2" s="182"/>
      <c r="DTU2" s="182"/>
      <c r="DTV2" s="182"/>
      <c r="DTW2" s="182"/>
      <c r="DTX2" s="182"/>
      <c r="DTY2" s="182"/>
      <c r="DTZ2" s="182"/>
      <c r="DUA2" s="182"/>
      <c r="DUB2" s="182"/>
      <c r="DUC2" s="182"/>
      <c r="DUD2" s="182"/>
      <c r="DUE2" s="182"/>
      <c r="DUF2" s="182"/>
      <c r="DUG2" s="182"/>
      <c r="DUH2" s="182"/>
      <c r="DUI2" s="182"/>
      <c r="DUJ2" s="182"/>
      <c r="DUK2" s="182"/>
      <c r="DUL2" s="182"/>
      <c r="DUM2" s="182"/>
      <c r="DUN2" s="182"/>
      <c r="DUO2" s="182"/>
      <c r="DUP2" s="182"/>
      <c r="DUQ2" s="182"/>
      <c r="DUR2" s="182"/>
      <c r="DUS2" s="182"/>
      <c r="DUT2" s="182"/>
      <c r="DUU2" s="182"/>
      <c r="DUV2" s="182"/>
      <c r="DUW2" s="182"/>
      <c r="DUX2" s="182"/>
      <c r="DUY2" s="182"/>
      <c r="DUZ2" s="182"/>
      <c r="DVA2" s="182"/>
      <c r="DVB2" s="182"/>
      <c r="DVC2" s="182"/>
      <c r="DVD2" s="182"/>
      <c r="DVE2" s="182"/>
      <c r="DVF2" s="182"/>
      <c r="DVG2" s="182"/>
      <c r="DVH2" s="182"/>
      <c r="DVI2" s="182"/>
      <c r="DVJ2" s="182"/>
      <c r="DVK2" s="182"/>
      <c r="DVL2" s="182"/>
      <c r="DVM2" s="182"/>
      <c r="DVN2" s="182"/>
      <c r="DVO2" s="182"/>
      <c r="DVP2" s="182"/>
      <c r="DVQ2" s="182"/>
      <c r="DVR2" s="182"/>
      <c r="DVS2" s="182"/>
      <c r="DVT2" s="182"/>
      <c r="DVU2" s="182"/>
      <c r="DVV2" s="182"/>
      <c r="DVW2" s="182"/>
      <c r="DVX2" s="182"/>
      <c r="DVY2" s="182"/>
      <c r="DVZ2" s="182"/>
      <c r="DWA2" s="182"/>
      <c r="DWB2" s="182"/>
      <c r="DWC2" s="182"/>
      <c r="DWD2" s="182"/>
      <c r="DWE2" s="182"/>
      <c r="DWF2" s="182"/>
      <c r="DWG2" s="182"/>
      <c r="DWH2" s="182"/>
      <c r="DWI2" s="182"/>
      <c r="DWJ2" s="182"/>
      <c r="DWK2" s="182"/>
      <c r="DWL2" s="182"/>
      <c r="DWM2" s="182"/>
      <c r="DWN2" s="182"/>
      <c r="DWO2" s="182"/>
      <c r="DWP2" s="182"/>
      <c r="DWQ2" s="182"/>
      <c r="DWR2" s="182"/>
      <c r="DWS2" s="182"/>
      <c r="DWT2" s="182"/>
      <c r="DWU2" s="182"/>
      <c r="DWV2" s="182"/>
      <c r="DWW2" s="182"/>
      <c r="DWX2" s="182"/>
      <c r="DWY2" s="182"/>
      <c r="DWZ2" s="182"/>
      <c r="DXA2" s="182"/>
      <c r="DXB2" s="182"/>
      <c r="DXC2" s="182"/>
      <c r="DXD2" s="182"/>
      <c r="DXE2" s="182"/>
      <c r="DXF2" s="182"/>
      <c r="DXG2" s="182"/>
      <c r="DXH2" s="182"/>
      <c r="DXI2" s="182"/>
      <c r="DXJ2" s="182"/>
      <c r="DXK2" s="182"/>
      <c r="DXL2" s="182"/>
      <c r="DXM2" s="182"/>
      <c r="DXN2" s="182"/>
      <c r="DXO2" s="182"/>
      <c r="DXP2" s="182"/>
      <c r="DXQ2" s="182"/>
      <c r="DXR2" s="182"/>
      <c r="DXS2" s="182"/>
      <c r="DXT2" s="182"/>
      <c r="DXU2" s="182"/>
      <c r="DXV2" s="182"/>
      <c r="DXW2" s="182"/>
      <c r="DXX2" s="182"/>
      <c r="DXY2" s="182"/>
      <c r="DXZ2" s="182"/>
      <c r="DYA2" s="182"/>
      <c r="DYB2" s="182"/>
      <c r="DYC2" s="182"/>
      <c r="DYD2" s="182"/>
      <c r="DYE2" s="182"/>
      <c r="DYF2" s="182"/>
      <c r="DYG2" s="182"/>
      <c r="DYH2" s="182"/>
      <c r="DYI2" s="182"/>
      <c r="DYJ2" s="182"/>
      <c r="DYK2" s="182"/>
      <c r="DYL2" s="182"/>
      <c r="DYM2" s="182"/>
      <c r="DYN2" s="182"/>
      <c r="DYO2" s="182"/>
      <c r="DYP2" s="182"/>
      <c r="DYQ2" s="182"/>
      <c r="DYR2" s="182"/>
      <c r="DYS2" s="182"/>
      <c r="DYT2" s="182"/>
      <c r="DYU2" s="182"/>
      <c r="DYV2" s="182"/>
      <c r="DYW2" s="182"/>
      <c r="DYX2" s="182"/>
      <c r="DYY2" s="182"/>
      <c r="DYZ2" s="182"/>
      <c r="DZA2" s="182"/>
      <c r="DZB2" s="182"/>
      <c r="DZC2" s="182"/>
      <c r="DZD2" s="182"/>
      <c r="DZE2" s="182"/>
      <c r="DZF2" s="182"/>
      <c r="DZG2" s="182"/>
      <c r="DZH2" s="182"/>
      <c r="DZI2" s="182"/>
      <c r="DZJ2" s="182"/>
      <c r="DZK2" s="182"/>
      <c r="DZL2" s="182"/>
      <c r="DZM2" s="182"/>
      <c r="DZN2" s="182"/>
      <c r="DZO2" s="182"/>
      <c r="DZP2" s="182"/>
      <c r="DZQ2" s="182"/>
      <c r="DZR2" s="182"/>
      <c r="DZS2" s="182"/>
      <c r="DZT2" s="182"/>
      <c r="DZU2" s="182"/>
      <c r="DZV2" s="182"/>
      <c r="DZW2" s="182"/>
      <c r="DZX2" s="182"/>
      <c r="DZY2" s="182"/>
      <c r="DZZ2" s="182"/>
      <c r="EAA2" s="182"/>
      <c r="EAB2" s="182"/>
      <c r="EAC2" s="182"/>
      <c r="EAD2" s="182"/>
      <c r="EAE2" s="182"/>
      <c r="EAF2" s="182"/>
      <c r="EAG2" s="182"/>
      <c r="EAH2" s="182"/>
      <c r="EAI2" s="182"/>
      <c r="EAJ2" s="182"/>
      <c r="EAK2" s="182"/>
      <c r="EAL2" s="182"/>
      <c r="EAM2" s="182"/>
      <c r="EAN2" s="182"/>
      <c r="EAO2" s="182"/>
      <c r="EAP2" s="182"/>
      <c r="EAQ2" s="182"/>
      <c r="EAR2" s="182"/>
      <c r="EAS2" s="182"/>
      <c r="EAT2" s="182"/>
      <c r="EAU2" s="182"/>
      <c r="EAV2" s="182"/>
      <c r="EAW2" s="182"/>
      <c r="EAX2" s="182"/>
      <c r="EAY2" s="182"/>
      <c r="EAZ2" s="182"/>
      <c r="EBA2" s="182"/>
      <c r="EBB2" s="182"/>
      <c r="EBC2" s="182"/>
      <c r="EBD2" s="182"/>
      <c r="EBE2" s="182"/>
      <c r="EBF2" s="182"/>
      <c r="EBG2" s="182"/>
      <c r="EBH2" s="182"/>
      <c r="EBI2" s="182"/>
      <c r="EBJ2" s="182"/>
      <c r="EBK2" s="182"/>
      <c r="EBL2" s="182"/>
      <c r="EBM2" s="182"/>
      <c r="EBN2" s="182"/>
      <c r="EBO2" s="182"/>
      <c r="EBP2" s="182"/>
      <c r="EBQ2" s="182"/>
      <c r="EBR2" s="182"/>
      <c r="EBS2" s="182"/>
      <c r="EBT2" s="182"/>
      <c r="EBU2" s="182"/>
      <c r="EBV2" s="182"/>
      <c r="EBW2" s="182"/>
      <c r="EBX2" s="182"/>
      <c r="EBY2" s="182"/>
      <c r="EBZ2" s="182"/>
      <c r="ECA2" s="182"/>
      <c r="ECB2" s="182"/>
      <c r="ECC2" s="182"/>
      <c r="ECD2" s="182"/>
      <c r="ECE2" s="182"/>
      <c r="ECF2" s="182"/>
      <c r="ECG2" s="182"/>
      <c r="ECH2" s="182"/>
      <c r="ECI2" s="182"/>
      <c r="ECJ2" s="182"/>
      <c r="ECK2" s="182"/>
      <c r="ECL2" s="182"/>
      <c r="ECM2" s="182"/>
      <c r="ECN2" s="182"/>
      <c r="ECO2" s="182"/>
      <c r="ECP2" s="182"/>
      <c r="ECQ2" s="182"/>
      <c r="ECR2" s="182"/>
      <c r="ECS2" s="182"/>
      <c r="ECT2" s="182"/>
      <c r="ECU2" s="182"/>
      <c r="ECV2" s="182"/>
      <c r="ECW2" s="182"/>
      <c r="ECX2" s="182"/>
      <c r="ECY2" s="182"/>
      <c r="ECZ2" s="182"/>
      <c r="EDA2" s="182"/>
      <c r="EDB2" s="182"/>
      <c r="EDC2" s="182"/>
      <c r="EDD2" s="182"/>
      <c r="EDE2" s="182"/>
      <c r="EDF2" s="182"/>
      <c r="EDG2" s="182"/>
      <c r="EDH2" s="182"/>
      <c r="EDI2" s="182"/>
      <c r="EDJ2" s="182"/>
      <c r="EDK2" s="182"/>
      <c r="EDL2" s="182"/>
      <c r="EDM2" s="182"/>
      <c r="EDN2" s="182"/>
      <c r="EDO2" s="182"/>
      <c r="EDP2" s="182"/>
      <c r="EDQ2" s="182"/>
      <c r="EDR2" s="182"/>
      <c r="EDS2" s="182"/>
      <c r="EDT2" s="182"/>
      <c r="EDU2" s="182"/>
      <c r="EDV2" s="182"/>
      <c r="EDW2" s="182"/>
      <c r="EDX2" s="182"/>
      <c r="EDY2" s="182"/>
      <c r="EDZ2" s="182"/>
      <c r="EEA2" s="182"/>
      <c r="EEB2" s="182"/>
      <c r="EEC2" s="182"/>
      <c r="EED2" s="182"/>
      <c r="EEE2" s="182"/>
      <c r="EEF2" s="182"/>
      <c r="EEG2" s="182"/>
      <c r="EEH2" s="182"/>
      <c r="EEI2" s="182"/>
      <c r="EEJ2" s="182"/>
      <c r="EEK2" s="182"/>
      <c r="EEL2" s="182"/>
      <c r="EEM2" s="182"/>
      <c r="EEN2" s="182"/>
      <c r="EEO2" s="182"/>
      <c r="EEP2" s="182"/>
      <c r="EEQ2" s="182"/>
      <c r="EER2" s="182"/>
      <c r="EES2" s="182"/>
      <c r="EET2" s="182"/>
      <c r="EEU2" s="182"/>
      <c r="EEV2" s="182"/>
      <c r="EEW2" s="182"/>
      <c r="EEX2" s="182"/>
      <c r="EEY2" s="182"/>
      <c r="EEZ2" s="182"/>
      <c r="EFA2" s="182"/>
      <c r="EFB2" s="182"/>
      <c r="EFC2" s="182"/>
      <c r="EFD2" s="182"/>
      <c r="EFE2" s="182"/>
      <c r="EFF2" s="182"/>
      <c r="EFG2" s="182"/>
      <c r="EFH2" s="182"/>
      <c r="EFI2" s="182"/>
      <c r="EFJ2" s="182"/>
      <c r="EFK2" s="182"/>
      <c r="EFL2" s="182"/>
      <c r="EFM2" s="182"/>
      <c r="EFN2" s="182"/>
      <c r="EFO2" s="182"/>
      <c r="EFP2" s="182"/>
      <c r="EFQ2" s="182"/>
      <c r="EFR2" s="182"/>
      <c r="EFS2" s="182"/>
      <c r="EFT2" s="182"/>
      <c r="EFU2" s="182"/>
      <c r="EFV2" s="182"/>
      <c r="EFW2" s="182"/>
      <c r="EFX2" s="182"/>
      <c r="EFY2" s="182"/>
      <c r="EFZ2" s="182"/>
      <c r="EGA2" s="182"/>
      <c r="EGB2" s="182"/>
      <c r="EGC2" s="182"/>
      <c r="EGD2" s="182"/>
      <c r="EGE2" s="182"/>
      <c r="EGF2" s="182"/>
      <c r="EGG2" s="182"/>
      <c r="EGH2" s="182"/>
      <c r="EGI2" s="182"/>
      <c r="EGJ2" s="182"/>
      <c r="EGK2" s="182"/>
      <c r="EGL2" s="182"/>
      <c r="EGM2" s="182"/>
      <c r="EGN2" s="182"/>
      <c r="EGO2" s="182"/>
      <c r="EGP2" s="182"/>
      <c r="EGQ2" s="182"/>
      <c r="EGR2" s="182"/>
      <c r="EGS2" s="182"/>
      <c r="EGT2" s="182"/>
      <c r="EGU2" s="182"/>
      <c r="EGV2" s="182"/>
      <c r="EGW2" s="182"/>
      <c r="EGX2" s="182"/>
      <c r="EGY2" s="182"/>
      <c r="EGZ2" s="182"/>
      <c r="EHA2" s="182"/>
      <c r="EHB2" s="182"/>
      <c r="EHC2" s="182"/>
      <c r="EHD2" s="182"/>
      <c r="EHE2" s="182"/>
      <c r="EHF2" s="182"/>
      <c r="EHG2" s="182"/>
      <c r="EHH2" s="182"/>
      <c r="EHI2" s="182"/>
      <c r="EHJ2" s="182"/>
      <c r="EHK2" s="182"/>
      <c r="EHL2" s="182"/>
      <c r="EHM2" s="182"/>
      <c r="EHN2" s="182"/>
      <c r="EHO2" s="182"/>
      <c r="EHP2" s="182"/>
      <c r="EHQ2" s="182"/>
      <c r="EHR2" s="182"/>
      <c r="EHS2" s="182"/>
      <c r="EHT2" s="182"/>
      <c r="EHU2" s="182"/>
      <c r="EHV2" s="182"/>
      <c r="EHW2" s="182"/>
      <c r="EHX2" s="182"/>
      <c r="EHY2" s="182"/>
      <c r="EHZ2" s="182"/>
      <c r="EIA2" s="182"/>
      <c r="EIB2" s="182"/>
      <c r="EIC2" s="182"/>
      <c r="EID2" s="182"/>
      <c r="EIE2" s="182"/>
      <c r="EIF2" s="182"/>
      <c r="EIG2" s="182"/>
      <c r="EIH2" s="182"/>
      <c r="EII2" s="182"/>
      <c r="EIJ2" s="182"/>
      <c r="EIK2" s="182"/>
      <c r="EIL2" s="182"/>
      <c r="EIM2" s="182"/>
      <c r="EIN2" s="182"/>
      <c r="EIO2" s="182"/>
      <c r="EIP2" s="182"/>
      <c r="EIQ2" s="182"/>
      <c r="EIR2" s="182"/>
      <c r="EIS2" s="182"/>
      <c r="EIT2" s="182"/>
      <c r="EIU2" s="182"/>
      <c r="EIV2" s="182"/>
      <c r="EIW2" s="182"/>
      <c r="EIX2" s="182"/>
      <c r="EIY2" s="182"/>
      <c r="EIZ2" s="182"/>
      <c r="EJA2" s="182"/>
      <c r="EJB2" s="182"/>
      <c r="EJC2" s="182"/>
      <c r="EJD2" s="182"/>
      <c r="EJE2" s="182"/>
      <c r="EJF2" s="182"/>
      <c r="EJG2" s="182"/>
      <c r="EJH2" s="182"/>
      <c r="EJI2" s="182"/>
      <c r="EJJ2" s="182"/>
      <c r="EJK2" s="182"/>
      <c r="EJL2" s="182"/>
      <c r="EJM2" s="182"/>
      <c r="EJN2" s="182"/>
      <c r="EJO2" s="182"/>
      <c r="EJP2" s="182"/>
      <c r="EJQ2" s="182"/>
      <c r="EJR2" s="182"/>
      <c r="EJS2" s="182"/>
      <c r="EJT2" s="182"/>
      <c r="EJU2" s="182"/>
      <c r="EJV2" s="182"/>
      <c r="EJW2" s="182"/>
      <c r="EJX2" s="182"/>
      <c r="EJY2" s="182"/>
      <c r="EJZ2" s="182"/>
      <c r="EKA2" s="182"/>
      <c r="EKB2" s="182"/>
      <c r="EKC2" s="182"/>
      <c r="EKD2" s="182"/>
      <c r="EKE2" s="182"/>
      <c r="EKF2" s="182"/>
      <c r="EKG2" s="182"/>
      <c r="EKH2" s="182"/>
      <c r="EKI2" s="182"/>
      <c r="EKJ2" s="182"/>
      <c r="EKK2" s="182"/>
      <c r="EKL2" s="182"/>
      <c r="EKM2" s="182"/>
      <c r="EKN2" s="182"/>
      <c r="EKO2" s="182"/>
      <c r="EKP2" s="182"/>
      <c r="EKQ2" s="182"/>
      <c r="EKR2" s="182"/>
      <c r="EKS2" s="182"/>
      <c r="EKT2" s="182"/>
      <c r="EKU2" s="182"/>
      <c r="EKV2" s="182"/>
      <c r="EKW2" s="182"/>
      <c r="EKX2" s="182"/>
      <c r="EKY2" s="182"/>
      <c r="EKZ2" s="182"/>
      <c r="ELA2" s="182"/>
      <c r="ELB2" s="182"/>
      <c r="ELC2" s="182"/>
      <c r="ELD2" s="182"/>
      <c r="ELE2" s="182"/>
      <c r="ELF2" s="182"/>
      <c r="ELG2" s="182"/>
      <c r="ELH2" s="182"/>
      <c r="ELI2" s="182"/>
      <c r="ELJ2" s="182"/>
      <c r="ELK2" s="182"/>
      <c r="ELL2" s="182"/>
      <c r="ELM2" s="182"/>
      <c r="ELN2" s="182"/>
      <c r="ELO2" s="182"/>
      <c r="ELP2" s="182"/>
      <c r="ELQ2" s="182"/>
      <c r="ELR2" s="182"/>
      <c r="ELS2" s="182"/>
      <c r="ELT2" s="182"/>
      <c r="ELU2" s="182"/>
      <c r="ELV2" s="182"/>
      <c r="ELW2" s="182"/>
      <c r="ELX2" s="182"/>
      <c r="ELY2" s="182"/>
      <c r="ELZ2" s="182"/>
      <c r="EMA2" s="182"/>
      <c r="EMB2" s="182"/>
      <c r="EMC2" s="182"/>
      <c r="EMD2" s="182"/>
      <c r="EME2" s="182"/>
      <c r="EMF2" s="182"/>
      <c r="EMG2" s="182"/>
      <c r="EMH2" s="182"/>
      <c r="EMI2" s="182"/>
      <c r="EMJ2" s="182"/>
      <c r="EMK2" s="182"/>
      <c r="EML2" s="182"/>
      <c r="EMM2" s="182"/>
      <c r="EMN2" s="182"/>
      <c r="EMO2" s="182"/>
      <c r="EMP2" s="182"/>
      <c r="EMQ2" s="182"/>
      <c r="EMR2" s="182"/>
      <c r="EMS2" s="182"/>
      <c r="EMT2" s="182"/>
      <c r="EMU2" s="182"/>
      <c r="EMV2" s="182"/>
      <c r="EMW2" s="182"/>
      <c r="EMX2" s="182"/>
      <c r="EMY2" s="182"/>
      <c r="EMZ2" s="182"/>
      <c r="ENA2" s="182"/>
      <c r="ENB2" s="182"/>
      <c r="ENC2" s="182"/>
      <c r="END2" s="182"/>
      <c r="ENE2" s="182"/>
      <c r="ENF2" s="182"/>
      <c r="ENG2" s="182"/>
      <c r="ENH2" s="182"/>
      <c r="ENI2" s="182"/>
      <c r="ENJ2" s="182"/>
      <c r="ENK2" s="182"/>
      <c r="ENL2" s="182"/>
      <c r="ENM2" s="182"/>
      <c r="ENN2" s="182"/>
      <c r="ENO2" s="182"/>
      <c r="ENP2" s="182"/>
      <c r="ENQ2" s="182"/>
      <c r="ENR2" s="182"/>
      <c r="ENS2" s="182"/>
      <c r="ENT2" s="182"/>
      <c r="ENU2" s="182"/>
      <c r="ENV2" s="182"/>
      <c r="ENW2" s="182"/>
      <c r="ENX2" s="182"/>
      <c r="ENY2" s="182"/>
      <c r="ENZ2" s="182"/>
      <c r="EOA2" s="182"/>
      <c r="EOB2" s="182"/>
      <c r="EOC2" s="182"/>
      <c r="EOD2" s="182"/>
      <c r="EOE2" s="182"/>
      <c r="EOF2" s="182"/>
      <c r="EOG2" s="182"/>
      <c r="EOH2" s="182"/>
      <c r="EOI2" s="182"/>
      <c r="EOJ2" s="182"/>
      <c r="EOK2" s="182"/>
      <c r="EOL2" s="182"/>
      <c r="EOM2" s="182"/>
      <c r="EON2" s="182"/>
      <c r="EOO2" s="182"/>
      <c r="EOP2" s="182"/>
      <c r="EOQ2" s="182"/>
      <c r="EOR2" s="182"/>
      <c r="EOS2" s="182"/>
      <c r="EOT2" s="182"/>
      <c r="EOU2" s="182"/>
      <c r="EOV2" s="182"/>
      <c r="EOW2" s="182"/>
      <c r="EOX2" s="182"/>
      <c r="EOY2" s="182"/>
      <c r="EOZ2" s="182"/>
      <c r="EPA2" s="182"/>
      <c r="EPB2" s="182"/>
      <c r="EPC2" s="182"/>
      <c r="EPD2" s="182"/>
      <c r="EPE2" s="182"/>
      <c r="EPF2" s="182"/>
      <c r="EPG2" s="182"/>
      <c r="EPH2" s="182"/>
      <c r="EPI2" s="182"/>
      <c r="EPJ2" s="182"/>
      <c r="EPK2" s="182"/>
      <c r="EPL2" s="182"/>
      <c r="EPM2" s="182"/>
      <c r="EPN2" s="182"/>
      <c r="EPO2" s="182"/>
      <c r="EPP2" s="182"/>
      <c r="EPQ2" s="182"/>
      <c r="EPR2" s="182"/>
      <c r="EPS2" s="182"/>
      <c r="EPT2" s="182"/>
      <c r="EPU2" s="182"/>
      <c r="EPV2" s="182"/>
      <c r="EPW2" s="182"/>
      <c r="EPX2" s="182"/>
      <c r="EPY2" s="182"/>
      <c r="EPZ2" s="182"/>
      <c r="EQA2" s="182"/>
      <c r="EQB2" s="182"/>
      <c r="EQC2" s="182"/>
      <c r="EQD2" s="182"/>
      <c r="EQE2" s="182"/>
      <c r="EQF2" s="182"/>
      <c r="EQG2" s="182"/>
      <c r="EQH2" s="182"/>
      <c r="EQI2" s="182"/>
      <c r="EQJ2" s="182"/>
      <c r="EQK2" s="182"/>
      <c r="EQL2" s="182"/>
      <c r="EQM2" s="182"/>
      <c r="EQN2" s="182"/>
      <c r="EQO2" s="182"/>
      <c r="EQP2" s="182"/>
      <c r="EQQ2" s="182"/>
      <c r="EQR2" s="182"/>
      <c r="EQS2" s="182"/>
      <c r="EQT2" s="182"/>
      <c r="EQU2" s="182"/>
      <c r="EQV2" s="182"/>
      <c r="EQW2" s="182"/>
      <c r="EQX2" s="182"/>
      <c r="EQY2" s="182"/>
      <c r="EQZ2" s="182"/>
      <c r="ERA2" s="182"/>
      <c r="ERB2" s="182"/>
      <c r="ERC2" s="182"/>
      <c r="ERD2" s="182"/>
      <c r="ERE2" s="182"/>
      <c r="ERF2" s="182"/>
      <c r="ERG2" s="182"/>
      <c r="ERH2" s="182"/>
      <c r="ERI2" s="182"/>
      <c r="ERJ2" s="182"/>
      <c r="ERK2" s="182"/>
      <c r="ERL2" s="182"/>
      <c r="ERM2" s="182"/>
      <c r="ERN2" s="182"/>
      <c r="ERO2" s="182"/>
      <c r="ERP2" s="182"/>
      <c r="ERQ2" s="182"/>
      <c r="ERR2" s="182"/>
      <c r="ERS2" s="182"/>
      <c r="ERT2" s="182"/>
      <c r="ERU2" s="182"/>
      <c r="ERV2" s="182"/>
      <c r="ERW2" s="182"/>
      <c r="ERX2" s="182"/>
      <c r="ERY2" s="182"/>
      <c r="ERZ2" s="182"/>
      <c r="ESA2" s="182"/>
      <c r="ESB2" s="182"/>
      <c r="ESC2" s="182"/>
      <c r="ESD2" s="182"/>
      <c r="ESE2" s="182"/>
      <c r="ESF2" s="182"/>
      <c r="ESG2" s="182"/>
      <c r="ESH2" s="182"/>
      <c r="ESI2" s="182"/>
      <c r="ESJ2" s="182"/>
      <c r="ESK2" s="182"/>
      <c r="ESL2" s="182"/>
      <c r="ESM2" s="182"/>
      <c r="ESN2" s="182"/>
      <c r="ESO2" s="182"/>
      <c r="ESP2" s="182"/>
      <c r="ESQ2" s="182"/>
      <c r="ESR2" s="182"/>
      <c r="ESS2" s="182"/>
      <c r="EST2" s="182"/>
      <c r="ESU2" s="182"/>
      <c r="ESV2" s="182"/>
      <c r="ESW2" s="182"/>
      <c r="ESX2" s="182"/>
      <c r="ESY2" s="182"/>
      <c r="ESZ2" s="182"/>
      <c r="ETA2" s="182"/>
      <c r="ETB2" s="182"/>
      <c r="ETC2" s="182"/>
      <c r="ETD2" s="182"/>
      <c r="ETE2" s="182"/>
      <c r="ETF2" s="182"/>
      <c r="ETG2" s="182"/>
      <c r="ETH2" s="182"/>
      <c r="ETI2" s="182"/>
      <c r="ETJ2" s="182"/>
      <c r="ETK2" s="182"/>
      <c r="ETL2" s="182"/>
      <c r="ETM2" s="182"/>
      <c r="ETN2" s="182"/>
      <c r="ETO2" s="182"/>
      <c r="ETP2" s="182"/>
      <c r="ETQ2" s="182"/>
      <c r="ETR2" s="182"/>
      <c r="ETS2" s="182"/>
      <c r="ETT2" s="182"/>
      <c r="ETU2" s="182"/>
      <c r="ETV2" s="182"/>
      <c r="ETW2" s="182"/>
      <c r="ETX2" s="182"/>
      <c r="ETY2" s="182"/>
      <c r="ETZ2" s="182"/>
      <c r="EUA2" s="182"/>
      <c r="EUB2" s="182"/>
      <c r="EUC2" s="182"/>
      <c r="EUD2" s="182"/>
      <c r="EUE2" s="182"/>
      <c r="EUF2" s="182"/>
      <c r="EUG2" s="182"/>
      <c r="EUH2" s="182"/>
      <c r="EUI2" s="182"/>
      <c r="EUJ2" s="182"/>
      <c r="EUK2" s="182"/>
      <c r="EUL2" s="182"/>
      <c r="EUM2" s="182"/>
      <c r="EUN2" s="182"/>
      <c r="EUO2" s="182"/>
      <c r="EUP2" s="182"/>
      <c r="EUQ2" s="182"/>
      <c r="EUR2" s="182"/>
      <c r="EUS2" s="182"/>
      <c r="EUT2" s="182"/>
      <c r="EUU2" s="182"/>
      <c r="EUV2" s="182"/>
      <c r="EUW2" s="182"/>
      <c r="EUX2" s="182"/>
      <c r="EUY2" s="182"/>
      <c r="EUZ2" s="182"/>
      <c r="EVA2" s="182"/>
      <c r="EVB2" s="182"/>
      <c r="EVC2" s="182"/>
      <c r="EVD2" s="182"/>
      <c r="EVE2" s="182"/>
      <c r="EVF2" s="182"/>
      <c r="EVG2" s="182"/>
      <c r="EVH2" s="182"/>
      <c r="EVI2" s="182"/>
      <c r="EVJ2" s="182"/>
      <c r="EVK2" s="182"/>
      <c r="EVL2" s="182"/>
      <c r="EVM2" s="182"/>
      <c r="EVN2" s="182"/>
      <c r="EVO2" s="182"/>
      <c r="EVP2" s="182"/>
      <c r="EVQ2" s="182"/>
      <c r="EVR2" s="182"/>
      <c r="EVS2" s="182"/>
      <c r="EVT2" s="182"/>
      <c r="EVU2" s="182"/>
      <c r="EVV2" s="182"/>
      <c r="EVW2" s="182"/>
      <c r="EVX2" s="182"/>
      <c r="EVY2" s="182"/>
      <c r="EVZ2" s="182"/>
      <c r="EWA2" s="182"/>
      <c r="EWB2" s="182"/>
      <c r="EWC2" s="182"/>
      <c r="EWD2" s="182"/>
      <c r="EWE2" s="182"/>
      <c r="EWF2" s="182"/>
      <c r="EWG2" s="182"/>
      <c r="EWH2" s="182"/>
      <c r="EWI2" s="182"/>
      <c r="EWJ2" s="182"/>
      <c r="EWK2" s="182"/>
      <c r="EWL2" s="182"/>
      <c r="EWM2" s="182"/>
      <c r="EWN2" s="182"/>
      <c r="EWO2" s="182"/>
      <c r="EWP2" s="182"/>
      <c r="EWQ2" s="182"/>
      <c r="EWR2" s="182"/>
      <c r="EWS2" s="182"/>
      <c r="EWT2" s="182"/>
      <c r="EWU2" s="182"/>
      <c r="EWV2" s="182"/>
      <c r="EWW2" s="182"/>
      <c r="EWX2" s="182"/>
      <c r="EWY2" s="182"/>
      <c r="EWZ2" s="182"/>
      <c r="EXA2" s="182"/>
      <c r="EXB2" s="182"/>
      <c r="EXC2" s="182"/>
      <c r="EXD2" s="182"/>
      <c r="EXE2" s="182"/>
      <c r="EXF2" s="182"/>
      <c r="EXG2" s="182"/>
      <c r="EXH2" s="182"/>
      <c r="EXI2" s="182"/>
      <c r="EXJ2" s="182"/>
      <c r="EXK2" s="182"/>
      <c r="EXL2" s="182"/>
      <c r="EXM2" s="182"/>
      <c r="EXN2" s="182"/>
      <c r="EXO2" s="182"/>
      <c r="EXP2" s="182"/>
      <c r="EXQ2" s="182"/>
      <c r="EXR2" s="182"/>
      <c r="EXS2" s="182"/>
      <c r="EXT2" s="182"/>
      <c r="EXU2" s="182"/>
      <c r="EXV2" s="182"/>
      <c r="EXW2" s="182"/>
      <c r="EXX2" s="182"/>
      <c r="EXY2" s="182"/>
      <c r="EXZ2" s="182"/>
      <c r="EYA2" s="182"/>
      <c r="EYB2" s="182"/>
      <c r="EYC2" s="182"/>
      <c r="EYD2" s="182"/>
      <c r="EYE2" s="182"/>
      <c r="EYF2" s="182"/>
      <c r="EYG2" s="182"/>
      <c r="EYH2" s="182"/>
      <c r="EYI2" s="182"/>
      <c r="EYJ2" s="182"/>
      <c r="EYK2" s="182"/>
      <c r="EYL2" s="182"/>
      <c r="EYM2" s="182"/>
      <c r="EYN2" s="182"/>
      <c r="EYO2" s="182"/>
      <c r="EYP2" s="182"/>
      <c r="EYQ2" s="182"/>
      <c r="EYR2" s="182"/>
      <c r="EYS2" s="182"/>
      <c r="EYT2" s="182"/>
      <c r="EYU2" s="182"/>
      <c r="EYV2" s="182"/>
      <c r="EYW2" s="182"/>
      <c r="EYX2" s="182"/>
      <c r="EYY2" s="182"/>
      <c r="EYZ2" s="182"/>
      <c r="EZA2" s="182"/>
      <c r="EZB2" s="182"/>
      <c r="EZC2" s="182"/>
      <c r="EZD2" s="182"/>
      <c r="EZE2" s="182"/>
      <c r="EZF2" s="182"/>
      <c r="EZG2" s="182"/>
      <c r="EZH2" s="182"/>
      <c r="EZI2" s="182"/>
      <c r="EZJ2" s="182"/>
      <c r="EZK2" s="182"/>
      <c r="EZL2" s="182"/>
      <c r="EZM2" s="182"/>
      <c r="EZN2" s="182"/>
      <c r="EZO2" s="182"/>
      <c r="EZP2" s="182"/>
      <c r="EZQ2" s="182"/>
      <c r="EZR2" s="182"/>
      <c r="EZS2" s="182"/>
      <c r="EZT2" s="182"/>
      <c r="EZU2" s="182"/>
      <c r="EZV2" s="182"/>
      <c r="EZW2" s="182"/>
      <c r="EZX2" s="182"/>
      <c r="EZY2" s="182"/>
      <c r="EZZ2" s="182"/>
      <c r="FAA2" s="182"/>
      <c r="FAB2" s="182"/>
      <c r="FAC2" s="182"/>
      <c r="FAD2" s="182"/>
      <c r="FAE2" s="182"/>
      <c r="FAF2" s="182"/>
      <c r="FAG2" s="182"/>
      <c r="FAH2" s="182"/>
      <c r="FAI2" s="182"/>
      <c r="FAJ2" s="182"/>
      <c r="FAK2" s="182"/>
      <c r="FAL2" s="182"/>
      <c r="FAM2" s="182"/>
      <c r="FAN2" s="182"/>
      <c r="FAO2" s="182"/>
      <c r="FAP2" s="182"/>
      <c r="FAQ2" s="182"/>
      <c r="FAR2" s="182"/>
      <c r="FAS2" s="182"/>
      <c r="FAT2" s="182"/>
      <c r="FAU2" s="182"/>
      <c r="FAV2" s="182"/>
      <c r="FAW2" s="182"/>
      <c r="FAX2" s="182"/>
      <c r="FAY2" s="182"/>
      <c r="FAZ2" s="182"/>
      <c r="FBA2" s="182"/>
      <c r="FBB2" s="182"/>
      <c r="FBC2" s="182"/>
      <c r="FBD2" s="182"/>
      <c r="FBE2" s="182"/>
      <c r="FBF2" s="182"/>
      <c r="FBG2" s="182"/>
      <c r="FBH2" s="182"/>
      <c r="FBI2" s="182"/>
      <c r="FBJ2" s="182"/>
      <c r="FBK2" s="182"/>
      <c r="FBL2" s="182"/>
      <c r="FBM2" s="182"/>
      <c r="FBN2" s="182"/>
      <c r="FBO2" s="182"/>
      <c r="FBP2" s="182"/>
      <c r="FBQ2" s="182"/>
      <c r="FBR2" s="182"/>
      <c r="FBS2" s="182"/>
      <c r="FBT2" s="182"/>
      <c r="FBU2" s="182"/>
      <c r="FBV2" s="182"/>
      <c r="FBW2" s="182"/>
      <c r="FBX2" s="182"/>
      <c r="FBY2" s="182"/>
      <c r="FBZ2" s="182"/>
      <c r="FCA2" s="182"/>
      <c r="FCB2" s="182"/>
      <c r="FCC2" s="182"/>
      <c r="FCD2" s="182"/>
      <c r="FCE2" s="182"/>
      <c r="FCF2" s="182"/>
      <c r="FCG2" s="182"/>
      <c r="FCH2" s="182"/>
      <c r="FCI2" s="182"/>
      <c r="FCJ2" s="182"/>
      <c r="FCK2" s="182"/>
      <c r="FCL2" s="182"/>
      <c r="FCM2" s="182"/>
      <c r="FCN2" s="182"/>
      <c r="FCO2" s="182"/>
      <c r="FCP2" s="182"/>
      <c r="FCQ2" s="182"/>
      <c r="FCR2" s="182"/>
      <c r="FCS2" s="182"/>
      <c r="FCT2" s="182"/>
      <c r="FCU2" s="182"/>
      <c r="FCV2" s="182"/>
      <c r="FCW2" s="182"/>
      <c r="FCX2" s="182"/>
      <c r="FCY2" s="182"/>
      <c r="FCZ2" s="182"/>
      <c r="FDA2" s="182"/>
      <c r="FDB2" s="182"/>
      <c r="FDC2" s="182"/>
      <c r="FDD2" s="182"/>
      <c r="FDE2" s="182"/>
      <c r="FDF2" s="182"/>
      <c r="FDG2" s="182"/>
      <c r="FDH2" s="182"/>
      <c r="FDI2" s="182"/>
      <c r="FDJ2" s="182"/>
      <c r="FDK2" s="182"/>
      <c r="FDL2" s="182"/>
      <c r="FDM2" s="182"/>
      <c r="FDN2" s="182"/>
      <c r="FDO2" s="182"/>
      <c r="FDP2" s="182"/>
      <c r="FDQ2" s="182"/>
      <c r="FDR2" s="182"/>
      <c r="FDS2" s="182"/>
      <c r="FDT2" s="182"/>
      <c r="FDU2" s="182"/>
      <c r="FDV2" s="182"/>
      <c r="FDW2" s="182"/>
      <c r="FDX2" s="182"/>
      <c r="FDY2" s="182"/>
      <c r="FDZ2" s="182"/>
      <c r="FEA2" s="182"/>
      <c r="FEB2" s="182"/>
      <c r="FEC2" s="182"/>
      <c r="FED2" s="182"/>
      <c r="FEE2" s="182"/>
      <c r="FEF2" s="182"/>
      <c r="FEG2" s="182"/>
      <c r="FEH2" s="182"/>
      <c r="FEI2" s="182"/>
      <c r="FEJ2" s="182"/>
      <c r="FEK2" s="182"/>
      <c r="FEL2" s="182"/>
      <c r="FEM2" s="182"/>
      <c r="FEN2" s="182"/>
      <c r="FEO2" s="182"/>
      <c r="FEP2" s="182"/>
      <c r="FEQ2" s="182"/>
      <c r="FER2" s="182"/>
      <c r="FES2" s="182"/>
      <c r="FET2" s="182"/>
      <c r="FEU2" s="182"/>
      <c r="FEV2" s="182"/>
      <c r="FEW2" s="182"/>
      <c r="FEX2" s="182"/>
      <c r="FEY2" s="182"/>
      <c r="FEZ2" s="182"/>
      <c r="FFA2" s="182"/>
      <c r="FFB2" s="182"/>
      <c r="FFC2" s="182"/>
      <c r="FFD2" s="182"/>
      <c r="FFE2" s="182"/>
      <c r="FFF2" s="182"/>
      <c r="FFG2" s="182"/>
      <c r="FFH2" s="182"/>
      <c r="FFI2" s="182"/>
      <c r="FFJ2" s="182"/>
      <c r="FFK2" s="182"/>
      <c r="FFL2" s="182"/>
      <c r="FFM2" s="182"/>
      <c r="FFN2" s="182"/>
      <c r="FFO2" s="182"/>
      <c r="FFP2" s="182"/>
      <c r="FFQ2" s="182"/>
      <c r="FFR2" s="182"/>
      <c r="FFS2" s="182"/>
      <c r="FFT2" s="182"/>
      <c r="FFU2" s="182"/>
      <c r="FFV2" s="182"/>
      <c r="FFW2" s="182"/>
      <c r="FFX2" s="182"/>
      <c r="FFY2" s="182"/>
      <c r="FFZ2" s="182"/>
      <c r="FGA2" s="182"/>
      <c r="FGB2" s="182"/>
      <c r="FGC2" s="182"/>
      <c r="FGD2" s="182"/>
      <c r="FGE2" s="182"/>
      <c r="FGF2" s="182"/>
      <c r="FGG2" s="182"/>
      <c r="FGH2" s="182"/>
      <c r="FGI2" s="182"/>
      <c r="FGJ2" s="182"/>
      <c r="FGK2" s="182"/>
      <c r="FGL2" s="182"/>
      <c r="FGM2" s="182"/>
      <c r="FGN2" s="182"/>
      <c r="FGO2" s="182"/>
      <c r="FGP2" s="182"/>
      <c r="FGQ2" s="182"/>
      <c r="FGR2" s="182"/>
      <c r="FGS2" s="182"/>
      <c r="FGT2" s="182"/>
      <c r="FGU2" s="182"/>
      <c r="FGV2" s="182"/>
      <c r="FGW2" s="182"/>
      <c r="FGX2" s="182"/>
      <c r="FGY2" s="182"/>
      <c r="FGZ2" s="182"/>
      <c r="FHA2" s="182"/>
      <c r="FHB2" s="182"/>
      <c r="FHC2" s="182"/>
      <c r="FHD2" s="182"/>
      <c r="FHE2" s="182"/>
      <c r="FHF2" s="182"/>
      <c r="FHG2" s="182"/>
      <c r="FHH2" s="182"/>
      <c r="FHI2" s="182"/>
      <c r="FHJ2" s="182"/>
      <c r="FHK2" s="182"/>
      <c r="FHL2" s="182"/>
      <c r="FHM2" s="182"/>
      <c r="FHN2" s="182"/>
      <c r="FHO2" s="182"/>
      <c r="FHP2" s="182"/>
      <c r="FHQ2" s="182"/>
      <c r="FHR2" s="182"/>
      <c r="FHS2" s="182"/>
      <c r="FHT2" s="182"/>
      <c r="FHU2" s="182"/>
      <c r="FHV2" s="182"/>
      <c r="FHW2" s="182"/>
      <c r="FHX2" s="182"/>
      <c r="FHY2" s="182"/>
      <c r="FHZ2" s="182"/>
      <c r="FIA2" s="182"/>
      <c r="FIB2" s="182"/>
      <c r="FIC2" s="182"/>
      <c r="FID2" s="182"/>
      <c r="FIE2" s="182"/>
      <c r="FIF2" s="182"/>
      <c r="FIG2" s="182"/>
      <c r="FIH2" s="182"/>
      <c r="FII2" s="182"/>
      <c r="FIJ2" s="182"/>
      <c r="FIK2" s="182"/>
      <c r="FIL2" s="182"/>
      <c r="FIM2" s="182"/>
      <c r="FIN2" s="182"/>
      <c r="FIO2" s="182"/>
      <c r="FIP2" s="182"/>
      <c r="FIQ2" s="182"/>
      <c r="FIR2" s="182"/>
      <c r="FIS2" s="182"/>
      <c r="FIT2" s="182"/>
      <c r="FIU2" s="182"/>
      <c r="FIV2" s="182"/>
      <c r="FIW2" s="182"/>
      <c r="FIX2" s="182"/>
      <c r="FIY2" s="182"/>
      <c r="FIZ2" s="182"/>
      <c r="FJA2" s="182"/>
      <c r="FJB2" s="182"/>
      <c r="FJC2" s="182"/>
      <c r="FJD2" s="182"/>
      <c r="FJE2" s="182"/>
      <c r="FJF2" s="182"/>
      <c r="FJG2" s="182"/>
      <c r="FJH2" s="182"/>
      <c r="FJI2" s="182"/>
      <c r="FJJ2" s="182"/>
      <c r="FJK2" s="182"/>
      <c r="FJL2" s="182"/>
      <c r="FJM2" s="182"/>
      <c r="FJN2" s="182"/>
      <c r="FJO2" s="182"/>
      <c r="FJP2" s="182"/>
      <c r="FJQ2" s="182"/>
      <c r="FJR2" s="182"/>
      <c r="FJS2" s="182"/>
      <c r="FJT2" s="182"/>
      <c r="FJU2" s="182"/>
      <c r="FJV2" s="182"/>
      <c r="FJW2" s="182"/>
      <c r="FJX2" s="182"/>
      <c r="FJY2" s="182"/>
      <c r="FJZ2" s="182"/>
      <c r="FKA2" s="182"/>
      <c r="FKB2" s="182"/>
      <c r="FKC2" s="182"/>
      <c r="FKD2" s="182"/>
      <c r="FKE2" s="182"/>
      <c r="FKF2" s="182"/>
      <c r="FKG2" s="182"/>
      <c r="FKH2" s="182"/>
      <c r="FKI2" s="182"/>
      <c r="FKJ2" s="182"/>
      <c r="FKK2" s="182"/>
      <c r="FKL2" s="182"/>
      <c r="FKM2" s="182"/>
      <c r="FKN2" s="182"/>
      <c r="FKO2" s="182"/>
      <c r="FKP2" s="182"/>
      <c r="FKQ2" s="182"/>
      <c r="FKR2" s="182"/>
      <c r="FKS2" s="182"/>
      <c r="FKT2" s="182"/>
      <c r="FKU2" s="182"/>
      <c r="FKV2" s="182"/>
      <c r="FKW2" s="182"/>
      <c r="FKX2" s="182"/>
      <c r="FKY2" s="182"/>
      <c r="FKZ2" s="182"/>
      <c r="FLA2" s="182"/>
      <c r="FLB2" s="182"/>
      <c r="FLC2" s="182"/>
      <c r="FLD2" s="182"/>
      <c r="FLE2" s="182"/>
      <c r="FLF2" s="182"/>
      <c r="FLG2" s="182"/>
      <c r="FLH2" s="182"/>
      <c r="FLI2" s="182"/>
      <c r="FLJ2" s="182"/>
      <c r="FLK2" s="182"/>
      <c r="FLL2" s="182"/>
      <c r="FLM2" s="182"/>
      <c r="FLN2" s="182"/>
      <c r="FLO2" s="182"/>
      <c r="FLP2" s="182"/>
      <c r="FLQ2" s="182"/>
      <c r="FLR2" s="182"/>
      <c r="FLS2" s="182"/>
      <c r="FLT2" s="182"/>
      <c r="FLU2" s="182"/>
      <c r="FLV2" s="182"/>
      <c r="FLW2" s="182"/>
      <c r="FLX2" s="182"/>
      <c r="FLY2" s="182"/>
      <c r="FLZ2" s="182"/>
      <c r="FMA2" s="182"/>
      <c r="FMB2" s="182"/>
      <c r="FMC2" s="182"/>
      <c r="FMD2" s="182"/>
      <c r="FME2" s="182"/>
      <c r="FMF2" s="182"/>
      <c r="FMG2" s="182"/>
      <c r="FMH2" s="182"/>
      <c r="FMI2" s="182"/>
      <c r="FMJ2" s="182"/>
      <c r="FMK2" s="182"/>
      <c r="FML2" s="182"/>
      <c r="FMM2" s="182"/>
      <c r="FMN2" s="182"/>
      <c r="FMO2" s="182"/>
      <c r="FMP2" s="182"/>
      <c r="FMQ2" s="182"/>
      <c r="FMR2" s="182"/>
      <c r="FMS2" s="182"/>
      <c r="FMT2" s="182"/>
      <c r="FMU2" s="182"/>
      <c r="FMV2" s="182"/>
      <c r="FMW2" s="182"/>
      <c r="FMX2" s="182"/>
      <c r="FMY2" s="182"/>
      <c r="FMZ2" s="182"/>
      <c r="FNA2" s="182"/>
      <c r="FNB2" s="182"/>
      <c r="FNC2" s="182"/>
      <c r="FND2" s="182"/>
      <c r="FNE2" s="182"/>
      <c r="FNF2" s="182"/>
      <c r="FNG2" s="182"/>
      <c r="FNH2" s="182"/>
      <c r="FNI2" s="182"/>
      <c r="FNJ2" s="182"/>
      <c r="FNK2" s="182"/>
      <c r="FNL2" s="182"/>
      <c r="FNM2" s="182"/>
      <c r="FNN2" s="182"/>
      <c r="FNO2" s="182"/>
      <c r="FNP2" s="182"/>
      <c r="FNQ2" s="182"/>
      <c r="FNR2" s="182"/>
      <c r="FNS2" s="182"/>
      <c r="FNT2" s="182"/>
      <c r="FNU2" s="182"/>
      <c r="FNV2" s="182"/>
      <c r="FNW2" s="182"/>
      <c r="FNX2" s="182"/>
      <c r="FNY2" s="182"/>
      <c r="FNZ2" s="182"/>
      <c r="FOA2" s="182"/>
      <c r="FOB2" s="182"/>
      <c r="FOC2" s="182"/>
      <c r="FOD2" s="182"/>
      <c r="FOE2" s="182"/>
      <c r="FOF2" s="182"/>
      <c r="FOG2" s="182"/>
      <c r="FOH2" s="182"/>
      <c r="FOI2" s="182"/>
      <c r="FOJ2" s="182"/>
      <c r="FOK2" s="182"/>
      <c r="FOL2" s="182"/>
      <c r="FOM2" s="182"/>
      <c r="FON2" s="182"/>
      <c r="FOO2" s="182"/>
      <c r="FOP2" s="182"/>
      <c r="FOQ2" s="182"/>
      <c r="FOR2" s="182"/>
      <c r="FOS2" s="182"/>
      <c r="FOT2" s="182"/>
      <c r="FOU2" s="182"/>
      <c r="FOV2" s="182"/>
      <c r="FOW2" s="182"/>
      <c r="FOX2" s="182"/>
      <c r="FOY2" s="182"/>
      <c r="FOZ2" s="182"/>
      <c r="FPA2" s="182"/>
      <c r="FPB2" s="182"/>
      <c r="FPC2" s="182"/>
      <c r="FPD2" s="182"/>
      <c r="FPE2" s="182"/>
      <c r="FPF2" s="182"/>
      <c r="FPG2" s="182"/>
      <c r="FPH2" s="182"/>
      <c r="FPI2" s="182"/>
      <c r="FPJ2" s="182"/>
      <c r="FPK2" s="182"/>
      <c r="FPL2" s="182"/>
      <c r="FPM2" s="182"/>
      <c r="FPN2" s="182"/>
      <c r="FPO2" s="182"/>
      <c r="FPP2" s="182"/>
      <c r="FPQ2" s="182"/>
      <c r="FPR2" s="182"/>
      <c r="FPS2" s="182"/>
      <c r="FPT2" s="182"/>
      <c r="FPU2" s="182"/>
      <c r="FPV2" s="182"/>
      <c r="FPW2" s="182"/>
      <c r="FPX2" s="182"/>
      <c r="FPY2" s="182"/>
      <c r="FPZ2" s="182"/>
      <c r="FQA2" s="182"/>
      <c r="FQB2" s="182"/>
      <c r="FQC2" s="182"/>
      <c r="FQD2" s="182"/>
      <c r="FQE2" s="182"/>
      <c r="FQF2" s="182"/>
      <c r="FQG2" s="182"/>
      <c r="FQH2" s="182"/>
      <c r="FQI2" s="182"/>
      <c r="FQJ2" s="182"/>
      <c r="FQK2" s="182"/>
      <c r="FQL2" s="182"/>
      <c r="FQM2" s="182"/>
      <c r="FQN2" s="182"/>
      <c r="FQO2" s="182"/>
      <c r="FQP2" s="182"/>
      <c r="FQQ2" s="182"/>
      <c r="FQR2" s="182"/>
      <c r="FQS2" s="182"/>
      <c r="FQT2" s="182"/>
      <c r="FQU2" s="182"/>
      <c r="FQV2" s="182"/>
      <c r="FQW2" s="182"/>
      <c r="FQX2" s="182"/>
      <c r="FQY2" s="182"/>
      <c r="FQZ2" s="182"/>
      <c r="FRA2" s="182"/>
      <c r="FRB2" s="182"/>
      <c r="FRC2" s="182"/>
      <c r="FRD2" s="182"/>
      <c r="FRE2" s="182"/>
      <c r="FRF2" s="182"/>
      <c r="FRG2" s="182"/>
      <c r="FRH2" s="182"/>
      <c r="FRI2" s="182"/>
      <c r="FRJ2" s="182"/>
      <c r="FRK2" s="182"/>
      <c r="FRL2" s="182"/>
      <c r="FRM2" s="182"/>
      <c r="FRN2" s="182"/>
      <c r="FRO2" s="182"/>
      <c r="FRP2" s="182"/>
      <c r="FRQ2" s="182"/>
      <c r="FRR2" s="182"/>
      <c r="FRS2" s="182"/>
      <c r="FRT2" s="182"/>
      <c r="FRU2" s="182"/>
      <c r="FRV2" s="182"/>
      <c r="FRW2" s="182"/>
      <c r="FRX2" s="182"/>
      <c r="FRY2" s="182"/>
      <c r="FRZ2" s="182"/>
      <c r="FSA2" s="182"/>
      <c r="FSB2" s="182"/>
      <c r="FSC2" s="182"/>
      <c r="FSD2" s="182"/>
      <c r="FSE2" s="182"/>
      <c r="FSF2" s="182"/>
      <c r="FSG2" s="182"/>
      <c r="FSH2" s="182"/>
      <c r="FSI2" s="182"/>
      <c r="FSJ2" s="182"/>
      <c r="FSK2" s="182"/>
      <c r="FSL2" s="182"/>
      <c r="FSM2" s="182"/>
      <c r="FSN2" s="182"/>
      <c r="FSO2" s="182"/>
      <c r="FSP2" s="182"/>
      <c r="FSQ2" s="182"/>
      <c r="FSR2" s="182"/>
      <c r="FSS2" s="182"/>
      <c r="FST2" s="182"/>
      <c r="FSU2" s="182"/>
      <c r="FSV2" s="182"/>
      <c r="FSW2" s="182"/>
      <c r="FSX2" s="182"/>
      <c r="FSY2" s="182"/>
      <c r="FSZ2" s="182"/>
      <c r="FTA2" s="182"/>
      <c r="FTB2" s="182"/>
      <c r="FTC2" s="182"/>
      <c r="FTD2" s="182"/>
      <c r="FTE2" s="182"/>
      <c r="FTF2" s="182"/>
      <c r="FTG2" s="182"/>
      <c r="FTH2" s="182"/>
      <c r="FTI2" s="182"/>
      <c r="FTJ2" s="182"/>
      <c r="FTK2" s="182"/>
      <c r="FTL2" s="182"/>
      <c r="FTM2" s="182"/>
      <c r="FTN2" s="182"/>
      <c r="FTO2" s="182"/>
      <c r="FTP2" s="182"/>
      <c r="FTQ2" s="182"/>
      <c r="FTR2" s="182"/>
      <c r="FTS2" s="182"/>
      <c r="FTT2" s="182"/>
      <c r="FTU2" s="182"/>
      <c r="FTV2" s="182"/>
      <c r="FTW2" s="182"/>
      <c r="FTX2" s="182"/>
      <c r="FTY2" s="182"/>
      <c r="FTZ2" s="182"/>
      <c r="FUA2" s="182"/>
      <c r="FUB2" s="182"/>
      <c r="FUC2" s="182"/>
      <c r="FUD2" s="182"/>
      <c r="FUE2" s="182"/>
      <c r="FUF2" s="182"/>
      <c r="FUG2" s="182"/>
      <c r="FUH2" s="182"/>
      <c r="FUI2" s="182"/>
      <c r="FUJ2" s="182"/>
      <c r="FUK2" s="182"/>
      <c r="FUL2" s="182"/>
      <c r="FUM2" s="182"/>
      <c r="FUN2" s="182"/>
      <c r="FUO2" s="182"/>
      <c r="FUP2" s="182"/>
      <c r="FUQ2" s="182"/>
      <c r="FUR2" s="182"/>
      <c r="FUS2" s="182"/>
      <c r="FUT2" s="182"/>
      <c r="FUU2" s="182"/>
      <c r="FUV2" s="182"/>
      <c r="FUW2" s="182"/>
      <c r="FUX2" s="182"/>
      <c r="FUY2" s="182"/>
      <c r="FUZ2" s="182"/>
      <c r="FVA2" s="182"/>
      <c r="FVB2" s="182"/>
      <c r="FVC2" s="182"/>
      <c r="FVD2" s="182"/>
      <c r="FVE2" s="182"/>
      <c r="FVF2" s="182"/>
      <c r="FVG2" s="182"/>
      <c r="FVH2" s="182"/>
      <c r="FVI2" s="182"/>
      <c r="FVJ2" s="182"/>
      <c r="FVK2" s="182"/>
      <c r="FVL2" s="182"/>
      <c r="FVM2" s="182"/>
      <c r="FVN2" s="182"/>
      <c r="FVO2" s="182"/>
      <c r="FVP2" s="182"/>
      <c r="FVQ2" s="182"/>
      <c r="FVR2" s="182"/>
      <c r="FVS2" s="182"/>
      <c r="FVT2" s="182"/>
      <c r="FVU2" s="182"/>
      <c r="FVV2" s="182"/>
      <c r="FVW2" s="182"/>
      <c r="FVX2" s="182"/>
      <c r="FVY2" s="182"/>
      <c r="FVZ2" s="182"/>
      <c r="FWA2" s="182"/>
      <c r="FWB2" s="182"/>
      <c r="FWC2" s="182"/>
      <c r="FWD2" s="182"/>
      <c r="FWE2" s="182"/>
      <c r="FWF2" s="182"/>
      <c r="FWG2" s="182"/>
      <c r="FWH2" s="182"/>
      <c r="FWI2" s="182"/>
      <c r="FWJ2" s="182"/>
      <c r="FWK2" s="182"/>
      <c r="FWL2" s="182"/>
      <c r="FWM2" s="182"/>
      <c r="FWN2" s="182"/>
      <c r="FWO2" s="182"/>
      <c r="FWP2" s="182"/>
      <c r="FWQ2" s="182"/>
      <c r="FWR2" s="182"/>
      <c r="FWS2" s="182"/>
      <c r="FWT2" s="182"/>
      <c r="FWU2" s="182"/>
      <c r="FWV2" s="182"/>
      <c r="FWW2" s="182"/>
      <c r="FWX2" s="182"/>
      <c r="FWY2" s="182"/>
      <c r="FWZ2" s="182"/>
      <c r="FXA2" s="182"/>
      <c r="FXB2" s="182"/>
      <c r="FXC2" s="182"/>
      <c r="FXD2" s="182"/>
      <c r="FXE2" s="182"/>
      <c r="FXF2" s="182"/>
      <c r="FXG2" s="182"/>
      <c r="FXH2" s="182"/>
      <c r="FXI2" s="182"/>
      <c r="FXJ2" s="182"/>
      <c r="FXK2" s="182"/>
      <c r="FXL2" s="182"/>
      <c r="FXM2" s="182"/>
      <c r="FXN2" s="182"/>
      <c r="FXO2" s="182"/>
      <c r="FXP2" s="182"/>
      <c r="FXQ2" s="182"/>
      <c r="FXR2" s="182"/>
      <c r="FXS2" s="182"/>
      <c r="FXT2" s="182"/>
      <c r="FXU2" s="182"/>
      <c r="FXV2" s="182"/>
      <c r="FXW2" s="182"/>
      <c r="FXX2" s="182"/>
      <c r="FXY2" s="182"/>
      <c r="FXZ2" s="182"/>
      <c r="FYA2" s="182"/>
      <c r="FYB2" s="182"/>
      <c r="FYC2" s="182"/>
      <c r="FYD2" s="182"/>
      <c r="FYE2" s="182"/>
      <c r="FYF2" s="182"/>
      <c r="FYG2" s="182"/>
      <c r="FYH2" s="182"/>
      <c r="FYI2" s="182"/>
      <c r="FYJ2" s="182"/>
      <c r="FYK2" s="182"/>
      <c r="FYL2" s="182"/>
      <c r="FYM2" s="182"/>
      <c r="FYN2" s="182"/>
      <c r="FYO2" s="182"/>
      <c r="FYP2" s="182"/>
      <c r="FYQ2" s="182"/>
      <c r="FYR2" s="182"/>
      <c r="FYS2" s="182"/>
      <c r="FYT2" s="182"/>
      <c r="FYU2" s="182"/>
      <c r="FYV2" s="182"/>
      <c r="FYW2" s="182"/>
      <c r="FYX2" s="182"/>
      <c r="FYY2" s="182"/>
      <c r="FYZ2" s="182"/>
      <c r="FZA2" s="182"/>
      <c r="FZB2" s="182"/>
      <c r="FZC2" s="182"/>
      <c r="FZD2" s="182"/>
      <c r="FZE2" s="182"/>
      <c r="FZF2" s="182"/>
      <c r="FZG2" s="182"/>
      <c r="FZH2" s="182"/>
      <c r="FZI2" s="182"/>
      <c r="FZJ2" s="182"/>
      <c r="FZK2" s="182"/>
      <c r="FZL2" s="182"/>
      <c r="FZM2" s="182"/>
      <c r="FZN2" s="182"/>
      <c r="FZO2" s="182"/>
      <c r="FZP2" s="182"/>
      <c r="FZQ2" s="182"/>
      <c r="FZR2" s="182"/>
      <c r="FZS2" s="182"/>
      <c r="FZT2" s="182"/>
      <c r="FZU2" s="182"/>
      <c r="FZV2" s="182"/>
      <c r="FZW2" s="182"/>
      <c r="FZX2" s="182"/>
      <c r="FZY2" s="182"/>
      <c r="FZZ2" s="182"/>
      <c r="GAA2" s="182"/>
      <c r="GAB2" s="182"/>
      <c r="GAC2" s="182"/>
      <c r="GAD2" s="182"/>
      <c r="GAE2" s="182"/>
      <c r="GAF2" s="182"/>
      <c r="GAG2" s="182"/>
      <c r="GAH2" s="182"/>
      <c r="GAI2" s="182"/>
      <c r="GAJ2" s="182"/>
      <c r="GAK2" s="182"/>
      <c r="GAL2" s="182"/>
      <c r="GAM2" s="182"/>
      <c r="GAN2" s="182"/>
      <c r="GAO2" s="182"/>
      <c r="GAP2" s="182"/>
      <c r="GAQ2" s="182"/>
      <c r="GAR2" s="182"/>
      <c r="GAS2" s="182"/>
      <c r="GAT2" s="182"/>
      <c r="GAU2" s="182"/>
      <c r="GAV2" s="182"/>
      <c r="GAW2" s="182"/>
      <c r="GAX2" s="182"/>
      <c r="GAY2" s="182"/>
      <c r="GAZ2" s="182"/>
      <c r="GBA2" s="182"/>
      <c r="GBB2" s="182"/>
      <c r="GBC2" s="182"/>
      <c r="GBD2" s="182"/>
      <c r="GBE2" s="182"/>
      <c r="GBF2" s="182"/>
      <c r="GBG2" s="182"/>
      <c r="GBH2" s="182"/>
      <c r="GBI2" s="182"/>
      <c r="GBJ2" s="182"/>
      <c r="GBK2" s="182"/>
      <c r="GBL2" s="182"/>
      <c r="GBM2" s="182"/>
      <c r="GBN2" s="182"/>
      <c r="GBO2" s="182"/>
      <c r="GBP2" s="182"/>
      <c r="GBQ2" s="182"/>
      <c r="GBR2" s="182"/>
      <c r="GBS2" s="182"/>
      <c r="GBT2" s="182"/>
      <c r="GBU2" s="182"/>
      <c r="GBV2" s="182"/>
      <c r="GBW2" s="182"/>
      <c r="GBX2" s="182"/>
      <c r="GBY2" s="182"/>
      <c r="GBZ2" s="182"/>
      <c r="GCA2" s="182"/>
      <c r="GCB2" s="182"/>
      <c r="GCC2" s="182"/>
      <c r="GCD2" s="182"/>
      <c r="GCE2" s="182"/>
      <c r="GCF2" s="182"/>
      <c r="GCG2" s="182"/>
      <c r="GCH2" s="182"/>
      <c r="GCI2" s="182"/>
      <c r="GCJ2" s="182"/>
      <c r="GCK2" s="182"/>
      <c r="GCL2" s="182"/>
      <c r="GCM2" s="182"/>
      <c r="GCN2" s="182"/>
      <c r="GCO2" s="182"/>
      <c r="GCP2" s="182"/>
      <c r="GCQ2" s="182"/>
      <c r="GCR2" s="182"/>
      <c r="GCS2" s="182"/>
      <c r="GCT2" s="182"/>
      <c r="GCU2" s="182"/>
      <c r="GCV2" s="182"/>
      <c r="GCW2" s="182"/>
      <c r="GCX2" s="182"/>
      <c r="GCY2" s="182"/>
      <c r="GCZ2" s="182"/>
      <c r="GDA2" s="182"/>
      <c r="GDB2" s="182"/>
      <c r="GDC2" s="182"/>
      <c r="GDD2" s="182"/>
      <c r="GDE2" s="182"/>
      <c r="GDF2" s="182"/>
      <c r="GDG2" s="182"/>
      <c r="GDH2" s="182"/>
      <c r="GDI2" s="182"/>
      <c r="GDJ2" s="182"/>
      <c r="GDK2" s="182"/>
      <c r="GDL2" s="182"/>
      <c r="GDM2" s="182"/>
      <c r="GDN2" s="182"/>
      <c r="GDO2" s="182"/>
      <c r="GDP2" s="182"/>
      <c r="GDQ2" s="182"/>
      <c r="GDR2" s="182"/>
      <c r="GDS2" s="182"/>
      <c r="GDT2" s="182"/>
      <c r="GDU2" s="182"/>
      <c r="GDV2" s="182"/>
      <c r="GDW2" s="182"/>
      <c r="GDX2" s="182"/>
      <c r="GDY2" s="182"/>
      <c r="GDZ2" s="182"/>
      <c r="GEA2" s="182"/>
      <c r="GEB2" s="182"/>
      <c r="GEC2" s="182"/>
      <c r="GED2" s="182"/>
      <c r="GEE2" s="182"/>
      <c r="GEF2" s="182"/>
      <c r="GEG2" s="182"/>
      <c r="GEH2" s="182"/>
      <c r="GEI2" s="182"/>
      <c r="GEJ2" s="182"/>
      <c r="GEK2" s="182"/>
      <c r="GEL2" s="182"/>
      <c r="GEM2" s="182"/>
      <c r="GEN2" s="182"/>
      <c r="GEO2" s="182"/>
      <c r="GEP2" s="182"/>
      <c r="GEQ2" s="182"/>
      <c r="GER2" s="182"/>
      <c r="GES2" s="182"/>
      <c r="GET2" s="182"/>
      <c r="GEU2" s="182"/>
      <c r="GEV2" s="182"/>
      <c r="GEW2" s="182"/>
      <c r="GEX2" s="182"/>
      <c r="GEY2" s="182"/>
      <c r="GEZ2" s="182"/>
      <c r="GFA2" s="182"/>
      <c r="GFB2" s="182"/>
      <c r="GFC2" s="182"/>
      <c r="GFD2" s="182"/>
      <c r="GFE2" s="182"/>
      <c r="GFF2" s="182"/>
      <c r="GFG2" s="182"/>
      <c r="GFH2" s="182"/>
      <c r="GFI2" s="182"/>
      <c r="GFJ2" s="182"/>
      <c r="GFK2" s="182"/>
      <c r="GFL2" s="182"/>
      <c r="GFM2" s="182"/>
      <c r="GFN2" s="182"/>
      <c r="GFO2" s="182"/>
      <c r="GFP2" s="182"/>
      <c r="GFQ2" s="182"/>
      <c r="GFR2" s="182"/>
      <c r="GFS2" s="182"/>
      <c r="GFT2" s="182"/>
      <c r="GFU2" s="182"/>
      <c r="GFV2" s="182"/>
      <c r="GFW2" s="182"/>
      <c r="GFX2" s="182"/>
      <c r="GFY2" s="182"/>
      <c r="GFZ2" s="182"/>
      <c r="GGA2" s="182"/>
      <c r="GGB2" s="182"/>
      <c r="GGC2" s="182"/>
      <c r="GGD2" s="182"/>
      <c r="GGE2" s="182"/>
      <c r="GGF2" s="182"/>
      <c r="GGG2" s="182"/>
      <c r="GGH2" s="182"/>
      <c r="GGI2" s="182"/>
      <c r="GGJ2" s="182"/>
      <c r="GGK2" s="182"/>
      <c r="GGL2" s="182"/>
      <c r="GGM2" s="182"/>
      <c r="GGN2" s="182"/>
      <c r="GGO2" s="182"/>
      <c r="GGP2" s="182"/>
      <c r="GGQ2" s="182"/>
      <c r="GGR2" s="182"/>
      <c r="GGS2" s="182"/>
      <c r="GGT2" s="182"/>
      <c r="GGU2" s="182"/>
      <c r="GGV2" s="182"/>
      <c r="GGW2" s="182"/>
      <c r="GGX2" s="182"/>
      <c r="GGY2" s="182"/>
      <c r="GGZ2" s="182"/>
      <c r="GHA2" s="182"/>
      <c r="GHB2" s="182"/>
      <c r="GHC2" s="182"/>
      <c r="GHD2" s="182"/>
      <c r="GHE2" s="182"/>
      <c r="GHF2" s="182"/>
      <c r="GHG2" s="182"/>
      <c r="GHH2" s="182"/>
      <c r="GHI2" s="182"/>
      <c r="GHJ2" s="182"/>
      <c r="GHK2" s="182"/>
      <c r="GHL2" s="182"/>
      <c r="GHM2" s="182"/>
      <c r="GHN2" s="182"/>
      <c r="GHO2" s="182"/>
      <c r="GHP2" s="182"/>
      <c r="GHQ2" s="182"/>
      <c r="GHR2" s="182"/>
      <c r="GHS2" s="182"/>
      <c r="GHT2" s="182"/>
      <c r="GHU2" s="182"/>
      <c r="GHV2" s="182"/>
      <c r="GHW2" s="182"/>
      <c r="GHX2" s="182"/>
      <c r="GHY2" s="182"/>
      <c r="GHZ2" s="182"/>
      <c r="GIA2" s="182"/>
      <c r="GIB2" s="182"/>
      <c r="GIC2" s="182"/>
      <c r="GID2" s="182"/>
      <c r="GIE2" s="182"/>
      <c r="GIF2" s="182"/>
      <c r="GIG2" s="182"/>
      <c r="GIH2" s="182"/>
      <c r="GII2" s="182"/>
      <c r="GIJ2" s="182"/>
      <c r="GIK2" s="182"/>
      <c r="GIL2" s="182"/>
      <c r="GIM2" s="182"/>
      <c r="GIN2" s="182"/>
      <c r="GIO2" s="182"/>
      <c r="GIP2" s="182"/>
      <c r="GIQ2" s="182"/>
      <c r="GIR2" s="182"/>
      <c r="GIS2" s="182"/>
      <c r="GIT2" s="182"/>
      <c r="GIU2" s="182"/>
      <c r="GIV2" s="182"/>
      <c r="GIW2" s="182"/>
      <c r="GIX2" s="182"/>
      <c r="GIY2" s="182"/>
      <c r="GIZ2" s="182"/>
      <c r="GJA2" s="182"/>
      <c r="GJB2" s="182"/>
      <c r="GJC2" s="182"/>
      <c r="GJD2" s="182"/>
      <c r="GJE2" s="182"/>
      <c r="GJF2" s="182"/>
      <c r="GJG2" s="182"/>
      <c r="GJH2" s="182"/>
      <c r="GJI2" s="182"/>
      <c r="GJJ2" s="182"/>
      <c r="GJK2" s="182"/>
      <c r="GJL2" s="182"/>
      <c r="GJM2" s="182"/>
      <c r="GJN2" s="182"/>
      <c r="GJO2" s="182"/>
      <c r="GJP2" s="182"/>
      <c r="GJQ2" s="182"/>
      <c r="GJR2" s="182"/>
      <c r="GJS2" s="182"/>
      <c r="GJT2" s="182"/>
      <c r="GJU2" s="182"/>
      <c r="GJV2" s="182"/>
      <c r="GJW2" s="182"/>
      <c r="GJX2" s="182"/>
      <c r="GJY2" s="182"/>
      <c r="GJZ2" s="182"/>
      <c r="GKA2" s="182"/>
      <c r="GKB2" s="182"/>
      <c r="GKC2" s="182"/>
      <c r="GKD2" s="182"/>
      <c r="GKE2" s="182"/>
      <c r="GKF2" s="182"/>
      <c r="GKG2" s="182"/>
      <c r="GKH2" s="182"/>
      <c r="GKI2" s="182"/>
      <c r="GKJ2" s="182"/>
      <c r="GKK2" s="182"/>
      <c r="GKL2" s="182"/>
      <c r="GKM2" s="182"/>
      <c r="GKN2" s="182"/>
      <c r="GKO2" s="182"/>
      <c r="GKP2" s="182"/>
      <c r="GKQ2" s="182"/>
      <c r="GKR2" s="182"/>
      <c r="GKS2" s="182"/>
      <c r="GKT2" s="182"/>
      <c r="GKU2" s="182"/>
      <c r="GKV2" s="182"/>
      <c r="GKW2" s="182"/>
      <c r="GKX2" s="182"/>
      <c r="GKY2" s="182"/>
      <c r="GKZ2" s="182"/>
      <c r="GLA2" s="182"/>
      <c r="GLB2" s="182"/>
      <c r="GLC2" s="182"/>
      <c r="GLD2" s="182"/>
      <c r="GLE2" s="182"/>
      <c r="GLF2" s="182"/>
      <c r="GLG2" s="182"/>
      <c r="GLH2" s="182"/>
      <c r="GLI2" s="182"/>
      <c r="GLJ2" s="182"/>
      <c r="GLK2" s="182"/>
      <c r="GLL2" s="182"/>
      <c r="GLM2" s="182"/>
      <c r="GLN2" s="182"/>
      <c r="GLO2" s="182"/>
      <c r="GLP2" s="182"/>
      <c r="GLQ2" s="182"/>
      <c r="GLR2" s="182"/>
      <c r="GLS2" s="182"/>
      <c r="GLT2" s="182"/>
      <c r="GLU2" s="182"/>
      <c r="GLV2" s="182"/>
      <c r="GLW2" s="182"/>
      <c r="GLX2" s="182"/>
      <c r="GLY2" s="182"/>
      <c r="GLZ2" s="182"/>
      <c r="GMA2" s="182"/>
      <c r="GMB2" s="182"/>
      <c r="GMC2" s="182"/>
      <c r="GMD2" s="182"/>
      <c r="GME2" s="182"/>
      <c r="GMF2" s="182"/>
      <c r="GMG2" s="182"/>
      <c r="GMH2" s="182"/>
      <c r="GMI2" s="182"/>
      <c r="GMJ2" s="182"/>
      <c r="GMK2" s="182"/>
      <c r="GML2" s="182"/>
      <c r="GMM2" s="182"/>
      <c r="GMN2" s="182"/>
      <c r="GMO2" s="182"/>
      <c r="GMP2" s="182"/>
      <c r="GMQ2" s="182"/>
      <c r="GMR2" s="182"/>
      <c r="GMS2" s="182"/>
      <c r="GMT2" s="182"/>
      <c r="GMU2" s="182"/>
      <c r="GMV2" s="182"/>
      <c r="GMW2" s="182"/>
      <c r="GMX2" s="182"/>
      <c r="GMY2" s="182"/>
      <c r="GMZ2" s="182"/>
      <c r="GNA2" s="182"/>
      <c r="GNB2" s="182"/>
      <c r="GNC2" s="182"/>
      <c r="GND2" s="182"/>
      <c r="GNE2" s="182"/>
      <c r="GNF2" s="182"/>
      <c r="GNG2" s="182"/>
      <c r="GNH2" s="182"/>
      <c r="GNI2" s="182"/>
      <c r="GNJ2" s="182"/>
      <c r="GNK2" s="182"/>
      <c r="GNL2" s="182"/>
      <c r="GNM2" s="182"/>
      <c r="GNN2" s="182"/>
      <c r="GNO2" s="182"/>
      <c r="GNP2" s="182"/>
      <c r="GNQ2" s="182"/>
      <c r="GNR2" s="182"/>
      <c r="GNS2" s="182"/>
      <c r="GNT2" s="182"/>
      <c r="GNU2" s="182"/>
      <c r="GNV2" s="182"/>
      <c r="GNW2" s="182"/>
      <c r="GNX2" s="182"/>
      <c r="GNY2" s="182"/>
      <c r="GNZ2" s="182"/>
      <c r="GOA2" s="182"/>
      <c r="GOB2" s="182"/>
      <c r="GOC2" s="182"/>
      <c r="GOD2" s="182"/>
      <c r="GOE2" s="182"/>
      <c r="GOF2" s="182"/>
      <c r="GOG2" s="182"/>
      <c r="GOH2" s="182"/>
      <c r="GOI2" s="182"/>
      <c r="GOJ2" s="182"/>
      <c r="GOK2" s="182"/>
      <c r="GOL2" s="182"/>
      <c r="GOM2" s="182"/>
      <c r="GON2" s="182"/>
      <c r="GOO2" s="182"/>
      <c r="GOP2" s="182"/>
      <c r="GOQ2" s="182"/>
      <c r="GOR2" s="182"/>
      <c r="GOS2" s="182"/>
      <c r="GOT2" s="182"/>
      <c r="GOU2" s="182"/>
      <c r="GOV2" s="182"/>
      <c r="GOW2" s="182"/>
      <c r="GOX2" s="182"/>
      <c r="GOY2" s="182"/>
      <c r="GOZ2" s="182"/>
      <c r="GPA2" s="182"/>
      <c r="GPB2" s="182"/>
      <c r="GPC2" s="182"/>
      <c r="GPD2" s="182"/>
      <c r="GPE2" s="182"/>
      <c r="GPF2" s="182"/>
      <c r="GPG2" s="182"/>
      <c r="GPH2" s="182"/>
      <c r="GPI2" s="182"/>
      <c r="GPJ2" s="182"/>
      <c r="GPK2" s="182"/>
      <c r="GPL2" s="182"/>
      <c r="GPM2" s="182"/>
      <c r="GPN2" s="182"/>
      <c r="GPO2" s="182"/>
      <c r="GPP2" s="182"/>
      <c r="GPQ2" s="182"/>
      <c r="GPR2" s="182"/>
      <c r="GPS2" s="182"/>
      <c r="GPT2" s="182"/>
      <c r="GPU2" s="182"/>
      <c r="GPV2" s="182"/>
      <c r="GPW2" s="182"/>
      <c r="GPX2" s="182"/>
      <c r="GPY2" s="182"/>
      <c r="GPZ2" s="182"/>
      <c r="GQA2" s="182"/>
      <c r="GQB2" s="182"/>
      <c r="GQC2" s="182"/>
      <c r="GQD2" s="182"/>
      <c r="GQE2" s="182"/>
      <c r="GQF2" s="182"/>
      <c r="GQG2" s="182"/>
      <c r="GQH2" s="182"/>
      <c r="GQI2" s="182"/>
      <c r="GQJ2" s="182"/>
      <c r="GQK2" s="182"/>
      <c r="GQL2" s="182"/>
      <c r="GQM2" s="182"/>
      <c r="GQN2" s="182"/>
      <c r="GQO2" s="182"/>
      <c r="GQP2" s="182"/>
      <c r="GQQ2" s="182"/>
      <c r="GQR2" s="182"/>
      <c r="GQS2" s="182"/>
      <c r="GQT2" s="182"/>
      <c r="GQU2" s="182"/>
      <c r="GQV2" s="182"/>
      <c r="GQW2" s="182"/>
      <c r="GQX2" s="182"/>
      <c r="GQY2" s="182"/>
      <c r="GQZ2" s="182"/>
      <c r="GRA2" s="182"/>
      <c r="GRB2" s="182"/>
      <c r="GRC2" s="182"/>
      <c r="GRD2" s="182"/>
      <c r="GRE2" s="182"/>
      <c r="GRF2" s="182"/>
      <c r="GRG2" s="182"/>
      <c r="GRH2" s="182"/>
      <c r="GRI2" s="182"/>
      <c r="GRJ2" s="182"/>
      <c r="GRK2" s="182"/>
      <c r="GRL2" s="182"/>
      <c r="GRM2" s="182"/>
      <c r="GRN2" s="182"/>
      <c r="GRO2" s="182"/>
      <c r="GRP2" s="182"/>
      <c r="GRQ2" s="182"/>
      <c r="GRR2" s="182"/>
      <c r="GRS2" s="182"/>
      <c r="GRT2" s="182"/>
      <c r="GRU2" s="182"/>
      <c r="GRV2" s="182"/>
      <c r="GRW2" s="182"/>
      <c r="GRX2" s="182"/>
      <c r="GRY2" s="182"/>
      <c r="GRZ2" s="182"/>
      <c r="GSA2" s="182"/>
      <c r="GSB2" s="182"/>
      <c r="GSC2" s="182"/>
      <c r="GSD2" s="182"/>
      <c r="GSE2" s="182"/>
      <c r="GSF2" s="182"/>
      <c r="GSG2" s="182"/>
      <c r="GSH2" s="182"/>
      <c r="GSI2" s="182"/>
      <c r="GSJ2" s="182"/>
      <c r="GSK2" s="182"/>
      <c r="GSL2" s="182"/>
      <c r="GSM2" s="182"/>
      <c r="GSN2" s="182"/>
      <c r="GSO2" s="182"/>
      <c r="GSP2" s="182"/>
      <c r="GSQ2" s="182"/>
      <c r="GSR2" s="182"/>
      <c r="GSS2" s="182"/>
      <c r="GST2" s="182"/>
      <c r="GSU2" s="182"/>
      <c r="GSV2" s="182"/>
      <c r="GSW2" s="182"/>
      <c r="GSX2" s="182"/>
      <c r="GSY2" s="182"/>
      <c r="GSZ2" s="182"/>
      <c r="GTA2" s="182"/>
      <c r="GTB2" s="182"/>
      <c r="GTC2" s="182"/>
      <c r="GTD2" s="182"/>
      <c r="GTE2" s="182"/>
      <c r="GTF2" s="182"/>
      <c r="GTG2" s="182"/>
      <c r="GTH2" s="182"/>
      <c r="GTI2" s="182"/>
      <c r="GTJ2" s="182"/>
      <c r="GTK2" s="182"/>
      <c r="GTL2" s="182"/>
      <c r="GTM2" s="182"/>
      <c r="GTN2" s="182"/>
      <c r="GTO2" s="182"/>
      <c r="GTP2" s="182"/>
      <c r="GTQ2" s="182"/>
      <c r="GTR2" s="182"/>
      <c r="GTS2" s="182"/>
      <c r="GTT2" s="182"/>
      <c r="GTU2" s="182"/>
      <c r="GTV2" s="182"/>
      <c r="GTW2" s="182"/>
      <c r="GTX2" s="182"/>
      <c r="GTY2" s="182"/>
      <c r="GTZ2" s="182"/>
      <c r="GUA2" s="182"/>
      <c r="GUB2" s="182"/>
      <c r="GUC2" s="182"/>
      <c r="GUD2" s="182"/>
      <c r="GUE2" s="182"/>
      <c r="GUF2" s="182"/>
      <c r="GUG2" s="182"/>
      <c r="GUH2" s="182"/>
      <c r="GUI2" s="182"/>
      <c r="GUJ2" s="182"/>
      <c r="GUK2" s="182"/>
      <c r="GUL2" s="182"/>
      <c r="GUM2" s="182"/>
      <c r="GUN2" s="182"/>
      <c r="GUO2" s="182"/>
      <c r="GUP2" s="182"/>
      <c r="GUQ2" s="182"/>
      <c r="GUR2" s="182"/>
      <c r="GUS2" s="182"/>
      <c r="GUT2" s="182"/>
      <c r="GUU2" s="182"/>
      <c r="GUV2" s="182"/>
      <c r="GUW2" s="182"/>
      <c r="GUX2" s="182"/>
      <c r="GUY2" s="182"/>
      <c r="GUZ2" s="182"/>
      <c r="GVA2" s="182"/>
      <c r="GVB2" s="182"/>
      <c r="GVC2" s="182"/>
      <c r="GVD2" s="182"/>
      <c r="GVE2" s="182"/>
      <c r="GVF2" s="182"/>
      <c r="GVG2" s="182"/>
      <c r="GVH2" s="182"/>
      <c r="GVI2" s="182"/>
      <c r="GVJ2" s="182"/>
      <c r="GVK2" s="182"/>
      <c r="GVL2" s="182"/>
      <c r="GVM2" s="182"/>
      <c r="GVN2" s="182"/>
      <c r="GVO2" s="182"/>
      <c r="GVP2" s="182"/>
      <c r="GVQ2" s="182"/>
      <c r="GVR2" s="182"/>
      <c r="GVS2" s="182"/>
      <c r="GVT2" s="182"/>
      <c r="GVU2" s="182"/>
      <c r="GVV2" s="182"/>
      <c r="GVW2" s="182"/>
      <c r="GVX2" s="182"/>
      <c r="GVY2" s="182"/>
      <c r="GVZ2" s="182"/>
      <c r="GWA2" s="182"/>
      <c r="GWB2" s="182"/>
      <c r="GWC2" s="182"/>
      <c r="GWD2" s="182"/>
      <c r="GWE2" s="182"/>
      <c r="GWF2" s="182"/>
      <c r="GWG2" s="182"/>
      <c r="GWH2" s="182"/>
      <c r="GWI2" s="182"/>
      <c r="GWJ2" s="182"/>
      <c r="GWK2" s="182"/>
      <c r="GWL2" s="182"/>
      <c r="GWM2" s="182"/>
      <c r="GWN2" s="182"/>
      <c r="GWO2" s="182"/>
      <c r="GWP2" s="182"/>
      <c r="GWQ2" s="182"/>
      <c r="GWR2" s="182"/>
      <c r="GWS2" s="182"/>
      <c r="GWT2" s="182"/>
      <c r="GWU2" s="182"/>
      <c r="GWV2" s="182"/>
      <c r="GWW2" s="182"/>
      <c r="GWX2" s="182"/>
      <c r="GWY2" s="182"/>
      <c r="GWZ2" s="182"/>
      <c r="GXA2" s="182"/>
      <c r="GXB2" s="182"/>
      <c r="GXC2" s="182"/>
      <c r="GXD2" s="182"/>
      <c r="GXE2" s="182"/>
      <c r="GXF2" s="182"/>
      <c r="GXG2" s="182"/>
      <c r="GXH2" s="182"/>
      <c r="GXI2" s="182"/>
      <c r="GXJ2" s="182"/>
      <c r="GXK2" s="182"/>
      <c r="GXL2" s="182"/>
      <c r="GXM2" s="182"/>
      <c r="GXN2" s="182"/>
      <c r="GXO2" s="182"/>
      <c r="GXP2" s="182"/>
      <c r="GXQ2" s="182"/>
      <c r="GXR2" s="182"/>
      <c r="GXS2" s="182"/>
      <c r="GXT2" s="182"/>
      <c r="GXU2" s="182"/>
      <c r="GXV2" s="182"/>
      <c r="GXW2" s="182"/>
      <c r="GXX2" s="182"/>
      <c r="GXY2" s="182"/>
      <c r="GXZ2" s="182"/>
      <c r="GYA2" s="182"/>
      <c r="GYB2" s="182"/>
      <c r="GYC2" s="182"/>
      <c r="GYD2" s="182"/>
      <c r="GYE2" s="182"/>
      <c r="GYF2" s="182"/>
      <c r="GYG2" s="182"/>
      <c r="GYH2" s="182"/>
      <c r="GYI2" s="182"/>
      <c r="GYJ2" s="182"/>
      <c r="GYK2" s="182"/>
      <c r="GYL2" s="182"/>
      <c r="GYM2" s="182"/>
      <c r="GYN2" s="182"/>
      <c r="GYO2" s="182"/>
      <c r="GYP2" s="182"/>
      <c r="GYQ2" s="182"/>
      <c r="GYR2" s="182"/>
      <c r="GYS2" s="182"/>
      <c r="GYT2" s="182"/>
      <c r="GYU2" s="182"/>
      <c r="GYV2" s="182"/>
      <c r="GYW2" s="182"/>
      <c r="GYX2" s="182"/>
      <c r="GYY2" s="182"/>
      <c r="GYZ2" s="182"/>
      <c r="GZA2" s="182"/>
      <c r="GZB2" s="182"/>
      <c r="GZC2" s="182"/>
      <c r="GZD2" s="182"/>
      <c r="GZE2" s="182"/>
      <c r="GZF2" s="182"/>
      <c r="GZG2" s="182"/>
      <c r="GZH2" s="182"/>
      <c r="GZI2" s="182"/>
      <c r="GZJ2" s="182"/>
      <c r="GZK2" s="182"/>
      <c r="GZL2" s="182"/>
      <c r="GZM2" s="182"/>
      <c r="GZN2" s="182"/>
      <c r="GZO2" s="182"/>
      <c r="GZP2" s="182"/>
      <c r="GZQ2" s="182"/>
      <c r="GZR2" s="182"/>
      <c r="GZS2" s="182"/>
      <c r="GZT2" s="182"/>
      <c r="GZU2" s="182"/>
      <c r="GZV2" s="182"/>
      <c r="GZW2" s="182"/>
      <c r="GZX2" s="182"/>
      <c r="GZY2" s="182"/>
      <c r="GZZ2" s="182"/>
      <c r="HAA2" s="182"/>
      <c r="HAB2" s="182"/>
      <c r="HAC2" s="182"/>
      <c r="HAD2" s="182"/>
      <c r="HAE2" s="182"/>
      <c r="HAF2" s="182"/>
      <c r="HAG2" s="182"/>
      <c r="HAH2" s="182"/>
      <c r="HAI2" s="182"/>
      <c r="HAJ2" s="182"/>
      <c r="HAK2" s="182"/>
      <c r="HAL2" s="182"/>
      <c r="HAM2" s="182"/>
      <c r="HAN2" s="182"/>
      <c r="HAO2" s="182"/>
      <c r="HAP2" s="182"/>
      <c r="HAQ2" s="182"/>
      <c r="HAR2" s="182"/>
      <c r="HAS2" s="182"/>
      <c r="HAT2" s="182"/>
      <c r="HAU2" s="182"/>
      <c r="HAV2" s="182"/>
      <c r="HAW2" s="182"/>
      <c r="HAX2" s="182"/>
      <c r="HAY2" s="182"/>
      <c r="HAZ2" s="182"/>
      <c r="HBA2" s="182"/>
      <c r="HBB2" s="182"/>
      <c r="HBC2" s="182"/>
      <c r="HBD2" s="182"/>
      <c r="HBE2" s="182"/>
      <c r="HBF2" s="182"/>
      <c r="HBG2" s="182"/>
      <c r="HBH2" s="182"/>
      <c r="HBI2" s="182"/>
      <c r="HBJ2" s="182"/>
      <c r="HBK2" s="182"/>
      <c r="HBL2" s="182"/>
      <c r="HBM2" s="182"/>
      <c r="HBN2" s="182"/>
      <c r="HBO2" s="182"/>
      <c r="HBP2" s="182"/>
      <c r="HBQ2" s="182"/>
      <c r="HBR2" s="182"/>
      <c r="HBS2" s="182"/>
      <c r="HBT2" s="182"/>
      <c r="HBU2" s="182"/>
      <c r="HBV2" s="182"/>
      <c r="HBW2" s="182"/>
      <c r="HBX2" s="182"/>
      <c r="HBY2" s="182"/>
      <c r="HBZ2" s="182"/>
      <c r="HCA2" s="182"/>
      <c r="HCB2" s="182"/>
      <c r="HCC2" s="182"/>
      <c r="HCD2" s="182"/>
      <c r="HCE2" s="182"/>
      <c r="HCF2" s="182"/>
      <c r="HCG2" s="182"/>
      <c r="HCH2" s="182"/>
      <c r="HCI2" s="182"/>
      <c r="HCJ2" s="182"/>
      <c r="HCK2" s="182"/>
      <c r="HCL2" s="182"/>
      <c r="HCM2" s="182"/>
      <c r="HCN2" s="182"/>
      <c r="HCO2" s="182"/>
      <c r="HCP2" s="182"/>
      <c r="HCQ2" s="182"/>
      <c r="HCR2" s="182"/>
      <c r="HCS2" s="182"/>
      <c r="HCT2" s="182"/>
      <c r="HCU2" s="182"/>
      <c r="HCV2" s="182"/>
      <c r="HCW2" s="182"/>
      <c r="HCX2" s="182"/>
      <c r="HCY2" s="182"/>
      <c r="HCZ2" s="182"/>
      <c r="HDA2" s="182"/>
      <c r="HDB2" s="182"/>
      <c r="HDC2" s="182"/>
      <c r="HDD2" s="182"/>
      <c r="HDE2" s="182"/>
      <c r="HDF2" s="182"/>
      <c r="HDG2" s="182"/>
      <c r="HDH2" s="182"/>
      <c r="HDI2" s="182"/>
      <c r="HDJ2" s="182"/>
      <c r="HDK2" s="182"/>
      <c r="HDL2" s="182"/>
      <c r="HDM2" s="182"/>
      <c r="HDN2" s="182"/>
      <c r="HDO2" s="182"/>
      <c r="HDP2" s="182"/>
      <c r="HDQ2" s="182"/>
      <c r="HDR2" s="182"/>
      <c r="HDS2" s="182"/>
      <c r="HDT2" s="182"/>
      <c r="HDU2" s="182"/>
      <c r="HDV2" s="182"/>
      <c r="HDW2" s="182"/>
      <c r="HDX2" s="182"/>
      <c r="HDY2" s="182"/>
      <c r="HDZ2" s="182"/>
      <c r="HEA2" s="182"/>
      <c r="HEB2" s="182"/>
      <c r="HEC2" s="182"/>
      <c r="HED2" s="182"/>
      <c r="HEE2" s="182"/>
      <c r="HEF2" s="182"/>
      <c r="HEG2" s="182"/>
      <c r="HEH2" s="182"/>
      <c r="HEI2" s="182"/>
      <c r="HEJ2" s="182"/>
      <c r="HEK2" s="182"/>
      <c r="HEL2" s="182"/>
      <c r="HEM2" s="182"/>
      <c r="HEN2" s="182"/>
      <c r="HEO2" s="182"/>
      <c r="HEP2" s="182"/>
      <c r="HEQ2" s="182"/>
      <c r="HER2" s="182"/>
      <c r="HES2" s="182"/>
      <c r="HET2" s="182"/>
      <c r="HEU2" s="182"/>
      <c r="HEV2" s="182"/>
      <c r="HEW2" s="182"/>
      <c r="HEX2" s="182"/>
      <c r="HEY2" s="182"/>
      <c r="HEZ2" s="182"/>
      <c r="HFA2" s="182"/>
      <c r="HFB2" s="182"/>
      <c r="HFC2" s="182"/>
      <c r="HFD2" s="182"/>
      <c r="HFE2" s="182"/>
      <c r="HFF2" s="182"/>
      <c r="HFG2" s="182"/>
      <c r="HFH2" s="182"/>
      <c r="HFI2" s="182"/>
      <c r="HFJ2" s="182"/>
      <c r="HFK2" s="182"/>
      <c r="HFL2" s="182"/>
      <c r="HFM2" s="182"/>
      <c r="HFN2" s="182"/>
      <c r="HFO2" s="182"/>
      <c r="HFP2" s="182"/>
      <c r="HFQ2" s="182"/>
      <c r="HFR2" s="182"/>
      <c r="HFS2" s="182"/>
      <c r="HFT2" s="182"/>
      <c r="HFU2" s="182"/>
      <c r="HFV2" s="182"/>
      <c r="HFW2" s="182"/>
      <c r="HFX2" s="182"/>
      <c r="HFY2" s="182"/>
      <c r="HFZ2" s="182"/>
      <c r="HGA2" s="182"/>
      <c r="HGB2" s="182"/>
      <c r="HGC2" s="182"/>
      <c r="HGD2" s="182"/>
      <c r="HGE2" s="182"/>
      <c r="HGF2" s="182"/>
      <c r="HGG2" s="182"/>
      <c r="HGH2" s="182"/>
      <c r="HGI2" s="182"/>
      <c r="HGJ2" s="182"/>
      <c r="HGK2" s="182"/>
      <c r="HGL2" s="182"/>
      <c r="HGM2" s="182"/>
      <c r="HGN2" s="182"/>
      <c r="HGO2" s="182"/>
      <c r="HGP2" s="182"/>
      <c r="HGQ2" s="182"/>
      <c r="HGR2" s="182"/>
      <c r="HGS2" s="182"/>
      <c r="HGT2" s="182"/>
      <c r="HGU2" s="182"/>
      <c r="HGV2" s="182"/>
      <c r="HGW2" s="182"/>
      <c r="HGX2" s="182"/>
      <c r="HGY2" s="182"/>
      <c r="HGZ2" s="182"/>
      <c r="HHA2" s="182"/>
      <c r="HHB2" s="182"/>
      <c r="HHC2" s="182"/>
      <c r="HHD2" s="182"/>
      <c r="HHE2" s="182"/>
      <c r="HHF2" s="182"/>
      <c r="HHG2" s="182"/>
      <c r="HHH2" s="182"/>
      <c r="HHI2" s="182"/>
      <c r="HHJ2" s="182"/>
      <c r="HHK2" s="182"/>
      <c r="HHL2" s="182"/>
      <c r="HHM2" s="182"/>
      <c r="HHN2" s="182"/>
      <c r="HHO2" s="182"/>
      <c r="HHP2" s="182"/>
      <c r="HHQ2" s="182"/>
      <c r="HHR2" s="182"/>
      <c r="HHS2" s="182"/>
      <c r="HHT2" s="182"/>
      <c r="HHU2" s="182"/>
      <c r="HHV2" s="182"/>
      <c r="HHW2" s="182"/>
      <c r="HHX2" s="182"/>
      <c r="HHY2" s="182"/>
      <c r="HHZ2" s="182"/>
      <c r="HIA2" s="182"/>
      <c r="HIB2" s="182"/>
      <c r="HIC2" s="182"/>
      <c r="HID2" s="182"/>
      <c r="HIE2" s="182"/>
      <c r="HIF2" s="182"/>
      <c r="HIG2" s="182"/>
      <c r="HIH2" s="182"/>
      <c r="HII2" s="182"/>
      <c r="HIJ2" s="182"/>
      <c r="HIK2" s="182"/>
      <c r="HIL2" s="182"/>
      <c r="HIM2" s="182"/>
      <c r="HIN2" s="182"/>
      <c r="HIO2" s="182"/>
      <c r="HIP2" s="182"/>
      <c r="HIQ2" s="182"/>
      <c r="HIR2" s="182"/>
      <c r="HIS2" s="182"/>
      <c r="HIT2" s="182"/>
      <c r="HIU2" s="182"/>
      <c r="HIV2" s="182"/>
      <c r="HIW2" s="182"/>
      <c r="HIX2" s="182"/>
      <c r="HIY2" s="182"/>
      <c r="HIZ2" s="182"/>
      <c r="HJA2" s="182"/>
      <c r="HJB2" s="182"/>
      <c r="HJC2" s="182"/>
      <c r="HJD2" s="182"/>
      <c r="HJE2" s="182"/>
      <c r="HJF2" s="182"/>
      <c r="HJG2" s="182"/>
      <c r="HJH2" s="182"/>
      <c r="HJI2" s="182"/>
      <c r="HJJ2" s="182"/>
      <c r="HJK2" s="182"/>
      <c r="HJL2" s="182"/>
      <c r="HJM2" s="182"/>
      <c r="HJN2" s="182"/>
      <c r="HJO2" s="182"/>
      <c r="HJP2" s="182"/>
      <c r="HJQ2" s="182"/>
      <c r="HJR2" s="182"/>
      <c r="HJS2" s="182"/>
      <c r="HJT2" s="182"/>
      <c r="HJU2" s="182"/>
      <c r="HJV2" s="182"/>
      <c r="HJW2" s="182"/>
      <c r="HJX2" s="182"/>
      <c r="HJY2" s="182"/>
      <c r="HJZ2" s="182"/>
      <c r="HKA2" s="182"/>
      <c r="HKB2" s="182"/>
      <c r="HKC2" s="182"/>
      <c r="HKD2" s="182"/>
      <c r="HKE2" s="182"/>
      <c r="HKF2" s="182"/>
      <c r="HKG2" s="182"/>
      <c r="HKH2" s="182"/>
      <c r="HKI2" s="182"/>
      <c r="HKJ2" s="182"/>
      <c r="HKK2" s="182"/>
      <c r="HKL2" s="182"/>
      <c r="HKM2" s="182"/>
      <c r="HKN2" s="182"/>
      <c r="HKO2" s="182"/>
      <c r="HKP2" s="182"/>
      <c r="HKQ2" s="182"/>
      <c r="HKR2" s="182"/>
      <c r="HKS2" s="182"/>
      <c r="HKT2" s="182"/>
      <c r="HKU2" s="182"/>
      <c r="HKV2" s="182"/>
      <c r="HKW2" s="182"/>
      <c r="HKX2" s="182"/>
      <c r="HKY2" s="182"/>
      <c r="HKZ2" s="182"/>
      <c r="HLA2" s="182"/>
      <c r="HLB2" s="182"/>
      <c r="HLC2" s="182"/>
      <c r="HLD2" s="182"/>
      <c r="HLE2" s="182"/>
      <c r="HLF2" s="182"/>
      <c r="HLG2" s="182"/>
      <c r="HLH2" s="182"/>
      <c r="HLI2" s="182"/>
      <c r="HLJ2" s="182"/>
      <c r="HLK2" s="182"/>
      <c r="HLL2" s="182"/>
      <c r="HLM2" s="182"/>
      <c r="HLN2" s="182"/>
      <c r="HLO2" s="182"/>
      <c r="HLP2" s="182"/>
      <c r="HLQ2" s="182"/>
      <c r="HLR2" s="182"/>
      <c r="HLS2" s="182"/>
      <c r="HLT2" s="182"/>
      <c r="HLU2" s="182"/>
      <c r="HLV2" s="182"/>
      <c r="HLW2" s="182"/>
      <c r="HLX2" s="182"/>
      <c r="HLY2" s="182"/>
      <c r="HLZ2" s="182"/>
      <c r="HMA2" s="182"/>
      <c r="HMB2" s="182"/>
      <c r="HMC2" s="182"/>
      <c r="HMD2" s="182"/>
      <c r="HME2" s="182"/>
      <c r="HMF2" s="182"/>
      <c r="HMG2" s="182"/>
      <c r="HMH2" s="182"/>
      <c r="HMI2" s="182"/>
      <c r="HMJ2" s="182"/>
      <c r="HMK2" s="182"/>
      <c r="HML2" s="182"/>
      <c r="HMM2" s="182"/>
      <c r="HMN2" s="182"/>
      <c r="HMO2" s="182"/>
      <c r="HMP2" s="182"/>
      <c r="HMQ2" s="182"/>
      <c r="HMR2" s="182"/>
      <c r="HMS2" s="182"/>
      <c r="HMT2" s="182"/>
      <c r="HMU2" s="182"/>
      <c r="HMV2" s="182"/>
      <c r="HMW2" s="182"/>
      <c r="HMX2" s="182"/>
      <c r="HMY2" s="182"/>
      <c r="HMZ2" s="182"/>
      <c r="HNA2" s="182"/>
      <c r="HNB2" s="182"/>
      <c r="HNC2" s="182"/>
      <c r="HND2" s="182"/>
      <c r="HNE2" s="182"/>
      <c r="HNF2" s="182"/>
      <c r="HNG2" s="182"/>
      <c r="HNH2" s="182"/>
      <c r="HNI2" s="182"/>
      <c r="HNJ2" s="182"/>
      <c r="HNK2" s="182"/>
      <c r="HNL2" s="182"/>
      <c r="HNM2" s="182"/>
      <c r="HNN2" s="182"/>
      <c r="HNO2" s="182"/>
      <c r="HNP2" s="182"/>
      <c r="HNQ2" s="182"/>
      <c r="HNR2" s="182"/>
      <c r="HNS2" s="182"/>
      <c r="HNT2" s="182"/>
      <c r="HNU2" s="182"/>
      <c r="HNV2" s="182"/>
      <c r="HNW2" s="182"/>
      <c r="HNX2" s="182"/>
      <c r="HNY2" s="182"/>
      <c r="HNZ2" s="182"/>
      <c r="HOA2" s="182"/>
      <c r="HOB2" s="182"/>
      <c r="HOC2" s="182"/>
      <c r="HOD2" s="182"/>
      <c r="HOE2" s="182"/>
      <c r="HOF2" s="182"/>
      <c r="HOG2" s="182"/>
      <c r="HOH2" s="182"/>
      <c r="HOI2" s="182"/>
      <c r="HOJ2" s="182"/>
      <c r="HOK2" s="182"/>
      <c r="HOL2" s="182"/>
      <c r="HOM2" s="182"/>
      <c r="HON2" s="182"/>
      <c r="HOO2" s="182"/>
      <c r="HOP2" s="182"/>
      <c r="HOQ2" s="182"/>
      <c r="HOR2" s="182"/>
      <c r="HOS2" s="182"/>
      <c r="HOT2" s="182"/>
      <c r="HOU2" s="182"/>
      <c r="HOV2" s="182"/>
      <c r="HOW2" s="182"/>
      <c r="HOX2" s="182"/>
      <c r="HOY2" s="182"/>
      <c r="HOZ2" s="182"/>
      <c r="HPA2" s="182"/>
      <c r="HPB2" s="182"/>
      <c r="HPC2" s="182"/>
      <c r="HPD2" s="182"/>
      <c r="HPE2" s="182"/>
      <c r="HPF2" s="182"/>
      <c r="HPG2" s="182"/>
      <c r="HPH2" s="182"/>
      <c r="HPI2" s="182"/>
      <c r="HPJ2" s="182"/>
      <c r="HPK2" s="182"/>
      <c r="HPL2" s="182"/>
      <c r="HPM2" s="182"/>
      <c r="HPN2" s="182"/>
      <c r="HPO2" s="182"/>
      <c r="HPP2" s="182"/>
      <c r="HPQ2" s="182"/>
      <c r="HPR2" s="182"/>
      <c r="HPS2" s="182"/>
      <c r="HPT2" s="182"/>
      <c r="HPU2" s="182"/>
      <c r="HPV2" s="182"/>
      <c r="HPW2" s="182"/>
      <c r="HPX2" s="182"/>
      <c r="HPY2" s="182"/>
      <c r="HPZ2" s="182"/>
      <c r="HQA2" s="182"/>
      <c r="HQB2" s="182"/>
      <c r="HQC2" s="182"/>
      <c r="HQD2" s="182"/>
      <c r="HQE2" s="182"/>
      <c r="HQF2" s="182"/>
      <c r="HQG2" s="182"/>
      <c r="HQH2" s="182"/>
      <c r="HQI2" s="182"/>
      <c r="HQJ2" s="182"/>
      <c r="HQK2" s="182"/>
      <c r="HQL2" s="182"/>
      <c r="HQM2" s="182"/>
      <c r="HQN2" s="182"/>
      <c r="HQO2" s="182"/>
      <c r="HQP2" s="182"/>
      <c r="HQQ2" s="182"/>
      <c r="HQR2" s="182"/>
      <c r="HQS2" s="182"/>
      <c r="HQT2" s="182"/>
      <c r="HQU2" s="182"/>
      <c r="HQV2" s="182"/>
      <c r="HQW2" s="182"/>
      <c r="HQX2" s="182"/>
      <c r="HQY2" s="182"/>
      <c r="HQZ2" s="182"/>
      <c r="HRA2" s="182"/>
      <c r="HRB2" s="182"/>
      <c r="HRC2" s="182"/>
      <c r="HRD2" s="182"/>
      <c r="HRE2" s="182"/>
      <c r="HRF2" s="182"/>
      <c r="HRG2" s="182"/>
      <c r="HRH2" s="182"/>
      <c r="HRI2" s="182"/>
      <c r="HRJ2" s="182"/>
      <c r="HRK2" s="182"/>
      <c r="HRL2" s="182"/>
      <c r="HRM2" s="182"/>
      <c r="HRN2" s="182"/>
      <c r="HRO2" s="182"/>
      <c r="HRP2" s="182"/>
      <c r="HRQ2" s="182"/>
      <c r="HRR2" s="182"/>
      <c r="HRS2" s="182"/>
      <c r="HRT2" s="182"/>
      <c r="HRU2" s="182"/>
      <c r="HRV2" s="182"/>
      <c r="HRW2" s="182"/>
      <c r="HRX2" s="182"/>
      <c r="HRY2" s="182"/>
      <c r="HRZ2" s="182"/>
      <c r="HSA2" s="182"/>
      <c r="HSB2" s="182"/>
      <c r="HSC2" s="182"/>
      <c r="HSD2" s="182"/>
      <c r="HSE2" s="182"/>
      <c r="HSF2" s="182"/>
      <c r="HSG2" s="182"/>
      <c r="HSH2" s="182"/>
      <c r="HSI2" s="182"/>
      <c r="HSJ2" s="182"/>
      <c r="HSK2" s="182"/>
      <c r="HSL2" s="182"/>
      <c r="HSM2" s="182"/>
      <c r="HSN2" s="182"/>
      <c r="HSO2" s="182"/>
      <c r="HSP2" s="182"/>
      <c r="HSQ2" s="182"/>
      <c r="HSR2" s="182"/>
      <c r="HSS2" s="182"/>
      <c r="HST2" s="182"/>
      <c r="HSU2" s="182"/>
      <c r="HSV2" s="182"/>
      <c r="HSW2" s="182"/>
      <c r="HSX2" s="182"/>
      <c r="HSY2" s="182"/>
      <c r="HSZ2" s="182"/>
      <c r="HTA2" s="182"/>
      <c r="HTB2" s="182"/>
      <c r="HTC2" s="182"/>
      <c r="HTD2" s="182"/>
      <c r="HTE2" s="182"/>
      <c r="HTF2" s="182"/>
      <c r="HTG2" s="182"/>
      <c r="HTH2" s="182"/>
      <c r="HTI2" s="182"/>
      <c r="HTJ2" s="182"/>
      <c r="HTK2" s="182"/>
      <c r="HTL2" s="182"/>
      <c r="HTM2" s="182"/>
      <c r="HTN2" s="182"/>
      <c r="HTO2" s="182"/>
      <c r="HTP2" s="182"/>
      <c r="HTQ2" s="182"/>
      <c r="HTR2" s="182"/>
      <c r="HTS2" s="182"/>
      <c r="HTT2" s="182"/>
      <c r="HTU2" s="182"/>
      <c r="HTV2" s="182"/>
      <c r="HTW2" s="182"/>
      <c r="HTX2" s="182"/>
      <c r="HTY2" s="182"/>
      <c r="HTZ2" s="182"/>
      <c r="HUA2" s="182"/>
      <c r="HUB2" s="182"/>
      <c r="HUC2" s="182"/>
      <c r="HUD2" s="182"/>
      <c r="HUE2" s="182"/>
      <c r="HUF2" s="182"/>
      <c r="HUG2" s="182"/>
      <c r="HUH2" s="182"/>
      <c r="HUI2" s="182"/>
      <c r="HUJ2" s="182"/>
      <c r="HUK2" s="182"/>
      <c r="HUL2" s="182"/>
      <c r="HUM2" s="182"/>
      <c r="HUN2" s="182"/>
      <c r="HUO2" s="182"/>
      <c r="HUP2" s="182"/>
      <c r="HUQ2" s="182"/>
      <c r="HUR2" s="182"/>
      <c r="HUS2" s="182"/>
      <c r="HUT2" s="182"/>
      <c r="HUU2" s="182"/>
      <c r="HUV2" s="182"/>
      <c r="HUW2" s="182"/>
      <c r="HUX2" s="182"/>
      <c r="HUY2" s="182"/>
      <c r="HUZ2" s="182"/>
      <c r="HVA2" s="182"/>
      <c r="HVB2" s="182"/>
      <c r="HVC2" s="182"/>
      <c r="HVD2" s="182"/>
      <c r="HVE2" s="182"/>
      <c r="HVF2" s="182"/>
      <c r="HVG2" s="182"/>
      <c r="HVH2" s="182"/>
      <c r="HVI2" s="182"/>
      <c r="HVJ2" s="182"/>
      <c r="HVK2" s="182"/>
      <c r="HVL2" s="182"/>
      <c r="HVM2" s="182"/>
      <c r="HVN2" s="182"/>
      <c r="HVO2" s="182"/>
      <c r="HVP2" s="182"/>
      <c r="HVQ2" s="182"/>
      <c r="HVR2" s="182"/>
      <c r="HVS2" s="182"/>
      <c r="HVT2" s="182"/>
      <c r="HVU2" s="182"/>
      <c r="HVV2" s="182"/>
      <c r="HVW2" s="182"/>
      <c r="HVX2" s="182"/>
      <c r="HVY2" s="182"/>
      <c r="HVZ2" s="182"/>
      <c r="HWA2" s="182"/>
      <c r="HWB2" s="182"/>
      <c r="HWC2" s="182"/>
      <c r="HWD2" s="182"/>
      <c r="HWE2" s="182"/>
      <c r="HWF2" s="182"/>
      <c r="HWG2" s="182"/>
      <c r="HWH2" s="182"/>
      <c r="HWI2" s="182"/>
      <c r="HWJ2" s="182"/>
      <c r="HWK2" s="182"/>
      <c r="HWL2" s="182"/>
      <c r="HWM2" s="182"/>
      <c r="HWN2" s="182"/>
      <c r="HWO2" s="182"/>
      <c r="HWP2" s="182"/>
      <c r="HWQ2" s="182"/>
      <c r="HWR2" s="182"/>
      <c r="HWS2" s="182"/>
      <c r="HWT2" s="182"/>
      <c r="HWU2" s="182"/>
      <c r="HWV2" s="182"/>
      <c r="HWW2" s="182"/>
      <c r="HWX2" s="182"/>
      <c r="HWY2" s="182"/>
      <c r="HWZ2" s="182"/>
      <c r="HXA2" s="182"/>
      <c r="HXB2" s="182"/>
      <c r="HXC2" s="182"/>
      <c r="HXD2" s="182"/>
      <c r="HXE2" s="182"/>
      <c r="HXF2" s="182"/>
      <c r="HXG2" s="182"/>
      <c r="HXH2" s="182"/>
      <c r="HXI2" s="182"/>
      <c r="HXJ2" s="182"/>
      <c r="HXK2" s="182"/>
      <c r="HXL2" s="182"/>
      <c r="HXM2" s="182"/>
      <c r="HXN2" s="182"/>
      <c r="HXO2" s="182"/>
      <c r="HXP2" s="182"/>
      <c r="HXQ2" s="182"/>
      <c r="HXR2" s="182"/>
      <c r="HXS2" s="182"/>
      <c r="HXT2" s="182"/>
      <c r="HXU2" s="182"/>
      <c r="HXV2" s="182"/>
      <c r="HXW2" s="182"/>
      <c r="HXX2" s="182"/>
      <c r="HXY2" s="182"/>
      <c r="HXZ2" s="182"/>
      <c r="HYA2" s="182"/>
      <c r="HYB2" s="182"/>
      <c r="HYC2" s="182"/>
      <c r="HYD2" s="182"/>
      <c r="HYE2" s="182"/>
      <c r="HYF2" s="182"/>
      <c r="HYG2" s="182"/>
      <c r="HYH2" s="182"/>
      <c r="HYI2" s="182"/>
      <c r="HYJ2" s="182"/>
      <c r="HYK2" s="182"/>
      <c r="HYL2" s="182"/>
      <c r="HYM2" s="182"/>
      <c r="HYN2" s="182"/>
      <c r="HYO2" s="182"/>
      <c r="HYP2" s="182"/>
      <c r="HYQ2" s="182"/>
      <c r="HYR2" s="182"/>
      <c r="HYS2" s="182"/>
      <c r="HYT2" s="182"/>
      <c r="HYU2" s="182"/>
      <c r="HYV2" s="182"/>
      <c r="HYW2" s="182"/>
      <c r="HYX2" s="182"/>
      <c r="HYY2" s="182"/>
      <c r="HYZ2" s="182"/>
      <c r="HZA2" s="182"/>
      <c r="HZB2" s="182"/>
      <c r="HZC2" s="182"/>
      <c r="HZD2" s="182"/>
      <c r="HZE2" s="182"/>
      <c r="HZF2" s="182"/>
      <c r="HZG2" s="182"/>
      <c r="HZH2" s="182"/>
      <c r="HZI2" s="182"/>
      <c r="HZJ2" s="182"/>
      <c r="HZK2" s="182"/>
      <c r="HZL2" s="182"/>
      <c r="HZM2" s="182"/>
      <c r="HZN2" s="182"/>
      <c r="HZO2" s="182"/>
      <c r="HZP2" s="182"/>
      <c r="HZQ2" s="182"/>
      <c r="HZR2" s="182"/>
      <c r="HZS2" s="182"/>
      <c r="HZT2" s="182"/>
      <c r="HZU2" s="182"/>
      <c r="HZV2" s="182"/>
      <c r="HZW2" s="182"/>
      <c r="HZX2" s="182"/>
      <c r="HZY2" s="182"/>
      <c r="HZZ2" s="182"/>
      <c r="IAA2" s="182"/>
      <c r="IAB2" s="182"/>
      <c r="IAC2" s="182"/>
      <c r="IAD2" s="182"/>
      <c r="IAE2" s="182"/>
      <c r="IAF2" s="182"/>
      <c r="IAG2" s="182"/>
      <c r="IAH2" s="182"/>
      <c r="IAI2" s="182"/>
      <c r="IAJ2" s="182"/>
      <c r="IAK2" s="182"/>
      <c r="IAL2" s="182"/>
      <c r="IAM2" s="182"/>
      <c r="IAN2" s="182"/>
      <c r="IAO2" s="182"/>
      <c r="IAP2" s="182"/>
      <c r="IAQ2" s="182"/>
      <c r="IAR2" s="182"/>
      <c r="IAS2" s="182"/>
      <c r="IAT2" s="182"/>
      <c r="IAU2" s="182"/>
      <c r="IAV2" s="182"/>
      <c r="IAW2" s="182"/>
      <c r="IAX2" s="182"/>
      <c r="IAY2" s="182"/>
      <c r="IAZ2" s="182"/>
      <c r="IBA2" s="182"/>
      <c r="IBB2" s="182"/>
      <c r="IBC2" s="182"/>
      <c r="IBD2" s="182"/>
      <c r="IBE2" s="182"/>
      <c r="IBF2" s="182"/>
      <c r="IBG2" s="182"/>
      <c r="IBH2" s="182"/>
      <c r="IBI2" s="182"/>
      <c r="IBJ2" s="182"/>
      <c r="IBK2" s="182"/>
      <c r="IBL2" s="182"/>
      <c r="IBM2" s="182"/>
      <c r="IBN2" s="182"/>
      <c r="IBO2" s="182"/>
      <c r="IBP2" s="182"/>
      <c r="IBQ2" s="182"/>
      <c r="IBR2" s="182"/>
      <c r="IBS2" s="182"/>
      <c r="IBT2" s="182"/>
      <c r="IBU2" s="182"/>
      <c r="IBV2" s="182"/>
      <c r="IBW2" s="182"/>
      <c r="IBX2" s="182"/>
      <c r="IBY2" s="182"/>
      <c r="IBZ2" s="182"/>
      <c r="ICA2" s="182"/>
      <c r="ICB2" s="182"/>
      <c r="ICC2" s="182"/>
      <c r="ICD2" s="182"/>
      <c r="ICE2" s="182"/>
      <c r="ICF2" s="182"/>
      <c r="ICG2" s="182"/>
      <c r="ICH2" s="182"/>
      <c r="ICI2" s="182"/>
      <c r="ICJ2" s="182"/>
      <c r="ICK2" s="182"/>
      <c r="ICL2" s="182"/>
      <c r="ICM2" s="182"/>
      <c r="ICN2" s="182"/>
      <c r="ICO2" s="182"/>
      <c r="ICP2" s="182"/>
      <c r="ICQ2" s="182"/>
      <c r="ICR2" s="182"/>
      <c r="ICS2" s="182"/>
      <c r="ICT2" s="182"/>
      <c r="ICU2" s="182"/>
      <c r="ICV2" s="182"/>
      <c r="ICW2" s="182"/>
      <c r="ICX2" s="182"/>
      <c r="ICY2" s="182"/>
      <c r="ICZ2" s="182"/>
      <c r="IDA2" s="182"/>
      <c r="IDB2" s="182"/>
      <c r="IDC2" s="182"/>
      <c r="IDD2" s="182"/>
      <c r="IDE2" s="182"/>
      <c r="IDF2" s="182"/>
      <c r="IDG2" s="182"/>
      <c r="IDH2" s="182"/>
      <c r="IDI2" s="182"/>
      <c r="IDJ2" s="182"/>
      <c r="IDK2" s="182"/>
      <c r="IDL2" s="182"/>
      <c r="IDM2" s="182"/>
      <c r="IDN2" s="182"/>
      <c r="IDO2" s="182"/>
      <c r="IDP2" s="182"/>
      <c r="IDQ2" s="182"/>
      <c r="IDR2" s="182"/>
      <c r="IDS2" s="182"/>
      <c r="IDT2" s="182"/>
      <c r="IDU2" s="182"/>
      <c r="IDV2" s="182"/>
      <c r="IDW2" s="182"/>
      <c r="IDX2" s="182"/>
      <c r="IDY2" s="182"/>
      <c r="IDZ2" s="182"/>
      <c r="IEA2" s="182"/>
      <c r="IEB2" s="182"/>
      <c r="IEC2" s="182"/>
      <c r="IED2" s="182"/>
      <c r="IEE2" s="182"/>
      <c r="IEF2" s="182"/>
      <c r="IEG2" s="182"/>
      <c r="IEH2" s="182"/>
      <c r="IEI2" s="182"/>
      <c r="IEJ2" s="182"/>
      <c r="IEK2" s="182"/>
      <c r="IEL2" s="182"/>
      <c r="IEM2" s="182"/>
      <c r="IEN2" s="182"/>
      <c r="IEO2" s="182"/>
      <c r="IEP2" s="182"/>
      <c r="IEQ2" s="182"/>
      <c r="IER2" s="182"/>
      <c r="IES2" s="182"/>
      <c r="IET2" s="182"/>
      <c r="IEU2" s="182"/>
      <c r="IEV2" s="182"/>
      <c r="IEW2" s="182"/>
      <c r="IEX2" s="182"/>
      <c r="IEY2" s="182"/>
      <c r="IEZ2" s="182"/>
      <c r="IFA2" s="182"/>
      <c r="IFB2" s="182"/>
      <c r="IFC2" s="182"/>
      <c r="IFD2" s="182"/>
      <c r="IFE2" s="182"/>
      <c r="IFF2" s="182"/>
      <c r="IFG2" s="182"/>
      <c r="IFH2" s="182"/>
      <c r="IFI2" s="182"/>
      <c r="IFJ2" s="182"/>
      <c r="IFK2" s="182"/>
      <c r="IFL2" s="182"/>
      <c r="IFM2" s="182"/>
      <c r="IFN2" s="182"/>
      <c r="IFO2" s="182"/>
      <c r="IFP2" s="182"/>
      <c r="IFQ2" s="182"/>
      <c r="IFR2" s="182"/>
      <c r="IFS2" s="182"/>
      <c r="IFT2" s="182"/>
      <c r="IFU2" s="182"/>
      <c r="IFV2" s="182"/>
      <c r="IFW2" s="182"/>
      <c r="IFX2" s="182"/>
      <c r="IFY2" s="182"/>
      <c r="IFZ2" s="182"/>
      <c r="IGA2" s="182"/>
      <c r="IGB2" s="182"/>
      <c r="IGC2" s="182"/>
      <c r="IGD2" s="182"/>
      <c r="IGE2" s="182"/>
      <c r="IGF2" s="182"/>
      <c r="IGG2" s="182"/>
      <c r="IGH2" s="182"/>
      <c r="IGI2" s="182"/>
      <c r="IGJ2" s="182"/>
      <c r="IGK2" s="182"/>
      <c r="IGL2" s="182"/>
      <c r="IGM2" s="182"/>
      <c r="IGN2" s="182"/>
      <c r="IGO2" s="182"/>
      <c r="IGP2" s="182"/>
      <c r="IGQ2" s="182"/>
      <c r="IGR2" s="182"/>
      <c r="IGS2" s="182"/>
      <c r="IGT2" s="182"/>
      <c r="IGU2" s="182"/>
      <c r="IGV2" s="182"/>
      <c r="IGW2" s="182"/>
      <c r="IGX2" s="182"/>
      <c r="IGY2" s="182"/>
      <c r="IGZ2" s="182"/>
      <c r="IHA2" s="182"/>
      <c r="IHB2" s="182"/>
      <c r="IHC2" s="182"/>
      <c r="IHD2" s="182"/>
      <c r="IHE2" s="182"/>
      <c r="IHF2" s="182"/>
      <c r="IHG2" s="182"/>
      <c r="IHH2" s="182"/>
      <c r="IHI2" s="182"/>
      <c r="IHJ2" s="182"/>
      <c r="IHK2" s="182"/>
      <c r="IHL2" s="182"/>
      <c r="IHM2" s="182"/>
      <c r="IHN2" s="182"/>
      <c r="IHO2" s="182"/>
      <c r="IHP2" s="182"/>
      <c r="IHQ2" s="182"/>
      <c r="IHR2" s="182"/>
      <c r="IHS2" s="182"/>
      <c r="IHT2" s="182"/>
      <c r="IHU2" s="182"/>
      <c r="IHV2" s="182"/>
      <c r="IHW2" s="182"/>
      <c r="IHX2" s="182"/>
      <c r="IHY2" s="182"/>
      <c r="IHZ2" s="182"/>
      <c r="IIA2" s="182"/>
      <c r="IIB2" s="182"/>
      <c r="IIC2" s="182"/>
      <c r="IID2" s="182"/>
      <c r="IIE2" s="182"/>
      <c r="IIF2" s="182"/>
      <c r="IIG2" s="182"/>
      <c r="IIH2" s="182"/>
      <c r="III2" s="182"/>
      <c r="IIJ2" s="182"/>
      <c r="IIK2" s="182"/>
      <c r="IIL2" s="182"/>
      <c r="IIM2" s="182"/>
      <c r="IIN2" s="182"/>
      <c r="IIO2" s="182"/>
      <c r="IIP2" s="182"/>
      <c r="IIQ2" s="182"/>
      <c r="IIR2" s="182"/>
      <c r="IIS2" s="182"/>
      <c r="IIT2" s="182"/>
      <c r="IIU2" s="182"/>
      <c r="IIV2" s="182"/>
      <c r="IIW2" s="182"/>
      <c r="IIX2" s="182"/>
      <c r="IIY2" s="182"/>
      <c r="IIZ2" s="182"/>
      <c r="IJA2" s="182"/>
      <c r="IJB2" s="182"/>
      <c r="IJC2" s="182"/>
      <c r="IJD2" s="182"/>
      <c r="IJE2" s="182"/>
      <c r="IJF2" s="182"/>
      <c r="IJG2" s="182"/>
      <c r="IJH2" s="182"/>
      <c r="IJI2" s="182"/>
      <c r="IJJ2" s="182"/>
      <c r="IJK2" s="182"/>
      <c r="IJL2" s="182"/>
      <c r="IJM2" s="182"/>
      <c r="IJN2" s="182"/>
      <c r="IJO2" s="182"/>
      <c r="IJP2" s="182"/>
      <c r="IJQ2" s="182"/>
      <c r="IJR2" s="182"/>
      <c r="IJS2" s="182"/>
      <c r="IJT2" s="182"/>
      <c r="IJU2" s="182"/>
      <c r="IJV2" s="182"/>
      <c r="IJW2" s="182"/>
      <c r="IJX2" s="182"/>
      <c r="IJY2" s="182"/>
      <c r="IJZ2" s="182"/>
      <c r="IKA2" s="182"/>
      <c r="IKB2" s="182"/>
      <c r="IKC2" s="182"/>
      <c r="IKD2" s="182"/>
      <c r="IKE2" s="182"/>
      <c r="IKF2" s="182"/>
      <c r="IKG2" s="182"/>
      <c r="IKH2" s="182"/>
      <c r="IKI2" s="182"/>
      <c r="IKJ2" s="182"/>
      <c r="IKK2" s="182"/>
      <c r="IKL2" s="182"/>
      <c r="IKM2" s="182"/>
      <c r="IKN2" s="182"/>
      <c r="IKO2" s="182"/>
      <c r="IKP2" s="182"/>
      <c r="IKQ2" s="182"/>
      <c r="IKR2" s="182"/>
      <c r="IKS2" s="182"/>
      <c r="IKT2" s="182"/>
      <c r="IKU2" s="182"/>
      <c r="IKV2" s="182"/>
      <c r="IKW2" s="182"/>
      <c r="IKX2" s="182"/>
      <c r="IKY2" s="182"/>
      <c r="IKZ2" s="182"/>
      <c r="ILA2" s="182"/>
      <c r="ILB2" s="182"/>
      <c r="ILC2" s="182"/>
      <c r="ILD2" s="182"/>
      <c r="ILE2" s="182"/>
      <c r="ILF2" s="182"/>
      <c r="ILG2" s="182"/>
      <c r="ILH2" s="182"/>
      <c r="ILI2" s="182"/>
      <c r="ILJ2" s="182"/>
      <c r="ILK2" s="182"/>
      <c r="ILL2" s="182"/>
      <c r="ILM2" s="182"/>
      <c r="ILN2" s="182"/>
      <c r="ILO2" s="182"/>
      <c r="ILP2" s="182"/>
      <c r="ILQ2" s="182"/>
      <c r="ILR2" s="182"/>
      <c r="ILS2" s="182"/>
      <c r="ILT2" s="182"/>
      <c r="ILU2" s="182"/>
      <c r="ILV2" s="182"/>
      <c r="ILW2" s="182"/>
      <c r="ILX2" s="182"/>
      <c r="ILY2" s="182"/>
      <c r="ILZ2" s="182"/>
      <c r="IMA2" s="182"/>
      <c r="IMB2" s="182"/>
      <c r="IMC2" s="182"/>
      <c r="IMD2" s="182"/>
      <c r="IME2" s="182"/>
      <c r="IMF2" s="182"/>
      <c r="IMG2" s="182"/>
      <c r="IMH2" s="182"/>
      <c r="IMI2" s="182"/>
      <c r="IMJ2" s="182"/>
      <c r="IMK2" s="182"/>
      <c r="IML2" s="182"/>
      <c r="IMM2" s="182"/>
      <c r="IMN2" s="182"/>
      <c r="IMO2" s="182"/>
      <c r="IMP2" s="182"/>
      <c r="IMQ2" s="182"/>
      <c r="IMR2" s="182"/>
      <c r="IMS2" s="182"/>
      <c r="IMT2" s="182"/>
      <c r="IMU2" s="182"/>
      <c r="IMV2" s="182"/>
      <c r="IMW2" s="182"/>
      <c r="IMX2" s="182"/>
      <c r="IMY2" s="182"/>
      <c r="IMZ2" s="182"/>
      <c r="INA2" s="182"/>
      <c r="INB2" s="182"/>
      <c r="INC2" s="182"/>
      <c r="IND2" s="182"/>
      <c r="INE2" s="182"/>
      <c r="INF2" s="182"/>
      <c r="ING2" s="182"/>
      <c r="INH2" s="182"/>
      <c r="INI2" s="182"/>
      <c r="INJ2" s="182"/>
      <c r="INK2" s="182"/>
      <c r="INL2" s="182"/>
      <c r="INM2" s="182"/>
      <c r="INN2" s="182"/>
      <c r="INO2" s="182"/>
      <c r="INP2" s="182"/>
      <c r="INQ2" s="182"/>
      <c r="INR2" s="182"/>
      <c r="INS2" s="182"/>
      <c r="INT2" s="182"/>
      <c r="INU2" s="182"/>
      <c r="INV2" s="182"/>
      <c r="INW2" s="182"/>
      <c r="INX2" s="182"/>
      <c r="INY2" s="182"/>
      <c r="INZ2" s="182"/>
      <c r="IOA2" s="182"/>
      <c r="IOB2" s="182"/>
      <c r="IOC2" s="182"/>
      <c r="IOD2" s="182"/>
      <c r="IOE2" s="182"/>
      <c r="IOF2" s="182"/>
      <c r="IOG2" s="182"/>
      <c r="IOH2" s="182"/>
      <c r="IOI2" s="182"/>
      <c r="IOJ2" s="182"/>
      <c r="IOK2" s="182"/>
      <c r="IOL2" s="182"/>
      <c r="IOM2" s="182"/>
      <c r="ION2" s="182"/>
      <c r="IOO2" s="182"/>
      <c r="IOP2" s="182"/>
      <c r="IOQ2" s="182"/>
      <c r="IOR2" s="182"/>
      <c r="IOS2" s="182"/>
      <c r="IOT2" s="182"/>
      <c r="IOU2" s="182"/>
      <c r="IOV2" s="182"/>
      <c r="IOW2" s="182"/>
      <c r="IOX2" s="182"/>
      <c r="IOY2" s="182"/>
      <c r="IOZ2" s="182"/>
      <c r="IPA2" s="182"/>
      <c r="IPB2" s="182"/>
      <c r="IPC2" s="182"/>
      <c r="IPD2" s="182"/>
      <c r="IPE2" s="182"/>
      <c r="IPF2" s="182"/>
      <c r="IPG2" s="182"/>
      <c r="IPH2" s="182"/>
      <c r="IPI2" s="182"/>
      <c r="IPJ2" s="182"/>
      <c r="IPK2" s="182"/>
      <c r="IPL2" s="182"/>
      <c r="IPM2" s="182"/>
      <c r="IPN2" s="182"/>
      <c r="IPO2" s="182"/>
      <c r="IPP2" s="182"/>
      <c r="IPQ2" s="182"/>
      <c r="IPR2" s="182"/>
      <c r="IPS2" s="182"/>
      <c r="IPT2" s="182"/>
      <c r="IPU2" s="182"/>
      <c r="IPV2" s="182"/>
      <c r="IPW2" s="182"/>
      <c r="IPX2" s="182"/>
      <c r="IPY2" s="182"/>
      <c r="IPZ2" s="182"/>
      <c r="IQA2" s="182"/>
      <c r="IQB2" s="182"/>
      <c r="IQC2" s="182"/>
      <c r="IQD2" s="182"/>
      <c r="IQE2" s="182"/>
      <c r="IQF2" s="182"/>
      <c r="IQG2" s="182"/>
      <c r="IQH2" s="182"/>
      <c r="IQI2" s="182"/>
      <c r="IQJ2" s="182"/>
      <c r="IQK2" s="182"/>
      <c r="IQL2" s="182"/>
      <c r="IQM2" s="182"/>
      <c r="IQN2" s="182"/>
      <c r="IQO2" s="182"/>
      <c r="IQP2" s="182"/>
      <c r="IQQ2" s="182"/>
      <c r="IQR2" s="182"/>
      <c r="IQS2" s="182"/>
      <c r="IQT2" s="182"/>
      <c r="IQU2" s="182"/>
      <c r="IQV2" s="182"/>
      <c r="IQW2" s="182"/>
      <c r="IQX2" s="182"/>
      <c r="IQY2" s="182"/>
      <c r="IQZ2" s="182"/>
      <c r="IRA2" s="182"/>
      <c r="IRB2" s="182"/>
      <c r="IRC2" s="182"/>
      <c r="IRD2" s="182"/>
      <c r="IRE2" s="182"/>
      <c r="IRF2" s="182"/>
      <c r="IRG2" s="182"/>
      <c r="IRH2" s="182"/>
      <c r="IRI2" s="182"/>
      <c r="IRJ2" s="182"/>
      <c r="IRK2" s="182"/>
      <c r="IRL2" s="182"/>
      <c r="IRM2" s="182"/>
      <c r="IRN2" s="182"/>
      <c r="IRO2" s="182"/>
      <c r="IRP2" s="182"/>
      <c r="IRQ2" s="182"/>
      <c r="IRR2" s="182"/>
      <c r="IRS2" s="182"/>
      <c r="IRT2" s="182"/>
      <c r="IRU2" s="182"/>
      <c r="IRV2" s="182"/>
      <c r="IRW2" s="182"/>
      <c r="IRX2" s="182"/>
      <c r="IRY2" s="182"/>
      <c r="IRZ2" s="182"/>
      <c r="ISA2" s="182"/>
      <c r="ISB2" s="182"/>
      <c r="ISC2" s="182"/>
      <c r="ISD2" s="182"/>
      <c r="ISE2" s="182"/>
      <c r="ISF2" s="182"/>
      <c r="ISG2" s="182"/>
      <c r="ISH2" s="182"/>
      <c r="ISI2" s="182"/>
      <c r="ISJ2" s="182"/>
      <c r="ISK2" s="182"/>
      <c r="ISL2" s="182"/>
      <c r="ISM2" s="182"/>
      <c r="ISN2" s="182"/>
      <c r="ISO2" s="182"/>
      <c r="ISP2" s="182"/>
      <c r="ISQ2" s="182"/>
      <c r="ISR2" s="182"/>
      <c r="ISS2" s="182"/>
      <c r="IST2" s="182"/>
      <c r="ISU2" s="182"/>
      <c r="ISV2" s="182"/>
      <c r="ISW2" s="182"/>
      <c r="ISX2" s="182"/>
      <c r="ISY2" s="182"/>
      <c r="ISZ2" s="182"/>
      <c r="ITA2" s="182"/>
      <c r="ITB2" s="182"/>
      <c r="ITC2" s="182"/>
      <c r="ITD2" s="182"/>
      <c r="ITE2" s="182"/>
      <c r="ITF2" s="182"/>
      <c r="ITG2" s="182"/>
      <c r="ITH2" s="182"/>
      <c r="ITI2" s="182"/>
      <c r="ITJ2" s="182"/>
      <c r="ITK2" s="182"/>
      <c r="ITL2" s="182"/>
      <c r="ITM2" s="182"/>
      <c r="ITN2" s="182"/>
      <c r="ITO2" s="182"/>
      <c r="ITP2" s="182"/>
      <c r="ITQ2" s="182"/>
      <c r="ITR2" s="182"/>
      <c r="ITS2" s="182"/>
      <c r="ITT2" s="182"/>
      <c r="ITU2" s="182"/>
      <c r="ITV2" s="182"/>
      <c r="ITW2" s="182"/>
      <c r="ITX2" s="182"/>
      <c r="ITY2" s="182"/>
      <c r="ITZ2" s="182"/>
      <c r="IUA2" s="182"/>
      <c r="IUB2" s="182"/>
      <c r="IUC2" s="182"/>
      <c r="IUD2" s="182"/>
      <c r="IUE2" s="182"/>
      <c r="IUF2" s="182"/>
      <c r="IUG2" s="182"/>
      <c r="IUH2" s="182"/>
      <c r="IUI2" s="182"/>
      <c r="IUJ2" s="182"/>
      <c r="IUK2" s="182"/>
      <c r="IUL2" s="182"/>
      <c r="IUM2" s="182"/>
      <c r="IUN2" s="182"/>
      <c r="IUO2" s="182"/>
      <c r="IUP2" s="182"/>
      <c r="IUQ2" s="182"/>
      <c r="IUR2" s="182"/>
      <c r="IUS2" s="182"/>
      <c r="IUT2" s="182"/>
      <c r="IUU2" s="182"/>
      <c r="IUV2" s="182"/>
      <c r="IUW2" s="182"/>
      <c r="IUX2" s="182"/>
      <c r="IUY2" s="182"/>
      <c r="IUZ2" s="182"/>
      <c r="IVA2" s="182"/>
      <c r="IVB2" s="182"/>
      <c r="IVC2" s="182"/>
      <c r="IVD2" s="182"/>
      <c r="IVE2" s="182"/>
      <c r="IVF2" s="182"/>
      <c r="IVG2" s="182"/>
      <c r="IVH2" s="182"/>
      <c r="IVI2" s="182"/>
      <c r="IVJ2" s="182"/>
      <c r="IVK2" s="182"/>
      <c r="IVL2" s="182"/>
      <c r="IVM2" s="182"/>
      <c r="IVN2" s="182"/>
      <c r="IVO2" s="182"/>
      <c r="IVP2" s="182"/>
      <c r="IVQ2" s="182"/>
      <c r="IVR2" s="182"/>
      <c r="IVS2" s="182"/>
      <c r="IVT2" s="182"/>
      <c r="IVU2" s="182"/>
      <c r="IVV2" s="182"/>
      <c r="IVW2" s="182"/>
      <c r="IVX2" s="182"/>
      <c r="IVY2" s="182"/>
      <c r="IVZ2" s="182"/>
      <c r="IWA2" s="182"/>
      <c r="IWB2" s="182"/>
      <c r="IWC2" s="182"/>
      <c r="IWD2" s="182"/>
      <c r="IWE2" s="182"/>
      <c r="IWF2" s="182"/>
      <c r="IWG2" s="182"/>
      <c r="IWH2" s="182"/>
      <c r="IWI2" s="182"/>
      <c r="IWJ2" s="182"/>
      <c r="IWK2" s="182"/>
      <c r="IWL2" s="182"/>
      <c r="IWM2" s="182"/>
      <c r="IWN2" s="182"/>
      <c r="IWO2" s="182"/>
      <c r="IWP2" s="182"/>
      <c r="IWQ2" s="182"/>
      <c r="IWR2" s="182"/>
      <c r="IWS2" s="182"/>
      <c r="IWT2" s="182"/>
      <c r="IWU2" s="182"/>
      <c r="IWV2" s="182"/>
      <c r="IWW2" s="182"/>
      <c r="IWX2" s="182"/>
      <c r="IWY2" s="182"/>
      <c r="IWZ2" s="182"/>
      <c r="IXA2" s="182"/>
      <c r="IXB2" s="182"/>
      <c r="IXC2" s="182"/>
      <c r="IXD2" s="182"/>
      <c r="IXE2" s="182"/>
      <c r="IXF2" s="182"/>
      <c r="IXG2" s="182"/>
      <c r="IXH2" s="182"/>
      <c r="IXI2" s="182"/>
      <c r="IXJ2" s="182"/>
      <c r="IXK2" s="182"/>
      <c r="IXL2" s="182"/>
      <c r="IXM2" s="182"/>
      <c r="IXN2" s="182"/>
      <c r="IXO2" s="182"/>
      <c r="IXP2" s="182"/>
      <c r="IXQ2" s="182"/>
      <c r="IXR2" s="182"/>
      <c r="IXS2" s="182"/>
      <c r="IXT2" s="182"/>
      <c r="IXU2" s="182"/>
      <c r="IXV2" s="182"/>
      <c r="IXW2" s="182"/>
      <c r="IXX2" s="182"/>
      <c r="IXY2" s="182"/>
      <c r="IXZ2" s="182"/>
      <c r="IYA2" s="182"/>
      <c r="IYB2" s="182"/>
      <c r="IYC2" s="182"/>
      <c r="IYD2" s="182"/>
      <c r="IYE2" s="182"/>
      <c r="IYF2" s="182"/>
      <c r="IYG2" s="182"/>
      <c r="IYH2" s="182"/>
      <c r="IYI2" s="182"/>
      <c r="IYJ2" s="182"/>
      <c r="IYK2" s="182"/>
      <c r="IYL2" s="182"/>
      <c r="IYM2" s="182"/>
      <c r="IYN2" s="182"/>
      <c r="IYO2" s="182"/>
      <c r="IYP2" s="182"/>
      <c r="IYQ2" s="182"/>
      <c r="IYR2" s="182"/>
      <c r="IYS2" s="182"/>
      <c r="IYT2" s="182"/>
      <c r="IYU2" s="182"/>
      <c r="IYV2" s="182"/>
      <c r="IYW2" s="182"/>
      <c r="IYX2" s="182"/>
      <c r="IYY2" s="182"/>
      <c r="IYZ2" s="182"/>
      <c r="IZA2" s="182"/>
      <c r="IZB2" s="182"/>
      <c r="IZC2" s="182"/>
      <c r="IZD2" s="182"/>
      <c r="IZE2" s="182"/>
      <c r="IZF2" s="182"/>
      <c r="IZG2" s="182"/>
      <c r="IZH2" s="182"/>
      <c r="IZI2" s="182"/>
      <c r="IZJ2" s="182"/>
      <c r="IZK2" s="182"/>
      <c r="IZL2" s="182"/>
      <c r="IZM2" s="182"/>
      <c r="IZN2" s="182"/>
      <c r="IZO2" s="182"/>
      <c r="IZP2" s="182"/>
      <c r="IZQ2" s="182"/>
      <c r="IZR2" s="182"/>
      <c r="IZS2" s="182"/>
      <c r="IZT2" s="182"/>
      <c r="IZU2" s="182"/>
      <c r="IZV2" s="182"/>
      <c r="IZW2" s="182"/>
      <c r="IZX2" s="182"/>
      <c r="IZY2" s="182"/>
      <c r="IZZ2" s="182"/>
      <c r="JAA2" s="182"/>
      <c r="JAB2" s="182"/>
      <c r="JAC2" s="182"/>
      <c r="JAD2" s="182"/>
      <c r="JAE2" s="182"/>
      <c r="JAF2" s="182"/>
      <c r="JAG2" s="182"/>
      <c r="JAH2" s="182"/>
      <c r="JAI2" s="182"/>
      <c r="JAJ2" s="182"/>
      <c r="JAK2" s="182"/>
      <c r="JAL2" s="182"/>
      <c r="JAM2" s="182"/>
      <c r="JAN2" s="182"/>
      <c r="JAO2" s="182"/>
      <c r="JAP2" s="182"/>
      <c r="JAQ2" s="182"/>
      <c r="JAR2" s="182"/>
      <c r="JAS2" s="182"/>
      <c r="JAT2" s="182"/>
      <c r="JAU2" s="182"/>
      <c r="JAV2" s="182"/>
      <c r="JAW2" s="182"/>
      <c r="JAX2" s="182"/>
      <c r="JAY2" s="182"/>
      <c r="JAZ2" s="182"/>
      <c r="JBA2" s="182"/>
      <c r="JBB2" s="182"/>
      <c r="JBC2" s="182"/>
      <c r="JBD2" s="182"/>
      <c r="JBE2" s="182"/>
      <c r="JBF2" s="182"/>
      <c r="JBG2" s="182"/>
      <c r="JBH2" s="182"/>
      <c r="JBI2" s="182"/>
      <c r="JBJ2" s="182"/>
      <c r="JBK2" s="182"/>
      <c r="JBL2" s="182"/>
      <c r="JBM2" s="182"/>
      <c r="JBN2" s="182"/>
      <c r="JBO2" s="182"/>
      <c r="JBP2" s="182"/>
      <c r="JBQ2" s="182"/>
      <c r="JBR2" s="182"/>
      <c r="JBS2" s="182"/>
      <c r="JBT2" s="182"/>
      <c r="JBU2" s="182"/>
      <c r="JBV2" s="182"/>
      <c r="JBW2" s="182"/>
      <c r="JBX2" s="182"/>
      <c r="JBY2" s="182"/>
      <c r="JBZ2" s="182"/>
      <c r="JCA2" s="182"/>
      <c r="JCB2" s="182"/>
      <c r="JCC2" s="182"/>
      <c r="JCD2" s="182"/>
      <c r="JCE2" s="182"/>
      <c r="JCF2" s="182"/>
      <c r="JCG2" s="182"/>
      <c r="JCH2" s="182"/>
      <c r="JCI2" s="182"/>
      <c r="JCJ2" s="182"/>
      <c r="JCK2" s="182"/>
      <c r="JCL2" s="182"/>
      <c r="JCM2" s="182"/>
      <c r="JCN2" s="182"/>
      <c r="JCO2" s="182"/>
      <c r="JCP2" s="182"/>
      <c r="JCQ2" s="182"/>
      <c r="JCR2" s="182"/>
      <c r="JCS2" s="182"/>
      <c r="JCT2" s="182"/>
      <c r="JCU2" s="182"/>
      <c r="JCV2" s="182"/>
      <c r="JCW2" s="182"/>
      <c r="JCX2" s="182"/>
      <c r="JCY2" s="182"/>
      <c r="JCZ2" s="182"/>
      <c r="JDA2" s="182"/>
      <c r="JDB2" s="182"/>
      <c r="JDC2" s="182"/>
      <c r="JDD2" s="182"/>
      <c r="JDE2" s="182"/>
      <c r="JDF2" s="182"/>
      <c r="JDG2" s="182"/>
      <c r="JDH2" s="182"/>
      <c r="JDI2" s="182"/>
      <c r="JDJ2" s="182"/>
      <c r="JDK2" s="182"/>
      <c r="JDL2" s="182"/>
      <c r="JDM2" s="182"/>
      <c r="JDN2" s="182"/>
      <c r="JDO2" s="182"/>
      <c r="JDP2" s="182"/>
      <c r="JDQ2" s="182"/>
      <c r="JDR2" s="182"/>
      <c r="JDS2" s="182"/>
      <c r="JDT2" s="182"/>
      <c r="JDU2" s="182"/>
      <c r="JDV2" s="182"/>
      <c r="JDW2" s="182"/>
      <c r="JDX2" s="182"/>
      <c r="JDY2" s="182"/>
      <c r="JDZ2" s="182"/>
      <c r="JEA2" s="182"/>
      <c r="JEB2" s="182"/>
      <c r="JEC2" s="182"/>
      <c r="JED2" s="182"/>
      <c r="JEE2" s="182"/>
      <c r="JEF2" s="182"/>
      <c r="JEG2" s="182"/>
      <c r="JEH2" s="182"/>
      <c r="JEI2" s="182"/>
      <c r="JEJ2" s="182"/>
      <c r="JEK2" s="182"/>
      <c r="JEL2" s="182"/>
      <c r="JEM2" s="182"/>
      <c r="JEN2" s="182"/>
      <c r="JEO2" s="182"/>
      <c r="JEP2" s="182"/>
      <c r="JEQ2" s="182"/>
      <c r="JER2" s="182"/>
      <c r="JES2" s="182"/>
      <c r="JET2" s="182"/>
      <c r="JEU2" s="182"/>
      <c r="JEV2" s="182"/>
      <c r="JEW2" s="182"/>
      <c r="JEX2" s="182"/>
      <c r="JEY2" s="182"/>
      <c r="JEZ2" s="182"/>
      <c r="JFA2" s="182"/>
      <c r="JFB2" s="182"/>
      <c r="JFC2" s="182"/>
      <c r="JFD2" s="182"/>
      <c r="JFE2" s="182"/>
      <c r="JFF2" s="182"/>
      <c r="JFG2" s="182"/>
      <c r="JFH2" s="182"/>
      <c r="JFI2" s="182"/>
      <c r="JFJ2" s="182"/>
      <c r="JFK2" s="182"/>
      <c r="JFL2" s="182"/>
      <c r="JFM2" s="182"/>
      <c r="JFN2" s="182"/>
      <c r="JFO2" s="182"/>
      <c r="JFP2" s="182"/>
      <c r="JFQ2" s="182"/>
      <c r="JFR2" s="182"/>
      <c r="JFS2" s="182"/>
      <c r="JFT2" s="182"/>
      <c r="JFU2" s="182"/>
      <c r="JFV2" s="182"/>
      <c r="JFW2" s="182"/>
      <c r="JFX2" s="182"/>
      <c r="JFY2" s="182"/>
      <c r="JFZ2" s="182"/>
      <c r="JGA2" s="182"/>
      <c r="JGB2" s="182"/>
      <c r="JGC2" s="182"/>
      <c r="JGD2" s="182"/>
      <c r="JGE2" s="182"/>
      <c r="JGF2" s="182"/>
      <c r="JGG2" s="182"/>
      <c r="JGH2" s="182"/>
      <c r="JGI2" s="182"/>
      <c r="JGJ2" s="182"/>
      <c r="JGK2" s="182"/>
      <c r="JGL2" s="182"/>
      <c r="JGM2" s="182"/>
      <c r="JGN2" s="182"/>
      <c r="JGO2" s="182"/>
      <c r="JGP2" s="182"/>
      <c r="JGQ2" s="182"/>
      <c r="JGR2" s="182"/>
      <c r="JGS2" s="182"/>
      <c r="JGT2" s="182"/>
      <c r="JGU2" s="182"/>
      <c r="JGV2" s="182"/>
      <c r="JGW2" s="182"/>
      <c r="JGX2" s="182"/>
      <c r="JGY2" s="182"/>
      <c r="JGZ2" s="182"/>
      <c r="JHA2" s="182"/>
      <c r="JHB2" s="182"/>
      <c r="JHC2" s="182"/>
      <c r="JHD2" s="182"/>
      <c r="JHE2" s="182"/>
      <c r="JHF2" s="182"/>
      <c r="JHG2" s="182"/>
      <c r="JHH2" s="182"/>
      <c r="JHI2" s="182"/>
      <c r="JHJ2" s="182"/>
      <c r="JHK2" s="182"/>
      <c r="JHL2" s="182"/>
      <c r="JHM2" s="182"/>
      <c r="JHN2" s="182"/>
      <c r="JHO2" s="182"/>
      <c r="JHP2" s="182"/>
      <c r="JHQ2" s="182"/>
      <c r="JHR2" s="182"/>
      <c r="JHS2" s="182"/>
      <c r="JHT2" s="182"/>
      <c r="JHU2" s="182"/>
      <c r="JHV2" s="182"/>
      <c r="JHW2" s="182"/>
      <c r="JHX2" s="182"/>
      <c r="JHY2" s="182"/>
      <c r="JHZ2" s="182"/>
      <c r="JIA2" s="182"/>
      <c r="JIB2" s="182"/>
      <c r="JIC2" s="182"/>
      <c r="JID2" s="182"/>
      <c r="JIE2" s="182"/>
      <c r="JIF2" s="182"/>
      <c r="JIG2" s="182"/>
      <c r="JIH2" s="182"/>
      <c r="JII2" s="182"/>
      <c r="JIJ2" s="182"/>
      <c r="JIK2" s="182"/>
      <c r="JIL2" s="182"/>
      <c r="JIM2" s="182"/>
      <c r="JIN2" s="182"/>
      <c r="JIO2" s="182"/>
      <c r="JIP2" s="182"/>
      <c r="JIQ2" s="182"/>
      <c r="JIR2" s="182"/>
      <c r="JIS2" s="182"/>
      <c r="JIT2" s="182"/>
      <c r="JIU2" s="182"/>
      <c r="JIV2" s="182"/>
      <c r="JIW2" s="182"/>
      <c r="JIX2" s="182"/>
      <c r="JIY2" s="182"/>
      <c r="JIZ2" s="182"/>
      <c r="JJA2" s="182"/>
      <c r="JJB2" s="182"/>
      <c r="JJC2" s="182"/>
      <c r="JJD2" s="182"/>
      <c r="JJE2" s="182"/>
      <c r="JJF2" s="182"/>
      <c r="JJG2" s="182"/>
      <c r="JJH2" s="182"/>
      <c r="JJI2" s="182"/>
      <c r="JJJ2" s="182"/>
      <c r="JJK2" s="182"/>
      <c r="JJL2" s="182"/>
      <c r="JJM2" s="182"/>
      <c r="JJN2" s="182"/>
      <c r="JJO2" s="182"/>
      <c r="JJP2" s="182"/>
      <c r="JJQ2" s="182"/>
      <c r="JJR2" s="182"/>
      <c r="JJS2" s="182"/>
      <c r="JJT2" s="182"/>
      <c r="JJU2" s="182"/>
      <c r="JJV2" s="182"/>
      <c r="JJW2" s="182"/>
      <c r="JJX2" s="182"/>
      <c r="JJY2" s="182"/>
      <c r="JJZ2" s="182"/>
      <c r="JKA2" s="182"/>
      <c r="JKB2" s="182"/>
      <c r="JKC2" s="182"/>
      <c r="JKD2" s="182"/>
      <c r="JKE2" s="182"/>
      <c r="JKF2" s="182"/>
      <c r="JKG2" s="182"/>
      <c r="JKH2" s="182"/>
      <c r="JKI2" s="182"/>
      <c r="JKJ2" s="182"/>
      <c r="JKK2" s="182"/>
      <c r="JKL2" s="182"/>
      <c r="JKM2" s="182"/>
      <c r="JKN2" s="182"/>
      <c r="JKO2" s="182"/>
      <c r="JKP2" s="182"/>
      <c r="JKQ2" s="182"/>
      <c r="JKR2" s="182"/>
      <c r="JKS2" s="182"/>
      <c r="JKT2" s="182"/>
      <c r="JKU2" s="182"/>
      <c r="JKV2" s="182"/>
      <c r="JKW2" s="182"/>
      <c r="JKX2" s="182"/>
      <c r="JKY2" s="182"/>
      <c r="JKZ2" s="182"/>
      <c r="JLA2" s="182"/>
      <c r="JLB2" s="182"/>
      <c r="JLC2" s="182"/>
      <c r="JLD2" s="182"/>
      <c r="JLE2" s="182"/>
      <c r="JLF2" s="182"/>
      <c r="JLG2" s="182"/>
      <c r="JLH2" s="182"/>
      <c r="JLI2" s="182"/>
      <c r="JLJ2" s="182"/>
      <c r="JLK2" s="182"/>
      <c r="JLL2" s="182"/>
      <c r="JLM2" s="182"/>
      <c r="JLN2" s="182"/>
      <c r="JLO2" s="182"/>
      <c r="JLP2" s="182"/>
      <c r="JLQ2" s="182"/>
      <c r="JLR2" s="182"/>
      <c r="JLS2" s="182"/>
      <c r="JLT2" s="182"/>
      <c r="JLU2" s="182"/>
      <c r="JLV2" s="182"/>
      <c r="JLW2" s="182"/>
      <c r="JLX2" s="182"/>
      <c r="JLY2" s="182"/>
      <c r="JLZ2" s="182"/>
      <c r="JMA2" s="182"/>
      <c r="JMB2" s="182"/>
      <c r="JMC2" s="182"/>
      <c r="JMD2" s="182"/>
      <c r="JME2" s="182"/>
      <c r="JMF2" s="182"/>
      <c r="JMG2" s="182"/>
      <c r="JMH2" s="182"/>
      <c r="JMI2" s="182"/>
      <c r="JMJ2" s="182"/>
      <c r="JMK2" s="182"/>
      <c r="JML2" s="182"/>
      <c r="JMM2" s="182"/>
      <c r="JMN2" s="182"/>
      <c r="JMO2" s="182"/>
      <c r="JMP2" s="182"/>
      <c r="JMQ2" s="182"/>
      <c r="JMR2" s="182"/>
      <c r="JMS2" s="182"/>
      <c r="JMT2" s="182"/>
      <c r="JMU2" s="182"/>
      <c r="JMV2" s="182"/>
      <c r="JMW2" s="182"/>
      <c r="JMX2" s="182"/>
      <c r="JMY2" s="182"/>
      <c r="JMZ2" s="182"/>
      <c r="JNA2" s="182"/>
      <c r="JNB2" s="182"/>
      <c r="JNC2" s="182"/>
      <c r="JND2" s="182"/>
      <c r="JNE2" s="182"/>
      <c r="JNF2" s="182"/>
      <c r="JNG2" s="182"/>
      <c r="JNH2" s="182"/>
      <c r="JNI2" s="182"/>
      <c r="JNJ2" s="182"/>
      <c r="JNK2" s="182"/>
      <c r="JNL2" s="182"/>
      <c r="JNM2" s="182"/>
      <c r="JNN2" s="182"/>
      <c r="JNO2" s="182"/>
      <c r="JNP2" s="182"/>
      <c r="JNQ2" s="182"/>
      <c r="JNR2" s="182"/>
      <c r="JNS2" s="182"/>
      <c r="JNT2" s="182"/>
      <c r="JNU2" s="182"/>
      <c r="JNV2" s="182"/>
      <c r="JNW2" s="182"/>
      <c r="JNX2" s="182"/>
      <c r="JNY2" s="182"/>
      <c r="JNZ2" s="182"/>
      <c r="JOA2" s="182"/>
      <c r="JOB2" s="182"/>
      <c r="JOC2" s="182"/>
      <c r="JOD2" s="182"/>
      <c r="JOE2" s="182"/>
      <c r="JOF2" s="182"/>
      <c r="JOG2" s="182"/>
      <c r="JOH2" s="182"/>
      <c r="JOI2" s="182"/>
      <c r="JOJ2" s="182"/>
      <c r="JOK2" s="182"/>
      <c r="JOL2" s="182"/>
      <c r="JOM2" s="182"/>
      <c r="JON2" s="182"/>
      <c r="JOO2" s="182"/>
      <c r="JOP2" s="182"/>
      <c r="JOQ2" s="182"/>
      <c r="JOR2" s="182"/>
      <c r="JOS2" s="182"/>
      <c r="JOT2" s="182"/>
      <c r="JOU2" s="182"/>
      <c r="JOV2" s="182"/>
      <c r="JOW2" s="182"/>
      <c r="JOX2" s="182"/>
      <c r="JOY2" s="182"/>
      <c r="JOZ2" s="182"/>
      <c r="JPA2" s="182"/>
      <c r="JPB2" s="182"/>
      <c r="JPC2" s="182"/>
      <c r="JPD2" s="182"/>
      <c r="JPE2" s="182"/>
      <c r="JPF2" s="182"/>
      <c r="JPG2" s="182"/>
      <c r="JPH2" s="182"/>
      <c r="JPI2" s="182"/>
      <c r="JPJ2" s="182"/>
      <c r="JPK2" s="182"/>
      <c r="JPL2" s="182"/>
      <c r="JPM2" s="182"/>
      <c r="JPN2" s="182"/>
      <c r="JPO2" s="182"/>
      <c r="JPP2" s="182"/>
      <c r="JPQ2" s="182"/>
      <c r="JPR2" s="182"/>
      <c r="JPS2" s="182"/>
      <c r="JPT2" s="182"/>
      <c r="JPU2" s="182"/>
      <c r="JPV2" s="182"/>
      <c r="JPW2" s="182"/>
      <c r="JPX2" s="182"/>
      <c r="JPY2" s="182"/>
      <c r="JPZ2" s="182"/>
      <c r="JQA2" s="182"/>
      <c r="JQB2" s="182"/>
      <c r="JQC2" s="182"/>
      <c r="JQD2" s="182"/>
      <c r="JQE2" s="182"/>
      <c r="JQF2" s="182"/>
      <c r="JQG2" s="182"/>
      <c r="JQH2" s="182"/>
      <c r="JQI2" s="182"/>
      <c r="JQJ2" s="182"/>
      <c r="JQK2" s="182"/>
      <c r="JQL2" s="182"/>
      <c r="JQM2" s="182"/>
      <c r="JQN2" s="182"/>
      <c r="JQO2" s="182"/>
      <c r="JQP2" s="182"/>
      <c r="JQQ2" s="182"/>
      <c r="JQR2" s="182"/>
      <c r="JQS2" s="182"/>
      <c r="JQT2" s="182"/>
      <c r="JQU2" s="182"/>
      <c r="JQV2" s="182"/>
      <c r="JQW2" s="182"/>
      <c r="JQX2" s="182"/>
      <c r="JQY2" s="182"/>
      <c r="JQZ2" s="182"/>
      <c r="JRA2" s="182"/>
      <c r="JRB2" s="182"/>
      <c r="JRC2" s="182"/>
      <c r="JRD2" s="182"/>
      <c r="JRE2" s="182"/>
      <c r="JRF2" s="182"/>
      <c r="JRG2" s="182"/>
      <c r="JRH2" s="182"/>
      <c r="JRI2" s="182"/>
      <c r="JRJ2" s="182"/>
      <c r="JRK2" s="182"/>
      <c r="JRL2" s="182"/>
      <c r="JRM2" s="182"/>
      <c r="JRN2" s="182"/>
      <c r="JRO2" s="182"/>
      <c r="JRP2" s="182"/>
      <c r="JRQ2" s="182"/>
      <c r="JRR2" s="182"/>
      <c r="JRS2" s="182"/>
      <c r="JRT2" s="182"/>
      <c r="JRU2" s="182"/>
      <c r="JRV2" s="182"/>
      <c r="JRW2" s="182"/>
      <c r="JRX2" s="182"/>
      <c r="JRY2" s="182"/>
      <c r="JRZ2" s="182"/>
      <c r="JSA2" s="182"/>
      <c r="JSB2" s="182"/>
      <c r="JSC2" s="182"/>
      <c r="JSD2" s="182"/>
      <c r="JSE2" s="182"/>
      <c r="JSF2" s="182"/>
      <c r="JSG2" s="182"/>
      <c r="JSH2" s="182"/>
      <c r="JSI2" s="182"/>
      <c r="JSJ2" s="182"/>
      <c r="JSK2" s="182"/>
      <c r="JSL2" s="182"/>
      <c r="JSM2" s="182"/>
      <c r="JSN2" s="182"/>
      <c r="JSO2" s="182"/>
      <c r="JSP2" s="182"/>
      <c r="JSQ2" s="182"/>
      <c r="JSR2" s="182"/>
      <c r="JSS2" s="182"/>
      <c r="JST2" s="182"/>
      <c r="JSU2" s="182"/>
      <c r="JSV2" s="182"/>
      <c r="JSW2" s="182"/>
      <c r="JSX2" s="182"/>
      <c r="JSY2" s="182"/>
      <c r="JSZ2" s="182"/>
      <c r="JTA2" s="182"/>
      <c r="JTB2" s="182"/>
      <c r="JTC2" s="182"/>
      <c r="JTD2" s="182"/>
      <c r="JTE2" s="182"/>
      <c r="JTF2" s="182"/>
      <c r="JTG2" s="182"/>
      <c r="JTH2" s="182"/>
      <c r="JTI2" s="182"/>
      <c r="JTJ2" s="182"/>
      <c r="JTK2" s="182"/>
      <c r="JTL2" s="182"/>
      <c r="JTM2" s="182"/>
      <c r="JTN2" s="182"/>
      <c r="JTO2" s="182"/>
      <c r="JTP2" s="182"/>
      <c r="JTQ2" s="182"/>
      <c r="JTR2" s="182"/>
      <c r="JTS2" s="182"/>
      <c r="JTT2" s="182"/>
      <c r="JTU2" s="182"/>
      <c r="JTV2" s="182"/>
      <c r="JTW2" s="182"/>
      <c r="JTX2" s="182"/>
      <c r="JTY2" s="182"/>
      <c r="JTZ2" s="182"/>
      <c r="JUA2" s="182"/>
      <c r="JUB2" s="182"/>
      <c r="JUC2" s="182"/>
      <c r="JUD2" s="182"/>
      <c r="JUE2" s="182"/>
      <c r="JUF2" s="182"/>
      <c r="JUG2" s="182"/>
      <c r="JUH2" s="182"/>
      <c r="JUI2" s="182"/>
      <c r="JUJ2" s="182"/>
      <c r="JUK2" s="182"/>
      <c r="JUL2" s="182"/>
      <c r="JUM2" s="182"/>
      <c r="JUN2" s="182"/>
      <c r="JUO2" s="182"/>
      <c r="JUP2" s="182"/>
      <c r="JUQ2" s="182"/>
      <c r="JUR2" s="182"/>
      <c r="JUS2" s="182"/>
      <c r="JUT2" s="182"/>
      <c r="JUU2" s="182"/>
      <c r="JUV2" s="182"/>
      <c r="JUW2" s="182"/>
      <c r="JUX2" s="182"/>
      <c r="JUY2" s="182"/>
      <c r="JUZ2" s="182"/>
      <c r="JVA2" s="182"/>
      <c r="JVB2" s="182"/>
      <c r="JVC2" s="182"/>
      <c r="JVD2" s="182"/>
      <c r="JVE2" s="182"/>
      <c r="JVF2" s="182"/>
      <c r="JVG2" s="182"/>
      <c r="JVH2" s="182"/>
      <c r="JVI2" s="182"/>
      <c r="JVJ2" s="182"/>
      <c r="JVK2" s="182"/>
      <c r="JVL2" s="182"/>
      <c r="JVM2" s="182"/>
      <c r="JVN2" s="182"/>
      <c r="JVO2" s="182"/>
      <c r="JVP2" s="182"/>
      <c r="JVQ2" s="182"/>
      <c r="JVR2" s="182"/>
      <c r="JVS2" s="182"/>
      <c r="JVT2" s="182"/>
      <c r="JVU2" s="182"/>
      <c r="JVV2" s="182"/>
      <c r="JVW2" s="182"/>
      <c r="JVX2" s="182"/>
      <c r="JVY2" s="182"/>
      <c r="JVZ2" s="182"/>
      <c r="JWA2" s="182"/>
      <c r="JWB2" s="182"/>
      <c r="JWC2" s="182"/>
      <c r="JWD2" s="182"/>
      <c r="JWE2" s="182"/>
      <c r="JWF2" s="182"/>
      <c r="JWG2" s="182"/>
      <c r="JWH2" s="182"/>
      <c r="JWI2" s="182"/>
      <c r="JWJ2" s="182"/>
      <c r="JWK2" s="182"/>
      <c r="JWL2" s="182"/>
      <c r="JWM2" s="182"/>
      <c r="JWN2" s="182"/>
      <c r="JWO2" s="182"/>
      <c r="JWP2" s="182"/>
      <c r="JWQ2" s="182"/>
      <c r="JWR2" s="182"/>
      <c r="JWS2" s="182"/>
      <c r="JWT2" s="182"/>
      <c r="JWU2" s="182"/>
      <c r="JWV2" s="182"/>
      <c r="JWW2" s="182"/>
      <c r="JWX2" s="182"/>
      <c r="JWY2" s="182"/>
      <c r="JWZ2" s="182"/>
      <c r="JXA2" s="182"/>
      <c r="JXB2" s="182"/>
      <c r="JXC2" s="182"/>
      <c r="JXD2" s="182"/>
      <c r="JXE2" s="182"/>
      <c r="JXF2" s="182"/>
      <c r="JXG2" s="182"/>
      <c r="JXH2" s="182"/>
      <c r="JXI2" s="182"/>
      <c r="JXJ2" s="182"/>
      <c r="JXK2" s="182"/>
      <c r="JXL2" s="182"/>
      <c r="JXM2" s="182"/>
      <c r="JXN2" s="182"/>
      <c r="JXO2" s="182"/>
      <c r="JXP2" s="182"/>
      <c r="JXQ2" s="182"/>
      <c r="JXR2" s="182"/>
      <c r="JXS2" s="182"/>
      <c r="JXT2" s="182"/>
      <c r="JXU2" s="182"/>
      <c r="JXV2" s="182"/>
      <c r="JXW2" s="182"/>
      <c r="JXX2" s="182"/>
      <c r="JXY2" s="182"/>
      <c r="JXZ2" s="182"/>
      <c r="JYA2" s="182"/>
      <c r="JYB2" s="182"/>
      <c r="JYC2" s="182"/>
      <c r="JYD2" s="182"/>
      <c r="JYE2" s="182"/>
      <c r="JYF2" s="182"/>
      <c r="JYG2" s="182"/>
      <c r="JYH2" s="182"/>
      <c r="JYI2" s="182"/>
      <c r="JYJ2" s="182"/>
      <c r="JYK2" s="182"/>
      <c r="JYL2" s="182"/>
      <c r="JYM2" s="182"/>
      <c r="JYN2" s="182"/>
      <c r="JYO2" s="182"/>
      <c r="JYP2" s="182"/>
      <c r="JYQ2" s="182"/>
      <c r="JYR2" s="182"/>
      <c r="JYS2" s="182"/>
      <c r="JYT2" s="182"/>
      <c r="JYU2" s="182"/>
      <c r="JYV2" s="182"/>
      <c r="JYW2" s="182"/>
      <c r="JYX2" s="182"/>
      <c r="JYY2" s="182"/>
      <c r="JYZ2" s="182"/>
      <c r="JZA2" s="182"/>
      <c r="JZB2" s="182"/>
      <c r="JZC2" s="182"/>
      <c r="JZD2" s="182"/>
      <c r="JZE2" s="182"/>
      <c r="JZF2" s="182"/>
      <c r="JZG2" s="182"/>
      <c r="JZH2" s="182"/>
      <c r="JZI2" s="182"/>
      <c r="JZJ2" s="182"/>
      <c r="JZK2" s="182"/>
      <c r="JZL2" s="182"/>
      <c r="JZM2" s="182"/>
      <c r="JZN2" s="182"/>
      <c r="JZO2" s="182"/>
      <c r="JZP2" s="182"/>
      <c r="JZQ2" s="182"/>
      <c r="JZR2" s="182"/>
      <c r="JZS2" s="182"/>
      <c r="JZT2" s="182"/>
      <c r="JZU2" s="182"/>
      <c r="JZV2" s="182"/>
      <c r="JZW2" s="182"/>
      <c r="JZX2" s="182"/>
      <c r="JZY2" s="182"/>
      <c r="JZZ2" s="182"/>
      <c r="KAA2" s="182"/>
      <c r="KAB2" s="182"/>
      <c r="KAC2" s="182"/>
      <c r="KAD2" s="182"/>
      <c r="KAE2" s="182"/>
      <c r="KAF2" s="182"/>
      <c r="KAG2" s="182"/>
      <c r="KAH2" s="182"/>
      <c r="KAI2" s="182"/>
      <c r="KAJ2" s="182"/>
      <c r="KAK2" s="182"/>
      <c r="KAL2" s="182"/>
      <c r="KAM2" s="182"/>
      <c r="KAN2" s="182"/>
      <c r="KAO2" s="182"/>
      <c r="KAP2" s="182"/>
      <c r="KAQ2" s="182"/>
      <c r="KAR2" s="182"/>
      <c r="KAS2" s="182"/>
      <c r="KAT2" s="182"/>
      <c r="KAU2" s="182"/>
      <c r="KAV2" s="182"/>
      <c r="KAW2" s="182"/>
      <c r="KAX2" s="182"/>
      <c r="KAY2" s="182"/>
      <c r="KAZ2" s="182"/>
      <c r="KBA2" s="182"/>
      <c r="KBB2" s="182"/>
      <c r="KBC2" s="182"/>
      <c r="KBD2" s="182"/>
      <c r="KBE2" s="182"/>
      <c r="KBF2" s="182"/>
      <c r="KBG2" s="182"/>
      <c r="KBH2" s="182"/>
      <c r="KBI2" s="182"/>
      <c r="KBJ2" s="182"/>
      <c r="KBK2" s="182"/>
      <c r="KBL2" s="182"/>
      <c r="KBM2" s="182"/>
      <c r="KBN2" s="182"/>
      <c r="KBO2" s="182"/>
      <c r="KBP2" s="182"/>
      <c r="KBQ2" s="182"/>
      <c r="KBR2" s="182"/>
      <c r="KBS2" s="182"/>
      <c r="KBT2" s="182"/>
      <c r="KBU2" s="182"/>
      <c r="KBV2" s="182"/>
      <c r="KBW2" s="182"/>
      <c r="KBX2" s="182"/>
      <c r="KBY2" s="182"/>
      <c r="KBZ2" s="182"/>
      <c r="KCA2" s="182"/>
      <c r="KCB2" s="182"/>
      <c r="KCC2" s="182"/>
      <c r="KCD2" s="182"/>
      <c r="KCE2" s="182"/>
      <c r="KCF2" s="182"/>
      <c r="KCG2" s="182"/>
      <c r="KCH2" s="182"/>
      <c r="KCI2" s="182"/>
      <c r="KCJ2" s="182"/>
      <c r="KCK2" s="182"/>
      <c r="KCL2" s="182"/>
      <c r="KCM2" s="182"/>
      <c r="KCN2" s="182"/>
      <c r="KCO2" s="182"/>
      <c r="KCP2" s="182"/>
      <c r="KCQ2" s="182"/>
      <c r="KCR2" s="182"/>
      <c r="KCS2" s="182"/>
      <c r="KCT2" s="182"/>
      <c r="KCU2" s="182"/>
      <c r="KCV2" s="182"/>
      <c r="KCW2" s="182"/>
      <c r="KCX2" s="182"/>
      <c r="KCY2" s="182"/>
      <c r="KCZ2" s="182"/>
      <c r="KDA2" s="182"/>
      <c r="KDB2" s="182"/>
      <c r="KDC2" s="182"/>
      <c r="KDD2" s="182"/>
      <c r="KDE2" s="182"/>
      <c r="KDF2" s="182"/>
      <c r="KDG2" s="182"/>
      <c r="KDH2" s="182"/>
      <c r="KDI2" s="182"/>
      <c r="KDJ2" s="182"/>
      <c r="KDK2" s="182"/>
      <c r="KDL2" s="182"/>
      <c r="KDM2" s="182"/>
      <c r="KDN2" s="182"/>
      <c r="KDO2" s="182"/>
      <c r="KDP2" s="182"/>
      <c r="KDQ2" s="182"/>
      <c r="KDR2" s="182"/>
      <c r="KDS2" s="182"/>
      <c r="KDT2" s="182"/>
      <c r="KDU2" s="182"/>
      <c r="KDV2" s="182"/>
      <c r="KDW2" s="182"/>
      <c r="KDX2" s="182"/>
      <c r="KDY2" s="182"/>
      <c r="KDZ2" s="182"/>
      <c r="KEA2" s="182"/>
      <c r="KEB2" s="182"/>
      <c r="KEC2" s="182"/>
      <c r="KED2" s="182"/>
      <c r="KEE2" s="182"/>
      <c r="KEF2" s="182"/>
      <c r="KEG2" s="182"/>
      <c r="KEH2" s="182"/>
      <c r="KEI2" s="182"/>
      <c r="KEJ2" s="182"/>
      <c r="KEK2" s="182"/>
      <c r="KEL2" s="182"/>
      <c r="KEM2" s="182"/>
      <c r="KEN2" s="182"/>
      <c r="KEO2" s="182"/>
      <c r="KEP2" s="182"/>
      <c r="KEQ2" s="182"/>
      <c r="KER2" s="182"/>
      <c r="KES2" s="182"/>
      <c r="KET2" s="182"/>
      <c r="KEU2" s="182"/>
      <c r="KEV2" s="182"/>
      <c r="KEW2" s="182"/>
      <c r="KEX2" s="182"/>
      <c r="KEY2" s="182"/>
      <c r="KEZ2" s="182"/>
      <c r="KFA2" s="182"/>
      <c r="KFB2" s="182"/>
      <c r="KFC2" s="182"/>
      <c r="KFD2" s="182"/>
      <c r="KFE2" s="182"/>
      <c r="KFF2" s="182"/>
      <c r="KFG2" s="182"/>
      <c r="KFH2" s="182"/>
      <c r="KFI2" s="182"/>
      <c r="KFJ2" s="182"/>
      <c r="KFK2" s="182"/>
      <c r="KFL2" s="182"/>
      <c r="KFM2" s="182"/>
      <c r="KFN2" s="182"/>
      <c r="KFO2" s="182"/>
      <c r="KFP2" s="182"/>
      <c r="KFQ2" s="182"/>
      <c r="KFR2" s="182"/>
      <c r="KFS2" s="182"/>
      <c r="KFT2" s="182"/>
      <c r="KFU2" s="182"/>
      <c r="KFV2" s="182"/>
      <c r="KFW2" s="182"/>
      <c r="KFX2" s="182"/>
      <c r="KFY2" s="182"/>
      <c r="KFZ2" s="182"/>
      <c r="KGA2" s="182"/>
      <c r="KGB2" s="182"/>
      <c r="KGC2" s="182"/>
      <c r="KGD2" s="182"/>
      <c r="KGE2" s="182"/>
      <c r="KGF2" s="182"/>
      <c r="KGG2" s="182"/>
      <c r="KGH2" s="182"/>
      <c r="KGI2" s="182"/>
      <c r="KGJ2" s="182"/>
      <c r="KGK2" s="182"/>
      <c r="KGL2" s="182"/>
      <c r="KGM2" s="182"/>
      <c r="KGN2" s="182"/>
      <c r="KGO2" s="182"/>
      <c r="KGP2" s="182"/>
      <c r="KGQ2" s="182"/>
      <c r="KGR2" s="182"/>
      <c r="KGS2" s="182"/>
      <c r="KGT2" s="182"/>
      <c r="KGU2" s="182"/>
      <c r="KGV2" s="182"/>
      <c r="KGW2" s="182"/>
      <c r="KGX2" s="182"/>
      <c r="KGY2" s="182"/>
      <c r="KGZ2" s="182"/>
      <c r="KHA2" s="182"/>
      <c r="KHB2" s="182"/>
      <c r="KHC2" s="182"/>
      <c r="KHD2" s="182"/>
      <c r="KHE2" s="182"/>
      <c r="KHF2" s="182"/>
      <c r="KHG2" s="182"/>
      <c r="KHH2" s="182"/>
      <c r="KHI2" s="182"/>
      <c r="KHJ2" s="182"/>
      <c r="KHK2" s="182"/>
      <c r="KHL2" s="182"/>
      <c r="KHM2" s="182"/>
      <c r="KHN2" s="182"/>
      <c r="KHO2" s="182"/>
      <c r="KHP2" s="182"/>
      <c r="KHQ2" s="182"/>
      <c r="KHR2" s="182"/>
      <c r="KHS2" s="182"/>
      <c r="KHT2" s="182"/>
      <c r="KHU2" s="182"/>
      <c r="KHV2" s="182"/>
      <c r="KHW2" s="182"/>
      <c r="KHX2" s="182"/>
      <c r="KHY2" s="182"/>
      <c r="KHZ2" s="182"/>
      <c r="KIA2" s="182"/>
      <c r="KIB2" s="182"/>
      <c r="KIC2" s="182"/>
      <c r="KID2" s="182"/>
      <c r="KIE2" s="182"/>
      <c r="KIF2" s="182"/>
      <c r="KIG2" s="182"/>
      <c r="KIH2" s="182"/>
      <c r="KII2" s="182"/>
      <c r="KIJ2" s="182"/>
      <c r="KIK2" s="182"/>
      <c r="KIL2" s="182"/>
      <c r="KIM2" s="182"/>
      <c r="KIN2" s="182"/>
      <c r="KIO2" s="182"/>
      <c r="KIP2" s="182"/>
      <c r="KIQ2" s="182"/>
      <c r="KIR2" s="182"/>
      <c r="KIS2" s="182"/>
      <c r="KIT2" s="182"/>
      <c r="KIU2" s="182"/>
      <c r="KIV2" s="182"/>
      <c r="KIW2" s="182"/>
      <c r="KIX2" s="182"/>
      <c r="KIY2" s="182"/>
      <c r="KIZ2" s="182"/>
      <c r="KJA2" s="182"/>
      <c r="KJB2" s="182"/>
      <c r="KJC2" s="182"/>
      <c r="KJD2" s="182"/>
      <c r="KJE2" s="182"/>
      <c r="KJF2" s="182"/>
      <c r="KJG2" s="182"/>
      <c r="KJH2" s="182"/>
      <c r="KJI2" s="182"/>
      <c r="KJJ2" s="182"/>
      <c r="KJK2" s="182"/>
      <c r="KJL2" s="182"/>
      <c r="KJM2" s="182"/>
      <c r="KJN2" s="182"/>
      <c r="KJO2" s="182"/>
      <c r="KJP2" s="182"/>
      <c r="KJQ2" s="182"/>
      <c r="KJR2" s="182"/>
      <c r="KJS2" s="182"/>
      <c r="KJT2" s="182"/>
      <c r="KJU2" s="182"/>
      <c r="KJV2" s="182"/>
      <c r="KJW2" s="182"/>
      <c r="KJX2" s="182"/>
      <c r="KJY2" s="182"/>
      <c r="KJZ2" s="182"/>
      <c r="KKA2" s="182"/>
      <c r="KKB2" s="182"/>
      <c r="KKC2" s="182"/>
      <c r="KKD2" s="182"/>
      <c r="KKE2" s="182"/>
      <c r="KKF2" s="182"/>
      <c r="KKG2" s="182"/>
      <c r="KKH2" s="182"/>
      <c r="KKI2" s="182"/>
      <c r="KKJ2" s="182"/>
      <c r="KKK2" s="182"/>
      <c r="KKL2" s="182"/>
      <c r="KKM2" s="182"/>
      <c r="KKN2" s="182"/>
      <c r="KKO2" s="182"/>
      <c r="KKP2" s="182"/>
      <c r="KKQ2" s="182"/>
      <c r="KKR2" s="182"/>
      <c r="KKS2" s="182"/>
      <c r="KKT2" s="182"/>
      <c r="KKU2" s="182"/>
      <c r="KKV2" s="182"/>
      <c r="KKW2" s="182"/>
      <c r="KKX2" s="182"/>
      <c r="KKY2" s="182"/>
      <c r="KKZ2" s="182"/>
      <c r="KLA2" s="182"/>
      <c r="KLB2" s="182"/>
      <c r="KLC2" s="182"/>
      <c r="KLD2" s="182"/>
      <c r="KLE2" s="182"/>
      <c r="KLF2" s="182"/>
      <c r="KLG2" s="182"/>
      <c r="KLH2" s="182"/>
      <c r="KLI2" s="182"/>
      <c r="KLJ2" s="182"/>
      <c r="KLK2" s="182"/>
      <c r="KLL2" s="182"/>
      <c r="KLM2" s="182"/>
      <c r="KLN2" s="182"/>
      <c r="KLO2" s="182"/>
      <c r="KLP2" s="182"/>
      <c r="KLQ2" s="182"/>
      <c r="KLR2" s="182"/>
      <c r="KLS2" s="182"/>
      <c r="KLT2" s="182"/>
      <c r="KLU2" s="182"/>
      <c r="KLV2" s="182"/>
      <c r="KLW2" s="182"/>
      <c r="KLX2" s="182"/>
      <c r="KLY2" s="182"/>
      <c r="KLZ2" s="182"/>
      <c r="KMA2" s="182"/>
      <c r="KMB2" s="182"/>
      <c r="KMC2" s="182"/>
      <c r="KMD2" s="182"/>
      <c r="KME2" s="182"/>
      <c r="KMF2" s="182"/>
      <c r="KMG2" s="182"/>
      <c r="KMH2" s="182"/>
      <c r="KMI2" s="182"/>
      <c r="KMJ2" s="182"/>
      <c r="KMK2" s="182"/>
      <c r="KML2" s="182"/>
      <c r="KMM2" s="182"/>
      <c r="KMN2" s="182"/>
      <c r="KMO2" s="182"/>
      <c r="KMP2" s="182"/>
      <c r="KMQ2" s="182"/>
      <c r="KMR2" s="182"/>
      <c r="KMS2" s="182"/>
      <c r="KMT2" s="182"/>
      <c r="KMU2" s="182"/>
      <c r="KMV2" s="182"/>
      <c r="KMW2" s="182"/>
      <c r="KMX2" s="182"/>
      <c r="KMY2" s="182"/>
      <c r="KMZ2" s="182"/>
      <c r="KNA2" s="182"/>
      <c r="KNB2" s="182"/>
      <c r="KNC2" s="182"/>
      <c r="KND2" s="182"/>
      <c r="KNE2" s="182"/>
      <c r="KNF2" s="182"/>
      <c r="KNG2" s="182"/>
      <c r="KNH2" s="182"/>
      <c r="KNI2" s="182"/>
      <c r="KNJ2" s="182"/>
      <c r="KNK2" s="182"/>
      <c r="KNL2" s="182"/>
      <c r="KNM2" s="182"/>
      <c r="KNN2" s="182"/>
      <c r="KNO2" s="182"/>
      <c r="KNP2" s="182"/>
      <c r="KNQ2" s="182"/>
      <c r="KNR2" s="182"/>
      <c r="KNS2" s="182"/>
      <c r="KNT2" s="182"/>
      <c r="KNU2" s="182"/>
      <c r="KNV2" s="182"/>
      <c r="KNW2" s="182"/>
      <c r="KNX2" s="182"/>
      <c r="KNY2" s="182"/>
      <c r="KNZ2" s="182"/>
      <c r="KOA2" s="182"/>
      <c r="KOB2" s="182"/>
      <c r="KOC2" s="182"/>
      <c r="KOD2" s="182"/>
      <c r="KOE2" s="182"/>
      <c r="KOF2" s="182"/>
      <c r="KOG2" s="182"/>
      <c r="KOH2" s="182"/>
      <c r="KOI2" s="182"/>
      <c r="KOJ2" s="182"/>
      <c r="KOK2" s="182"/>
      <c r="KOL2" s="182"/>
      <c r="KOM2" s="182"/>
      <c r="KON2" s="182"/>
      <c r="KOO2" s="182"/>
      <c r="KOP2" s="182"/>
      <c r="KOQ2" s="182"/>
      <c r="KOR2" s="182"/>
      <c r="KOS2" s="182"/>
      <c r="KOT2" s="182"/>
      <c r="KOU2" s="182"/>
      <c r="KOV2" s="182"/>
      <c r="KOW2" s="182"/>
      <c r="KOX2" s="182"/>
      <c r="KOY2" s="182"/>
      <c r="KOZ2" s="182"/>
      <c r="KPA2" s="182"/>
      <c r="KPB2" s="182"/>
      <c r="KPC2" s="182"/>
      <c r="KPD2" s="182"/>
      <c r="KPE2" s="182"/>
      <c r="KPF2" s="182"/>
      <c r="KPG2" s="182"/>
      <c r="KPH2" s="182"/>
      <c r="KPI2" s="182"/>
      <c r="KPJ2" s="182"/>
      <c r="KPK2" s="182"/>
      <c r="KPL2" s="182"/>
      <c r="KPM2" s="182"/>
      <c r="KPN2" s="182"/>
      <c r="KPO2" s="182"/>
      <c r="KPP2" s="182"/>
      <c r="KPQ2" s="182"/>
      <c r="KPR2" s="182"/>
      <c r="KPS2" s="182"/>
      <c r="KPT2" s="182"/>
      <c r="KPU2" s="182"/>
      <c r="KPV2" s="182"/>
      <c r="KPW2" s="182"/>
      <c r="KPX2" s="182"/>
      <c r="KPY2" s="182"/>
      <c r="KPZ2" s="182"/>
      <c r="KQA2" s="182"/>
      <c r="KQB2" s="182"/>
      <c r="KQC2" s="182"/>
      <c r="KQD2" s="182"/>
      <c r="KQE2" s="182"/>
      <c r="KQF2" s="182"/>
      <c r="KQG2" s="182"/>
      <c r="KQH2" s="182"/>
      <c r="KQI2" s="182"/>
      <c r="KQJ2" s="182"/>
      <c r="KQK2" s="182"/>
      <c r="KQL2" s="182"/>
      <c r="KQM2" s="182"/>
      <c r="KQN2" s="182"/>
      <c r="KQO2" s="182"/>
      <c r="KQP2" s="182"/>
      <c r="KQQ2" s="182"/>
      <c r="KQR2" s="182"/>
      <c r="KQS2" s="182"/>
      <c r="KQT2" s="182"/>
      <c r="KQU2" s="182"/>
      <c r="KQV2" s="182"/>
      <c r="KQW2" s="182"/>
      <c r="KQX2" s="182"/>
      <c r="KQY2" s="182"/>
      <c r="KQZ2" s="182"/>
      <c r="KRA2" s="182"/>
      <c r="KRB2" s="182"/>
      <c r="KRC2" s="182"/>
      <c r="KRD2" s="182"/>
      <c r="KRE2" s="182"/>
      <c r="KRF2" s="182"/>
      <c r="KRG2" s="182"/>
      <c r="KRH2" s="182"/>
      <c r="KRI2" s="182"/>
      <c r="KRJ2" s="182"/>
      <c r="KRK2" s="182"/>
      <c r="KRL2" s="182"/>
      <c r="KRM2" s="182"/>
      <c r="KRN2" s="182"/>
      <c r="KRO2" s="182"/>
      <c r="KRP2" s="182"/>
      <c r="KRQ2" s="182"/>
      <c r="KRR2" s="182"/>
      <c r="KRS2" s="182"/>
      <c r="KRT2" s="182"/>
      <c r="KRU2" s="182"/>
      <c r="KRV2" s="182"/>
      <c r="KRW2" s="182"/>
      <c r="KRX2" s="182"/>
      <c r="KRY2" s="182"/>
      <c r="KRZ2" s="182"/>
      <c r="KSA2" s="182"/>
      <c r="KSB2" s="182"/>
      <c r="KSC2" s="182"/>
      <c r="KSD2" s="182"/>
      <c r="KSE2" s="182"/>
      <c r="KSF2" s="182"/>
      <c r="KSG2" s="182"/>
      <c r="KSH2" s="182"/>
      <c r="KSI2" s="182"/>
      <c r="KSJ2" s="182"/>
      <c r="KSK2" s="182"/>
      <c r="KSL2" s="182"/>
      <c r="KSM2" s="182"/>
      <c r="KSN2" s="182"/>
      <c r="KSO2" s="182"/>
      <c r="KSP2" s="182"/>
      <c r="KSQ2" s="182"/>
      <c r="KSR2" s="182"/>
      <c r="KSS2" s="182"/>
      <c r="KST2" s="182"/>
      <c r="KSU2" s="182"/>
      <c r="KSV2" s="182"/>
      <c r="KSW2" s="182"/>
      <c r="KSX2" s="182"/>
      <c r="KSY2" s="182"/>
      <c r="KSZ2" s="182"/>
      <c r="KTA2" s="182"/>
      <c r="KTB2" s="182"/>
      <c r="KTC2" s="182"/>
      <c r="KTD2" s="182"/>
      <c r="KTE2" s="182"/>
      <c r="KTF2" s="182"/>
      <c r="KTG2" s="182"/>
      <c r="KTH2" s="182"/>
      <c r="KTI2" s="182"/>
      <c r="KTJ2" s="182"/>
      <c r="KTK2" s="182"/>
      <c r="KTL2" s="182"/>
      <c r="KTM2" s="182"/>
      <c r="KTN2" s="182"/>
      <c r="KTO2" s="182"/>
      <c r="KTP2" s="182"/>
      <c r="KTQ2" s="182"/>
      <c r="KTR2" s="182"/>
      <c r="KTS2" s="182"/>
      <c r="KTT2" s="182"/>
      <c r="KTU2" s="182"/>
      <c r="KTV2" s="182"/>
      <c r="KTW2" s="182"/>
      <c r="KTX2" s="182"/>
      <c r="KTY2" s="182"/>
      <c r="KTZ2" s="182"/>
      <c r="KUA2" s="182"/>
      <c r="KUB2" s="182"/>
      <c r="KUC2" s="182"/>
      <c r="KUD2" s="182"/>
      <c r="KUE2" s="182"/>
      <c r="KUF2" s="182"/>
      <c r="KUG2" s="182"/>
      <c r="KUH2" s="182"/>
      <c r="KUI2" s="182"/>
      <c r="KUJ2" s="182"/>
      <c r="KUK2" s="182"/>
      <c r="KUL2" s="182"/>
      <c r="KUM2" s="182"/>
      <c r="KUN2" s="182"/>
      <c r="KUO2" s="182"/>
      <c r="KUP2" s="182"/>
      <c r="KUQ2" s="182"/>
      <c r="KUR2" s="182"/>
      <c r="KUS2" s="182"/>
      <c r="KUT2" s="182"/>
      <c r="KUU2" s="182"/>
      <c r="KUV2" s="182"/>
      <c r="KUW2" s="182"/>
      <c r="KUX2" s="182"/>
      <c r="KUY2" s="182"/>
      <c r="KUZ2" s="182"/>
      <c r="KVA2" s="182"/>
      <c r="KVB2" s="182"/>
      <c r="KVC2" s="182"/>
      <c r="KVD2" s="182"/>
      <c r="KVE2" s="182"/>
      <c r="KVF2" s="182"/>
      <c r="KVG2" s="182"/>
      <c r="KVH2" s="182"/>
      <c r="KVI2" s="182"/>
      <c r="KVJ2" s="182"/>
      <c r="KVK2" s="182"/>
      <c r="KVL2" s="182"/>
      <c r="KVM2" s="182"/>
      <c r="KVN2" s="182"/>
      <c r="KVO2" s="182"/>
      <c r="KVP2" s="182"/>
      <c r="KVQ2" s="182"/>
      <c r="KVR2" s="182"/>
      <c r="KVS2" s="182"/>
      <c r="KVT2" s="182"/>
      <c r="KVU2" s="182"/>
      <c r="KVV2" s="182"/>
      <c r="KVW2" s="182"/>
      <c r="KVX2" s="182"/>
      <c r="KVY2" s="182"/>
      <c r="KVZ2" s="182"/>
      <c r="KWA2" s="182"/>
      <c r="KWB2" s="182"/>
      <c r="KWC2" s="182"/>
      <c r="KWD2" s="182"/>
      <c r="KWE2" s="182"/>
      <c r="KWF2" s="182"/>
      <c r="KWG2" s="182"/>
      <c r="KWH2" s="182"/>
      <c r="KWI2" s="182"/>
      <c r="KWJ2" s="182"/>
      <c r="KWK2" s="182"/>
      <c r="KWL2" s="182"/>
      <c r="KWM2" s="182"/>
      <c r="KWN2" s="182"/>
      <c r="KWO2" s="182"/>
      <c r="KWP2" s="182"/>
      <c r="KWQ2" s="182"/>
      <c r="KWR2" s="182"/>
      <c r="KWS2" s="182"/>
      <c r="KWT2" s="182"/>
      <c r="KWU2" s="182"/>
      <c r="KWV2" s="182"/>
      <c r="KWW2" s="182"/>
      <c r="KWX2" s="182"/>
      <c r="KWY2" s="182"/>
      <c r="KWZ2" s="182"/>
      <c r="KXA2" s="182"/>
      <c r="KXB2" s="182"/>
      <c r="KXC2" s="182"/>
      <c r="KXD2" s="182"/>
      <c r="KXE2" s="182"/>
      <c r="KXF2" s="182"/>
      <c r="KXG2" s="182"/>
      <c r="KXH2" s="182"/>
      <c r="KXI2" s="182"/>
      <c r="KXJ2" s="182"/>
      <c r="KXK2" s="182"/>
      <c r="KXL2" s="182"/>
      <c r="KXM2" s="182"/>
      <c r="KXN2" s="182"/>
      <c r="KXO2" s="182"/>
      <c r="KXP2" s="182"/>
      <c r="KXQ2" s="182"/>
      <c r="KXR2" s="182"/>
      <c r="KXS2" s="182"/>
      <c r="KXT2" s="182"/>
      <c r="KXU2" s="182"/>
      <c r="KXV2" s="182"/>
      <c r="KXW2" s="182"/>
      <c r="KXX2" s="182"/>
      <c r="KXY2" s="182"/>
      <c r="KXZ2" s="182"/>
      <c r="KYA2" s="182"/>
      <c r="KYB2" s="182"/>
      <c r="KYC2" s="182"/>
      <c r="KYD2" s="182"/>
      <c r="KYE2" s="182"/>
      <c r="KYF2" s="182"/>
      <c r="KYG2" s="182"/>
      <c r="KYH2" s="182"/>
      <c r="KYI2" s="182"/>
      <c r="KYJ2" s="182"/>
      <c r="KYK2" s="182"/>
      <c r="KYL2" s="182"/>
      <c r="KYM2" s="182"/>
      <c r="KYN2" s="182"/>
      <c r="KYO2" s="182"/>
      <c r="KYP2" s="182"/>
      <c r="KYQ2" s="182"/>
      <c r="KYR2" s="182"/>
      <c r="KYS2" s="182"/>
      <c r="KYT2" s="182"/>
      <c r="KYU2" s="182"/>
      <c r="KYV2" s="182"/>
      <c r="KYW2" s="182"/>
      <c r="KYX2" s="182"/>
      <c r="KYY2" s="182"/>
      <c r="KYZ2" s="182"/>
      <c r="KZA2" s="182"/>
      <c r="KZB2" s="182"/>
      <c r="KZC2" s="182"/>
      <c r="KZD2" s="182"/>
      <c r="KZE2" s="182"/>
      <c r="KZF2" s="182"/>
      <c r="KZG2" s="182"/>
      <c r="KZH2" s="182"/>
      <c r="KZI2" s="182"/>
      <c r="KZJ2" s="182"/>
      <c r="KZK2" s="182"/>
      <c r="KZL2" s="182"/>
      <c r="KZM2" s="182"/>
      <c r="KZN2" s="182"/>
      <c r="KZO2" s="182"/>
      <c r="KZP2" s="182"/>
      <c r="KZQ2" s="182"/>
      <c r="KZR2" s="182"/>
      <c r="KZS2" s="182"/>
      <c r="KZT2" s="182"/>
      <c r="KZU2" s="182"/>
      <c r="KZV2" s="182"/>
      <c r="KZW2" s="182"/>
      <c r="KZX2" s="182"/>
      <c r="KZY2" s="182"/>
      <c r="KZZ2" s="182"/>
      <c r="LAA2" s="182"/>
      <c r="LAB2" s="182"/>
      <c r="LAC2" s="182"/>
      <c r="LAD2" s="182"/>
      <c r="LAE2" s="182"/>
      <c r="LAF2" s="182"/>
      <c r="LAG2" s="182"/>
      <c r="LAH2" s="182"/>
      <c r="LAI2" s="182"/>
      <c r="LAJ2" s="182"/>
      <c r="LAK2" s="182"/>
      <c r="LAL2" s="182"/>
      <c r="LAM2" s="182"/>
      <c r="LAN2" s="182"/>
      <c r="LAO2" s="182"/>
      <c r="LAP2" s="182"/>
      <c r="LAQ2" s="182"/>
      <c r="LAR2" s="182"/>
      <c r="LAS2" s="182"/>
      <c r="LAT2" s="182"/>
      <c r="LAU2" s="182"/>
      <c r="LAV2" s="182"/>
      <c r="LAW2" s="182"/>
      <c r="LAX2" s="182"/>
      <c r="LAY2" s="182"/>
      <c r="LAZ2" s="182"/>
      <c r="LBA2" s="182"/>
      <c r="LBB2" s="182"/>
      <c r="LBC2" s="182"/>
      <c r="LBD2" s="182"/>
      <c r="LBE2" s="182"/>
      <c r="LBF2" s="182"/>
      <c r="LBG2" s="182"/>
      <c r="LBH2" s="182"/>
      <c r="LBI2" s="182"/>
      <c r="LBJ2" s="182"/>
      <c r="LBK2" s="182"/>
      <c r="LBL2" s="182"/>
      <c r="LBM2" s="182"/>
      <c r="LBN2" s="182"/>
      <c r="LBO2" s="182"/>
      <c r="LBP2" s="182"/>
      <c r="LBQ2" s="182"/>
      <c r="LBR2" s="182"/>
      <c r="LBS2" s="182"/>
      <c r="LBT2" s="182"/>
      <c r="LBU2" s="182"/>
      <c r="LBV2" s="182"/>
      <c r="LBW2" s="182"/>
      <c r="LBX2" s="182"/>
      <c r="LBY2" s="182"/>
      <c r="LBZ2" s="182"/>
      <c r="LCA2" s="182"/>
      <c r="LCB2" s="182"/>
      <c r="LCC2" s="182"/>
      <c r="LCD2" s="182"/>
      <c r="LCE2" s="182"/>
      <c r="LCF2" s="182"/>
      <c r="LCG2" s="182"/>
      <c r="LCH2" s="182"/>
      <c r="LCI2" s="182"/>
      <c r="LCJ2" s="182"/>
      <c r="LCK2" s="182"/>
      <c r="LCL2" s="182"/>
      <c r="LCM2" s="182"/>
      <c r="LCN2" s="182"/>
      <c r="LCO2" s="182"/>
      <c r="LCP2" s="182"/>
      <c r="LCQ2" s="182"/>
      <c r="LCR2" s="182"/>
      <c r="LCS2" s="182"/>
      <c r="LCT2" s="182"/>
      <c r="LCU2" s="182"/>
      <c r="LCV2" s="182"/>
      <c r="LCW2" s="182"/>
      <c r="LCX2" s="182"/>
      <c r="LCY2" s="182"/>
      <c r="LCZ2" s="182"/>
      <c r="LDA2" s="182"/>
      <c r="LDB2" s="182"/>
      <c r="LDC2" s="182"/>
      <c r="LDD2" s="182"/>
      <c r="LDE2" s="182"/>
      <c r="LDF2" s="182"/>
      <c r="LDG2" s="182"/>
      <c r="LDH2" s="182"/>
      <c r="LDI2" s="182"/>
      <c r="LDJ2" s="182"/>
      <c r="LDK2" s="182"/>
      <c r="LDL2" s="182"/>
      <c r="LDM2" s="182"/>
      <c r="LDN2" s="182"/>
      <c r="LDO2" s="182"/>
      <c r="LDP2" s="182"/>
      <c r="LDQ2" s="182"/>
      <c r="LDR2" s="182"/>
      <c r="LDS2" s="182"/>
      <c r="LDT2" s="182"/>
      <c r="LDU2" s="182"/>
      <c r="LDV2" s="182"/>
      <c r="LDW2" s="182"/>
      <c r="LDX2" s="182"/>
      <c r="LDY2" s="182"/>
      <c r="LDZ2" s="182"/>
      <c r="LEA2" s="182"/>
      <c r="LEB2" s="182"/>
      <c r="LEC2" s="182"/>
      <c r="LED2" s="182"/>
      <c r="LEE2" s="182"/>
      <c r="LEF2" s="182"/>
      <c r="LEG2" s="182"/>
      <c r="LEH2" s="182"/>
      <c r="LEI2" s="182"/>
      <c r="LEJ2" s="182"/>
      <c r="LEK2" s="182"/>
      <c r="LEL2" s="182"/>
      <c r="LEM2" s="182"/>
      <c r="LEN2" s="182"/>
      <c r="LEO2" s="182"/>
      <c r="LEP2" s="182"/>
      <c r="LEQ2" s="182"/>
      <c r="LER2" s="182"/>
      <c r="LES2" s="182"/>
      <c r="LET2" s="182"/>
      <c r="LEU2" s="182"/>
      <c r="LEV2" s="182"/>
      <c r="LEW2" s="182"/>
      <c r="LEX2" s="182"/>
      <c r="LEY2" s="182"/>
      <c r="LEZ2" s="182"/>
      <c r="LFA2" s="182"/>
      <c r="LFB2" s="182"/>
      <c r="LFC2" s="182"/>
      <c r="LFD2" s="182"/>
      <c r="LFE2" s="182"/>
      <c r="LFF2" s="182"/>
      <c r="LFG2" s="182"/>
      <c r="LFH2" s="182"/>
      <c r="LFI2" s="182"/>
      <c r="LFJ2" s="182"/>
      <c r="LFK2" s="182"/>
      <c r="LFL2" s="182"/>
      <c r="LFM2" s="182"/>
      <c r="LFN2" s="182"/>
      <c r="LFO2" s="182"/>
      <c r="LFP2" s="182"/>
      <c r="LFQ2" s="182"/>
      <c r="LFR2" s="182"/>
      <c r="LFS2" s="182"/>
      <c r="LFT2" s="182"/>
      <c r="LFU2" s="182"/>
      <c r="LFV2" s="182"/>
      <c r="LFW2" s="182"/>
      <c r="LFX2" s="182"/>
      <c r="LFY2" s="182"/>
      <c r="LFZ2" s="182"/>
      <c r="LGA2" s="182"/>
      <c r="LGB2" s="182"/>
      <c r="LGC2" s="182"/>
      <c r="LGD2" s="182"/>
      <c r="LGE2" s="182"/>
      <c r="LGF2" s="182"/>
      <c r="LGG2" s="182"/>
      <c r="LGH2" s="182"/>
      <c r="LGI2" s="182"/>
      <c r="LGJ2" s="182"/>
      <c r="LGK2" s="182"/>
      <c r="LGL2" s="182"/>
      <c r="LGM2" s="182"/>
      <c r="LGN2" s="182"/>
      <c r="LGO2" s="182"/>
      <c r="LGP2" s="182"/>
      <c r="LGQ2" s="182"/>
      <c r="LGR2" s="182"/>
      <c r="LGS2" s="182"/>
      <c r="LGT2" s="182"/>
      <c r="LGU2" s="182"/>
      <c r="LGV2" s="182"/>
      <c r="LGW2" s="182"/>
      <c r="LGX2" s="182"/>
      <c r="LGY2" s="182"/>
      <c r="LGZ2" s="182"/>
      <c r="LHA2" s="182"/>
      <c r="LHB2" s="182"/>
      <c r="LHC2" s="182"/>
      <c r="LHD2" s="182"/>
      <c r="LHE2" s="182"/>
      <c r="LHF2" s="182"/>
      <c r="LHG2" s="182"/>
      <c r="LHH2" s="182"/>
      <c r="LHI2" s="182"/>
      <c r="LHJ2" s="182"/>
      <c r="LHK2" s="182"/>
      <c r="LHL2" s="182"/>
      <c r="LHM2" s="182"/>
      <c r="LHN2" s="182"/>
      <c r="LHO2" s="182"/>
      <c r="LHP2" s="182"/>
      <c r="LHQ2" s="182"/>
      <c r="LHR2" s="182"/>
      <c r="LHS2" s="182"/>
      <c r="LHT2" s="182"/>
      <c r="LHU2" s="182"/>
      <c r="LHV2" s="182"/>
      <c r="LHW2" s="182"/>
      <c r="LHX2" s="182"/>
      <c r="LHY2" s="182"/>
      <c r="LHZ2" s="182"/>
      <c r="LIA2" s="182"/>
      <c r="LIB2" s="182"/>
      <c r="LIC2" s="182"/>
      <c r="LID2" s="182"/>
      <c r="LIE2" s="182"/>
      <c r="LIF2" s="182"/>
      <c r="LIG2" s="182"/>
      <c r="LIH2" s="182"/>
      <c r="LII2" s="182"/>
      <c r="LIJ2" s="182"/>
      <c r="LIK2" s="182"/>
      <c r="LIL2" s="182"/>
      <c r="LIM2" s="182"/>
      <c r="LIN2" s="182"/>
      <c r="LIO2" s="182"/>
      <c r="LIP2" s="182"/>
      <c r="LIQ2" s="182"/>
      <c r="LIR2" s="182"/>
      <c r="LIS2" s="182"/>
      <c r="LIT2" s="182"/>
      <c r="LIU2" s="182"/>
      <c r="LIV2" s="182"/>
      <c r="LIW2" s="182"/>
      <c r="LIX2" s="182"/>
      <c r="LIY2" s="182"/>
      <c r="LIZ2" s="182"/>
      <c r="LJA2" s="182"/>
      <c r="LJB2" s="182"/>
      <c r="LJC2" s="182"/>
      <c r="LJD2" s="182"/>
      <c r="LJE2" s="182"/>
      <c r="LJF2" s="182"/>
      <c r="LJG2" s="182"/>
      <c r="LJH2" s="182"/>
      <c r="LJI2" s="182"/>
      <c r="LJJ2" s="182"/>
      <c r="LJK2" s="182"/>
      <c r="LJL2" s="182"/>
      <c r="LJM2" s="182"/>
      <c r="LJN2" s="182"/>
      <c r="LJO2" s="182"/>
      <c r="LJP2" s="182"/>
      <c r="LJQ2" s="182"/>
      <c r="LJR2" s="182"/>
      <c r="LJS2" s="182"/>
      <c r="LJT2" s="182"/>
      <c r="LJU2" s="182"/>
      <c r="LJV2" s="182"/>
      <c r="LJW2" s="182"/>
      <c r="LJX2" s="182"/>
      <c r="LJY2" s="182"/>
      <c r="LJZ2" s="182"/>
      <c r="LKA2" s="182"/>
      <c r="LKB2" s="182"/>
      <c r="LKC2" s="182"/>
      <c r="LKD2" s="182"/>
      <c r="LKE2" s="182"/>
      <c r="LKF2" s="182"/>
      <c r="LKG2" s="182"/>
      <c r="LKH2" s="182"/>
      <c r="LKI2" s="182"/>
      <c r="LKJ2" s="182"/>
      <c r="LKK2" s="182"/>
      <c r="LKL2" s="182"/>
      <c r="LKM2" s="182"/>
      <c r="LKN2" s="182"/>
      <c r="LKO2" s="182"/>
      <c r="LKP2" s="182"/>
      <c r="LKQ2" s="182"/>
      <c r="LKR2" s="182"/>
      <c r="LKS2" s="182"/>
      <c r="LKT2" s="182"/>
      <c r="LKU2" s="182"/>
      <c r="LKV2" s="182"/>
      <c r="LKW2" s="182"/>
      <c r="LKX2" s="182"/>
      <c r="LKY2" s="182"/>
      <c r="LKZ2" s="182"/>
      <c r="LLA2" s="182"/>
      <c r="LLB2" s="182"/>
      <c r="LLC2" s="182"/>
      <c r="LLD2" s="182"/>
      <c r="LLE2" s="182"/>
      <c r="LLF2" s="182"/>
      <c r="LLG2" s="182"/>
      <c r="LLH2" s="182"/>
      <c r="LLI2" s="182"/>
      <c r="LLJ2" s="182"/>
      <c r="LLK2" s="182"/>
      <c r="LLL2" s="182"/>
      <c r="LLM2" s="182"/>
      <c r="LLN2" s="182"/>
      <c r="LLO2" s="182"/>
      <c r="LLP2" s="182"/>
      <c r="LLQ2" s="182"/>
      <c r="LLR2" s="182"/>
      <c r="LLS2" s="182"/>
      <c r="LLT2" s="182"/>
      <c r="LLU2" s="182"/>
      <c r="LLV2" s="182"/>
      <c r="LLW2" s="182"/>
      <c r="LLX2" s="182"/>
      <c r="LLY2" s="182"/>
      <c r="LLZ2" s="182"/>
      <c r="LMA2" s="182"/>
      <c r="LMB2" s="182"/>
      <c r="LMC2" s="182"/>
      <c r="LMD2" s="182"/>
      <c r="LME2" s="182"/>
      <c r="LMF2" s="182"/>
      <c r="LMG2" s="182"/>
      <c r="LMH2" s="182"/>
      <c r="LMI2" s="182"/>
      <c r="LMJ2" s="182"/>
      <c r="LMK2" s="182"/>
      <c r="LML2" s="182"/>
      <c r="LMM2" s="182"/>
      <c r="LMN2" s="182"/>
      <c r="LMO2" s="182"/>
      <c r="LMP2" s="182"/>
      <c r="LMQ2" s="182"/>
      <c r="LMR2" s="182"/>
      <c r="LMS2" s="182"/>
      <c r="LMT2" s="182"/>
      <c r="LMU2" s="182"/>
      <c r="LMV2" s="182"/>
      <c r="LMW2" s="182"/>
      <c r="LMX2" s="182"/>
      <c r="LMY2" s="182"/>
      <c r="LMZ2" s="182"/>
      <c r="LNA2" s="182"/>
      <c r="LNB2" s="182"/>
      <c r="LNC2" s="182"/>
      <c r="LND2" s="182"/>
      <c r="LNE2" s="182"/>
      <c r="LNF2" s="182"/>
      <c r="LNG2" s="182"/>
      <c r="LNH2" s="182"/>
      <c r="LNI2" s="182"/>
      <c r="LNJ2" s="182"/>
      <c r="LNK2" s="182"/>
      <c r="LNL2" s="182"/>
      <c r="LNM2" s="182"/>
      <c r="LNN2" s="182"/>
      <c r="LNO2" s="182"/>
      <c r="LNP2" s="182"/>
      <c r="LNQ2" s="182"/>
      <c r="LNR2" s="182"/>
      <c r="LNS2" s="182"/>
      <c r="LNT2" s="182"/>
      <c r="LNU2" s="182"/>
      <c r="LNV2" s="182"/>
      <c r="LNW2" s="182"/>
      <c r="LNX2" s="182"/>
      <c r="LNY2" s="182"/>
      <c r="LNZ2" s="182"/>
      <c r="LOA2" s="182"/>
      <c r="LOB2" s="182"/>
      <c r="LOC2" s="182"/>
      <c r="LOD2" s="182"/>
      <c r="LOE2" s="182"/>
      <c r="LOF2" s="182"/>
      <c r="LOG2" s="182"/>
      <c r="LOH2" s="182"/>
      <c r="LOI2" s="182"/>
      <c r="LOJ2" s="182"/>
      <c r="LOK2" s="182"/>
      <c r="LOL2" s="182"/>
      <c r="LOM2" s="182"/>
      <c r="LON2" s="182"/>
      <c r="LOO2" s="182"/>
      <c r="LOP2" s="182"/>
      <c r="LOQ2" s="182"/>
      <c r="LOR2" s="182"/>
      <c r="LOS2" s="182"/>
      <c r="LOT2" s="182"/>
      <c r="LOU2" s="182"/>
      <c r="LOV2" s="182"/>
      <c r="LOW2" s="182"/>
      <c r="LOX2" s="182"/>
      <c r="LOY2" s="182"/>
      <c r="LOZ2" s="182"/>
      <c r="LPA2" s="182"/>
      <c r="LPB2" s="182"/>
      <c r="LPC2" s="182"/>
      <c r="LPD2" s="182"/>
      <c r="LPE2" s="182"/>
      <c r="LPF2" s="182"/>
      <c r="LPG2" s="182"/>
      <c r="LPH2" s="182"/>
      <c r="LPI2" s="182"/>
      <c r="LPJ2" s="182"/>
      <c r="LPK2" s="182"/>
      <c r="LPL2" s="182"/>
      <c r="LPM2" s="182"/>
      <c r="LPN2" s="182"/>
      <c r="LPO2" s="182"/>
      <c r="LPP2" s="182"/>
      <c r="LPQ2" s="182"/>
      <c r="LPR2" s="182"/>
      <c r="LPS2" s="182"/>
      <c r="LPT2" s="182"/>
      <c r="LPU2" s="182"/>
      <c r="LPV2" s="182"/>
      <c r="LPW2" s="182"/>
      <c r="LPX2" s="182"/>
      <c r="LPY2" s="182"/>
      <c r="LPZ2" s="182"/>
      <c r="LQA2" s="182"/>
      <c r="LQB2" s="182"/>
      <c r="LQC2" s="182"/>
      <c r="LQD2" s="182"/>
      <c r="LQE2" s="182"/>
      <c r="LQF2" s="182"/>
      <c r="LQG2" s="182"/>
      <c r="LQH2" s="182"/>
      <c r="LQI2" s="182"/>
      <c r="LQJ2" s="182"/>
      <c r="LQK2" s="182"/>
      <c r="LQL2" s="182"/>
      <c r="LQM2" s="182"/>
      <c r="LQN2" s="182"/>
      <c r="LQO2" s="182"/>
      <c r="LQP2" s="182"/>
      <c r="LQQ2" s="182"/>
      <c r="LQR2" s="182"/>
      <c r="LQS2" s="182"/>
      <c r="LQT2" s="182"/>
      <c r="LQU2" s="182"/>
      <c r="LQV2" s="182"/>
      <c r="LQW2" s="182"/>
      <c r="LQX2" s="182"/>
      <c r="LQY2" s="182"/>
      <c r="LQZ2" s="182"/>
      <c r="LRA2" s="182"/>
      <c r="LRB2" s="182"/>
      <c r="LRC2" s="182"/>
      <c r="LRD2" s="182"/>
      <c r="LRE2" s="182"/>
      <c r="LRF2" s="182"/>
      <c r="LRG2" s="182"/>
      <c r="LRH2" s="182"/>
      <c r="LRI2" s="182"/>
      <c r="LRJ2" s="182"/>
      <c r="LRK2" s="182"/>
      <c r="LRL2" s="182"/>
      <c r="LRM2" s="182"/>
      <c r="LRN2" s="182"/>
      <c r="LRO2" s="182"/>
      <c r="LRP2" s="182"/>
      <c r="LRQ2" s="182"/>
      <c r="LRR2" s="182"/>
      <c r="LRS2" s="182"/>
      <c r="LRT2" s="182"/>
      <c r="LRU2" s="182"/>
      <c r="LRV2" s="182"/>
      <c r="LRW2" s="182"/>
      <c r="LRX2" s="182"/>
      <c r="LRY2" s="182"/>
      <c r="LRZ2" s="182"/>
      <c r="LSA2" s="182"/>
      <c r="LSB2" s="182"/>
      <c r="LSC2" s="182"/>
      <c r="LSD2" s="182"/>
      <c r="LSE2" s="182"/>
      <c r="LSF2" s="182"/>
      <c r="LSG2" s="182"/>
      <c r="LSH2" s="182"/>
      <c r="LSI2" s="182"/>
      <c r="LSJ2" s="182"/>
      <c r="LSK2" s="182"/>
      <c r="LSL2" s="182"/>
      <c r="LSM2" s="182"/>
      <c r="LSN2" s="182"/>
      <c r="LSO2" s="182"/>
      <c r="LSP2" s="182"/>
      <c r="LSQ2" s="182"/>
      <c r="LSR2" s="182"/>
      <c r="LSS2" s="182"/>
      <c r="LST2" s="182"/>
      <c r="LSU2" s="182"/>
      <c r="LSV2" s="182"/>
      <c r="LSW2" s="182"/>
      <c r="LSX2" s="182"/>
      <c r="LSY2" s="182"/>
      <c r="LSZ2" s="182"/>
      <c r="LTA2" s="182"/>
      <c r="LTB2" s="182"/>
      <c r="LTC2" s="182"/>
      <c r="LTD2" s="182"/>
      <c r="LTE2" s="182"/>
      <c r="LTF2" s="182"/>
      <c r="LTG2" s="182"/>
      <c r="LTH2" s="182"/>
      <c r="LTI2" s="182"/>
      <c r="LTJ2" s="182"/>
      <c r="LTK2" s="182"/>
      <c r="LTL2" s="182"/>
      <c r="LTM2" s="182"/>
      <c r="LTN2" s="182"/>
      <c r="LTO2" s="182"/>
      <c r="LTP2" s="182"/>
      <c r="LTQ2" s="182"/>
      <c r="LTR2" s="182"/>
      <c r="LTS2" s="182"/>
      <c r="LTT2" s="182"/>
      <c r="LTU2" s="182"/>
      <c r="LTV2" s="182"/>
      <c r="LTW2" s="182"/>
      <c r="LTX2" s="182"/>
      <c r="LTY2" s="182"/>
      <c r="LTZ2" s="182"/>
      <c r="LUA2" s="182"/>
      <c r="LUB2" s="182"/>
      <c r="LUC2" s="182"/>
      <c r="LUD2" s="182"/>
      <c r="LUE2" s="182"/>
      <c r="LUF2" s="182"/>
      <c r="LUG2" s="182"/>
      <c r="LUH2" s="182"/>
      <c r="LUI2" s="182"/>
      <c r="LUJ2" s="182"/>
      <c r="LUK2" s="182"/>
      <c r="LUL2" s="182"/>
      <c r="LUM2" s="182"/>
      <c r="LUN2" s="182"/>
      <c r="LUO2" s="182"/>
      <c r="LUP2" s="182"/>
      <c r="LUQ2" s="182"/>
      <c r="LUR2" s="182"/>
      <c r="LUS2" s="182"/>
      <c r="LUT2" s="182"/>
      <c r="LUU2" s="182"/>
      <c r="LUV2" s="182"/>
      <c r="LUW2" s="182"/>
      <c r="LUX2" s="182"/>
      <c r="LUY2" s="182"/>
      <c r="LUZ2" s="182"/>
      <c r="LVA2" s="182"/>
      <c r="LVB2" s="182"/>
      <c r="LVC2" s="182"/>
      <c r="LVD2" s="182"/>
      <c r="LVE2" s="182"/>
      <c r="LVF2" s="182"/>
      <c r="LVG2" s="182"/>
      <c r="LVH2" s="182"/>
      <c r="LVI2" s="182"/>
      <c r="LVJ2" s="182"/>
      <c r="LVK2" s="182"/>
      <c r="LVL2" s="182"/>
      <c r="LVM2" s="182"/>
      <c r="LVN2" s="182"/>
      <c r="LVO2" s="182"/>
      <c r="LVP2" s="182"/>
      <c r="LVQ2" s="182"/>
      <c r="LVR2" s="182"/>
      <c r="LVS2" s="182"/>
      <c r="LVT2" s="182"/>
      <c r="LVU2" s="182"/>
      <c r="LVV2" s="182"/>
      <c r="LVW2" s="182"/>
      <c r="LVX2" s="182"/>
      <c r="LVY2" s="182"/>
      <c r="LVZ2" s="182"/>
      <c r="LWA2" s="182"/>
      <c r="LWB2" s="182"/>
      <c r="LWC2" s="182"/>
      <c r="LWD2" s="182"/>
      <c r="LWE2" s="182"/>
      <c r="LWF2" s="182"/>
      <c r="LWG2" s="182"/>
      <c r="LWH2" s="182"/>
      <c r="LWI2" s="182"/>
      <c r="LWJ2" s="182"/>
      <c r="LWK2" s="182"/>
      <c r="LWL2" s="182"/>
      <c r="LWM2" s="182"/>
      <c r="LWN2" s="182"/>
      <c r="LWO2" s="182"/>
      <c r="LWP2" s="182"/>
      <c r="LWQ2" s="182"/>
      <c r="LWR2" s="182"/>
      <c r="LWS2" s="182"/>
      <c r="LWT2" s="182"/>
      <c r="LWU2" s="182"/>
      <c r="LWV2" s="182"/>
      <c r="LWW2" s="182"/>
      <c r="LWX2" s="182"/>
      <c r="LWY2" s="182"/>
      <c r="LWZ2" s="182"/>
      <c r="LXA2" s="182"/>
      <c r="LXB2" s="182"/>
      <c r="LXC2" s="182"/>
      <c r="LXD2" s="182"/>
      <c r="LXE2" s="182"/>
      <c r="LXF2" s="182"/>
      <c r="LXG2" s="182"/>
      <c r="LXH2" s="182"/>
      <c r="LXI2" s="182"/>
      <c r="LXJ2" s="182"/>
      <c r="LXK2" s="182"/>
      <c r="LXL2" s="182"/>
      <c r="LXM2" s="182"/>
      <c r="LXN2" s="182"/>
      <c r="LXO2" s="182"/>
      <c r="LXP2" s="182"/>
      <c r="LXQ2" s="182"/>
      <c r="LXR2" s="182"/>
      <c r="LXS2" s="182"/>
      <c r="LXT2" s="182"/>
      <c r="LXU2" s="182"/>
      <c r="LXV2" s="182"/>
      <c r="LXW2" s="182"/>
      <c r="LXX2" s="182"/>
      <c r="LXY2" s="182"/>
      <c r="LXZ2" s="182"/>
      <c r="LYA2" s="182"/>
      <c r="LYB2" s="182"/>
      <c r="LYC2" s="182"/>
      <c r="LYD2" s="182"/>
      <c r="LYE2" s="182"/>
      <c r="LYF2" s="182"/>
      <c r="LYG2" s="182"/>
      <c r="LYH2" s="182"/>
      <c r="LYI2" s="182"/>
      <c r="LYJ2" s="182"/>
      <c r="LYK2" s="182"/>
      <c r="LYL2" s="182"/>
      <c r="LYM2" s="182"/>
      <c r="LYN2" s="182"/>
      <c r="LYO2" s="182"/>
      <c r="LYP2" s="182"/>
      <c r="LYQ2" s="182"/>
      <c r="LYR2" s="182"/>
      <c r="LYS2" s="182"/>
      <c r="LYT2" s="182"/>
      <c r="LYU2" s="182"/>
      <c r="LYV2" s="182"/>
      <c r="LYW2" s="182"/>
      <c r="LYX2" s="182"/>
      <c r="LYY2" s="182"/>
      <c r="LYZ2" s="182"/>
      <c r="LZA2" s="182"/>
      <c r="LZB2" s="182"/>
      <c r="LZC2" s="182"/>
      <c r="LZD2" s="182"/>
      <c r="LZE2" s="182"/>
      <c r="LZF2" s="182"/>
      <c r="LZG2" s="182"/>
      <c r="LZH2" s="182"/>
      <c r="LZI2" s="182"/>
      <c r="LZJ2" s="182"/>
      <c r="LZK2" s="182"/>
      <c r="LZL2" s="182"/>
      <c r="LZM2" s="182"/>
      <c r="LZN2" s="182"/>
      <c r="LZO2" s="182"/>
      <c r="LZP2" s="182"/>
      <c r="LZQ2" s="182"/>
      <c r="LZR2" s="182"/>
      <c r="LZS2" s="182"/>
      <c r="LZT2" s="182"/>
      <c r="LZU2" s="182"/>
      <c r="LZV2" s="182"/>
      <c r="LZW2" s="182"/>
      <c r="LZX2" s="182"/>
      <c r="LZY2" s="182"/>
      <c r="LZZ2" s="182"/>
      <c r="MAA2" s="182"/>
      <c r="MAB2" s="182"/>
      <c r="MAC2" s="182"/>
      <c r="MAD2" s="182"/>
      <c r="MAE2" s="182"/>
      <c r="MAF2" s="182"/>
      <c r="MAG2" s="182"/>
      <c r="MAH2" s="182"/>
      <c r="MAI2" s="182"/>
      <c r="MAJ2" s="182"/>
      <c r="MAK2" s="182"/>
      <c r="MAL2" s="182"/>
      <c r="MAM2" s="182"/>
      <c r="MAN2" s="182"/>
      <c r="MAO2" s="182"/>
      <c r="MAP2" s="182"/>
      <c r="MAQ2" s="182"/>
      <c r="MAR2" s="182"/>
      <c r="MAS2" s="182"/>
      <c r="MAT2" s="182"/>
      <c r="MAU2" s="182"/>
      <c r="MAV2" s="182"/>
      <c r="MAW2" s="182"/>
      <c r="MAX2" s="182"/>
      <c r="MAY2" s="182"/>
      <c r="MAZ2" s="182"/>
      <c r="MBA2" s="182"/>
      <c r="MBB2" s="182"/>
      <c r="MBC2" s="182"/>
      <c r="MBD2" s="182"/>
      <c r="MBE2" s="182"/>
      <c r="MBF2" s="182"/>
      <c r="MBG2" s="182"/>
      <c r="MBH2" s="182"/>
      <c r="MBI2" s="182"/>
      <c r="MBJ2" s="182"/>
      <c r="MBK2" s="182"/>
      <c r="MBL2" s="182"/>
      <c r="MBM2" s="182"/>
      <c r="MBN2" s="182"/>
      <c r="MBO2" s="182"/>
      <c r="MBP2" s="182"/>
      <c r="MBQ2" s="182"/>
      <c r="MBR2" s="182"/>
      <c r="MBS2" s="182"/>
      <c r="MBT2" s="182"/>
      <c r="MBU2" s="182"/>
      <c r="MBV2" s="182"/>
      <c r="MBW2" s="182"/>
      <c r="MBX2" s="182"/>
      <c r="MBY2" s="182"/>
      <c r="MBZ2" s="182"/>
      <c r="MCA2" s="182"/>
      <c r="MCB2" s="182"/>
      <c r="MCC2" s="182"/>
      <c r="MCD2" s="182"/>
      <c r="MCE2" s="182"/>
      <c r="MCF2" s="182"/>
      <c r="MCG2" s="182"/>
      <c r="MCH2" s="182"/>
      <c r="MCI2" s="182"/>
      <c r="MCJ2" s="182"/>
      <c r="MCK2" s="182"/>
      <c r="MCL2" s="182"/>
      <c r="MCM2" s="182"/>
      <c r="MCN2" s="182"/>
      <c r="MCO2" s="182"/>
      <c r="MCP2" s="182"/>
      <c r="MCQ2" s="182"/>
      <c r="MCR2" s="182"/>
      <c r="MCS2" s="182"/>
      <c r="MCT2" s="182"/>
      <c r="MCU2" s="182"/>
      <c r="MCV2" s="182"/>
      <c r="MCW2" s="182"/>
      <c r="MCX2" s="182"/>
      <c r="MCY2" s="182"/>
      <c r="MCZ2" s="182"/>
      <c r="MDA2" s="182"/>
      <c r="MDB2" s="182"/>
      <c r="MDC2" s="182"/>
      <c r="MDD2" s="182"/>
      <c r="MDE2" s="182"/>
      <c r="MDF2" s="182"/>
      <c r="MDG2" s="182"/>
      <c r="MDH2" s="182"/>
      <c r="MDI2" s="182"/>
      <c r="MDJ2" s="182"/>
      <c r="MDK2" s="182"/>
      <c r="MDL2" s="182"/>
      <c r="MDM2" s="182"/>
      <c r="MDN2" s="182"/>
      <c r="MDO2" s="182"/>
      <c r="MDP2" s="182"/>
      <c r="MDQ2" s="182"/>
      <c r="MDR2" s="182"/>
      <c r="MDS2" s="182"/>
      <c r="MDT2" s="182"/>
      <c r="MDU2" s="182"/>
      <c r="MDV2" s="182"/>
      <c r="MDW2" s="182"/>
      <c r="MDX2" s="182"/>
      <c r="MDY2" s="182"/>
      <c r="MDZ2" s="182"/>
      <c r="MEA2" s="182"/>
      <c r="MEB2" s="182"/>
      <c r="MEC2" s="182"/>
      <c r="MED2" s="182"/>
      <c r="MEE2" s="182"/>
      <c r="MEF2" s="182"/>
      <c r="MEG2" s="182"/>
      <c r="MEH2" s="182"/>
      <c r="MEI2" s="182"/>
      <c r="MEJ2" s="182"/>
      <c r="MEK2" s="182"/>
      <c r="MEL2" s="182"/>
      <c r="MEM2" s="182"/>
      <c r="MEN2" s="182"/>
      <c r="MEO2" s="182"/>
      <c r="MEP2" s="182"/>
      <c r="MEQ2" s="182"/>
      <c r="MER2" s="182"/>
      <c r="MES2" s="182"/>
      <c r="MET2" s="182"/>
      <c r="MEU2" s="182"/>
      <c r="MEV2" s="182"/>
      <c r="MEW2" s="182"/>
      <c r="MEX2" s="182"/>
      <c r="MEY2" s="182"/>
      <c r="MEZ2" s="182"/>
      <c r="MFA2" s="182"/>
      <c r="MFB2" s="182"/>
      <c r="MFC2" s="182"/>
      <c r="MFD2" s="182"/>
      <c r="MFE2" s="182"/>
      <c r="MFF2" s="182"/>
      <c r="MFG2" s="182"/>
      <c r="MFH2" s="182"/>
      <c r="MFI2" s="182"/>
      <c r="MFJ2" s="182"/>
      <c r="MFK2" s="182"/>
      <c r="MFL2" s="182"/>
      <c r="MFM2" s="182"/>
      <c r="MFN2" s="182"/>
      <c r="MFO2" s="182"/>
      <c r="MFP2" s="182"/>
      <c r="MFQ2" s="182"/>
      <c r="MFR2" s="182"/>
      <c r="MFS2" s="182"/>
      <c r="MFT2" s="182"/>
      <c r="MFU2" s="182"/>
      <c r="MFV2" s="182"/>
      <c r="MFW2" s="182"/>
      <c r="MFX2" s="182"/>
      <c r="MFY2" s="182"/>
      <c r="MFZ2" s="182"/>
      <c r="MGA2" s="182"/>
      <c r="MGB2" s="182"/>
      <c r="MGC2" s="182"/>
      <c r="MGD2" s="182"/>
      <c r="MGE2" s="182"/>
      <c r="MGF2" s="182"/>
      <c r="MGG2" s="182"/>
      <c r="MGH2" s="182"/>
      <c r="MGI2" s="182"/>
      <c r="MGJ2" s="182"/>
      <c r="MGK2" s="182"/>
      <c r="MGL2" s="182"/>
      <c r="MGM2" s="182"/>
      <c r="MGN2" s="182"/>
      <c r="MGO2" s="182"/>
      <c r="MGP2" s="182"/>
      <c r="MGQ2" s="182"/>
      <c r="MGR2" s="182"/>
      <c r="MGS2" s="182"/>
      <c r="MGT2" s="182"/>
      <c r="MGU2" s="182"/>
      <c r="MGV2" s="182"/>
      <c r="MGW2" s="182"/>
      <c r="MGX2" s="182"/>
      <c r="MGY2" s="182"/>
      <c r="MGZ2" s="182"/>
      <c r="MHA2" s="182"/>
      <c r="MHB2" s="182"/>
      <c r="MHC2" s="182"/>
      <c r="MHD2" s="182"/>
      <c r="MHE2" s="182"/>
      <c r="MHF2" s="182"/>
      <c r="MHG2" s="182"/>
      <c r="MHH2" s="182"/>
      <c r="MHI2" s="182"/>
      <c r="MHJ2" s="182"/>
      <c r="MHK2" s="182"/>
      <c r="MHL2" s="182"/>
      <c r="MHM2" s="182"/>
      <c r="MHN2" s="182"/>
      <c r="MHO2" s="182"/>
      <c r="MHP2" s="182"/>
      <c r="MHQ2" s="182"/>
      <c r="MHR2" s="182"/>
      <c r="MHS2" s="182"/>
      <c r="MHT2" s="182"/>
      <c r="MHU2" s="182"/>
      <c r="MHV2" s="182"/>
      <c r="MHW2" s="182"/>
      <c r="MHX2" s="182"/>
      <c r="MHY2" s="182"/>
      <c r="MHZ2" s="182"/>
      <c r="MIA2" s="182"/>
      <c r="MIB2" s="182"/>
      <c r="MIC2" s="182"/>
      <c r="MID2" s="182"/>
      <c r="MIE2" s="182"/>
      <c r="MIF2" s="182"/>
      <c r="MIG2" s="182"/>
      <c r="MIH2" s="182"/>
      <c r="MII2" s="182"/>
      <c r="MIJ2" s="182"/>
      <c r="MIK2" s="182"/>
      <c r="MIL2" s="182"/>
      <c r="MIM2" s="182"/>
      <c r="MIN2" s="182"/>
      <c r="MIO2" s="182"/>
      <c r="MIP2" s="182"/>
      <c r="MIQ2" s="182"/>
      <c r="MIR2" s="182"/>
      <c r="MIS2" s="182"/>
      <c r="MIT2" s="182"/>
      <c r="MIU2" s="182"/>
      <c r="MIV2" s="182"/>
      <c r="MIW2" s="182"/>
      <c r="MIX2" s="182"/>
      <c r="MIY2" s="182"/>
      <c r="MIZ2" s="182"/>
      <c r="MJA2" s="182"/>
      <c r="MJB2" s="182"/>
      <c r="MJC2" s="182"/>
      <c r="MJD2" s="182"/>
      <c r="MJE2" s="182"/>
      <c r="MJF2" s="182"/>
      <c r="MJG2" s="182"/>
      <c r="MJH2" s="182"/>
      <c r="MJI2" s="182"/>
      <c r="MJJ2" s="182"/>
      <c r="MJK2" s="182"/>
      <c r="MJL2" s="182"/>
      <c r="MJM2" s="182"/>
      <c r="MJN2" s="182"/>
      <c r="MJO2" s="182"/>
      <c r="MJP2" s="182"/>
      <c r="MJQ2" s="182"/>
      <c r="MJR2" s="182"/>
      <c r="MJS2" s="182"/>
      <c r="MJT2" s="182"/>
      <c r="MJU2" s="182"/>
      <c r="MJV2" s="182"/>
      <c r="MJW2" s="182"/>
      <c r="MJX2" s="182"/>
      <c r="MJY2" s="182"/>
      <c r="MJZ2" s="182"/>
      <c r="MKA2" s="182"/>
      <c r="MKB2" s="182"/>
      <c r="MKC2" s="182"/>
      <c r="MKD2" s="182"/>
      <c r="MKE2" s="182"/>
      <c r="MKF2" s="182"/>
      <c r="MKG2" s="182"/>
      <c r="MKH2" s="182"/>
      <c r="MKI2" s="182"/>
      <c r="MKJ2" s="182"/>
      <c r="MKK2" s="182"/>
      <c r="MKL2" s="182"/>
      <c r="MKM2" s="182"/>
      <c r="MKN2" s="182"/>
      <c r="MKO2" s="182"/>
      <c r="MKP2" s="182"/>
      <c r="MKQ2" s="182"/>
      <c r="MKR2" s="182"/>
      <c r="MKS2" s="182"/>
      <c r="MKT2" s="182"/>
      <c r="MKU2" s="182"/>
      <c r="MKV2" s="182"/>
      <c r="MKW2" s="182"/>
      <c r="MKX2" s="182"/>
      <c r="MKY2" s="182"/>
      <c r="MKZ2" s="182"/>
      <c r="MLA2" s="182"/>
      <c r="MLB2" s="182"/>
      <c r="MLC2" s="182"/>
      <c r="MLD2" s="182"/>
      <c r="MLE2" s="182"/>
      <c r="MLF2" s="182"/>
      <c r="MLG2" s="182"/>
      <c r="MLH2" s="182"/>
      <c r="MLI2" s="182"/>
      <c r="MLJ2" s="182"/>
      <c r="MLK2" s="182"/>
      <c r="MLL2" s="182"/>
      <c r="MLM2" s="182"/>
      <c r="MLN2" s="182"/>
      <c r="MLO2" s="182"/>
      <c r="MLP2" s="182"/>
      <c r="MLQ2" s="182"/>
      <c r="MLR2" s="182"/>
      <c r="MLS2" s="182"/>
      <c r="MLT2" s="182"/>
      <c r="MLU2" s="182"/>
      <c r="MLV2" s="182"/>
      <c r="MLW2" s="182"/>
      <c r="MLX2" s="182"/>
      <c r="MLY2" s="182"/>
      <c r="MLZ2" s="182"/>
      <c r="MMA2" s="182"/>
      <c r="MMB2" s="182"/>
      <c r="MMC2" s="182"/>
      <c r="MMD2" s="182"/>
      <c r="MME2" s="182"/>
      <c r="MMF2" s="182"/>
      <c r="MMG2" s="182"/>
      <c r="MMH2" s="182"/>
      <c r="MMI2" s="182"/>
      <c r="MMJ2" s="182"/>
      <c r="MMK2" s="182"/>
      <c r="MML2" s="182"/>
      <c r="MMM2" s="182"/>
      <c r="MMN2" s="182"/>
      <c r="MMO2" s="182"/>
      <c r="MMP2" s="182"/>
      <c r="MMQ2" s="182"/>
      <c r="MMR2" s="182"/>
      <c r="MMS2" s="182"/>
      <c r="MMT2" s="182"/>
      <c r="MMU2" s="182"/>
      <c r="MMV2" s="182"/>
      <c r="MMW2" s="182"/>
      <c r="MMX2" s="182"/>
      <c r="MMY2" s="182"/>
      <c r="MMZ2" s="182"/>
      <c r="MNA2" s="182"/>
      <c r="MNB2" s="182"/>
      <c r="MNC2" s="182"/>
      <c r="MND2" s="182"/>
      <c r="MNE2" s="182"/>
      <c r="MNF2" s="182"/>
      <c r="MNG2" s="182"/>
      <c r="MNH2" s="182"/>
      <c r="MNI2" s="182"/>
      <c r="MNJ2" s="182"/>
      <c r="MNK2" s="182"/>
      <c r="MNL2" s="182"/>
      <c r="MNM2" s="182"/>
      <c r="MNN2" s="182"/>
      <c r="MNO2" s="182"/>
      <c r="MNP2" s="182"/>
      <c r="MNQ2" s="182"/>
      <c r="MNR2" s="182"/>
      <c r="MNS2" s="182"/>
      <c r="MNT2" s="182"/>
      <c r="MNU2" s="182"/>
      <c r="MNV2" s="182"/>
      <c r="MNW2" s="182"/>
      <c r="MNX2" s="182"/>
      <c r="MNY2" s="182"/>
      <c r="MNZ2" s="182"/>
      <c r="MOA2" s="182"/>
      <c r="MOB2" s="182"/>
      <c r="MOC2" s="182"/>
      <c r="MOD2" s="182"/>
      <c r="MOE2" s="182"/>
      <c r="MOF2" s="182"/>
      <c r="MOG2" s="182"/>
      <c r="MOH2" s="182"/>
      <c r="MOI2" s="182"/>
      <c r="MOJ2" s="182"/>
      <c r="MOK2" s="182"/>
      <c r="MOL2" s="182"/>
      <c r="MOM2" s="182"/>
      <c r="MON2" s="182"/>
      <c r="MOO2" s="182"/>
      <c r="MOP2" s="182"/>
      <c r="MOQ2" s="182"/>
      <c r="MOR2" s="182"/>
      <c r="MOS2" s="182"/>
      <c r="MOT2" s="182"/>
      <c r="MOU2" s="182"/>
      <c r="MOV2" s="182"/>
      <c r="MOW2" s="182"/>
      <c r="MOX2" s="182"/>
      <c r="MOY2" s="182"/>
      <c r="MOZ2" s="182"/>
      <c r="MPA2" s="182"/>
      <c r="MPB2" s="182"/>
      <c r="MPC2" s="182"/>
      <c r="MPD2" s="182"/>
      <c r="MPE2" s="182"/>
      <c r="MPF2" s="182"/>
      <c r="MPG2" s="182"/>
      <c r="MPH2" s="182"/>
      <c r="MPI2" s="182"/>
      <c r="MPJ2" s="182"/>
      <c r="MPK2" s="182"/>
      <c r="MPL2" s="182"/>
      <c r="MPM2" s="182"/>
      <c r="MPN2" s="182"/>
      <c r="MPO2" s="182"/>
      <c r="MPP2" s="182"/>
      <c r="MPQ2" s="182"/>
      <c r="MPR2" s="182"/>
      <c r="MPS2" s="182"/>
      <c r="MPT2" s="182"/>
      <c r="MPU2" s="182"/>
      <c r="MPV2" s="182"/>
      <c r="MPW2" s="182"/>
      <c r="MPX2" s="182"/>
      <c r="MPY2" s="182"/>
      <c r="MPZ2" s="182"/>
      <c r="MQA2" s="182"/>
      <c r="MQB2" s="182"/>
      <c r="MQC2" s="182"/>
      <c r="MQD2" s="182"/>
      <c r="MQE2" s="182"/>
      <c r="MQF2" s="182"/>
      <c r="MQG2" s="182"/>
      <c r="MQH2" s="182"/>
      <c r="MQI2" s="182"/>
      <c r="MQJ2" s="182"/>
      <c r="MQK2" s="182"/>
      <c r="MQL2" s="182"/>
      <c r="MQM2" s="182"/>
      <c r="MQN2" s="182"/>
      <c r="MQO2" s="182"/>
      <c r="MQP2" s="182"/>
      <c r="MQQ2" s="182"/>
      <c r="MQR2" s="182"/>
      <c r="MQS2" s="182"/>
      <c r="MQT2" s="182"/>
      <c r="MQU2" s="182"/>
      <c r="MQV2" s="182"/>
      <c r="MQW2" s="182"/>
      <c r="MQX2" s="182"/>
      <c r="MQY2" s="182"/>
      <c r="MQZ2" s="182"/>
      <c r="MRA2" s="182"/>
      <c r="MRB2" s="182"/>
      <c r="MRC2" s="182"/>
      <c r="MRD2" s="182"/>
      <c r="MRE2" s="182"/>
      <c r="MRF2" s="182"/>
      <c r="MRG2" s="182"/>
      <c r="MRH2" s="182"/>
      <c r="MRI2" s="182"/>
      <c r="MRJ2" s="182"/>
      <c r="MRK2" s="182"/>
      <c r="MRL2" s="182"/>
      <c r="MRM2" s="182"/>
      <c r="MRN2" s="182"/>
      <c r="MRO2" s="182"/>
      <c r="MRP2" s="182"/>
      <c r="MRQ2" s="182"/>
      <c r="MRR2" s="182"/>
      <c r="MRS2" s="182"/>
      <c r="MRT2" s="182"/>
      <c r="MRU2" s="182"/>
      <c r="MRV2" s="182"/>
      <c r="MRW2" s="182"/>
      <c r="MRX2" s="182"/>
      <c r="MRY2" s="182"/>
      <c r="MRZ2" s="182"/>
      <c r="MSA2" s="182"/>
      <c r="MSB2" s="182"/>
      <c r="MSC2" s="182"/>
      <c r="MSD2" s="182"/>
      <c r="MSE2" s="182"/>
      <c r="MSF2" s="182"/>
      <c r="MSG2" s="182"/>
      <c r="MSH2" s="182"/>
      <c r="MSI2" s="182"/>
      <c r="MSJ2" s="182"/>
      <c r="MSK2" s="182"/>
      <c r="MSL2" s="182"/>
      <c r="MSM2" s="182"/>
      <c r="MSN2" s="182"/>
      <c r="MSO2" s="182"/>
      <c r="MSP2" s="182"/>
      <c r="MSQ2" s="182"/>
      <c r="MSR2" s="182"/>
      <c r="MSS2" s="182"/>
      <c r="MST2" s="182"/>
      <c r="MSU2" s="182"/>
      <c r="MSV2" s="182"/>
      <c r="MSW2" s="182"/>
      <c r="MSX2" s="182"/>
      <c r="MSY2" s="182"/>
      <c r="MSZ2" s="182"/>
      <c r="MTA2" s="182"/>
      <c r="MTB2" s="182"/>
      <c r="MTC2" s="182"/>
      <c r="MTD2" s="182"/>
      <c r="MTE2" s="182"/>
      <c r="MTF2" s="182"/>
      <c r="MTG2" s="182"/>
      <c r="MTH2" s="182"/>
      <c r="MTI2" s="182"/>
      <c r="MTJ2" s="182"/>
      <c r="MTK2" s="182"/>
      <c r="MTL2" s="182"/>
      <c r="MTM2" s="182"/>
      <c r="MTN2" s="182"/>
      <c r="MTO2" s="182"/>
      <c r="MTP2" s="182"/>
      <c r="MTQ2" s="182"/>
      <c r="MTR2" s="182"/>
      <c r="MTS2" s="182"/>
      <c r="MTT2" s="182"/>
      <c r="MTU2" s="182"/>
      <c r="MTV2" s="182"/>
      <c r="MTW2" s="182"/>
      <c r="MTX2" s="182"/>
      <c r="MTY2" s="182"/>
      <c r="MTZ2" s="182"/>
      <c r="MUA2" s="182"/>
      <c r="MUB2" s="182"/>
      <c r="MUC2" s="182"/>
      <c r="MUD2" s="182"/>
      <c r="MUE2" s="182"/>
      <c r="MUF2" s="182"/>
      <c r="MUG2" s="182"/>
      <c r="MUH2" s="182"/>
      <c r="MUI2" s="182"/>
      <c r="MUJ2" s="182"/>
      <c r="MUK2" s="182"/>
      <c r="MUL2" s="182"/>
      <c r="MUM2" s="182"/>
      <c r="MUN2" s="182"/>
      <c r="MUO2" s="182"/>
      <c r="MUP2" s="182"/>
      <c r="MUQ2" s="182"/>
      <c r="MUR2" s="182"/>
      <c r="MUS2" s="182"/>
      <c r="MUT2" s="182"/>
      <c r="MUU2" s="182"/>
      <c r="MUV2" s="182"/>
      <c r="MUW2" s="182"/>
      <c r="MUX2" s="182"/>
      <c r="MUY2" s="182"/>
      <c r="MUZ2" s="182"/>
      <c r="MVA2" s="182"/>
      <c r="MVB2" s="182"/>
      <c r="MVC2" s="182"/>
      <c r="MVD2" s="182"/>
      <c r="MVE2" s="182"/>
      <c r="MVF2" s="182"/>
      <c r="MVG2" s="182"/>
      <c r="MVH2" s="182"/>
      <c r="MVI2" s="182"/>
      <c r="MVJ2" s="182"/>
      <c r="MVK2" s="182"/>
      <c r="MVL2" s="182"/>
      <c r="MVM2" s="182"/>
      <c r="MVN2" s="182"/>
      <c r="MVO2" s="182"/>
      <c r="MVP2" s="182"/>
      <c r="MVQ2" s="182"/>
      <c r="MVR2" s="182"/>
      <c r="MVS2" s="182"/>
      <c r="MVT2" s="182"/>
      <c r="MVU2" s="182"/>
      <c r="MVV2" s="182"/>
      <c r="MVW2" s="182"/>
      <c r="MVX2" s="182"/>
      <c r="MVY2" s="182"/>
      <c r="MVZ2" s="182"/>
      <c r="MWA2" s="182"/>
      <c r="MWB2" s="182"/>
      <c r="MWC2" s="182"/>
      <c r="MWD2" s="182"/>
      <c r="MWE2" s="182"/>
      <c r="MWF2" s="182"/>
      <c r="MWG2" s="182"/>
      <c r="MWH2" s="182"/>
      <c r="MWI2" s="182"/>
      <c r="MWJ2" s="182"/>
      <c r="MWK2" s="182"/>
      <c r="MWL2" s="182"/>
      <c r="MWM2" s="182"/>
      <c r="MWN2" s="182"/>
      <c r="MWO2" s="182"/>
      <c r="MWP2" s="182"/>
      <c r="MWQ2" s="182"/>
      <c r="MWR2" s="182"/>
      <c r="MWS2" s="182"/>
      <c r="MWT2" s="182"/>
      <c r="MWU2" s="182"/>
      <c r="MWV2" s="182"/>
      <c r="MWW2" s="182"/>
      <c r="MWX2" s="182"/>
      <c r="MWY2" s="182"/>
      <c r="MWZ2" s="182"/>
      <c r="MXA2" s="182"/>
      <c r="MXB2" s="182"/>
      <c r="MXC2" s="182"/>
      <c r="MXD2" s="182"/>
      <c r="MXE2" s="182"/>
      <c r="MXF2" s="182"/>
      <c r="MXG2" s="182"/>
      <c r="MXH2" s="182"/>
      <c r="MXI2" s="182"/>
      <c r="MXJ2" s="182"/>
      <c r="MXK2" s="182"/>
      <c r="MXL2" s="182"/>
      <c r="MXM2" s="182"/>
      <c r="MXN2" s="182"/>
      <c r="MXO2" s="182"/>
      <c r="MXP2" s="182"/>
      <c r="MXQ2" s="182"/>
      <c r="MXR2" s="182"/>
      <c r="MXS2" s="182"/>
      <c r="MXT2" s="182"/>
      <c r="MXU2" s="182"/>
      <c r="MXV2" s="182"/>
      <c r="MXW2" s="182"/>
      <c r="MXX2" s="182"/>
      <c r="MXY2" s="182"/>
      <c r="MXZ2" s="182"/>
      <c r="MYA2" s="182"/>
      <c r="MYB2" s="182"/>
      <c r="MYC2" s="182"/>
      <c r="MYD2" s="182"/>
      <c r="MYE2" s="182"/>
      <c r="MYF2" s="182"/>
      <c r="MYG2" s="182"/>
      <c r="MYH2" s="182"/>
      <c r="MYI2" s="182"/>
      <c r="MYJ2" s="182"/>
      <c r="MYK2" s="182"/>
      <c r="MYL2" s="182"/>
      <c r="MYM2" s="182"/>
      <c r="MYN2" s="182"/>
      <c r="MYO2" s="182"/>
      <c r="MYP2" s="182"/>
      <c r="MYQ2" s="182"/>
      <c r="MYR2" s="182"/>
      <c r="MYS2" s="182"/>
      <c r="MYT2" s="182"/>
      <c r="MYU2" s="182"/>
      <c r="MYV2" s="182"/>
      <c r="MYW2" s="182"/>
      <c r="MYX2" s="182"/>
      <c r="MYY2" s="182"/>
      <c r="MYZ2" s="182"/>
      <c r="MZA2" s="182"/>
      <c r="MZB2" s="182"/>
      <c r="MZC2" s="182"/>
      <c r="MZD2" s="182"/>
      <c r="MZE2" s="182"/>
      <c r="MZF2" s="182"/>
      <c r="MZG2" s="182"/>
      <c r="MZH2" s="182"/>
      <c r="MZI2" s="182"/>
      <c r="MZJ2" s="182"/>
      <c r="MZK2" s="182"/>
      <c r="MZL2" s="182"/>
      <c r="MZM2" s="182"/>
      <c r="MZN2" s="182"/>
      <c r="MZO2" s="182"/>
      <c r="MZP2" s="182"/>
      <c r="MZQ2" s="182"/>
      <c r="MZR2" s="182"/>
      <c r="MZS2" s="182"/>
      <c r="MZT2" s="182"/>
      <c r="MZU2" s="182"/>
      <c r="MZV2" s="182"/>
      <c r="MZW2" s="182"/>
      <c r="MZX2" s="182"/>
      <c r="MZY2" s="182"/>
      <c r="MZZ2" s="182"/>
      <c r="NAA2" s="182"/>
      <c r="NAB2" s="182"/>
      <c r="NAC2" s="182"/>
      <c r="NAD2" s="182"/>
      <c r="NAE2" s="182"/>
      <c r="NAF2" s="182"/>
      <c r="NAG2" s="182"/>
      <c r="NAH2" s="182"/>
      <c r="NAI2" s="182"/>
      <c r="NAJ2" s="182"/>
      <c r="NAK2" s="182"/>
      <c r="NAL2" s="182"/>
      <c r="NAM2" s="182"/>
      <c r="NAN2" s="182"/>
      <c r="NAO2" s="182"/>
      <c r="NAP2" s="182"/>
      <c r="NAQ2" s="182"/>
      <c r="NAR2" s="182"/>
      <c r="NAS2" s="182"/>
      <c r="NAT2" s="182"/>
      <c r="NAU2" s="182"/>
      <c r="NAV2" s="182"/>
      <c r="NAW2" s="182"/>
      <c r="NAX2" s="182"/>
      <c r="NAY2" s="182"/>
      <c r="NAZ2" s="182"/>
      <c r="NBA2" s="182"/>
      <c r="NBB2" s="182"/>
      <c r="NBC2" s="182"/>
      <c r="NBD2" s="182"/>
      <c r="NBE2" s="182"/>
      <c r="NBF2" s="182"/>
      <c r="NBG2" s="182"/>
      <c r="NBH2" s="182"/>
      <c r="NBI2" s="182"/>
      <c r="NBJ2" s="182"/>
      <c r="NBK2" s="182"/>
      <c r="NBL2" s="182"/>
      <c r="NBM2" s="182"/>
      <c r="NBN2" s="182"/>
      <c r="NBO2" s="182"/>
      <c r="NBP2" s="182"/>
      <c r="NBQ2" s="182"/>
      <c r="NBR2" s="182"/>
      <c r="NBS2" s="182"/>
      <c r="NBT2" s="182"/>
      <c r="NBU2" s="182"/>
      <c r="NBV2" s="182"/>
      <c r="NBW2" s="182"/>
      <c r="NBX2" s="182"/>
      <c r="NBY2" s="182"/>
      <c r="NBZ2" s="182"/>
      <c r="NCA2" s="182"/>
      <c r="NCB2" s="182"/>
      <c r="NCC2" s="182"/>
      <c r="NCD2" s="182"/>
      <c r="NCE2" s="182"/>
      <c r="NCF2" s="182"/>
      <c r="NCG2" s="182"/>
      <c r="NCH2" s="182"/>
      <c r="NCI2" s="182"/>
      <c r="NCJ2" s="182"/>
      <c r="NCK2" s="182"/>
      <c r="NCL2" s="182"/>
      <c r="NCM2" s="182"/>
      <c r="NCN2" s="182"/>
      <c r="NCO2" s="182"/>
      <c r="NCP2" s="182"/>
      <c r="NCQ2" s="182"/>
      <c r="NCR2" s="182"/>
      <c r="NCS2" s="182"/>
      <c r="NCT2" s="182"/>
      <c r="NCU2" s="182"/>
      <c r="NCV2" s="182"/>
      <c r="NCW2" s="182"/>
      <c r="NCX2" s="182"/>
      <c r="NCY2" s="182"/>
      <c r="NCZ2" s="182"/>
      <c r="NDA2" s="182"/>
      <c r="NDB2" s="182"/>
      <c r="NDC2" s="182"/>
      <c r="NDD2" s="182"/>
      <c r="NDE2" s="182"/>
      <c r="NDF2" s="182"/>
      <c r="NDG2" s="182"/>
      <c r="NDH2" s="182"/>
      <c r="NDI2" s="182"/>
      <c r="NDJ2" s="182"/>
      <c r="NDK2" s="182"/>
      <c r="NDL2" s="182"/>
      <c r="NDM2" s="182"/>
      <c r="NDN2" s="182"/>
      <c r="NDO2" s="182"/>
      <c r="NDP2" s="182"/>
      <c r="NDQ2" s="182"/>
      <c r="NDR2" s="182"/>
      <c r="NDS2" s="182"/>
      <c r="NDT2" s="182"/>
      <c r="NDU2" s="182"/>
      <c r="NDV2" s="182"/>
      <c r="NDW2" s="182"/>
      <c r="NDX2" s="182"/>
      <c r="NDY2" s="182"/>
      <c r="NDZ2" s="182"/>
      <c r="NEA2" s="182"/>
      <c r="NEB2" s="182"/>
      <c r="NEC2" s="182"/>
      <c r="NED2" s="182"/>
      <c r="NEE2" s="182"/>
      <c r="NEF2" s="182"/>
      <c r="NEG2" s="182"/>
      <c r="NEH2" s="182"/>
      <c r="NEI2" s="182"/>
      <c r="NEJ2" s="182"/>
      <c r="NEK2" s="182"/>
      <c r="NEL2" s="182"/>
      <c r="NEM2" s="182"/>
      <c r="NEN2" s="182"/>
      <c r="NEO2" s="182"/>
      <c r="NEP2" s="182"/>
      <c r="NEQ2" s="182"/>
      <c r="NER2" s="182"/>
      <c r="NES2" s="182"/>
      <c r="NET2" s="182"/>
      <c r="NEU2" s="182"/>
      <c r="NEV2" s="182"/>
      <c r="NEW2" s="182"/>
      <c r="NEX2" s="182"/>
      <c r="NEY2" s="182"/>
      <c r="NEZ2" s="182"/>
      <c r="NFA2" s="182"/>
      <c r="NFB2" s="182"/>
      <c r="NFC2" s="182"/>
      <c r="NFD2" s="182"/>
      <c r="NFE2" s="182"/>
      <c r="NFF2" s="182"/>
      <c r="NFG2" s="182"/>
      <c r="NFH2" s="182"/>
      <c r="NFI2" s="182"/>
      <c r="NFJ2" s="182"/>
      <c r="NFK2" s="182"/>
      <c r="NFL2" s="182"/>
      <c r="NFM2" s="182"/>
      <c r="NFN2" s="182"/>
      <c r="NFO2" s="182"/>
      <c r="NFP2" s="182"/>
      <c r="NFQ2" s="182"/>
      <c r="NFR2" s="182"/>
      <c r="NFS2" s="182"/>
      <c r="NFT2" s="182"/>
      <c r="NFU2" s="182"/>
      <c r="NFV2" s="182"/>
      <c r="NFW2" s="182"/>
      <c r="NFX2" s="182"/>
      <c r="NFY2" s="182"/>
      <c r="NFZ2" s="182"/>
      <c r="NGA2" s="182"/>
      <c r="NGB2" s="182"/>
      <c r="NGC2" s="182"/>
      <c r="NGD2" s="182"/>
      <c r="NGE2" s="182"/>
      <c r="NGF2" s="182"/>
      <c r="NGG2" s="182"/>
      <c r="NGH2" s="182"/>
      <c r="NGI2" s="182"/>
      <c r="NGJ2" s="182"/>
      <c r="NGK2" s="182"/>
      <c r="NGL2" s="182"/>
      <c r="NGM2" s="182"/>
      <c r="NGN2" s="182"/>
      <c r="NGO2" s="182"/>
      <c r="NGP2" s="182"/>
      <c r="NGQ2" s="182"/>
      <c r="NGR2" s="182"/>
      <c r="NGS2" s="182"/>
      <c r="NGT2" s="182"/>
      <c r="NGU2" s="182"/>
      <c r="NGV2" s="182"/>
      <c r="NGW2" s="182"/>
      <c r="NGX2" s="182"/>
      <c r="NGY2" s="182"/>
      <c r="NGZ2" s="182"/>
      <c r="NHA2" s="182"/>
      <c r="NHB2" s="182"/>
      <c r="NHC2" s="182"/>
      <c r="NHD2" s="182"/>
      <c r="NHE2" s="182"/>
      <c r="NHF2" s="182"/>
      <c r="NHG2" s="182"/>
      <c r="NHH2" s="182"/>
      <c r="NHI2" s="182"/>
      <c r="NHJ2" s="182"/>
      <c r="NHK2" s="182"/>
      <c r="NHL2" s="182"/>
      <c r="NHM2" s="182"/>
      <c r="NHN2" s="182"/>
      <c r="NHO2" s="182"/>
      <c r="NHP2" s="182"/>
      <c r="NHQ2" s="182"/>
      <c r="NHR2" s="182"/>
      <c r="NHS2" s="182"/>
      <c r="NHT2" s="182"/>
      <c r="NHU2" s="182"/>
      <c r="NHV2" s="182"/>
      <c r="NHW2" s="182"/>
      <c r="NHX2" s="182"/>
      <c r="NHY2" s="182"/>
      <c r="NHZ2" s="182"/>
      <c r="NIA2" s="182"/>
      <c r="NIB2" s="182"/>
      <c r="NIC2" s="182"/>
      <c r="NID2" s="182"/>
      <c r="NIE2" s="182"/>
      <c r="NIF2" s="182"/>
      <c r="NIG2" s="182"/>
      <c r="NIH2" s="182"/>
      <c r="NII2" s="182"/>
      <c r="NIJ2" s="182"/>
      <c r="NIK2" s="182"/>
      <c r="NIL2" s="182"/>
      <c r="NIM2" s="182"/>
      <c r="NIN2" s="182"/>
      <c r="NIO2" s="182"/>
      <c r="NIP2" s="182"/>
      <c r="NIQ2" s="182"/>
      <c r="NIR2" s="182"/>
      <c r="NIS2" s="182"/>
      <c r="NIT2" s="182"/>
      <c r="NIU2" s="182"/>
      <c r="NIV2" s="182"/>
      <c r="NIW2" s="182"/>
      <c r="NIX2" s="182"/>
      <c r="NIY2" s="182"/>
      <c r="NIZ2" s="182"/>
      <c r="NJA2" s="182"/>
      <c r="NJB2" s="182"/>
      <c r="NJC2" s="182"/>
      <c r="NJD2" s="182"/>
      <c r="NJE2" s="182"/>
      <c r="NJF2" s="182"/>
      <c r="NJG2" s="182"/>
      <c r="NJH2" s="182"/>
      <c r="NJI2" s="182"/>
      <c r="NJJ2" s="182"/>
      <c r="NJK2" s="182"/>
      <c r="NJL2" s="182"/>
      <c r="NJM2" s="182"/>
      <c r="NJN2" s="182"/>
      <c r="NJO2" s="182"/>
      <c r="NJP2" s="182"/>
      <c r="NJQ2" s="182"/>
      <c r="NJR2" s="182"/>
      <c r="NJS2" s="182"/>
      <c r="NJT2" s="182"/>
      <c r="NJU2" s="182"/>
      <c r="NJV2" s="182"/>
      <c r="NJW2" s="182"/>
      <c r="NJX2" s="182"/>
      <c r="NJY2" s="182"/>
      <c r="NJZ2" s="182"/>
      <c r="NKA2" s="182"/>
      <c r="NKB2" s="182"/>
      <c r="NKC2" s="182"/>
      <c r="NKD2" s="182"/>
      <c r="NKE2" s="182"/>
      <c r="NKF2" s="182"/>
      <c r="NKG2" s="182"/>
      <c r="NKH2" s="182"/>
      <c r="NKI2" s="182"/>
      <c r="NKJ2" s="182"/>
      <c r="NKK2" s="182"/>
      <c r="NKL2" s="182"/>
      <c r="NKM2" s="182"/>
      <c r="NKN2" s="182"/>
      <c r="NKO2" s="182"/>
      <c r="NKP2" s="182"/>
      <c r="NKQ2" s="182"/>
      <c r="NKR2" s="182"/>
      <c r="NKS2" s="182"/>
      <c r="NKT2" s="182"/>
      <c r="NKU2" s="182"/>
      <c r="NKV2" s="182"/>
      <c r="NKW2" s="182"/>
      <c r="NKX2" s="182"/>
      <c r="NKY2" s="182"/>
      <c r="NKZ2" s="182"/>
      <c r="NLA2" s="182"/>
      <c r="NLB2" s="182"/>
      <c r="NLC2" s="182"/>
      <c r="NLD2" s="182"/>
      <c r="NLE2" s="182"/>
      <c r="NLF2" s="182"/>
      <c r="NLG2" s="182"/>
      <c r="NLH2" s="182"/>
      <c r="NLI2" s="182"/>
      <c r="NLJ2" s="182"/>
      <c r="NLK2" s="182"/>
      <c r="NLL2" s="182"/>
      <c r="NLM2" s="182"/>
      <c r="NLN2" s="182"/>
      <c r="NLO2" s="182"/>
      <c r="NLP2" s="182"/>
      <c r="NLQ2" s="182"/>
      <c r="NLR2" s="182"/>
      <c r="NLS2" s="182"/>
      <c r="NLT2" s="182"/>
      <c r="NLU2" s="182"/>
      <c r="NLV2" s="182"/>
      <c r="NLW2" s="182"/>
      <c r="NLX2" s="182"/>
      <c r="NLY2" s="182"/>
      <c r="NLZ2" s="182"/>
      <c r="NMA2" s="182"/>
      <c r="NMB2" s="182"/>
      <c r="NMC2" s="182"/>
      <c r="NMD2" s="182"/>
      <c r="NME2" s="182"/>
      <c r="NMF2" s="182"/>
      <c r="NMG2" s="182"/>
      <c r="NMH2" s="182"/>
      <c r="NMI2" s="182"/>
      <c r="NMJ2" s="182"/>
      <c r="NMK2" s="182"/>
      <c r="NML2" s="182"/>
      <c r="NMM2" s="182"/>
      <c r="NMN2" s="182"/>
      <c r="NMO2" s="182"/>
      <c r="NMP2" s="182"/>
      <c r="NMQ2" s="182"/>
      <c r="NMR2" s="182"/>
      <c r="NMS2" s="182"/>
      <c r="NMT2" s="182"/>
      <c r="NMU2" s="182"/>
      <c r="NMV2" s="182"/>
      <c r="NMW2" s="182"/>
      <c r="NMX2" s="182"/>
      <c r="NMY2" s="182"/>
      <c r="NMZ2" s="182"/>
      <c r="NNA2" s="182"/>
      <c r="NNB2" s="182"/>
      <c r="NNC2" s="182"/>
      <c r="NND2" s="182"/>
      <c r="NNE2" s="182"/>
      <c r="NNF2" s="182"/>
      <c r="NNG2" s="182"/>
      <c r="NNH2" s="182"/>
      <c r="NNI2" s="182"/>
      <c r="NNJ2" s="182"/>
      <c r="NNK2" s="182"/>
      <c r="NNL2" s="182"/>
      <c r="NNM2" s="182"/>
      <c r="NNN2" s="182"/>
      <c r="NNO2" s="182"/>
      <c r="NNP2" s="182"/>
      <c r="NNQ2" s="182"/>
      <c r="NNR2" s="182"/>
      <c r="NNS2" s="182"/>
      <c r="NNT2" s="182"/>
      <c r="NNU2" s="182"/>
      <c r="NNV2" s="182"/>
      <c r="NNW2" s="182"/>
      <c r="NNX2" s="182"/>
      <c r="NNY2" s="182"/>
      <c r="NNZ2" s="182"/>
      <c r="NOA2" s="182"/>
      <c r="NOB2" s="182"/>
      <c r="NOC2" s="182"/>
      <c r="NOD2" s="182"/>
      <c r="NOE2" s="182"/>
      <c r="NOF2" s="182"/>
      <c r="NOG2" s="182"/>
      <c r="NOH2" s="182"/>
      <c r="NOI2" s="182"/>
      <c r="NOJ2" s="182"/>
      <c r="NOK2" s="182"/>
      <c r="NOL2" s="182"/>
      <c r="NOM2" s="182"/>
      <c r="NON2" s="182"/>
      <c r="NOO2" s="182"/>
      <c r="NOP2" s="182"/>
      <c r="NOQ2" s="182"/>
      <c r="NOR2" s="182"/>
      <c r="NOS2" s="182"/>
      <c r="NOT2" s="182"/>
      <c r="NOU2" s="182"/>
      <c r="NOV2" s="182"/>
      <c r="NOW2" s="182"/>
      <c r="NOX2" s="182"/>
      <c r="NOY2" s="182"/>
      <c r="NOZ2" s="182"/>
      <c r="NPA2" s="182"/>
      <c r="NPB2" s="182"/>
      <c r="NPC2" s="182"/>
      <c r="NPD2" s="182"/>
      <c r="NPE2" s="182"/>
      <c r="NPF2" s="182"/>
      <c r="NPG2" s="182"/>
      <c r="NPH2" s="182"/>
      <c r="NPI2" s="182"/>
      <c r="NPJ2" s="182"/>
      <c r="NPK2" s="182"/>
      <c r="NPL2" s="182"/>
      <c r="NPM2" s="182"/>
      <c r="NPN2" s="182"/>
      <c r="NPO2" s="182"/>
      <c r="NPP2" s="182"/>
      <c r="NPQ2" s="182"/>
      <c r="NPR2" s="182"/>
      <c r="NPS2" s="182"/>
      <c r="NPT2" s="182"/>
      <c r="NPU2" s="182"/>
      <c r="NPV2" s="182"/>
      <c r="NPW2" s="182"/>
      <c r="NPX2" s="182"/>
      <c r="NPY2" s="182"/>
      <c r="NPZ2" s="182"/>
      <c r="NQA2" s="182"/>
      <c r="NQB2" s="182"/>
      <c r="NQC2" s="182"/>
      <c r="NQD2" s="182"/>
      <c r="NQE2" s="182"/>
      <c r="NQF2" s="182"/>
      <c r="NQG2" s="182"/>
      <c r="NQH2" s="182"/>
      <c r="NQI2" s="182"/>
      <c r="NQJ2" s="182"/>
      <c r="NQK2" s="182"/>
      <c r="NQL2" s="182"/>
      <c r="NQM2" s="182"/>
      <c r="NQN2" s="182"/>
      <c r="NQO2" s="182"/>
      <c r="NQP2" s="182"/>
      <c r="NQQ2" s="182"/>
      <c r="NQR2" s="182"/>
      <c r="NQS2" s="182"/>
      <c r="NQT2" s="182"/>
      <c r="NQU2" s="182"/>
      <c r="NQV2" s="182"/>
      <c r="NQW2" s="182"/>
      <c r="NQX2" s="182"/>
      <c r="NQY2" s="182"/>
      <c r="NQZ2" s="182"/>
      <c r="NRA2" s="182"/>
      <c r="NRB2" s="182"/>
      <c r="NRC2" s="182"/>
      <c r="NRD2" s="182"/>
      <c r="NRE2" s="182"/>
      <c r="NRF2" s="182"/>
      <c r="NRG2" s="182"/>
      <c r="NRH2" s="182"/>
      <c r="NRI2" s="182"/>
      <c r="NRJ2" s="182"/>
      <c r="NRK2" s="182"/>
      <c r="NRL2" s="182"/>
      <c r="NRM2" s="182"/>
      <c r="NRN2" s="182"/>
      <c r="NRO2" s="182"/>
      <c r="NRP2" s="182"/>
      <c r="NRQ2" s="182"/>
      <c r="NRR2" s="182"/>
      <c r="NRS2" s="182"/>
      <c r="NRT2" s="182"/>
      <c r="NRU2" s="182"/>
      <c r="NRV2" s="182"/>
      <c r="NRW2" s="182"/>
      <c r="NRX2" s="182"/>
      <c r="NRY2" s="182"/>
      <c r="NRZ2" s="182"/>
      <c r="NSA2" s="182"/>
      <c r="NSB2" s="182"/>
      <c r="NSC2" s="182"/>
      <c r="NSD2" s="182"/>
      <c r="NSE2" s="182"/>
      <c r="NSF2" s="182"/>
      <c r="NSG2" s="182"/>
      <c r="NSH2" s="182"/>
      <c r="NSI2" s="182"/>
      <c r="NSJ2" s="182"/>
      <c r="NSK2" s="182"/>
      <c r="NSL2" s="182"/>
      <c r="NSM2" s="182"/>
      <c r="NSN2" s="182"/>
      <c r="NSO2" s="182"/>
      <c r="NSP2" s="182"/>
      <c r="NSQ2" s="182"/>
      <c r="NSR2" s="182"/>
      <c r="NSS2" s="182"/>
      <c r="NST2" s="182"/>
      <c r="NSU2" s="182"/>
      <c r="NSV2" s="182"/>
      <c r="NSW2" s="182"/>
      <c r="NSX2" s="182"/>
      <c r="NSY2" s="182"/>
      <c r="NSZ2" s="182"/>
      <c r="NTA2" s="182"/>
      <c r="NTB2" s="182"/>
      <c r="NTC2" s="182"/>
      <c r="NTD2" s="182"/>
      <c r="NTE2" s="182"/>
      <c r="NTF2" s="182"/>
      <c r="NTG2" s="182"/>
      <c r="NTH2" s="182"/>
      <c r="NTI2" s="182"/>
      <c r="NTJ2" s="182"/>
      <c r="NTK2" s="182"/>
      <c r="NTL2" s="182"/>
      <c r="NTM2" s="182"/>
      <c r="NTN2" s="182"/>
      <c r="NTO2" s="182"/>
      <c r="NTP2" s="182"/>
      <c r="NTQ2" s="182"/>
      <c r="NTR2" s="182"/>
      <c r="NTS2" s="182"/>
      <c r="NTT2" s="182"/>
      <c r="NTU2" s="182"/>
      <c r="NTV2" s="182"/>
      <c r="NTW2" s="182"/>
      <c r="NTX2" s="182"/>
      <c r="NTY2" s="182"/>
      <c r="NTZ2" s="182"/>
      <c r="NUA2" s="182"/>
      <c r="NUB2" s="182"/>
      <c r="NUC2" s="182"/>
      <c r="NUD2" s="182"/>
      <c r="NUE2" s="182"/>
      <c r="NUF2" s="182"/>
      <c r="NUG2" s="182"/>
      <c r="NUH2" s="182"/>
      <c r="NUI2" s="182"/>
    </row>
    <row r="3" spans="1:10019" s="162" customFormat="1" ht="69.75" x14ac:dyDescent="0.25">
      <c r="A3" s="181"/>
      <c r="B3" s="204"/>
      <c r="C3" s="204"/>
      <c r="D3" s="204"/>
      <c r="E3" s="188" t="s">
        <v>219</v>
      </c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2"/>
      <c r="AN3" s="183"/>
      <c r="AO3" s="184"/>
      <c r="AP3" s="184"/>
      <c r="AQ3" s="184"/>
      <c r="AR3" s="184"/>
      <c r="AS3" s="184"/>
      <c r="AT3" s="184"/>
      <c r="AU3" s="187"/>
      <c r="AV3" s="187"/>
      <c r="AW3" s="184"/>
      <c r="AX3" s="184"/>
      <c r="AY3" s="187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84"/>
      <c r="BP3" s="184"/>
      <c r="BQ3" s="184"/>
      <c r="BR3" s="187"/>
      <c r="BS3" s="187"/>
      <c r="BT3" s="187"/>
      <c r="BU3" s="187"/>
      <c r="BV3" s="187"/>
      <c r="BW3" s="187"/>
      <c r="BX3" s="187"/>
      <c r="BY3" s="187"/>
      <c r="BZ3" s="187"/>
      <c r="CA3" s="187"/>
      <c r="CB3" s="187"/>
      <c r="CC3" s="187"/>
      <c r="CD3" s="187"/>
      <c r="CE3" s="182"/>
      <c r="CF3" s="182"/>
      <c r="CG3" s="182"/>
      <c r="CH3" s="182"/>
      <c r="CI3" s="182"/>
      <c r="CJ3" s="182"/>
      <c r="CK3" s="182"/>
      <c r="CL3" s="182"/>
      <c r="CM3" s="182"/>
      <c r="CN3" s="182"/>
      <c r="CO3" s="182"/>
      <c r="CP3" s="182"/>
      <c r="CQ3" s="182"/>
      <c r="CR3" s="182"/>
      <c r="CS3" s="182"/>
      <c r="CT3" s="182"/>
      <c r="CU3" s="182"/>
      <c r="CV3" s="182"/>
      <c r="CW3" s="182"/>
      <c r="CX3" s="182"/>
      <c r="CY3" s="182"/>
      <c r="CZ3" s="182"/>
      <c r="DA3" s="182"/>
      <c r="DB3" s="182"/>
      <c r="DC3" s="182"/>
      <c r="DD3" s="182"/>
      <c r="DE3" s="182"/>
      <c r="DF3" s="182"/>
      <c r="DG3" s="182"/>
      <c r="DH3" s="182"/>
      <c r="DI3" s="182"/>
      <c r="DJ3" s="182"/>
      <c r="DK3" s="182"/>
      <c r="DL3" s="182"/>
      <c r="DM3" s="182"/>
      <c r="DN3" s="182"/>
      <c r="DO3" s="182"/>
      <c r="DP3" s="182"/>
      <c r="DQ3" s="182"/>
      <c r="DR3" s="182"/>
      <c r="DS3" s="182"/>
      <c r="DT3" s="182"/>
      <c r="DU3" s="182"/>
      <c r="DV3" s="182"/>
      <c r="DW3" s="182"/>
      <c r="DX3" s="182"/>
      <c r="DY3" s="182"/>
      <c r="DZ3" s="182"/>
      <c r="EA3" s="182"/>
      <c r="EB3" s="182"/>
      <c r="EC3" s="182"/>
      <c r="ED3" s="182"/>
      <c r="EE3" s="182"/>
      <c r="EF3" s="182"/>
      <c r="EG3" s="182"/>
      <c r="EH3" s="182"/>
      <c r="EI3" s="182"/>
      <c r="EJ3" s="182"/>
      <c r="EK3" s="182"/>
      <c r="EL3" s="182"/>
      <c r="EM3" s="182"/>
      <c r="EN3" s="182"/>
      <c r="EO3" s="182"/>
      <c r="EP3" s="182"/>
      <c r="EQ3" s="182"/>
      <c r="ER3" s="182"/>
      <c r="ES3" s="182"/>
      <c r="ET3" s="182"/>
      <c r="EU3" s="182"/>
      <c r="EV3" s="182"/>
      <c r="EW3" s="182"/>
      <c r="EX3" s="182"/>
      <c r="EY3" s="182"/>
      <c r="EZ3" s="182"/>
      <c r="FA3" s="182"/>
      <c r="FB3" s="182"/>
      <c r="FC3" s="182"/>
      <c r="FD3" s="182"/>
      <c r="FE3" s="182"/>
      <c r="FF3" s="182"/>
      <c r="FG3" s="182"/>
      <c r="FH3" s="182"/>
      <c r="FI3" s="182"/>
      <c r="FJ3" s="182"/>
      <c r="FK3" s="182"/>
      <c r="FL3" s="182"/>
      <c r="FM3" s="182"/>
      <c r="FN3" s="182"/>
      <c r="FO3" s="182"/>
      <c r="FP3" s="182"/>
      <c r="FQ3" s="182"/>
      <c r="FR3" s="182"/>
      <c r="FS3" s="182"/>
      <c r="FT3" s="182"/>
      <c r="FU3" s="182"/>
      <c r="FV3" s="182"/>
      <c r="FW3" s="182"/>
      <c r="FX3" s="182"/>
      <c r="FY3" s="182"/>
      <c r="FZ3" s="182"/>
      <c r="GA3" s="182"/>
      <c r="GB3" s="182"/>
      <c r="GC3" s="182"/>
      <c r="GD3" s="182"/>
      <c r="GE3" s="182"/>
      <c r="GF3" s="182"/>
      <c r="GG3" s="182"/>
      <c r="GH3" s="182"/>
      <c r="GI3" s="182"/>
      <c r="GJ3" s="182"/>
      <c r="GK3" s="182"/>
      <c r="GL3" s="182"/>
      <c r="GM3" s="182"/>
      <c r="GN3" s="182"/>
      <c r="GO3" s="182"/>
      <c r="GP3" s="182"/>
      <c r="GQ3" s="182"/>
      <c r="GR3" s="182"/>
      <c r="GS3" s="182"/>
      <c r="GT3" s="182"/>
      <c r="GU3" s="182"/>
      <c r="GV3" s="182"/>
      <c r="GW3" s="182"/>
      <c r="GX3" s="182"/>
      <c r="GY3" s="182"/>
      <c r="GZ3" s="182"/>
      <c r="HA3" s="182"/>
      <c r="HB3" s="182"/>
      <c r="HC3" s="182"/>
      <c r="HD3" s="182"/>
      <c r="HE3" s="182"/>
      <c r="HF3" s="182"/>
      <c r="HG3" s="182"/>
      <c r="HH3" s="182"/>
      <c r="HI3" s="182"/>
      <c r="HJ3" s="182"/>
      <c r="HK3" s="182"/>
      <c r="HL3" s="182"/>
      <c r="HM3" s="182"/>
      <c r="HN3" s="182"/>
      <c r="HO3" s="182"/>
      <c r="HP3" s="182"/>
      <c r="HQ3" s="182"/>
      <c r="HR3" s="182"/>
      <c r="HS3" s="182"/>
      <c r="HT3" s="182"/>
      <c r="HU3" s="182"/>
      <c r="HV3" s="182"/>
      <c r="HW3" s="182"/>
      <c r="HX3" s="182"/>
      <c r="HY3" s="182"/>
      <c r="HZ3" s="182"/>
      <c r="IA3" s="182"/>
      <c r="IB3" s="182"/>
      <c r="IC3" s="182"/>
      <c r="ID3" s="182"/>
      <c r="IE3" s="182"/>
      <c r="IF3" s="182"/>
      <c r="IG3" s="182"/>
      <c r="IH3" s="182"/>
      <c r="II3" s="182"/>
      <c r="IJ3" s="182"/>
      <c r="IK3" s="182"/>
      <c r="IL3" s="182"/>
      <c r="IM3" s="182"/>
      <c r="IN3" s="182"/>
      <c r="IO3" s="182"/>
      <c r="IP3" s="182"/>
      <c r="IQ3" s="182"/>
      <c r="IR3" s="182"/>
      <c r="IS3" s="182"/>
      <c r="IT3" s="182"/>
      <c r="IU3" s="182"/>
      <c r="IV3" s="182"/>
      <c r="IW3" s="182"/>
      <c r="IX3" s="182"/>
      <c r="IY3" s="182"/>
      <c r="IZ3" s="182"/>
      <c r="JA3" s="182"/>
      <c r="JB3" s="182"/>
      <c r="JC3" s="182"/>
      <c r="JD3" s="182"/>
      <c r="JE3" s="182"/>
      <c r="JF3" s="182"/>
      <c r="JG3" s="182"/>
      <c r="JH3" s="182"/>
      <c r="JI3" s="182"/>
      <c r="JJ3" s="182"/>
      <c r="JK3" s="182"/>
      <c r="JL3" s="182"/>
      <c r="JM3" s="182"/>
      <c r="JN3" s="182"/>
      <c r="JO3" s="182"/>
      <c r="JP3" s="182"/>
      <c r="JQ3" s="182"/>
      <c r="JR3" s="182"/>
      <c r="JS3" s="182"/>
      <c r="JT3" s="182"/>
      <c r="JU3" s="182"/>
      <c r="JV3" s="182"/>
      <c r="JW3" s="182"/>
      <c r="JX3" s="182"/>
      <c r="JY3" s="182"/>
      <c r="JZ3" s="182"/>
      <c r="KA3" s="182"/>
      <c r="KB3" s="182"/>
      <c r="KC3" s="182"/>
      <c r="KD3" s="182"/>
      <c r="KE3" s="182"/>
      <c r="KF3" s="182"/>
      <c r="KG3" s="182"/>
      <c r="KH3" s="182"/>
      <c r="KI3" s="182"/>
      <c r="KJ3" s="182"/>
      <c r="KK3" s="182"/>
      <c r="KL3" s="182"/>
      <c r="KM3" s="182"/>
      <c r="KN3" s="182"/>
      <c r="KO3" s="182"/>
      <c r="KP3" s="182"/>
      <c r="KQ3" s="182"/>
      <c r="KR3" s="182"/>
      <c r="KS3" s="182"/>
      <c r="KT3" s="182"/>
      <c r="KU3" s="182"/>
      <c r="KV3" s="182"/>
      <c r="KW3" s="182"/>
      <c r="KX3" s="182"/>
      <c r="KY3" s="182"/>
      <c r="KZ3" s="182"/>
      <c r="LA3" s="182"/>
      <c r="LB3" s="182"/>
      <c r="LC3" s="182"/>
      <c r="LD3" s="182"/>
      <c r="LE3" s="182"/>
      <c r="LF3" s="182"/>
      <c r="LG3" s="182"/>
      <c r="LH3" s="182"/>
      <c r="LI3" s="182"/>
      <c r="LJ3" s="182"/>
      <c r="LK3" s="182"/>
      <c r="LL3" s="182"/>
      <c r="LM3" s="182"/>
      <c r="LN3" s="182"/>
      <c r="LO3" s="182"/>
      <c r="LP3" s="182"/>
      <c r="LQ3" s="182"/>
      <c r="LR3" s="182"/>
      <c r="LS3" s="182"/>
      <c r="LT3" s="182"/>
      <c r="LU3" s="182"/>
      <c r="LV3" s="182"/>
      <c r="LW3" s="182"/>
      <c r="LX3" s="182"/>
      <c r="LY3" s="182"/>
      <c r="LZ3" s="182"/>
      <c r="MA3" s="182"/>
      <c r="MB3" s="182"/>
      <c r="MC3" s="182"/>
      <c r="MD3" s="182"/>
      <c r="ME3" s="182"/>
      <c r="MF3" s="182"/>
      <c r="MG3" s="182"/>
      <c r="MH3" s="182"/>
      <c r="MI3" s="182"/>
      <c r="MJ3" s="182"/>
      <c r="MK3" s="182"/>
      <c r="ML3" s="182"/>
      <c r="MM3" s="182"/>
      <c r="MN3" s="182"/>
      <c r="MO3" s="182"/>
      <c r="MP3" s="182"/>
      <c r="MQ3" s="182"/>
      <c r="MR3" s="182"/>
      <c r="MS3" s="182"/>
      <c r="MT3" s="182"/>
      <c r="MU3" s="182"/>
      <c r="MV3" s="182"/>
      <c r="MW3" s="182"/>
      <c r="MX3" s="182"/>
      <c r="MY3" s="182"/>
      <c r="MZ3" s="182"/>
      <c r="NA3" s="182"/>
      <c r="NB3" s="182"/>
      <c r="NC3" s="182"/>
      <c r="ND3" s="182"/>
      <c r="NE3" s="182"/>
      <c r="NF3" s="182"/>
      <c r="NG3" s="182"/>
      <c r="NH3" s="182"/>
      <c r="NI3" s="182"/>
      <c r="NJ3" s="182"/>
      <c r="NK3" s="182"/>
      <c r="NL3" s="182"/>
      <c r="NM3" s="182"/>
      <c r="NN3" s="182"/>
      <c r="NO3" s="182"/>
      <c r="NP3" s="182"/>
      <c r="NQ3" s="182"/>
      <c r="NR3" s="182"/>
      <c r="NS3" s="182"/>
      <c r="NT3" s="182"/>
      <c r="NU3" s="182"/>
      <c r="NV3" s="182"/>
      <c r="NW3" s="182"/>
      <c r="NX3" s="182"/>
      <c r="NY3" s="182"/>
      <c r="NZ3" s="182"/>
      <c r="OA3" s="182"/>
      <c r="OB3" s="182"/>
      <c r="OC3" s="182"/>
      <c r="OD3" s="182"/>
      <c r="OE3" s="182"/>
      <c r="OF3" s="182"/>
      <c r="OG3" s="182"/>
      <c r="OH3" s="182"/>
      <c r="OI3" s="182"/>
      <c r="OJ3" s="182"/>
      <c r="OK3" s="182"/>
      <c r="OL3" s="182"/>
      <c r="OM3" s="182"/>
      <c r="ON3" s="182"/>
      <c r="OO3" s="182"/>
      <c r="OP3" s="182"/>
      <c r="OQ3" s="182"/>
      <c r="OR3" s="182"/>
      <c r="OS3" s="182"/>
      <c r="OT3" s="182"/>
      <c r="OU3" s="182"/>
      <c r="OV3" s="182"/>
      <c r="OW3" s="182"/>
      <c r="OX3" s="182"/>
      <c r="OY3" s="182"/>
      <c r="OZ3" s="182"/>
      <c r="PA3" s="182"/>
      <c r="PB3" s="182"/>
      <c r="PC3" s="182"/>
      <c r="PD3" s="182"/>
      <c r="PE3" s="182"/>
      <c r="PF3" s="182"/>
      <c r="PG3" s="182"/>
      <c r="PH3" s="182"/>
      <c r="PI3" s="182"/>
      <c r="PJ3" s="182"/>
      <c r="PK3" s="182"/>
      <c r="PL3" s="182"/>
      <c r="PM3" s="182"/>
      <c r="PN3" s="182"/>
      <c r="PO3" s="182"/>
      <c r="PP3" s="182"/>
      <c r="PQ3" s="182"/>
      <c r="PR3" s="182"/>
      <c r="PS3" s="182"/>
      <c r="PT3" s="182"/>
      <c r="PU3" s="182"/>
      <c r="PV3" s="182"/>
      <c r="PW3" s="182"/>
      <c r="PX3" s="182"/>
      <c r="PY3" s="182"/>
      <c r="PZ3" s="182"/>
      <c r="QA3" s="182"/>
      <c r="QB3" s="182"/>
      <c r="QC3" s="182"/>
      <c r="QD3" s="182"/>
      <c r="QE3" s="182"/>
      <c r="QF3" s="182"/>
      <c r="QG3" s="182"/>
      <c r="QH3" s="182"/>
      <c r="QI3" s="182"/>
      <c r="QJ3" s="182"/>
      <c r="QK3" s="182"/>
      <c r="QL3" s="182"/>
      <c r="QM3" s="182"/>
      <c r="QN3" s="182"/>
      <c r="QO3" s="182"/>
      <c r="QP3" s="182"/>
      <c r="QQ3" s="182"/>
      <c r="QR3" s="182"/>
      <c r="QS3" s="182"/>
      <c r="QT3" s="182"/>
      <c r="QU3" s="182"/>
      <c r="QV3" s="182"/>
      <c r="QW3" s="182"/>
      <c r="QX3" s="182"/>
      <c r="QY3" s="182"/>
      <c r="QZ3" s="182"/>
      <c r="RA3" s="182"/>
      <c r="RB3" s="182"/>
      <c r="RC3" s="182"/>
      <c r="RD3" s="182"/>
      <c r="RE3" s="182"/>
      <c r="RF3" s="182"/>
      <c r="RG3" s="182"/>
      <c r="RH3" s="182"/>
      <c r="RI3" s="182"/>
      <c r="RJ3" s="182"/>
      <c r="RK3" s="182"/>
      <c r="RL3" s="182"/>
      <c r="RM3" s="182"/>
      <c r="RN3" s="182"/>
      <c r="RO3" s="182"/>
      <c r="RP3" s="182"/>
      <c r="RQ3" s="182"/>
      <c r="RR3" s="182"/>
      <c r="RS3" s="182"/>
      <c r="RT3" s="182"/>
      <c r="RU3" s="182"/>
      <c r="RV3" s="182"/>
      <c r="RW3" s="182"/>
      <c r="RX3" s="182"/>
      <c r="RY3" s="182"/>
      <c r="RZ3" s="182"/>
      <c r="SA3" s="182"/>
      <c r="SB3" s="182"/>
      <c r="SC3" s="182"/>
      <c r="SD3" s="182"/>
      <c r="SE3" s="182"/>
      <c r="SF3" s="182"/>
      <c r="SG3" s="182"/>
      <c r="SH3" s="182"/>
      <c r="SI3" s="182"/>
      <c r="SJ3" s="182"/>
      <c r="SK3" s="182"/>
      <c r="SL3" s="182"/>
      <c r="SM3" s="182"/>
      <c r="SN3" s="182"/>
      <c r="SO3" s="182"/>
      <c r="SP3" s="182"/>
      <c r="SQ3" s="182"/>
      <c r="SR3" s="182"/>
      <c r="SS3" s="182"/>
      <c r="ST3" s="182"/>
      <c r="SU3" s="182"/>
      <c r="SV3" s="182"/>
      <c r="SW3" s="182"/>
      <c r="SX3" s="182"/>
      <c r="SY3" s="182"/>
      <c r="SZ3" s="182"/>
      <c r="TA3" s="182"/>
      <c r="TB3" s="182"/>
      <c r="TC3" s="182"/>
      <c r="TD3" s="182"/>
      <c r="TE3" s="182"/>
      <c r="TF3" s="182"/>
      <c r="TG3" s="182"/>
      <c r="TH3" s="182"/>
      <c r="TI3" s="182"/>
      <c r="TJ3" s="182"/>
      <c r="TK3" s="182"/>
      <c r="TL3" s="182"/>
      <c r="TM3" s="182"/>
      <c r="TN3" s="182"/>
      <c r="TO3" s="182"/>
      <c r="TP3" s="182"/>
      <c r="TQ3" s="182"/>
      <c r="TR3" s="182"/>
      <c r="TS3" s="182"/>
      <c r="TT3" s="182"/>
      <c r="TU3" s="182"/>
      <c r="TV3" s="182"/>
      <c r="TW3" s="182"/>
      <c r="TX3" s="182"/>
      <c r="TY3" s="182"/>
      <c r="TZ3" s="182"/>
      <c r="UA3" s="182"/>
      <c r="UB3" s="182"/>
      <c r="UC3" s="182"/>
      <c r="UD3" s="182"/>
      <c r="UE3" s="182"/>
      <c r="UF3" s="182"/>
      <c r="UG3" s="182"/>
      <c r="UH3" s="182"/>
      <c r="UI3" s="182"/>
      <c r="UJ3" s="182"/>
      <c r="UK3" s="182"/>
      <c r="UL3" s="182"/>
      <c r="UM3" s="182"/>
      <c r="UN3" s="182"/>
      <c r="UO3" s="182"/>
      <c r="UP3" s="182"/>
      <c r="UQ3" s="182"/>
      <c r="UR3" s="182"/>
      <c r="US3" s="182"/>
      <c r="UT3" s="182"/>
      <c r="UU3" s="182"/>
      <c r="UV3" s="182"/>
      <c r="UW3" s="182"/>
      <c r="UX3" s="182"/>
      <c r="UY3" s="182"/>
      <c r="UZ3" s="182"/>
      <c r="VA3" s="182"/>
      <c r="VB3" s="182"/>
      <c r="VC3" s="182"/>
      <c r="VD3" s="182"/>
      <c r="VE3" s="182"/>
      <c r="VF3" s="182"/>
      <c r="VG3" s="182"/>
      <c r="VH3" s="182"/>
      <c r="VI3" s="182"/>
      <c r="VJ3" s="182"/>
      <c r="VK3" s="182"/>
      <c r="VL3" s="182"/>
      <c r="VM3" s="182"/>
      <c r="VN3" s="182"/>
      <c r="VO3" s="182"/>
      <c r="VP3" s="182"/>
      <c r="VQ3" s="182"/>
      <c r="VR3" s="182"/>
      <c r="VS3" s="182"/>
      <c r="VT3" s="182"/>
      <c r="VU3" s="182"/>
      <c r="VV3" s="182"/>
      <c r="VW3" s="182"/>
      <c r="VX3" s="182"/>
      <c r="VY3" s="182"/>
      <c r="VZ3" s="182"/>
      <c r="WA3" s="182"/>
      <c r="WB3" s="182"/>
      <c r="WC3" s="182"/>
      <c r="WD3" s="182"/>
      <c r="WE3" s="182"/>
      <c r="WF3" s="182"/>
      <c r="WG3" s="182"/>
      <c r="WH3" s="182"/>
      <c r="WI3" s="182"/>
      <c r="WJ3" s="182"/>
      <c r="WK3" s="182"/>
      <c r="WL3" s="182"/>
      <c r="WM3" s="182"/>
      <c r="WN3" s="182"/>
      <c r="WO3" s="182"/>
      <c r="WP3" s="182"/>
      <c r="WQ3" s="182"/>
      <c r="WR3" s="182"/>
      <c r="WS3" s="182"/>
      <c r="WT3" s="182"/>
      <c r="WU3" s="182"/>
      <c r="WV3" s="182"/>
      <c r="WW3" s="182"/>
      <c r="WX3" s="182"/>
      <c r="WY3" s="182"/>
      <c r="WZ3" s="182"/>
      <c r="XA3" s="182"/>
      <c r="XB3" s="182"/>
      <c r="XC3" s="182"/>
      <c r="XD3" s="182"/>
      <c r="XE3" s="182"/>
      <c r="XF3" s="182"/>
      <c r="XG3" s="182"/>
      <c r="XH3" s="182"/>
      <c r="XI3" s="182"/>
      <c r="XJ3" s="182"/>
      <c r="XK3" s="182"/>
      <c r="XL3" s="182"/>
      <c r="XM3" s="182"/>
      <c r="XN3" s="182"/>
      <c r="XO3" s="182"/>
      <c r="XP3" s="182"/>
      <c r="XQ3" s="182"/>
      <c r="XR3" s="182"/>
      <c r="XS3" s="182"/>
      <c r="XT3" s="182"/>
      <c r="XU3" s="182"/>
      <c r="XV3" s="182"/>
      <c r="XW3" s="182"/>
      <c r="XX3" s="182"/>
      <c r="XY3" s="182"/>
      <c r="XZ3" s="182"/>
      <c r="YA3" s="182"/>
      <c r="YB3" s="182"/>
      <c r="YC3" s="182"/>
      <c r="YD3" s="182"/>
      <c r="YE3" s="182"/>
      <c r="YF3" s="182"/>
      <c r="YG3" s="182"/>
      <c r="YH3" s="182"/>
      <c r="YI3" s="182"/>
      <c r="YJ3" s="182"/>
      <c r="YK3" s="182"/>
      <c r="YL3" s="182"/>
      <c r="YM3" s="182"/>
      <c r="YN3" s="182"/>
      <c r="YO3" s="182"/>
      <c r="YP3" s="182"/>
      <c r="YQ3" s="182"/>
      <c r="YR3" s="182"/>
      <c r="YS3" s="182"/>
      <c r="YT3" s="182"/>
      <c r="YU3" s="182"/>
      <c r="YV3" s="182"/>
      <c r="YW3" s="182"/>
      <c r="YX3" s="182"/>
      <c r="YY3" s="182"/>
      <c r="YZ3" s="182"/>
      <c r="ZA3" s="182"/>
      <c r="ZB3" s="182"/>
      <c r="ZC3" s="182"/>
      <c r="ZD3" s="182"/>
      <c r="ZE3" s="182"/>
      <c r="ZF3" s="182"/>
      <c r="ZG3" s="182"/>
      <c r="ZH3" s="182"/>
      <c r="ZI3" s="182"/>
      <c r="ZJ3" s="182"/>
      <c r="ZK3" s="182"/>
      <c r="ZL3" s="182"/>
      <c r="ZM3" s="182"/>
      <c r="ZN3" s="182"/>
      <c r="ZO3" s="182"/>
      <c r="ZP3" s="182"/>
      <c r="ZQ3" s="182"/>
      <c r="ZR3" s="182"/>
      <c r="ZS3" s="182"/>
      <c r="ZT3" s="182"/>
      <c r="ZU3" s="182"/>
      <c r="ZV3" s="182"/>
      <c r="ZW3" s="182"/>
      <c r="ZX3" s="182"/>
      <c r="ZY3" s="182"/>
      <c r="ZZ3" s="182"/>
      <c r="AAA3" s="182"/>
      <c r="AAB3" s="182"/>
      <c r="AAC3" s="182"/>
      <c r="AAD3" s="182"/>
      <c r="AAE3" s="182"/>
      <c r="AAF3" s="182"/>
      <c r="AAG3" s="182"/>
      <c r="AAH3" s="182"/>
      <c r="AAI3" s="182"/>
      <c r="AAJ3" s="182"/>
      <c r="AAK3" s="182"/>
      <c r="AAL3" s="182"/>
      <c r="AAM3" s="182"/>
      <c r="AAN3" s="182"/>
      <c r="AAO3" s="182"/>
      <c r="AAP3" s="182"/>
      <c r="AAQ3" s="182"/>
      <c r="AAR3" s="182"/>
      <c r="AAS3" s="182"/>
      <c r="AAT3" s="182"/>
      <c r="AAU3" s="182"/>
      <c r="AAV3" s="182"/>
      <c r="AAW3" s="182"/>
      <c r="AAX3" s="182"/>
      <c r="AAY3" s="182"/>
      <c r="AAZ3" s="182"/>
      <c r="ABA3" s="182"/>
      <c r="ABB3" s="182"/>
      <c r="ABC3" s="182"/>
      <c r="ABD3" s="182"/>
      <c r="ABE3" s="182"/>
      <c r="ABF3" s="182"/>
      <c r="ABG3" s="182"/>
      <c r="ABH3" s="182"/>
      <c r="ABI3" s="182"/>
      <c r="ABJ3" s="182"/>
      <c r="ABK3" s="182"/>
      <c r="ABL3" s="182"/>
      <c r="ABM3" s="182"/>
      <c r="ABN3" s="182"/>
      <c r="ABO3" s="182"/>
      <c r="ABP3" s="182"/>
      <c r="ABQ3" s="182"/>
      <c r="ABR3" s="182"/>
      <c r="ABS3" s="182"/>
      <c r="ABT3" s="182"/>
      <c r="ABU3" s="182"/>
      <c r="ABV3" s="182"/>
      <c r="ABW3" s="182"/>
      <c r="ABX3" s="182"/>
      <c r="ABY3" s="182"/>
      <c r="ABZ3" s="182"/>
      <c r="ACA3" s="182"/>
      <c r="ACB3" s="182"/>
      <c r="ACC3" s="182"/>
      <c r="ACD3" s="182"/>
      <c r="ACE3" s="182"/>
      <c r="ACF3" s="182"/>
      <c r="ACG3" s="182"/>
      <c r="ACH3" s="182"/>
      <c r="ACI3" s="182"/>
      <c r="ACJ3" s="182"/>
      <c r="ACK3" s="182"/>
      <c r="ACL3" s="182"/>
      <c r="ACM3" s="182"/>
      <c r="ACN3" s="182"/>
      <c r="ACO3" s="182"/>
      <c r="ACP3" s="182"/>
      <c r="ACQ3" s="182"/>
      <c r="ACR3" s="182"/>
      <c r="ACS3" s="182"/>
      <c r="ACT3" s="182"/>
      <c r="ACU3" s="182"/>
      <c r="ACV3" s="182"/>
      <c r="ACW3" s="182"/>
      <c r="ACX3" s="182"/>
      <c r="ACY3" s="182"/>
      <c r="ACZ3" s="182"/>
      <c r="ADA3" s="182"/>
      <c r="ADB3" s="182"/>
      <c r="ADC3" s="182"/>
      <c r="ADD3" s="182"/>
      <c r="ADE3" s="182"/>
      <c r="ADF3" s="182"/>
      <c r="ADG3" s="182"/>
      <c r="ADH3" s="182"/>
      <c r="ADI3" s="182"/>
      <c r="ADJ3" s="182"/>
      <c r="ADK3" s="182"/>
      <c r="ADL3" s="182"/>
      <c r="ADM3" s="182"/>
      <c r="ADN3" s="182"/>
      <c r="ADO3" s="182"/>
      <c r="ADP3" s="182"/>
      <c r="ADQ3" s="182"/>
      <c r="ADR3" s="182"/>
      <c r="ADS3" s="182"/>
      <c r="ADT3" s="182"/>
      <c r="ADU3" s="182"/>
      <c r="ADV3" s="182"/>
      <c r="ADW3" s="182"/>
      <c r="ADX3" s="182"/>
      <c r="ADY3" s="182"/>
      <c r="ADZ3" s="182"/>
      <c r="AEA3" s="182"/>
      <c r="AEB3" s="182"/>
      <c r="AEC3" s="182"/>
      <c r="AED3" s="182"/>
      <c r="AEE3" s="182"/>
      <c r="AEF3" s="182"/>
      <c r="AEG3" s="182"/>
      <c r="AEH3" s="182"/>
      <c r="AEI3" s="182"/>
      <c r="AEJ3" s="182"/>
      <c r="AEK3" s="182"/>
      <c r="AEL3" s="182"/>
      <c r="AEM3" s="182"/>
      <c r="AEN3" s="182"/>
      <c r="AEO3" s="182"/>
      <c r="AEP3" s="182"/>
      <c r="AEQ3" s="182"/>
      <c r="AER3" s="182"/>
      <c r="AES3" s="182"/>
      <c r="AET3" s="182"/>
      <c r="AEU3" s="182"/>
      <c r="AEV3" s="182"/>
      <c r="AEW3" s="182"/>
      <c r="AEX3" s="182"/>
      <c r="AEY3" s="182"/>
      <c r="AEZ3" s="182"/>
      <c r="AFA3" s="182"/>
      <c r="AFB3" s="182"/>
      <c r="AFC3" s="182"/>
      <c r="AFD3" s="182"/>
      <c r="AFE3" s="182"/>
      <c r="AFF3" s="182"/>
      <c r="AFG3" s="182"/>
      <c r="AFH3" s="182"/>
      <c r="AFI3" s="182"/>
      <c r="AFJ3" s="182"/>
      <c r="AFK3" s="182"/>
      <c r="AFL3" s="182"/>
      <c r="AFM3" s="182"/>
      <c r="AFN3" s="182"/>
      <c r="AFO3" s="182"/>
      <c r="AFP3" s="182"/>
      <c r="AFQ3" s="182"/>
      <c r="AFR3" s="182"/>
      <c r="AFS3" s="182"/>
      <c r="AFT3" s="182"/>
      <c r="AFU3" s="182"/>
      <c r="AFV3" s="182"/>
      <c r="AFW3" s="182"/>
      <c r="AFX3" s="182"/>
      <c r="AFY3" s="182"/>
      <c r="AFZ3" s="182"/>
      <c r="AGA3" s="182"/>
      <c r="AGB3" s="182"/>
      <c r="AGC3" s="182"/>
      <c r="AGD3" s="182"/>
      <c r="AGE3" s="182"/>
      <c r="AGF3" s="182"/>
      <c r="AGG3" s="182"/>
      <c r="AGH3" s="182"/>
      <c r="AGI3" s="182"/>
      <c r="AGJ3" s="182"/>
      <c r="AGK3" s="182"/>
      <c r="AGL3" s="182"/>
      <c r="AGM3" s="182"/>
      <c r="AGN3" s="182"/>
      <c r="AGO3" s="182"/>
      <c r="AGP3" s="182"/>
      <c r="AGQ3" s="182"/>
      <c r="AGR3" s="182"/>
      <c r="AGS3" s="182"/>
      <c r="AGT3" s="182"/>
      <c r="AGU3" s="182"/>
      <c r="AGV3" s="182"/>
      <c r="AGW3" s="182"/>
      <c r="AGX3" s="182"/>
      <c r="AGY3" s="182"/>
      <c r="AGZ3" s="182"/>
      <c r="AHA3" s="182"/>
      <c r="AHB3" s="182"/>
      <c r="AHC3" s="182"/>
      <c r="AHD3" s="182"/>
      <c r="AHE3" s="182"/>
      <c r="AHF3" s="182"/>
      <c r="AHG3" s="182"/>
      <c r="AHH3" s="182"/>
      <c r="AHI3" s="182"/>
      <c r="AHJ3" s="182"/>
      <c r="AHK3" s="182"/>
      <c r="AHL3" s="182"/>
      <c r="AHM3" s="182"/>
      <c r="AHN3" s="182"/>
      <c r="AHO3" s="182"/>
      <c r="AHP3" s="182"/>
      <c r="AHQ3" s="182"/>
      <c r="AHR3" s="182"/>
      <c r="AHS3" s="182"/>
      <c r="AHT3" s="182"/>
      <c r="AHU3" s="182"/>
      <c r="AHV3" s="182"/>
      <c r="AHW3" s="182"/>
      <c r="AHX3" s="182"/>
      <c r="AHY3" s="182"/>
      <c r="AHZ3" s="182"/>
      <c r="AIA3" s="182"/>
      <c r="AIB3" s="182"/>
      <c r="AIC3" s="182"/>
      <c r="AID3" s="182"/>
      <c r="AIE3" s="182"/>
      <c r="AIF3" s="182"/>
      <c r="AIG3" s="182"/>
      <c r="AIH3" s="182"/>
      <c r="AII3" s="182"/>
      <c r="AIJ3" s="182"/>
      <c r="AIK3" s="182"/>
      <c r="AIL3" s="182"/>
      <c r="AIM3" s="182"/>
      <c r="AIN3" s="182"/>
      <c r="AIO3" s="182"/>
      <c r="AIP3" s="182"/>
      <c r="AIQ3" s="182"/>
      <c r="AIR3" s="182"/>
      <c r="AIS3" s="182"/>
      <c r="AIT3" s="182"/>
      <c r="AIU3" s="182"/>
      <c r="AIV3" s="182"/>
      <c r="AIW3" s="182"/>
      <c r="AIX3" s="182"/>
      <c r="AIY3" s="182"/>
      <c r="AIZ3" s="182"/>
      <c r="AJA3" s="182"/>
      <c r="AJB3" s="182"/>
      <c r="AJC3" s="182"/>
      <c r="AJD3" s="182"/>
      <c r="AJE3" s="182"/>
      <c r="AJF3" s="182"/>
      <c r="AJG3" s="182"/>
      <c r="AJH3" s="182"/>
      <c r="AJI3" s="182"/>
      <c r="AJJ3" s="182"/>
      <c r="AJK3" s="182"/>
      <c r="AJL3" s="182"/>
      <c r="AJM3" s="182"/>
      <c r="AJN3" s="182"/>
      <c r="AJO3" s="182"/>
      <c r="AJP3" s="182"/>
      <c r="AJQ3" s="182"/>
      <c r="AJR3" s="182"/>
      <c r="AJS3" s="182"/>
      <c r="AJT3" s="182"/>
      <c r="AJU3" s="182"/>
      <c r="AJV3" s="182"/>
      <c r="AJW3" s="182"/>
      <c r="AJX3" s="182"/>
      <c r="AJY3" s="182"/>
      <c r="AJZ3" s="182"/>
      <c r="AKA3" s="182"/>
      <c r="AKB3" s="182"/>
      <c r="AKC3" s="182"/>
      <c r="AKD3" s="182"/>
      <c r="AKE3" s="182"/>
      <c r="AKF3" s="182"/>
      <c r="AKG3" s="182"/>
      <c r="AKH3" s="182"/>
      <c r="AKI3" s="182"/>
      <c r="AKJ3" s="182"/>
      <c r="AKK3" s="182"/>
      <c r="AKL3" s="182"/>
      <c r="AKM3" s="182"/>
      <c r="AKN3" s="182"/>
      <c r="AKO3" s="182"/>
      <c r="AKP3" s="182"/>
      <c r="AKQ3" s="182"/>
      <c r="AKR3" s="182"/>
      <c r="AKS3" s="182"/>
      <c r="AKT3" s="182"/>
      <c r="AKU3" s="182"/>
      <c r="AKV3" s="182"/>
      <c r="AKW3" s="182"/>
      <c r="AKX3" s="182"/>
      <c r="AKY3" s="182"/>
      <c r="AKZ3" s="182"/>
      <c r="ALA3" s="182"/>
      <c r="ALB3" s="182"/>
      <c r="ALC3" s="182"/>
      <c r="ALD3" s="182"/>
      <c r="ALE3" s="182"/>
      <c r="ALF3" s="182"/>
      <c r="ALG3" s="182"/>
      <c r="ALH3" s="182"/>
      <c r="ALI3" s="182"/>
      <c r="ALJ3" s="182"/>
      <c r="ALK3" s="182"/>
      <c r="ALL3" s="182"/>
      <c r="ALM3" s="182"/>
      <c r="ALN3" s="182"/>
      <c r="ALO3" s="182"/>
      <c r="ALP3" s="182"/>
      <c r="ALQ3" s="182"/>
      <c r="ALR3" s="182"/>
      <c r="ALS3" s="182"/>
      <c r="ALT3" s="182"/>
      <c r="ALU3" s="182"/>
      <c r="ALV3" s="182"/>
      <c r="ALW3" s="182"/>
      <c r="ALX3" s="182"/>
      <c r="ALY3" s="182"/>
      <c r="ALZ3" s="182"/>
      <c r="AMA3" s="182"/>
      <c r="AMB3" s="182"/>
      <c r="AMC3" s="182"/>
      <c r="AMD3" s="182"/>
      <c r="AME3" s="182"/>
      <c r="AMF3" s="182"/>
      <c r="AMG3" s="182"/>
      <c r="AMH3" s="182"/>
      <c r="AMI3" s="182"/>
      <c r="AMJ3" s="182"/>
      <c r="AMK3" s="182"/>
      <c r="AML3" s="182"/>
      <c r="AMM3" s="182"/>
      <c r="AMN3" s="182"/>
      <c r="AMO3" s="182"/>
      <c r="AMP3" s="182"/>
      <c r="AMQ3" s="182"/>
      <c r="AMR3" s="182"/>
      <c r="AMS3" s="182"/>
      <c r="AMT3" s="182"/>
      <c r="AMU3" s="182"/>
      <c r="AMV3" s="182"/>
      <c r="AMW3" s="182"/>
      <c r="AMX3" s="182"/>
      <c r="AMY3" s="182"/>
      <c r="AMZ3" s="182"/>
      <c r="ANA3" s="182"/>
      <c r="ANB3" s="182"/>
      <c r="ANC3" s="182"/>
      <c r="AND3" s="182"/>
      <c r="ANE3" s="182"/>
      <c r="ANF3" s="182"/>
      <c r="ANG3" s="182"/>
      <c r="ANH3" s="182"/>
      <c r="ANI3" s="182"/>
      <c r="ANJ3" s="182"/>
      <c r="ANK3" s="182"/>
      <c r="ANL3" s="182"/>
      <c r="ANM3" s="182"/>
      <c r="ANN3" s="182"/>
      <c r="ANO3" s="182"/>
      <c r="ANP3" s="182"/>
      <c r="ANQ3" s="182"/>
      <c r="ANR3" s="182"/>
      <c r="ANS3" s="182"/>
      <c r="ANT3" s="182"/>
      <c r="ANU3" s="182"/>
      <c r="ANV3" s="182"/>
      <c r="ANW3" s="182"/>
      <c r="ANX3" s="182"/>
      <c r="ANY3" s="182"/>
      <c r="ANZ3" s="182"/>
      <c r="AOA3" s="182"/>
      <c r="AOB3" s="182"/>
      <c r="AOC3" s="182"/>
      <c r="AOD3" s="182"/>
      <c r="AOE3" s="182"/>
      <c r="AOF3" s="182"/>
      <c r="AOG3" s="182"/>
      <c r="AOH3" s="182"/>
      <c r="AOI3" s="182"/>
      <c r="AOJ3" s="182"/>
      <c r="AOK3" s="182"/>
      <c r="AOL3" s="182"/>
      <c r="AOM3" s="182"/>
      <c r="AON3" s="182"/>
      <c r="AOO3" s="182"/>
      <c r="AOP3" s="182"/>
      <c r="AOQ3" s="182"/>
      <c r="AOR3" s="182"/>
      <c r="AOS3" s="182"/>
      <c r="AOT3" s="182"/>
      <c r="AOU3" s="182"/>
      <c r="AOV3" s="182"/>
      <c r="AOW3" s="182"/>
      <c r="AOX3" s="182"/>
      <c r="AOY3" s="182"/>
      <c r="AOZ3" s="182"/>
      <c r="APA3" s="182"/>
      <c r="APB3" s="182"/>
      <c r="APC3" s="182"/>
      <c r="APD3" s="182"/>
      <c r="APE3" s="182"/>
      <c r="APF3" s="182"/>
      <c r="APG3" s="182"/>
      <c r="APH3" s="182"/>
      <c r="API3" s="182"/>
      <c r="APJ3" s="182"/>
      <c r="APK3" s="182"/>
      <c r="APL3" s="182"/>
      <c r="APM3" s="182"/>
      <c r="APN3" s="182"/>
      <c r="APO3" s="182"/>
      <c r="APP3" s="182"/>
      <c r="APQ3" s="182"/>
      <c r="APR3" s="182"/>
      <c r="APS3" s="182"/>
      <c r="APT3" s="182"/>
      <c r="APU3" s="182"/>
      <c r="APV3" s="182"/>
      <c r="APW3" s="182"/>
      <c r="APX3" s="182"/>
      <c r="APY3" s="182"/>
      <c r="APZ3" s="182"/>
      <c r="AQA3" s="182"/>
      <c r="AQB3" s="182"/>
      <c r="AQC3" s="182"/>
      <c r="AQD3" s="182"/>
      <c r="AQE3" s="182"/>
      <c r="AQF3" s="182"/>
      <c r="AQG3" s="182"/>
      <c r="AQH3" s="182"/>
      <c r="AQI3" s="182"/>
      <c r="AQJ3" s="182"/>
      <c r="AQK3" s="182"/>
      <c r="AQL3" s="182"/>
      <c r="AQM3" s="182"/>
      <c r="AQN3" s="182"/>
      <c r="AQO3" s="182"/>
      <c r="AQP3" s="182"/>
      <c r="AQQ3" s="182"/>
      <c r="AQR3" s="182"/>
      <c r="AQS3" s="182"/>
      <c r="AQT3" s="182"/>
      <c r="AQU3" s="182"/>
      <c r="AQV3" s="182"/>
      <c r="AQW3" s="182"/>
      <c r="AQX3" s="182"/>
      <c r="AQY3" s="182"/>
      <c r="AQZ3" s="182"/>
      <c r="ARA3" s="182"/>
      <c r="ARB3" s="182"/>
      <c r="ARC3" s="182"/>
      <c r="ARD3" s="182"/>
      <c r="ARE3" s="182"/>
      <c r="ARF3" s="182"/>
      <c r="ARG3" s="182"/>
      <c r="ARH3" s="182"/>
      <c r="ARI3" s="182"/>
      <c r="ARJ3" s="182"/>
      <c r="ARK3" s="182"/>
      <c r="ARL3" s="182"/>
      <c r="ARM3" s="182"/>
      <c r="ARN3" s="182"/>
      <c r="ARO3" s="182"/>
      <c r="ARP3" s="182"/>
      <c r="ARQ3" s="182"/>
      <c r="ARR3" s="182"/>
      <c r="ARS3" s="182"/>
      <c r="ART3" s="182"/>
      <c r="ARU3" s="182"/>
      <c r="ARV3" s="182"/>
      <c r="ARW3" s="182"/>
      <c r="ARX3" s="182"/>
      <c r="ARY3" s="182"/>
      <c r="ARZ3" s="182"/>
      <c r="ASA3" s="182"/>
      <c r="ASB3" s="182"/>
      <c r="ASC3" s="182"/>
      <c r="ASD3" s="182"/>
      <c r="ASE3" s="182"/>
      <c r="ASF3" s="182"/>
      <c r="ASG3" s="182"/>
      <c r="ASH3" s="182"/>
      <c r="ASI3" s="182"/>
      <c r="ASJ3" s="182"/>
      <c r="ASK3" s="182"/>
      <c r="ASL3" s="182"/>
      <c r="ASM3" s="182"/>
      <c r="ASN3" s="182"/>
      <c r="ASO3" s="182"/>
      <c r="ASP3" s="182"/>
      <c r="ASQ3" s="182"/>
      <c r="ASR3" s="182"/>
      <c r="ASS3" s="182"/>
      <c r="AST3" s="182"/>
      <c r="ASU3" s="182"/>
      <c r="ASV3" s="182"/>
      <c r="ASW3" s="182"/>
      <c r="ASX3" s="182"/>
      <c r="ASY3" s="182"/>
      <c r="ASZ3" s="182"/>
      <c r="ATA3" s="182"/>
      <c r="ATB3" s="182"/>
      <c r="ATC3" s="182"/>
      <c r="ATD3" s="182"/>
      <c r="ATE3" s="182"/>
      <c r="ATF3" s="182"/>
      <c r="ATG3" s="182"/>
      <c r="ATH3" s="182"/>
      <c r="ATI3" s="182"/>
      <c r="ATJ3" s="182"/>
      <c r="ATK3" s="182"/>
      <c r="ATL3" s="182"/>
      <c r="ATM3" s="182"/>
      <c r="ATN3" s="182"/>
      <c r="ATO3" s="182"/>
      <c r="ATP3" s="182"/>
      <c r="ATQ3" s="182"/>
      <c r="ATR3" s="182"/>
      <c r="ATS3" s="182"/>
      <c r="ATT3" s="182"/>
      <c r="ATU3" s="182"/>
      <c r="ATV3" s="182"/>
      <c r="ATW3" s="182"/>
      <c r="ATX3" s="182"/>
      <c r="ATY3" s="182"/>
      <c r="ATZ3" s="182"/>
      <c r="AUA3" s="182"/>
      <c r="AUB3" s="182"/>
      <c r="AUC3" s="182"/>
      <c r="AUD3" s="182"/>
      <c r="AUE3" s="182"/>
      <c r="AUF3" s="182"/>
      <c r="AUG3" s="182"/>
      <c r="AUH3" s="182"/>
      <c r="AUI3" s="182"/>
      <c r="AUJ3" s="182"/>
      <c r="AUK3" s="182"/>
      <c r="AUL3" s="182"/>
      <c r="AUM3" s="182"/>
      <c r="AUN3" s="182"/>
      <c r="AUO3" s="182"/>
      <c r="AUP3" s="182"/>
      <c r="AUQ3" s="182"/>
      <c r="AUR3" s="182"/>
      <c r="AUS3" s="182"/>
      <c r="AUT3" s="182"/>
      <c r="AUU3" s="182"/>
      <c r="AUV3" s="182"/>
      <c r="AUW3" s="182"/>
      <c r="AUX3" s="182"/>
      <c r="AUY3" s="182"/>
      <c r="AUZ3" s="182"/>
      <c r="AVA3" s="182"/>
      <c r="AVB3" s="182"/>
      <c r="AVC3" s="182"/>
      <c r="AVD3" s="182"/>
      <c r="AVE3" s="182"/>
      <c r="AVF3" s="182"/>
      <c r="AVG3" s="182"/>
      <c r="AVH3" s="182"/>
      <c r="AVI3" s="182"/>
      <c r="AVJ3" s="182"/>
      <c r="AVK3" s="182"/>
      <c r="AVL3" s="182"/>
      <c r="AVM3" s="182"/>
      <c r="AVN3" s="182"/>
      <c r="AVO3" s="182"/>
      <c r="AVP3" s="182"/>
      <c r="AVQ3" s="182"/>
      <c r="AVR3" s="182"/>
      <c r="AVS3" s="182"/>
      <c r="AVT3" s="182"/>
      <c r="AVU3" s="182"/>
      <c r="AVV3" s="182"/>
      <c r="AVW3" s="182"/>
      <c r="AVX3" s="182"/>
      <c r="AVY3" s="182"/>
      <c r="AVZ3" s="182"/>
      <c r="AWA3" s="182"/>
      <c r="AWB3" s="182"/>
      <c r="AWC3" s="182"/>
      <c r="AWD3" s="182"/>
      <c r="AWE3" s="182"/>
      <c r="AWF3" s="182"/>
      <c r="AWG3" s="182"/>
      <c r="AWH3" s="182"/>
      <c r="AWI3" s="182"/>
      <c r="AWJ3" s="182"/>
      <c r="AWK3" s="182"/>
      <c r="AWL3" s="182"/>
      <c r="AWM3" s="182"/>
      <c r="AWN3" s="182"/>
      <c r="AWO3" s="182"/>
      <c r="AWP3" s="182"/>
      <c r="AWQ3" s="182"/>
      <c r="AWR3" s="182"/>
      <c r="AWS3" s="182"/>
      <c r="AWT3" s="182"/>
      <c r="AWU3" s="182"/>
      <c r="AWV3" s="182"/>
      <c r="AWW3" s="182"/>
      <c r="AWX3" s="182"/>
      <c r="AWY3" s="182"/>
      <c r="AWZ3" s="182"/>
      <c r="AXA3" s="182"/>
      <c r="AXB3" s="182"/>
      <c r="AXC3" s="182"/>
      <c r="AXD3" s="182"/>
      <c r="AXE3" s="182"/>
      <c r="AXF3" s="182"/>
      <c r="AXG3" s="182"/>
      <c r="AXH3" s="182"/>
      <c r="AXI3" s="182"/>
      <c r="AXJ3" s="182"/>
      <c r="AXK3" s="182"/>
      <c r="AXL3" s="182"/>
      <c r="AXM3" s="182"/>
      <c r="AXN3" s="182"/>
      <c r="AXO3" s="182"/>
      <c r="AXP3" s="182"/>
      <c r="AXQ3" s="182"/>
      <c r="AXR3" s="182"/>
      <c r="AXS3" s="182"/>
      <c r="AXT3" s="182"/>
      <c r="AXU3" s="182"/>
      <c r="AXV3" s="182"/>
      <c r="AXW3" s="182"/>
      <c r="AXX3" s="182"/>
      <c r="AXY3" s="182"/>
      <c r="AXZ3" s="182"/>
      <c r="AYA3" s="182"/>
      <c r="AYB3" s="182"/>
      <c r="AYC3" s="182"/>
      <c r="AYD3" s="182"/>
      <c r="AYE3" s="182"/>
      <c r="AYF3" s="182"/>
      <c r="AYG3" s="182"/>
      <c r="AYH3" s="182"/>
      <c r="AYI3" s="182"/>
      <c r="AYJ3" s="182"/>
      <c r="AYK3" s="182"/>
      <c r="AYL3" s="182"/>
      <c r="AYM3" s="182"/>
      <c r="AYN3" s="182"/>
      <c r="AYO3" s="182"/>
      <c r="AYP3" s="182"/>
      <c r="AYQ3" s="182"/>
      <c r="AYR3" s="182"/>
      <c r="AYS3" s="182"/>
      <c r="AYT3" s="182"/>
      <c r="AYU3" s="182"/>
      <c r="AYV3" s="182"/>
      <c r="AYW3" s="182"/>
      <c r="AYX3" s="182"/>
      <c r="AYY3" s="182"/>
      <c r="AYZ3" s="182"/>
      <c r="AZA3" s="182"/>
      <c r="AZB3" s="182"/>
      <c r="AZC3" s="182"/>
      <c r="AZD3" s="182"/>
      <c r="AZE3" s="182"/>
      <c r="AZF3" s="182"/>
      <c r="AZG3" s="182"/>
      <c r="AZH3" s="182"/>
      <c r="AZI3" s="182"/>
      <c r="AZJ3" s="182"/>
      <c r="AZK3" s="182"/>
      <c r="AZL3" s="182"/>
      <c r="AZM3" s="182"/>
      <c r="AZN3" s="182"/>
      <c r="AZO3" s="182"/>
      <c r="AZP3" s="182"/>
      <c r="AZQ3" s="182"/>
      <c r="AZR3" s="182"/>
      <c r="AZS3" s="182"/>
      <c r="AZT3" s="182"/>
      <c r="AZU3" s="182"/>
      <c r="AZV3" s="182"/>
      <c r="AZW3" s="182"/>
      <c r="AZX3" s="182"/>
      <c r="AZY3" s="182"/>
      <c r="AZZ3" s="182"/>
      <c r="BAA3" s="182"/>
      <c r="BAB3" s="182"/>
      <c r="BAC3" s="182"/>
      <c r="BAD3" s="182"/>
      <c r="BAE3" s="182"/>
      <c r="BAF3" s="182"/>
      <c r="BAG3" s="182"/>
      <c r="BAH3" s="182"/>
      <c r="BAI3" s="182"/>
      <c r="BAJ3" s="182"/>
      <c r="BAK3" s="182"/>
      <c r="BAL3" s="182"/>
      <c r="BAM3" s="182"/>
      <c r="BAN3" s="182"/>
      <c r="BAO3" s="182"/>
      <c r="BAP3" s="182"/>
      <c r="BAQ3" s="182"/>
      <c r="BAR3" s="182"/>
      <c r="BAS3" s="182"/>
      <c r="BAT3" s="182"/>
      <c r="BAU3" s="182"/>
      <c r="BAV3" s="182"/>
      <c r="BAW3" s="182"/>
      <c r="BAX3" s="182"/>
      <c r="BAY3" s="182"/>
      <c r="BAZ3" s="182"/>
      <c r="BBA3" s="182"/>
      <c r="BBB3" s="182"/>
      <c r="BBC3" s="182"/>
      <c r="BBD3" s="182"/>
      <c r="BBE3" s="182"/>
      <c r="BBF3" s="182"/>
      <c r="BBG3" s="182"/>
      <c r="BBH3" s="182"/>
      <c r="BBI3" s="182"/>
      <c r="BBJ3" s="182"/>
      <c r="BBK3" s="182"/>
      <c r="BBL3" s="182"/>
      <c r="BBM3" s="182"/>
      <c r="BBN3" s="182"/>
      <c r="BBO3" s="182"/>
      <c r="BBP3" s="182"/>
      <c r="BBQ3" s="182"/>
      <c r="BBR3" s="182"/>
      <c r="BBS3" s="182"/>
      <c r="BBT3" s="182"/>
      <c r="BBU3" s="182"/>
      <c r="BBV3" s="182"/>
      <c r="BBW3" s="182"/>
      <c r="BBX3" s="182"/>
      <c r="BBY3" s="182"/>
      <c r="BBZ3" s="182"/>
      <c r="BCA3" s="182"/>
      <c r="BCB3" s="182"/>
      <c r="BCC3" s="182"/>
      <c r="BCD3" s="182"/>
      <c r="BCE3" s="182"/>
      <c r="BCF3" s="182"/>
      <c r="BCG3" s="182"/>
      <c r="BCH3" s="182"/>
      <c r="BCI3" s="182"/>
      <c r="BCJ3" s="182"/>
      <c r="BCK3" s="182"/>
      <c r="BCL3" s="182"/>
      <c r="BCM3" s="182"/>
      <c r="BCN3" s="182"/>
      <c r="BCO3" s="182"/>
      <c r="BCP3" s="182"/>
      <c r="BCQ3" s="182"/>
      <c r="BCR3" s="182"/>
      <c r="BCS3" s="182"/>
      <c r="BCT3" s="182"/>
      <c r="BCU3" s="182"/>
      <c r="BCV3" s="182"/>
      <c r="BCW3" s="182"/>
      <c r="BCX3" s="182"/>
      <c r="BCY3" s="182"/>
      <c r="BCZ3" s="182"/>
      <c r="BDA3" s="182"/>
      <c r="BDB3" s="182"/>
      <c r="BDC3" s="182"/>
      <c r="BDD3" s="182"/>
      <c r="BDE3" s="182"/>
      <c r="BDF3" s="182"/>
      <c r="BDG3" s="182"/>
      <c r="BDH3" s="182"/>
      <c r="BDI3" s="182"/>
      <c r="BDJ3" s="182"/>
      <c r="BDK3" s="182"/>
      <c r="BDL3" s="182"/>
      <c r="BDM3" s="182"/>
      <c r="BDN3" s="182"/>
      <c r="BDO3" s="182"/>
      <c r="BDP3" s="182"/>
      <c r="BDQ3" s="182"/>
      <c r="BDR3" s="182"/>
      <c r="BDS3" s="182"/>
      <c r="BDT3" s="182"/>
      <c r="BDU3" s="182"/>
      <c r="BDV3" s="182"/>
      <c r="BDW3" s="182"/>
      <c r="BDX3" s="182"/>
      <c r="BDY3" s="182"/>
      <c r="BDZ3" s="182"/>
      <c r="BEA3" s="182"/>
      <c r="BEB3" s="182"/>
      <c r="BEC3" s="182"/>
      <c r="BED3" s="182"/>
      <c r="BEE3" s="182"/>
      <c r="BEF3" s="182"/>
      <c r="BEG3" s="182"/>
      <c r="BEH3" s="182"/>
      <c r="BEI3" s="182"/>
      <c r="BEJ3" s="182"/>
      <c r="BEK3" s="182"/>
      <c r="BEL3" s="182"/>
      <c r="BEM3" s="182"/>
      <c r="BEN3" s="182"/>
      <c r="BEO3" s="182"/>
      <c r="BEP3" s="182"/>
      <c r="BEQ3" s="182"/>
      <c r="BER3" s="182"/>
      <c r="BES3" s="182"/>
      <c r="BET3" s="182"/>
      <c r="BEU3" s="182"/>
      <c r="BEV3" s="182"/>
      <c r="BEW3" s="182"/>
      <c r="BEX3" s="182"/>
      <c r="BEY3" s="182"/>
      <c r="BEZ3" s="182"/>
      <c r="BFA3" s="182"/>
      <c r="BFB3" s="182"/>
      <c r="BFC3" s="182"/>
      <c r="BFD3" s="182"/>
      <c r="BFE3" s="182"/>
      <c r="BFF3" s="182"/>
      <c r="BFG3" s="182"/>
      <c r="BFH3" s="182"/>
      <c r="BFI3" s="182"/>
      <c r="BFJ3" s="182"/>
      <c r="BFK3" s="182"/>
      <c r="BFL3" s="182"/>
      <c r="BFM3" s="182"/>
      <c r="BFN3" s="182"/>
      <c r="BFO3" s="182"/>
      <c r="BFP3" s="182"/>
      <c r="BFQ3" s="182"/>
      <c r="BFR3" s="182"/>
      <c r="BFS3" s="182"/>
      <c r="BFT3" s="182"/>
      <c r="BFU3" s="182"/>
      <c r="BFV3" s="182"/>
      <c r="BFW3" s="182"/>
      <c r="BFX3" s="182"/>
      <c r="BFY3" s="182"/>
      <c r="BFZ3" s="182"/>
      <c r="BGA3" s="182"/>
      <c r="BGB3" s="182"/>
      <c r="BGC3" s="182"/>
      <c r="BGD3" s="182"/>
      <c r="BGE3" s="182"/>
      <c r="BGF3" s="182"/>
      <c r="BGG3" s="182"/>
      <c r="BGH3" s="182"/>
      <c r="BGI3" s="182"/>
      <c r="BGJ3" s="182"/>
      <c r="BGK3" s="182"/>
      <c r="BGL3" s="182"/>
      <c r="BGM3" s="182"/>
      <c r="BGN3" s="182"/>
      <c r="BGO3" s="182"/>
      <c r="BGP3" s="182"/>
      <c r="BGQ3" s="182"/>
      <c r="BGR3" s="182"/>
      <c r="BGS3" s="182"/>
      <c r="BGT3" s="182"/>
      <c r="BGU3" s="182"/>
      <c r="BGV3" s="182"/>
      <c r="BGW3" s="182"/>
      <c r="BGX3" s="182"/>
      <c r="BGY3" s="182"/>
      <c r="BGZ3" s="182"/>
      <c r="BHA3" s="182"/>
      <c r="BHB3" s="182"/>
      <c r="BHC3" s="182"/>
      <c r="BHD3" s="182"/>
      <c r="BHE3" s="182"/>
      <c r="BHF3" s="182"/>
      <c r="BHG3" s="182"/>
      <c r="BHH3" s="182"/>
      <c r="BHI3" s="182"/>
      <c r="BHJ3" s="182"/>
      <c r="BHK3" s="182"/>
      <c r="BHL3" s="182"/>
      <c r="BHM3" s="182"/>
      <c r="BHN3" s="182"/>
      <c r="BHO3" s="182"/>
      <c r="BHP3" s="182"/>
      <c r="BHQ3" s="182"/>
      <c r="BHR3" s="182"/>
      <c r="BHS3" s="182"/>
      <c r="BHT3" s="182"/>
      <c r="BHU3" s="182"/>
      <c r="BHV3" s="182"/>
      <c r="BHW3" s="182"/>
      <c r="BHX3" s="182"/>
      <c r="BHY3" s="182"/>
      <c r="BHZ3" s="182"/>
      <c r="BIA3" s="182"/>
      <c r="BIB3" s="182"/>
      <c r="BIC3" s="182"/>
      <c r="BID3" s="182"/>
      <c r="BIE3" s="182"/>
      <c r="BIF3" s="182"/>
      <c r="BIG3" s="182"/>
      <c r="BIH3" s="182"/>
      <c r="BII3" s="182"/>
      <c r="BIJ3" s="182"/>
      <c r="BIK3" s="182"/>
      <c r="BIL3" s="182"/>
      <c r="BIM3" s="182"/>
      <c r="BIN3" s="182"/>
      <c r="BIO3" s="182"/>
      <c r="BIP3" s="182"/>
      <c r="BIQ3" s="182"/>
      <c r="BIR3" s="182"/>
      <c r="BIS3" s="182"/>
      <c r="BIT3" s="182"/>
      <c r="BIU3" s="182"/>
      <c r="BIV3" s="182"/>
      <c r="BIW3" s="182"/>
      <c r="BIX3" s="182"/>
      <c r="BIY3" s="182"/>
      <c r="BIZ3" s="182"/>
      <c r="BJA3" s="182"/>
      <c r="BJB3" s="182"/>
      <c r="BJC3" s="182"/>
      <c r="BJD3" s="182"/>
      <c r="BJE3" s="182"/>
      <c r="BJF3" s="182"/>
      <c r="BJG3" s="182"/>
      <c r="BJH3" s="182"/>
      <c r="BJI3" s="182"/>
      <c r="BJJ3" s="182"/>
      <c r="BJK3" s="182"/>
      <c r="BJL3" s="182"/>
      <c r="BJM3" s="182"/>
      <c r="BJN3" s="182"/>
      <c r="BJO3" s="182"/>
      <c r="BJP3" s="182"/>
      <c r="BJQ3" s="182"/>
      <c r="BJR3" s="182"/>
      <c r="BJS3" s="182"/>
      <c r="BJT3" s="182"/>
      <c r="BJU3" s="182"/>
      <c r="BJV3" s="182"/>
      <c r="BJW3" s="182"/>
      <c r="BJX3" s="182"/>
      <c r="BJY3" s="182"/>
      <c r="BJZ3" s="182"/>
      <c r="BKA3" s="182"/>
      <c r="BKB3" s="182"/>
      <c r="BKC3" s="182"/>
      <c r="BKD3" s="182"/>
      <c r="BKE3" s="182"/>
      <c r="BKF3" s="182"/>
      <c r="BKG3" s="182"/>
      <c r="BKH3" s="182"/>
      <c r="BKI3" s="182"/>
      <c r="BKJ3" s="182"/>
      <c r="BKK3" s="182"/>
      <c r="BKL3" s="182"/>
      <c r="BKM3" s="182"/>
      <c r="BKN3" s="182"/>
      <c r="BKO3" s="182"/>
      <c r="BKP3" s="182"/>
      <c r="BKQ3" s="182"/>
      <c r="BKR3" s="182"/>
      <c r="BKS3" s="182"/>
      <c r="BKT3" s="182"/>
      <c r="BKU3" s="182"/>
      <c r="BKV3" s="182"/>
      <c r="BKW3" s="182"/>
      <c r="BKX3" s="182"/>
      <c r="BKY3" s="182"/>
      <c r="BKZ3" s="182"/>
      <c r="BLA3" s="182"/>
      <c r="BLB3" s="182"/>
      <c r="BLC3" s="182"/>
      <c r="BLD3" s="182"/>
      <c r="BLE3" s="182"/>
      <c r="BLF3" s="182"/>
      <c r="BLG3" s="182"/>
      <c r="BLH3" s="182"/>
      <c r="BLI3" s="182"/>
      <c r="BLJ3" s="182"/>
      <c r="BLK3" s="182"/>
      <c r="BLL3" s="182"/>
      <c r="BLM3" s="182"/>
      <c r="BLN3" s="182"/>
      <c r="BLO3" s="182"/>
      <c r="BLP3" s="182"/>
      <c r="BLQ3" s="182"/>
      <c r="BLR3" s="182"/>
      <c r="BLS3" s="182"/>
      <c r="BLT3" s="182"/>
      <c r="BLU3" s="182"/>
      <c r="BLV3" s="182"/>
      <c r="BLW3" s="182"/>
      <c r="BLX3" s="182"/>
      <c r="BLY3" s="182"/>
      <c r="BLZ3" s="182"/>
      <c r="BMA3" s="182"/>
      <c r="BMB3" s="182"/>
      <c r="BMC3" s="182"/>
      <c r="BMD3" s="182"/>
      <c r="BME3" s="182"/>
      <c r="BMF3" s="182"/>
      <c r="BMG3" s="182"/>
      <c r="BMH3" s="182"/>
      <c r="BMI3" s="182"/>
      <c r="BMJ3" s="182"/>
      <c r="BMK3" s="182"/>
      <c r="BML3" s="182"/>
      <c r="BMM3" s="182"/>
      <c r="BMN3" s="182"/>
      <c r="BMO3" s="182"/>
      <c r="BMP3" s="182"/>
      <c r="BMQ3" s="182"/>
      <c r="BMR3" s="182"/>
      <c r="BMS3" s="182"/>
      <c r="BMT3" s="182"/>
      <c r="BMU3" s="182"/>
      <c r="BMV3" s="182"/>
      <c r="BMW3" s="182"/>
      <c r="BMX3" s="182"/>
      <c r="BMY3" s="182"/>
      <c r="BMZ3" s="182"/>
      <c r="BNA3" s="182"/>
      <c r="BNB3" s="182"/>
      <c r="BNC3" s="182"/>
      <c r="BND3" s="182"/>
      <c r="BNE3" s="182"/>
      <c r="BNF3" s="182"/>
      <c r="BNG3" s="182"/>
      <c r="BNH3" s="182"/>
      <c r="BNI3" s="182"/>
      <c r="BNJ3" s="182"/>
      <c r="BNK3" s="182"/>
      <c r="BNL3" s="182"/>
      <c r="BNM3" s="182"/>
      <c r="BNN3" s="182"/>
      <c r="BNO3" s="182"/>
      <c r="BNP3" s="182"/>
      <c r="BNQ3" s="182"/>
      <c r="BNR3" s="182"/>
      <c r="BNS3" s="182"/>
      <c r="BNT3" s="182"/>
      <c r="BNU3" s="182"/>
      <c r="BNV3" s="182"/>
      <c r="BNW3" s="182"/>
      <c r="BNX3" s="182"/>
      <c r="BNY3" s="182"/>
      <c r="BNZ3" s="182"/>
      <c r="BOA3" s="182"/>
      <c r="BOB3" s="182"/>
      <c r="BOC3" s="182"/>
      <c r="BOD3" s="182"/>
      <c r="BOE3" s="182"/>
      <c r="BOF3" s="182"/>
      <c r="BOG3" s="182"/>
      <c r="BOH3" s="182"/>
      <c r="BOI3" s="182"/>
      <c r="BOJ3" s="182"/>
      <c r="BOK3" s="182"/>
      <c r="BOL3" s="182"/>
      <c r="BOM3" s="182"/>
      <c r="BON3" s="182"/>
      <c r="BOO3" s="182"/>
      <c r="BOP3" s="182"/>
      <c r="BOQ3" s="182"/>
      <c r="BOR3" s="182"/>
      <c r="BOS3" s="182"/>
      <c r="BOT3" s="182"/>
      <c r="BOU3" s="182"/>
      <c r="BOV3" s="182"/>
      <c r="BOW3" s="182"/>
      <c r="BOX3" s="182"/>
      <c r="BOY3" s="182"/>
      <c r="BOZ3" s="182"/>
      <c r="BPA3" s="182"/>
      <c r="BPB3" s="182"/>
      <c r="BPC3" s="182"/>
      <c r="BPD3" s="182"/>
      <c r="BPE3" s="182"/>
      <c r="BPF3" s="182"/>
      <c r="BPG3" s="182"/>
      <c r="BPH3" s="182"/>
      <c r="BPI3" s="182"/>
      <c r="BPJ3" s="182"/>
      <c r="BPK3" s="182"/>
      <c r="BPL3" s="182"/>
      <c r="BPM3" s="182"/>
      <c r="BPN3" s="182"/>
      <c r="BPO3" s="182"/>
      <c r="BPP3" s="182"/>
      <c r="BPQ3" s="182"/>
      <c r="BPR3" s="182"/>
      <c r="BPS3" s="182"/>
      <c r="BPT3" s="182"/>
      <c r="BPU3" s="182"/>
      <c r="BPV3" s="182"/>
      <c r="BPW3" s="182"/>
      <c r="BPX3" s="182"/>
      <c r="BPY3" s="182"/>
      <c r="BPZ3" s="182"/>
      <c r="BQA3" s="182"/>
      <c r="BQB3" s="182"/>
      <c r="BQC3" s="182"/>
      <c r="BQD3" s="182"/>
      <c r="BQE3" s="182"/>
      <c r="BQF3" s="182"/>
      <c r="BQG3" s="182"/>
      <c r="BQH3" s="182"/>
      <c r="BQI3" s="182"/>
      <c r="BQJ3" s="182"/>
      <c r="BQK3" s="182"/>
      <c r="BQL3" s="182"/>
      <c r="BQM3" s="182"/>
      <c r="BQN3" s="182"/>
      <c r="BQO3" s="182"/>
      <c r="BQP3" s="182"/>
      <c r="BQQ3" s="182"/>
      <c r="BQR3" s="182"/>
      <c r="BQS3" s="182"/>
      <c r="BQT3" s="182"/>
      <c r="BQU3" s="182"/>
      <c r="BQV3" s="182"/>
      <c r="BQW3" s="182"/>
      <c r="BQX3" s="182"/>
      <c r="BQY3" s="182"/>
      <c r="BQZ3" s="182"/>
      <c r="BRA3" s="182"/>
      <c r="BRB3" s="182"/>
      <c r="BRC3" s="182"/>
      <c r="BRD3" s="182"/>
      <c r="BRE3" s="182"/>
      <c r="BRF3" s="182"/>
      <c r="BRG3" s="182"/>
      <c r="BRH3" s="182"/>
      <c r="BRI3" s="182"/>
      <c r="BRJ3" s="182"/>
      <c r="BRK3" s="182"/>
      <c r="BRL3" s="182"/>
      <c r="BRM3" s="182"/>
      <c r="BRN3" s="182"/>
      <c r="BRO3" s="182"/>
      <c r="BRP3" s="182"/>
      <c r="BRQ3" s="182"/>
      <c r="BRR3" s="182"/>
      <c r="BRS3" s="182"/>
      <c r="BRT3" s="182"/>
      <c r="BRU3" s="182"/>
      <c r="BRV3" s="182"/>
      <c r="BRW3" s="182"/>
      <c r="BRX3" s="182"/>
      <c r="BRY3" s="182"/>
      <c r="BRZ3" s="182"/>
      <c r="BSA3" s="182"/>
      <c r="BSB3" s="182"/>
      <c r="BSC3" s="182"/>
      <c r="BSD3" s="182"/>
      <c r="BSE3" s="182"/>
      <c r="BSF3" s="182"/>
      <c r="BSG3" s="182"/>
      <c r="BSH3" s="182"/>
      <c r="BSI3" s="182"/>
      <c r="BSJ3" s="182"/>
      <c r="BSK3" s="182"/>
      <c r="BSL3" s="182"/>
      <c r="BSM3" s="182"/>
      <c r="BSN3" s="182"/>
      <c r="BSO3" s="182"/>
      <c r="BSP3" s="182"/>
      <c r="BSQ3" s="182"/>
      <c r="BSR3" s="182"/>
      <c r="BSS3" s="182"/>
      <c r="BST3" s="182"/>
      <c r="BSU3" s="182"/>
      <c r="BSV3" s="182"/>
      <c r="BSW3" s="182"/>
      <c r="BSX3" s="182"/>
      <c r="BSY3" s="182"/>
      <c r="BSZ3" s="182"/>
      <c r="BTA3" s="182"/>
      <c r="BTB3" s="182"/>
      <c r="BTC3" s="182"/>
      <c r="BTD3" s="182"/>
      <c r="BTE3" s="182"/>
      <c r="BTF3" s="182"/>
      <c r="BTG3" s="182"/>
      <c r="BTH3" s="182"/>
      <c r="BTI3" s="182"/>
      <c r="BTJ3" s="182"/>
      <c r="BTK3" s="182"/>
      <c r="BTL3" s="182"/>
      <c r="BTM3" s="182"/>
      <c r="BTN3" s="182"/>
      <c r="BTO3" s="182"/>
      <c r="BTP3" s="182"/>
      <c r="BTQ3" s="182"/>
      <c r="BTR3" s="182"/>
      <c r="BTS3" s="182"/>
      <c r="BTT3" s="182"/>
      <c r="BTU3" s="182"/>
      <c r="BTV3" s="182"/>
      <c r="BTW3" s="182"/>
      <c r="BTX3" s="182"/>
      <c r="BTY3" s="182"/>
      <c r="BTZ3" s="182"/>
      <c r="BUA3" s="182"/>
      <c r="BUB3" s="182"/>
      <c r="BUC3" s="182"/>
      <c r="BUD3" s="182"/>
      <c r="BUE3" s="182"/>
      <c r="BUF3" s="182"/>
      <c r="BUG3" s="182"/>
      <c r="BUH3" s="182"/>
      <c r="BUI3" s="182"/>
      <c r="BUJ3" s="182"/>
      <c r="BUK3" s="182"/>
      <c r="BUL3" s="182"/>
      <c r="BUM3" s="182"/>
      <c r="BUN3" s="182"/>
      <c r="BUO3" s="182"/>
      <c r="BUP3" s="182"/>
      <c r="BUQ3" s="182"/>
      <c r="BUR3" s="182"/>
      <c r="BUS3" s="182"/>
      <c r="BUT3" s="182"/>
      <c r="BUU3" s="182"/>
      <c r="BUV3" s="182"/>
      <c r="BUW3" s="182"/>
      <c r="BUX3" s="182"/>
      <c r="BUY3" s="182"/>
      <c r="BUZ3" s="182"/>
      <c r="BVA3" s="182"/>
      <c r="BVB3" s="182"/>
      <c r="BVC3" s="182"/>
      <c r="BVD3" s="182"/>
      <c r="BVE3" s="182"/>
      <c r="BVF3" s="182"/>
      <c r="BVG3" s="182"/>
      <c r="BVH3" s="182"/>
      <c r="BVI3" s="182"/>
      <c r="BVJ3" s="182"/>
      <c r="BVK3" s="182"/>
      <c r="BVL3" s="182"/>
      <c r="BVM3" s="182"/>
      <c r="BVN3" s="182"/>
      <c r="BVO3" s="182"/>
      <c r="BVP3" s="182"/>
      <c r="BVQ3" s="182"/>
      <c r="BVR3" s="182"/>
      <c r="BVS3" s="182"/>
      <c r="BVT3" s="182"/>
      <c r="BVU3" s="182"/>
      <c r="BVV3" s="182"/>
      <c r="BVW3" s="182"/>
      <c r="BVX3" s="182"/>
      <c r="BVY3" s="182"/>
      <c r="BVZ3" s="182"/>
      <c r="BWA3" s="182"/>
      <c r="BWB3" s="182"/>
      <c r="BWC3" s="182"/>
      <c r="BWD3" s="182"/>
      <c r="BWE3" s="182"/>
      <c r="BWF3" s="182"/>
      <c r="BWG3" s="182"/>
      <c r="BWH3" s="182"/>
      <c r="BWI3" s="182"/>
      <c r="BWJ3" s="182"/>
      <c r="BWK3" s="182"/>
      <c r="BWL3" s="182"/>
      <c r="BWM3" s="182"/>
      <c r="BWN3" s="182"/>
      <c r="BWO3" s="182"/>
      <c r="BWP3" s="182"/>
      <c r="BWQ3" s="182"/>
      <c r="BWR3" s="182"/>
      <c r="BWS3" s="182"/>
      <c r="BWT3" s="182"/>
      <c r="BWU3" s="182"/>
      <c r="BWV3" s="182"/>
      <c r="BWW3" s="182"/>
      <c r="BWX3" s="182"/>
      <c r="BWY3" s="182"/>
      <c r="BWZ3" s="182"/>
      <c r="BXA3" s="182"/>
      <c r="BXB3" s="182"/>
      <c r="BXC3" s="182"/>
      <c r="BXD3" s="182"/>
      <c r="BXE3" s="182"/>
      <c r="BXF3" s="182"/>
      <c r="BXG3" s="182"/>
      <c r="BXH3" s="182"/>
      <c r="BXI3" s="182"/>
      <c r="BXJ3" s="182"/>
      <c r="BXK3" s="182"/>
      <c r="BXL3" s="182"/>
      <c r="BXM3" s="182"/>
      <c r="BXN3" s="182"/>
      <c r="BXO3" s="182"/>
      <c r="BXP3" s="182"/>
      <c r="BXQ3" s="182"/>
      <c r="BXR3" s="182"/>
      <c r="BXS3" s="182"/>
      <c r="BXT3" s="182"/>
      <c r="BXU3" s="182"/>
      <c r="BXV3" s="182"/>
      <c r="BXW3" s="182"/>
      <c r="BXX3" s="182"/>
      <c r="BXY3" s="182"/>
      <c r="BXZ3" s="182"/>
      <c r="BYA3" s="182"/>
      <c r="BYB3" s="182"/>
      <c r="BYC3" s="182"/>
      <c r="BYD3" s="182"/>
      <c r="BYE3" s="182"/>
      <c r="BYF3" s="182"/>
      <c r="BYG3" s="182"/>
      <c r="BYH3" s="182"/>
      <c r="BYI3" s="182"/>
      <c r="BYJ3" s="182"/>
      <c r="BYK3" s="182"/>
      <c r="BYL3" s="182"/>
      <c r="BYM3" s="182"/>
      <c r="BYN3" s="182"/>
      <c r="BYO3" s="182"/>
      <c r="BYP3" s="182"/>
      <c r="BYQ3" s="182"/>
      <c r="BYR3" s="182"/>
      <c r="BYS3" s="182"/>
      <c r="BYT3" s="182"/>
      <c r="BYU3" s="182"/>
      <c r="BYV3" s="182"/>
      <c r="BYW3" s="182"/>
      <c r="BYX3" s="182"/>
      <c r="BYY3" s="182"/>
      <c r="BYZ3" s="182"/>
      <c r="BZA3" s="182"/>
      <c r="BZB3" s="182"/>
      <c r="BZC3" s="182"/>
      <c r="BZD3" s="182"/>
      <c r="BZE3" s="182"/>
      <c r="BZF3" s="182"/>
      <c r="BZG3" s="182"/>
      <c r="BZH3" s="182"/>
      <c r="BZI3" s="182"/>
      <c r="BZJ3" s="182"/>
      <c r="BZK3" s="182"/>
      <c r="BZL3" s="182"/>
      <c r="BZM3" s="182"/>
      <c r="BZN3" s="182"/>
      <c r="BZO3" s="182"/>
      <c r="BZP3" s="182"/>
      <c r="BZQ3" s="182"/>
      <c r="BZR3" s="182"/>
      <c r="BZS3" s="182"/>
      <c r="BZT3" s="182"/>
      <c r="BZU3" s="182"/>
      <c r="BZV3" s="182"/>
      <c r="BZW3" s="182"/>
      <c r="BZX3" s="182"/>
      <c r="BZY3" s="182"/>
      <c r="BZZ3" s="182"/>
      <c r="CAA3" s="182"/>
      <c r="CAB3" s="182"/>
      <c r="CAC3" s="182"/>
      <c r="CAD3" s="182"/>
      <c r="CAE3" s="182"/>
      <c r="CAF3" s="182"/>
      <c r="CAG3" s="182"/>
      <c r="CAH3" s="182"/>
      <c r="CAI3" s="182"/>
      <c r="CAJ3" s="182"/>
      <c r="CAK3" s="182"/>
      <c r="CAL3" s="182"/>
      <c r="CAM3" s="182"/>
      <c r="CAN3" s="182"/>
      <c r="CAO3" s="182"/>
      <c r="CAP3" s="182"/>
      <c r="CAQ3" s="182"/>
      <c r="CAR3" s="182"/>
      <c r="CAS3" s="182"/>
      <c r="CAT3" s="182"/>
      <c r="CAU3" s="182"/>
      <c r="CAV3" s="182"/>
      <c r="CAW3" s="182"/>
      <c r="CAX3" s="182"/>
      <c r="CAY3" s="182"/>
      <c r="CAZ3" s="182"/>
      <c r="CBA3" s="182"/>
      <c r="CBB3" s="182"/>
      <c r="CBC3" s="182"/>
      <c r="CBD3" s="182"/>
      <c r="CBE3" s="182"/>
      <c r="CBF3" s="182"/>
      <c r="CBG3" s="182"/>
      <c r="CBH3" s="182"/>
      <c r="CBI3" s="182"/>
      <c r="CBJ3" s="182"/>
      <c r="CBK3" s="182"/>
      <c r="CBL3" s="182"/>
      <c r="CBM3" s="182"/>
      <c r="CBN3" s="182"/>
      <c r="CBO3" s="182"/>
      <c r="CBP3" s="182"/>
      <c r="CBQ3" s="182"/>
      <c r="CBR3" s="182"/>
      <c r="CBS3" s="182"/>
      <c r="CBT3" s="182"/>
      <c r="CBU3" s="182"/>
      <c r="CBV3" s="182"/>
      <c r="CBW3" s="182"/>
      <c r="CBX3" s="182"/>
      <c r="CBY3" s="182"/>
      <c r="CBZ3" s="182"/>
      <c r="CCA3" s="182"/>
      <c r="CCB3" s="182"/>
      <c r="CCC3" s="182"/>
      <c r="CCD3" s="182"/>
      <c r="CCE3" s="182"/>
      <c r="CCF3" s="182"/>
      <c r="CCG3" s="182"/>
      <c r="CCH3" s="182"/>
      <c r="CCI3" s="182"/>
      <c r="CCJ3" s="182"/>
      <c r="CCK3" s="182"/>
      <c r="CCL3" s="182"/>
      <c r="CCM3" s="182"/>
      <c r="CCN3" s="182"/>
      <c r="CCO3" s="182"/>
      <c r="CCP3" s="182"/>
      <c r="CCQ3" s="182"/>
      <c r="CCR3" s="182"/>
      <c r="CCS3" s="182"/>
      <c r="CCT3" s="182"/>
      <c r="CCU3" s="182"/>
      <c r="CCV3" s="182"/>
      <c r="CCW3" s="182"/>
      <c r="CCX3" s="182"/>
      <c r="CCY3" s="182"/>
      <c r="CCZ3" s="182"/>
      <c r="CDA3" s="182"/>
      <c r="CDB3" s="182"/>
      <c r="CDC3" s="182"/>
      <c r="CDD3" s="182"/>
      <c r="CDE3" s="182"/>
      <c r="CDF3" s="182"/>
      <c r="CDG3" s="182"/>
      <c r="CDH3" s="182"/>
      <c r="CDI3" s="182"/>
      <c r="CDJ3" s="182"/>
      <c r="CDK3" s="182"/>
      <c r="CDL3" s="182"/>
      <c r="CDM3" s="182"/>
      <c r="CDN3" s="182"/>
      <c r="CDO3" s="182"/>
      <c r="CDP3" s="182"/>
      <c r="CDQ3" s="182"/>
      <c r="CDR3" s="182"/>
      <c r="CDS3" s="182"/>
      <c r="CDT3" s="182"/>
      <c r="CDU3" s="182"/>
      <c r="CDV3" s="182"/>
      <c r="CDW3" s="182"/>
      <c r="CDX3" s="182"/>
      <c r="CDY3" s="182"/>
      <c r="CDZ3" s="182"/>
      <c r="CEA3" s="182"/>
      <c r="CEB3" s="182"/>
      <c r="CEC3" s="182"/>
      <c r="CED3" s="182"/>
      <c r="CEE3" s="182"/>
      <c r="CEF3" s="182"/>
      <c r="CEG3" s="182"/>
      <c r="CEH3" s="182"/>
      <c r="CEI3" s="182"/>
      <c r="CEJ3" s="182"/>
      <c r="CEK3" s="182"/>
      <c r="CEL3" s="182"/>
      <c r="CEM3" s="182"/>
      <c r="CEN3" s="182"/>
      <c r="CEO3" s="182"/>
      <c r="CEP3" s="182"/>
      <c r="CEQ3" s="182"/>
      <c r="CER3" s="182"/>
      <c r="CES3" s="182"/>
      <c r="CET3" s="182"/>
      <c r="CEU3" s="182"/>
      <c r="CEV3" s="182"/>
      <c r="CEW3" s="182"/>
      <c r="CEX3" s="182"/>
      <c r="CEY3" s="182"/>
      <c r="CEZ3" s="182"/>
      <c r="CFA3" s="182"/>
      <c r="CFB3" s="182"/>
      <c r="CFC3" s="182"/>
      <c r="CFD3" s="182"/>
      <c r="CFE3" s="182"/>
      <c r="CFF3" s="182"/>
      <c r="CFG3" s="182"/>
      <c r="CFH3" s="182"/>
      <c r="CFI3" s="182"/>
      <c r="CFJ3" s="182"/>
      <c r="CFK3" s="182"/>
      <c r="CFL3" s="182"/>
      <c r="CFM3" s="182"/>
      <c r="CFN3" s="182"/>
      <c r="CFO3" s="182"/>
      <c r="CFP3" s="182"/>
      <c r="CFQ3" s="182"/>
      <c r="CFR3" s="182"/>
      <c r="CFS3" s="182"/>
      <c r="CFT3" s="182"/>
      <c r="CFU3" s="182"/>
      <c r="CFV3" s="182"/>
      <c r="CFW3" s="182"/>
      <c r="CFX3" s="182"/>
      <c r="CFY3" s="182"/>
      <c r="CFZ3" s="182"/>
      <c r="CGA3" s="182"/>
      <c r="CGB3" s="182"/>
      <c r="CGC3" s="182"/>
      <c r="CGD3" s="182"/>
      <c r="CGE3" s="182"/>
      <c r="CGF3" s="182"/>
      <c r="CGG3" s="182"/>
      <c r="CGH3" s="182"/>
      <c r="CGI3" s="182"/>
      <c r="CGJ3" s="182"/>
      <c r="CGK3" s="182"/>
      <c r="CGL3" s="182"/>
      <c r="CGM3" s="182"/>
      <c r="CGN3" s="182"/>
      <c r="CGO3" s="182"/>
      <c r="CGP3" s="182"/>
      <c r="CGQ3" s="182"/>
      <c r="CGR3" s="182"/>
      <c r="CGS3" s="182"/>
      <c r="CGT3" s="182"/>
      <c r="CGU3" s="182"/>
      <c r="CGV3" s="182"/>
      <c r="CGW3" s="182"/>
      <c r="CGX3" s="182"/>
      <c r="CGY3" s="182"/>
      <c r="CGZ3" s="182"/>
      <c r="CHA3" s="182"/>
      <c r="CHB3" s="182"/>
      <c r="CHC3" s="182"/>
      <c r="CHD3" s="182"/>
      <c r="CHE3" s="182"/>
      <c r="CHF3" s="182"/>
      <c r="CHG3" s="182"/>
      <c r="CHH3" s="182"/>
      <c r="CHI3" s="182"/>
      <c r="CHJ3" s="182"/>
      <c r="CHK3" s="182"/>
      <c r="CHL3" s="182"/>
      <c r="CHM3" s="182"/>
      <c r="CHN3" s="182"/>
      <c r="CHO3" s="182"/>
      <c r="CHP3" s="182"/>
      <c r="CHQ3" s="182"/>
      <c r="CHR3" s="182"/>
      <c r="CHS3" s="182"/>
      <c r="CHT3" s="182"/>
      <c r="CHU3" s="182"/>
      <c r="CHV3" s="182"/>
      <c r="CHW3" s="182"/>
      <c r="CHX3" s="182"/>
      <c r="CHY3" s="182"/>
      <c r="CHZ3" s="182"/>
      <c r="CIA3" s="182"/>
      <c r="CIB3" s="182"/>
      <c r="CIC3" s="182"/>
      <c r="CID3" s="182"/>
      <c r="CIE3" s="182"/>
      <c r="CIF3" s="182"/>
      <c r="CIG3" s="182"/>
      <c r="CIH3" s="182"/>
      <c r="CII3" s="182"/>
      <c r="CIJ3" s="182"/>
      <c r="CIK3" s="182"/>
      <c r="CIL3" s="182"/>
      <c r="CIM3" s="182"/>
      <c r="CIN3" s="182"/>
      <c r="CIO3" s="182"/>
      <c r="CIP3" s="182"/>
      <c r="CIQ3" s="182"/>
      <c r="CIR3" s="182"/>
      <c r="CIS3" s="182"/>
      <c r="CIT3" s="182"/>
      <c r="CIU3" s="182"/>
      <c r="CIV3" s="182"/>
      <c r="CIW3" s="182"/>
      <c r="CIX3" s="182"/>
      <c r="CIY3" s="182"/>
      <c r="CIZ3" s="182"/>
      <c r="CJA3" s="182"/>
      <c r="CJB3" s="182"/>
      <c r="CJC3" s="182"/>
      <c r="CJD3" s="182"/>
      <c r="CJE3" s="182"/>
      <c r="CJF3" s="182"/>
      <c r="CJG3" s="182"/>
      <c r="CJH3" s="182"/>
      <c r="CJI3" s="182"/>
      <c r="CJJ3" s="182"/>
      <c r="CJK3" s="182"/>
      <c r="CJL3" s="182"/>
      <c r="CJM3" s="182"/>
      <c r="CJN3" s="182"/>
      <c r="CJO3" s="182"/>
      <c r="CJP3" s="182"/>
      <c r="CJQ3" s="182"/>
      <c r="CJR3" s="182"/>
      <c r="CJS3" s="182"/>
      <c r="CJT3" s="182"/>
      <c r="CJU3" s="182"/>
      <c r="CJV3" s="182"/>
      <c r="CJW3" s="182"/>
      <c r="CJX3" s="182"/>
      <c r="CJY3" s="182"/>
      <c r="CJZ3" s="182"/>
      <c r="CKA3" s="182"/>
      <c r="CKB3" s="182"/>
      <c r="CKC3" s="182"/>
      <c r="CKD3" s="182"/>
      <c r="CKE3" s="182"/>
      <c r="CKF3" s="182"/>
      <c r="CKG3" s="182"/>
      <c r="CKH3" s="182"/>
      <c r="CKI3" s="182"/>
      <c r="CKJ3" s="182"/>
      <c r="CKK3" s="182"/>
      <c r="CKL3" s="182"/>
      <c r="CKM3" s="182"/>
      <c r="CKN3" s="182"/>
      <c r="CKO3" s="182"/>
      <c r="CKP3" s="182"/>
      <c r="CKQ3" s="182"/>
      <c r="CKR3" s="182"/>
      <c r="CKS3" s="182"/>
      <c r="CKT3" s="182"/>
      <c r="CKU3" s="182"/>
      <c r="CKV3" s="182"/>
      <c r="CKW3" s="182"/>
      <c r="CKX3" s="182"/>
      <c r="CKY3" s="182"/>
      <c r="CKZ3" s="182"/>
      <c r="CLA3" s="182"/>
      <c r="CLB3" s="182"/>
      <c r="CLC3" s="182"/>
      <c r="CLD3" s="182"/>
      <c r="CLE3" s="182"/>
      <c r="CLF3" s="182"/>
      <c r="CLG3" s="182"/>
      <c r="CLH3" s="182"/>
      <c r="CLI3" s="182"/>
      <c r="CLJ3" s="182"/>
      <c r="CLK3" s="182"/>
      <c r="CLL3" s="182"/>
      <c r="CLM3" s="182"/>
      <c r="CLN3" s="182"/>
      <c r="CLO3" s="182"/>
      <c r="CLP3" s="182"/>
      <c r="CLQ3" s="182"/>
      <c r="CLR3" s="182"/>
      <c r="CLS3" s="182"/>
      <c r="CLT3" s="182"/>
      <c r="CLU3" s="182"/>
      <c r="CLV3" s="182"/>
      <c r="CLW3" s="182"/>
      <c r="CLX3" s="182"/>
      <c r="CLY3" s="182"/>
      <c r="CLZ3" s="182"/>
      <c r="CMA3" s="182"/>
      <c r="CMB3" s="182"/>
      <c r="CMC3" s="182"/>
      <c r="CMD3" s="182"/>
      <c r="CME3" s="182"/>
      <c r="CMF3" s="182"/>
      <c r="CMG3" s="182"/>
      <c r="CMH3" s="182"/>
      <c r="CMI3" s="182"/>
      <c r="CMJ3" s="182"/>
      <c r="CMK3" s="182"/>
      <c r="CML3" s="182"/>
      <c r="CMM3" s="182"/>
      <c r="CMN3" s="182"/>
      <c r="CMO3" s="182"/>
      <c r="CMP3" s="182"/>
      <c r="CMQ3" s="182"/>
      <c r="CMR3" s="182"/>
      <c r="CMS3" s="182"/>
      <c r="CMT3" s="182"/>
      <c r="CMU3" s="182"/>
      <c r="CMV3" s="182"/>
      <c r="CMW3" s="182"/>
      <c r="CMX3" s="182"/>
      <c r="CMY3" s="182"/>
      <c r="CMZ3" s="182"/>
      <c r="CNA3" s="182"/>
      <c r="CNB3" s="182"/>
      <c r="CNC3" s="182"/>
      <c r="CND3" s="182"/>
      <c r="CNE3" s="182"/>
      <c r="CNF3" s="182"/>
      <c r="CNG3" s="182"/>
      <c r="CNH3" s="182"/>
      <c r="CNI3" s="182"/>
      <c r="CNJ3" s="182"/>
      <c r="CNK3" s="182"/>
      <c r="CNL3" s="182"/>
      <c r="CNM3" s="182"/>
      <c r="CNN3" s="182"/>
      <c r="CNO3" s="182"/>
      <c r="CNP3" s="182"/>
      <c r="CNQ3" s="182"/>
      <c r="CNR3" s="182"/>
      <c r="CNS3" s="182"/>
      <c r="CNT3" s="182"/>
      <c r="CNU3" s="182"/>
      <c r="CNV3" s="182"/>
      <c r="CNW3" s="182"/>
      <c r="CNX3" s="182"/>
      <c r="CNY3" s="182"/>
      <c r="CNZ3" s="182"/>
      <c r="COA3" s="182"/>
      <c r="COB3" s="182"/>
      <c r="COC3" s="182"/>
      <c r="COD3" s="182"/>
      <c r="COE3" s="182"/>
      <c r="COF3" s="182"/>
      <c r="COG3" s="182"/>
      <c r="COH3" s="182"/>
      <c r="COI3" s="182"/>
      <c r="COJ3" s="182"/>
      <c r="COK3" s="182"/>
      <c r="COL3" s="182"/>
      <c r="COM3" s="182"/>
      <c r="CON3" s="182"/>
      <c r="COO3" s="182"/>
      <c r="COP3" s="182"/>
      <c r="COQ3" s="182"/>
      <c r="COR3" s="182"/>
      <c r="COS3" s="182"/>
      <c r="COT3" s="182"/>
      <c r="COU3" s="182"/>
      <c r="COV3" s="182"/>
      <c r="COW3" s="182"/>
      <c r="COX3" s="182"/>
      <c r="COY3" s="182"/>
      <c r="COZ3" s="182"/>
      <c r="CPA3" s="182"/>
      <c r="CPB3" s="182"/>
      <c r="CPC3" s="182"/>
      <c r="CPD3" s="182"/>
      <c r="CPE3" s="182"/>
      <c r="CPF3" s="182"/>
      <c r="CPG3" s="182"/>
      <c r="CPH3" s="182"/>
      <c r="CPI3" s="182"/>
      <c r="CPJ3" s="182"/>
      <c r="CPK3" s="182"/>
      <c r="CPL3" s="182"/>
      <c r="CPM3" s="182"/>
      <c r="CPN3" s="182"/>
      <c r="CPO3" s="182"/>
      <c r="CPP3" s="182"/>
      <c r="CPQ3" s="182"/>
      <c r="CPR3" s="182"/>
      <c r="CPS3" s="182"/>
      <c r="CPT3" s="182"/>
      <c r="CPU3" s="182"/>
      <c r="CPV3" s="182"/>
      <c r="CPW3" s="182"/>
      <c r="CPX3" s="182"/>
      <c r="CPY3" s="182"/>
      <c r="CPZ3" s="182"/>
      <c r="CQA3" s="182"/>
      <c r="CQB3" s="182"/>
      <c r="CQC3" s="182"/>
      <c r="CQD3" s="182"/>
      <c r="CQE3" s="182"/>
      <c r="CQF3" s="182"/>
      <c r="CQG3" s="182"/>
      <c r="CQH3" s="182"/>
      <c r="CQI3" s="182"/>
      <c r="CQJ3" s="182"/>
      <c r="CQK3" s="182"/>
      <c r="CQL3" s="182"/>
      <c r="CQM3" s="182"/>
      <c r="CQN3" s="182"/>
      <c r="CQO3" s="182"/>
      <c r="CQP3" s="182"/>
      <c r="CQQ3" s="182"/>
      <c r="CQR3" s="182"/>
      <c r="CQS3" s="182"/>
      <c r="CQT3" s="182"/>
      <c r="CQU3" s="182"/>
      <c r="CQV3" s="182"/>
      <c r="CQW3" s="182"/>
      <c r="CQX3" s="182"/>
      <c r="CQY3" s="182"/>
      <c r="CQZ3" s="182"/>
      <c r="CRA3" s="182"/>
      <c r="CRB3" s="182"/>
      <c r="CRC3" s="182"/>
      <c r="CRD3" s="182"/>
      <c r="CRE3" s="182"/>
      <c r="CRF3" s="182"/>
      <c r="CRG3" s="182"/>
      <c r="CRH3" s="182"/>
      <c r="CRI3" s="182"/>
      <c r="CRJ3" s="182"/>
      <c r="CRK3" s="182"/>
      <c r="CRL3" s="182"/>
      <c r="CRM3" s="182"/>
      <c r="CRN3" s="182"/>
      <c r="CRO3" s="182"/>
      <c r="CRP3" s="182"/>
      <c r="CRQ3" s="182"/>
      <c r="CRR3" s="182"/>
      <c r="CRS3" s="182"/>
      <c r="CRT3" s="182"/>
      <c r="CRU3" s="182"/>
      <c r="CRV3" s="182"/>
      <c r="CRW3" s="182"/>
      <c r="CRX3" s="182"/>
      <c r="CRY3" s="182"/>
      <c r="CRZ3" s="182"/>
      <c r="CSA3" s="182"/>
      <c r="CSB3" s="182"/>
      <c r="CSC3" s="182"/>
      <c r="CSD3" s="182"/>
      <c r="CSE3" s="182"/>
      <c r="CSF3" s="182"/>
      <c r="CSG3" s="182"/>
      <c r="CSH3" s="182"/>
      <c r="CSI3" s="182"/>
      <c r="CSJ3" s="182"/>
      <c r="CSK3" s="182"/>
      <c r="CSL3" s="182"/>
      <c r="CSM3" s="182"/>
      <c r="CSN3" s="182"/>
      <c r="CSO3" s="182"/>
      <c r="CSP3" s="182"/>
      <c r="CSQ3" s="182"/>
      <c r="CSR3" s="182"/>
      <c r="CSS3" s="182"/>
      <c r="CST3" s="182"/>
      <c r="CSU3" s="182"/>
      <c r="CSV3" s="182"/>
      <c r="CSW3" s="182"/>
      <c r="CSX3" s="182"/>
      <c r="CSY3" s="182"/>
      <c r="CSZ3" s="182"/>
      <c r="CTA3" s="182"/>
      <c r="CTB3" s="182"/>
      <c r="CTC3" s="182"/>
      <c r="CTD3" s="182"/>
      <c r="CTE3" s="182"/>
      <c r="CTF3" s="182"/>
      <c r="CTG3" s="182"/>
      <c r="CTH3" s="182"/>
      <c r="CTI3" s="182"/>
      <c r="CTJ3" s="182"/>
      <c r="CTK3" s="182"/>
      <c r="CTL3" s="182"/>
      <c r="CTM3" s="182"/>
      <c r="CTN3" s="182"/>
      <c r="CTO3" s="182"/>
      <c r="CTP3" s="182"/>
      <c r="CTQ3" s="182"/>
      <c r="CTR3" s="182"/>
      <c r="CTS3" s="182"/>
      <c r="CTT3" s="182"/>
      <c r="CTU3" s="182"/>
      <c r="CTV3" s="182"/>
      <c r="CTW3" s="182"/>
      <c r="CTX3" s="182"/>
      <c r="CTY3" s="182"/>
      <c r="CTZ3" s="182"/>
      <c r="CUA3" s="182"/>
      <c r="CUB3" s="182"/>
      <c r="CUC3" s="182"/>
      <c r="CUD3" s="182"/>
      <c r="CUE3" s="182"/>
      <c r="CUF3" s="182"/>
      <c r="CUG3" s="182"/>
      <c r="CUH3" s="182"/>
      <c r="CUI3" s="182"/>
      <c r="CUJ3" s="182"/>
      <c r="CUK3" s="182"/>
      <c r="CUL3" s="182"/>
      <c r="CUM3" s="182"/>
      <c r="CUN3" s="182"/>
      <c r="CUO3" s="182"/>
      <c r="CUP3" s="182"/>
      <c r="CUQ3" s="182"/>
      <c r="CUR3" s="182"/>
      <c r="CUS3" s="182"/>
      <c r="CUT3" s="182"/>
      <c r="CUU3" s="182"/>
      <c r="CUV3" s="182"/>
      <c r="CUW3" s="182"/>
      <c r="CUX3" s="182"/>
      <c r="CUY3" s="182"/>
      <c r="CUZ3" s="182"/>
      <c r="CVA3" s="182"/>
      <c r="CVB3" s="182"/>
      <c r="CVC3" s="182"/>
      <c r="CVD3" s="182"/>
      <c r="CVE3" s="182"/>
      <c r="CVF3" s="182"/>
      <c r="CVG3" s="182"/>
      <c r="CVH3" s="182"/>
      <c r="CVI3" s="182"/>
      <c r="CVJ3" s="182"/>
      <c r="CVK3" s="182"/>
      <c r="CVL3" s="182"/>
      <c r="CVM3" s="182"/>
      <c r="CVN3" s="182"/>
      <c r="CVO3" s="182"/>
      <c r="CVP3" s="182"/>
      <c r="CVQ3" s="182"/>
      <c r="CVR3" s="182"/>
      <c r="CVS3" s="182"/>
      <c r="CVT3" s="182"/>
      <c r="CVU3" s="182"/>
      <c r="CVV3" s="182"/>
      <c r="CVW3" s="182"/>
      <c r="CVX3" s="182"/>
      <c r="CVY3" s="182"/>
      <c r="CVZ3" s="182"/>
      <c r="CWA3" s="182"/>
      <c r="CWB3" s="182"/>
      <c r="CWC3" s="182"/>
      <c r="CWD3" s="182"/>
      <c r="CWE3" s="182"/>
      <c r="CWF3" s="182"/>
      <c r="CWG3" s="182"/>
      <c r="CWH3" s="182"/>
      <c r="CWI3" s="182"/>
      <c r="CWJ3" s="182"/>
      <c r="CWK3" s="182"/>
      <c r="CWL3" s="182"/>
      <c r="CWM3" s="182"/>
      <c r="CWN3" s="182"/>
      <c r="CWO3" s="182"/>
      <c r="CWP3" s="182"/>
      <c r="CWQ3" s="182"/>
      <c r="CWR3" s="182"/>
      <c r="CWS3" s="182"/>
      <c r="CWT3" s="182"/>
      <c r="CWU3" s="182"/>
      <c r="CWV3" s="182"/>
      <c r="CWW3" s="182"/>
      <c r="CWX3" s="182"/>
      <c r="CWY3" s="182"/>
      <c r="CWZ3" s="182"/>
      <c r="CXA3" s="182"/>
      <c r="CXB3" s="182"/>
      <c r="CXC3" s="182"/>
      <c r="CXD3" s="182"/>
      <c r="CXE3" s="182"/>
      <c r="CXF3" s="182"/>
      <c r="CXG3" s="182"/>
      <c r="CXH3" s="182"/>
      <c r="CXI3" s="182"/>
      <c r="CXJ3" s="182"/>
      <c r="CXK3" s="182"/>
      <c r="CXL3" s="182"/>
      <c r="CXM3" s="182"/>
      <c r="CXN3" s="182"/>
      <c r="CXO3" s="182"/>
      <c r="CXP3" s="182"/>
      <c r="CXQ3" s="182"/>
      <c r="CXR3" s="182"/>
      <c r="CXS3" s="182"/>
      <c r="CXT3" s="182"/>
      <c r="CXU3" s="182"/>
      <c r="CXV3" s="182"/>
      <c r="CXW3" s="182"/>
      <c r="CXX3" s="182"/>
      <c r="CXY3" s="182"/>
      <c r="CXZ3" s="182"/>
      <c r="CYA3" s="182"/>
      <c r="CYB3" s="182"/>
      <c r="CYC3" s="182"/>
      <c r="CYD3" s="182"/>
      <c r="CYE3" s="182"/>
      <c r="CYF3" s="182"/>
      <c r="CYG3" s="182"/>
      <c r="CYH3" s="182"/>
      <c r="CYI3" s="182"/>
      <c r="CYJ3" s="182"/>
      <c r="CYK3" s="182"/>
      <c r="CYL3" s="182"/>
      <c r="CYM3" s="182"/>
      <c r="CYN3" s="182"/>
      <c r="CYO3" s="182"/>
      <c r="CYP3" s="182"/>
      <c r="CYQ3" s="182"/>
      <c r="CYR3" s="182"/>
      <c r="CYS3" s="182"/>
      <c r="CYT3" s="182"/>
      <c r="CYU3" s="182"/>
      <c r="CYV3" s="182"/>
      <c r="CYW3" s="182"/>
      <c r="CYX3" s="182"/>
      <c r="CYY3" s="182"/>
      <c r="CYZ3" s="182"/>
      <c r="CZA3" s="182"/>
      <c r="CZB3" s="182"/>
      <c r="CZC3" s="182"/>
      <c r="CZD3" s="182"/>
      <c r="CZE3" s="182"/>
      <c r="CZF3" s="182"/>
      <c r="CZG3" s="182"/>
      <c r="CZH3" s="182"/>
      <c r="CZI3" s="182"/>
      <c r="CZJ3" s="182"/>
      <c r="CZK3" s="182"/>
      <c r="CZL3" s="182"/>
      <c r="CZM3" s="182"/>
      <c r="CZN3" s="182"/>
      <c r="CZO3" s="182"/>
      <c r="CZP3" s="182"/>
      <c r="CZQ3" s="182"/>
      <c r="CZR3" s="182"/>
      <c r="CZS3" s="182"/>
      <c r="CZT3" s="182"/>
      <c r="CZU3" s="182"/>
      <c r="CZV3" s="182"/>
      <c r="CZW3" s="182"/>
      <c r="CZX3" s="182"/>
      <c r="CZY3" s="182"/>
      <c r="CZZ3" s="182"/>
      <c r="DAA3" s="182"/>
      <c r="DAB3" s="182"/>
      <c r="DAC3" s="182"/>
      <c r="DAD3" s="182"/>
      <c r="DAE3" s="182"/>
      <c r="DAF3" s="182"/>
      <c r="DAG3" s="182"/>
      <c r="DAH3" s="182"/>
      <c r="DAI3" s="182"/>
      <c r="DAJ3" s="182"/>
      <c r="DAK3" s="182"/>
      <c r="DAL3" s="182"/>
      <c r="DAM3" s="182"/>
      <c r="DAN3" s="182"/>
      <c r="DAO3" s="182"/>
      <c r="DAP3" s="182"/>
      <c r="DAQ3" s="182"/>
      <c r="DAR3" s="182"/>
      <c r="DAS3" s="182"/>
      <c r="DAT3" s="182"/>
      <c r="DAU3" s="182"/>
      <c r="DAV3" s="182"/>
      <c r="DAW3" s="182"/>
      <c r="DAX3" s="182"/>
      <c r="DAY3" s="182"/>
      <c r="DAZ3" s="182"/>
      <c r="DBA3" s="182"/>
      <c r="DBB3" s="182"/>
      <c r="DBC3" s="182"/>
      <c r="DBD3" s="182"/>
      <c r="DBE3" s="182"/>
      <c r="DBF3" s="182"/>
      <c r="DBG3" s="182"/>
      <c r="DBH3" s="182"/>
      <c r="DBI3" s="182"/>
      <c r="DBJ3" s="182"/>
      <c r="DBK3" s="182"/>
      <c r="DBL3" s="182"/>
      <c r="DBM3" s="182"/>
      <c r="DBN3" s="182"/>
      <c r="DBO3" s="182"/>
      <c r="DBP3" s="182"/>
      <c r="DBQ3" s="182"/>
      <c r="DBR3" s="182"/>
      <c r="DBS3" s="182"/>
      <c r="DBT3" s="182"/>
      <c r="DBU3" s="182"/>
      <c r="DBV3" s="182"/>
      <c r="DBW3" s="182"/>
      <c r="DBX3" s="182"/>
      <c r="DBY3" s="182"/>
      <c r="DBZ3" s="182"/>
      <c r="DCA3" s="182"/>
      <c r="DCB3" s="182"/>
      <c r="DCC3" s="182"/>
      <c r="DCD3" s="182"/>
      <c r="DCE3" s="182"/>
      <c r="DCF3" s="182"/>
      <c r="DCG3" s="182"/>
      <c r="DCH3" s="182"/>
      <c r="DCI3" s="182"/>
      <c r="DCJ3" s="182"/>
      <c r="DCK3" s="182"/>
      <c r="DCL3" s="182"/>
      <c r="DCM3" s="182"/>
      <c r="DCN3" s="182"/>
      <c r="DCO3" s="182"/>
      <c r="DCP3" s="182"/>
      <c r="DCQ3" s="182"/>
      <c r="DCR3" s="182"/>
      <c r="DCS3" s="182"/>
      <c r="DCT3" s="182"/>
      <c r="DCU3" s="182"/>
      <c r="DCV3" s="182"/>
      <c r="DCW3" s="182"/>
      <c r="DCX3" s="182"/>
      <c r="DCY3" s="182"/>
      <c r="DCZ3" s="182"/>
      <c r="DDA3" s="182"/>
      <c r="DDB3" s="182"/>
      <c r="DDC3" s="182"/>
      <c r="DDD3" s="182"/>
      <c r="DDE3" s="182"/>
      <c r="DDF3" s="182"/>
      <c r="DDG3" s="182"/>
      <c r="DDH3" s="182"/>
      <c r="DDI3" s="182"/>
      <c r="DDJ3" s="182"/>
      <c r="DDK3" s="182"/>
      <c r="DDL3" s="182"/>
      <c r="DDM3" s="182"/>
      <c r="DDN3" s="182"/>
      <c r="DDO3" s="182"/>
      <c r="DDP3" s="182"/>
      <c r="DDQ3" s="182"/>
      <c r="DDR3" s="182"/>
      <c r="DDS3" s="182"/>
      <c r="DDT3" s="182"/>
      <c r="DDU3" s="182"/>
      <c r="DDV3" s="182"/>
      <c r="DDW3" s="182"/>
      <c r="DDX3" s="182"/>
      <c r="DDY3" s="182"/>
      <c r="DDZ3" s="182"/>
      <c r="DEA3" s="182"/>
      <c r="DEB3" s="182"/>
      <c r="DEC3" s="182"/>
      <c r="DED3" s="182"/>
      <c r="DEE3" s="182"/>
      <c r="DEF3" s="182"/>
      <c r="DEG3" s="182"/>
      <c r="DEH3" s="182"/>
      <c r="DEI3" s="182"/>
      <c r="DEJ3" s="182"/>
      <c r="DEK3" s="182"/>
      <c r="DEL3" s="182"/>
      <c r="DEM3" s="182"/>
      <c r="DEN3" s="182"/>
      <c r="DEO3" s="182"/>
      <c r="DEP3" s="182"/>
      <c r="DEQ3" s="182"/>
      <c r="DER3" s="182"/>
      <c r="DES3" s="182"/>
      <c r="DET3" s="182"/>
      <c r="DEU3" s="182"/>
      <c r="DEV3" s="182"/>
      <c r="DEW3" s="182"/>
      <c r="DEX3" s="182"/>
      <c r="DEY3" s="182"/>
      <c r="DEZ3" s="182"/>
      <c r="DFA3" s="182"/>
      <c r="DFB3" s="182"/>
      <c r="DFC3" s="182"/>
      <c r="DFD3" s="182"/>
      <c r="DFE3" s="182"/>
      <c r="DFF3" s="182"/>
      <c r="DFG3" s="182"/>
      <c r="DFH3" s="182"/>
      <c r="DFI3" s="182"/>
      <c r="DFJ3" s="182"/>
      <c r="DFK3" s="182"/>
      <c r="DFL3" s="182"/>
      <c r="DFM3" s="182"/>
      <c r="DFN3" s="182"/>
      <c r="DFO3" s="182"/>
      <c r="DFP3" s="182"/>
      <c r="DFQ3" s="182"/>
      <c r="DFR3" s="182"/>
      <c r="DFS3" s="182"/>
      <c r="DFT3" s="182"/>
      <c r="DFU3" s="182"/>
      <c r="DFV3" s="182"/>
      <c r="DFW3" s="182"/>
      <c r="DFX3" s="182"/>
      <c r="DFY3" s="182"/>
      <c r="DFZ3" s="182"/>
      <c r="DGA3" s="182"/>
      <c r="DGB3" s="182"/>
      <c r="DGC3" s="182"/>
      <c r="DGD3" s="182"/>
      <c r="DGE3" s="182"/>
      <c r="DGF3" s="182"/>
      <c r="DGG3" s="182"/>
      <c r="DGH3" s="182"/>
      <c r="DGI3" s="182"/>
      <c r="DGJ3" s="182"/>
      <c r="DGK3" s="182"/>
      <c r="DGL3" s="182"/>
      <c r="DGM3" s="182"/>
      <c r="DGN3" s="182"/>
      <c r="DGO3" s="182"/>
      <c r="DGP3" s="182"/>
      <c r="DGQ3" s="182"/>
      <c r="DGR3" s="182"/>
      <c r="DGS3" s="182"/>
      <c r="DGT3" s="182"/>
      <c r="DGU3" s="182"/>
      <c r="DGV3" s="182"/>
      <c r="DGW3" s="182"/>
      <c r="DGX3" s="182"/>
      <c r="DGY3" s="182"/>
      <c r="DGZ3" s="182"/>
      <c r="DHA3" s="182"/>
      <c r="DHB3" s="182"/>
      <c r="DHC3" s="182"/>
      <c r="DHD3" s="182"/>
      <c r="DHE3" s="182"/>
      <c r="DHF3" s="182"/>
      <c r="DHG3" s="182"/>
      <c r="DHH3" s="182"/>
      <c r="DHI3" s="182"/>
      <c r="DHJ3" s="182"/>
      <c r="DHK3" s="182"/>
      <c r="DHL3" s="182"/>
      <c r="DHM3" s="182"/>
      <c r="DHN3" s="182"/>
      <c r="DHO3" s="182"/>
      <c r="DHP3" s="182"/>
      <c r="DHQ3" s="182"/>
      <c r="DHR3" s="182"/>
      <c r="DHS3" s="182"/>
      <c r="DHT3" s="182"/>
      <c r="DHU3" s="182"/>
      <c r="DHV3" s="182"/>
      <c r="DHW3" s="182"/>
      <c r="DHX3" s="182"/>
      <c r="DHY3" s="182"/>
      <c r="DHZ3" s="182"/>
      <c r="DIA3" s="182"/>
      <c r="DIB3" s="182"/>
      <c r="DIC3" s="182"/>
      <c r="DID3" s="182"/>
      <c r="DIE3" s="182"/>
      <c r="DIF3" s="182"/>
      <c r="DIG3" s="182"/>
      <c r="DIH3" s="182"/>
      <c r="DII3" s="182"/>
      <c r="DIJ3" s="182"/>
      <c r="DIK3" s="182"/>
      <c r="DIL3" s="182"/>
      <c r="DIM3" s="182"/>
      <c r="DIN3" s="182"/>
      <c r="DIO3" s="182"/>
      <c r="DIP3" s="182"/>
      <c r="DIQ3" s="182"/>
      <c r="DIR3" s="182"/>
      <c r="DIS3" s="182"/>
      <c r="DIT3" s="182"/>
      <c r="DIU3" s="182"/>
      <c r="DIV3" s="182"/>
      <c r="DIW3" s="182"/>
      <c r="DIX3" s="182"/>
      <c r="DIY3" s="182"/>
      <c r="DIZ3" s="182"/>
      <c r="DJA3" s="182"/>
      <c r="DJB3" s="182"/>
      <c r="DJC3" s="182"/>
      <c r="DJD3" s="182"/>
      <c r="DJE3" s="182"/>
      <c r="DJF3" s="182"/>
      <c r="DJG3" s="182"/>
      <c r="DJH3" s="182"/>
      <c r="DJI3" s="182"/>
      <c r="DJJ3" s="182"/>
      <c r="DJK3" s="182"/>
      <c r="DJL3" s="182"/>
      <c r="DJM3" s="182"/>
      <c r="DJN3" s="182"/>
      <c r="DJO3" s="182"/>
      <c r="DJP3" s="182"/>
      <c r="DJQ3" s="182"/>
      <c r="DJR3" s="182"/>
      <c r="DJS3" s="182"/>
      <c r="DJT3" s="182"/>
      <c r="DJU3" s="182"/>
      <c r="DJV3" s="182"/>
      <c r="DJW3" s="182"/>
      <c r="DJX3" s="182"/>
      <c r="DJY3" s="182"/>
      <c r="DJZ3" s="182"/>
      <c r="DKA3" s="182"/>
      <c r="DKB3" s="182"/>
      <c r="DKC3" s="182"/>
      <c r="DKD3" s="182"/>
      <c r="DKE3" s="182"/>
      <c r="DKF3" s="182"/>
      <c r="DKG3" s="182"/>
      <c r="DKH3" s="182"/>
      <c r="DKI3" s="182"/>
      <c r="DKJ3" s="182"/>
      <c r="DKK3" s="182"/>
      <c r="DKL3" s="182"/>
      <c r="DKM3" s="182"/>
      <c r="DKN3" s="182"/>
      <c r="DKO3" s="182"/>
      <c r="DKP3" s="182"/>
      <c r="DKQ3" s="182"/>
      <c r="DKR3" s="182"/>
      <c r="DKS3" s="182"/>
      <c r="DKT3" s="182"/>
      <c r="DKU3" s="182"/>
      <c r="DKV3" s="182"/>
      <c r="DKW3" s="182"/>
      <c r="DKX3" s="182"/>
      <c r="DKY3" s="182"/>
      <c r="DKZ3" s="182"/>
      <c r="DLA3" s="182"/>
      <c r="DLB3" s="182"/>
      <c r="DLC3" s="182"/>
      <c r="DLD3" s="182"/>
      <c r="DLE3" s="182"/>
      <c r="DLF3" s="182"/>
      <c r="DLG3" s="182"/>
      <c r="DLH3" s="182"/>
      <c r="DLI3" s="182"/>
      <c r="DLJ3" s="182"/>
      <c r="DLK3" s="182"/>
      <c r="DLL3" s="182"/>
      <c r="DLM3" s="182"/>
      <c r="DLN3" s="182"/>
      <c r="DLO3" s="182"/>
      <c r="DLP3" s="182"/>
      <c r="DLQ3" s="182"/>
      <c r="DLR3" s="182"/>
      <c r="DLS3" s="182"/>
      <c r="DLT3" s="182"/>
      <c r="DLU3" s="182"/>
      <c r="DLV3" s="182"/>
      <c r="DLW3" s="182"/>
      <c r="DLX3" s="182"/>
      <c r="DLY3" s="182"/>
      <c r="DLZ3" s="182"/>
      <c r="DMA3" s="182"/>
      <c r="DMB3" s="182"/>
      <c r="DMC3" s="182"/>
      <c r="DMD3" s="182"/>
      <c r="DME3" s="182"/>
      <c r="DMF3" s="182"/>
      <c r="DMG3" s="182"/>
      <c r="DMH3" s="182"/>
      <c r="DMI3" s="182"/>
      <c r="DMJ3" s="182"/>
      <c r="DMK3" s="182"/>
      <c r="DML3" s="182"/>
      <c r="DMM3" s="182"/>
      <c r="DMN3" s="182"/>
      <c r="DMO3" s="182"/>
      <c r="DMP3" s="182"/>
      <c r="DMQ3" s="182"/>
      <c r="DMR3" s="182"/>
      <c r="DMS3" s="182"/>
      <c r="DMT3" s="182"/>
      <c r="DMU3" s="182"/>
      <c r="DMV3" s="182"/>
      <c r="DMW3" s="182"/>
      <c r="DMX3" s="182"/>
      <c r="DMY3" s="182"/>
      <c r="DMZ3" s="182"/>
      <c r="DNA3" s="182"/>
      <c r="DNB3" s="182"/>
      <c r="DNC3" s="182"/>
      <c r="DND3" s="182"/>
      <c r="DNE3" s="182"/>
      <c r="DNF3" s="182"/>
      <c r="DNG3" s="182"/>
      <c r="DNH3" s="182"/>
      <c r="DNI3" s="182"/>
      <c r="DNJ3" s="182"/>
      <c r="DNK3" s="182"/>
      <c r="DNL3" s="182"/>
      <c r="DNM3" s="182"/>
      <c r="DNN3" s="182"/>
      <c r="DNO3" s="182"/>
      <c r="DNP3" s="182"/>
      <c r="DNQ3" s="182"/>
      <c r="DNR3" s="182"/>
      <c r="DNS3" s="182"/>
      <c r="DNT3" s="182"/>
      <c r="DNU3" s="182"/>
      <c r="DNV3" s="182"/>
      <c r="DNW3" s="182"/>
      <c r="DNX3" s="182"/>
      <c r="DNY3" s="182"/>
      <c r="DNZ3" s="182"/>
      <c r="DOA3" s="182"/>
      <c r="DOB3" s="182"/>
      <c r="DOC3" s="182"/>
      <c r="DOD3" s="182"/>
      <c r="DOE3" s="182"/>
      <c r="DOF3" s="182"/>
      <c r="DOG3" s="182"/>
      <c r="DOH3" s="182"/>
      <c r="DOI3" s="182"/>
      <c r="DOJ3" s="182"/>
      <c r="DOK3" s="182"/>
      <c r="DOL3" s="182"/>
      <c r="DOM3" s="182"/>
      <c r="DON3" s="182"/>
      <c r="DOO3" s="182"/>
      <c r="DOP3" s="182"/>
      <c r="DOQ3" s="182"/>
      <c r="DOR3" s="182"/>
      <c r="DOS3" s="182"/>
      <c r="DOT3" s="182"/>
      <c r="DOU3" s="182"/>
      <c r="DOV3" s="182"/>
      <c r="DOW3" s="182"/>
      <c r="DOX3" s="182"/>
      <c r="DOY3" s="182"/>
      <c r="DOZ3" s="182"/>
      <c r="DPA3" s="182"/>
      <c r="DPB3" s="182"/>
      <c r="DPC3" s="182"/>
      <c r="DPD3" s="182"/>
      <c r="DPE3" s="182"/>
      <c r="DPF3" s="182"/>
      <c r="DPG3" s="182"/>
      <c r="DPH3" s="182"/>
      <c r="DPI3" s="182"/>
      <c r="DPJ3" s="182"/>
      <c r="DPK3" s="182"/>
      <c r="DPL3" s="182"/>
      <c r="DPM3" s="182"/>
      <c r="DPN3" s="182"/>
      <c r="DPO3" s="182"/>
      <c r="DPP3" s="182"/>
      <c r="DPQ3" s="182"/>
      <c r="DPR3" s="182"/>
      <c r="DPS3" s="182"/>
      <c r="DPT3" s="182"/>
      <c r="DPU3" s="182"/>
      <c r="DPV3" s="182"/>
      <c r="DPW3" s="182"/>
      <c r="DPX3" s="182"/>
      <c r="DPY3" s="182"/>
      <c r="DPZ3" s="182"/>
      <c r="DQA3" s="182"/>
      <c r="DQB3" s="182"/>
      <c r="DQC3" s="182"/>
      <c r="DQD3" s="182"/>
      <c r="DQE3" s="182"/>
      <c r="DQF3" s="182"/>
      <c r="DQG3" s="182"/>
      <c r="DQH3" s="182"/>
      <c r="DQI3" s="182"/>
      <c r="DQJ3" s="182"/>
      <c r="DQK3" s="182"/>
      <c r="DQL3" s="182"/>
      <c r="DQM3" s="182"/>
      <c r="DQN3" s="182"/>
      <c r="DQO3" s="182"/>
      <c r="DQP3" s="182"/>
      <c r="DQQ3" s="182"/>
      <c r="DQR3" s="182"/>
      <c r="DQS3" s="182"/>
      <c r="DQT3" s="182"/>
      <c r="DQU3" s="182"/>
      <c r="DQV3" s="182"/>
      <c r="DQW3" s="182"/>
      <c r="DQX3" s="182"/>
      <c r="DQY3" s="182"/>
      <c r="DQZ3" s="182"/>
      <c r="DRA3" s="182"/>
      <c r="DRB3" s="182"/>
      <c r="DRC3" s="182"/>
      <c r="DRD3" s="182"/>
      <c r="DRE3" s="182"/>
      <c r="DRF3" s="182"/>
      <c r="DRG3" s="182"/>
      <c r="DRH3" s="182"/>
      <c r="DRI3" s="182"/>
      <c r="DRJ3" s="182"/>
      <c r="DRK3" s="182"/>
      <c r="DRL3" s="182"/>
      <c r="DRM3" s="182"/>
      <c r="DRN3" s="182"/>
      <c r="DRO3" s="182"/>
      <c r="DRP3" s="182"/>
      <c r="DRQ3" s="182"/>
      <c r="DRR3" s="182"/>
      <c r="DRS3" s="182"/>
      <c r="DRT3" s="182"/>
      <c r="DRU3" s="182"/>
      <c r="DRV3" s="182"/>
      <c r="DRW3" s="182"/>
      <c r="DRX3" s="182"/>
      <c r="DRY3" s="182"/>
      <c r="DRZ3" s="182"/>
      <c r="DSA3" s="182"/>
      <c r="DSB3" s="182"/>
      <c r="DSC3" s="182"/>
      <c r="DSD3" s="182"/>
      <c r="DSE3" s="182"/>
      <c r="DSF3" s="182"/>
      <c r="DSG3" s="182"/>
      <c r="DSH3" s="182"/>
      <c r="DSI3" s="182"/>
      <c r="DSJ3" s="182"/>
      <c r="DSK3" s="182"/>
      <c r="DSL3" s="182"/>
      <c r="DSM3" s="182"/>
      <c r="DSN3" s="182"/>
      <c r="DSO3" s="182"/>
      <c r="DSP3" s="182"/>
      <c r="DSQ3" s="182"/>
      <c r="DSR3" s="182"/>
      <c r="DSS3" s="182"/>
      <c r="DST3" s="182"/>
      <c r="DSU3" s="182"/>
      <c r="DSV3" s="182"/>
      <c r="DSW3" s="182"/>
      <c r="DSX3" s="182"/>
      <c r="DSY3" s="182"/>
      <c r="DSZ3" s="182"/>
      <c r="DTA3" s="182"/>
      <c r="DTB3" s="182"/>
      <c r="DTC3" s="182"/>
      <c r="DTD3" s="182"/>
      <c r="DTE3" s="182"/>
      <c r="DTF3" s="182"/>
      <c r="DTG3" s="182"/>
      <c r="DTH3" s="182"/>
      <c r="DTI3" s="182"/>
      <c r="DTJ3" s="182"/>
      <c r="DTK3" s="182"/>
      <c r="DTL3" s="182"/>
      <c r="DTM3" s="182"/>
      <c r="DTN3" s="182"/>
      <c r="DTO3" s="182"/>
      <c r="DTP3" s="182"/>
      <c r="DTQ3" s="182"/>
      <c r="DTR3" s="182"/>
      <c r="DTS3" s="182"/>
      <c r="DTT3" s="182"/>
      <c r="DTU3" s="182"/>
      <c r="DTV3" s="182"/>
      <c r="DTW3" s="182"/>
      <c r="DTX3" s="182"/>
      <c r="DTY3" s="182"/>
      <c r="DTZ3" s="182"/>
      <c r="DUA3" s="182"/>
      <c r="DUB3" s="182"/>
      <c r="DUC3" s="182"/>
      <c r="DUD3" s="182"/>
      <c r="DUE3" s="182"/>
      <c r="DUF3" s="182"/>
      <c r="DUG3" s="182"/>
      <c r="DUH3" s="182"/>
      <c r="DUI3" s="182"/>
      <c r="DUJ3" s="182"/>
      <c r="DUK3" s="182"/>
      <c r="DUL3" s="182"/>
      <c r="DUM3" s="182"/>
      <c r="DUN3" s="182"/>
      <c r="DUO3" s="182"/>
      <c r="DUP3" s="182"/>
      <c r="DUQ3" s="182"/>
      <c r="DUR3" s="182"/>
      <c r="DUS3" s="182"/>
      <c r="DUT3" s="182"/>
      <c r="DUU3" s="182"/>
      <c r="DUV3" s="182"/>
      <c r="DUW3" s="182"/>
      <c r="DUX3" s="182"/>
      <c r="DUY3" s="182"/>
      <c r="DUZ3" s="182"/>
      <c r="DVA3" s="182"/>
      <c r="DVB3" s="182"/>
      <c r="DVC3" s="182"/>
      <c r="DVD3" s="182"/>
      <c r="DVE3" s="182"/>
      <c r="DVF3" s="182"/>
      <c r="DVG3" s="182"/>
      <c r="DVH3" s="182"/>
      <c r="DVI3" s="182"/>
      <c r="DVJ3" s="182"/>
      <c r="DVK3" s="182"/>
      <c r="DVL3" s="182"/>
      <c r="DVM3" s="182"/>
      <c r="DVN3" s="182"/>
      <c r="DVO3" s="182"/>
      <c r="DVP3" s="182"/>
      <c r="DVQ3" s="182"/>
      <c r="DVR3" s="182"/>
      <c r="DVS3" s="182"/>
      <c r="DVT3" s="182"/>
      <c r="DVU3" s="182"/>
      <c r="DVV3" s="182"/>
      <c r="DVW3" s="182"/>
      <c r="DVX3" s="182"/>
      <c r="DVY3" s="182"/>
      <c r="DVZ3" s="182"/>
      <c r="DWA3" s="182"/>
      <c r="DWB3" s="182"/>
      <c r="DWC3" s="182"/>
      <c r="DWD3" s="182"/>
      <c r="DWE3" s="182"/>
      <c r="DWF3" s="182"/>
      <c r="DWG3" s="182"/>
      <c r="DWH3" s="182"/>
      <c r="DWI3" s="182"/>
      <c r="DWJ3" s="182"/>
      <c r="DWK3" s="182"/>
      <c r="DWL3" s="182"/>
      <c r="DWM3" s="182"/>
      <c r="DWN3" s="182"/>
      <c r="DWO3" s="182"/>
      <c r="DWP3" s="182"/>
      <c r="DWQ3" s="182"/>
      <c r="DWR3" s="182"/>
      <c r="DWS3" s="182"/>
      <c r="DWT3" s="182"/>
      <c r="DWU3" s="182"/>
      <c r="DWV3" s="182"/>
      <c r="DWW3" s="182"/>
      <c r="DWX3" s="182"/>
      <c r="DWY3" s="182"/>
      <c r="DWZ3" s="182"/>
      <c r="DXA3" s="182"/>
      <c r="DXB3" s="182"/>
      <c r="DXC3" s="182"/>
      <c r="DXD3" s="182"/>
      <c r="DXE3" s="182"/>
      <c r="DXF3" s="182"/>
      <c r="DXG3" s="182"/>
      <c r="DXH3" s="182"/>
      <c r="DXI3" s="182"/>
      <c r="DXJ3" s="182"/>
      <c r="DXK3" s="182"/>
      <c r="DXL3" s="182"/>
      <c r="DXM3" s="182"/>
      <c r="DXN3" s="182"/>
      <c r="DXO3" s="182"/>
      <c r="DXP3" s="182"/>
      <c r="DXQ3" s="182"/>
      <c r="DXR3" s="182"/>
      <c r="DXS3" s="182"/>
      <c r="DXT3" s="182"/>
      <c r="DXU3" s="182"/>
      <c r="DXV3" s="182"/>
      <c r="DXW3" s="182"/>
      <c r="DXX3" s="182"/>
      <c r="DXY3" s="182"/>
      <c r="DXZ3" s="182"/>
      <c r="DYA3" s="182"/>
      <c r="DYB3" s="182"/>
      <c r="DYC3" s="182"/>
      <c r="DYD3" s="182"/>
      <c r="DYE3" s="182"/>
      <c r="DYF3" s="182"/>
      <c r="DYG3" s="182"/>
      <c r="DYH3" s="182"/>
      <c r="DYI3" s="182"/>
      <c r="DYJ3" s="182"/>
      <c r="DYK3" s="182"/>
      <c r="DYL3" s="182"/>
      <c r="DYM3" s="182"/>
      <c r="DYN3" s="182"/>
      <c r="DYO3" s="182"/>
      <c r="DYP3" s="182"/>
      <c r="DYQ3" s="182"/>
      <c r="DYR3" s="182"/>
      <c r="DYS3" s="182"/>
      <c r="DYT3" s="182"/>
      <c r="DYU3" s="182"/>
      <c r="DYV3" s="182"/>
      <c r="DYW3" s="182"/>
      <c r="DYX3" s="182"/>
      <c r="DYY3" s="182"/>
      <c r="DYZ3" s="182"/>
      <c r="DZA3" s="182"/>
      <c r="DZB3" s="182"/>
      <c r="DZC3" s="182"/>
      <c r="DZD3" s="182"/>
      <c r="DZE3" s="182"/>
      <c r="DZF3" s="182"/>
      <c r="DZG3" s="182"/>
      <c r="DZH3" s="182"/>
      <c r="DZI3" s="182"/>
      <c r="DZJ3" s="182"/>
      <c r="DZK3" s="182"/>
      <c r="DZL3" s="182"/>
      <c r="DZM3" s="182"/>
      <c r="DZN3" s="182"/>
      <c r="DZO3" s="182"/>
      <c r="DZP3" s="182"/>
      <c r="DZQ3" s="182"/>
      <c r="DZR3" s="182"/>
      <c r="DZS3" s="182"/>
      <c r="DZT3" s="182"/>
      <c r="DZU3" s="182"/>
      <c r="DZV3" s="182"/>
      <c r="DZW3" s="182"/>
      <c r="DZX3" s="182"/>
      <c r="DZY3" s="182"/>
      <c r="DZZ3" s="182"/>
      <c r="EAA3" s="182"/>
      <c r="EAB3" s="182"/>
      <c r="EAC3" s="182"/>
      <c r="EAD3" s="182"/>
      <c r="EAE3" s="182"/>
      <c r="EAF3" s="182"/>
      <c r="EAG3" s="182"/>
      <c r="EAH3" s="182"/>
      <c r="EAI3" s="182"/>
      <c r="EAJ3" s="182"/>
      <c r="EAK3" s="182"/>
      <c r="EAL3" s="182"/>
      <c r="EAM3" s="182"/>
      <c r="EAN3" s="182"/>
      <c r="EAO3" s="182"/>
      <c r="EAP3" s="182"/>
      <c r="EAQ3" s="182"/>
      <c r="EAR3" s="182"/>
      <c r="EAS3" s="182"/>
      <c r="EAT3" s="182"/>
      <c r="EAU3" s="182"/>
      <c r="EAV3" s="182"/>
      <c r="EAW3" s="182"/>
      <c r="EAX3" s="182"/>
      <c r="EAY3" s="182"/>
      <c r="EAZ3" s="182"/>
      <c r="EBA3" s="182"/>
      <c r="EBB3" s="182"/>
      <c r="EBC3" s="182"/>
      <c r="EBD3" s="182"/>
      <c r="EBE3" s="182"/>
      <c r="EBF3" s="182"/>
      <c r="EBG3" s="182"/>
      <c r="EBH3" s="182"/>
      <c r="EBI3" s="182"/>
      <c r="EBJ3" s="182"/>
      <c r="EBK3" s="182"/>
      <c r="EBL3" s="182"/>
      <c r="EBM3" s="182"/>
      <c r="EBN3" s="182"/>
      <c r="EBO3" s="182"/>
      <c r="EBP3" s="182"/>
      <c r="EBQ3" s="182"/>
      <c r="EBR3" s="182"/>
      <c r="EBS3" s="182"/>
      <c r="EBT3" s="182"/>
      <c r="EBU3" s="182"/>
      <c r="EBV3" s="182"/>
      <c r="EBW3" s="182"/>
      <c r="EBX3" s="182"/>
      <c r="EBY3" s="182"/>
      <c r="EBZ3" s="182"/>
      <c r="ECA3" s="182"/>
      <c r="ECB3" s="182"/>
      <c r="ECC3" s="182"/>
      <c r="ECD3" s="182"/>
      <c r="ECE3" s="182"/>
      <c r="ECF3" s="182"/>
      <c r="ECG3" s="182"/>
      <c r="ECH3" s="182"/>
      <c r="ECI3" s="182"/>
      <c r="ECJ3" s="182"/>
      <c r="ECK3" s="182"/>
      <c r="ECL3" s="182"/>
      <c r="ECM3" s="182"/>
      <c r="ECN3" s="182"/>
      <c r="ECO3" s="182"/>
      <c r="ECP3" s="182"/>
      <c r="ECQ3" s="182"/>
      <c r="ECR3" s="182"/>
      <c r="ECS3" s="182"/>
      <c r="ECT3" s="182"/>
      <c r="ECU3" s="182"/>
      <c r="ECV3" s="182"/>
      <c r="ECW3" s="182"/>
      <c r="ECX3" s="182"/>
      <c r="ECY3" s="182"/>
      <c r="ECZ3" s="182"/>
      <c r="EDA3" s="182"/>
      <c r="EDB3" s="182"/>
      <c r="EDC3" s="182"/>
      <c r="EDD3" s="182"/>
      <c r="EDE3" s="182"/>
      <c r="EDF3" s="182"/>
      <c r="EDG3" s="182"/>
      <c r="EDH3" s="182"/>
      <c r="EDI3" s="182"/>
      <c r="EDJ3" s="182"/>
      <c r="EDK3" s="182"/>
      <c r="EDL3" s="182"/>
      <c r="EDM3" s="182"/>
      <c r="EDN3" s="182"/>
      <c r="EDO3" s="182"/>
      <c r="EDP3" s="182"/>
      <c r="EDQ3" s="182"/>
      <c r="EDR3" s="182"/>
      <c r="EDS3" s="182"/>
      <c r="EDT3" s="182"/>
      <c r="EDU3" s="182"/>
      <c r="EDV3" s="182"/>
      <c r="EDW3" s="182"/>
      <c r="EDX3" s="182"/>
      <c r="EDY3" s="182"/>
      <c r="EDZ3" s="182"/>
      <c r="EEA3" s="182"/>
      <c r="EEB3" s="182"/>
      <c r="EEC3" s="182"/>
      <c r="EED3" s="182"/>
      <c r="EEE3" s="182"/>
      <c r="EEF3" s="182"/>
      <c r="EEG3" s="182"/>
      <c r="EEH3" s="182"/>
      <c r="EEI3" s="182"/>
      <c r="EEJ3" s="182"/>
      <c r="EEK3" s="182"/>
      <c r="EEL3" s="182"/>
      <c r="EEM3" s="182"/>
      <c r="EEN3" s="182"/>
      <c r="EEO3" s="182"/>
      <c r="EEP3" s="182"/>
      <c r="EEQ3" s="182"/>
      <c r="EER3" s="182"/>
      <c r="EES3" s="182"/>
      <c r="EET3" s="182"/>
      <c r="EEU3" s="182"/>
      <c r="EEV3" s="182"/>
      <c r="EEW3" s="182"/>
      <c r="EEX3" s="182"/>
      <c r="EEY3" s="182"/>
      <c r="EEZ3" s="182"/>
      <c r="EFA3" s="182"/>
      <c r="EFB3" s="182"/>
      <c r="EFC3" s="182"/>
      <c r="EFD3" s="182"/>
      <c r="EFE3" s="182"/>
      <c r="EFF3" s="182"/>
      <c r="EFG3" s="182"/>
      <c r="EFH3" s="182"/>
      <c r="EFI3" s="182"/>
      <c r="EFJ3" s="182"/>
      <c r="EFK3" s="182"/>
      <c r="EFL3" s="182"/>
      <c r="EFM3" s="182"/>
      <c r="EFN3" s="182"/>
      <c r="EFO3" s="182"/>
      <c r="EFP3" s="182"/>
      <c r="EFQ3" s="182"/>
      <c r="EFR3" s="182"/>
      <c r="EFS3" s="182"/>
      <c r="EFT3" s="182"/>
      <c r="EFU3" s="182"/>
      <c r="EFV3" s="182"/>
      <c r="EFW3" s="182"/>
      <c r="EFX3" s="182"/>
      <c r="EFY3" s="182"/>
      <c r="EFZ3" s="182"/>
      <c r="EGA3" s="182"/>
      <c r="EGB3" s="182"/>
      <c r="EGC3" s="182"/>
      <c r="EGD3" s="182"/>
      <c r="EGE3" s="182"/>
      <c r="EGF3" s="182"/>
      <c r="EGG3" s="182"/>
      <c r="EGH3" s="182"/>
      <c r="EGI3" s="182"/>
      <c r="EGJ3" s="182"/>
      <c r="EGK3" s="182"/>
      <c r="EGL3" s="182"/>
      <c r="EGM3" s="182"/>
      <c r="EGN3" s="182"/>
      <c r="EGO3" s="182"/>
      <c r="EGP3" s="182"/>
      <c r="EGQ3" s="182"/>
      <c r="EGR3" s="182"/>
      <c r="EGS3" s="182"/>
      <c r="EGT3" s="182"/>
      <c r="EGU3" s="182"/>
      <c r="EGV3" s="182"/>
      <c r="EGW3" s="182"/>
      <c r="EGX3" s="182"/>
      <c r="EGY3" s="182"/>
      <c r="EGZ3" s="182"/>
      <c r="EHA3" s="182"/>
      <c r="EHB3" s="182"/>
      <c r="EHC3" s="182"/>
      <c r="EHD3" s="182"/>
      <c r="EHE3" s="182"/>
      <c r="EHF3" s="182"/>
      <c r="EHG3" s="182"/>
      <c r="EHH3" s="182"/>
      <c r="EHI3" s="182"/>
      <c r="EHJ3" s="182"/>
      <c r="EHK3" s="182"/>
      <c r="EHL3" s="182"/>
      <c r="EHM3" s="182"/>
      <c r="EHN3" s="182"/>
      <c r="EHO3" s="182"/>
      <c r="EHP3" s="182"/>
      <c r="EHQ3" s="182"/>
      <c r="EHR3" s="182"/>
      <c r="EHS3" s="182"/>
      <c r="EHT3" s="182"/>
      <c r="EHU3" s="182"/>
      <c r="EHV3" s="182"/>
      <c r="EHW3" s="182"/>
      <c r="EHX3" s="182"/>
      <c r="EHY3" s="182"/>
      <c r="EHZ3" s="182"/>
      <c r="EIA3" s="182"/>
      <c r="EIB3" s="182"/>
      <c r="EIC3" s="182"/>
      <c r="EID3" s="182"/>
      <c r="EIE3" s="182"/>
      <c r="EIF3" s="182"/>
      <c r="EIG3" s="182"/>
      <c r="EIH3" s="182"/>
      <c r="EII3" s="182"/>
      <c r="EIJ3" s="182"/>
      <c r="EIK3" s="182"/>
      <c r="EIL3" s="182"/>
      <c r="EIM3" s="182"/>
      <c r="EIN3" s="182"/>
      <c r="EIO3" s="182"/>
      <c r="EIP3" s="182"/>
      <c r="EIQ3" s="182"/>
      <c r="EIR3" s="182"/>
      <c r="EIS3" s="182"/>
      <c r="EIT3" s="182"/>
      <c r="EIU3" s="182"/>
      <c r="EIV3" s="182"/>
      <c r="EIW3" s="182"/>
      <c r="EIX3" s="182"/>
      <c r="EIY3" s="182"/>
      <c r="EIZ3" s="182"/>
      <c r="EJA3" s="182"/>
      <c r="EJB3" s="182"/>
      <c r="EJC3" s="182"/>
      <c r="EJD3" s="182"/>
      <c r="EJE3" s="182"/>
      <c r="EJF3" s="182"/>
      <c r="EJG3" s="182"/>
      <c r="EJH3" s="182"/>
      <c r="EJI3" s="182"/>
      <c r="EJJ3" s="182"/>
      <c r="EJK3" s="182"/>
      <c r="EJL3" s="182"/>
      <c r="EJM3" s="182"/>
      <c r="EJN3" s="182"/>
      <c r="EJO3" s="182"/>
      <c r="EJP3" s="182"/>
      <c r="EJQ3" s="182"/>
      <c r="EJR3" s="182"/>
      <c r="EJS3" s="182"/>
      <c r="EJT3" s="182"/>
      <c r="EJU3" s="182"/>
      <c r="EJV3" s="182"/>
      <c r="EJW3" s="182"/>
      <c r="EJX3" s="182"/>
      <c r="EJY3" s="182"/>
      <c r="EJZ3" s="182"/>
      <c r="EKA3" s="182"/>
      <c r="EKB3" s="182"/>
      <c r="EKC3" s="182"/>
      <c r="EKD3" s="182"/>
      <c r="EKE3" s="182"/>
      <c r="EKF3" s="182"/>
      <c r="EKG3" s="182"/>
      <c r="EKH3" s="182"/>
      <c r="EKI3" s="182"/>
      <c r="EKJ3" s="182"/>
      <c r="EKK3" s="182"/>
      <c r="EKL3" s="182"/>
      <c r="EKM3" s="182"/>
      <c r="EKN3" s="182"/>
      <c r="EKO3" s="182"/>
      <c r="EKP3" s="182"/>
      <c r="EKQ3" s="182"/>
      <c r="EKR3" s="182"/>
      <c r="EKS3" s="182"/>
      <c r="EKT3" s="182"/>
      <c r="EKU3" s="182"/>
      <c r="EKV3" s="182"/>
      <c r="EKW3" s="182"/>
      <c r="EKX3" s="182"/>
      <c r="EKY3" s="182"/>
      <c r="EKZ3" s="182"/>
      <c r="ELA3" s="182"/>
      <c r="ELB3" s="182"/>
      <c r="ELC3" s="182"/>
      <c r="ELD3" s="182"/>
      <c r="ELE3" s="182"/>
      <c r="ELF3" s="182"/>
      <c r="ELG3" s="182"/>
      <c r="ELH3" s="182"/>
      <c r="ELI3" s="182"/>
      <c r="ELJ3" s="182"/>
      <c r="ELK3" s="182"/>
      <c r="ELL3" s="182"/>
      <c r="ELM3" s="182"/>
      <c r="ELN3" s="182"/>
      <c r="ELO3" s="182"/>
      <c r="ELP3" s="182"/>
      <c r="ELQ3" s="182"/>
      <c r="ELR3" s="182"/>
      <c r="ELS3" s="182"/>
      <c r="ELT3" s="182"/>
      <c r="ELU3" s="182"/>
      <c r="ELV3" s="182"/>
      <c r="ELW3" s="182"/>
      <c r="ELX3" s="182"/>
      <c r="ELY3" s="182"/>
      <c r="ELZ3" s="182"/>
      <c r="EMA3" s="182"/>
      <c r="EMB3" s="182"/>
      <c r="EMC3" s="182"/>
      <c r="EMD3" s="182"/>
      <c r="EME3" s="182"/>
      <c r="EMF3" s="182"/>
      <c r="EMG3" s="182"/>
      <c r="EMH3" s="182"/>
      <c r="EMI3" s="182"/>
      <c r="EMJ3" s="182"/>
      <c r="EMK3" s="182"/>
      <c r="EML3" s="182"/>
      <c r="EMM3" s="182"/>
      <c r="EMN3" s="182"/>
      <c r="EMO3" s="182"/>
      <c r="EMP3" s="182"/>
      <c r="EMQ3" s="182"/>
      <c r="EMR3" s="182"/>
      <c r="EMS3" s="182"/>
      <c r="EMT3" s="182"/>
      <c r="EMU3" s="182"/>
      <c r="EMV3" s="182"/>
      <c r="EMW3" s="182"/>
      <c r="EMX3" s="182"/>
      <c r="EMY3" s="182"/>
      <c r="EMZ3" s="182"/>
      <c r="ENA3" s="182"/>
      <c r="ENB3" s="182"/>
      <c r="ENC3" s="182"/>
      <c r="END3" s="182"/>
      <c r="ENE3" s="182"/>
      <c r="ENF3" s="182"/>
      <c r="ENG3" s="182"/>
      <c r="ENH3" s="182"/>
      <c r="ENI3" s="182"/>
      <c r="ENJ3" s="182"/>
      <c r="ENK3" s="182"/>
      <c r="ENL3" s="182"/>
      <c r="ENM3" s="182"/>
      <c r="ENN3" s="182"/>
      <c r="ENO3" s="182"/>
      <c r="ENP3" s="182"/>
      <c r="ENQ3" s="182"/>
      <c r="ENR3" s="182"/>
      <c r="ENS3" s="182"/>
      <c r="ENT3" s="182"/>
      <c r="ENU3" s="182"/>
      <c r="ENV3" s="182"/>
      <c r="ENW3" s="182"/>
      <c r="ENX3" s="182"/>
      <c r="ENY3" s="182"/>
      <c r="ENZ3" s="182"/>
      <c r="EOA3" s="182"/>
      <c r="EOB3" s="182"/>
      <c r="EOC3" s="182"/>
      <c r="EOD3" s="182"/>
      <c r="EOE3" s="182"/>
      <c r="EOF3" s="182"/>
      <c r="EOG3" s="182"/>
      <c r="EOH3" s="182"/>
      <c r="EOI3" s="182"/>
      <c r="EOJ3" s="182"/>
      <c r="EOK3" s="182"/>
      <c r="EOL3" s="182"/>
      <c r="EOM3" s="182"/>
      <c r="EON3" s="182"/>
      <c r="EOO3" s="182"/>
      <c r="EOP3" s="182"/>
      <c r="EOQ3" s="182"/>
      <c r="EOR3" s="182"/>
      <c r="EOS3" s="182"/>
      <c r="EOT3" s="182"/>
      <c r="EOU3" s="182"/>
      <c r="EOV3" s="182"/>
      <c r="EOW3" s="182"/>
      <c r="EOX3" s="182"/>
      <c r="EOY3" s="182"/>
      <c r="EOZ3" s="182"/>
      <c r="EPA3" s="182"/>
      <c r="EPB3" s="182"/>
      <c r="EPC3" s="182"/>
      <c r="EPD3" s="182"/>
      <c r="EPE3" s="182"/>
      <c r="EPF3" s="182"/>
      <c r="EPG3" s="182"/>
      <c r="EPH3" s="182"/>
      <c r="EPI3" s="182"/>
      <c r="EPJ3" s="182"/>
      <c r="EPK3" s="182"/>
      <c r="EPL3" s="182"/>
      <c r="EPM3" s="182"/>
      <c r="EPN3" s="182"/>
      <c r="EPO3" s="182"/>
      <c r="EPP3" s="182"/>
      <c r="EPQ3" s="182"/>
      <c r="EPR3" s="182"/>
      <c r="EPS3" s="182"/>
      <c r="EPT3" s="182"/>
      <c r="EPU3" s="182"/>
      <c r="EPV3" s="182"/>
      <c r="EPW3" s="182"/>
      <c r="EPX3" s="182"/>
      <c r="EPY3" s="182"/>
      <c r="EPZ3" s="182"/>
      <c r="EQA3" s="182"/>
      <c r="EQB3" s="182"/>
      <c r="EQC3" s="182"/>
      <c r="EQD3" s="182"/>
      <c r="EQE3" s="182"/>
      <c r="EQF3" s="182"/>
      <c r="EQG3" s="182"/>
      <c r="EQH3" s="182"/>
      <c r="EQI3" s="182"/>
      <c r="EQJ3" s="182"/>
      <c r="EQK3" s="182"/>
      <c r="EQL3" s="182"/>
      <c r="EQM3" s="182"/>
      <c r="EQN3" s="182"/>
      <c r="EQO3" s="182"/>
      <c r="EQP3" s="182"/>
      <c r="EQQ3" s="182"/>
      <c r="EQR3" s="182"/>
      <c r="EQS3" s="182"/>
      <c r="EQT3" s="182"/>
      <c r="EQU3" s="182"/>
      <c r="EQV3" s="182"/>
      <c r="EQW3" s="182"/>
      <c r="EQX3" s="182"/>
      <c r="EQY3" s="182"/>
      <c r="EQZ3" s="182"/>
      <c r="ERA3" s="182"/>
      <c r="ERB3" s="182"/>
      <c r="ERC3" s="182"/>
      <c r="ERD3" s="182"/>
      <c r="ERE3" s="182"/>
      <c r="ERF3" s="182"/>
      <c r="ERG3" s="182"/>
      <c r="ERH3" s="182"/>
      <c r="ERI3" s="182"/>
      <c r="ERJ3" s="182"/>
      <c r="ERK3" s="182"/>
      <c r="ERL3" s="182"/>
      <c r="ERM3" s="182"/>
      <c r="ERN3" s="182"/>
      <c r="ERO3" s="182"/>
      <c r="ERP3" s="182"/>
      <c r="ERQ3" s="182"/>
      <c r="ERR3" s="182"/>
      <c r="ERS3" s="182"/>
      <c r="ERT3" s="182"/>
      <c r="ERU3" s="182"/>
      <c r="ERV3" s="182"/>
      <c r="ERW3" s="182"/>
      <c r="ERX3" s="182"/>
      <c r="ERY3" s="182"/>
      <c r="ERZ3" s="182"/>
      <c r="ESA3" s="182"/>
      <c r="ESB3" s="182"/>
      <c r="ESC3" s="182"/>
      <c r="ESD3" s="182"/>
      <c r="ESE3" s="182"/>
      <c r="ESF3" s="182"/>
      <c r="ESG3" s="182"/>
      <c r="ESH3" s="182"/>
      <c r="ESI3" s="182"/>
      <c r="ESJ3" s="182"/>
      <c r="ESK3" s="182"/>
      <c r="ESL3" s="182"/>
      <c r="ESM3" s="182"/>
      <c r="ESN3" s="182"/>
      <c r="ESO3" s="182"/>
      <c r="ESP3" s="182"/>
      <c r="ESQ3" s="182"/>
      <c r="ESR3" s="182"/>
      <c r="ESS3" s="182"/>
      <c r="EST3" s="182"/>
      <c r="ESU3" s="182"/>
      <c r="ESV3" s="182"/>
      <c r="ESW3" s="182"/>
      <c r="ESX3" s="182"/>
      <c r="ESY3" s="182"/>
      <c r="ESZ3" s="182"/>
      <c r="ETA3" s="182"/>
      <c r="ETB3" s="182"/>
      <c r="ETC3" s="182"/>
      <c r="ETD3" s="182"/>
      <c r="ETE3" s="182"/>
      <c r="ETF3" s="182"/>
      <c r="ETG3" s="182"/>
      <c r="ETH3" s="182"/>
      <c r="ETI3" s="182"/>
      <c r="ETJ3" s="182"/>
      <c r="ETK3" s="182"/>
      <c r="ETL3" s="182"/>
      <c r="ETM3" s="182"/>
      <c r="ETN3" s="182"/>
      <c r="ETO3" s="182"/>
      <c r="ETP3" s="182"/>
      <c r="ETQ3" s="182"/>
      <c r="ETR3" s="182"/>
      <c r="ETS3" s="182"/>
      <c r="ETT3" s="182"/>
      <c r="ETU3" s="182"/>
      <c r="ETV3" s="182"/>
      <c r="ETW3" s="182"/>
      <c r="ETX3" s="182"/>
      <c r="ETY3" s="182"/>
      <c r="ETZ3" s="182"/>
      <c r="EUA3" s="182"/>
      <c r="EUB3" s="182"/>
      <c r="EUC3" s="182"/>
      <c r="EUD3" s="182"/>
      <c r="EUE3" s="182"/>
      <c r="EUF3" s="182"/>
      <c r="EUG3" s="182"/>
      <c r="EUH3" s="182"/>
      <c r="EUI3" s="182"/>
      <c r="EUJ3" s="182"/>
      <c r="EUK3" s="182"/>
      <c r="EUL3" s="182"/>
      <c r="EUM3" s="182"/>
      <c r="EUN3" s="182"/>
      <c r="EUO3" s="182"/>
      <c r="EUP3" s="182"/>
      <c r="EUQ3" s="182"/>
      <c r="EUR3" s="182"/>
      <c r="EUS3" s="182"/>
      <c r="EUT3" s="182"/>
      <c r="EUU3" s="182"/>
      <c r="EUV3" s="182"/>
      <c r="EUW3" s="182"/>
      <c r="EUX3" s="182"/>
      <c r="EUY3" s="182"/>
      <c r="EUZ3" s="182"/>
      <c r="EVA3" s="182"/>
      <c r="EVB3" s="182"/>
      <c r="EVC3" s="182"/>
      <c r="EVD3" s="182"/>
      <c r="EVE3" s="182"/>
      <c r="EVF3" s="182"/>
      <c r="EVG3" s="182"/>
      <c r="EVH3" s="182"/>
      <c r="EVI3" s="182"/>
      <c r="EVJ3" s="182"/>
      <c r="EVK3" s="182"/>
      <c r="EVL3" s="182"/>
      <c r="EVM3" s="182"/>
      <c r="EVN3" s="182"/>
      <c r="EVO3" s="182"/>
      <c r="EVP3" s="182"/>
      <c r="EVQ3" s="182"/>
      <c r="EVR3" s="182"/>
      <c r="EVS3" s="182"/>
      <c r="EVT3" s="182"/>
      <c r="EVU3" s="182"/>
      <c r="EVV3" s="182"/>
      <c r="EVW3" s="182"/>
      <c r="EVX3" s="182"/>
      <c r="EVY3" s="182"/>
      <c r="EVZ3" s="182"/>
      <c r="EWA3" s="182"/>
      <c r="EWB3" s="182"/>
      <c r="EWC3" s="182"/>
      <c r="EWD3" s="182"/>
      <c r="EWE3" s="182"/>
      <c r="EWF3" s="182"/>
      <c r="EWG3" s="182"/>
      <c r="EWH3" s="182"/>
      <c r="EWI3" s="182"/>
      <c r="EWJ3" s="182"/>
      <c r="EWK3" s="182"/>
      <c r="EWL3" s="182"/>
      <c r="EWM3" s="182"/>
      <c r="EWN3" s="182"/>
      <c r="EWO3" s="182"/>
      <c r="EWP3" s="182"/>
      <c r="EWQ3" s="182"/>
      <c r="EWR3" s="182"/>
      <c r="EWS3" s="182"/>
      <c r="EWT3" s="182"/>
      <c r="EWU3" s="182"/>
      <c r="EWV3" s="182"/>
      <c r="EWW3" s="182"/>
      <c r="EWX3" s="182"/>
      <c r="EWY3" s="182"/>
      <c r="EWZ3" s="182"/>
      <c r="EXA3" s="182"/>
      <c r="EXB3" s="182"/>
      <c r="EXC3" s="182"/>
      <c r="EXD3" s="182"/>
      <c r="EXE3" s="182"/>
      <c r="EXF3" s="182"/>
      <c r="EXG3" s="182"/>
      <c r="EXH3" s="182"/>
      <c r="EXI3" s="182"/>
      <c r="EXJ3" s="182"/>
      <c r="EXK3" s="182"/>
      <c r="EXL3" s="182"/>
      <c r="EXM3" s="182"/>
      <c r="EXN3" s="182"/>
      <c r="EXO3" s="182"/>
      <c r="EXP3" s="182"/>
      <c r="EXQ3" s="182"/>
      <c r="EXR3" s="182"/>
      <c r="EXS3" s="182"/>
      <c r="EXT3" s="182"/>
      <c r="EXU3" s="182"/>
      <c r="EXV3" s="182"/>
      <c r="EXW3" s="182"/>
      <c r="EXX3" s="182"/>
      <c r="EXY3" s="182"/>
      <c r="EXZ3" s="182"/>
      <c r="EYA3" s="182"/>
      <c r="EYB3" s="182"/>
      <c r="EYC3" s="182"/>
      <c r="EYD3" s="182"/>
      <c r="EYE3" s="182"/>
      <c r="EYF3" s="182"/>
      <c r="EYG3" s="182"/>
      <c r="EYH3" s="182"/>
      <c r="EYI3" s="182"/>
      <c r="EYJ3" s="182"/>
      <c r="EYK3" s="182"/>
      <c r="EYL3" s="182"/>
      <c r="EYM3" s="182"/>
      <c r="EYN3" s="182"/>
      <c r="EYO3" s="182"/>
      <c r="EYP3" s="182"/>
      <c r="EYQ3" s="182"/>
      <c r="EYR3" s="182"/>
      <c r="EYS3" s="182"/>
      <c r="EYT3" s="182"/>
      <c r="EYU3" s="182"/>
      <c r="EYV3" s="182"/>
      <c r="EYW3" s="182"/>
      <c r="EYX3" s="182"/>
      <c r="EYY3" s="182"/>
      <c r="EYZ3" s="182"/>
      <c r="EZA3" s="182"/>
      <c r="EZB3" s="182"/>
      <c r="EZC3" s="182"/>
      <c r="EZD3" s="182"/>
      <c r="EZE3" s="182"/>
      <c r="EZF3" s="182"/>
      <c r="EZG3" s="182"/>
      <c r="EZH3" s="182"/>
      <c r="EZI3" s="182"/>
      <c r="EZJ3" s="182"/>
      <c r="EZK3" s="182"/>
      <c r="EZL3" s="182"/>
      <c r="EZM3" s="182"/>
      <c r="EZN3" s="182"/>
      <c r="EZO3" s="182"/>
      <c r="EZP3" s="182"/>
      <c r="EZQ3" s="182"/>
      <c r="EZR3" s="182"/>
      <c r="EZS3" s="182"/>
      <c r="EZT3" s="182"/>
      <c r="EZU3" s="182"/>
      <c r="EZV3" s="182"/>
      <c r="EZW3" s="182"/>
      <c r="EZX3" s="182"/>
      <c r="EZY3" s="182"/>
      <c r="EZZ3" s="182"/>
      <c r="FAA3" s="182"/>
      <c r="FAB3" s="182"/>
      <c r="FAC3" s="182"/>
      <c r="FAD3" s="182"/>
      <c r="FAE3" s="182"/>
      <c r="FAF3" s="182"/>
      <c r="FAG3" s="182"/>
      <c r="FAH3" s="182"/>
      <c r="FAI3" s="182"/>
      <c r="FAJ3" s="182"/>
      <c r="FAK3" s="182"/>
      <c r="FAL3" s="182"/>
      <c r="FAM3" s="182"/>
      <c r="FAN3" s="182"/>
      <c r="FAO3" s="182"/>
      <c r="FAP3" s="182"/>
      <c r="FAQ3" s="182"/>
      <c r="FAR3" s="182"/>
      <c r="FAS3" s="182"/>
      <c r="FAT3" s="182"/>
      <c r="FAU3" s="182"/>
      <c r="FAV3" s="182"/>
      <c r="FAW3" s="182"/>
      <c r="FAX3" s="182"/>
      <c r="FAY3" s="182"/>
      <c r="FAZ3" s="182"/>
      <c r="FBA3" s="182"/>
      <c r="FBB3" s="182"/>
      <c r="FBC3" s="182"/>
      <c r="FBD3" s="182"/>
      <c r="FBE3" s="182"/>
      <c r="FBF3" s="182"/>
      <c r="FBG3" s="182"/>
      <c r="FBH3" s="182"/>
      <c r="FBI3" s="182"/>
      <c r="FBJ3" s="182"/>
      <c r="FBK3" s="182"/>
      <c r="FBL3" s="182"/>
      <c r="FBM3" s="182"/>
      <c r="FBN3" s="182"/>
      <c r="FBO3" s="182"/>
      <c r="FBP3" s="182"/>
      <c r="FBQ3" s="182"/>
      <c r="FBR3" s="182"/>
      <c r="FBS3" s="182"/>
      <c r="FBT3" s="182"/>
      <c r="FBU3" s="182"/>
      <c r="FBV3" s="182"/>
      <c r="FBW3" s="182"/>
      <c r="FBX3" s="182"/>
      <c r="FBY3" s="182"/>
      <c r="FBZ3" s="182"/>
      <c r="FCA3" s="182"/>
      <c r="FCB3" s="182"/>
      <c r="FCC3" s="182"/>
      <c r="FCD3" s="182"/>
      <c r="FCE3" s="182"/>
      <c r="FCF3" s="182"/>
      <c r="FCG3" s="182"/>
      <c r="FCH3" s="182"/>
      <c r="FCI3" s="182"/>
      <c r="FCJ3" s="182"/>
      <c r="FCK3" s="182"/>
      <c r="FCL3" s="182"/>
      <c r="FCM3" s="182"/>
      <c r="FCN3" s="182"/>
      <c r="FCO3" s="182"/>
      <c r="FCP3" s="182"/>
      <c r="FCQ3" s="182"/>
      <c r="FCR3" s="182"/>
      <c r="FCS3" s="182"/>
      <c r="FCT3" s="182"/>
      <c r="FCU3" s="182"/>
      <c r="FCV3" s="182"/>
      <c r="FCW3" s="182"/>
      <c r="FCX3" s="182"/>
      <c r="FCY3" s="182"/>
      <c r="FCZ3" s="182"/>
      <c r="FDA3" s="182"/>
      <c r="FDB3" s="182"/>
      <c r="FDC3" s="182"/>
      <c r="FDD3" s="182"/>
      <c r="FDE3" s="182"/>
      <c r="FDF3" s="182"/>
      <c r="FDG3" s="182"/>
      <c r="FDH3" s="182"/>
      <c r="FDI3" s="182"/>
      <c r="FDJ3" s="182"/>
      <c r="FDK3" s="182"/>
      <c r="FDL3" s="182"/>
      <c r="FDM3" s="182"/>
      <c r="FDN3" s="182"/>
      <c r="FDO3" s="182"/>
      <c r="FDP3" s="182"/>
      <c r="FDQ3" s="182"/>
      <c r="FDR3" s="182"/>
      <c r="FDS3" s="182"/>
      <c r="FDT3" s="182"/>
      <c r="FDU3" s="182"/>
      <c r="FDV3" s="182"/>
      <c r="FDW3" s="182"/>
      <c r="FDX3" s="182"/>
      <c r="FDY3" s="182"/>
      <c r="FDZ3" s="182"/>
      <c r="FEA3" s="182"/>
      <c r="FEB3" s="182"/>
      <c r="FEC3" s="182"/>
      <c r="FED3" s="182"/>
      <c r="FEE3" s="182"/>
      <c r="FEF3" s="182"/>
      <c r="FEG3" s="182"/>
      <c r="FEH3" s="182"/>
      <c r="FEI3" s="182"/>
      <c r="FEJ3" s="182"/>
      <c r="FEK3" s="182"/>
      <c r="FEL3" s="182"/>
      <c r="FEM3" s="182"/>
      <c r="FEN3" s="182"/>
      <c r="FEO3" s="182"/>
      <c r="FEP3" s="182"/>
      <c r="FEQ3" s="182"/>
      <c r="FER3" s="182"/>
      <c r="FES3" s="182"/>
      <c r="FET3" s="182"/>
      <c r="FEU3" s="182"/>
      <c r="FEV3" s="182"/>
      <c r="FEW3" s="182"/>
      <c r="FEX3" s="182"/>
      <c r="FEY3" s="182"/>
      <c r="FEZ3" s="182"/>
      <c r="FFA3" s="182"/>
      <c r="FFB3" s="182"/>
      <c r="FFC3" s="182"/>
      <c r="FFD3" s="182"/>
      <c r="FFE3" s="182"/>
      <c r="FFF3" s="182"/>
      <c r="FFG3" s="182"/>
      <c r="FFH3" s="182"/>
      <c r="FFI3" s="182"/>
      <c r="FFJ3" s="182"/>
      <c r="FFK3" s="182"/>
      <c r="FFL3" s="182"/>
      <c r="FFM3" s="182"/>
      <c r="FFN3" s="182"/>
      <c r="FFO3" s="182"/>
      <c r="FFP3" s="182"/>
      <c r="FFQ3" s="182"/>
      <c r="FFR3" s="182"/>
      <c r="FFS3" s="182"/>
      <c r="FFT3" s="182"/>
      <c r="FFU3" s="182"/>
      <c r="FFV3" s="182"/>
      <c r="FFW3" s="182"/>
      <c r="FFX3" s="182"/>
      <c r="FFY3" s="182"/>
      <c r="FFZ3" s="182"/>
      <c r="FGA3" s="182"/>
      <c r="FGB3" s="182"/>
      <c r="FGC3" s="182"/>
      <c r="FGD3" s="182"/>
      <c r="FGE3" s="182"/>
      <c r="FGF3" s="182"/>
      <c r="FGG3" s="182"/>
      <c r="FGH3" s="182"/>
      <c r="FGI3" s="182"/>
      <c r="FGJ3" s="182"/>
      <c r="FGK3" s="182"/>
      <c r="FGL3" s="182"/>
      <c r="FGM3" s="182"/>
      <c r="FGN3" s="182"/>
      <c r="FGO3" s="182"/>
      <c r="FGP3" s="182"/>
      <c r="FGQ3" s="182"/>
      <c r="FGR3" s="182"/>
      <c r="FGS3" s="182"/>
      <c r="FGT3" s="182"/>
      <c r="FGU3" s="182"/>
      <c r="FGV3" s="182"/>
      <c r="FGW3" s="182"/>
      <c r="FGX3" s="182"/>
      <c r="FGY3" s="182"/>
      <c r="FGZ3" s="182"/>
      <c r="FHA3" s="182"/>
      <c r="FHB3" s="182"/>
      <c r="FHC3" s="182"/>
      <c r="FHD3" s="182"/>
      <c r="FHE3" s="182"/>
      <c r="FHF3" s="182"/>
      <c r="FHG3" s="182"/>
      <c r="FHH3" s="182"/>
      <c r="FHI3" s="182"/>
      <c r="FHJ3" s="182"/>
      <c r="FHK3" s="182"/>
      <c r="FHL3" s="182"/>
      <c r="FHM3" s="182"/>
      <c r="FHN3" s="182"/>
      <c r="FHO3" s="182"/>
      <c r="FHP3" s="182"/>
      <c r="FHQ3" s="182"/>
      <c r="FHR3" s="182"/>
      <c r="FHS3" s="182"/>
      <c r="FHT3" s="182"/>
      <c r="FHU3" s="182"/>
      <c r="FHV3" s="182"/>
      <c r="FHW3" s="182"/>
      <c r="FHX3" s="182"/>
      <c r="FHY3" s="182"/>
      <c r="FHZ3" s="182"/>
      <c r="FIA3" s="182"/>
      <c r="FIB3" s="182"/>
      <c r="FIC3" s="182"/>
      <c r="FID3" s="182"/>
      <c r="FIE3" s="182"/>
      <c r="FIF3" s="182"/>
      <c r="FIG3" s="182"/>
      <c r="FIH3" s="182"/>
      <c r="FII3" s="182"/>
      <c r="FIJ3" s="182"/>
      <c r="FIK3" s="182"/>
      <c r="FIL3" s="182"/>
      <c r="FIM3" s="182"/>
      <c r="FIN3" s="182"/>
      <c r="FIO3" s="182"/>
      <c r="FIP3" s="182"/>
      <c r="FIQ3" s="182"/>
      <c r="FIR3" s="182"/>
      <c r="FIS3" s="182"/>
      <c r="FIT3" s="182"/>
      <c r="FIU3" s="182"/>
      <c r="FIV3" s="182"/>
      <c r="FIW3" s="182"/>
      <c r="FIX3" s="182"/>
      <c r="FIY3" s="182"/>
      <c r="FIZ3" s="182"/>
      <c r="FJA3" s="182"/>
      <c r="FJB3" s="182"/>
      <c r="FJC3" s="182"/>
      <c r="FJD3" s="182"/>
      <c r="FJE3" s="182"/>
      <c r="FJF3" s="182"/>
      <c r="FJG3" s="182"/>
      <c r="FJH3" s="182"/>
      <c r="FJI3" s="182"/>
      <c r="FJJ3" s="182"/>
      <c r="FJK3" s="182"/>
      <c r="FJL3" s="182"/>
      <c r="FJM3" s="182"/>
      <c r="FJN3" s="182"/>
      <c r="FJO3" s="182"/>
      <c r="FJP3" s="182"/>
      <c r="FJQ3" s="182"/>
      <c r="FJR3" s="182"/>
      <c r="FJS3" s="182"/>
      <c r="FJT3" s="182"/>
      <c r="FJU3" s="182"/>
      <c r="FJV3" s="182"/>
      <c r="FJW3" s="182"/>
      <c r="FJX3" s="182"/>
      <c r="FJY3" s="182"/>
      <c r="FJZ3" s="182"/>
      <c r="FKA3" s="182"/>
      <c r="FKB3" s="182"/>
      <c r="FKC3" s="182"/>
      <c r="FKD3" s="182"/>
      <c r="FKE3" s="182"/>
      <c r="FKF3" s="182"/>
      <c r="FKG3" s="182"/>
      <c r="FKH3" s="182"/>
      <c r="FKI3" s="182"/>
      <c r="FKJ3" s="182"/>
      <c r="FKK3" s="182"/>
      <c r="FKL3" s="182"/>
      <c r="FKM3" s="182"/>
      <c r="FKN3" s="182"/>
      <c r="FKO3" s="182"/>
      <c r="FKP3" s="182"/>
      <c r="FKQ3" s="182"/>
      <c r="FKR3" s="182"/>
      <c r="FKS3" s="182"/>
      <c r="FKT3" s="182"/>
      <c r="FKU3" s="182"/>
      <c r="FKV3" s="182"/>
      <c r="FKW3" s="182"/>
      <c r="FKX3" s="182"/>
      <c r="FKY3" s="182"/>
      <c r="FKZ3" s="182"/>
      <c r="FLA3" s="182"/>
      <c r="FLB3" s="182"/>
      <c r="FLC3" s="182"/>
      <c r="FLD3" s="182"/>
      <c r="FLE3" s="182"/>
      <c r="FLF3" s="182"/>
      <c r="FLG3" s="182"/>
      <c r="FLH3" s="182"/>
      <c r="FLI3" s="182"/>
      <c r="FLJ3" s="182"/>
      <c r="FLK3" s="182"/>
      <c r="FLL3" s="182"/>
      <c r="FLM3" s="182"/>
      <c r="FLN3" s="182"/>
      <c r="FLO3" s="182"/>
      <c r="FLP3" s="182"/>
      <c r="FLQ3" s="182"/>
      <c r="FLR3" s="182"/>
      <c r="FLS3" s="182"/>
      <c r="FLT3" s="182"/>
      <c r="FLU3" s="182"/>
      <c r="FLV3" s="182"/>
      <c r="FLW3" s="182"/>
      <c r="FLX3" s="182"/>
      <c r="FLY3" s="182"/>
      <c r="FLZ3" s="182"/>
      <c r="FMA3" s="182"/>
      <c r="FMB3" s="182"/>
      <c r="FMC3" s="182"/>
      <c r="FMD3" s="182"/>
      <c r="FME3" s="182"/>
      <c r="FMF3" s="182"/>
      <c r="FMG3" s="182"/>
      <c r="FMH3" s="182"/>
      <c r="FMI3" s="182"/>
      <c r="FMJ3" s="182"/>
      <c r="FMK3" s="182"/>
      <c r="FML3" s="182"/>
      <c r="FMM3" s="182"/>
      <c r="FMN3" s="182"/>
      <c r="FMO3" s="182"/>
      <c r="FMP3" s="182"/>
      <c r="FMQ3" s="182"/>
      <c r="FMR3" s="182"/>
      <c r="FMS3" s="182"/>
      <c r="FMT3" s="182"/>
      <c r="FMU3" s="182"/>
      <c r="FMV3" s="182"/>
      <c r="FMW3" s="182"/>
      <c r="FMX3" s="182"/>
      <c r="FMY3" s="182"/>
      <c r="FMZ3" s="182"/>
      <c r="FNA3" s="182"/>
      <c r="FNB3" s="182"/>
      <c r="FNC3" s="182"/>
      <c r="FND3" s="182"/>
      <c r="FNE3" s="182"/>
      <c r="FNF3" s="182"/>
      <c r="FNG3" s="182"/>
      <c r="FNH3" s="182"/>
      <c r="FNI3" s="182"/>
      <c r="FNJ3" s="182"/>
      <c r="FNK3" s="182"/>
      <c r="FNL3" s="182"/>
      <c r="FNM3" s="182"/>
      <c r="FNN3" s="182"/>
      <c r="FNO3" s="182"/>
      <c r="FNP3" s="182"/>
      <c r="FNQ3" s="182"/>
      <c r="FNR3" s="182"/>
      <c r="FNS3" s="182"/>
      <c r="FNT3" s="182"/>
      <c r="FNU3" s="182"/>
      <c r="FNV3" s="182"/>
      <c r="FNW3" s="182"/>
      <c r="FNX3" s="182"/>
      <c r="FNY3" s="182"/>
      <c r="FNZ3" s="182"/>
      <c r="FOA3" s="182"/>
      <c r="FOB3" s="182"/>
      <c r="FOC3" s="182"/>
      <c r="FOD3" s="182"/>
      <c r="FOE3" s="182"/>
      <c r="FOF3" s="182"/>
      <c r="FOG3" s="182"/>
      <c r="FOH3" s="182"/>
      <c r="FOI3" s="182"/>
      <c r="FOJ3" s="182"/>
      <c r="FOK3" s="182"/>
      <c r="FOL3" s="182"/>
      <c r="FOM3" s="182"/>
      <c r="FON3" s="182"/>
      <c r="FOO3" s="182"/>
      <c r="FOP3" s="182"/>
      <c r="FOQ3" s="182"/>
      <c r="FOR3" s="182"/>
      <c r="FOS3" s="182"/>
      <c r="FOT3" s="182"/>
      <c r="FOU3" s="182"/>
      <c r="FOV3" s="182"/>
      <c r="FOW3" s="182"/>
      <c r="FOX3" s="182"/>
      <c r="FOY3" s="182"/>
      <c r="FOZ3" s="182"/>
      <c r="FPA3" s="182"/>
      <c r="FPB3" s="182"/>
      <c r="FPC3" s="182"/>
      <c r="FPD3" s="182"/>
      <c r="FPE3" s="182"/>
      <c r="FPF3" s="182"/>
      <c r="FPG3" s="182"/>
      <c r="FPH3" s="182"/>
      <c r="FPI3" s="182"/>
      <c r="FPJ3" s="182"/>
      <c r="FPK3" s="182"/>
      <c r="FPL3" s="182"/>
      <c r="FPM3" s="182"/>
      <c r="FPN3" s="182"/>
      <c r="FPO3" s="182"/>
      <c r="FPP3" s="182"/>
      <c r="FPQ3" s="182"/>
      <c r="FPR3" s="182"/>
      <c r="FPS3" s="182"/>
      <c r="FPT3" s="182"/>
      <c r="FPU3" s="182"/>
      <c r="FPV3" s="182"/>
      <c r="FPW3" s="182"/>
      <c r="FPX3" s="182"/>
      <c r="FPY3" s="182"/>
      <c r="FPZ3" s="182"/>
      <c r="FQA3" s="182"/>
      <c r="FQB3" s="182"/>
      <c r="FQC3" s="182"/>
      <c r="FQD3" s="182"/>
      <c r="FQE3" s="182"/>
      <c r="FQF3" s="182"/>
      <c r="FQG3" s="182"/>
      <c r="FQH3" s="182"/>
      <c r="FQI3" s="182"/>
      <c r="FQJ3" s="182"/>
      <c r="FQK3" s="182"/>
      <c r="FQL3" s="182"/>
      <c r="FQM3" s="182"/>
      <c r="FQN3" s="182"/>
      <c r="FQO3" s="182"/>
      <c r="FQP3" s="182"/>
      <c r="FQQ3" s="182"/>
      <c r="FQR3" s="182"/>
      <c r="FQS3" s="182"/>
      <c r="FQT3" s="182"/>
      <c r="FQU3" s="182"/>
      <c r="FQV3" s="182"/>
      <c r="FQW3" s="182"/>
      <c r="FQX3" s="182"/>
      <c r="FQY3" s="182"/>
      <c r="FQZ3" s="182"/>
      <c r="FRA3" s="182"/>
      <c r="FRB3" s="182"/>
      <c r="FRC3" s="182"/>
      <c r="FRD3" s="182"/>
      <c r="FRE3" s="182"/>
      <c r="FRF3" s="182"/>
      <c r="FRG3" s="182"/>
      <c r="FRH3" s="182"/>
      <c r="FRI3" s="182"/>
      <c r="FRJ3" s="182"/>
      <c r="FRK3" s="182"/>
      <c r="FRL3" s="182"/>
      <c r="FRM3" s="182"/>
      <c r="FRN3" s="182"/>
      <c r="FRO3" s="182"/>
      <c r="FRP3" s="182"/>
      <c r="FRQ3" s="182"/>
      <c r="FRR3" s="182"/>
      <c r="FRS3" s="182"/>
      <c r="FRT3" s="182"/>
      <c r="FRU3" s="182"/>
      <c r="FRV3" s="182"/>
      <c r="FRW3" s="182"/>
      <c r="FRX3" s="182"/>
      <c r="FRY3" s="182"/>
      <c r="FRZ3" s="182"/>
      <c r="FSA3" s="182"/>
      <c r="FSB3" s="182"/>
      <c r="FSC3" s="182"/>
      <c r="FSD3" s="182"/>
      <c r="FSE3" s="182"/>
      <c r="FSF3" s="182"/>
      <c r="FSG3" s="182"/>
      <c r="FSH3" s="182"/>
      <c r="FSI3" s="182"/>
      <c r="FSJ3" s="182"/>
      <c r="FSK3" s="182"/>
      <c r="FSL3" s="182"/>
      <c r="FSM3" s="182"/>
      <c r="FSN3" s="182"/>
      <c r="FSO3" s="182"/>
      <c r="FSP3" s="182"/>
      <c r="FSQ3" s="182"/>
      <c r="FSR3" s="182"/>
      <c r="FSS3" s="182"/>
      <c r="FST3" s="182"/>
      <c r="FSU3" s="182"/>
      <c r="FSV3" s="182"/>
      <c r="FSW3" s="182"/>
      <c r="FSX3" s="182"/>
      <c r="FSY3" s="182"/>
      <c r="FSZ3" s="182"/>
      <c r="FTA3" s="182"/>
      <c r="FTB3" s="182"/>
      <c r="FTC3" s="182"/>
      <c r="FTD3" s="182"/>
      <c r="FTE3" s="182"/>
      <c r="FTF3" s="182"/>
      <c r="FTG3" s="182"/>
      <c r="FTH3" s="182"/>
      <c r="FTI3" s="182"/>
      <c r="FTJ3" s="182"/>
      <c r="FTK3" s="182"/>
      <c r="FTL3" s="182"/>
      <c r="FTM3" s="182"/>
      <c r="FTN3" s="182"/>
      <c r="FTO3" s="182"/>
      <c r="FTP3" s="182"/>
      <c r="FTQ3" s="182"/>
      <c r="FTR3" s="182"/>
      <c r="FTS3" s="182"/>
      <c r="FTT3" s="182"/>
      <c r="FTU3" s="182"/>
      <c r="FTV3" s="182"/>
      <c r="FTW3" s="182"/>
      <c r="FTX3" s="182"/>
      <c r="FTY3" s="182"/>
      <c r="FTZ3" s="182"/>
      <c r="FUA3" s="182"/>
      <c r="FUB3" s="182"/>
      <c r="FUC3" s="182"/>
      <c r="FUD3" s="182"/>
      <c r="FUE3" s="182"/>
      <c r="FUF3" s="182"/>
      <c r="FUG3" s="182"/>
      <c r="FUH3" s="182"/>
      <c r="FUI3" s="182"/>
      <c r="FUJ3" s="182"/>
      <c r="FUK3" s="182"/>
      <c r="FUL3" s="182"/>
      <c r="FUM3" s="182"/>
      <c r="FUN3" s="182"/>
      <c r="FUO3" s="182"/>
      <c r="FUP3" s="182"/>
      <c r="FUQ3" s="182"/>
      <c r="FUR3" s="182"/>
      <c r="FUS3" s="182"/>
      <c r="FUT3" s="182"/>
      <c r="FUU3" s="182"/>
      <c r="FUV3" s="182"/>
      <c r="FUW3" s="182"/>
      <c r="FUX3" s="182"/>
      <c r="FUY3" s="182"/>
      <c r="FUZ3" s="182"/>
      <c r="FVA3" s="182"/>
      <c r="FVB3" s="182"/>
      <c r="FVC3" s="182"/>
      <c r="FVD3" s="182"/>
      <c r="FVE3" s="182"/>
      <c r="FVF3" s="182"/>
      <c r="FVG3" s="182"/>
      <c r="FVH3" s="182"/>
      <c r="FVI3" s="182"/>
      <c r="FVJ3" s="182"/>
      <c r="FVK3" s="182"/>
      <c r="FVL3" s="182"/>
      <c r="FVM3" s="182"/>
      <c r="FVN3" s="182"/>
      <c r="FVO3" s="182"/>
      <c r="FVP3" s="182"/>
      <c r="FVQ3" s="182"/>
      <c r="FVR3" s="182"/>
      <c r="FVS3" s="182"/>
      <c r="FVT3" s="182"/>
      <c r="FVU3" s="182"/>
      <c r="FVV3" s="182"/>
      <c r="FVW3" s="182"/>
      <c r="FVX3" s="182"/>
      <c r="FVY3" s="182"/>
      <c r="FVZ3" s="182"/>
      <c r="FWA3" s="182"/>
      <c r="FWB3" s="182"/>
      <c r="FWC3" s="182"/>
      <c r="FWD3" s="182"/>
      <c r="FWE3" s="182"/>
      <c r="FWF3" s="182"/>
      <c r="FWG3" s="182"/>
      <c r="FWH3" s="182"/>
      <c r="FWI3" s="182"/>
      <c r="FWJ3" s="182"/>
      <c r="FWK3" s="182"/>
      <c r="FWL3" s="182"/>
      <c r="FWM3" s="182"/>
      <c r="FWN3" s="182"/>
      <c r="FWO3" s="182"/>
      <c r="FWP3" s="182"/>
      <c r="FWQ3" s="182"/>
      <c r="FWR3" s="182"/>
      <c r="FWS3" s="182"/>
      <c r="FWT3" s="182"/>
      <c r="FWU3" s="182"/>
      <c r="FWV3" s="182"/>
      <c r="FWW3" s="182"/>
      <c r="FWX3" s="182"/>
      <c r="FWY3" s="182"/>
      <c r="FWZ3" s="182"/>
      <c r="FXA3" s="182"/>
      <c r="FXB3" s="182"/>
      <c r="FXC3" s="182"/>
      <c r="FXD3" s="182"/>
      <c r="FXE3" s="182"/>
      <c r="FXF3" s="182"/>
      <c r="FXG3" s="182"/>
      <c r="FXH3" s="182"/>
      <c r="FXI3" s="182"/>
      <c r="FXJ3" s="182"/>
      <c r="FXK3" s="182"/>
      <c r="FXL3" s="182"/>
      <c r="FXM3" s="182"/>
      <c r="FXN3" s="182"/>
      <c r="FXO3" s="182"/>
      <c r="FXP3" s="182"/>
      <c r="FXQ3" s="182"/>
      <c r="FXR3" s="182"/>
      <c r="FXS3" s="182"/>
      <c r="FXT3" s="182"/>
      <c r="FXU3" s="182"/>
      <c r="FXV3" s="182"/>
      <c r="FXW3" s="182"/>
      <c r="FXX3" s="182"/>
      <c r="FXY3" s="182"/>
      <c r="FXZ3" s="182"/>
      <c r="FYA3" s="182"/>
      <c r="FYB3" s="182"/>
      <c r="FYC3" s="182"/>
      <c r="FYD3" s="182"/>
      <c r="FYE3" s="182"/>
      <c r="FYF3" s="182"/>
      <c r="FYG3" s="182"/>
      <c r="FYH3" s="182"/>
      <c r="FYI3" s="182"/>
      <c r="FYJ3" s="182"/>
      <c r="FYK3" s="182"/>
      <c r="FYL3" s="182"/>
      <c r="FYM3" s="182"/>
      <c r="FYN3" s="182"/>
      <c r="FYO3" s="182"/>
      <c r="FYP3" s="182"/>
      <c r="FYQ3" s="182"/>
      <c r="FYR3" s="182"/>
      <c r="FYS3" s="182"/>
      <c r="FYT3" s="182"/>
      <c r="FYU3" s="182"/>
      <c r="FYV3" s="182"/>
      <c r="FYW3" s="182"/>
      <c r="FYX3" s="182"/>
      <c r="FYY3" s="182"/>
      <c r="FYZ3" s="182"/>
      <c r="FZA3" s="182"/>
      <c r="FZB3" s="182"/>
      <c r="FZC3" s="182"/>
      <c r="FZD3" s="182"/>
      <c r="FZE3" s="182"/>
      <c r="FZF3" s="182"/>
      <c r="FZG3" s="182"/>
      <c r="FZH3" s="182"/>
      <c r="FZI3" s="182"/>
      <c r="FZJ3" s="182"/>
      <c r="FZK3" s="182"/>
      <c r="FZL3" s="182"/>
      <c r="FZM3" s="182"/>
      <c r="FZN3" s="182"/>
      <c r="FZO3" s="182"/>
      <c r="FZP3" s="182"/>
      <c r="FZQ3" s="182"/>
      <c r="FZR3" s="182"/>
      <c r="FZS3" s="182"/>
      <c r="FZT3" s="182"/>
      <c r="FZU3" s="182"/>
      <c r="FZV3" s="182"/>
      <c r="FZW3" s="182"/>
      <c r="FZX3" s="182"/>
      <c r="FZY3" s="182"/>
      <c r="FZZ3" s="182"/>
      <c r="GAA3" s="182"/>
      <c r="GAB3" s="182"/>
      <c r="GAC3" s="182"/>
      <c r="GAD3" s="182"/>
      <c r="GAE3" s="182"/>
      <c r="GAF3" s="182"/>
      <c r="GAG3" s="182"/>
      <c r="GAH3" s="182"/>
      <c r="GAI3" s="182"/>
      <c r="GAJ3" s="182"/>
      <c r="GAK3" s="182"/>
      <c r="GAL3" s="182"/>
      <c r="GAM3" s="182"/>
      <c r="GAN3" s="182"/>
      <c r="GAO3" s="182"/>
      <c r="GAP3" s="182"/>
      <c r="GAQ3" s="182"/>
      <c r="GAR3" s="182"/>
      <c r="GAS3" s="182"/>
      <c r="GAT3" s="182"/>
      <c r="GAU3" s="182"/>
      <c r="GAV3" s="182"/>
      <c r="GAW3" s="182"/>
      <c r="GAX3" s="182"/>
      <c r="GAY3" s="182"/>
      <c r="GAZ3" s="182"/>
      <c r="GBA3" s="182"/>
      <c r="GBB3" s="182"/>
      <c r="GBC3" s="182"/>
      <c r="GBD3" s="182"/>
      <c r="GBE3" s="182"/>
      <c r="GBF3" s="182"/>
      <c r="GBG3" s="182"/>
      <c r="GBH3" s="182"/>
      <c r="GBI3" s="182"/>
      <c r="GBJ3" s="182"/>
      <c r="GBK3" s="182"/>
      <c r="GBL3" s="182"/>
      <c r="GBM3" s="182"/>
      <c r="GBN3" s="182"/>
      <c r="GBO3" s="182"/>
      <c r="GBP3" s="182"/>
      <c r="GBQ3" s="182"/>
      <c r="GBR3" s="182"/>
      <c r="GBS3" s="182"/>
      <c r="GBT3" s="182"/>
      <c r="GBU3" s="182"/>
      <c r="GBV3" s="182"/>
      <c r="GBW3" s="182"/>
      <c r="GBX3" s="182"/>
      <c r="GBY3" s="182"/>
      <c r="GBZ3" s="182"/>
      <c r="GCA3" s="182"/>
      <c r="GCB3" s="182"/>
      <c r="GCC3" s="182"/>
      <c r="GCD3" s="182"/>
      <c r="GCE3" s="182"/>
      <c r="GCF3" s="182"/>
      <c r="GCG3" s="182"/>
      <c r="GCH3" s="182"/>
      <c r="GCI3" s="182"/>
      <c r="GCJ3" s="182"/>
      <c r="GCK3" s="182"/>
      <c r="GCL3" s="182"/>
      <c r="GCM3" s="182"/>
      <c r="GCN3" s="182"/>
      <c r="GCO3" s="182"/>
      <c r="GCP3" s="182"/>
      <c r="GCQ3" s="182"/>
      <c r="GCR3" s="182"/>
      <c r="GCS3" s="182"/>
      <c r="GCT3" s="182"/>
      <c r="GCU3" s="182"/>
      <c r="GCV3" s="182"/>
      <c r="GCW3" s="182"/>
      <c r="GCX3" s="182"/>
      <c r="GCY3" s="182"/>
      <c r="GCZ3" s="182"/>
      <c r="GDA3" s="182"/>
      <c r="GDB3" s="182"/>
      <c r="GDC3" s="182"/>
      <c r="GDD3" s="182"/>
      <c r="GDE3" s="182"/>
      <c r="GDF3" s="182"/>
      <c r="GDG3" s="182"/>
      <c r="GDH3" s="182"/>
      <c r="GDI3" s="182"/>
      <c r="GDJ3" s="182"/>
      <c r="GDK3" s="182"/>
      <c r="GDL3" s="182"/>
      <c r="GDM3" s="182"/>
      <c r="GDN3" s="182"/>
      <c r="GDO3" s="182"/>
      <c r="GDP3" s="182"/>
      <c r="GDQ3" s="182"/>
      <c r="GDR3" s="182"/>
      <c r="GDS3" s="182"/>
      <c r="GDT3" s="182"/>
      <c r="GDU3" s="182"/>
      <c r="GDV3" s="182"/>
      <c r="GDW3" s="182"/>
      <c r="GDX3" s="182"/>
      <c r="GDY3" s="182"/>
      <c r="GDZ3" s="182"/>
      <c r="GEA3" s="182"/>
      <c r="GEB3" s="182"/>
      <c r="GEC3" s="182"/>
      <c r="GED3" s="182"/>
      <c r="GEE3" s="182"/>
      <c r="GEF3" s="182"/>
      <c r="GEG3" s="182"/>
      <c r="GEH3" s="182"/>
      <c r="GEI3" s="182"/>
      <c r="GEJ3" s="182"/>
      <c r="GEK3" s="182"/>
      <c r="GEL3" s="182"/>
      <c r="GEM3" s="182"/>
      <c r="GEN3" s="182"/>
      <c r="GEO3" s="182"/>
      <c r="GEP3" s="182"/>
      <c r="GEQ3" s="182"/>
      <c r="GER3" s="182"/>
      <c r="GES3" s="182"/>
      <c r="GET3" s="182"/>
      <c r="GEU3" s="182"/>
      <c r="GEV3" s="182"/>
      <c r="GEW3" s="182"/>
      <c r="GEX3" s="182"/>
      <c r="GEY3" s="182"/>
      <c r="GEZ3" s="182"/>
      <c r="GFA3" s="182"/>
      <c r="GFB3" s="182"/>
      <c r="GFC3" s="182"/>
      <c r="GFD3" s="182"/>
      <c r="GFE3" s="182"/>
      <c r="GFF3" s="182"/>
      <c r="GFG3" s="182"/>
      <c r="GFH3" s="182"/>
      <c r="GFI3" s="182"/>
      <c r="GFJ3" s="182"/>
      <c r="GFK3" s="182"/>
      <c r="GFL3" s="182"/>
      <c r="GFM3" s="182"/>
      <c r="GFN3" s="182"/>
      <c r="GFO3" s="182"/>
      <c r="GFP3" s="182"/>
      <c r="GFQ3" s="182"/>
      <c r="GFR3" s="182"/>
      <c r="GFS3" s="182"/>
      <c r="GFT3" s="182"/>
      <c r="GFU3" s="182"/>
      <c r="GFV3" s="182"/>
      <c r="GFW3" s="182"/>
      <c r="GFX3" s="182"/>
      <c r="GFY3" s="182"/>
      <c r="GFZ3" s="182"/>
      <c r="GGA3" s="182"/>
      <c r="GGB3" s="182"/>
      <c r="GGC3" s="182"/>
      <c r="GGD3" s="182"/>
      <c r="GGE3" s="182"/>
      <c r="GGF3" s="182"/>
      <c r="GGG3" s="182"/>
      <c r="GGH3" s="182"/>
      <c r="GGI3" s="182"/>
      <c r="GGJ3" s="182"/>
      <c r="GGK3" s="182"/>
      <c r="GGL3" s="182"/>
      <c r="GGM3" s="182"/>
      <c r="GGN3" s="182"/>
      <c r="GGO3" s="182"/>
      <c r="GGP3" s="182"/>
      <c r="GGQ3" s="182"/>
      <c r="GGR3" s="182"/>
      <c r="GGS3" s="182"/>
      <c r="GGT3" s="182"/>
      <c r="GGU3" s="182"/>
      <c r="GGV3" s="182"/>
      <c r="GGW3" s="182"/>
      <c r="GGX3" s="182"/>
      <c r="GGY3" s="182"/>
      <c r="GGZ3" s="182"/>
      <c r="GHA3" s="182"/>
      <c r="GHB3" s="182"/>
      <c r="GHC3" s="182"/>
      <c r="GHD3" s="182"/>
      <c r="GHE3" s="182"/>
      <c r="GHF3" s="182"/>
      <c r="GHG3" s="182"/>
      <c r="GHH3" s="182"/>
      <c r="GHI3" s="182"/>
      <c r="GHJ3" s="182"/>
      <c r="GHK3" s="182"/>
      <c r="GHL3" s="182"/>
      <c r="GHM3" s="182"/>
      <c r="GHN3" s="182"/>
      <c r="GHO3" s="182"/>
      <c r="GHP3" s="182"/>
      <c r="GHQ3" s="182"/>
      <c r="GHR3" s="182"/>
      <c r="GHS3" s="182"/>
      <c r="GHT3" s="182"/>
      <c r="GHU3" s="182"/>
      <c r="GHV3" s="182"/>
      <c r="GHW3" s="182"/>
      <c r="GHX3" s="182"/>
      <c r="GHY3" s="182"/>
      <c r="GHZ3" s="182"/>
      <c r="GIA3" s="182"/>
      <c r="GIB3" s="182"/>
      <c r="GIC3" s="182"/>
      <c r="GID3" s="182"/>
      <c r="GIE3" s="182"/>
      <c r="GIF3" s="182"/>
      <c r="GIG3" s="182"/>
      <c r="GIH3" s="182"/>
      <c r="GII3" s="182"/>
      <c r="GIJ3" s="182"/>
      <c r="GIK3" s="182"/>
      <c r="GIL3" s="182"/>
      <c r="GIM3" s="182"/>
      <c r="GIN3" s="182"/>
      <c r="GIO3" s="182"/>
      <c r="GIP3" s="182"/>
      <c r="GIQ3" s="182"/>
      <c r="GIR3" s="182"/>
      <c r="GIS3" s="182"/>
      <c r="GIT3" s="182"/>
      <c r="GIU3" s="182"/>
      <c r="GIV3" s="182"/>
      <c r="GIW3" s="182"/>
      <c r="GIX3" s="182"/>
      <c r="GIY3" s="182"/>
      <c r="GIZ3" s="182"/>
      <c r="GJA3" s="182"/>
      <c r="GJB3" s="182"/>
      <c r="GJC3" s="182"/>
      <c r="GJD3" s="182"/>
      <c r="GJE3" s="182"/>
      <c r="GJF3" s="182"/>
      <c r="GJG3" s="182"/>
      <c r="GJH3" s="182"/>
      <c r="GJI3" s="182"/>
      <c r="GJJ3" s="182"/>
      <c r="GJK3" s="182"/>
      <c r="GJL3" s="182"/>
      <c r="GJM3" s="182"/>
      <c r="GJN3" s="182"/>
      <c r="GJO3" s="182"/>
      <c r="GJP3" s="182"/>
      <c r="GJQ3" s="182"/>
      <c r="GJR3" s="182"/>
      <c r="GJS3" s="182"/>
      <c r="GJT3" s="182"/>
      <c r="GJU3" s="182"/>
      <c r="GJV3" s="182"/>
      <c r="GJW3" s="182"/>
      <c r="GJX3" s="182"/>
      <c r="GJY3" s="182"/>
      <c r="GJZ3" s="182"/>
      <c r="GKA3" s="182"/>
      <c r="GKB3" s="182"/>
      <c r="GKC3" s="182"/>
      <c r="GKD3" s="182"/>
      <c r="GKE3" s="182"/>
      <c r="GKF3" s="182"/>
      <c r="GKG3" s="182"/>
      <c r="GKH3" s="182"/>
      <c r="GKI3" s="182"/>
      <c r="GKJ3" s="182"/>
      <c r="GKK3" s="182"/>
      <c r="GKL3" s="182"/>
      <c r="GKM3" s="182"/>
      <c r="GKN3" s="182"/>
      <c r="GKO3" s="182"/>
      <c r="GKP3" s="182"/>
      <c r="GKQ3" s="182"/>
      <c r="GKR3" s="182"/>
      <c r="GKS3" s="182"/>
      <c r="GKT3" s="182"/>
      <c r="GKU3" s="182"/>
      <c r="GKV3" s="182"/>
      <c r="GKW3" s="182"/>
      <c r="GKX3" s="182"/>
      <c r="GKY3" s="182"/>
      <c r="GKZ3" s="182"/>
      <c r="GLA3" s="182"/>
      <c r="GLB3" s="182"/>
      <c r="GLC3" s="182"/>
      <c r="GLD3" s="182"/>
      <c r="GLE3" s="182"/>
      <c r="GLF3" s="182"/>
      <c r="GLG3" s="182"/>
      <c r="GLH3" s="182"/>
      <c r="GLI3" s="182"/>
      <c r="GLJ3" s="182"/>
      <c r="GLK3" s="182"/>
      <c r="GLL3" s="182"/>
      <c r="GLM3" s="182"/>
      <c r="GLN3" s="182"/>
      <c r="GLO3" s="182"/>
      <c r="GLP3" s="182"/>
      <c r="GLQ3" s="182"/>
      <c r="GLR3" s="182"/>
      <c r="GLS3" s="182"/>
      <c r="GLT3" s="182"/>
      <c r="GLU3" s="182"/>
      <c r="GLV3" s="182"/>
      <c r="GLW3" s="182"/>
      <c r="GLX3" s="182"/>
      <c r="GLY3" s="182"/>
      <c r="GLZ3" s="182"/>
      <c r="GMA3" s="182"/>
      <c r="GMB3" s="182"/>
      <c r="GMC3" s="182"/>
      <c r="GMD3" s="182"/>
      <c r="GME3" s="182"/>
      <c r="GMF3" s="182"/>
      <c r="GMG3" s="182"/>
      <c r="GMH3" s="182"/>
      <c r="GMI3" s="182"/>
      <c r="GMJ3" s="182"/>
      <c r="GMK3" s="182"/>
      <c r="GML3" s="182"/>
      <c r="GMM3" s="182"/>
      <c r="GMN3" s="182"/>
      <c r="GMO3" s="182"/>
      <c r="GMP3" s="182"/>
      <c r="GMQ3" s="182"/>
      <c r="GMR3" s="182"/>
      <c r="GMS3" s="182"/>
      <c r="GMT3" s="182"/>
      <c r="GMU3" s="182"/>
      <c r="GMV3" s="182"/>
      <c r="GMW3" s="182"/>
      <c r="GMX3" s="182"/>
      <c r="GMY3" s="182"/>
      <c r="GMZ3" s="182"/>
      <c r="GNA3" s="182"/>
      <c r="GNB3" s="182"/>
      <c r="GNC3" s="182"/>
      <c r="GND3" s="182"/>
      <c r="GNE3" s="182"/>
      <c r="GNF3" s="182"/>
      <c r="GNG3" s="182"/>
      <c r="GNH3" s="182"/>
      <c r="GNI3" s="182"/>
      <c r="GNJ3" s="182"/>
      <c r="GNK3" s="182"/>
      <c r="GNL3" s="182"/>
      <c r="GNM3" s="182"/>
      <c r="GNN3" s="182"/>
      <c r="GNO3" s="182"/>
      <c r="GNP3" s="182"/>
      <c r="GNQ3" s="182"/>
      <c r="GNR3" s="182"/>
      <c r="GNS3" s="182"/>
      <c r="GNT3" s="182"/>
      <c r="GNU3" s="182"/>
      <c r="GNV3" s="182"/>
      <c r="GNW3" s="182"/>
      <c r="GNX3" s="182"/>
      <c r="GNY3" s="182"/>
      <c r="GNZ3" s="182"/>
      <c r="GOA3" s="182"/>
      <c r="GOB3" s="182"/>
      <c r="GOC3" s="182"/>
      <c r="GOD3" s="182"/>
      <c r="GOE3" s="182"/>
      <c r="GOF3" s="182"/>
      <c r="GOG3" s="182"/>
      <c r="GOH3" s="182"/>
      <c r="GOI3" s="182"/>
      <c r="GOJ3" s="182"/>
      <c r="GOK3" s="182"/>
      <c r="GOL3" s="182"/>
      <c r="GOM3" s="182"/>
      <c r="GON3" s="182"/>
      <c r="GOO3" s="182"/>
      <c r="GOP3" s="182"/>
      <c r="GOQ3" s="182"/>
      <c r="GOR3" s="182"/>
      <c r="GOS3" s="182"/>
      <c r="GOT3" s="182"/>
      <c r="GOU3" s="182"/>
      <c r="GOV3" s="182"/>
      <c r="GOW3" s="182"/>
      <c r="GOX3" s="182"/>
      <c r="GOY3" s="182"/>
      <c r="GOZ3" s="182"/>
      <c r="GPA3" s="182"/>
      <c r="GPB3" s="182"/>
      <c r="GPC3" s="182"/>
      <c r="GPD3" s="182"/>
      <c r="GPE3" s="182"/>
      <c r="GPF3" s="182"/>
      <c r="GPG3" s="182"/>
      <c r="GPH3" s="182"/>
      <c r="GPI3" s="182"/>
      <c r="GPJ3" s="182"/>
      <c r="GPK3" s="182"/>
      <c r="GPL3" s="182"/>
      <c r="GPM3" s="182"/>
      <c r="GPN3" s="182"/>
      <c r="GPO3" s="182"/>
      <c r="GPP3" s="182"/>
      <c r="GPQ3" s="182"/>
      <c r="GPR3" s="182"/>
      <c r="GPS3" s="182"/>
      <c r="GPT3" s="182"/>
      <c r="GPU3" s="182"/>
      <c r="GPV3" s="182"/>
      <c r="GPW3" s="182"/>
      <c r="GPX3" s="182"/>
      <c r="GPY3" s="182"/>
      <c r="GPZ3" s="182"/>
      <c r="GQA3" s="182"/>
      <c r="GQB3" s="182"/>
      <c r="GQC3" s="182"/>
      <c r="GQD3" s="182"/>
      <c r="GQE3" s="182"/>
      <c r="GQF3" s="182"/>
      <c r="GQG3" s="182"/>
      <c r="GQH3" s="182"/>
      <c r="GQI3" s="182"/>
      <c r="GQJ3" s="182"/>
      <c r="GQK3" s="182"/>
      <c r="GQL3" s="182"/>
      <c r="GQM3" s="182"/>
      <c r="GQN3" s="182"/>
      <c r="GQO3" s="182"/>
      <c r="GQP3" s="182"/>
      <c r="GQQ3" s="182"/>
      <c r="GQR3" s="182"/>
      <c r="GQS3" s="182"/>
      <c r="GQT3" s="182"/>
      <c r="GQU3" s="182"/>
      <c r="GQV3" s="182"/>
      <c r="GQW3" s="182"/>
      <c r="GQX3" s="182"/>
      <c r="GQY3" s="182"/>
      <c r="GQZ3" s="182"/>
      <c r="GRA3" s="182"/>
      <c r="GRB3" s="182"/>
      <c r="GRC3" s="182"/>
      <c r="GRD3" s="182"/>
      <c r="GRE3" s="182"/>
      <c r="GRF3" s="182"/>
      <c r="GRG3" s="182"/>
      <c r="GRH3" s="182"/>
      <c r="GRI3" s="182"/>
      <c r="GRJ3" s="182"/>
      <c r="GRK3" s="182"/>
      <c r="GRL3" s="182"/>
      <c r="GRM3" s="182"/>
      <c r="GRN3" s="182"/>
      <c r="GRO3" s="182"/>
      <c r="GRP3" s="182"/>
      <c r="GRQ3" s="182"/>
      <c r="GRR3" s="182"/>
      <c r="GRS3" s="182"/>
      <c r="GRT3" s="182"/>
      <c r="GRU3" s="182"/>
      <c r="GRV3" s="182"/>
      <c r="GRW3" s="182"/>
      <c r="GRX3" s="182"/>
      <c r="GRY3" s="182"/>
      <c r="GRZ3" s="182"/>
      <c r="GSA3" s="182"/>
      <c r="GSB3" s="182"/>
      <c r="GSC3" s="182"/>
      <c r="GSD3" s="182"/>
      <c r="GSE3" s="182"/>
      <c r="GSF3" s="182"/>
      <c r="GSG3" s="182"/>
      <c r="GSH3" s="182"/>
      <c r="GSI3" s="182"/>
      <c r="GSJ3" s="182"/>
      <c r="GSK3" s="182"/>
      <c r="GSL3" s="182"/>
      <c r="GSM3" s="182"/>
      <c r="GSN3" s="182"/>
      <c r="GSO3" s="182"/>
      <c r="GSP3" s="182"/>
      <c r="GSQ3" s="182"/>
      <c r="GSR3" s="182"/>
      <c r="GSS3" s="182"/>
      <c r="GST3" s="182"/>
      <c r="GSU3" s="182"/>
      <c r="GSV3" s="182"/>
      <c r="GSW3" s="182"/>
      <c r="GSX3" s="182"/>
      <c r="GSY3" s="182"/>
      <c r="GSZ3" s="182"/>
      <c r="GTA3" s="182"/>
      <c r="GTB3" s="182"/>
      <c r="GTC3" s="182"/>
      <c r="GTD3" s="182"/>
      <c r="GTE3" s="182"/>
      <c r="GTF3" s="182"/>
      <c r="GTG3" s="182"/>
      <c r="GTH3" s="182"/>
      <c r="GTI3" s="182"/>
      <c r="GTJ3" s="182"/>
      <c r="GTK3" s="182"/>
      <c r="GTL3" s="182"/>
      <c r="GTM3" s="182"/>
      <c r="GTN3" s="182"/>
      <c r="GTO3" s="182"/>
      <c r="GTP3" s="182"/>
      <c r="GTQ3" s="182"/>
      <c r="GTR3" s="182"/>
      <c r="GTS3" s="182"/>
      <c r="GTT3" s="182"/>
      <c r="GTU3" s="182"/>
      <c r="GTV3" s="182"/>
      <c r="GTW3" s="182"/>
      <c r="GTX3" s="182"/>
      <c r="GTY3" s="182"/>
      <c r="GTZ3" s="182"/>
      <c r="GUA3" s="182"/>
      <c r="GUB3" s="182"/>
      <c r="GUC3" s="182"/>
      <c r="GUD3" s="182"/>
      <c r="GUE3" s="182"/>
      <c r="GUF3" s="182"/>
      <c r="GUG3" s="182"/>
      <c r="GUH3" s="182"/>
      <c r="GUI3" s="182"/>
      <c r="GUJ3" s="182"/>
      <c r="GUK3" s="182"/>
      <c r="GUL3" s="182"/>
      <c r="GUM3" s="182"/>
      <c r="GUN3" s="182"/>
      <c r="GUO3" s="182"/>
      <c r="GUP3" s="182"/>
      <c r="GUQ3" s="182"/>
      <c r="GUR3" s="182"/>
      <c r="GUS3" s="182"/>
      <c r="GUT3" s="182"/>
      <c r="GUU3" s="182"/>
      <c r="GUV3" s="182"/>
      <c r="GUW3" s="182"/>
      <c r="GUX3" s="182"/>
      <c r="GUY3" s="182"/>
      <c r="GUZ3" s="182"/>
      <c r="GVA3" s="182"/>
      <c r="GVB3" s="182"/>
      <c r="GVC3" s="182"/>
      <c r="GVD3" s="182"/>
      <c r="GVE3" s="182"/>
      <c r="GVF3" s="182"/>
      <c r="GVG3" s="182"/>
      <c r="GVH3" s="182"/>
      <c r="GVI3" s="182"/>
      <c r="GVJ3" s="182"/>
      <c r="GVK3" s="182"/>
      <c r="GVL3" s="182"/>
      <c r="GVM3" s="182"/>
      <c r="GVN3" s="182"/>
      <c r="GVO3" s="182"/>
      <c r="GVP3" s="182"/>
      <c r="GVQ3" s="182"/>
      <c r="GVR3" s="182"/>
      <c r="GVS3" s="182"/>
      <c r="GVT3" s="182"/>
      <c r="GVU3" s="182"/>
      <c r="GVV3" s="182"/>
      <c r="GVW3" s="182"/>
      <c r="GVX3" s="182"/>
      <c r="GVY3" s="182"/>
      <c r="GVZ3" s="182"/>
      <c r="GWA3" s="182"/>
      <c r="GWB3" s="182"/>
      <c r="GWC3" s="182"/>
      <c r="GWD3" s="182"/>
      <c r="GWE3" s="182"/>
      <c r="GWF3" s="182"/>
      <c r="GWG3" s="182"/>
      <c r="GWH3" s="182"/>
      <c r="GWI3" s="182"/>
      <c r="GWJ3" s="182"/>
      <c r="GWK3" s="182"/>
      <c r="GWL3" s="182"/>
      <c r="GWM3" s="182"/>
      <c r="GWN3" s="182"/>
      <c r="GWO3" s="182"/>
      <c r="GWP3" s="182"/>
      <c r="GWQ3" s="182"/>
      <c r="GWR3" s="182"/>
      <c r="GWS3" s="182"/>
      <c r="GWT3" s="182"/>
      <c r="GWU3" s="182"/>
      <c r="GWV3" s="182"/>
      <c r="GWW3" s="182"/>
      <c r="GWX3" s="182"/>
      <c r="GWY3" s="182"/>
      <c r="GWZ3" s="182"/>
      <c r="GXA3" s="182"/>
      <c r="GXB3" s="182"/>
      <c r="GXC3" s="182"/>
      <c r="GXD3" s="182"/>
      <c r="GXE3" s="182"/>
      <c r="GXF3" s="182"/>
      <c r="GXG3" s="182"/>
      <c r="GXH3" s="182"/>
      <c r="GXI3" s="182"/>
      <c r="GXJ3" s="182"/>
      <c r="GXK3" s="182"/>
      <c r="GXL3" s="182"/>
      <c r="GXM3" s="182"/>
      <c r="GXN3" s="182"/>
      <c r="GXO3" s="182"/>
      <c r="GXP3" s="182"/>
      <c r="GXQ3" s="182"/>
      <c r="GXR3" s="182"/>
      <c r="GXS3" s="182"/>
      <c r="GXT3" s="182"/>
      <c r="GXU3" s="182"/>
      <c r="GXV3" s="182"/>
      <c r="GXW3" s="182"/>
      <c r="GXX3" s="182"/>
      <c r="GXY3" s="182"/>
      <c r="GXZ3" s="182"/>
      <c r="GYA3" s="182"/>
      <c r="GYB3" s="182"/>
      <c r="GYC3" s="182"/>
      <c r="GYD3" s="182"/>
      <c r="GYE3" s="182"/>
      <c r="GYF3" s="182"/>
      <c r="GYG3" s="182"/>
      <c r="GYH3" s="182"/>
      <c r="GYI3" s="182"/>
      <c r="GYJ3" s="182"/>
      <c r="GYK3" s="182"/>
      <c r="GYL3" s="182"/>
      <c r="GYM3" s="182"/>
      <c r="GYN3" s="182"/>
      <c r="GYO3" s="182"/>
      <c r="GYP3" s="182"/>
      <c r="GYQ3" s="182"/>
      <c r="GYR3" s="182"/>
      <c r="GYS3" s="182"/>
      <c r="GYT3" s="182"/>
      <c r="GYU3" s="182"/>
      <c r="GYV3" s="182"/>
      <c r="GYW3" s="182"/>
      <c r="GYX3" s="182"/>
      <c r="GYY3" s="182"/>
      <c r="GYZ3" s="182"/>
      <c r="GZA3" s="182"/>
      <c r="GZB3" s="182"/>
      <c r="GZC3" s="182"/>
      <c r="GZD3" s="182"/>
      <c r="GZE3" s="182"/>
      <c r="GZF3" s="182"/>
      <c r="GZG3" s="182"/>
      <c r="GZH3" s="182"/>
      <c r="GZI3" s="182"/>
      <c r="GZJ3" s="182"/>
      <c r="GZK3" s="182"/>
      <c r="GZL3" s="182"/>
      <c r="GZM3" s="182"/>
      <c r="GZN3" s="182"/>
      <c r="GZO3" s="182"/>
      <c r="GZP3" s="182"/>
      <c r="GZQ3" s="182"/>
      <c r="GZR3" s="182"/>
      <c r="GZS3" s="182"/>
      <c r="GZT3" s="182"/>
      <c r="GZU3" s="182"/>
      <c r="GZV3" s="182"/>
      <c r="GZW3" s="182"/>
      <c r="GZX3" s="182"/>
      <c r="GZY3" s="182"/>
      <c r="GZZ3" s="182"/>
      <c r="HAA3" s="182"/>
      <c r="HAB3" s="182"/>
      <c r="HAC3" s="182"/>
      <c r="HAD3" s="182"/>
      <c r="HAE3" s="182"/>
      <c r="HAF3" s="182"/>
      <c r="HAG3" s="182"/>
      <c r="HAH3" s="182"/>
      <c r="HAI3" s="182"/>
      <c r="HAJ3" s="182"/>
      <c r="HAK3" s="182"/>
      <c r="HAL3" s="182"/>
      <c r="HAM3" s="182"/>
      <c r="HAN3" s="182"/>
      <c r="HAO3" s="182"/>
      <c r="HAP3" s="182"/>
      <c r="HAQ3" s="182"/>
      <c r="HAR3" s="182"/>
      <c r="HAS3" s="182"/>
      <c r="HAT3" s="182"/>
      <c r="HAU3" s="182"/>
      <c r="HAV3" s="182"/>
      <c r="HAW3" s="182"/>
      <c r="HAX3" s="182"/>
      <c r="HAY3" s="182"/>
      <c r="HAZ3" s="182"/>
      <c r="HBA3" s="182"/>
      <c r="HBB3" s="182"/>
      <c r="HBC3" s="182"/>
      <c r="HBD3" s="182"/>
      <c r="HBE3" s="182"/>
      <c r="HBF3" s="182"/>
      <c r="HBG3" s="182"/>
      <c r="HBH3" s="182"/>
      <c r="HBI3" s="182"/>
      <c r="HBJ3" s="182"/>
      <c r="HBK3" s="182"/>
      <c r="HBL3" s="182"/>
      <c r="HBM3" s="182"/>
      <c r="HBN3" s="182"/>
      <c r="HBO3" s="182"/>
      <c r="HBP3" s="182"/>
      <c r="HBQ3" s="182"/>
      <c r="HBR3" s="182"/>
      <c r="HBS3" s="182"/>
      <c r="HBT3" s="182"/>
      <c r="HBU3" s="182"/>
      <c r="HBV3" s="182"/>
      <c r="HBW3" s="182"/>
      <c r="HBX3" s="182"/>
      <c r="HBY3" s="182"/>
      <c r="HBZ3" s="182"/>
      <c r="HCA3" s="182"/>
      <c r="HCB3" s="182"/>
      <c r="HCC3" s="182"/>
      <c r="HCD3" s="182"/>
      <c r="HCE3" s="182"/>
      <c r="HCF3" s="182"/>
      <c r="HCG3" s="182"/>
      <c r="HCH3" s="182"/>
      <c r="HCI3" s="182"/>
      <c r="HCJ3" s="182"/>
      <c r="HCK3" s="182"/>
      <c r="HCL3" s="182"/>
      <c r="HCM3" s="182"/>
      <c r="HCN3" s="182"/>
      <c r="HCO3" s="182"/>
      <c r="HCP3" s="182"/>
      <c r="HCQ3" s="182"/>
      <c r="HCR3" s="182"/>
      <c r="HCS3" s="182"/>
      <c r="HCT3" s="182"/>
      <c r="HCU3" s="182"/>
      <c r="HCV3" s="182"/>
      <c r="HCW3" s="182"/>
      <c r="HCX3" s="182"/>
      <c r="HCY3" s="182"/>
      <c r="HCZ3" s="182"/>
      <c r="HDA3" s="182"/>
      <c r="HDB3" s="182"/>
      <c r="HDC3" s="182"/>
      <c r="HDD3" s="182"/>
      <c r="HDE3" s="182"/>
      <c r="HDF3" s="182"/>
      <c r="HDG3" s="182"/>
      <c r="HDH3" s="182"/>
      <c r="HDI3" s="182"/>
      <c r="HDJ3" s="182"/>
      <c r="HDK3" s="182"/>
      <c r="HDL3" s="182"/>
      <c r="HDM3" s="182"/>
      <c r="HDN3" s="182"/>
      <c r="HDO3" s="182"/>
      <c r="HDP3" s="182"/>
      <c r="HDQ3" s="182"/>
      <c r="HDR3" s="182"/>
      <c r="HDS3" s="182"/>
      <c r="HDT3" s="182"/>
      <c r="HDU3" s="182"/>
      <c r="HDV3" s="182"/>
      <c r="HDW3" s="182"/>
      <c r="HDX3" s="182"/>
      <c r="HDY3" s="182"/>
      <c r="HDZ3" s="182"/>
      <c r="HEA3" s="182"/>
      <c r="HEB3" s="182"/>
      <c r="HEC3" s="182"/>
      <c r="HED3" s="182"/>
      <c r="HEE3" s="182"/>
      <c r="HEF3" s="182"/>
      <c r="HEG3" s="182"/>
      <c r="HEH3" s="182"/>
      <c r="HEI3" s="182"/>
      <c r="HEJ3" s="182"/>
      <c r="HEK3" s="182"/>
      <c r="HEL3" s="182"/>
      <c r="HEM3" s="182"/>
      <c r="HEN3" s="182"/>
      <c r="HEO3" s="182"/>
      <c r="HEP3" s="182"/>
      <c r="HEQ3" s="182"/>
      <c r="HER3" s="182"/>
      <c r="HES3" s="182"/>
      <c r="HET3" s="182"/>
      <c r="HEU3" s="182"/>
      <c r="HEV3" s="182"/>
      <c r="HEW3" s="182"/>
      <c r="HEX3" s="182"/>
      <c r="HEY3" s="182"/>
      <c r="HEZ3" s="182"/>
      <c r="HFA3" s="182"/>
      <c r="HFB3" s="182"/>
      <c r="HFC3" s="182"/>
      <c r="HFD3" s="182"/>
      <c r="HFE3" s="182"/>
      <c r="HFF3" s="182"/>
      <c r="HFG3" s="182"/>
      <c r="HFH3" s="182"/>
      <c r="HFI3" s="182"/>
      <c r="HFJ3" s="182"/>
      <c r="HFK3" s="182"/>
      <c r="HFL3" s="182"/>
      <c r="HFM3" s="182"/>
      <c r="HFN3" s="182"/>
      <c r="HFO3" s="182"/>
      <c r="HFP3" s="182"/>
      <c r="HFQ3" s="182"/>
      <c r="HFR3" s="182"/>
      <c r="HFS3" s="182"/>
      <c r="HFT3" s="182"/>
      <c r="HFU3" s="182"/>
      <c r="HFV3" s="182"/>
      <c r="HFW3" s="182"/>
      <c r="HFX3" s="182"/>
      <c r="HFY3" s="182"/>
      <c r="HFZ3" s="182"/>
      <c r="HGA3" s="182"/>
      <c r="HGB3" s="182"/>
      <c r="HGC3" s="182"/>
      <c r="HGD3" s="182"/>
      <c r="HGE3" s="182"/>
      <c r="HGF3" s="182"/>
      <c r="HGG3" s="182"/>
      <c r="HGH3" s="182"/>
      <c r="HGI3" s="182"/>
      <c r="HGJ3" s="182"/>
      <c r="HGK3" s="182"/>
      <c r="HGL3" s="182"/>
      <c r="HGM3" s="182"/>
      <c r="HGN3" s="182"/>
      <c r="HGO3" s="182"/>
      <c r="HGP3" s="182"/>
      <c r="HGQ3" s="182"/>
      <c r="HGR3" s="182"/>
      <c r="HGS3" s="182"/>
      <c r="HGT3" s="182"/>
      <c r="HGU3" s="182"/>
      <c r="HGV3" s="182"/>
      <c r="HGW3" s="182"/>
      <c r="HGX3" s="182"/>
      <c r="HGY3" s="182"/>
      <c r="HGZ3" s="182"/>
      <c r="HHA3" s="182"/>
      <c r="HHB3" s="182"/>
      <c r="HHC3" s="182"/>
      <c r="HHD3" s="182"/>
      <c r="HHE3" s="182"/>
      <c r="HHF3" s="182"/>
      <c r="HHG3" s="182"/>
      <c r="HHH3" s="182"/>
      <c r="HHI3" s="182"/>
      <c r="HHJ3" s="182"/>
      <c r="HHK3" s="182"/>
      <c r="HHL3" s="182"/>
      <c r="HHM3" s="182"/>
      <c r="HHN3" s="182"/>
      <c r="HHO3" s="182"/>
      <c r="HHP3" s="182"/>
      <c r="HHQ3" s="182"/>
      <c r="HHR3" s="182"/>
      <c r="HHS3" s="182"/>
      <c r="HHT3" s="182"/>
      <c r="HHU3" s="182"/>
      <c r="HHV3" s="182"/>
      <c r="HHW3" s="182"/>
      <c r="HHX3" s="182"/>
      <c r="HHY3" s="182"/>
      <c r="HHZ3" s="182"/>
      <c r="HIA3" s="182"/>
      <c r="HIB3" s="182"/>
      <c r="HIC3" s="182"/>
      <c r="HID3" s="182"/>
      <c r="HIE3" s="182"/>
      <c r="HIF3" s="182"/>
      <c r="HIG3" s="182"/>
      <c r="HIH3" s="182"/>
      <c r="HII3" s="182"/>
      <c r="HIJ3" s="182"/>
      <c r="HIK3" s="182"/>
      <c r="HIL3" s="182"/>
      <c r="HIM3" s="182"/>
      <c r="HIN3" s="182"/>
      <c r="HIO3" s="182"/>
      <c r="HIP3" s="182"/>
      <c r="HIQ3" s="182"/>
      <c r="HIR3" s="182"/>
      <c r="HIS3" s="182"/>
      <c r="HIT3" s="182"/>
      <c r="HIU3" s="182"/>
      <c r="HIV3" s="182"/>
      <c r="HIW3" s="182"/>
      <c r="HIX3" s="182"/>
      <c r="HIY3" s="182"/>
      <c r="HIZ3" s="182"/>
      <c r="HJA3" s="182"/>
      <c r="HJB3" s="182"/>
      <c r="HJC3" s="182"/>
      <c r="HJD3" s="182"/>
      <c r="HJE3" s="182"/>
      <c r="HJF3" s="182"/>
      <c r="HJG3" s="182"/>
      <c r="HJH3" s="182"/>
      <c r="HJI3" s="182"/>
      <c r="HJJ3" s="182"/>
      <c r="HJK3" s="182"/>
      <c r="HJL3" s="182"/>
      <c r="HJM3" s="182"/>
      <c r="HJN3" s="182"/>
      <c r="HJO3" s="182"/>
      <c r="HJP3" s="182"/>
      <c r="HJQ3" s="182"/>
      <c r="HJR3" s="182"/>
      <c r="HJS3" s="182"/>
      <c r="HJT3" s="182"/>
      <c r="HJU3" s="182"/>
      <c r="HJV3" s="182"/>
      <c r="HJW3" s="182"/>
      <c r="HJX3" s="182"/>
      <c r="HJY3" s="182"/>
      <c r="HJZ3" s="182"/>
      <c r="HKA3" s="182"/>
      <c r="HKB3" s="182"/>
      <c r="HKC3" s="182"/>
      <c r="HKD3" s="182"/>
      <c r="HKE3" s="182"/>
      <c r="HKF3" s="182"/>
      <c r="HKG3" s="182"/>
      <c r="HKH3" s="182"/>
      <c r="HKI3" s="182"/>
      <c r="HKJ3" s="182"/>
      <c r="HKK3" s="182"/>
      <c r="HKL3" s="182"/>
      <c r="HKM3" s="182"/>
      <c r="HKN3" s="182"/>
      <c r="HKO3" s="182"/>
      <c r="HKP3" s="182"/>
      <c r="HKQ3" s="182"/>
      <c r="HKR3" s="182"/>
      <c r="HKS3" s="182"/>
      <c r="HKT3" s="182"/>
      <c r="HKU3" s="182"/>
      <c r="HKV3" s="182"/>
      <c r="HKW3" s="182"/>
      <c r="HKX3" s="182"/>
      <c r="HKY3" s="182"/>
      <c r="HKZ3" s="182"/>
      <c r="HLA3" s="182"/>
      <c r="HLB3" s="182"/>
      <c r="HLC3" s="182"/>
      <c r="HLD3" s="182"/>
      <c r="HLE3" s="182"/>
      <c r="HLF3" s="182"/>
      <c r="HLG3" s="182"/>
      <c r="HLH3" s="182"/>
      <c r="HLI3" s="182"/>
      <c r="HLJ3" s="182"/>
      <c r="HLK3" s="182"/>
      <c r="HLL3" s="182"/>
      <c r="HLM3" s="182"/>
      <c r="HLN3" s="182"/>
      <c r="HLO3" s="182"/>
      <c r="HLP3" s="182"/>
      <c r="HLQ3" s="182"/>
      <c r="HLR3" s="182"/>
      <c r="HLS3" s="182"/>
      <c r="HLT3" s="182"/>
      <c r="HLU3" s="182"/>
      <c r="HLV3" s="182"/>
      <c r="HLW3" s="182"/>
      <c r="HLX3" s="182"/>
      <c r="HLY3" s="182"/>
      <c r="HLZ3" s="182"/>
      <c r="HMA3" s="182"/>
      <c r="HMB3" s="182"/>
      <c r="HMC3" s="182"/>
      <c r="HMD3" s="182"/>
      <c r="HME3" s="182"/>
      <c r="HMF3" s="182"/>
      <c r="HMG3" s="182"/>
      <c r="HMH3" s="182"/>
      <c r="HMI3" s="182"/>
      <c r="HMJ3" s="182"/>
      <c r="HMK3" s="182"/>
      <c r="HML3" s="182"/>
      <c r="HMM3" s="182"/>
      <c r="HMN3" s="182"/>
      <c r="HMO3" s="182"/>
      <c r="HMP3" s="182"/>
      <c r="HMQ3" s="182"/>
      <c r="HMR3" s="182"/>
      <c r="HMS3" s="182"/>
      <c r="HMT3" s="182"/>
      <c r="HMU3" s="182"/>
      <c r="HMV3" s="182"/>
      <c r="HMW3" s="182"/>
      <c r="HMX3" s="182"/>
      <c r="HMY3" s="182"/>
      <c r="HMZ3" s="182"/>
      <c r="HNA3" s="182"/>
      <c r="HNB3" s="182"/>
      <c r="HNC3" s="182"/>
      <c r="HND3" s="182"/>
      <c r="HNE3" s="182"/>
      <c r="HNF3" s="182"/>
      <c r="HNG3" s="182"/>
      <c r="HNH3" s="182"/>
      <c r="HNI3" s="182"/>
      <c r="HNJ3" s="182"/>
      <c r="HNK3" s="182"/>
      <c r="HNL3" s="182"/>
      <c r="HNM3" s="182"/>
      <c r="HNN3" s="182"/>
      <c r="HNO3" s="182"/>
      <c r="HNP3" s="182"/>
      <c r="HNQ3" s="182"/>
      <c r="HNR3" s="182"/>
      <c r="HNS3" s="182"/>
      <c r="HNT3" s="182"/>
      <c r="HNU3" s="182"/>
      <c r="HNV3" s="182"/>
      <c r="HNW3" s="182"/>
      <c r="HNX3" s="182"/>
      <c r="HNY3" s="182"/>
      <c r="HNZ3" s="182"/>
      <c r="HOA3" s="182"/>
      <c r="HOB3" s="182"/>
      <c r="HOC3" s="182"/>
      <c r="HOD3" s="182"/>
      <c r="HOE3" s="182"/>
      <c r="HOF3" s="182"/>
      <c r="HOG3" s="182"/>
      <c r="HOH3" s="182"/>
      <c r="HOI3" s="182"/>
      <c r="HOJ3" s="182"/>
      <c r="HOK3" s="182"/>
      <c r="HOL3" s="182"/>
      <c r="HOM3" s="182"/>
      <c r="HON3" s="182"/>
      <c r="HOO3" s="182"/>
      <c r="HOP3" s="182"/>
      <c r="HOQ3" s="182"/>
      <c r="HOR3" s="182"/>
      <c r="HOS3" s="182"/>
      <c r="HOT3" s="182"/>
      <c r="HOU3" s="182"/>
      <c r="HOV3" s="182"/>
      <c r="HOW3" s="182"/>
      <c r="HOX3" s="182"/>
      <c r="HOY3" s="182"/>
      <c r="HOZ3" s="182"/>
      <c r="HPA3" s="182"/>
      <c r="HPB3" s="182"/>
      <c r="HPC3" s="182"/>
      <c r="HPD3" s="182"/>
      <c r="HPE3" s="182"/>
      <c r="HPF3" s="182"/>
      <c r="HPG3" s="182"/>
      <c r="HPH3" s="182"/>
      <c r="HPI3" s="182"/>
      <c r="HPJ3" s="182"/>
      <c r="HPK3" s="182"/>
      <c r="HPL3" s="182"/>
      <c r="HPM3" s="182"/>
      <c r="HPN3" s="182"/>
      <c r="HPO3" s="182"/>
      <c r="HPP3" s="182"/>
      <c r="HPQ3" s="182"/>
      <c r="HPR3" s="182"/>
      <c r="HPS3" s="182"/>
      <c r="HPT3" s="182"/>
      <c r="HPU3" s="182"/>
      <c r="HPV3" s="182"/>
      <c r="HPW3" s="182"/>
      <c r="HPX3" s="182"/>
      <c r="HPY3" s="182"/>
      <c r="HPZ3" s="182"/>
      <c r="HQA3" s="182"/>
      <c r="HQB3" s="182"/>
      <c r="HQC3" s="182"/>
      <c r="HQD3" s="182"/>
      <c r="HQE3" s="182"/>
      <c r="HQF3" s="182"/>
      <c r="HQG3" s="182"/>
      <c r="HQH3" s="182"/>
      <c r="HQI3" s="182"/>
      <c r="HQJ3" s="182"/>
      <c r="HQK3" s="182"/>
      <c r="HQL3" s="182"/>
      <c r="HQM3" s="182"/>
      <c r="HQN3" s="182"/>
      <c r="HQO3" s="182"/>
      <c r="HQP3" s="182"/>
      <c r="HQQ3" s="182"/>
      <c r="HQR3" s="182"/>
      <c r="HQS3" s="182"/>
      <c r="HQT3" s="182"/>
      <c r="HQU3" s="182"/>
      <c r="HQV3" s="182"/>
      <c r="HQW3" s="182"/>
      <c r="HQX3" s="182"/>
      <c r="HQY3" s="182"/>
      <c r="HQZ3" s="182"/>
      <c r="HRA3" s="182"/>
      <c r="HRB3" s="182"/>
      <c r="HRC3" s="182"/>
      <c r="HRD3" s="182"/>
      <c r="HRE3" s="182"/>
      <c r="HRF3" s="182"/>
      <c r="HRG3" s="182"/>
      <c r="HRH3" s="182"/>
      <c r="HRI3" s="182"/>
      <c r="HRJ3" s="182"/>
      <c r="HRK3" s="182"/>
      <c r="HRL3" s="182"/>
      <c r="HRM3" s="182"/>
      <c r="HRN3" s="182"/>
      <c r="HRO3" s="182"/>
      <c r="HRP3" s="182"/>
      <c r="HRQ3" s="182"/>
      <c r="HRR3" s="182"/>
      <c r="HRS3" s="182"/>
      <c r="HRT3" s="182"/>
      <c r="HRU3" s="182"/>
      <c r="HRV3" s="182"/>
      <c r="HRW3" s="182"/>
      <c r="HRX3" s="182"/>
      <c r="HRY3" s="182"/>
      <c r="HRZ3" s="182"/>
      <c r="HSA3" s="182"/>
      <c r="HSB3" s="182"/>
      <c r="HSC3" s="182"/>
      <c r="HSD3" s="182"/>
      <c r="HSE3" s="182"/>
      <c r="HSF3" s="182"/>
      <c r="HSG3" s="182"/>
      <c r="HSH3" s="182"/>
      <c r="HSI3" s="182"/>
      <c r="HSJ3" s="182"/>
      <c r="HSK3" s="182"/>
      <c r="HSL3" s="182"/>
      <c r="HSM3" s="182"/>
      <c r="HSN3" s="182"/>
      <c r="HSO3" s="182"/>
      <c r="HSP3" s="182"/>
      <c r="HSQ3" s="182"/>
      <c r="HSR3" s="182"/>
      <c r="HSS3" s="182"/>
      <c r="HST3" s="182"/>
      <c r="HSU3" s="182"/>
      <c r="HSV3" s="182"/>
      <c r="HSW3" s="182"/>
      <c r="HSX3" s="182"/>
      <c r="HSY3" s="182"/>
      <c r="HSZ3" s="182"/>
      <c r="HTA3" s="182"/>
      <c r="HTB3" s="182"/>
      <c r="HTC3" s="182"/>
      <c r="HTD3" s="182"/>
      <c r="HTE3" s="182"/>
      <c r="HTF3" s="182"/>
      <c r="HTG3" s="182"/>
      <c r="HTH3" s="182"/>
      <c r="HTI3" s="182"/>
      <c r="HTJ3" s="182"/>
      <c r="HTK3" s="182"/>
      <c r="HTL3" s="182"/>
      <c r="HTM3" s="182"/>
      <c r="HTN3" s="182"/>
      <c r="HTO3" s="182"/>
      <c r="HTP3" s="182"/>
      <c r="HTQ3" s="182"/>
      <c r="HTR3" s="182"/>
      <c r="HTS3" s="182"/>
      <c r="HTT3" s="182"/>
      <c r="HTU3" s="182"/>
      <c r="HTV3" s="182"/>
      <c r="HTW3" s="182"/>
      <c r="HTX3" s="182"/>
      <c r="HTY3" s="182"/>
      <c r="HTZ3" s="182"/>
      <c r="HUA3" s="182"/>
      <c r="HUB3" s="182"/>
      <c r="HUC3" s="182"/>
      <c r="HUD3" s="182"/>
      <c r="HUE3" s="182"/>
      <c r="HUF3" s="182"/>
      <c r="HUG3" s="182"/>
      <c r="HUH3" s="182"/>
      <c r="HUI3" s="182"/>
      <c r="HUJ3" s="182"/>
      <c r="HUK3" s="182"/>
      <c r="HUL3" s="182"/>
      <c r="HUM3" s="182"/>
      <c r="HUN3" s="182"/>
      <c r="HUO3" s="182"/>
      <c r="HUP3" s="182"/>
      <c r="HUQ3" s="182"/>
      <c r="HUR3" s="182"/>
      <c r="HUS3" s="182"/>
      <c r="HUT3" s="182"/>
      <c r="HUU3" s="182"/>
      <c r="HUV3" s="182"/>
      <c r="HUW3" s="182"/>
      <c r="HUX3" s="182"/>
      <c r="HUY3" s="182"/>
      <c r="HUZ3" s="182"/>
      <c r="HVA3" s="182"/>
      <c r="HVB3" s="182"/>
      <c r="HVC3" s="182"/>
      <c r="HVD3" s="182"/>
      <c r="HVE3" s="182"/>
      <c r="HVF3" s="182"/>
      <c r="HVG3" s="182"/>
      <c r="HVH3" s="182"/>
      <c r="HVI3" s="182"/>
      <c r="HVJ3" s="182"/>
      <c r="HVK3" s="182"/>
      <c r="HVL3" s="182"/>
      <c r="HVM3" s="182"/>
      <c r="HVN3" s="182"/>
      <c r="HVO3" s="182"/>
      <c r="HVP3" s="182"/>
      <c r="HVQ3" s="182"/>
      <c r="HVR3" s="182"/>
      <c r="HVS3" s="182"/>
      <c r="HVT3" s="182"/>
      <c r="HVU3" s="182"/>
      <c r="HVV3" s="182"/>
      <c r="HVW3" s="182"/>
      <c r="HVX3" s="182"/>
      <c r="HVY3" s="182"/>
      <c r="HVZ3" s="182"/>
      <c r="HWA3" s="182"/>
      <c r="HWB3" s="182"/>
      <c r="HWC3" s="182"/>
      <c r="HWD3" s="182"/>
      <c r="HWE3" s="182"/>
      <c r="HWF3" s="182"/>
      <c r="HWG3" s="182"/>
      <c r="HWH3" s="182"/>
      <c r="HWI3" s="182"/>
      <c r="HWJ3" s="182"/>
      <c r="HWK3" s="182"/>
      <c r="HWL3" s="182"/>
      <c r="HWM3" s="182"/>
      <c r="HWN3" s="182"/>
      <c r="HWO3" s="182"/>
      <c r="HWP3" s="182"/>
      <c r="HWQ3" s="182"/>
      <c r="HWR3" s="182"/>
      <c r="HWS3" s="182"/>
      <c r="HWT3" s="182"/>
      <c r="HWU3" s="182"/>
      <c r="HWV3" s="182"/>
      <c r="HWW3" s="182"/>
      <c r="HWX3" s="182"/>
      <c r="HWY3" s="182"/>
      <c r="HWZ3" s="182"/>
      <c r="HXA3" s="182"/>
      <c r="HXB3" s="182"/>
      <c r="HXC3" s="182"/>
      <c r="HXD3" s="182"/>
      <c r="HXE3" s="182"/>
      <c r="HXF3" s="182"/>
      <c r="HXG3" s="182"/>
      <c r="HXH3" s="182"/>
      <c r="HXI3" s="182"/>
      <c r="HXJ3" s="182"/>
      <c r="HXK3" s="182"/>
      <c r="HXL3" s="182"/>
      <c r="HXM3" s="182"/>
      <c r="HXN3" s="182"/>
      <c r="HXO3" s="182"/>
      <c r="HXP3" s="182"/>
      <c r="HXQ3" s="182"/>
      <c r="HXR3" s="182"/>
      <c r="HXS3" s="182"/>
      <c r="HXT3" s="182"/>
      <c r="HXU3" s="182"/>
      <c r="HXV3" s="182"/>
      <c r="HXW3" s="182"/>
      <c r="HXX3" s="182"/>
      <c r="HXY3" s="182"/>
      <c r="HXZ3" s="182"/>
      <c r="HYA3" s="182"/>
      <c r="HYB3" s="182"/>
      <c r="HYC3" s="182"/>
      <c r="HYD3" s="182"/>
      <c r="HYE3" s="182"/>
      <c r="HYF3" s="182"/>
      <c r="HYG3" s="182"/>
      <c r="HYH3" s="182"/>
      <c r="HYI3" s="182"/>
      <c r="HYJ3" s="182"/>
      <c r="HYK3" s="182"/>
      <c r="HYL3" s="182"/>
      <c r="HYM3" s="182"/>
      <c r="HYN3" s="182"/>
      <c r="HYO3" s="182"/>
      <c r="HYP3" s="182"/>
      <c r="HYQ3" s="182"/>
      <c r="HYR3" s="182"/>
      <c r="HYS3" s="182"/>
      <c r="HYT3" s="182"/>
      <c r="HYU3" s="182"/>
      <c r="HYV3" s="182"/>
      <c r="HYW3" s="182"/>
      <c r="HYX3" s="182"/>
      <c r="HYY3" s="182"/>
      <c r="HYZ3" s="182"/>
      <c r="HZA3" s="182"/>
      <c r="HZB3" s="182"/>
      <c r="HZC3" s="182"/>
      <c r="HZD3" s="182"/>
      <c r="HZE3" s="182"/>
      <c r="HZF3" s="182"/>
      <c r="HZG3" s="182"/>
      <c r="HZH3" s="182"/>
      <c r="HZI3" s="182"/>
      <c r="HZJ3" s="182"/>
      <c r="HZK3" s="182"/>
      <c r="HZL3" s="182"/>
      <c r="HZM3" s="182"/>
      <c r="HZN3" s="182"/>
      <c r="HZO3" s="182"/>
      <c r="HZP3" s="182"/>
      <c r="HZQ3" s="182"/>
      <c r="HZR3" s="182"/>
      <c r="HZS3" s="182"/>
      <c r="HZT3" s="182"/>
      <c r="HZU3" s="182"/>
      <c r="HZV3" s="182"/>
      <c r="HZW3" s="182"/>
      <c r="HZX3" s="182"/>
      <c r="HZY3" s="182"/>
      <c r="HZZ3" s="182"/>
      <c r="IAA3" s="182"/>
      <c r="IAB3" s="182"/>
      <c r="IAC3" s="182"/>
      <c r="IAD3" s="182"/>
      <c r="IAE3" s="182"/>
      <c r="IAF3" s="182"/>
      <c r="IAG3" s="182"/>
      <c r="IAH3" s="182"/>
      <c r="IAI3" s="182"/>
      <c r="IAJ3" s="182"/>
      <c r="IAK3" s="182"/>
      <c r="IAL3" s="182"/>
      <c r="IAM3" s="182"/>
      <c r="IAN3" s="182"/>
      <c r="IAO3" s="182"/>
      <c r="IAP3" s="182"/>
      <c r="IAQ3" s="182"/>
      <c r="IAR3" s="182"/>
      <c r="IAS3" s="182"/>
      <c r="IAT3" s="182"/>
      <c r="IAU3" s="182"/>
      <c r="IAV3" s="182"/>
      <c r="IAW3" s="182"/>
      <c r="IAX3" s="182"/>
      <c r="IAY3" s="182"/>
      <c r="IAZ3" s="182"/>
      <c r="IBA3" s="182"/>
      <c r="IBB3" s="182"/>
      <c r="IBC3" s="182"/>
      <c r="IBD3" s="182"/>
      <c r="IBE3" s="182"/>
      <c r="IBF3" s="182"/>
      <c r="IBG3" s="182"/>
      <c r="IBH3" s="182"/>
      <c r="IBI3" s="182"/>
      <c r="IBJ3" s="182"/>
      <c r="IBK3" s="182"/>
      <c r="IBL3" s="182"/>
      <c r="IBM3" s="182"/>
      <c r="IBN3" s="182"/>
      <c r="IBO3" s="182"/>
      <c r="IBP3" s="182"/>
      <c r="IBQ3" s="182"/>
      <c r="IBR3" s="182"/>
      <c r="IBS3" s="182"/>
      <c r="IBT3" s="182"/>
      <c r="IBU3" s="182"/>
      <c r="IBV3" s="182"/>
      <c r="IBW3" s="182"/>
      <c r="IBX3" s="182"/>
      <c r="IBY3" s="182"/>
      <c r="IBZ3" s="182"/>
      <c r="ICA3" s="182"/>
      <c r="ICB3" s="182"/>
      <c r="ICC3" s="182"/>
      <c r="ICD3" s="182"/>
      <c r="ICE3" s="182"/>
      <c r="ICF3" s="182"/>
      <c r="ICG3" s="182"/>
      <c r="ICH3" s="182"/>
      <c r="ICI3" s="182"/>
      <c r="ICJ3" s="182"/>
      <c r="ICK3" s="182"/>
      <c r="ICL3" s="182"/>
      <c r="ICM3" s="182"/>
      <c r="ICN3" s="182"/>
      <c r="ICO3" s="182"/>
      <c r="ICP3" s="182"/>
      <c r="ICQ3" s="182"/>
      <c r="ICR3" s="182"/>
      <c r="ICS3" s="182"/>
      <c r="ICT3" s="182"/>
      <c r="ICU3" s="182"/>
      <c r="ICV3" s="182"/>
      <c r="ICW3" s="182"/>
      <c r="ICX3" s="182"/>
      <c r="ICY3" s="182"/>
      <c r="ICZ3" s="182"/>
      <c r="IDA3" s="182"/>
      <c r="IDB3" s="182"/>
      <c r="IDC3" s="182"/>
      <c r="IDD3" s="182"/>
      <c r="IDE3" s="182"/>
      <c r="IDF3" s="182"/>
      <c r="IDG3" s="182"/>
      <c r="IDH3" s="182"/>
      <c r="IDI3" s="182"/>
      <c r="IDJ3" s="182"/>
      <c r="IDK3" s="182"/>
      <c r="IDL3" s="182"/>
      <c r="IDM3" s="182"/>
      <c r="IDN3" s="182"/>
      <c r="IDO3" s="182"/>
      <c r="IDP3" s="182"/>
      <c r="IDQ3" s="182"/>
      <c r="IDR3" s="182"/>
      <c r="IDS3" s="182"/>
      <c r="IDT3" s="182"/>
      <c r="IDU3" s="182"/>
      <c r="IDV3" s="182"/>
      <c r="IDW3" s="182"/>
      <c r="IDX3" s="182"/>
      <c r="IDY3" s="182"/>
      <c r="IDZ3" s="182"/>
      <c r="IEA3" s="182"/>
      <c r="IEB3" s="182"/>
      <c r="IEC3" s="182"/>
      <c r="IED3" s="182"/>
      <c r="IEE3" s="182"/>
      <c r="IEF3" s="182"/>
      <c r="IEG3" s="182"/>
      <c r="IEH3" s="182"/>
      <c r="IEI3" s="182"/>
      <c r="IEJ3" s="182"/>
      <c r="IEK3" s="182"/>
      <c r="IEL3" s="182"/>
      <c r="IEM3" s="182"/>
      <c r="IEN3" s="182"/>
      <c r="IEO3" s="182"/>
      <c r="IEP3" s="182"/>
      <c r="IEQ3" s="182"/>
      <c r="IER3" s="182"/>
      <c r="IES3" s="182"/>
      <c r="IET3" s="182"/>
      <c r="IEU3" s="182"/>
      <c r="IEV3" s="182"/>
      <c r="IEW3" s="182"/>
      <c r="IEX3" s="182"/>
      <c r="IEY3" s="182"/>
      <c r="IEZ3" s="182"/>
      <c r="IFA3" s="182"/>
      <c r="IFB3" s="182"/>
      <c r="IFC3" s="182"/>
      <c r="IFD3" s="182"/>
      <c r="IFE3" s="182"/>
      <c r="IFF3" s="182"/>
      <c r="IFG3" s="182"/>
      <c r="IFH3" s="182"/>
      <c r="IFI3" s="182"/>
      <c r="IFJ3" s="182"/>
      <c r="IFK3" s="182"/>
      <c r="IFL3" s="182"/>
      <c r="IFM3" s="182"/>
      <c r="IFN3" s="182"/>
      <c r="IFO3" s="182"/>
      <c r="IFP3" s="182"/>
      <c r="IFQ3" s="182"/>
      <c r="IFR3" s="182"/>
      <c r="IFS3" s="182"/>
      <c r="IFT3" s="182"/>
      <c r="IFU3" s="182"/>
      <c r="IFV3" s="182"/>
      <c r="IFW3" s="182"/>
      <c r="IFX3" s="182"/>
      <c r="IFY3" s="182"/>
      <c r="IFZ3" s="182"/>
      <c r="IGA3" s="182"/>
      <c r="IGB3" s="182"/>
      <c r="IGC3" s="182"/>
      <c r="IGD3" s="182"/>
      <c r="IGE3" s="182"/>
      <c r="IGF3" s="182"/>
      <c r="IGG3" s="182"/>
      <c r="IGH3" s="182"/>
      <c r="IGI3" s="182"/>
      <c r="IGJ3" s="182"/>
      <c r="IGK3" s="182"/>
      <c r="IGL3" s="182"/>
      <c r="IGM3" s="182"/>
      <c r="IGN3" s="182"/>
      <c r="IGO3" s="182"/>
      <c r="IGP3" s="182"/>
      <c r="IGQ3" s="182"/>
      <c r="IGR3" s="182"/>
      <c r="IGS3" s="182"/>
      <c r="IGT3" s="182"/>
      <c r="IGU3" s="182"/>
      <c r="IGV3" s="182"/>
      <c r="IGW3" s="182"/>
      <c r="IGX3" s="182"/>
      <c r="IGY3" s="182"/>
      <c r="IGZ3" s="182"/>
      <c r="IHA3" s="182"/>
      <c r="IHB3" s="182"/>
      <c r="IHC3" s="182"/>
      <c r="IHD3" s="182"/>
      <c r="IHE3" s="182"/>
      <c r="IHF3" s="182"/>
      <c r="IHG3" s="182"/>
      <c r="IHH3" s="182"/>
      <c r="IHI3" s="182"/>
      <c r="IHJ3" s="182"/>
      <c r="IHK3" s="182"/>
      <c r="IHL3" s="182"/>
      <c r="IHM3" s="182"/>
      <c r="IHN3" s="182"/>
      <c r="IHO3" s="182"/>
      <c r="IHP3" s="182"/>
      <c r="IHQ3" s="182"/>
      <c r="IHR3" s="182"/>
      <c r="IHS3" s="182"/>
      <c r="IHT3" s="182"/>
      <c r="IHU3" s="182"/>
      <c r="IHV3" s="182"/>
      <c r="IHW3" s="182"/>
      <c r="IHX3" s="182"/>
      <c r="IHY3" s="182"/>
      <c r="IHZ3" s="182"/>
      <c r="IIA3" s="182"/>
      <c r="IIB3" s="182"/>
      <c r="IIC3" s="182"/>
      <c r="IID3" s="182"/>
      <c r="IIE3" s="182"/>
      <c r="IIF3" s="182"/>
      <c r="IIG3" s="182"/>
      <c r="IIH3" s="182"/>
      <c r="III3" s="182"/>
      <c r="IIJ3" s="182"/>
      <c r="IIK3" s="182"/>
      <c r="IIL3" s="182"/>
      <c r="IIM3" s="182"/>
      <c r="IIN3" s="182"/>
      <c r="IIO3" s="182"/>
      <c r="IIP3" s="182"/>
      <c r="IIQ3" s="182"/>
      <c r="IIR3" s="182"/>
      <c r="IIS3" s="182"/>
      <c r="IIT3" s="182"/>
      <c r="IIU3" s="182"/>
      <c r="IIV3" s="182"/>
      <c r="IIW3" s="182"/>
      <c r="IIX3" s="182"/>
      <c r="IIY3" s="182"/>
      <c r="IIZ3" s="182"/>
      <c r="IJA3" s="182"/>
      <c r="IJB3" s="182"/>
      <c r="IJC3" s="182"/>
      <c r="IJD3" s="182"/>
      <c r="IJE3" s="182"/>
      <c r="IJF3" s="182"/>
      <c r="IJG3" s="182"/>
      <c r="IJH3" s="182"/>
      <c r="IJI3" s="182"/>
      <c r="IJJ3" s="182"/>
      <c r="IJK3" s="182"/>
      <c r="IJL3" s="182"/>
      <c r="IJM3" s="182"/>
      <c r="IJN3" s="182"/>
      <c r="IJO3" s="182"/>
      <c r="IJP3" s="182"/>
      <c r="IJQ3" s="182"/>
      <c r="IJR3" s="182"/>
      <c r="IJS3" s="182"/>
      <c r="IJT3" s="182"/>
      <c r="IJU3" s="182"/>
      <c r="IJV3" s="182"/>
      <c r="IJW3" s="182"/>
      <c r="IJX3" s="182"/>
      <c r="IJY3" s="182"/>
      <c r="IJZ3" s="182"/>
      <c r="IKA3" s="182"/>
      <c r="IKB3" s="182"/>
      <c r="IKC3" s="182"/>
      <c r="IKD3" s="182"/>
      <c r="IKE3" s="182"/>
      <c r="IKF3" s="182"/>
      <c r="IKG3" s="182"/>
      <c r="IKH3" s="182"/>
      <c r="IKI3" s="182"/>
      <c r="IKJ3" s="182"/>
      <c r="IKK3" s="182"/>
      <c r="IKL3" s="182"/>
      <c r="IKM3" s="182"/>
      <c r="IKN3" s="182"/>
      <c r="IKO3" s="182"/>
      <c r="IKP3" s="182"/>
      <c r="IKQ3" s="182"/>
      <c r="IKR3" s="182"/>
      <c r="IKS3" s="182"/>
      <c r="IKT3" s="182"/>
      <c r="IKU3" s="182"/>
      <c r="IKV3" s="182"/>
      <c r="IKW3" s="182"/>
      <c r="IKX3" s="182"/>
      <c r="IKY3" s="182"/>
      <c r="IKZ3" s="182"/>
      <c r="ILA3" s="182"/>
      <c r="ILB3" s="182"/>
      <c r="ILC3" s="182"/>
      <c r="ILD3" s="182"/>
      <c r="ILE3" s="182"/>
      <c r="ILF3" s="182"/>
      <c r="ILG3" s="182"/>
      <c r="ILH3" s="182"/>
      <c r="ILI3" s="182"/>
      <c r="ILJ3" s="182"/>
      <c r="ILK3" s="182"/>
      <c r="ILL3" s="182"/>
      <c r="ILM3" s="182"/>
      <c r="ILN3" s="182"/>
      <c r="ILO3" s="182"/>
      <c r="ILP3" s="182"/>
      <c r="ILQ3" s="182"/>
      <c r="ILR3" s="182"/>
      <c r="ILS3" s="182"/>
      <c r="ILT3" s="182"/>
      <c r="ILU3" s="182"/>
      <c r="ILV3" s="182"/>
      <c r="ILW3" s="182"/>
      <c r="ILX3" s="182"/>
      <c r="ILY3" s="182"/>
      <c r="ILZ3" s="182"/>
      <c r="IMA3" s="182"/>
      <c r="IMB3" s="182"/>
      <c r="IMC3" s="182"/>
      <c r="IMD3" s="182"/>
      <c r="IME3" s="182"/>
      <c r="IMF3" s="182"/>
      <c r="IMG3" s="182"/>
      <c r="IMH3" s="182"/>
      <c r="IMI3" s="182"/>
      <c r="IMJ3" s="182"/>
      <c r="IMK3" s="182"/>
      <c r="IML3" s="182"/>
      <c r="IMM3" s="182"/>
      <c r="IMN3" s="182"/>
      <c r="IMO3" s="182"/>
      <c r="IMP3" s="182"/>
      <c r="IMQ3" s="182"/>
      <c r="IMR3" s="182"/>
      <c r="IMS3" s="182"/>
      <c r="IMT3" s="182"/>
      <c r="IMU3" s="182"/>
      <c r="IMV3" s="182"/>
      <c r="IMW3" s="182"/>
      <c r="IMX3" s="182"/>
      <c r="IMY3" s="182"/>
      <c r="IMZ3" s="182"/>
      <c r="INA3" s="182"/>
      <c r="INB3" s="182"/>
      <c r="INC3" s="182"/>
      <c r="IND3" s="182"/>
      <c r="INE3" s="182"/>
      <c r="INF3" s="182"/>
      <c r="ING3" s="182"/>
      <c r="INH3" s="182"/>
      <c r="INI3" s="182"/>
      <c r="INJ3" s="182"/>
      <c r="INK3" s="182"/>
      <c r="INL3" s="182"/>
      <c r="INM3" s="182"/>
      <c r="INN3" s="182"/>
      <c r="INO3" s="182"/>
      <c r="INP3" s="182"/>
      <c r="INQ3" s="182"/>
      <c r="INR3" s="182"/>
      <c r="INS3" s="182"/>
      <c r="INT3" s="182"/>
      <c r="INU3" s="182"/>
      <c r="INV3" s="182"/>
      <c r="INW3" s="182"/>
      <c r="INX3" s="182"/>
      <c r="INY3" s="182"/>
      <c r="INZ3" s="182"/>
      <c r="IOA3" s="182"/>
      <c r="IOB3" s="182"/>
      <c r="IOC3" s="182"/>
      <c r="IOD3" s="182"/>
      <c r="IOE3" s="182"/>
      <c r="IOF3" s="182"/>
      <c r="IOG3" s="182"/>
      <c r="IOH3" s="182"/>
      <c r="IOI3" s="182"/>
      <c r="IOJ3" s="182"/>
      <c r="IOK3" s="182"/>
      <c r="IOL3" s="182"/>
      <c r="IOM3" s="182"/>
      <c r="ION3" s="182"/>
      <c r="IOO3" s="182"/>
      <c r="IOP3" s="182"/>
      <c r="IOQ3" s="182"/>
      <c r="IOR3" s="182"/>
      <c r="IOS3" s="182"/>
      <c r="IOT3" s="182"/>
      <c r="IOU3" s="182"/>
      <c r="IOV3" s="182"/>
      <c r="IOW3" s="182"/>
      <c r="IOX3" s="182"/>
      <c r="IOY3" s="182"/>
      <c r="IOZ3" s="182"/>
      <c r="IPA3" s="182"/>
      <c r="IPB3" s="182"/>
      <c r="IPC3" s="182"/>
      <c r="IPD3" s="182"/>
      <c r="IPE3" s="182"/>
      <c r="IPF3" s="182"/>
      <c r="IPG3" s="182"/>
      <c r="IPH3" s="182"/>
      <c r="IPI3" s="182"/>
      <c r="IPJ3" s="182"/>
      <c r="IPK3" s="182"/>
      <c r="IPL3" s="182"/>
      <c r="IPM3" s="182"/>
      <c r="IPN3" s="182"/>
      <c r="IPO3" s="182"/>
      <c r="IPP3" s="182"/>
      <c r="IPQ3" s="182"/>
      <c r="IPR3" s="182"/>
      <c r="IPS3" s="182"/>
      <c r="IPT3" s="182"/>
      <c r="IPU3" s="182"/>
      <c r="IPV3" s="182"/>
      <c r="IPW3" s="182"/>
      <c r="IPX3" s="182"/>
      <c r="IPY3" s="182"/>
      <c r="IPZ3" s="182"/>
      <c r="IQA3" s="182"/>
      <c r="IQB3" s="182"/>
      <c r="IQC3" s="182"/>
      <c r="IQD3" s="182"/>
      <c r="IQE3" s="182"/>
      <c r="IQF3" s="182"/>
      <c r="IQG3" s="182"/>
      <c r="IQH3" s="182"/>
      <c r="IQI3" s="182"/>
      <c r="IQJ3" s="182"/>
      <c r="IQK3" s="182"/>
      <c r="IQL3" s="182"/>
      <c r="IQM3" s="182"/>
      <c r="IQN3" s="182"/>
      <c r="IQO3" s="182"/>
      <c r="IQP3" s="182"/>
      <c r="IQQ3" s="182"/>
      <c r="IQR3" s="182"/>
      <c r="IQS3" s="182"/>
      <c r="IQT3" s="182"/>
      <c r="IQU3" s="182"/>
      <c r="IQV3" s="182"/>
      <c r="IQW3" s="182"/>
      <c r="IQX3" s="182"/>
      <c r="IQY3" s="182"/>
      <c r="IQZ3" s="182"/>
      <c r="IRA3" s="182"/>
      <c r="IRB3" s="182"/>
      <c r="IRC3" s="182"/>
      <c r="IRD3" s="182"/>
      <c r="IRE3" s="182"/>
      <c r="IRF3" s="182"/>
      <c r="IRG3" s="182"/>
      <c r="IRH3" s="182"/>
      <c r="IRI3" s="182"/>
      <c r="IRJ3" s="182"/>
      <c r="IRK3" s="182"/>
      <c r="IRL3" s="182"/>
      <c r="IRM3" s="182"/>
      <c r="IRN3" s="182"/>
      <c r="IRO3" s="182"/>
      <c r="IRP3" s="182"/>
      <c r="IRQ3" s="182"/>
      <c r="IRR3" s="182"/>
      <c r="IRS3" s="182"/>
      <c r="IRT3" s="182"/>
      <c r="IRU3" s="182"/>
      <c r="IRV3" s="182"/>
      <c r="IRW3" s="182"/>
      <c r="IRX3" s="182"/>
      <c r="IRY3" s="182"/>
      <c r="IRZ3" s="182"/>
      <c r="ISA3" s="182"/>
      <c r="ISB3" s="182"/>
      <c r="ISC3" s="182"/>
      <c r="ISD3" s="182"/>
      <c r="ISE3" s="182"/>
      <c r="ISF3" s="182"/>
      <c r="ISG3" s="182"/>
      <c r="ISH3" s="182"/>
      <c r="ISI3" s="182"/>
      <c r="ISJ3" s="182"/>
      <c r="ISK3" s="182"/>
      <c r="ISL3" s="182"/>
      <c r="ISM3" s="182"/>
      <c r="ISN3" s="182"/>
      <c r="ISO3" s="182"/>
      <c r="ISP3" s="182"/>
      <c r="ISQ3" s="182"/>
      <c r="ISR3" s="182"/>
      <c r="ISS3" s="182"/>
      <c r="IST3" s="182"/>
      <c r="ISU3" s="182"/>
      <c r="ISV3" s="182"/>
      <c r="ISW3" s="182"/>
      <c r="ISX3" s="182"/>
      <c r="ISY3" s="182"/>
      <c r="ISZ3" s="182"/>
      <c r="ITA3" s="182"/>
      <c r="ITB3" s="182"/>
      <c r="ITC3" s="182"/>
      <c r="ITD3" s="182"/>
      <c r="ITE3" s="182"/>
      <c r="ITF3" s="182"/>
      <c r="ITG3" s="182"/>
      <c r="ITH3" s="182"/>
      <c r="ITI3" s="182"/>
      <c r="ITJ3" s="182"/>
      <c r="ITK3" s="182"/>
      <c r="ITL3" s="182"/>
      <c r="ITM3" s="182"/>
      <c r="ITN3" s="182"/>
      <c r="ITO3" s="182"/>
      <c r="ITP3" s="182"/>
      <c r="ITQ3" s="182"/>
      <c r="ITR3" s="182"/>
      <c r="ITS3" s="182"/>
      <c r="ITT3" s="182"/>
      <c r="ITU3" s="182"/>
      <c r="ITV3" s="182"/>
      <c r="ITW3" s="182"/>
      <c r="ITX3" s="182"/>
      <c r="ITY3" s="182"/>
      <c r="ITZ3" s="182"/>
      <c r="IUA3" s="182"/>
      <c r="IUB3" s="182"/>
      <c r="IUC3" s="182"/>
      <c r="IUD3" s="182"/>
      <c r="IUE3" s="182"/>
      <c r="IUF3" s="182"/>
      <c r="IUG3" s="182"/>
      <c r="IUH3" s="182"/>
      <c r="IUI3" s="182"/>
      <c r="IUJ3" s="182"/>
      <c r="IUK3" s="182"/>
      <c r="IUL3" s="182"/>
      <c r="IUM3" s="182"/>
      <c r="IUN3" s="182"/>
      <c r="IUO3" s="182"/>
      <c r="IUP3" s="182"/>
      <c r="IUQ3" s="182"/>
      <c r="IUR3" s="182"/>
      <c r="IUS3" s="182"/>
      <c r="IUT3" s="182"/>
      <c r="IUU3" s="182"/>
      <c r="IUV3" s="182"/>
      <c r="IUW3" s="182"/>
      <c r="IUX3" s="182"/>
      <c r="IUY3" s="182"/>
      <c r="IUZ3" s="182"/>
      <c r="IVA3" s="182"/>
      <c r="IVB3" s="182"/>
      <c r="IVC3" s="182"/>
      <c r="IVD3" s="182"/>
      <c r="IVE3" s="182"/>
      <c r="IVF3" s="182"/>
      <c r="IVG3" s="182"/>
      <c r="IVH3" s="182"/>
      <c r="IVI3" s="182"/>
      <c r="IVJ3" s="182"/>
      <c r="IVK3" s="182"/>
      <c r="IVL3" s="182"/>
      <c r="IVM3" s="182"/>
      <c r="IVN3" s="182"/>
      <c r="IVO3" s="182"/>
      <c r="IVP3" s="182"/>
      <c r="IVQ3" s="182"/>
      <c r="IVR3" s="182"/>
      <c r="IVS3" s="182"/>
      <c r="IVT3" s="182"/>
      <c r="IVU3" s="182"/>
      <c r="IVV3" s="182"/>
      <c r="IVW3" s="182"/>
      <c r="IVX3" s="182"/>
      <c r="IVY3" s="182"/>
      <c r="IVZ3" s="182"/>
      <c r="IWA3" s="182"/>
      <c r="IWB3" s="182"/>
      <c r="IWC3" s="182"/>
      <c r="IWD3" s="182"/>
      <c r="IWE3" s="182"/>
      <c r="IWF3" s="182"/>
      <c r="IWG3" s="182"/>
      <c r="IWH3" s="182"/>
      <c r="IWI3" s="182"/>
      <c r="IWJ3" s="182"/>
      <c r="IWK3" s="182"/>
      <c r="IWL3" s="182"/>
      <c r="IWM3" s="182"/>
      <c r="IWN3" s="182"/>
      <c r="IWO3" s="182"/>
      <c r="IWP3" s="182"/>
      <c r="IWQ3" s="182"/>
      <c r="IWR3" s="182"/>
      <c r="IWS3" s="182"/>
      <c r="IWT3" s="182"/>
      <c r="IWU3" s="182"/>
      <c r="IWV3" s="182"/>
      <c r="IWW3" s="182"/>
      <c r="IWX3" s="182"/>
      <c r="IWY3" s="182"/>
      <c r="IWZ3" s="182"/>
      <c r="IXA3" s="182"/>
      <c r="IXB3" s="182"/>
      <c r="IXC3" s="182"/>
      <c r="IXD3" s="182"/>
      <c r="IXE3" s="182"/>
      <c r="IXF3" s="182"/>
      <c r="IXG3" s="182"/>
      <c r="IXH3" s="182"/>
      <c r="IXI3" s="182"/>
      <c r="IXJ3" s="182"/>
      <c r="IXK3" s="182"/>
      <c r="IXL3" s="182"/>
      <c r="IXM3" s="182"/>
      <c r="IXN3" s="182"/>
      <c r="IXO3" s="182"/>
      <c r="IXP3" s="182"/>
      <c r="IXQ3" s="182"/>
      <c r="IXR3" s="182"/>
      <c r="IXS3" s="182"/>
      <c r="IXT3" s="182"/>
      <c r="IXU3" s="182"/>
      <c r="IXV3" s="182"/>
      <c r="IXW3" s="182"/>
      <c r="IXX3" s="182"/>
      <c r="IXY3" s="182"/>
      <c r="IXZ3" s="182"/>
      <c r="IYA3" s="182"/>
      <c r="IYB3" s="182"/>
      <c r="IYC3" s="182"/>
      <c r="IYD3" s="182"/>
      <c r="IYE3" s="182"/>
      <c r="IYF3" s="182"/>
      <c r="IYG3" s="182"/>
      <c r="IYH3" s="182"/>
      <c r="IYI3" s="182"/>
      <c r="IYJ3" s="182"/>
      <c r="IYK3" s="182"/>
      <c r="IYL3" s="182"/>
      <c r="IYM3" s="182"/>
      <c r="IYN3" s="182"/>
      <c r="IYO3" s="182"/>
      <c r="IYP3" s="182"/>
      <c r="IYQ3" s="182"/>
      <c r="IYR3" s="182"/>
      <c r="IYS3" s="182"/>
      <c r="IYT3" s="182"/>
      <c r="IYU3" s="182"/>
      <c r="IYV3" s="182"/>
      <c r="IYW3" s="182"/>
      <c r="IYX3" s="182"/>
      <c r="IYY3" s="182"/>
      <c r="IYZ3" s="182"/>
      <c r="IZA3" s="182"/>
      <c r="IZB3" s="182"/>
      <c r="IZC3" s="182"/>
      <c r="IZD3" s="182"/>
      <c r="IZE3" s="182"/>
      <c r="IZF3" s="182"/>
      <c r="IZG3" s="182"/>
      <c r="IZH3" s="182"/>
      <c r="IZI3" s="182"/>
      <c r="IZJ3" s="182"/>
      <c r="IZK3" s="182"/>
      <c r="IZL3" s="182"/>
      <c r="IZM3" s="182"/>
      <c r="IZN3" s="182"/>
      <c r="IZO3" s="182"/>
      <c r="IZP3" s="182"/>
      <c r="IZQ3" s="182"/>
      <c r="IZR3" s="182"/>
      <c r="IZS3" s="182"/>
      <c r="IZT3" s="182"/>
      <c r="IZU3" s="182"/>
      <c r="IZV3" s="182"/>
      <c r="IZW3" s="182"/>
      <c r="IZX3" s="182"/>
      <c r="IZY3" s="182"/>
      <c r="IZZ3" s="182"/>
      <c r="JAA3" s="182"/>
      <c r="JAB3" s="182"/>
      <c r="JAC3" s="182"/>
      <c r="JAD3" s="182"/>
      <c r="JAE3" s="182"/>
      <c r="JAF3" s="182"/>
      <c r="JAG3" s="182"/>
      <c r="JAH3" s="182"/>
      <c r="JAI3" s="182"/>
      <c r="JAJ3" s="182"/>
      <c r="JAK3" s="182"/>
      <c r="JAL3" s="182"/>
      <c r="JAM3" s="182"/>
      <c r="JAN3" s="182"/>
      <c r="JAO3" s="182"/>
      <c r="JAP3" s="182"/>
      <c r="JAQ3" s="182"/>
      <c r="JAR3" s="182"/>
      <c r="JAS3" s="182"/>
      <c r="JAT3" s="182"/>
      <c r="JAU3" s="182"/>
      <c r="JAV3" s="182"/>
      <c r="JAW3" s="182"/>
      <c r="JAX3" s="182"/>
      <c r="JAY3" s="182"/>
      <c r="JAZ3" s="182"/>
      <c r="JBA3" s="182"/>
      <c r="JBB3" s="182"/>
      <c r="JBC3" s="182"/>
      <c r="JBD3" s="182"/>
      <c r="JBE3" s="182"/>
      <c r="JBF3" s="182"/>
      <c r="JBG3" s="182"/>
      <c r="JBH3" s="182"/>
      <c r="JBI3" s="182"/>
      <c r="JBJ3" s="182"/>
      <c r="JBK3" s="182"/>
      <c r="JBL3" s="182"/>
      <c r="JBM3" s="182"/>
      <c r="JBN3" s="182"/>
      <c r="JBO3" s="182"/>
      <c r="JBP3" s="182"/>
      <c r="JBQ3" s="182"/>
      <c r="JBR3" s="182"/>
      <c r="JBS3" s="182"/>
      <c r="JBT3" s="182"/>
      <c r="JBU3" s="182"/>
      <c r="JBV3" s="182"/>
      <c r="JBW3" s="182"/>
      <c r="JBX3" s="182"/>
      <c r="JBY3" s="182"/>
      <c r="JBZ3" s="182"/>
      <c r="JCA3" s="182"/>
      <c r="JCB3" s="182"/>
      <c r="JCC3" s="182"/>
      <c r="JCD3" s="182"/>
      <c r="JCE3" s="182"/>
      <c r="JCF3" s="182"/>
      <c r="JCG3" s="182"/>
      <c r="JCH3" s="182"/>
      <c r="JCI3" s="182"/>
      <c r="JCJ3" s="182"/>
      <c r="JCK3" s="182"/>
      <c r="JCL3" s="182"/>
      <c r="JCM3" s="182"/>
      <c r="JCN3" s="182"/>
      <c r="JCO3" s="182"/>
      <c r="JCP3" s="182"/>
      <c r="JCQ3" s="182"/>
      <c r="JCR3" s="182"/>
      <c r="JCS3" s="182"/>
      <c r="JCT3" s="182"/>
      <c r="JCU3" s="182"/>
      <c r="JCV3" s="182"/>
      <c r="JCW3" s="182"/>
      <c r="JCX3" s="182"/>
      <c r="JCY3" s="182"/>
      <c r="JCZ3" s="182"/>
      <c r="JDA3" s="182"/>
      <c r="JDB3" s="182"/>
      <c r="JDC3" s="182"/>
      <c r="JDD3" s="182"/>
      <c r="JDE3" s="182"/>
      <c r="JDF3" s="182"/>
      <c r="JDG3" s="182"/>
      <c r="JDH3" s="182"/>
      <c r="JDI3" s="182"/>
      <c r="JDJ3" s="182"/>
      <c r="JDK3" s="182"/>
      <c r="JDL3" s="182"/>
      <c r="JDM3" s="182"/>
      <c r="JDN3" s="182"/>
      <c r="JDO3" s="182"/>
      <c r="JDP3" s="182"/>
      <c r="JDQ3" s="182"/>
      <c r="JDR3" s="182"/>
      <c r="JDS3" s="182"/>
      <c r="JDT3" s="182"/>
      <c r="JDU3" s="182"/>
      <c r="JDV3" s="182"/>
      <c r="JDW3" s="182"/>
      <c r="JDX3" s="182"/>
      <c r="JDY3" s="182"/>
      <c r="JDZ3" s="182"/>
      <c r="JEA3" s="182"/>
      <c r="JEB3" s="182"/>
      <c r="JEC3" s="182"/>
      <c r="JED3" s="182"/>
      <c r="JEE3" s="182"/>
      <c r="JEF3" s="182"/>
      <c r="JEG3" s="182"/>
      <c r="JEH3" s="182"/>
      <c r="JEI3" s="182"/>
      <c r="JEJ3" s="182"/>
      <c r="JEK3" s="182"/>
      <c r="JEL3" s="182"/>
      <c r="JEM3" s="182"/>
      <c r="JEN3" s="182"/>
      <c r="JEO3" s="182"/>
      <c r="JEP3" s="182"/>
      <c r="JEQ3" s="182"/>
      <c r="JER3" s="182"/>
      <c r="JES3" s="182"/>
      <c r="JET3" s="182"/>
      <c r="JEU3" s="182"/>
      <c r="JEV3" s="182"/>
      <c r="JEW3" s="182"/>
      <c r="JEX3" s="182"/>
      <c r="JEY3" s="182"/>
      <c r="JEZ3" s="182"/>
      <c r="JFA3" s="182"/>
      <c r="JFB3" s="182"/>
      <c r="JFC3" s="182"/>
      <c r="JFD3" s="182"/>
      <c r="JFE3" s="182"/>
      <c r="JFF3" s="182"/>
      <c r="JFG3" s="182"/>
      <c r="JFH3" s="182"/>
      <c r="JFI3" s="182"/>
      <c r="JFJ3" s="182"/>
      <c r="JFK3" s="182"/>
      <c r="JFL3" s="182"/>
      <c r="JFM3" s="182"/>
      <c r="JFN3" s="182"/>
      <c r="JFO3" s="182"/>
      <c r="JFP3" s="182"/>
      <c r="JFQ3" s="182"/>
      <c r="JFR3" s="182"/>
      <c r="JFS3" s="182"/>
      <c r="JFT3" s="182"/>
      <c r="JFU3" s="182"/>
      <c r="JFV3" s="182"/>
      <c r="JFW3" s="182"/>
      <c r="JFX3" s="182"/>
      <c r="JFY3" s="182"/>
      <c r="JFZ3" s="182"/>
      <c r="JGA3" s="182"/>
      <c r="JGB3" s="182"/>
      <c r="JGC3" s="182"/>
      <c r="JGD3" s="182"/>
      <c r="JGE3" s="182"/>
      <c r="JGF3" s="182"/>
      <c r="JGG3" s="182"/>
      <c r="JGH3" s="182"/>
      <c r="JGI3" s="182"/>
      <c r="JGJ3" s="182"/>
      <c r="JGK3" s="182"/>
      <c r="JGL3" s="182"/>
      <c r="JGM3" s="182"/>
      <c r="JGN3" s="182"/>
      <c r="JGO3" s="182"/>
      <c r="JGP3" s="182"/>
      <c r="JGQ3" s="182"/>
      <c r="JGR3" s="182"/>
      <c r="JGS3" s="182"/>
      <c r="JGT3" s="182"/>
      <c r="JGU3" s="182"/>
      <c r="JGV3" s="182"/>
      <c r="JGW3" s="182"/>
      <c r="JGX3" s="182"/>
      <c r="JGY3" s="182"/>
      <c r="JGZ3" s="182"/>
      <c r="JHA3" s="182"/>
      <c r="JHB3" s="182"/>
      <c r="JHC3" s="182"/>
      <c r="JHD3" s="182"/>
      <c r="JHE3" s="182"/>
      <c r="JHF3" s="182"/>
      <c r="JHG3" s="182"/>
      <c r="JHH3" s="182"/>
      <c r="JHI3" s="182"/>
      <c r="JHJ3" s="182"/>
      <c r="JHK3" s="182"/>
      <c r="JHL3" s="182"/>
      <c r="JHM3" s="182"/>
      <c r="JHN3" s="182"/>
      <c r="JHO3" s="182"/>
      <c r="JHP3" s="182"/>
      <c r="JHQ3" s="182"/>
      <c r="JHR3" s="182"/>
      <c r="JHS3" s="182"/>
      <c r="JHT3" s="182"/>
      <c r="JHU3" s="182"/>
      <c r="JHV3" s="182"/>
      <c r="JHW3" s="182"/>
      <c r="JHX3" s="182"/>
      <c r="JHY3" s="182"/>
      <c r="JHZ3" s="182"/>
      <c r="JIA3" s="182"/>
      <c r="JIB3" s="182"/>
      <c r="JIC3" s="182"/>
      <c r="JID3" s="182"/>
      <c r="JIE3" s="182"/>
      <c r="JIF3" s="182"/>
      <c r="JIG3" s="182"/>
      <c r="JIH3" s="182"/>
      <c r="JII3" s="182"/>
      <c r="JIJ3" s="182"/>
      <c r="JIK3" s="182"/>
      <c r="JIL3" s="182"/>
      <c r="JIM3" s="182"/>
      <c r="JIN3" s="182"/>
      <c r="JIO3" s="182"/>
      <c r="JIP3" s="182"/>
      <c r="JIQ3" s="182"/>
      <c r="JIR3" s="182"/>
      <c r="JIS3" s="182"/>
      <c r="JIT3" s="182"/>
      <c r="JIU3" s="182"/>
      <c r="JIV3" s="182"/>
      <c r="JIW3" s="182"/>
      <c r="JIX3" s="182"/>
      <c r="JIY3" s="182"/>
      <c r="JIZ3" s="182"/>
      <c r="JJA3" s="182"/>
      <c r="JJB3" s="182"/>
      <c r="JJC3" s="182"/>
      <c r="JJD3" s="182"/>
      <c r="JJE3" s="182"/>
      <c r="JJF3" s="182"/>
      <c r="JJG3" s="182"/>
      <c r="JJH3" s="182"/>
      <c r="JJI3" s="182"/>
      <c r="JJJ3" s="182"/>
      <c r="JJK3" s="182"/>
      <c r="JJL3" s="182"/>
      <c r="JJM3" s="182"/>
      <c r="JJN3" s="182"/>
      <c r="JJO3" s="182"/>
      <c r="JJP3" s="182"/>
      <c r="JJQ3" s="182"/>
      <c r="JJR3" s="182"/>
      <c r="JJS3" s="182"/>
      <c r="JJT3" s="182"/>
      <c r="JJU3" s="182"/>
      <c r="JJV3" s="182"/>
      <c r="JJW3" s="182"/>
      <c r="JJX3" s="182"/>
      <c r="JJY3" s="182"/>
      <c r="JJZ3" s="182"/>
      <c r="JKA3" s="182"/>
      <c r="JKB3" s="182"/>
      <c r="JKC3" s="182"/>
      <c r="JKD3" s="182"/>
      <c r="JKE3" s="182"/>
      <c r="JKF3" s="182"/>
      <c r="JKG3" s="182"/>
      <c r="JKH3" s="182"/>
      <c r="JKI3" s="182"/>
      <c r="JKJ3" s="182"/>
      <c r="JKK3" s="182"/>
      <c r="JKL3" s="182"/>
      <c r="JKM3" s="182"/>
      <c r="JKN3" s="182"/>
      <c r="JKO3" s="182"/>
      <c r="JKP3" s="182"/>
      <c r="JKQ3" s="182"/>
      <c r="JKR3" s="182"/>
      <c r="JKS3" s="182"/>
      <c r="JKT3" s="182"/>
      <c r="JKU3" s="182"/>
      <c r="JKV3" s="182"/>
      <c r="JKW3" s="182"/>
      <c r="JKX3" s="182"/>
      <c r="JKY3" s="182"/>
      <c r="JKZ3" s="182"/>
      <c r="JLA3" s="182"/>
      <c r="JLB3" s="182"/>
      <c r="JLC3" s="182"/>
      <c r="JLD3" s="182"/>
      <c r="JLE3" s="182"/>
      <c r="JLF3" s="182"/>
      <c r="JLG3" s="182"/>
      <c r="JLH3" s="182"/>
      <c r="JLI3" s="182"/>
      <c r="JLJ3" s="182"/>
      <c r="JLK3" s="182"/>
      <c r="JLL3" s="182"/>
      <c r="JLM3" s="182"/>
      <c r="JLN3" s="182"/>
      <c r="JLO3" s="182"/>
      <c r="JLP3" s="182"/>
      <c r="JLQ3" s="182"/>
      <c r="JLR3" s="182"/>
      <c r="JLS3" s="182"/>
      <c r="JLT3" s="182"/>
      <c r="JLU3" s="182"/>
      <c r="JLV3" s="182"/>
      <c r="JLW3" s="182"/>
      <c r="JLX3" s="182"/>
      <c r="JLY3" s="182"/>
      <c r="JLZ3" s="182"/>
      <c r="JMA3" s="182"/>
      <c r="JMB3" s="182"/>
      <c r="JMC3" s="182"/>
      <c r="JMD3" s="182"/>
      <c r="JME3" s="182"/>
      <c r="JMF3" s="182"/>
      <c r="JMG3" s="182"/>
      <c r="JMH3" s="182"/>
      <c r="JMI3" s="182"/>
      <c r="JMJ3" s="182"/>
      <c r="JMK3" s="182"/>
      <c r="JML3" s="182"/>
      <c r="JMM3" s="182"/>
      <c r="JMN3" s="182"/>
      <c r="JMO3" s="182"/>
      <c r="JMP3" s="182"/>
      <c r="JMQ3" s="182"/>
      <c r="JMR3" s="182"/>
      <c r="JMS3" s="182"/>
      <c r="JMT3" s="182"/>
      <c r="JMU3" s="182"/>
      <c r="JMV3" s="182"/>
      <c r="JMW3" s="182"/>
      <c r="JMX3" s="182"/>
      <c r="JMY3" s="182"/>
      <c r="JMZ3" s="182"/>
      <c r="JNA3" s="182"/>
      <c r="JNB3" s="182"/>
      <c r="JNC3" s="182"/>
      <c r="JND3" s="182"/>
      <c r="JNE3" s="182"/>
      <c r="JNF3" s="182"/>
      <c r="JNG3" s="182"/>
      <c r="JNH3" s="182"/>
      <c r="JNI3" s="182"/>
      <c r="JNJ3" s="182"/>
      <c r="JNK3" s="182"/>
      <c r="JNL3" s="182"/>
      <c r="JNM3" s="182"/>
      <c r="JNN3" s="182"/>
      <c r="JNO3" s="182"/>
      <c r="JNP3" s="182"/>
      <c r="JNQ3" s="182"/>
      <c r="JNR3" s="182"/>
      <c r="JNS3" s="182"/>
      <c r="JNT3" s="182"/>
      <c r="JNU3" s="182"/>
      <c r="JNV3" s="182"/>
      <c r="JNW3" s="182"/>
      <c r="JNX3" s="182"/>
      <c r="JNY3" s="182"/>
      <c r="JNZ3" s="182"/>
      <c r="JOA3" s="182"/>
      <c r="JOB3" s="182"/>
      <c r="JOC3" s="182"/>
      <c r="JOD3" s="182"/>
      <c r="JOE3" s="182"/>
      <c r="JOF3" s="182"/>
      <c r="JOG3" s="182"/>
      <c r="JOH3" s="182"/>
      <c r="JOI3" s="182"/>
      <c r="JOJ3" s="182"/>
      <c r="JOK3" s="182"/>
      <c r="JOL3" s="182"/>
      <c r="JOM3" s="182"/>
      <c r="JON3" s="182"/>
      <c r="JOO3" s="182"/>
      <c r="JOP3" s="182"/>
      <c r="JOQ3" s="182"/>
      <c r="JOR3" s="182"/>
      <c r="JOS3" s="182"/>
      <c r="JOT3" s="182"/>
      <c r="JOU3" s="182"/>
      <c r="JOV3" s="182"/>
      <c r="JOW3" s="182"/>
      <c r="JOX3" s="182"/>
      <c r="JOY3" s="182"/>
      <c r="JOZ3" s="182"/>
      <c r="JPA3" s="182"/>
      <c r="JPB3" s="182"/>
      <c r="JPC3" s="182"/>
      <c r="JPD3" s="182"/>
      <c r="JPE3" s="182"/>
      <c r="JPF3" s="182"/>
      <c r="JPG3" s="182"/>
      <c r="JPH3" s="182"/>
      <c r="JPI3" s="182"/>
      <c r="JPJ3" s="182"/>
      <c r="JPK3" s="182"/>
      <c r="JPL3" s="182"/>
      <c r="JPM3" s="182"/>
      <c r="JPN3" s="182"/>
      <c r="JPO3" s="182"/>
      <c r="JPP3" s="182"/>
      <c r="JPQ3" s="182"/>
      <c r="JPR3" s="182"/>
      <c r="JPS3" s="182"/>
      <c r="JPT3" s="182"/>
      <c r="JPU3" s="182"/>
      <c r="JPV3" s="182"/>
      <c r="JPW3" s="182"/>
      <c r="JPX3" s="182"/>
      <c r="JPY3" s="182"/>
      <c r="JPZ3" s="182"/>
      <c r="JQA3" s="182"/>
      <c r="JQB3" s="182"/>
      <c r="JQC3" s="182"/>
      <c r="JQD3" s="182"/>
      <c r="JQE3" s="182"/>
      <c r="JQF3" s="182"/>
      <c r="JQG3" s="182"/>
      <c r="JQH3" s="182"/>
      <c r="JQI3" s="182"/>
      <c r="JQJ3" s="182"/>
      <c r="JQK3" s="182"/>
      <c r="JQL3" s="182"/>
      <c r="JQM3" s="182"/>
      <c r="JQN3" s="182"/>
      <c r="JQO3" s="182"/>
      <c r="JQP3" s="182"/>
      <c r="JQQ3" s="182"/>
      <c r="JQR3" s="182"/>
      <c r="JQS3" s="182"/>
      <c r="JQT3" s="182"/>
      <c r="JQU3" s="182"/>
      <c r="JQV3" s="182"/>
      <c r="JQW3" s="182"/>
      <c r="JQX3" s="182"/>
      <c r="JQY3" s="182"/>
      <c r="JQZ3" s="182"/>
      <c r="JRA3" s="182"/>
      <c r="JRB3" s="182"/>
      <c r="JRC3" s="182"/>
      <c r="JRD3" s="182"/>
      <c r="JRE3" s="182"/>
      <c r="JRF3" s="182"/>
      <c r="JRG3" s="182"/>
      <c r="JRH3" s="182"/>
      <c r="JRI3" s="182"/>
      <c r="JRJ3" s="182"/>
      <c r="JRK3" s="182"/>
      <c r="JRL3" s="182"/>
      <c r="JRM3" s="182"/>
      <c r="JRN3" s="182"/>
      <c r="JRO3" s="182"/>
      <c r="JRP3" s="182"/>
      <c r="JRQ3" s="182"/>
      <c r="JRR3" s="182"/>
      <c r="JRS3" s="182"/>
      <c r="JRT3" s="182"/>
      <c r="JRU3" s="182"/>
      <c r="JRV3" s="182"/>
      <c r="JRW3" s="182"/>
      <c r="JRX3" s="182"/>
      <c r="JRY3" s="182"/>
      <c r="JRZ3" s="182"/>
      <c r="JSA3" s="182"/>
      <c r="JSB3" s="182"/>
      <c r="JSC3" s="182"/>
      <c r="JSD3" s="182"/>
      <c r="JSE3" s="182"/>
      <c r="JSF3" s="182"/>
      <c r="JSG3" s="182"/>
      <c r="JSH3" s="182"/>
      <c r="JSI3" s="182"/>
      <c r="JSJ3" s="182"/>
      <c r="JSK3" s="182"/>
      <c r="JSL3" s="182"/>
      <c r="JSM3" s="182"/>
      <c r="JSN3" s="182"/>
      <c r="JSO3" s="182"/>
      <c r="JSP3" s="182"/>
      <c r="JSQ3" s="182"/>
      <c r="JSR3" s="182"/>
      <c r="JSS3" s="182"/>
      <c r="JST3" s="182"/>
      <c r="JSU3" s="182"/>
      <c r="JSV3" s="182"/>
      <c r="JSW3" s="182"/>
      <c r="JSX3" s="182"/>
      <c r="JSY3" s="182"/>
      <c r="JSZ3" s="182"/>
      <c r="JTA3" s="182"/>
      <c r="JTB3" s="182"/>
      <c r="JTC3" s="182"/>
      <c r="JTD3" s="182"/>
      <c r="JTE3" s="182"/>
      <c r="JTF3" s="182"/>
      <c r="JTG3" s="182"/>
      <c r="JTH3" s="182"/>
      <c r="JTI3" s="182"/>
      <c r="JTJ3" s="182"/>
      <c r="JTK3" s="182"/>
      <c r="JTL3" s="182"/>
      <c r="JTM3" s="182"/>
      <c r="JTN3" s="182"/>
      <c r="JTO3" s="182"/>
      <c r="JTP3" s="182"/>
      <c r="JTQ3" s="182"/>
      <c r="JTR3" s="182"/>
      <c r="JTS3" s="182"/>
      <c r="JTT3" s="182"/>
      <c r="JTU3" s="182"/>
      <c r="JTV3" s="182"/>
      <c r="JTW3" s="182"/>
      <c r="JTX3" s="182"/>
      <c r="JTY3" s="182"/>
      <c r="JTZ3" s="182"/>
      <c r="JUA3" s="182"/>
      <c r="JUB3" s="182"/>
      <c r="JUC3" s="182"/>
      <c r="JUD3" s="182"/>
      <c r="JUE3" s="182"/>
      <c r="JUF3" s="182"/>
      <c r="JUG3" s="182"/>
      <c r="JUH3" s="182"/>
      <c r="JUI3" s="182"/>
      <c r="JUJ3" s="182"/>
      <c r="JUK3" s="182"/>
      <c r="JUL3" s="182"/>
      <c r="JUM3" s="182"/>
      <c r="JUN3" s="182"/>
      <c r="JUO3" s="182"/>
      <c r="JUP3" s="182"/>
      <c r="JUQ3" s="182"/>
      <c r="JUR3" s="182"/>
      <c r="JUS3" s="182"/>
      <c r="JUT3" s="182"/>
      <c r="JUU3" s="182"/>
      <c r="JUV3" s="182"/>
      <c r="JUW3" s="182"/>
      <c r="JUX3" s="182"/>
      <c r="JUY3" s="182"/>
      <c r="JUZ3" s="182"/>
      <c r="JVA3" s="182"/>
      <c r="JVB3" s="182"/>
      <c r="JVC3" s="182"/>
      <c r="JVD3" s="182"/>
      <c r="JVE3" s="182"/>
      <c r="JVF3" s="182"/>
      <c r="JVG3" s="182"/>
      <c r="JVH3" s="182"/>
      <c r="JVI3" s="182"/>
      <c r="JVJ3" s="182"/>
      <c r="JVK3" s="182"/>
      <c r="JVL3" s="182"/>
      <c r="JVM3" s="182"/>
      <c r="JVN3" s="182"/>
      <c r="JVO3" s="182"/>
      <c r="JVP3" s="182"/>
      <c r="JVQ3" s="182"/>
      <c r="JVR3" s="182"/>
      <c r="JVS3" s="182"/>
      <c r="JVT3" s="182"/>
      <c r="JVU3" s="182"/>
      <c r="JVV3" s="182"/>
      <c r="JVW3" s="182"/>
      <c r="JVX3" s="182"/>
      <c r="JVY3" s="182"/>
      <c r="JVZ3" s="182"/>
      <c r="JWA3" s="182"/>
      <c r="JWB3" s="182"/>
      <c r="JWC3" s="182"/>
      <c r="JWD3" s="182"/>
      <c r="JWE3" s="182"/>
      <c r="JWF3" s="182"/>
      <c r="JWG3" s="182"/>
      <c r="JWH3" s="182"/>
      <c r="JWI3" s="182"/>
      <c r="JWJ3" s="182"/>
      <c r="JWK3" s="182"/>
      <c r="JWL3" s="182"/>
      <c r="JWM3" s="182"/>
      <c r="JWN3" s="182"/>
      <c r="JWO3" s="182"/>
      <c r="JWP3" s="182"/>
      <c r="JWQ3" s="182"/>
      <c r="JWR3" s="182"/>
      <c r="JWS3" s="182"/>
      <c r="JWT3" s="182"/>
      <c r="JWU3" s="182"/>
      <c r="JWV3" s="182"/>
      <c r="JWW3" s="182"/>
      <c r="JWX3" s="182"/>
      <c r="JWY3" s="182"/>
      <c r="JWZ3" s="182"/>
      <c r="JXA3" s="182"/>
      <c r="JXB3" s="182"/>
      <c r="JXC3" s="182"/>
      <c r="JXD3" s="182"/>
      <c r="JXE3" s="182"/>
      <c r="JXF3" s="182"/>
      <c r="JXG3" s="182"/>
      <c r="JXH3" s="182"/>
      <c r="JXI3" s="182"/>
      <c r="JXJ3" s="182"/>
      <c r="JXK3" s="182"/>
      <c r="JXL3" s="182"/>
      <c r="JXM3" s="182"/>
      <c r="JXN3" s="182"/>
      <c r="JXO3" s="182"/>
      <c r="JXP3" s="182"/>
      <c r="JXQ3" s="182"/>
      <c r="JXR3" s="182"/>
      <c r="JXS3" s="182"/>
      <c r="JXT3" s="182"/>
      <c r="JXU3" s="182"/>
      <c r="JXV3" s="182"/>
      <c r="JXW3" s="182"/>
      <c r="JXX3" s="182"/>
      <c r="JXY3" s="182"/>
      <c r="JXZ3" s="182"/>
      <c r="JYA3" s="182"/>
      <c r="JYB3" s="182"/>
      <c r="JYC3" s="182"/>
      <c r="JYD3" s="182"/>
      <c r="JYE3" s="182"/>
      <c r="JYF3" s="182"/>
      <c r="JYG3" s="182"/>
      <c r="JYH3" s="182"/>
      <c r="JYI3" s="182"/>
      <c r="JYJ3" s="182"/>
      <c r="JYK3" s="182"/>
      <c r="JYL3" s="182"/>
      <c r="JYM3" s="182"/>
      <c r="JYN3" s="182"/>
      <c r="JYO3" s="182"/>
      <c r="JYP3" s="182"/>
      <c r="JYQ3" s="182"/>
      <c r="JYR3" s="182"/>
      <c r="JYS3" s="182"/>
      <c r="JYT3" s="182"/>
      <c r="JYU3" s="182"/>
      <c r="JYV3" s="182"/>
      <c r="JYW3" s="182"/>
      <c r="JYX3" s="182"/>
      <c r="JYY3" s="182"/>
      <c r="JYZ3" s="182"/>
      <c r="JZA3" s="182"/>
      <c r="JZB3" s="182"/>
      <c r="JZC3" s="182"/>
      <c r="JZD3" s="182"/>
      <c r="JZE3" s="182"/>
      <c r="JZF3" s="182"/>
      <c r="JZG3" s="182"/>
      <c r="JZH3" s="182"/>
      <c r="JZI3" s="182"/>
      <c r="JZJ3" s="182"/>
      <c r="JZK3" s="182"/>
      <c r="JZL3" s="182"/>
      <c r="JZM3" s="182"/>
      <c r="JZN3" s="182"/>
      <c r="JZO3" s="182"/>
      <c r="JZP3" s="182"/>
      <c r="JZQ3" s="182"/>
      <c r="JZR3" s="182"/>
      <c r="JZS3" s="182"/>
      <c r="JZT3" s="182"/>
      <c r="JZU3" s="182"/>
      <c r="JZV3" s="182"/>
      <c r="JZW3" s="182"/>
      <c r="JZX3" s="182"/>
      <c r="JZY3" s="182"/>
      <c r="JZZ3" s="182"/>
      <c r="KAA3" s="182"/>
      <c r="KAB3" s="182"/>
      <c r="KAC3" s="182"/>
      <c r="KAD3" s="182"/>
      <c r="KAE3" s="182"/>
      <c r="KAF3" s="182"/>
      <c r="KAG3" s="182"/>
      <c r="KAH3" s="182"/>
      <c r="KAI3" s="182"/>
      <c r="KAJ3" s="182"/>
      <c r="KAK3" s="182"/>
      <c r="KAL3" s="182"/>
      <c r="KAM3" s="182"/>
      <c r="KAN3" s="182"/>
      <c r="KAO3" s="182"/>
      <c r="KAP3" s="182"/>
      <c r="KAQ3" s="182"/>
      <c r="KAR3" s="182"/>
      <c r="KAS3" s="182"/>
      <c r="KAT3" s="182"/>
      <c r="KAU3" s="182"/>
      <c r="KAV3" s="182"/>
      <c r="KAW3" s="182"/>
      <c r="KAX3" s="182"/>
      <c r="KAY3" s="182"/>
      <c r="KAZ3" s="182"/>
      <c r="KBA3" s="182"/>
      <c r="KBB3" s="182"/>
      <c r="KBC3" s="182"/>
      <c r="KBD3" s="182"/>
      <c r="KBE3" s="182"/>
      <c r="KBF3" s="182"/>
      <c r="KBG3" s="182"/>
      <c r="KBH3" s="182"/>
      <c r="KBI3" s="182"/>
      <c r="KBJ3" s="182"/>
      <c r="KBK3" s="182"/>
      <c r="KBL3" s="182"/>
      <c r="KBM3" s="182"/>
      <c r="KBN3" s="182"/>
      <c r="KBO3" s="182"/>
      <c r="KBP3" s="182"/>
      <c r="KBQ3" s="182"/>
      <c r="KBR3" s="182"/>
      <c r="KBS3" s="182"/>
      <c r="KBT3" s="182"/>
      <c r="KBU3" s="182"/>
      <c r="KBV3" s="182"/>
      <c r="KBW3" s="182"/>
      <c r="KBX3" s="182"/>
      <c r="KBY3" s="182"/>
      <c r="KBZ3" s="182"/>
      <c r="KCA3" s="182"/>
      <c r="KCB3" s="182"/>
      <c r="KCC3" s="182"/>
      <c r="KCD3" s="182"/>
      <c r="KCE3" s="182"/>
      <c r="KCF3" s="182"/>
      <c r="KCG3" s="182"/>
      <c r="KCH3" s="182"/>
      <c r="KCI3" s="182"/>
      <c r="KCJ3" s="182"/>
      <c r="KCK3" s="182"/>
      <c r="KCL3" s="182"/>
      <c r="KCM3" s="182"/>
      <c r="KCN3" s="182"/>
      <c r="KCO3" s="182"/>
      <c r="KCP3" s="182"/>
      <c r="KCQ3" s="182"/>
      <c r="KCR3" s="182"/>
      <c r="KCS3" s="182"/>
      <c r="KCT3" s="182"/>
      <c r="KCU3" s="182"/>
      <c r="KCV3" s="182"/>
      <c r="KCW3" s="182"/>
      <c r="KCX3" s="182"/>
      <c r="KCY3" s="182"/>
      <c r="KCZ3" s="182"/>
      <c r="KDA3" s="182"/>
      <c r="KDB3" s="182"/>
      <c r="KDC3" s="182"/>
      <c r="KDD3" s="182"/>
      <c r="KDE3" s="182"/>
      <c r="KDF3" s="182"/>
      <c r="KDG3" s="182"/>
      <c r="KDH3" s="182"/>
      <c r="KDI3" s="182"/>
      <c r="KDJ3" s="182"/>
      <c r="KDK3" s="182"/>
      <c r="KDL3" s="182"/>
      <c r="KDM3" s="182"/>
      <c r="KDN3" s="182"/>
      <c r="KDO3" s="182"/>
      <c r="KDP3" s="182"/>
      <c r="KDQ3" s="182"/>
      <c r="KDR3" s="182"/>
      <c r="KDS3" s="182"/>
      <c r="KDT3" s="182"/>
      <c r="KDU3" s="182"/>
      <c r="KDV3" s="182"/>
      <c r="KDW3" s="182"/>
      <c r="KDX3" s="182"/>
      <c r="KDY3" s="182"/>
      <c r="KDZ3" s="182"/>
      <c r="KEA3" s="182"/>
      <c r="KEB3" s="182"/>
      <c r="KEC3" s="182"/>
      <c r="KED3" s="182"/>
      <c r="KEE3" s="182"/>
      <c r="KEF3" s="182"/>
      <c r="KEG3" s="182"/>
      <c r="KEH3" s="182"/>
      <c r="KEI3" s="182"/>
      <c r="KEJ3" s="182"/>
      <c r="KEK3" s="182"/>
      <c r="KEL3" s="182"/>
      <c r="KEM3" s="182"/>
      <c r="KEN3" s="182"/>
      <c r="KEO3" s="182"/>
      <c r="KEP3" s="182"/>
      <c r="KEQ3" s="182"/>
      <c r="KER3" s="182"/>
      <c r="KES3" s="182"/>
      <c r="KET3" s="182"/>
      <c r="KEU3" s="182"/>
      <c r="KEV3" s="182"/>
      <c r="KEW3" s="182"/>
      <c r="KEX3" s="182"/>
      <c r="KEY3" s="182"/>
      <c r="KEZ3" s="182"/>
      <c r="KFA3" s="182"/>
      <c r="KFB3" s="182"/>
      <c r="KFC3" s="182"/>
      <c r="KFD3" s="182"/>
      <c r="KFE3" s="182"/>
      <c r="KFF3" s="182"/>
      <c r="KFG3" s="182"/>
      <c r="KFH3" s="182"/>
      <c r="KFI3" s="182"/>
      <c r="KFJ3" s="182"/>
      <c r="KFK3" s="182"/>
      <c r="KFL3" s="182"/>
      <c r="KFM3" s="182"/>
      <c r="KFN3" s="182"/>
      <c r="KFO3" s="182"/>
      <c r="KFP3" s="182"/>
      <c r="KFQ3" s="182"/>
      <c r="KFR3" s="182"/>
      <c r="KFS3" s="182"/>
      <c r="KFT3" s="182"/>
      <c r="KFU3" s="182"/>
      <c r="KFV3" s="182"/>
      <c r="KFW3" s="182"/>
      <c r="KFX3" s="182"/>
      <c r="KFY3" s="182"/>
      <c r="KFZ3" s="182"/>
      <c r="KGA3" s="182"/>
      <c r="KGB3" s="182"/>
      <c r="KGC3" s="182"/>
      <c r="KGD3" s="182"/>
      <c r="KGE3" s="182"/>
      <c r="KGF3" s="182"/>
      <c r="KGG3" s="182"/>
      <c r="KGH3" s="182"/>
      <c r="KGI3" s="182"/>
      <c r="KGJ3" s="182"/>
      <c r="KGK3" s="182"/>
      <c r="KGL3" s="182"/>
      <c r="KGM3" s="182"/>
      <c r="KGN3" s="182"/>
      <c r="KGO3" s="182"/>
      <c r="KGP3" s="182"/>
      <c r="KGQ3" s="182"/>
      <c r="KGR3" s="182"/>
      <c r="KGS3" s="182"/>
      <c r="KGT3" s="182"/>
      <c r="KGU3" s="182"/>
      <c r="KGV3" s="182"/>
      <c r="KGW3" s="182"/>
      <c r="KGX3" s="182"/>
      <c r="KGY3" s="182"/>
      <c r="KGZ3" s="182"/>
      <c r="KHA3" s="182"/>
      <c r="KHB3" s="182"/>
      <c r="KHC3" s="182"/>
      <c r="KHD3" s="182"/>
      <c r="KHE3" s="182"/>
      <c r="KHF3" s="182"/>
      <c r="KHG3" s="182"/>
      <c r="KHH3" s="182"/>
      <c r="KHI3" s="182"/>
      <c r="KHJ3" s="182"/>
      <c r="KHK3" s="182"/>
      <c r="KHL3" s="182"/>
      <c r="KHM3" s="182"/>
      <c r="KHN3" s="182"/>
      <c r="KHO3" s="182"/>
      <c r="KHP3" s="182"/>
      <c r="KHQ3" s="182"/>
      <c r="KHR3" s="182"/>
      <c r="KHS3" s="182"/>
      <c r="KHT3" s="182"/>
      <c r="KHU3" s="182"/>
      <c r="KHV3" s="182"/>
      <c r="KHW3" s="182"/>
      <c r="KHX3" s="182"/>
      <c r="KHY3" s="182"/>
      <c r="KHZ3" s="182"/>
      <c r="KIA3" s="182"/>
      <c r="KIB3" s="182"/>
      <c r="KIC3" s="182"/>
      <c r="KID3" s="182"/>
      <c r="KIE3" s="182"/>
      <c r="KIF3" s="182"/>
      <c r="KIG3" s="182"/>
      <c r="KIH3" s="182"/>
      <c r="KII3" s="182"/>
      <c r="KIJ3" s="182"/>
      <c r="KIK3" s="182"/>
      <c r="KIL3" s="182"/>
      <c r="KIM3" s="182"/>
      <c r="KIN3" s="182"/>
      <c r="KIO3" s="182"/>
      <c r="KIP3" s="182"/>
      <c r="KIQ3" s="182"/>
      <c r="KIR3" s="182"/>
      <c r="KIS3" s="182"/>
      <c r="KIT3" s="182"/>
      <c r="KIU3" s="182"/>
      <c r="KIV3" s="182"/>
      <c r="KIW3" s="182"/>
      <c r="KIX3" s="182"/>
      <c r="KIY3" s="182"/>
      <c r="KIZ3" s="182"/>
      <c r="KJA3" s="182"/>
      <c r="KJB3" s="182"/>
      <c r="KJC3" s="182"/>
      <c r="KJD3" s="182"/>
      <c r="KJE3" s="182"/>
      <c r="KJF3" s="182"/>
      <c r="KJG3" s="182"/>
      <c r="KJH3" s="182"/>
      <c r="KJI3" s="182"/>
      <c r="KJJ3" s="182"/>
      <c r="KJK3" s="182"/>
      <c r="KJL3" s="182"/>
      <c r="KJM3" s="182"/>
      <c r="KJN3" s="182"/>
      <c r="KJO3" s="182"/>
      <c r="KJP3" s="182"/>
      <c r="KJQ3" s="182"/>
      <c r="KJR3" s="182"/>
      <c r="KJS3" s="182"/>
      <c r="KJT3" s="182"/>
      <c r="KJU3" s="182"/>
      <c r="KJV3" s="182"/>
      <c r="KJW3" s="182"/>
      <c r="KJX3" s="182"/>
      <c r="KJY3" s="182"/>
      <c r="KJZ3" s="182"/>
      <c r="KKA3" s="182"/>
      <c r="KKB3" s="182"/>
      <c r="KKC3" s="182"/>
      <c r="KKD3" s="182"/>
      <c r="KKE3" s="182"/>
      <c r="KKF3" s="182"/>
      <c r="KKG3" s="182"/>
      <c r="KKH3" s="182"/>
      <c r="KKI3" s="182"/>
      <c r="KKJ3" s="182"/>
      <c r="KKK3" s="182"/>
      <c r="KKL3" s="182"/>
      <c r="KKM3" s="182"/>
      <c r="KKN3" s="182"/>
      <c r="KKO3" s="182"/>
      <c r="KKP3" s="182"/>
      <c r="KKQ3" s="182"/>
      <c r="KKR3" s="182"/>
      <c r="KKS3" s="182"/>
      <c r="KKT3" s="182"/>
      <c r="KKU3" s="182"/>
      <c r="KKV3" s="182"/>
      <c r="KKW3" s="182"/>
      <c r="KKX3" s="182"/>
      <c r="KKY3" s="182"/>
      <c r="KKZ3" s="182"/>
      <c r="KLA3" s="182"/>
      <c r="KLB3" s="182"/>
      <c r="KLC3" s="182"/>
      <c r="KLD3" s="182"/>
      <c r="KLE3" s="182"/>
      <c r="KLF3" s="182"/>
      <c r="KLG3" s="182"/>
      <c r="KLH3" s="182"/>
      <c r="KLI3" s="182"/>
      <c r="KLJ3" s="182"/>
      <c r="KLK3" s="182"/>
      <c r="KLL3" s="182"/>
      <c r="KLM3" s="182"/>
      <c r="KLN3" s="182"/>
      <c r="KLO3" s="182"/>
      <c r="KLP3" s="182"/>
      <c r="KLQ3" s="182"/>
      <c r="KLR3" s="182"/>
      <c r="KLS3" s="182"/>
      <c r="KLT3" s="182"/>
      <c r="KLU3" s="182"/>
      <c r="KLV3" s="182"/>
      <c r="KLW3" s="182"/>
      <c r="KLX3" s="182"/>
      <c r="KLY3" s="182"/>
      <c r="KLZ3" s="182"/>
      <c r="KMA3" s="182"/>
      <c r="KMB3" s="182"/>
      <c r="KMC3" s="182"/>
      <c r="KMD3" s="182"/>
      <c r="KME3" s="182"/>
      <c r="KMF3" s="182"/>
      <c r="KMG3" s="182"/>
      <c r="KMH3" s="182"/>
      <c r="KMI3" s="182"/>
      <c r="KMJ3" s="182"/>
      <c r="KMK3" s="182"/>
      <c r="KML3" s="182"/>
      <c r="KMM3" s="182"/>
      <c r="KMN3" s="182"/>
      <c r="KMO3" s="182"/>
      <c r="KMP3" s="182"/>
      <c r="KMQ3" s="182"/>
      <c r="KMR3" s="182"/>
      <c r="KMS3" s="182"/>
      <c r="KMT3" s="182"/>
      <c r="KMU3" s="182"/>
      <c r="KMV3" s="182"/>
      <c r="KMW3" s="182"/>
      <c r="KMX3" s="182"/>
      <c r="KMY3" s="182"/>
      <c r="KMZ3" s="182"/>
      <c r="KNA3" s="182"/>
      <c r="KNB3" s="182"/>
      <c r="KNC3" s="182"/>
      <c r="KND3" s="182"/>
      <c r="KNE3" s="182"/>
      <c r="KNF3" s="182"/>
      <c r="KNG3" s="182"/>
      <c r="KNH3" s="182"/>
      <c r="KNI3" s="182"/>
      <c r="KNJ3" s="182"/>
      <c r="KNK3" s="182"/>
      <c r="KNL3" s="182"/>
      <c r="KNM3" s="182"/>
      <c r="KNN3" s="182"/>
      <c r="KNO3" s="182"/>
      <c r="KNP3" s="182"/>
      <c r="KNQ3" s="182"/>
      <c r="KNR3" s="182"/>
      <c r="KNS3" s="182"/>
      <c r="KNT3" s="182"/>
      <c r="KNU3" s="182"/>
      <c r="KNV3" s="182"/>
      <c r="KNW3" s="182"/>
      <c r="KNX3" s="182"/>
      <c r="KNY3" s="182"/>
      <c r="KNZ3" s="182"/>
      <c r="KOA3" s="182"/>
      <c r="KOB3" s="182"/>
      <c r="KOC3" s="182"/>
      <c r="KOD3" s="182"/>
      <c r="KOE3" s="182"/>
      <c r="KOF3" s="182"/>
      <c r="KOG3" s="182"/>
      <c r="KOH3" s="182"/>
      <c r="KOI3" s="182"/>
      <c r="KOJ3" s="182"/>
      <c r="KOK3" s="182"/>
      <c r="KOL3" s="182"/>
      <c r="KOM3" s="182"/>
      <c r="KON3" s="182"/>
      <c r="KOO3" s="182"/>
      <c r="KOP3" s="182"/>
      <c r="KOQ3" s="182"/>
      <c r="KOR3" s="182"/>
      <c r="KOS3" s="182"/>
      <c r="KOT3" s="182"/>
      <c r="KOU3" s="182"/>
      <c r="KOV3" s="182"/>
      <c r="KOW3" s="182"/>
      <c r="KOX3" s="182"/>
      <c r="KOY3" s="182"/>
      <c r="KOZ3" s="182"/>
      <c r="KPA3" s="182"/>
      <c r="KPB3" s="182"/>
      <c r="KPC3" s="182"/>
      <c r="KPD3" s="182"/>
      <c r="KPE3" s="182"/>
      <c r="KPF3" s="182"/>
      <c r="KPG3" s="182"/>
      <c r="KPH3" s="182"/>
      <c r="KPI3" s="182"/>
      <c r="KPJ3" s="182"/>
      <c r="KPK3" s="182"/>
      <c r="KPL3" s="182"/>
      <c r="KPM3" s="182"/>
      <c r="KPN3" s="182"/>
      <c r="KPO3" s="182"/>
      <c r="KPP3" s="182"/>
      <c r="KPQ3" s="182"/>
      <c r="KPR3" s="182"/>
      <c r="KPS3" s="182"/>
      <c r="KPT3" s="182"/>
      <c r="KPU3" s="182"/>
      <c r="KPV3" s="182"/>
      <c r="KPW3" s="182"/>
      <c r="KPX3" s="182"/>
      <c r="KPY3" s="182"/>
      <c r="KPZ3" s="182"/>
      <c r="KQA3" s="182"/>
      <c r="KQB3" s="182"/>
      <c r="KQC3" s="182"/>
      <c r="KQD3" s="182"/>
      <c r="KQE3" s="182"/>
      <c r="KQF3" s="182"/>
      <c r="KQG3" s="182"/>
      <c r="KQH3" s="182"/>
      <c r="KQI3" s="182"/>
      <c r="KQJ3" s="182"/>
      <c r="KQK3" s="182"/>
      <c r="KQL3" s="182"/>
      <c r="KQM3" s="182"/>
      <c r="KQN3" s="182"/>
      <c r="KQO3" s="182"/>
      <c r="KQP3" s="182"/>
      <c r="KQQ3" s="182"/>
      <c r="KQR3" s="182"/>
      <c r="KQS3" s="182"/>
      <c r="KQT3" s="182"/>
      <c r="KQU3" s="182"/>
      <c r="KQV3" s="182"/>
      <c r="KQW3" s="182"/>
      <c r="KQX3" s="182"/>
      <c r="KQY3" s="182"/>
      <c r="KQZ3" s="182"/>
      <c r="KRA3" s="182"/>
      <c r="KRB3" s="182"/>
      <c r="KRC3" s="182"/>
      <c r="KRD3" s="182"/>
      <c r="KRE3" s="182"/>
      <c r="KRF3" s="182"/>
      <c r="KRG3" s="182"/>
      <c r="KRH3" s="182"/>
      <c r="KRI3" s="182"/>
      <c r="KRJ3" s="182"/>
      <c r="KRK3" s="182"/>
      <c r="KRL3" s="182"/>
      <c r="KRM3" s="182"/>
      <c r="KRN3" s="182"/>
      <c r="KRO3" s="182"/>
      <c r="KRP3" s="182"/>
      <c r="KRQ3" s="182"/>
      <c r="KRR3" s="182"/>
      <c r="KRS3" s="182"/>
      <c r="KRT3" s="182"/>
      <c r="KRU3" s="182"/>
      <c r="KRV3" s="182"/>
      <c r="KRW3" s="182"/>
      <c r="KRX3" s="182"/>
      <c r="KRY3" s="182"/>
      <c r="KRZ3" s="182"/>
      <c r="KSA3" s="182"/>
      <c r="KSB3" s="182"/>
      <c r="KSC3" s="182"/>
      <c r="KSD3" s="182"/>
      <c r="KSE3" s="182"/>
      <c r="KSF3" s="182"/>
      <c r="KSG3" s="182"/>
      <c r="KSH3" s="182"/>
      <c r="KSI3" s="182"/>
      <c r="KSJ3" s="182"/>
      <c r="KSK3" s="182"/>
      <c r="KSL3" s="182"/>
      <c r="KSM3" s="182"/>
      <c r="KSN3" s="182"/>
      <c r="KSO3" s="182"/>
      <c r="KSP3" s="182"/>
      <c r="KSQ3" s="182"/>
      <c r="KSR3" s="182"/>
      <c r="KSS3" s="182"/>
      <c r="KST3" s="182"/>
      <c r="KSU3" s="182"/>
      <c r="KSV3" s="182"/>
      <c r="KSW3" s="182"/>
      <c r="KSX3" s="182"/>
      <c r="KSY3" s="182"/>
      <c r="KSZ3" s="182"/>
      <c r="KTA3" s="182"/>
      <c r="KTB3" s="182"/>
      <c r="KTC3" s="182"/>
      <c r="KTD3" s="182"/>
      <c r="KTE3" s="182"/>
      <c r="KTF3" s="182"/>
      <c r="KTG3" s="182"/>
      <c r="KTH3" s="182"/>
      <c r="KTI3" s="182"/>
      <c r="KTJ3" s="182"/>
      <c r="KTK3" s="182"/>
      <c r="KTL3" s="182"/>
      <c r="KTM3" s="182"/>
      <c r="KTN3" s="182"/>
      <c r="KTO3" s="182"/>
      <c r="KTP3" s="182"/>
      <c r="KTQ3" s="182"/>
      <c r="KTR3" s="182"/>
      <c r="KTS3" s="182"/>
      <c r="KTT3" s="182"/>
      <c r="KTU3" s="182"/>
      <c r="KTV3" s="182"/>
      <c r="KTW3" s="182"/>
      <c r="KTX3" s="182"/>
      <c r="KTY3" s="182"/>
      <c r="KTZ3" s="182"/>
      <c r="KUA3" s="182"/>
      <c r="KUB3" s="182"/>
      <c r="KUC3" s="182"/>
      <c r="KUD3" s="182"/>
      <c r="KUE3" s="182"/>
      <c r="KUF3" s="182"/>
      <c r="KUG3" s="182"/>
      <c r="KUH3" s="182"/>
      <c r="KUI3" s="182"/>
      <c r="KUJ3" s="182"/>
      <c r="KUK3" s="182"/>
      <c r="KUL3" s="182"/>
      <c r="KUM3" s="182"/>
      <c r="KUN3" s="182"/>
      <c r="KUO3" s="182"/>
      <c r="KUP3" s="182"/>
      <c r="KUQ3" s="182"/>
      <c r="KUR3" s="182"/>
      <c r="KUS3" s="182"/>
      <c r="KUT3" s="182"/>
      <c r="KUU3" s="182"/>
      <c r="KUV3" s="182"/>
      <c r="KUW3" s="182"/>
      <c r="KUX3" s="182"/>
      <c r="KUY3" s="182"/>
      <c r="KUZ3" s="182"/>
      <c r="KVA3" s="182"/>
      <c r="KVB3" s="182"/>
      <c r="KVC3" s="182"/>
      <c r="KVD3" s="182"/>
      <c r="KVE3" s="182"/>
      <c r="KVF3" s="182"/>
      <c r="KVG3" s="182"/>
      <c r="KVH3" s="182"/>
      <c r="KVI3" s="182"/>
      <c r="KVJ3" s="182"/>
      <c r="KVK3" s="182"/>
      <c r="KVL3" s="182"/>
      <c r="KVM3" s="182"/>
      <c r="KVN3" s="182"/>
      <c r="KVO3" s="182"/>
      <c r="KVP3" s="182"/>
      <c r="KVQ3" s="182"/>
      <c r="KVR3" s="182"/>
      <c r="KVS3" s="182"/>
      <c r="KVT3" s="182"/>
      <c r="KVU3" s="182"/>
      <c r="KVV3" s="182"/>
      <c r="KVW3" s="182"/>
      <c r="KVX3" s="182"/>
      <c r="KVY3" s="182"/>
      <c r="KVZ3" s="182"/>
      <c r="KWA3" s="182"/>
      <c r="KWB3" s="182"/>
      <c r="KWC3" s="182"/>
      <c r="KWD3" s="182"/>
      <c r="KWE3" s="182"/>
      <c r="KWF3" s="182"/>
      <c r="KWG3" s="182"/>
      <c r="KWH3" s="182"/>
      <c r="KWI3" s="182"/>
      <c r="KWJ3" s="182"/>
      <c r="KWK3" s="182"/>
      <c r="KWL3" s="182"/>
      <c r="KWM3" s="182"/>
      <c r="KWN3" s="182"/>
      <c r="KWO3" s="182"/>
      <c r="KWP3" s="182"/>
      <c r="KWQ3" s="182"/>
      <c r="KWR3" s="182"/>
      <c r="KWS3" s="182"/>
      <c r="KWT3" s="182"/>
      <c r="KWU3" s="182"/>
      <c r="KWV3" s="182"/>
      <c r="KWW3" s="182"/>
      <c r="KWX3" s="182"/>
      <c r="KWY3" s="182"/>
      <c r="KWZ3" s="182"/>
      <c r="KXA3" s="182"/>
      <c r="KXB3" s="182"/>
      <c r="KXC3" s="182"/>
      <c r="KXD3" s="182"/>
      <c r="KXE3" s="182"/>
      <c r="KXF3" s="182"/>
      <c r="KXG3" s="182"/>
      <c r="KXH3" s="182"/>
      <c r="KXI3" s="182"/>
      <c r="KXJ3" s="182"/>
      <c r="KXK3" s="182"/>
      <c r="KXL3" s="182"/>
      <c r="KXM3" s="182"/>
      <c r="KXN3" s="182"/>
      <c r="KXO3" s="182"/>
      <c r="KXP3" s="182"/>
      <c r="KXQ3" s="182"/>
      <c r="KXR3" s="182"/>
      <c r="KXS3" s="182"/>
      <c r="KXT3" s="182"/>
      <c r="KXU3" s="182"/>
      <c r="KXV3" s="182"/>
      <c r="KXW3" s="182"/>
      <c r="KXX3" s="182"/>
      <c r="KXY3" s="182"/>
      <c r="KXZ3" s="182"/>
      <c r="KYA3" s="182"/>
      <c r="KYB3" s="182"/>
      <c r="KYC3" s="182"/>
      <c r="KYD3" s="182"/>
      <c r="KYE3" s="182"/>
      <c r="KYF3" s="182"/>
      <c r="KYG3" s="182"/>
      <c r="KYH3" s="182"/>
      <c r="KYI3" s="182"/>
      <c r="KYJ3" s="182"/>
      <c r="KYK3" s="182"/>
      <c r="KYL3" s="182"/>
      <c r="KYM3" s="182"/>
      <c r="KYN3" s="182"/>
      <c r="KYO3" s="182"/>
      <c r="KYP3" s="182"/>
      <c r="KYQ3" s="182"/>
      <c r="KYR3" s="182"/>
      <c r="KYS3" s="182"/>
      <c r="KYT3" s="182"/>
      <c r="KYU3" s="182"/>
      <c r="KYV3" s="182"/>
      <c r="KYW3" s="182"/>
      <c r="KYX3" s="182"/>
      <c r="KYY3" s="182"/>
      <c r="KYZ3" s="182"/>
      <c r="KZA3" s="182"/>
      <c r="KZB3" s="182"/>
      <c r="KZC3" s="182"/>
      <c r="KZD3" s="182"/>
      <c r="KZE3" s="182"/>
      <c r="KZF3" s="182"/>
      <c r="KZG3" s="182"/>
      <c r="KZH3" s="182"/>
      <c r="KZI3" s="182"/>
      <c r="KZJ3" s="182"/>
      <c r="KZK3" s="182"/>
      <c r="KZL3" s="182"/>
      <c r="KZM3" s="182"/>
      <c r="KZN3" s="182"/>
      <c r="KZO3" s="182"/>
      <c r="KZP3" s="182"/>
      <c r="KZQ3" s="182"/>
      <c r="KZR3" s="182"/>
      <c r="KZS3" s="182"/>
      <c r="KZT3" s="182"/>
      <c r="KZU3" s="182"/>
      <c r="KZV3" s="182"/>
      <c r="KZW3" s="182"/>
      <c r="KZX3" s="182"/>
      <c r="KZY3" s="182"/>
      <c r="KZZ3" s="182"/>
      <c r="LAA3" s="182"/>
      <c r="LAB3" s="182"/>
      <c r="LAC3" s="182"/>
      <c r="LAD3" s="182"/>
      <c r="LAE3" s="182"/>
      <c r="LAF3" s="182"/>
      <c r="LAG3" s="182"/>
      <c r="LAH3" s="182"/>
      <c r="LAI3" s="182"/>
      <c r="LAJ3" s="182"/>
      <c r="LAK3" s="182"/>
      <c r="LAL3" s="182"/>
      <c r="LAM3" s="182"/>
      <c r="LAN3" s="182"/>
      <c r="LAO3" s="182"/>
      <c r="LAP3" s="182"/>
      <c r="LAQ3" s="182"/>
      <c r="LAR3" s="182"/>
      <c r="LAS3" s="182"/>
      <c r="LAT3" s="182"/>
      <c r="LAU3" s="182"/>
      <c r="LAV3" s="182"/>
      <c r="LAW3" s="182"/>
      <c r="LAX3" s="182"/>
      <c r="LAY3" s="182"/>
      <c r="LAZ3" s="182"/>
      <c r="LBA3" s="182"/>
      <c r="LBB3" s="182"/>
      <c r="LBC3" s="182"/>
      <c r="LBD3" s="182"/>
      <c r="LBE3" s="182"/>
      <c r="LBF3" s="182"/>
      <c r="LBG3" s="182"/>
      <c r="LBH3" s="182"/>
      <c r="LBI3" s="182"/>
      <c r="LBJ3" s="182"/>
      <c r="LBK3" s="182"/>
      <c r="LBL3" s="182"/>
      <c r="LBM3" s="182"/>
      <c r="LBN3" s="182"/>
      <c r="LBO3" s="182"/>
      <c r="LBP3" s="182"/>
      <c r="LBQ3" s="182"/>
      <c r="LBR3" s="182"/>
      <c r="LBS3" s="182"/>
      <c r="LBT3" s="182"/>
      <c r="LBU3" s="182"/>
      <c r="LBV3" s="182"/>
      <c r="LBW3" s="182"/>
      <c r="LBX3" s="182"/>
      <c r="LBY3" s="182"/>
      <c r="LBZ3" s="182"/>
      <c r="LCA3" s="182"/>
      <c r="LCB3" s="182"/>
      <c r="LCC3" s="182"/>
      <c r="LCD3" s="182"/>
      <c r="LCE3" s="182"/>
      <c r="LCF3" s="182"/>
      <c r="LCG3" s="182"/>
      <c r="LCH3" s="182"/>
      <c r="LCI3" s="182"/>
      <c r="LCJ3" s="182"/>
      <c r="LCK3" s="182"/>
      <c r="LCL3" s="182"/>
      <c r="LCM3" s="182"/>
      <c r="LCN3" s="182"/>
      <c r="LCO3" s="182"/>
      <c r="LCP3" s="182"/>
      <c r="LCQ3" s="182"/>
      <c r="LCR3" s="182"/>
      <c r="LCS3" s="182"/>
      <c r="LCT3" s="182"/>
      <c r="LCU3" s="182"/>
      <c r="LCV3" s="182"/>
      <c r="LCW3" s="182"/>
      <c r="LCX3" s="182"/>
      <c r="LCY3" s="182"/>
      <c r="LCZ3" s="182"/>
      <c r="LDA3" s="182"/>
      <c r="LDB3" s="182"/>
      <c r="LDC3" s="182"/>
      <c r="LDD3" s="182"/>
      <c r="LDE3" s="182"/>
      <c r="LDF3" s="182"/>
      <c r="LDG3" s="182"/>
      <c r="LDH3" s="182"/>
      <c r="LDI3" s="182"/>
      <c r="LDJ3" s="182"/>
      <c r="LDK3" s="182"/>
      <c r="LDL3" s="182"/>
      <c r="LDM3" s="182"/>
      <c r="LDN3" s="182"/>
      <c r="LDO3" s="182"/>
      <c r="LDP3" s="182"/>
      <c r="LDQ3" s="182"/>
      <c r="LDR3" s="182"/>
      <c r="LDS3" s="182"/>
      <c r="LDT3" s="182"/>
      <c r="LDU3" s="182"/>
      <c r="LDV3" s="182"/>
      <c r="LDW3" s="182"/>
      <c r="LDX3" s="182"/>
      <c r="LDY3" s="182"/>
      <c r="LDZ3" s="182"/>
      <c r="LEA3" s="182"/>
      <c r="LEB3" s="182"/>
      <c r="LEC3" s="182"/>
      <c r="LED3" s="182"/>
      <c r="LEE3" s="182"/>
      <c r="LEF3" s="182"/>
      <c r="LEG3" s="182"/>
      <c r="LEH3" s="182"/>
      <c r="LEI3" s="182"/>
      <c r="LEJ3" s="182"/>
      <c r="LEK3" s="182"/>
      <c r="LEL3" s="182"/>
      <c r="LEM3" s="182"/>
      <c r="LEN3" s="182"/>
      <c r="LEO3" s="182"/>
      <c r="LEP3" s="182"/>
      <c r="LEQ3" s="182"/>
      <c r="LER3" s="182"/>
      <c r="LES3" s="182"/>
      <c r="LET3" s="182"/>
      <c r="LEU3" s="182"/>
      <c r="LEV3" s="182"/>
      <c r="LEW3" s="182"/>
      <c r="LEX3" s="182"/>
      <c r="LEY3" s="182"/>
      <c r="LEZ3" s="182"/>
      <c r="LFA3" s="182"/>
      <c r="LFB3" s="182"/>
      <c r="LFC3" s="182"/>
      <c r="LFD3" s="182"/>
      <c r="LFE3" s="182"/>
      <c r="LFF3" s="182"/>
      <c r="LFG3" s="182"/>
      <c r="LFH3" s="182"/>
      <c r="LFI3" s="182"/>
      <c r="LFJ3" s="182"/>
      <c r="LFK3" s="182"/>
      <c r="LFL3" s="182"/>
      <c r="LFM3" s="182"/>
      <c r="LFN3" s="182"/>
      <c r="LFO3" s="182"/>
      <c r="LFP3" s="182"/>
      <c r="LFQ3" s="182"/>
      <c r="LFR3" s="182"/>
      <c r="LFS3" s="182"/>
      <c r="LFT3" s="182"/>
      <c r="LFU3" s="182"/>
      <c r="LFV3" s="182"/>
      <c r="LFW3" s="182"/>
      <c r="LFX3" s="182"/>
      <c r="LFY3" s="182"/>
      <c r="LFZ3" s="182"/>
      <c r="LGA3" s="182"/>
      <c r="LGB3" s="182"/>
      <c r="LGC3" s="182"/>
      <c r="LGD3" s="182"/>
      <c r="LGE3" s="182"/>
      <c r="LGF3" s="182"/>
      <c r="LGG3" s="182"/>
      <c r="LGH3" s="182"/>
      <c r="LGI3" s="182"/>
      <c r="LGJ3" s="182"/>
      <c r="LGK3" s="182"/>
      <c r="LGL3" s="182"/>
      <c r="LGM3" s="182"/>
      <c r="LGN3" s="182"/>
      <c r="LGO3" s="182"/>
      <c r="LGP3" s="182"/>
      <c r="LGQ3" s="182"/>
      <c r="LGR3" s="182"/>
      <c r="LGS3" s="182"/>
      <c r="LGT3" s="182"/>
      <c r="LGU3" s="182"/>
      <c r="LGV3" s="182"/>
      <c r="LGW3" s="182"/>
      <c r="LGX3" s="182"/>
      <c r="LGY3" s="182"/>
      <c r="LGZ3" s="182"/>
      <c r="LHA3" s="182"/>
      <c r="LHB3" s="182"/>
      <c r="LHC3" s="182"/>
      <c r="LHD3" s="182"/>
      <c r="LHE3" s="182"/>
      <c r="LHF3" s="182"/>
      <c r="LHG3" s="182"/>
      <c r="LHH3" s="182"/>
      <c r="LHI3" s="182"/>
      <c r="LHJ3" s="182"/>
      <c r="LHK3" s="182"/>
      <c r="LHL3" s="182"/>
      <c r="LHM3" s="182"/>
      <c r="LHN3" s="182"/>
      <c r="LHO3" s="182"/>
      <c r="LHP3" s="182"/>
      <c r="LHQ3" s="182"/>
      <c r="LHR3" s="182"/>
      <c r="LHS3" s="182"/>
      <c r="LHT3" s="182"/>
      <c r="LHU3" s="182"/>
      <c r="LHV3" s="182"/>
      <c r="LHW3" s="182"/>
      <c r="LHX3" s="182"/>
      <c r="LHY3" s="182"/>
      <c r="LHZ3" s="182"/>
      <c r="LIA3" s="182"/>
      <c r="LIB3" s="182"/>
      <c r="LIC3" s="182"/>
      <c r="LID3" s="182"/>
      <c r="LIE3" s="182"/>
      <c r="LIF3" s="182"/>
      <c r="LIG3" s="182"/>
      <c r="LIH3" s="182"/>
      <c r="LII3" s="182"/>
      <c r="LIJ3" s="182"/>
      <c r="LIK3" s="182"/>
      <c r="LIL3" s="182"/>
      <c r="LIM3" s="182"/>
      <c r="LIN3" s="182"/>
      <c r="LIO3" s="182"/>
      <c r="LIP3" s="182"/>
      <c r="LIQ3" s="182"/>
      <c r="LIR3" s="182"/>
      <c r="LIS3" s="182"/>
      <c r="LIT3" s="182"/>
      <c r="LIU3" s="182"/>
      <c r="LIV3" s="182"/>
      <c r="LIW3" s="182"/>
      <c r="LIX3" s="182"/>
      <c r="LIY3" s="182"/>
      <c r="LIZ3" s="182"/>
      <c r="LJA3" s="182"/>
      <c r="LJB3" s="182"/>
      <c r="LJC3" s="182"/>
      <c r="LJD3" s="182"/>
      <c r="LJE3" s="182"/>
      <c r="LJF3" s="182"/>
      <c r="LJG3" s="182"/>
      <c r="LJH3" s="182"/>
      <c r="LJI3" s="182"/>
      <c r="LJJ3" s="182"/>
      <c r="LJK3" s="182"/>
      <c r="LJL3" s="182"/>
      <c r="LJM3" s="182"/>
      <c r="LJN3" s="182"/>
      <c r="LJO3" s="182"/>
      <c r="LJP3" s="182"/>
      <c r="LJQ3" s="182"/>
      <c r="LJR3" s="182"/>
      <c r="LJS3" s="182"/>
      <c r="LJT3" s="182"/>
      <c r="LJU3" s="182"/>
      <c r="LJV3" s="182"/>
      <c r="LJW3" s="182"/>
      <c r="LJX3" s="182"/>
      <c r="LJY3" s="182"/>
      <c r="LJZ3" s="182"/>
      <c r="LKA3" s="182"/>
      <c r="LKB3" s="182"/>
      <c r="LKC3" s="182"/>
      <c r="LKD3" s="182"/>
      <c r="LKE3" s="182"/>
      <c r="LKF3" s="182"/>
      <c r="LKG3" s="182"/>
      <c r="LKH3" s="182"/>
      <c r="LKI3" s="182"/>
      <c r="LKJ3" s="182"/>
      <c r="LKK3" s="182"/>
      <c r="LKL3" s="182"/>
      <c r="LKM3" s="182"/>
      <c r="LKN3" s="182"/>
      <c r="LKO3" s="182"/>
      <c r="LKP3" s="182"/>
      <c r="LKQ3" s="182"/>
      <c r="LKR3" s="182"/>
      <c r="LKS3" s="182"/>
      <c r="LKT3" s="182"/>
      <c r="LKU3" s="182"/>
      <c r="LKV3" s="182"/>
      <c r="LKW3" s="182"/>
      <c r="LKX3" s="182"/>
      <c r="LKY3" s="182"/>
      <c r="LKZ3" s="182"/>
      <c r="LLA3" s="182"/>
      <c r="LLB3" s="182"/>
      <c r="LLC3" s="182"/>
      <c r="LLD3" s="182"/>
      <c r="LLE3" s="182"/>
      <c r="LLF3" s="182"/>
      <c r="LLG3" s="182"/>
      <c r="LLH3" s="182"/>
      <c r="LLI3" s="182"/>
      <c r="LLJ3" s="182"/>
      <c r="LLK3" s="182"/>
      <c r="LLL3" s="182"/>
      <c r="LLM3" s="182"/>
      <c r="LLN3" s="182"/>
      <c r="LLO3" s="182"/>
      <c r="LLP3" s="182"/>
      <c r="LLQ3" s="182"/>
      <c r="LLR3" s="182"/>
      <c r="LLS3" s="182"/>
      <c r="LLT3" s="182"/>
      <c r="LLU3" s="182"/>
      <c r="LLV3" s="182"/>
      <c r="LLW3" s="182"/>
      <c r="LLX3" s="182"/>
      <c r="LLY3" s="182"/>
      <c r="LLZ3" s="182"/>
      <c r="LMA3" s="182"/>
      <c r="LMB3" s="182"/>
      <c r="LMC3" s="182"/>
      <c r="LMD3" s="182"/>
      <c r="LME3" s="182"/>
      <c r="LMF3" s="182"/>
      <c r="LMG3" s="182"/>
      <c r="LMH3" s="182"/>
      <c r="LMI3" s="182"/>
      <c r="LMJ3" s="182"/>
      <c r="LMK3" s="182"/>
      <c r="LML3" s="182"/>
      <c r="LMM3" s="182"/>
      <c r="LMN3" s="182"/>
      <c r="LMO3" s="182"/>
      <c r="LMP3" s="182"/>
      <c r="LMQ3" s="182"/>
      <c r="LMR3" s="182"/>
      <c r="LMS3" s="182"/>
      <c r="LMT3" s="182"/>
      <c r="LMU3" s="182"/>
      <c r="LMV3" s="182"/>
      <c r="LMW3" s="182"/>
      <c r="LMX3" s="182"/>
      <c r="LMY3" s="182"/>
      <c r="LMZ3" s="182"/>
      <c r="LNA3" s="182"/>
      <c r="LNB3" s="182"/>
      <c r="LNC3" s="182"/>
      <c r="LND3" s="182"/>
      <c r="LNE3" s="182"/>
      <c r="LNF3" s="182"/>
      <c r="LNG3" s="182"/>
      <c r="LNH3" s="182"/>
      <c r="LNI3" s="182"/>
      <c r="LNJ3" s="182"/>
      <c r="LNK3" s="182"/>
      <c r="LNL3" s="182"/>
      <c r="LNM3" s="182"/>
      <c r="LNN3" s="182"/>
      <c r="LNO3" s="182"/>
      <c r="LNP3" s="182"/>
      <c r="LNQ3" s="182"/>
      <c r="LNR3" s="182"/>
      <c r="LNS3" s="182"/>
      <c r="LNT3" s="182"/>
      <c r="LNU3" s="182"/>
      <c r="LNV3" s="182"/>
      <c r="LNW3" s="182"/>
      <c r="LNX3" s="182"/>
      <c r="LNY3" s="182"/>
      <c r="LNZ3" s="182"/>
      <c r="LOA3" s="182"/>
      <c r="LOB3" s="182"/>
      <c r="LOC3" s="182"/>
      <c r="LOD3" s="182"/>
      <c r="LOE3" s="182"/>
      <c r="LOF3" s="182"/>
      <c r="LOG3" s="182"/>
      <c r="LOH3" s="182"/>
      <c r="LOI3" s="182"/>
      <c r="LOJ3" s="182"/>
      <c r="LOK3" s="182"/>
      <c r="LOL3" s="182"/>
      <c r="LOM3" s="182"/>
      <c r="LON3" s="182"/>
      <c r="LOO3" s="182"/>
      <c r="LOP3" s="182"/>
      <c r="LOQ3" s="182"/>
      <c r="LOR3" s="182"/>
      <c r="LOS3" s="182"/>
      <c r="LOT3" s="182"/>
      <c r="LOU3" s="182"/>
      <c r="LOV3" s="182"/>
      <c r="LOW3" s="182"/>
      <c r="LOX3" s="182"/>
      <c r="LOY3" s="182"/>
      <c r="LOZ3" s="182"/>
      <c r="LPA3" s="182"/>
      <c r="LPB3" s="182"/>
      <c r="LPC3" s="182"/>
      <c r="LPD3" s="182"/>
      <c r="LPE3" s="182"/>
      <c r="LPF3" s="182"/>
      <c r="LPG3" s="182"/>
      <c r="LPH3" s="182"/>
      <c r="LPI3" s="182"/>
      <c r="LPJ3" s="182"/>
      <c r="LPK3" s="182"/>
      <c r="LPL3" s="182"/>
      <c r="LPM3" s="182"/>
      <c r="LPN3" s="182"/>
      <c r="LPO3" s="182"/>
      <c r="LPP3" s="182"/>
      <c r="LPQ3" s="182"/>
      <c r="LPR3" s="182"/>
      <c r="LPS3" s="182"/>
      <c r="LPT3" s="182"/>
      <c r="LPU3" s="182"/>
      <c r="LPV3" s="182"/>
      <c r="LPW3" s="182"/>
      <c r="LPX3" s="182"/>
      <c r="LPY3" s="182"/>
      <c r="LPZ3" s="182"/>
      <c r="LQA3" s="182"/>
      <c r="LQB3" s="182"/>
      <c r="LQC3" s="182"/>
      <c r="LQD3" s="182"/>
      <c r="LQE3" s="182"/>
      <c r="LQF3" s="182"/>
      <c r="LQG3" s="182"/>
      <c r="LQH3" s="182"/>
      <c r="LQI3" s="182"/>
      <c r="LQJ3" s="182"/>
      <c r="LQK3" s="182"/>
      <c r="LQL3" s="182"/>
      <c r="LQM3" s="182"/>
      <c r="LQN3" s="182"/>
      <c r="LQO3" s="182"/>
      <c r="LQP3" s="182"/>
      <c r="LQQ3" s="182"/>
      <c r="LQR3" s="182"/>
      <c r="LQS3" s="182"/>
      <c r="LQT3" s="182"/>
      <c r="LQU3" s="182"/>
      <c r="LQV3" s="182"/>
      <c r="LQW3" s="182"/>
      <c r="LQX3" s="182"/>
      <c r="LQY3" s="182"/>
      <c r="LQZ3" s="182"/>
      <c r="LRA3" s="182"/>
      <c r="LRB3" s="182"/>
      <c r="LRC3" s="182"/>
      <c r="LRD3" s="182"/>
      <c r="LRE3" s="182"/>
      <c r="LRF3" s="182"/>
      <c r="LRG3" s="182"/>
      <c r="LRH3" s="182"/>
      <c r="LRI3" s="182"/>
      <c r="LRJ3" s="182"/>
      <c r="LRK3" s="182"/>
      <c r="LRL3" s="182"/>
      <c r="LRM3" s="182"/>
      <c r="LRN3" s="182"/>
      <c r="LRO3" s="182"/>
      <c r="LRP3" s="182"/>
      <c r="LRQ3" s="182"/>
      <c r="LRR3" s="182"/>
      <c r="LRS3" s="182"/>
      <c r="LRT3" s="182"/>
      <c r="LRU3" s="182"/>
      <c r="LRV3" s="182"/>
      <c r="LRW3" s="182"/>
      <c r="LRX3" s="182"/>
      <c r="LRY3" s="182"/>
      <c r="LRZ3" s="182"/>
      <c r="LSA3" s="182"/>
      <c r="LSB3" s="182"/>
      <c r="LSC3" s="182"/>
      <c r="LSD3" s="182"/>
      <c r="LSE3" s="182"/>
      <c r="LSF3" s="182"/>
      <c r="LSG3" s="182"/>
      <c r="LSH3" s="182"/>
      <c r="LSI3" s="182"/>
      <c r="LSJ3" s="182"/>
      <c r="LSK3" s="182"/>
      <c r="LSL3" s="182"/>
      <c r="LSM3" s="182"/>
      <c r="LSN3" s="182"/>
      <c r="LSO3" s="182"/>
      <c r="LSP3" s="182"/>
      <c r="LSQ3" s="182"/>
      <c r="LSR3" s="182"/>
      <c r="LSS3" s="182"/>
      <c r="LST3" s="182"/>
      <c r="LSU3" s="182"/>
      <c r="LSV3" s="182"/>
      <c r="LSW3" s="182"/>
      <c r="LSX3" s="182"/>
      <c r="LSY3" s="182"/>
      <c r="LSZ3" s="182"/>
      <c r="LTA3" s="182"/>
      <c r="LTB3" s="182"/>
      <c r="LTC3" s="182"/>
      <c r="LTD3" s="182"/>
      <c r="LTE3" s="182"/>
      <c r="LTF3" s="182"/>
      <c r="LTG3" s="182"/>
      <c r="LTH3" s="182"/>
      <c r="LTI3" s="182"/>
      <c r="LTJ3" s="182"/>
      <c r="LTK3" s="182"/>
      <c r="LTL3" s="182"/>
      <c r="LTM3" s="182"/>
      <c r="LTN3" s="182"/>
      <c r="LTO3" s="182"/>
      <c r="LTP3" s="182"/>
      <c r="LTQ3" s="182"/>
      <c r="LTR3" s="182"/>
      <c r="LTS3" s="182"/>
      <c r="LTT3" s="182"/>
      <c r="LTU3" s="182"/>
      <c r="LTV3" s="182"/>
      <c r="LTW3" s="182"/>
      <c r="LTX3" s="182"/>
      <c r="LTY3" s="182"/>
      <c r="LTZ3" s="182"/>
      <c r="LUA3" s="182"/>
      <c r="LUB3" s="182"/>
      <c r="LUC3" s="182"/>
      <c r="LUD3" s="182"/>
      <c r="LUE3" s="182"/>
      <c r="LUF3" s="182"/>
      <c r="LUG3" s="182"/>
      <c r="LUH3" s="182"/>
      <c r="LUI3" s="182"/>
      <c r="LUJ3" s="182"/>
      <c r="LUK3" s="182"/>
      <c r="LUL3" s="182"/>
      <c r="LUM3" s="182"/>
      <c r="LUN3" s="182"/>
      <c r="LUO3" s="182"/>
      <c r="LUP3" s="182"/>
      <c r="LUQ3" s="182"/>
      <c r="LUR3" s="182"/>
      <c r="LUS3" s="182"/>
      <c r="LUT3" s="182"/>
      <c r="LUU3" s="182"/>
      <c r="LUV3" s="182"/>
      <c r="LUW3" s="182"/>
      <c r="LUX3" s="182"/>
      <c r="LUY3" s="182"/>
      <c r="LUZ3" s="182"/>
      <c r="LVA3" s="182"/>
      <c r="LVB3" s="182"/>
      <c r="LVC3" s="182"/>
      <c r="LVD3" s="182"/>
      <c r="LVE3" s="182"/>
      <c r="LVF3" s="182"/>
      <c r="LVG3" s="182"/>
      <c r="LVH3" s="182"/>
      <c r="LVI3" s="182"/>
      <c r="LVJ3" s="182"/>
      <c r="LVK3" s="182"/>
      <c r="LVL3" s="182"/>
      <c r="LVM3" s="182"/>
      <c r="LVN3" s="182"/>
      <c r="LVO3" s="182"/>
      <c r="LVP3" s="182"/>
      <c r="LVQ3" s="182"/>
      <c r="LVR3" s="182"/>
      <c r="LVS3" s="182"/>
      <c r="LVT3" s="182"/>
      <c r="LVU3" s="182"/>
      <c r="LVV3" s="182"/>
      <c r="LVW3" s="182"/>
      <c r="LVX3" s="182"/>
      <c r="LVY3" s="182"/>
      <c r="LVZ3" s="182"/>
      <c r="LWA3" s="182"/>
      <c r="LWB3" s="182"/>
      <c r="LWC3" s="182"/>
      <c r="LWD3" s="182"/>
      <c r="LWE3" s="182"/>
      <c r="LWF3" s="182"/>
      <c r="LWG3" s="182"/>
      <c r="LWH3" s="182"/>
      <c r="LWI3" s="182"/>
      <c r="LWJ3" s="182"/>
      <c r="LWK3" s="182"/>
      <c r="LWL3" s="182"/>
      <c r="LWM3" s="182"/>
      <c r="LWN3" s="182"/>
      <c r="LWO3" s="182"/>
      <c r="LWP3" s="182"/>
      <c r="LWQ3" s="182"/>
      <c r="LWR3" s="182"/>
      <c r="LWS3" s="182"/>
      <c r="LWT3" s="182"/>
      <c r="LWU3" s="182"/>
      <c r="LWV3" s="182"/>
      <c r="LWW3" s="182"/>
      <c r="LWX3" s="182"/>
      <c r="LWY3" s="182"/>
      <c r="LWZ3" s="182"/>
      <c r="LXA3" s="182"/>
      <c r="LXB3" s="182"/>
      <c r="LXC3" s="182"/>
      <c r="LXD3" s="182"/>
      <c r="LXE3" s="182"/>
      <c r="LXF3" s="182"/>
      <c r="LXG3" s="182"/>
      <c r="LXH3" s="182"/>
      <c r="LXI3" s="182"/>
      <c r="LXJ3" s="182"/>
      <c r="LXK3" s="182"/>
      <c r="LXL3" s="182"/>
      <c r="LXM3" s="182"/>
      <c r="LXN3" s="182"/>
      <c r="LXO3" s="182"/>
      <c r="LXP3" s="182"/>
      <c r="LXQ3" s="182"/>
      <c r="LXR3" s="182"/>
      <c r="LXS3" s="182"/>
      <c r="LXT3" s="182"/>
      <c r="LXU3" s="182"/>
      <c r="LXV3" s="182"/>
      <c r="LXW3" s="182"/>
      <c r="LXX3" s="182"/>
      <c r="LXY3" s="182"/>
      <c r="LXZ3" s="182"/>
      <c r="LYA3" s="182"/>
      <c r="LYB3" s="182"/>
      <c r="LYC3" s="182"/>
      <c r="LYD3" s="182"/>
      <c r="LYE3" s="182"/>
      <c r="LYF3" s="182"/>
      <c r="LYG3" s="182"/>
      <c r="LYH3" s="182"/>
      <c r="LYI3" s="182"/>
      <c r="LYJ3" s="182"/>
      <c r="LYK3" s="182"/>
      <c r="LYL3" s="182"/>
      <c r="LYM3" s="182"/>
      <c r="LYN3" s="182"/>
      <c r="LYO3" s="182"/>
      <c r="LYP3" s="182"/>
      <c r="LYQ3" s="182"/>
      <c r="LYR3" s="182"/>
      <c r="LYS3" s="182"/>
      <c r="LYT3" s="182"/>
      <c r="LYU3" s="182"/>
      <c r="LYV3" s="182"/>
      <c r="LYW3" s="182"/>
      <c r="LYX3" s="182"/>
      <c r="LYY3" s="182"/>
      <c r="LYZ3" s="182"/>
      <c r="LZA3" s="182"/>
      <c r="LZB3" s="182"/>
      <c r="LZC3" s="182"/>
      <c r="LZD3" s="182"/>
      <c r="LZE3" s="182"/>
      <c r="LZF3" s="182"/>
      <c r="LZG3" s="182"/>
      <c r="LZH3" s="182"/>
      <c r="LZI3" s="182"/>
      <c r="LZJ3" s="182"/>
      <c r="LZK3" s="182"/>
      <c r="LZL3" s="182"/>
      <c r="LZM3" s="182"/>
      <c r="LZN3" s="182"/>
      <c r="LZO3" s="182"/>
      <c r="LZP3" s="182"/>
      <c r="LZQ3" s="182"/>
      <c r="LZR3" s="182"/>
      <c r="LZS3" s="182"/>
      <c r="LZT3" s="182"/>
      <c r="LZU3" s="182"/>
      <c r="LZV3" s="182"/>
      <c r="LZW3" s="182"/>
      <c r="LZX3" s="182"/>
      <c r="LZY3" s="182"/>
      <c r="LZZ3" s="182"/>
      <c r="MAA3" s="182"/>
      <c r="MAB3" s="182"/>
      <c r="MAC3" s="182"/>
      <c r="MAD3" s="182"/>
      <c r="MAE3" s="182"/>
      <c r="MAF3" s="182"/>
      <c r="MAG3" s="182"/>
      <c r="MAH3" s="182"/>
      <c r="MAI3" s="182"/>
      <c r="MAJ3" s="182"/>
      <c r="MAK3" s="182"/>
      <c r="MAL3" s="182"/>
      <c r="MAM3" s="182"/>
      <c r="MAN3" s="182"/>
      <c r="MAO3" s="182"/>
      <c r="MAP3" s="182"/>
      <c r="MAQ3" s="182"/>
      <c r="MAR3" s="182"/>
      <c r="MAS3" s="182"/>
      <c r="MAT3" s="182"/>
      <c r="MAU3" s="182"/>
      <c r="MAV3" s="182"/>
      <c r="MAW3" s="182"/>
      <c r="MAX3" s="182"/>
      <c r="MAY3" s="182"/>
      <c r="MAZ3" s="182"/>
      <c r="MBA3" s="182"/>
      <c r="MBB3" s="182"/>
      <c r="MBC3" s="182"/>
      <c r="MBD3" s="182"/>
      <c r="MBE3" s="182"/>
      <c r="MBF3" s="182"/>
      <c r="MBG3" s="182"/>
      <c r="MBH3" s="182"/>
      <c r="MBI3" s="182"/>
      <c r="MBJ3" s="182"/>
      <c r="MBK3" s="182"/>
      <c r="MBL3" s="182"/>
      <c r="MBM3" s="182"/>
      <c r="MBN3" s="182"/>
      <c r="MBO3" s="182"/>
      <c r="MBP3" s="182"/>
      <c r="MBQ3" s="182"/>
      <c r="MBR3" s="182"/>
      <c r="MBS3" s="182"/>
      <c r="MBT3" s="182"/>
      <c r="MBU3" s="182"/>
      <c r="MBV3" s="182"/>
      <c r="MBW3" s="182"/>
      <c r="MBX3" s="182"/>
      <c r="MBY3" s="182"/>
      <c r="MBZ3" s="182"/>
      <c r="MCA3" s="182"/>
      <c r="MCB3" s="182"/>
      <c r="MCC3" s="182"/>
      <c r="MCD3" s="182"/>
      <c r="MCE3" s="182"/>
      <c r="MCF3" s="182"/>
      <c r="MCG3" s="182"/>
      <c r="MCH3" s="182"/>
      <c r="MCI3" s="182"/>
      <c r="MCJ3" s="182"/>
      <c r="MCK3" s="182"/>
      <c r="MCL3" s="182"/>
      <c r="MCM3" s="182"/>
      <c r="MCN3" s="182"/>
      <c r="MCO3" s="182"/>
      <c r="MCP3" s="182"/>
      <c r="MCQ3" s="182"/>
      <c r="MCR3" s="182"/>
      <c r="MCS3" s="182"/>
      <c r="MCT3" s="182"/>
      <c r="MCU3" s="182"/>
      <c r="MCV3" s="182"/>
      <c r="MCW3" s="182"/>
      <c r="MCX3" s="182"/>
      <c r="MCY3" s="182"/>
      <c r="MCZ3" s="182"/>
      <c r="MDA3" s="182"/>
      <c r="MDB3" s="182"/>
      <c r="MDC3" s="182"/>
      <c r="MDD3" s="182"/>
      <c r="MDE3" s="182"/>
      <c r="MDF3" s="182"/>
      <c r="MDG3" s="182"/>
      <c r="MDH3" s="182"/>
      <c r="MDI3" s="182"/>
      <c r="MDJ3" s="182"/>
      <c r="MDK3" s="182"/>
      <c r="MDL3" s="182"/>
      <c r="MDM3" s="182"/>
      <c r="MDN3" s="182"/>
      <c r="MDO3" s="182"/>
      <c r="MDP3" s="182"/>
      <c r="MDQ3" s="182"/>
      <c r="MDR3" s="182"/>
      <c r="MDS3" s="182"/>
      <c r="MDT3" s="182"/>
      <c r="MDU3" s="182"/>
      <c r="MDV3" s="182"/>
      <c r="MDW3" s="182"/>
      <c r="MDX3" s="182"/>
      <c r="MDY3" s="182"/>
      <c r="MDZ3" s="182"/>
      <c r="MEA3" s="182"/>
      <c r="MEB3" s="182"/>
      <c r="MEC3" s="182"/>
      <c r="MED3" s="182"/>
      <c r="MEE3" s="182"/>
      <c r="MEF3" s="182"/>
      <c r="MEG3" s="182"/>
      <c r="MEH3" s="182"/>
      <c r="MEI3" s="182"/>
      <c r="MEJ3" s="182"/>
      <c r="MEK3" s="182"/>
      <c r="MEL3" s="182"/>
      <c r="MEM3" s="182"/>
      <c r="MEN3" s="182"/>
      <c r="MEO3" s="182"/>
      <c r="MEP3" s="182"/>
      <c r="MEQ3" s="182"/>
      <c r="MER3" s="182"/>
      <c r="MES3" s="182"/>
      <c r="MET3" s="182"/>
      <c r="MEU3" s="182"/>
      <c r="MEV3" s="182"/>
      <c r="MEW3" s="182"/>
      <c r="MEX3" s="182"/>
      <c r="MEY3" s="182"/>
      <c r="MEZ3" s="182"/>
      <c r="MFA3" s="182"/>
      <c r="MFB3" s="182"/>
      <c r="MFC3" s="182"/>
      <c r="MFD3" s="182"/>
      <c r="MFE3" s="182"/>
      <c r="MFF3" s="182"/>
      <c r="MFG3" s="182"/>
      <c r="MFH3" s="182"/>
      <c r="MFI3" s="182"/>
      <c r="MFJ3" s="182"/>
      <c r="MFK3" s="182"/>
      <c r="MFL3" s="182"/>
      <c r="MFM3" s="182"/>
      <c r="MFN3" s="182"/>
      <c r="MFO3" s="182"/>
      <c r="MFP3" s="182"/>
      <c r="MFQ3" s="182"/>
      <c r="MFR3" s="182"/>
      <c r="MFS3" s="182"/>
      <c r="MFT3" s="182"/>
      <c r="MFU3" s="182"/>
      <c r="MFV3" s="182"/>
      <c r="MFW3" s="182"/>
      <c r="MFX3" s="182"/>
      <c r="MFY3" s="182"/>
      <c r="MFZ3" s="182"/>
      <c r="MGA3" s="182"/>
      <c r="MGB3" s="182"/>
      <c r="MGC3" s="182"/>
      <c r="MGD3" s="182"/>
      <c r="MGE3" s="182"/>
      <c r="MGF3" s="182"/>
      <c r="MGG3" s="182"/>
      <c r="MGH3" s="182"/>
      <c r="MGI3" s="182"/>
      <c r="MGJ3" s="182"/>
      <c r="MGK3" s="182"/>
      <c r="MGL3" s="182"/>
      <c r="MGM3" s="182"/>
      <c r="MGN3" s="182"/>
      <c r="MGO3" s="182"/>
      <c r="MGP3" s="182"/>
      <c r="MGQ3" s="182"/>
      <c r="MGR3" s="182"/>
      <c r="MGS3" s="182"/>
      <c r="MGT3" s="182"/>
      <c r="MGU3" s="182"/>
      <c r="MGV3" s="182"/>
      <c r="MGW3" s="182"/>
      <c r="MGX3" s="182"/>
      <c r="MGY3" s="182"/>
      <c r="MGZ3" s="182"/>
      <c r="MHA3" s="182"/>
      <c r="MHB3" s="182"/>
      <c r="MHC3" s="182"/>
      <c r="MHD3" s="182"/>
      <c r="MHE3" s="182"/>
      <c r="MHF3" s="182"/>
      <c r="MHG3" s="182"/>
      <c r="MHH3" s="182"/>
      <c r="MHI3" s="182"/>
      <c r="MHJ3" s="182"/>
      <c r="MHK3" s="182"/>
      <c r="MHL3" s="182"/>
      <c r="MHM3" s="182"/>
      <c r="MHN3" s="182"/>
      <c r="MHO3" s="182"/>
      <c r="MHP3" s="182"/>
      <c r="MHQ3" s="182"/>
      <c r="MHR3" s="182"/>
      <c r="MHS3" s="182"/>
      <c r="MHT3" s="182"/>
      <c r="MHU3" s="182"/>
      <c r="MHV3" s="182"/>
      <c r="MHW3" s="182"/>
      <c r="MHX3" s="182"/>
      <c r="MHY3" s="182"/>
      <c r="MHZ3" s="182"/>
      <c r="MIA3" s="182"/>
      <c r="MIB3" s="182"/>
      <c r="MIC3" s="182"/>
      <c r="MID3" s="182"/>
      <c r="MIE3" s="182"/>
      <c r="MIF3" s="182"/>
      <c r="MIG3" s="182"/>
      <c r="MIH3" s="182"/>
      <c r="MII3" s="182"/>
      <c r="MIJ3" s="182"/>
      <c r="MIK3" s="182"/>
      <c r="MIL3" s="182"/>
      <c r="MIM3" s="182"/>
      <c r="MIN3" s="182"/>
      <c r="MIO3" s="182"/>
      <c r="MIP3" s="182"/>
      <c r="MIQ3" s="182"/>
      <c r="MIR3" s="182"/>
      <c r="MIS3" s="182"/>
      <c r="MIT3" s="182"/>
      <c r="MIU3" s="182"/>
      <c r="MIV3" s="182"/>
      <c r="MIW3" s="182"/>
      <c r="MIX3" s="182"/>
      <c r="MIY3" s="182"/>
      <c r="MIZ3" s="182"/>
      <c r="MJA3" s="182"/>
      <c r="MJB3" s="182"/>
      <c r="MJC3" s="182"/>
      <c r="MJD3" s="182"/>
      <c r="MJE3" s="182"/>
      <c r="MJF3" s="182"/>
      <c r="MJG3" s="182"/>
      <c r="MJH3" s="182"/>
      <c r="MJI3" s="182"/>
      <c r="MJJ3" s="182"/>
      <c r="MJK3" s="182"/>
      <c r="MJL3" s="182"/>
      <c r="MJM3" s="182"/>
      <c r="MJN3" s="182"/>
      <c r="MJO3" s="182"/>
      <c r="MJP3" s="182"/>
      <c r="MJQ3" s="182"/>
      <c r="MJR3" s="182"/>
      <c r="MJS3" s="182"/>
      <c r="MJT3" s="182"/>
      <c r="MJU3" s="182"/>
      <c r="MJV3" s="182"/>
      <c r="MJW3" s="182"/>
      <c r="MJX3" s="182"/>
      <c r="MJY3" s="182"/>
      <c r="MJZ3" s="182"/>
      <c r="MKA3" s="182"/>
      <c r="MKB3" s="182"/>
      <c r="MKC3" s="182"/>
      <c r="MKD3" s="182"/>
      <c r="MKE3" s="182"/>
      <c r="MKF3" s="182"/>
      <c r="MKG3" s="182"/>
      <c r="MKH3" s="182"/>
      <c r="MKI3" s="182"/>
      <c r="MKJ3" s="182"/>
      <c r="MKK3" s="182"/>
      <c r="MKL3" s="182"/>
      <c r="MKM3" s="182"/>
      <c r="MKN3" s="182"/>
      <c r="MKO3" s="182"/>
      <c r="MKP3" s="182"/>
      <c r="MKQ3" s="182"/>
      <c r="MKR3" s="182"/>
      <c r="MKS3" s="182"/>
      <c r="MKT3" s="182"/>
      <c r="MKU3" s="182"/>
      <c r="MKV3" s="182"/>
      <c r="MKW3" s="182"/>
      <c r="MKX3" s="182"/>
      <c r="MKY3" s="182"/>
      <c r="MKZ3" s="182"/>
      <c r="MLA3" s="182"/>
      <c r="MLB3" s="182"/>
      <c r="MLC3" s="182"/>
      <c r="MLD3" s="182"/>
      <c r="MLE3" s="182"/>
      <c r="MLF3" s="182"/>
      <c r="MLG3" s="182"/>
      <c r="MLH3" s="182"/>
      <c r="MLI3" s="182"/>
      <c r="MLJ3" s="182"/>
      <c r="MLK3" s="182"/>
      <c r="MLL3" s="182"/>
      <c r="MLM3" s="182"/>
      <c r="MLN3" s="182"/>
      <c r="MLO3" s="182"/>
      <c r="MLP3" s="182"/>
      <c r="MLQ3" s="182"/>
      <c r="MLR3" s="182"/>
      <c r="MLS3" s="182"/>
      <c r="MLT3" s="182"/>
      <c r="MLU3" s="182"/>
      <c r="MLV3" s="182"/>
      <c r="MLW3" s="182"/>
      <c r="MLX3" s="182"/>
      <c r="MLY3" s="182"/>
      <c r="MLZ3" s="182"/>
      <c r="MMA3" s="182"/>
      <c r="MMB3" s="182"/>
      <c r="MMC3" s="182"/>
      <c r="MMD3" s="182"/>
      <c r="MME3" s="182"/>
      <c r="MMF3" s="182"/>
      <c r="MMG3" s="182"/>
      <c r="MMH3" s="182"/>
      <c r="MMI3" s="182"/>
      <c r="MMJ3" s="182"/>
      <c r="MMK3" s="182"/>
      <c r="MML3" s="182"/>
      <c r="MMM3" s="182"/>
      <c r="MMN3" s="182"/>
      <c r="MMO3" s="182"/>
      <c r="MMP3" s="182"/>
      <c r="MMQ3" s="182"/>
      <c r="MMR3" s="182"/>
      <c r="MMS3" s="182"/>
      <c r="MMT3" s="182"/>
      <c r="MMU3" s="182"/>
      <c r="MMV3" s="182"/>
      <c r="MMW3" s="182"/>
      <c r="MMX3" s="182"/>
      <c r="MMY3" s="182"/>
      <c r="MMZ3" s="182"/>
      <c r="MNA3" s="182"/>
      <c r="MNB3" s="182"/>
      <c r="MNC3" s="182"/>
      <c r="MND3" s="182"/>
      <c r="MNE3" s="182"/>
      <c r="MNF3" s="182"/>
      <c r="MNG3" s="182"/>
      <c r="MNH3" s="182"/>
      <c r="MNI3" s="182"/>
      <c r="MNJ3" s="182"/>
      <c r="MNK3" s="182"/>
      <c r="MNL3" s="182"/>
      <c r="MNM3" s="182"/>
      <c r="MNN3" s="182"/>
      <c r="MNO3" s="182"/>
      <c r="MNP3" s="182"/>
      <c r="MNQ3" s="182"/>
      <c r="MNR3" s="182"/>
      <c r="MNS3" s="182"/>
      <c r="MNT3" s="182"/>
      <c r="MNU3" s="182"/>
      <c r="MNV3" s="182"/>
      <c r="MNW3" s="182"/>
      <c r="MNX3" s="182"/>
      <c r="MNY3" s="182"/>
      <c r="MNZ3" s="182"/>
      <c r="MOA3" s="182"/>
      <c r="MOB3" s="182"/>
      <c r="MOC3" s="182"/>
      <c r="MOD3" s="182"/>
      <c r="MOE3" s="182"/>
      <c r="MOF3" s="182"/>
      <c r="MOG3" s="182"/>
      <c r="MOH3" s="182"/>
      <c r="MOI3" s="182"/>
      <c r="MOJ3" s="182"/>
      <c r="MOK3" s="182"/>
      <c r="MOL3" s="182"/>
      <c r="MOM3" s="182"/>
      <c r="MON3" s="182"/>
      <c r="MOO3" s="182"/>
      <c r="MOP3" s="182"/>
      <c r="MOQ3" s="182"/>
      <c r="MOR3" s="182"/>
      <c r="MOS3" s="182"/>
      <c r="MOT3" s="182"/>
      <c r="MOU3" s="182"/>
      <c r="MOV3" s="182"/>
      <c r="MOW3" s="182"/>
      <c r="MOX3" s="182"/>
      <c r="MOY3" s="182"/>
      <c r="MOZ3" s="182"/>
      <c r="MPA3" s="182"/>
      <c r="MPB3" s="182"/>
      <c r="MPC3" s="182"/>
      <c r="MPD3" s="182"/>
      <c r="MPE3" s="182"/>
      <c r="MPF3" s="182"/>
      <c r="MPG3" s="182"/>
      <c r="MPH3" s="182"/>
      <c r="MPI3" s="182"/>
      <c r="MPJ3" s="182"/>
      <c r="MPK3" s="182"/>
      <c r="MPL3" s="182"/>
      <c r="MPM3" s="182"/>
      <c r="MPN3" s="182"/>
      <c r="MPO3" s="182"/>
      <c r="MPP3" s="182"/>
      <c r="MPQ3" s="182"/>
      <c r="MPR3" s="182"/>
      <c r="MPS3" s="182"/>
      <c r="MPT3" s="182"/>
      <c r="MPU3" s="182"/>
      <c r="MPV3" s="182"/>
      <c r="MPW3" s="182"/>
      <c r="MPX3" s="182"/>
      <c r="MPY3" s="182"/>
      <c r="MPZ3" s="182"/>
      <c r="MQA3" s="182"/>
      <c r="MQB3" s="182"/>
      <c r="MQC3" s="182"/>
      <c r="MQD3" s="182"/>
      <c r="MQE3" s="182"/>
      <c r="MQF3" s="182"/>
      <c r="MQG3" s="182"/>
      <c r="MQH3" s="182"/>
      <c r="MQI3" s="182"/>
      <c r="MQJ3" s="182"/>
      <c r="MQK3" s="182"/>
      <c r="MQL3" s="182"/>
      <c r="MQM3" s="182"/>
      <c r="MQN3" s="182"/>
      <c r="MQO3" s="182"/>
      <c r="MQP3" s="182"/>
      <c r="MQQ3" s="182"/>
      <c r="MQR3" s="182"/>
      <c r="MQS3" s="182"/>
      <c r="MQT3" s="182"/>
      <c r="MQU3" s="182"/>
      <c r="MQV3" s="182"/>
      <c r="MQW3" s="182"/>
      <c r="MQX3" s="182"/>
      <c r="MQY3" s="182"/>
      <c r="MQZ3" s="182"/>
      <c r="MRA3" s="182"/>
      <c r="MRB3" s="182"/>
      <c r="MRC3" s="182"/>
      <c r="MRD3" s="182"/>
      <c r="MRE3" s="182"/>
      <c r="MRF3" s="182"/>
      <c r="MRG3" s="182"/>
      <c r="MRH3" s="182"/>
      <c r="MRI3" s="182"/>
      <c r="MRJ3" s="182"/>
      <c r="MRK3" s="182"/>
      <c r="MRL3" s="182"/>
      <c r="MRM3" s="182"/>
      <c r="MRN3" s="182"/>
      <c r="MRO3" s="182"/>
      <c r="MRP3" s="182"/>
      <c r="MRQ3" s="182"/>
      <c r="MRR3" s="182"/>
      <c r="MRS3" s="182"/>
      <c r="MRT3" s="182"/>
      <c r="MRU3" s="182"/>
      <c r="MRV3" s="182"/>
      <c r="MRW3" s="182"/>
      <c r="MRX3" s="182"/>
      <c r="MRY3" s="182"/>
      <c r="MRZ3" s="182"/>
      <c r="MSA3" s="182"/>
      <c r="MSB3" s="182"/>
      <c r="MSC3" s="182"/>
      <c r="MSD3" s="182"/>
      <c r="MSE3" s="182"/>
      <c r="MSF3" s="182"/>
      <c r="MSG3" s="182"/>
      <c r="MSH3" s="182"/>
      <c r="MSI3" s="182"/>
      <c r="MSJ3" s="182"/>
      <c r="MSK3" s="182"/>
      <c r="MSL3" s="182"/>
      <c r="MSM3" s="182"/>
      <c r="MSN3" s="182"/>
      <c r="MSO3" s="182"/>
      <c r="MSP3" s="182"/>
      <c r="MSQ3" s="182"/>
      <c r="MSR3" s="182"/>
      <c r="MSS3" s="182"/>
      <c r="MST3" s="182"/>
      <c r="MSU3" s="182"/>
      <c r="MSV3" s="182"/>
      <c r="MSW3" s="182"/>
      <c r="MSX3" s="182"/>
      <c r="MSY3" s="182"/>
      <c r="MSZ3" s="182"/>
      <c r="MTA3" s="182"/>
      <c r="MTB3" s="182"/>
      <c r="MTC3" s="182"/>
      <c r="MTD3" s="182"/>
      <c r="MTE3" s="182"/>
      <c r="MTF3" s="182"/>
      <c r="MTG3" s="182"/>
      <c r="MTH3" s="182"/>
      <c r="MTI3" s="182"/>
      <c r="MTJ3" s="182"/>
      <c r="MTK3" s="182"/>
      <c r="MTL3" s="182"/>
      <c r="MTM3" s="182"/>
      <c r="MTN3" s="182"/>
      <c r="MTO3" s="182"/>
      <c r="MTP3" s="182"/>
      <c r="MTQ3" s="182"/>
      <c r="MTR3" s="182"/>
      <c r="MTS3" s="182"/>
      <c r="MTT3" s="182"/>
      <c r="MTU3" s="182"/>
      <c r="MTV3" s="182"/>
      <c r="MTW3" s="182"/>
      <c r="MTX3" s="182"/>
      <c r="MTY3" s="182"/>
      <c r="MTZ3" s="182"/>
      <c r="MUA3" s="182"/>
      <c r="MUB3" s="182"/>
      <c r="MUC3" s="182"/>
      <c r="MUD3" s="182"/>
      <c r="MUE3" s="182"/>
      <c r="MUF3" s="182"/>
      <c r="MUG3" s="182"/>
      <c r="MUH3" s="182"/>
      <c r="MUI3" s="182"/>
      <c r="MUJ3" s="182"/>
      <c r="MUK3" s="182"/>
      <c r="MUL3" s="182"/>
      <c r="MUM3" s="182"/>
      <c r="MUN3" s="182"/>
      <c r="MUO3" s="182"/>
      <c r="MUP3" s="182"/>
      <c r="MUQ3" s="182"/>
      <c r="MUR3" s="182"/>
      <c r="MUS3" s="182"/>
      <c r="MUT3" s="182"/>
      <c r="MUU3" s="182"/>
      <c r="MUV3" s="182"/>
      <c r="MUW3" s="182"/>
      <c r="MUX3" s="182"/>
      <c r="MUY3" s="182"/>
      <c r="MUZ3" s="182"/>
      <c r="MVA3" s="182"/>
      <c r="MVB3" s="182"/>
      <c r="MVC3" s="182"/>
      <c r="MVD3" s="182"/>
      <c r="MVE3" s="182"/>
      <c r="MVF3" s="182"/>
      <c r="MVG3" s="182"/>
      <c r="MVH3" s="182"/>
      <c r="MVI3" s="182"/>
      <c r="MVJ3" s="182"/>
      <c r="MVK3" s="182"/>
      <c r="MVL3" s="182"/>
      <c r="MVM3" s="182"/>
      <c r="MVN3" s="182"/>
      <c r="MVO3" s="182"/>
      <c r="MVP3" s="182"/>
      <c r="MVQ3" s="182"/>
      <c r="MVR3" s="182"/>
      <c r="MVS3" s="182"/>
      <c r="MVT3" s="182"/>
      <c r="MVU3" s="182"/>
      <c r="MVV3" s="182"/>
      <c r="MVW3" s="182"/>
      <c r="MVX3" s="182"/>
      <c r="MVY3" s="182"/>
      <c r="MVZ3" s="182"/>
      <c r="MWA3" s="182"/>
      <c r="MWB3" s="182"/>
      <c r="MWC3" s="182"/>
      <c r="MWD3" s="182"/>
      <c r="MWE3" s="182"/>
      <c r="MWF3" s="182"/>
      <c r="MWG3" s="182"/>
      <c r="MWH3" s="182"/>
      <c r="MWI3" s="182"/>
      <c r="MWJ3" s="182"/>
      <c r="MWK3" s="182"/>
      <c r="MWL3" s="182"/>
      <c r="MWM3" s="182"/>
      <c r="MWN3" s="182"/>
      <c r="MWO3" s="182"/>
      <c r="MWP3" s="182"/>
      <c r="MWQ3" s="182"/>
      <c r="MWR3" s="182"/>
      <c r="MWS3" s="182"/>
      <c r="MWT3" s="182"/>
      <c r="MWU3" s="182"/>
      <c r="MWV3" s="182"/>
      <c r="MWW3" s="182"/>
      <c r="MWX3" s="182"/>
      <c r="MWY3" s="182"/>
      <c r="MWZ3" s="182"/>
      <c r="MXA3" s="182"/>
      <c r="MXB3" s="182"/>
      <c r="MXC3" s="182"/>
      <c r="MXD3" s="182"/>
      <c r="MXE3" s="182"/>
      <c r="MXF3" s="182"/>
      <c r="MXG3" s="182"/>
      <c r="MXH3" s="182"/>
      <c r="MXI3" s="182"/>
      <c r="MXJ3" s="182"/>
      <c r="MXK3" s="182"/>
      <c r="MXL3" s="182"/>
      <c r="MXM3" s="182"/>
      <c r="MXN3" s="182"/>
      <c r="MXO3" s="182"/>
      <c r="MXP3" s="182"/>
      <c r="MXQ3" s="182"/>
      <c r="MXR3" s="182"/>
      <c r="MXS3" s="182"/>
      <c r="MXT3" s="182"/>
      <c r="MXU3" s="182"/>
      <c r="MXV3" s="182"/>
      <c r="MXW3" s="182"/>
      <c r="MXX3" s="182"/>
      <c r="MXY3" s="182"/>
      <c r="MXZ3" s="182"/>
      <c r="MYA3" s="182"/>
      <c r="MYB3" s="182"/>
      <c r="MYC3" s="182"/>
      <c r="MYD3" s="182"/>
      <c r="MYE3" s="182"/>
      <c r="MYF3" s="182"/>
      <c r="MYG3" s="182"/>
      <c r="MYH3" s="182"/>
      <c r="MYI3" s="182"/>
      <c r="MYJ3" s="182"/>
      <c r="MYK3" s="182"/>
      <c r="MYL3" s="182"/>
      <c r="MYM3" s="182"/>
      <c r="MYN3" s="182"/>
      <c r="MYO3" s="182"/>
      <c r="MYP3" s="182"/>
      <c r="MYQ3" s="182"/>
      <c r="MYR3" s="182"/>
      <c r="MYS3" s="182"/>
      <c r="MYT3" s="182"/>
      <c r="MYU3" s="182"/>
      <c r="MYV3" s="182"/>
      <c r="MYW3" s="182"/>
      <c r="MYX3" s="182"/>
      <c r="MYY3" s="182"/>
      <c r="MYZ3" s="182"/>
      <c r="MZA3" s="182"/>
      <c r="MZB3" s="182"/>
      <c r="MZC3" s="182"/>
      <c r="MZD3" s="182"/>
      <c r="MZE3" s="182"/>
      <c r="MZF3" s="182"/>
      <c r="MZG3" s="182"/>
      <c r="MZH3" s="182"/>
      <c r="MZI3" s="182"/>
      <c r="MZJ3" s="182"/>
      <c r="MZK3" s="182"/>
      <c r="MZL3" s="182"/>
      <c r="MZM3" s="182"/>
      <c r="MZN3" s="182"/>
      <c r="MZO3" s="182"/>
      <c r="MZP3" s="182"/>
      <c r="MZQ3" s="182"/>
      <c r="MZR3" s="182"/>
      <c r="MZS3" s="182"/>
      <c r="MZT3" s="182"/>
      <c r="MZU3" s="182"/>
      <c r="MZV3" s="182"/>
      <c r="MZW3" s="182"/>
      <c r="MZX3" s="182"/>
      <c r="MZY3" s="182"/>
      <c r="MZZ3" s="182"/>
      <c r="NAA3" s="182"/>
      <c r="NAB3" s="182"/>
      <c r="NAC3" s="182"/>
      <c r="NAD3" s="182"/>
      <c r="NAE3" s="182"/>
      <c r="NAF3" s="182"/>
      <c r="NAG3" s="182"/>
      <c r="NAH3" s="182"/>
      <c r="NAI3" s="182"/>
      <c r="NAJ3" s="182"/>
      <c r="NAK3" s="182"/>
      <c r="NAL3" s="182"/>
      <c r="NAM3" s="182"/>
      <c r="NAN3" s="182"/>
      <c r="NAO3" s="182"/>
      <c r="NAP3" s="182"/>
      <c r="NAQ3" s="182"/>
      <c r="NAR3" s="182"/>
      <c r="NAS3" s="182"/>
      <c r="NAT3" s="182"/>
      <c r="NAU3" s="182"/>
      <c r="NAV3" s="182"/>
      <c r="NAW3" s="182"/>
      <c r="NAX3" s="182"/>
      <c r="NAY3" s="182"/>
      <c r="NAZ3" s="182"/>
      <c r="NBA3" s="182"/>
      <c r="NBB3" s="182"/>
      <c r="NBC3" s="182"/>
      <c r="NBD3" s="182"/>
      <c r="NBE3" s="182"/>
      <c r="NBF3" s="182"/>
      <c r="NBG3" s="182"/>
      <c r="NBH3" s="182"/>
      <c r="NBI3" s="182"/>
      <c r="NBJ3" s="182"/>
      <c r="NBK3" s="182"/>
      <c r="NBL3" s="182"/>
      <c r="NBM3" s="182"/>
      <c r="NBN3" s="182"/>
      <c r="NBO3" s="182"/>
      <c r="NBP3" s="182"/>
      <c r="NBQ3" s="182"/>
      <c r="NBR3" s="182"/>
      <c r="NBS3" s="182"/>
      <c r="NBT3" s="182"/>
      <c r="NBU3" s="182"/>
      <c r="NBV3" s="182"/>
      <c r="NBW3" s="182"/>
      <c r="NBX3" s="182"/>
      <c r="NBY3" s="182"/>
      <c r="NBZ3" s="182"/>
      <c r="NCA3" s="182"/>
      <c r="NCB3" s="182"/>
      <c r="NCC3" s="182"/>
      <c r="NCD3" s="182"/>
      <c r="NCE3" s="182"/>
      <c r="NCF3" s="182"/>
      <c r="NCG3" s="182"/>
      <c r="NCH3" s="182"/>
      <c r="NCI3" s="182"/>
      <c r="NCJ3" s="182"/>
      <c r="NCK3" s="182"/>
      <c r="NCL3" s="182"/>
      <c r="NCM3" s="182"/>
      <c r="NCN3" s="182"/>
      <c r="NCO3" s="182"/>
      <c r="NCP3" s="182"/>
      <c r="NCQ3" s="182"/>
      <c r="NCR3" s="182"/>
      <c r="NCS3" s="182"/>
      <c r="NCT3" s="182"/>
      <c r="NCU3" s="182"/>
      <c r="NCV3" s="182"/>
      <c r="NCW3" s="182"/>
      <c r="NCX3" s="182"/>
      <c r="NCY3" s="182"/>
      <c r="NCZ3" s="182"/>
      <c r="NDA3" s="182"/>
      <c r="NDB3" s="182"/>
      <c r="NDC3" s="182"/>
      <c r="NDD3" s="182"/>
      <c r="NDE3" s="182"/>
      <c r="NDF3" s="182"/>
      <c r="NDG3" s="182"/>
      <c r="NDH3" s="182"/>
      <c r="NDI3" s="182"/>
      <c r="NDJ3" s="182"/>
      <c r="NDK3" s="182"/>
      <c r="NDL3" s="182"/>
      <c r="NDM3" s="182"/>
      <c r="NDN3" s="182"/>
      <c r="NDO3" s="182"/>
      <c r="NDP3" s="182"/>
      <c r="NDQ3" s="182"/>
      <c r="NDR3" s="182"/>
      <c r="NDS3" s="182"/>
      <c r="NDT3" s="182"/>
      <c r="NDU3" s="182"/>
      <c r="NDV3" s="182"/>
      <c r="NDW3" s="182"/>
      <c r="NDX3" s="182"/>
      <c r="NDY3" s="182"/>
      <c r="NDZ3" s="182"/>
      <c r="NEA3" s="182"/>
      <c r="NEB3" s="182"/>
      <c r="NEC3" s="182"/>
      <c r="NED3" s="182"/>
      <c r="NEE3" s="182"/>
      <c r="NEF3" s="182"/>
      <c r="NEG3" s="182"/>
      <c r="NEH3" s="182"/>
      <c r="NEI3" s="182"/>
      <c r="NEJ3" s="182"/>
      <c r="NEK3" s="182"/>
      <c r="NEL3" s="182"/>
      <c r="NEM3" s="182"/>
      <c r="NEN3" s="182"/>
      <c r="NEO3" s="182"/>
      <c r="NEP3" s="182"/>
      <c r="NEQ3" s="182"/>
      <c r="NER3" s="182"/>
      <c r="NES3" s="182"/>
      <c r="NET3" s="182"/>
      <c r="NEU3" s="182"/>
      <c r="NEV3" s="182"/>
      <c r="NEW3" s="182"/>
      <c r="NEX3" s="182"/>
      <c r="NEY3" s="182"/>
      <c r="NEZ3" s="182"/>
      <c r="NFA3" s="182"/>
      <c r="NFB3" s="182"/>
      <c r="NFC3" s="182"/>
      <c r="NFD3" s="182"/>
      <c r="NFE3" s="182"/>
      <c r="NFF3" s="182"/>
      <c r="NFG3" s="182"/>
      <c r="NFH3" s="182"/>
      <c r="NFI3" s="182"/>
      <c r="NFJ3" s="182"/>
      <c r="NFK3" s="182"/>
      <c r="NFL3" s="182"/>
      <c r="NFM3" s="182"/>
      <c r="NFN3" s="182"/>
      <c r="NFO3" s="182"/>
      <c r="NFP3" s="182"/>
      <c r="NFQ3" s="182"/>
      <c r="NFR3" s="182"/>
      <c r="NFS3" s="182"/>
      <c r="NFT3" s="182"/>
      <c r="NFU3" s="182"/>
      <c r="NFV3" s="182"/>
      <c r="NFW3" s="182"/>
      <c r="NFX3" s="182"/>
      <c r="NFY3" s="182"/>
      <c r="NFZ3" s="182"/>
      <c r="NGA3" s="182"/>
      <c r="NGB3" s="182"/>
      <c r="NGC3" s="182"/>
      <c r="NGD3" s="182"/>
      <c r="NGE3" s="182"/>
      <c r="NGF3" s="182"/>
      <c r="NGG3" s="182"/>
      <c r="NGH3" s="182"/>
      <c r="NGI3" s="182"/>
      <c r="NGJ3" s="182"/>
      <c r="NGK3" s="182"/>
      <c r="NGL3" s="182"/>
      <c r="NGM3" s="182"/>
      <c r="NGN3" s="182"/>
      <c r="NGO3" s="182"/>
      <c r="NGP3" s="182"/>
      <c r="NGQ3" s="182"/>
      <c r="NGR3" s="182"/>
      <c r="NGS3" s="182"/>
      <c r="NGT3" s="182"/>
      <c r="NGU3" s="182"/>
      <c r="NGV3" s="182"/>
      <c r="NGW3" s="182"/>
      <c r="NGX3" s="182"/>
      <c r="NGY3" s="182"/>
      <c r="NGZ3" s="182"/>
      <c r="NHA3" s="182"/>
      <c r="NHB3" s="182"/>
      <c r="NHC3" s="182"/>
      <c r="NHD3" s="182"/>
      <c r="NHE3" s="182"/>
      <c r="NHF3" s="182"/>
      <c r="NHG3" s="182"/>
      <c r="NHH3" s="182"/>
      <c r="NHI3" s="182"/>
      <c r="NHJ3" s="182"/>
      <c r="NHK3" s="182"/>
      <c r="NHL3" s="182"/>
      <c r="NHM3" s="182"/>
      <c r="NHN3" s="182"/>
      <c r="NHO3" s="182"/>
      <c r="NHP3" s="182"/>
      <c r="NHQ3" s="182"/>
      <c r="NHR3" s="182"/>
      <c r="NHS3" s="182"/>
      <c r="NHT3" s="182"/>
      <c r="NHU3" s="182"/>
      <c r="NHV3" s="182"/>
      <c r="NHW3" s="182"/>
      <c r="NHX3" s="182"/>
      <c r="NHY3" s="182"/>
      <c r="NHZ3" s="182"/>
      <c r="NIA3" s="182"/>
      <c r="NIB3" s="182"/>
      <c r="NIC3" s="182"/>
      <c r="NID3" s="182"/>
      <c r="NIE3" s="182"/>
      <c r="NIF3" s="182"/>
      <c r="NIG3" s="182"/>
      <c r="NIH3" s="182"/>
      <c r="NII3" s="182"/>
      <c r="NIJ3" s="182"/>
      <c r="NIK3" s="182"/>
      <c r="NIL3" s="182"/>
      <c r="NIM3" s="182"/>
      <c r="NIN3" s="182"/>
      <c r="NIO3" s="182"/>
      <c r="NIP3" s="182"/>
      <c r="NIQ3" s="182"/>
      <c r="NIR3" s="182"/>
      <c r="NIS3" s="182"/>
      <c r="NIT3" s="182"/>
      <c r="NIU3" s="182"/>
      <c r="NIV3" s="182"/>
      <c r="NIW3" s="182"/>
      <c r="NIX3" s="182"/>
      <c r="NIY3" s="182"/>
      <c r="NIZ3" s="182"/>
      <c r="NJA3" s="182"/>
      <c r="NJB3" s="182"/>
      <c r="NJC3" s="182"/>
      <c r="NJD3" s="182"/>
      <c r="NJE3" s="182"/>
      <c r="NJF3" s="182"/>
      <c r="NJG3" s="182"/>
      <c r="NJH3" s="182"/>
      <c r="NJI3" s="182"/>
      <c r="NJJ3" s="182"/>
      <c r="NJK3" s="182"/>
      <c r="NJL3" s="182"/>
      <c r="NJM3" s="182"/>
      <c r="NJN3" s="182"/>
      <c r="NJO3" s="182"/>
      <c r="NJP3" s="182"/>
      <c r="NJQ3" s="182"/>
      <c r="NJR3" s="182"/>
      <c r="NJS3" s="182"/>
      <c r="NJT3" s="182"/>
      <c r="NJU3" s="182"/>
      <c r="NJV3" s="182"/>
      <c r="NJW3" s="182"/>
      <c r="NJX3" s="182"/>
      <c r="NJY3" s="182"/>
      <c r="NJZ3" s="182"/>
      <c r="NKA3" s="182"/>
      <c r="NKB3" s="182"/>
      <c r="NKC3" s="182"/>
      <c r="NKD3" s="182"/>
      <c r="NKE3" s="182"/>
      <c r="NKF3" s="182"/>
      <c r="NKG3" s="182"/>
      <c r="NKH3" s="182"/>
      <c r="NKI3" s="182"/>
      <c r="NKJ3" s="182"/>
      <c r="NKK3" s="182"/>
      <c r="NKL3" s="182"/>
      <c r="NKM3" s="182"/>
      <c r="NKN3" s="182"/>
      <c r="NKO3" s="182"/>
      <c r="NKP3" s="182"/>
      <c r="NKQ3" s="182"/>
      <c r="NKR3" s="182"/>
      <c r="NKS3" s="182"/>
      <c r="NKT3" s="182"/>
      <c r="NKU3" s="182"/>
      <c r="NKV3" s="182"/>
      <c r="NKW3" s="182"/>
      <c r="NKX3" s="182"/>
      <c r="NKY3" s="182"/>
      <c r="NKZ3" s="182"/>
      <c r="NLA3" s="182"/>
      <c r="NLB3" s="182"/>
      <c r="NLC3" s="182"/>
      <c r="NLD3" s="182"/>
      <c r="NLE3" s="182"/>
      <c r="NLF3" s="182"/>
      <c r="NLG3" s="182"/>
      <c r="NLH3" s="182"/>
      <c r="NLI3" s="182"/>
      <c r="NLJ3" s="182"/>
      <c r="NLK3" s="182"/>
      <c r="NLL3" s="182"/>
      <c r="NLM3" s="182"/>
      <c r="NLN3" s="182"/>
      <c r="NLO3" s="182"/>
      <c r="NLP3" s="182"/>
      <c r="NLQ3" s="182"/>
      <c r="NLR3" s="182"/>
      <c r="NLS3" s="182"/>
      <c r="NLT3" s="182"/>
      <c r="NLU3" s="182"/>
      <c r="NLV3" s="182"/>
      <c r="NLW3" s="182"/>
      <c r="NLX3" s="182"/>
      <c r="NLY3" s="182"/>
      <c r="NLZ3" s="182"/>
      <c r="NMA3" s="182"/>
      <c r="NMB3" s="182"/>
      <c r="NMC3" s="182"/>
      <c r="NMD3" s="182"/>
      <c r="NME3" s="182"/>
      <c r="NMF3" s="182"/>
      <c r="NMG3" s="182"/>
      <c r="NMH3" s="182"/>
      <c r="NMI3" s="182"/>
      <c r="NMJ3" s="182"/>
      <c r="NMK3" s="182"/>
      <c r="NML3" s="182"/>
      <c r="NMM3" s="182"/>
      <c r="NMN3" s="182"/>
      <c r="NMO3" s="182"/>
      <c r="NMP3" s="182"/>
      <c r="NMQ3" s="182"/>
      <c r="NMR3" s="182"/>
      <c r="NMS3" s="182"/>
      <c r="NMT3" s="182"/>
      <c r="NMU3" s="182"/>
      <c r="NMV3" s="182"/>
      <c r="NMW3" s="182"/>
      <c r="NMX3" s="182"/>
      <c r="NMY3" s="182"/>
      <c r="NMZ3" s="182"/>
      <c r="NNA3" s="182"/>
      <c r="NNB3" s="182"/>
      <c r="NNC3" s="182"/>
      <c r="NND3" s="182"/>
      <c r="NNE3" s="182"/>
      <c r="NNF3" s="182"/>
      <c r="NNG3" s="182"/>
      <c r="NNH3" s="182"/>
      <c r="NNI3" s="182"/>
      <c r="NNJ3" s="182"/>
      <c r="NNK3" s="182"/>
      <c r="NNL3" s="182"/>
      <c r="NNM3" s="182"/>
      <c r="NNN3" s="182"/>
      <c r="NNO3" s="182"/>
      <c r="NNP3" s="182"/>
      <c r="NNQ3" s="182"/>
      <c r="NNR3" s="182"/>
      <c r="NNS3" s="182"/>
      <c r="NNT3" s="182"/>
      <c r="NNU3" s="182"/>
      <c r="NNV3" s="182"/>
      <c r="NNW3" s="182"/>
      <c r="NNX3" s="182"/>
      <c r="NNY3" s="182"/>
      <c r="NNZ3" s="182"/>
      <c r="NOA3" s="182"/>
      <c r="NOB3" s="182"/>
      <c r="NOC3" s="182"/>
      <c r="NOD3" s="182"/>
      <c r="NOE3" s="182"/>
      <c r="NOF3" s="182"/>
      <c r="NOG3" s="182"/>
      <c r="NOH3" s="182"/>
      <c r="NOI3" s="182"/>
      <c r="NOJ3" s="182"/>
      <c r="NOK3" s="182"/>
      <c r="NOL3" s="182"/>
      <c r="NOM3" s="182"/>
      <c r="NON3" s="182"/>
      <c r="NOO3" s="182"/>
      <c r="NOP3" s="182"/>
      <c r="NOQ3" s="182"/>
      <c r="NOR3" s="182"/>
      <c r="NOS3" s="182"/>
      <c r="NOT3" s="182"/>
      <c r="NOU3" s="182"/>
      <c r="NOV3" s="182"/>
      <c r="NOW3" s="182"/>
      <c r="NOX3" s="182"/>
      <c r="NOY3" s="182"/>
      <c r="NOZ3" s="182"/>
      <c r="NPA3" s="182"/>
      <c r="NPB3" s="182"/>
      <c r="NPC3" s="182"/>
      <c r="NPD3" s="182"/>
      <c r="NPE3" s="182"/>
      <c r="NPF3" s="182"/>
      <c r="NPG3" s="182"/>
      <c r="NPH3" s="182"/>
      <c r="NPI3" s="182"/>
      <c r="NPJ3" s="182"/>
      <c r="NPK3" s="182"/>
      <c r="NPL3" s="182"/>
      <c r="NPM3" s="182"/>
      <c r="NPN3" s="182"/>
      <c r="NPO3" s="182"/>
      <c r="NPP3" s="182"/>
      <c r="NPQ3" s="182"/>
      <c r="NPR3" s="182"/>
      <c r="NPS3" s="182"/>
      <c r="NPT3" s="182"/>
      <c r="NPU3" s="182"/>
      <c r="NPV3" s="182"/>
      <c r="NPW3" s="182"/>
      <c r="NPX3" s="182"/>
      <c r="NPY3" s="182"/>
      <c r="NPZ3" s="182"/>
      <c r="NQA3" s="182"/>
      <c r="NQB3" s="182"/>
      <c r="NQC3" s="182"/>
      <c r="NQD3" s="182"/>
      <c r="NQE3" s="182"/>
      <c r="NQF3" s="182"/>
      <c r="NQG3" s="182"/>
      <c r="NQH3" s="182"/>
      <c r="NQI3" s="182"/>
      <c r="NQJ3" s="182"/>
      <c r="NQK3" s="182"/>
      <c r="NQL3" s="182"/>
      <c r="NQM3" s="182"/>
      <c r="NQN3" s="182"/>
      <c r="NQO3" s="182"/>
      <c r="NQP3" s="182"/>
      <c r="NQQ3" s="182"/>
      <c r="NQR3" s="182"/>
      <c r="NQS3" s="182"/>
      <c r="NQT3" s="182"/>
      <c r="NQU3" s="182"/>
      <c r="NQV3" s="182"/>
      <c r="NQW3" s="182"/>
      <c r="NQX3" s="182"/>
      <c r="NQY3" s="182"/>
      <c r="NQZ3" s="182"/>
      <c r="NRA3" s="182"/>
      <c r="NRB3" s="182"/>
      <c r="NRC3" s="182"/>
      <c r="NRD3" s="182"/>
      <c r="NRE3" s="182"/>
      <c r="NRF3" s="182"/>
      <c r="NRG3" s="182"/>
      <c r="NRH3" s="182"/>
      <c r="NRI3" s="182"/>
      <c r="NRJ3" s="182"/>
      <c r="NRK3" s="182"/>
      <c r="NRL3" s="182"/>
      <c r="NRM3" s="182"/>
      <c r="NRN3" s="182"/>
      <c r="NRO3" s="182"/>
      <c r="NRP3" s="182"/>
      <c r="NRQ3" s="182"/>
      <c r="NRR3" s="182"/>
      <c r="NRS3" s="182"/>
      <c r="NRT3" s="182"/>
      <c r="NRU3" s="182"/>
      <c r="NRV3" s="182"/>
      <c r="NRW3" s="182"/>
      <c r="NRX3" s="182"/>
      <c r="NRY3" s="182"/>
      <c r="NRZ3" s="182"/>
      <c r="NSA3" s="182"/>
      <c r="NSB3" s="182"/>
      <c r="NSC3" s="182"/>
      <c r="NSD3" s="182"/>
      <c r="NSE3" s="182"/>
      <c r="NSF3" s="182"/>
      <c r="NSG3" s="182"/>
      <c r="NSH3" s="182"/>
      <c r="NSI3" s="182"/>
      <c r="NSJ3" s="182"/>
      <c r="NSK3" s="182"/>
      <c r="NSL3" s="182"/>
      <c r="NSM3" s="182"/>
      <c r="NSN3" s="182"/>
      <c r="NSO3" s="182"/>
      <c r="NSP3" s="182"/>
      <c r="NSQ3" s="182"/>
      <c r="NSR3" s="182"/>
      <c r="NSS3" s="182"/>
      <c r="NST3" s="182"/>
      <c r="NSU3" s="182"/>
      <c r="NSV3" s="182"/>
      <c r="NSW3" s="182"/>
      <c r="NSX3" s="182"/>
      <c r="NSY3" s="182"/>
      <c r="NSZ3" s="182"/>
      <c r="NTA3" s="182"/>
      <c r="NTB3" s="182"/>
      <c r="NTC3" s="182"/>
      <c r="NTD3" s="182"/>
      <c r="NTE3" s="182"/>
      <c r="NTF3" s="182"/>
      <c r="NTG3" s="182"/>
      <c r="NTH3" s="182"/>
      <c r="NTI3" s="182"/>
      <c r="NTJ3" s="182"/>
      <c r="NTK3" s="182"/>
      <c r="NTL3" s="182"/>
      <c r="NTM3" s="182"/>
      <c r="NTN3" s="182"/>
      <c r="NTO3" s="182"/>
      <c r="NTP3" s="182"/>
      <c r="NTQ3" s="182"/>
      <c r="NTR3" s="182"/>
      <c r="NTS3" s="182"/>
      <c r="NTT3" s="182"/>
      <c r="NTU3" s="182"/>
      <c r="NTV3" s="182"/>
      <c r="NTW3" s="182"/>
      <c r="NTX3" s="182"/>
      <c r="NTY3" s="182"/>
      <c r="NTZ3" s="182"/>
      <c r="NUA3" s="182"/>
      <c r="NUB3" s="182"/>
      <c r="NUC3" s="182"/>
      <c r="NUD3" s="182"/>
      <c r="NUE3" s="182"/>
      <c r="NUF3" s="182"/>
      <c r="NUG3" s="182"/>
      <c r="NUH3" s="182"/>
      <c r="NUI3" s="182"/>
    </row>
    <row r="4" spans="1:10019" s="162" customFormat="1" ht="81.75" customHeight="1" x14ac:dyDescent="0.25">
      <c r="A4" s="181"/>
      <c r="B4" s="204"/>
      <c r="C4" s="204"/>
      <c r="D4" s="204"/>
      <c r="E4" s="188" t="s">
        <v>220</v>
      </c>
    </row>
    <row r="5" spans="1:10019" s="83" customFormat="1" ht="39.75" customHeight="1" x14ac:dyDescent="0.25">
      <c r="A5" s="181"/>
      <c r="B5" s="204"/>
      <c r="C5" s="204"/>
      <c r="D5" s="204"/>
      <c r="E5" s="188" t="s">
        <v>238</v>
      </c>
      <c r="J5" s="82" t="s">
        <v>239</v>
      </c>
    </row>
    <row r="6" spans="1:10019" s="83" customFormat="1" x14ac:dyDescent="0.25">
      <c r="A6" s="181"/>
      <c r="B6" s="204"/>
      <c r="C6" s="204"/>
      <c r="D6" s="204"/>
    </row>
    <row r="8" spans="1:10019" x14ac:dyDescent="0.25">
      <c r="E8" s="5" t="s">
        <v>19</v>
      </c>
      <c r="F8" s="56" t="s">
        <v>154</v>
      </c>
      <c r="G8" s="221">
        <f ca="1">WORKDAY(TODAY(),-1)</f>
        <v>44950</v>
      </c>
      <c r="H8" s="221"/>
      <c r="I8" s="4"/>
      <c r="J8" s="4"/>
      <c r="K8" s="4"/>
      <c r="L8" s="4"/>
      <c r="M8" s="4"/>
      <c r="N8" s="4"/>
      <c r="Z8" s="181"/>
    </row>
    <row r="9" spans="1:10019" x14ac:dyDescent="0.25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Z9" s="181"/>
    </row>
    <row r="10" spans="1:10019" s="138" customFormat="1" ht="14.25" customHeight="1" x14ac:dyDescent="0.25">
      <c r="B10" s="204"/>
      <c r="C10" s="204"/>
      <c r="D10" s="204"/>
      <c r="E10" s="141"/>
      <c r="F10" s="139" t="s">
        <v>20</v>
      </c>
      <c r="G10" s="139" t="s">
        <v>21</v>
      </c>
      <c r="H10" s="139" t="s">
        <v>22</v>
      </c>
      <c r="I10" s="140">
        <f ca="1">G8-7</f>
        <v>44943</v>
      </c>
      <c r="J10" s="140">
        <f ca="1">EOMONTH($G$8,-1)</f>
        <v>44926</v>
      </c>
      <c r="K10" s="141"/>
      <c r="L10" s="140">
        <f ca="1">EOMONTH($G$8,-3)</f>
        <v>44865</v>
      </c>
      <c r="M10" s="140">
        <f ca="1">EOMONTH($G$8,-6)</f>
        <v>44773</v>
      </c>
      <c r="N10" s="140">
        <f ca="1">DATE(YEAR($G$8)-1,12,31)</f>
        <v>44926</v>
      </c>
      <c r="O10" s="140">
        <f ca="1">WORKDAY(DATE(YEAR($G$8),1,1),1)</f>
        <v>44928</v>
      </c>
      <c r="P10" s="141"/>
      <c r="Q10" s="141"/>
      <c r="Z10" s="181"/>
      <c r="AE10" s="143" t="s">
        <v>189</v>
      </c>
      <c r="AF10" s="144">
        <f ca="1">AH10-363</f>
        <v>44587</v>
      </c>
      <c r="AG10" s="143" t="s">
        <v>176</v>
      </c>
      <c r="AH10" s="144">
        <f ca="1">TODAY()-1</f>
        <v>44950</v>
      </c>
      <c r="AI10" s="143" t="s">
        <v>177</v>
      </c>
      <c r="AJ10" s="145">
        <v>9999</v>
      </c>
      <c r="AK10" s="143" t="s">
        <v>178</v>
      </c>
      <c r="AL10" s="145" t="s">
        <v>179</v>
      </c>
      <c r="AM10" s="143" t="s">
        <v>180</v>
      </c>
      <c r="AN10" s="145" t="s">
        <v>181</v>
      </c>
      <c r="AO10" s="143" t="s">
        <v>182</v>
      </c>
      <c r="AP10" s="145">
        <v>2</v>
      </c>
      <c r="AQ10" s="143" t="s">
        <v>183</v>
      </c>
      <c r="AR10" s="145" t="s">
        <v>184</v>
      </c>
    </row>
    <row r="11" spans="1:10019" x14ac:dyDescent="0.25">
      <c r="E11" s="52" t="s">
        <v>24</v>
      </c>
      <c r="F11" s="52" t="s">
        <v>25</v>
      </c>
      <c r="G11" s="52" t="s">
        <v>26</v>
      </c>
      <c r="H11" s="52" t="s">
        <v>52</v>
      </c>
      <c r="I11" s="52" t="s">
        <v>53</v>
      </c>
      <c r="J11" s="52" t="s">
        <v>28</v>
      </c>
      <c r="K11" s="53"/>
      <c r="L11" s="52" t="s">
        <v>29</v>
      </c>
      <c r="M11" s="52" t="s">
        <v>30</v>
      </c>
      <c r="N11" s="52" t="s">
        <v>31</v>
      </c>
      <c r="O11" s="52" t="s">
        <v>32</v>
      </c>
      <c r="P11" s="222" t="s">
        <v>23</v>
      </c>
      <c r="Q11" s="222"/>
      <c r="S11" s="34"/>
      <c r="Z11" s="181"/>
      <c r="AE11" s="55" t="s">
        <v>62</v>
      </c>
      <c r="AG11" s="55" t="s">
        <v>236</v>
      </c>
      <c r="AH11" s="55" t="s">
        <v>186</v>
      </c>
    </row>
    <row r="12" spans="1:10019" x14ac:dyDescent="0.25">
      <c r="B12" s="205" t="s">
        <v>33</v>
      </c>
      <c r="C12" s="206" t="s">
        <v>1</v>
      </c>
      <c r="D12" s="206" t="s">
        <v>191</v>
      </c>
      <c r="E12" s="65" t="s">
        <v>170</v>
      </c>
      <c r="F12" s="58"/>
      <c r="G12" s="58"/>
      <c r="H12" s="58"/>
      <c r="I12" s="59"/>
      <c r="J12" s="59"/>
      <c r="K12" s="60"/>
      <c r="L12" s="59"/>
      <c r="M12" s="61"/>
      <c r="N12" s="61"/>
      <c r="O12" s="61"/>
      <c r="P12" s="223"/>
      <c r="Q12" s="224"/>
      <c r="S12" s="83"/>
      <c r="X12" s="163"/>
      <c r="Y12" s="189"/>
      <c r="Z12" s="181"/>
      <c r="AE12" s="82" t="str">
        <f ca="1">_xll.IMDH("IR",AE$11,AE13:AF13,$AF$10,$AH$10,$AJ$10,"Per="&amp;$AL$10&amp;",sort="&amp;$AN$10&amp;",real=false,Bizday="&amp;$AP$10&amp;",Quote="&amp;$AR$10&amp;",ROUND=3,Pos=20,Orient=V,Title=T-Bill(3M),DtFmt=1,TmFmt=1,unit=true")</f>
        <v>T-BILL(3M)</v>
      </c>
      <c r="AF12" s="82"/>
      <c r="AG12" s="82" t="str">
        <f ca="1">_xll.IMDH("IR",AG$11,AG13,$AF$10,$AH$10,$AJ$10,"Per="&amp;$AL$10&amp;",sort="&amp;$AN$10&amp;",real=false,Bizday="&amp;$AP$10&amp;",Quote="&amp;$AR$10&amp;",ROUND=3,Pos=20,Orient=V,Title=Libor(3M),DtFmt=1,TmFmt=1,unit=true")</f>
        <v>LIBOR(3M)</v>
      </c>
      <c r="AH12" s="82" t="str">
        <f ca="1">_xll.IMDH("FRN",AH$11,AH13,$AF$10,$AH$10,$AJ$10,"Per="&amp;$AL$10&amp;",sort="&amp;$AN$10&amp;",real=false,Bizday="&amp;$AP$10&amp;",Quote="&amp;$AR$10&amp;",ROUND=3,Pos=20,Orient=V,Title=TED Spread,DtFmt=1,TmFmt=1,unit=true")</f>
        <v>TED SPREAD</v>
      </c>
    </row>
    <row r="13" spans="1:10019" x14ac:dyDescent="0.25">
      <c r="B13" s="205" t="s">
        <v>34</v>
      </c>
      <c r="C13" s="204" t="s">
        <v>4</v>
      </c>
      <c r="D13" s="204" t="s">
        <v>192</v>
      </c>
      <c r="E13" s="66" t="s">
        <v>35</v>
      </c>
      <c r="F13" s="6"/>
      <c r="G13" s="6"/>
      <c r="H13" s="6"/>
      <c r="I13" s="62"/>
      <c r="J13" s="62"/>
      <c r="K13" s="63"/>
      <c r="L13" s="64"/>
      <c r="M13" s="64"/>
      <c r="N13" s="64"/>
      <c r="O13" s="64"/>
      <c r="P13" s="216"/>
      <c r="Q13" s="217"/>
      <c r="S13" s="83"/>
      <c r="U13" s="146"/>
      <c r="V13" s="146"/>
      <c r="W13" s="164"/>
      <c r="X13" s="163"/>
      <c r="Y13" s="163"/>
      <c r="Z13" s="163"/>
      <c r="AE13" s="106" t="s">
        <v>188</v>
      </c>
      <c r="AF13" s="107" t="s">
        <v>187</v>
      </c>
      <c r="AG13" s="107" t="s">
        <v>237</v>
      </c>
      <c r="AH13" s="107" t="s">
        <v>187</v>
      </c>
    </row>
    <row r="14" spans="1:10019" x14ac:dyDescent="0.25">
      <c r="B14" s="205" t="s">
        <v>34</v>
      </c>
      <c r="C14" s="204" t="s">
        <v>3</v>
      </c>
      <c r="D14" s="204" t="s">
        <v>192</v>
      </c>
      <c r="E14" s="66" t="s">
        <v>36</v>
      </c>
      <c r="F14" s="6"/>
      <c r="G14" s="6"/>
      <c r="H14" s="6"/>
      <c r="I14" s="62"/>
      <c r="J14" s="62"/>
      <c r="K14" s="63"/>
      <c r="L14" s="64"/>
      <c r="M14" s="64"/>
      <c r="N14" s="64"/>
      <c r="O14" s="64"/>
      <c r="P14" s="216"/>
      <c r="Q14" s="217"/>
      <c r="S14" s="83"/>
      <c r="T14" s="81"/>
      <c r="W14" s="185"/>
      <c r="AE14" s="185">
        <v>44950</v>
      </c>
      <c r="AF14">
        <v>4.6859999999999999</v>
      </c>
      <c r="AG14">
        <v>4.8220000000000001</v>
      </c>
      <c r="AH14">
        <v>13.625999999999999</v>
      </c>
    </row>
    <row r="15" spans="1:10019" x14ac:dyDescent="0.25">
      <c r="B15" s="205" t="s">
        <v>34</v>
      </c>
      <c r="C15" s="204" t="s">
        <v>2</v>
      </c>
      <c r="D15" s="204" t="s">
        <v>192</v>
      </c>
      <c r="E15" s="66" t="s">
        <v>37</v>
      </c>
      <c r="F15" s="6"/>
      <c r="G15" s="6"/>
      <c r="H15" s="6"/>
      <c r="I15" s="62"/>
      <c r="J15" s="62"/>
      <c r="K15" s="63"/>
      <c r="L15" s="64"/>
      <c r="M15" s="64"/>
      <c r="N15" s="64"/>
      <c r="O15" s="64"/>
      <c r="P15" s="216"/>
      <c r="Q15" s="217"/>
      <c r="S15" s="83"/>
      <c r="T15" s="81"/>
      <c r="W15" s="185"/>
      <c r="AE15" s="185">
        <v>44949</v>
      </c>
      <c r="AF15">
        <v>4.6689999999999996</v>
      </c>
      <c r="AG15">
        <v>4.8179999999999996</v>
      </c>
      <c r="AH15">
        <v>14.861000000000001</v>
      </c>
    </row>
    <row r="16" spans="1:10019" x14ac:dyDescent="0.25">
      <c r="B16" s="205" t="s">
        <v>34</v>
      </c>
      <c r="C16" s="204" t="s">
        <v>38</v>
      </c>
      <c r="D16" s="204" t="s">
        <v>192</v>
      </c>
      <c r="E16" s="66" t="s">
        <v>39</v>
      </c>
      <c r="F16" s="6"/>
      <c r="G16" s="6"/>
      <c r="H16" s="6"/>
      <c r="I16" s="62"/>
      <c r="J16" s="62"/>
      <c r="K16" s="63"/>
      <c r="L16" s="64"/>
      <c r="M16" s="64"/>
      <c r="N16" s="64"/>
      <c r="O16" s="64"/>
      <c r="P16" s="216"/>
      <c r="Q16" s="217"/>
      <c r="S16" s="83"/>
      <c r="T16" s="81"/>
      <c r="W16" s="185"/>
      <c r="AE16" s="185">
        <v>44948</v>
      </c>
      <c r="AF16">
        <v>4.657</v>
      </c>
      <c r="AG16">
        <v>4.8159999999999998</v>
      </c>
      <c r="AH16">
        <v>15.887</v>
      </c>
    </row>
    <row r="17" spans="2:34" x14ac:dyDescent="0.25">
      <c r="B17" s="205" t="s">
        <v>34</v>
      </c>
      <c r="C17" s="204" t="s">
        <v>5</v>
      </c>
      <c r="D17" s="204" t="s">
        <v>192</v>
      </c>
      <c r="E17" s="66" t="s">
        <v>40</v>
      </c>
      <c r="F17" s="6"/>
      <c r="G17" s="6"/>
      <c r="H17" s="6"/>
      <c r="I17" s="62"/>
      <c r="J17" s="62"/>
      <c r="K17" s="63"/>
      <c r="L17" s="64"/>
      <c r="M17" s="64"/>
      <c r="N17" s="64"/>
      <c r="O17" s="64"/>
      <c r="P17" s="216"/>
      <c r="Q17" s="217"/>
      <c r="S17" s="83"/>
      <c r="T17" s="81"/>
      <c r="W17" s="185"/>
      <c r="AE17" s="185">
        <v>44947</v>
      </c>
      <c r="AF17">
        <v>4.657</v>
      </c>
      <c r="AG17">
        <v>4.8159999999999998</v>
      </c>
      <c r="AH17">
        <v>15.887</v>
      </c>
    </row>
    <row r="18" spans="2:34" x14ac:dyDescent="0.25">
      <c r="B18" s="205" t="s">
        <v>34</v>
      </c>
      <c r="C18" s="204" t="s">
        <v>41</v>
      </c>
      <c r="D18" s="204" t="s">
        <v>192</v>
      </c>
      <c r="E18" s="66" t="s">
        <v>42</v>
      </c>
      <c r="F18" s="6"/>
      <c r="G18" s="6"/>
      <c r="H18" s="6"/>
      <c r="I18" s="62"/>
      <c r="J18" s="62"/>
      <c r="K18" s="63"/>
      <c r="L18" s="64"/>
      <c r="M18" s="64"/>
      <c r="N18" s="64"/>
      <c r="O18" s="64"/>
      <c r="P18" s="216"/>
      <c r="Q18" s="217"/>
      <c r="S18" s="83"/>
      <c r="T18" s="81"/>
      <c r="W18" s="185"/>
      <c r="AE18" s="185">
        <v>44946</v>
      </c>
      <c r="AF18">
        <v>4.657</v>
      </c>
      <c r="AG18">
        <v>4.8159999999999998</v>
      </c>
      <c r="AH18">
        <v>15.887</v>
      </c>
    </row>
    <row r="19" spans="2:34" x14ac:dyDescent="0.25">
      <c r="B19" s="205" t="s">
        <v>34</v>
      </c>
      <c r="C19" s="204" t="s">
        <v>6</v>
      </c>
      <c r="D19" s="204" t="s">
        <v>192</v>
      </c>
      <c r="E19" s="66" t="s">
        <v>43</v>
      </c>
      <c r="F19" s="6"/>
      <c r="G19" s="6"/>
      <c r="H19" s="6"/>
      <c r="I19" s="62"/>
      <c r="J19" s="62"/>
      <c r="K19" s="63"/>
      <c r="L19" s="64"/>
      <c r="M19" s="64"/>
      <c r="N19" s="64"/>
      <c r="O19" s="64"/>
      <c r="P19" s="216"/>
      <c r="Q19" s="217"/>
      <c r="T19" s="81"/>
      <c r="W19" s="185"/>
      <c r="AE19" s="185">
        <v>44945</v>
      </c>
      <c r="AF19">
        <v>4.6609999999999996</v>
      </c>
      <c r="AG19">
        <v>4.8150000000000004</v>
      </c>
      <c r="AH19">
        <v>15.419</v>
      </c>
    </row>
    <row r="20" spans="2:34" x14ac:dyDescent="0.25">
      <c r="B20" s="205" t="s">
        <v>34</v>
      </c>
      <c r="C20" s="204" t="s">
        <v>7</v>
      </c>
      <c r="D20" s="204" t="s">
        <v>192</v>
      </c>
      <c r="E20" s="66" t="s">
        <v>44</v>
      </c>
      <c r="F20" s="6"/>
      <c r="G20" s="6"/>
      <c r="H20" s="6"/>
      <c r="I20" s="62"/>
      <c r="J20" s="62"/>
      <c r="K20" s="63"/>
      <c r="L20" s="64"/>
      <c r="M20" s="64"/>
      <c r="N20" s="64"/>
      <c r="O20" s="64"/>
      <c r="P20" s="216"/>
      <c r="Q20" s="217"/>
      <c r="T20" s="81"/>
      <c r="W20" s="185"/>
      <c r="AE20" s="185">
        <v>44944</v>
      </c>
      <c r="AF20">
        <v>4.67</v>
      </c>
      <c r="AG20">
        <v>4.8079999999999998</v>
      </c>
      <c r="AH20">
        <v>13.821</v>
      </c>
    </row>
    <row r="21" spans="2:34" x14ac:dyDescent="0.25">
      <c r="B21" s="205" t="s">
        <v>34</v>
      </c>
      <c r="C21" s="204" t="s">
        <v>0</v>
      </c>
      <c r="D21" s="204" t="s">
        <v>192</v>
      </c>
      <c r="E21" s="66" t="s">
        <v>45</v>
      </c>
      <c r="F21" s="6"/>
      <c r="G21" s="6"/>
      <c r="H21" s="6"/>
      <c r="I21" s="62"/>
      <c r="J21" s="62"/>
      <c r="K21" s="63"/>
      <c r="L21" s="64"/>
      <c r="M21" s="64"/>
      <c r="N21" s="64"/>
      <c r="O21" s="64"/>
      <c r="P21" s="216"/>
      <c r="Q21" s="217"/>
      <c r="T21" s="81"/>
      <c r="W21" s="185"/>
      <c r="AE21" s="185">
        <v>44943</v>
      </c>
      <c r="AF21">
        <v>4.6120000000000001</v>
      </c>
      <c r="AG21">
        <v>4.798</v>
      </c>
      <c r="AH21">
        <v>18.606999999999999</v>
      </c>
    </row>
    <row r="22" spans="2:34" x14ac:dyDescent="0.25">
      <c r="B22" s="205" t="s">
        <v>34</v>
      </c>
      <c r="C22" s="204" t="s">
        <v>46</v>
      </c>
      <c r="D22" s="204" t="s">
        <v>192</v>
      </c>
      <c r="E22" s="66" t="s">
        <v>47</v>
      </c>
      <c r="F22" s="6"/>
      <c r="G22" s="6"/>
      <c r="H22" s="6"/>
      <c r="I22" s="62"/>
      <c r="J22" s="62"/>
      <c r="K22" s="63"/>
      <c r="L22" s="64"/>
      <c r="M22" s="64"/>
      <c r="N22" s="64"/>
      <c r="O22" s="64"/>
      <c r="P22" s="216"/>
      <c r="Q22" s="217"/>
      <c r="T22" s="81"/>
      <c r="AE22" s="185">
        <v>44942</v>
      </c>
      <c r="AF22">
        <v>4.6120000000000001</v>
      </c>
      <c r="AG22">
        <v>4.7949999999999999</v>
      </c>
      <c r="AH22">
        <v>18.260999999999999</v>
      </c>
    </row>
    <row r="23" spans="2:34" x14ac:dyDescent="0.25">
      <c r="B23" s="205" t="s">
        <v>34</v>
      </c>
      <c r="C23" s="204" t="s">
        <v>48</v>
      </c>
      <c r="D23" s="204" t="s">
        <v>192</v>
      </c>
      <c r="E23" s="66" t="s">
        <v>49</v>
      </c>
      <c r="F23" s="6"/>
      <c r="G23" s="6"/>
      <c r="H23" s="6"/>
      <c r="I23" s="62"/>
      <c r="J23" s="62"/>
      <c r="K23" s="63"/>
      <c r="L23" s="64"/>
      <c r="M23" s="64"/>
      <c r="N23" s="64"/>
      <c r="O23" s="64"/>
      <c r="P23" s="216"/>
      <c r="Q23" s="217"/>
      <c r="T23" s="81"/>
      <c r="AE23" s="185">
        <v>44941</v>
      </c>
      <c r="AF23">
        <v>4.6120000000000001</v>
      </c>
      <c r="AG23">
        <v>4.7919999999999998</v>
      </c>
      <c r="AH23">
        <v>18.033000000000001</v>
      </c>
    </row>
    <row r="24" spans="2:34" x14ac:dyDescent="0.25">
      <c r="B24" s="205" t="s">
        <v>34</v>
      </c>
      <c r="C24" s="204" t="s">
        <v>50</v>
      </c>
      <c r="D24" s="204" t="s">
        <v>192</v>
      </c>
      <c r="E24" s="67" t="s">
        <v>51</v>
      </c>
      <c r="F24" s="68"/>
      <c r="G24" s="68"/>
      <c r="H24" s="68"/>
      <c r="I24" s="69"/>
      <c r="J24" s="69"/>
      <c r="K24" s="70"/>
      <c r="L24" s="71"/>
      <c r="M24" s="71"/>
      <c r="N24" s="71"/>
      <c r="O24" s="71"/>
      <c r="P24" s="218"/>
      <c r="Q24" s="219"/>
      <c r="T24" s="81"/>
      <c r="AE24" s="185">
        <v>44940</v>
      </c>
      <c r="AF24">
        <v>4.6120000000000001</v>
      </c>
      <c r="AG24">
        <v>4.7919999999999998</v>
      </c>
      <c r="AH24">
        <v>18.033000000000001</v>
      </c>
    </row>
    <row r="25" spans="2:34" x14ac:dyDescent="0.25">
      <c r="T25" s="81"/>
      <c r="AE25" s="185">
        <v>44939</v>
      </c>
      <c r="AF25">
        <v>4.6120000000000001</v>
      </c>
      <c r="AG25">
        <v>4.7919999999999998</v>
      </c>
      <c r="AH25">
        <v>18.033000000000001</v>
      </c>
    </row>
    <row r="26" spans="2:34" x14ac:dyDescent="0.25">
      <c r="T26" s="81"/>
      <c r="W26" s="185"/>
      <c r="AE26" s="185">
        <v>44938</v>
      </c>
      <c r="AF26">
        <v>4.5960000000000001</v>
      </c>
      <c r="AG26">
        <v>4.83</v>
      </c>
      <c r="AH26">
        <v>23.341000000000001</v>
      </c>
    </row>
    <row r="27" spans="2:34" x14ac:dyDescent="0.25">
      <c r="T27" s="81"/>
      <c r="W27" s="185"/>
      <c r="AE27" s="185">
        <v>44937</v>
      </c>
      <c r="AF27">
        <v>4.68</v>
      </c>
      <c r="AG27">
        <v>4.8150000000000004</v>
      </c>
      <c r="AH27">
        <v>13.52</v>
      </c>
    </row>
    <row r="28" spans="2:34" x14ac:dyDescent="0.25">
      <c r="T28" s="81"/>
      <c r="W28" s="185"/>
      <c r="AE28" s="185">
        <v>44936</v>
      </c>
      <c r="AF28">
        <v>4.6230000000000002</v>
      </c>
      <c r="AG28">
        <v>4.806</v>
      </c>
      <c r="AH28">
        <v>18.245999999999999</v>
      </c>
    </row>
    <row r="29" spans="2:34" x14ac:dyDescent="0.25">
      <c r="T29" s="81"/>
      <c r="W29" s="185"/>
      <c r="AE29" s="185">
        <v>44935</v>
      </c>
      <c r="AF29">
        <v>4.617</v>
      </c>
      <c r="AG29">
        <v>4.7830000000000004</v>
      </c>
      <c r="AH29">
        <v>16.527000000000001</v>
      </c>
    </row>
    <row r="30" spans="2:34" x14ac:dyDescent="0.25">
      <c r="T30" s="81"/>
      <c r="W30" s="185"/>
      <c r="AE30" s="185">
        <v>44934</v>
      </c>
      <c r="AF30">
        <v>4.6150000000000002</v>
      </c>
      <c r="AG30">
        <v>4.8099999999999996</v>
      </c>
      <c r="AH30">
        <v>19.456</v>
      </c>
    </row>
    <row r="31" spans="2:34" x14ac:dyDescent="0.25">
      <c r="T31" s="81"/>
      <c r="W31" s="185"/>
      <c r="AE31" s="185">
        <v>44933</v>
      </c>
      <c r="AF31">
        <v>4.6150000000000002</v>
      </c>
      <c r="AG31">
        <v>4.8099999999999996</v>
      </c>
      <c r="AH31">
        <v>19.456</v>
      </c>
    </row>
    <row r="32" spans="2:34" x14ac:dyDescent="0.25">
      <c r="T32" s="81"/>
      <c r="W32" s="185"/>
      <c r="AE32" s="185">
        <v>44932</v>
      </c>
      <c r="AF32">
        <v>4.6150000000000002</v>
      </c>
      <c r="AG32">
        <v>4.8099999999999996</v>
      </c>
      <c r="AH32">
        <v>19.456</v>
      </c>
    </row>
    <row r="33" spans="2:34" x14ac:dyDescent="0.25">
      <c r="T33" s="81"/>
      <c r="W33" s="185"/>
      <c r="AE33" s="185">
        <v>44931</v>
      </c>
      <c r="AF33">
        <v>4.617</v>
      </c>
      <c r="AG33">
        <v>4.8120000000000003</v>
      </c>
      <c r="AH33">
        <v>19.471</v>
      </c>
    </row>
    <row r="34" spans="2:34" x14ac:dyDescent="0.25">
      <c r="T34" s="81"/>
      <c r="W34" s="185"/>
      <c r="AE34" s="185">
        <v>44930</v>
      </c>
      <c r="AF34">
        <v>4.5140000000000002</v>
      </c>
      <c r="AG34">
        <v>4.7880000000000003</v>
      </c>
      <c r="AH34">
        <v>27.452999999999999</v>
      </c>
    </row>
    <row r="35" spans="2:34" x14ac:dyDescent="0.25">
      <c r="T35" s="81"/>
      <c r="W35" s="185"/>
      <c r="AE35" s="185">
        <v>44929</v>
      </c>
      <c r="AF35">
        <v>4.3849999999999998</v>
      </c>
      <c r="AG35">
        <v>4.782</v>
      </c>
      <c r="AH35">
        <v>39.646000000000001</v>
      </c>
    </row>
    <row r="36" spans="2:34" x14ac:dyDescent="0.25">
      <c r="T36" s="81"/>
      <c r="W36" s="185"/>
      <c r="AE36" s="185">
        <v>44928</v>
      </c>
      <c r="AF36">
        <v>4.42</v>
      </c>
      <c r="AG36">
        <v>4.7670000000000003</v>
      </c>
      <c r="AH36">
        <v>34.768999999999998</v>
      </c>
    </row>
    <row r="37" spans="2:34" x14ac:dyDescent="0.25">
      <c r="T37" s="81"/>
      <c r="W37" s="185"/>
      <c r="AE37" s="185">
        <v>44927</v>
      </c>
      <c r="AF37">
        <v>4.42</v>
      </c>
      <c r="AG37">
        <v>4.7670000000000003</v>
      </c>
      <c r="AH37">
        <v>34.768999999999998</v>
      </c>
    </row>
    <row r="38" spans="2:34" x14ac:dyDescent="0.25">
      <c r="T38" s="81"/>
      <c r="W38" s="185"/>
      <c r="AE38" s="185">
        <v>44926</v>
      </c>
      <c r="AF38">
        <v>4.42</v>
      </c>
      <c r="AG38">
        <v>4.7670000000000003</v>
      </c>
      <c r="AH38">
        <v>34.768999999999998</v>
      </c>
    </row>
    <row r="39" spans="2:34" x14ac:dyDescent="0.25">
      <c r="T39" s="81"/>
      <c r="W39" s="185"/>
      <c r="AE39" s="185">
        <v>44925</v>
      </c>
      <c r="AF39">
        <v>4.42</v>
      </c>
      <c r="AG39">
        <v>4.7670000000000003</v>
      </c>
      <c r="AH39">
        <v>34.768999999999998</v>
      </c>
    </row>
    <row r="40" spans="2:34" x14ac:dyDescent="0.25">
      <c r="T40" s="81"/>
      <c r="W40" s="185"/>
      <c r="AE40" s="185">
        <v>44924</v>
      </c>
      <c r="AF40">
        <v>4.4139999999999997</v>
      </c>
      <c r="AG40">
        <v>4.7539999999999996</v>
      </c>
      <c r="AH40">
        <v>33.985999999999997</v>
      </c>
    </row>
    <row r="41" spans="2:34" x14ac:dyDescent="0.25">
      <c r="T41" s="81"/>
      <c r="W41" s="185"/>
      <c r="AE41" s="185">
        <v>44923</v>
      </c>
      <c r="AF41">
        <v>4.4560000000000004</v>
      </c>
      <c r="AG41">
        <v>4.7300000000000004</v>
      </c>
      <c r="AH41">
        <v>27.376000000000001</v>
      </c>
    </row>
    <row r="42" spans="2:34" x14ac:dyDescent="0.25">
      <c r="T42" s="81"/>
      <c r="W42" s="185"/>
      <c r="AE42" s="185">
        <v>44922</v>
      </c>
      <c r="AF42">
        <v>4.3049999999999997</v>
      </c>
      <c r="AG42">
        <v>4.726</v>
      </c>
      <c r="AH42">
        <v>42.143000000000001</v>
      </c>
    </row>
    <row r="43" spans="2:34" x14ac:dyDescent="0.25">
      <c r="E43" s="9" t="s">
        <v>54</v>
      </c>
      <c r="F43" s="7"/>
      <c r="G43" s="7"/>
      <c r="H43" s="7"/>
      <c r="I43" s="7"/>
      <c r="J43" s="7"/>
      <c r="T43" s="81"/>
      <c r="W43" s="185"/>
      <c r="AE43" s="185">
        <v>44921</v>
      </c>
      <c r="AF43">
        <v>4.3209999999999997</v>
      </c>
      <c r="AG43">
        <v>4.726</v>
      </c>
      <c r="AH43">
        <v>40.533000000000001</v>
      </c>
    </row>
    <row r="44" spans="2:34" x14ac:dyDescent="0.25">
      <c r="E44" s="7"/>
      <c r="F44" s="8"/>
      <c r="G44" s="139" t="s">
        <v>242</v>
      </c>
      <c r="H44" s="142">
        <f ca="1">EOMONTH($G$8,-1)</f>
        <v>44926</v>
      </c>
      <c r="I44" s="142">
        <f ca="1">EOMONTH($G$8,-3)</f>
        <v>44865</v>
      </c>
      <c r="J44" s="142">
        <f ca="1">DATE(YEAR($G$8)-1,12,31)</f>
        <v>44926</v>
      </c>
      <c r="T44" s="81"/>
      <c r="W44" s="185"/>
      <c r="AE44" s="185">
        <v>44920</v>
      </c>
      <c r="AF44">
        <v>4.3209999999999997</v>
      </c>
      <c r="AG44">
        <v>4.726</v>
      </c>
      <c r="AH44">
        <v>40.533000000000001</v>
      </c>
    </row>
    <row r="45" spans="2:34" x14ac:dyDescent="0.25">
      <c r="E45" s="20" t="s">
        <v>55</v>
      </c>
      <c r="F45" s="52" t="s">
        <v>194</v>
      </c>
      <c r="G45" s="19" t="s">
        <v>26</v>
      </c>
      <c r="H45" s="19" t="s">
        <v>171</v>
      </c>
      <c r="I45" s="19" t="s">
        <v>172</v>
      </c>
      <c r="J45" s="19" t="s">
        <v>173</v>
      </c>
      <c r="T45" s="81"/>
      <c r="W45" s="185"/>
      <c r="AE45" s="185">
        <v>44919</v>
      </c>
      <c r="AF45">
        <v>4.3209999999999997</v>
      </c>
      <c r="AG45">
        <v>4.726</v>
      </c>
      <c r="AH45">
        <v>40.533000000000001</v>
      </c>
    </row>
    <row r="46" spans="2:34" x14ac:dyDescent="0.25">
      <c r="B46" s="207" t="s">
        <v>56</v>
      </c>
      <c r="C46" s="208" t="s">
        <v>57</v>
      </c>
      <c r="D46" s="208" t="s">
        <v>193</v>
      </c>
      <c r="E46" s="11" t="s">
        <v>58</v>
      </c>
      <c r="F46" s="16"/>
      <c r="G46" s="16"/>
      <c r="H46" s="16"/>
      <c r="I46" s="16"/>
      <c r="J46" s="17"/>
      <c r="T46" s="212" t="s">
        <v>235</v>
      </c>
      <c r="U46" s="6"/>
      <c r="V46" s="6"/>
      <c r="W46" s="185"/>
      <c r="AE46" s="185">
        <v>44918</v>
      </c>
      <c r="AF46">
        <v>4.3209999999999997</v>
      </c>
      <c r="AG46">
        <v>4.726</v>
      </c>
      <c r="AH46">
        <v>40.533000000000001</v>
      </c>
    </row>
    <row r="47" spans="2:34" x14ac:dyDescent="0.25">
      <c r="B47" s="207" t="s">
        <v>56</v>
      </c>
      <c r="C47" s="208" t="s">
        <v>59</v>
      </c>
      <c r="D47" s="208" t="s">
        <v>193</v>
      </c>
      <c r="E47" s="12" t="s">
        <v>60</v>
      </c>
      <c r="F47" s="10"/>
      <c r="G47" s="10"/>
      <c r="H47" s="10"/>
      <c r="I47" s="10"/>
      <c r="J47" s="18"/>
      <c r="T47" s="213" t="s">
        <v>232</v>
      </c>
      <c r="U47" s="6"/>
      <c r="V47" s="6"/>
      <c r="W47" s="185"/>
      <c r="AE47" s="185">
        <v>44917</v>
      </c>
      <c r="AF47">
        <v>4.3339999999999996</v>
      </c>
      <c r="AG47">
        <v>4.7240000000000002</v>
      </c>
      <c r="AH47">
        <v>39.036000000000001</v>
      </c>
    </row>
    <row r="48" spans="2:34" x14ac:dyDescent="0.25">
      <c r="B48" s="207" t="s">
        <v>56</v>
      </c>
      <c r="C48" s="208" t="s">
        <v>17</v>
      </c>
      <c r="D48" s="208" t="s">
        <v>193</v>
      </c>
      <c r="E48" s="12" t="s">
        <v>61</v>
      </c>
      <c r="F48" s="10"/>
      <c r="G48" s="10"/>
      <c r="H48" s="10"/>
      <c r="I48" s="10"/>
      <c r="J48" s="18"/>
      <c r="T48" s="214" t="s">
        <v>233</v>
      </c>
      <c r="U48" s="211"/>
      <c r="V48" s="211"/>
      <c r="W48" s="185" t="s">
        <v>240</v>
      </c>
      <c r="AE48" s="185">
        <v>44916</v>
      </c>
      <c r="AF48">
        <v>4.3390000000000004</v>
      </c>
      <c r="AG48">
        <v>4.7290000000000001</v>
      </c>
      <c r="AH48">
        <v>38.979999999999997</v>
      </c>
    </row>
    <row r="49" spans="1:34" x14ac:dyDescent="0.25">
      <c r="B49" s="209" t="s">
        <v>56</v>
      </c>
      <c r="C49" s="210" t="s">
        <v>62</v>
      </c>
      <c r="D49" s="210" t="s">
        <v>194</v>
      </c>
      <c r="E49" s="12" t="s">
        <v>63</v>
      </c>
      <c r="F49" s="24"/>
      <c r="G49" s="10"/>
      <c r="H49" s="24"/>
      <c r="I49" s="24"/>
      <c r="J49" s="18"/>
      <c r="T49" s="215" t="s">
        <v>234</v>
      </c>
      <c r="U49" s="6"/>
      <c r="V49" s="6"/>
      <c r="W49" s="185" t="s">
        <v>241</v>
      </c>
      <c r="AE49" s="185">
        <v>44915</v>
      </c>
      <c r="AF49">
        <v>4.3090000000000002</v>
      </c>
      <c r="AG49">
        <v>4.7530000000000001</v>
      </c>
      <c r="AH49">
        <v>44.406999999999996</v>
      </c>
    </row>
    <row r="50" spans="1:34" s="80" customFormat="1" x14ac:dyDescent="0.25">
      <c r="A50" s="181"/>
      <c r="B50" s="209" t="s">
        <v>56</v>
      </c>
      <c r="C50" s="210" t="s">
        <v>64</v>
      </c>
      <c r="D50" s="210" t="s">
        <v>195</v>
      </c>
      <c r="E50" s="92" t="s">
        <v>65</v>
      </c>
      <c r="F50" s="78"/>
      <c r="G50" s="78"/>
      <c r="H50" s="78"/>
      <c r="I50" s="78"/>
      <c r="J50" s="79"/>
      <c r="T50" s="81"/>
      <c r="U50" s="83"/>
      <c r="V50" s="83"/>
      <c r="W50" s="185"/>
      <c r="X50" s="83"/>
      <c r="Y50" s="83"/>
      <c r="Z50" s="83"/>
      <c r="AA50" s="83"/>
      <c r="AB50" s="83"/>
      <c r="AC50" s="83"/>
      <c r="AD50" s="83"/>
      <c r="AE50" s="185">
        <v>44914</v>
      </c>
      <c r="AF50" s="80">
        <v>4.2670000000000003</v>
      </c>
      <c r="AG50" s="80">
        <v>4.7380000000000004</v>
      </c>
      <c r="AH50" s="80">
        <v>47.168999999999997</v>
      </c>
    </row>
    <row r="51" spans="1:34" x14ac:dyDescent="0.25">
      <c r="B51" s="209" t="s">
        <v>34</v>
      </c>
      <c r="C51" s="210" t="s">
        <v>66</v>
      </c>
      <c r="D51" s="210" t="s">
        <v>194</v>
      </c>
      <c r="E51" s="12" t="s">
        <v>67</v>
      </c>
      <c r="F51" s="10"/>
      <c r="G51" s="10"/>
      <c r="H51" s="10"/>
      <c r="I51" s="10"/>
      <c r="J51" s="18"/>
      <c r="T51" s="81"/>
      <c r="W51" s="185"/>
      <c r="AE51" s="185">
        <v>44913</v>
      </c>
      <c r="AF51">
        <v>4.3010000000000002</v>
      </c>
      <c r="AG51">
        <v>4.7460000000000004</v>
      </c>
      <c r="AH51">
        <v>44.506</v>
      </c>
    </row>
    <row r="52" spans="1:34" x14ac:dyDescent="0.25">
      <c r="B52" s="209" t="s">
        <v>56</v>
      </c>
      <c r="C52" s="210" t="s">
        <v>68</v>
      </c>
      <c r="D52" s="210" t="s">
        <v>194</v>
      </c>
      <c r="E52" s="12" t="s">
        <v>69</v>
      </c>
      <c r="F52" s="10"/>
      <c r="G52" s="10"/>
      <c r="H52" s="10"/>
      <c r="I52" s="10"/>
      <c r="J52" s="18"/>
      <c r="T52" s="81"/>
      <c r="W52" s="185"/>
      <c r="AE52" s="185">
        <v>44912</v>
      </c>
      <c r="AF52">
        <v>4.3010000000000002</v>
      </c>
      <c r="AG52">
        <v>4.7460000000000004</v>
      </c>
      <c r="AH52">
        <v>44.506</v>
      </c>
    </row>
    <row r="53" spans="1:34" x14ac:dyDescent="0.25">
      <c r="B53" s="209" t="s">
        <v>56</v>
      </c>
      <c r="C53" s="210" t="s">
        <v>70</v>
      </c>
      <c r="D53" s="210" t="s">
        <v>194</v>
      </c>
      <c r="E53" s="12" t="s">
        <v>71</v>
      </c>
      <c r="F53" s="10"/>
      <c r="G53" s="10"/>
      <c r="H53" s="10"/>
      <c r="I53" s="10"/>
      <c r="J53" s="18"/>
      <c r="T53" s="81"/>
      <c r="W53" s="185"/>
      <c r="AE53" s="185">
        <v>44911</v>
      </c>
      <c r="AF53">
        <v>4.3010000000000002</v>
      </c>
      <c r="AG53">
        <v>4.7460000000000004</v>
      </c>
      <c r="AH53">
        <v>44.506</v>
      </c>
    </row>
    <row r="54" spans="1:34" x14ac:dyDescent="0.25">
      <c r="B54" s="209" t="s">
        <v>56</v>
      </c>
      <c r="C54" s="210" t="s">
        <v>72</v>
      </c>
      <c r="D54" s="210" t="s">
        <v>194</v>
      </c>
      <c r="E54" s="12" t="s">
        <v>73</v>
      </c>
      <c r="F54" s="10"/>
      <c r="G54" s="10"/>
      <c r="H54" s="10"/>
      <c r="I54" s="10"/>
      <c r="J54" s="18"/>
      <c r="T54" s="81"/>
      <c r="W54" s="185"/>
      <c r="AE54" s="185">
        <v>44910</v>
      </c>
      <c r="AF54">
        <v>4.3230000000000004</v>
      </c>
      <c r="AG54">
        <v>4.7380000000000004</v>
      </c>
      <c r="AH54">
        <v>41.460999999999999</v>
      </c>
    </row>
    <row r="55" spans="1:34" x14ac:dyDescent="0.25">
      <c r="B55" s="209" t="s">
        <v>56</v>
      </c>
      <c r="C55" s="210" t="s">
        <v>74</v>
      </c>
      <c r="D55" s="210" t="s">
        <v>194</v>
      </c>
      <c r="E55" s="12" t="s">
        <v>75</v>
      </c>
      <c r="F55" s="10"/>
      <c r="G55" s="10"/>
      <c r="H55" s="10"/>
      <c r="I55" s="10"/>
      <c r="J55" s="18"/>
      <c r="T55" s="81"/>
      <c r="W55" s="185"/>
      <c r="AE55" s="185">
        <v>44909</v>
      </c>
      <c r="AF55">
        <v>4.3339999999999996</v>
      </c>
      <c r="AG55">
        <v>4.7359999999999998</v>
      </c>
      <c r="AH55">
        <v>40.228999999999999</v>
      </c>
    </row>
    <row r="56" spans="1:34" x14ac:dyDescent="0.25">
      <c r="B56" s="209" t="s">
        <v>56</v>
      </c>
      <c r="C56" s="210" t="s">
        <v>76</v>
      </c>
      <c r="D56" s="210" t="s">
        <v>194</v>
      </c>
      <c r="E56" s="12" t="s">
        <v>77</v>
      </c>
      <c r="F56" s="10"/>
      <c r="G56" s="10"/>
      <c r="H56" s="10"/>
      <c r="I56" s="10"/>
      <c r="J56" s="18"/>
      <c r="T56" s="81"/>
      <c r="W56" s="185"/>
      <c r="AE56" s="185">
        <v>44908</v>
      </c>
      <c r="AF56">
        <v>4.3319999999999999</v>
      </c>
      <c r="AG56">
        <v>4.7690000000000001</v>
      </c>
      <c r="AH56">
        <v>43.71</v>
      </c>
    </row>
    <row r="57" spans="1:34" x14ac:dyDescent="0.25">
      <c r="B57" s="209" t="s">
        <v>56</v>
      </c>
      <c r="C57" s="210" t="s">
        <v>78</v>
      </c>
      <c r="D57" s="210" t="s">
        <v>194</v>
      </c>
      <c r="E57" s="12" t="s">
        <v>79</v>
      </c>
      <c r="F57" s="10"/>
      <c r="G57" s="10"/>
      <c r="H57" s="10"/>
      <c r="I57" s="10"/>
      <c r="J57" s="18"/>
      <c r="T57" s="81"/>
      <c r="W57" s="185"/>
      <c r="AE57" s="185">
        <v>44907</v>
      </c>
      <c r="AF57">
        <v>4.2850000000000001</v>
      </c>
      <c r="AG57">
        <v>4.7530000000000001</v>
      </c>
      <c r="AH57">
        <v>46.790999999999997</v>
      </c>
    </row>
    <row r="58" spans="1:34" x14ac:dyDescent="0.25">
      <c r="B58" s="209" t="s">
        <v>56</v>
      </c>
      <c r="C58" s="210" t="s">
        <v>16</v>
      </c>
      <c r="D58" s="210" t="s">
        <v>194</v>
      </c>
      <c r="E58" s="13" t="s">
        <v>80</v>
      </c>
      <c r="F58" s="14"/>
      <c r="G58" s="14"/>
      <c r="H58" s="14"/>
      <c r="I58" s="14"/>
      <c r="J58" s="15"/>
      <c r="T58" s="81"/>
      <c r="W58" s="185"/>
      <c r="AE58" s="185">
        <v>44906</v>
      </c>
      <c r="AF58">
        <v>4.3029999999999999</v>
      </c>
      <c r="AG58">
        <v>4.7329999999999997</v>
      </c>
      <c r="AH58">
        <v>42.973999999999997</v>
      </c>
    </row>
    <row r="59" spans="1:34" x14ac:dyDescent="0.25">
      <c r="T59" s="81"/>
      <c r="W59" s="185"/>
      <c r="AE59" s="185">
        <v>44905</v>
      </c>
      <c r="AF59">
        <v>4.3029999999999999</v>
      </c>
      <c r="AG59">
        <v>4.7329999999999997</v>
      </c>
      <c r="AH59">
        <v>42.973999999999997</v>
      </c>
    </row>
    <row r="60" spans="1:34" x14ac:dyDescent="0.25">
      <c r="T60" s="81"/>
      <c r="W60" s="185"/>
      <c r="AE60" s="185">
        <v>44904</v>
      </c>
      <c r="AF60">
        <v>4.3029999999999999</v>
      </c>
      <c r="AG60">
        <v>4.7329999999999997</v>
      </c>
      <c r="AH60">
        <v>42.973999999999997</v>
      </c>
    </row>
    <row r="61" spans="1:34" x14ac:dyDescent="0.25">
      <c r="E61" s="22" t="s">
        <v>153</v>
      </c>
      <c r="F61" s="21"/>
      <c r="G61" s="21"/>
      <c r="H61" s="21"/>
      <c r="I61" s="21"/>
      <c r="J61" s="21"/>
      <c r="T61" s="81"/>
      <c r="W61" s="185"/>
      <c r="AE61" s="185">
        <v>44903</v>
      </c>
      <c r="AF61">
        <v>4.274</v>
      </c>
      <c r="AG61">
        <v>4.7350000000000003</v>
      </c>
      <c r="AH61">
        <v>46.134</v>
      </c>
    </row>
    <row r="62" spans="1:34" x14ac:dyDescent="0.25">
      <c r="E62" s="21"/>
      <c r="F62" s="21"/>
      <c r="G62" s="21"/>
      <c r="H62" s="21"/>
      <c r="I62" s="21"/>
      <c r="J62" s="21"/>
      <c r="T62" s="81"/>
      <c r="W62" s="185"/>
      <c r="AE62" s="185">
        <v>44902</v>
      </c>
      <c r="AF62">
        <v>4.3049999999999997</v>
      </c>
      <c r="AG62">
        <v>4.7229999999999999</v>
      </c>
      <c r="AH62">
        <v>41.802999999999997</v>
      </c>
    </row>
    <row r="63" spans="1:34" x14ac:dyDescent="0.25">
      <c r="E63" s="21"/>
      <c r="F63" s="21"/>
      <c r="G63" s="139" t="s">
        <v>242</v>
      </c>
      <c r="H63" s="142">
        <f ca="1">EOMONTH($G$8,-1)</f>
        <v>44926</v>
      </c>
      <c r="I63" s="142">
        <f ca="1">EOMONTH($G$8,-3)</f>
        <v>44865</v>
      </c>
      <c r="J63" s="142">
        <f ca="1">DATE(YEAR($G$8)-1,12,31)</f>
        <v>44926</v>
      </c>
      <c r="T63" s="81"/>
      <c r="W63" s="185"/>
      <c r="AE63" s="185">
        <v>44901</v>
      </c>
      <c r="AF63">
        <v>4.3140000000000001</v>
      </c>
      <c r="AG63">
        <v>4.7350000000000003</v>
      </c>
      <c r="AH63">
        <v>42.087000000000003</v>
      </c>
    </row>
    <row r="64" spans="1:34" x14ac:dyDescent="0.25">
      <c r="E64" s="33" t="s">
        <v>81</v>
      </c>
      <c r="F64" s="52" t="s">
        <v>194</v>
      </c>
      <c r="G64" s="33" t="s">
        <v>26</v>
      </c>
      <c r="H64" s="33" t="s">
        <v>28</v>
      </c>
      <c r="I64" s="33" t="s">
        <v>29</v>
      </c>
      <c r="J64" s="33" t="s">
        <v>31</v>
      </c>
      <c r="T64" s="81"/>
      <c r="W64" s="185"/>
      <c r="AE64" s="185">
        <v>44900</v>
      </c>
      <c r="AF64">
        <v>4.298</v>
      </c>
      <c r="AG64">
        <v>4.7229999999999999</v>
      </c>
      <c r="AH64">
        <v>42.573</v>
      </c>
    </row>
    <row r="65" spans="2:34" x14ac:dyDescent="0.25">
      <c r="B65" s="207" t="s">
        <v>92</v>
      </c>
      <c r="C65" s="210" t="s">
        <v>18</v>
      </c>
      <c r="D65" s="210" t="s">
        <v>196</v>
      </c>
      <c r="E65" s="25" t="s">
        <v>82</v>
      </c>
      <c r="F65" s="72"/>
      <c r="G65" s="16"/>
      <c r="H65" s="16"/>
      <c r="I65" s="26"/>
      <c r="J65" s="27"/>
      <c r="T65" s="81"/>
      <c r="W65" s="185"/>
      <c r="AE65" s="185">
        <v>44899</v>
      </c>
      <c r="AF65">
        <v>4.306</v>
      </c>
      <c r="AG65">
        <v>4.7329999999999997</v>
      </c>
      <c r="AH65">
        <v>42.656999999999996</v>
      </c>
    </row>
    <row r="66" spans="2:34" x14ac:dyDescent="0.25">
      <c r="B66" s="207" t="s">
        <v>92</v>
      </c>
      <c r="C66" s="210" t="s">
        <v>8</v>
      </c>
      <c r="D66" s="210" t="s">
        <v>197</v>
      </c>
      <c r="E66" s="28" t="s">
        <v>83</v>
      </c>
      <c r="F66" s="73"/>
      <c r="G66" s="24"/>
      <c r="H66" s="23"/>
      <c r="I66" s="23"/>
      <c r="J66" s="29"/>
      <c r="T66" s="81"/>
      <c r="W66" s="185"/>
      <c r="AE66" s="185">
        <v>44898</v>
      </c>
      <c r="AF66">
        <v>4.306</v>
      </c>
      <c r="AG66">
        <v>4.7329999999999997</v>
      </c>
      <c r="AH66">
        <v>42.656999999999996</v>
      </c>
    </row>
    <row r="67" spans="2:34" x14ac:dyDescent="0.25">
      <c r="B67" s="207" t="s">
        <v>92</v>
      </c>
      <c r="C67" s="210" t="s">
        <v>15</v>
      </c>
      <c r="D67" s="210" t="s">
        <v>197</v>
      </c>
      <c r="E67" s="28" t="s">
        <v>84</v>
      </c>
      <c r="F67" s="73"/>
      <c r="G67" s="24"/>
      <c r="H67" s="23"/>
      <c r="I67" s="23"/>
      <c r="J67" s="29"/>
      <c r="T67" s="81"/>
      <c r="W67" s="185"/>
      <c r="AE67" s="185">
        <v>44897</v>
      </c>
      <c r="AF67">
        <v>4.306</v>
      </c>
      <c r="AG67">
        <v>4.7329999999999997</v>
      </c>
      <c r="AH67">
        <v>42.656999999999996</v>
      </c>
    </row>
    <row r="68" spans="2:34" x14ac:dyDescent="0.25">
      <c r="B68" s="209" t="s">
        <v>92</v>
      </c>
      <c r="C68" s="210" t="s">
        <v>13</v>
      </c>
      <c r="D68" s="210" t="s">
        <v>197</v>
      </c>
      <c r="E68" s="28" t="s">
        <v>85</v>
      </c>
      <c r="F68" s="73"/>
      <c r="G68" s="24"/>
      <c r="H68" s="23"/>
      <c r="I68" s="23"/>
      <c r="J68" s="29"/>
      <c r="T68" s="81"/>
      <c r="W68" s="185"/>
      <c r="AE68" s="185">
        <v>44896</v>
      </c>
      <c r="AF68">
        <v>4.3280000000000003</v>
      </c>
      <c r="AG68">
        <v>4.7649999999999997</v>
      </c>
      <c r="AH68">
        <v>43.67</v>
      </c>
    </row>
    <row r="69" spans="2:34" x14ac:dyDescent="0.25">
      <c r="B69" s="209" t="s">
        <v>92</v>
      </c>
      <c r="C69" s="210" t="s">
        <v>12</v>
      </c>
      <c r="D69" s="210" t="s">
        <v>197</v>
      </c>
      <c r="E69" s="28" t="s">
        <v>86</v>
      </c>
      <c r="F69" s="73"/>
      <c r="G69" s="24"/>
      <c r="H69" s="23"/>
      <c r="I69" s="23"/>
      <c r="J69" s="29"/>
      <c r="T69" s="81"/>
      <c r="W69" s="185"/>
      <c r="AE69" s="185">
        <v>44895</v>
      </c>
      <c r="AF69">
        <v>4.3680000000000003</v>
      </c>
      <c r="AG69">
        <v>4.7789999999999999</v>
      </c>
      <c r="AH69">
        <v>41.076999999999998</v>
      </c>
    </row>
    <row r="70" spans="2:34" x14ac:dyDescent="0.25">
      <c r="B70" s="209" t="s">
        <v>92</v>
      </c>
      <c r="C70" s="210" t="s">
        <v>10</v>
      </c>
      <c r="D70" s="210" t="s">
        <v>197</v>
      </c>
      <c r="E70" s="28" t="s">
        <v>87</v>
      </c>
      <c r="F70" s="73"/>
      <c r="G70" s="24"/>
      <c r="H70" s="23"/>
      <c r="I70" s="23"/>
      <c r="J70" s="29"/>
      <c r="T70" s="81"/>
      <c r="W70" s="185"/>
      <c r="AE70" s="185">
        <v>44894</v>
      </c>
      <c r="AF70">
        <v>4.3419999999999996</v>
      </c>
      <c r="AG70">
        <v>4.7610000000000001</v>
      </c>
      <c r="AH70">
        <v>41.826999999999998</v>
      </c>
    </row>
    <row r="71" spans="2:34" x14ac:dyDescent="0.25">
      <c r="B71" s="209" t="s">
        <v>92</v>
      </c>
      <c r="C71" s="210" t="s">
        <v>11</v>
      </c>
      <c r="D71" s="210" t="s">
        <v>197</v>
      </c>
      <c r="E71" s="28" t="s">
        <v>88</v>
      </c>
      <c r="F71" s="73"/>
      <c r="G71" s="24"/>
      <c r="H71" s="23"/>
      <c r="I71" s="23"/>
      <c r="J71" s="29"/>
      <c r="T71" s="81"/>
      <c r="W71" s="185"/>
      <c r="AE71" s="185">
        <v>44893</v>
      </c>
      <c r="AF71">
        <v>4.3040000000000003</v>
      </c>
      <c r="AG71">
        <v>4.7350000000000003</v>
      </c>
      <c r="AH71">
        <v>43.076000000000001</v>
      </c>
    </row>
    <row r="72" spans="2:34" x14ac:dyDescent="0.25">
      <c r="B72" s="209" t="s">
        <v>92</v>
      </c>
      <c r="C72" s="210" t="s">
        <v>9</v>
      </c>
      <c r="D72" s="210" t="s">
        <v>197</v>
      </c>
      <c r="E72" s="28" t="s">
        <v>89</v>
      </c>
      <c r="F72" s="73"/>
      <c r="G72" s="24"/>
      <c r="H72" s="23"/>
      <c r="I72" s="23"/>
      <c r="J72" s="29"/>
      <c r="T72" s="81"/>
      <c r="W72" s="185"/>
      <c r="AE72" s="185">
        <v>44892</v>
      </c>
      <c r="AF72">
        <v>4.2919999999999998</v>
      </c>
      <c r="AG72">
        <v>4.734</v>
      </c>
      <c r="AH72">
        <v>44.216000000000001</v>
      </c>
    </row>
    <row r="73" spans="2:34" x14ac:dyDescent="0.25">
      <c r="B73" s="209" t="s">
        <v>92</v>
      </c>
      <c r="C73" s="210" t="s">
        <v>14</v>
      </c>
      <c r="D73" s="210" t="s">
        <v>197</v>
      </c>
      <c r="E73" s="28" t="s">
        <v>90</v>
      </c>
      <c r="F73" s="73"/>
      <c r="G73" s="24"/>
      <c r="H73" s="23"/>
      <c r="I73" s="23"/>
      <c r="J73" s="29"/>
      <c r="T73" s="81"/>
      <c r="W73" s="185"/>
      <c r="AE73" s="185">
        <v>44891</v>
      </c>
      <c r="AF73">
        <v>4.2919999999999998</v>
      </c>
      <c r="AG73">
        <v>4.734</v>
      </c>
      <c r="AH73">
        <v>44.216000000000001</v>
      </c>
    </row>
    <row r="74" spans="2:34" x14ac:dyDescent="0.25">
      <c r="B74" s="209" t="s">
        <v>92</v>
      </c>
      <c r="C74" s="210" t="s">
        <v>93</v>
      </c>
      <c r="D74" s="210" t="s">
        <v>197</v>
      </c>
      <c r="E74" s="30" t="s">
        <v>91</v>
      </c>
      <c r="F74" s="74"/>
      <c r="G74" s="31"/>
      <c r="H74" s="31"/>
      <c r="I74" s="31"/>
      <c r="J74" s="32"/>
      <c r="T74" s="81"/>
      <c r="W74" s="185"/>
      <c r="AE74" s="185">
        <v>44890</v>
      </c>
      <c r="AF74">
        <v>4.2919999999999998</v>
      </c>
      <c r="AG74">
        <v>4.734</v>
      </c>
      <c r="AH74">
        <v>44.216000000000001</v>
      </c>
    </row>
    <row r="75" spans="2:34" x14ac:dyDescent="0.25">
      <c r="T75" s="81"/>
      <c r="W75" s="185"/>
      <c r="AE75" s="185">
        <v>44889</v>
      </c>
      <c r="AF75">
        <v>4.2779999999999996</v>
      </c>
      <c r="AG75">
        <v>4.7359999999999998</v>
      </c>
      <c r="AH75">
        <v>48.869</v>
      </c>
    </row>
    <row r="76" spans="2:34" x14ac:dyDescent="0.25">
      <c r="T76" s="81"/>
      <c r="W76" s="185"/>
      <c r="AE76" s="185">
        <v>44888</v>
      </c>
      <c r="AF76">
        <v>4.2779999999999996</v>
      </c>
      <c r="AG76">
        <v>4.7569999999999997</v>
      </c>
      <c r="AH76">
        <v>47.969000000000001</v>
      </c>
    </row>
    <row r="77" spans="2:34" x14ac:dyDescent="0.25">
      <c r="E77" s="35" t="s">
        <v>94</v>
      </c>
      <c r="F77" s="34"/>
      <c r="G77" s="34"/>
      <c r="H77" s="34"/>
      <c r="I77" s="34"/>
      <c r="J77" s="34"/>
      <c r="K77" s="34"/>
      <c r="L77" s="141"/>
      <c r="M77" s="141"/>
      <c r="N77" s="141"/>
      <c r="O77" s="141"/>
      <c r="P77" s="141"/>
      <c r="Q77" s="141"/>
      <c r="T77" s="81"/>
      <c r="W77" s="185"/>
      <c r="AE77" s="185">
        <v>44887</v>
      </c>
      <c r="AF77">
        <v>4.2220000000000004</v>
      </c>
      <c r="AG77">
        <v>4.6989999999999998</v>
      </c>
      <c r="AH77">
        <v>47.701000000000001</v>
      </c>
    </row>
    <row r="78" spans="2:34" x14ac:dyDescent="0.25">
      <c r="E78" s="34"/>
      <c r="F78" s="141" t="s">
        <v>20</v>
      </c>
      <c r="G78" s="138" t="s">
        <v>22</v>
      </c>
      <c r="H78" s="140">
        <f ca="1">EOMONTH($G$8,-1)</f>
        <v>44926</v>
      </c>
      <c r="I78" s="140">
        <f ca="1">EOMONTH($G$8,-3)</f>
        <v>44865</v>
      </c>
      <c r="J78" s="140">
        <f ca="1">DATE(YEAR($G$8)-1,12,31)</f>
        <v>44926</v>
      </c>
      <c r="K78" s="34"/>
      <c r="L78" s="141"/>
      <c r="M78" s="141" t="s">
        <v>20</v>
      </c>
      <c r="N78" s="138" t="s">
        <v>22</v>
      </c>
      <c r="O78" s="140">
        <f ca="1">EOMONTH($G$8,-1)</f>
        <v>44926</v>
      </c>
      <c r="P78" s="140">
        <f ca="1">EOMONTH($G$8,-3)</f>
        <v>44865</v>
      </c>
      <c r="Q78" s="140">
        <f ca="1">DATE(YEAR($G$8)-1,12,31)</f>
        <v>44926</v>
      </c>
      <c r="T78" s="81"/>
      <c r="W78" s="185"/>
      <c r="AE78" s="185">
        <v>44886</v>
      </c>
      <c r="AF78">
        <v>4.2140000000000004</v>
      </c>
      <c r="AG78">
        <v>4.6920000000000002</v>
      </c>
      <c r="AH78">
        <v>47.826000000000001</v>
      </c>
    </row>
    <row r="79" spans="2:34" x14ac:dyDescent="0.25">
      <c r="E79" s="37" t="s">
        <v>95</v>
      </c>
      <c r="F79" s="37" t="s">
        <v>243</v>
      </c>
      <c r="G79" s="37" t="s">
        <v>27</v>
      </c>
      <c r="H79" s="37" t="s">
        <v>28</v>
      </c>
      <c r="I79" s="37" t="s">
        <v>29</v>
      </c>
      <c r="J79" s="37" t="s">
        <v>31</v>
      </c>
      <c r="K79" s="54"/>
      <c r="L79" s="37" t="s">
        <v>95</v>
      </c>
      <c r="M79" s="37" t="s">
        <v>96</v>
      </c>
      <c r="N79" s="37" t="s">
        <v>27</v>
      </c>
      <c r="O79" s="37" t="s">
        <v>28</v>
      </c>
      <c r="P79" s="37" t="s">
        <v>29</v>
      </c>
      <c r="Q79" s="37" t="s">
        <v>31</v>
      </c>
      <c r="T79" s="81"/>
      <c r="W79" s="185"/>
      <c r="AE79" s="185">
        <v>44885</v>
      </c>
      <c r="AF79">
        <v>4.25</v>
      </c>
      <c r="AG79">
        <v>4.665</v>
      </c>
      <c r="AH79">
        <v>41.456000000000003</v>
      </c>
    </row>
    <row r="80" spans="2:34" x14ac:dyDescent="0.25">
      <c r="B80" s="207" t="s">
        <v>34</v>
      </c>
      <c r="C80" s="210" t="s">
        <v>97</v>
      </c>
      <c r="D80" s="210" t="s">
        <v>196</v>
      </c>
      <c r="E80" s="40" t="s">
        <v>98</v>
      </c>
      <c r="F80" s="72"/>
      <c r="G80" s="72"/>
      <c r="H80" s="16"/>
      <c r="I80" s="16"/>
      <c r="J80" s="16"/>
      <c r="K80" s="75" t="s">
        <v>99</v>
      </c>
      <c r="L80" s="43" t="s">
        <v>100</v>
      </c>
      <c r="M80" s="72"/>
      <c r="N80" s="41"/>
      <c r="O80" s="42"/>
      <c r="P80" s="42"/>
      <c r="Q80" s="44"/>
      <c r="T80" s="81"/>
      <c r="W80" s="185"/>
      <c r="AE80" s="185">
        <v>44884</v>
      </c>
      <c r="AF80">
        <v>4.25</v>
      </c>
      <c r="AG80">
        <v>4.665</v>
      </c>
      <c r="AH80">
        <v>41.456000000000003</v>
      </c>
    </row>
    <row r="81" spans="2:34" x14ac:dyDescent="0.25">
      <c r="B81" s="207" t="s">
        <v>34</v>
      </c>
      <c r="C81" s="210" t="s">
        <v>101</v>
      </c>
      <c r="D81" s="210" t="s">
        <v>196</v>
      </c>
      <c r="E81" s="45" t="s">
        <v>102</v>
      </c>
      <c r="F81" s="38"/>
      <c r="G81" s="38"/>
      <c r="H81" s="36"/>
      <c r="I81" s="36"/>
      <c r="J81" s="36"/>
      <c r="K81" s="77" t="s">
        <v>103</v>
      </c>
      <c r="L81" s="39" t="s">
        <v>104</v>
      </c>
      <c r="M81" s="38"/>
      <c r="N81" s="38"/>
      <c r="O81" s="36"/>
      <c r="P81" s="36"/>
      <c r="Q81" s="46"/>
      <c r="T81" s="81"/>
      <c r="W81" s="185"/>
      <c r="AE81" s="185">
        <v>44883</v>
      </c>
      <c r="AF81">
        <v>4.25</v>
      </c>
      <c r="AG81">
        <v>4.665</v>
      </c>
      <c r="AH81">
        <v>41.456000000000003</v>
      </c>
    </row>
    <row r="82" spans="2:34" x14ac:dyDescent="0.25">
      <c r="B82" s="207" t="s">
        <v>34</v>
      </c>
      <c r="C82" s="210" t="s">
        <v>105</v>
      </c>
      <c r="D82" s="210" t="s">
        <v>196</v>
      </c>
      <c r="E82" s="45" t="s">
        <v>106</v>
      </c>
      <c r="F82" s="38"/>
      <c r="G82" s="38"/>
      <c r="H82" s="36"/>
      <c r="I82" s="36"/>
      <c r="J82" s="36"/>
      <c r="K82" s="77" t="s">
        <v>107</v>
      </c>
      <c r="L82" s="39" t="s">
        <v>108</v>
      </c>
      <c r="M82" s="38"/>
      <c r="N82" s="38"/>
      <c r="O82" s="36"/>
      <c r="P82" s="36"/>
      <c r="Q82" s="46"/>
      <c r="T82" s="81"/>
      <c r="W82" s="185"/>
      <c r="AE82" s="185">
        <v>44882</v>
      </c>
      <c r="AF82">
        <v>4.2290000000000001</v>
      </c>
      <c r="AG82">
        <v>4.6749999999999998</v>
      </c>
      <c r="AH82">
        <v>44.692999999999998</v>
      </c>
    </row>
    <row r="83" spans="2:34" x14ac:dyDescent="0.25">
      <c r="B83" s="207" t="s">
        <v>34</v>
      </c>
      <c r="C83" s="210" t="s">
        <v>109</v>
      </c>
      <c r="D83" s="210" t="s">
        <v>196</v>
      </c>
      <c r="E83" s="45" t="s">
        <v>110</v>
      </c>
      <c r="F83" s="38"/>
      <c r="G83" s="38"/>
      <c r="H83" s="36"/>
      <c r="I83" s="36"/>
      <c r="J83" s="36"/>
      <c r="K83" s="77" t="s">
        <v>111</v>
      </c>
      <c r="L83" s="39" t="s">
        <v>112</v>
      </c>
      <c r="M83" s="38"/>
      <c r="N83" s="38"/>
      <c r="O83" s="36"/>
      <c r="P83" s="36"/>
      <c r="Q83" s="46"/>
      <c r="T83" s="81"/>
      <c r="W83" s="185"/>
      <c r="AE83" s="185">
        <v>44881</v>
      </c>
      <c r="AF83">
        <v>4.226</v>
      </c>
      <c r="AG83">
        <v>4.6740000000000004</v>
      </c>
      <c r="AH83">
        <v>44.789000000000001</v>
      </c>
    </row>
    <row r="84" spans="2:34" x14ac:dyDescent="0.25">
      <c r="B84" s="207" t="s">
        <v>34</v>
      </c>
      <c r="C84" s="210" t="s">
        <v>113</v>
      </c>
      <c r="D84" s="210" t="s">
        <v>196</v>
      </c>
      <c r="E84" s="45" t="s">
        <v>114</v>
      </c>
      <c r="F84" s="38"/>
      <c r="G84" s="38"/>
      <c r="H84" s="36"/>
      <c r="I84" s="36"/>
      <c r="J84" s="36"/>
      <c r="K84" s="77" t="s">
        <v>115</v>
      </c>
      <c r="L84" s="39" t="s">
        <v>116</v>
      </c>
      <c r="M84" s="38"/>
      <c r="N84" s="38"/>
      <c r="O84" s="36"/>
      <c r="P84" s="36"/>
      <c r="Q84" s="46"/>
      <c r="T84" s="81"/>
      <c r="W84" s="185"/>
      <c r="AE84" s="185">
        <v>44880</v>
      </c>
      <c r="AF84">
        <v>4.1849999999999996</v>
      </c>
      <c r="AG84">
        <v>4.6500000000000004</v>
      </c>
      <c r="AH84">
        <v>46.430999999999997</v>
      </c>
    </row>
    <row r="85" spans="2:34" x14ac:dyDescent="0.25">
      <c r="B85" s="207" t="s">
        <v>34</v>
      </c>
      <c r="C85" s="210" t="s">
        <v>117</v>
      </c>
      <c r="D85" s="210" t="s">
        <v>196</v>
      </c>
      <c r="E85" s="45" t="s">
        <v>118</v>
      </c>
      <c r="F85" s="38"/>
      <c r="G85" s="38"/>
      <c r="H85" s="36"/>
      <c r="I85" s="36"/>
      <c r="J85" s="36"/>
      <c r="K85" s="77" t="s">
        <v>119</v>
      </c>
      <c r="L85" s="39" t="s">
        <v>120</v>
      </c>
      <c r="M85" s="38"/>
      <c r="N85" s="38"/>
      <c r="O85" s="36"/>
      <c r="P85" s="36"/>
      <c r="Q85" s="46"/>
      <c r="T85" s="81"/>
      <c r="W85" s="185"/>
      <c r="AE85" s="185">
        <v>44879</v>
      </c>
      <c r="AF85">
        <v>4.1909999999999998</v>
      </c>
      <c r="AG85">
        <v>4.6440000000000001</v>
      </c>
      <c r="AH85">
        <v>45.276000000000003</v>
      </c>
    </row>
    <row r="86" spans="2:34" x14ac:dyDescent="0.25">
      <c r="B86" s="207" t="s">
        <v>34</v>
      </c>
      <c r="C86" s="208" t="s">
        <v>121</v>
      </c>
      <c r="D86" s="210" t="s">
        <v>196</v>
      </c>
      <c r="E86" s="45" t="s">
        <v>122</v>
      </c>
      <c r="F86" s="38"/>
      <c r="G86" s="38"/>
      <c r="H86" s="36"/>
      <c r="I86" s="36"/>
      <c r="J86" s="36"/>
      <c r="K86" s="77" t="s">
        <v>123</v>
      </c>
      <c r="L86" s="39" t="s">
        <v>124</v>
      </c>
      <c r="M86" s="38"/>
      <c r="N86" s="38"/>
      <c r="O86" s="36"/>
      <c r="P86" s="36"/>
      <c r="Q86" s="46"/>
      <c r="T86" s="81"/>
      <c r="W86" s="185"/>
      <c r="AE86" s="185">
        <v>44878</v>
      </c>
      <c r="AF86">
        <v>4.17</v>
      </c>
      <c r="AG86">
        <v>4.6059999999999999</v>
      </c>
      <c r="AH86">
        <v>43.603999999999999</v>
      </c>
    </row>
    <row r="87" spans="2:34" x14ac:dyDescent="0.25">
      <c r="B87" s="207" t="s">
        <v>34</v>
      </c>
      <c r="C87" s="208" t="s">
        <v>125</v>
      </c>
      <c r="D87" s="210" t="s">
        <v>196</v>
      </c>
      <c r="E87" s="45" t="s">
        <v>126</v>
      </c>
      <c r="F87" s="38"/>
      <c r="G87" s="38"/>
      <c r="H87" s="36"/>
      <c r="I87" s="36"/>
      <c r="J87" s="36"/>
      <c r="K87" s="77" t="s">
        <v>127</v>
      </c>
      <c r="L87" s="39" t="s">
        <v>128</v>
      </c>
      <c r="M87" s="38"/>
      <c r="N87" s="38"/>
      <c r="O87" s="36"/>
      <c r="P87" s="36"/>
      <c r="Q87" s="46"/>
      <c r="T87" s="81"/>
      <c r="W87" s="185"/>
      <c r="AE87" s="185">
        <v>44877</v>
      </c>
      <c r="AF87">
        <v>4.17</v>
      </c>
      <c r="AG87">
        <v>4.6059999999999999</v>
      </c>
      <c r="AH87">
        <v>43.603999999999999</v>
      </c>
    </row>
    <row r="88" spans="2:34" x14ac:dyDescent="0.25">
      <c r="B88" s="207" t="s">
        <v>34</v>
      </c>
      <c r="C88" s="208" t="s">
        <v>129</v>
      </c>
      <c r="D88" s="210" t="s">
        <v>196</v>
      </c>
      <c r="E88" s="45" t="s">
        <v>130</v>
      </c>
      <c r="F88" s="38"/>
      <c r="G88" s="38"/>
      <c r="H88" s="36"/>
      <c r="I88" s="36"/>
      <c r="J88" s="36"/>
      <c r="K88" s="77" t="s">
        <v>131</v>
      </c>
      <c r="L88" s="39" t="s">
        <v>132</v>
      </c>
      <c r="M88" s="38"/>
      <c r="N88" s="38"/>
      <c r="O88" s="36"/>
      <c r="P88" s="36"/>
      <c r="Q88" s="46"/>
      <c r="T88" s="81"/>
      <c r="W88" s="185"/>
      <c r="AE88" s="185">
        <v>44876</v>
      </c>
      <c r="AF88">
        <v>4.17</v>
      </c>
      <c r="AG88">
        <v>4.6059999999999999</v>
      </c>
      <c r="AH88">
        <v>43.603999999999999</v>
      </c>
    </row>
    <row r="89" spans="2:34" x14ac:dyDescent="0.25">
      <c r="B89" s="207" t="s">
        <v>34</v>
      </c>
      <c r="C89" s="210" t="s">
        <v>133</v>
      </c>
      <c r="D89" s="210" t="s">
        <v>196</v>
      </c>
      <c r="E89" s="45" t="s">
        <v>134</v>
      </c>
      <c r="F89" s="38"/>
      <c r="G89" s="38"/>
      <c r="H89" s="36"/>
      <c r="I89" s="36"/>
      <c r="J89" s="36"/>
      <c r="K89" s="77" t="s">
        <v>135</v>
      </c>
      <c r="L89" s="39" t="s">
        <v>136</v>
      </c>
      <c r="M89" s="38"/>
      <c r="N89" s="38"/>
      <c r="O89" s="36"/>
      <c r="P89" s="36"/>
      <c r="Q89" s="46"/>
      <c r="T89" s="81"/>
      <c r="W89" s="185"/>
      <c r="AE89" s="185">
        <v>44875</v>
      </c>
      <c r="AF89">
        <v>4.17</v>
      </c>
      <c r="AG89">
        <v>4.6500000000000004</v>
      </c>
      <c r="AH89">
        <v>47.960999999999999</v>
      </c>
    </row>
    <row r="90" spans="2:34" x14ac:dyDescent="0.25">
      <c r="B90" s="207" t="s">
        <v>34</v>
      </c>
      <c r="C90" s="210" t="s">
        <v>137</v>
      </c>
      <c r="D90" s="210" t="s">
        <v>196</v>
      </c>
      <c r="E90" s="45" t="s">
        <v>138</v>
      </c>
      <c r="F90" s="38"/>
      <c r="G90" s="38"/>
      <c r="H90" s="36"/>
      <c r="I90" s="36"/>
      <c r="J90" s="36"/>
      <c r="K90" s="77" t="s">
        <v>139</v>
      </c>
      <c r="L90" s="39" t="s">
        <v>140</v>
      </c>
      <c r="M90" s="38"/>
      <c r="N90" s="38"/>
      <c r="O90" s="36"/>
      <c r="P90" s="36"/>
      <c r="Q90" s="46"/>
      <c r="T90" s="81"/>
      <c r="W90" s="185"/>
      <c r="AE90" s="185">
        <v>44874</v>
      </c>
      <c r="AF90">
        <v>4.2009999999999996</v>
      </c>
      <c r="AG90">
        <v>4.63</v>
      </c>
      <c r="AH90">
        <v>42.95</v>
      </c>
    </row>
    <row r="91" spans="2:34" x14ac:dyDescent="0.25">
      <c r="B91" s="207" t="s">
        <v>34</v>
      </c>
      <c r="C91" s="210" t="s">
        <v>141</v>
      </c>
      <c r="D91" s="210" t="s">
        <v>196</v>
      </c>
      <c r="E91" s="45" t="s">
        <v>142</v>
      </c>
      <c r="F91" s="38"/>
      <c r="G91" s="38"/>
      <c r="H91" s="36"/>
      <c r="I91" s="36"/>
      <c r="J91" s="36"/>
      <c r="K91" s="77" t="s">
        <v>143</v>
      </c>
      <c r="L91" s="39" t="s">
        <v>144</v>
      </c>
      <c r="M91" s="38"/>
      <c r="N91" s="38"/>
      <c r="O91" s="36"/>
      <c r="P91" s="36"/>
      <c r="Q91" s="46"/>
      <c r="T91" s="81"/>
      <c r="W91" s="185"/>
      <c r="AE91" s="185">
        <v>44873</v>
      </c>
      <c r="AF91">
        <v>4.18</v>
      </c>
      <c r="AG91">
        <v>4.5919999999999996</v>
      </c>
      <c r="AH91">
        <v>41.17</v>
      </c>
    </row>
    <row r="92" spans="2:34" x14ac:dyDescent="0.25">
      <c r="B92" s="207" t="s">
        <v>34</v>
      </c>
      <c r="C92" s="210" t="s">
        <v>145</v>
      </c>
      <c r="D92" s="210" t="s">
        <v>196</v>
      </c>
      <c r="E92" s="45" t="s">
        <v>146</v>
      </c>
      <c r="F92" s="38"/>
      <c r="G92" s="38"/>
      <c r="H92" s="36"/>
      <c r="I92" s="36"/>
      <c r="J92" s="36"/>
      <c r="K92" s="77" t="s">
        <v>147</v>
      </c>
      <c r="L92" s="39" t="s">
        <v>148</v>
      </c>
      <c r="M92" s="38"/>
      <c r="N92" s="38"/>
      <c r="O92" s="36"/>
      <c r="P92" s="36"/>
      <c r="Q92" s="46"/>
      <c r="T92" s="81"/>
      <c r="W92" s="185"/>
      <c r="AE92" s="185">
        <v>44872</v>
      </c>
      <c r="AF92">
        <v>4.0839999999999996</v>
      </c>
      <c r="AG92">
        <v>4.5570000000000004</v>
      </c>
      <c r="AH92">
        <v>47.298999999999999</v>
      </c>
    </row>
    <row r="93" spans="2:34" x14ac:dyDescent="0.25">
      <c r="B93" s="207" t="s">
        <v>34</v>
      </c>
      <c r="C93" s="210" t="s">
        <v>149</v>
      </c>
      <c r="D93" s="210" t="s">
        <v>196</v>
      </c>
      <c r="E93" s="47" t="s">
        <v>150</v>
      </c>
      <c r="F93" s="48"/>
      <c r="G93" s="48"/>
      <c r="H93" s="49"/>
      <c r="I93" s="49"/>
      <c r="J93" s="49"/>
      <c r="K93" s="76" t="s">
        <v>151</v>
      </c>
      <c r="L93" s="50" t="s">
        <v>152</v>
      </c>
      <c r="M93" s="48"/>
      <c r="N93" s="48"/>
      <c r="O93" s="49"/>
      <c r="P93" s="49"/>
      <c r="Q93" s="51"/>
      <c r="T93" s="81"/>
      <c r="W93" s="185"/>
      <c r="AE93" s="185">
        <v>44871</v>
      </c>
      <c r="AF93">
        <v>4.1130000000000004</v>
      </c>
      <c r="AG93">
        <v>4.55</v>
      </c>
      <c r="AH93">
        <v>43.709000000000003</v>
      </c>
    </row>
    <row r="94" spans="2:34" x14ac:dyDescent="0.25">
      <c r="T94" s="81"/>
      <c r="W94" s="185"/>
      <c r="AE94" s="185">
        <v>44870</v>
      </c>
      <c r="AF94">
        <v>4.1130000000000004</v>
      </c>
      <c r="AG94">
        <v>4.55</v>
      </c>
      <c r="AH94">
        <v>43.709000000000003</v>
      </c>
    </row>
    <row r="95" spans="2:34" x14ac:dyDescent="0.25">
      <c r="T95" s="81"/>
      <c r="W95" s="185"/>
      <c r="AE95" s="185">
        <v>44869</v>
      </c>
      <c r="AF95">
        <v>4.1130000000000004</v>
      </c>
      <c r="AG95">
        <v>4.55</v>
      </c>
      <c r="AH95">
        <v>43.709000000000003</v>
      </c>
    </row>
    <row r="96" spans="2:34" x14ac:dyDescent="0.25">
      <c r="T96" s="81"/>
      <c r="W96" s="185"/>
      <c r="AE96" s="185">
        <v>44868</v>
      </c>
      <c r="AF96">
        <v>4.1379999999999999</v>
      </c>
      <c r="AG96">
        <v>4.532</v>
      </c>
      <c r="AH96">
        <v>39.366999999999997</v>
      </c>
    </row>
    <row r="97" spans="20:34" x14ac:dyDescent="0.25">
      <c r="T97" s="81"/>
      <c r="W97" s="185"/>
      <c r="AE97" s="185">
        <v>44867</v>
      </c>
      <c r="AF97">
        <v>4.1360000000000001</v>
      </c>
      <c r="AG97">
        <v>4.508</v>
      </c>
      <c r="AH97">
        <v>37.262999999999998</v>
      </c>
    </row>
    <row r="98" spans="20:34" x14ac:dyDescent="0.25">
      <c r="T98" s="81"/>
      <c r="W98" s="185"/>
      <c r="AE98" s="185">
        <v>44866</v>
      </c>
      <c r="AF98">
        <v>4.1289999999999996</v>
      </c>
      <c r="AG98">
        <v>4.46</v>
      </c>
      <c r="AH98">
        <v>33.121000000000002</v>
      </c>
    </row>
    <row r="99" spans="20:34" x14ac:dyDescent="0.25">
      <c r="T99" s="81"/>
      <c r="W99" s="185"/>
      <c r="AE99" s="185">
        <v>44865</v>
      </c>
      <c r="AF99">
        <v>4.0739999999999998</v>
      </c>
      <c r="AG99">
        <v>4.46</v>
      </c>
      <c r="AH99">
        <v>38.628999999999998</v>
      </c>
    </row>
    <row r="100" spans="20:34" x14ac:dyDescent="0.25">
      <c r="T100" s="81"/>
      <c r="W100" s="185"/>
      <c r="AE100" s="185">
        <v>44864</v>
      </c>
      <c r="AF100">
        <v>4.077</v>
      </c>
      <c r="AG100">
        <v>4.4400000000000004</v>
      </c>
      <c r="AH100">
        <v>36.247</v>
      </c>
    </row>
    <row r="101" spans="20:34" x14ac:dyDescent="0.25">
      <c r="T101" s="81"/>
      <c r="W101" s="185"/>
      <c r="AE101" s="185">
        <v>44863</v>
      </c>
      <c r="AF101">
        <v>4.077</v>
      </c>
      <c r="AG101">
        <v>4.4400000000000004</v>
      </c>
      <c r="AH101">
        <v>36.247</v>
      </c>
    </row>
    <row r="102" spans="20:34" x14ac:dyDescent="0.25">
      <c r="T102" s="81"/>
      <c r="W102" s="185"/>
      <c r="AE102" s="185">
        <v>44862</v>
      </c>
      <c r="AF102">
        <v>4.077</v>
      </c>
      <c r="AG102">
        <v>4.4400000000000004</v>
      </c>
      <c r="AH102">
        <v>36.247</v>
      </c>
    </row>
    <row r="103" spans="20:34" x14ac:dyDescent="0.25">
      <c r="T103" s="81"/>
      <c r="W103" s="185"/>
      <c r="AE103" s="185">
        <v>44861</v>
      </c>
      <c r="AF103">
        <v>4.0369999999999999</v>
      </c>
      <c r="AG103">
        <v>4.415</v>
      </c>
      <c r="AH103">
        <v>37.771000000000001</v>
      </c>
    </row>
    <row r="104" spans="20:34" x14ac:dyDescent="0.25">
      <c r="T104" s="81"/>
      <c r="W104" s="185"/>
      <c r="AE104" s="185">
        <v>44860</v>
      </c>
      <c r="AF104">
        <v>4.0250000000000004</v>
      </c>
      <c r="AG104">
        <v>4.3739999999999997</v>
      </c>
      <c r="AH104">
        <v>34.926000000000002</v>
      </c>
    </row>
    <row r="105" spans="20:34" x14ac:dyDescent="0.25">
      <c r="T105" s="81"/>
      <c r="W105" s="185"/>
      <c r="AE105" s="185">
        <v>44859</v>
      </c>
      <c r="AF105">
        <v>4.0380000000000003</v>
      </c>
      <c r="AG105">
        <v>4.3579999999999997</v>
      </c>
      <c r="AH105">
        <v>32.01</v>
      </c>
    </row>
    <row r="106" spans="20:34" x14ac:dyDescent="0.25">
      <c r="T106" s="81"/>
      <c r="W106" s="185"/>
      <c r="AE106" s="185">
        <v>44858</v>
      </c>
      <c r="AF106">
        <v>4.0170000000000003</v>
      </c>
      <c r="AG106">
        <v>4.327</v>
      </c>
      <c r="AH106">
        <v>30.966000000000001</v>
      </c>
    </row>
    <row r="107" spans="20:34" x14ac:dyDescent="0.25">
      <c r="T107" s="81"/>
      <c r="W107" s="185"/>
      <c r="AE107" s="185">
        <v>44857</v>
      </c>
      <c r="AF107">
        <v>3.9940000000000002</v>
      </c>
      <c r="AG107">
        <v>4.3579999999999997</v>
      </c>
      <c r="AH107">
        <v>36.402999999999999</v>
      </c>
    </row>
    <row r="108" spans="20:34" x14ac:dyDescent="0.25">
      <c r="T108" s="81"/>
      <c r="W108" s="185"/>
      <c r="AE108" s="185">
        <v>44856</v>
      </c>
      <c r="AF108">
        <v>3.9940000000000002</v>
      </c>
      <c r="AG108">
        <v>4.3579999999999997</v>
      </c>
      <c r="AH108">
        <v>36.402999999999999</v>
      </c>
    </row>
    <row r="109" spans="20:34" x14ac:dyDescent="0.25">
      <c r="T109" s="81"/>
      <c r="W109" s="185"/>
      <c r="AE109" s="185">
        <v>44855</v>
      </c>
      <c r="AF109">
        <v>3.9940000000000002</v>
      </c>
      <c r="AG109">
        <v>4.3579999999999997</v>
      </c>
      <c r="AH109">
        <v>36.402999999999999</v>
      </c>
    </row>
    <row r="110" spans="20:34" x14ac:dyDescent="0.25">
      <c r="T110" s="81"/>
      <c r="W110" s="185"/>
      <c r="AE110" s="185">
        <v>44854</v>
      </c>
      <c r="AF110">
        <v>3.9849999999999999</v>
      </c>
      <c r="AG110">
        <v>4.3250000000000002</v>
      </c>
      <c r="AH110">
        <v>33.927</v>
      </c>
    </row>
    <row r="111" spans="20:34" x14ac:dyDescent="0.25">
      <c r="T111" s="81"/>
      <c r="W111" s="185"/>
      <c r="AE111" s="185">
        <v>44853</v>
      </c>
      <c r="AF111">
        <v>3.9860000000000002</v>
      </c>
      <c r="AG111">
        <v>4.2779999999999996</v>
      </c>
      <c r="AH111">
        <v>29.177</v>
      </c>
    </row>
    <row r="112" spans="20:34" x14ac:dyDescent="0.25">
      <c r="T112" s="81"/>
      <c r="W112" s="185"/>
      <c r="AE112" s="185">
        <v>44852</v>
      </c>
      <c r="AF112">
        <v>3.9009999999999998</v>
      </c>
      <c r="AG112">
        <v>4.2430000000000003</v>
      </c>
      <c r="AH112">
        <v>34.167000000000002</v>
      </c>
    </row>
    <row r="113" spans="20:34" x14ac:dyDescent="0.25">
      <c r="T113" s="81"/>
      <c r="W113" s="185"/>
      <c r="AE113" s="185">
        <v>44851</v>
      </c>
      <c r="AF113">
        <v>3.7690000000000001</v>
      </c>
      <c r="AG113">
        <v>4.2270000000000003</v>
      </c>
      <c r="AH113">
        <v>45.716999999999999</v>
      </c>
    </row>
    <row r="114" spans="20:34" x14ac:dyDescent="0.25">
      <c r="T114" s="81"/>
      <c r="W114" s="185"/>
      <c r="AE114" s="185">
        <v>44850</v>
      </c>
      <c r="AF114">
        <v>3.7160000000000002</v>
      </c>
      <c r="AG114">
        <v>4.194</v>
      </c>
      <c r="AH114">
        <v>47.811</v>
      </c>
    </row>
    <row r="115" spans="20:34" x14ac:dyDescent="0.25">
      <c r="T115" s="81"/>
      <c r="W115" s="185"/>
      <c r="AE115" s="185">
        <v>44849</v>
      </c>
      <c r="AF115">
        <v>3.7160000000000002</v>
      </c>
      <c r="AG115">
        <v>4.194</v>
      </c>
      <c r="AH115">
        <v>47.811</v>
      </c>
    </row>
    <row r="116" spans="20:34" x14ac:dyDescent="0.25">
      <c r="T116" s="81"/>
      <c r="W116" s="185"/>
      <c r="AE116" s="185">
        <v>44848</v>
      </c>
      <c r="AF116">
        <v>3.7160000000000002</v>
      </c>
      <c r="AG116">
        <v>4.194</v>
      </c>
      <c r="AH116">
        <v>47.811</v>
      </c>
    </row>
    <row r="117" spans="20:34" x14ac:dyDescent="0.25">
      <c r="T117" s="81"/>
      <c r="W117" s="185"/>
      <c r="AE117" s="185">
        <v>44847</v>
      </c>
      <c r="AF117">
        <v>3.7120000000000002</v>
      </c>
      <c r="AG117">
        <v>4.0789999999999997</v>
      </c>
      <c r="AH117">
        <v>36.764000000000003</v>
      </c>
    </row>
    <row r="118" spans="20:34" x14ac:dyDescent="0.25">
      <c r="T118" s="81"/>
      <c r="W118" s="185"/>
      <c r="AE118" s="185">
        <v>44846</v>
      </c>
      <c r="AF118">
        <v>3.6219999999999999</v>
      </c>
      <c r="AG118">
        <v>4.0110000000000001</v>
      </c>
      <c r="AH118">
        <v>38.926000000000002</v>
      </c>
    </row>
    <row r="119" spans="20:34" x14ac:dyDescent="0.25">
      <c r="T119" s="81"/>
      <c r="W119" s="185"/>
      <c r="AE119" s="185">
        <v>44845</v>
      </c>
      <c r="AF119">
        <v>3.4420000000000002</v>
      </c>
      <c r="AG119">
        <v>3.9409999999999998</v>
      </c>
      <c r="AH119">
        <v>49.911000000000001</v>
      </c>
    </row>
    <row r="120" spans="20:34" x14ac:dyDescent="0.25">
      <c r="T120" s="81"/>
      <c r="W120" s="185"/>
      <c r="AE120" s="185">
        <v>44844</v>
      </c>
      <c r="AF120">
        <v>3.3650000000000002</v>
      </c>
      <c r="AG120">
        <v>3.919</v>
      </c>
      <c r="AH120">
        <v>54.401000000000003</v>
      </c>
    </row>
    <row r="121" spans="20:34" x14ac:dyDescent="0.25">
      <c r="T121" s="81"/>
      <c r="W121" s="185"/>
      <c r="AE121" s="185">
        <v>44843</v>
      </c>
      <c r="AF121">
        <v>3.3650000000000002</v>
      </c>
      <c r="AG121">
        <v>3.9089999999999998</v>
      </c>
      <c r="AH121">
        <v>54.401000000000003</v>
      </c>
    </row>
    <row r="122" spans="20:34" x14ac:dyDescent="0.25">
      <c r="T122" s="81"/>
      <c r="W122" s="185"/>
      <c r="AE122" s="185">
        <v>44842</v>
      </c>
      <c r="AF122">
        <v>3.3650000000000002</v>
      </c>
      <c r="AG122">
        <v>3.9089999999999998</v>
      </c>
      <c r="AH122">
        <v>54.401000000000003</v>
      </c>
    </row>
    <row r="123" spans="20:34" x14ac:dyDescent="0.25">
      <c r="T123" s="81"/>
      <c r="W123" s="185"/>
      <c r="AE123" s="185">
        <v>44841</v>
      </c>
      <c r="AF123">
        <v>3.3650000000000002</v>
      </c>
      <c r="AG123">
        <v>3.9089999999999998</v>
      </c>
      <c r="AH123">
        <v>54.401000000000003</v>
      </c>
    </row>
    <row r="124" spans="20:34" x14ac:dyDescent="0.25">
      <c r="T124" s="81"/>
      <c r="W124" s="185"/>
      <c r="AE124" s="185">
        <v>44840</v>
      </c>
      <c r="AF124">
        <v>3.3839999999999999</v>
      </c>
      <c r="AG124">
        <v>3.8260000000000001</v>
      </c>
      <c r="AH124">
        <v>44.170999999999999</v>
      </c>
    </row>
    <row r="125" spans="20:34" x14ac:dyDescent="0.25">
      <c r="T125" s="81"/>
      <c r="W125" s="185"/>
      <c r="AE125" s="185">
        <v>44839</v>
      </c>
      <c r="AF125">
        <v>3.3769999999999998</v>
      </c>
      <c r="AG125">
        <v>3.7839999999999998</v>
      </c>
      <c r="AH125">
        <v>40.74</v>
      </c>
    </row>
    <row r="126" spans="20:34" x14ac:dyDescent="0.25">
      <c r="T126" s="81"/>
      <c r="W126" s="185"/>
      <c r="AE126" s="185">
        <v>44838</v>
      </c>
      <c r="AF126">
        <v>3.387</v>
      </c>
      <c r="AG126">
        <v>3.7410000000000001</v>
      </c>
      <c r="AH126">
        <v>35.350999999999999</v>
      </c>
    </row>
    <row r="127" spans="20:34" x14ac:dyDescent="0.25">
      <c r="T127" s="81"/>
      <c r="W127" s="185"/>
      <c r="AE127" s="185">
        <v>44837</v>
      </c>
      <c r="AF127">
        <v>3.2440000000000002</v>
      </c>
      <c r="AG127">
        <v>3.7480000000000002</v>
      </c>
      <c r="AH127">
        <v>50.459000000000003</v>
      </c>
    </row>
    <row r="128" spans="20:34" x14ac:dyDescent="0.25">
      <c r="T128" s="81"/>
      <c r="W128" s="185"/>
      <c r="AE128" s="185">
        <v>44836</v>
      </c>
      <c r="AF128">
        <v>3.2669999999999999</v>
      </c>
      <c r="AG128">
        <v>3.7549999999999999</v>
      </c>
      <c r="AH128">
        <v>48.750999999999998</v>
      </c>
    </row>
    <row r="129" spans="20:34" x14ac:dyDescent="0.25">
      <c r="T129" s="81"/>
      <c r="W129" s="185"/>
      <c r="AE129" s="185">
        <v>44835</v>
      </c>
      <c r="AF129">
        <v>3.2669999999999999</v>
      </c>
      <c r="AG129">
        <v>3.7549999999999999</v>
      </c>
      <c r="AH129">
        <v>48.750999999999998</v>
      </c>
    </row>
    <row r="130" spans="20:34" x14ac:dyDescent="0.25">
      <c r="T130" s="81"/>
      <c r="W130" s="185"/>
      <c r="AE130" s="185">
        <v>44834</v>
      </c>
      <c r="AF130">
        <v>3.2669999999999999</v>
      </c>
      <c r="AG130">
        <v>3.7549999999999999</v>
      </c>
      <c r="AH130">
        <v>48.750999999999998</v>
      </c>
    </row>
    <row r="131" spans="20:34" x14ac:dyDescent="0.25">
      <c r="T131" s="81"/>
      <c r="W131" s="185"/>
      <c r="AE131" s="185">
        <v>44833</v>
      </c>
      <c r="AF131">
        <v>3.3090000000000002</v>
      </c>
      <c r="AG131">
        <v>3.7429999999999999</v>
      </c>
      <c r="AH131">
        <v>43.366</v>
      </c>
    </row>
    <row r="132" spans="20:34" x14ac:dyDescent="0.25">
      <c r="T132" s="81"/>
      <c r="W132" s="185"/>
      <c r="AE132" s="185">
        <v>44832</v>
      </c>
      <c r="AF132">
        <v>3.33</v>
      </c>
      <c r="AG132">
        <v>3.6739999999999999</v>
      </c>
      <c r="AH132">
        <v>34.393999999999998</v>
      </c>
    </row>
    <row r="133" spans="20:34" x14ac:dyDescent="0.25">
      <c r="T133" s="81"/>
      <c r="W133" s="185"/>
      <c r="AE133" s="185">
        <v>44831</v>
      </c>
      <c r="AF133">
        <v>3.2919999999999998</v>
      </c>
      <c r="AG133">
        <v>3.6419999999999999</v>
      </c>
      <c r="AH133">
        <v>35.006</v>
      </c>
    </row>
    <row r="134" spans="20:34" x14ac:dyDescent="0.25">
      <c r="T134" s="81"/>
      <c r="W134" s="185"/>
      <c r="AE134" s="185">
        <v>44830</v>
      </c>
      <c r="AF134">
        <v>3.2509999999999999</v>
      </c>
      <c r="AG134">
        <v>3.641</v>
      </c>
      <c r="AH134">
        <v>38.945999999999998</v>
      </c>
    </row>
    <row r="135" spans="20:34" x14ac:dyDescent="0.25">
      <c r="T135" s="81"/>
      <c r="W135" s="185"/>
      <c r="AE135" s="185">
        <v>44829</v>
      </c>
      <c r="AF135">
        <v>3.1930000000000001</v>
      </c>
      <c r="AG135">
        <v>3.6280000000000001</v>
      </c>
      <c r="AH135">
        <v>43.593000000000004</v>
      </c>
    </row>
    <row r="136" spans="20:34" x14ac:dyDescent="0.25">
      <c r="T136" s="81"/>
      <c r="W136" s="185"/>
      <c r="AE136" s="185">
        <v>44828</v>
      </c>
      <c r="AF136">
        <v>3.1930000000000001</v>
      </c>
      <c r="AG136">
        <v>3.6280000000000001</v>
      </c>
      <c r="AH136">
        <v>43.593000000000004</v>
      </c>
    </row>
    <row r="137" spans="20:34" x14ac:dyDescent="0.25">
      <c r="T137" s="81"/>
      <c r="W137" s="185"/>
      <c r="AE137" s="185">
        <v>44827</v>
      </c>
      <c r="AF137">
        <v>3.1930000000000001</v>
      </c>
      <c r="AG137">
        <v>3.6280000000000001</v>
      </c>
      <c r="AH137">
        <v>43.593000000000004</v>
      </c>
    </row>
    <row r="138" spans="20:34" x14ac:dyDescent="0.25">
      <c r="T138" s="81"/>
      <c r="W138" s="185"/>
      <c r="AE138" s="185">
        <v>44826</v>
      </c>
      <c r="AF138">
        <v>3.214</v>
      </c>
      <c r="AG138">
        <v>3.641</v>
      </c>
      <c r="AH138">
        <v>42.743000000000002</v>
      </c>
    </row>
    <row r="139" spans="20:34" x14ac:dyDescent="0.25">
      <c r="T139" s="81"/>
      <c r="W139" s="185"/>
      <c r="AE139" s="185">
        <v>44825</v>
      </c>
      <c r="AF139">
        <v>3.2679999999999998</v>
      </c>
      <c r="AG139">
        <v>3.6040000000000001</v>
      </c>
      <c r="AH139">
        <v>33.555999999999997</v>
      </c>
    </row>
    <row r="140" spans="20:34" x14ac:dyDescent="0.25">
      <c r="T140" s="81"/>
      <c r="W140" s="185"/>
      <c r="AE140" s="185">
        <v>44824</v>
      </c>
      <c r="AF140">
        <v>3.258</v>
      </c>
      <c r="AG140">
        <v>3.6019999999999999</v>
      </c>
      <c r="AH140">
        <v>34.341000000000001</v>
      </c>
    </row>
    <row r="141" spans="20:34" x14ac:dyDescent="0.25">
      <c r="T141" s="81"/>
      <c r="W141" s="185"/>
      <c r="AE141" s="185">
        <v>44823</v>
      </c>
      <c r="AF141">
        <v>3.149</v>
      </c>
      <c r="AG141">
        <v>3.5649999999999999</v>
      </c>
      <c r="AH141">
        <v>41.679000000000002</v>
      </c>
    </row>
    <row r="142" spans="20:34" x14ac:dyDescent="0.25">
      <c r="T142" s="81"/>
      <c r="W142" s="185"/>
      <c r="AE142" s="185">
        <v>44822</v>
      </c>
      <c r="AF142">
        <v>3.1440000000000001</v>
      </c>
      <c r="AG142">
        <v>3.5649999999999999</v>
      </c>
      <c r="AH142">
        <v>42.168999999999997</v>
      </c>
    </row>
    <row r="143" spans="20:34" x14ac:dyDescent="0.25">
      <c r="T143" s="81"/>
      <c r="W143" s="185"/>
      <c r="AE143" s="185">
        <v>44821</v>
      </c>
      <c r="AF143">
        <v>3.1440000000000001</v>
      </c>
      <c r="AG143">
        <v>3.5649999999999999</v>
      </c>
      <c r="AH143">
        <v>42.168999999999997</v>
      </c>
    </row>
    <row r="144" spans="20:34" x14ac:dyDescent="0.25">
      <c r="T144" s="81"/>
      <c r="W144" s="185"/>
      <c r="AE144" s="185">
        <v>44820</v>
      </c>
      <c r="AF144">
        <v>3.1440000000000001</v>
      </c>
      <c r="AG144">
        <v>3.5649999999999999</v>
      </c>
      <c r="AH144">
        <v>42.168999999999997</v>
      </c>
    </row>
    <row r="145" spans="20:34" x14ac:dyDescent="0.25">
      <c r="T145" s="81"/>
      <c r="W145" s="185"/>
      <c r="AE145" s="185">
        <v>44819</v>
      </c>
      <c r="AF145">
        <v>3.16</v>
      </c>
      <c r="AG145">
        <v>3.5270000000000001</v>
      </c>
      <c r="AH145">
        <v>36.723999999999997</v>
      </c>
    </row>
    <row r="146" spans="20:34" x14ac:dyDescent="0.25">
      <c r="T146" s="81"/>
      <c r="W146" s="185"/>
      <c r="AE146" s="185">
        <v>44818</v>
      </c>
      <c r="AF146">
        <v>3.2069999999999999</v>
      </c>
      <c r="AG146">
        <v>3.4830000000000001</v>
      </c>
      <c r="AH146">
        <v>27.693000000000001</v>
      </c>
    </row>
    <row r="147" spans="20:34" x14ac:dyDescent="0.25">
      <c r="T147" s="81"/>
      <c r="W147" s="185"/>
      <c r="AE147" s="185">
        <v>44817</v>
      </c>
      <c r="AF147">
        <v>3.202</v>
      </c>
      <c r="AG147">
        <v>3.2930000000000001</v>
      </c>
      <c r="AH147">
        <v>9.0969999999999995</v>
      </c>
    </row>
    <row r="148" spans="20:34" x14ac:dyDescent="0.25">
      <c r="T148" s="81"/>
      <c r="W148" s="185"/>
      <c r="AE148" s="185">
        <v>44816</v>
      </c>
      <c r="AF148">
        <v>3.0910000000000002</v>
      </c>
      <c r="AG148">
        <v>3.27</v>
      </c>
      <c r="AH148">
        <v>17.893999999999998</v>
      </c>
    </row>
    <row r="149" spans="20:34" x14ac:dyDescent="0.25">
      <c r="T149" s="81"/>
      <c r="W149" s="185"/>
      <c r="AE149" s="185">
        <v>44815</v>
      </c>
      <c r="AF149">
        <v>3.0430000000000001</v>
      </c>
      <c r="AG149">
        <v>3.2450000000000001</v>
      </c>
      <c r="AH149">
        <v>20.213000000000001</v>
      </c>
    </row>
    <row r="150" spans="20:34" x14ac:dyDescent="0.25">
      <c r="T150" s="81"/>
      <c r="W150" s="185"/>
      <c r="AE150" s="185">
        <v>44814</v>
      </c>
      <c r="AF150">
        <v>3.0430000000000001</v>
      </c>
      <c r="AG150">
        <v>3.2450000000000001</v>
      </c>
      <c r="AH150">
        <v>20.213000000000001</v>
      </c>
    </row>
    <row r="151" spans="20:34" x14ac:dyDescent="0.25">
      <c r="T151" s="81"/>
      <c r="W151" s="185"/>
      <c r="AE151" s="185">
        <v>44813</v>
      </c>
      <c r="AF151">
        <v>3.0430000000000001</v>
      </c>
      <c r="AG151">
        <v>3.2450000000000001</v>
      </c>
      <c r="AH151">
        <v>20.213000000000001</v>
      </c>
    </row>
    <row r="152" spans="20:34" x14ac:dyDescent="0.25">
      <c r="T152" s="81"/>
      <c r="W152" s="185"/>
      <c r="AE152" s="185">
        <v>44812</v>
      </c>
      <c r="AF152">
        <v>3.0289999999999999</v>
      </c>
      <c r="AG152">
        <v>3.2360000000000002</v>
      </c>
      <c r="AH152">
        <v>20.710999999999999</v>
      </c>
    </row>
    <row r="153" spans="20:34" x14ac:dyDescent="0.25">
      <c r="T153" s="81"/>
      <c r="W153" s="185"/>
      <c r="AE153" s="185">
        <v>44811</v>
      </c>
      <c r="AF153">
        <v>3.016</v>
      </c>
      <c r="AG153">
        <v>3.194</v>
      </c>
      <c r="AH153">
        <v>17.8</v>
      </c>
    </row>
    <row r="154" spans="20:34" x14ac:dyDescent="0.25">
      <c r="T154" s="81"/>
      <c r="W154" s="185"/>
      <c r="AE154" s="185">
        <v>44810</v>
      </c>
      <c r="AF154">
        <v>2.9449999999999998</v>
      </c>
      <c r="AG154">
        <v>3.1680000000000001</v>
      </c>
      <c r="AH154">
        <v>22.276</v>
      </c>
    </row>
    <row r="155" spans="20:34" x14ac:dyDescent="0.25">
      <c r="T155" s="81"/>
      <c r="W155" s="185"/>
      <c r="AE155" s="185">
        <v>44809</v>
      </c>
      <c r="AF155">
        <v>2.9039999999999999</v>
      </c>
      <c r="AG155">
        <v>3.145</v>
      </c>
      <c r="AH155">
        <v>24.056000000000001</v>
      </c>
    </row>
    <row r="156" spans="20:34" x14ac:dyDescent="0.25">
      <c r="T156" s="81"/>
      <c r="W156" s="185"/>
      <c r="AE156" s="185">
        <v>44808</v>
      </c>
      <c r="AF156">
        <v>2.9039999999999999</v>
      </c>
      <c r="AG156">
        <v>3.1579999999999999</v>
      </c>
      <c r="AH156">
        <v>25.384</v>
      </c>
    </row>
    <row r="157" spans="20:34" x14ac:dyDescent="0.25">
      <c r="T157" s="81"/>
      <c r="W157" s="185"/>
      <c r="AE157" s="185">
        <v>44807</v>
      </c>
      <c r="AF157">
        <v>2.9039999999999999</v>
      </c>
      <c r="AG157">
        <v>3.1579999999999999</v>
      </c>
      <c r="AH157">
        <v>25.384</v>
      </c>
    </row>
    <row r="158" spans="20:34" x14ac:dyDescent="0.25">
      <c r="T158" s="81"/>
      <c r="W158" s="185"/>
      <c r="AE158" s="185">
        <v>44806</v>
      </c>
      <c r="AF158">
        <v>2.9039999999999999</v>
      </c>
      <c r="AG158">
        <v>3.1579999999999999</v>
      </c>
      <c r="AH158">
        <v>25.384</v>
      </c>
    </row>
    <row r="159" spans="20:34" x14ac:dyDescent="0.25">
      <c r="T159" s="81"/>
      <c r="W159" s="185"/>
      <c r="AE159" s="185">
        <v>44805</v>
      </c>
      <c r="AF159">
        <v>2.9359999999999999</v>
      </c>
      <c r="AG159">
        <v>3.1440000000000001</v>
      </c>
      <c r="AH159">
        <v>20.814</v>
      </c>
    </row>
    <row r="160" spans="20:34" x14ac:dyDescent="0.25">
      <c r="T160" s="81"/>
      <c r="W160" s="185"/>
      <c r="AE160" s="185">
        <v>44804</v>
      </c>
      <c r="AF160">
        <v>2.931</v>
      </c>
      <c r="AG160">
        <v>3.1</v>
      </c>
      <c r="AH160">
        <v>16.861000000000001</v>
      </c>
    </row>
    <row r="161" spans="20:34" x14ac:dyDescent="0.25">
      <c r="T161" s="81"/>
      <c r="W161" s="185"/>
      <c r="AE161" s="185">
        <v>44803</v>
      </c>
      <c r="AF161">
        <v>2.9129999999999998</v>
      </c>
      <c r="AG161">
        <v>3.0819999999999999</v>
      </c>
      <c r="AH161">
        <v>16.873999999999999</v>
      </c>
    </row>
    <row r="162" spans="20:34" x14ac:dyDescent="0.25">
      <c r="T162" s="81"/>
      <c r="W162" s="185"/>
      <c r="AE162" s="185">
        <v>44802</v>
      </c>
      <c r="AF162">
        <v>2.8889999999999998</v>
      </c>
      <c r="AG162">
        <v>3.07</v>
      </c>
      <c r="AH162">
        <v>18.047000000000001</v>
      </c>
    </row>
    <row r="163" spans="20:34" x14ac:dyDescent="0.25">
      <c r="T163" s="81"/>
      <c r="W163" s="185"/>
      <c r="AE163" s="185">
        <v>44801</v>
      </c>
      <c r="AF163">
        <v>2.859</v>
      </c>
      <c r="AG163">
        <v>3.07</v>
      </c>
      <c r="AH163">
        <v>21.106999999999999</v>
      </c>
    </row>
    <row r="164" spans="20:34" x14ac:dyDescent="0.25">
      <c r="T164" s="81"/>
      <c r="W164" s="185"/>
      <c r="AE164" s="185">
        <v>44800</v>
      </c>
      <c r="AF164">
        <v>2.859</v>
      </c>
      <c r="AG164">
        <v>3.07</v>
      </c>
      <c r="AH164">
        <v>21.106999999999999</v>
      </c>
    </row>
    <row r="165" spans="20:34" x14ac:dyDescent="0.25">
      <c r="T165" s="81"/>
      <c r="W165" s="185"/>
      <c r="AE165" s="185">
        <v>44799</v>
      </c>
      <c r="AF165">
        <v>2.859</v>
      </c>
      <c r="AG165">
        <v>3.07</v>
      </c>
      <c r="AH165">
        <v>21.106999999999999</v>
      </c>
    </row>
    <row r="166" spans="20:34" x14ac:dyDescent="0.25">
      <c r="T166" s="81"/>
      <c r="W166" s="185"/>
      <c r="AE166" s="185">
        <v>44798</v>
      </c>
      <c r="AF166">
        <v>2.8050000000000002</v>
      </c>
      <c r="AG166">
        <v>3.0430000000000001</v>
      </c>
      <c r="AH166">
        <v>23.803999999999998</v>
      </c>
    </row>
    <row r="167" spans="20:34" x14ac:dyDescent="0.25">
      <c r="T167" s="81"/>
      <c r="W167" s="185"/>
      <c r="AE167" s="185">
        <v>44797</v>
      </c>
      <c r="AF167">
        <v>2.7770000000000001</v>
      </c>
      <c r="AG167">
        <v>3.01</v>
      </c>
      <c r="AH167">
        <v>23.29</v>
      </c>
    </row>
    <row r="168" spans="20:34" x14ac:dyDescent="0.25">
      <c r="T168" s="81"/>
      <c r="W168" s="185"/>
      <c r="AE168" s="185">
        <v>44796</v>
      </c>
      <c r="AF168">
        <v>2.7210000000000001</v>
      </c>
      <c r="AG168">
        <v>2.9969999999999999</v>
      </c>
      <c r="AH168">
        <v>27.616</v>
      </c>
    </row>
    <row r="169" spans="20:34" x14ac:dyDescent="0.25">
      <c r="T169" s="81"/>
      <c r="W169" s="185"/>
      <c r="AE169" s="185">
        <v>44795</v>
      </c>
      <c r="AF169">
        <v>2.7349999999999999</v>
      </c>
      <c r="AG169">
        <v>2.98</v>
      </c>
      <c r="AH169">
        <v>24.501000000000001</v>
      </c>
    </row>
    <row r="170" spans="20:34" x14ac:dyDescent="0.25">
      <c r="T170" s="81"/>
      <c r="W170" s="185"/>
      <c r="AE170" s="185">
        <v>44794</v>
      </c>
      <c r="AF170">
        <v>2.6659999999999999</v>
      </c>
      <c r="AG170">
        <v>2.9580000000000002</v>
      </c>
      <c r="AH170">
        <v>29.210999999999999</v>
      </c>
    </row>
    <row r="171" spans="20:34" x14ac:dyDescent="0.25">
      <c r="T171" s="81"/>
      <c r="W171" s="185"/>
      <c r="AE171" s="185">
        <v>44793</v>
      </c>
      <c r="AF171">
        <v>2.6659999999999999</v>
      </c>
      <c r="AG171">
        <v>2.9580000000000002</v>
      </c>
      <c r="AH171">
        <v>29.210999999999999</v>
      </c>
    </row>
    <row r="172" spans="20:34" x14ac:dyDescent="0.25">
      <c r="T172" s="81"/>
      <c r="W172" s="185"/>
      <c r="AE172" s="185">
        <v>44792</v>
      </c>
      <c r="AF172">
        <v>2.6659999999999999</v>
      </c>
      <c r="AG172">
        <v>2.9580000000000002</v>
      </c>
      <c r="AH172">
        <v>29.210999999999999</v>
      </c>
    </row>
    <row r="173" spans="20:34" x14ac:dyDescent="0.25">
      <c r="T173" s="81"/>
      <c r="W173" s="185"/>
      <c r="AE173" s="185">
        <v>44791</v>
      </c>
      <c r="AF173">
        <v>2.6509999999999998</v>
      </c>
      <c r="AG173">
        <v>2.984</v>
      </c>
      <c r="AH173">
        <v>33.32</v>
      </c>
    </row>
    <row r="174" spans="20:34" x14ac:dyDescent="0.25">
      <c r="T174" s="81"/>
      <c r="W174" s="185"/>
      <c r="AE174" s="185">
        <v>44790</v>
      </c>
      <c r="AF174">
        <v>2.6280000000000001</v>
      </c>
      <c r="AG174">
        <v>2.9769999999999999</v>
      </c>
      <c r="AH174">
        <v>34.866999999999997</v>
      </c>
    </row>
    <row r="175" spans="20:34" x14ac:dyDescent="0.25">
      <c r="T175" s="81"/>
      <c r="W175" s="185"/>
      <c r="AE175" s="185">
        <v>44789</v>
      </c>
      <c r="AF175">
        <v>2.6459999999999999</v>
      </c>
      <c r="AG175">
        <v>2.9609999999999999</v>
      </c>
      <c r="AH175">
        <v>31.457000000000001</v>
      </c>
    </row>
    <row r="176" spans="20:34" x14ac:dyDescent="0.25">
      <c r="T176" s="81"/>
      <c r="W176" s="185"/>
      <c r="AE176" s="185">
        <v>44788</v>
      </c>
      <c r="AF176">
        <v>2.5910000000000002</v>
      </c>
      <c r="AG176">
        <v>2.9420000000000002</v>
      </c>
      <c r="AH176">
        <v>35.085999999999999</v>
      </c>
    </row>
    <row r="177" spans="20:34" x14ac:dyDescent="0.25">
      <c r="T177" s="81"/>
      <c r="W177" s="185"/>
      <c r="AE177" s="185">
        <v>44787</v>
      </c>
      <c r="AF177">
        <v>2.56</v>
      </c>
      <c r="AG177">
        <v>2.9220000000000002</v>
      </c>
      <c r="AH177">
        <v>36.116999999999997</v>
      </c>
    </row>
    <row r="178" spans="20:34" x14ac:dyDescent="0.25">
      <c r="T178" s="81"/>
      <c r="W178" s="185"/>
      <c r="AE178" s="185">
        <v>44786</v>
      </c>
      <c r="AF178">
        <v>2.56</v>
      </c>
      <c r="AG178">
        <v>2.9220000000000002</v>
      </c>
      <c r="AH178">
        <v>36.116999999999997</v>
      </c>
    </row>
    <row r="179" spans="20:34" x14ac:dyDescent="0.25">
      <c r="T179" s="81"/>
      <c r="W179" s="185"/>
      <c r="AE179" s="185">
        <v>44785</v>
      </c>
      <c r="AF179">
        <v>2.56</v>
      </c>
      <c r="AG179">
        <v>2.9220000000000002</v>
      </c>
      <c r="AH179">
        <v>36.116999999999997</v>
      </c>
    </row>
    <row r="180" spans="20:34" x14ac:dyDescent="0.25">
      <c r="T180" s="81"/>
      <c r="W180" s="185"/>
      <c r="AE180" s="185">
        <v>44784</v>
      </c>
      <c r="AF180">
        <v>2.548</v>
      </c>
      <c r="AG180">
        <v>2.9049999999999998</v>
      </c>
      <c r="AH180">
        <v>35.704000000000001</v>
      </c>
    </row>
    <row r="181" spans="20:34" x14ac:dyDescent="0.25">
      <c r="T181" s="81"/>
      <c r="W181" s="185"/>
      <c r="AE181" s="185">
        <v>44783</v>
      </c>
      <c r="AF181">
        <v>2.597</v>
      </c>
      <c r="AG181">
        <v>2.923</v>
      </c>
      <c r="AH181">
        <v>32.561</v>
      </c>
    </row>
    <row r="182" spans="20:34" x14ac:dyDescent="0.25">
      <c r="T182" s="81"/>
      <c r="W182" s="185"/>
      <c r="AE182" s="185">
        <v>44782</v>
      </c>
      <c r="AF182">
        <v>2.6179999999999999</v>
      </c>
      <c r="AG182">
        <v>2.9209999999999998</v>
      </c>
      <c r="AH182">
        <v>30.32</v>
      </c>
    </row>
    <row r="183" spans="20:34" x14ac:dyDescent="0.25">
      <c r="T183" s="81"/>
      <c r="W183" s="185"/>
      <c r="AE183" s="185">
        <v>44781</v>
      </c>
      <c r="AF183">
        <v>2.5190000000000001</v>
      </c>
      <c r="AG183">
        <v>2.9119999999999999</v>
      </c>
      <c r="AH183">
        <v>39.237000000000002</v>
      </c>
    </row>
    <row r="184" spans="20:34" x14ac:dyDescent="0.25">
      <c r="T184" s="81"/>
      <c r="W184" s="185"/>
      <c r="AE184" s="185">
        <v>44780</v>
      </c>
      <c r="AF184">
        <v>2.504</v>
      </c>
      <c r="AG184">
        <v>2.867</v>
      </c>
      <c r="AH184">
        <v>36.271000000000001</v>
      </c>
    </row>
    <row r="185" spans="20:34" x14ac:dyDescent="0.25">
      <c r="T185" s="81"/>
      <c r="W185" s="185"/>
      <c r="AE185" s="185">
        <v>44779</v>
      </c>
      <c r="AF185">
        <v>2.504</v>
      </c>
      <c r="AG185">
        <v>2.867</v>
      </c>
      <c r="AH185">
        <v>36.271000000000001</v>
      </c>
    </row>
    <row r="186" spans="20:34" x14ac:dyDescent="0.25">
      <c r="T186" s="81"/>
      <c r="W186" s="185"/>
      <c r="AE186" s="185">
        <v>44778</v>
      </c>
      <c r="AF186">
        <v>2.504</v>
      </c>
      <c r="AG186">
        <v>2.867</v>
      </c>
      <c r="AH186">
        <v>36.271000000000001</v>
      </c>
    </row>
    <row r="187" spans="20:34" x14ac:dyDescent="0.25">
      <c r="T187" s="81"/>
      <c r="W187" s="185"/>
      <c r="AE187" s="185">
        <v>44777</v>
      </c>
      <c r="AF187">
        <v>2.4380000000000002</v>
      </c>
      <c r="AG187">
        <v>2.863</v>
      </c>
      <c r="AH187">
        <v>42.548999999999999</v>
      </c>
    </row>
    <row r="188" spans="20:34" x14ac:dyDescent="0.25">
      <c r="T188" s="81"/>
      <c r="W188" s="185"/>
      <c r="AE188" s="185">
        <v>44776</v>
      </c>
      <c r="AF188">
        <v>2.4870000000000001</v>
      </c>
      <c r="AG188">
        <v>2.8319999999999999</v>
      </c>
      <c r="AH188">
        <v>34.558999999999997</v>
      </c>
    </row>
    <row r="189" spans="20:34" x14ac:dyDescent="0.25">
      <c r="T189" s="81"/>
      <c r="W189" s="185"/>
      <c r="AE189" s="185">
        <v>44775</v>
      </c>
      <c r="AF189">
        <v>2.4969999999999999</v>
      </c>
      <c r="AG189">
        <v>2.8069999999999999</v>
      </c>
      <c r="AH189">
        <v>30.99</v>
      </c>
    </row>
    <row r="190" spans="20:34" x14ac:dyDescent="0.25">
      <c r="T190" s="81"/>
      <c r="W190" s="185"/>
      <c r="AE190" s="185">
        <v>44774</v>
      </c>
      <c r="AF190">
        <v>2.34</v>
      </c>
      <c r="AG190">
        <v>2.802</v>
      </c>
      <c r="AH190">
        <v>46.244</v>
      </c>
    </row>
    <row r="191" spans="20:34" x14ac:dyDescent="0.25">
      <c r="T191" s="81"/>
      <c r="W191" s="185"/>
      <c r="AE191" s="185">
        <v>44773</v>
      </c>
      <c r="AF191">
        <v>2.371</v>
      </c>
      <c r="AG191">
        <v>2.7879999999999998</v>
      </c>
      <c r="AH191">
        <v>41.768999999999998</v>
      </c>
    </row>
    <row r="192" spans="20:34" x14ac:dyDescent="0.25">
      <c r="T192" s="81"/>
      <c r="W192" s="185"/>
      <c r="AE192" s="185">
        <v>44772</v>
      </c>
      <c r="AF192">
        <v>2.371</v>
      </c>
      <c r="AG192">
        <v>2.7879999999999998</v>
      </c>
      <c r="AH192">
        <v>41.768999999999998</v>
      </c>
    </row>
    <row r="193" spans="20:34" x14ac:dyDescent="0.25">
      <c r="T193" s="81"/>
      <c r="W193" s="185"/>
      <c r="AE193" s="185">
        <v>44771</v>
      </c>
      <c r="AF193">
        <v>2.371</v>
      </c>
      <c r="AG193">
        <v>2.7879999999999998</v>
      </c>
      <c r="AH193">
        <v>41.768999999999998</v>
      </c>
    </row>
    <row r="194" spans="20:34" x14ac:dyDescent="0.25">
      <c r="T194" s="81"/>
      <c r="W194" s="185"/>
      <c r="AE194" s="185">
        <v>44770</v>
      </c>
      <c r="AF194">
        <v>2.3690000000000002</v>
      </c>
      <c r="AG194">
        <v>2.782</v>
      </c>
      <c r="AH194">
        <v>41.378999999999998</v>
      </c>
    </row>
    <row r="195" spans="20:34" x14ac:dyDescent="0.25">
      <c r="T195" s="81"/>
      <c r="W195" s="185"/>
      <c r="AE195" s="185">
        <v>44769</v>
      </c>
      <c r="AF195">
        <v>2.415</v>
      </c>
      <c r="AG195">
        <v>2.806</v>
      </c>
      <c r="AH195">
        <v>39.106000000000002</v>
      </c>
    </row>
    <row r="196" spans="20:34" x14ac:dyDescent="0.25">
      <c r="T196" s="81"/>
      <c r="W196" s="185"/>
      <c r="AE196" s="185">
        <v>44768</v>
      </c>
      <c r="AF196">
        <v>2.5070000000000001</v>
      </c>
      <c r="AG196">
        <v>2.7930000000000001</v>
      </c>
      <c r="AH196">
        <v>28.545999999999999</v>
      </c>
    </row>
    <row r="197" spans="20:34" x14ac:dyDescent="0.25">
      <c r="T197" s="81"/>
      <c r="W197" s="185"/>
      <c r="AE197" s="185">
        <v>44767</v>
      </c>
      <c r="AF197">
        <v>2.468</v>
      </c>
      <c r="AG197">
        <v>2.7690000000000001</v>
      </c>
      <c r="AH197">
        <v>30.138999999999999</v>
      </c>
    </row>
    <row r="198" spans="20:34" x14ac:dyDescent="0.25">
      <c r="T198" s="81"/>
      <c r="W198" s="185"/>
      <c r="AE198" s="185">
        <v>44766</v>
      </c>
      <c r="AF198">
        <v>2.4249999999999998</v>
      </c>
      <c r="AG198">
        <v>2.766</v>
      </c>
      <c r="AH198">
        <v>34.179000000000002</v>
      </c>
    </row>
    <row r="199" spans="20:34" x14ac:dyDescent="0.25">
      <c r="T199" s="81"/>
      <c r="W199" s="185"/>
      <c r="AE199" s="185">
        <v>44765</v>
      </c>
      <c r="AF199">
        <v>2.4249999999999998</v>
      </c>
      <c r="AG199">
        <v>2.766</v>
      </c>
      <c r="AH199">
        <v>34.179000000000002</v>
      </c>
    </row>
    <row r="200" spans="20:34" x14ac:dyDescent="0.25">
      <c r="T200" s="81"/>
      <c r="W200" s="185"/>
      <c r="AE200" s="185">
        <v>44764</v>
      </c>
      <c r="AF200">
        <v>2.4249999999999998</v>
      </c>
      <c r="AG200">
        <v>2.766</v>
      </c>
      <c r="AH200">
        <v>34.179000000000002</v>
      </c>
    </row>
    <row r="201" spans="20:34" x14ac:dyDescent="0.25">
      <c r="T201" s="81"/>
      <c r="W201" s="185"/>
      <c r="AE201" s="185">
        <v>44763</v>
      </c>
      <c r="AF201">
        <v>2.4380000000000002</v>
      </c>
      <c r="AG201">
        <v>2.7829999999999999</v>
      </c>
      <c r="AH201">
        <v>34.520000000000003</v>
      </c>
    </row>
    <row r="202" spans="20:34" x14ac:dyDescent="0.25">
      <c r="T202" s="81"/>
      <c r="W202" s="185"/>
      <c r="AE202" s="185">
        <v>44762</v>
      </c>
      <c r="AF202">
        <v>2.4689999999999999</v>
      </c>
      <c r="AG202">
        <v>2.7589999999999999</v>
      </c>
      <c r="AH202">
        <v>29.03</v>
      </c>
    </row>
    <row r="203" spans="20:34" x14ac:dyDescent="0.25">
      <c r="T203" s="81"/>
      <c r="W203" s="185"/>
      <c r="AE203" s="185">
        <v>44761</v>
      </c>
      <c r="AF203">
        <v>2.484</v>
      </c>
      <c r="AG203">
        <v>2.7320000000000002</v>
      </c>
      <c r="AH203">
        <v>24.741</v>
      </c>
    </row>
    <row r="204" spans="20:34" x14ac:dyDescent="0.25">
      <c r="T204" s="81"/>
      <c r="W204" s="185"/>
      <c r="AE204" s="185">
        <v>44760</v>
      </c>
      <c r="AF204">
        <v>2.327</v>
      </c>
      <c r="AG204">
        <v>2.71</v>
      </c>
      <c r="AH204">
        <v>38.295999999999999</v>
      </c>
    </row>
    <row r="205" spans="20:34" x14ac:dyDescent="0.25">
      <c r="T205" s="81"/>
      <c r="W205" s="185"/>
      <c r="AE205" s="185">
        <v>44759</v>
      </c>
      <c r="AF205">
        <v>2.34</v>
      </c>
      <c r="AG205">
        <v>2.738</v>
      </c>
      <c r="AH205">
        <v>39.767000000000003</v>
      </c>
    </row>
    <row r="206" spans="20:34" x14ac:dyDescent="0.25">
      <c r="T206" s="81"/>
      <c r="W206" s="185"/>
      <c r="AE206" s="185">
        <v>44758</v>
      </c>
      <c r="AF206">
        <v>2.34</v>
      </c>
      <c r="AG206">
        <v>2.738</v>
      </c>
      <c r="AH206">
        <v>39.767000000000003</v>
      </c>
    </row>
    <row r="207" spans="20:34" x14ac:dyDescent="0.25">
      <c r="T207" s="81"/>
      <c r="W207" s="185"/>
      <c r="AE207" s="185">
        <v>44757</v>
      </c>
      <c r="AF207">
        <v>2.34</v>
      </c>
      <c r="AG207">
        <v>2.738</v>
      </c>
      <c r="AH207">
        <v>39.767000000000003</v>
      </c>
    </row>
    <row r="208" spans="20:34" x14ac:dyDescent="0.25">
      <c r="T208" s="81"/>
      <c r="W208" s="185"/>
      <c r="AE208" s="185">
        <v>44756</v>
      </c>
      <c r="AF208">
        <v>2.3559999999999999</v>
      </c>
      <c r="AG208">
        <v>2.74</v>
      </c>
      <c r="AH208">
        <v>38.459000000000003</v>
      </c>
    </row>
    <row r="209" spans="20:34" x14ac:dyDescent="0.25">
      <c r="T209" s="81"/>
      <c r="W209" s="185"/>
      <c r="AE209" s="185">
        <v>44755</v>
      </c>
      <c r="AF209">
        <v>2.3690000000000002</v>
      </c>
      <c r="AG209">
        <v>2.512</v>
      </c>
      <c r="AH209">
        <v>14.33</v>
      </c>
    </row>
    <row r="210" spans="20:34" x14ac:dyDescent="0.25">
      <c r="T210" s="81"/>
      <c r="W210" s="185"/>
      <c r="AE210" s="185">
        <v>44754</v>
      </c>
      <c r="AF210">
        <v>2.0299999999999998</v>
      </c>
      <c r="AG210">
        <v>2.4830000000000001</v>
      </c>
      <c r="AH210">
        <v>45.33</v>
      </c>
    </row>
    <row r="211" spans="20:34" x14ac:dyDescent="0.25">
      <c r="T211" s="81"/>
      <c r="W211" s="185"/>
      <c r="AE211" s="185">
        <v>44753</v>
      </c>
      <c r="AF211">
        <v>2.032</v>
      </c>
      <c r="AG211">
        <v>2.4550000000000001</v>
      </c>
      <c r="AH211">
        <v>42.274000000000001</v>
      </c>
    </row>
    <row r="212" spans="20:34" x14ac:dyDescent="0.25">
      <c r="T212" s="81"/>
      <c r="W212" s="185"/>
      <c r="AE212" s="185">
        <v>44752</v>
      </c>
      <c r="AF212">
        <v>1.917</v>
      </c>
      <c r="AG212">
        <v>2.423</v>
      </c>
      <c r="AH212">
        <v>50.56</v>
      </c>
    </row>
    <row r="213" spans="20:34" x14ac:dyDescent="0.25">
      <c r="T213" s="81"/>
      <c r="W213" s="185"/>
      <c r="AE213" s="185">
        <v>44751</v>
      </c>
      <c r="AF213">
        <v>1.917</v>
      </c>
      <c r="AG213">
        <v>2.423</v>
      </c>
      <c r="AH213">
        <v>50.56</v>
      </c>
    </row>
    <row r="214" spans="20:34" x14ac:dyDescent="0.25">
      <c r="T214" s="81"/>
      <c r="W214" s="185"/>
      <c r="AE214" s="185">
        <v>44750</v>
      </c>
      <c r="AF214">
        <v>1.917</v>
      </c>
      <c r="AG214">
        <v>2.423</v>
      </c>
      <c r="AH214">
        <v>50.56</v>
      </c>
    </row>
    <row r="215" spans="20:34" x14ac:dyDescent="0.25">
      <c r="T215" s="81"/>
      <c r="W215" s="185"/>
      <c r="AE215" s="185">
        <v>44749</v>
      </c>
      <c r="AF215">
        <v>1.9359999999999999</v>
      </c>
      <c r="AG215">
        <v>2.4279999999999999</v>
      </c>
      <c r="AH215">
        <v>49.197000000000003</v>
      </c>
    </row>
    <row r="216" spans="20:34" x14ac:dyDescent="0.25">
      <c r="T216" s="81"/>
      <c r="W216" s="185"/>
      <c r="AE216" s="185">
        <v>44748</v>
      </c>
      <c r="AF216">
        <v>1.9</v>
      </c>
      <c r="AG216">
        <v>2.391</v>
      </c>
      <c r="AH216">
        <v>49.067</v>
      </c>
    </row>
    <row r="217" spans="20:34" x14ac:dyDescent="0.25">
      <c r="T217" s="81"/>
      <c r="W217" s="185"/>
      <c r="AE217" s="185">
        <v>44747</v>
      </c>
      <c r="AF217">
        <v>1.6850000000000001</v>
      </c>
      <c r="AG217">
        <v>2.3479999999999999</v>
      </c>
      <c r="AH217">
        <v>66.369</v>
      </c>
    </row>
    <row r="218" spans="20:34" x14ac:dyDescent="0.25">
      <c r="T218" s="81"/>
      <c r="W218" s="185"/>
      <c r="AE218" s="185">
        <v>44746</v>
      </c>
      <c r="AF218">
        <v>1.6739999999999999</v>
      </c>
      <c r="AG218">
        <v>2.3220000000000001</v>
      </c>
      <c r="AH218">
        <v>64.730999999999995</v>
      </c>
    </row>
    <row r="219" spans="20:34" x14ac:dyDescent="0.25">
      <c r="T219" s="81"/>
      <c r="W219" s="185"/>
      <c r="AE219" s="185">
        <v>44745</v>
      </c>
      <c r="AF219">
        <v>1.6739999999999999</v>
      </c>
      <c r="AG219">
        <v>2.2930000000000001</v>
      </c>
      <c r="AH219">
        <v>61.845999999999997</v>
      </c>
    </row>
    <row r="220" spans="20:34" x14ac:dyDescent="0.25">
      <c r="T220" s="81"/>
      <c r="W220" s="185"/>
      <c r="AE220" s="185">
        <v>44744</v>
      </c>
      <c r="AF220">
        <v>1.6739999999999999</v>
      </c>
      <c r="AG220">
        <v>2.2930000000000001</v>
      </c>
      <c r="AH220">
        <v>61.845999999999997</v>
      </c>
    </row>
    <row r="221" spans="20:34" x14ac:dyDescent="0.25">
      <c r="T221" s="81"/>
      <c r="W221" s="185"/>
      <c r="AE221" s="185">
        <v>44743</v>
      </c>
      <c r="AF221">
        <v>1.6739999999999999</v>
      </c>
      <c r="AG221">
        <v>2.2930000000000001</v>
      </c>
      <c r="AH221">
        <v>61.845999999999997</v>
      </c>
    </row>
    <row r="222" spans="20:34" x14ac:dyDescent="0.25">
      <c r="T222" s="81"/>
      <c r="W222" s="185"/>
      <c r="AE222" s="185">
        <v>44742</v>
      </c>
      <c r="AF222">
        <v>1.667</v>
      </c>
      <c r="AG222">
        <v>2.2850000000000001</v>
      </c>
      <c r="AH222">
        <v>61.804000000000002</v>
      </c>
    </row>
    <row r="223" spans="20:34" x14ac:dyDescent="0.25">
      <c r="T223" s="81"/>
      <c r="W223" s="185"/>
      <c r="AE223" s="185">
        <v>44741</v>
      </c>
      <c r="AF223">
        <v>1.7230000000000001</v>
      </c>
      <c r="AG223">
        <v>2.2770000000000001</v>
      </c>
      <c r="AH223">
        <v>55.374000000000002</v>
      </c>
    </row>
    <row r="224" spans="20:34" x14ac:dyDescent="0.25">
      <c r="T224" s="81"/>
      <c r="W224" s="185"/>
      <c r="AE224" s="185">
        <v>44740</v>
      </c>
      <c r="AF224">
        <v>1.6970000000000001</v>
      </c>
      <c r="AG224">
        <v>2.25</v>
      </c>
      <c r="AH224">
        <v>55.313000000000002</v>
      </c>
    </row>
    <row r="225" spans="20:34" x14ac:dyDescent="0.25">
      <c r="T225" s="81"/>
      <c r="W225" s="185"/>
      <c r="AE225" s="185">
        <v>44739</v>
      </c>
      <c r="AF225">
        <v>1.669</v>
      </c>
      <c r="AG225">
        <v>2.2320000000000002</v>
      </c>
      <c r="AH225">
        <v>56.226999999999997</v>
      </c>
    </row>
    <row r="226" spans="20:34" x14ac:dyDescent="0.25">
      <c r="T226" s="81"/>
      <c r="W226" s="185"/>
      <c r="AE226" s="185">
        <v>44738</v>
      </c>
      <c r="AF226">
        <v>1.6639999999999999</v>
      </c>
      <c r="AG226">
        <v>2.234</v>
      </c>
      <c r="AH226">
        <v>57.012999999999998</v>
      </c>
    </row>
    <row r="227" spans="20:34" x14ac:dyDescent="0.25">
      <c r="T227" s="81"/>
      <c r="W227" s="185"/>
      <c r="AE227" s="185">
        <v>44737</v>
      </c>
      <c r="AF227">
        <v>1.6639999999999999</v>
      </c>
      <c r="AG227">
        <v>2.234</v>
      </c>
      <c r="AH227">
        <v>57.012999999999998</v>
      </c>
    </row>
    <row r="228" spans="20:34" x14ac:dyDescent="0.25">
      <c r="T228" s="81"/>
      <c r="W228" s="185"/>
      <c r="AE228" s="185">
        <v>44736</v>
      </c>
      <c r="AF228">
        <v>1.6639999999999999</v>
      </c>
      <c r="AG228">
        <v>2.234</v>
      </c>
      <c r="AH228">
        <v>57.012999999999998</v>
      </c>
    </row>
    <row r="229" spans="20:34" x14ac:dyDescent="0.25">
      <c r="T229" s="81"/>
      <c r="W229" s="185"/>
      <c r="AE229" s="185">
        <v>44735</v>
      </c>
      <c r="AF229">
        <v>1.601</v>
      </c>
      <c r="AG229">
        <v>2.1970000000000001</v>
      </c>
      <c r="AH229">
        <v>59.668999999999997</v>
      </c>
    </row>
    <row r="230" spans="20:34" x14ac:dyDescent="0.25">
      <c r="T230" s="81"/>
      <c r="W230" s="185"/>
      <c r="AE230" s="185">
        <v>44734</v>
      </c>
      <c r="AF230">
        <v>1.5620000000000001</v>
      </c>
      <c r="AG230">
        <v>2.1850000000000001</v>
      </c>
      <c r="AH230">
        <v>62.216999999999999</v>
      </c>
    </row>
    <row r="231" spans="20:34" x14ac:dyDescent="0.25">
      <c r="T231" s="81"/>
      <c r="W231" s="185"/>
      <c r="AE231" s="185">
        <v>44733</v>
      </c>
      <c r="AF231">
        <v>1.552</v>
      </c>
      <c r="AG231">
        <v>2.1539999999999999</v>
      </c>
      <c r="AH231">
        <v>60.262999999999998</v>
      </c>
    </row>
    <row r="232" spans="20:34" x14ac:dyDescent="0.25">
      <c r="T232" s="81"/>
      <c r="W232" s="185"/>
      <c r="AE232" s="185">
        <v>44732</v>
      </c>
      <c r="AF232">
        <v>1.6080000000000001</v>
      </c>
      <c r="AG232">
        <v>2.1230000000000002</v>
      </c>
      <c r="AH232">
        <v>51.533000000000001</v>
      </c>
    </row>
    <row r="233" spans="20:34" x14ac:dyDescent="0.25">
      <c r="T233" s="81"/>
      <c r="W233" s="185"/>
      <c r="AE233" s="185">
        <v>44731</v>
      </c>
      <c r="AF233">
        <v>1.6080000000000001</v>
      </c>
      <c r="AG233">
        <v>2.0960000000000001</v>
      </c>
      <c r="AH233">
        <v>48.776000000000003</v>
      </c>
    </row>
    <row r="234" spans="20:34" x14ac:dyDescent="0.25">
      <c r="T234" s="81"/>
      <c r="W234" s="185"/>
      <c r="AE234" s="185">
        <v>44730</v>
      </c>
      <c r="AF234">
        <v>1.6080000000000001</v>
      </c>
      <c r="AG234">
        <v>2.0960000000000001</v>
      </c>
      <c r="AH234">
        <v>48.776000000000003</v>
      </c>
    </row>
    <row r="235" spans="20:34" x14ac:dyDescent="0.25">
      <c r="T235" s="81"/>
      <c r="W235" s="185"/>
      <c r="AE235" s="185">
        <v>44729</v>
      </c>
      <c r="AF235">
        <v>1.6080000000000001</v>
      </c>
      <c r="AG235">
        <v>2.0960000000000001</v>
      </c>
      <c r="AH235">
        <v>48.776000000000003</v>
      </c>
    </row>
    <row r="236" spans="20:34" x14ac:dyDescent="0.25">
      <c r="T236" s="81"/>
      <c r="W236" s="185"/>
      <c r="AE236" s="185">
        <v>44728</v>
      </c>
      <c r="AF236">
        <v>1.5369999999999999</v>
      </c>
      <c r="AG236">
        <v>2.0630000000000002</v>
      </c>
      <c r="AH236">
        <v>52.662999999999997</v>
      </c>
    </row>
    <row r="237" spans="20:34" x14ac:dyDescent="0.25">
      <c r="T237" s="81"/>
      <c r="W237" s="185"/>
      <c r="AE237" s="185">
        <v>44727</v>
      </c>
      <c r="AF237">
        <v>1.6339999999999999</v>
      </c>
      <c r="AG237">
        <v>2.0299999999999998</v>
      </c>
      <c r="AH237">
        <v>39.567</v>
      </c>
    </row>
    <row r="238" spans="20:34" x14ac:dyDescent="0.25">
      <c r="T238" s="81"/>
      <c r="W238" s="185"/>
      <c r="AE238" s="185">
        <v>44726</v>
      </c>
      <c r="AF238">
        <v>1.7869999999999999</v>
      </c>
      <c r="AG238">
        <v>2.0030000000000001</v>
      </c>
      <c r="AH238">
        <v>21.588999999999999</v>
      </c>
    </row>
    <row r="239" spans="20:34" x14ac:dyDescent="0.25">
      <c r="T239" s="81"/>
      <c r="W239" s="185"/>
      <c r="AE239" s="185">
        <v>44725</v>
      </c>
      <c r="AF239">
        <v>1.623</v>
      </c>
      <c r="AG239">
        <v>1.829</v>
      </c>
      <c r="AH239">
        <v>20.556000000000001</v>
      </c>
    </row>
    <row r="240" spans="20:34" x14ac:dyDescent="0.25">
      <c r="T240" s="81"/>
      <c r="W240" s="185"/>
      <c r="AE240" s="185">
        <v>44724</v>
      </c>
      <c r="AF240">
        <v>1.3380000000000001</v>
      </c>
      <c r="AG240">
        <v>1.7450000000000001</v>
      </c>
      <c r="AH240">
        <v>40.720999999999997</v>
      </c>
    </row>
    <row r="241" spans="20:34" x14ac:dyDescent="0.25">
      <c r="T241" s="81"/>
      <c r="W241" s="185"/>
      <c r="AE241" s="185">
        <v>44723</v>
      </c>
      <c r="AF241">
        <v>1.3380000000000001</v>
      </c>
      <c r="AG241">
        <v>1.7450000000000001</v>
      </c>
      <c r="AH241">
        <v>40.720999999999997</v>
      </c>
    </row>
    <row r="242" spans="20:34" x14ac:dyDescent="0.25">
      <c r="T242" s="81"/>
      <c r="W242" s="185"/>
      <c r="AE242" s="185">
        <v>44722</v>
      </c>
      <c r="AF242">
        <v>1.3380000000000001</v>
      </c>
      <c r="AG242">
        <v>1.7450000000000001</v>
      </c>
      <c r="AH242">
        <v>40.720999999999997</v>
      </c>
    </row>
    <row r="243" spans="20:34" x14ac:dyDescent="0.25">
      <c r="T243" s="81"/>
      <c r="W243" s="185"/>
      <c r="AE243" s="185">
        <v>44721</v>
      </c>
      <c r="AF243">
        <v>1.2709999999999999</v>
      </c>
      <c r="AG243">
        <v>1.7210000000000001</v>
      </c>
      <c r="AH243">
        <v>44.999000000000002</v>
      </c>
    </row>
    <row r="244" spans="20:34" x14ac:dyDescent="0.25">
      <c r="T244" s="81"/>
      <c r="W244" s="185"/>
      <c r="AE244" s="185">
        <v>44720</v>
      </c>
      <c r="AF244">
        <v>1.2589999999999999</v>
      </c>
      <c r="AG244">
        <v>1.6879999999999999</v>
      </c>
      <c r="AH244">
        <v>42.911000000000001</v>
      </c>
    </row>
    <row r="245" spans="20:34" x14ac:dyDescent="0.25">
      <c r="T245" s="81"/>
      <c r="W245" s="185"/>
      <c r="AE245" s="185">
        <v>44719</v>
      </c>
      <c r="AF245">
        <v>1.2150000000000001</v>
      </c>
      <c r="AG245">
        <v>1.69</v>
      </c>
      <c r="AH245">
        <v>47.542999999999999</v>
      </c>
    </row>
    <row r="246" spans="20:34" x14ac:dyDescent="0.25">
      <c r="T246" s="81"/>
      <c r="W246" s="185"/>
      <c r="AE246" s="185">
        <v>44718</v>
      </c>
      <c r="AF246">
        <v>1.21</v>
      </c>
      <c r="AG246">
        <v>1.665</v>
      </c>
      <c r="AH246">
        <v>45.5</v>
      </c>
    </row>
    <row r="247" spans="20:34" x14ac:dyDescent="0.25">
      <c r="T247" s="81"/>
      <c r="W247" s="185"/>
      <c r="AE247" s="185">
        <v>44717</v>
      </c>
      <c r="AF247">
        <v>1.1850000000000001</v>
      </c>
      <c r="AG247">
        <v>1.6259999999999999</v>
      </c>
      <c r="AH247">
        <v>44.15</v>
      </c>
    </row>
    <row r="248" spans="20:34" x14ac:dyDescent="0.25">
      <c r="T248" s="81"/>
      <c r="W248" s="185"/>
      <c r="AE248" s="185">
        <v>44716</v>
      </c>
      <c r="AF248">
        <v>1.1850000000000001</v>
      </c>
      <c r="AG248">
        <v>1.6259999999999999</v>
      </c>
      <c r="AH248">
        <v>44.15</v>
      </c>
    </row>
    <row r="249" spans="20:34" x14ac:dyDescent="0.25">
      <c r="T249" s="81"/>
      <c r="W249" s="185"/>
      <c r="AE249" s="185">
        <v>44715</v>
      </c>
      <c r="AF249">
        <v>1.1850000000000001</v>
      </c>
      <c r="AG249">
        <v>1.6259999999999999</v>
      </c>
      <c r="AH249">
        <v>44.15</v>
      </c>
    </row>
    <row r="250" spans="20:34" x14ac:dyDescent="0.25">
      <c r="T250" s="81"/>
      <c r="W250" s="185"/>
      <c r="AE250" s="185">
        <v>44714</v>
      </c>
      <c r="AF250">
        <v>1.1439999999999999</v>
      </c>
      <c r="AG250">
        <v>1.6259999999999999</v>
      </c>
      <c r="AH250">
        <v>48.22</v>
      </c>
    </row>
    <row r="251" spans="20:34" x14ac:dyDescent="0.25">
      <c r="T251" s="81"/>
      <c r="W251" s="185"/>
      <c r="AE251" s="185">
        <v>44713</v>
      </c>
      <c r="AF251">
        <v>1.139</v>
      </c>
      <c r="AG251">
        <v>1.6259999999999999</v>
      </c>
      <c r="AH251">
        <v>48.72</v>
      </c>
    </row>
    <row r="252" spans="20:34" x14ac:dyDescent="0.25">
      <c r="T252" s="81"/>
      <c r="W252" s="185"/>
      <c r="AE252" s="185">
        <v>44712</v>
      </c>
      <c r="AF252">
        <v>1.0669999999999999</v>
      </c>
      <c r="AG252">
        <v>1.611</v>
      </c>
      <c r="AH252">
        <v>54.350999999999999</v>
      </c>
    </row>
    <row r="253" spans="20:34" x14ac:dyDescent="0.25">
      <c r="T253" s="81"/>
      <c r="W253" s="185"/>
      <c r="AE253" s="185">
        <v>44711</v>
      </c>
      <c r="AF253">
        <v>1.0569999999999999</v>
      </c>
      <c r="AG253">
        <v>1.58</v>
      </c>
      <c r="AH253">
        <v>52.332999999999998</v>
      </c>
    </row>
    <row r="254" spans="20:34" x14ac:dyDescent="0.25">
      <c r="T254" s="81"/>
      <c r="W254" s="185"/>
      <c r="AE254" s="185">
        <v>44710</v>
      </c>
      <c r="AF254">
        <v>1.0569999999999999</v>
      </c>
      <c r="AG254">
        <v>1.5980000000000001</v>
      </c>
      <c r="AH254">
        <v>54.076000000000001</v>
      </c>
    </row>
    <row r="255" spans="20:34" x14ac:dyDescent="0.25">
      <c r="T255" s="81"/>
      <c r="W255" s="185"/>
      <c r="AE255" s="185">
        <v>44709</v>
      </c>
      <c r="AF255">
        <v>1.0569999999999999</v>
      </c>
      <c r="AG255">
        <v>1.5980000000000001</v>
      </c>
      <c r="AH255">
        <v>54.076000000000001</v>
      </c>
    </row>
    <row r="256" spans="20:34" x14ac:dyDescent="0.25">
      <c r="T256" s="81"/>
      <c r="W256" s="185"/>
      <c r="AE256" s="185">
        <v>44708</v>
      </c>
      <c r="AF256">
        <v>1.0569999999999999</v>
      </c>
      <c r="AG256">
        <v>1.5980000000000001</v>
      </c>
      <c r="AH256">
        <v>54.076000000000001</v>
      </c>
    </row>
    <row r="257" spans="20:34" x14ac:dyDescent="0.25">
      <c r="T257" s="81"/>
      <c r="W257" s="185"/>
      <c r="AE257" s="185">
        <v>44707</v>
      </c>
      <c r="AF257">
        <v>1.0649999999999999</v>
      </c>
      <c r="AG257">
        <v>1.575</v>
      </c>
      <c r="AH257">
        <v>51.006</v>
      </c>
    </row>
    <row r="258" spans="20:34" x14ac:dyDescent="0.25">
      <c r="T258" s="81"/>
      <c r="W258" s="185"/>
      <c r="AE258" s="185">
        <v>44706</v>
      </c>
      <c r="AF258">
        <v>1.07</v>
      </c>
      <c r="AG258">
        <v>1.5529999999999999</v>
      </c>
      <c r="AH258">
        <v>48.286000000000001</v>
      </c>
    </row>
    <row r="259" spans="20:34" x14ac:dyDescent="0.25">
      <c r="T259" s="81"/>
      <c r="W259" s="185"/>
      <c r="AE259" s="185">
        <v>44705</v>
      </c>
      <c r="AF259">
        <v>1.0649999999999999</v>
      </c>
      <c r="AG259">
        <v>1.5309999999999999</v>
      </c>
      <c r="AH259">
        <v>46.61</v>
      </c>
    </row>
    <row r="260" spans="20:34" x14ac:dyDescent="0.25">
      <c r="T260" s="81"/>
      <c r="W260" s="185"/>
      <c r="AE260" s="185">
        <v>44704</v>
      </c>
      <c r="AF260">
        <v>1.0289999999999999</v>
      </c>
      <c r="AG260">
        <v>1.524</v>
      </c>
      <c r="AH260">
        <v>49.475999999999999</v>
      </c>
    </row>
    <row r="261" spans="20:34" x14ac:dyDescent="0.25">
      <c r="T261" s="81"/>
      <c r="W261" s="185"/>
      <c r="AE261" s="185">
        <v>44703</v>
      </c>
      <c r="AF261">
        <v>1.0269999999999999</v>
      </c>
      <c r="AG261">
        <v>1.506</v>
      </c>
      <c r="AH261">
        <v>47.993000000000002</v>
      </c>
    </row>
    <row r="262" spans="20:34" x14ac:dyDescent="0.25">
      <c r="T262" s="81"/>
      <c r="W262" s="185"/>
      <c r="AE262" s="185">
        <v>44702</v>
      </c>
      <c r="AF262">
        <v>1.0269999999999999</v>
      </c>
      <c r="AG262">
        <v>1.506</v>
      </c>
      <c r="AH262">
        <v>47.993000000000002</v>
      </c>
    </row>
    <row r="263" spans="20:34" x14ac:dyDescent="0.25">
      <c r="T263" s="81"/>
      <c r="W263" s="185"/>
      <c r="AE263" s="185">
        <v>44701</v>
      </c>
      <c r="AF263">
        <v>1.0269999999999999</v>
      </c>
      <c r="AG263">
        <v>1.506</v>
      </c>
      <c r="AH263">
        <v>47.993000000000002</v>
      </c>
    </row>
    <row r="264" spans="20:34" x14ac:dyDescent="0.25">
      <c r="T264" s="81"/>
      <c r="W264" s="185"/>
      <c r="AE264" s="185">
        <v>44700</v>
      </c>
      <c r="AF264">
        <v>1.0189999999999999</v>
      </c>
      <c r="AG264">
        <v>1.5049999999999999</v>
      </c>
      <c r="AH264">
        <v>48.585999999999999</v>
      </c>
    </row>
    <row r="265" spans="20:34" x14ac:dyDescent="0.25">
      <c r="T265" s="81"/>
      <c r="W265" s="185"/>
      <c r="AE265" s="185">
        <v>44699</v>
      </c>
      <c r="AF265">
        <v>1.024</v>
      </c>
      <c r="AG265">
        <v>1.478</v>
      </c>
      <c r="AH265">
        <v>45.39</v>
      </c>
    </row>
    <row r="266" spans="20:34" x14ac:dyDescent="0.25">
      <c r="T266" s="81"/>
      <c r="W266" s="185"/>
      <c r="AE266" s="185">
        <v>44698</v>
      </c>
      <c r="AF266">
        <v>1.0649999999999999</v>
      </c>
      <c r="AG266">
        <v>1.448</v>
      </c>
      <c r="AH266">
        <v>38.267000000000003</v>
      </c>
    </row>
    <row r="267" spans="20:34" x14ac:dyDescent="0.25">
      <c r="T267" s="81"/>
      <c r="W267" s="185"/>
      <c r="AE267" s="185">
        <v>44697</v>
      </c>
      <c r="AF267">
        <v>1.0189999999999999</v>
      </c>
      <c r="AG267">
        <v>1.4550000000000001</v>
      </c>
      <c r="AH267">
        <v>43.61</v>
      </c>
    </row>
    <row r="268" spans="20:34" x14ac:dyDescent="0.25">
      <c r="T268" s="81"/>
      <c r="W268" s="185"/>
      <c r="AE268" s="185">
        <v>44696</v>
      </c>
      <c r="AF268">
        <v>0.99299999999999999</v>
      </c>
      <c r="AG268">
        <v>1.444</v>
      </c>
      <c r="AH268">
        <v>45.030999999999999</v>
      </c>
    </row>
    <row r="269" spans="20:34" x14ac:dyDescent="0.25">
      <c r="T269" s="81"/>
      <c r="W269" s="185"/>
      <c r="AE269" s="185">
        <v>44695</v>
      </c>
      <c r="AF269">
        <v>0.99299999999999999</v>
      </c>
      <c r="AG269">
        <v>1.444</v>
      </c>
      <c r="AH269">
        <v>45.030999999999999</v>
      </c>
    </row>
    <row r="270" spans="20:34" x14ac:dyDescent="0.25">
      <c r="T270" s="81"/>
      <c r="W270" s="185"/>
      <c r="AE270" s="185">
        <v>44694</v>
      </c>
      <c r="AF270">
        <v>0.99299999999999999</v>
      </c>
      <c r="AG270">
        <v>1.444</v>
      </c>
      <c r="AH270">
        <v>45.030999999999999</v>
      </c>
    </row>
    <row r="271" spans="20:34" x14ac:dyDescent="0.25">
      <c r="T271" s="81"/>
      <c r="W271" s="185"/>
      <c r="AE271" s="185">
        <v>44693</v>
      </c>
      <c r="AF271">
        <v>0.95299999999999996</v>
      </c>
      <c r="AG271">
        <v>1.411</v>
      </c>
      <c r="AH271">
        <v>45.848999999999997</v>
      </c>
    </row>
    <row r="272" spans="20:34" x14ac:dyDescent="0.25">
      <c r="T272" s="81"/>
      <c r="W272" s="185"/>
      <c r="AE272" s="185">
        <v>44692</v>
      </c>
      <c r="AF272">
        <v>0.91500000000000004</v>
      </c>
      <c r="AG272">
        <v>1.4219999999999999</v>
      </c>
      <c r="AH272">
        <v>50.725999999999999</v>
      </c>
    </row>
    <row r="273" spans="20:34" x14ac:dyDescent="0.25">
      <c r="T273" s="81"/>
      <c r="W273" s="185"/>
      <c r="AE273" s="185">
        <v>44691</v>
      </c>
      <c r="AF273">
        <v>0.90400000000000003</v>
      </c>
      <c r="AG273">
        <v>1.4</v>
      </c>
      <c r="AH273">
        <v>49.545999999999999</v>
      </c>
    </row>
    <row r="274" spans="20:34" x14ac:dyDescent="0.25">
      <c r="T274" s="81"/>
      <c r="W274" s="185"/>
      <c r="AE274" s="185">
        <v>44690</v>
      </c>
      <c r="AF274">
        <v>0.82499999999999996</v>
      </c>
      <c r="AG274">
        <v>1.399</v>
      </c>
      <c r="AH274">
        <v>57.317</v>
      </c>
    </row>
    <row r="275" spans="20:34" x14ac:dyDescent="0.25">
      <c r="T275" s="81"/>
      <c r="W275" s="185"/>
      <c r="AE275" s="185">
        <v>44689</v>
      </c>
      <c r="AF275">
        <v>0.83799999999999997</v>
      </c>
      <c r="AG275">
        <v>1.4019999999999999</v>
      </c>
      <c r="AH275">
        <v>56.375999999999998</v>
      </c>
    </row>
    <row r="276" spans="20:34" x14ac:dyDescent="0.25">
      <c r="T276" s="81"/>
      <c r="W276" s="185"/>
      <c r="AE276" s="185">
        <v>44688</v>
      </c>
      <c r="AF276">
        <v>0.83799999999999997</v>
      </c>
      <c r="AG276">
        <v>1.4019999999999999</v>
      </c>
      <c r="AH276">
        <v>56.375999999999998</v>
      </c>
    </row>
    <row r="277" spans="20:34" x14ac:dyDescent="0.25">
      <c r="T277" s="81"/>
      <c r="W277" s="185"/>
      <c r="AE277" s="185">
        <v>44687</v>
      </c>
      <c r="AF277">
        <v>0.83799999999999997</v>
      </c>
      <c r="AG277">
        <v>1.4019999999999999</v>
      </c>
      <c r="AH277">
        <v>56.375999999999998</v>
      </c>
    </row>
    <row r="278" spans="20:34" x14ac:dyDescent="0.25">
      <c r="T278" s="81"/>
      <c r="W278" s="185"/>
      <c r="AE278" s="185">
        <v>44686</v>
      </c>
      <c r="AF278">
        <v>0.82299999999999995</v>
      </c>
      <c r="AG278">
        <v>1.371</v>
      </c>
      <c r="AH278">
        <v>54.780999999999999</v>
      </c>
    </row>
    <row r="279" spans="20:34" x14ac:dyDescent="0.25">
      <c r="T279" s="81"/>
      <c r="W279" s="185"/>
      <c r="AE279" s="185">
        <v>44685</v>
      </c>
      <c r="AF279">
        <v>0.88400000000000001</v>
      </c>
      <c r="AG279">
        <v>1.4059999999999999</v>
      </c>
      <c r="AH279">
        <v>52.213999999999999</v>
      </c>
    </row>
    <row r="280" spans="20:34" x14ac:dyDescent="0.25">
      <c r="T280" s="81"/>
      <c r="W280" s="185"/>
      <c r="AE280" s="185">
        <v>44684</v>
      </c>
      <c r="AF280">
        <v>0.91700000000000004</v>
      </c>
      <c r="AG280">
        <v>1.363</v>
      </c>
      <c r="AH280">
        <v>44.609000000000002</v>
      </c>
    </row>
    <row r="281" spans="20:34" x14ac:dyDescent="0.25">
      <c r="T281" s="81"/>
      <c r="W281" s="185"/>
      <c r="AE281" s="185">
        <v>44683</v>
      </c>
      <c r="AF281">
        <v>0.79700000000000004</v>
      </c>
      <c r="AG281">
        <v>1.335</v>
      </c>
      <c r="AH281">
        <v>53.746000000000002</v>
      </c>
    </row>
    <row r="282" spans="20:34" x14ac:dyDescent="0.25">
      <c r="T282" s="81"/>
      <c r="W282" s="185"/>
      <c r="AE282" s="185">
        <v>44682</v>
      </c>
      <c r="AF282">
        <v>0.83599999999999997</v>
      </c>
      <c r="AG282">
        <v>1.335</v>
      </c>
      <c r="AH282">
        <v>49.926000000000002</v>
      </c>
    </row>
    <row r="283" spans="20:34" x14ac:dyDescent="0.25">
      <c r="T283" s="81"/>
      <c r="W283" s="185"/>
      <c r="AE283" s="185">
        <v>44681</v>
      </c>
      <c r="AF283">
        <v>0.83599999999999997</v>
      </c>
      <c r="AG283">
        <v>1.335</v>
      </c>
      <c r="AH283">
        <v>49.926000000000002</v>
      </c>
    </row>
    <row r="284" spans="20:34" x14ac:dyDescent="0.25">
      <c r="T284" s="81"/>
      <c r="W284" s="185"/>
      <c r="AE284" s="185">
        <v>44680</v>
      </c>
      <c r="AF284">
        <v>0.83599999999999997</v>
      </c>
      <c r="AG284">
        <v>1.335</v>
      </c>
      <c r="AH284">
        <v>49.926000000000002</v>
      </c>
    </row>
    <row r="285" spans="20:34" x14ac:dyDescent="0.25">
      <c r="T285" s="81"/>
      <c r="W285" s="185"/>
      <c r="AE285" s="185">
        <v>44679</v>
      </c>
      <c r="AF285">
        <v>0.82799999999999996</v>
      </c>
      <c r="AG285">
        <v>1.286</v>
      </c>
      <c r="AH285">
        <v>45.8</v>
      </c>
    </row>
    <row r="286" spans="20:34" x14ac:dyDescent="0.25">
      <c r="T286" s="81"/>
      <c r="W286" s="185"/>
      <c r="AE286" s="185">
        <v>44678</v>
      </c>
      <c r="AF286">
        <v>0.83599999999999997</v>
      </c>
      <c r="AG286">
        <v>1.2390000000000001</v>
      </c>
      <c r="AH286">
        <v>40.316000000000003</v>
      </c>
    </row>
    <row r="287" spans="20:34" x14ac:dyDescent="0.25">
      <c r="T287" s="81"/>
      <c r="W287" s="185"/>
      <c r="AE287" s="185">
        <v>44677</v>
      </c>
      <c r="AF287">
        <v>0.83299999999999996</v>
      </c>
      <c r="AG287">
        <v>1.238</v>
      </c>
      <c r="AH287">
        <v>40.503999999999998</v>
      </c>
    </row>
    <row r="288" spans="20:34" x14ac:dyDescent="0.25">
      <c r="T288" s="81"/>
      <c r="W288" s="185"/>
      <c r="AE288" s="185">
        <v>44676</v>
      </c>
      <c r="AF288">
        <v>0.82299999999999995</v>
      </c>
      <c r="AG288">
        <v>1.2250000000000001</v>
      </c>
      <c r="AH288">
        <v>40.206000000000003</v>
      </c>
    </row>
    <row r="289" spans="20:34" x14ac:dyDescent="0.25">
      <c r="T289" s="81"/>
      <c r="W289" s="185"/>
      <c r="AE289" s="185">
        <v>44675</v>
      </c>
      <c r="AF289">
        <v>0.80800000000000005</v>
      </c>
      <c r="AG289">
        <v>1.214</v>
      </c>
      <c r="AH289">
        <v>40.610999999999997</v>
      </c>
    </row>
    <row r="290" spans="20:34" x14ac:dyDescent="0.25">
      <c r="T290" s="81"/>
      <c r="W290" s="185"/>
      <c r="AE290" s="185">
        <v>44674</v>
      </c>
      <c r="AF290">
        <v>0.80800000000000005</v>
      </c>
      <c r="AG290">
        <v>1.214</v>
      </c>
      <c r="AH290">
        <v>40.610999999999997</v>
      </c>
    </row>
    <row r="291" spans="20:34" x14ac:dyDescent="0.25">
      <c r="T291" s="81"/>
      <c r="W291" s="185"/>
      <c r="AE291" s="185">
        <v>44673</v>
      </c>
      <c r="AF291">
        <v>0.80800000000000005</v>
      </c>
      <c r="AG291">
        <v>1.214</v>
      </c>
      <c r="AH291">
        <v>40.610999999999997</v>
      </c>
    </row>
    <row r="292" spans="20:34" x14ac:dyDescent="0.25">
      <c r="T292" s="81"/>
      <c r="W292" s="185"/>
      <c r="AE292" s="185">
        <v>44672</v>
      </c>
      <c r="AF292">
        <v>0.80300000000000005</v>
      </c>
      <c r="AG292">
        <v>1.1839999999999999</v>
      </c>
      <c r="AH292">
        <v>38.14</v>
      </c>
    </row>
    <row r="293" spans="20:34" x14ac:dyDescent="0.25">
      <c r="T293" s="81"/>
      <c r="W293" s="185"/>
      <c r="AE293" s="185">
        <v>44671</v>
      </c>
      <c r="AF293">
        <v>0.83299999999999996</v>
      </c>
      <c r="AG293">
        <v>1.1359999999999999</v>
      </c>
      <c r="AH293">
        <v>30.318999999999999</v>
      </c>
    </row>
    <row r="294" spans="20:34" x14ac:dyDescent="0.25">
      <c r="T294" s="81"/>
      <c r="W294" s="185"/>
      <c r="AE294" s="185">
        <v>44670</v>
      </c>
      <c r="AF294">
        <v>0.83599999999999997</v>
      </c>
      <c r="AG294">
        <v>1.0980000000000001</v>
      </c>
      <c r="AH294">
        <v>26.259</v>
      </c>
    </row>
    <row r="295" spans="20:34" x14ac:dyDescent="0.25">
      <c r="T295" s="81"/>
      <c r="W295" s="185"/>
      <c r="AE295" s="185">
        <v>44669</v>
      </c>
      <c r="AF295">
        <v>0.77500000000000002</v>
      </c>
      <c r="AG295">
        <v>1.0629999999999999</v>
      </c>
      <c r="AH295">
        <v>28.821000000000002</v>
      </c>
    </row>
    <row r="296" spans="20:34" x14ac:dyDescent="0.25">
      <c r="T296" s="81"/>
      <c r="W296" s="185"/>
      <c r="AE296" s="185">
        <v>44668</v>
      </c>
      <c r="AF296">
        <v>0.78</v>
      </c>
      <c r="AG296">
        <v>1.0629999999999999</v>
      </c>
      <c r="AH296">
        <v>28.300999999999998</v>
      </c>
    </row>
    <row r="297" spans="20:34" x14ac:dyDescent="0.25">
      <c r="T297" s="81"/>
      <c r="W297" s="185"/>
      <c r="AE297" s="185">
        <v>44667</v>
      </c>
      <c r="AF297">
        <v>0.78</v>
      </c>
      <c r="AG297">
        <v>1.0629999999999999</v>
      </c>
      <c r="AH297">
        <v>28.300999999999998</v>
      </c>
    </row>
    <row r="298" spans="20:34" x14ac:dyDescent="0.25">
      <c r="T298" s="81"/>
      <c r="W298" s="185"/>
      <c r="AE298" s="185">
        <v>44666</v>
      </c>
      <c r="AF298">
        <v>0.78</v>
      </c>
      <c r="AG298">
        <v>1.0629999999999999</v>
      </c>
      <c r="AH298">
        <v>28.300999999999998</v>
      </c>
    </row>
    <row r="299" spans="20:34" x14ac:dyDescent="0.25">
      <c r="T299" s="81"/>
      <c r="W299" s="185"/>
      <c r="AE299" s="185">
        <v>44665</v>
      </c>
      <c r="AF299">
        <v>0.78</v>
      </c>
      <c r="AG299">
        <v>1.0629999999999999</v>
      </c>
      <c r="AH299">
        <v>28.300999999999998</v>
      </c>
    </row>
    <row r="300" spans="20:34" x14ac:dyDescent="0.25">
      <c r="T300" s="81"/>
      <c r="W300" s="185"/>
      <c r="AE300" s="185">
        <v>44664</v>
      </c>
      <c r="AF300">
        <v>0.749</v>
      </c>
      <c r="AG300">
        <v>1.044</v>
      </c>
      <c r="AH300">
        <v>29.518999999999998</v>
      </c>
    </row>
    <row r="301" spans="20:34" x14ac:dyDescent="0.25">
      <c r="T301" s="81"/>
      <c r="W301" s="185"/>
      <c r="AE301" s="185">
        <v>44663</v>
      </c>
      <c r="AF301">
        <v>0.747</v>
      </c>
      <c r="AG301">
        <v>1.038</v>
      </c>
      <c r="AH301">
        <v>29.183</v>
      </c>
    </row>
    <row r="302" spans="20:34" x14ac:dyDescent="0.25">
      <c r="T302" s="81"/>
      <c r="W302" s="185"/>
      <c r="AE302" s="185">
        <v>44662</v>
      </c>
      <c r="AF302">
        <v>0.71899999999999997</v>
      </c>
      <c r="AG302">
        <v>1.0209999999999999</v>
      </c>
      <c r="AH302">
        <v>30.292999999999999</v>
      </c>
    </row>
    <row r="303" spans="20:34" x14ac:dyDescent="0.25">
      <c r="T303" s="81"/>
      <c r="W303" s="185"/>
      <c r="AE303" s="185">
        <v>44661</v>
      </c>
      <c r="AF303">
        <v>0.68799999999999994</v>
      </c>
      <c r="AG303">
        <v>1.0109999999999999</v>
      </c>
      <c r="AH303">
        <v>32.271000000000001</v>
      </c>
    </row>
    <row r="304" spans="20:34" x14ac:dyDescent="0.25">
      <c r="T304" s="81"/>
      <c r="W304" s="185"/>
      <c r="AE304" s="185">
        <v>44660</v>
      </c>
      <c r="AF304">
        <v>0.68799999999999994</v>
      </c>
      <c r="AG304">
        <v>1.0109999999999999</v>
      </c>
      <c r="AH304">
        <v>32.271000000000001</v>
      </c>
    </row>
    <row r="305" spans="20:34" x14ac:dyDescent="0.25">
      <c r="T305" s="81"/>
      <c r="W305" s="185"/>
      <c r="AE305" s="185">
        <v>44659</v>
      </c>
      <c r="AF305">
        <v>0.68799999999999994</v>
      </c>
      <c r="AG305">
        <v>1.0109999999999999</v>
      </c>
      <c r="AH305">
        <v>32.271000000000001</v>
      </c>
    </row>
    <row r="306" spans="20:34" x14ac:dyDescent="0.25">
      <c r="T306" s="81"/>
      <c r="W306" s="185"/>
      <c r="AE306" s="185">
        <v>44658</v>
      </c>
      <c r="AF306">
        <v>0.68300000000000005</v>
      </c>
      <c r="AG306">
        <v>0.98899999999999999</v>
      </c>
      <c r="AH306">
        <v>30.585999999999999</v>
      </c>
    </row>
    <row r="307" spans="20:34" x14ac:dyDescent="0.25">
      <c r="T307" s="81"/>
      <c r="W307" s="185"/>
      <c r="AE307" s="185">
        <v>44657</v>
      </c>
      <c r="AF307">
        <v>0.68100000000000005</v>
      </c>
      <c r="AG307">
        <v>0.98599999999999999</v>
      </c>
      <c r="AH307">
        <v>30.593</v>
      </c>
    </row>
    <row r="308" spans="20:34" x14ac:dyDescent="0.25">
      <c r="T308" s="81"/>
      <c r="W308" s="185"/>
      <c r="AE308" s="185">
        <v>44656</v>
      </c>
      <c r="AF308">
        <v>0.65800000000000003</v>
      </c>
      <c r="AG308">
        <v>0.96699999999999997</v>
      </c>
      <c r="AH308">
        <v>30.896999999999998</v>
      </c>
    </row>
    <row r="309" spans="20:34" x14ac:dyDescent="0.25">
      <c r="T309" s="81"/>
      <c r="W309" s="185"/>
      <c r="AE309" s="185">
        <v>44655</v>
      </c>
      <c r="AF309">
        <v>0.56399999999999995</v>
      </c>
      <c r="AG309">
        <v>0.96899999999999997</v>
      </c>
      <c r="AH309">
        <v>40.549999999999997</v>
      </c>
    </row>
    <row r="310" spans="20:34" x14ac:dyDescent="0.25">
      <c r="T310" s="81"/>
      <c r="W310" s="185"/>
      <c r="AE310" s="185">
        <v>44654</v>
      </c>
      <c r="AF310">
        <v>0.52300000000000002</v>
      </c>
      <c r="AG310">
        <v>0.96199999999999997</v>
      </c>
      <c r="AH310">
        <v>43.92</v>
      </c>
    </row>
    <row r="311" spans="20:34" x14ac:dyDescent="0.25">
      <c r="T311" s="81"/>
      <c r="W311" s="185"/>
      <c r="AE311" s="185">
        <v>44653</v>
      </c>
      <c r="AF311">
        <v>0.52300000000000002</v>
      </c>
      <c r="AG311">
        <v>0.96199999999999997</v>
      </c>
      <c r="AH311">
        <v>43.92</v>
      </c>
    </row>
    <row r="312" spans="20:34" x14ac:dyDescent="0.25">
      <c r="T312" s="81"/>
      <c r="W312" s="185"/>
      <c r="AE312" s="185">
        <v>44652</v>
      </c>
      <c r="AF312">
        <v>0.52300000000000002</v>
      </c>
      <c r="AG312">
        <v>0.96199999999999997</v>
      </c>
      <c r="AH312">
        <v>43.92</v>
      </c>
    </row>
    <row r="313" spans="20:34" x14ac:dyDescent="0.25">
      <c r="T313" s="81"/>
      <c r="W313" s="185"/>
      <c r="AE313" s="185">
        <v>44651</v>
      </c>
      <c r="AF313">
        <v>0.52</v>
      </c>
      <c r="AG313">
        <v>0.96199999999999997</v>
      </c>
      <c r="AH313">
        <v>44.127000000000002</v>
      </c>
    </row>
    <row r="314" spans="20:34" x14ac:dyDescent="0.25">
      <c r="T314" s="81"/>
      <c r="W314" s="185"/>
      <c r="AE314" s="185">
        <v>44650</v>
      </c>
      <c r="AF314">
        <v>0.53800000000000003</v>
      </c>
      <c r="AG314">
        <v>0.96699999999999997</v>
      </c>
      <c r="AH314">
        <v>42.875999999999998</v>
      </c>
    </row>
    <row r="315" spans="20:34" x14ac:dyDescent="0.25">
      <c r="T315" s="81"/>
      <c r="W315" s="185"/>
      <c r="AE315" s="185">
        <v>44649</v>
      </c>
      <c r="AF315">
        <v>0.55300000000000005</v>
      </c>
      <c r="AG315">
        <v>1.006</v>
      </c>
      <c r="AH315">
        <v>45.27</v>
      </c>
    </row>
    <row r="316" spans="20:34" x14ac:dyDescent="0.25">
      <c r="T316" s="81"/>
      <c r="W316" s="185"/>
      <c r="AE316" s="185">
        <v>44648</v>
      </c>
      <c r="AF316">
        <v>0.54300000000000004</v>
      </c>
      <c r="AG316">
        <v>0.996</v>
      </c>
      <c r="AH316">
        <v>45.319000000000003</v>
      </c>
    </row>
    <row r="317" spans="20:34" x14ac:dyDescent="0.25">
      <c r="T317" s="81"/>
      <c r="W317" s="185"/>
      <c r="AE317" s="185">
        <v>44647</v>
      </c>
      <c r="AF317">
        <v>0.53600000000000003</v>
      </c>
      <c r="AG317">
        <v>0.98299999999999998</v>
      </c>
      <c r="AH317">
        <v>44.735999999999997</v>
      </c>
    </row>
    <row r="318" spans="20:34" x14ac:dyDescent="0.25">
      <c r="T318" s="81"/>
      <c r="W318" s="185"/>
      <c r="AE318" s="185">
        <v>44646</v>
      </c>
      <c r="AF318">
        <v>0.53600000000000003</v>
      </c>
      <c r="AG318">
        <v>0.98299999999999998</v>
      </c>
      <c r="AH318">
        <v>44.735999999999997</v>
      </c>
    </row>
    <row r="319" spans="20:34" x14ac:dyDescent="0.25">
      <c r="T319" s="81"/>
      <c r="W319" s="185"/>
      <c r="AE319" s="185">
        <v>44645</v>
      </c>
      <c r="AF319">
        <v>0.53600000000000003</v>
      </c>
      <c r="AG319">
        <v>0.98299999999999998</v>
      </c>
      <c r="AH319">
        <v>44.735999999999997</v>
      </c>
    </row>
    <row r="320" spans="20:34" x14ac:dyDescent="0.25">
      <c r="T320" s="81"/>
      <c r="W320" s="185"/>
      <c r="AE320" s="185">
        <v>44644</v>
      </c>
      <c r="AF320">
        <v>0.505</v>
      </c>
      <c r="AG320">
        <v>0.96599999999999997</v>
      </c>
      <c r="AH320">
        <v>46.057000000000002</v>
      </c>
    </row>
    <row r="321" spans="20:34" x14ac:dyDescent="0.25">
      <c r="T321" s="81"/>
      <c r="W321" s="185"/>
      <c r="AE321" s="185">
        <v>44643</v>
      </c>
      <c r="AF321">
        <v>0.49</v>
      </c>
      <c r="AG321">
        <v>0.96599999999999997</v>
      </c>
      <c r="AH321">
        <v>47.591000000000001</v>
      </c>
    </row>
    <row r="322" spans="20:34" x14ac:dyDescent="0.25">
      <c r="T322" s="81"/>
      <c r="W322" s="185"/>
      <c r="AE322" s="185">
        <v>44642</v>
      </c>
      <c r="AF322">
        <v>0.502</v>
      </c>
      <c r="AG322">
        <v>0.95399999999999996</v>
      </c>
      <c r="AH322">
        <v>45.121000000000002</v>
      </c>
    </row>
    <row r="323" spans="20:34" x14ac:dyDescent="0.25">
      <c r="T323" s="81"/>
      <c r="W323" s="185"/>
      <c r="AE323" s="185">
        <v>44641</v>
      </c>
      <c r="AF323">
        <v>0.48499999999999999</v>
      </c>
      <c r="AG323">
        <v>0.95799999999999996</v>
      </c>
      <c r="AH323">
        <v>47.286999999999999</v>
      </c>
    </row>
    <row r="324" spans="20:34" x14ac:dyDescent="0.25">
      <c r="T324" s="81"/>
      <c r="W324" s="185"/>
      <c r="AE324" s="185">
        <v>44640</v>
      </c>
      <c r="AF324">
        <v>0.40600000000000003</v>
      </c>
      <c r="AG324">
        <v>0.93400000000000005</v>
      </c>
      <c r="AH324">
        <v>52.81</v>
      </c>
    </row>
    <row r="325" spans="20:34" x14ac:dyDescent="0.25">
      <c r="T325" s="81"/>
      <c r="W325" s="185"/>
      <c r="AE325" s="185">
        <v>44639</v>
      </c>
      <c r="AF325">
        <v>0.40600000000000003</v>
      </c>
      <c r="AG325">
        <v>0.93400000000000005</v>
      </c>
      <c r="AH325">
        <v>52.81</v>
      </c>
    </row>
    <row r="326" spans="20:34" x14ac:dyDescent="0.25">
      <c r="T326" s="81"/>
      <c r="W326" s="185"/>
      <c r="AE326" s="185">
        <v>44638</v>
      </c>
      <c r="AF326">
        <v>0.40600000000000003</v>
      </c>
      <c r="AG326">
        <v>0.93400000000000005</v>
      </c>
      <c r="AH326">
        <v>52.81</v>
      </c>
    </row>
    <row r="327" spans="20:34" x14ac:dyDescent="0.25">
      <c r="T327" s="81"/>
      <c r="W327" s="185"/>
      <c r="AE327" s="185">
        <v>44637</v>
      </c>
      <c r="AF327">
        <v>0.39800000000000002</v>
      </c>
      <c r="AG327">
        <v>0.92800000000000005</v>
      </c>
      <c r="AH327">
        <v>52.956000000000003</v>
      </c>
    </row>
    <row r="328" spans="20:34" x14ac:dyDescent="0.25">
      <c r="T328" s="81"/>
      <c r="W328" s="185"/>
      <c r="AE328" s="185">
        <v>44636</v>
      </c>
      <c r="AF328">
        <v>0.439</v>
      </c>
      <c r="AG328">
        <v>0.94799999999999995</v>
      </c>
      <c r="AH328">
        <v>50.914000000000001</v>
      </c>
    </row>
    <row r="329" spans="20:34" x14ac:dyDescent="0.25">
      <c r="T329" s="81"/>
      <c r="W329" s="185"/>
      <c r="AE329" s="185">
        <v>44635</v>
      </c>
      <c r="AF329">
        <v>0.45900000000000002</v>
      </c>
      <c r="AG329">
        <v>0.91600000000000004</v>
      </c>
      <c r="AH329">
        <v>45.713000000000001</v>
      </c>
    </row>
    <row r="330" spans="20:34" x14ac:dyDescent="0.25">
      <c r="T330" s="81"/>
      <c r="W330" s="185"/>
      <c r="AE330" s="185">
        <v>44634</v>
      </c>
      <c r="AF330">
        <v>0.46200000000000002</v>
      </c>
      <c r="AG330">
        <v>0.88500000000000001</v>
      </c>
      <c r="AH330">
        <v>42.280999999999999</v>
      </c>
    </row>
    <row r="331" spans="20:34" x14ac:dyDescent="0.25">
      <c r="T331" s="81"/>
      <c r="W331" s="185"/>
      <c r="AE331" s="185">
        <v>44633</v>
      </c>
      <c r="AF331">
        <v>0.38600000000000001</v>
      </c>
      <c r="AG331">
        <v>0.82599999999999996</v>
      </c>
      <c r="AH331">
        <v>44.04</v>
      </c>
    </row>
    <row r="332" spans="20:34" x14ac:dyDescent="0.25">
      <c r="T332" s="81"/>
      <c r="W332" s="185"/>
      <c r="AE332" s="185">
        <v>44632</v>
      </c>
      <c r="AF332">
        <v>0.38600000000000001</v>
      </c>
      <c r="AG332">
        <v>0.82599999999999996</v>
      </c>
      <c r="AH332">
        <v>44.04</v>
      </c>
    </row>
    <row r="333" spans="20:34" x14ac:dyDescent="0.25">
      <c r="T333" s="81"/>
      <c r="W333" s="185"/>
      <c r="AE333" s="185">
        <v>44631</v>
      </c>
      <c r="AF333">
        <v>0.38600000000000001</v>
      </c>
      <c r="AG333">
        <v>0.82599999999999996</v>
      </c>
      <c r="AH333">
        <v>44.04</v>
      </c>
    </row>
    <row r="334" spans="20:34" x14ac:dyDescent="0.25">
      <c r="T334" s="81"/>
      <c r="W334" s="185"/>
      <c r="AE334" s="185">
        <v>44630</v>
      </c>
      <c r="AF334">
        <v>0.38800000000000001</v>
      </c>
      <c r="AG334">
        <v>0.80300000000000005</v>
      </c>
      <c r="AH334">
        <v>41.466000000000001</v>
      </c>
    </row>
    <row r="335" spans="20:34" x14ac:dyDescent="0.25">
      <c r="T335" s="81"/>
      <c r="W335" s="185"/>
      <c r="AE335" s="185">
        <v>44629</v>
      </c>
      <c r="AF335">
        <v>0.38100000000000001</v>
      </c>
      <c r="AG335">
        <v>0.745</v>
      </c>
      <c r="AH335">
        <v>36.44</v>
      </c>
    </row>
    <row r="336" spans="20:34" x14ac:dyDescent="0.25">
      <c r="T336" s="81"/>
      <c r="W336" s="185"/>
      <c r="AE336" s="185">
        <v>44628</v>
      </c>
      <c r="AF336">
        <v>0.37</v>
      </c>
      <c r="AG336">
        <v>0.70299999999999996</v>
      </c>
      <c r="AH336">
        <v>33.26</v>
      </c>
    </row>
    <row r="337" spans="20:34" x14ac:dyDescent="0.25">
      <c r="T337" s="81"/>
      <c r="W337" s="185"/>
      <c r="AE337" s="185">
        <v>44627</v>
      </c>
      <c r="AF337">
        <v>0.32700000000000001</v>
      </c>
      <c r="AG337">
        <v>0.64300000000000002</v>
      </c>
      <c r="AH337">
        <v>31.565999999999999</v>
      </c>
    </row>
    <row r="338" spans="20:34" x14ac:dyDescent="0.25">
      <c r="T338" s="81"/>
      <c r="W338" s="185"/>
      <c r="AE338" s="185">
        <v>44626</v>
      </c>
      <c r="AF338">
        <v>0.32700000000000001</v>
      </c>
      <c r="AG338">
        <v>0.61</v>
      </c>
      <c r="AH338">
        <v>28.294</v>
      </c>
    </row>
    <row r="339" spans="20:34" x14ac:dyDescent="0.25">
      <c r="T339" s="81"/>
      <c r="W339" s="185"/>
      <c r="AE339" s="185">
        <v>44625</v>
      </c>
      <c r="AF339">
        <v>0.32700000000000001</v>
      </c>
      <c r="AG339">
        <v>0.61</v>
      </c>
      <c r="AH339">
        <v>28.294</v>
      </c>
    </row>
    <row r="340" spans="20:34" x14ac:dyDescent="0.25">
      <c r="T340" s="81"/>
      <c r="W340" s="185"/>
      <c r="AE340" s="185">
        <v>44624</v>
      </c>
      <c r="AF340">
        <v>0.32700000000000001</v>
      </c>
      <c r="AG340">
        <v>0.61</v>
      </c>
      <c r="AH340">
        <v>28.294</v>
      </c>
    </row>
    <row r="341" spans="20:34" x14ac:dyDescent="0.25">
      <c r="T341" s="81"/>
      <c r="W341" s="185"/>
      <c r="AE341" s="185">
        <v>44623</v>
      </c>
      <c r="AF341">
        <v>0.34799999999999998</v>
      </c>
      <c r="AG341">
        <v>0.58299999999999996</v>
      </c>
      <c r="AH341">
        <v>23.553999999999998</v>
      </c>
    </row>
    <row r="342" spans="20:34" x14ac:dyDescent="0.25">
      <c r="T342" s="81"/>
      <c r="W342" s="185"/>
      <c r="AE342" s="185">
        <v>44622</v>
      </c>
      <c r="AF342">
        <v>0.33700000000000002</v>
      </c>
      <c r="AG342">
        <v>0.52200000000000002</v>
      </c>
      <c r="AH342">
        <v>18.474</v>
      </c>
    </row>
    <row r="343" spans="20:34" x14ac:dyDescent="0.25">
      <c r="T343" s="81"/>
      <c r="W343" s="185"/>
      <c r="AE343" s="185">
        <v>44621</v>
      </c>
      <c r="AF343">
        <v>0.32500000000000001</v>
      </c>
      <c r="AG343">
        <v>0.51100000000000001</v>
      </c>
      <c r="AH343">
        <v>18.616</v>
      </c>
    </row>
    <row r="344" spans="20:34" x14ac:dyDescent="0.25">
      <c r="T344" s="81"/>
      <c r="W344" s="185"/>
      <c r="AE344" s="185">
        <v>44620</v>
      </c>
      <c r="AF344">
        <v>0.317</v>
      </c>
      <c r="AG344">
        <v>0.504</v>
      </c>
      <c r="AH344">
        <v>18.719000000000001</v>
      </c>
    </row>
    <row r="345" spans="20:34" x14ac:dyDescent="0.25">
      <c r="T345" s="81"/>
      <c r="W345" s="185"/>
      <c r="AE345" s="185">
        <v>44619</v>
      </c>
      <c r="AF345">
        <v>0.32</v>
      </c>
      <c r="AG345">
        <v>0.52300000000000002</v>
      </c>
      <c r="AH345">
        <v>20.34</v>
      </c>
    </row>
    <row r="346" spans="20:34" x14ac:dyDescent="0.25">
      <c r="T346" s="81"/>
      <c r="W346" s="185"/>
      <c r="AE346" s="185">
        <v>44618</v>
      </c>
      <c r="AF346">
        <v>0.32</v>
      </c>
      <c r="AG346">
        <v>0.52300000000000002</v>
      </c>
      <c r="AH346">
        <v>20.34</v>
      </c>
    </row>
    <row r="347" spans="20:34" x14ac:dyDescent="0.25">
      <c r="T347" s="81"/>
      <c r="W347" s="185"/>
      <c r="AE347" s="185">
        <v>44617</v>
      </c>
      <c r="AF347">
        <v>0.32</v>
      </c>
      <c r="AG347">
        <v>0.52300000000000002</v>
      </c>
      <c r="AH347">
        <v>20.34</v>
      </c>
    </row>
    <row r="348" spans="20:34" x14ac:dyDescent="0.25">
      <c r="T348" s="81"/>
      <c r="W348" s="185"/>
      <c r="AE348" s="185">
        <v>44616</v>
      </c>
      <c r="AF348">
        <v>0.32</v>
      </c>
      <c r="AG348">
        <v>0.50800000000000001</v>
      </c>
      <c r="AH348">
        <v>18.826000000000001</v>
      </c>
    </row>
    <row r="349" spans="20:34" x14ac:dyDescent="0.25">
      <c r="T349" s="81"/>
      <c r="W349" s="185"/>
      <c r="AE349" s="185">
        <v>44615</v>
      </c>
      <c r="AF349">
        <v>0.36</v>
      </c>
      <c r="AG349">
        <v>0.498</v>
      </c>
      <c r="AH349">
        <v>13.727</v>
      </c>
    </row>
    <row r="350" spans="20:34" x14ac:dyDescent="0.25">
      <c r="T350" s="81"/>
      <c r="W350" s="185"/>
      <c r="AE350" s="185">
        <v>44614</v>
      </c>
      <c r="AF350">
        <v>0.35799999999999998</v>
      </c>
      <c r="AG350">
        <v>0.48799999999999999</v>
      </c>
      <c r="AH350">
        <v>13.016</v>
      </c>
    </row>
    <row r="351" spans="20:34" x14ac:dyDescent="0.25">
      <c r="T351" s="81"/>
      <c r="W351" s="185"/>
      <c r="AE351" s="185">
        <v>44613</v>
      </c>
      <c r="AF351">
        <v>0.35</v>
      </c>
      <c r="AG351">
        <v>0.46400000000000002</v>
      </c>
      <c r="AH351">
        <v>11.375999999999999</v>
      </c>
    </row>
    <row r="352" spans="20:34" x14ac:dyDescent="0.25">
      <c r="T352" s="81"/>
      <c r="W352" s="185"/>
      <c r="AE352" s="185">
        <v>44612</v>
      </c>
      <c r="AF352">
        <v>0.35</v>
      </c>
      <c r="AG352">
        <v>0.48</v>
      </c>
      <c r="AH352">
        <v>12.946999999999999</v>
      </c>
    </row>
    <row r="353" spans="20:34" x14ac:dyDescent="0.25">
      <c r="T353" s="81"/>
      <c r="W353" s="185"/>
      <c r="AE353" s="185">
        <v>44611</v>
      </c>
      <c r="AF353">
        <v>0.35</v>
      </c>
      <c r="AG353">
        <v>0.48</v>
      </c>
      <c r="AH353">
        <v>12.946999999999999</v>
      </c>
    </row>
    <row r="354" spans="20:34" x14ac:dyDescent="0.25">
      <c r="T354" s="81"/>
      <c r="W354" s="185"/>
      <c r="AE354" s="185">
        <v>44610</v>
      </c>
      <c r="AF354">
        <v>0.35</v>
      </c>
      <c r="AG354">
        <v>0.48</v>
      </c>
      <c r="AH354">
        <v>12.946999999999999</v>
      </c>
    </row>
    <row r="355" spans="20:34" x14ac:dyDescent="0.25">
      <c r="T355" s="81"/>
      <c r="W355" s="185"/>
      <c r="AE355" s="185">
        <v>44609</v>
      </c>
      <c r="AF355">
        <v>0.36299999999999999</v>
      </c>
      <c r="AG355">
        <v>0.48099999999999998</v>
      </c>
      <c r="AH355">
        <v>11.82</v>
      </c>
    </row>
    <row r="356" spans="20:34" x14ac:dyDescent="0.25">
      <c r="T356" s="81"/>
      <c r="W356" s="185"/>
      <c r="AE356" s="185">
        <v>44608</v>
      </c>
      <c r="AF356">
        <v>0.39300000000000002</v>
      </c>
      <c r="AG356">
        <v>0.48799999999999999</v>
      </c>
      <c r="AH356">
        <v>9.484</v>
      </c>
    </row>
    <row r="357" spans="20:34" x14ac:dyDescent="0.25">
      <c r="T357" s="81"/>
      <c r="W357" s="185"/>
      <c r="AE357" s="185">
        <v>44607</v>
      </c>
      <c r="AF357">
        <v>0.41899999999999998</v>
      </c>
      <c r="AG357">
        <v>0.46899999999999997</v>
      </c>
      <c r="AH357">
        <v>5.0010000000000003</v>
      </c>
    </row>
    <row r="358" spans="20:34" x14ac:dyDescent="0.25">
      <c r="T358" s="81"/>
      <c r="W358" s="185"/>
      <c r="AE358" s="185">
        <v>44606</v>
      </c>
      <c r="AF358">
        <v>0.41599999999999998</v>
      </c>
      <c r="AG358">
        <v>0.45900000000000002</v>
      </c>
      <c r="AH358">
        <v>4.2469999999999999</v>
      </c>
    </row>
    <row r="359" spans="20:34" x14ac:dyDescent="0.25">
      <c r="T359" s="81"/>
      <c r="W359" s="185"/>
      <c r="AE359" s="185">
        <v>44605</v>
      </c>
      <c r="AF359">
        <v>0.36299999999999999</v>
      </c>
      <c r="AG359">
        <v>0.50600000000000001</v>
      </c>
      <c r="AH359">
        <v>14.363</v>
      </c>
    </row>
    <row r="360" spans="20:34" x14ac:dyDescent="0.25">
      <c r="T360" s="81"/>
      <c r="W360" s="185"/>
      <c r="AE360" s="185">
        <v>44604</v>
      </c>
      <c r="AF360">
        <v>0.36299999999999999</v>
      </c>
      <c r="AG360">
        <v>0.50600000000000001</v>
      </c>
      <c r="AH360">
        <v>14.363</v>
      </c>
    </row>
    <row r="361" spans="20:34" x14ac:dyDescent="0.25">
      <c r="T361" s="81"/>
      <c r="W361" s="185"/>
      <c r="AE361" s="185">
        <v>44603</v>
      </c>
      <c r="AF361">
        <v>0.36299999999999999</v>
      </c>
      <c r="AG361">
        <v>0.50600000000000001</v>
      </c>
      <c r="AH361">
        <v>14.363</v>
      </c>
    </row>
    <row r="362" spans="20:34" x14ac:dyDescent="0.25">
      <c r="T362" s="81"/>
      <c r="W362" s="185"/>
      <c r="AE362" s="185">
        <v>44602</v>
      </c>
      <c r="AF362">
        <v>0.40799999999999997</v>
      </c>
      <c r="AG362">
        <v>0.39500000000000002</v>
      </c>
      <c r="AH362">
        <v>-1.3640000000000001</v>
      </c>
    </row>
    <row r="363" spans="20:34" x14ac:dyDescent="0.25">
      <c r="T363" s="81"/>
      <c r="W363" s="185"/>
      <c r="AE363" s="185">
        <v>44601</v>
      </c>
      <c r="AF363">
        <v>0.27900000000000003</v>
      </c>
      <c r="AG363">
        <v>0.377</v>
      </c>
      <c r="AH363">
        <v>9.843</v>
      </c>
    </row>
    <row r="364" spans="20:34" x14ac:dyDescent="0.25">
      <c r="T364" s="81"/>
      <c r="W364" s="185"/>
      <c r="AE364" s="185">
        <v>44600</v>
      </c>
      <c r="AF364">
        <v>0.27400000000000002</v>
      </c>
      <c r="AG364">
        <v>0.36599999999999999</v>
      </c>
      <c r="AH364">
        <v>9.2390000000000008</v>
      </c>
    </row>
    <row r="365" spans="20:34" x14ac:dyDescent="0.25">
      <c r="T365" s="81"/>
      <c r="W365" s="185"/>
      <c r="AE365" s="185">
        <v>44599</v>
      </c>
      <c r="AF365">
        <v>0.22600000000000001</v>
      </c>
      <c r="AG365">
        <v>0.36199999999999999</v>
      </c>
      <c r="AH365">
        <v>13.673</v>
      </c>
    </row>
    <row r="366" spans="20:34" x14ac:dyDescent="0.25">
      <c r="T366" s="81"/>
      <c r="W366" s="185"/>
      <c r="AE366" s="185">
        <v>44598</v>
      </c>
      <c r="AF366">
        <v>0.23300000000000001</v>
      </c>
      <c r="AG366">
        <v>0.33900000000000002</v>
      </c>
      <c r="AH366">
        <v>10.57</v>
      </c>
    </row>
    <row r="367" spans="20:34" x14ac:dyDescent="0.25">
      <c r="T367" s="81"/>
      <c r="W367" s="185"/>
      <c r="AE367" s="185">
        <v>44597</v>
      </c>
      <c r="AF367">
        <v>0.23300000000000001</v>
      </c>
      <c r="AG367">
        <v>0.33900000000000002</v>
      </c>
      <c r="AH367">
        <v>10.57</v>
      </c>
    </row>
    <row r="368" spans="20:34" x14ac:dyDescent="0.25">
      <c r="T368" s="81"/>
      <c r="W368" s="185"/>
      <c r="AE368" s="185">
        <v>44596</v>
      </c>
      <c r="AF368">
        <v>0.23300000000000001</v>
      </c>
      <c r="AG368">
        <v>0.33900000000000002</v>
      </c>
      <c r="AH368">
        <v>10.57</v>
      </c>
    </row>
    <row r="369" spans="20:34" x14ac:dyDescent="0.25">
      <c r="T369" s="81"/>
      <c r="W369" s="185"/>
      <c r="AE369" s="185">
        <v>44595</v>
      </c>
      <c r="AF369">
        <v>0.20499999999999999</v>
      </c>
      <c r="AG369">
        <v>0.315</v>
      </c>
      <c r="AH369">
        <v>10.96</v>
      </c>
    </row>
    <row r="370" spans="20:34" x14ac:dyDescent="0.25">
      <c r="T370" s="81"/>
      <c r="W370" s="185"/>
      <c r="AE370" s="185">
        <v>44594</v>
      </c>
      <c r="AF370">
        <v>0.19800000000000001</v>
      </c>
      <c r="AG370">
        <v>0.311</v>
      </c>
      <c r="AH370">
        <v>11.276999999999999</v>
      </c>
    </row>
    <row r="371" spans="20:34" x14ac:dyDescent="0.25">
      <c r="T371" s="81"/>
      <c r="W371" s="185"/>
      <c r="AE371" s="185">
        <v>44593</v>
      </c>
      <c r="AF371">
        <v>0.2</v>
      </c>
      <c r="AG371">
        <v>0.30299999999999999</v>
      </c>
      <c r="AH371">
        <v>10.241</v>
      </c>
    </row>
    <row r="372" spans="20:34" x14ac:dyDescent="0.25">
      <c r="T372" s="81"/>
      <c r="W372" s="185"/>
      <c r="AE372" s="185">
        <v>44592</v>
      </c>
      <c r="AF372">
        <v>0.22600000000000001</v>
      </c>
      <c r="AG372">
        <v>0.309</v>
      </c>
      <c r="AH372">
        <v>8.3160000000000007</v>
      </c>
    </row>
    <row r="373" spans="20:34" x14ac:dyDescent="0.25">
      <c r="T373" s="81"/>
      <c r="W373" s="185"/>
      <c r="AE373" s="185">
        <v>44591</v>
      </c>
      <c r="AF373">
        <v>0.19800000000000001</v>
      </c>
      <c r="AG373">
        <v>0.317</v>
      </c>
      <c r="AH373">
        <v>11.877000000000001</v>
      </c>
    </row>
    <row r="374" spans="20:34" x14ac:dyDescent="0.25">
      <c r="T374" s="81"/>
      <c r="W374" s="185"/>
      <c r="AE374" s="185">
        <v>44590</v>
      </c>
      <c r="AF374">
        <v>0.19800000000000001</v>
      </c>
      <c r="AG374">
        <v>0.317</v>
      </c>
      <c r="AH374">
        <v>11.877000000000001</v>
      </c>
    </row>
    <row r="375" spans="20:34" x14ac:dyDescent="0.25">
      <c r="T375" s="81"/>
      <c r="W375" s="185"/>
      <c r="AE375" s="185">
        <v>44589</v>
      </c>
      <c r="AF375">
        <v>0.19800000000000001</v>
      </c>
      <c r="AG375">
        <v>0.317</v>
      </c>
      <c r="AH375">
        <v>11.877000000000001</v>
      </c>
    </row>
    <row r="376" spans="20:34" x14ac:dyDescent="0.25">
      <c r="T376" s="81"/>
      <c r="W376" s="185"/>
      <c r="AE376" s="185">
        <v>44588</v>
      </c>
      <c r="AF376">
        <v>0.20300000000000001</v>
      </c>
      <c r="AG376">
        <v>0.29899999999999999</v>
      </c>
      <c r="AH376">
        <v>9.61</v>
      </c>
    </row>
    <row r="377" spans="20:34" x14ac:dyDescent="0.25">
      <c r="T377" s="81"/>
      <c r="W377" s="185"/>
      <c r="AE377" s="185">
        <v>44587</v>
      </c>
      <c r="AF377">
        <v>0.19500000000000001</v>
      </c>
      <c r="AG377">
        <v>0.27800000000000002</v>
      </c>
      <c r="AH377">
        <v>8.2270000000000003</v>
      </c>
    </row>
    <row r="378" spans="20:34" x14ac:dyDescent="0.25">
      <c r="T378" s="81"/>
      <c r="W378" s="185"/>
      <c r="AE378" s="185"/>
    </row>
    <row r="379" spans="20:34" x14ac:dyDescent="0.25">
      <c r="T379" s="81"/>
      <c r="W379" s="185"/>
      <c r="AE379" s="185"/>
    </row>
    <row r="380" spans="20:34" x14ac:dyDescent="0.25">
      <c r="T380" s="81"/>
      <c r="W380" s="185"/>
      <c r="AE380" s="185"/>
    </row>
    <row r="381" spans="20:34" x14ac:dyDescent="0.25">
      <c r="T381" s="81"/>
      <c r="W381" s="185"/>
      <c r="AE381" s="185"/>
    </row>
    <row r="382" spans="20:34" x14ac:dyDescent="0.25">
      <c r="T382" s="81"/>
      <c r="W382" s="185"/>
      <c r="AE382" s="185"/>
    </row>
    <row r="383" spans="20:34" x14ac:dyDescent="0.25">
      <c r="T383" s="81"/>
      <c r="W383" s="185"/>
      <c r="AE383" s="185"/>
    </row>
    <row r="384" spans="20:34" x14ac:dyDescent="0.25">
      <c r="T384" s="81"/>
      <c r="W384" s="185"/>
      <c r="AE384" s="185"/>
    </row>
    <row r="385" spans="20:31" x14ac:dyDescent="0.25">
      <c r="T385" s="81"/>
      <c r="W385" s="185"/>
      <c r="AE385" s="185"/>
    </row>
    <row r="386" spans="20:31" x14ac:dyDescent="0.25">
      <c r="T386" s="81"/>
      <c r="W386" s="185"/>
      <c r="AE386" s="185"/>
    </row>
    <row r="387" spans="20:31" x14ac:dyDescent="0.25">
      <c r="T387" s="81"/>
      <c r="W387" s="185"/>
      <c r="AE387" s="185"/>
    </row>
    <row r="388" spans="20:31" x14ac:dyDescent="0.25">
      <c r="T388" s="81"/>
      <c r="W388" s="185"/>
      <c r="AE388" s="185"/>
    </row>
    <row r="389" spans="20:31" x14ac:dyDescent="0.25">
      <c r="T389" s="81"/>
      <c r="W389" s="185"/>
      <c r="AE389" s="185"/>
    </row>
    <row r="390" spans="20:31" x14ac:dyDescent="0.25">
      <c r="T390" s="81"/>
      <c r="W390" s="185"/>
      <c r="AE390" s="185"/>
    </row>
    <row r="391" spans="20:31" x14ac:dyDescent="0.25">
      <c r="T391" s="81"/>
      <c r="W391" s="185"/>
      <c r="AE391" s="185"/>
    </row>
    <row r="392" spans="20:31" x14ac:dyDescent="0.25">
      <c r="T392" s="81"/>
      <c r="W392" s="185"/>
      <c r="AE392" s="185"/>
    </row>
    <row r="393" spans="20:31" x14ac:dyDescent="0.25">
      <c r="T393" s="81"/>
      <c r="W393" s="185"/>
      <c r="AE393" s="185"/>
    </row>
    <row r="394" spans="20:31" x14ac:dyDescent="0.25">
      <c r="T394" s="81"/>
      <c r="W394" s="185"/>
      <c r="AE394" s="185"/>
    </row>
    <row r="395" spans="20:31" x14ac:dyDescent="0.25">
      <c r="T395" s="81"/>
      <c r="W395" s="185"/>
      <c r="AE395" s="185"/>
    </row>
    <row r="396" spans="20:31" x14ac:dyDescent="0.25">
      <c r="T396" s="81"/>
      <c r="W396" s="185"/>
      <c r="AE396" s="185"/>
    </row>
    <row r="397" spans="20:31" x14ac:dyDescent="0.25">
      <c r="T397" s="81"/>
      <c r="W397" s="185"/>
      <c r="AE397" s="185"/>
    </row>
    <row r="398" spans="20:31" x14ac:dyDescent="0.25">
      <c r="T398" s="81"/>
      <c r="W398" s="185"/>
      <c r="AE398" s="185"/>
    </row>
    <row r="399" spans="20:31" x14ac:dyDescent="0.25">
      <c r="T399" s="81"/>
      <c r="W399" s="185"/>
      <c r="AE399" s="185"/>
    </row>
    <row r="400" spans="20:31" x14ac:dyDescent="0.25">
      <c r="T400" s="81"/>
      <c r="W400" s="185"/>
      <c r="AE400" s="185"/>
    </row>
    <row r="401" spans="20:31" x14ac:dyDescent="0.25">
      <c r="T401" s="81"/>
      <c r="W401" s="185"/>
      <c r="AE401" s="185"/>
    </row>
    <row r="402" spans="20:31" x14ac:dyDescent="0.25">
      <c r="T402" s="81"/>
      <c r="W402" s="185"/>
      <c r="AE402" s="185"/>
    </row>
    <row r="403" spans="20:31" x14ac:dyDescent="0.25">
      <c r="T403" s="81"/>
      <c r="W403" s="185"/>
      <c r="AE403" s="185"/>
    </row>
    <row r="404" spans="20:31" x14ac:dyDescent="0.25">
      <c r="T404" s="81"/>
      <c r="W404" s="185"/>
      <c r="AE404" s="185"/>
    </row>
    <row r="405" spans="20:31" x14ac:dyDescent="0.25">
      <c r="T405" s="81"/>
      <c r="W405" s="185"/>
      <c r="AE405" s="185"/>
    </row>
    <row r="406" spans="20:31" x14ac:dyDescent="0.25">
      <c r="T406" s="81"/>
      <c r="W406" s="185"/>
      <c r="AE406" s="185"/>
    </row>
    <row r="407" spans="20:31" x14ac:dyDescent="0.25">
      <c r="T407" s="81"/>
      <c r="W407" s="185"/>
      <c r="AE407" s="185"/>
    </row>
    <row r="408" spans="20:31" x14ac:dyDescent="0.25">
      <c r="T408" s="81"/>
      <c r="W408" s="185"/>
      <c r="AE408" s="185"/>
    </row>
    <row r="409" spans="20:31" x14ac:dyDescent="0.25">
      <c r="T409" s="81"/>
      <c r="W409" s="185"/>
      <c r="AE409" s="185"/>
    </row>
    <row r="410" spans="20:31" x14ac:dyDescent="0.25">
      <c r="T410" s="81"/>
      <c r="W410" s="185"/>
      <c r="AE410" s="185"/>
    </row>
    <row r="411" spans="20:31" x14ac:dyDescent="0.25">
      <c r="T411" s="81"/>
      <c r="W411" s="185"/>
      <c r="AE411" s="185"/>
    </row>
    <row r="412" spans="20:31" x14ac:dyDescent="0.25">
      <c r="T412" s="81"/>
      <c r="W412" s="185"/>
      <c r="AE412" s="185"/>
    </row>
    <row r="413" spans="20:31" x14ac:dyDescent="0.25">
      <c r="T413" s="81"/>
      <c r="W413" s="185"/>
      <c r="AE413" s="185"/>
    </row>
    <row r="414" spans="20:31" x14ac:dyDescent="0.25">
      <c r="T414" s="81"/>
      <c r="W414" s="185"/>
      <c r="AE414" s="185"/>
    </row>
    <row r="415" spans="20:31" x14ac:dyDescent="0.25">
      <c r="T415" s="81"/>
      <c r="W415" s="185"/>
      <c r="AE415" s="185"/>
    </row>
    <row r="416" spans="20:31" x14ac:dyDescent="0.25">
      <c r="T416" s="81"/>
      <c r="W416" s="185"/>
      <c r="AE416" s="185"/>
    </row>
    <row r="417" spans="20:31" x14ac:dyDescent="0.25">
      <c r="T417" s="81"/>
      <c r="W417" s="185"/>
      <c r="AE417" s="185"/>
    </row>
    <row r="418" spans="20:31" x14ac:dyDescent="0.25">
      <c r="T418" s="81"/>
      <c r="W418" s="185"/>
      <c r="AE418" s="185"/>
    </row>
    <row r="419" spans="20:31" x14ac:dyDescent="0.25">
      <c r="T419" s="81"/>
      <c r="W419" s="185"/>
      <c r="AE419" s="185"/>
    </row>
    <row r="420" spans="20:31" x14ac:dyDescent="0.25">
      <c r="T420" s="81"/>
      <c r="W420" s="185"/>
      <c r="AE420" s="185"/>
    </row>
    <row r="421" spans="20:31" x14ac:dyDescent="0.25">
      <c r="T421" s="81"/>
      <c r="W421" s="185"/>
      <c r="AE421" s="185"/>
    </row>
    <row r="422" spans="20:31" x14ac:dyDescent="0.25">
      <c r="T422" s="81"/>
      <c r="W422" s="185"/>
      <c r="AE422" s="185"/>
    </row>
    <row r="423" spans="20:31" x14ac:dyDescent="0.25">
      <c r="T423" s="81"/>
      <c r="W423" s="185"/>
      <c r="AE423" s="185"/>
    </row>
    <row r="424" spans="20:31" x14ac:dyDescent="0.25">
      <c r="T424" s="81"/>
      <c r="W424" s="185"/>
      <c r="AE424" s="185"/>
    </row>
    <row r="425" spans="20:31" x14ac:dyDescent="0.25">
      <c r="T425" s="81"/>
      <c r="W425" s="185"/>
      <c r="AE425" s="185"/>
    </row>
    <row r="426" spans="20:31" x14ac:dyDescent="0.25">
      <c r="T426" s="81"/>
      <c r="W426" s="185"/>
      <c r="AE426" s="185"/>
    </row>
    <row r="427" spans="20:31" x14ac:dyDescent="0.25">
      <c r="T427" s="81"/>
      <c r="W427" s="185"/>
      <c r="AE427" s="185"/>
    </row>
    <row r="428" spans="20:31" x14ac:dyDescent="0.25">
      <c r="T428" s="81"/>
      <c r="W428" s="185"/>
      <c r="AE428" s="185"/>
    </row>
    <row r="429" spans="20:31" x14ac:dyDescent="0.25">
      <c r="T429" s="81"/>
      <c r="W429" s="185"/>
      <c r="AE429" s="185"/>
    </row>
    <row r="430" spans="20:31" x14ac:dyDescent="0.25">
      <c r="T430" s="81"/>
      <c r="W430" s="185"/>
      <c r="AE430" s="185"/>
    </row>
    <row r="431" spans="20:31" x14ac:dyDescent="0.25">
      <c r="T431" s="81"/>
      <c r="W431" s="185"/>
      <c r="AE431" s="185"/>
    </row>
    <row r="432" spans="20:31" x14ac:dyDescent="0.25">
      <c r="T432" s="81"/>
      <c r="W432" s="185"/>
      <c r="AE432" s="185"/>
    </row>
    <row r="433" spans="20:31" x14ac:dyDescent="0.25">
      <c r="T433" s="81"/>
      <c r="W433" s="185"/>
      <c r="AE433" s="185"/>
    </row>
    <row r="434" spans="20:31" x14ac:dyDescent="0.25">
      <c r="T434" s="81"/>
      <c r="W434" s="185"/>
      <c r="AE434" s="185"/>
    </row>
    <row r="435" spans="20:31" x14ac:dyDescent="0.25">
      <c r="T435" s="81"/>
      <c r="W435" s="185"/>
      <c r="AE435" s="185"/>
    </row>
    <row r="436" spans="20:31" x14ac:dyDescent="0.25">
      <c r="T436" s="81"/>
      <c r="W436" s="185"/>
      <c r="AE436" s="185"/>
    </row>
    <row r="437" spans="20:31" x14ac:dyDescent="0.25">
      <c r="T437" s="81"/>
      <c r="W437" s="185"/>
      <c r="AE437" s="185"/>
    </row>
    <row r="438" spans="20:31" x14ac:dyDescent="0.25">
      <c r="T438" s="81"/>
      <c r="W438" s="185"/>
      <c r="AE438" s="185"/>
    </row>
    <row r="439" spans="20:31" x14ac:dyDescent="0.25">
      <c r="T439" s="81"/>
      <c r="W439" s="185"/>
      <c r="AE439" s="185"/>
    </row>
    <row r="440" spans="20:31" x14ac:dyDescent="0.25">
      <c r="T440" s="81"/>
      <c r="W440" s="185"/>
      <c r="AE440" s="185"/>
    </row>
    <row r="441" spans="20:31" x14ac:dyDescent="0.25">
      <c r="T441" s="81"/>
      <c r="W441" s="185"/>
      <c r="AE441" s="185"/>
    </row>
    <row r="442" spans="20:31" x14ac:dyDescent="0.25">
      <c r="T442" s="81"/>
      <c r="W442" s="185"/>
      <c r="AE442" s="185"/>
    </row>
    <row r="443" spans="20:31" x14ac:dyDescent="0.25">
      <c r="T443" s="81"/>
      <c r="W443" s="185"/>
      <c r="AE443" s="185"/>
    </row>
    <row r="444" spans="20:31" x14ac:dyDescent="0.25">
      <c r="T444" s="81"/>
      <c r="W444" s="185"/>
      <c r="AE444" s="185"/>
    </row>
    <row r="445" spans="20:31" x14ac:dyDescent="0.25">
      <c r="T445" s="81"/>
      <c r="W445" s="185"/>
      <c r="AE445" s="185"/>
    </row>
    <row r="446" spans="20:31" x14ac:dyDescent="0.25">
      <c r="T446" s="81"/>
      <c r="W446" s="185"/>
      <c r="AE446" s="185"/>
    </row>
    <row r="447" spans="20:31" x14ac:dyDescent="0.25">
      <c r="T447" s="81"/>
      <c r="W447" s="185"/>
      <c r="AE447" s="185"/>
    </row>
    <row r="448" spans="20:31" x14ac:dyDescent="0.25">
      <c r="T448" s="81"/>
      <c r="W448" s="185"/>
      <c r="AE448" s="185"/>
    </row>
    <row r="449" spans="20:31" x14ac:dyDescent="0.25">
      <c r="T449" s="81"/>
      <c r="W449" s="185"/>
      <c r="AE449" s="185"/>
    </row>
    <row r="450" spans="20:31" x14ac:dyDescent="0.25">
      <c r="T450" s="81"/>
      <c r="W450" s="185"/>
      <c r="AE450" s="185"/>
    </row>
    <row r="451" spans="20:31" x14ac:dyDescent="0.25">
      <c r="T451" s="81"/>
      <c r="W451" s="185"/>
      <c r="AE451" s="185"/>
    </row>
    <row r="452" spans="20:31" x14ac:dyDescent="0.25">
      <c r="T452" s="81"/>
      <c r="W452" s="185"/>
      <c r="AE452" s="185"/>
    </row>
    <row r="453" spans="20:31" x14ac:dyDescent="0.25">
      <c r="T453" s="81"/>
      <c r="W453" s="185"/>
      <c r="AE453" s="185"/>
    </row>
    <row r="454" spans="20:31" x14ac:dyDescent="0.25">
      <c r="T454" s="81"/>
      <c r="W454" s="185"/>
      <c r="AE454" s="185"/>
    </row>
    <row r="455" spans="20:31" x14ac:dyDescent="0.25">
      <c r="T455" s="81"/>
      <c r="W455" s="185"/>
      <c r="AE455" s="185"/>
    </row>
    <row r="456" spans="20:31" x14ac:dyDescent="0.25">
      <c r="T456" s="81"/>
      <c r="W456" s="185"/>
      <c r="AE456" s="185"/>
    </row>
    <row r="457" spans="20:31" x14ac:dyDescent="0.25">
      <c r="T457" s="81"/>
      <c r="W457" s="185"/>
      <c r="AE457" s="185"/>
    </row>
    <row r="458" spans="20:31" x14ac:dyDescent="0.25">
      <c r="T458" s="81"/>
      <c r="W458" s="185"/>
      <c r="AE458" s="185"/>
    </row>
    <row r="459" spans="20:31" x14ac:dyDescent="0.25">
      <c r="T459" s="81"/>
      <c r="W459" s="185"/>
      <c r="AE459" s="185"/>
    </row>
    <row r="460" spans="20:31" x14ac:dyDescent="0.25">
      <c r="T460" s="81"/>
      <c r="W460" s="185"/>
      <c r="AE460" s="185"/>
    </row>
    <row r="461" spans="20:31" x14ac:dyDescent="0.25">
      <c r="T461" s="81"/>
      <c r="W461" s="185"/>
      <c r="AE461" s="185"/>
    </row>
    <row r="462" spans="20:31" x14ac:dyDescent="0.25">
      <c r="T462" s="81"/>
      <c r="W462" s="185"/>
      <c r="AE462" s="185"/>
    </row>
    <row r="463" spans="20:31" x14ac:dyDescent="0.25">
      <c r="T463" s="81"/>
      <c r="W463" s="185"/>
      <c r="AE463" s="185"/>
    </row>
    <row r="464" spans="20:31" x14ac:dyDescent="0.25">
      <c r="T464" s="81"/>
      <c r="W464" s="185"/>
      <c r="AE464" s="185"/>
    </row>
    <row r="465" spans="20:31" x14ac:dyDescent="0.25">
      <c r="T465" s="81"/>
      <c r="W465" s="185"/>
      <c r="AE465" s="185"/>
    </row>
    <row r="466" spans="20:31" x14ac:dyDescent="0.25">
      <c r="T466" s="81"/>
      <c r="W466" s="185"/>
      <c r="AE466" s="185"/>
    </row>
    <row r="467" spans="20:31" x14ac:dyDescent="0.25">
      <c r="T467" s="81"/>
      <c r="W467" s="185"/>
      <c r="AE467" s="185"/>
    </row>
    <row r="468" spans="20:31" x14ac:dyDescent="0.25">
      <c r="T468" s="81"/>
      <c r="W468" s="185"/>
      <c r="AE468" s="185"/>
    </row>
    <row r="469" spans="20:31" x14ac:dyDescent="0.25">
      <c r="T469" s="81"/>
      <c r="W469" s="185"/>
      <c r="AE469" s="185"/>
    </row>
    <row r="470" spans="20:31" x14ac:dyDescent="0.25">
      <c r="T470" s="81"/>
      <c r="W470" s="185"/>
      <c r="AE470" s="185"/>
    </row>
    <row r="471" spans="20:31" x14ac:dyDescent="0.25">
      <c r="T471" s="81"/>
      <c r="W471" s="185"/>
      <c r="AE471" s="185"/>
    </row>
    <row r="472" spans="20:31" x14ac:dyDescent="0.25">
      <c r="T472" s="81"/>
      <c r="W472" s="185"/>
      <c r="AE472" s="185"/>
    </row>
    <row r="473" spans="20:31" x14ac:dyDescent="0.25">
      <c r="T473" s="81"/>
      <c r="W473" s="185"/>
      <c r="AE473" s="185"/>
    </row>
    <row r="474" spans="20:31" x14ac:dyDescent="0.25">
      <c r="T474" s="81"/>
      <c r="W474" s="185"/>
      <c r="AE474" s="185"/>
    </row>
    <row r="475" spans="20:31" x14ac:dyDescent="0.25">
      <c r="T475" s="81"/>
      <c r="W475" s="185"/>
      <c r="AE475" s="185"/>
    </row>
    <row r="476" spans="20:31" x14ac:dyDescent="0.25">
      <c r="T476" s="81"/>
      <c r="W476" s="185"/>
      <c r="AE476" s="185"/>
    </row>
    <row r="477" spans="20:31" x14ac:dyDescent="0.25">
      <c r="T477" s="81"/>
      <c r="W477" s="185"/>
      <c r="AE477" s="185"/>
    </row>
    <row r="478" spans="20:31" x14ac:dyDescent="0.25">
      <c r="T478" s="81"/>
      <c r="W478" s="185"/>
      <c r="AE478" s="185"/>
    </row>
    <row r="479" spans="20:31" x14ac:dyDescent="0.25">
      <c r="T479" s="81"/>
      <c r="W479" s="185"/>
      <c r="AE479" s="185"/>
    </row>
    <row r="480" spans="20:31" x14ac:dyDescent="0.25">
      <c r="T480" s="81"/>
      <c r="W480" s="185"/>
      <c r="AE480" s="185"/>
    </row>
    <row r="481" spans="20:31" x14ac:dyDescent="0.25">
      <c r="T481" s="81"/>
      <c r="W481" s="185"/>
      <c r="AE481" s="185"/>
    </row>
    <row r="482" spans="20:31" x14ac:dyDescent="0.25">
      <c r="T482" s="81"/>
      <c r="W482" s="185"/>
      <c r="AE482" s="185"/>
    </row>
    <row r="483" spans="20:31" x14ac:dyDescent="0.25">
      <c r="T483" s="81"/>
      <c r="W483" s="185"/>
      <c r="AE483" s="185"/>
    </row>
    <row r="484" spans="20:31" x14ac:dyDescent="0.25">
      <c r="T484" s="81"/>
      <c r="W484" s="185"/>
      <c r="AE484" s="185"/>
    </row>
    <row r="485" spans="20:31" x14ac:dyDescent="0.25">
      <c r="T485" s="81"/>
      <c r="W485" s="185"/>
      <c r="AE485" s="185"/>
    </row>
    <row r="486" spans="20:31" x14ac:dyDescent="0.25">
      <c r="T486" s="81"/>
      <c r="W486" s="185"/>
      <c r="AE486" s="185"/>
    </row>
    <row r="487" spans="20:31" x14ac:dyDescent="0.25">
      <c r="T487" s="81"/>
      <c r="W487" s="185"/>
      <c r="AE487" s="185"/>
    </row>
    <row r="488" spans="20:31" x14ac:dyDescent="0.25">
      <c r="T488" s="81"/>
      <c r="W488" s="185"/>
      <c r="AE488" s="185"/>
    </row>
    <row r="489" spans="20:31" x14ac:dyDescent="0.25">
      <c r="T489" s="81"/>
      <c r="W489" s="185"/>
      <c r="AE489" s="185"/>
    </row>
    <row r="490" spans="20:31" x14ac:dyDescent="0.25">
      <c r="T490" s="81"/>
      <c r="W490" s="185"/>
      <c r="AE490" s="185"/>
    </row>
    <row r="491" spans="20:31" x14ac:dyDescent="0.25">
      <c r="T491" s="81"/>
      <c r="W491" s="185"/>
      <c r="AE491" s="185"/>
    </row>
    <row r="492" spans="20:31" x14ac:dyDescent="0.25">
      <c r="T492" s="81"/>
      <c r="W492" s="185"/>
      <c r="AE492" s="185"/>
    </row>
    <row r="493" spans="20:31" x14ac:dyDescent="0.25">
      <c r="T493" s="81"/>
      <c r="W493" s="185"/>
      <c r="AE493" s="185"/>
    </row>
    <row r="494" spans="20:31" x14ac:dyDescent="0.25">
      <c r="T494" s="81"/>
      <c r="W494" s="185"/>
      <c r="AE494" s="185"/>
    </row>
    <row r="495" spans="20:31" x14ac:dyDescent="0.25">
      <c r="T495" s="81"/>
      <c r="W495" s="185"/>
      <c r="AE495" s="185"/>
    </row>
    <row r="496" spans="20:31" x14ac:dyDescent="0.25">
      <c r="T496" s="81"/>
      <c r="W496" s="185"/>
      <c r="AE496" s="185"/>
    </row>
    <row r="497" spans="20:31" x14ac:dyDescent="0.25">
      <c r="T497" s="81"/>
      <c r="W497" s="185"/>
      <c r="AE497" s="185"/>
    </row>
    <row r="498" spans="20:31" x14ac:dyDescent="0.25">
      <c r="T498" s="81"/>
      <c r="W498" s="185"/>
      <c r="AE498" s="185"/>
    </row>
    <row r="499" spans="20:31" x14ac:dyDescent="0.25">
      <c r="T499" s="81"/>
      <c r="W499" s="185"/>
      <c r="AE499" s="185"/>
    </row>
    <row r="500" spans="20:31" x14ac:dyDescent="0.25">
      <c r="T500" s="81"/>
      <c r="W500" s="185"/>
      <c r="AE500" s="185"/>
    </row>
    <row r="501" spans="20:31" x14ac:dyDescent="0.25">
      <c r="T501" s="81"/>
      <c r="W501" s="185"/>
      <c r="AE501" s="185"/>
    </row>
    <row r="502" spans="20:31" x14ac:dyDescent="0.25">
      <c r="T502" s="81"/>
      <c r="W502" s="185"/>
      <c r="AE502" s="185"/>
    </row>
    <row r="503" spans="20:31" x14ac:dyDescent="0.25">
      <c r="T503" s="81"/>
      <c r="W503" s="185"/>
      <c r="AE503" s="185"/>
    </row>
    <row r="504" spans="20:31" x14ac:dyDescent="0.25">
      <c r="T504" s="81"/>
      <c r="W504" s="185"/>
      <c r="AE504" s="185"/>
    </row>
    <row r="505" spans="20:31" x14ac:dyDescent="0.25">
      <c r="T505" s="81"/>
      <c r="W505" s="185"/>
      <c r="AE505" s="185"/>
    </row>
    <row r="506" spans="20:31" x14ac:dyDescent="0.25">
      <c r="T506" s="81"/>
      <c r="W506" s="185"/>
      <c r="AE506" s="185"/>
    </row>
    <row r="507" spans="20:31" x14ac:dyDescent="0.25">
      <c r="T507" s="81"/>
      <c r="W507" s="185"/>
      <c r="AE507" s="185"/>
    </row>
    <row r="508" spans="20:31" x14ac:dyDescent="0.25">
      <c r="T508" s="81"/>
      <c r="W508" s="185"/>
      <c r="AE508" s="185"/>
    </row>
    <row r="509" spans="20:31" x14ac:dyDescent="0.25">
      <c r="T509" s="81"/>
      <c r="W509" s="185"/>
      <c r="AE509" s="185"/>
    </row>
    <row r="510" spans="20:31" x14ac:dyDescent="0.25">
      <c r="T510" s="81"/>
      <c r="W510" s="185"/>
      <c r="AE510" s="185"/>
    </row>
    <row r="511" spans="20:31" x14ac:dyDescent="0.25">
      <c r="T511" s="81"/>
      <c r="W511" s="185"/>
      <c r="AE511" s="185"/>
    </row>
    <row r="512" spans="20:31" x14ac:dyDescent="0.25">
      <c r="T512" s="81"/>
      <c r="W512" s="185"/>
      <c r="AE512" s="185"/>
    </row>
    <row r="513" spans="20:31" x14ac:dyDescent="0.25">
      <c r="T513" s="81"/>
      <c r="W513" s="185"/>
      <c r="AE513" s="185"/>
    </row>
    <row r="514" spans="20:31" x14ac:dyDescent="0.25">
      <c r="T514" s="81"/>
      <c r="W514" s="185"/>
      <c r="AE514" s="185"/>
    </row>
    <row r="515" spans="20:31" x14ac:dyDescent="0.25">
      <c r="T515" s="81"/>
      <c r="W515" s="185"/>
      <c r="AE515" s="185"/>
    </row>
    <row r="516" spans="20:31" x14ac:dyDescent="0.25">
      <c r="T516" s="81"/>
      <c r="W516" s="185"/>
      <c r="AE516" s="185"/>
    </row>
    <row r="517" spans="20:31" x14ac:dyDescent="0.25">
      <c r="T517" s="81"/>
      <c r="W517" s="185"/>
      <c r="AE517" s="185"/>
    </row>
    <row r="518" spans="20:31" x14ac:dyDescent="0.25">
      <c r="T518" s="81"/>
      <c r="W518" s="185"/>
      <c r="AE518" s="185"/>
    </row>
    <row r="519" spans="20:31" x14ac:dyDescent="0.25">
      <c r="T519" s="81"/>
      <c r="W519" s="185"/>
      <c r="AE519" s="185"/>
    </row>
    <row r="520" spans="20:31" x14ac:dyDescent="0.25">
      <c r="T520" s="81"/>
      <c r="W520" s="185"/>
      <c r="AE520" s="185"/>
    </row>
    <row r="521" spans="20:31" x14ac:dyDescent="0.25">
      <c r="T521" s="81"/>
      <c r="W521" s="185"/>
      <c r="AE521" s="185"/>
    </row>
    <row r="522" spans="20:31" x14ac:dyDescent="0.25">
      <c r="T522" s="81"/>
      <c r="W522" s="185"/>
      <c r="AE522" s="185"/>
    </row>
    <row r="523" spans="20:31" x14ac:dyDescent="0.25">
      <c r="T523" s="81"/>
      <c r="W523" s="185"/>
      <c r="AE523" s="185"/>
    </row>
    <row r="524" spans="20:31" x14ac:dyDescent="0.25">
      <c r="T524" s="81"/>
      <c r="W524" s="185"/>
      <c r="AE524" s="185"/>
    </row>
    <row r="525" spans="20:31" x14ac:dyDescent="0.25">
      <c r="T525" s="81"/>
      <c r="W525" s="185"/>
      <c r="AE525" s="185"/>
    </row>
    <row r="526" spans="20:31" x14ac:dyDescent="0.25">
      <c r="T526" s="81"/>
      <c r="W526" s="185"/>
      <c r="AE526" s="185"/>
    </row>
    <row r="527" spans="20:31" x14ac:dyDescent="0.25">
      <c r="T527" s="81"/>
      <c r="W527" s="185"/>
      <c r="AE527" s="185"/>
    </row>
    <row r="528" spans="20:31" x14ac:dyDescent="0.25">
      <c r="T528" s="81"/>
      <c r="W528" s="185"/>
      <c r="AE528" s="185"/>
    </row>
    <row r="529" spans="20:31" x14ac:dyDescent="0.25">
      <c r="T529" s="81"/>
      <c r="W529" s="185"/>
      <c r="AE529" s="185"/>
    </row>
    <row r="530" spans="20:31" x14ac:dyDescent="0.25">
      <c r="T530" s="81"/>
      <c r="W530" s="185"/>
      <c r="AE530" s="185"/>
    </row>
    <row r="531" spans="20:31" x14ac:dyDescent="0.25">
      <c r="T531" s="81"/>
      <c r="W531" s="185"/>
      <c r="AE531" s="185"/>
    </row>
    <row r="532" spans="20:31" x14ac:dyDescent="0.25">
      <c r="T532" s="81"/>
      <c r="W532" s="185"/>
      <c r="AE532" s="185"/>
    </row>
    <row r="533" spans="20:31" x14ac:dyDescent="0.25">
      <c r="T533" s="81"/>
      <c r="W533" s="185"/>
      <c r="AE533" s="185"/>
    </row>
    <row r="534" spans="20:31" x14ac:dyDescent="0.25">
      <c r="T534" s="81"/>
      <c r="W534" s="185"/>
      <c r="AE534" s="185"/>
    </row>
    <row r="535" spans="20:31" x14ac:dyDescent="0.25">
      <c r="T535" s="81"/>
      <c r="W535" s="185"/>
      <c r="AE535" s="185"/>
    </row>
    <row r="536" spans="20:31" x14ac:dyDescent="0.25">
      <c r="T536" s="81"/>
      <c r="W536" s="185"/>
      <c r="AE536" s="185"/>
    </row>
    <row r="537" spans="20:31" x14ac:dyDescent="0.25">
      <c r="T537" s="81"/>
      <c r="W537" s="185"/>
      <c r="AE537" s="185"/>
    </row>
    <row r="538" spans="20:31" x14ac:dyDescent="0.25">
      <c r="T538" s="81"/>
      <c r="W538" s="185"/>
      <c r="AE538" s="185"/>
    </row>
    <row r="539" spans="20:31" x14ac:dyDescent="0.25">
      <c r="T539" s="81"/>
      <c r="W539" s="185"/>
      <c r="AE539" s="185"/>
    </row>
    <row r="540" spans="20:31" x14ac:dyDescent="0.25">
      <c r="T540" s="81"/>
      <c r="W540" s="185"/>
      <c r="AE540" s="185"/>
    </row>
    <row r="541" spans="20:31" x14ac:dyDescent="0.25">
      <c r="T541" s="81"/>
      <c r="W541" s="185"/>
      <c r="AE541" s="185"/>
    </row>
    <row r="542" spans="20:31" x14ac:dyDescent="0.25">
      <c r="T542" s="81"/>
      <c r="W542" s="185"/>
      <c r="AE542" s="185"/>
    </row>
    <row r="543" spans="20:31" x14ac:dyDescent="0.25">
      <c r="T543" s="81"/>
      <c r="W543" s="185"/>
      <c r="AE543" s="185"/>
    </row>
    <row r="544" spans="20:31" x14ac:dyDescent="0.25">
      <c r="T544" s="81"/>
      <c r="W544" s="185"/>
      <c r="AE544" s="185"/>
    </row>
    <row r="545" spans="20:31" x14ac:dyDescent="0.25">
      <c r="T545" s="81"/>
      <c r="W545" s="185"/>
      <c r="AE545" s="185"/>
    </row>
    <row r="546" spans="20:31" x14ac:dyDescent="0.25">
      <c r="T546" s="81"/>
      <c r="W546" s="185"/>
      <c r="AE546" s="185"/>
    </row>
    <row r="547" spans="20:31" x14ac:dyDescent="0.25">
      <c r="T547" s="81"/>
      <c r="W547" s="185"/>
      <c r="AE547" s="185"/>
    </row>
    <row r="548" spans="20:31" x14ac:dyDescent="0.25">
      <c r="T548" s="81"/>
      <c r="W548" s="185"/>
      <c r="AE548" s="185"/>
    </row>
    <row r="549" spans="20:31" x14ac:dyDescent="0.25">
      <c r="T549" s="81"/>
      <c r="W549" s="185"/>
      <c r="AE549" s="185"/>
    </row>
    <row r="550" spans="20:31" x14ac:dyDescent="0.25">
      <c r="T550" s="81"/>
      <c r="W550" s="185"/>
      <c r="AE550" s="185"/>
    </row>
    <row r="551" spans="20:31" x14ac:dyDescent="0.25">
      <c r="T551" s="81"/>
      <c r="W551" s="185"/>
      <c r="AE551" s="185"/>
    </row>
    <row r="552" spans="20:31" x14ac:dyDescent="0.25">
      <c r="T552" s="81"/>
      <c r="W552" s="185"/>
      <c r="AE552" s="185"/>
    </row>
    <row r="553" spans="20:31" x14ac:dyDescent="0.25">
      <c r="T553" s="81"/>
      <c r="W553" s="185"/>
      <c r="AE553" s="185"/>
    </row>
    <row r="554" spans="20:31" x14ac:dyDescent="0.25">
      <c r="T554" s="81"/>
      <c r="W554" s="185"/>
      <c r="AE554" s="185"/>
    </row>
    <row r="555" spans="20:31" x14ac:dyDescent="0.25">
      <c r="T555" s="81"/>
      <c r="W555" s="185"/>
      <c r="AE555" s="185"/>
    </row>
    <row r="556" spans="20:31" x14ac:dyDescent="0.25">
      <c r="T556" s="81"/>
      <c r="W556" s="185"/>
      <c r="AE556" s="185"/>
    </row>
    <row r="557" spans="20:31" x14ac:dyDescent="0.25">
      <c r="T557" s="81"/>
      <c r="W557" s="185"/>
      <c r="AE557" s="185"/>
    </row>
    <row r="558" spans="20:31" x14ac:dyDescent="0.25">
      <c r="T558" s="81"/>
      <c r="W558" s="185"/>
      <c r="AE558" s="185"/>
    </row>
    <row r="559" spans="20:31" x14ac:dyDescent="0.25">
      <c r="T559" s="81"/>
      <c r="W559" s="185"/>
      <c r="AE559" s="185"/>
    </row>
    <row r="560" spans="20:31" x14ac:dyDescent="0.25">
      <c r="T560" s="81"/>
      <c r="W560" s="185"/>
      <c r="AE560" s="185"/>
    </row>
    <row r="561" spans="20:31" x14ac:dyDescent="0.25">
      <c r="T561" s="81"/>
      <c r="W561" s="185"/>
      <c r="AE561" s="185"/>
    </row>
    <row r="562" spans="20:31" x14ac:dyDescent="0.25">
      <c r="T562" s="81"/>
      <c r="W562" s="185"/>
      <c r="AE562" s="185"/>
    </row>
    <row r="563" spans="20:31" x14ac:dyDescent="0.25">
      <c r="T563" s="81"/>
      <c r="W563" s="185"/>
      <c r="AE563" s="185"/>
    </row>
    <row r="564" spans="20:31" x14ac:dyDescent="0.25">
      <c r="T564" s="81"/>
      <c r="W564" s="185"/>
      <c r="AE564" s="185"/>
    </row>
    <row r="565" spans="20:31" x14ac:dyDescent="0.25">
      <c r="T565" s="81"/>
      <c r="W565" s="185"/>
      <c r="AE565" s="185"/>
    </row>
    <row r="566" spans="20:31" x14ac:dyDescent="0.25">
      <c r="T566" s="81"/>
      <c r="W566" s="185"/>
      <c r="AE566" s="185"/>
    </row>
    <row r="567" spans="20:31" x14ac:dyDescent="0.25">
      <c r="T567" s="81"/>
      <c r="W567" s="185"/>
      <c r="AE567" s="185"/>
    </row>
    <row r="568" spans="20:31" x14ac:dyDescent="0.25">
      <c r="T568" s="81"/>
      <c r="W568" s="185"/>
      <c r="AE568" s="185"/>
    </row>
    <row r="569" spans="20:31" x14ac:dyDescent="0.25">
      <c r="T569" s="81"/>
      <c r="W569" s="185"/>
      <c r="AE569" s="185"/>
    </row>
    <row r="570" spans="20:31" x14ac:dyDescent="0.25">
      <c r="T570" s="81"/>
      <c r="W570" s="185"/>
      <c r="AE570" s="185"/>
    </row>
    <row r="571" spans="20:31" x14ac:dyDescent="0.25">
      <c r="T571" s="81"/>
      <c r="W571" s="185"/>
      <c r="AE571" s="185"/>
    </row>
    <row r="572" spans="20:31" x14ac:dyDescent="0.25">
      <c r="T572" s="81"/>
      <c r="W572" s="185"/>
      <c r="AE572" s="185"/>
    </row>
    <row r="573" spans="20:31" x14ac:dyDescent="0.25">
      <c r="T573" s="81"/>
      <c r="W573" s="185"/>
      <c r="AE573" s="185"/>
    </row>
    <row r="574" spans="20:31" x14ac:dyDescent="0.25">
      <c r="T574" s="81"/>
      <c r="W574" s="185"/>
      <c r="AE574" s="185"/>
    </row>
    <row r="575" spans="20:31" x14ac:dyDescent="0.25">
      <c r="T575" s="81"/>
      <c r="W575" s="185"/>
      <c r="AE575" s="185"/>
    </row>
    <row r="576" spans="20:31" x14ac:dyDescent="0.25">
      <c r="T576" s="81"/>
      <c r="W576" s="185"/>
      <c r="AE576" s="185"/>
    </row>
    <row r="577" spans="20:31" x14ac:dyDescent="0.25">
      <c r="T577" s="81"/>
      <c r="W577" s="185"/>
      <c r="AE577" s="185"/>
    </row>
    <row r="578" spans="20:31" x14ac:dyDescent="0.25">
      <c r="T578" s="81"/>
      <c r="W578" s="185"/>
      <c r="AE578" s="185"/>
    </row>
    <row r="579" spans="20:31" x14ac:dyDescent="0.25">
      <c r="T579" s="81"/>
      <c r="W579" s="185"/>
      <c r="AE579" s="185"/>
    </row>
    <row r="580" spans="20:31" x14ac:dyDescent="0.25">
      <c r="T580" s="81"/>
      <c r="W580" s="185"/>
      <c r="AE580" s="185"/>
    </row>
    <row r="581" spans="20:31" x14ac:dyDescent="0.25">
      <c r="T581" s="81"/>
      <c r="W581" s="185"/>
      <c r="AE581" s="185"/>
    </row>
    <row r="582" spans="20:31" x14ac:dyDescent="0.25">
      <c r="T582" s="81"/>
      <c r="W582" s="185"/>
      <c r="AE582" s="185"/>
    </row>
    <row r="583" spans="20:31" x14ac:dyDescent="0.25">
      <c r="T583" s="81"/>
      <c r="W583" s="185"/>
      <c r="AE583" s="185"/>
    </row>
    <row r="584" spans="20:31" x14ac:dyDescent="0.25">
      <c r="T584" s="81"/>
      <c r="W584" s="185"/>
      <c r="AE584" s="185"/>
    </row>
    <row r="585" spans="20:31" x14ac:dyDescent="0.25">
      <c r="T585" s="81"/>
      <c r="W585" s="185"/>
      <c r="AE585" s="185"/>
    </row>
    <row r="586" spans="20:31" x14ac:dyDescent="0.25">
      <c r="T586" s="81"/>
      <c r="W586" s="185"/>
      <c r="AE586" s="185"/>
    </row>
    <row r="587" spans="20:31" x14ac:dyDescent="0.25">
      <c r="T587" s="81"/>
      <c r="W587" s="185"/>
      <c r="AE587" s="185"/>
    </row>
    <row r="588" spans="20:31" x14ac:dyDescent="0.25">
      <c r="T588" s="81"/>
      <c r="W588" s="185"/>
      <c r="AE588" s="185"/>
    </row>
    <row r="589" spans="20:31" x14ac:dyDescent="0.25">
      <c r="T589" s="81"/>
      <c r="W589" s="185"/>
      <c r="AE589" s="185"/>
    </row>
    <row r="590" spans="20:31" x14ac:dyDescent="0.25">
      <c r="T590" s="81"/>
      <c r="W590" s="185"/>
      <c r="AE590" s="185"/>
    </row>
    <row r="591" spans="20:31" x14ac:dyDescent="0.25">
      <c r="T591" s="81"/>
      <c r="W591" s="185"/>
      <c r="AE591" s="185"/>
    </row>
    <row r="592" spans="20:31" x14ac:dyDescent="0.25">
      <c r="T592" s="81"/>
      <c r="W592" s="185"/>
      <c r="AE592" s="185"/>
    </row>
    <row r="593" spans="20:31" x14ac:dyDescent="0.25">
      <c r="T593" s="81"/>
      <c r="W593" s="185"/>
      <c r="AE593" s="185"/>
    </row>
    <row r="594" spans="20:31" x14ac:dyDescent="0.25">
      <c r="T594" s="81"/>
      <c r="W594" s="185"/>
      <c r="AE594" s="185"/>
    </row>
    <row r="595" spans="20:31" x14ac:dyDescent="0.25">
      <c r="T595" s="81"/>
      <c r="W595" s="185"/>
      <c r="AE595" s="185"/>
    </row>
    <row r="596" spans="20:31" x14ac:dyDescent="0.25">
      <c r="T596" s="81"/>
      <c r="W596" s="185"/>
      <c r="AE596" s="185"/>
    </row>
    <row r="597" spans="20:31" x14ac:dyDescent="0.25">
      <c r="T597" s="81"/>
      <c r="W597" s="185"/>
      <c r="AE597" s="185"/>
    </row>
    <row r="598" spans="20:31" x14ac:dyDescent="0.25">
      <c r="T598" s="81"/>
      <c r="W598" s="185"/>
      <c r="AE598" s="185"/>
    </row>
    <row r="599" spans="20:31" x14ac:dyDescent="0.25">
      <c r="T599" s="81"/>
      <c r="W599" s="185"/>
      <c r="AE599" s="185"/>
    </row>
    <row r="600" spans="20:31" x14ac:dyDescent="0.25">
      <c r="T600" s="81"/>
      <c r="W600" s="185"/>
      <c r="AE600" s="185"/>
    </row>
    <row r="601" spans="20:31" x14ac:dyDescent="0.25">
      <c r="T601" s="81"/>
      <c r="W601" s="185"/>
      <c r="AE601" s="185"/>
    </row>
    <row r="602" spans="20:31" x14ac:dyDescent="0.25">
      <c r="T602" s="81"/>
      <c r="W602" s="185"/>
      <c r="AE602" s="185"/>
    </row>
    <row r="603" spans="20:31" x14ac:dyDescent="0.25">
      <c r="T603" s="81"/>
      <c r="W603" s="185"/>
      <c r="AE603" s="185"/>
    </row>
    <row r="604" spans="20:31" x14ac:dyDescent="0.25">
      <c r="T604" s="81"/>
      <c r="W604" s="185"/>
      <c r="AE604" s="185"/>
    </row>
    <row r="605" spans="20:31" x14ac:dyDescent="0.25">
      <c r="T605" s="81"/>
      <c r="W605" s="185"/>
      <c r="AE605" s="185"/>
    </row>
    <row r="606" spans="20:31" x14ac:dyDescent="0.25">
      <c r="T606" s="81"/>
      <c r="W606" s="185"/>
      <c r="AE606" s="185"/>
    </row>
    <row r="607" spans="20:31" x14ac:dyDescent="0.25">
      <c r="T607" s="81"/>
      <c r="W607" s="185"/>
      <c r="AE607" s="185"/>
    </row>
    <row r="608" spans="20:31" x14ac:dyDescent="0.25">
      <c r="T608" s="81"/>
      <c r="W608" s="185"/>
      <c r="AE608" s="185"/>
    </row>
    <row r="609" spans="20:31" x14ac:dyDescent="0.25">
      <c r="T609" s="81"/>
      <c r="W609" s="185"/>
      <c r="AE609" s="185"/>
    </row>
    <row r="610" spans="20:31" x14ac:dyDescent="0.25">
      <c r="T610" s="81"/>
      <c r="W610" s="185"/>
      <c r="AE610" s="185"/>
    </row>
    <row r="611" spans="20:31" x14ac:dyDescent="0.25">
      <c r="T611" s="81"/>
      <c r="W611" s="185"/>
      <c r="AE611" s="185"/>
    </row>
    <row r="612" spans="20:31" x14ac:dyDescent="0.25">
      <c r="T612" s="81"/>
      <c r="W612" s="185"/>
      <c r="AE612" s="185"/>
    </row>
    <row r="613" spans="20:31" x14ac:dyDescent="0.25">
      <c r="T613" s="81"/>
      <c r="W613" s="185"/>
      <c r="AE613" s="185"/>
    </row>
    <row r="614" spans="20:31" x14ac:dyDescent="0.25">
      <c r="T614" s="81"/>
      <c r="W614" s="185"/>
      <c r="AE614" s="185"/>
    </row>
    <row r="615" spans="20:31" x14ac:dyDescent="0.25">
      <c r="T615" s="81"/>
      <c r="W615" s="185"/>
      <c r="AE615" s="185"/>
    </row>
    <row r="616" spans="20:31" x14ac:dyDescent="0.25">
      <c r="T616" s="81"/>
      <c r="W616" s="185"/>
      <c r="AE616" s="185"/>
    </row>
    <row r="617" spans="20:31" x14ac:dyDescent="0.25">
      <c r="T617" s="81"/>
      <c r="W617" s="185"/>
      <c r="AE617" s="185"/>
    </row>
    <row r="618" spans="20:31" x14ac:dyDescent="0.25">
      <c r="T618" s="81"/>
      <c r="W618" s="185"/>
      <c r="AE618" s="185"/>
    </row>
    <row r="619" spans="20:31" x14ac:dyDescent="0.25">
      <c r="T619" s="81"/>
      <c r="W619" s="185"/>
      <c r="AE619" s="185"/>
    </row>
    <row r="620" spans="20:31" x14ac:dyDescent="0.25">
      <c r="T620" s="81"/>
      <c r="W620" s="185"/>
      <c r="AE620" s="185"/>
    </row>
    <row r="621" spans="20:31" x14ac:dyDescent="0.25">
      <c r="T621" s="81"/>
      <c r="W621" s="185"/>
      <c r="AE621" s="185"/>
    </row>
    <row r="622" spans="20:31" x14ac:dyDescent="0.25">
      <c r="T622" s="81"/>
      <c r="W622" s="185"/>
      <c r="AE622" s="185"/>
    </row>
    <row r="623" spans="20:31" x14ac:dyDescent="0.25">
      <c r="T623" s="81"/>
      <c r="W623" s="185"/>
      <c r="AE623" s="185"/>
    </row>
    <row r="624" spans="20:31" x14ac:dyDescent="0.25">
      <c r="T624" s="81"/>
      <c r="W624" s="185"/>
      <c r="AE624" s="185"/>
    </row>
    <row r="625" spans="20:31" x14ac:dyDescent="0.25">
      <c r="T625" s="81"/>
      <c r="W625" s="185"/>
      <c r="AE625" s="185"/>
    </row>
    <row r="626" spans="20:31" x14ac:dyDescent="0.25">
      <c r="T626" s="81"/>
      <c r="W626" s="185"/>
      <c r="AE626" s="185"/>
    </row>
    <row r="627" spans="20:31" x14ac:dyDescent="0.25">
      <c r="T627" s="81"/>
      <c r="W627" s="185"/>
      <c r="AE627" s="185"/>
    </row>
    <row r="628" spans="20:31" x14ac:dyDescent="0.25">
      <c r="T628" s="81"/>
      <c r="W628" s="185"/>
      <c r="AE628" s="185"/>
    </row>
    <row r="629" spans="20:31" x14ac:dyDescent="0.25">
      <c r="T629" s="81"/>
      <c r="W629" s="185"/>
      <c r="AE629" s="185"/>
    </row>
    <row r="630" spans="20:31" x14ac:dyDescent="0.25">
      <c r="T630" s="81"/>
      <c r="W630" s="185"/>
      <c r="AE630" s="185"/>
    </row>
    <row r="631" spans="20:31" x14ac:dyDescent="0.25">
      <c r="T631" s="81"/>
      <c r="W631" s="185"/>
      <c r="AE631" s="185"/>
    </row>
    <row r="632" spans="20:31" x14ac:dyDescent="0.25">
      <c r="T632" s="81"/>
      <c r="W632" s="185"/>
      <c r="AE632" s="185"/>
    </row>
    <row r="633" spans="20:31" x14ac:dyDescent="0.25">
      <c r="T633" s="81"/>
      <c r="W633" s="185"/>
      <c r="AE633" s="185"/>
    </row>
    <row r="634" spans="20:31" x14ac:dyDescent="0.25">
      <c r="T634" s="81"/>
      <c r="W634" s="185"/>
      <c r="AE634" s="185"/>
    </row>
    <row r="635" spans="20:31" x14ac:dyDescent="0.25">
      <c r="T635" s="81"/>
      <c r="W635" s="185"/>
      <c r="AE635" s="185"/>
    </row>
    <row r="636" spans="20:31" x14ac:dyDescent="0.25">
      <c r="T636" s="81"/>
      <c r="W636" s="185"/>
      <c r="AE636" s="185"/>
    </row>
    <row r="637" spans="20:31" x14ac:dyDescent="0.25">
      <c r="T637" s="81"/>
      <c r="W637" s="185"/>
      <c r="AE637" s="185"/>
    </row>
    <row r="638" spans="20:31" x14ac:dyDescent="0.25">
      <c r="T638" s="81"/>
      <c r="W638" s="185"/>
      <c r="AE638" s="185"/>
    </row>
    <row r="639" spans="20:31" x14ac:dyDescent="0.25">
      <c r="T639" s="81"/>
      <c r="W639" s="185"/>
      <c r="AE639" s="185"/>
    </row>
    <row r="640" spans="20:31" x14ac:dyDescent="0.25">
      <c r="T640" s="81"/>
      <c r="W640" s="185"/>
      <c r="AE640" s="185"/>
    </row>
    <row r="641" spans="20:31" x14ac:dyDescent="0.25">
      <c r="T641" s="81"/>
      <c r="W641" s="185"/>
      <c r="AE641" s="185"/>
    </row>
    <row r="642" spans="20:31" x14ac:dyDescent="0.25">
      <c r="T642" s="81"/>
      <c r="W642" s="185"/>
      <c r="AE642" s="185"/>
    </row>
    <row r="643" spans="20:31" x14ac:dyDescent="0.25">
      <c r="T643" s="81"/>
      <c r="W643" s="185"/>
      <c r="AE643" s="185"/>
    </row>
    <row r="644" spans="20:31" x14ac:dyDescent="0.25">
      <c r="T644" s="81"/>
      <c r="W644" s="185"/>
      <c r="AE644" s="185"/>
    </row>
    <row r="645" spans="20:31" x14ac:dyDescent="0.25">
      <c r="T645" s="81"/>
      <c r="W645" s="185"/>
      <c r="AE645" s="185"/>
    </row>
    <row r="646" spans="20:31" x14ac:dyDescent="0.25">
      <c r="T646" s="81"/>
      <c r="W646" s="185"/>
      <c r="AE646" s="185"/>
    </row>
    <row r="647" spans="20:31" x14ac:dyDescent="0.25">
      <c r="T647" s="81"/>
      <c r="W647" s="185"/>
      <c r="AE647" s="185"/>
    </row>
    <row r="648" spans="20:31" x14ac:dyDescent="0.25">
      <c r="T648" s="81"/>
      <c r="W648" s="185"/>
      <c r="AE648" s="185"/>
    </row>
    <row r="649" spans="20:31" x14ac:dyDescent="0.25">
      <c r="T649" s="81"/>
      <c r="W649" s="185"/>
      <c r="AE649" s="185"/>
    </row>
    <row r="650" spans="20:31" x14ac:dyDescent="0.25">
      <c r="T650" s="81"/>
      <c r="W650" s="185"/>
      <c r="AE650" s="185"/>
    </row>
    <row r="651" spans="20:31" x14ac:dyDescent="0.25">
      <c r="T651" s="81"/>
      <c r="W651" s="185"/>
      <c r="AE651" s="185"/>
    </row>
    <row r="652" spans="20:31" x14ac:dyDescent="0.25">
      <c r="T652" s="81"/>
      <c r="W652" s="185"/>
      <c r="AE652" s="185"/>
    </row>
    <row r="653" spans="20:31" x14ac:dyDescent="0.25">
      <c r="T653" s="81"/>
      <c r="W653" s="185"/>
      <c r="AE653" s="185"/>
    </row>
    <row r="654" spans="20:31" x14ac:dyDescent="0.25">
      <c r="T654" s="81"/>
      <c r="W654" s="185"/>
      <c r="AE654" s="185"/>
    </row>
    <row r="655" spans="20:31" x14ac:dyDescent="0.25">
      <c r="T655" s="81"/>
      <c r="W655" s="185"/>
      <c r="AE655" s="185"/>
    </row>
    <row r="656" spans="20:31" x14ac:dyDescent="0.25">
      <c r="T656" s="81"/>
      <c r="W656" s="185"/>
      <c r="AE656" s="185"/>
    </row>
    <row r="657" spans="20:31" x14ac:dyDescent="0.25">
      <c r="T657" s="81"/>
      <c r="W657" s="185"/>
      <c r="AE657" s="185"/>
    </row>
    <row r="658" spans="20:31" x14ac:dyDescent="0.25">
      <c r="T658" s="81"/>
      <c r="W658" s="185"/>
      <c r="AE658" s="185"/>
    </row>
    <row r="659" spans="20:31" x14ac:dyDescent="0.25">
      <c r="T659" s="81"/>
      <c r="W659" s="185"/>
      <c r="AE659" s="185"/>
    </row>
    <row r="660" spans="20:31" x14ac:dyDescent="0.25">
      <c r="T660" s="81"/>
      <c r="W660" s="185"/>
      <c r="AE660" s="185"/>
    </row>
    <row r="661" spans="20:31" x14ac:dyDescent="0.25">
      <c r="T661" s="81"/>
      <c r="W661" s="185"/>
      <c r="AE661" s="185"/>
    </row>
    <row r="662" spans="20:31" x14ac:dyDescent="0.25">
      <c r="T662" s="81"/>
      <c r="W662" s="185"/>
      <c r="AE662" s="185"/>
    </row>
    <row r="663" spans="20:31" x14ac:dyDescent="0.25">
      <c r="T663" s="81"/>
      <c r="W663" s="185"/>
      <c r="AE663" s="185"/>
    </row>
    <row r="664" spans="20:31" x14ac:dyDescent="0.25">
      <c r="T664" s="81"/>
      <c r="W664" s="185"/>
      <c r="AE664" s="185"/>
    </row>
    <row r="665" spans="20:31" x14ac:dyDescent="0.25">
      <c r="T665" s="81"/>
      <c r="W665" s="185"/>
      <c r="AE665" s="185"/>
    </row>
    <row r="666" spans="20:31" x14ac:dyDescent="0.25">
      <c r="T666" s="81"/>
      <c r="W666" s="185"/>
      <c r="AE666" s="185"/>
    </row>
    <row r="667" spans="20:31" x14ac:dyDescent="0.25">
      <c r="T667" s="81"/>
      <c r="W667" s="185"/>
      <c r="AE667" s="185"/>
    </row>
    <row r="668" spans="20:31" x14ac:dyDescent="0.25">
      <c r="T668" s="81"/>
      <c r="W668" s="185"/>
      <c r="AE668" s="185"/>
    </row>
    <row r="669" spans="20:31" x14ac:dyDescent="0.25">
      <c r="T669" s="81"/>
      <c r="W669" s="185"/>
      <c r="AE669" s="185"/>
    </row>
    <row r="670" spans="20:31" x14ac:dyDescent="0.25">
      <c r="T670" s="81"/>
      <c r="W670" s="185"/>
      <c r="AE670" s="185"/>
    </row>
    <row r="671" spans="20:31" x14ac:dyDescent="0.25">
      <c r="T671" s="81"/>
      <c r="W671" s="185"/>
      <c r="AE671" s="185"/>
    </row>
    <row r="672" spans="20:31" x14ac:dyDescent="0.25">
      <c r="T672" s="81"/>
      <c r="W672" s="185"/>
      <c r="AE672" s="185"/>
    </row>
    <row r="673" spans="20:31" x14ac:dyDescent="0.25">
      <c r="T673" s="81"/>
      <c r="W673" s="185"/>
      <c r="AE673" s="185"/>
    </row>
    <row r="674" spans="20:31" x14ac:dyDescent="0.25">
      <c r="T674" s="81"/>
      <c r="W674" s="185"/>
      <c r="AE674" s="185"/>
    </row>
    <row r="675" spans="20:31" x14ac:dyDescent="0.25">
      <c r="T675" s="81"/>
      <c r="W675" s="185"/>
      <c r="AE675" s="185"/>
    </row>
    <row r="676" spans="20:31" x14ac:dyDescent="0.25">
      <c r="T676" s="81"/>
      <c r="W676" s="185"/>
      <c r="AE676" s="185"/>
    </row>
    <row r="677" spans="20:31" x14ac:dyDescent="0.25">
      <c r="T677" s="81"/>
      <c r="W677" s="185"/>
      <c r="AE677" s="185"/>
    </row>
    <row r="678" spans="20:31" x14ac:dyDescent="0.25">
      <c r="T678" s="81"/>
      <c r="W678" s="185"/>
      <c r="AE678" s="185"/>
    </row>
    <row r="679" spans="20:31" x14ac:dyDescent="0.25">
      <c r="T679" s="81"/>
      <c r="W679" s="185"/>
      <c r="AE679" s="185"/>
    </row>
    <row r="680" spans="20:31" x14ac:dyDescent="0.25">
      <c r="T680" s="81"/>
      <c r="W680" s="185"/>
      <c r="AE680" s="185"/>
    </row>
    <row r="681" spans="20:31" x14ac:dyDescent="0.25">
      <c r="T681" s="81"/>
      <c r="W681" s="185"/>
      <c r="AE681" s="185"/>
    </row>
    <row r="682" spans="20:31" x14ac:dyDescent="0.25">
      <c r="T682" s="81"/>
      <c r="W682" s="185"/>
      <c r="AE682" s="185"/>
    </row>
    <row r="683" spans="20:31" x14ac:dyDescent="0.25">
      <c r="T683" s="81"/>
      <c r="W683" s="185"/>
      <c r="AE683" s="185"/>
    </row>
    <row r="684" spans="20:31" x14ac:dyDescent="0.25">
      <c r="T684" s="81"/>
      <c r="W684" s="185"/>
      <c r="AE684" s="185"/>
    </row>
    <row r="685" spans="20:31" x14ac:dyDescent="0.25">
      <c r="T685" s="81"/>
      <c r="W685" s="185"/>
      <c r="AE685" s="185"/>
    </row>
    <row r="686" spans="20:31" x14ac:dyDescent="0.25">
      <c r="T686" s="81"/>
      <c r="W686" s="185"/>
      <c r="AE686" s="185"/>
    </row>
    <row r="687" spans="20:31" x14ac:dyDescent="0.25">
      <c r="T687" s="81"/>
      <c r="W687" s="185"/>
      <c r="AE687" s="185"/>
    </row>
    <row r="688" spans="20:31" x14ac:dyDescent="0.25">
      <c r="T688" s="81"/>
      <c r="W688" s="185"/>
      <c r="AE688" s="185"/>
    </row>
    <row r="689" spans="20:31" x14ac:dyDescent="0.25">
      <c r="T689" s="81"/>
      <c r="W689" s="185"/>
      <c r="AE689" s="185"/>
    </row>
    <row r="690" spans="20:31" x14ac:dyDescent="0.25">
      <c r="T690" s="81"/>
      <c r="W690" s="185"/>
      <c r="AE690" s="185"/>
    </row>
    <row r="691" spans="20:31" x14ac:dyDescent="0.25">
      <c r="T691" s="81"/>
      <c r="W691" s="185"/>
      <c r="AE691" s="185"/>
    </row>
    <row r="692" spans="20:31" x14ac:dyDescent="0.25">
      <c r="T692" s="81"/>
      <c r="W692" s="185"/>
      <c r="AE692" s="185"/>
    </row>
    <row r="693" spans="20:31" x14ac:dyDescent="0.25">
      <c r="T693" s="81"/>
      <c r="W693" s="185"/>
      <c r="AE693" s="185"/>
    </row>
    <row r="694" spans="20:31" x14ac:dyDescent="0.25">
      <c r="T694" s="81"/>
      <c r="W694" s="185"/>
      <c r="AE694" s="185"/>
    </row>
    <row r="695" spans="20:31" x14ac:dyDescent="0.25">
      <c r="T695" s="81"/>
      <c r="W695" s="185"/>
      <c r="AE695" s="185"/>
    </row>
    <row r="696" spans="20:31" x14ac:dyDescent="0.25">
      <c r="T696" s="81"/>
      <c r="W696" s="185"/>
      <c r="AE696" s="185"/>
    </row>
    <row r="697" spans="20:31" x14ac:dyDescent="0.25">
      <c r="T697" s="81"/>
      <c r="W697" s="185"/>
      <c r="AE697" s="185"/>
    </row>
    <row r="698" spans="20:31" x14ac:dyDescent="0.25">
      <c r="T698" s="81"/>
      <c r="W698" s="185"/>
      <c r="AE698" s="185"/>
    </row>
    <row r="699" spans="20:31" x14ac:dyDescent="0.25">
      <c r="T699" s="81"/>
      <c r="W699" s="185"/>
      <c r="AE699" s="185"/>
    </row>
    <row r="700" spans="20:31" x14ac:dyDescent="0.25">
      <c r="T700" s="81"/>
      <c r="W700" s="185"/>
      <c r="AE700" s="185"/>
    </row>
    <row r="701" spans="20:31" x14ac:dyDescent="0.25">
      <c r="T701" s="81"/>
      <c r="W701" s="185"/>
      <c r="AE701" s="185"/>
    </row>
    <row r="702" spans="20:31" x14ac:dyDescent="0.25">
      <c r="T702" s="81"/>
      <c r="W702" s="185"/>
      <c r="AE702" s="185"/>
    </row>
    <row r="703" spans="20:31" x14ac:dyDescent="0.25">
      <c r="T703" s="81"/>
      <c r="W703" s="185"/>
      <c r="AE703" s="185"/>
    </row>
    <row r="704" spans="20:31" x14ac:dyDescent="0.25">
      <c r="T704" s="81"/>
      <c r="W704" s="185"/>
      <c r="AE704" s="185"/>
    </row>
    <row r="705" spans="20:31" x14ac:dyDescent="0.25">
      <c r="T705" s="81"/>
      <c r="W705" s="185"/>
      <c r="AE705" s="185"/>
    </row>
    <row r="706" spans="20:31" x14ac:dyDescent="0.25">
      <c r="T706" s="81"/>
      <c r="W706" s="185"/>
      <c r="AE706" s="185"/>
    </row>
    <row r="707" spans="20:31" x14ac:dyDescent="0.25">
      <c r="T707" s="81"/>
      <c r="W707" s="185"/>
      <c r="AE707" s="185"/>
    </row>
    <row r="708" spans="20:31" x14ac:dyDescent="0.25">
      <c r="T708" s="81"/>
      <c r="W708" s="185"/>
      <c r="AE708" s="185"/>
    </row>
    <row r="709" spans="20:31" x14ac:dyDescent="0.25">
      <c r="T709" s="81"/>
      <c r="W709" s="185"/>
      <c r="AE709" s="185"/>
    </row>
    <row r="710" spans="20:31" x14ac:dyDescent="0.25">
      <c r="T710" s="81"/>
      <c r="W710" s="185"/>
      <c r="AE710" s="185"/>
    </row>
    <row r="711" spans="20:31" x14ac:dyDescent="0.25">
      <c r="T711" s="81"/>
      <c r="W711" s="185"/>
      <c r="AE711" s="185"/>
    </row>
    <row r="712" spans="20:31" x14ac:dyDescent="0.25">
      <c r="T712" s="81"/>
      <c r="W712" s="185"/>
      <c r="AE712" s="185"/>
    </row>
    <row r="713" spans="20:31" x14ac:dyDescent="0.25">
      <c r="T713" s="81"/>
      <c r="W713" s="185"/>
      <c r="AE713" s="185"/>
    </row>
    <row r="714" spans="20:31" x14ac:dyDescent="0.25">
      <c r="T714" s="81"/>
      <c r="W714" s="185"/>
      <c r="AE714" s="185"/>
    </row>
    <row r="715" spans="20:31" x14ac:dyDescent="0.25">
      <c r="T715" s="81"/>
      <c r="W715" s="185"/>
      <c r="AE715" s="185"/>
    </row>
    <row r="716" spans="20:31" x14ac:dyDescent="0.25">
      <c r="T716" s="81"/>
      <c r="W716" s="185"/>
      <c r="AE716" s="185"/>
    </row>
    <row r="717" spans="20:31" x14ac:dyDescent="0.25">
      <c r="T717" s="81"/>
      <c r="W717" s="185"/>
      <c r="AE717" s="185"/>
    </row>
    <row r="718" spans="20:31" x14ac:dyDescent="0.25">
      <c r="T718" s="81"/>
      <c r="W718" s="185"/>
      <c r="AE718" s="185"/>
    </row>
    <row r="719" spans="20:31" x14ac:dyDescent="0.25">
      <c r="T719" s="81"/>
      <c r="W719" s="185"/>
      <c r="AE719" s="185"/>
    </row>
    <row r="720" spans="20:31" x14ac:dyDescent="0.25">
      <c r="T720" s="81"/>
      <c r="W720" s="185"/>
      <c r="AE720" s="185"/>
    </row>
    <row r="721" spans="20:31" x14ac:dyDescent="0.25">
      <c r="T721" s="81"/>
      <c r="W721" s="185"/>
      <c r="AE721" s="185"/>
    </row>
    <row r="722" spans="20:31" x14ac:dyDescent="0.25">
      <c r="T722" s="81"/>
      <c r="W722" s="185"/>
      <c r="AE722" s="185"/>
    </row>
    <row r="723" spans="20:31" x14ac:dyDescent="0.25">
      <c r="T723" s="81"/>
      <c r="W723" s="185"/>
      <c r="AE723" s="185"/>
    </row>
    <row r="724" spans="20:31" x14ac:dyDescent="0.25">
      <c r="T724" s="81"/>
      <c r="W724" s="185"/>
      <c r="AE724" s="185"/>
    </row>
    <row r="725" spans="20:31" x14ac:dyDescent="0.25">
      <c r="T725" s="81"/>
      <c r="W725" s="185"/>
      <c r="AE725" s="185"/>
    </row>
    <row r="726" spans="20:31" x14ac:dyDescent="0.25">
      <c r="T726" s="81"/>
      <c r="W726" s="185"/>
      <c r="AE726" s="185"/>
    </row>
    <row r="727" spans="20:31" x14ac:dyDescent="0.25">
      <c r="T727" s="81"/>
      <c r="W727" s="185"/>
      <c r="AE727" s="185"/>
    </row>
    <row r="728" spans="20:31" x14ac:dyDescent="0.25">
      <c r="T728" s="81"/>
      <c r="W728" s="185"/>
      <c r="AE728" s="185"/>
    </row>
    <row r="729" spans="20:31" x14ac:dyDescent="0.25">
      <c r="T729" s="81"/>
      <c r="W729" s="185"/>
      <c r="AE729" s="185"/>
    </row>
    <row r="730" spans="20:31" x14ac:dyDescent="0.25">
      <c r="T730" s="81"/>
      <c r="W730" s="185"/>
      <c r="AE730" s="185"/>
    </row>
    <row r="731" spans="20:31" x14ac:dyDescent="0.25">
      <c r="T731" s="81"/>
      <c r="W731" s="185"/>
      <c r="AE731" s="185"/>
    </row>
    <row r="732" spans="20:31" x14ac:dyDescent="0.25">
      <c r="T732" s="81"/>
      <c r="W732" s="185"/>
      <c r="AE732" s="185"/>
    </row>
    <row r="733" spans="20:31" x14ac:dyDescent="0.25">
      <c r="T733" s="81"/>
      <c r="W733" s="185"/>
      <c r="AE733" s="185"/>
    </row>
    <row r="734" spans="20:31" x14ac:dyDescent="0.25">
      <c r="T734" s="81"/>
      <c r="W734" s="185"/>
      <c r="AE734" s="185"/>
    </row>
    <row r="735" spans="20:31" x14ac:dyDescent="0.25">
      <c r="T735" s="81"/>
      <c r="W735" s="185"/>
      <c r="AE735" s="185"/>
    </row>
    <row r="736" spans="20:31" x14ac:dyDescent="0.25">
      <c r="T736" s="81"/>
      <c r="W736" s="185"/>
      <c r="AE736" s="185"/>
    </row>
    <row r="737" spans="20:31" x14ac:dyDescent="0.25">
      <c r="T737" s="81"/>
      <c r="W737" s="185"/>
      <c r="AE737" s="185"/>
    </row>
    <row r="738" spans="20:31" x14ac:dyDescent="0.25">
      <c r="T738" s="81"/>
      <c r="W738" s="185"/>
      <c r="AE738" s="185"/>
    </row>
    <row r="739" spans="20:31" x14ac:dyDescent="0.25">
      <c r="T739" s="81"/>
      <c r="W739" s="185"/>
      <c r="AE739" s="185"/>
    </row>
    <row r="740" spans="20:31" x14ac:dyDescent="0.25">
      <c r="T740" s="81"/>
      <c r="W740" s="185"/>
      <c r="AE740" s="185"/>
    </row>
    <row r="741" spans="20:31" x14ac:dyDescent="0.25">
      <c r="T741" s="81"/>
      <c r="W741" s="185"/>
      <c r="AE741" s="185"/>
    </row>
    <row r="742" spans="20:31" x14ac:dyDescent="0.25">
      <c r="T742" s="81"/>
      <c r="W742" s="185"/>
      <c r="AE742" s="185"/>
    </row>
    <row r="743" spans="20:31" x14ac:dyDescent="0.25">
      <c r="T743" s="81"/>
      <c r="W743" s="185"/>
      <c r="AE743" s="185"/>
    </row>
    <row r="744" spans="20:31" x14ac:dyDescent="0.25">
      <c r="T744" s="81"/>
      <c r="W744" s="185"/>
      <c r="AE744" s="185"/>
    </row>
    <row r="745" spans="20:31" x14ac:dyDescent="0.25">
      <c r="T745" s="81"/>
      <c r="W745" s="185"/>
      <c r="AE745" s="185"/>
    </row>
    <row r="746" spans="20:31" x14ac:dyDescent="0.25">
      <c r="T746" s="81"/>
      <c r="W746" s="185"/>
      <c r="AE746" s="185"/>
    </row>
    <row r="747" spans="20:31" x14ac:dyDescent="0.25">
      <c r="T747" s="81"/>
      <c r="W747" s="185"/>
      <c r="AE747" s="185"/>
    </row>
    <row r="748" spans="20:31" x14ac:dyDescent="0.25">
      <c r="T748" s="81"/>
      <c r="W748" s="185"/>
      <c r="AE748" s="185"/>
    </row>
    <row r="749" spans="20:31" x14ac:dyDescent="0.25">
      <c r="T749" s="81"/>
      <c r="W749" s="185"/>
      <c r="AE749" s="185"/>
    </row>
    <row r="750" spans="20:31" x14ac:dyDescent="0.25">
      <c r="T750" s="81"/>
      <c r="W750" s="185"/>
      <c r="AE750" s="185"/>
    </row>
    <row r="751" spans="20:31" x14ac:dyDescent="0.25">
      <c r="T751" s="81"/>
      <c r="W751" s="185"/>
      <c r="AE751" s="185"/>
    </row>
    <row r="752" spans="20:31" x14ac:dyDescent="0.25">
      <c r="T752" s="81"/>
      <c r="W752" s="185"/>
      <c r="AE752" s="185"/>
    </row>
    <row r="753" spans="20:31" x14ac:dyDescent="0.25">
      <c r="T753" s="81"/>
      <c r="W753" s="185"/>
      <c r="AE753" s="185"/>
    </row>
    <row r="754" spans="20:31" x14ac:dyDescent="0.25">
      <c r="T754" s="81"/>
      <c r="W754" s="185"/>
      <c r="AE754" s="185"/>
    </row>
    <row r="755" spans="20:31" x14ac:dyDescent="0.25">
      <c r="T755" s="81"/>
      <c r="W755" s="185"/>
      <c r="AE755" s="185"/>
    </row>
    <row r="756" spans="20:31" x14ac:dyDescent="0.25">
      <c r="T756" s="81"/>
      <c r="W756" s="185"/>
      <c r="AE756" s="185"/>
    </row>
    <row r="757" spans="20:31" x14ac:dyDescent="0.25">
      <c r="T757" s="81"/>
      <c r="W757" s="185"/>
      <c r="AE757" s="185"/>
    </row>
    <row r="758" spans="20:31" x14ac:dyDescent="0.25">
      <c r="T758" s="81"/>
      <c r="W758" s="185"/>
      <c r="AE758" s="185"/>
    </row>
    <row r="759" spans="20:31" x14ac:dyDescent="0.25">
      <c r="T759" s="81"/>
      <c r="W759" s="185"/>
      <c r="AE759" s="185"/>
    </row>
    <row r="760" spans="20:31" x14ac:dyDescent="0.25">
      <c r="T760" s="81"/>
      <c r="W760" s="185"/>
      <c r="AE760" s="185"/>
    </row>
    <row r="761" spans="20:31" x14ac:dyDescent="0.25">
      <c r="T761" s="81"/>
      <c r="W761" s="185"/>
      <c r="AE761" s="185"/>
    </row>
    <row r="762" spans="20:31" x14ac:dyDescent="0.25">
      <c r="T762" s="81"/>
      <c r="W762" s="185"/>
      <c r="AE762" s="185"/>
    </row>
    <row r="763" spans="20:31" x14ac:dyDescent="0.25">
      <c r="T763" s="81"/>
      <c r="W763" s="185"/>
      <c r="AE763" s="185"/>
    </row>
    <row r="764" spans="20:31" x14ac:dyDescent="0.25">
      <c r="T764" s="81"/>
      <c r="W764" s="185"/>
      <c r="AE764" s="185"/>
    </row>
    <row r="765" spans="20:31" x14ac:dyDescent="0.25">
      <c r="T765" s="81"/>
      <c r="W765" s="185"/>
      <c r="AE765" s="185"/>
    </row>
    <row r="766" spans="20:31" x14ac:dyDescent="0.25">
      <c r="T766" s="81"/>
      <c r="W766" s="185"/>
      <c r="AE766" s="185"/>
    </row>
    <row r="767" spans="20:31" x14ac:dyDescent="0.25">
      <c r="T767" s="81"/>
      <c r="W767" s="185"/>
      <c r="AE767" s="185"/>
    </row>
    <row r="768" spans="20:31" x14ac:dyDescent="0.25">
      <c r="T768" s="81"/>
      <c r="W768" s="185"/>
      <c r="AE768" s="185"/>
    </row>
    <row r="769" spans="20:31" x14ac:dyDescent="0.25">
      <c r="T769" s="81"/>
      <c r="W769" s="185"/>
      <c r="AE769" s="185"/>
    </row>
    <row r="770" spans="20:31" x14ac:dyDescent="0.25">
      <c r="T770" s="81"/>
      <c r="W770" s="185"/>
      <c r="AE770" s="185"/>
    </row>
    <row r="771" spans="20:31" x14ac:dyDescent="0.25">
      <c r="T771" s="81"/>
      <c r="W771" s="185"/>
      <c r="AE771" s="185"/>
    </row>
    <row r="772" spans="20:31" x14ac:dyDescent="0.25">
      <c r="T772" s="81"/>
      <c r="W772" s="185"/>
      <c r="AE772" s="185"/>
    </row>
    <row r="773" spans="20:31" x14ac:dyDescent="0.25">
      <c r="T773" s="81"/>
      <c r="W773" s="185"/>
      <c r="AE773" s="185"/>
    </row>
    <row r="774" spans="20:31" x14ac:dyDescent="0.25">
      <c r="T774" s="81"/>
      <c r="W774" s="185"/>
      <c r="AE774" s="185"/>
    </row>
    <row r="775" spans="20:31" x14ac:dyDescent="0.25">
      <c r="T775" s="81"/>
      <c r="W775" s="185"/>
      <c r="AE775" s="185"/>
    </row>
    <row r="776" spans="20:31" x14ac:dyDescent="0.25">
      <c r="T776" s="81"/>
      <c r="W776" s="185"/>
      <c r="AE776" s="185"/>
    </row>
    <row r="777" spans="20:31" x14ac:dyDescent="0.25">
      <c r="T777" s="81"/>
      <c r="W777" s="185"/>
      <c r="AE777" s="185"/>
    </row>
    <row r="778" spans="20:31" x14ac:dyDescent="0.25">
      <c r="T778" s="81"/>
      <c r="W778" s="185"/>
      <c r="AE778" s="185"/>
    </row>
    <row r="779" spans="20:31" x14ac:dyDescent="0.25">
      <c r="T779" s="81"/>
      <c r="W779" s="185"/>
      <c r="AE779" s="185"/>
    </row>
    <row r="780" spans="20:31" x14ac:dyDescent="0.25">
      <c r="T780" s="81"/>
      <c r="W780" s="185"/>
      <c r="AE780" s="185"/>
    </row>
    <row r="781" spans="20:31" x14ac:dyDescent="0.25">
      <c r="T781" s="81"/>
      <c r="W781" s="185"/>
      <c r="AE781" s="185"/>
    </row>
    <row r="782" spans="20:31" x14ac:dyDescent="0.25">
      <c r="T782" s="81"/>
      <c r="W782" s="185"/>
      <c r="AE782" s="185"/>
    </row>
    <row r="783" spans="20:31" x14ac:dyDescent="0.25">
      <c r="T783" s="81"/>
      <c r="W783" s="185"/>
      <c r="AE783" s="185"/>
    </row>
    <row r="784" spans="20:31" x14ac:dyDescent="0.25">
      <c r="T784" s="81"/>
      <c r="W784" s="185"/>
      <c r="AE784" s="185"/>
    </row>
    <row r="785" spans="20:31" x14ac:dyDescent="0.25">
      <c r="T785" s="81"/>
      <c r="W785" s="185"/>
      <c r="AE785" s="185"/>
    </row>
    <row r="786" spans="20:31" x14ac:dyDescent="0.25">
      <c r="T786" s="81"/>
      <c r="W786" s="185"/>
      <c r="AE786" s="185"/>
    </row>
    <row r="787" spans="20:31" x14ac:dyDescent="0.25">
      <c r="T787" s="81"/>
      <c r="W787" s="185"/>
      <c r="AE787" s="185"/>
    </row>
    <row r="788" spans="20:31" x14ac:dyDescent="0.25">
      <c r="T788" s="81"/>
      <c r="W788" s="185"/>
      <c r="AE788" s="185"/>
    </row>
    <row r="789" spans="20:31" x14ac:dyDescent="0.25">
      <c r="T789" s="81"/>
      <c r="W789" s="185"/>
      <c r="AE789" s="185"/>
    </row>
    <row r="790" spans="20:31" x14ac:dyDescent="0.25">
      <c r="T790" s="81"/>
      <c r="W790" s="185"/>
      <c r="AE790" s="185"/>
    </row>
    <row r="791" spans="20:31" x14ac:dyDescent="0.25">
      <c r="T791" s="81"/>
      <c r="W791" s="185"/>
      <c r="AE791" s="185"/>
    </row>
    <row r="792" spans="20:31" x14ac:dyDescent="0.25">
      <c r="T792" s="81"/>
      <c r="W792" s="185"/>
      <c r="AE792" s="185"/>
    </row>
    <row r="793" spans="20:31" x14ac:dyDescent="0.25">
      <c r="T793" s="81"/>
      <c r="W793" s="185"/>
      <c r="AE793" s="185"/>
    </row>
    <row r="794" spans="20:31" x14ac:dyDescent="0.25">
      <c r="T794" s="81"/>
      <c r="W794" s="185"/>
      <c r="AE794" s="185"/>
    </row>
    <row r="795" spans="20:31" x14ac:dyDescent="0.25">
      <c r="T795" s="81"/>
      <c r="W795" s="185"/>
      <c r="AE795" s="185"/>
    </row>
    <row r="796" spans="20:31" x14ac:dyDescent="0.25">
      <c r="T796" s="81"/>
      <c r="W796" s="185"/>
      <c r="AE796" s="185"/>
    </row>
    <row r="797" spans="20:31" x14ac:dyDescent="0.25">
      <c r="T797" s="81"/>
      <c r="W797" s="185"/>
      <c r="AE797" s="185"/>
    </row>
    <row r="798" spans="20:31" x14ac:dyDescent="0.25">
      <c r="T798" s="81"/>
      <c r="W798" s="185"/>
      <c r="AE798" s="185"/>
    </row>
    <row r="799" spans="20:31" x14ac:dyDescent="0.25">
      <c r="T799" s="81"/>
      <c r="W799" s="185"/>
      <c r="AE799" s="185"/>
    </row>
    <row r="800" spans="20:31" x14ac:dyDescent="0.25">
      <c r="T800" s="81"/>
      <c r="W800" s="185"/>
      <c r="AE800" s="185"/>
    </row>
    <row r="801" spans="20:31" x14ac:dyDescent="0.25">
      <c r="T801" s="81"/>
      <c r="W801" s="185"/>
      <c r="AE801" s="185"/>
    </row>
    <row r="802" spans="20:31" x14ac:dyDescent="0.25">
      <c r="T802" s="81"/>
      <c r="W802" s="185"/>
      <c r="AE802" s="185"/>
    </row>
    <row r="803" spans="20:31" x14ac:dyDescent="0.25">
      <c r="T803" s="81"/>
      <c r="W803" s="185"/>
      <c r="AE803" s="185"/>
    </row>
    <row r="804" spans="20:31" x14ac:dyDescent="0.25">
      <c r="T804" s="81"/>
      <c r="W804" s="185"/>
      <c r="AE804" s="185"/>
    </row>
    <row r="805" spans="20:31" x14ac:dyDescent="0.25">
      <c r="T805" s="81"/>
      <c r="W805" s="185"/>
      <c r="AE805" s="185"/>
    </row>
    <row r="806" spans="20:31" x14ac:dyDescent="0.25">
      <c r="T806" s="81"/>
      <c r="W806" s="185"/>
      <c r="AE806" s="185"/>
    </row>
    <row r="807" spans="20:31" x14ac:dyDescent="0.25">
      <c r="T807" s="81"/>
      <c r="W807" s="185"/>
      <c r="AE807" s="185"/>
    </row>
    <row r="808" spans="20:31" x14ac:dyDescent="0.25">
      <c r="T808" s="81"/>
      <c r="W808" s="185"/>
      <c r="AE808" s="185"/>
    </row>
    <row r="809" spans="20:31" x14ac:dyDescent="0.25">
      <c r="T809" s="81"/>
      <c r="W809" s="185"/>
      <c r="AE809" s="185"/>
    </row>
    <row r="810" spans="20:31" x14ac:dyDescent="0.25">
      <c r="T810" s="81"/>
      <c r="W810" s="185"/>
      <c r="AE810" s="185"/>
    </row>
    <row r="811" spans="20:31" x14ac:dyDescent="0.25">
      <c r="T811" s="81"/>
      <c r="W811" s="185"/>
      <c r="AE811" s="185"/>
    </row>
    <row r="812" spans="20:31" x14ac:dyDescent="0.25">
      <c r="T812" s="81"/>
      <c r="W812" s="185"/>
      <c r="AE812" s="185"/>
    </row>
    <row r="813" spans="20:31" x14ac:dyDescent="0.25">
      <c r="T813" s="81"/>
      <c r="W813" s="185"/>
      <c r="AE813" s="185"/>
    </row>
    <row r="814" spans="20:31" x14ac:dyDescent="0.25">
      <c r="T814" s="81"/>
      <c r="W814" s="185"/>
      <c r="AE814" s="185"/>
    </row>
    <row r="815" spans="20:31" x14ac:dyDescent="0.25">
      <c r="T815" s="81"/>
      <c r="W815" s="185"/>
      <c r="AE815" s="185"/>
    </row>
    <row r="816" spans="20:31" x14ac:dyDescent="0.25">
      <c r="T816" s="81"/>
      <c r="W816" s="185"/>
      <c r="AE816" s="185"/>
    </row>
    <row r="817" spans="20:31" x14ac:dyDescent="0.25">
      <c r="T817" s="81"/>
      <c r="W817" s="185"/>
      <c r="AE817" s="185"/>
    </row>
    <row r="818" spans="20:31" x14ac:dyDescent="0.25">
      <c r="T818" s="81"/>
      <c r="W818" s="185"/>
      <c r="AE818" s="185"/>
    </row>
    <row r="819" spans="20:31" x14ac:dyDescent="0.25">
      <c r="T819" s="81"/>
      <c r="W819" s="185"/>
      <c r="AE819" s="185"/>
    </row>
    <row r="820" spans="20:31" x14ac:dyDescent="0.25">
      <c r="T820" s="81"/>
      <c r="W820" s="185"/>
      <c r="AE820" s="185"/>
    </row>
    <row r="821" spans="20:31" x14ac:dyDescent="0.25">
      <c r="T821" s="81"/>
      <c r="W821" s="185"/>
      <c r="AE821" s="185"/>
    </row>
    <row r="822" spans="20:31" x14ac:dyDescent="0.25">
      <c r="T822" s="81"/>
      <c r="W822" s="185"/>
      <c r="AE822" s="185"/>
    </row>
    <row r="823" spans="20:31" x14ac:dyDescent="0.25">
      <c r="T823" s="81"/>
      <c r="W823" s="185"/>
      <c r="AE823" s="185"/>
    </row>
    <row r="824" spans="20:31" x14ac:dyDescent="0.25">
      <c r="T824" s="81"/>
      <c r="W824" s="185"/>
      <c r="AE824" s="185"/>
    </row>
    <row r="825" spans="20:31" x14ac:dyDescent="0.25">
      <c r="T825" s="81"/>
      <c r="W825" s="185"/>
      <c r="AE825" s="185"/>
    </row>
    <row r="826" spans="20:31" x14ac:dyDescent="0.25">
      <c r="T826" s="81"/>
      <c r="W826" s="185"/>
      <c r="AE826" s="185"/>
    </row>
    <row r="827" spans="20:31" x14ac:dyDescent="0.25">
      <c r="T827" s="81"/>
      <c r="W827" s="185"/>
      <c r="AE827" s="185"/>
    </row>
    <row r="828" spans="20:31" x14ac:dyDescent="0.25">
      <c r="T828" s="81"/>
      <c r="W828" s="185"/>
      <c r="AE828" s="185"/>
    </row>
    <row r="829" spans="20:31" x14ac:dyDescent="0.25">
      <c r="T829" s="81"/>
      <c r="W829" s="185"/>
      <c r="AE829" s="185"/>
    </row>
    <row r="830" spans="20:31" x14ac:dyDescent="0.25">
      <c r="T830" s="81"/>
      <c r="W830" s="185"/>
      <c r="AE830" s="185"/>
    </row>
    <row r="831" spans="20:31" x14ac:dyDescent="0.25">
      <c r="T831" s="81"/>
      <c r="W831" s="185"/>
      <c r="AE831" s="185"/>
    </row>
    <row r="832" spans="20:31" x14ac:dyDescent="0.25">
      <c r="T832" s="81"/>
      <c r="W832" s="185"/>
      <c r="AE832" s="185"/>
    </row>
    <row r="833" spans="20:31" x14ac:dyDescent="0.25">
      <c r="T833" s="81"/>
      <c r="W833" s="185"/>
      <c r="AE833" s="185"/>
    </row>
    <row r="834" spans="20:31" x14ac:dyDescent="0.25">
      <c r="T834" s="81"/>
      <c r="W834" s="185"/>
      <c r="AE834" s="185"/>
    </row>
    <row r="835" spans="20:31" x14ac:dyDescent="0.25">
      <c r="T835" s="81"/>
      <c r="W835" s="185"/>
      <c r="AE835" s="185"/>
    </row>
    <row r="836" spans="20:31" x14ac:dyDescent="0.25">
      <c r="T836" s="81"/>
      <c r="W836" s="185"/>
      <c r="AE836" s="185"/>
    </row>
    <row r="837" spans="20:31" x14ac:dyDescent="0.25">
      <c r="T837" s="81"/>
      <c r="W837" s="185"/>
      <c r="AE837" s="185"/>
    </row>
    <row r="838" spans="20:31" x14ac:dyDescent="0.25">
      <c r="T838" s="81"/>
      <c r="W838" s="185"/>
      <c r="AE838" s="185"/>
    </row>
    <row r="839" spans="20:31" x14ac:dyDescent="0.25">
      <c r="T839" s="81"/>
      <c r="W839" s="185"/>
      <c r="AE839" s="185"/>
    </row>
    <row r="840" spans="20:31" x14ac:dyDescent="0.25">
      <c r="T840" s="81"/>
      <c r="W840" s="185"/>
      <c r="AE840" s="185"/>
    </row>
    <row r="841" spans="20:31" x14ac:dyDescent="0.25">
      <c r="T841" s="81"/>
      <c r="W841" s="185"/>
      <c r="AE841" s="185"/>
    </row>
    <row r="842" spans="20:31" x14ac:dyDescent="0.25">
      <c r="T842" s="81"/>
      <c r="W842" s="185"/>
      <c r="AE842" s="185"/>
    </row>
    <row r="843" spans="20:31" x14ac:dyDescent="0.25">
      <c r="T843" s="81"/>
      <c r="W843" s="185"/>
      <c r="AE843" s="185"/>
    </row>
    <row r="844" spans="20:31" x14ac:dyDescent="0.25">
      <c r="T844" s="81"/>
      <c r="W844" s="185"/>
      <c r="AE844" s="185"/>
    </row>
    <row r="845" spans="20:31" x14ac:dyDescent="0.25">
      <c r="T845" s="81"/>
      <c r="W845" s="185"/>
      <c r="AE845" s="185"/>
    </row>
    <row r="846" spans="20:31" x14ac:dyDescent="0.25">
      <c r="T846" s="81"/>
      <c r="W846" s="185"/>
      <c r="AE846" s="185"/>
    </row>
    <row r="847" spans="20:31" x14ac:dyDescent="0.25">
      <c r="T847" s="81"/>
      <c r="W847" s="185"/>
      <c r="AE847" s="185"/>
    </row>
    <row r="848" spans="20:31" x14ac:dyDescent="0.25">
      <c r="T848" s="81"/>
      <c r="W848" s="185"/>
      <c r="AE848" s="185"/>
    </row>
    <row r="849" spans="20:31" x14ac:dyDescent="0.25">
      <c r="T849" s="81"/>
      <c r="W849" s="185"/>
      <c r="AE849" s="185"/>
    </row>
    <row r="850" spans="20:31" x14ac:dyDescent="0.25">
      <c r="T850" s="81"/>
      <c r="W850" s="185"/>
      <c r="AE850" s="185"/>
    </row>
    <row r="851" spans="20:31" x14ac:dyDescent="0.25">
      <c r="T851" s="81"/>
      <c r="W851" s="185"/>
      <c r="AE851" s="185"/>
    </row>
    <row r="852" spans="20:31" x14ac:dyDescent="0.25">
      <c r="T852" s="81"/>
      <c r="W852" s="185"/>
      <c r="AE852" s="185"/>
    </row>
    <row r="853" spans="20:31" x14ac:dyDescent="0.25">
      <c r="T853" s="81"/>
      <c r="W853" s="185"/>
      <c r="AE853" s="185"/>
    </row>
    <row r="854" spans="20:31" x14ac:dyDescent="0.25">
      <c r="T854" s="81"/>
      <c r="W854" s="185"/>
      <c r="AE854" s="185"/>
    </row>
    <row r="855" spans="20:31" x14ac:dyDescent="0.25">
      <c r="T855" s="81"/>
      <c r="W855" s="185"/>
      <c r="AE855" s="185"/>
    </row>
    <row r="856" spans="20:31" x14ac:dyDescent="0.25">
      <c r="T856" s="81"/>
      <c r="W856" s="185"/>
      <c r="AE856" s="185"/>
    </row>
    <row r="857" spans="20:31" x14ac:dyDescent="0.25">
      <c r="T857" s="81"/>
      <c r="W857" s="185"/>
      <c r="AE857" s="185"/>
    </row>
    <row r="858" spans="20:31" x14ac:dyDescent="0.25">
      <c r="T858" s="81"/>
      <c r="W858" s="185"/>
      <c r="AE858" s="185"/>
    </row>
    <row r="859" spans="20:31" x14ac:dyDescent="0.25">
      <c r="T859" s="81"/>
      <c r="W859" s="185"/>
      <c r="AE859" s="185"/>
    </row>
    <row r="860" spans="20:31" x14ac:dyDescent="0.25">
      <c r="T860" s="81"/>
      <c r="W860" s="185"/>
      <c r="AE860" s="185"/>
    </row>
    <row r="861" spans="20:31" x14ac:dyDescent="0.25">
      <c r="T861" s="81"/>
      <c r="W861" s="185"/>
      <c r="AE861" s="185"/>
    </row>
    <row r="862" spans="20:31" x14ac:dyDescent="0.25">
      <c r="T862" s="81"/>
      <c r="W862" s="185"/>
      <c r="AE862" s="185"/>
    </row>
    <row r="863" spans="20:31" x14ac:dyDescent="0.25">
      <c r="T863" s="81"/>
      <c r="W863" s="185"/>
      <c r="AE863" s="185"/>
    </row>
    <row r="864" spans="20:31" x14ac:dyDescent="0.25">
      <c r="T864" s="81"/>
      <c r="W864" s="185"/>
      <c r="AE864" s="185"/>
    </row>
    <row r="865" spans="20:31" x14ac:dyDescent="0.25">
      <c r="T865" s="81"/>
      <c r="W865" s="185"/>
      <c r="AE865" s="185"/>
    </row>
    <row r="866" spans="20:31" x14ac:dyDescent="0.25">
      <c r="T866" s="81"/>
      <c r="W866" s="185"/>
      <c r="AE866" s="185"/>
    </row>
    <row r="867" spans="20:31" x14ac:dyDescent="0.25">
      <c r="T867" s="81"/>
      <c r="W867" s="185"/>
      <c r="AE867" s="185"/>
    </row>
    <row r="868" spans="20:31" x14ac:dyDescent="0.25">
      <c r="T868" s="81"/>
      <c r="W868" s="185"/>
      <c r="AE868" s="185"/>
    </row>
    <row r="869" spans="20:31" x14ac:dyDescent="0.25">
      <c r="T869" s="81"/>
      <c r="W869" s="185"/>
      <c r="AE869" s="185"/>
    </row>
    <row r="870" spans="20:31" x14ac:dyDescent="0.25">
      <c r="T870" s="81"/>
      <c r="W870" s="185"/>
      <c r="AE870" s="185"/>
    </row>
    <row r="871" spans="20:31" x14ac:dyDescent="0.25">
      <c r="T871" s="81"/>
      <c r="W871" s="185"/>
      <c r="AE871" s="185"/>
    </row>
    <row r="872" spans="20:31" x14ac:dyDescent="0.25">
      <c r="T872" s="81"/>
      <c r="W872" s="185"/>
      <c r="AE872" s="185"/>
    </row>
    <row r="873" spans="20:31" x14ac:dyDescent="0.25">
      <c r="T873" s="81"/>
      <c r="W873" s="185"/>
      <c r="AE873" s="185"/>
    </row>
    <row r="874" spans="20:31" x14ac:dyDescent="0.25">
      <c r="T874" s="81"/>
      <c r="W874" s="185"/>
      <c r="AE874" s="185"/>
    </row>
    <row r="875" spans="20:31" x14ac:dyDescent="0.25">
      <c r="T875" s="81"/>
      <c r="W875" s="185"/>
      <c r="AE875" s="185"/>
    </row>
    <row r="876" spans="20:31" x14ac:dyDescent="0.25">
      <c r="T876" s="81"/>
      <c r="W876" s="185"/>
      <c r="AE876" s="185"/>
    </row>
    <row r="877" spans="20:31" x14ac:dyDescent="0.25">
      <c r="T877" s="81"/>
      <c r="W877" s="185"/>
      <c r="AE877" s="185"/>
    </row>
    <row r="878" spans="20:31" x14ac:dyDescent="0.25">
      <c r="T878" s="81"/>
      <c r="W878" s="185"/>
      <c r="AE878" s="185"/>
    </row>
    <row r="879" spans="20:31" x14ac:dyDescent="0.25">
      <c r="T879" s="81"/>
      <c r="W879" s="185"/>
      <c r="AE879" s="185"/>
    </row>
    <row r="880" spans="20:31" x14ac:dyDescent="0.25">
      <c r="T880" s="81"/>
      <c r="W880" s="185"/>
      <c r="AE880" s="185"/>
    </row>
    <row r="881" spans="20:31" x14ac:dyDescent="0.25">
      <c r="T881" s="81"/>
      <c r="W881" s="185"/>
      <c r="AE881" s="185"/>
    </row>
    <row r="882" spans="20:31" x14ac:dyDescent="0.25">
      <c r="T882" s="81"/>
      <c r="W882" s="185"/>
      <c r="AE882" s="185"/>
    </row>
    <row r="883" spans="20:31" x14ac:dyDescent="0.25">
      <c r="T883" s="81"/>
      <c r="W883" s="185"/>
      <c r="AE883" s="185"/>
    </row>
    <row r="884" spans="20:31" x14ac:dyDescent="0.25">
      <c r="T884" s="81"/>
      <c r="W884" s="185"/>
      <c r="AE884" s="185"/>
    </row>
    <row r="885" spans="20:31" x14ac:dyDescent="0.25">
      <c r="T885" s="81"/>
      <c r="W885" s="185"/>
      <c r="AE885" s="185"/>
    </row>
    <row r="886" spans="20:31" x14ac:dyDescent="0.25">
      <c r="T886" s="81"/>
      <c r="W886" s="185"/>
      <c r="AE886" s="185"/>
    </row>
    <row r="887" spans="20:31" x14ac:dyDescent="0.25">
      <c r="T887" s="81"/>
      <c r="W887" s="185"/>
      <c r="AE887" s="185"/>
    </row>
    <row r="888" spans="20:31" x14ac:dyDescent="0.25">
      <c r="T888" s="81"/>
      <c r="W888" s="185"/>
      <c r="AE888" s="185"/>
    </row>
    <row r="889" spans="20:31" x14ac:dyDescent="0.25">
      <c r="T889" s="81"/>
      <c r="W889" s="185"/>
      <c r="AE889" s="185"/>
    </row>
    <row r="890" spans="20:31" x14ac:dyDescent="0.25">
      <c r="T890" s="81"/>
      <c r="W890" s="185"/>
      <c r="AE890" s="185"/>
    </row>
    <row r="891" spans="20:31" x14ac:dyDescent="0.25">
      <c r="T891" s="81"/>
      <c r="W891" s="185"/>
      <c r="AE891" s="185"/>
    </row>
    <row r="892" spans="20:31" x14ac:dyDescent="0.25">
      <c r="T892" s="81"/>
      <c r="W892" s="185"/>
      <c r="AE892" s="185"/>
    </row>
    <row r="893" spans="20:31" x14ac:dyDescent="0.25">
      <c r="T893" s="81"/>
      <c r="W893" s="185"/>
      <c r="AE893" s="185"/>
    </row>
    <row r="894" spans="20:31" x14ac:dyDescent="0.25">
      <c r="T894" s="81"/>
      <c r="W894" s="185"/>
      <c r="AE894" s="185"/>
    </row>
    <row r="895" spans="20:31" x14ac:dyDescent="0.25">
      <c r="T895" s="81"/>
      <c r="W895" s="185"/>
      <c r="AE895" s="185"/>
    </row>
    <row r="896" spans="20:31" x14ac:dyDescent="0.25">
      <c r="T896" s="81"/>
      <c r="W896" s="185"/>
      <c r="AE896" s="185"/>
    </row>
    <row r="897" spans="20:31" x14ac:dyDescent="0.25">
      <c r="T897" s="81"/>
      <c r="W897" s="185"/>
      <c r="AE897" s="185"/>
    </row>
    <row r="898" spans="20:31" x14ac:dyDescent="0.25">
      <c r="T898" s="81"/>
      <c r="W898" s="185"/>
      <c r="AE898" s="185"/>
    </row>
    <row r="899" spans="20:31" x14ac:dyDescent="0.25">
      <c r="T899" s="81"/>
      <c r="W899" s="185"/>
      <c r="AE899" s="185"/>
    </row>
    <row r="900" spans="20:31" x14ac:dyDescent="0.25">
      <c r="T900" s="81"/>
      <c r="W900" s="185"/>
      <c r="AE900" s="185"/>
    </row>
    <row r="901" spans="20:31" x14ac:dyDescent="0.25">
      <c r="T901" s="81"/>
      <c r="W901" s="185"/>
      <c r="AE901" s="185"/>
    </row>
    <row r="902" spans="20:31" x14ac:dyDescent="0.25">
      <c r="T902" s="81"/>
      <c r="W902" s="185"/>
      <c r="AE902" s="185"/>
    </row>
    <row r="903" spans="20:31" x14ac:dyDescent="0.25">
      <c r="T903" s="81"/>
      <c r="W903" s="185"/>
      <c r="AE903" s="185"/>
    </row>
    <row r="904" spans="20:31" x14ac:dyDescent="0.25">
      <c r="T904" s="81"/>
      <c r="W904" s="185"/>
      <c r="AE904" s="185"/>
    </row>
    <row r="905" spans="20:31" x14ac:dyDescent="0.25">
      <c r="T905" s="81"/>
      <c r="W905" s="185"/>
      <c r="AE905" s="185"/>
    </row>
    <row r="906" spans="20:31" x14ac:dyDescent="0.25">
      <c r="T906" s="81"/>
      <c r="W906" s="185"/>
      <c r="AE906" s="185"/>
    </row>
    <row r="907" spans="20:31" x14ac:dyDescent="0.25">
      <c r="T907" s="81"/>
      <c r="W907" s="185"/>
      <c r="AE907" s="185"/>
    </row>
    <row r="908" spans="20:31" x14ac:dyDescent="0.25">
      <c r="T908" s="81"/>
      <c r="W908" s="185"/>
      <c r="AE908" s="185"/>
    </row>
    <row r="909" spans="20:31" x14ac:dyDescent="0.25">
      <c r="T909" s="81"/>
      <c r="W909" s="185"/>
      <c r="AE909" s="185"/>
    </row>
    <row r="910" spans="20:31" x14ac:dyDescent="0.25">
      <c r="T910" s="81"/>
      <c r="W910" s="185"/>
      <c r="AE910" s="185"/>
    </row>
    <row r="911" spans="20:31" x14ac:dyDescent="0.25">
      <c r="T911" s="81"/>
      <c r="W911" s="185"/>
      <c r="AE911" s="185"/>
    </row>
    <row r="912" spans="20:31" x14ac:dyDescent="0.25">
      <c r="T912" s="81"/>
      <c r="W912" s="185"/>
      <c r="AE912" s="185"/>
    </row>
    <row r="913" spans="20:31" x14ac:dyDescent="0.25">
      <c r="T913" s="81"/>
      <c r="W913" s="185"/>
      <c r="AE913" s="185"/>
    </row>
    <row r="914" spans="20:31" x14ac:dyDescent="0.25">
      <c r="T914" s="81"/>
      <c r="W914" s="185"/>
      <c r="AE914" s="185"/>
    </row>
    <row r="915" spans="20:31" x14ac:dyDescent="0.25">
      <c r="T915" s="81"/>
      <c r="W915" s="185"/>
      <c r="AE915" s="185"/>
    </row>
    <row r="916" spans="20:31" x14ac:dyDescent="0.25">
      <c r="T916" s="81"/>
      <c r="W916" s="185"/>
      <c r="AE916" s="185"/>
    </row>
    <row r="917" spans="20:31" x14ac:dyDescent="0.25">
      <c r="T917" s="81"/>
      <c r="W917" s="185"/>
      <c r="AE917" s="185"/>
    </row>
    <row r="918" spans="20:31" x14ac:dyDescent="0.25">
      <c r="T918" s="81"/>
      <c r="W918" s="185"/>
      <c r="AE918" s="185"/>
    </row>
    <row r="919" spans="20:31" x14ac:dyDescent="0.25">
      <c r="T919" s="81"/>
      <c r="W919" s="185"/>
      <c r="AE919" s="185"/>
    </row>
    <row r="920" spans="20:31" x14ac:dyDescent="0.25">
      <c r="T920" s="81"/>
      <c r="W920" s="185"/>
      <c r="AE920" s="185"/>
    </row>
    <row r="921" spans="20:31" x14ac:dyDescent="0.25">
      <c r="T921" s="81"/>
      <c r="W921" s="185"/>
      <c r="AE921" s="185"/>
    </row>
    <row r="922" spans="20:31" x14ac:dyDescent="0.25">
      <c r="T922" s="81"/>
      <c r="W922" s="185"/>
      <c r="AE922" s="185"/>
    </row>
    <row r="923" spans="20:31" x14ac:dyDescent="0.25">
      <c r="T923" s="81"/>
      <c r="W923" s="185"/>
      <c r="AE923" s="185"/>
    </row>
    <row r="924" spans="20:31" x14ac:dyDescent="0.25">
      <c r="T924" s="81"/>
      <c r="W924" s="185"/>
      <c r="AE924" s="185"/>
    </row>
    <row r="925" spans="20:31" x14ac:dyDescent="0.25">
      <c r="T925" s="81"/>
      <c r="W925" s="185"/>
      <c r="AE925" s="185"/>
    </row>
    <row r="926" spans="20:31" x14ac:dyDescent="0.25">
      <c r="T926" s="81"/>
      <c r="W926" s="185"/>
      <c r="AE926" s="185"/>
    </row>
    <row r="927" spans="20:31" x14ac:dyDescent="0.25">
      <c r="T927" s="81"/>
      <c r="W927" s="185"/>
      <c r="AE927" s="185"/>
    </row>
    <row r="928" spans="20:31" x14ac:dyDescent="0.25">
      <c r="T928" s="81"/>
      <c r="W928" s="185"/>
      <c r="AE928" s="185"/>
    </row>
    <row r="929" spans="20:31" x14ac:dyDescent="0.25">
      <c r="T929" s="81"/>
      <c r="W929" s="185"/>
      <c r="AE929" s="185"/>
    </row>
    <row r="930" spans="20:31" x14ac:dyDescent="0.25">
      <c r="T930" s="81"/>
      <c r="W930" s="185"/>
      <c r="AE930" s="185"/>
    </row>
    <row r="931" spans="20:31" x14ac:dyDescent="0.25">
      <c r="T931" s="81"/>
      <c r="W931" s="185"/>
      <c r="AE931" s="185"/>
    </row>
    <row r="932" spans="20:31" x14ac:dyDescent="0.25">
      <c r="T932" s="81"/>
      <c r="W932" s="185"/>
      <c r="AE932" s="185"/>
    </row>
    <row r="933" spans="20:31" x14ac:dyDescent="0.25">
      <c r="T933" s="81"/>
      <c r="W933" s="185"/>
      <c r="AE933" s="185"/>
    </row>
    <row r="934" spans="20:31" x14ac:dyDescent="0.25">
      <c r="T934" s="81"/>
      <c r="W934" s="185"/>
      <c r="AE934" s="185"/>
    </row>
    <row r="935" spans="20:31" x14ac:dyDescent="0.25">
      <c r="T935" s="81"/>
      <c r="W935" s="185"/>
      <c r="AE935" s="185"/>
    </row>
    <row r="936" spans="20:31" x14ac:dyDescent="0.25">
      <c r="T936" s="81"/>
      <c r="W936" s="185"/>
      <c r="AE936" s="185"/>
    </row>
    <row r="937" spans="20:31" x14ac:dyDescent="0.25">
      <c r="T937" s="81"/>
      <c r="W937" s="185"/>
      <c r="AE937" s="185"/>
    </row>
    <row r="938" spans="20:31" x14ac:dyDescent="0.25">
      <c r="T938" s="81"/>
      <c r="W938" s="185"/>
      <c r="AE938" s="185"/>
    </row>
    <row r="939" spans="20:31" x14ac:dyDescent="0.25">
      <c r="T939" s="81"/>
      <c r="W939" s="185"/>
      <c r="AE939" s="185"/>
    </row>
    <row r="940" spans="20:31" x14ac:dyDescent="0.25">
      <c r="T940" s="81"/>
      <c r="W940" s="185"/>
      <c r="AE940" s="185"/>
    </row>
    <row r="941" spans="20:31" x14ac:dyDescent="0.25">
      <c r="T941" s="81"/>
      <c r="W941" s="185"/>
      <c r="AE941" s="185"/>
    </row>
    <row r="942" spans="20:31" x14ac:dyDescent="0.25">
      <c r="T942" s="81"/>
      <c r="W942" s="185"/>
      <c r="AE942" s="185"/>
    </row>
    <row r="943" spans="20:31" x14ac:dyDescent="0.25">
      <c r="T943" s="81"/>
      <c r="W943" s="185"/>
      <c r="AE943" s="185"/>
    </row>
    <row r="944" spans="20:31" x14ac:dyDescent="0.25">
      <c r="T944" s="81"/>
      <c r="W944" s="185"/>
      <c r="AE944" s="185"/>
    </row>
    <row r="945" spans="20:31" x14ac:dyDescent="0.25">
      <c r="T945" s="81"/>
      <c r="W945" s="185"/>
      <c r="AE945" s="185"/>
    </row>
    <row r="946" spans="20:31" x14ac:dyDescent="0.25">
      <c r="T946" s="81"/>
      <c r="W946" s="185"/>
      <c r="AE946" s="185"/>
    </row>
    <row r="947" spans="20:31" x14ac:dyDescent="0.25">
      <c r="T947" s="81"/>
      <c r="W947" s="185"/>
      <c r="AE947" s="185"/>
    </row>
    <row r="948" spans="20:31" x14ac:dyDescent="0.25">
      <c r="T948" s="81"/>
      <c r="W948" s="185"/>
      <c r="AE948" s="185"/>
    </row>
    <row r="949" spans="20:31" x14ac:dyDescent="0.25">
      <c r="T949" s="81"/>
      <c r="W949" s="185"/>
      <c r="AE949" s="185"/>
    </row>
    <row r="950" spans="20:31" x14ac:dyDescent="0.25">
      <c r="T950" s="81"/>
      <c r="W950" s="185"/>
      <c r="AE950" s="185"/>
    </row>
    <row r="951" spans="20:31" x14ac:dyDescent="0.25">
      <c r="T951" s="81"/>
      <c r="W951" s="185"/>
      <c r="AE951" s="185"/>
    </row>
    <row r="952" spans="20:31" x14ac:dyDescent="0.25">
      <c r="T952" s="81"/>
      <c r="W952" s="185"/>
      <c r="AE952" s="185"/>
    </row>
    <row r="953" spans="20:31" x14ac:dyDescent="0.25">
      <c r="T953" s="81"/>
      <c r="W953" s="185"/>
      <c r="AE953" s="185"/>
    </row>
    <row r="954" spans="20:31" x14ac:dyDescent="0.25">
      <c r="T954" s="81"/>
      <c r="W954" s="185"/>
      <c r="AE954" s="185"/>
    </row>
    <row r="955" spans="20:31" x14ac:dyDescent="0.25">
      <c r="T955" s="81"/>
      <c r="W955" s="185"/>
      <c r="AE955" s="185"/>
    </row>
    <row r="956" spans="20:31" x14ac:dyDescent="0.25">
      <c r="T956" s="81"/>
      <c r="W956" s="185"/>
      <c r="AE956" s="185"/>
    </row>
    <row r="957" spans="20:31" x14ac:dyDescent="0.25">
      <c r="T957" s="81"/>
      <c r="W957" s="185"/>
      <c r="AE957" s="185"/>
    </row>
    <row r="958" spans="20:31" x14ac:dyDescent="0.25">
      <c r="T958" s="81"/>
      <c r="W958" s="185"/>
      <c r="AE958" s="185"/>
    </row>
    <row r="959" spans="20:31" x14ac:dyDescent="0.25">
      <c r="T959" s="81"/>
      <c r="W959" s="185"/>
      <c r="AE959" s="185"/>
    </row>
    <row r="960" spans="20:31" x14ac:dyDescent="0.25">
      <c r="T960" s="81"/>
      <c r="W960" s="185"/>
      <c r="AE960" s="185"/>
    </row>
    <row r="961" spans="20:31" x14ac:dyDescent="0.25">
      <c r="T961" s="81"/>
      <c r="W961" s="185"/>
      <c r="AE961" s="185"/>
    </row>
    <row r="962" spans="20:31" x14ac:dyDescent="0.25">
      <c r="T962" s="81"/>
      <c r="W962" s="185"/>
      <c r="AE962" s="185"/>
    </row>
    <row r="963" spans="20:31" x14ac:dyDescent="0.25">
      <c r="T963" s="81"/>
      <c r="W963" s="185"/>
      <c r="AE963" s="185"/>
    </row>
    <row r="964" spans="20:31" x14ac:dyDescent="0.25">
      <c r="T964" s="81"/>
      <c r="W964" s="185"/>
      <c r="AE964" s="185"/>
    </row>
    <row r="965" spans="20:31" x14ac:dyDescent="0.25">
      <c r="T965" s="81"/>
      <c r="W965" s="185"/>
      <c r="AE965" s="185"/>
    </row>
    <row r="966" spans="20:31" x14ac:dyDescent="0.25">
      <c r="T966" s="81"/>
      <c r="W966" s="185"/>
      <c r="AE966" s="185"/>
    </row>
    <row r="967" spans="20:31" x14ac:dyDescent="0.25">
      <c r="T967" s="81"/>
      <c r="W967" s="185"/>
      <c r="AE967" s="185"/>
    </row>
    <row r="968" spans="20:31" x14ac:dyDescent="0.25">
      <c r="T968" s="81"/>
      <c r="W968" s="185"/>
      <c r="AE968" s="185"/>
    </row>
    <row r="969" spans="20:31" x14ac:dyDescent="0.25">
      <c r="T969" s="81"/>
      <c r="W969" s="185"/>
      <c r="AE969" s="185"/>
    </row>
    <row r="970" spans="20:31" x14ac:dyDescent="0.25">
      <c r="T970" s="81"/>
      <c r="W970" s="185"/>
      <c r="AE970" s="185"/>
    </row>
    <row r="971" spans="20:31" x14ac:dyDescent="0.25">
      <c r="T971" s="81"/>
      <c r="W971" s="185"/>
      <c r="AE971" s="185"/>
    </row>
    <row r="972" spans="20:31" x14ac:dyDescent="0.25">
      <c r="T972" s="81"/>
      <c r="W972" s="185"/>
      <c r="AE972" s="185"/>
    </row>
    <row r="973" spans="20:31" x14ac:dyDescent="0.25">
      <c r="T973" s="81"/>
      <c r="W973" s="185"/>
      <c r="AE973" s="185"/>
    </row>
    <row r="974" spans="20:31" x14ac:dyDescent="0.25">
      <c r="T974" s="81"/>
      <c r="W974" s="185"/>
      <c r="AE974" s="185"/>
    </row>
    <row r="975" spans="20:31" x14ac:dyDescent="0.25">
      <c r="T975" s="81"/>
      <c r="W975" s="185"/>
      <c r="AE975" s="185"/>
    </row>
    <row r="976" spans="20:31" x14ac:dyDescent="0.25">
      <c r="T976" s="81"/>
      <c r="W976" s="185"/>
      <c r="AE976" s="185"/>
    </row>
    <row r="977" spans="20:31" x14ac:dyDescent="0.25">
      <c r="T977" s="81"/>
      <c r="W977" s="185"/>
      <c r="AE977" s="185"/>
    </row>
    <row r="978" spans="20:31" x14ac:dyDescent="0.25">
      <c r="T978" s="81"/>
      <c r="W978" s="185"/>
      <c r="AE978" s="185"/>
    </row>
    <row r="979" spans="20:31" x14ac:dyDescent="0.25">
      <c r="T979" s="81"/>
      <c r="W979" s="185"/>
      <c r="AE979" s="185"/>
    </row>
    <row r="980" spans="20:31" x14ac:dyDescent="0.25">
      <c r="T980" s="81"/>
      <c r="W980" s="185"/>
      <c r="AE980" s="185"/>
    </row>
    <row r="981" spans="20:31" x14ac:dyDescent="0.25">
      <c r="T981" s="81"/>
      <c r="W981" s="185"/>
      <c r="AE981" s="185"/>
    </row>
    <row r="982" spans="20:31" x14ac:dyDescent="0.25">
      <c r="T982" s="81"/>
      <c r="W982" s="185"/>
      <c r="AE982" s="185"/>
    </row>
    <row r="983" spans="20:31" x14ac:dyDescent="0.25">
      <c r="T983" s="81"/>
      <c r="W983" s="185"/>
      <c r="AE983" s="185"/>
    </row>
    <row r="984" spans="20:31" x14ac:dyDescent="0.25">
      <c r="T984" s="81"/>
      <c r="W984" s="185"/>
      <c r="AE984" s="185"/>
    </row>
    <row r="985" spans="20:31" x14ac:dyDescent="0.25">
      <c r="T985" s="81"/>
      <c r="W985" s="185"/>
      <c r="AE985" s="185"/>
    </row>
    <row r="986" spans="20:31" x14ac:dyDescent="0.25">
      <c r="T986" s="81"/>
      <c r="W986" s="185"/>
      <c r="AE986" s="185"/>
    </row>
    <row r="987" spans="20:31" x14ac:dyDescent="0.25">
      <c r="T987" s="81"/>
      <c r="W987" s="185"/>
      <c r="AE987" s="185"/>
    </row>
    <row r="988" spans="20:31" x14ac:dyDescent="0.25">
      <c r="T988" s="81"/>
      <c r="W988" s="185"/>
      <c r="AE988" s="185"/>
    </row>
    <row r="989" spans="20:31" x14ac:dyDescent="0.25">
      <c r="T989" s="81"/>
      <c r="W989" s="185"/>
      <c r="AE989" s="185"/>
    </row>
    <row r="990" spans="20:31" x14ac:dyDescent="0.25">
      <c r="T990" s="81"/>
      <c r="W990" s="185"/>
      <c r="AE990" s="185"/>
    </row>
    <row r="991" spans="20:31" x14ac:dyDescent="0.25">
      <c r="T991" s="81"/>
      <c r="W991" s="185"/>
      <c r="AE991" s="185"/>
    </row>
    <row r="992" spans="20:31" x14ac:dyDescent="0.25">
      <c r="T992" s="81"/>
      <c r="W992" s="185"/>
      <c r="AE992" s="185"/>
    </row>
    <row r="993" spans="20:31" x14ac:dyDescent="0.25">
      <c r="T993" s="81"/>
      <c r="W993" s="185"/>
      <c r="AE993" s="185"/>
    </row>
    <row r="994" spans="20:31" x14ac:dyDescent="0.25">
      <c r="T994" s="81"/>
      <c r="W994" s="185"/>
      <c r="AE994" s="185"/>
    </row>
    <row r="995" spans="20:31" x14ac:dyDescent="0.25">
      <c r="T995" s="81"/>
      <c r="W995" s="185"/>
      <c r="AE995" s="185"/>
    </row>
    <row r="996" spans="20:31" x14ac:dyDescent="0.25">
      <c r="T996" s="81"/>
      <c r="W996" s="185"/>
      <c r="AE996" s="185"/>
    </row>
    <row r="997" spans="20:31" x14ac:dyDescent="0.25">
      <c r="T997" s="81"/>
      <c r="W997" s="185"/>
      <c r="AE997" s="185"/>
    </row>
    <row r="998" spans="20:31" x14ac:dyDescent="0.25">
      <c r="T998" s="81"/>
      <c r="W998" s="185"/>
      <c r="AE998" s="185"/>
    </row>
    <row r="999" spans="20:31" x14ac:dyDescent="0.25">
      <c r="T999" s="81"/>
      <c r="W999" s="185"/>
      <c r="AE999" s="185"/>
    </row>
    <row r="1000" spans="20:31" x14ac:dyDescent="0.25">
      <c r="T1000" s="81"/>
      <c r="W1000" s="185"/>
      <c r="AE1000" s="185"/>
    </row>
    <row r="1001" spans="20:31" x14ac:dyDescent="0.25">
      <c r="T1001" s="81"/>
      <c r="W1001" s="185"/>
      <c r="AE1001" s="185"/>
    </row>
    <row r="1002" spans="20:31" x14ac:dyDescent="0.25">
      <c r="T1002" s="81"/>
      <c r="W1002" s="185"/>
      <c r="AE1002" s="185"/>
    </row>
    <row r="1003" spans="20:31" x14ac:dyDescent="0.25">
      <c r="T1003" s="81"/>
      <c r="W1003" s="185"/>
      <c r="AE1003" s="185"/>
    </row>
    <row r="1004" spans="20:31" x14ac:dyDescent="0.25">
      <c r="T1004" s="81"/>
      <c r="W1004" s="185"/>
      <c r="AE1004" s="185"/>
    </row>
    <row r="1005" spans="20:31" x14ac:dyDescent="0.25">
      <c r="T1005" s="81"/>
      <c r="W1005" s="185"/>
      <c r="AE1005" s="185"/>
    </row>
    <row r="1006" spans="20:31" x14ac:dyDescent="0.25">
      <c r="T1006" s="81"/>
      <c r="W1006" s="185"/>
      <c r="AE1006" s="185"/>
    </row>
    <row r="1007" spans="20:31" x14ac:dyDescent="0.25">
      <c r="T1007" s="81"/>
      <c r="W1007" s="185"/>
      <c r="AE1007" s="185"/>
    </row>
    <row r="1008" spans="20:31" x14ac:dyDescent="0.25">
      <c r="T1008" s="81"/>
      <c r="W1008" s="185"/>
      <c r="AE1008" s="185"/>
    </row>
    <row r="1009" spans="20:31" x14ac:dyDescent="0.25">
      <c r="T1009" s="81"/>
      <c r="W1009" s="185"/>
      <c r="AE1009" s="185"/>
    </row>
    <row r="1010" spans="20:31" x14ac:dyDescent="0.25">
      <c r="T1010" s="81"/>
      <c r="W1010" s="185"/>
      <c r="AE1010" s="185"/>
    </row>
    <row r="1011" spans="20:31" x14ac:dyDescent="0.25">
      <c r="T1011" s="81"/>
      <c r="W1011" s="185"/>
      <c r="AE1011" s="185"/>
    </row>
    <row r="1012" spans="20:31" x14ac:dyDescent="0.25">
      <c r="T1012" s="81"/>
      <c r="W1012" s="185"/>
      <c r="AE1012" s="185"/>
    </row>
    <row r="1013" spans="20:31" x14ac:dyDescent="0.25">
      <c r="T1013" s="81"/>
      <c r="W1013" s="185"/>
      <c r="AE1013" s="185"/>
    </row>
    <row r="1014" spans="20:31" x14ac:dyDescent="0.25">
      <c r="T1014" s="81"/>
      <c r="W1014" s="185"/>
      <c r="AE1014" s="185"/>
    </row>
    <row r="1015" spans="20:31" x14ac:dyDescent="0.25">
      <c r="T1015" s="81"/>
      <c r="W1015" s="185"/>
      <c r="AE1015" s="185"/>
    </row>
    <row r="1016" spans="20:31" x14ac:dyDescent="0.25">
      <c r="T1016" s="81"/>
      <c r="W1016" s="185"/>
      <c r="AE1016" s="185"/>
    </row>
    <row r="1017" spans="20:31" x14ac:dyDescent="0.25">
      <c r="T1017" s="81"/>
      <c r="W1017" s="185"/>
      <c r="AE1017" s="185"/>
    </row>
    <row r="1018" spans="20:31" x14ac:dyDescent="0.25">
      <c r="T1018" s="81"/>
      <c r="W1018" s="185"/>
      <c r="AE1018" s="185"/>
    </row>
    <row r="1019" spans="20:31" x14ac:dyDescent="0.25">
      <c r="T1019" s="81"/>
      <c r="W1019" s="185"/>
      <c r="AE1019" s="185"/>
    </row>
    <row r="1020" spans="20:31" x14ac:dyDescent="0.25">
      <c r="T1020" s="81"/>
      <c r="W1020" s="185"/>
      <c r="AE1020" s="185"/>
    </row>
    <row r="1021" spans="20:31" x14ac:dyDescent="0.25">
      <c r="T1021" s="81"/>
      <c r="W1021" s="185"/>
      <c r="AE1021" s="185"/>
    </row>
    <row r="1022" spans="20:31" x14ac:dyDescent="0.25">
      <c r="T1022" s="81"/>
      <c r="W1022" s="185"/>
      <c r="AE1022" s="185"/>
    </row>
    <row r="1023" spans="20:31" x14ac:dyDescent="0.25">
      <c r="T1023" s="81"/>
      <c r="W1023" s="185"/>
      <c r="AE1023" s="185"/>
    </row>
    <row r="1024" spans="20:31" x14ac:dyDescent="0.25">
      <c r="T1024" s="81"/>
      <c r="W1024" s="185"/>
      <c r="AE1024" s="185"/>
    </row>
    <row r="1025" spans="20:31" x14ac:dyDescent="0.25">
      <c r="T1025" s="81"/>
      <c r="W1025" s="185"/>
      <c r="AE1025" s="185"/>
    </row>
    <row r="1026" spans="20:31" x14ac:dyDescent="0.25">
      <c r="T1026" s="81"/>
      <c r="W1026" s="185"/>
      <c r="AE1026" s="185"/>
    </row>
    <row r="1027" spans="20:31" x14ac:dyDescent="0.25">
      <c r="T1027" s="81"/>
      <c r="W1027" s="185"/>
      <c r="AE1027" s="185"/>
    </row>
    <row r="1028" spans="20:31" x14ac:dyDescent="0.25">
      <c r="T1028" s="81"/>
      <c r="W1028" s="185"/>
      <c r="AE1028" s="185"/>
    </row>
    <row r="1029" spans="20:31" x14ac:dyDescent="0.25">
      <c r="T1029" s="81"/>
      <c r="W1029" s="185"/>
      <c r="AE1029" s="185"/>
    </row>
    <row r="1030" spans="20:31" x14ac:dyDescent="0.25">
      <c r="T1030" s="81"/>
      <c r="W1030" s="185"/>
      <c r="AE1030" s="185"/>
    </row>
    <row r="1031" spans="20:31" x14ac:dyDescent="0.25">
      <c r="T1031" s="81"/>
      <c r="W1031" s="185"/>
      <c r="AE1031" s="185"/>
    </row>
    <row r="1032" spans="20:31" x14ac:dyDescent="0.25">
      <c r="T1032" s="81"/>
      <c r="W1032" s="185"/>
      <c r="AE1032" s="185"/>
    </row>
    <row r="1033" spans="20:31" x14ac:dyDescent="0.25">
      <c r="T1033" s="81"/>
      <c r="W1033" s="185"/>
      <c r="AE1033" s="185"/>
    </row>
    <row r="1034" spans="20:31" x14ac:dyDescent="0.25">
      <c r="T1034" s="81"/>
      <c r="W1034" s="185"/>
      <c r="AE1034" s="185"/>
    </row>
    <row r="1035" spans="20:31" x14ac:dyDescent="0.25">
      <c r="T1035" s="81"/>
      <c r="W1035" s="185"/>
      <c r="AE1035" s="185"/>
    </row>
    <row r="1036" spans="20:31" x14ac:dyDescent="0.25">
      <c r="T1036" s="81"/>
      <c r="W1036" s="185"/>
      <c r="AE1036" s="185"/>
    </row>
    <row r="1037" spans="20:31" x14ac:dyDescent="0.25">
      <c r="T1037" s="81"/>
      <c r="W1037" s="185"/>
      <c r="AE1037" s="185"/>
    </row>
    <row r="1038" spans="20:31" x14ac:dyDescent="0.25">
      <c r="T1038" s="81"/>
      <c r="W1038" s="185"/>
      <c r="AE1038" s="185"/>
    </row>
    <row r="1039" spans="20:31" x14ac:dyDescent="0.25">
      <c r="T1039" s="81"/>
      <c r="W1039" s="185"/>
      <c r="AE1039" s="185"/>
    </row>
    <row r="1040" spans="20:31" x14ac:dyDescent="0.25">
      <c r="T1040" s="81"/>
      <c r="W1040" s="185"/>
      <c r="AE1040" s="185"/>
    </row>
    <row r="1041" spans="20:31" x14ac:dyDescent="0.25">
      <c r="T1041" s="81"/>
      <c r="W1041" s="185"/>
      <c r="AE1041" s="185"/>
    </row>
    <row r="1042" spans="20:31" x14ac:dyDescent="0.25">
      <c r="T1042" s="81"/>
      <c r="W1042" s="185"/>
      <c r="AE1042" s="185"/>
    </row>
    <row r="1043" spans="20:31" x14ac:dyDescent="0.25">
      <c r="T1043" s="81"/>
      <c r="W1043" s="185"/>
      <c r="AE1043" s="185"/>
    </row>
    <row r="1044" spans="20:31" x14ac:dyDescent="0.25">
      <c r="T1044" s="81"/>
      <c r="W1044" s="185"/>
      <c r="AE1044" s="185"/>
    </row>
    <row r="1045" spans="20:31" x14ac:dyDescent="0.25">
      <c r="T1045" s="81"/>
      <c r="W1045" s="185"/>
      <c r="AE1045" s="185"/>
    </row>
    <row r="1046" spans="20:31" x14ac:dyDescent="0.25">
      <c r="T1046" s="81"/>
      <c r="W1046" s="185"/>
      <c r="AE1046" s="185"/>
    </row>
    <row r="1047" spans="20:31" x14ac:dyDescent="0.25">
      <c r="T1047" s="81"/>
      <c r="W1047" s="185"/>
      <c r="AE1047" s="185"/>
    </row>
    <row r="1048" spans="20:31" x14ac:dyDescent="0.25">
      <c r="T1048" s="81"/>
      <c r="W1048" s="185"/>
      <c r="AE1048" s="185"/>
    </row>
    <row r="1049" spans="20:31" x14ac:dyDescent="0.25">
      <c r="T1049" s="81"/>
      <c r="W1049" s="185"/>
      <c r="AE1049" s="185"/>
    </row>
    <row r="1050" spans="20:31" x14ac:dyDescent="0.25">
      <c r="T1050" s="81"/>
      <c r="W1050" s="185"/>
      <c r="AE1050" s="185"/>
    </row>
    <row r="1051" spans="20:31" x14ac:dyDescent="0.25">
      <c r="T1051" s="81"/>
      <c r="W1051" s="185"/>
      <c r="AE1051" s="185"/>
    </row>
    <row r="1052" spans="20:31" x14ac:dyDescent="0.25">
      <c r="T1052" s="81"/>
      <c r="W1052" s="185"/>
      <c r="AE1052" s="185"/>
    </row>
    <row r="1053" spans="20:31" x14ac:dyDescent="0.25">
      <c r="T1053" s="81"/>
      <c r="W1053" s="185"/>
      <c r="AE1053" s="185"/>
    </row>
    <row r="1054" spans="20:31" x14ac:dyDescent="0.25">
      <c r="T1054" s="81"/>
      <c r="W1054" s="185"/>
      <c r="AE1054" s="185"/>
    </row>
    <row r="1055" spans="20:31" x14ac:dyDescent="0.25">
      <c r="T1055" s="81"/>
      <c r="W1055" s="185"/>
      <c r="AE1055" s="185"/>
    </row>
    <row r="1056" spans="20:31" x14ac:dyDescent="0.25">
      <c r="T1056" s="81"/>
      <c r="W1056" s="185"/>
      <c r="AE1056" s="185"/>
    </row>
    <row r="1057" spans="20:31" x14ac:dyDescent="0.25">
      <c r="T1057" s="81"/>
      <c r="W1057" s="185"/>
      <c r="AE1057" s="185"/>
    </row>
    <row r="1058" spans="20:31" x14ac:dyDescent="0.25">
      <c r="T1058" s="81"/>
      <c r="W1058" s="185"/>
      <c r="AE1058" s="185"/>
    </row>
    <row r="1059" spans="20:31" x14ac:dyDescent="0.25">
      <c r="T1059" s="81"/>
      <c r="W1059" s="185"/>
      <c r="AE1059" s="185"/>
    </row>
    <row r="1060" spans="20:31" x14ac:dyDescent="0.25">
      <c r="T1060" s="81"/>
      <c r="W1060" s="185"/>
      <c r="AE1060" s="185"/>
    </row>
    <row r="1061" spans="20:31" x14ac:dyDescent="0.25">
      <c r="T1061" s="81"/>
      <c r="W1061" s="185"/>
      <c r="AE1061" s="185"/>
    </row>
    <row r="1062" spans="20:31" x14ac:dyDescent="0.25">
      <c r="T1062" s="81"/>
      <c r="W1062" s="185"/>
      <c r="AE1062" s="185"/>
    </row>
    <row r="1063" spans="20:31" x14ac:dyDescent="0.25">
      <c r="T1063" s="81"/>
      <c r="W1063" s="185"/>
      <c r="AE1063" s="185"/>
    </row>
    <row r="1064" spans="20:31" x14ac:dyDescent="0.25">
      <c r="T1064" s="81"/>
      <c r="W1064" s="185"/>
      <c r="AE1064" s="185"/>
    </row>
    <row r="1065" spans="20:31" x14ac:dyDescent="0.25">
      <c r="T1065" s="81"/>
      <c r="W1065" s="185"/>
      <c r="AE1065" s="185"/>
    </row>
    <row r="1066" spans="20:31" x14ac:dyDescent="0.25">
      <c r="T1066" s="81"/>
      <c r="W1066" s="185"/>
      <c r="AE1066" s="185"/>
    </row>
    <row r="1067" spans="20:31" x14ac:dyDescent="0.25">
      <c r="T1067" s="81"/>
      <c r="W1067" s="185"/>
      <c r="AE1067" s="185"/>
    </row>
    <row r="1068" spans="20:31" x14ac:dyDescent="0.25">
      <c r="T1068" s="81"/>
      <c r="W1068" s="185"/>
      <c r="AE1068" s="185"/>
    </row>
    <row r="1069" spans="20:31" x14ac:dyDescent="0.25">
      <c r="T1069" s="81"/>
      <c r="W1069" s="185"/>
      <c r="AE1069" s="185"/>
    </row>
    <row r="1070" spans="20:31" x14ac:dyDescent="0.25">
      <c r="T1070" s="81"/>
      <c r="W1070" s="185"/>
      <c r="AE1070" s="185"/>
    </row>
    <row r="1071" spans="20:31" x14ac:dyDescent="0.25">
      <c r="T1071" s="81"/>
      <c r="W1071" s="185"/>
      <c r="AE1071" s="185"/>
    </row>
    <row r="1072" spans="20:31" x14ac:dyDescent="0.25">
      <c r="T1072" s="81"/>
      <c r="W1072" s="185"/>
      <c r="AE1072" s="185"/>
    </row>
    <row r="1073" spans="20:31" x14ac:dyDescent="0.25">
      <c r="T1073" s="81"/>
      <c r="W1073" s="185"/>
      <c r="AE1073" s="185"/>
    </row>
    <row r="1074" spans="20:31" x14ac:dyDescent="0.25">
      <c r="T1074" s="81"/>
      <c r="W1074" s="185"/>
      <c r="AE1074" s="185"/>
    </row>
    <row r="1075" spans="20:31" x14ac:dyDescent="0.25">
      <c r="T1075" s="81"/>
      <c r="W1075" s="185"/>
      <c r="AE1075" s="185"/>
    </row>
    <row r="1076" spans="20:31" x14ac:dyDescent="0.25">
      <c r="T1076" s="81"/>
      <c r="W1076" s="185"/>
      <c r="AE1076" s="185"/>
    </row>
    <row r="1077" spans="20:31" x14ac:dyDescent="0.25">
      <c r="T1077" s="81"/>
      <c r="W1077" s="185"/>
      <c r="AE1077" s="185"/>
    </row>
    <row r="1078" spans="20:31" x14ac:dyDescent="0.25">
      <c r="T1078" s="81"/>
      <c r="W1078" s="185"/>
      <c r="AE1078" s="185"/>
    </row>
    <row r="1079" spans="20:31" x14ac:dyDescent="0.25">
      <c r="T1079" s="81"/>
      <c r="W1079" s="185"/>
      <c r="AE1079" s="185"/>
    </row>
    <row r="1080" spans="20:31" x14ac:dyDescent="0.25">
      <c r="T1080" s="81"/>
      <c r="W1080" s="185"/>
      <c r="AE1080" s="185"/>
    </row>
    <row r="1081" spans="20:31" x14ac:dyDescent="0.25">
      <c r="T1081" s="81"/>
      <c r="W1081" s="185"/>
      <c r="AE1081" s="185"/>
    </row>
    <row r="1082" spans="20:31" x14ac:dyDescent="0.25">
      <c r="T1082" s="81"/>
      <c r="W1082" s="185"/>
      <c r="AE1082" s="185"/>
    </row>
    <row r="1083" spans="20:31" x14ac:dyDescent="0.25">
      <c r="T1083" s="81"/>
      <c r="W1083" s="185"/>
      <c r="AE1083" s="185"/>
    </row>
    <row r="1084" spans="20:31" x14ac:dyDescent="0.25">
      <c r="T1084" s="81"/>
      <c r="W1084" s="185"/>
      <c r="AE1084" s="185"/>
    </row>
    <row r="1085" spans="20:31" x14ac:dyDescent="0.25">
      <c r="T1085" s="81"/>
      <c r="W1085" s="185"/>
      <c r="AE1085" s="185"/>
    </row>
    <row r="1086" spans="20:31" x14ac:dyDescent="0.25">
      <c r="T1086" s="81"/>
      <c r="W1086" s="185"/>
      <c r="AE1086" s="185"/>
    </row>
    <row r="1087" spans="20:31" x14ac:dyDescent="0.25">
      <c r="T1087" s="81"/>
      <c r="W1087" s="185"/>
      <c r="AE1087" s="185"/>
    </row>
    <row r="1088" spans="20:31" x14ac:dyDescent="0.25">
      <c r="T1088" s="81"/>
      <c r="W1088" s="185"/>
      <c r="AE1088" s="185"/>
    </row>
    <row r="1089" spans="20:31" x14ac:dyDescent="0.25">
      <c r="T1089" s="81"/>
      <c r="W1089" s="185"/>
      <c r="AE1089" s="185"/>
    </row>
    <row r="1090" spans="20:31" x14ac:dyDescent="0.25">
      <c r="T1090" s="81"/>
      <c r="W1090" s="185"/>
      <c r="AE1090" s="185"/>
    </row>
    <row r="1091" spans="20:31" x14ac:dyDescent="0.25">
      <c r="T1091" s="81"/>
      <c r="W1091" s="185"/>
      <c r="AE1091" s="185"/>
    </row>
    <row r="1092" spans="20:31" x14ac:dyDescent="0.25">
      <c r="T1092" s="81"/>
      <c r="W1092" s="185"/>
      <c r="AE1092" s="185"/>
    </row>
    <row r="1093" spans="20:31" x14ac:dyDescent="0.25">
      <c r="T1093" s="81"/>
      <c r="W1093" s="185"/>
      <c r="AE1093" s="185"/>
    </row>
    <row r="1094" spans="20:31" x14ac:dyDescent="0.25">
      <c r="T1094" s="81"/>
      <c r="W1094" s="185"/>
      <c r="AE1094" s="185"/>
    </row>
    <row r="1095" spans="20:31" x14ac:dyDescent="0.25">
      <c r="T1095" s="81"/>
      <c r="W1095" s="185"/>
      <c r="AE1095" s="185"/>
    </row>
    <row r="1096" spans="20:31" x14ac:dyDescent="0.25">
      <c r="T1096" s="81"/>
      <c r="W1096" s="185"/>
      <c r="AE1096" s="185"/>
    </row>
    <row r="1097" spans="20:31" x14ac:dyDescent="0.25">
      <c r="T1097" s="81"/>
      <c r="W1097" s="185"/>
      <c r="AE1097" s="185"/>
    </row>
    <row r="1098" spans="20:31" x14ac:dyDescent="0.25">
      <c r="T1098" s="81"/>
      <c r="W1098" s="185"/>
      <c r="AE1098" s="185"/>
    </row>
    <row r="1099" spans="20:31" x14ac:dyDescent="0.25">
      <c r="T1099" s="81"/>
      <c r="W1099" s="185"/>
      <c r="AE1099" s="185"/>
    </row>
    <row r="1100" spans="20:31" x14ac:dyDescent="0.25">
      <c r="T1100" s="81"/>
      <c r="W1100" s="185"/>
      <c r="AE1100" s="185"/>
    </row>
    <row r="1101" spans="20:31" x14ac:dyDescent="0.25">
      <c r="T1101" s="81"/>
      <c r="W1101" s="185"/>
      <c r="AE1101" s="185"/>
    </row>
    <row r="1102" spans="20:31" x14ac:dyDescent="0.25">
      <c r="T1102" s="81"/>
      <c r="W1102" s="185"/>
      <c r="AE1102" s="185"/>
    </row>
    <row r="1103" spans="20:31" x14ac:dyDescent="0.25">
      <c r="T1103" s="81"/>
      <c r="W1103" s="185"/>
      <c r="AE1103" s="185"/>
    </row>
    <row r="1104" spans="20:31" x14ac:dyDescent="0.25">
      <c r="T1104" s="81"/>
      <c r="W1104" s="185"/>
      <c r="AE1104" s="185"/>
    </row>
    <row r="1105" spans="20:31" x14ac:dyDescent="0.25">
      <c r="T1105" s="81"/>
      <c r="W1105" s="185"/>
      <c r="AE1105" s="185"/>
    </row>
    <row r="1106" spans="20:31" x14ac:dyDescent="0.25">
      <c r="T1106" s="81"/>
      <c r="W1106" s="185"/>
      <c r="AE1106" s="185"/>
    </row>
    <row r="1107" spans="20:31" x14ac:dyDescent="0.25">
      <c r="T1107" s="81"/>
      <c r="W1107" s="185"/>
      <c r="AE1107" s="185"/>
    </row>
    <row r="1108" spans="20:31" x14ac:dyDescent="0.25">
      <c r="T1108" s="81"/>
      <c r="W1108" s="185"/>
      <c r="AE1108" s="185"/>
    </row>
    <row r="1109" spans="20:31" x14ac:dyDescent="0.25">
      <c r="T1109" s="81"/>
      <c r="W1109" s="185"/>
      <c r="AE1109" s="185"/>
    </row>
    <row r="1110" spans="20:31" x14ac:dyDescent="0.25">
      <c r="T1110" s="81"/>
      <c r="W1110" s="185"/>
      <c r="AE1110" s="185"/>
    </row>
    <row r="1111" spans="20:31" x14ac:dyDescent="0.25">
      <c r="T1111" s="81"/>
      <c r="W1111" s="185"/>
      <c r="AE1111" s="185"/>
    </row>
    <row r="1112" spans="20:31" x14ac:dyDescent="0.25">
      <c r="T1112" s="81"/>
      <c r="W1112" s="185"/>
      <c r="AE1112" s="185"/>
    </row>
    <row r="1113" spans="20:31" x14ac:dyDescent="0.25">
      <c r="T1113" s="81"/>
      <c r="W1113" s="185"/>
      <c r="AE1113" s="185"/>
    </row>
    <row r="1114" spans="20:31" x14ac:dyDescent="0.25">
      <c r="T1114" s="81"/>
      <c r="W1114" s="185"/>
      <c r="AE1114" s="185"/>
    </row>
    <row r="1115" spans="20:31" x14ac:dyDescent="0.25">
      <c r="T1115" s="81"/>
      <c r="W1115" s="185"/>
      <c r="AE1115" s="185"/>
    </row>
    <row r="1116" spans="20:31" x14ac:dyDescent="0.25">
      <c r="T1116" s="81"/>
      <c r="W1116" s="185"/>
      <c r="AE1116" s="185"/>
    </row>
    <row r="1117" spans="20:31" x14ac:dyDescent="0.25">
      <c r="T1117" s="81"/>
      <c r="W1117" s="185"/>
      <c r="AE1117" s="185"/>
    </row>
    <row r="1118" spans="20:31" x14ac:dyDescent="0.25">
      <c r="T1118" s="81"/>
      <c r="W1118" s="185"/>
      <c r="AE1118" s="185"/>
    </row>
    <row r="1119" spans="20:31" x14ac:dyDescent="0.25">
      <c r="T1119" s="81"/>
      <c r="W1119" s="185"/>
      <c r="AE1119" s="185"/>
    </row>
    <row r="1120" spans="20:31" x14ac:dyDescent="0.25">
      <c r="T1120" s="81"/>
      <c r="W1120" s="185"/>
      <c r="AE1120" s="185"/>
    </row>
    <row r="1121" spans="20:31" x14ac:dyDescent="0.25">
      <c r="T1121" s="81"/>
      <c r="W1121" s="185"/>
      <c r="AE1121" s="185"/>
    </row>
    <row r="1122" spans="20:31" x14ac:dyDescent="0.25">
      <c r="T1122" s="81"/>
      <c r="W1122" s="185"/>
      <c r="AE1122" s="185"/>
    </row>
    <row r="1123" spans="20:31" x14ac:dyDescent="0.25">
      <c r="T1123" s="81"/>
      <c r="W1123" s="185"/>
      <c r="AE1123" s="185"/>
    </row>
    <row r="1124" spans="20:31" x14ac:dyDescent="0.25">
      <c r="T1124" s="81"/>
      <c r="W1124" s="185"/>
      <c r="AE1124" s="185"/>
    </row>
    <row r="1125" spans="20:31" x14ac:dyDescent="0.25">
      <c r="T1125" s="81"/>
      <c r="W1125" s="185"/>
      <c r="AE1125" s="185"/>
    </row>
    <row r="1126" spans="20:31" x14ac:dyDescent="0.25">
      <c r="T1126" s="81"/>
      <c r="W1126" s="185"/>
      <c r="AE1126" s="185"/>
    </row>
    <row r="1127" spans="20:31" x14ac:dyDescent="0.25">
      <c r="T1127" s="81"/>
      <c r="W1127" s="185"/>
      <c r="AE1127" s="185"/>
    </row>
    <row r="1128" spans="20:31" x14ac:dyDescent="0.25">
      <c r="T1128" s="81"/>
      <c r="W1128" s="185"/>
      <c r="AE1128" s="185"/>
    </row>
    <row r="1129" spans="20:31" x14ac:dyDescent="0.25">
      <c r="T1129" s="81"/>
      <c r="W1129" s="185"/>
      <c r="AE1129" s="185"/>
    </row>
    <row r="1130" spans="20:31" x14ac:dyDescent="0.25">
      <c r="T1130" s="81"/>
      <c r="W1130" s="185"/>
      <c r="AE1130" s="185"/>
    </row>
    <row r="1131" spans="20:31" x14ac:dyDescent="0.25">
      <c r="T1131" s="81"/>
      <c r="W1131" s="185"/>
      <c r="AE1131" s="185"/>
    </row>
    <row r="1132" spans="20:31" x14ac:dyDescent="0.25">
      <c r="T1132" s="81"/>
      <c r="W1132" s="185"/>
      <c r="AE1132" s="185"/>
    </row>
    <row r="1133" spans="20:31" x14ac:dyDescent="0.25">
      <c r="T1133" s="81"/>
      <c r="W1133" s="185"/>
      <c r="AE1133" s="185"/>
    </row>
    <row r="1134" spans="20:31" x14ac:dyDescent="0.25">
      <c r="T1134" s="81"/>
      <c r="W1134" s="185"/>
      <c r="AE1134" s="185"/>
    </row>
    <row r="1135" spans="20:31" x14ac:dyDescent="0.25">
      <c r="T1135" s="81"/>
      <c r="W1135" s="185"/>
      <c r="AE1135" s="185"/>
    </row>
    <row r="1136" spans="20:31" x14ac:dyDescent="0.25">
      <c r="T1136" s="81"/>
      <c r="W1136" s="185"/>
      <c r="AE1136" s="185"/>
    </row>
    <row r="1137" spans="20:31" x14ac:dyDescent="0.25">
      <c r="T1137" s="81"/>
      <c r="W1137" s="185"/>
      <c r="AE1137" s="185"/>
    </row>
    <row r="1138" spans="20:31" x14ac:dyDescent="0.25">
      <c r="T1138" s="81"/>
      <c r="W1138" s="185"/>
      <c r="AE1138" s="185"/>
    </row>
    <row r="1139" spans="20:31" x14ac:dyDescent="0.25">
      <c r="T1139" s="81"/>
      <c r="W1139" s="185"/>
      <c r="AE1139" s="185"/>
    </row>
    <row r="1140" spans="20:31" x14ac:dyDescent="0.25">
      <c r="T1140" s="81"/>
      <c r="W1140" s="185"/>
      <c r="AE1140" s="185"/>
    </row>
    <row r="1141" spans="20:31" x14ac:dyDescent="0.25">
      <c r="T1141" s="81"/>
      <c r="W1141" s="185"/>
      <c r="AE1141" s="185"/>
    </row>
    <row r="1142" spans="20:31" x14ac:dyDescent="0.25">
      <c r="T1142" s="81"/>
      <c r="W1142" s="185"/>
      <c r="AE1142" s="185"/>
    </row>
    <row r="1143" spans="20:31" x14ac:dyDescent="0.25">
      <c r="T1143" s="81"/>
      <c r="W1143" s="185"/>
      <c r="AE1143" s="185"/>
    </row>
    <row r="1144" spans="20:31" x14ac:dyDescent="0.25">
      <c r="T1144" s="81"/>
      <c r="W1144" s="185"/>
      <c r="AE1144" s="185"/>
    </row>
    <row r="1145" spans="20:31" x14ac:dyDescent="0.25">
      <c r="T1145" s="81"/>
      <c r="W1145" s="185"/>
      <c r="AE1145" s="185"/>
    </row>
    <row r="1146" spans="20:31" x14ac:dyDescent="0.25">
      <c r="T1146" s="81"/>
      <c r="W1146" s="185"/>
      <c r="AE1146" s="185"/>
    </row>
    <row r="1147" spans="20:31" x14ac:dyDescent="0.25">
      <c r="T1147" s="81"/>
      <c r="W1147" s="185"/>
      <c r="AE1147" s="185"/>
    </row>
    <row r="1148" spans="20:31" x14ac:dyDescent="0.25">
      <c r="T1148" s="81"/>
      <c r="W1148" s="185"/>
      <c r="AE1148" s="185"/>
    </row>
    <row r="1149" spans="20:31" x14ac:dyDescent="0.25">
      <c r="T1149" s="81"/>
      <c r="W1149" s="185"/>
      <c r="AE1149" s="185"/>
    </row>
    <row r="1150" spans="20:31" x14ac:dyDescent="0.25">
      <c r="T1150" s="81"/>
      <c r="W1150" s="185"/>
      <c r="AE1150" s="185"/>
    </row>
    <row r="1151" spans="20:31" x14ac:dyDescent="0.25">
      <c r="T1151" s="81"/>
      <c r="W1151" s="185"/>
      <c r="AE1151" s="185"/>
    </row>
    <row r="1152" spans="20:31" x14ac:dyDescent="0.25">
      <c r="T1152" s="81"/>
      <c r="W1152" s="185"/>
      <c r="AE1152" s="185"/>
    </row>
    <row r="1153" spans="20:31" x14ac:dyDescent="0.25">
      <c r="T1153" s="81"/>
      <c r="W1153" s="185"/>
      <c r="AE1153" s="185"/>
    </row>
    <row r="1154" spans="20:31" x14ac:dyDescent="0.25">
      <c r="T1154" s="81"/>
      <c r="W1154" s="185"/>
      <c r="AE1154" s="185"/>
    </row>
    <row r="1155" spans="20:31" x14ac:dyDescent="0.25">
      <c r="T1155" s="81"/>
      <c r="W1155" s="185"/>
      <c r="AE1155" s="185"/>
    </row>
    <row r="1156" spans="20:31" x14ac:dyDescent="0.25">
      <c r="T1156" s="81"/>
      <c r="W1156" s="185"/>
      <c r="AE1156" s="185"/>
    </row>
    <row r="1157" spans="20:31" x14ac:dyDescent="0.25">
      <c r="T1157" s="81"/>
      <c r="W1157" s="185"/>
      <c r="AE1157" s="185"/>
    </row>
    <row r="1158" spans="20:31" x14ac:dyDescent="0.25">
      <c r="T1158" s="81"/>
      <c r="W1158" s="185"/>
      <c r="AE1158" s="185"/>
    </row>
    <row r="1159" spans="20:31" x14ac:dyDescent="0.25">
      <c r="T1159" s="81"/>
      <c r="W1159" s="185"/>
      <c r="AE1159" s="185"/>
    </row>
    <row r="1160" spans="20:31" x14ac:dyDescent="0.25">
      <c r="T1160" s="81"/>
      <c r="W1160" s="185"/>
      <c r="AE1160" s="185"/>
    </row>
    <row r="1161" spans="20:31" x14ac:dyDescent="0.25">
      <c r="T1161" s="81"/>
      <c r="W1161" s="185"/>
      <c r="AE1161" s="185"/>
    </row>
    <row r="1162" spans="20:31" x14ac:dyDescent="0.25">
      <c r="T1162" s="81"/>
      <c r="W1162" s="185"/>
      <c r="AE1162" s="185"/>
    </row>
    <row r="1163" spans="20:31" x14ac:dyDescent="0.25">
      <c r="T1163" s="81"/>
      <c r="W1163" s="185"/>
      <c r="AE1163" s="185"/>
    </row>
    <row r="1164" spans="20:31" x14ac:dyDescent="0.25">
      <c r="T1164" s="81"/>
      <c r="W1164" s="185"/>
      <c r="AE1164" s="185"/>
    </row>
    <row r="1165" spans="20:31" x14ac:dyDescent="0.25">
      <c r="T1165" s="81"/>
      <c r="W1165" s="185"/>
      <c r="AE1165" s="185"/>
    </row>
    <row r="1166" spans="20:31" x14ac:dyDescent="0.25">
      <c r="T1166" s="81"/>
      <c r="W1166" s="185"/>
      <c r="AE1166" s="185"/>
    </row>
    <row r="1167" spans="20:31" x14ac:dyDescent="0.25">
      <c r="T1167" s="81"/>
      <c r="W1167" s="185"/>
      <c r="AE1167" s="185"/>
    </row>
    <row r="1168" spans="20:31" x14ac:dyDescent="0.25">
      <c r="T1168" s="81"/>
      <c r="W1168" s="185"/>
      <c r="AE1168" s="185"/>
    </row>
    <row r="1169" spans="20:31" x14ac:dyDescent="0.25">
      <c r="T1169" s="81"/>
      <c r="W1169" s="185"/>
      <c r="AE1169" s="185"/>
    </row>
    <row r="1170" spans="20:31" x14ac:dyDescent="0.25">
      <c r="T1170" s="81"/>
      <c r="W1170" s="185"/>
      <c r="AE1170" s="185"/>
    </row>
    <row r="1171" spans="20:31" x14ac:dyDescent="0.25">
      <c r="T1171" s="81"/>
      <c r="W1171" s="185"/>
      <c r="AE1171" s="185"/>
    </row>
    <row r="1172" spans="20:31" x14ac:dyDescent="0.25">
      <c r="T1172" s="81"/>
      <c r="W1172" s="185"/>
      <c r="AE1172" s="185"/>
    </row>
    <row r="1173" spans="20:31" x14ac:dyDescent="0.25">
      <c r="T1173" s="81"/>
      <c r="W1173" s="185"/>
      <c r="AE1173" s="185"/>
    </row>
    <row r="1174" spans="20:31" x14ac:dyDescent="0.25">
      <c r="T1174" s="81"/>
      <c r="W1174" s="185"/>
      <c r="AE1174" s="185"/>
    </row>
    <row r="1175" spans="20:31" x14ac:dyDescent="0.25">
      <c r="T1175" s="81"/>
      <c r="W1175" s="185"/>
      <c r="AE1175" s="185"/>
    </row>
    <row r="1176" spans="20:31" x14ac:dyDescent="0.25">
      <c r="T1176" s="81"/>
      <c r="W1176" s="185"/>
      <c r="AE1176" s="185"/>
    </row>
    <row r="1177" spans="20:31" x14ac:dyDescent="0.25">
      <c r="T1177" s="81"/>
      <c r="W1177" s="185"/>
      <c r="AE1177" s="185"/>
    </row>
    <row r="1178" spans="20:31" x14ac:dyDescent="0.25">
      <c r="T1178" s="81"/>
      <c r="W1178" s="185"/>
      <c r="AE1178" s="185"/>
    </row>
    <row r="1179" spans="20:31" x14ac:dyDescent="0.25">
      <c r="T1179" s="81"/>
      <c r="W1179" s="185"/>
      <c r="AE1179" s="185"/>
    </row>
    <row r="1180" spans="20:31" x14ac:dyDescent="0.25">
      <c r="T1180" s="81"/>
      <c r="W1180" s="185"/>
      <c r="AE1180" s="185"/>
    </row>
    <row r="1181" spans="20:31" x14ac:dyDescent="0.25">
      <c r="T1181" s="81"/>
      <c r="W1181" s="185"/>
      <c r="AE1181" s="185"/>
    </row>
    <row r="1182" spans="20:31" x14ac:dyDescent="0.25">
      <c r="T1182" s="81"/>
      <c r="W1182" s="185"/>
      <c r="AE1182" s="185"/>
    </row>
    <row r="1183" spans="20:31" x14ac:dyDescent="0.25">
      <c r="T1183" s="81"/>
      <c r="W1183" s="185"/>
      <c r="AE1183" s="185"/>
    </row>
    <row r="1184" spans="20:31" x14ac:dyDescent="0.25">
      <c r="T1184" s="81"/>
      <c r="W1184" s="185"/>
      <c r="AE1184" s="185"/>
    </row>
    <row r="1185" spans="20:31" x14ac:dyDescent="0.25">
      <c r="T1185" s="81"/>
      <c r="W1185" s="185"/>
      <c r="AE1185" s="185"/>
    </row>
    <row r="1186" spans="20:31" x14ac:dyDescent="0.25">
      <c r="T1186" s="81"/>
      <c r="W1186" s="185"/>
      <c r="AE1186" s="185"/>
    </row>
    <row r="1187" spans="20:31" x14ac:dyDescent="0.25">
      <c r="T1187" s="81"/>
      <c r="W1187" s="185"/>
      <c r="AE1187" s="185"/>
    </row>
    <row r="1188" spans="20:31" x14ac:dyDescent="0.25">
      <c r="T1188" s="81"/>
      <c r="W1188" s="185"/>
      <c r="AE1188" s="185"/>
    </row>
    <row r="1189" spans="20:31" x14ac:dyDescent="0.25">
      <c r="T1189" s="81"/>
      <c r="W1189" s="185"/>
      <c r="AE1189" s="185"/>
    </row>
    <row r="1190" spans="20:31" x14ac:dyDescent="0.25">
      <c r="T1190" s="81"/>
      <c r="W1190" s="185"/>
      <c r="AE1190" s="185"/>
    </row>
    <row r="1191" spans="20:31" x14ac:dyDescent="0.25">
      <c r="T1191" s="81"/>
      <c r="W1191" s="185"/>
      <c r="AE1191" s="185"/>
    </row>
    <row r="1192" spans="20:31" x14ac:dyDescent="0.25">
      <c r="T1192" s="81"/>
      <c r="W1192" s="185"/>
      <c r="AE1192" s="185"/>
    </row>
    <row r="1193" spans="20:31" x14ac:dyDescent="0.25">
      <c r="T1193" s="81"/>
      <c r="W1193" s="185"/>
      <c r="AE1193" s="185"/>
    </row>
    <row r="1194" spans="20:31" x14ac:dyDescent="0.25">
      <c r="T1194" s="81"/>
      <c r="W1194" s="185"/>
      <c r="AE1194" s="185"/>
    </row>
    <row r="1195" spans="20:31" x14ac:dyDescent="0.25">
      <c r="T1195" s="81"/>
      <c r="W1195" s="185"/>
      <c r="AE1195" s="185"/>
    </row>
    <row r="1196" spans="20:31" x14ac:dyDescent="0.25">
      <c r="T1196" s="81"/>
      <c r="W1196" s="185"/>
      <c r="AE1196" s="185"/>
    </row>
    <row r="1197" spans="20:31" x14ac:dyDescent="0.25">
      <c r="T1197" s="81"/>
      <c r="W1197" s="185"/>
      <c r="AE1197" s="185"/>
    </row>
    <row r="1198" spans="20:31" x14ac:dyDescent="0.25">
      <c r="T1198" s="81"/>
      <c r="W1198" s="185"/>
      <c r="AE1198" s="185"/>
    </row>
    <row r="1199" spans="20:31" x14ac:dyDescent="0.25">
      <c r="T1199" s="81"/>
      <c r="W1199" s="185"/>
      <c r="AE1199" s="185"/>
    </row>
    <row r="1200" spans="20:31" x14ac:dyDescent="0.25">
      <c r="T1200" s="81"/>
      <c r="W1200" s="185"/>
      <c r="AE1200" s="185"/>
    </row>
    <row r="1201" spans="20:31" x14ac:dyDescent="0.25">
      <c r="T1201" s="81"/>
      <c r="W1201" s="185"/>
      <c r="AE1201" s="185"/>
    </row>
    <row r="1202" spans="20:31" x14ac:dyDescent="0.25">
      <c r="T1202" s="81"/>
      <c r="W1202" s="185"/>
      <c r="AE1202" s="185"/>
    </row>
    <row r="1203" spans="20:31" x14ac:dyDescent="0.25">
      <c r="T1203" s="81"/>
      <c r="W1203" s="185"/>
      <c r="AE1203" s="185"/>
    </row>
    <row r="1204" spans="20:31" x14ac:dyDescent="0.25">
      <c r="T1204" s="81"/>
      <c r="W1204" s="185"/>
      <c r="AE1204" s="185"/>
    </row>
    <row r="1205" spans="20:31" x14ac:dyDescent="0.25">
      <c r="T1205" s="81"/>
      <c r="W1205" s="185"/>
      <c r="AE1205" s="185"/>
    </row>
    <row r="1206" spans="20:31" x14ac:dyDescent="0.25">
      <c r="T1206" s="81"/>
      <c r="W1206" s="185"/>
      <c r="AE1206" s="185"/>
    </row>
    <row r="1207" spans="20:31" x14ac:dyDescent="0.25">
      <c r="T1207" s="81"/>
      <c r="W1207" s="185"/>
      <c r="AE1207" s="185"/>
    </row>
    <row r="1208" spans="20:31" x14ac:dyDescent="0.25">
      <c r="T1208" s="81"/>
      <c r="W1208" s="185"/>
      <c r="AE1208" s="185"/>
    </row>
    <row r="1209" spans="20:31" x14ac:dyDescent="0.25">
      <c r="T1209" s="81"/>
      <c r="W1209" s="185"/>
      <c r="AE1209" s="185"/>
    </row>
    <row r="1210" spans="20:31" x14ac:dyDescent="0.25">
      <c r="T1210" s="81"/>
      <c r="W1210" s="185"/>
      <c r="AE1210" s="185"/>
    </row>
    <row r="1211" spans="20:31" x14ac:dyDescent="0.25">
      <c r="T1211" s="81"/>
      <c r="W1211" s="185"/>
      <c r="AE1211" s="185"/>
    </row>
    <row r="1212" spans="20:31" x14ac:dyDescent="0.25">
      <c r="T1212" s="81"/>
      <c r="W1212" s="185"/>
      <c r="AE1212" s="185"/>
    </row>
    <row r="1213" spans="20:31" x14ac:dyDescent="0.25">
      <c r="T1213" s="81"/>
      <c r="W1213" s="185"/>
      <c r="AE1213" s="185"/>
    </row>
    <row r="1214" spans="20:31" x14ac:dyDescent="0.25">
      <c r="T1214" s="81"/>
      <c r="W1214" s="185"/>
      <c r="AE1214" s="185"/>
    </row>
    <row r="1215" spans="20:31" x14ac:dyDescent="0.25">
      <c r="T1215" s="81"/>
      <c r="W1215" s="185"/>
      <c r="AE1215" s="185"/>
    </row>
    <row r="1216" spans="20:31" x14ac:dyDescent="0.25">
      <c r="T1216" s="81"/>
      <c r="W1216" s="185"/>
      <c r="AE1216" s="185"/>
    </row>
    <row r="1217" spans="20:31" x14ac:dyDescent="0.25">
      <c r="T1217" s="81"/>
      <c r="W1217" s="185"/>
      <c r="AE1217" s="185"/>
    </row>
    <row r="1218" spans="20:31" x14ac:dyDescent="0.25">
      <c r="T1218" s="81"/>
      <c r="W1218" s="185"/>
      <c r="AE1218" s="185"/>
    </row>
    <row r="1219" spans="20:31" x14ac:dyDescent="0.25">
      <c r="T1219" s="81"/>
      <c r="W1219" s="185"/>
      <c r="AE1219" s="185"/>
    </row>
    <row r="1220" spans="20:31" x14ac:dyDescent="0.25">
      <c r="T1220" s="81"/>
      <c r="W1220" s="185"/>
      <c r="AE1220" s="185"/>
    </row>
    <row r="1221" spans="20:31" x14ac:dyDescent="0.25">
      <c r="T1221" s="81"/>
      <c r="W1221" s="185"/>
      <c r="AE1221" s="185"/>
    </row>
    <row r="1222" spans="20:31" x14ac:dyDescent="0.25">
      <c r="T1222" s="81"/>
      <c r="W1222" s="185"/>
      <c r="AE1222" s="185"/>
    </row>
    <row r="1223" spans="20:31" x14ac:dyDescent="0.25">
      <c r="T1223" s="81"/>
      <c r="W1223" s="185"/>
      <c r="AE1223" s="185"/>
    </row>
    <row r="1224" spans="20:31" x14ac:dyDescent="0.25">
      <c r="T1224" s="81"/>
      <c r="W1224" s="185"/>
      <c r="AE1224" s="185"/>
    </row>
    <row r="1225" spans="20:31" x14ac:dyDescent="0.25">
      <c r="T1225" s="81"/>
      <c r="W1225" s="185"/>
      <c r="AE1225" s="185"/>
    </row>
    <row r="1226" spans="20:31" x14ac:dyDescent="0.25">
      <c r="T1226" s="81"/>
      <c r="W1226" s="185"/>
      <c r="AE1226" s="185"/>
    </row>
    <row r="1227" spans="20:31" x14ac:dyDescent="0.25">
      <c r="T1227" s="81"/>
      <c r="W1227" s="185"/>
      <c r="AE1227" s="185"/>
    </row>
    <row r="1228" spans="20:31" x14ac:dyDescent="0.25">
      <c r="T1228" s="81"/>
      <c r="W1228" s="185"/>
      <c r="AE1228" s="185"/>
    </row>
    <row r="1229" spans="20:31" x14ac:dyDescent="0.25">
      <c r="T1229" s="81"/>
      <c r="W1229" s="185"/>
      <c r="AE1229" s="185"/>
    </row>
    <row r="1230" spans="20:31" x14ac:dyDescent="0.25">
      <c r="T1230" s="81"/>
      <c r="W1230" s="185"/>
      <c r="AE1230" s="185"/>
    </row>
    <row r="1231" spans="20:31" x14ac:dyDescent="0.25">
      <c r="T1231" s="81"/>
      <c r="W1231" s="185"/>
      <c r="AE1231" s="185"/>
    </row>
    <row r="1232" spans="20:31" x14ac:dyDescent="0.25">
      <c r="T1232" s="81"/>
      <c r="W1232" s="185"/>
      <c r="AE1232" s="185"/>
    </row>
    <row r="1233" spans="20:31" x14ac:dyDescent="0.25">
      <c r="T1233" s="81"/>
      <c r="W1233" s="185"/>
      <c r="AE1233" s="185"/>
    </row>
    <row r="1234" spans="20:31" x14ac:dyDescent="0.25">
      <c r="T1234" s="81"/>
      <c r="W1234" s="185"/>
      <c r="AE1234" s="185"/>
    </row>
    <row r="1235" spans="20:31" x14ac:dyDescent="0.25">
      <c r="T1235" s="81"/>
      <c r="W1235" s="185"/>
      <c r="AE1235" s="185"/>
    </row>
    <row r="1236" spans="20:31" x14ac:dyDescent="0.25">
      <c r="T1236" s="81"/>
      <c r="W1236" s="185"/>
      <c r="AE1236" s="185"/>
    </row>
    <row r="1237" spans="20:31" x14ac:dyDescent="0.25">
      <c r="T1237" s="81"/>
      <c r="W1237" s="185"/>
      <c r="AE1237" s="185"/>
    </row>
    <row r="1238" spans="20:31" x14ac:dyDescent="0.25">
      <c r="T1238" s="81"/>
      <c r="W1238" s="185"/>
      <c r="AE1238" s="185"/>
    </row>
    <row r="1239" spans="20:31" x14ac:dyDescent="0.25">
      <c r="T1239" s="81"/>
      <c r="W1239" s="185"/>
      <c r="AE1239" s="185"/>
    </row>
    <row r="1240" spans="20:31" x14ac:dyDescent="0.25">
      <c r="T1240" s="81"/>
      <c r="W1240" s="185"/>
      <c r="AE1240" s="185"/>
    </row>
    <row r="1241" spans="20:31" x14ac:dyDescent="0.25">
      <c r="T1241" s="81"/>
      <c r="W1241" s="185"/>
      <c r="AE1241" s="185"/>
    </row>
    <row r="1242" spans="20:31" x14ac:dyDescent="0.25">
      <c r="T1242" s="81"/>
      <c r="W1242" s="185"/>
      <c r="AE1242" s="185"/>
    </row>
    <row r="1243" spans="20:31" x14ac:dyDescent="0.25">
      <c r="T1243" s="81"/>
      <c r="W1243" s="185"/>
      <c r="AE1243" s="185"/>
    </row>
    <row r="1244" spans="20:31" x14ac:dyDescent="0.25">
      <c r="T1244" s="81"/>
      <c r="W1244" s="185"/>
      <c r="AE1244" s="185"/>
    </row>
    <row r="1245" spans="20:31" x14ac:dyDescent="0.25">
      <c r="T1245" s="81"/>
      <c r="W1245" s="185"/>
      <c r="AE1245" s="185"/>
    </row>
    <row r="1246" spans="20:31" x14ac:dyDescent="0.25">
      <c r="T1246" s="81"/>
      <c r="W1246" s="185"/>
      <c r="AE1246" s="185"/>
    </row>
    <row r="1247" spans="20:31" x14ac:dyDescent="0.25">
      <c r="T1247" s="81"/>
      <c r="W1247" s="185"/>
      <c r="AE1247" s="185"/>
    </row>
    <row r="1248" spans="20:31" x14ac:dyDescent="0.25">
      <c r="T1248" s="81"/>
      <c r="W1248" s="185"/>
      <c r="AE1248" s="185"/>
    </row>
    <row r="1249" spans="20:31" x14ac:dyDescent="0.25">
      <c r="T1249" s="81"/>
      <c r="W1249" s="185"/>
      <c r="AE1249" s="185"/>
    </row>
    <row r="1250" spans="20:31" x14ac:dyDescent="0.25">
      <c r="T1250" s="81"/>
      <c r="W1250" s="185"/>
      <c r="AE1250" s="185"/>
    </row>
    <row r="1251" spans="20:31" x14ac:dyDescent="0.25">
      <c r="T1251" s="81"/>
      <c r="W1251" s="185"/>
      <c r="AE1251" s="185"/>
    </row>
    <row r="1252" spans="20:31" x14ac:dyDescent="0.25">
      <c r="T1252" s="81"/>
      <c r="W1252" s="185"/>
      <c r="AE1252" s="185"/>
    </row>
    <row r="1253" spans="20:31" x14ac:dyDescent="0.25">
      <c r="T1253" s="81"/>
      <c r="W1253" s="185"/>
      <c r="AE1253" s="185"/>
    </row>
    <row r="1254" spans="20:31" x14ac:dyDescent="0.25">
      <c r="T1254" s="81"/>
      <c r="W1254" s="185"/>
      <c r="AE1254" s="185"/>
    </row>
    <row r="1255" spans="20:31" x14ac:dyDescent="0.25">
      <c r="T1255" s="81"/>
      <c r="W1255" s="185"/>
      <c r="AE1255" s="185"/>
    </row>
    <row r="1256" spans="20:31" x14ac:dyDescent="0.25">
      <c r="T1256" s="81"/>
      <c r="W1256" s="185"/>
      <c r="AE1256" s="185"/>
    </row>
    <row r="1257" spans="20:31" x14ac:dyDescent="0.25">
      <c r="T1257" s="81"/>
      <c r="W1257" s="185"/>
      <c r="AE1257" s="185"/>
    </row>
    <row r="1258" spans="20:31" x14ac:dyDescent="0.25">
      <c r="T1258" s="81"/>
      <c r="W1258" s="185"/>
      <c r="AE1258" s="185"/>
    </row>
    <row r="1259" spans="20:31" x14ac:dyDescent="0.25">
      <c r="T1259" s="81"/>
      <c r="W1259" s="185"/>
      <c r="AE1259" s="185"/>
    </row>
    <row r="1260" spans="20:31" x14ac:dyDescent="0.25">
      <c r="T1260" s="81"/>
      <c r="W1260" s="185"/>
      <c r="AE1260" s="185"/>
    </row>
    <row r="1261" spans="20:31" x14ac:dyDescent="0.25">
      <c r="T1261" s="81"/>
      <c r="W1261" s="185"/>
      <c r="AE1261" s="185"/>
    </row>
    <row r="1262" spans="20:31" x14ac:dyDescent="0.25">
      <c r="T1262" s="81"/>
      <c r="W1262" s="185"/>
      <c r="AE1262" s="185"/>
    </row>
    <row r="1263" spans="20:31" x14ac:dyDescent="0.25">
      <c r="T1263" s="81"/>
      <c r="W1263" s="185"/>
      <c r="AE1263" s="185"/>
    </row>
    <row r="1264" spans="20:31" x14ac:dyDescent="0.25">
      <c r="T1264" s="81"/>
      <c r="W1264" s="185"/>
      <c r="AE1264" s="185"/>
    </row>
    <row r="1265" spans="20:31" x14ac:dyDescent="0.25">
      <c r="T1265" s="81"/>
      <c r="W1265" s="185"/>
      <c r="AE1265" s="185"/>
    </row>
    <row r="1266" spans="20:31" x14ac:dyDescent="0.25">
      <c r="T1266" s="81"/>
      <c r="W1266" s="185"/>
      <c r="AE1266" s="185"/>
    </row>
    <row r="1267" spans="20:31" x14ac:dyDescent="0.25">
      <c r="T1267" s="81"/>
      <c r="W1267" s="185"/>
      <c r="AE1267" s="185"/>
    </row>
    <row r="1268" spans="20:31" x14ac:dyDescent="0.25">
      <c r="T1268" s="81"/>
      <c r="W1268" s="185"/>
      <c r="AE1268" s="185"/>
    </row>
    <row r="1269" spans="20:31" x14ac:dyDescent="0.25">
      <c r="T1269" s="81"/>
      <c r="W1269" s="185"/>
      <c r="AE1269" s="185"/>
    </row>
    <row r="1270" spans="20:31" x14ac:dyDescent="0.25">
      <c r="T1270" s="81"/>
      <c r="W1270" s="185"/>
      <c r="AE1270" s="185"/>
    </row>
    <row r="1271" spans="20:31" x14ac:dyDescent="0.25">
      <c r="T1271" s="81"/>
      <c r="W1271" s="185"/>
      <c r="AE1271" s="185"/>
    </row>
    <row r="1272" spans="20:31" x14ac:dyDescent="0.25">
      <c r="T1272" s="81"/>
      <c r="W1272" s="185"/>
      <c r="AE1272" s="185"/>
    </row>
    <row r="1273" spans="20:31" x14ac:dyDescent="0.25">
      <c r="T1273" s="81"/>
      <c r="W1273" s="185"/>
      <c r="AE1273" s="185"/>
    </row>
    <row r="1274" spans="20:31" x14ac:dyDescent="0.25">
      <c r="T1274" s="81"/>
      <c r="W1274" s="185"/>
      <c r="AE1274" s="185"/>
    </row>
    <row r="1275" spans="20:31" x14ac:dyDescent="0.25">
      <c r="T1275" s="81"/>
      <c r="W1275" s="185"/>
      <c r="AE1275" s="185"/>
    </row>
    <row r="1276" spans="20:31" x14ac:dyDescent="0.25">
      <c r="T1276" s="81"/>
      <c r="W1276" s="185"/>
      <c r="AE1276" s="185"/>
    </row>
    <row r="1277" spans="20:31" x14ac:dyDescent="0.25">
      <c r="T1277" s="81"/>
      <c r="W1277" s="185"/>
      <c r="AE1277" s="185"/>
    </row>
    <row r="1278" spans="20:31" x14ac:dyDescent="0.25">
      <c r="T1278" s="81"/>
      <c r="W1278" s="185"/>
      <c r="AE1278" s="185"/>
    </row>
    <row r="1279" spans="20:31" x14ac:dyDescent="0.25">
      <c r="T1279" s="81"/>
      <c r="W1279" s="185"/>
      <c r="AE1279" s="185"/>
    </row>
    <row r="1280" spans="20:31" x14ac:dyDescent="0.25">
      <c r="T1280" s="81"/>
      <c r="W1280" s="185"/>
      <c r="AE1280" s="185"/>
    </row>
    <row r="1281" spans="20:31" x14ac:dyDescent="0.25">
      <c r="T1281" s="81"/>
      <c r="W1281" s="185"/>
      <c r="AE1281" s="185"/>
    </row>
    <row r="1282" spans="20:31" x14ac:dyDescent="0.25">
      <c r="T1282" s="81"/>
      <c r="W1282" s="185"/>
      <c r="AE1282" s="185"/>
    </row>
    <row r="1283" spans="20:31" x14ac:dyDescent="0.25">
      <c r="T1283" s="81"/>
      <c r="W1283" s="185"/>
      <c r="AE1283" s="185"/>
    </row>
    <row r="1284" spans="20:31" x14ac:dyDescent="0.25">
      <c r="T1284" s="81"/>
      <c r="W1284" s="185"/>
      <c r="AE1284" s="185"/>
    </row>
    <row r="1285" spans="20:31" x14ac:dyDescent="0.25">
      <c r="T1285" s="81"/>
      <c r="W1285" s="185"/>
      <c r="AE1285" s="185"/>
    </row>
    <row r="1286" spans="20:31" x14ac:dyDescent="0.25">
      <c r="T1286" s="81"/>
      <c r="W1286" s="185"/>
      <c r="AE1286" s="185"/>
    </row>
    <row r="1287" spans="20:31" x14ac:dyDescent="0.25">
      <c r="T1287" s="81"/>
      <c r="W1287" s="185"/>
      <c r="AE1287" s="185"/>
    </row>
    <row r="1288" spans="20:31" x14ac:dyDescent="0.25">
      <c r="T1288" s="81"/>
      <c r="W1288" s="185"/>
      <c r="AE1288" s="185"/>
    </row>
    <row r="1289" spans="20:31" x14ac:dyDescent="0.25">
      <c r="T1289" s="81"/>
      <c r="W1289" s="185"/>
      <c r="AE1289" s="185"/>
    </row>
    <row r="1290" spans="20:31" x14ac:dyDescent="0.25">
      <c r="T1290" s="81"/>
      <c r="W1290" s="185"/>
      <c r="AE1290" s="185"/>
    </row>
    <row r="1291" spans="20:31" x14ac:dyDescent="0.25">
      <c r="T1291" s="81"/>
      <c r="W1291" s="185"/>
      <c r="AE1291" s="185"/>
    </row>
    <row r="1292" spans="20:31" x14ac:dyDescent="0.25">
      <c r="T1292" s="81"/>
      <c r="W1292" s="185"/>
      <c r="AE1292" s="185"/>
    </row>
    <row r="1293" spans="20:31" x14ac:dyDescent="0.25">
      <c r="T1293" s="81"/>
      <c r="W1293" s="185"/>
      <c r="AE1293" s="185"/>
    </row>
    <row r="1294" spans="20:31" x14ac:dyDescent="0.25">
      <c r="T1294" s="81"/>
      <c r="W1294" s="185"/>
      <c r="AE1294" s="185"/>
    </row>
    <row r="1295" spans="20:31" x14ac:dyDescent="0.25">
      <c r="T1295" s="81"/>
      <c r="W1295" s="185"/>
      <c r="AE1295" s="185"/>
    </row>
    <row r="1296" spans="20:31" x14ac:dyDescent="0.25">
      <c r="T1296" s="81"/>
      <c r="W1296" s="185"/>
      <c r="AE1296" s="185"/>
    </row>
    <row r="1297" spans="20:31" x14ac:dyDescent="0.25">
      <c r="T1297" s="81"/>
      <c r="W1297" s="185"/>
      <c r="AE1297" s="185"/>
    </row>
    <row r="1298" spans="20:31" x14ac:dyDescent="0.25">
      <c r="T1298" s="81"/>
      <c r="W1298" s="185"/>
      <c r="AE1298" s="185"/>
    </row>
    <row r="1299" spans="20:31" x14ac:dyDescent="0.25">
      <c r="T1299" s="81"/>
      <c r="W1299" s="185"/>
      <c r="AE1299" s="185"/>
    </row>
    <row r="1300" spans="20:31" x14ac:dyDescent="0.25">
      <c r="T1300" s="81"/>
      <c r="W1300" s="185"/>
      <c r="AE1300" s="185"/>
    </row>
    <row r="1301" spans="20:31" x14ac:dyDescent="0.25">
      <c r="T1301" s="81"/>
      <c r="W1301" s="185"/>
      <c r="AE1301" s="185"/>
    </row>
    <row r="1302" spans="20:31" x14ac:dyDescent="0.25">
      <c r="T1302" s="81"/>
      <c r="W1302" s="185"/>
      <c r="AE1302" s="185"/>
    </row>
    <row r="1303" spans="20:31" x14ac:dyDescent="0.25">
      <c r="T1303" s="81"/>
      <c r="W1303" s="185"/>
      <c r="AE1303" s="185"/>
    </row>
    <row r="1304" spans="20:31" x14ac:dyDescent="0.25">
      <c r="T1304" s="81"/>
      <c r="W1304" s="185"/>
      <c r="AE1304" s="185"/>
    </row>
    <row r="1305" spans="20:31" x14ac:dyDescent="0.25">
      <c r="T1305" s="81"/>
      <c r="W1305" s="185"/>
      <c r="AE1305" s="185"/>
    </row>
    <row r="1306" spans="20:31" x14ac:dyDescent="0.25">
      <c r="T1306" s="81"/>
      <c r="W1306" s="185"/>
      <c r="AE1306" s="185"/>
    </row>
    <row r="1307" spans="20:31" x14ac:dyDescent="0.25">
      <c r="T1307" s="81"/>
      <c r="W1307" s="185"/>
      <c r="AE1307" s="185"/>
    </row>
    <row r="1308" spans="20:31" x14ac:dyDescent="0.25">
      <c r="T1308" s="81"/>
      <c r="W1308" s="185"/>
      <c r="AE1308" s="185"/>
    </row>
    <row r="1309" spans="20:31" x14ac:dyDescent="0.25">
      <c r="T1309" s="81"/>
      <c r="W1309" s="185"/>
      <c r="AE1309" s="185"/>
    </row>
    <row r="1310" spans="20:31" x14ac:dyDescent="0.25">
      <c r="T1310" s="81"/>
      <c r="W1310" s="185"/>
      <c r="AE1310" s="185"/>
    </row>
    <row r="1311" spans="20:31" x14ac:dyDescent="0.25">
      <c r="T1311" s="81"/>
      <c r="W1311" s="185"/>
      <c r="AE1311" s="185"/>
    </row>
    <row r="1312" spans="20:31" x14ac:dyDescent="0.25">
      <c r="T1312" s="81"/>
      <c r="W1312" s="185"/>
      <c r="AE1312" s="185"/>
    </row>
    <row r="1313" spans="20:31" x14ac:dyDescent="0.25">
      <c r="T1313" s="81"/>
      <c r="W1313" s="185"/>
      <c r="AE1313" s="185"/>
    </row>
    <row r="1314" spans="20:31" x14ac:dyDescent="0.25">
      <c r="T1314" s="81"/>
      <c r="W1314" s="185"/>
      <c r="AE1314" s="185"/>
    </row>
    <row r="1315" spans="20:31" x14ac:dyDescent="0.25">
      <c r="T1315" s="81"/>
      <c r="W1315" s="185"/>
      <c r="AE1315" s="185"/>
    </row>
    <row r="1316" spans="20:31" x14ac:dyDescent="0.25">
      <c r="T1316" s="81"/>
      <c r="W1316" s="185"/>
      <c r="AE1316" s="185"/>
    </row>
    <row r="1317" spans="20:31" x14ac:dyDescent="0.25">
      <c r="T1317" s="81"/>
      <c r="W1317" s="185"/>
      <c r="AE1317" s="185"/>
    </row>
    <row r="1318" spans="20:31" x14ac:dyDescent="0.25">
      <c r="T1318" s="81"/>
      <c r="W1318" s="185"/>
      <c r="AE1318" s="185"/>
    </row>
    <row r="1319" spans="20:31" x14ac:dyDescent="0.25">
      <c r="T1319" s="81"/>
      <c r="W1319" s="185"/>
      <c r="AE1319" s="185"/>
    </row>
    <row r="1320" spans="20:31" x14ac:dyDescent="0.25">
      <c r="T1320" s="81"/>
      <c r="W1320" s="185"/>
      <c r="AE1320" s="185"/>
    </row>
    <row r="1321" spans="20:31" x14ac:dyDescent="0.25">
      <c r="T1321" s="81"/>
      <c r="W1321" s="185"/>
      <c r="AE1321" s="185"/>
    </row>
    <row r="1322" spans="20:31" x14ac:dyDescent="0.25">
      <c r="T1322" s="81"/>
      <c r="W1322" s="185"/>
      <c r="AE1322" s="185"/>
    </row>
    <row r="1323" spans="20:31" x14ac:dyDescent="0.25">
      <c r="T1323" s="81"/>
      <c r="W1323" s="185"/>
      <c r="AE1323" s="185"/>
    </row>
    <row r="1324" spans="20:31" x14ac:dyDescent="0.25">
      <c r="T1324" s="81"/>
      <c r="W1324" s="185"/>
      <c r="AE1324" s="185"/>
    </row>
    <row r="1325" spans="20:31" x14ac:dyDescent="0.25">
      <c r="T1325" s="81"/>
      <c r="W1325" s="185"/>
      <c r="AE1325" s="185"/>
    </row>
    <row r="1326" spans="20:31" x14ac:dyDescent="0.25">
      <c r="T1326" s="81"/>
      <c r="W1326" s="185"/>
      <c r="AE1326" s="185"/>
    </row>
    <row r="1327" spans="20:31" x14ac:dyDescent="0.25">
      <c r="T1327" s="81"/>
      <c r="W1327" s="185"/>
      <c r="AE1327" s="185"/>
    </row>
    <row r="1328" spans="20:31" x14ac:dyDescent="0.25">
      <c r="T1328" s="81"/>
      <c r="W1328" s="185"/>
      <c r="AE1328" s="185"/>
    </row>
    <row r="1329" spans="20:31" x14ac:dyDescent="0.25">
      <c r="T1329" s="81"/>
      <c r="W1329" s="185"/>
      <c r="AE1329" s="185"/>
    </row>
    <row r="1330" spans="20:31" x14ac:dyDescent="0.25">
      <c r="T1330" s="81"/>
      <c r="W1330" s="185"/>
      <c r="AE1330" s="185"/>
    </row>
    <row r="1331" spans="20:31" x14ac:dyDescent="0.25">
      <c r="T1331" s="81"/>
      <c r="W1331" s="185"/>
      <c r="AE1331" s="185"/>
    </row>
    <row r="1332" spans="20:31" x14ac:dyDescent="0.25">
      <c r="T1332" s="81"/>
      <c r="W1332" s="185"/>
      <c r="AE1332" s="185"/>
    </row>
    <row r="1333" spans="20:31" x14ac:dyDescent="0.25">
      <c r="T1333" s="81"/>
      <c r="W1333" s="185"/>
      <c r="AE1333" s="185"/>
    </row>
    <row r="1334" spans="20:31" x14ac:dyDescent="0.25">
      <c r="T1334" s="81"/>
      <c r="W1334" s="185"/>
      <c r="AE1334" s="185"/>
    </row>
    <row r="1335" spans="20:31" x14ac:dyDescent="0.25">
      <c r="T1335" s="81"/>
      <c r="W1335" s="185"/>
      <c r="AE1335" s="185"/>
    </row>
    <row r="1336" spans="20:31" x14ac:dyDescent="0.25">
      <c r="T1336" s="81"/>
      <c r="W1336" s="185"/>
      <c r="AE1336" s="185"/>
    </row>
    <row r="1337" spans="20:31" x14ac:dyDescent="0.25">
      <c r="T1337" s="81"/>
      <c r="W1337" s="185"/>
      <c r="AE1337" s="185"/>
    </row>
    <row r="1338" spans="20:31" x14ac:dyDescent="0.25">
      <c r="T1338" s="81"/>
      <c r="W1338" s="185"/>
      <c r="AE1338" s="185"/>
    </row>
    <row r="1339" spans="20:31" x14ac:dyDescent="0.25">
      <c r="T1339" s="81"/>
      <c r="W1339" s="185"/>
      <c r="AE1339" s="185"/>
    </row>
    <row r="1340" spans="20:31" x14ac:dyDescent="0.25">
      <c r="T1340" s="81"/>
      <c r="W1340" s="185"/>
      <c r="AE1340" s="185"/>
    </row>
    <row r="1341" spans="20:31" x14ac:dyDescent="0.25">
      <c r="T1341" s="81"/>
      <c r="W1341" s="185"/>
      <c r="AE1341" s="185"/>
    </row>
    <row r="1342" spans="20:31" x14ac:dyDescent="0.25">
      <c r="T1342" s="81"/>
      <c r="W1342" s="185"/>
      <c r="AE1342" s="185"/>
    </row>
    <row r="1343" spans="20:31" x14ac:dyDescent="0.25">
      <c r="T1343" s="81"/>
      <c r="W1343" s="185"/>
      <c r="AE1343" s="185"/>
    </row>
    <row r="1344" spans="20:31" x14ac:dyDescent="0.25">
      <c r="T1344" s="81"/>
      <c r="W1344" s="185"/>
      <c r="AE1344" s="185"/>
    </row>
    <row r="1345" spans="20:31" x14ac:dyDescent="0.25">
      <c r="T1345" s="81"/>
      <c r="W1345" s="185"/>
      <c r="AE1345" s="185"/>
    </row>
    <row r="1346" spans="20:31" x14ac:dyDescent="0.25">
      <c r="T1346" s="81"/>
      <c r="W1346" s="185"/>
      <c r="AE1346" s="185"/>
    </row>
    <row r="1347" spans="20:31" x14ac:dyDescent="0.25">
      <c r="T1347" s="81"/>
      <c r="W1347" s="185"/>
      <c r="AE1347" s="185"/>
    </row>
    <row r="1348" spans="20:31" x14ac:dyDescent="0.25">
      <c r="T1348" s="81"/>
      <c r="W1348" s="185"/>
      <c r="AE1348" s="185"/>
    </row>
    <row r="1349" spans="20:31" x14ac:dyDescent="0.25">
      <c r="T1349" s="81"/>
      <c r="W1349" s="185"/>
      <c r="AE1349" s="185"/>
    </row>
    <row r="1350" spans="20:31" x14ac:dyDescent="0.25">
      <c r="T1350" s="81"/>
      <c r="W1350" s="185"/>
      <c r="AE1350" s="185"/>
    </row>
    <row r="1351" spans="20:31" x14ac:dyDescent="0.25">
      <c r="T1351" s="81"/>
      <c r="W1351" s="185"/>
      <c r="AE1351" s="185"/>
    </row>
    <row r="1352" spans="20:31" x14ac:dyDescent="0.25">
      <c r="T1352" s="81"/>
      <c r="W1352" s="185"/>
      <c r="AE1352" s="185"/>
    </row>
    <row r="1353" spans="20:31" x14ac:dyDescent="0.25">
      <c r="T1353" s="81"/>
      <c r="W1353" s="185"/>
      <c r="AE1353" s="185"/>
    </row>
    <row r="1354" spans="20:31" x14ac:dyDescent="0.25">
      <c r="T1354" s="81"/>
      <c r="W1354" s="185"/>
      <c r="AE1354" s="185"/>
    </row>
    <row r="1355" spans="20:31" x14ac:dyDescent="0.25">
      <c r="T1355" s="81"/>
      <c r="W1355" s="185"/>
      <c r="AE1355" s="185"/>
    </row>
    <row r="1356" spans="20:31" x14ac:dyDescent="0.25">
      <c r="T1356" s="81"/>
      <c r="W1356" s="185"/>
      <c r="AE1356" s="185"/>
    </row>
    <row r="1357" spans="20:31" x14ac:dyDescent="0.25">
      <c r="T1357" s="81"/>
      <c r="W1357" s="185"/>
      <c r="AE1357" s="185"/>
    </row>
    <row r="1358" spans="20:31" x14ac:dyDescent="0.25">
      <c r="T1358" s="81"/>
      <c r="W1358" s="185"/>
      <c r="AE1358" s="185"/>
    </row>
    <row r="1359" spans="20:31" x14ac:dyDescent="0.25">
      <c r="T1359" s="81"/>
      <c r="W1359" s="185"/>
      <c r="AE1359" s="185"/>
    </row>
    <row r="1360" spans="20:31" x14ac:dyDescent="0.25">
      <c r="T1360" s="81"/>
      <c r="W1360" s="185"/>
      <c r="AE1360" s="185"/>
    </row>
    <row r="1361" spans="20:31" x14ac:dyDescent="0.25">
      <c r="T1361" s="81"/>
      <c r="W1361" s="185"/>
      <c r="AE1361" s="185"/>
    </row>
    <row r="1362" spans="20:31" x14ac:dyDescent="0.25">
      <c r="T1362" s="81"/>
      <c r="W1362" s="185"/>
      <c r="AE1362" s="185"/>
    </row>
    <row r="1363" spans="20:31" x14ac:dyDescent="0.25">
      <c r="T1363" s="81"/>
      <c r="W1363" s="185"/>
      <c r="AE1363" s="185"/>
    </row>
    <row r="1364" spans="20:31" x14ac:dyDescent="0.25">
      <c r="T1364" s="81"/>
      <c r="W1364" s="185"/>
      <c r="AE1364" s="185"/>
    </row>
    <row r="1365" spans="20:31" x14ac:dyDescent="0.25">
      <c r="T1365" s="81"/>
      <c r="W1365" s="185"/>
      <c r="AE1365" s="185"/>
    </row>
    <row r="1366" spans="20:31" x14ac:dyDescent="0.25">
      <c r="T1366" s="81"/>
      <c r="W1366" s="185"/>
      <c r="AE1366" s="185"/>
    </row>
    <row r="1367" spans="20:31" x14ac:dyDescent="0.25">
      <c r="T1367" s="81"/>
      <c r="W1367" s="185"/>
      <c r="AE1367" s="185"/>
    </row>
    <row r="1368" spans="20:31" x14ac:dyDescent="0.25">
      <c r="T1368" s="81"/>
      <c r="W1368" s="185"/>
      <c r="AE1368" s="185"/>
    </row>
    <row r="1369" spans="20:31" x14ac:dyDescent="0.25">
      <c r="T1369" s="81"/>
      <c r="W1369" s="185"/>
      <c r="AE1369" s="185"/>
    </row>
    <row r="1370" spans="20:31" x14ac:dyDescent="0.25">
      <c r="T1370" s="81"/>
      <c r="W1370" s="185"/>
      <c r="AE1370" s="185"/>
    </row>
    <row r="1371" spans="20:31" x14ac:dyDescent="0.25">
      <c r="T1371" s="81"/>
      <c r="W1371" s="185"/>
      <c r="AE1371" s="185"/>
    </row>
    <row r="1372" spans="20:31" x14ac:dyDescent="0.25">
      <c r="T1372" s="81"/>
      <c r="W1372" s="185"/>
      <c r="AE1372" s="185"/>
    </row>
    <row r="1373" spans="20:31" x14ac:dyDescent="0.25">
      <c r="T1373" s="81"/>
      <c r="W1373" s="185"/>
      <c r="AE1373" s="185"/>
    </row>
    <row r="1374" spans="20:31" x14ac:dyDescent="0.25">
      <c r="T1374" s="81"/>
      <c r="W1374" s="185"/>
      <c r="AE1374" s="185"/>
    </row>
    <row r="1375" spans="20:31" x14ac:dyDescent="0.25">
      <c r="T1375" s="81"/>
      <c r="W1375" s="185"/>
      <c r="AE1375" s="185"/>
    </row>
    <row r="1376" spans="20:31" x14ac:dyDescent="0.25">
      <c r="T1376" s="81"/>
      <c r="W1376" s="185"/>
      <c r="AE1376" s="185"/>
    </row>
    <row r="1377" spans="20:31" x14ac:dyDescent="0.25">
      <c r="T1377" s="81"/>
      <c r="W1377" s="185"/>
      <c r="AE1377" s="185"/>
    </row>
    <row r="1378" spans="20:31" x14ac:dyDescent="0.25">
      <c r="T1378" s="81"/>
      <c r="W1378" s="185"/>
      <c r="AE1378" s="185"/>
    </row>
    <row r="1379" spans="20:31" x14ac:dyDescent="0.25">
      <c r="T1379" s="81"/>
      <c r="W1379" s="185"/>
      <c r="AE1379" s="185"/>
    </row>
    <row r="1380" spans="20:31" x14ac:dyDescent="0.25">
      <c r="T1380" s="81"/>
      <c r="W1380" s="185"/>
      <c r="AE1380" s="185"/>
    </row>
    <row r="1381" spans="20:31" x14ac:dyDescent="0.25">
      <c r="T1381" s="81"/>
      <c r="W1381" s="185"/>
      <c r="AE1381" s="185"/>
    </row>
    <row r="1382" spans="20:31" x14ac:dyDescent="0.25">
      <c r="T1382" s="81"/>
      <c r="W1382" s="185"/>
      <c r="AE1382" s="185"/>
    </row>
    <row r="1383" spans="20:31" x14ac:dyDescent="0.25">
      <c r="T1383" s="81"/>
      <c r="W1383" s="185"/>
      <c r="AE1383" s="185"/>
    </row>
    <row r="1384" spans="20:31" x14ac:dyDescent="0.25">
      <c r="T1384" s="81"/>
      <c r="W1384" s="185"/>
      <c r="AE1384" s="185"/>
    </row>
    <row r="1385" spans="20:31" x14ac:dyDescent="0.25">
      <c r="T1385" s="81"/>
      <c r="W1385" s="185"/>
      <c r="AE1385" s="185"/>
    </row>
    <row r="1386" spans="20:31" x14ac:dyDescent="0.25">
      <c r="T1386" s="81"/>
      <c r="W1386" s="185"/>
      <c r="AE1386" s="185"/>
    </row>
    <row r="1387" spans="20:31" x14ac:dyDescent="0.25">
      <c r="T1387" s="81"/>
      <c r="W1387" s="185"/>
      <c r="AE1387" s="185"/>
    </row>
    <row r="1388" spans="20:31" x14ac:dyDescent="0.25">
      <c r="T1388" s="81"/>
      <c r="W1388" s="185"/>
      <c r="AE1388" s="185"/>
    </row>
    <row r="1389" spans="20:31" x14ac:dyDescent="0.25">
      <c r="T1389" s="81"/>
      <c r="W1389" s="185"/>
      <c r="AE1389" s="185"/>
    </row>
    <row r="1390" spans="20:31" x14ac:dyDescent="0.25">
      <c r="T1390" s="81"/>
      <c r="W1390" s="185"/>
      <c r="AE1390" s="185"/>
    </row>
    <row r="1391" spans="20:31" x14ac:dyDescent="0.25">
      <c r="T1391" s="81"/>
      <c r="W1391" s="185"/>
      <c r="AE1391" s="185"/>
    </row>
    <row r="1392" spans="20:31" x14ac:dyDescent="0.25">
      <c r="T1392" s="81"/>
      <c r="W1392" s="185"/>
      <c r="AE1392" s="185"/>
    </row>
    <row r="1393" spans="20:31" x14ac:dyDescent="0.25">
      <c r="T1393" s="81"/>
      <c r="W1393" s="185"/>
      <c r="AE1393" s="185"/>
    </row>
    <row r="1394" spans="20:31" x14ac:dyDescent="0.25">
      <c r="T1394" s="81"/>
      <c r="W1394" s="185"/>
      <c r="AE1394" s="185"/>
    </row>
    <row r="1395" spans="20:31" x14ac:dyDescent="0.25">
      <c r="T1395" s="81"/>
      <c r="W1395" s="185"/>
      <c r="AE1395" s="185"/>
    </row>
    <row r="1396" spans="20:31" x14ac:dyDescent="0.25">
      <c r="T1396" s="81"/>
      <c r="W1396" s="185"/>
      <c r="AE1396" s="185"/>
    </row>
    <row r="1397" spans="20:31" x14ac:dyDescent="0.25">
      <c r="T1397" s="81"/>
      <c r="W1397" s="185"/>
      <c r="AE1397" s="185"/>
    </row>
    <row r="1398" spans="20:31" x14ac:dyDescent="0.25">
      <c r="T1398" s="81"/>
      <c r="W1398" s="185"/>
      <c r="AE1398" s="185"/>
    </row>
    <row r="1399" spans="20:31" x14ac:dyDescent="0.25">
      <c r="T1399" s="81"/>
      <c r="W1399" s="185"/>
      <c r="AE1399" s="185"/>
    </row>
    <row r="1400" spans="20:31" x14ac:dyDescent="0.25">
      <c r="T1400" s="81"/>
      <c r="W1400" s="185"/>
      <c r="AE1400" s="185"/>
    </row>
    <row r="1401" spans="20:31" x14ac:dyDescent="0.25">
      <c r="T1401" s="81"/>
      <c r="W1401" s="185"/>
      <c r="AE1401" s="185"/>
    </row>
    <row r="1402" spans="20:31" x14ac:dyDescent="0.25">
      <c r="T1402" s="81"/>
      <c r="W1402" s="185"/>
      <c r="AE1402" s="185"/>
    </row>
    <row r="1403" spans="20:31" x14ac:dyDescent="0.25">
      <c r="T1403" s="81"/>
      <c r="W1403" s="185"/>
      <c r="AE1403" s="185"/>
    </row>
    <row r="1404" spans="20:31" x14ac:dyDescent="0.25">
      <c r="T1404" s="81"/>
      <c r="W1404" s="185"/>
      <c r="AE1404" s="185"/>
    </row>
    <row r="1405" spans="20:31" x14ac:dyDescent="0.25">
      <c r="T1405" s="81"/>
      <c r="W1405" s="185"/>
      <c r="AE1405" s="185"/>
    </row>
    <row r="1406" spans="20:31" x14ac:dyDescent="0.25">
      <c r="T1406" s="81"/>
      <c r="W1406" s="185"/>
      <c r="AE1406" s="185"/>
    </row>
    <row r="1407" spans="20:31" x14ac:dyDescent="0.25">
      <c r="T1407" s="81"/>
      <c r="W1407" s="185"/>
      <c r="AE1407" s="185"/>
    </row>
    <row r="1408" spans="20:31" x14ac:dyDescent="0.25">
      <c r="T1408" s="81"/>
      <c r="W1408" s="185"/>
      <c r="AE1408" s="185"/>
    </row>
    <row r="1409" spans="20:31" x14ac:dyDescent="0.25">
      <c r="T1409" s="81"/>
      <c r="W1409" s="185"/>
      <c r="AE1409" s="185"/>
    </row>
    <row r="1410" spans="20:31" x14ac:dyDescent="0.25">
      <c r="T1410" s="81"/>
      <c r="W1410" s="185"/>
      <c r="AE1410" s="185"/>
    </row>
    <row r="1411" spans="20:31" x14ac:dyDescent="0.25">
      <c r="T1411" s="81"/>
      <c r="W1411" s="185"/>
      <c r="AE1411" s="185"/>
    </row>
    <row r="1412" spans="20:31" x14ac:dyDescent="0.25">
      <c r="T1412" s="81"/>
      <c r="W1412" s="185"/>
      <c r="AE1412" s="185"/>
    </row>
    <row r="1413" spans="20:31" x14ac:dyDescent="0.25">
      <c r="T1413" s="81"/>
      <c r="W1413" s="185"/>
      <c r="AE1413" s="185"/>
    </row>
    <row r="1414" spans="20:31" x14ac:dyDescent="0.25">
      <c r="T1414" s="81"/>
      <c r="W1414" s="185"/>
      <c r="AE1414" s="185"/>
    </row>
    <row r="1415" spans="20:31" x14ac:dyDescent="0.25">
      <c r="T1415" s="81"/>
      <c r="W1415" s="185"/>
      <c r="AE1415" s="185"/>
    </row>
    <row r="1416" spans="20:31" x14ac:dyDescent="0.25">
      <c r="T1416" s="81"/>
      <c r="W1416" s="185"/>
      <c r="AE1416" s="185"/>
    </row>
    <row r="1417" spans="20:31" x14ac:dyDescent="0.25">
      <c r="T1417" s="81"/>
      <c r="W1417" s="185"/>
      <c r="AE1417" s="185"/>
    </row>
    <row r="1418" spans="20:31" x14ac:dyDescent="0.25">
      <c r="T1418" s="81"/>
      <c r="W1418" s="185"/>
      <c r="AE1418" s="185"/>
    </row>
    <row r="1419" spans="20:31" x14ac:dyDescent="0.25">
      <c r="T1419" s="81"/>
      <c r="W1419" s="185"/>
      <c r="AE1419" s="185"/>
    </row>
    <row r="1420" spans="20:31" x14ac:dyDescent="0.25">
      <c r="T1420" s="81"/>
      <c r="W1420" s="185"/>
      <c r="AE1420" s="185"/>
    </row>
    <row r="1421" spans="20:31" x14ac:dyDescent="0.25">
      <c r="T1421" s="81"/>
      <c r="W1421" s="185"/>
      <c r="AE1421" s="185"/>
    </row>
    <row r="1422" spans="20:31" x14ac:dyDescent="0.25">
      <c r="T1422" s="81"/>
      <c r="W1422" s="185"/>
      <c r="AE1422" s="185"/>
    </row>
    <row r="1423" spans="20:31" x14ac:dyDescent="0.25">
      <c r="T1423" s="81"/>
      <c r="W1423" s="185"/>
      <c r="AE1423" s="185"/>
    </row>
    <row r="1424" spans="20:31" x14ac:dyDescent="0.25">
      <c r="T1424" s="81"/>
      <c r="W1424" s="185"/>
      <c r="AE1424" s="185"/>
    </row>
    <row r="1425" spans="20:31" x14ac:dyDescent="0.25">
      <c r="T1425" s="81"/>
      <c r="W1425" s="185"/>
      <c r="AE1425" s="185"/>
    </row>
    <row r="1426" spans="20:31" x14ac:dyDescent="0.25">
      <c r="T1426" s="81"/>
      <c r="W1426" s="185"/>
      <c r="AE1426" s="185"/>
    </row>
    <row r="1427" spans="20:31" x14ac:dyDescent="0.25">
      <c r="T1427" s="81"/>
      <c r="W1427" s="185"/>
      <c r="AE1427" s="185"/>
    </row>
    <row r="1428" spans="20:31" x14ac:dyDescent="0.25">
      <c r="T1428" s="81"/>
      <c r="W1428" s="185"/>
      <c r="AE1428" s="185"/>
    </row>
    <row r="1429" spans="20:31" x14ac:dyDescent="0.25">
      <c r="T1429" s="81"/>
      <c r="W1429" s="185"/>
      <c r="AE1429" s="185"/>
    </row>
    <row r="1430" spans="20:31" x14ac:dyDescent="0.25">
      <c r="T1430" s="81"/>
      <c r="W1430" s="185"/>
      <c r="AE1430" s="185"/>
    </row>
    <row r="1431" spans="20:31" x14ac:dyDescent="0.25">
      <c r="T1431" s="81"/>
      <c r="W1431" s="185"/>
      <c r="AE1431" s="185"/>
    </row>
    <row r="1432" spans="20:31" x14ac:dyDescent="0.25">
      <c r="T1432" s="81"/>
      <c r="W1432" s="185"/>
      <c r="AE1432" s="185"/>
    </row>
    <row r="1433" spans="20:31" x14ac:dyDescent="0.25">
      <c r="T1433" s="81"/>
      <c r="W1433" s="185"/>
      <c r="AE1433" s="185"/>
    </row>
    <row r="1434" spans="20:31" x14ac:dyDescent="0.25">
      <c r="T1434" s="81"/>
      <c r="W1434" s="185"/>
      <c r="AE1434" s="185"/>
    </row>
    <row r="1435" spans="20:31" x14ac:dyDescent="0.25">
      <c r="T1435" s="81"/>
      <c r="W1435" s="185"/>
      <c r="AE1435" s="185"/>
    </row>
    <row r="1436" spans="20:31" x14ac:dyDescent="0.25">
      <c r="T1436" s="81"/>
      <c r="W1436" s="185"/>
      <c r="AE1436" s="185"/>
    </row>
    <row r="1437" spans="20:31" x14ac:dyDescent="0.25">
      <c r="T1437" s="81"/>
      <c r="W1437" s="185"/>
      <c r="AE1437" s="185"/>
    </row>
    <row r="1438" spans="20:31" x14ac:dyDescent="0.25">
      <c r="T1438" s="81"/>
      <c r="W1438" s="185"/>
      <c r="AE1438" s="185"/>
    </row>
    <row r="1439" spans="20:31" x14ac:dyDescent="0.25">
      <c r="T1439" s="81"/>
      <c r="W1439" s="185"/>
      <c r="AE1439" s="185"/>
    </row>
    <row r="1440" spans="20:31" x14ac:dyDescent="0.25">
      <c r="T1440" s="81"/>
      <c r="W1440" s="185"/>
      <c r="AE1440" s="185"/>
    </row>
    <row r="1441" spans="20:31" x14ac:dyDescent="0.25">
      <c r="T1441" s="81"/>
      <c r="W1441" s="185"/>
      <c r="AE1441" s="185"/>
    </row>
    <row r="1442" spans="20:31" x14ac:dyDescent="0.25">
      <c r="T1442" s="81"/>
      <c r="W1442" s="185"/>
      <c r="AE1442" s="185"/>
    </row>
    <row r="1443" spans="20:31" x14ac:dyDescent="0.25">
      <c r="T1443" s="81"/>
      <c r="W1443" s="185"/>
      <c r="AE1443" s="185"/>
    </row>
    <row r="1444" spans="20:31" x14ac:dyDescent="0.25">
      <c r="T1444" s="81"/>
      <c r="W1444" s="185"/>
      <c r="AE1444" s="185"/>
    </row>
    <row r="1445" spans="20:31" x14ac:dyDescent="0.25">
      <c r="T1445" s="81"/>
      <c r="W1445" s="185"/>
      <c r="AE1445" s="185"/>
    </row>
    <row r="1446" spans="20:31" x14ac:dyDescent="0.25">
      <c r="T1446" s="81"/>
      <c r="W1446" s="185"/>
      <c r="AE1446" s="185"/>
    </row>
    <row r="1447" spans="20:31" x14ac:dyDescent="0.25">
      <c r="T1447" s="81"/>
      <c r="W1447" s="185"/>
      <c r="AE1447" s="185"/>
    </row>
    <row r="1448" spans="20:31" x14ac:dyDescent="0.25">
      <c r="T1448" s="81"/>
      <c r="W1448" s="185"/>
      <c r="AE1448" s="185"/>
    </row>
    <row r="1449" spans="20:31" x14ac:dyDescent="0.25">
      <c r="T1449" s="81"/>
      <c r="W1449" s="185"/>
      <c r="AE1449" s="185"/>
    </row>
    <row r="1450" spans="20:31" x14ac:dyDescent="0.25">
      <c r="T1450" s="81"/>
      <c r="W1450" s="185"/>
      <c r="AE1450" s="185"/>
    </row>
    <row r="1451" spans="20:31" x14ac:dyDescent="0.25">
      <c r="T1451" s="81"/>
      <c r="W1451" s="185"/>
      <c r="AE1451" s="185"/>
    </row>
    <row r="1452" spans="20:31" x14ac:dyDescent="0.25">
      <c r="T1452" s="81"/>
      <c r="W1452" s="185"/>
      <c r="AE1452" s="185"/>
    </row>
    <row r="1453" spans="20:31" x14ac:dyDescent="0.25">
      <c r="T1453" s="81"/>
      <c r="W1453" s="185"/>
      <c r="AE1453" s="185"/>
    </row>
    <row r="1454" spans="20:31" x14ac:dyDescent="0.25">
      <c r="T1454" s="81"/>
      <c r="W1454" s="185"/>
      <c r="AE1454" s="185"/>
    </row>
    <row r="1455" spans="20:31" x14ac:dyDescent="0.25">
      <c r="T1455" s="81"/>
      <c r="W1455" s="185"/>
      <c r="AE1455" s="185"/>
    </row>
    <row r="1456" spans="20:31" x14ac:dyDescent="0.25">
      <c r="T1456" s="81"/>
      <c r="W1456" s="185"/>
      <c r="AE1456" s="185"/>
    </row>
    <row r="1457" spans="20:31" x14ac:dyDescent="0.25">
      <c r="T1457" s="81"/>
      <c r="W1457" s="185"/>
      <c r="AE1457" s="185"/>
    </row>
    <row r="1458" spans="20:31" x14ac:dyDescent="0.25">
      <c r="T1458" s="81"/>
      <c r="W1458" s="185"/>
      <c r="AE1458" s="185"/>
    </row>
    <row r="1459" spans="20:31" x14ac:dyDescent="0.25">
      <c r="T1459" s="81"/>
      <c r="W1459" s="185"/>
      <c r="AE1459" s="185"/>
    </row>
    <row r="1460" spans="20:31" x14ac:dyDescent="0.25">
      <c r="T1460" s="81"/>
      <c r="W1460" s="185"/>
      <c r="AE1460" s="185"/>
    </row>
    <row r="1461" spans="20:31" x14ac:dyDescent="0.25">
      <c r="T1461" s="81"/>
      <c r="W1461" s="185"/>
      <c r="AE1461" s="185"/>
    </row>
    <row r="1462" spans="20:31" x14ac:dyDescent="0.25">
      <c r="T1462" s="81"/>
      <c r="W1462" s="185"/>
      <c r="AE1462" s="185"/>
    </row>
    <row r="1463" spans="20:31" x14ac:dyDescent="0.25">
      <c r="T1463" s="81"/>
      <c r="W1463" s="185"/>
      <c r="AE1463" s="185"/>
    </row>
    <row r="1464" spans="20:31" x14ac:dyDescent="0.25">
      <c r="T1464" s="81"/>
      <c r="W1464" s="185"/>
      <c r="AE1464" s="185"/>
    </row>
    <row r="1465" spans="20:31" x14ac:dyDescent="0.25">
      <c r="T1465" s="81"/>
      <c r="W1465" s="185"/>
      <c r="AE1465" s="185"/>
    </row>
    <row r="1466" spans="20:31" x14ac:dyDescent="0.25">
      <c r="T1466" s="81"/>
      <c r="W1466" s="185"/>
      <c r="AE1466" s="185"/>
    </row>
    <row r="1467" spans="20:31" x14ac:dyDescent="0.25">
      <c r="T1467" s="81"/>
      <c r="W1467" s="185"/>
      <c r="AE1467" s="185"/>
    </row>
    <row r="1468" spans="20:31" x14ac:dyDescent="0.25">
      <c r="T1468" s="81"/>
      <c r="W1468" s="185"/>
      <c r="AE1468" s="185"/>
    </row>
    <row r="1469" spans="20:31" x14ac:dyDescent="0.25">
      <c r="T1469" s="81"/>
      <c r="W1469" s="185"/>
      <c r="AE1469" s="185"/>
    </row>
    <row r="1470" spans="20:31" x14ac:dyDescent="0.25">
      <c r="T1470" s="81"/>
      <c r="W1470" s="185"/>
      <c r="AE1470" s="185"/>
    </row>
    <row r="1471" spans="20:31" x14ac:dyDescent="0.25">
      <c r="T1471" s="81"/>
      <c r="W1471" s="185"/>
      <c r="AE1471" s="185"/>
    </row>
    <row r="1472" spans="20:31" x14ac:dyDescent="0.25">
      <c r="T1472" s="81"/>
      <c r="W1472" s="185"/>
      <c r="AE1472" s="185"/>
    </row>
    <row r="1473" spans="20:31" x14ac:dyDescent="0.25">
      <c r="T1473" s="81"/>
      <c r="W1473" s="185"/>
      <c r="AE1473" s="185"/>
    </row>
    <row r="1474" spans="20:31" x14ac:dyDescent="0.25">
      <c r="T1474" s="81"/>
      <c r="W1474" s="185"/>
      <c r="AE1474" s="185"/>
    </row>
    <row r="1475" spans="20:31" x14ac:dyDescent="0.25">
      <c r="T1475" s="81"/>
      <c r="W1475" s="185"/>
      <c r="AE1475" s="185"/>
    </row>
    <row r="1476" spans="20:31" x14ac:dyDescent="0.25">
      <c r="T1476" s="81"/>
      <c r="W1476" s="185"/>
      <c r="AE1476" s="185"/>
    </row>
    <row r="1477" spans="20:31" x14ac:dyDescent="0.25">
      <c r="T1477" s="81"/>
      <c r="W1477" s="185"/>
      <c r="AE1477" s="185"/>
    </row>
    <row r="1478" spans="20:31" x14ac:dyDescent="0.25">
      <c r="T1478" s="81"/>
      <c r="W1478" s="185"/>
      <c r="AE1478" s="185"/>
    </row>
    <row r="1479" spans="20:31" x14ac:dyDescent="0.25">
      <c r="T1479" s="81"/>
      <c r="W1479" s="185"/>
      <c r="AE1479" s="185"/>
    </row>
    <row r="1480" spans="20:31" x14ac:dyDescent="0.25">
      <c r="T1480" s="81"/>
      <c r="W1480" s="185"/>
      <c r="AE1480" s="185"/>
    </row>
    <row r="1481" spans="20:31" x14ac:dyDescent="0.25">
      <c r="T1481" s="81"/>
      <c r="W1481" s="185"/>
      <c r="AE1481" s="185"/>
    </row>
    <row r="1482" spans="20:31" x14ac:dyDescent="0.25">
      <c r="T1482" s="81"/>
      <c r="W1482" s="185"/>
      <c r="AE1482" s="185"/>
    </row>
    <row r="1483" spans="20:31" x14ac:dyDescent="0.25">
      <c r="T1483" s="81"/>
      <c r="W1483" s="185"/>
      <c r="AE1483" s="185"/>
    </row>
    <row r="1484" spans="20:31" x14ac:dyDescent="0.25">
      <c r="T1484" s="81"/>
      <c r="W1484" s="185"/>
      <c r="AE1484" s="185"/>
    </row>
    <row r="1485" spans="20:31" x14ac:dyDescent="0.25">
      <c r="T1485" s="81"/>
      <c r="W1485" s="185"/>
      <c r="AE1485" s="185"/>
    </row>
    <row r="1486" spans="20:31" x14ac:dyDescent="0.25">
      <c r="T1486" s="81"/>
      <c r="W1486" s="185"/>
      <c r="AE1486" s="185"/>
    </row>
    <row r="1487" spans="20:31" x14ac:dyDescent="0.25">
      <c r="T1487" s="81"/>
      <c r="W1487" s="185"/>
      <c r="AE1487" s="185"/>
    </row>
    <row r="1488" spans="20:31" x14ac:dyDescent="0.25">
      <c r="T1488" s="81"/>
      <c r="W1488" s="185"/>
      <c r="AE1488" s="185"/>
    </row>
    <row r="1489" spans="20:31" x14ac:dyDescent="0.25">
      <c r="T1489" s="81"/>
      <c r="W1489" s="185"/>
      <c r="AE1489" s="185"/>
    </row>
    <row r="1490" spans="20:31" x14ac:dyDescent="0.25">
      <c r="T1490" s="81"/>
      <c r="W1490" s="185"/>
      <c r="AE1490" s="185"/>
    </row>
    <row r="1491" spans="20:31" x14ac:dyDescent="0.25">
      <c r="T1491" s="81"/>
      <c r="W1491" s="185"/>
      <c r="AE1491" s="185"/>
    </row>
    <row r="1492" spans="20:31" x14ac:dyDescent="0.25">
      <c r="T1492" s="81"/>
      <c r="W1492" s="185"/>
      <c r="AE1492" s="185"/>
    </row>
    <row r="1493" spans="20:31" x14ac:dyDescent="0.25">
      <c r="T1493" s="81"/>
      <c r="W1493" s="185"/>
      <c r="AE1493" s="185"/>
    </row>
    <row r="1494" spans="20:31" x14ac:dyDescent="0.25">
      <c r="T1494" s="81"/>
      <c r="W1494" s="185"/>
      <c r="AE1494" s="185"/>
    </row>
    <row r="1495" spans="20:31" x14ac:dyDescent="0.25">
      <c r="T1495" s="81"/>
      <c r="W1495" s="185"/>
      <c r="AE1495" s="185"/>
    </row>
    <row r="1496" spans="20:31" x14ac:dyDescent="0.25">
      <c r="T1496" s="81"/>
      <c r="W1496" s="185"/>
      <c r="AE1496" s="185"/>
    </row>
    <row r="1497" spans="20:31" x14ac:dyDescent="0.25">
      <c r="T1497" s="81"/>
      <c r="W1497" s="185"/>
      <c r="AE1497" s="185"/>
    </row>
    <row r="1498" spans="20:31" x14ac:dyDescent="0.25">
      <c r="T1498" s="81"/>
      <c r="W1498" s="185"/>
      <c r="AE1498" s="185"/>
    </row>
    <row r="1499" spans="20:31" x14ac:dyDescent="0.25">
      <c r="T1499" s="81"/>
      <c r="W1499" s="185"/>
      <c r="AE1499" s="185"/>
    </row>
    <row r="1500" spans="20:31" x14ac:dyDescent="0.25">
      <c r="T1500" s="81"/>
      <c r="W1500" s="185"/>
      <c r="AE1500" s="185"/>
    </row>
    <row r="1501" spans="20:31" x14ac:dyDescent="0.25">
      <c r="T1501" s="81"/>
      <c r="W1501" s="185"/>
      <c r="AE1501" s="185"/>
    </row>
    <row r="1502" spans="20:31" x14ac:dyDescent="0.25">
      <c r="T1502" s="81"/>
      <c r="W1502" s="185"/>
      <c r="AE1502" s="185"/>
    </row>
    <row r="1503" spans="20:31" x14ac:dyDescent="0.25">
      <c r="T1503" s="81"/>
      <c r="W1503" s="185"/>
      <c r="AE1503" s="185"/>
    </row>
    <row r="1504" spans="20:31" x14ac:dyDescent="0.25">
      <c r="T1504" s="81"/>
      <c r="W1504" s="185"/>
      <c r="AE1504" s="185"/>
    </row>
    <row r="1505" spans="20:31" x14ac:dyDescent="0.25">
      <c r="T1505" s="81"/>
      <c r="W1505" s="185"/>
      <c r="AE1505" s="185"/>
    </row>
    <row r="1506" spans="20:31" x14ac:dyDescent="0.25">
      <c r="T1506" s="81"/>
      <c r="W1506" s="185"/>
      <c r="AE1506" s="185"/>
    </row>
    <row r="1507" spans="20:31" x14ac:dyDescent="0.25">
      <c r="T1507" s="81"/>
      <c r="W1507" s="185"/>
      <c r="AE1507" s="185"/>
    </row>
    <row r="1508" spans="20:31" x14ac:dyDescent="0.25">
      <c r="T1508" s="81"/>
      <c r="W1508" s="185"/>
      <c r="AE1508" s="185"/>
    </row>
    <row r="1509" spans="20:31" x14ac:dyDescent="0.25">
      <c r="T1509" s="81"/>
      <c r="W1509" s="185"/>
      <c r="AE1509" s="185"/>
    </row>
    <row r="1510" spans="20:31" x14ac:dyDescent="0.25">
      <c r="T1510" s="81"/>
      <c r="W1510" s="185"/>
      <c r="AE1510" s="185"/>
    </row>
    <row r="1511" spans="20:31" x14ac:dyDescent="0.25">
      <c r="T1511" s="81"/>
      <c r="W1511" s="185"/>
      <c r="AE1511" s="185"/>
    </row>
    <row r="1512" spans="20:31" x14ac:dyDescent="0.25">
      <c r="T1512" s="81"/>
      <c r="W1512" s="185"/>
      <c r="AE1512" s="185"/>
    </row>
    <row r="1513" spans="20:31" x14ac:dyDescent="0.25">
      <c r="T1513" s="81"/>
      <c r="W1513" s="185"/>
      <c r="AE1513" s="185"/>
    </row>
    <row r="1514" spans="20:31" x14ac:dyDescent="0.25">
      <c r="T1514" s="81"/>
      <c r="W1514" s="185"/>
      <c r="AE1514" s="185"/>
    </row>
    <row r="1515" spans="20:31" x14ac:dyDescent="0.25">
      <c r="T1515" s="81"/>
      <c r="W1515" s="185"/>
      <c r="AE1515" s="185"/>
    </row>
    <row r="1516" spans="20:31" x14ac:dyDescent="0.25">
      <c r="T1516" s="81"/>
      <c r="W1516" s="185"/>
      <c r="AE1516" s="185"/>
    </row>
    <row r="1517" spans="20:31" x14ac:dyDescent="0.25">
      <c r="T1517" s="81"/>
      <c r="W1517" s="185"/>
      <c r="AE1517" s="185"/>
    </row>
    <row r="1518" spans="20:31" x14ac:dyDescent="0.25">
      <c r="T1518" s="81"/>
      <c r="W1518" s="185"/>
      <c r="AE1518" s="185"/>
    </row>
    <row r="1519" spans="20:31" x14ac:dyDescent="0.25">
      <c r="T1519" s="81"/>
      <c r="W1519" s="185"/>
      <c r="AE1519" s="185"/>
    </row>
    <row r="1520" spans="20:31" x14ac:dyDescent="0.25">
      <c r="T1520" s="81"/>
      <c r="W1520" s="185"/>
      <c r="AE1520" s="185"/>
    </row>
    <row r="1521" spans="20:31" x14ac:dyDescent="0.25">
      <c r="T1521" s="81"/>
      <c r="W1521" s="185"/>
      <c r="AE1521" s="185"/>
    </row>
    <row r="1522" spans="20:31" x14ac:dyDescent="0.25">
      <c r="T1522" s="81"/>
      <c r="W1522" s="185"/>
      <c r="AE1522" s="185"/>
    </row>
    <row r="1523" spans="20:31" x14ac:dyDescent="0.25">
      <c r="T1523" s="81"/>
      <c r="W1523" s="185"/>
      <c r="AE1523" s="185"/>
    </row>
    <row r="1524" spans="20:31" x14ac:dyDescent="0.25">
      <c r="T1524" s="81"/>
      <c r="W1524" s="185"/>
      <c r="AE1524" s="185"/>
    </row>
    <row r="1525" spans="20:31" x14ac:dyDescent="0.25">
      <c r="T1525" s="81"/>
      <c r="W1525" s="185"/>
      <c r="AE1525" s="185"/>
    </row>
    <row r="1526" spans="20:31" x14ac:dyDescent="0.25">
      <c r="T1526" s="81"/>
      <c r="W1526" s="185"/>
      <c r="AE1526" s="185"/>
    </row>
    <row r="1527" spans="20:31" x14ac:dyDescent="0.25">
      <c r="T1527" s="81"/>
      <c r="W1527" s="185"/>
      <c r="AE1527" s="185"/>
    </row>
    <row r="1528" spans="20:31" x14ac:dyDescent="0.25">
      <c r="T1528" s="81"/>
      <c r="W1528" s="185"/>
      <c r="AE1528" s="185"/>
    </row>
    <row r="1529" spans="20:31" x14ac:dyDescent="0.25">
      <c r="T1529" s="81"/>
      <c r="W1529" s="185"/>
      <c r="AE1529" s="185"/>
    </row>
    <row r="1530" spans="20:31" x14ac:dyDescent="0.25">
      <c r="T1530" s="81"/>
      <c r="W1530" s="185"/>
      <c r="AE1530" s="185"/>
    </row>
    <row r="1531" spans="20:31" x14ac:dyDescent="0.25">
      <c r="T1531" s="81"/>
      <c r="W1531" s="185"/>
      <c r="AE1531" s="185"/>
    </row>
    <row r="1532" spans="20:31" x14ac:dyDescent="0.25">
      <c r="T1532" s="81"/>
      <c r="W1532" s="185"/>
      <c r="AE1532" s="185"/>
    </row>
    <row r="1533" spans="20:31" x14ac:dyDescent="0.25">
      <c r="T1533" s="81"/>
      <c r="W1533" s="185"/>
      <c r="AE1533" s="185"/>
    </row>
    <row r="1534" spans="20:31" x14ac:dyDescent="0.25">
      <c r="T1534" s="81"/>
      <c r="W1534" s="185"/>
      <c r="AE1534" s="185"/>
    </row>
    <row r="1535" spans="20:31" x14ac:dyDescent="0.25">
      <c r="T1535" s="81"/>
      <c r="W1535" s="185"/>
      <c r="AE1535" s="185"/>
    </row>
    <row r="1536" spans="20:31" x14ac:dyDescent="0.25">
      <c r="T1536" s="81"/>
      <c r="W1536" s="185"/>
      <c r="AE1536" s="185"/>
    </row>
    <row r="1537" spans="20:31" x14ac:dyDescent="0.25">
      <c r="T1537" s="81"/>
      <c r="W1537" s="185"/>
      <c r="AE1537" s="185"/>
    </row>
    <row r="1538" spans="20:31" x14ac:dyDescent="0.25">
      <c r="T1538" s="81"/>
      <c r="W1538" s="185"/>
      <c r="AE1538" s="185"/>
    </row>
    <row r="1539" spans="20:31" x14ac:dyDescent="0.25">
      <c r="T1539" s="81"/>
      <c r="W1539" s="185"/>
      <c r="AE1539" s="185"/>
    </row>
    <row r="1540" spans="20:31" x14ac:dyDescent="0.25">
      <c r="T1540" s="81"/>
      <c r="W1540" s="185"/>
      <c r="AE1540" s="185"/>
    </row>
    <row r="1541" spans="20:31" x14ac:dyDescent="0.25">
      <c r="T1541" s="81"/>
      <c r="W1541" s="185"/>
      <c r="AE1541" s="185"/>
    </row>
    <row r="1542" spans="20:31" x14ac:dyDescent="0.25">
      <c r="T1542" s="81"/>
      <c r="W1542" s="185"/>
      <c r="AE1542" s="185"/>
    </row>
    <row r="1543" spans="20:31" x14ac:dyDescent="0.25">
      <c r="T1543" s="81"/>
      <c r="W1543" s="185"/>
      <c r="AE1543" s="185"/>
    </row>
    <row r="1544" spans="20:31" x14ac:dyDescent="0.25">
      <c r="T1544" s="81"/>
      <c r="W1544" s="185"/>
      <c r="AE1544" s="185"/>
    </row>
    <row r="1545" spans="20:31" x14ac:dyDescent="0.25">
      <c r="T1545" s="81"/>
      <c r="W1545" s="185"/>
      <c r="AE1545" s="185"/>
    </row>
    <row r="1546" spans="20:31" x14ac:dyDescent="0.25">
      <c r="T1546" s="81"/>
      <c r="W1546" s="185"/>
      <c r="AE1546" s="185"/>
    </row>
    <row r="1547" spans="20:31" x14ac:dyDescent="0.25">
      <c r="T1547" s="81"/>
      <c r="W1547" s="185"/>
      <c r="AE1547" s="185"/>
    </row>
    <row r="1548" spans="20:31" x14ac:dyDescent="0.25">
      <c r="T1548" s="81"/>
      <c r="W1548" s="185"/>
      <c r="AE1548" s="185"/>
    </row>
    <row r="1549" spans="20:31" x14ac:dyDescent="0.25">
      <c r="T1549" s="81"/>
      <c r="W1549" s="185"/>
      <c r="AE1549" s="185"/>
    </row>
    <row r="1550" spans="20:31" x14ac:dyDescent="0.25">
      <c r="T1550" s="81"/>
      <c r="W1550" s="185"/>
      <c r="AE1550" s="185"/>
    </row>
    <row r="1551" spans="20:31" x14ac:dyDescent="0.25">
      <c r="T1551" s="81"/>
      <c r="W1551" s="185"/>
      <c r="AE1551" s="185"/>
    </row>
    <row r="1552" spans="20:31" x14ac:dyDescent="0.25">
      <c r="T1552" s="81"/>
      <c r="W1552" s="185"/>
      <c r="AE1552" s="185"/>
    </row>
    <row r="1553" spans="20:31" x14ac:dyDescent="0.25">
      <c r="T1553" s="81"/>
      <c r="W1553" s="185"/>
      <c r="AE1553" s="185"/>
    </row>
    <row r="1554" spans="20:31" x14ac:dyDescent="0.25">
      <c r="T1554" s="81"/>
      <c r="W1554" s="185"/>
      <c r="AE1554" s="185"/>
    </row>
    <row r="1555" spans="20:31" x14ac:dyDescent="0.25">
      <c r="T1555" s="81"/>
      <c r="W1555" s="185"/>
      <c r="AE1555" s="185"/>
    </row>
    <row r="1556" spans="20:31" x14ac:dyDescent="0.25">
      <c r="T1556" s="81"/>
      <c r="W1556" s="185"/>
      <c r="AE1556" s="185"/>
    </row>
    <row r="1557" spans="20:31" x14ac:dyDescent="0.25">
      <c r="T1557" s="81"/>
      <c r="W1557" s="185"/>
      <c r="AE1557" s="185"/>
    </row>
    <row r="1558" spans="20:31" x14ac:dyDescent="0.25">
      <c r="T1558" s="81"/>
      <c r="W1558" s="185"/>
      <c r="AE1558" s="185"/>
    </row>
    <row r="1559" spans="20:31" x14ac:dyDescent="0.25">
      <c r="T1559" s="81"/>
      <c r="W1559" s="185"/>
      <c r="AE1559" s="185"/>
    </row>
    <row r="1560" spans="20:31" x14ac:dyDescent="0.25">
      <c r="T1560" s="81"/>
      <c r="W1560" s="185"/>
      <c r="AE1560" s="185"/>
    </row>
    <row r="1561" spans="20:31" x14ac:dyDescent="0.25">
      <c r="T1561" s="81"/>
      <c r="W1561" s="185"/>
      <c r="AE1561" s="185"/>
    </row>
    <row r="1562" spans="20:31" x14ac:dyDescent="0.25">
      <c r="T1562" s="81"/>
      <c r="W1562" s="185"/>
      <c r="AE1562" s="185"/>
    </row>
    <row r="1563" spans="20:31" x14ac:dyDescent="0.25">
      <c r="T1563" s="81"/>
      <c r="W1563" s="185"/>
      <c r="AE1563" s="185"/>
    </row>
    <row r="1564" spans="20:31" x14ac:dyDescent="0.25">
      <c r="T1564" s="81"/>
      <c r="W1564" s="185"/>
      <c r="AE1564" s="185"/>
    </row>
    <row r="1565" spans="20:31" x14ac:dyDescent="0.25">
      <c r="T1565" s="81"/>
      <c r="W1565" s="185"/>
      <c r="AE1565" s="185"/>
    </row>
    <row r="1566" spans="20:31" x14ac:dyDescent="0.25">
      <c r="T1566" s="81"/>
      <c r="W1566" s="185"/>
      <c r="AE1566" s="185"/>
    </row>
    <row r="1567" spans="20:31" x14ac:dyDescent="0.25">
      <c r="T1567" s="81"/>
      <c r="W1567" s="185"/>
      <c r="AE1567" s="185"/>
    </row>
    <row r="1568" spans="20:31" x14ac:dyDescent="0.25">
      <c r="T1568" s="81"/>
      <c r="W1568" s="185"/>
      <c r="AE1568" s="185"/>
    </row>
    <row r="1569" spans="20:31" x14ac:dyDescent="0.25">
      <c r="T1569" s="81"/>
      <c r="W1569" s="185"/>
      <c r="AE1569" s="185"/>
    </row>
    <row r="1570" spans="20:31" x14ac:dyDescent="0.25">
      <c r="T1570" s="81"/>
      <c r="W1570" s="185"/>
      <c r="AE1570" s="185"/>
    </row>
    <row r="1571" spans="20:31" x14ac:dyDescent="0.25">
      <c r="T1571" s="81"/>
      <c r="W1571" s="185"/>
      <c r="AE1571" s="185"/>
    </row>
    <row r="1572" spans="20:31" x14ac:dyDescent="0.25">
      <c r="T1572" s="81"/>
      <c r="W1572" s="185"/>
      <c r="AE1572" s="185"/>
    </row>
    <row r="1573" spans="20:31" x14ac:dyDescent="0.25">
      <c r="T1573" s="81"/>
      <c r="W1573" s="185"/>
      <c r="AE1573" s="185"/>
    </row>
    <row r="1574" spans="20:31" x14ac:dyDescent="0.25">
      <c r="T1574" s="81"/>
      <c r="W1574" s="185"/>
      <c r="AE1574" s="185"/>
    </row>
    <row r="1575" spans="20:31" x14ac:dyDescent="0.25">
      <c r="T1575" s="81"/>
      <c r="W1575" s="185"/>
      <c r="AE1575" s="185"/>
    </row>
    <row r="1576" spans="20:31" x14ac:dyDescent="0.25">
      <c r="T1576" s="81"/>
      <c r="W1576" s="185"/>
      <c r="AE1576" s="185"/>
    </row>
    <row r="1577" spans="20:31" x14ac:dyDescent="0.25">
      <c r="T1577" s="81"/>
      <c r="W1577" s="185"/>
      <c r="AE1577" s="185"/>
    </row>
    <row r="1578" spans="20:31" x14ac:dyDescent="0.25">
      <c r="T1578" s="81"/>
      <c r="W1578" s="185"/>
      <c r="AE1578" s="185"/>
    </row>
    <row r="1579" spans="20:31" x14ac:dyDescent="0.25">
      <c r="T1579" s="81"/>
      <c r="W1579" s="185"/>
      <c r="AE1579" s="185"/>
    </row>
    <row r="1580" spans="20:31" x14ac:dyDescent="0.25">
      <c r="T1580" s="81"/>
      <c r="W1580" s="185"/>
      <c r="AE1580" s="185"/>
    </row>
    <row r="1581" spans="20:31" x14ac:dyDescent="0.25">
      <c r="T1581" s="81"/>
      <c r="W1581" s="185"/>
      <c r="AE1581" s="185"/>
    </row>
    <row r="1582" spans="20:31" x14ac:dyDescent="0.25">
      <c r="T1582" s="81"/>
      <c r="W1582" s="185"/>
      <c r="AE1582" s="185"/>
    </row>
    <row r="1583" spans="20:31" x14ac:dyDescent="0.25">
      <c r="T1583" s="81"/>
      <c r="W1583" s="185"/>
      <c r="AE1583" s="185"/>
    </row>
    <row r="1584" spans="20:31" x14ac:dyDescent="0.25">
      <c r="T1584" s="81"/>
      <c r="W1584" s="185"/>
      <c r="AE1584" s="185"/>
    </row>
    <row r="1585" spans="20:31" x14ac:dyDescent="0.25">
      <c r="T1585" s="81"/>
      <c r="W1585" s="185"/>
      <c r="AE1585" s="185"/>
    </row>
    <row r="1586" spans="20:31" x14ac:dyDescent="0.25">
      <c r="T1586" s="81"/>
      <c r="W1586" s="185"/>
      <c r="AE1586" s="185"/>
    </row>
    <row r="1587" spans="20:31" x14ac:dyDescent="0.25">
      <c r="T1587" s="81"/>
      <c r="W1587" s="185"/>
      <c r="AE1587" s="185"/>
    </row>
    <row r="1588" spans="20:31" x14ac:dyDescent="0.25">
      <c r="T1588" s="81"/>
      <c r="W1588" s="185"/>
      <c r="AE1588" s="185"/>
    </row>
    <row r="1589" spans="20:31" x14ac:dyDescent="0.25">
      <c r="T1589" s="81"/>
      <c r="W1589" s="185"/>
      <c r="AE1589" s="185"/>
    </row>
    <row r="1590" spans="20:31" x14ac:dyDescent="0.25">
      <c r="T1590" s="81"/>
      <c r="W1590" s="185"/>
      <c r="AE1590" s="185"/>
    </row>
    <row r="1591" spans="20:31" x14ac:dyDescent="0.25">
      <c r="T1591" s="81"/>
      <c r="W1591" s="185"/>
      <c r="AE1591" s="185"/>
    </row>
    <row r="1592" spans="20:31" x14ac:dyDescent="0.25">
      <c r="T1592" s="81"/>
      <c r="W1592" s="185"/>
      <c r="AE1592" s="185"/>
    </row>
    <row r="1593" spans="20:31" x14ac:dyDescent="0.25">
      <c r="T1593" s="81"/>
      <c r="W1593" s="185"/>
      <c r="AE1593" s="185"/>
    </row>
    <row r="1594" spans="20:31" x14ac:dyDescent="0.25">
      <c r="T1594" s="81"/>
      <c r="W1594" s="185"/>
      <c r="AE1594" s="185"/>
    </row>
    <row r="1595" spans="20:31" x14ac:dyDescent="0.25">
      <c r="T1595" s="81"/>
      <c r="W1595" s="185"/>
      <c r="AE1595" s="185"/>
    </row>
    <row r="1596" spans="20:31" x14ac:dyDescent="0.25">
      <c r="T1596" s="81"/>
      <c r="W1596" s="185"/>
      <c r="AE1596" s="185"/>
    </row>
    <row r="1597" spans="20:31" x14ac:dyDescent="0.25">
      <c r="T1597" s="81"/>
      <c r="W1597" s="185"/>
      <c r="AE1597" s="185"/>
    </row>
    <row r="1598" spans="20:31" x14ac:dyDescent="0.25">
      <c r="T1598" s="81"/>
      <c r="W1598" s="185"/>
      <c r="AE1598" s="185"/>
    </row>
    <row r="1599" spans="20:31" x14ac:dyDescent="0.25">
      <c r="T1599" s="81"/>
      <c r="W1599" s="185"/>
      <c r="AE1599" s="185"/>
    </row>
    <row r="1600" spans="20:31" x14ac:dyDescent="0.25">
      <c r="T1600" s="81"/>
      <c r="W1600" s="185"/>
      <c r="AE1600" s="185"/>
    </row>
    <row r="1601" spans="20:31" x14ac:dyDescent="0.25">
      <c r="T1601" s="81"/>
      <c r="W1601" s="185"/>
      <c r="AE1601" s="185"/>
    </row>
    <row r="1602" spans="20:31" x14ac:dyDescent="0.25">
      <c r="T1602" s="81"/>
      <c r="W1602" s="185"/>
      <c r="AE1602" s="185"/>
    </row>
    <row r="1603" spans="20:31" x14ac:dyDescent="0.25">
      <c r="T1603" s="81"/>
      <c r="W1603" s="185"/>
      <c r="AE1603" s="185"/>
    </row>
    <row r="1604" spans="20:31" x14ac:dyDescent="0.25">
      <c r="T1604" s="81"/>
      <c r="W1604" s="185"/>
      <c r="AE1604" s="185"/>
    </row>
    <row r="1605" spans="20:31" x14ac:dyDescent="0.25">
      <c r="T1605" s="81"/>
      <c r="W1605" s="185"/>
      <c r="AE1605" s="185"/>
    </row>
    <row r="1606" spans="20:31" x14ac:dyDescent="0.25">
      <c r="T1606" s="81"/>
      <c r="W1606" s="185"/>
      <c r="AE1606" s="185"/>
    </row>
    <row r="1607" spans="20:31" x14ac:dyDescent="0.25">
      <c r="T1607" s="81"/>
      <c r="W1607" s="185"/>
      <c r="AE1607" s="185"/>
    </row>
    <row r="1608" spans="20:31" x14ac:dyDescent="0.25">
      <c r="T1608" s="81"/>
      <c r="W1608" s="185"/>
      <c r="AE1608" s="185"/>
    </row>
    <row r="1609" spans="20:31" x14ac:dyDescent="0.25">
      <c r="T1609" s="81"/>
      <c r="W1609" s="185"/>
      <c r="AE1609" s="185"/>
    </row>
    <row r="1610" spans="20:31" x14ac:dyDescent="0.25">
      <c r="T1610" s="81"/>
      <c r="W1610" s="185"/>
      <c r="AE1610" s="185"/>
    </row>
    <row r="1611" spans="20:31" x14ac:dyDescent="0.25">
      <c r="T1611" s="81"/>
      <c r="W1611" s="185"/>
      <c r="AE1611" s="185"/>
    </row>
    <row r="1612" spans="20:31" x14ac:dyDescent="0.25">
      <c r="T1612" s="81"/>
      <c r="W1612" s="185"/>
      <c r="AE1612" s="185"/>
    </row>
    <row r="1613" spans="20:31" x14ac:dyDescent="0.25">
      <c r="T1613" s="81"/>
      <c r="W1613" s="185"/>
      <c r="AE1613" s="185"/>
    </row>
    <row r="1614" spans="20:31" x14ac:dyDescent="0.25">
      <c r="T1614" s="81"/>
      <c r="W1614" s="185"/>
      <c r="AE1614" s="185"/>
    </row>
    <row r="1615" spans="20:31" x14ac:dyDescent="0.25">
      <c r="T1615" s="81"/>
      <c r="W1615" s="185"/>
      <c r="AE1615" s="185"/>
    </row>
    <row r="1616" spans="20:31" x14ac:dyDescent="0.25">
      <c r="T1616" s="81"/>
      <c r="W1616" s="185"/>
      <c r="AE1616" s="185"/>
    </row>
    <row r="1617" spans="20:31" x14ac:dyDescent="0.25">
      <c r="T1617" s="81"/>
      <c r="W1617" s="185"/>
      <c r="AE1617" s="185"/>
    </row>
    <row r="1618" spans="20:31" x14ac:dyDescent="0.25">
      <c r="T1618" s="81"/>
      <c r="W1618" s="185"/>
      <c r="AE1618" s="185"/>
    </row>
    <row r="1619" spans="20:31" x14ac:dyDescent="0.25">
      <c r="T1619" s="81"/>
      <c r="W1619" s="185"/>
      <c r="AE1619" s="185"/>
    </row>
    <row r="1620" spans="20:31" x14ac:dyDescent="0.25">
      <c r="T1620" s="81"/>
      <c r="W1620" s="185"/>
      <c r="AE1620" s="185"/>
    </row>
    <row r="1621" spans="20:31" x14ac:dyDescent="0.25">
      <c r="T1621" s="81"/>
      <c r="W1621" s="185"/>
      <c r="AE1621" s="185"/>
    </row>
    <row r="1622" spans="20:31" x14ac:dyDescent="0.25">
      <c r="T1622" s="81"/>
      <c r="W1622" s="185"/>
      <c r="AE1622" s="185"/>
    </row>
    <row r="1623" spans="20:31" x14ac:dyDescent="0.25">
      <c r="T1623" s="81"/>
      <c r="W1623" s="185"/>
      <c r="AE1623" s="185"/>
    </row>
    <row r="1624" spans="20:31" x14ac:dyDescent="0.25">
      <c r="T1624" s="81"/>
      <c r="W1624" s="185"/>
      <c r="AE1624" s="185"/>
    </row>
    <row r="1625" spans="20:31" x14ac:dyDescent="0.25">
      <c r="T1625" s="81"/>
      <c r="W1625" s="185"/>
      <c r="AE1625" s="185"/>
    </row>
    <row r="1626" spans="20:31" x14ac:dyDescent="0.25">
      <c r="T1626" s="81"/>
      <c r="W1626" s="185"/>
      <c r="AE1626" s="185"/>
    </row>
    <row r="1627" spans="20:31" x14ac:dyDescent="0.25">
      <c r="T1627" s="81"/>
      <c r="W1627" s="185"/>
      <c r="AE1627" s="185"/>
    </row>
    <row r="1628" spans="20:31" x14ac:dyDescent="0.25">
      <c r="T1628" s="81"/>
      <c r="W1628" s="185"/>
      <c r="AE1628" s="185"/>
    </row>
    <row r="1629" spans="20:31" x14ac:dyDescent="0.25">
      <c r="T1629" s="81"/>
      <c r="W1629" s="185"/>
      <c r="AE1629" s="185"/>
    </row>
    <row r="1630" spans="20:31" x14ac:dyDescent="0.25">
      <c r="T1630" s="81"/>
      <c r="W1630" s="185"/>
      <c r="AE1630" s="185"/>
    </row>
    <row r="1631" spans="20:31" x14ac:dyDescent="0.25">
      <c r="T1631" s="81"/>
      <c r="W1631" s="185"/>
      <c r="AE1631" s="185"/>
    </row>
    <row r="1632" spans="20:31" x14ac:dyDescent="0.25">
      <c r="T1632" s="81"/>
      <c r="W1632" s="185"/>
      <c r="AE1632" s="185"/>
    </row>
    <row r="1633" spans="20:31" x14ac:dyDescent="0.25">
      <c r="T1633" s="81"/>
      <c r="W1633" s="185"/>
      <c r="AE1633" s="185"/>
    </row>
    <row r="1634" spans="20:31" x14ac:dyDescent="0.25">
      <c r="T1634" s="81"/>
      <c r="W1634" s="185"/>
      <c r="AE1634" s="185"/>
    </row>
    <row r="1635" spans="20:31" x14ac:dyDescent="0.25">
      <c r="T1635" s="81"/>
      <c r="W1635" s="185"/>
      <c r="AE1635" s="185"/>
    </row>
    <row r="1636" spans="20:31" x14ac:dyDescent="0.25">
      <c r="T1636" s="81"/>
      <c r="W1636" s="185"/>
      <c r="AE1636" s="185"/>
    </row>
    <row r="1637" spans="20:31" x14ac:dyDescent="0.25">
      <c r="T1637" s="81"/>
      <c r="W1637" s="185"/>
      <c r="AE1637" s="185"/>
    </row>
    <row r="1638" spans="20:31" x14ac:dyDescent="0.25">
      <c r="T1638" s="81"/>
      <c r="W1638" s="185"/>
      <c r="AE1638" s="185"/>
    </row>
    <row r="1639" spans="20:31" x14ac:dyDescent="0.25">
      <c r="T1639" s="81"/>
      <c r="W1639" s="185"/>
      <c r="AE1639" s="185"/>
    </row>
    <row r="1640" spans="20:31" x14ac:dyDescent="0.25">
      <c r="T1640" s="81"/>
      <c r="W1640" s="185"/>
      <c r="AE1640" s="185"/>
    </row>
    <row r="1641" spans="20:31" x14ac:dyDescent="0.25">
      <c r="T1641" s="81"/>
      <c r="W1641" s="185"/>
      <c r="AE1641" s="185"/>
    </row>
    <row r="1642" spans="20:31" x14ac:dyDescent="0.25">
      <c r="T1642" s="81"/>
      <c r="W1642" s="185"/>
      <c r="AE1642" s="185"/>
    </row>
    <row r="1643" spans="20:31" x14ac:dyDescent="0.25">
      <c r="T1643" s="81"/>
      <c r="W1643" s="185"/>
      <c r="AE1643" s="185"/>
    </row>
    <row r="1644" spans="20:31" x14ac:dyDescent="0.25">
      <c r="T1644" s="81"/>
      <c r="W1644" s="185"/>
      <c r="AE1644" s="185"/>
    </row>
    <row r="1645" spans="20:31" x14ac:dyDescent="0.25">
      <c r="T1645" s="81"/>
      <c r="W1645" s="185"/>
      <c r="AE1645" s="185"/>
    </row>
    <row r="1646" spans="20:31" x14ac:dyDescent="0.25">
      <c r="T1646" s="81"/>
      <c r="W1646" s="185"/>
      <c r="AE1646" s="185"/>
    </row>
    <row r="1647" spans="20:31" x14ac:dyDescent="0.25">
      <c r="T1647" s="81"/>
      <c r="W1647" s="185"/>
      <c r="AE1647" s="185"/>
    </row>
    <row r="1648" spans="20:31" x14ac:dyDescent="0.25">
      <c r="T1648" s="81"/>
      <c r="W1648" s="185"/>
      <c r="AE1648" s="185"/>
    </row>
    <row r="1649" spans="20:31" x14ac:dyDescent="0.25">
      <c r="T1649" s="81"/>
      <c r="W1649" s="185"/>
      <c r="AE1649" s="185"/>
    </row>
    <row r="1650" spans="20:31" x14ac:dyDescent="0.25">
      <c r="T1650" s="81"/>
      <c r="W1650" s="185"/>
      <c r="AE1650" s="185"/>
    </row>
    <row r="1651" spans="20:31" x14ac:dyDescent="0.25">
      <c r="T1651" s="81"/>
      <c r="W1651" s="185"/>
      <c r="AE1651" s="185"/>
    </row>
    <row r="1652" spans="20:31" x14ac:dyDescent="0.25">
      <c r="T1652" s="81"/>
      <c r="W1652" s="185"/>
      <c r="AE1652" s="185"/>
    </row>
    <row r="1653" spans="20:31" x14ac:dyDescent="0.25">
      <c r="T1653" s="81"/>
      <c r="W1653" s="185"/>
      <c r="AE1653" s="185"/>
    </row>
    <row r="1654" spans="20:31" x14ac:dyDescent="0.25">
      <c r="T1654" s="81"/>
      <c r="W1654" s="185"/>
      <c r="AE1654" s="185"/>
    </row>
    <row r="1655" spans="20:31" x14ac:dyDescent="0.25">
      <c r="T1655" s="81"/>
      <c r="W1655" s="185"/>
      <c r="AE1655" s="185"/>
    </row>
    <row r="1656" spans="20:31" x14ac:dyDescent="0.25">
      <c r="T1656" s="81"/>
      <c r="W1656" s="185"/>
      <c r="AE1656" s="185"/>
    </row>
    <row r="1657" spans="20:31" x14ac:dyDescent="0.25">
      <c r="T1657" s="81"/>
      <c r="W1657" s="185"/>
      <c r="AE1657" s="185"/>
    </row>
    <row r="1658" spans="20:31" x14ac:dyDescent="0.25">
      <c r="T1658" s="81"/>
      <c r="W1658" s="185"/>
      <c r="AE1658" s="185"/>
    </row>
    <row r="1659" spans="20:31" x14ac:dyDescent="0.25">
      <c r="T1659" s="81"/>
      <c r="W1659" s="185"/>
      <c r="AE1659" s="185"/>
    </row>
    <row r="1660" spans="20:31" x14ac:dyDescent="0.25">
      <c r="T1660" s="81"/>
      <c r="W1660" s="185"/>
      <c r="AE1660" s="185"/>
    </row>
    <row r="1661" spans="20:31" x14ac:dyDescent="0.25">
      <c r="T1661" s="81"/>
      <c r="W1661" s="185"/>
      <c r="AE1661" s="185"/>
    </row>
    <row r="1662" spans="20:31" x14ac:dyDescent="0.25">
      <c r="T1662" s="81"/>
      <c r="W1662" s="185"/>
      <c r="AE1662" s="185"/>
    </row>
    <row r="1663" spans="20:31" x14ac:dyDescent="0.25">
      <c r="T1663" s="81"/>
      <c r="W1663" s="185"/>
      <c r="AE1663" s="185"/>
    </row>
    <row r="1664" spans="20:31" x14ac:dyDescent="0.25">
      <c r="T1664" s="81"/>
      <c r="W1664" s="185"/>
      <c r="AE1664" s="185"/>
    </row>
    <row r="1665" spans="20:31" x14ac:dyDescent="0.25">
      <c r="T1665" s="81"/>
      <c r="W1665" s="185"/>
      <c r="AE1665" s="185"/>
    </row>
    <row r="1666" spans="20:31" x14ac:dyDescent="0.25">
      <c r="T1666" s="81"/>
      <c r="W1666" s="185"/>
      <c r="AE1666" s="185"/>
    </row>
    <row r="1667" spans="20:31" x14ac:dyDescent="0.25">
      <c r="T1667" s="81"/>
      <c r="W1667" s="185"/>
      <c r="AE1667" s="185"/>
    </row>
    <row r="1668" spans="20:31" x14ac:dyDescent="0.25">
      <c r="T1668" s="81"/>
      <c r="W1668" s="185"/>
      <c r="AE1668" s="185"/>
    </row>
    <row r="1669" spans="20:31" x14ac:dyDescent="0.25">
      <c r="T1669" s="81"/>
      <c r="W1669" s="185"/>
      <c r="AE1669" s="185"/>
    </row>
    <row r="1670" spans="20:31" x14ac:dyDescent="0.25">
      <c r="T1670" s="81"/>
      <c r="W1670" s="185"/>
      <c r="AE1670" s="185"/>
    </row>
    <row r="1671" spans="20:31" x14ac:dyDescent="0.25">
      <c r="T1671" s="81"/>
      <c r="W1671" s="185"/>
      <c r="AE1671" s="185"/>
    </row>
    <row r="1672" spans="20:31" x14ac:dyDescent="0.25">
      <c r="T1672" s="81"/>
      <c r="W1672" s="185"/>
      <c r="AE1672" s="185"/>
    </row>
    <row r="1673" spans="20:31" x14ac:dyDescent="0.25">
      <c r="T1673" s="81"/>
      <c r="W1673" s="185"/>
      <c r="AE1673" s="185"/>
    </row>
    <row r="1674" spans="20:31" x14ac:dyDescent="0.25">
      <c r="T1674" s="81"/>
      <c r="W1674" s="185"/>
      <c r="AE1674" s="185"/>
    </row>
    <row r="1675" spans="20:31" x14ac:dyDescent="0.25">
      <c r="T1675" s="81"/>
      <c r="W1675" s="185"/>
      <c r="AE1675" s="185"/>
    </row>
    <row r="1676" spans="20:31" x14ac:dyDescent="0.25">
      <c r="T1676" s="81"/>
      <c r="W1676" s="185"/>
      <c r="AE1676" s="185"/>
    </row>
    <row r="1677" spans="20:31" x14ac:dyDescent="0.25">
      <c r="T1677" s="81"/>
      <c r="W1677" s="185"/>
      <c r="AE1677" s="185"/>
    </row>
    <row r="1678" spans="20:31" x14ac:dyDescent="0.25">
      <c r="T1678" s="81"/>
      <c r="W1678" s="185"/>
      <c r="AE1678" s="185"/>
    </row>
    <row r="1679" spans="20:31" x14ac:dyDescent="0.25">
      <c r="T1679" s="81"/>
      <c r="W1679" s="185"/>
      <c r="AE1679" s="185"/>
    </row>
    <row r="1680" spans="20:31" x14ac:dyDescent="0.25">
      <c r="T1680" s="81"/>
      <c r="W1680" s="185"/>
      <c r="AE1680" s="185"/>
    </row>
    <row r="1681" spans="20:31" x14ac:dyDescent="0.25">
      <c r="T1681" s="81"/>
      <c r="W1681" s="185"/>
      <c r="AE1681" s="185"/>
    </row>
    <row r="1682" spans="20:31" x14ac:dyDescent="0.25">
      <c r="T1682" s="81"/>
      <c r="W1682" s="185"/>
      <c r="AE1682" s="185"/>
    </row>
    <row r="1683" spans="20:31" x14ac:dyDescent="0.25">
      <c r="T1683" s="81"/>
      <c r="W1683" s="185"/>
      <c r="AE1683" s="185"/>
    </row>
    <row r="1684" spans="20:31" x14ac:dyDescent="0.25">
      <c r="T1684" s="81"/>
      <c r="W1684" s="185"/>
      <c r="AE1684" s="185"/>
    </row>
    <row r="1685" spans="20:31" x14ac:dyDescent="0.25">
      <c r="T1685" s="81"/>
      <c r="W1685" s="185"/>
      <c r="AE1685" s="185"/>
    </row>
    <row r="1686" spans="20:31" x14ac:dyDescent="0.25">
      <c r="T1686" s="81"/>
      <c r="W1686" s="185"/>
      <c r="AE1686" s="185"/>
    </row>
    <row r="1687" spans="20:31" x14ac:dyDescent="0.25">
      <c r="T1687" s="81"/>
      <c r="W1687" s="185"/>
      <c r="AE1687" s="185"/>
    </row>
    <row r="1688" spans="20:31" x14ac:dyDescent="0.25">
      <c r="T1688" s="81"/>
      <c r="W1688" s="185"/>
      <c r="AE1688" s="185"/>
    </row>
    <row r="1689" spans="20:31" x14ac:dyDescent="0.25">
      <c r="T1689" s="81"/>
      <c r="W1689" s="185"/>
      <c r="AE1689" s="185"/>
    </row>
    <row r="1690" spans="20:31" x14ac:dyDescent="0.25">
      <c r="T1690" s="81"/>
      <c r="W1690" s="185"/>
      <c r="AE1690" s="185"/>
    </row>
    <row r="1691" spans="20:31" x14ac:dyDescent="0.25">
      <c r="T1691" s="81"/>
      <c r="W1691" s="185"/>
      <c r="AE1691" s="185"/>
    </row>
    <row r="1692" spans="20:31" x14ac:dyDescent="0.25">
      <c r="T1692" s="81"/>
      <c r="W1692" s="185"/>
      <c r="AE1692" s="185"/>
    </row>
    <row r="1693" spans="20:31" x14ac:dyDescent="0.25">
      <c r="T1693" s="81"/>
      <c r="W1693" s="185"/>
      <c r="AE1693" s="185"/>
    </row>
    <row r="1694" spans="20:31" x14ac:dyDescent="0.25">
      <c r="T1694" s="81"/>
      <c r="W1694" s="185"/>
      <c r="AE1694" s="185"/>
    </row>
    <row r="1695" spans="20:31" x14ac:dyDescent="0.25">
      <c r="T1695" s="81"/>
      <c r="W1695" s="185"/>
      <c r="AE1695" s="185"/>
    </row>
    <row r="1696" spans="20:31" x14ac:dyDescent="0.25">
      <c r="T1696" s="81"/>
      <c r="W1696" s="185"/>
      <c r="AE1696" s="185"/>
    </row>
    <row r="1697" spans="20:31" x14ac:dyDescent="0.25">
      <c r="T1697" s="81"/>
      <c r="W1697" s="185"/>
      <c r="AE1697" s="185"/>
    </row>
    <row r="1698" spans="20:31" x14ac:dyDescent="0.25">
      <c r="T1698" s="81"/>
      <c r="W1698" s="185"/>
      <c r="AE1698" s="185"/>
    </row>
    <row r="1699" spans="20:31" x14ac:dyDescent="0.25">
      <c r="T1699" s="81"/>
      <c r="W1699" s="185"/>
      <c r="AE1699" s="185"/>
    </row>
    <row r="1700" spans="20:31" x14ac:dyDescent="0.25">
      <c r="T1700" s="81"/>
      <c r="W1700" s="185"/>
      <c r="AE1700" s="185"/>
    </row>
    <row r="1701" spans="20:31" x14ac:dyDescent="0.25">
      <c r="T1701" s="81"/>
      <c r="W1701" s="185"/>
      <c r="AE1701" s="185"/>
    </row>
    <row r="1702" spans="20:31" x14ac:dyDescent="0.25">
      <c r="T1702" s="81"/>
      <c r="W1702" s="185"/>
      <c r="AE1702" s="185"/>
    </row>
    <row r="1703" spans="20:31" x14ac:dyDescent="0.25">
      <c r="T1703" s="81"/>
      <c r="W1703" s="185"/>
      <c r="AE1703" s="185"/>
    </row>
    <row r="1704" spans="20:31" x14ac:dyDescent="0.25">
      <c r="T1704" s="81"/>
      <c r="W1704" s="185"/>
      <c r="AE1704" s="185"/>
    </row>
    <row r="1705" spans="20:31" x14ac:dyDescent="0.25">
      <c r="T1705" s="81"/>
      <c r="W1705" s="185"/>
      <c r="AE1705" s="185"/>
    </row>
    <row r="1706" spans="20:31" x14ac:dyDescent="0.25">
      <c r="T1706" s="81"/>
      <c r="W1706" s="185"/>
      <c r="AE1706" s="185"/>
    </row>
    <row r="1707" spans="20:31" x14ac:dyDescent="0.25">
      <c r="T1707" s="81"/>
      <c r="W1707" s="185"/>
      <c r="AE1707" s="185"/>
    </row>
    <row r="1708" spans="20:31" x14ac:dyDescent="0.25">
      <c r="T1708" s="81"/>
      <c r="W1708" s="185"/>
      <c r="AE1708" s="185"/>
    </row>
    <row r="1709" spans="20:31" x14ac:dyDescent="0.25">
      <c r="T1709" s="81"/>
      <c r="W1709" s="185"/>
      <c r="AE1709" s="185"/>
    </row>
    <row r="1710" spans="20:31" x14ac:dyDescent="0.25">
      <c r="T1710" s="81"/>
      <c r="W1710" s="185"/>
      <c r="AE1710" s="185"/>
    </row>
    <row r="1711" spans="20:31" x14ac:dyDescent="0.25">
      <c r="T1711" s="81"/>
      <c r="W1711" s="185"/>
      <c r="AE1711" s="185"/>
    </row>
    <row r="1712" spans="20:31" x14ac:dyDescent="0.25">
      <c r="T1712" s="81"/>
      <c r="W1712" s="185"/>
      <c r="AE1712" s="185"/>
    </row>
    <row r="1713" spans="20:31" x14ac:dyDescent="0.25">
      <c r="T1713" s="81"/>
      <c r="W1713" s="185"/>
      <c r="AE1713" s="185"/>
    </row>
    <row r="1714" spans="20:31" x14ac:dyDescent="0.25">
      <c r="T1714" s="81"/>
      <c r="W1714" s="185"/>
      <c r="AE1714" s="185"/>
    </row>
    <row r="1715" spans="20:31" x14ac:dyDescent="0.25">
      <c r="T1715" s="81"/>
      <c r="W1715" s="185"/>
      <c r="AE1715" s="185"/>
    </row>
    <row r="1716" spans="20:31" x14ac:dyDescent="0.25">
      <c r="T1716" s="81"/>
      <c r="W1716" s="185"/>
      <c r="AE1716" s="185"/>
    </row>
    <row r="1717" spans="20:31" x14ac:dyDescent="0.25">
      <c r="T1717" s="81"/>
      <c r="W1717" s="185"/>
      <c r="AE1717" s="185"/>
    </row>
    <row r="1718" spans="20:31" x14ac:dyDescent="0.25">
      <c r="T1718" s="81"/>
      <c r="W1718" s="185"/>
      <c r="AE1718" s="185"/>
    </row>
    <row r="1719" spans="20:31" x14ac:dyDescent="0.25">
      <c r="T1719" s="81"/>
      <c r="W1719" s="185"/>
      <c r="AE1719" s="185"/>
    </row>
    <row r="1720" spans="20:31" x14ac:dyDescent="0.25">
      <c r="T1720" s="81"/>
      <c r="W1720" s="185"/>
      <c r="AE1720" s="185"/>
    </row>
    <row r="1721" spans="20:31" x14ac:dyDescent="0.25">
      <c r="T1721" s="81"/>
      <c r="W1721" s="185"/>
      <c r="AE1721" s="185"/>
    </row>
    <row r="1722" spans="20:31" x14ac:dyDescent="0.25">
      <c r="T1722" s="81"/>
      <c r="W1722" s="185"/>
      <c r="AE1722" s="185"/>
    </row>
    <row r="1723" spans="20:31" x14ac:dyDescent="0.25">
      <c r="T1723" s="81"/>
      <c r="W1723" s="185"/>
      <c r="AE1723" s="185"/>
    </row>
    <row r="1724" spans="20:31" x14ac:dyDescent="0.25">
      <c r="T1724" s="81"/>
      <c r="W1724" s="185"/>
      <c r="AE1724" s="185"/>
    </row>
    <row r="1725" spans="20:31" x14ac:dyDescent="0.25">
      <c r="T1725" s="81"/>
      <c r="W1725" s="185"/>
      <c r="AE1725" s="185"/>
    </row>
    <row r="1726" spans="20:31" x14ac:dyDescent="0.25">
      <c r="T1726" s="81"/>
      <c r="W1726" s="185"/>
      <c r="AE1726" s="185"/>
    </row>
    <row r="1727" spans="20:31" x14ac:dyDescent="0.25">
      <c r="T1727" s="81"/>
      <c r="W1727" s="185"/>
      <c r="AE1727" s="185"/>
    </row>
    <row r="1728" spans="20:31" x14ac:dyDescent="0.25">
      <c r="T1728" s="81"/>
      <c r="W1728" s="185"/>
      <c r="AE1728" s="185"/>
    </row>
    <row r="1729" spans="20:31" x14ac:dyDescent="0.25">
      <c r="T1729" s="81"/>
      <c r="W1729" s="185"/>
      <c r="AE1729" s="185"/>
    </row>
    <row r="1730" spans="20:31" x14ac:dyDescent="0.25">
      <c r="T1730" s="81"/>
      <c r="W1730" s="185"/>
      <c r="AE1730" s="185"/>
    </row>
    <row r="1731" spans="20:31" x14ac:dyDescent="0.25">
      <c r="T1731" s="81"/>
      <c r="W1731" s="185"/>
      <c r="AE1731" s="185"/>
    </row>
    <row r="1732" spans="20:31" x14ac:dyDescent="0.25">
      <c r="T1732" s="81"/>
      <c r="W1732" s="185"/>
      <c r="AE1732" s="185"/>
    </row>
    <row r="1733" spans="20:31" x14ac:dyDescent="0.25">
      <c r="T1733" s="81"/>
      <c r="W1733" s="185"/>
      <c r="AE1733" s="185"/>
    </row>
    <row r="1734" spans="20:31" x14ac:dyDescent="0.25">
      <c r="T1734" s="81"/>
      <c r="W1734" s="185"/>
      <c r="AE1734" s="185"/>
    </row>
    <row r="1735" spans="20:31" x14ac:dyDescent="0.25">
      <c r="T1735" s="81"/>
      <c r="W1735" s="185"/>
      <c r="AE1735" s="185"/>
    </row>
    <row r="1736" spans="20:31" x14ac:dyDescent="0.25">
      <c r="T1736" s="81"/>
      <c r="W1736" s="185"/>
      <c r="AE1736" s="185"/>
    </row>
    <row r="1737" spans="20:31" x14ac:dyDescent="0.25">
      <c r="T1737" s="81"/>
      <c r="W1737" s="185"/>
      <c r="AE1737" s="185"/>
    </row>
    <row r="1738" spans="20:31" x14ac:dyDescent="0.25">
      <c r="T1738" s="81"/>
      <c r="W1738" s="185"/>
      <c r="AE1738" s="185"/>
    </row>
    <row r="1739" spans="20:31" x14ac:dyDescent="0.25">
      <c r="T1739" s="81"/>
      <c r="W1739" s="185"/>
      <c r="AE1739" s="185"/>
    </row>
    <row r="1740" spans="20:31" x14ac:dyDescent="0.25">
      <c r="T1740" s="81"/>
      <c r="W1740" s="185"/>
      <c r="AE1740" s="185"/>
    </row>
    <row r="1741" spans="20:31" x14ac:dyDescent="0.25">
      <c r="T1741" s="81"/>
      <c r="W1741" s="185"/>
      <c r="AE1741" s="185"/>
    </row>
    <row r="1742" spans="20:31" x14ac:dyDescent="0.25">
      <c r="T1742" s="81"/>
      <c r="W1742" s="185"/>
      <c r="AE1742" s="185"/>
    </row>
    <row r="1743" spans="20:31" x14ac:dyDescent="0.25">
      <c r="T1743" s="81"/>
      <c r="W1743" s="185"/>
      <c r="AE1743" s="185"/>
    </row>
    <row r="1744" spans="20:31" x14ac:dyDescent="0.25">
      <c r="T1744" s="81"/>
      <c r="W1744" s="185"/>
      <c r="AE1744" s="185"/>
    </row>
    <row r="1745" spans="20:31" x14ac:dyDescent="0.25">
      <c r="T1745" s="81"/>
      <c r="W1745" s="185"/>
      <c r="AE1745" s="185"/>
    </row>
    <row r="1746" spans="20:31" x14ac:dyDescent="0.25">
      <c r="T1746" s="81"/>
      <c r="W1746" s="185"/>
      <c r="AE1746" s="185"/>
    </row>
    <row r="1747" spans="20:31" x14ac:dyDescent="0.25">
      <c r="T1747" s="81"/>
      <c r="W1747" s="185"/>
      <c r="AE1747" s="185"/>
    </row>
    <row r="1748" spans="20:31" x14ac:dyDescent="0.25">
      <c r="T1748" s="81"/>
      <c r="W1748" s="185"/>
      <c r="AE1748" s="185"/>
    </row>
    <row r="1749" spans="20:31" x14ac:dyDescent="0.25">
      <c r="T1749" s="81"/>
      <c r="W1749" s="185"/>
      <c r="AE1749" s="185"/>
    </row>
    <row r="1750" spans="20:31" x14ac:dyDescent="0.25">
      <c r="T1750" s="81"/>
      <c r="W1750" s="185"/>
      <c r="AE1750" s="185"/>
    </row>
    <row r="1751" spans="20:31" x14ac:dyDescent="0.25">
      <c r="T1751" s="81"/>
      <c r="W1751" s="185"/>
      <c r="AE1751" s="185"/>
    </row>
    <row r="1752" spans="20:31" x14ac:dyDescent="0.25">
      <c r="T1752" s="81"/>
      <c r="W1752" s="185"/>
      <c r="AE1752" s="185"/>
    </row>
    <row r="1753" spans="20:31" x14ac:dyDescent="0.25">
      <c r="T1753" s="81"/>
      <c r="W1753" s="185"/>
      <c r="AE1753" s="185"/>
    </row>
    <row r="1754" spans="20:31" x14ac:dyDescent="0.25">
      <c r="T1754" s="81"/>
      <c r="W1754" s="185"/>
      <c r="AE1754" s="185"/>
    </row>
    <row r="1755" spans="20:31" x14ac:dyDescent="0.25">
      <c r="T1755" s="81"/>
      <c r="W1755" s="185"/>
      <c r="AE1755" s="185"/>
    </row>
    <row r="1756" spans="20:31" x14ac:dyDescent="0.25">
      <c r="T1756" s="81"/>
      <c r="W1756" s="185"/>
      <c r="AE1756" s="185"/>
    </row>
    <row r="1757" spans="20:31" x14ac:dyDescent="0.25">
      <c r="T1757" s="81"/>
      <c r="W1757" s="185"/>
      <c r="AE1757" s="185"/>
    </row>
    <row r="1758" spans="20:31" x14ac:dyDescent="0.25">
      <c r="T1758" s="81"/>
      <c r="W1758" s="185"/>
      <c r="AE1758" s="185"/>
    </row>
    <row r="1759" spans="20:31" x14ac:dyDescent="0.25">
      <c r="T1759" s="81"/>
      <c r="W1759" s="185"/>
      <c r="AE1759" s="185"/>
    </row>
    <row r="1760" spans="20:31" x14ac:dyDescent="0.25">
      <c r="T1760" s="81"/>
      <c r="W1760" s="185"/>
      <c r="AE1760" s="185"/>
    </row>
    <row r="1761" spans="20:31" x14ac:dyDescent="0.25">
      <c r="T1761" s="81"/>
      <c r="W1761" s="185"/>
      <c r="AE1761" s="185"/>
    </row>
    <row r="1762" spans="20:31" x14ac:dyDescent="0.25">
      <c r="T1762" s="81"/>
      <c r="W1762" s="185"/>
      <c r="AE1762" s="185"/>
    </row>
    <row r="1763" spans="20:31" x14ac:dyDescent="0.25">
      <c r="T1763" s="81"/>
      <c r="W1763" s="185"/>
      <c r="AE1763" s="185"/>
    </row>
    <row r="1764" spans="20:31" x14ac:dyDescent="0.25">
      <c r="T1764" s="81"/>
      <c r="W1764" s="185"/>
      <c r="AE1764" s="185"/>
    </row>
    <row r="1765" spans="20:31" x14ac:dyDescent="0.25">
      <c r="T1765" s="81"/>
      <c r="W1765" s="185"/>
      <c r="AE1765" s="185"/>
    </row>
    <row r="1766" spans="20:31" x14ac:dyDescent="0.25">
      <c r="T1766" s="81"/>
      <c r="W1766" s="185"/>
      <c r="AE1766" s="185"/>
    </row>
    <row r="1767" spans="20:31" x14ac:dyDescent="0.25">
      <c r="T1767" s="81"/>
      <c r="W1767" s="185"/>
      <c r="AE1767" s="185"/>
    </row>
    <row r="1768" spans="20:31" x14ac:dyDescent="0.25">
      <c r="T1768" s="81"/>
      <c r="W1768" s="185"/>
      <c r="AE1768" s="185"/>
    </row>
    <row r="1769" spans="20:31" x14ac:dyDescent="0.25">
      <c r="T1769" s="81"/>
      <c r="W1769" s="185"/>
      <c r="AE1769" s="185"/>
    </row>
    <row r="1770" spans="20:31" x14ac:dyDescent="0.25">
      <c r="T1770" s="81"/>
      <c r="W1770" s="185"/>
      <c r="AE1770" s="185"/>
    </row>
    <row r="1771" spans="20:31" x14ac:dyDescent="0.25">
      <c r="T1771" s="81"/>
      <c r="W1771" s="185"/>
      <c r="AE1771" s="185"/>
    </row>
    <row r="1772" spans="20:31" x14ac:dyDescent="0.25">
      <c r="T1772" s="81"/>
      <c r="W1772" s="185"/>
      <c r="AE1772" s="185"/>
    </row>
    <row r="1773" spans="20:31" x14ac:dyDescent="0.25">
      <c r="T1773" s="81"/>
      <c r="W1773" s="185"/>
      <c r="AE1773" s="185"/>
    </row>
    <row r="1774" spans="20:31" x14ac:dyDescent="0.25">
      <c r="T1774" s="81"/>
      <c r="W1774" s="185"/>
      <c r="AE1774" s="185"/>
    </row>
    <row r="1775" spans="20:31" x14ac:dyDescent="0.25">
      <c r="T1775" s="81"/>
      <c r="W1775" s="185"/>
      <c r="AE1775" s="185"/>
    </row>
    <row r="1776" spans="20:31" x14ac:dyDescent="0.25">
      <c r="T1776" s="81"/>
      <c r="W1776" s="185"/>
      <c r="AE1776" s="185"/>
    </row>
    <row r="1777" spans="20:31" x14ac:dyDescent="0.25">
      <c r="T1777" s="81"/>
      <c r="W1777" s="185"/>
      <c r="AE1777" s="185"/>
    </row>
    <row r="1778" spans="20:31" x14ac:dyDescent="0.25">
      <c r="T1778" s="81"/>
      <c r="W1778" s="185"/>
      <c r="AE1778" s="185"/>
    </row>
    <row r="1779" spans="20:31" x14ac:dyDescent="0.25">
      <c r="T1779" s="81"/>
      <c r="W1779" s="185"/>
      <c r="AE1779" s="185"/>
    </row>
    <row r="1780" spans="20:31" x14ac:dyDescent="0.25">
      <c r="T1780" s="81"/>
      <c r="W1780" s="185"/>
      <c r="AE1780" s="185"/>
    </row>
    <row r="1781" spans="20:31" x14ac:dyDescent="0.25">
      <c r="T1781" s="81"/>
      <c r="W1781" s="185"/>
      <c r="AE1781" s="185"/>
    </row>
    <row r="1782" spans="20:31" x14ac:dyDescent="0.25">
      <c r="T1782" s="81"/>
      <c r="W1782" s="185"/>
      <c r="AE1782" s="185"/>
    </row>
    <row r="1783" spans="20:31" x14ac:dyDescent="0.25">
      <c r="T1783" s="81"/>
      <c r="W1783" s="185"/>
      <c r="AE1783" s="185"/>
    </row>
    <row r="1784" spans="20:31" x14ac:dyDescent="0.25">
      <c r="T1784" s="81"/>
      <c r="W1784" s="185"/>
      <c r="AE1784" s="185"/>
    </row>
    <row r="1785" spans="20:31" x14ac:dyDescent="0.25">
      <c r="T1785" s="81"/>
      <c r="W1785" s="185"/>
      <c r="AE1785" s="185"/>
    </row>
    <row r="1786" spans="20:31" x14ac:dyDescent="0.25">
      <c r="T1786" s="81"/>
      <c r="W1786" s="185"/>
      <c r="AE1786" s="185"/>
    </row>
    <row r="1787" spans="20:31" x14ac:dyDescent="0.25">
      <c r="T1787" s="81"/>
      <c r="W1787" s="185"/>
      <c r="AE1787" s="185"/>
    </row>
    <row r="1788" spans="20:31" x14ac:dyDescent="0.25">
      <c r="T1788" s="81"/>
      <c r="W1788" s="185"/>
      <c r="AE1788" s="185"/>
    </row>
    <row r="1789" spans="20:31" x14ac:dyDescent="0.25">
      <c r="T1789" s="81"/>
      <c r="W1789" s="185"/>
      <c r="AE1789" s="185"/>
    </row>
    <row r="1790" spans="20:31" x14ac:dyDescent="0.25">
      <c r="T1790" s="81"/>
      <c r="W1790" s="185"/>
      <c r="AE1790" s="185"/>
    </row>
    <row r="1791" spans="20:31" x14ac:dyDescent="0.25">
      <c r="T1791" s="81"/>
      <c r="W1791" s="185"/>
      <c r="AE1791" s="185"/>
    </row>
    <row r="1792" spans="20:31" x14ac:dyDescent="0.25">
      <c r="T1792" s="81"/>
      <c r="W1792" s="185"/>
      <c r="AE1792" s="185"/>
    </row>
    <row r="1793" spans="20:31" x14ac:dyDescent="0.25">
      <c r="T1793" s="81"/>
      <c r="W1793" s="185"/>
      <c r="AE1793" s="185"/>
    </row>
    <row r="1794" spans="20:31" x14ac:dyDescent="0.25">
      <c r="T1794" s="81"/>
      <c r="W1794" s="185"/>
      <c r="AE1794" s="185"/>
    </row>
    <row r="1795" spans="20:31" x14ac:dyDescent="0.25">
      <c r="T1795" s="81"/>
      <c r="W1795" s="185"/>
      <c r="AE1795" s="185"/>
    </row>
    <row r="1796" spans="20:31" x14ac:dyDescent="0.25">
      <c r="T1796" s="81"/>
      <c r="W1796" s="185"/>
      <c r="AE1796" s="185"/>
    </row>
    <row r="1797" spans="20:31" x14ac:dyDescent="0.25">
      <c r="T1797" s="81"/>
      <c r="W1797" s="185"/>
      <c r="AE1797" s="185"/>
    </row>
    <row r="1798" spans="20:31" x14ac:dyDescent="0.25">
      <c r="T1798" s="81"/>
      <c r="W1798" s="185"/>
      <c r="AE1798" s="185"/>
    </row>
    <row r="1799" spans="20:31" x14ac:dyDescent="0.25">
      <c r="T1799" s="81"/>
      <c r="W1799" s="185"/>
      <c r="AE1799" s="185"/>
    </row>
    <row r="1800" spans="20:31" x14ac:dyDescent="0.25">
      <c r="T1800" s="81"/>
      <c r="W1800" s="185"/>
      <c r="AE1800" s="185"/>
    </row>
    <row r="1801" spans="20:31" x14ac:dyDescent="0.25">
      <c r="T1801" s="81"/>
      <c r="W1801" s="185"/>
      <c r="AE1801" s="185"/>
    </row>
    <row r="1802" spans="20:31" x14ac:dyDescent="0.25">
      <c r="T1802" s="81"/>
      <c r="W1802" s="185"/>
      <c r="AE1802" s="185"/>
    </row>
    <row r="1803" spans="20:31" x14ac:dyDescent="0.25">
      <c r="T1803" s="81"/>
      <c r="W1803" s="185"/>
      <c r="AE1803" s="185"/>
    </row>
    <row r="1804" spans="20:31" x14ac:dyDescent="0.25">
      <c r="T1804" s="81"/>
      <c r="W1804" s="185"/>
      <c r="AE1804" s="185"/>
    </row>
    <row r="1805" spans="20:31" x14ac:dyDescent="0.25">
      <c r="T1805" s="81"/>
      <c r="W1805" s="185"/>
      <c r="AE1805" s="185"/>
    </row>
    <row r="1806" spans="20:31" x14ac:dyDescent="0.25">
      <c r="T1806" s="81"/>
      <c r="W1806" s="185"/>
      <c r="AE1806" s="185"/>
    </row>
    <row r="1807" spans="20:31" x14ac:dyDescent="0.25">
      <c r="T1807" s="81"/>
      <c r="W1807" s="185"/>
      <c r="AE1807" s="185"/>
    </row>
    <row r="1808" spans="20:31" x14ac:dyDescent="0.25">
      <c r="T1808" s="81"/>
      <c r="W1808" s="185"/>
      <c r="AE1808" s="185"/>
    </row>
    <row r="1809" spans="20:31" x14ac:dyDescent="0.25">
      <c r="T1809" s="81"/>
      <c r="W1809" s="185"/>
      <c r="AE1809" s="185"/>
    </row>
    <row r="1810" spans="20:31" x14ac:dyDescent="0.25">
      <c r="T1810" s="81"/>
      <c r="W1810" s="185"/>
      <c r="AE1810" s="185"/>
    </row>
    <row r="1811" spans="20:31" x14ac:dyDescent="0.25">
      <c r="T1811" s="81"/>
      <c r="W1811" s="185"/>
      <c r="AE1811" s="185"/>
    </row>
    <row r="1812" spans="20:31" x14ac:dyDescent="0.25">
      <c r="T1812" s="81"/>
      <c r="W1812" s="185"/>
      <c r="AE1812" s="185"/>
    </row>
    <row r="1813" spans="20:31" x14ac:dyDescent="0.25">
      <c r="T1813" s="81"/>
      <c r="W1813" s="185"/>
      <c r="AE1813" s="185"/>
    </row>
    <row r="1814" spans="20:31" x14ac:dyDescent="0.25">
      <c r="T1814" s="81"/>
      <c r="W1814" s="185"/>
      <c r="AE1814" s="185"/>
    </row>
    <row r="1815" spans="20:31" x14ac:dyDescent="0.25">
      <c r="T1815" s="81"/>
      <c r="W1815" s="185"/>
      <c r="AE1815" s="185"/>
    </row>
    <row r="1816" spans="20:31" x14ac:dyDescent="0.25">
      <c r="T1816" s="81"/>
      <c r="W1816" s="185"/>
      <c r="AE1816" s="185"/>
    </row>
    <row r="1817" spans="20:31" x14ac:dyDescent="0.25">
      <c r="T1817" s="81"/>
      <c r="W1817" s="185"/>
      <c r="AE1817" s="185"/>
    </row>
    <row r="1818" spans="20:31" x14ac:dyDescent="0.25">
      <c r="T1818" s="81"/>
      <c r="W1818" s="185"/>
      <c r="AE1818" s="185"/>
    </row>
    <row r="1819" spans="20:31" x14ac:dyDescent="0.25">
      <c r="T1819" s="81"/>
      <c r="W1819" s="185"/>
      <c r="AE1819" s="185"/>
    </row>
    <row r="1820" spans="20:31" x14ac:dyDescent="0.25">
      <c r="T1820" s="81"/>
      <c r="W1820" s="185"/>
      <c r="AE1820" s="185"/>
    </row>
    <row r="1821" spans="20:31" x14ac:dyDescent="0.25">
      <c r="T1821" s="81"/>
      <c r="W1821" s="185"/>
      <c r="AE1821" s="185"/>
    </row>
    <row r="1822" spans="20:31" x14ac:dyDescent="0.25">
      <c r="T1822" s="81"/>
      <c r="W1822" s="185"/>
      <c r="AE1822" s="185"/>
    </row>
    <row r="1823" spans="20:31" x14ac:dyDescent="0.25">
      <c r="T1823" s="81"/>
      <c r="W1823" s="185"/>
      <c r="AE1823" s="185"/>
    </row>
    <row r="1824" spans="20:31" x14ac:dyDescent="0.25">
      <c r="T1824" s="81"/>
      <c r="W1824" s="185"/>
      <c r="AE1824" s="185"/>
    </row>
    <row r="1825" spans="20:31" x14ac:dyDescent="0.25">
      <c r="T1825" s="81"/>
      <c r="W1825" s="185"/>
      <c r="AE1825" s="185"/>
    </row>
    <row r="1826" spans="20:31" x14ac:dyDescent="0.25">
      <c r="T1826" s="81"/>
      <c r="W1826" s="185"/>
      <c r="AE1826" s="185"/>
    </row>
    <row r="1827" spans="20:31" x14ac:dyDescent="0.25">
      <c r="T1827" s="81"/>
      <c r="W1827" s="185"/>
      <c r="AE1827" s="185"/>
    </row>
    <row r="1828" spans="20:31" x14ac:dyDescent="0.25">
      <c r="T1828" s="81"/>
      <c r="W1828" s="185"/>
      <c r="AE1828" s="185"/>
    </row>
    <row r="1829" spans="20:31" x14ac:dyDescent="0.25">
      <c r="T1829" s="81"/>
      <c r="W1829" s="185"/>
      <c r="AE1829" s="185"/>
    </row>
    <row r="1830" spans="20:31" x14ac:dyDescent="0.25">
      <c r="T1830" s="81"/>
      <c r="W1830" s="185"/>
      <c r="AE1830" s="185"/>
    </row>
    <row r="1831" spans="20:31" x14ac:dyDescent="0.25">
      <c r="T1831" s="81"/>
      <c r="W1831" s="185"/>
      <c r="AE1831" s="185"/>
    </row>
    <row r="1832" spans="20:31" x14ac:dyDescent="0.25">
      <c r="T1832" s="81"/>
      <c r="W1832" s="185"/>
      <c r="AE1832" s="185"/>
    </row>
    <row r="1833" spans="20:31" x14ac:dyDescent="0.25">
      <c r="T1833" s="81"/>
      <c r="W1833" s="185"/>
      <c r="AE1833" s="185"/>
    </row>
    <row r="1834" spans="20:31" x14ac:dyDescent="0.25">
      <c r="T1834" s="81"/>
      <c r="W1834" s="185"/>
      <c r="AE1834" s="185"/>
    </row>
    <row r="1835" spans="20:31" x14ac:dyDescent="0.25">
      <c r="T1835" s="81"/>
      <c r="W1835" s="185"/>
      <c r="AE1835" s="185"/>
    </row>
    <row r="1836" spans="20:31" x14ac:dyDescent="0.25">
      <c r="T1836" s="81"/>
      <c r="W1836" s="185"/>
      <c r="AE1836" s="185"/>
    </row>
    <row r="1837" spans="20:31" x14ac:dyDescent="0.25">
      <c r="T1837" s="81"/>
      <c r="W1837" s="185"/>
      <c r="AE1837" s="185"/>
    </row>
    <row r="1838" spans="20:31" x14ac:dyDescent="0.25">
      <c r="T1838" s="81"/>
      <c r="W1838" s="185"/>
      <c r="AE1838" s="185"/>
    </row>
    <row r="1839" spans="20:31" x14ac:dyDescent="0.25">
      <c r="T1839" s="81"/>
      <c r="W1839" s="185"/>
      <c r="AE1839" s="185"/>
    </row>
    <row r="1840" spans="20:31" x14ac:dyDescent="0.25">
      <c r="T1840" s="81"/>
      <c r="W1840" s="185"/>
      <c r="AE1840" s="185"/>
    </row>
    <row r="1841" spans="20:31" x14ac:dyDescent="0.25">
      <c r="T1841" s="81"/>
      <c r="W1841" s="185"/>
      <c r="AE1841" s="185"/>
    </row>
    <row r="1842" spans="20:31" x14ac:dyDescent="0.25">
      <c r="T1842" s="81"/>
      <c r="W1842" s="185"/>
      <c r="AE1842" s="185"/>
    </row>
    <row r="1843" spans="20:31" x14ac:dyDescent="0.25">
      <c r="T1843" s="81"/>
      <c r="W1843" s="185"/>
      <c r="AE1843" s="185"/>
    </row>
    <row r="1844" spans="20:31" x14ac:dyDescent="0.25">
      <c r="T1844" s="81"/>
      <c r="W1844" s="185"/>
      <c r="AE1844" s="185"/>
    </row>
    <row r="1845" spans="20:31" x14ac:dyDescent="0.25">
      <c r="T1845" s="81"/>
      <c r="W1845" s="185"/>
      <c r="AE1845" s="185"/>
    </row>
    <row r="1846" spans="20:31" x14ac:dyDescent="0.25">
      <c r="T1846" s="81"/>
      <c r="W1846" s="185"/>
      <c r="AE1846" s="185"/>
    </row>
    <row r="1847" spans="20:31" x14ac:dyDescent="0.25">
      <c r="T1847" s="81"/>
      <c r="W1847" s="185"/>
      <c r="AE1847" s="185"/>
    </row>
    <row r="1848" spans="20:31" x14ac:dyDescent="0.25">
      <c r="T1848" s="81"/>
      <c r="W1848" s="185"/>
      <c r="AE1848" s="185"/>
    </row>
    <row r="1849" spans="20:31" x14ac:dyDescent="0.25">
      <c r="T1849" s="81"/>
      <c r="W1849" s="185"/>
      <c r="AE1849" s="185"/>
    </row>
    <row r="1850" spans="20:31" x14ac:dyDescent="0.25">
      <c r="T1850" s="81"/>
      <c r="W1850" s="185"/>
      <c r="AE1850" s="185"/>
    </row>
    <row r="1851" spans="20:31" x14ac:dyDescent="0.25">
      <c r="T1851" s="81"/>
      <c r="W1851" s="185"/>
      <c r="AE1851" s="185"/>
    </row>
    <row r="1852" spans="20:31" x14ac:dyDescent="0.25">
      <c r="T1852" s="81"/>
      <c r="W1852" s="185"/>
      <c r="AE1852" s="185"/>
    </row>
    <row r="1853" spans="20:31" x14ac:dyDescent="0.25">
      <c r="T1853" s="81"/>
      <c r="W1853" s="185"/>
      <c r="AE1853" s="185"/>
    </row>
    <row r="1854" spans="20:31" x14ac:dyDescent="0.25">
      <c r="T1854" s="81"/>
      <c r="W1854" s="185"/>
      <c r="AE1854" s="185"/>
    </row>
    <row r="1855" spans="20:31" x14ac:dyDescent="0.25">
      <c r="T1855" s="81"/>
      <c r="W1855" s="185"/>
      <c r="AE1855" s="185"/>
    </row>
    <row r="1856" spans="20:31" x14ac:dyDescent="0.25">
      <c r="T1856" s="81"/>
      <c r="W1856" s="185"/>
      <c r="AE1856" s="185"/>
    </row>
    <row r="1857" spans="20:31" x14ac:dyDescent="0.25">
      <c r="T1857" s="81"/>
      <c r="W1857" s="185"/>
      <c r="AE1857" s="185"/>
    </row>
    <row r="1858" spans="20:31" x14ac:dyDescent="0.25">
      <c r="T1858" s="81"/>
      <c r="W1858" s="185"/>
      <c r="AE1858" s="185"/>
    </row>
    <row r="1859" spans="20:31" x14ac:dyDescent="0.25">
      <c r="T1859" s="81"/>
      <c r="W1859" s="185"/>
      <c r="AE1859" s="185"/>
    </row>
    <row r="1860" spans="20:31" x14ac:dyDescent="0.25">
      <c r="T1860" s="81"/>
      <c r="W1860" s="185"/>
      <c r="AE1860" s="185"/>
    </row>
    <row r="1861" spans="20:31" x14ac:dyDescent="0.25">
      <c r="T1861" s="81"/>
      <c r="W1861" s="185"/>
      <c r="AE1861" s="185"/>
    </row>
    <row r="1862" spans="20:31" x14ac:dyDescent="0.25">
      <c r="T1862" s="81"/>
      <c r="W1862" s="185"/>
      <c r="AE1862" s="185"/>
    </row>
    <row r="1863" spans="20:31" x14ac:dyDescent="0.25">
      <c r="T1863" s="81"/>
      <c r="W1863" s="185"/>
      <c r="AE1863" s="185"/>
    </row>
    <row r="1864" spans="20:31" x14ac:dyDescent="0.25">
      <c r="T1864" s="81"/>
      <c r="W1864" s="185"/>
      <c r="AE1864" s="185"/>
    </row>
    <row r="1865" spans="20:31" x14ac:dyDescent="0.25">
      <c r="T1865" s="81"/>
      <c r="W1865" s="185"/>
      <c r="AE1865" s="185"/>
    </row>
    <row r="1866" spans="20:31" x14ac:dyDescent="0.25">
      <c r="T1866" s="81"/>
      <c r="W1866" s="185"/>
      <c r="AE1866" s="185"/>
    </row>
    <row r="1867" spans="20:31" x14ac:dyDescent="0.25">
      <c r="T1867" s="81"/>
      <c r="W1867" s="185"/>
      <c r="AE1867" s="185"/>
    </row>
    <row r="1868" spans="20:31" x14ac:dyDescent="0.25">
      <c r="T1868" s="81"/>
      <c r="W1868" s="185"/>
      <c r="AE1868" s="185"/>
    </row>
    <row r="1869" spans="20:31" x14ac:dyDescent="0.25">
      <c r="T1869" s="81"/>
      <c r="W1869" s="185"/>
      <c r="AE1869" s="185"/>
    </row>
    <row r="1870" spans="20:31" x14ac:dyDescent="0.25">
      <c r="T1870" s="81"/>
      <c r="W1870" s="185"/>
      <c r="AE1870" s="185"/>
    </row>
    <row r="1871" spans="20:31" x14ac:dyDescent="0.25">
      <c r="T1871" s="81"/>
      <c r="W1871" s="185"/>
      <c r="AE1871" s="185"/>
    </row>
    <row r="1872" spans="20:31" x14ac:dyDescent="0.25">
      <c r="T1872" s="81"/>
      <c r="W1872" s="185"/>
      <c r="AE1872" s="185"/>
    </row>
    <row r="1873" spans="20:31" x14ac:dyDescent="0.25">
      <c r="T1873" s="81"/>
      <c r="W1873" s="185"/>
      <c r="AE1873" s="185"/>
    </row>
    <row r="1874" spans="20:31" x14ac:dyDescent="0.25">
      <c r="T1874" s="81"/>
      <c r="W1874" s="185"/>
      <c r="AE1874" s="185"/>
    </row>
    <row r="1875" spans="20:31" x14ac:dyDescent="0.25">
      <c r="T1875" s="81"/>
      <c r="W1875" s="185"/>
      <c r="AE1875" s="185"/>
    </row>
    <row r="1876" spans="20:31" x14ac:dyDescent="0.25">
      <c r="T1876" s="81"/>
      <c r="W1876" s="185"/>
      <c r="AE1876" s="185"/>
    </row>
    <row r="1877" spans="20:31" x14ac:dyDescent="0.25">
      <c r="T1877" s="81"/>
      <c r="W1877" s="185"/>
      <c r="AE1877" s="185"/>
    </row>
    <row r="1878" spans="20:31" x14ac:dyDescent="0.25">
      <c r="T1878" s="81"/>
      <c r="W1878" s="185"/>
      <c r="AE1878" s="185"/>
    </row>
    <row r="1879" spans="20:31" x14ac:dyDescent="0.25">
      <c r="T1879" s="81"/>
      <c r="W1879" s="185"/>
      <c r="AE1879" s="185"/>
    </row>
    <row r="1880" spans="20:31" x14ac:dyDescent="0.25">
      <c r="T1880" s="81"/>
      <c r="W1880" s="185"/>
      <c r="AE1880" s="185"/>
    </row>
    <row r="1881" spans="20:31" x14ac:dyDescent="0.25">
      <c r="T1881" s="81"/>
      <c r="W1881" s="185"/>
      <c r="AE1881" s="185"/>
    </row>
    <row r="1882" spans="20:31" x14ac:dyDescent="0.25">
      <c r="T1882" s="81"/>
      <c r="W1882" s="185"/>
      <c r="AE1882" s="185"/>
    </row>
    <row r="1883" spans="20:31" x14ac:dyDescent="0.25">
      <c r="T1883" s="81"/>
      <c r="W1883" s="185"/>
      <c r="AE1883" s="185"/>
    </row>
    <row r="1884" spans="20:31" x14ac:dyDescent="0.25">
      <c r="T1884" s="81"/>
      <c r="W1884" s="185"/>
      <c r="AE1884" s="185"/>
    </row>
    <row r="1885" spans="20:31" x14ac:dyDescent="0.25">
      <c r="T1885" s="81"/>
      <c r="W1885" s="185"/>
      <c r="AE1885" s="185"/>
    </row>
    <row r="1886" spans="20:31" x14ac:dyDescent="0.25">
      <c r="T1886" s="81"/>
      <c r="W1886" s="185"/>
      <c r="AE1886" s="185"/>
    </row>
    <row r="1887" spans="20:31" x14ac:dyDescent="0.25">
      <c r="T1887" s="81"/>
      <c r="W1887" s="185"/>
      <c r="AE1887" s="185"/>
    </row>
    <row r="1888" spans="20:31" x14ac:dyDescent="0.25">
      <c r="T1888" s="81"/>
      <c r="W1888" s="185"/>
      <c r="AE1888" s="185"/>
    </row>
    <row r="1889" spans="20:31" x14ac:dyDescent="0.25">
      <c r="T1889" s="81"/>
      <c r="W1889" s="185"/>
      <c r="AE1889" s="185"/>
    </row>
    <row r="1890" spans="20:31" x14ac:dyDescent="0.25">
      <c r="T1890" s="81"/>
      <c r="W1890" s="185"/>
      <c r="AE1890" s="185"/>
    </row>
    <row r="1891" spans="20:31" x14ac:dyDescent="0.25">
      <c r="T1891" s="81"/>
      <c r="W1891" s="185"/>
      <c r="AE1891" s="185"/>
    </row>
    <row r="1892" spans="20:31" x14ac:dyDescent="0.25">
      <c r="T1892" s="81"/>
      <c r="W1892" s="185"/>
      <c r="AE1892" s="185"/>
    </row>
    <row r="1893" spans="20:31" x14ac:dyDescent="0.25">
      <c r="T1893" s="81"/>
      <c r="W1893" s="185"/>
      <c r="AE1893" s="185"/>
    </row>
    <row r="1894" spans="20:31" x14ac:dyDescent="0.25">
      <c r="T1894" s="81"/>
      <c r="W1894" s="185"/>
      <c r="AE1894" s="185"/>
    </row>
    <row r="1895" spans="20:31" x14ac:dyDescent="0.25">
      <c r="T1895" s="81"/>
      <c r="W1895" s="185"/>
      <c r="AE1895" s="185"/>
    </row>
    <row r="1896" spans="20:31" x14ac:dyDescent="0.25">
      <c r="T1896" s="81"/>
      <c r="W1896" s="185"/>
      <c r="AE1896" s="185"/>
    </row>
    <row r="1897" spans="20:31" x14ac:dyDescent="0.25">
      <c r="T1897" s="81"/>
      <c r="W1897" s="185"/>
      <c r="AE1897" s="185"/>
    </row>
    <row r="1898" spans="20:31" x14ac:dyDescent="0.25">
      <c r="T1898" s="81"/>
      <c r="W1898" s="185"/>
      <c r="AE1898" s="185"/>
    </row>
    <row r="1899" spans="20:31" x14ac:dyDescent="0.25">
      <c r="T1899" s="81"/>
      <c r="W1899" s="185"/>
      <c r="AE1899" s="185"/>
    </row>
    <row r="1900" spans="20:31" x14ac:dyDescent="0.25">
      <c r="T1900" s="81"/>
      <c r="W1900" s="185"/>
      <c r="AE1900" s="185"/>
    </row>
    <row r="1901" spans="20:31" x14ac:dyDescent="0.25">
      <c r="T1901" s="81"/>
      <c r="W1901" s="185"/>
      <c r="AE1901" s="185"/>
    </row>
    <row r="1902" spans="20:31" x14ac:dyDescent="0.25">
      <c r="T1902" s="81"/>
      <c r="W1902" s="185"/>
      <c r="AE1902" s="185"/>
    </row>
    <row r="1903" spans="20:31" x14ac:dyDescent="0.25">
      <c r="T1903" s="81"/>
      <c r="W1903" s="185"/>
      <c r="AE1903" s="185"/>
    </row>
    <row r="1904" spans="20:31" x14ac:dyDescent="0.25">
      <c r="T1904" s="81"/>
      <c r="W1904" s="185"/>
      <c r="AE1904" s="185"/>
    </row>
    <row r="1905" spans="20:31" x14ac:dyDescent="0.25">
      <c r="T1905" s="81"/>
      <c r="W1905" s="185"/>
      <c r="AE1905" s="185"/>
    </row>
    <row r="1906" spans="20:31" x14ac:dyDescent="0.25">
      <c r="T1906" s="81"/>
      <c r="W1906" s="185"/>
      <c r="AE1906" s="185"/>
    </row>
    <row r="1907" spans="20:31" x14ac:dyDescent="0.25">
      <c r="T1907" s="81"/>
      <c r="W1907" s="185"/>
      <c r="AE1907" s="185"/>
    </row>
    <row r="1908" spans="20:31" x14ac:dyDescent="0.25">
      <c r="T1908" s="81"/>
      <c r="W1908" s="185"/>
      <c r="AE1908" s="185"/>
    </row>
    <row r="1909" spans="20:31" x14ac:dyDescent="0.25">
      <c r="T1909" s="81"/>
      <c r="W1909" s="185"/>
      <c r="AE1909" s="185"/>
    </row>
    <row r="1910" spans="20:31" x14ac:dyDescent="0.25">
      <c r="T1910" s="81"/>
      <c r="W1910" s="185"/>
      <c r="AE1910" s="185"/>
    </row>
    <row r="1911" spans="20:31" x14ac:dyDescent="0.25">
      <c r="T1911" s="81"/>
      <c r="W1911" s="185"/>
      <c r="AE1911" s="185"/>
    </row>
    <row r="1912" spans="20:31" x14ac:dyDescent="0.25">
      <c r="T1912" s="81"/>
      <c r="W1912" s="185"/>
      <c r="AE1912" s="185"/>
    </row>
    <row r="1913" spans="20:31" x14ac:dyDescent="0.25">
      <c r="T1913" s="81"/>
      <c r="W1913" s="185"/>
      <c r="AE1913" s="185"/>
    </row>
    <row r="1914" spans="20:31" x14ac:dyDescent="0.25">
      <c r="T1914" s="81"/>
      <c r="W1914" s="185"/>
      <c r="AE1914" s="185"/>
    </row>
    <row r="1915" spans="20:31" x14ac:dyDescent="0.25">
      <c r="T1915" s="81"/>
      <c r="W1915" s="185"/>
      <c r="AE1915" s="185"/>
    </row>
    <row r="1916" spans="20:31" x14ac:dyDescent="0.25">
      <c r="T1916" s="81"/>
      <c r="W1916" s="185"/>
      <c r="AE1916" s="185"/>
    </row>
    <row r="1917" spans="20:31" x14ac:dyDescent="0.25">
      <c r="T1917" s="81"/>
      <c r="W1917" s="185"/>
      <c r="AE1917" s="185"/>
    </row>
    <row r="1918" spans="20:31" x14ac:dyDescent="0.25">
      <c r="T1918" s="81"/>
      <c r="W1918" s="185"/>
      <c r="AE1918" s="185"/>
    </row>
    <row r="1919" spans="20:31" x14ac:dyDescent="0.25">
      <c r="T1919" s="81"/>
      <c r="W1919" s="185"/>
      <c r="AE1919" s="185"/>
    </row>
    <row r="1920" spans="20:31" x14ac:dyDescent="0.25">
      <c r="T1920" s="81"/>
      <c r="W1920" s="185"/>
      <c r="AE1920" s="185"/>
    </row>
    <row r="1921" spans="20:31" x14ac:dyDescent="0.25">
      <c r="T1921" s="81"/>
      <c r="W1921" s="185"/>
      <c r="AE1921" s="185"/>
    </row>
    <row r="1922" spans="20:31" x14ac:dyDescent="0.25">
      <c r="T1922" s="81"/>
      <c r="W1922" s="185"/>
      <c r="AE1922" s="185"/>
    </row>
    <row r="1923" spans="20:31" x14ac:dyDescent="0.25">
      <c r="T1923" s="81"/>
      <c r="W1923" s="185"/>
      <c r="AE1923" s="185"/>
    </row>
    <row r="1924" spans="20:31" x14ac:dyDescent="0.25">
      <c r="T1924" s="81"/>
      <c r="W1924" s="185"/>
      <c r="AE1924" s="185"/>
    </row>
    <row r="1925" spans="20:31" x14ac:dyDescent="0.25">
      <c r="T1925" s="81"/>
      <c r="W1925" s="185"/>
      <c r="AE1925" s="185"/>
    </row>
    <row r="1926" spans="20:31" x14ac:dyDescent="0.25">
      <c r="T1926" s="81"/>
      <c r="W1926" s="185"/>
      <c r="AE1926" s="185"/>
    </row>
    <row r="1927" spans="20:31" x14ac:dyDescent="0.25">
      <c r="T1927" s="81"/>
      <c r="W1927" s="185"/>
      <c r="AE1927" s="185"/>
    </row>
    <row r="1928" spans="20:31" x14ac:dyDescent="0.25">
      <c r="T1928" s="81"/>
      <c r="W1928" s="185"/>
      <c r="AE1928" s="185"/>
    </row>
    <row r="1929" spans="20:31" x14ac:dyDescent="0.25">
      <c r="T1929" s="81"/>
      <c r="W1929" s="185"/>
      <c r="AE1929" s="185"/>
    </row>
    <row r="1930" spans="20:31" x14ac:dyDescent="0.25">
      <c r="T1930" s="81"/>
      <c r="W1930" s="185"/>
      <c r="AE1930" s="185"/>
    </row>
    <row r="1931" spans="20:31" x14ac:dyDescent="0.25">
      <c r="T1931" s="81"/>
      <c r="W1931" s="185"/>
      <c r="AE1931" s="185"/>
    </row>
    <row r="1932" spans="20:31" x14ac:dyDescent="0.25">
      <c r="T1932" s="81"/>
      <c r="W1932" s="185"/>
      <c r="AE1932" s="185"/>
    </row>
    <row r="1933" spans="20:31" x14ac:dyDescent="0.25">
      <c r="T1933" s="81"/>
      <c r="W1933" s="185"/>
      <c r="AE1933" s="185"/>
    </row>
    <row r="1934" spans="20:31" x14ac:dyDescent="0.25">
      <c r="T1934" s="81"/>
      <c r="W1934" s="185"/>
      <c r="AE1934" s="185"/>
    </row>
    <row r="1935" spans="20:31" x14ac:dyDescent="0.25">
      <c r="T1935" s="81"/>
      <c r="W1935" s="185"/>
      <c r="AE1935" s="185"/>
    </row>
    <row r="1936" spans="20:31" x14ac:dyDescent="0.25">
      <c r="T1936" s="81"/>
      <c r="W1936" s="185"/>
      <c r="AE1936" s="185"/>
    </row>
    <row r="1937" spans="20:31" x14ac:dyDescent="0.25">
      <c r="T1937" s="81"/>
      <c r="W1937" s="185"/>
      <c r="AE1937" s="185"/>
    </row>
    <row r="1938" spans="20:31" x14ac:dyDescent="0.25">
      <c r="T1938" s="81"/>
      <c r="W1938" s="185"/>
      <c r="AE1938" s="185"/>
    </row>
    <row r="1939" spans="20:31" x14ac:dyDescent="0.25">
      <c r="T1939" s="81"/>
      <c r="W1939" s="185"/>
      <c r="AE1939" s="185"/>
    </row>
    <row r="1940" spans="20:31" x14ac:dyDescent="0.25">
      <c r="T1940" s="81"/>
      <c r="W1940" s="185"/>
      <c r="AE1940" s="185"/>
    </row>
    <row r="1941" spans="20:31" x14ac:dyDescent="0.25">
      <c r="T1941" s="81"/>
      <c r="W1941" s="185"/>
      <c r="AE1941" s="185"/>
    </row>
    <row r="1942" spans="20:31" x14ac:dyDescent="0.25">
      <c r="T1942" s="81"/>
      <c r="W1942" s="185"/>
      <c r="AE1942" s="185"/>
    </row>
    <row r="1943" spans="20:31" x14ac:dyDescent="0.25">
      <c r="T1943" s="81"/>
      <c r="W1943" s="185"/>
      <c r="AE1943" s="185"/>
    </row>
    <row r="1944" spans="20:31" x14ac:dyDescent="0.25">
      <c r="T1944" s="81"/>
      <c r="W1944" s="185"/>
      <c r="AE1944" s="185"/>
    </row>
    <row r="1945" spans="20:31" x14ac:dyDescent="0.25">
      <c r="T1945" s="81"/>
      <c r="W1945" s="185"/>
      <c r="AE1945" s="185"/>
    </row>
    <row r="1946" spans="20:31" x14ac:dyDescent="0.25">
      <c r="T1946" s="81"/>
      <c r="W1946" s="185"/>
      <c r="AE1946" s="185"/>
    </row>
    <row r="1947" spans="20:31" x14ac:dyDescent="0.25">
      <c r="T1947" s="81"/>
      <c r="W1947" s="185"/>
      <c r="AE1947" s="185"/>
    </row>
    <row r="1948" spans="20:31" x14ac:dyDescent="0.25">
      <c r="T1948" s="81"/>
      <c r="W1948" s="185"/>
      <c r="AE1948" s="185"/>
    </row>
    <row r="1949" spans="20:31" x14ac:dyDescent="0.25">
      <c r="T1949" s="81"/>
      <c r="W1949" s="185"/>
      <c r="AE1949" s="185"/>
    </row>
    <row r="1950" spans="20:31" x14ac:dyDescent="0.25">
      <c r="T1950" s="81"/>
      <c r="W1950" s="185"/>
      <c r="AE1950" s="185"/>
    </row>
    <row r="1951" spans="20:31" x14ac:dyDescent="0.25">
      <c r="T1951" s="81"/>
      <c r="W1951" s="185"/>
      <c r="AE1951" s="185"/>
    </row>
    <row r="1952" spans="20:31" x14ac:dyDescent="0.25">
      <c r="T1952" s="81"/>
      <c r="W1952" s="185"/>
      <c r="AE1952" s="185"/>
    </row>
    <row r="1953" spans="20:31" x14ac:dyDescent="0.25">
      <c r="T1953" s="81"/>
      <c r="W1953" s="185"/>
      <c r="AE1953" s="185"/>
    </row>
    <row r="1954" spans="20:31" x14ac:dyDescent="0.25">
      <c r="T1954" s="81"/>
      <c r="W1954" s="185"/>
      <c r="AE1954" s="185"/>
    </row>
    <row r="1955" spans="20:31" x14ac:dyDescent="0.25">
      <c r="T1955" s="81"/>
      <c r="W1955" s="185"/>
      <c r="AE1955" s="185"/>
    </row>
    <row r="1956" spans="20:31" x14ac:dyDescent="0.25">
      <c r="T1956" s="81"/>
      <c r="W1956" s="185"/>
      <c r="AE1956" s="185"/>
    </row>
    <row r="1957" spans="20:31" x14ac:dyDescent="0.25">
      <c r="T1957" s="81"/>
      <c r="W1957" s="185"/>
      <c r="AE1957" s="185"/>
    </row>
    <row r="1958" spans="20:31" x14ac:dyDescent="0.25">
      <c r="T1958" s="81"/>
      <c r="W1958" s="185"/>
      <c r="AE1958" s="185"/>
    </row>
    <row r="1959" spans="20:31" x14ac:dyDescent="0.25">
      <c r="T1959" s="81"/>
      <c r="W1959" s="185"/>
      <c r="AE1959" s="185"/>
    </row>
    <row r="1960" spans="20:31" x14ac:dyDescent="0.25">
      <c r="T1960" s="81"/>
      <c r="W1960" s="185"/>
      <c r="AE1960" s="185"/>
    </row>
    <row r="1961" spans="20:31" x14ac:dyDescent="0.25">
      <c r="T1961" s="81"/>
      <c r="W1961" s="185"/>
      <c r="AE1961" s="185"/>
    </row>
    <row r="1962" spans="20:31" x14ac:dyDescent="0.25">
      <c r="T1962" s="81"/>
      <c r="W1962" s="185"/>
      <c r="AE1962" s="185"/>
    </row>
    <row r="1963" spans="20:31" x14ac:dyDescent="0.25">
      <c r="T1963" s="81"/>
      <c r="W1963" s="185"/>
      <c r="AE1963" s="185"/>
    </row>
    <row r="1964" spans="20:31" x14ac:dyDescent="0.25">
      <c r="T1964" s="81"/>
      <c r="W1964" s="185"/>
      <c r="AE1964" s="185"/>
    </row>
    <row r="1965" spans="20:31" x14ac:dyDescent="0.25">
      <c r="T1965" s="81"/>
      <c r="W1965" s="185"/>
      <c r="AE1965" s="185"/>
    </row>
    <row r="1966" spans="20:31" x14ac:dyDescent="0.25">
      <c r="T1966" s="81"/>
      <c r="W1966" s="185"/>
      <c r="AE1966" s="185"/>
    </row>
    <row r="1967" spans="20:31" x14ac:dyDescent="0.25">
      <c r="T1967" s="81"/>
      <c r="W1967" s="185"/>
      <c r="AE1967" s="185"/>
    </row>
    <row r="1968" spans="20:31" x14ac:dyDescent="0.25">
      <c r="T1968" s="81"/>
      <c r="W1968" s="185"/>
      <c r="AE1968" s="185"/>
    </row>
    <row r="1969" spans="20:31" x14ac:dyDescent="0.25">
      <c r="T1969" s="81"/>
      <c r="W1969" s="185"/>
      <c r="AE1969" s="185"/>
    </row>
    <row r="1970" spans="20:31" x14ac:dyDescent="0.25">
      <c r="T1970" s="81"/>
      <c r="W1970" s="185"/>
      <c r="AE1970" s="185"/>
    </row>
    <row r="1971" spans="20:31" x14ac:dyDescent="0.25">
      <c r="T1971" s="81"/>
      <c r="W1971" s="185"/>
      <c r="AE1971" s="185"/>
    </row>
    <row r="1972" spans="20:31" x14ac:dyDescent="0.25">
      <c r="T1972" s="81"/>
      <c r="W1972" s="185"/>
      <c r="AE1972" s="185"/>
    </row>
    <row r="1973" spans="20:31" x14ac:dyDescent="0.25">
      <c r="T1973" s="81"/>
      <c r="W1973" s="185"/>
      <c r="AE1973" s="185"/>
    </row>
    <row r="1974" spans="20:31" x14ac:dyDescent="0.25">
      <c r="T1974" s="81"/>
      <c r="W1974" s="185"/>
      <c r="AE1974" s="185"/>
    </row>
    <row r="1975" spans="20:31" x14ac:dyDescent="0.25">
      <c r="T1975" s="81"/>
      <c r="W1975" s="185"/>
      <c r="AE1975" s="185"/>
    </row>
    <row r="1976" spans="20:31" x14ac:dyDescent="0.25">
      <c r="T1976" s="81"/>
      <c r="W1976" s="185"/>
      <c r="AE1976" s="185"/>
    </row>
    <row r="1977" spans="20:31" x14ac:dyDescent="0.25">
      <c r="T1977" s="81"/>
      <c r="W1977" s="185"/>
      <c r="AE1977" s="185"/>
    </row>
    <row r="1978" spans="20:31" x14ac:dyDescent="0.25">
      <c r="T1978" s="81"/>
      <c r="W1978" s="185"/>
      <c r="AE1978" s="185"/>
    </row>
    <row r="1979" spans="20:31" x14ac:dyDescent="0.25">
      <c r="T1979" s="81"/>
      <c r="W1979" s="185"/>
      <c r="AE1979" s="185"/>
    </row>
    <row r="1980" spans="20:31" x14ac:dyDescent="0.25">
      <c r="T1980" s="81"/>
      <c r="W1980" s="185"/>
      <c r="AE1980" s="185"/>
    </row>
    <row r="1981" spans="20:31" x14ac:dyDescent="0.25">
      <c r="T1981" s="81"/>
      <c r="W1981" s="185"/>
      <c r="AE1981" s="185"/>
    </row>
    <row r="1982" spans="20:31" x14ac:dyDescent="0.25">
      <c r="T1982" s="81"/>
      <c r="W1982" s="185"/>
      <c r="AE1982" s="185"/>
    </row>
    <row r="1983" spans="20:31" x14ac:dyDescent="0.25">
      <c r="T1983" s="81"/>
      <c r="W1983" s="185"/>
      <c r="AE1983" s="185"/>
    </row>
    <row r="1984" spans="20:31" x14ac:dyDescent="0.25">
      <c r="T1984" s="81"/>
      <c r="W1984" s="185"/>
      <c r="AE1984" s="185"/>
    </row>
    <row r="1985" spans="20:31" x14ac:dyDescent="0.25">
      <c r="T1985" s="81"/>
      <c r="W1985" s="185"/>
      <c r="AE1985" s="185"/>
    </row>
    <row r="1986" spans="20:31" x14ac:dyDescent="0.25">
      <c r="T1986" s="81"/>
      <c r="W1986" s="185"/>
      <c r="AE1986" s="185"/>
    </row>
    <row r="1987" spans="20:31" x14ac:dyDescent="0.25">
      <c r="T1987" s="81"/>
      <c r="W1987" s="185"/>
      <c r="AE1987" s="185"/>
    </row>
    <row r="1988" spans="20:31" x14ac:dyDescent="0.25">
      <c r="T1988" s="81"/>
      <c r="W1988" s="185"/>
      <c r="AE1988" s="185"/>
    </row>
    <row r="1989" spans="20:31" x14ac:dyDescent="0.25">
      <c r="T1989" s="81"/>
      <c r="W1989" s="185"/>
      <c r="AE1989" s="185"/>
    </row>
    <row r="1990" spans="20:31" x14ac:dyDescent="0.25">
      <c r="T1990" s="81"/>
      <c r="W1990" s="185"/>
      <c r="AE1990" s="185"/>
    </row>
    <row r="1991" spans="20:31" x14ac:dyDescent="0.25">
      <c r="T1991" s="81"/>
      <c r="W1991" s="185"/>
      <c r="AE1991" s="185"/>
    </row>
    <row r="1992" spans="20:31" x14ac:dyDescent="0.25">
      <c r="T1992" s="81"/>
      <c r="W1992" s="185"/>
      <c r="AE1992" s="185"/>
    </row>
    <row r="1993" spans="20:31" x14ac:dyDescent="0.25">
      <c r="T1993" s="81"/>
      <c r="W1993" s="185"/>
      <c r="AE1993" s="185"/>
    </row>
    <row r="1994" spans="20:31" x14ac:dyDescent="0.25">
      <c r="T1994" s="81"/>
      <c r="W1994" s="185"/>
      <c r="AE1994" s="185"/>
    </row>
    <row r="1995" spans="20:31" x14ac:dyDescent="0.25">
      <c r="T1995" s="81"/>
      <c r="W1995" s="185"/>
      <c r="AE1995" s="185"/>
    </row>
    <row r="1996" spans="20:31" x14ac:dyDescent="0.25">
      <c r="T1996" s="81"/>
      <c r="W1996" s="185"/>
      <c r="AE1996" s="185"/>
    </row>
    <row r="1997" spans="20:31" x14ac:dyDescent="0.25">
      <c r="T1997" s="81"/>
      <c r="W1997" s="185"/>
      <c r="AE1997" s="185"/>
    </row>
    <row r="1998" spans="20:31" x14ac:dyDescent="0.25">
      <c r="T1998" s="81"/>
      <c r="W1998" s="185"/>
      <c r="AE1998" s="185"/>
    </row>
    <row r="1999" spans="20:31" x14ac:dyDescent="0.25">
      <c r="T1999" s="81"/>
      <c r="W1999" s="185"/>
      <c r="AE1999" s="185"/>
    </row>
    <row r="2000" spans="20:31" x14ac:dyDescent="0.25">
      <c r="T2000" s="81"/>
      <c r="W2000" s="185"/>
      <c r="AE2000" s="185"/>
    </row>
    <row r="2001" spans="20:31" x14ac:dyDescent="0.25">
      <c r="T2001" s="81"/>
      <c r="W2001" s="185"/>
      <c r="AE2001" s="185"/>
    </row>
    <row r="2002" spans="20:31" x14ac:dyDescent="0.25">
      <c r="T2002" s="81"/>
      <c r="W2002" s="185"/>
      <c r="AE2002" s="185"/>
    </row>
    <row r="2003" spans="20:31" x14ac:dyDescent="0.25">
      <c r="T2003" s="81"/>
      <c r="W2003" s="185"/>
      <c r="AE2003" s="185"/>
    </row>
    <row r="2004" spans="20:31" x14ac:dyDescent="0.25">
      <c r="T2004" s="81"/>
      <c r="W2004" s="185"/>
      <c r="AE2004" s="185"/>
    </row>
    <row r="2005" spans="20:31" x14ac:dyDescent="0.25">
      <c r="T2005" s="81"/>
      <c r="W2005" s="185"/>
      <c r="AE2005" s="185"/>
    </row>
    <row r="2006" spans="20:31" x14ac:dyDescent="0.25">
      <c r="T2006" s="81"/>
      <c r="W2006" s="185"/>
      <c r="AE2006" s="185"/>
    </row>
    <row r="2007" spans="20:31" x14ac:dyDescent="0.25">
      <c r="T2007" s="81"/>
      <c r="W2007" s="185"/>
      <c r="AE2007" s="185"/>
    </row>
    <row r="2008" spans="20:31" x14ac:dyDescent="0.25">
      <c r="T2008" s="81"/>
      <c r="W2008" s="185"/>
      <c r="AE2008" s="185"/>
    </row>
    <row r="2009" spans="20:31" x14ac:dyDescent="0.25">
      <c r="T2009" s="81"/>
      <c r="W2009" s="185"/>
      <c r="AE2009" s="185"/>
    </row>
    <row r="2010" spans="20:31" x14ac:dyDescent="0.25">
      <c r="T2010" s="81"/>
      <c r="W2010" s="185"/>
      <c r="AE2010" s="185"/>
    </row>
    <row r="2011" spans="20:31" x14ac:dyDescent="0.25">
      <c r="T2011" s="81"/>
      <c r="W2011" s="185"/>
      <c r="AE2011" s="185"/>
    </row>
    <row r="2012" spans="20:31" x14ac:dyDescent="0.25">
      <c r="T2012" s="81"/>
      <c r="W2012" s="185"/>
      <c r="AE2012" s="185"/>
    </row>
    <row r="2013" spans="20:31" x14ac:dyDescent="0.25">
      <c r="T2013" s="81"/>
      <c r="W2013" s="185"/>
      <c r="AE2013" s="185"/>
    </row>
    <row r="2014" spans="20:31" x14ac:dyDescent="0.25">
      <c r="T2014" s="81"/>
      <c r="W2014" s="185"/>
      <c r="AE2014" s="185"/>
    </row>
    <row r="2015" spans="20:31" x14ac:dyDescent="0.25">
      <c r="T2015" s="81"/>
      <c r="W2015" s="185"/>
      <c r="AE2015" s="185"/>
    </row>
    <row r="2016" spans="20:31" x14ac:dyDescent="0.25">
      <c r="T2016" s="81"/>
      <c r="W2016" s="185"/>
      <c r="AE2016" s="185"/>
    </row>
    <row r="2017" spans="20:31" x14ac:dyDescent="0.25">
      <c r="T2017" s="81"/>
      <c r="W2017" s="185"/>
      <c r="AE2017" s="185"/>
    </row>
    <row r="2018" spans="20:31" x14ac:dyDescent="0.25">
      <c r="T2018" s="81"/>
      <c r="W2018" s="185"/>
      <c r="AE2018" s="185"/>
    </row>
    <row r="2019" spans="20:31" x14ac:dyDescent="0.25">
      <c r="T2019" s="81"/>
      <c r="W2019" s="185"/>
      <c r="AE2019" s="185"/>
    </row>
    <row r="2020" spans="20:31" x14ac:dyDescent="0.25">
      <c r="T2020" s="81"/>
      <c r="W2020" s="185"/>
      <c r="AE2020" s="185"/>
    </row>
    <row r="2021" spans="20:31" x14ac:dyDescent="0.25">
      <c r="T2021" s="81"/>
      <c r="W2021" s="185"/>
      <c r="AE2021" s="185"/>
    </row>
    <row r="2022" spans="20:31" x14ac:dyDescent="0.25">
      <c r="T2022" s="81"/>
      <c r="W2022" s="185"/>
      <c r="AE2022" s="185"/>
    </row>
    <row r="2023" spans="20:31" x14ac:dyDescent="0.25">
      <c r="T2023" s="81"/>
      <c r="W2023" s="185"/>
      <c r="AE2023" s="185"/>
    </row>
    <row r="2024" spans="20:31" x14ac:dyDescent="0.25">
      <c r="T2024" s="81"/>
      <c r="W2024" s="185"/>
      <c r="AE2024" s="185"/>
    </row>
    <row r="2025" spans="20:31" x14ac:dyDescent="0.25">
      <c r="T2025" s="81"/>
      <c r="W2025" s="185"/>
      <c r="AE2025" s="185"/>
    </row>
    <row r="2026" spans="20:31" x14ac:dyDescent="0.25">
      <c r="T2026" s="81"/>
      <c r="W2026" s="185"/>
      <c r="AE2026" s="185"/>
    </row>
    <row r="2027" spans="20:31" x14ac:dyDescent="0.25">
      <c r="T2027" s="81"/>
      <c r="W2027" s="185"/>
      <c r="AE2027" s="185"/>
    </row>
    <row r="2028" spans="20:31" x14ac:dyDescent="0.25">
      <c r="T2028" s="81"/>
      <c r="W2028" s="185"/>
      <c r="AE2028" s="185"/>
    </row>
    <row r="2029" spans="20:31" x14ac:dyDescent="0.25">
      <c r="T2029" s="81"/>
      <c r="W2029" s="185"/>
      <c r="AE2029" s="185"/>
    </row>
    <row r="2030" spans="20:31" x14ac:dyDescent="0.25">
      <c r="T2030" s="81"/>
      <c r="W2030" s="185"/>
      <c r="AE2030" s="185"/>
    </row>
    <row r="2031" spans="20:31" x14ac:dyDescent="0.25">
      <c r="T2031" s="81"/>
      <c r="W2031" s="185"/>
      <c r="AE2031" s="185"/>
    </row>
    <row r="2032" spans="20:31" x14ac:dyDescent="0.25">
      <c r="T2032" s="81"/>
      <c r="W2032" s="185"/>
      <c r="AE2032" s="185"/>
    </row>
    <row r="2033" spans="20:31" x14ac:dyDescent="0.25">
      <c r="T2033" s="81"/>
      <c r="W2033" s="185"/>
      <c r="AE2033" s="185"/>
    </row>
    <row r="2034" spans="20:31" x14ac:dyDescent="0.25">
      <c r="T2034" s="81"/>
      <c r="W2034" s="185"/>
      <c r="AE2034" s="185"/>
    </row>
    <row r="2035" spans="20:31" x14ac:dyDescent="0.25">
      <c r="T2035" s="81"/>
      <c r="W2035" s="185"/>
      <c r="AE2035" s="185"/>
    </row>
    <row r="2036" spans="20:31" x14ac:dyDescent="0.25">
      <c r="T2036" s="81"/>
      <c r="W2036" s="185"/>
      <c r="AE2036" s="185"/>
    </row>
    <row r="2037" spans="20:31" x14ac:dyDescent="0.25">
      <c r="T2037" s="81"/>
      <c r="W2037" s="185"/>
      <c r="AE2037" s="185"/>
    </row>
    <row r="2038" spans="20:31" x14ac:dyDescent="0.25">
      <c r="T2038" s="81"/>
      <c r="W2038" s="185"/>
      <c r="AE2038" s="185"/>
    </row>
    <row r="2039" spans="20:31" x14ac:dyDescent="0.25">
      <c r="T2039" s="81"/>
      <c r="W2039" s="185"/>
      <c r="AE2039" s="185"/>
    </row>
    <row r="2040" spans="20:31" x14ac:dyDescent="0.25">
      <c r="T2040" s="81"/>
      <c r="W2040" s="185"/>
      <c r="AE2040" s="185"/>
    </row>
    <row r="2041" spans="20:31" x14ac:dyDescent="0.25">
      <c r="T2041" s="81"/>
      <c r="W2041" s="185"/>
      <c r="AE2041" s="185"/>
    </row>
    <row r="2042" spans="20:31" x14ac:dyDescent="0.25">
      <c r="T2042" s="81"/>
      <c r="W2042" s="185"/>
      <c r="AE2042" s="185"/>
    </row>
    <row r="2043" spans="20:31" x14ac:dyDescent="0.25">
      <c r="T2043" s="81"/>
      <c r="W2043" s="185"/>
      <c r="AE2043" s="185"/>
    </row>
    <row r="2044" spans="20:31" x14ac:dyDescent="0.25">
      <c r="T2044" s="81"/>
      <c r="W2044" s="185"/>
      <c r="AE2044" s="185"/>
    </row>
    <row r="2045" spans="20:31" x14ac:dyDescent="0.25">
      <c r="T2045" s="81"/>
      <c r="W2045" s="185"/>
      <c r="AE2045" s="185"/>
    </row>
    <row r="2046" spans="20:31" x14ac:dyDescent="0.25">
      <c r="T2046" s="81"/>
      <c r="W2046" s="185"/>
      <c r="AE2046" s="185"/>
    </row>
    <row r="2047" spans="20:31" x14ac:dyDescent="0.25">
      <c r="T2047" s="81"/>
      <c r="W2047" s="185"/>
      <c r="AE2047" s="185"/>
    </row>
    <row r="2048" spans="20:31" x14ac:dyDescent="0.25">
      <c r="T2048" s="81"/>
      <c r="W2048" s="185"/>
      <c r="AE2048" s="185"/>
    </row>
    <row r="2049" spans="20:31" x14ac:dyDescent="0.25">
      <c r="T2049" s="81"/>
      <c r="W2049" s="185"/>
      <c r="AE2049" s="185"/>
    </row>
    <row r="2050" spans="20:31" x14ac:dyDescent="0.25">
      <c r="T2050" s="81"/>
      <c r="W2050" s="185"/>
      <c r="AE2050" s="185"/>
    </row>
    <row r="2051" spans="20:31" x14ac:dyDescent="0.25">
      <c r="T2051" s="81"/>
      <c r="W2051" s="185"/>
      <c r="AE2051" s="185"/>
    </row>
    <row r="2052" spans="20:31" x14ac:dyDescent="0.25">
      <c r="T2052" s="81"/>
      <c r="W2052" s="185"/>
      <c r="AE2052" s="185"/>
    </row>
    <row r="2053" spans="20:31" x14ac:dyDescent="0.25">
      <c r="T2053" s="81"/>
      <c r="W2053" s="185"/>
      <c r="AE2053" s="185"/>
    </row>
    <row r="2054" spans="20:31" x14ac:dyDescent="0.25">
      <c r="T2054" s="81"/>
      <c r="W2054" s="185"/>
      <c r="AE2054" s="185"/>
    </row>
    <row r="2055" spans="20:31" x14ac:dyDescent="0.25">
      <c r="T2055" s="81"/>
      <c r="W2055" s="185"/>
      <c r="AE2055" s="185"/>
    </row>
    <row r="2056" spans="20:31" x14ac:dyDescent="0.25">
      <c r="T2056" s="81"/>
      <c r="W2056" s="185"/>
      <c r="AE2056" s="185"/>
    </row>
    <row r="2057" spans="20:31" x14ac:dyDescent="0.25">
      <c r="T2057" s="81"/>
      <c r="W2057" s="185"/>
      <c r="AE2057" s="185"/>
    </row>
    <row r="2058" spans="20:31" x14ac:dyDescent="0.25">
      <c r="T2058" s="81"/>
      <c r="W2058" s="185"/>
      <c r="AE2058" s="185"/>
    </row>
    <row r="2059" spans="20:31" x14ac:dyDescent="0.25">
      <c r="T2059" s="81"/>
      <c r="W2059" s="185"/>
      <c r="AE2059" s="185"/>
    </row>
    <row r="2060" spans="20:31" x14ac:dyDescent="0.25">
      <c r="T2060" s="81"/>
      <c r="W2060" s="185"/>
      <c r="AE2060" s="185"/>
    </row>
    <row r="2061" spans="20:31" x14ac:dyDescent="0.25">
      <c r="T2061" s="81"/>
      <c r="W2061" s="185"/>
      <c r="AE2061" s="185"/>
    </row>
    <row r="2062" spans="20:31" x14ac:dyDescent="0.25">
      <c r="T2062" s="81"/>
      <c r="W2062" s="185"/>
      <c r="AE2062" s="185"/>
    </row>
    <row r="2063" spans="20:31" x14ac:dyDescent="0.25">
      <c r="T2063" s="81"/>
      <c r="W2063" s="185"/>
      <c r="AE2063" s="185"/>
    </row>
    <row r="2064" spans="20:31" x14ac:dyDescent="0.25">
      <c r="T2064" s="81"/>
      <c r="W2064" s="185"/>
      <c r="AE2064" s="185"/>
    </row>
    <row r="2065" spans="20:31" x14ac:dyDescent="0.25">
      <c r="T2065" s="81"/>
      <c r="W2065" s="185"/>
      <c r="AE2065" s="185"/>
    </row>
    <row r="2066" spans="20:31" x14ac:dyDescent="0.25">
      <c r="T2066" s="81"/>
      <c r="W2066" s="185"/>
      <c r="AE2066" s="185"/>
    </row>
    <row r="2067" spans="20:31" x14ac:dyDescent="0.25">
      <c r="T2067" s="81"/>
      <c r="W2067" s="185"/>
      <c r="AE2067" s="185"/>
    </row>
    <row r="2068" spans="20:31" x14ac:dyDescent="0.25">
      <c r="T2068" s="81"/>
      <c r="W2068" s="185"/>
      <c r="AE2068" s="185"/>
    </row>
    <row r="2069" spans="20:31" x14ac:dyDescent="0.25">
      <c r="T2069" s="81"/>
      <c r="W2069" s="185"/>
      <c r="AE2069" s="185"/>
    </row>
    <row r="2070" spans="20:31" x14ac:dyDescent="0.25">
      <c r="T2070" s="81"/>
      <c r="W2070" s="185"/>
      <c r="AE2070" s="185"/>
    </row>
    <row r="2071" spans="20:31" x14ac:dyDescent="0.25">
      <c r="T2071" s="81"/>
      <c r="W2071" s="185"/>
      <c r="AE2071" s="185"/>
    </row>
    <row r="2072" spans="20:31" x14ac:dyDescent="0.25">
      <c r="T2072" s="81"/>
      <c r="W2072" s="185"/>
      <c r="AE2072" s="185"/>
    </row>
    <row r="2073" spans="20:31" x14ac:dyDescent="0.25">
      <c r="T2073" s="81"/>
      <c r="W2073" s="185"/>
      <c r="AE2073" s="185"/>
    </row>
    <row r="2074" spans="20:31" x14ac:dyDescent="0.25">
      <c r="T2074" s="81"/>
      <c r="W2074" s="185"/>
      <c r="AE2074" s="185"/>
    </row>
    <row r="2075" spans="20:31" x14ac:dyDescent="0.25">
      <c r="T2075" s="81"/>
      <c r="W2075" s="185"/>
      <c r="AE2075" s="185"/>
    </row>
    <row r="2076" spans="20:31" x14ac:dyDescent="0.25">
      <c r="T2076" s="81"/>
      <c r="W2076" s="185"/>
      <c r="AE2076" s="185"/>
    </row>
    <row r="2077" spans="20:31" x14ac:dyDescent="0.25">
      <c r="T2077" s="81"/>
      <c r="W2077" s="185"/>
      <c r="AE2077" s="185"/>
    </row>
    <row r="2078" spans="20:31" x14ac:dyDescent="0.25">
      <c r="T2078" s="81"/>
      <c r="W2078" s="185"/>
      <c r="AE2078" s="185"/>
    </row>
    <row r="2079" spans="20:31" x14ac:dyDescent="0.25">
      <c r="T2079" s="81"/>
      <c r="W2079" s="185"/>
      <c r="AE2079" s="185"/>
    </row>
    <row r="2080" spans="20:31" x14ac:dyDescent="0.25">
      <c r="T2080" s="81"/>
      <c r="W2080" s="185"/>
      <c r="AE2080" s="185"/>
    </row>
    <row r="2081" spans="20:31" x14ac:dyDescent="0.25">
      <c r="T2081" s="81"/>
      <c r="W2081" s="185"/>
      <c r="AE2081" s="185"/>
    </row>
    <row r="2082" spans="20:31" x14ac:dyDescent="0.25">
      <c r="T2082" s="81"/>
      <c r="W2082" s="185"/>
      <c r="AE2082" s="185"/>
    </row>
    <row r="2083" spans="20:31" x14ac:dyDescent="0.25">
      <c r="T2083" s="81"/>
      <c r="W2083" s="185"/>
      <c r="AE2083" s="185"/>
    </row>
    <row r="2084" spans="20:31" x14ac:dyDescent="0.25">
      <c r="T2084" s="81"/>
      <c r="W2084" s="185"/>
      <c r="AE2084" s="185"/>
    </row>
    <row r="2085" spans="20:31" x14ac:dyDescent="0.25">
      <c r="T2085" s="81"/>
      <c r="W2085" s="185"/>
      <c r="AE2085" s="185"/>
    </row>
    <row r="2086" spans="20:31" x14ac:dyDescent="0.25">
      <c r="T2086" s="81"/>
      <c r="W2086" s="185"/>
      <c r="AE2086" s="185"/>
    </row>
    <row r="2087" spans="20:31" x14ac:dyDescent="0.25">
      <c r="T2087" s="81"/>
      <c r="W2087" s="185"/>
      <c r="AE2087" s="185"/>
    </row>
    <row r="2088" spans="20:31" x14ac:dyDescent="0.25">
      <c r="T2088" s="81"/>
      <c r="W2088" s="185"/>
      <c r="AE2088" s="185"/>
    </row>
    <row r="2089" spans="20:31" x14ac:dyDescent="0.25">
      <c r="T2089" s="81"/>
      <c r="W2089" s="185"/>
      <c r="AE2089" s="185"/>
    </row>
    <row r="2090" spans="20:31" x14ac:dyDescent="0.25">
      <c r="T2090" s="81"/>
      <c r="W2090" s="185"/>
      <c r="AE2090" s="185"/>
    </row>
    <row r="2091" spans="20:31" x14ac:dyDescent="0.25">
      <c r="T2091" s="81"/>
      <c r="W2091" s="185"/>
      <c r="AE2091" s="185"/>
    </row>
    <row r="2092" spans="20:31" x14ac:dyDescent="0.25">
      <c r="T2092" s="81"/>
      <c r="W2092" s="185"/>
      <c r="AE2092" s="185"/>
    </row>
    <row r="2093" spans="20:31" x14ac:dyDescent="0.25">
      <c r="T2093" s="81"/>
      <c r="W2093" s="185"/>
      <c r="AE2093" s="185"/>
    </row>
    <row r="2094" spans="20:31" x14ac:dyDescent="0.25">
      <c r="T2094" s="81"/>
      <c r="W2094" s="185"/>
      <c r="AE2094" s="185"/>
    </row>
    <row r="2095" spans="20:31" x14ac:dyDescent="0.25">
      <c r="T2095" s="81"/>
      <c r="W2095" s="185"/>
      <c r="AE2095" s="185"/>
    </row>
    <row r="2096" spans="20:31" x14ac:dyDescent="0.25">
      <c r="T2096" s="81"/>
      <c r="W2096" s="185"/>
      <c r="AE2096" s="185"/>
    </row>
    <row r="2097" spans="20:31" x14ac:dyDescent="0.25">
      <c r="T2097" s="81"/>
      <c r="W2097" s="185"/>
      <c r="AE2097" s="185"/>
    </row>
    <row r="2098" spans="20:31" x14ac:dyDescent="0.25">
      <c r="T2098" s="81"/>
      <c r="W2098" s="185"/>
      <c r="AE2098" s="185"/>
    </row>
    <row r="2099" spans="20:31" x14ac:dyDescent="0.25">
      <c r="T2099" s="81"/>
      <c r="W2099" s="185"/>
      <c r="AE2099" s="185"/>
    </row>
    <row r="2100" spans="20:31" x14ac:dyDescent="0.25">
      <c r="T2100" s="81"/>
      <c r="W2100" s="185"/>
      <c r="AE2100" s="185"/>
    </row>
    <row r="2101" spans="20:31" x14ac:dyDescent="0.25">
      <c r="T2101" s="81"/>
      <c r="W2101" s="185"/>
      <c r="AE2101" s="185"/>
    </row>
    <row r="2102" spans="20:31" x14ac:dyDescent="0.25">
      <c r="T2102" s="81"/>
      <c r="W2102" s="185"/>
      <c r="AE2102" s="185"/>
    </row>
    <row r="2103" spans="20:31" x14ac:dyDescent="0.25">
      <c r="T2103" s="81"/>
      <c r="W2103" s="185"/>
      <c r="AE2103" s="185"/>
    </row>
    <row r="2104" spans="20:31" x14ac:dyDescent="0.25">
      <c r="T2104" s="81"/>
      <c r="W2104" s="185"/>
      <c r="AE2104" s="185"/>
    </row>
    <row r="2105" spans="20:31" x14ac:dyDescent="0.25">
      <c r="T2105" s="81"/>
      <c r="W2105" s="185"/>
      <c r="AE2105" s="185"/>
    </row>
    <row r="2106" spans="20:31" x14ac:dyDescent="0.25">
      <c r="T2106" s="81"/>
      <c r="W2106" s="185"/>
      <c r="AE2106" s="185"/>
    </row>
    <row r="2107" spans="20:31" x14ac:dyDescent="0.25">
      <c r="T2107" s="81"/>
      <c r="W2107" s="185"/>
      <c r="AE2107" s="185"/>
    </row>
    <row r="2108" spans="20:31" x14ac:dyDescent="0.25">
      <c r="T2108" s="81"/>
      <c r="W2108" s="185"/>
      <c r="AE2108" s="185"/>
    </row>
    <row r="2109" spans="20:31" x14ac:dyDescent="0.25">
      <c r="T2109" s="81"/>
      <c r="W2109" s="185"/>
      <c r="AE2109" s="185"/>
    </row>
    <row r="2110" spans="20:31" x14ac:dyDescent="0.25">
      <c r="T2110" s="81"/>
      <c r="W2110" s="185"/>
      <c r="AE2110" s="185"/>
    </row>
    <row r="2111" spans="20:31" x14ac:dyDescent="0.25">
      <c r="T2111" s="81"/>
      <c r="W2111" s="185"/>
      <c r="AE2111" s="185"/>
    </row>
    <row r="2112" spans="20:31" x14ac:dyDescent="0.25">
      <c r="T2112" s="81"/>
      <c r="W2112" s="185"/>
      <c r="AE2112" s="185"/>
    </row>
    <row r="2113" spans="20:31" x14ac:dyDescent="0.25">
      <c r="T2113" s="81"/>
      <c r="W2113" s="185"/>
      <c r="AE2113" s="185"/>
    </row>
    <row r="2114" spans="20:31" x14ac:dyDescent="0.25">
      <c r="T2114" s="81"/>
      <c r="W2114" s="185"/>
      <c r="AE2114" s="185"/>
    </row>
    <row r="2115" spans="20:31" x14ac:dyDescent="0.25">
      <c r="T2115" s="81"/>
      <c r="W2115" s="185"/>
      <c r="AE2115" s="185"/>
    </row>
    <row r="2116" spans="20:31" x14ac:dyDescent="0.25">
      <c r="T2116" s="81"/>
      <c r="W2116" s="185"/>
      <c r="AE2116" s="185"/>
    </row>
    <row r="2117" spans="20:31" x14ac:dyDescent="0.25">
      <c r="T2117" s="81"/>
      <c r="W2117" s="185"/>
      <c r="AE2117" s="185"/>
    </row>
    <row r="2118" spans="20:31" x14ac:dyDescent="0.25">
      <c r="T2118" s="81"/>
      <c r="W2118" s="185"/>
      <c r="AE2118" s="185"/>
    </row>
    <row r="2119" spans="20:31" x14ac:dyDescent="0.25">
      <c r="T2119" s="81"/>
      <c r="W2119" s="185"/>
      <c r="AE2119" s="185"/>
    </row>
    <row r="2120" spans="20:31" x14ac:dyDescent="0.25">
      <c r="T2120" s="81"/>
      <c r="W2120" s="185"/>
      <c r="AE2120" s="185"/>
    </row>
    <row r="2121" spans="20:31" x14ac:dyDescent="0.25">
      <c r="T2121" s="81"/>
      <c r="W2121" s="185"/>
      <c r="AE2121" s="185"/>
    </row>
    <row r="2122" spans="20:31" x14ac:dyDescent="0.25">
      <c r="T2122" s="81"/>
      <c r="W2122" s="185"/>
      <c r="AE2122" s="185"/>
    </row>
    <row r="2123" spans="20:31" x14ac:dyDescent="0.25">
      <c r="T2123" s="81"/>
      <c r="W2123" s="185"/>
      <c r="AE2123" s="185"/>
    </row>
    <row r="2124" spans="20:31" x14ac:dyDescent="0.25">
      <c r="T2124" s="81"/>
      <c r="W2124" s="185"/>
      <c r="AE2124" s="185"/>
    </row>
    <row r="2125" spans="20:31" x14ac:dyDescent="0.25">
      <c r="T2125" s="81"/>
      <c r="W2125" s="185"/>
      <c r="AE2125" s="185"/>
    </row>
    <row r="2126" spans="20:31" x14ac:dyDescent="0.25">
      <c r="T2126" s="81"/>
      <c r="W2126" s="185"/>
      <c r="AE2126" s="185"/>
    </row>
    <row r="2127" spans="20:31" x14ac:dyDescent="0.25">
      <c r="T2127" s="81"/>
      <c r="W2127" s="185"/>
      <c r="AE2127" s="185"/>
    </row>
    <row r="2128" spans="20:31" x14ac:dyDescent="0.25">
      <c r="T2128" s="81"/>
      <c r="W2128" s="185"/>
      <c r="AE2128" s="185"/>
    </row>
    <row r="2129" spans="20:31" x14ac:dyDescent="0.25">
      <c r="T2129" s="81"/>
      <c r="W2129" s="185"/>
      <c r="AE2129" s="185"/>
    </row>
    <row r="2130" spans="20:31" x14ac:dyDescent="0.25">
      <c r="T2130" s="81"/>
      <c r="W2130" s="185"/>
      <c r="AE2130" s="185"/>
    </row>
    <row r="2131" spans="20:31" x14ac:dyDescent="0.25">
      <c r="T2131" s="81"/>
      <c r="W2131" s="185"/>
      <c r="AE2131" s="185"/>
    </row>
    <row r="2132" spans="20:31" x14ac:dyDescent="0.25">
      <c r="T2132" s="81"/>
      <c r="W2132" s="185"/>
      <c r="AE2132" s="185"/>
    </row>
    <row r="2133" spans="20:31" x14ac:dyDescent="0.25">
      <c r="T2133" s="81"/>
      <c r="W2133" s="185"/>
      <c r="AE2133" s="185"/>
    </row>
    <row r="2134" spans="20:31" x14ac:dyDescent="0.25">
      <c r="T2134" s="81"/>
      <c r="W2134" s="185"/>
      <c r="AE2134" s="185"/>
    </row>
    <row r="2135" spans="20:31" x14ac:dyDescent="0.25">
      <c r="T2135" s="81"/>
      <c r="W2135" s="185"/>
      <c r="AE2135" s="185"/>
    </row>
    <row r="2136" spans="20:31" x14ac:dyDescent="0.25">
      <c r="T2136" s="81"/>
      <c r="W2136" s="185"/>
      <c r="AE2136" s="185"/>
    </row>
    <row r="2137" spans="20:31" x14ac:dyDescent="0.25">
      <c r="T2137" s="81"/>
      <c r="W2137" s="185"/>
      <c r="AE2137" s="185"/>
    </row>
    <row r="2138" spans="20:31" x14ac:dyDescent="0.25">
      <c r="T2138" s="81"/>
      <c r="W2138" s="185"/>
      <c r="AE2138" s="185"/>
    </row>
    <row r="2139" spans="20:31" x14ac:dyDescent="0.25">
      <c r="T2139" s="81"/>
      <c r="W2139" s="185"/>
      <c r="AE2139" s="185"/>
    </row>
    <row r="2140" spans="20:31" x14ac:dyDescent="0.25">
      <c r="T2140" s="81"/>
      <c r="W2140" s="185"/>
      <c r="AE2140" s="185"/>
    </row>
    <row r="2141" spans="20:31" x14ac:dyDescent="0.25">
      <c r="T2141" s="81"/>
      <c r="W2141" s="185"/>
      <c r="AE2141" s="185"/>
    </row>
    <row r="2142" spans="20:31" x14ac:dyDescent="0.25">
      <c r="T2142" s="81"/>
      <c r="W2142" s="185"/>
      <c r="AE2142" s="185"/>
    </row>
    <row r="2143" spans="20:31" x14ac:dyDescent="0.25">
      <c r="T2143" s="81"/>
      <c r="W2143" s="185"/>
      <c r="AE2143" s="185"/>
    </row>
    <row r="2144" spans="20:31" x14ac:dyDescent="0.25">
      <c r="T2144" s="81"/>
      <c r="W2144" s="185"/>
      <c r="AE2144" s="185"/>
    </row>
    <row r="2145" spans="20:31" x14ac:dyDescent="0.25">
      <c r="T2145" s="81"/>
      <c r="W2145" s="185"/>
      <c r="AE2145" s="185"/>
    </row>
    <row r="2146" spans="20:31" x14ac:dyDescent="0.25">
      <c r="T2146" s="81"/>
      <c r="W2146" s="185"/>
      <c r="AE2146" s="185"/>
    </row>
    <row r="2147" spans="20:31" x14ac:dyDescent="0.25">
      <c r="T2147" s="81"/>
      <c r="W2147" s="185"/>
      <c r="AE2147" s="185"/>
    </row>
    <row r="2148" spans="20:31" x14ac:dyDescent="0.25">
      <c r="T2148" s="81"/>
      <c r="W2148" s="185"/>
      <c r="AE2148" s="185"/>
    </row>
    <row r="2149" spans="20:31" x14ac:dyDescent="0.25">
      <c r="T2149" s="81"/>
      <c r="W2149" s="185"/>
      <c r="AE2149" s="185"/>
    </row>
    <row r="2150" spans="20:31" x14ac:dyDescent="0.25">
      <c r="T2150" s="81"/>
      <c r="W2150" s="185"/>
      <c r="AE2150" s="185"/>
    </row>
    <row r="2151" spans="20:31" x14ac:dyDescent="0.25">
      <c r="T2151" s="81"/>
      <c r="W2151" s="185"/>
      <c r="AE2151" s="185"/>
    </row>
    <row r="2152" spans="20:31" x14ac:dyDescent="0.25">
      <c r="T2152" s="81"/>
      <c r="W2152" s="185"/>
      <c r="AE2152" s="185"/>
    </row>
    <row r="2153" spans="20:31" x14ac:dyDescent="0.25">
      <c r="T2153" s="81"/>
      <c r="W2153" s="185"/>
      <c r="AE2153" s="185"/>
    </row>
    <row r="2154" spans="20:31" x14ac:dyDescent="0.25">
      <c r="T2154" s="81"/>
      <c r="W2154" s="185"/>
      <c r="AE2154" s="185"/>
    </row>
    <row r="2155" spans="20:31" x14ac:dyDescent="0.25">
      <c r="T2155" s="81"/>
      <c r="W2155" s="185"/>
      <c r="AE2155" s="185"/>
    </row>
    <row r="2156" spans="20:31" x14ac:dyDescent="0.25">
      <c r="T2156" s="81"/>
      <c r="W2156" s="185"/>
      <c r="AE2156" s="185"/>
    </row>
    <row r="2157" spans="20:31" x14ac:dyDescent="0.25">
      <c r="T2157" s="81"/>
      <c r="W2157" s="185"/>
      <c r="AE2157" s="185"/>
    </row>
    <row r="2158" spans="20:31" x14ac:dyDescent="0.25">
      <c r="T2158" s="81"/>
      <c r="W2158" s="185"/>
      <c r="AE2158" s="185"/>
    </row>
    <row r="2159" spans="20:31" x14ac:dyDescent="0.25">
      <c r="T2159" s="81"/>
      <c r="W2159" s="185"/>
      <c r="AE2159" s="185"/>
    </row>
    <row r="2160" spans="20:31" x14ac:dyDescent="0.25">
      <c r="T2160" s="81"/>
      <c r="W2160" s="185"/>
      <c r="AE2160" s="185"/>
    </row>
    <row r="2161" spans="20:31" x14ac:dyDescent="0.25">
      <c r="T2161" s="81"/>
      <c r="W2161" s="185"/>
      <c r="AE2161" s="185"/>
    </row>
    <row r="2162" spans="20:31" x14ac:dyDescent="0.25">
      <c r="T2162" s="81"/>
      <c r="W2162" s="185"/>
      <c r="AE2162" s="185"/>
    </row>
    <row r="2163" spans="20:31" x14ac:dyDescent="0.25">
      <c r="T2163" s="81"/>
      <c r="W2163" s="185"/>
      <c r="AE2163" s="185"/>
    </row>
    <row r="2164" spans="20:31" x14ac:dyDescent="0.25">
      <c r="T2164" s="81"/>
      <c r="W2164" s="185"/>
      <c r="AE2164" s="185"/>
    </row>
    <row r="2165" spans="20:31" x14ac:dyDescent="0.25">
      <c r="T2165" s="81"/>
      <c r="W2165" s="185"/>
      <c r="AE2165" s="185"/>
    </row>
    <row r="2166" spans="20:31" x14ac:dyDescent="0.25">
      <c r="T2166" s="81"/>
      <c r="W2166" s="185"/>
      <c r="AE2166" s="185"/>
    </row>
    <row r="2167" spans="20:31" x14ac:dyDescent="0.25">
      <c r="T2167" s="81"/>
      <c r="W2167" s="185"/>
      <c r="AE2167" s="185"/>
    </row>
    <row r="2168" spans="20:31" x14ac:dyDescent="0.25">
      <c r="T2168" s="81"/>
      <c r="W2168" s="185"/>
      <c r="AE2168" s="185"/>
    </row>
    <row r="2169" spans="20:31" x14ac:dyDescent="0.25">
      <c r="T2169" s="81"/>
      <c r="W2169" s="185"/>
      <c r="AE2169" s="185"/>
    </row>
    <row r="2170" spans="20:31" x14ac:dyDescent="0.25">
      <c r="T2170" s="81"/>
      <c r="W2170" s="185"/>
      <c r="AE2170" s="185"/>
    </row>
    <row r="2171" spans="20:31" x14ac:dyDescent="0.25">
      <c r="T2171" s="81"/>
      <c r="W2171" s="185"/>
      <c r="AE2171" s="185"/>
    </row>
    <row r="2172" spans="20:31" x14ac:dyDescent="0.25">
      <c r="T2172" s="81"/>
      <c r="W2172" s="185"/>
      <c r="AE2172" s="185"/>
    </row>
    <row r="2173" spans="20:31" x14ac:dyDescent="0.25">
      <c r="T2173" s="81"/>
      <c r="W2173" s="185"/>
      <c r="AE2173" s="185"/>
    </row>
    <row r="2174" spans="20:31" x14ac:dyDescent="0.25">
      <c r="T2174" s="81"/>
      <c r="W2174" s="185"/>
      <c r="AE2174" s="185"/>
    </row>
    <row r="2175" spans="20:31" x14ac:dyDescent="0.25">
      <c r="T2175" s="81"/>
      <c r="W2175" s="185"/>
      <c r="AE2175" s="185"/>
    </row>
    <row r="2176" spans="20:31" x14ac:dyDescent="0.25">
      <c r="T2176" s="81"/>
      <c r="W2176" s="185"/>
      <c r="AE2176" s="185"/>
    </row>
    <row r="2177" spans="20:31" x14ac:dyDescent="0.25">
      <c r="T2177" s="81"/>
      <c r="W2177" s="185"/>
      <c r="AE2177" s="185"/>
    </row>
    <row r="2178" spans="20:31" x14ac:dyDescent="0.25">
      <c r="T2178" s="81"/>
      <c r="W2178" s="185"/>
      <c r="AE2178" s="185"/>
    </row>
    <row r="2179" spans="20:31" x14ac:dyDescent="0.25">
      <c r="T2179" s="81"/>
      <c r="W2179" s="185"/>
      <c r="AE2179" s="185"/>
    </row>
    <row r="2180" spans="20:31" x14ac:dyDescent="0.25">
      <c r="T2180" s="81"/>
      <c r="W2180" s="185"/>
      <c r="AE2180" s="185"/>
    </row>
    <row r="2181" spans="20:31" x14ac:dyDescent="0.25">
      <c r="T2181" s="81"/>
      <c r="W2181" s="185"/>
      <c r="AE2181" s="185"/>
    </row>
    <row r="2182" spans="20:31" x14ac:dyDescent="0.25">
      <c r="T2182" s="81"/>
      <c r="W2182" s="185"/>
      <c r="AE2182" s="185"/>
    </row>
    <row r="2183" spans="20:31" x14ac:dyDescent="0.25">
      <c r="T2183" s="81"/>
      <c r="W2183" s="185"/>
      <c r="AE2183" s="185"/>
    </row>
    <row r="2184" spans="20:31" x14ac:dyDescent="0.25">
      <c r="T2184" s="81"/>
      <c r="W2184" s="185"/>
      <c r="AE2184" s="185"/>
    </row>
    <row r="2185" spans="20:31" x14ac:dyDescent="0.25">
      <c r="T2185" s="81"/>
      <c r="W2185" s="185"/>
      <c r="AE2185" s="185"/>
    </row>
    <row r="2186" spans="20:31" x14ac:dyDescent="0.25">
      <c r="T2186" s="81"/>
      <c r="W2186" s="185"/>
      <c r="AE2186" s="185"/>
    </row>
    <row r="2187" spans="20:31" x14ac:dyDescent="0.25">
      <c r="T2187" s="81"/>
      <c r="W2187" s="185"/>
      <c r="AE2187" s="185"/>
    </row>
    <row r="2188" spans="20:31" x14ac:dyDescent="0.25">
      <c r="T2188" s="81"/>
      <c r="W2188" s="185"/>
      <c r="AE2188" s="185"/>
    </row>
    <row r="2189" spans="20:31" x14ac:dyDescent="0.25">
      <c r="T2189" s="81"/>
      <c r="W2189" s="185"/>
      <c r="AE2189" s="185"/>
    </row>
    <row r="2190" spans="20:31" x14ac:dyDescent="0.25">
      <c r="T2190" s="81"/>
      <c r="W2190" s="185"/>
      <c r="AE2190" s="185"/>
    </row>
    <row r="2191" spans="20:31" x14ac:dyDescent="0.25">
      <c r="T2191" s="81"/>
      <c r="W2191" s="185"/>
      <c r="AE2191" s="185"/>
    </row>
    <row r="2192" spans="20:31" x14ac:dyDescent="0.25">
      <c r="T2192" s="81"/>
      <c r="W2192" s="185"/>
      <c r="AE2192" s="185"/>
    </row>
    <row r="2193" spans="20:31" x14ac:dyDescent="0.25">
      <c r="T2193" s="81"/>
      <c r="W2193" s="185"/>
      <c r="AE2193" s="185"/>
    </row>
    <row r="2194" spans="20:31" x14ac:dyDescent="0.25">
      <c r="T2194" s="81"/>
      <c r="W2194" s="185"/>
      <c r="AE2194" s="185"/>
    </row>
    <row r="2195" spans="20:31" x14ac:dyDescent="0.25">
      <c r="T2195" s="81"/>
      <c r="W2195" s="185"/>
      <c r="AE2195" s="185"/>
    </row>
    <row r="2196" spans="20:31" x14ac:dyDescent="0.25">
      <c r="T2196" s="81"/>
      <c r="W2196" s="185"/>
      <c r="AE2196" s="185"/>
    </row>
    <row r="2197" spans="20:31" x14ac:dyDescent="0.25">
      <c r="T2197" s="81"/>
      <c r="W2197" s="185"/>
      <c r="AE2197" s="185"/>
    </row>
    <row r="2198" spans="20:31" x14ac:dyDescent="0.25">
      <c r="T2198" s="81"/>
      <c r="W2198" s="185"/>
      <c r="AE2198" s="185"/>
    </row>
    <row r="2199" spans="20:31" x14ac:dyDescent="0.25">
      <c r="T2199" s="81"/>
      <c r="W2199" s="185"/>
      <c r="AE2199" s="185"/>
    </row>
    <row r="2200" spans="20:31" x14ac:dyDescent="0.25">
      <c r="T2200" s="81"/>
      <c r="W2200" s="185"/>
      <c r="AE2200" s="185"/>
    </row>
    <row r="2201" spans="20:31" x14ac:dyDescent="0.25">
      <c r="T2201" s="81"/>
      <c r="W2201" s="185"/>
      <c r="AE2201" s="185"/>
    </row>
    <row r="2202" spans="20:31" x14ac:dyDescent="0.25">
      <c r="T2202" s="81"/>
      <c r="W2202" s="185"/>
      <c r="AE2202" s="185"/>
    </row>
    <row r="2203" spans="20:31" x14ac:dyDescent="0.25">
      <c r="T2203" s="81"/>
      <c r="W2203" s="185"/>
      <c r="AE2203" s="185"/>
    </row>
    <row r="2204" spans="20:31" x14ac:dyDescent="0.25">
      <c r="T2204" s="81"/>
      <c r="W2204" s="185"/>
      <c r="AE2204" s="185"/>
    </row>
    <row r="2205" spans="20:31" x14ac:dyDescent="0.25">
      <c r="T2205" s="81"/>
      <c r="W2205" s="185"/>
      <c r="AE2205" s="185"/>
    </row>
    <row r="2206" spans="20:31" x14ac:dyDescent="0.25">
      <c r="T2206" s="81"/>
      <c r="W2206" s="185"/>
      <c r="AE2206" s="185"/>
    </row>
    <row r="2207" spans="20:31" x14ac:dyDescent="0.25">
      <c r="T2207" s="81"/>
      <c r="W2207" s="185"/>
      <c r="AE2207" s="185"/>
    </row>
    <row r="2208" spans="20:31" x14ac:dyDescent="0.25">
      <c r="T2208" s="81"/>
      <c r="W2208" s="185"/>
      <c r="AE2208" s="185"/>
    </row>
    <row r="2209" spans="20:31" x14ac:dyDescent="0.25">
      <c r="T2209" s="81"/>
      <c r="W2209" s="185"/>
      <c r="AE2209" s="185"/>
    </row>
    <row r="2210" spans="20:31" x14ac:dyDescent="0.25">
      <c r="T2210" s="81"/>
      <c r="W2210" s="185"/>
      <c r="AE2210" s="185"/>
    </row>
    <row r="2211" spans="20:31" x14ac:dyDescent="0.25">
      <c r="T2211" s="81"/>
      <c r="W2211" s="185"/>
      <c r="AE2211" s="185"/>
    </row>
    <row r="2212" spans="20:31" x14ac:dyDescent="0.25">
      <c r="T2212" s="81"/>
      <c r="W2212" s="185"/>
      <c r="AE2212" s="185"/>
    </row>
    <row r="2213" spans="20:31" x14ac:dyDescent="0.25">
      <c r="T2213" s="81"/>
      <c r="W2213" s="185"/>
      <c r="AE2213" s="185"/>
    </row>
    <row r="2214" spans="20:31" x14ac:dyDescent="0.25">
      <c r="T2214" s="81"/>
      <c r="W2214" s="185"/>
      <c r="AE2214" s="185"/>
    </row>
    <row r="2215" spans="20:31" x14ac:dyDescent="0.25">
      <c r="T2215" s="81"/>
      <c r="W2215" s="185"/>
      <c r="AE2215" s="185"/>
    </row>
    <row r="2216" spans="20:31" x14ac:dyDescent="0.25">
      <c r="T2216" s="81"/>
      <c r="W2216" s="185"/>
      <c r="AE2216" s="185"/>
    </row>
    <row r="2217" spans="20:31" x14ac:dyDescent="0.25">
      <c r="T2217" s="81"/>
      <c r="W2217" s="185"/>
      <c r="AE2217" s="185"/>
    </row>
    <row r="2218" spans="20:31" x14ac:dyDescent="0.25">
      <c r="T2218" s="81"/>
      <c r="W2218" s="185"/>
      <c r="AE2218" s="185"/>
    </row>
    <row r="2219" spans="20:31" x14ac:dyDescent="0.25">
      <c r="T2219" s="81"/>
      <c r="W2219" s="185"/>
      <c r="AE2219" s="185"/>
    </row>
    <row r="2220" spans="20:31" x14ac:dyDescent="0.25">
      <c r="T2220" s="81"/>
      <c r="W2220" s="185"/>
      <c r="AE2220" s="185"/>
    </row>
    <row r="2221" spans="20:31" x14ac:dyDescent="0.25">
      <c r="T2221" s="81"/>
      <c r="W2221" s="185"/>
      <c r="AE2221" s="185"/>
    </row>
    <row r="2222" spans="20:31" x14ac:dyDescent="0.25">
      <c r="T2222" s="81"/>
      <c r="W2222" s="185"/>
      <c r="AE2222" s="185"/>
    </row>
    <row r="2223" spans="20:31" x14ac:dyDescent="0.25">
      <c r="T2223" s="81"/>
      <c r="W2223" s="185"/>
      <c r="AE2223" s="185"/>
    </row>
    <row r="2224" spans="20:31" x14ac:dyDescent="0.25">
      <c r="T2224" s="81"/>
      <c r="W2224" s="185"/>
      <c r="AE2224" s="185"/>
    </row>
    <row r="2225" spans="20:31" x14ac:dyDescent="0.25">
      <c r="T2225" s="81"/>
      <c r="W2225" s="185"/>
      <c r="AE2225" s="185"/>
    </row>
    <row r="2226" spans="20:31" x14ac:dyDescent="0.25">
      <c r="T2226" s="81"/>
      <c r="W2226" s="185"/>
      <c r="AE2226" s="185"/>
    </row>
    <row r="2227" spans="20:31" x14ac:dyDescent="0.25">
      <c r="T2227" s="81"/>
      <c r="W2227" s="185"/>
      <c r="AE2227" s="185"/>
    </row>
    <row r="2228" spans="20:31" x14ac:dyDescent="0.25">
      <c r="T2228" s="81"/>
      <c r="W2228" s="185"/>
      <c r="AE2228" s="185"/>
    </row>
    <row r="2229" spans="20:31" x14ac:dyDescent="0.25">
      <c r="T2229" s="81"/>
      <c r="W2229" s="185"/>
      <c r="AE2229" s="185"/>
    </row>
    <row r="2230" spans="20:31" x14ac:dyDescent="0.25">
      <c r="T2230" s="81"/>
      <c r="W2230" s="185"/>
      <c r="AE2230" s="185"/>
    </row>
    <row r="2231" spans="20:31" x14ac:dyDescent="0.25">
      <c r="T2231" s="81"/>
      <c r="W2231" s="185"/>
      <c r="AE2231" s="185"/>
    </row>
    <row r="2232" spans="20:31" x14ac:dyDescent="0.25">
      <c r="T2232" s="81"/>
      <c r="W2232" s="185"/>
      <c r="AE2232" s="185"/>
    </row>
    <row r="2233" spans="20:31" x14ac:dyDescent="0.25">
      <c r="T2233" s="81"/>
      <c r="W2233" s="185"/>
      <c r="AE2233" s="185"/>
    </row>
    <row r="2234" spans="20:31" x14ac:dyDescent="0.25">
      <c r="T2234" s="81"/>
      <c r="W2234" s="185"/>
      <c r="AE2234" s="185"/>
    </row>
    <row r="2235" spans="20:31" x14ac:dyDescent="0.25">
      <c r="T2235" s="81"/>
      <c r="W2235" s="185"/>
      <c r="AE2235" s="185"/>
    </row>
    <row r="2236" spans="20:31" x14ac:dyDescent="0.25">
      <c r="T2236" s="81"/>
      <c r="W2236" s="185"/>
      <c r="AE2236" s="185"/>
    </row>
    <row r="2237" spans="20:31" x14ac:dyDescent="0.25">
      <c r="T2237" s="81"/>
      <c r="W2237" s="185"/>
      <c r="AE2237" s="185"/>
    </row>
    <row r="2238" spans="20:31" x14ac:dyDescent="0.25">
      <c r="T2238" s="81"/>
      <c r="W2238" s="185"/>
      <c r="AE2238" s="185"/>
    </row>
    <row r="2239" spans="20:31" x14ac:dyDescent="0.25">
      <c r="T2239" s="81"/>
      <c r="W2239" s="185"/>
      <c r="AE2239" s="185"/>
    </row>
    <row r="2240" spans="20:31" x14ac:dyDescent="0.25">
      <c r="T2240" s="81"/>
      <c r="W2240" s="185"/>
      <c r="AE2240" s="185"/>
    </row>
    <row r="2241" spans="20:31" x14ac:dyDescent="0.25">
      <c r="T2241" s="81"/>
      <c r="W2241" s="185"/>
      <c r="AE2241" s="185"/>
    </row>
    <row r="2242" spans="20:31" x14ac:dyDescent="0.25">
      <c r="T2242" s="81"/>
      <c r="W2242" s="185"/>
      <c r="AE2242" s="185"/>
    </row>
    <row r="2243" spans="20:31" x14ac:dyDescent="0.25">
      <c r="T2243" s="81"/>
      <c r="W2243" s="185"/>
      <c r="AE2243" s="185"/>
    </row>
    <row r="2244" spans="20:31" x14ac:dyDescent="0.25">
      <c r="T2244" s="81"/>
      <c r="W2244" s="185"/>
      <c r="AE2244" s="185"/>
    </row>
    <row r="2245" spans="20:31" x14ac:dyDescent="0.25">
      <c r="T2245" s="81"/>
      <c r="W2245" s="185"/>
      <c r="AE2245" s="185"/>
    </row>
    <row r="2246" spans="20:31" x14ac:dyDescent="0.25">
      <c r="T2246" s="81"/>
      <c r="W2246" s="185"/>
      <c r="AE2246" s="185"/>
    </row>
    <row r="2247" spans="20:31" x14ac:dyDescent="0.25">
      <c r="T2247" s="81"/>
      <c r="W2247" s="185"/>
      <c r="AE2247" s="185"/>
    </row>
    <row r="2248" spans="20:31" x14ac:dyDescent="0.25">
      <c r="T2248" s="81"/>
      <c r="W2248" s="185"/>
      <c r="AE2248" s="185"/>
    </row>
    <row r="2249" spans="20:31" x14ac:dyDescent="0.25">
      <c r="T2249" s="81"/>
      <c r="W2249" s="185"/>
      <c r="AE2249" s="185"/>
    </row>
    <row r="2250" spans="20:31" x14ac:dyDescent="0.25">
      <c r="T2250" s="81"/>
      <c r="W2250" s="185"/>
      <c r="AE2250" s="185"/>
    </row>
    <row r="2251" spans="20:31" x14ac:dyDescent="0.25">
      <c r="T2251" s="81"/>
      <c r="W2251" s="185"/>
      <c r="AE2251" s="185"/>
    </row>
    <row r="2252" spans="20:31" x14ac:dyDescent="0.25">
      <c r="T2252" s="81"/>
      <c r="W2252" s="185"/>
      <c r="AE2252" s="185"/>
    </row>
    <row r="2253" spans="20:31" x14ac:dyDescent="0.25">
      <c r="T2253" s="81"/>
      <c r="W2253" s="185"/>
      <c r="AE2253" s="185"/>
    </row>
    <row r="2254" spans="20:31" x14ac:dyDescent="0.25">
      <c r="T2254" s="81"/>
      <c r="W2254" s="185"/>
      <c r="AE2254" s="185"/>
    </row>
    <row r="2255" spans="20:31" x14ac:dyDescent="0.25">
      <c r="T2255" s="81"/>
      <c r="W2255" s="185"/>
      <c r="AE2255" s="185"/>
    </row>
    <row r="2256" spans="20:31" x14ac:dyDescent="0.25">
      <c r="T2256" s="81"/>
      <c r="W2256" s="185"/>
      <c r="AE2256" s="185"/>
    </row>
    <row r="2257" spans="20:31" x14ac:dyDescent="0.25">
      <c r="T2257" s="81"/>
      <c r="W2257" s="185"/>
      <c r="AE2257" s="185"/>
    </row>
    <row r="2258" spans="20:31" x14ac:dyDescent="0.25">
      <c r="T2258" s="81"/>
      <c r="W2258" s="185"/>
      <c r="AE2258" s="185"/>
    </row>
    <row r="2259" spans="20:31" x14ac:dyDescent="0.25">
      <c r="T2259" s="81"/>
      <c r="W2259" s="185"/>
      <c r="AE2259" s="185"/>
    </row>
    <row r="2260" spans="20:31" x14ac:dyDescent="0.25">
      <c r="T2260" s="81"/>
      <c r="W2260" s="185"/>
      <c r="AE2260" s="185"/>
    </row>
    <row r="2261" spans="20:31" x14ac:dyDescent="0.25">
      <c r="T2261" s="81"/>
      <c r="W2261" s="185"/>
      <c r="AE2261" s="185"/>
    </row>
    <row r="2262" spans="20:31" x14ac:dyDescent="0.25">
      <c r="T2262" s="81"/>
      <c r="W2262" s="185"/>
      <c r="AE2262" s="185"/>
    </row>
    <row r="2263" spans="20:31" x14ac:dyDescent="0.25">
      <c r="T2263" s="81"/>
      <c r="W2263" s="185"/>
      <c r="AE2263" s="185"/>
    </row>
    <row r="2264" spans="20:31" x14ac:dyDescent="0.25">
      <c r="T2264" s="81"/>
      <c r="W2264" s="185"/>
      <c r="AE2264" s="185"/>
    </row>
    <row r="2265" spans="20:31" x14ac:dyDescent="0.25">
      <c r="T2265" s="81"/>
      <c r="W2265" s="185"/>
      <c r="AE2265" s="185"/>
    </row>
    <row r="2266" spans="20:31" x14ac:dyDescent="0.25">
      <c r="T2266" s="81"/>
      <c r="W2266" s="185"/>
      <c r="AE2266" s="185"/>
    </row>
    <row r="2267" spans="20:31" x14ac:dyDescent="0.25">
      <c r="T2267" s="81"/>
      <c r="W2267" s="185"/>
      <c r="AE2267" s="185"/>
    </row>
    <row r="2268" spans="20:31" x14ac:dyDescent="0.25">
      <c r="T2268" s="81"/>
      <c r="W2268" s="185"/>
      <c r="AE2268" s="185"/>
    </row>
    <row r="2269" spans="20:31" x14ac:dyDescent="0.25">
      <c r="T2269" s="81"/>
      <c r="W2269" s="185"/>
      <c r="AE2269" s="185"/>
    </row>
    <row r="2270" spans="20:31" x14ac:dyDescent="0.25">
      <c r="T2270" s="81"/>
      <c r="W2270" s="185"/>
      <c r="AE2270" s="185"/>
    </row>
    <row r="2271" spans="20:31" x14ac:dyDescent="0.25">
      <c r="T2271" s="81"/>
      <c r="W2271" s="185"/>
      <c r="AE2271" s="185"/>
    </row>
    <row r="2272" spans="20:31" x14ac:dyDescent="0.25">
      <c r="T2272" s="81"/>
      <c r="W2272" s="185"/>
      <c r="AE2272" s="185"/>
    </row>
    <row r="2273" spans="20:31" x14ac:dyDescent="0.25">
      <c r="T2273" s="81"/>
      <c r="W2273" s="185"/>
      <c r="AE2273" s="185"/>
    </row>
    <row r="2274" spans="20:31" x14ac:dyDescent="0.25">
      <c r="T2274" s="81"/>
      <c r="W2274" s="185"/>
      <c r="AE2274" s="185"/>
    </row>
    <row r="2275" spans="20:31" x14ac:dyDescent="0.25">
      <c r="T2275" s="81"/>
      <c r="W2275" s="185"/>
      <c r="AE2275" s="185"/>
    </row>
    <row r="2276" spans="20:31" x14ac:dyDescent="0.25">
      <c r="T2276" s="81"/>
      <c r="W2276" s="185"/>
      <c r="AE2276" s="185"/>
    </row>
    <row r="2277" spans="20:31" x14ac:dyDescent="0.25">
      <c r="T2277" s="81"/>
      <c r="W2277" s="185"/>
      <c r="AE2277" s="185"/>
    </row>
    <row r="2278" spans="20:31" x14ac:dyDescent="0.25">
      <c r="T2278" s="81"/>
      <c r="W2278" s="185"/>
      <c r="AE2278" s="185"/>
    </row>
    <row r="2279" spans="20:31" x14ac:dyDescent="0.25">
      <c r="T2279" s="81"/>
      <c r="W2279" s="185"/>
      <c r="AE2279" s="185"/>
    </row>
    <row r="2280" spans="20:31" x14ac:dyDescent="0.25">
      <c r="T2280" s="81"/>
      <c r="W2280" s="185"/>
      <c r="AE2280" s="185"/>
    </row>
    <row r="2281" spans="20:31" x14ac:dyDescent="0.25">
      <c r="T2281" s="81"/>
      <c r="W2281" s="185"/>
      <c r="AE2281" s="185"/>
    </row>
    <row r="2282" spans="20:31" x14ac:dyDescent="0.25">
      <c r="T2282" s="81"/>
      <c r="W2282" s="185"/>
      <c r="AE2282" s="185"/>
    </row>
    <row r="2283" spans="20:31" x14ac:dyDescent="0.25">
      <c r="T2283" s="81"/>
      <c r="W2283" s="185"/>
      <c r="AE2283" s="185"/>
    </row>
    <row r="2284" spans="20:31" x14ac:dyDescent="0.25">
      <c r="T2284" s="81"/>
      <c r="W2284" s="185"/>
      <c r="AE2284" s="185"/>
    </row>
    <row r="2285" spans="20:31" x14ac:dyDescent="0.25">
      <c r="T2285" s="81"/>
      <c r="W2285" s="185"/>
      <c r="AE2285" s="185"/>
    </row>
    <row r="2286" spans="20:31" x14ac:dyDescent="0.25">
      <c r="T2286" s="81"/>
      <c r="W2286" s="185"/>
      <c r="AE2286" s="185"/>
    </row>
    <row r="2287" spans="20:31" x14ac:dyDescent="0.25">
      <c r="T2287" s="81"/>
      <c r="W2287" s="185"/>
      <c r="AE2287" s="185"/>
    </row>
    <row r="2288" spans="20:31" x14ac:dyDescent="0.25">
      <c r="T2288" s="81"/>
      <c r="W2288" s="185"/>
      <c r="AE2288" s="185"/>
    </row>
    <row r="2289" spans="20:31" x14ac:dyDescent="0.25">
      <c r="T2289" s="81"/>
      <c r="W2289" s="185"/>
      <c r="AE2289" s="185"/>
    </row>
    <row r="2290" spans="20:31" x14ac:dyDescent="0.25">
      <c r="T2290" s="81"/>
      <c r="W2290" s="185"/>
      <c r="AE2290" s="185"/>
    </row>
    <row r="2291" spans="20:31" x14ac:dyDescent="0.25">
      <c r="T2291" s="81"/>
      <c r="W2291" s="185"/>
      <c r="AE2291" s="185"/>
    </row>
    <row r="2292" spans="20:31" x14ac:dyDescent="0.25">
      <c r="T2292" s="81"/>
      <c r="W2292" s="185"/>
      <c r="AE2292" s="185"/>
    </row>
    <row r="2293" spans="20:31" x14ac:dyDescent="0.25">
      <c r="T2293" s="81"/>
      <c r="W2293" s="185"/>
      <c r="AE2293" s="185"/>
    </row>
    <row r="2294" spans="20:31" x14ac:dyDescent="0.25">
      <c r="T2294" s="81"/>
      <c r="W2294" s="185"/>
      <c r="AE2294" s="185"/>
    </row>
    <row r="2295" spans="20:31" x14ac:dyDescent="0.25">
      <c r="T2295" s="81"/>
      <c r="W2295" s="185"/>
      <c r="AE2295" s="185"/>
    </row>
    <row r="2296" spans="20:31" x14ac:dyDescent="0.25">
      <c r="T2296" s="81"/>
      <c r="W2296" s="185"/>
      <c r="AE2296" s="185"/>
    </row>
    <row r="2297" spans="20:31" x14ac:dyDescent="0.25">
      <c r="T2297" s="81"/>
      <c r="W2297" s="185"/>
      <c r="AE2297" s="185"/>
    </row>
    <row r="2298" spans="20:31" x14ac:dyDescent="0.25">
      <c r="T2298" s="81"/>
      <c r="W2298" s="185"/>
      <c r="AE2298" s="185"/>
    </row>
    <row r="2299" spans="20:31" x14ac:dyDescent="0.25">
      <c r="T2299" s="81"/>
      <c r="W2299" s="185"/>
      <c r="AE2299" s="185"/>
    </row>
    <row r="2300" spans="20:31" x14ac:dyDescent="0.25">
      <c r="T2300" s="81"/>
      <c r="W2300" s="185"/>
      <c r="AE2300" s="185"/>
    </row>
    <row r="2301" spans="20:31" x14ac:dyDescent="0.25">
      <c r="T2301" s="81"/>
      <c r="W2301" s="185"/>
      <c r="AE2301" s="185"/>
    </row>
    <row r="2302" spans="20:31" x14ac:dyDescent="0.25">
      <c r="T2302" s="81"/>
      <c r="W2302" s="185"/>
      <c r="AE2302" s="185"/>
    </row>
    <row r="2303" spans="20:31" x14ac:dyDescent="0.25">
      <c r="T2303" s="81"/>
      <c r="W2303" s="185"/>
      <c r="AE2303" s="185"/>
    </row>
    <row r="2304" spans="20:31" x14ac:dyDescent="0.25">
      <c r="T2304" s="81"/>
      <c r="W2304" s="185"/>
      <c r="AE2304" s="185"/>
    </row>
    <row r="2305" spans="20:31" x14ac:dyDescent="0.25">
      <c r="T2305" s="81"/>
      <c r="W2305" s="185"/>
      <c r="AE2305" s="185"/>
    </row>
    <row r="2306" spans="20:31" x14ac:dyDescent="0.25">
      <c r="T2306" s="81"/>
      <c r="W2306" s="185"/>
      <c r="AE2306" s="185"/>
    </row>
    <row r="2307" spans="20:31" x14ac:dyDescent="0.25">
      <c r="T2307" s="81"/>
      <c r="W2307" s="185"/>
      <c r="AE2307" s="185"/>
    </row>
    <row r="2308" spans="20:31" x14ac:dyDescent="0.25">
      <c r="T2308" s="81"/>
      <c r="W2308" s="185"/>
      <c r="AE2308" s="185"/>
    </row>
    <row r="2309" spans="20:31" x14ac:dyDescent="0.25">
      <c r="T2309" s="81"/>
      <c r="W2309" s="185"/>
      <c r="AE2309" s="185"/>
    </row>
    <row r="2310" spans="20:31" x14ac:dyDescent="0.25">
      <c r="T2310" s="81"/>
      <c r="W2310" s="185"/>
      <c r="AE2310" s="185"/>
    </row>
    <row r="2311" spans="20:31" x14ac:dyDescent="0.25">
      <c r="T2311" s="81"/>
      <c r="W2311" s="185"/>
      <c r="AE2311" s="185"/>
    </row>
    <row r="2312" spans="20:31" x14ac:dyDescent="0.25">
      <c r="T2312" s="81"/>
      <c r="W2312" s="185"/>
      <c r="AE2312" s="185"/>
    </row>
    <row r="2313" spans="20:31" x14ac:dyDescent="0.25">
      <c r="T2313" s="81"/>
      <c r="W2313" s="185"/>
      <c r="AE2313" s="185"/>
    </row>
    <row r="2314" spans="20:31" x14ac:dyDescent="0.25">
      <c r="T2314" s="81"/>
      <c r="W2314" s="185"/>
      <c r="AE2314" s="185"/>
    </row>
    <row r="2315" spans="20:31" x14ac:dyDescent="0.25">
      <c r="T2315" s="81"/>
      <c r="W2315" s="185"/>
      <c r="AE2315" s="185"/>
    </row>
    <row r="2316" spans="20:31" x14ac:dyDescent="0.25">
      <c r="T2316" s="81"/>
      <c r="W2316" s="185"/>
      <c r="AE2316" s="185"/>
    </row>
    <row r="2317" spans="20:31" x14ac:dyDescent="0.25">
      <c r="T2317" s="81"/>
      <c r="W2317" s="185"/>
      <c r="AE2317" s="185"/>
    </row>
    <row r="2318" spans="20:31" x14ac:dyDescent="0.25">
      <c r="T2318" s="81"/>
      <c r="W2318" s="185"/>
      <c r="AE2318" s="185"/>
    </row>
    <row r="2319" spans="20:31" x14ac:dyDescent="0.25">
      <c r="T2319" s="81"/>
      <c r="W2319" s="185"/>
      <c r="AE2319" s="185"/>
    </row>
    <row r="2320" spans="20:31" x14ac:dyDescent="0.25">
      <c r="T2320" s="81"/>
      <c r="W2320" s="185"/>
      <c r="AE2320" s="185"/>
    </row>
    <row r="2321" spans="20:31" x14ac:dyDescent="0.25">
      <c r="T2321" s="81"/>
      <c r="W2321" s="185"/>
      <c r="AE2321" s="185"/>
    </row>
    <row r="2322" spans="20:31" x14ac:dyDescent="0.25">
      <c r="T2322" s="81"/>
      <c r="W2322" s="185"/>
      <c r="AE2322" s="185"/>
    </row>
    <row r="2323" spans="20:31" x14ac:dyDescent="0.25">
      <c r="T2323" s="81"/>
      <c r="W2323" s="185"/>
      <c r="AE2323" s="185"/>
    </row>
    <row r="2324" spans="20:31" x14ac:dyDescent="0.25">
      <c r="T2324" s="81"/>
      <c r="W2324" s="185"/>
      <c r="AE2324" s="185"/>
    </row>
    <row r="2325" spans="20:31" x14ac:dyDescent="0.25">
      <c r="T2325" s="81"/>
      <c r="W2325" s="185"/>
      <c r="AE2325" s="185"/>
    </row>
    <row r="2326" spans="20:31" x14ac:dyDescent="0.25">
      <c r="T2326" s="81"/>
      <c r="W2326" s="185"/>
      <c r="AE2326" s="185"/>
    </row>
    <row r="2327" spans="20:31" x14ac:dyDescent="0.25">
      <c r="T2327" s="81"/>
      <c r="W2327" s="185"/>
      <c r="AE2327" s="185"/>
    </row>
    <row r="2328" spans="20:31" x14ac:dyDescent="0.25">
      <c r="T2328" s="81"/>
      <c r="W2328" s="185"/>
      <c r="AE2328" s="185"/>
    </row>
    <row r="2329" spans="20:31" x14ac:dyDescent="0.25">
      <c r="T2329" s="81"/>
      <c r="W2329" s="185"/>
      <c r="AE2329" s="185"/>
    </row>
    <row r="2330" spans="20:31" x14ac:dyDescent="0.25">
      <c r="T2330" s="81"/>
      <c r="W2330" s="185"/>
      <c r="AE2330" s="185"/>
    </row>
    <row r="2331" spans="20:31" x14ac:dyDescent="0.25">
      <c r="T2331" s="81"/>
      <c r="W2331" s="185"/>
      <c r="AE2331" s="185"/>
    </row>
    <row r="2332" spans="20:31" x14ac:dyDescent="0.25">
      <c r="T2332" s="81"/>
      <c r="W2332" s="185"/>
      <c r="AE2332" s="185"/>
    </row>
    <row r="2333" spans="20:31" x14ac:dyDescent="0.25">
      <c r="T2333" s="81"/>
      <c r="W2333" s="185"/>
      <c r="AE2333" s="185"/>
    </row>
    <row r="2334" spans="20:31" x14ac:dyDescent="0.25">
      <c r="T2334" s="81"/>
      <c r="W2334" s="185"/>
      <c r="AE2334" s="185"/>
    </row>
    <row r="2335" spans="20:31" x14ac:dyDescent="0.25">
      <c r="T2335" s="81"/>
      <c r="W2335" s="185"/>
      <c r="AE2335" s="185"/>
    </row>
    <row r="2336" spans="20:31" x14ac:dyDescent="0.25">
      <c r="T2336" s="81"/>
      <c r="W2336" s="185"/>
      <c r="AE2336" s="185"/>
    </row>
    <row r="2337" spans="20:31" x14ac:dyDescent="0.25">
      <c r="T2337" s="81"/>
      <c r="W2337" s="185"/>
      <c r="AE2337" s="185"/>
    </row>
    <row r="2338" spans="20:31" x14ac:dyDescent="0.25">
      <c r="T2338" s="81"/>
      <c r="W2338" s="185"/>
      <c r="AE2338" s="185"/>
    </row>
    <row r="2339" spans="20:31" x14ac:dyDescent="0.25">
      <c r="T2339" s="81"/>
      <c r="W2339" s="185"/>
      <c r="AE2339" s="185"/>
    </row>
    <row r="2340" spans="20:31" x14ac:dyDescent="0.25">
      <c r="T2340" s="81"/>
      <c r="W2340" s="185"/>
      <c r="AE2340" s="185"/>
    </row>
    <row r="2341" spans="20:31" x14ac:dyDescent="0.25">
      <c r="T2341" s="81"/>
      <c r="W2341" s="185"/>
      <c r="AE2341" s="185"/>
    </row>
    <row r="2342" spans="20:31" x14ac:dyDescent="0.25">
      <c r="T2342" s="81"/>
      <c r="W2342" s="185"/>
      <c r="AE2342" s="185"/>
    </row>
    <row r="2343" spans="20:31" x14ac:dyDescent="0.25">
      <c r="T2343" s="81"/>
      <c r="W2343" s="185"/>
      <c r="AE2343" s="185"/>
    </row>
    <row r="2344" spans="20:31" x14ac:dyDescent="0.25">
      <c r="T2344" s="81"/>
      <c r="W2344" s="185"/>
      <c r="AE2344" s="185"/>
    </row>
    <row r="2345" spans="20:31" x14ac:dyDescent="0.25">
      <c r="T2345" s="81"/>
      <c r="W2345" s="185"/>
      <c r="AE2345" s="185"/>
    </row>
    <row r="2346" spans="20:31" x14ac:dyDescent="0.25">
      <c r="T2346" s="81"/>
      <c r="W2346" s="185"/>
      <c r="AE2346" s="185"/>
    </row>
    <row r="2347" spans="20:31" x14ac:dyDescent="0.25">
      <c r="T2347" s="81"/>
      <c r="W2347" s="185"/>
      <c r="AE2347" s="185"/>
    </row>
    <row r="2348" spans="20:31" x14ac:dyDescent="0.25">
      <c r="T2348" s="81"/>
      <c r="W2348" s="185"/>
      <c r="AE2348" s="185"/>
    </row>
    <row r="2349" spans="20:31" x14ac:dyDescent="0.25">
      <c r="T2349" s="81"/>
      <c r="W2349" s="185"/>
      <c r="AE2349" s="185"/>
    </row>
    <row r="2350" spans="20:31" x14ac:dyDescent="0.25">
      <c r="T2350" s="81"/>
      <c r="W2350" s="185"/>
      <c r="AE2350" s="185"/>
    </row>
    <row r="2351" spans="20:31" x14ac:dyDescent="0.25">
      <c r="T2351" s="81"/>
      <c r="W2351" s="185"/>
      <c r="AE2351" s="185"/>
    </row>
    <row r="2352" spans="20:31" x14ac:dyDescent="0.25">
      <c r="T2352" s="81"/>
      <c r="W2352" s="185"/>
      <c r="AE2352" s="185"/>
    </row>
    <row r="2353" spans="20:31" x14ac:dyDescent="0.25">
      <c r="T2353" s="81"/>
      <c r="W2353" s="185"/>
      <c r="AE2353" s="185"/>
    </row>
    <row r="2354" spans="20:31" x14ac:dyDescent="0.25">
      <c r="T2354" s="81"/>
      <c r="W2354" s="185"/>
      <c r="AE2354" s="185"/>
    </row>
    <row r="2355" spans="20:31" x14ac:dyDescent="0.25">
      <c r="T2355" s="81"/>
      <c r="W2355" s="185"/>
      <c r="AE2355" s="185"/>
    </row>
    <row r="2356" spans="20:31" x14ac:dyDescent="0.25">
      <c r="T2356" s="81"/>
      <c r="W2356" s="185"/>
      <c r="AE2356" s="185"/>
    </row>
    <row r="2357" spans="20:31" x14ac:dyDescent="0.25">
      <c r="T2357" s="81"/>
      <c r="W2357" s="185"/>
      <c r="AE2357" s="185"/>
    </row>
    <row r="2358" spans="20:31" x14ac:dyDescent="0.25">
      <c r="T2358" s="81"/>
      <c r="W2358" s="185"/>
      <c r="AE2358" s="185"/>
    </row>
    <row r="2359" spans="20:31" x14ac:dyDescent="0.25">
      <c r="T2359" s="81"/>
      <c r="W2359" s="185"/>
      <c r="AE2359" s="185"/>
    </row>
    <row r="2360" spans="20:31" x14ac:dyDescent="0.25">
      <c r="T2360" s="81"/>
      <c r="W2360" s="185"/>
      <c r="AE2360" s="185"/>
    </row>
    <row r="2361" spans="20:31" x14ac:dyDescent="0.25">
      <c r="T2361" s="81"/>
      <c r="W2361" s="185"/>
      <c r="AE2361" s="185"/>
    </row>
    <row r="2362" spans="20:31" x14ac:dyDescent="0.25">
      <c r="T2362" s="81"/>
      <c r="W2362" s="185"/>
      <c r="AE2362" s="185"/>
    </row>
    <row r="2363" spans="20:31" x14ac:dyDescent="0.25">
      <c r="T2363" s="81"/>
      <c r="W2363" s="185"/>
      <c r="AE2363" s="185"/>
    </row>
    <row r="2364" spans="20:31" x14ac:dyDescent="0.25">
      <c r="T2364" s="81"/>
      <c r="W2364" s="185"/>
      <c r="AE2364" s="185"/>
    </row>
    <row r="2365" spans="20:31" x14ac:dyDescent="0.25">
      <c r="T2365" s="81"/>
      <c r="W2365" s="185"/>
      <c r="AE2365" s="185"/>
    </row>
    <row r="2366" spans="20:31" x14ac:dyDescent="0.25">
      <c r="T2366" s="81"/>
      <c r="W2366" s="185"/>
      <c r="AE2366" s="185"/>
    </row>
    <row r="2367" spans="20:31" x14ac:dyDescent="0.25">
      <c r="T2367" s="81"/>
      <c r="W2367" s="185"/>
      <c r="AE2367" s="185"/>
    </row>
    <row r="2368" spans="20:31" x14ac:dyDescent="0.25">
      <c r="T2368" s="81"/>
      <c r="W2368" s="185"/>
      <c r="AE2368" s="185"/>
    </row>
    <row r="2369" spans="20:31" x14ac:dyDescent="0.25">
      <c r="T2369" s="81"/>
      <c r="W2369" s="185"/>
      <c r="AE2369" s="185"/>
    </row>
    <row r="2370" spans="20:31" x14ac:dyDescent="0.25">
      <c r="T2370" s="81"/>
      <c r="W2370" s="185"/>
      <c r="AE2370" s="185"/>
    </row>
    <row r="2371" spans="20:31" x14ac:dyDescent="0.25">
      <c r="T2371" s="81"/>
      <c r="W2371" s="185"/>
      <c r="AE2371" s="185"/>
    </row>
    <row r="2372" spans="20:31" x14ac:dyDescent="0.25">
      <c r="T2372" s="81"/>
      <c r="W2372" s="185"/>
      <c r="AE2372" s="185"/>
    </row>
    <row r="2373" spans="20:31" x14ac:dyDescent="0.25">
      <c r="T2373" s="81"/>
      <c r="W2373" s="185"/>
      <c r="AE2373" s="185"/>
    </row>
    <row r="2374" spans="20:31" x14ac:dyDescent="0.25">
      <c r="T2374" s="81"/>
      <c r="W2374" s="185"/>
      <c r="AE2374" s="185"/>
    </row>
    <row r="2375" spans="20:31" x14ac:dyDescent="0.25">
      <c r="T2375" s="81"/>
      <c r="W2375" s="185"/>
      <c r="AE2375" s="185"/>
    </row>
    <row r="2376" spans="20:31" x14ac:dyDescent="0.25">
      <c r="T2376" s="81"/>
      <c r="W2376" s="185"/>
      <c r="AE2376" s="185"/>
    </row>
    <row r="2377" spans="20:31" x14ac:dyDescent="0.25">
      <c r="T2377" s="81"/>
      <c r="W2377" s="185"/>
      <c r="AE2377" s="185"/>
    </row>
    <row r="2378" spans="20:31" x14ac:dyDescent="0.25">
      <c r="T2378" s="81"/>
      <c r="W2378" s="185"/>
      <c r="AE2378" s="185"/>
    </row>
    <row r="2379" spans="20:31" x14ac:dyDescent="0.25">
      <c r="T2379" s="81"/>
      <c r="W2379" s="185"/>
      <c r="AE2379" s="185"/>
    </row>
    <row r="2380" spans="20:31" x14ac:dyDescent="0.25">
      <c r="T2380" s="81"/>
      <c r="W2380" s="185"/>
      <c r="AE2380" s="185"/>
    </row>
    <row r="2381" spans="20:31" x14ac:dyDescent="0.25">
      <c r="T2381" s="81"/>
      <c r="W2381" s="185"/>
      <c r="AE2381" s="185"/>
    </row>
    <row r="2382" spans="20:31" x14ac:dyDescent="0.25">
      <c r="T2382" s="81"/>
      <c r="W2382" s="185"/>
      <c r="AE2382" s="185"/>
    </row>
    <row r="2383" spans="20:31" x14ac:dyDescent="0.25">
      <c r="T2383" s="81"/>
      <c r="W2383" s="185"/>
      <c r="AE2383" s="185"/>
    </row>
    <row r="2384" spans="20:31" x14ac:dyDescent="0.25">
      <c r="T2384" s="81"/>
      <c r="W2384" s="185"/>
      <c r="AE2384" s="185"/>
    </row>
    <row r="2385" spans="20:31" x14ac:dyDescent="0.25">
      <c r="T2385" s="81"/>
      <c r="W2385" s="185"/>
      <c r="AE2385" s="185"/>
    </row>
    <row r="2386" spans="20:31" x14ac:dyDescent="0.25">
      <c r="T2386" s="81"/>
      <c r="W2386" s="185"/>
      <c r="AE2386" s="185"/>
    </row>
    <row r="2387" spans="20:31" x14ac:dyDescent="0.25">
      <c r="T2387" s="81"/>
      <c r="W2387" s="185"/>
      <c r="AE2387" s="185"/>
    </row>
    <row r="2388" spans="20:31" x14ac:dyDescent="0.25">
      <c r="T2388" s="81"/>
      <c r="W2388" s="185"/>
      <c r="AE2388" s="185"/>
    </row>
    <row r="2389" spans="20:31" x14ac:dyDescent="0.25">
      <c r="T2389" s="81"/>
      <c r="W2389" s="185"/>
      <c r="AE2389" s="185"/>
    </row>
    <row r="2390" spans="20:31" x14ac:dyDescent="0.25">
      <c r="T2390" s="81"/>
      <c r="W2390" s="185"/>
      <c r="AE2390" s="185"/>
    </row>
    <row r="2391" spans="20:31" x14ac:dyDescent="0.25">
      <c r="T2391" s="81"/>
      <c r="W2391" s="185"/>
      <c r="AE2391" s="185"/>
    </row>
    <row r="2392" spans="20:31" x14ac:dyDescent="0.25">
      <c r="T2392" s="81"/>
      <c r="W2392" s="185"/>
      <c r="AE2392" s="185"/>
    </row>
    <row r="2393" spans="20:31" x14ac:dyDescent="0.25">
      <c r="T2393" s="81"/>
      <c r="W2393" s="185"/>
      <c r="AE2393" s="185"/>
    </row>
    <row r="2394" spans="20:31" x14ac:dyDescent="0.25">
      <c r="T2394" s="81"/>
      <c r="W2394" s="185"/>
      <c r="AE2394" s="185"/>
    </row>
    <row r="2395" spans="20:31" x14ac:dyDescent="0.25">
      <c r="T2395" s="81"/>
      <c r="W2395" s="185"/>
      <c r="AE2395" s="185"/>
    </row>
    <row r="2396" spans="20:31" x14ac:dyDescent="0.25">
      <c r="T2396" s="81"/>
      <c r="W2396" s="185"/>
      <c r="AE2396" s="185"/>
    </row>
    <row r="2397" spans="20:31" x14ac:dyDescent="0.25">
      <c r="T2397" s="81"/>
      <c r="W2397" s="185"/>
      <c r="AE2397" s="185"/>
    </row>
    <row r="2398" spans="20:31" x14ac:dyDescent="0.25">
      <c r="T2398" s="81"/>
      <c r="W2398" s="185"/>
      <c r="AE2398" s="185"/>
    </row>
    <row r="2399" spans="20:31" x14ac:dyDescent="0.25">
      <c r="T2399" s="81"/>
      <c r="W2399" s="185"/>
      <c r="AE2399" s="185"/>
    </row>
    <row r="2400" spans="20:31" x14ac:dyDescent="0.25">
      <c r="T2400" s="81"/>
      <c r="W2400" s="185"/>
      <c r="AE2400" s="185"/>
    </row>
    <row r="2401" spans="20:31" x14ac:dyDescent="0.25">
      <c r="T2401" s="81"/>
      <c r="W2401" s="185"/>
      <c r="AE2401" s="185"/>
    </row>
    <row r="2402" spans="20:31" x14ac:dyDescent="0.25">
      <c r="T2402" s="81"/>
      <c r="W2402" s="185"/>
      <c r="AE2402" s="185"/>
    </row>
    <row r="2403" spans="20:31" x14ac:dyDescent="0.25">
      <c r="T2403" s="81"/>
      <c r="W2403" s="185"/>
      <c r="AE2403" s="185"/>
    </row>
    <row r="2404" spans="20:31" x14ac:dyDescent="0.25">
      <c r="T2404" s="81"/>
      <c r="W2404" s="185"/>
      <c r="AE2404" s="185"/>
    </row>
    <row r="2405" spans="20:31" x14ac:dyDescent="0.25">
      <c r="T2405" s="81"/>
      <c r="W2405" s="185"/>
      <c r="AE2405" s="185"/>
    </row>
    <row r="2406" spans="20:31" x14ac:dyDescent="0.25">
      <c r="T2406" s="81"/>
      <c r="W2406" s="185"/>
      <c r="AE2406" s="185"/>
    </row>
    <row r="2407" spans="20:31" x14ac:dyDescent="0.25">
      <c r="T2407" s="81"/>
      <c r="W2407" s="185"/>
      <c r="AE2407" s="185"/>
    </row>
    <row r="2408" spans="20:31" x14ac:dyDescent="0.25">
      <c r="T2408" s="81"/>
      <c r="W2408" s="185"/>
      <c r="AE2408" s="185"/>
    </row>
    <row r="2409" spans="20:31" x14ac:dyDescent="0.25">
      <c r="T2409" s="81"/>
      <c r="W2409" s="185"/>
      <c r="AE2409" s="185"/>
    </row>
    <row r="2410" spans="20:31" x14ac:dyDescent="0.25">
      <c r="T2410" s="81"/>
      <c r="W2410" s="185"/>
      <c r="AE2410" s="185"/>
    </row>
    <row r="2411" spans="20:31" x14ac:dyDescent="0.25">
      <c r="T2411" s="81"/>
      <c r="W2411" s="185"/>
      <c r="AE2411" s="185"/>
    </row>
    <row r="2412" spans="20:31" x14ac:dyDescent="0.25">
      <c r="T2412" s="81"/>
      <c r="W2412" s="185"/>
      <c r="AE2412" s="185"/>
    </row>
    <row r="2413" spans="20:31" x14ac:dyDescent="0.25">
      <c r="T2413" s="81"/>
      <c r="W2413" s="185"/>
      <c r="AE2413" s="185"/>
    </row>
    <row r="2414" spans="20:31" x14ac:dyDescent="0.25">
      <c r="T2414" s="81"/>
      <c r="W2414" s="185"/>
      <c r="AE2414" s="185"/>
    </row>
    <row r="2415" spans="20:31" x14ac:dyDescent="0.25">
      <c r="T2415" s="81"/>
      <c r="W2415" s="185"/>
      <c r="AE2415" s="185"/>
    </row>
    <row r="2416" spans="20:31" x14ac:dyDescent="0.25">
      <c r="T2416" s="81"/>
      <c r="W2416" s="185"/>
      <c r="AE2416" s="185"/>
    </row>
    <row r="2417" spans="20:31" x14ac:dyDescent="0.25">
      <c r="T2417" s="81"/>
      <c r="W2417" s="185"/>
      <c r="AE2417" s="185"/>
    </row>
    <row r="2418" spans="20:31" x14ac:dyDescent="0.25">
      <c r="T2418" s="81"/>
      <c r="W2418" s="185"/>
      <c r="AE2418" s="185"/>
    </row>
    <row r="2419" spans="20:31" x14ac:dyDescent="0.25">
      <c r="T2419" s="81"/>
      <c r="W2419" s="185"/>
      <c r="AE2419" s="185"/>
    </row>
    <row r="2420" spans="20:31" x14ac:dyDescent="0.25">
      <c r="T2420" s="81"/>
      <c r="W2420" s="185"/>
      <c r="AE2420" s="185"/>
    </row>
    <row r="2421" spans="20:31" x14ac:dyDescent="0.25">
      <c r="T2421" s="81"/>
      <c r="W2421" s="185"/>
      <c r="AE2421" s="185"/>
    </row>
    <row r="2422" spans="20:31" x14ac:dyDescent="0.25">
      <c r="T2422" s="81"/>
      <c r="W2422" s="185"/>
      <c r="AE2422" s="185"/>
    </row>
    <row r="2423" spans="20:31" x14ac:dyDescent="0.25">
      <c r="T2423" s="81"/>
      <c r="W2423" s="185"/>
      <c r="AE2423" s="185"/>
    </row>
    <row r="2424" spans="20:31" x14ac:dyDescent="0.25">
      <c r="T2424" s="81"/>
      <c r="W2424" s="185"/>
      <c r="AE2424" s="185"/>
    </row>
    <row r="2425" spans="20:31" x14ac:dyDescent="0.25">
      <c r="T2425" s="81"/>
      <c r="W2425" s="185"/>
      <c r="AE2425" s="185"/>
    </row>
    <row r="2426" spans="20:31" x14ac:dyDescent="0.25">
      <c r="T2426" s="81"/>
      <c r="W2426" s="185"/>
      <c r="AE2426" s="185"/>
    </row>
    <row r="2427" spans="20:31" x14ac:dyDescent="0.25">
      <c r="T2427" s="81"/>
      <c r="W2427" s="185"/>
      <c r="AE2427" s="185"/>
    </row>
    <row r="2428" spans="20:31" x14ac:dyDescent="0.25">
      <c r="T2428" s="81"/>
      <c r="W2428" s="185"/>
      <c r="AE2428" s="185"/>
    </row>
    <row r="2429" spans="20:31" x14ac:dyDescent="0.25">
      <c r="T2429" s="81"/>
      <c r="W2429" s="185"/>
      <c r="AE2429" s="185"/>
    </row>
    <row r="2430" spans="20:31" x14ac:dyDescent="0.25">
      <c r="T2430" s="81"/>
      <c r="W2430" s="185"/>
      <c r="AE2430" s="185"/>
    </row>
    <row r="2431" spans="20:31" x14ac:dyDescent="0.25">
      <c r="T2431" s="81"/>
      <c r="W2431" s="185"/>
      <c r="AE2431" s="185"/>
    </row>
    <row r="2432" spans="20:31" x14ac:dyDescent="0.25">
      <c r="T2432" s="81"/>
      <c r="W2432" s="185"/>
      <c r="AE2432" s="185"/>
    </row>
    <row r="2433" spans="20:31" x14ac:dyDescent="0.25">
      <c r="T2433" s="81"/>
      <c r="W2433" s="185"/>
      <c r="AE2433" s="185"/>
    </row>
    <row r="2434" spans="20:31" x14ac:dyDescent="0.25">
      <c r="T2434" s="81"/>
      <c r="W2434" s="185"/>
      <c r="AE2434" s="185"/>
    </row>
    <row r="2435" spans="20:31" x14ac:dyDescent="0.25">
      <c r="T2435" s="81"/>
      <c r="W2435" s="185"/>
      <c r="AE2435" s="185"/>
    </row>
    <row r="2436" spans="20:31" x14ac:dyDescent="0.25">
      <c r="T2436" s="81"/>
      <c r="W2436" s="185"/>
      <c r="AE2436" s="185"/>
    </row>
    <row r="2437" spans="20:31" x14ac:dyDescent="0.25">
      <c r="T2437" s="81"/>
      <c r="W2437" s="185"/>
      <c r="AE2437" s="185"/>
    </row>
    <row r="2438" spans="20:31" x14ac:dyDescent="0.25">
      <c r="T2438" s="81"/>
      <c r="W2438" s="185"/>
      <c r="AE2438" s="185"/>
    </row>
    <row r="2439" spans="20:31" x14ac:dyDescent="0.25">
      <c r="T2439" s="81"/>
      <c r="W2439" s="185"/>
      <c r="AE2439" s="185"/>
    </row>
    <row r="2440" spans="20:31" x14ac:dyDescent="0.25">
      <c r="T2440" s="81"/>
      <c r="W2440" s="185"/>
      <c r="AE2440" s="185"/>
    </row>
    <row r="2441" spans="20:31" x14ac:dyDescent="0.25">
      <c r="T2441" s="81"/>
      <c r="W2441" s="185"/>
      <c r="AE2441" s="185"/>
    </row>
    <row r="2442" spans="20:31" x14ac:dyDescent="0.25">
      <c r="T2442" s="81"/>
      <c r="W2442" s="185"/>
      <c r="AE2442" s="185"/>
    </row>
    <row r="2443" spans="20:31" x14ac:dyDescent="0.25">
      <c r="T2443" s="81"/>
      <c r="W2443" s="185"/>
      <c r="AE2443" s="185"/>
    </row>
    <row r="2444" spans="20:31" x14ac:dyDescent="0.25">
      <c r="T2444" s="81"/>
      <c r="W2444" s="185"/>
      <c r="AE2444" s="185"/>
    </row>
    <row r="2445" spans="20:31" x14ac:dyDescent="0.25">
      <c r="T2445" s="81"/>
      <c r="W2445" s="185"/>
      <c r="AE2445" s="185"/>
    </row>
    <row r="2446" spans="20:31" x14ac:dyDescent="0.25">
      <c r="T2446" s="81"/>
      <c r="W2446" s="185"/>
      <c r="AE2446" s="185"/>
    </row>
    <row r="2447" spans="20:31" x14ac:dyDescent="0.25">
      <c r="T2447" s="81"/>
      <c r="W2447" s="185"/>
      <c r="AE2447" s="185"/>
    </row>
    <row r="2448" spans="20:31" x14ac:dyDescent="0.25">
      <c r="T2448" s="81"/>
      <c r="W2448" s="185"/>
      <c r="AE2448" s="185"/>
    </row>
    <row r="2449" spans="20:31" x14ac:dyDescent="0.25">
      <c r="T2449" s="81"/>
      <c r="W2449" s="185"/>
      <c r="AE2449" s="185"/>
    </row>
    <row r="2450" spans="20:31" x14ac:dyDescent="0.25">
      <c r="T2450" s="81"/>
      <c r="W2450" s="185"/>
      <c r="AE2450" s="185"/>
    </row>
    <row r="2451" spans="20:31" x14ac:dyDescent="0.25">
      <c r="T2451" s="81"/>
      <c r="W2451" s="185"/>
      <c r="AE2451" s="185"/>
    </row>
    <row r="2452" spans="20:31" x14ac:dyDescent="0.25">
      <c r="T2452" s="81"/>
      <c r="W2452" s="185"/>
      <c r="AE2452" s="185"/>
    </row>
    <row r="2453" spans="20:31" x14ac:dyDescent="0.25">
      <c r="T2453" s="81"/>
      <c r="W2453" s="185"/>
      <c r="AE2453" s="185"/>
    </row>
    <row r="2454" spans="20:31" x14ac:dyDescent="0.25">
      <c r="T2454" s="81"/>
      <c r="W2454" s="185"/>
      <c r="AE2454" s="185"/>
    </row>
    <row r="2455" spans="20:31" x14ac:dyDescent="0.25">
      <c r="T2455" s="81"/>
      <c r="W2455" s="185"/>
      <c r="AE2455" s="185"/>
    </row>
    <row r="2456" spans="20:31" x14ac:dyDescent="0.25">
      <c r="T2456" s="81"/>
      <c r="W2456" s="185"/>
      <c r="AE2456" s="185"/>
    </row>
    <row r="2457" spans="20:31" x14ac:dyDescent="0.25">
      <c r="T2457" s="81"/>
      <c r="W2457" s="185"/>
      <c r="AE2457" s="185"/>
    </row>
    <row r="2458" spans="20:31" x14ac:dyDescent="0.25">
      <c r="T2458" s="81"/>
      <c r="W2458" s="185"/>
      <c r="AE2458" s="185"/>
    </row>
    <row r="2459" spans="20:31" x14ac:dyDescent="0.25">
      <c r="T2459" s="81"/>
      <c r="W2459" s="185"/>
      <c r="AE2459" s="185"/>
    </row>
    <row r="2460" spans="20:31" x14ac:dyDescent="0.25">
      <c r="T2460" s="81"/>
      <c r="W2460" s="185"/>
      <c r="AE2460" s="185"/>
    </row>
    <row r="2461" spans="20:31" x14ac:dyDescent="0.25">
      <c r="T2461" s="81"/>
      <c r="W2461" s="185"/>
      <c r="AE2461" s="185"/>
    </row>
    <row r="2462" spans="20:31" x14ac:dyDescent="0.25">
      <c r="T2462" s="81"/>
      <c r="W2462" s="185"/>
      <c r="AE2462" s="185"/>
    </row>
    <row r="2463" spans="20:31" x14ac:dyDescent="0.25">
      <c r="T2463" s="81"/>
      <c r="W2463" s="185"/>
      <c r="AE2463" s="185"/>
    </row>
    <row r="2464" spans="20:31" x14ac:dyDescent="0.25">
      <c r="T2464" s="81"/>
      <c r="W2464" s="185"/>
      <c r="AE2464" s="185"/>
    </row>
    <row r="2465" spans="20:31" x14ac:dyDescent="0.25">
      <c r="T2465" s="81"/>
      <c r="W2465" s="185"/>
      <c r="AE2465" s="185"/>
    </row>
    <row r="2466" spans="20:31" x14ac:dyDescent="0.25">
      <c r="T2466" s="81"/>
      <c r="W2466" s="185"/>
      <c r="AE2466" s="185"/>
    </row>
    <row r="2467" spans="20:31" x14ac:dyDescent="0.25">
      <c r="T2467" s="81"/>
      <c r="W2467" s="185"/>
      <c r="AE2467" s="185"/>
    </row>
    <row r="2468" spans="20:31" x14ac:dyDescent="0.25">
      <c r="T2468" s="81"/>
      <c r="W2468" s="185"/>
      <c r="AE2468" s="185"/>
    </row>
    <row r="2469" spans="20:31" x14ac:dyDescent="0.25">
      <c r="T2469" s="81"/>
      <c r="W2469" s="185"/>
      <c r="AE2469" s="185"/>
    </row>
    <row r="2470" spans="20:31" x14ac:dyDescent="0.25">
      <c r="T2470" s="81"/>
      <c r="W2470" s="185"/>
      <c r="AE2470" s="185"/>
    </row>
    <row r="2471" spans="20:31" x14ac:dyDescent="0.25">
      <c r="T2471" s="81"/>
      <c r="W2471" s="185"/>
      <c r="AE2471" s="185"/>
    </row>
    <row r="2472" spans="20:31" x14ac:dyDescent="0.25">
      <c r="T2472" s="81"/>
      <c r="W2472" s="185"/>
      <c r="AE2472" s="185"/>
    </row>
    <row r="2473" spans="20:31" x14ac:dyDescent="0.25">
      <c r="T2473" s="81"/>
      <c r="W2473" s="185"/>
      <c r="AE2473" s="185"/>
    </row>
    <row r="2474" spans="20:31" x14ac:dyDescent="0.25">
      <c r="T2474" s="81"/>
      <c r="W2474" s="185"/>
      <c r="AE2474" s="185"/>
    </row>
    <row r="2475" spans="20:31" x14ac:dyDescent="0.25">
      <c r="T2475" s="81"/>
      <c r="W2475" s="185"/>
      <c r="AE2475" s="185"/>
    </row>
    <row r="2476" spans="20:31" x14ac:dyDescent="0.25">
      <c r="T2476" s="81"/>
      <c r="W2476" s="185"/>
      <c r="AE2476" s="185"/>
    </row>
    <row r="2477" spans="20:31" x14ac:dyDescent="0.25">
      <c r="T2477" s="81"/>
      <c r="W2477" s="185"/>
      <c r="AE2477" s="185"/>
    </row>
    <row r="2478" spans="20:31" x14ac:dyDescent="0.25">
      <c r="T2478" s="81"/>
      <c r="W2478" s="185"/>
      <c r="AE2478" s="185"/>
    </row>
    <row r="2479" spans="20:31" x14ac:dyDescent="0.25">
      <c r="T2479" s="81"/>
      <c r="W2479" s="185"/>
      <c r="AE2479" s="185"/>
    </row>
    <row r="2480" spans="20:31" x14ac:dyDescent="0.25">
      <c r="T2480" s="81"/>
      <c r="W2480" s="185"/>
      <c r="AE2480" s="185"/>
    </row>
    <row r="2481" spans="20:31" x14ac:dyDescent="0.25">
      <c r="T2481" s="81"/>
      <c r="W2481" s="185"/>
      <c r="AE2481" s="185"/>
    </row>
    <row r="2482" spans="20:31" x14ac:dyDescent="0.25">
      <c r="T2482" s="81"/>
      <c r="W2482" s="185"/>
      <c r="AE2482" s="185"/>
    </row>
    <row r="2483" spans="20:31" x14ac:dyDescent="0.25">
      <c r="T2483" s="81"/>
      <c r="W2483" s="185"/>
      <c r="AE2483" s="185"/>
    </row>
    <row r="2484" spans="20:31" x14ac:dyDescent="0.25">
      <c r="T2484" s="81"/>
      <c r="W2484" s="185"/>
      <c r="AE2484" s="185"/>
    </row>
    <row r="2485" spans="20:31" x14ac:dyDescent="0.25">
      <c r="T2485" s="81"/>
      <c r="W2485" s="185"/>
      <c r="AE2485" s="185"/>
    </row>
    <row r="2486" spans="20:31" x14ac:dyDescent="0.25">
      <c r="T2486" s="81"/>
      <c r="W2486" s="185"/>
      <c r="AE2486" s="185"/>
    </row>
    <row r="2487" spans="20:31" x14ac:dyDescent="0.25">
      <c r="T2487" s="81"/>
      <c r="W2487" s="185"/>
      <c r="AE2487" s="185"/>
    </row>
    <row r="2488" spans="20:31" x14ac:dyDescent="0.25">
      <c r="T2488" s="81"/>
      <c r="W2488" s="185"/>
      <c r="AE2488" s="185"/>
    </row>
    <row r="2489" spans="20:31" x14ac:dyDescent="0.25">
      <c r="T2489" s="81"/>
      <c r="W2489" s="185"/>
      <c r="AE2489" s="185"/>
    </row>
    <row r="2490" spans="20:31" x14ac:dyDescent="0.25">
      <c r="T2490" s="81"/>
      <c r="W2490" s="185"/>
      <c r="AE2490" s="185"/>
    </row>
    <row r="2491" spans="20:31" x14ac:dyDescent="0.25">
      <c r="T2491" s="81"/>
      <c r="W2491" s="185"/>
      <c r="AE2491" s="185"/>
    </row>
    <row r="2492" spans="20:31" x14ac:dyDescent="0.25">
      <c r="T2492" s="81"/>
      <c r="W2492" s="185"/>
      <c r="AE2492" s="185"/>
    </row>
    <row r="2493" spans="20:31" x14ac:dyDescent="0.25">
      <c r="T2493" s="81"/>
      <c r="W2493" s="185"/>
      <c r="AE2493" s="185"/>
    </row>
    <row r="2494" spans="20:31" x14ac:dyDescent="0.25">
      <c r="T2494" s="81"/>
      <c r="W2494" s="185"/>
      <c r="AE2494" s="185"/>
    </row>
    <row r="2495" spans="20:31" x14ac:dyDescent="0.25">
      <c r="T2495" s="81"/>
      <c r="W2495" s="185"/>
      <c r="AE2495" s="185"/>
    </row>
    <row r="2496" spans="20:31" x14ac:dyDescent="0.25">
      <c r="T2496" s="81"/>
      <c r="W2496" s="185"/>
      <c r="AE2496" s="185"/>
    </row>
    <row r="2497" spans="20:31" x14ac:dyDescent="0.25">
      <c r="T2497" s="81"/>
      <c r="W2497" s="185"/>
      <c r="AE2497" s="185"/>
    </row>
    <row r="2498" spans="20:31" x14ac:dyDescent="0.25">
      <c r="T2498" s="81"/>
      <c r="W2498" s="185"/>
      <c r="AE2498" s="185"/>
    </row>
    <row r="2499" spans="20:31" x14ac:dyDescent="0.25">
      <c r="T2499" s="81"/>
      <c r="W2499" s="185"/>
      <c r="AE2499" s="185"/>
    </row>
    <row r="2500" spans="20:31" x14ac:dyDescent="0.25">
      <c r="T2500" s="81"/>
      <c r="W2500" s="185"/>
      <c r="AE2500" s="185"/>
    </row>
    <row r="2501" spans="20:31" x14ac:dyDescent="0.25">
      <c r="T2501" s="81"/>
      <c r="W2501" s="185"/>
      <c r="AE2501" s="185"/>
    </row>
    <row r="2502" spans="20:31" x14ac:dyDescent="0.25">
      <c r="T2502" s="81"/>
      <c r="W2502" s="185"/>
      <c r="AE2502" s="185"/>
    </row>
    <row r="2503" spans="20:31" x14ac:dyDescent="0.25">
      <c r="T2503" s="81"/>
      <c r="W2503" s="185"/>
      <c r="AE2503" s="185"/>
    </row>
    <row r="2504" spans="20:31" x14ac:dyDescent="0.25">
      <c r="T2504" s="81"/>
      <c r="W2504" s="185"/>
      <c r="AE2504" s="185"/>
    </row>
    <row r="2505" spans="20:31" x14ac:dyDescent="0.25">
      <c r="T2505" s="81"/>
      <c r="W2505" s="185"/>
      <c r="AE2505" s="185"/>
    </row>
    <row r="2506" spans="20:31" x14ac:dyDescent="0.25">
      <c r="T2506" s="81"/>
      <c r="W2506" s="185"/>
      <c r="AE2506" s="185"/>
    </row>
    <row r="2507" spans="20:31" x14ac:dyDescent="0.25">
      <c r="T2507" s="81"/>
      <c r="W2507" s="185"/>
      <c r="AE2507" s="185"/>
    </row>
    <row r="2508" spans="20:31" x14ac:dyDescent="0.25">
      <c r="T2508" s="81"/>
      <c r="W2508" s="185"/>
      <c r="AE2508" s="185"/>
    </row>
    <row r="2509" spans="20:31" x14ac:dyDescent="0.25">
      <c r="T2509" s="81"/>
      <c r="W2509" s="185"/>
      <c r="AE2509" s="185"/>
    </row>
    <row r="2510" spans="20:31" x14ac:dyDescent="0.25">
      <c r="T2510" s="81"/>
      <c r="W2510" s="185"/>
      <c r="AE2510" s="185"/>
    </row>
    <row r="2511" spans="20:31" x14ac:dyDescent="0.25">
      <c r="T2511" s="81"/>
      <c r="W2511" s="185"/>
      <c r="AE2511" s="185"/>
    </row>
    <row r="2512" spans="20:31" x14ac:dyDescent="0.25">
      <c r="T2512" s="81"/>
      <c r="W2512" s="185"/>
      <c r="AE2512" s="185"/>
    </row>
    <row r="2513" spans="20:31" x14ac:dyDescent="0.25">
      <c r="T2513" s="81"/>
      <c r="W2513" s="185"/>
      <c r="AE2513" s="185"/>
    </row>
    <row r="2514" spans="20:31" x14ac:dyDescent="0.25">
      <c r="T2514" s="81"/>
      <c r="W2514" s="185"/>
      <c r="AE2514" s="185"/>
    </row>
    <row r="2515" spans="20:31" x14ac:dyDescent="0.25">
      <c r="T2515" s="81"/>
      <c r="W2515" s="185"/>
      <c r="AE2515" s="185"/>
    </row>
    <row r="2516" spans="20:31" x14ac:dyDescent="0.25">
      <c r="T2516" s="81"/>
      <c r="W2516" s="185"/>
      <c r="AE2516" s="185"/>
    </row>
    <row r="2517" spans="20:31" x14ac:dyDescent="0.25">
      <c r="T2517" s="81"/>
      <c r="W2517" s="185"/>
      <c r="AE2517" s="185"/>
    </row>
    <row r="2518" spans="20:31" x14ac:dyDescent="0.25">
      <c r="T2518" s="81"/>
      <c r="W2518" s="185"/>
      <c r="AE2518" s="185"/>
    </row>
    <row r="2519" spans="20:31" x14ac:dyDescent="0.25">
      <c r="T2519" s="81"/>
      <c r="W2519" s="185"/>
      <c r="AE2519" s="185"/>
    </row>
    <row r="2520" spans="20:31" x14ac:dyDescent="0.25">
      <c r="T2520" s="81"/>
      <c r="W2520" s="185"/>
      <c r="AE2520" s="185"/>
    </row>
    <row r="2521" spans="20:31" x14ac:dyDescent="0.25">
      <c r="T2521" s="81"/>
      <c r="W2521" s="185"/>
      <c r="AE2521" s="185"/>
    </row>
    <row r="2522" spans="20:31" x14ac:dyDescent="0.25">
      <c r="T2522" s="81"/>
      <c r="W2522" s="185"/>
      <c r="AE2522" s="185"/>
    </row>
    <row r="2523" spans="20:31" x14ac:dyDescent="0.25">
      <c r="T2523" s="81"/>
      <c r="W2523" s="185"/>
      <c r="AE2523" s="185"/>
    </row>
    <row r="2524" spans="20:31" x14ac:dyDescent="0.25">
      <c r="T2524" s="81"/>
      <c r="W2524" s="185"/>
      <c r="AE2524" s="185"/>
    </row>
    <row r="2525" spans="20:31" x14ac:dyDescent="0.25">
      <c r="T2525" s="81"/>
      <c r="W2525" s="185"/>
      <c r="AE2525" s="185"/>
    </row>
    <row r="2526" spans="20:31" x14ac:dyDescent="0.25">
      <c r="T2526" s="81"/>
      <c r="W2526" s="185"/>
      <c r="AE2526" s="185"/>
    </row>
    <row r="2527" spans="20:31" x14ac:dyDescent="0.25">
      <c r="T2527" s="81"/>
      <c r="W2527" s="185"/>
      <c r="AE2527" s="185"/>
    </row>
    <row r="2528" spans="20:31" x14ac:dyDescent="0.25">
      <c r="T2528" s="81"/>
      <c r="W2528" s="185"/>
      <c r="AE2528" s="185"/>
    </row>
    <row r="2529" spans="20:31" x14ac:dyDescent="0.25">
      <c r="T2529" s="81"/>
      <c r="W2529" s="185"/>
      <c r="AE2529" s="185"/>
    </row>
    <row r="2530" spans="20:31" x14ac:dyDescent="0.25">
      <c r="T2530" s="81"/>
      <c r="W2530" s="185"/>
      <c r="AE2530" s="185"/>
    </row>
    <row r="2531" spans="20:31" x14ac:dyDescent="0.25">
      <c r="T2531" s="81"/>
      <c r="W2531" s="185"/>
      <c r="AE2531" s="185"/>
    </row>
    <row r="2532" spans="20:31" x14ac:dyDescent="0.25">
      <c r="T2532" s="81"/>
      <c r="W2532" s="185"/>
      <c r="AE2532" s="185"/>
    </row>
    <row r="2533" spans="20:31" x14ac:dyDescent="0.25">
      <c r="T2533" s="81"/>
      <c r="W2533" s="185"/>
      <c r="AE2533" s="185"/>
    </row>
    <row r="2534" spans="20:31" x14ac:dyDescent="0.25">
      <c r="T2534" s="81"/>
      <c r="W2534" s="185"/>
      <c r="AE2534" s="185"/>
    </row>
    <row r="2535" spans="20:31" x14ac:dyDescent="0.25">
      <c r="T2535" s="81"/>
      <c r="W2535" s="185"/>
      <c r="AE2535" s="185"/>
    </row>
    <row r="2536" spans="20:31" x14ac:dyDescent="0.25">
      <c r="T2536" s="81"/>
      <c r="W2536" s="185"/>
      <c r="AE2536" s="185"/>
    </row>
    <row r="2537" spans="20:31" x14ac:dyDescent="0.25">
      <c r="T2537" s="81"/>
      <c r="W2537" s="185"/>
      <c r="AE2537" s="185"/>
    </row>
    <row r="2538" spans="20:31" x14ac:dyDescent="0.25">
      <c r="T2538" s="81"/>
      <c r="W2538" s="185"/>
      <c r="AE2538" s="185"/>
    </row>
    <row r="2539" spans="20:31" x14ac:dyDescent="0.25">
      <c r="T2539" s="81"/>
      <c r="W2539" s="185"/>
      <c r="AE2539" s="185"/>
    </row>
    <row r="2540" spans="20:31" x14ac:dyDescent="0.25">
      <c r="T2540" s="81"/>
      <c r="W2540" s="185"/>
      <c r="AE2540" s="185"/>
    </row>
    <row r="2541" spans="20:31" x14ac:dyDescent="0.25">
      <c r="T2541" s="81"/>
      <c r="W2541" s="185"/>
      <c r="AE2541" s="185"/>
    </row>
    <row r="2542" spans="20:31" x14ac:dyDescent="0.25">
      <c r="T2542" s="81"/>
      <c r="W2542" s="185"/>
      <c r="AE2542" s="185"/>
    </row>
    <row r="2543" spans="20:31" x14ac:dyDescent="0.25">
      <c r="T2543" s="81"/>
      <c r="W2543" s="185"/>
      <c r="AE2543" s="185"/>
    </row>
    <row r="2544" spans="20:31" x14ac:dyDescent="0.25">
      <c r="T2544" s="81"/>
      <c r="W2544" s="185"/>
      <c r="AE2544" s="185"/>
    </row>
    <row r="2545" spans="20:31" x14ac:dyDescent="0.25">
      <c r="T2545" s="81"/>
      <c r="W2545" s="185"/>
      <c r="AE2545" s="185"/>
    </row>
    <row r="2546" spans="20:31" x14ac:dyDescent="0.25">
      <c r="T2546" s="81"/>
      <c r="W2546" s="185"/>
      <c r="AE2546" s="185"/>
    </row>
    <row r="2547" spans="20:31" x14ac:dyDescent="0.25">
      <c r="T2547" s="81"/>
      <c r="W2547" s="185"/>
      <c r="AE2547" s="185"/>
    </row>
    <row r="2548" spans="20:31" x14ac:dyDescent="0.25">
      <c r="T2548" s="81"/>
      <c r="W2548" s="185"/>
      <c r="AE2548" s="185"/>
    </row>
    <row r="2549" spans="20:31" x14ac:dyDescent="0.25">
      <c r="T2549" s="81"/>
      <c r="W2549" s="185"/>
      <c r="AE2549" s="185"/>
    </row>
    <row r="2550" spans="20:31" x14ac:dyDescent="0.25">
      <c r="T2550" s="81"/>
      <c r="W2550" s="185"/>
      <c r="AE2550" s="185"/>
    </row>
    <row r="2551" spans="20:31" x14ac:dyDescent="0.25">
      <c r="T2551" s="81"/>
      <c r="W2551" s="185"/>
      <c r="AE2551" s="185"/>
    </row>
    <row r="2552" spans="20:31" x14ac:dyDescent="0.25">
      <c r="T2552" s="81"/>
      <c r="W2552" s="185"/>
      <c r="AE2552" s="185"/>
    </row>
    <row r="2553" spans="20:31" x14ac:dyDescent="0.25">
      <c r="T2553" s="81"/>
      <c r="W2553" s="185"/>
      <c r="AE2553" s="185"/>
    </row>
    <row r="2554" spans="20:31" x14ac:dyDescent="0.25">
      <c r="T2554" s="81"/>
      <c r="W2554" s="185"/>
      <c r="AE2554" s="185"/>
    </row>
    <row r="2555" spans="20:31" x14ac:dyDescent="0.25">
      <c r="T2555" s="81"/>
      <c r="W2555" s="185"/>
      <c r="AE2555" s="185"/>
    </row>
    <row r="2556" spans="20:31" x14ac:dyDescent="0.25">
      <c r="T2556" s="81"/>
      <c r="W2556" s="185"/>
      <c r="AE2556" s="185"/>
    </row>
    <row r="2557" spans="20:31" x14ac:dyDescent="0.25">
      <c r="T2557" s="81"/>
      <c r="W2557" s="185"/>
      <c r="AE2557" s="185"/>
    </row>
    <row r="2558" spans="20:31" x14ac:dyDescent="0.25">
      <c r="T2558" s="81"/>
      <c r="W2558" s="185"/>
      <c r="AE2558" s="185"/>
    </row>
    <row r="2559" spans="20:31" x14ac:dyDescent="0.25">
      <c r="T2559" s="81"/>
      <c r="W2559" s="185"/>
      <c r="AE2559" s="185"/>
    </row>
    <row r="2560" spans="20:31" x14ac:dyDescent="0.25">
      <c r="T2560" s="81"/>
      <c r="W2560" s="185"/>
      <c r="AE2560" s="185"/>
    </row>
    <row r="2561" spans="20:31" x14ac:dyDescent="0.25">
      <c r="T2561" s="81"/>
      <c r="W2561" s="185"/>
      <c r="AE2561" s="185"/>
    </row>
    <row r="2562" spans="20:31" x14ac:dyDescent="0.25">
      <c r="T2562" s="81"/>
      <c r="W2562" s="185"/>
      <c r="AE2562" s="185"/>
    </row>
    <row r="2563" spans="20:31" x14ac:dyDescent="0.25">
      <c r="T2563" s="81"/>
      <c r="W2563" s="185"/>
      <c r="AE2563" s="185"/>
    </row>
    <row r="2564" spans="20:31" x14ac:dyDescent="0.25">
      <c r="T2564" s="81"/>
      <c r="W2564" s="185"/>
      <c r="AE2564" s="185"/>
    </row>
    <row r="2565" spans="20:31" x14ac:dyDescent="0.25">
      <c r="T2565" s="81"/>
      <c r="W2565" s="185"/>
      <c r="AE2565" s="185"/>
    </row>
    <row r="2566" spans="20:31" x14ac:dyDescent="0.25">
      <c r="T2566" s="81"/>
      <c r="W2566" s="185"/>
      <c r="AE2566" s="185"/>
    </row>
    <row r="2567" spans="20:31" x14ac:dyDescent="0.25">
      <c r="T2567" s="81"/>
      <c r="W2567" s="185"/>
      <c r="AE2567" s="185"/>
    </row>
    <row r="2568" spans="20:31" x14ac:dyDescent="0.25">
      <c r="T2568" s="81"/>
      <c r="W2568" s="185"/>
      <c r="AE2568" s="185"/>
    </row>
    <row r="2569" spans="20:31" x14ac:dyDescent="0.25">
      <c r="T2569" s="81"/>
      <c r="W2569" s="185"/>
      <c r="AE2569" s="185"/>
    </row>
    <row r="2570" spans="20:31" x14ac:dyDescent="0.25">
      <c r="T2570" s="81"/>
      <c r="W2570" s="185"/>
      <c r="AE2570" s="185"/>
    </row>
    <row r="2571" spans="20:31" x14ac:dyDescent="0.25">
      <c r="T2571" s="81"/>
      <c r="W2571" s="185"/>
      <c r="AE2571" s="185"/>
    </row>
    <row r="2572" spans="20:31" x14ac:dyDescent="0.25">
      <c r="T2572" s="81"/>
      <c r="W2572" s="185"/>
      <c r="AE2572" s="185"/>
    </row>
    <row r="2573" spans="20:31" x14ac:dyDescent="0.25">
      <c r="T2573" s="81"/>
      <c r="W2573" s="185"/>
      <c r="AE2573" s="185"/>
    </row>
    <row r="2574" spans="20:31" x14ac:dyDescent="0.25">
      <c r="T2574" s="81"/>
      <c r="W2574" s="185"/>
      <c r="AE2574" s="185"/>
    </row>
    <row r="2575" spans="20:31" x14ac:dyDescent="0.25">
      <c r="T2575" s="81"/>
      <c r="W2575" s="185"/>
      <c r="AE2575" s="185"/>
    </row>
    <row r="2576" spans="20:31" x14ac:dyDescent="0.25">
      <c r="T2576" s="81"/>
      <c r="W2576" s="185"/>
      <c r="AE2576" s="185"/>
    </row>
    <row r="2577" spans="20:31" x14ac:dyDescent="0.25">
      <c r="T2577" s="81"/>
      <c r="W2577" s="185"/>
      <c r="AE2577" s="185"/>
    </row>
    <row r="2578" spans="20:31" x14ac:dyDescent="0.25">
      <c r="T2578" s="81"/>
      <c r="W2578" s="185"/>
      <c r="AE2578" s="185"/>
    </row>
    <row r="2579" spans="20:31" x14ac:dyDescent="0.25">
      <c r="T2579" s="81"/>
      <c r="W2579" s="185"/>
      <c r="AE2579" s="185"/>
    </row>
    <row r="2580" spans="20:31" x14ac:dyDescent="0.25">
      <c r="T2580" s="81"/>
      <c r="W2580" s="185"/>
      <c r="AE2580" s="185"/>
    </row>
    <row r="2581" spans="20:31" x14ac:dyDescent="0.25">
      <c r="T2581" s="81"/>
      <c r="W2581" s="185"/>
      <c r="AE2581" s="185"/>
    </row>
    <row r="2582" spans="20:31" x14ac:dyDescent="0.25">
      <c r="T2582" s="81"/>
      <c r="W2582" s="185"/>
      <c r="AE2582" s="185"/>
    </row>
    <row r="2583" spans="20:31" x14ac:dyDescent="0.25">
      <c r="T2583" s="81"/>
      <c r="W2583" s="185"/>
      <c r="AE2583" s="185"/>
    </row>
    <row r="2584" spans="20:31" x14ac:dyDescent="0.25">
      <c r="T2584" s="81"/>
      <c r="W2584" s="185"/>
      <c r="AE2584" s="185"/>
    </row>
    <row r="2585" spans="20:31" x14ac:dyDescent="0.25">
      <c r="T2585" s="81"/>
      <c r="W2585" s="185"/>
      <c r="AE2585" s="185"/>
    </row>
    <row r="2586" spans="20:31" x14ac:dyDescent="0.25">
      <c r="T2586" s="81"/>
      <c r="W2586" s="185"/>
      <c r="AE2586" s="185"/>
    </row>
    <row r="2587" spans="20:31" x14ac:dyDescent="0.25">
      <c r="T2587" s="81"/>
      <c r="W2587" s="185"/>
      <c r="AE2587" s="185"/>
    </row>
    <row r="2588" spans="20:31" x14ac:dyDescent="0.25">
      <c r="T2588" s="81"/>
      <c r="W2588" s="185"/>
      <c r="AE2588" s="185"/>
    </row>
    <row r="2589" spans="20:31" x14ac:dyDescent="0.25">
      <c r="T2589" s="81"/>
      <c r="W2589" s="185"/>
      <c r="AE2589" s="185"/>
    </row>
    <row r="2590" spans="20:31" x14ac:dyDescent="0.25">
      <c r="T2590" s="81"/>
      <c r="W2590" s="185"/>
      <c r="AE2590" s="185"/>
    </row>
    <row r="2591" spans="20:31" x14ac:dyDescent="0.25">
      <c r="T2591" s="81"/>
      <c r="W2591" s="185"/>
      <c r="AE2591" s="185"/>
    </row>
    <row r="2592" spans="20:31" x14ac:dyDescent="0.25">
      <c r="T2592" s="81"/>
      <c r="W2592" s="185"/>
      <c r="AE2592" s="185"/>
    </row>
    <row r="2593" spans="20:31" x14ac:dyDescent="0.25">
      <c r="T2593" s="81"/>
      <c r="W2593" s="185"/>
      <c r="AE2593" s="185"/>
    </row>
    <row r="2594" spans="20:31" x14ac:dyDescent="0.25">
      <c r="T2594" s="81"/>
      <c r="W2594" s="185"/>
      <c r="AE2594" s="185"/>
    </row>
    <row r="2595" spans="20:31" x14ac:dyDescent="0.25">
      <c r="T2595" s="81"/>
      <c r="W2595" s="185"/>
      <c r="AE2595" s="185"/>
    </row>
    <row r="2596" spans="20:31" x14ac:dyDescent="0.25">
      <c r="T2596" s="81"/>
      <c r="W2596" s="185"/>
      <c r="AE2596" s="185"/>
    </row>
    <row r="2597" spans="20:31" x14ac:dyDescent="0.25">
      <c r="T2597" s="81"/>
      <c r="W2597" s="185"/>
      <c r="AE2597" s="185"/>
    </row>
    <row r="2598" spans="20:31" x14ac:dyDescent="0.25">
      <c r="T2598" s="81"/>
      <c r="W2598" s="185"/>
      <c r="AE2598" s="185"/>
    </row>
    <row r="2599" spans="20:31" x14ac:dyDescent="0.25">
      <c r="T2599" s="81"/>
      <c r="W2599" s="185"/>
      <c r="AE2599" s="185"/>
    </row>
    <row r="2600" spans="20:31" x14ac:dyDescent="0.25">
      <c r="T2600" s="81"/>
      <c r="W2600" s="185"/>
      <c r="AE2600" s="185"/>
    </row>
    <row r="2601" spans="20:31" x14ac:dyDescent="0.25">
      <c r="T2601" s="81"/>
      <c r="W2601" s="185"/>
      <c r="AE2601" s="185"/>
    </row>
    <row r="2602" spans="20:31" x14ac:dyDescent="0.25">
      <c r="T2602" s="81"/>
      <c r="W2602" s="185"/>
      <c r="AE2602" s="185"/>
    </row>
    <row r="2603" spans="20:31" x14ac:dyDescent="0.25">
      <c r="T2603" s="81"/>
      <c r="W2603" s="185"/>
      <c r="AE2603" s="185"/>
    </row>
    <row r="2604" spans="20:31" x14ac:dyDescent="0.25">
      <c r="T2604" s="81"/>
      <c r="W2604" s="185"/>
      <c r="AE2604" s="185"/>
    </row>
    <row r="2605" spans="20:31" x14ac:dyDescent="0.25">
      <c r="T2605" s="81"/>
      <c r="W2605" s="185"/>
      <c r="AE2605" s="185"/>
    </row>
    <row r="2606" spans="20:31" x14ac:dyDescent="0.25">
      <c r="T2606" s="81"/>
      <c r="W2606" s="185"/>
      <c r="AE2606" s="185"/>
    </row>
    <row r="2607" spans="20:31" x14ac:dyDescent="0.25">
      <c r="T2607" s="81"/>
      <c r="W2607" s="185"/>
      <c r="AE2607" s="185"/>
    </row>
    <row r="2608" spans="20:31" x14ac:dyDescent="0.25">
      <c r="T2608" s="81"/>
      <c r="W2608" s="185"/>
      <c r="AE2608" s="185"/>
    </row>
    <row r="2609" spans="20:31" x14ac:dyDescent="0.25">
      <c r="T2609" s="81"/>
      <c r="W2609" s="185"/>
      <c r="AE2609" s="185"/>
    </row>
    <row r="2610" spans="20:31" x14ac:dyDescent="0.25">
      <c r="T2610" s="81"/>
      <c r="W2610" s="185"/>
      <c r="AE2610" s="185"/>
    </row>
    <row r="2611" spans="20:31" x14ac:dyDescent="0.25">
      <c r="T2611" s="81"/>
      <c r="W2611" s="185"/>
      <c r="AE2611" s="185"/>
    </row>
    <row r="2612" spans="20:31" x14ac:dyDescent="0.25">
      <c r="T2612" s="81"/>
      <c r="W2612" s="185"/>
      <c r="AE2612" s="185"/>
    </row>
    <row r="2613" spans="20:31" x14ac:dyDescent="0.25">
      <c r="T2613" s="81"/>
      <c r="W2613" s="185"/>
      <c r="AE2613" s="185"/>
    </row>
    <row r="2614" spans="20:31" x14ac:dyDescent="0.25">
      <c r="T2614" s="81"/>
      <c r="W2614" s="185"/>
      <c r="AE2614" s="185"/>
    </row>
    <row r="2615" spans="20:31" x14ac:dyDescent="0.25">
      <c r="T2615" s="81"/>
      <c r="W2615" s="185"/>
      <c r="AE2615" s="185"/>
    </row>
    <row r="2616" spans="20:31" x14ac:dyDescent="0.25">
      <c r="T2616" s="81"/>
      <c r="W2616" s="185"/>
      <c r="AE2616" s="185"/>
    </row>
    <row r="2617" spans="20:31" x14ac:dyDescent="0.25">
      <c r="T2617" s="81"/>
      <c r="W2617" s="185"/>
      <c r="AE2617" s="185"/>
    </row>
    <row r="2618" spans="20:31" x14ac:dyDescent="0.25">
      <c r="T2618" s="81"/>
      <c r="W2618" s="185"/>
      <c r="AE2618" s="185"/>
    </row>
    <row r="2619" spans="20:31" x14ac:dyDescent="0.25">
      <c r="T2619" s="81"/>
      <c r="W2619" s="185"/>
      <c r="AE2619" s="185"/>
    </row>
    <row r="2620" spans="20:31" x14ac:dyDescent="0.25">
      <c r="T2620" s="81"/>
      <c r="W2620" s="185"/>
      <c r="AE2620" s="185"/>
    </row>
    <row r="2621" spans="20:31" x14ac:dyDescent="0.25">
      <c r="T2621" s="81"/>
      <c r="W2621" s="185"/>
      <c r="AE2621" s="185"/>
    </row>
    <row r="2622" spans="20:31" x14ac:dyDescent="0.25">
      <c r="T2622" s="81"/>
      <c r="W2622" s="185"/>
      <c r="AE2622" s="185"/>
    </row>
    <row r="2623" spans="20:31" x14ac:dyDescent="0.25">
      <c r="T2623" s="81"/>
      <c r="W2623" s="185"/>
      <c r="AE2623" s="185"/>
    </row>
    <row r="2624" spans="20:31" x14ac:dyDescent="0.25">
      <c r="T2624" s="81"/>
      <c r="W2624" s="185"/>
      <c r="AE2624" s="185"/>
    </row>
    <row r="2625" spans="20:31" x14ac:dyDescent="0.25">
      <c r="T2625" s="81"/>
      <c r="W2625" s="185"/>
      <c r="AE2625" s="185"/>
    </row>
    <row r="2626" spans="20:31" x14ac:dyDescent="0.25">
      <c r="T2626" s="81"/>
      <c r="W2626" s="185"/>
      <c r="AE2626" s="185"/>
    </row>
    <row r="2627" spans="20:31" x14ac:dyDescent="0.25">
      <c r="T2627" s="81"/>
      <c r="W2627" s="185"/>
      <c r="AE2627" s="185"/>
    </row>
    <row r="2628" spans="20:31" x14ac:dyDescent="0.25">
      <c r="T2628" s="81"/>
      <c r="W2628" s="185"/>
      <c r="AE2628" s="185"/>
    </row>
    <row r="2629" spans="20:31" x14ac:dyDescent="0.25">
      <c r="T2629" s="81"/>
      <c r="W2629" s="185"/>
      <c r="AE2629" s="185"/>
    </row>
    <row r="2630" spans="20:31" x14ac:dyDescent="0.25">
      <c r="T2630" s="81"/>
      <c r="W2630" s="185"/>
      <c r="AE2630" s="185"/>
    </row>
    <row r="2631" spans="20:31" x14ac:dyDescent="0.25">
      <c r="T2631" s="81"/>
      <c r="W2631" s="185"/>
      <c r="AE2631" s="185"/>
    </row>
    <row r="2632" spans="20:31" x14ac:dyDescent="0.25">
      <c r="T2632" s="81"/>
      <c r="W2632" s="185"/>
      <c r="AE2632" s="185"/>
    </row>
    <row r="2633" spans="20:31" x14ac:dyDescent="0.25">
      <c r="T2633" s="81"/>
      <c r="W2633" s="185"/>
      <c r="AE2633" s="185"/>
    </row>
    <row r="2634" spans="20:31" x14ac:dyDescent="0.25">
      <c r="T2634" s="81"/>
      <c r="W2634" s="185"/>
      <c r="AE2634" s="185"/>
    </row>
    <row r="2635" spans="20:31" x14ac:dyDescent="0.25">
      <c r="T2635" s="81"/>
      <c r="W2635" s="185"/>
      <c r="AE2635" s="185"/>
    </row>
    <row r="2636" spans="20:31" x14ac:dyDescent="0.25">
      <c r="T2636" s="81"/>
      <c r="W2636" s="185"/>
      <c r="AE2636" s="185"/>
    </row>
    <row r="2637" spans="20:31" x14ac:dyDescent="0.25">
      <c r="T2637" s="81"/>
      <c r="W2637" s="185"/>
      <c r="AE2637" s="185"/>
    </row>
    <row r="2638" spans="20:31" x14ac:dyDescent="0.25">
      <c r="T2638" s="81"/>
      <c r="W2638" s="185"/>
      <c r="AE2638" s="185"/>
    </row>
    <row r="2639" spans="20:31" x14ac:dyDescent="0.25">
      <c r="T2639" s="81"/>
      <c r="W2639" s="185"/>
      <c r="AE2639" s="185"/>
    </row>
    <row r="2640" spans="20:31" x14ac:dyDescent="0.25">
      <c r="T2640" s="81"/>
      <c r="W2640" s="185"/>
      <c r="AE2640" s="185"/>
    </row>
    <row r="2641" spans="20:31" x14ac:dyDescent="0.25">
      <c r="T2641" s="81"/>
      <c r="W2641" s="185"/>
      <c r="AE2641" s="185"/>
    </row>
    <row r="2642" spans="20:31" x14ac:dyDescent="0.25">
      <c r="T2642" s="81"/>
      <c r="W2642" s="185"/>
      <c r="AE2642" s="185"/>
    </row>
    <row r="2643" spans="20:31" x14ac:dyDescent="0.25">
      <c r="T2643" s="81"/>
      <c r="W2643" s="185"/>
      <c r="AE2643" s="185"/>
    </row>
    <row r="2644" spans="20:31" x14ac:dyDescent="0.25">
      <c r="T2644" s="81"/>
      <c r="W2644" s="185"/>
      <c r="AE2644" s="185"/>
    </row>
    <row r="2645" spans="20:31" x14ac:dyDescent="0.25">
      <c r="T2645" s="81"/>
      <c r="W2645" s="185"/>
      <c r="AE2645" s="185"/>
    </row>
    <row r="2646" spans="20:31" x14ac:dyDescent="0.25">
      <c r="T2646" s="81"/>
      <c r="W2646" s="185"/>
      <c r="AE2646" s="185"/>
    </row>
    <row r="2647" spans="20:31" x14ac:dyDescent="0.25">
      <c r="T2647" s="81"/>
      <c r="W2647" s="185"/>
      <c r="AE2647" s="185"/>
    </row>
    <row r="2648" spans="20:31" x14ac:dyDescent="0.25">
      <c r="T2648" s="81"/>
      <c r="W2648" s="185"/>
      <c r="AE2648" s="185"/>
    </row>
    <row r="2649" spans="20:31" x14ac:dyDescent="0.25">
      <c r="T2649" s="81"/>
      <c r="W2649" s="185"/>
      <c r="AE2649" s="185"/>
    </row>
    <row r="2650" spans="20:31" x14ac:dyDescent="0.25">
      <c r="T2650" s="81"/>
      <c r="W2650" s="185"/>
      <c r="AE2650" s="185"/>
    </row>
    <row r="2651" spans="20:31" x14ac:dyDescent="0.25">
      <c r="T2651" s="81"/>
      <c r="W2651" s="185"/>
      <c r="AE2651" s="185"/>
    </row>
    <row r="2652" spans="20:31" x14ac:dyDescent="0.25">
      <c r="T2652" s="81"/>
      <c r="W2652" s="185"/>
      <c r="AE2652" s="185"/>
    </row>
    <row r="2653" spans="20:31" x14ac:dyDescent="0.25">
      <c r="T2653" s="81"/>
      <c r="W2653" s="185"/>
      <c r="AE2653" s="185"/>
    </row>
    <row r="2654" spans="20:31" x14ac:dyDescent="0.25">
      <c r="T2654" s="81"/>
      <c r="W2654" s="185"/>
      <c r="AE2654" s="185"/>
    </row>
    <row r="2655" spans="20:31" x14ac:dyDescent="0.25">
      <c r="T2655" s="81"/>
      <c r="W2655" s="185"/>
      <c r="AE2655" s="185"/>
    </row>
    <row r="2656" spans="20:31" x14ac:dyDescent="0.25">
      <c r="T2656" s="81"/>
      <c r="W2656" s="185"/>
      <c r="AE2656" s="185"/>
    </row>
    <row r="2657" spans="20:31" x14ac:dyDescent="0.25">
      <c r="T2657" s="81"/>
      <c r="W2657" s="185"/>
      <c r="AE2657" s="185"/>
    </row>
    <row r="2658" spans="20:31" x14ac:dyDescent="0.25">
      <c r="T2658" s="81"/>
      <c r="W2658" s="185"/>
      <c r="AE2658" s="185"/>
    </row>
    <row r="2659" spans="20:31" x14ac:dyDescent="0.25">
      <c r="T2659" s="81"/>
      <c r="W2659" s="185"/>
      <c r="AE2659" s="185"/>
    </row>
    <row r="2660" spans="20:31" x14ac:dyDescent="0.25">
      <c r="T2660" s="81"/>
      <c r="W2660" s="185"/>
      <c r="AE2660" s="185"/>
    </row>
    <row r="2661" spans="20:31" x14ac:dyDescent="0.25">
      <c r="T2661" s="81"/>
      <c r="W2661" s="185"/>
      <c r="AE2661" s="185"/>
    </row>
    <row r="2662" spans="20:31" x14ac:dyDescent="0.25">
      <c r="T2662" s="81"/>
      <c r="W2662" s="185"/>
      <c r="AE2662" s="185"/>
    </row>
    <row r="2663" spans="20:31" x14ac:dyDescent="0.25">
      <c r="T2663" s="81"/>
      <c r="W2663" s="185"/>
      <c r="AE2663" s="185"/>
    </row>
    <row r="2664" spans="20:31" x14ac:dyDescent="0.25">
      <c r="T2664" s="81"/>
      <c r="W2664" s="185"/>
      <c r="AE2664" s="185"/>
    </row>
    <row r="2665" spans="20:31" x14ac:dyDescent="0.25">
      <c r="T2665" s="81"/>
      <c r="W2665" s="185"/>
      <c r="AE2665" s="185"/>
    </row>
    <row r="2666" spans="20:31" x14ac:dyDescent="0.25">
      <c r="T2666" s="81"/>
      <c r="W2666" s="185"/>
      <c r="AE2666" s="185"/>
    </row>
    <row r="2667" spans="20:31" x14ac:dyDescent="0.25">
      <c r="T2667" s="81"/>
      <c r="W2667" s="185"/>
      <c r="AE2667" s="185"/>
    </row>
    <row r="2668" spans="20:31" x14ac:dyDescent="0.25">
      <c r="T2668" s="81"/>
      <c r="W2668" s="185"/>
      <c r="AE2668" s="185"/>
    </row>
    <row r="2669" spans="20:31" x14ac:dyDescent="0.25">
      <c r="T2669" s="81"/>
      <c r="W2669" s="185"/>
      <c r="AE2669" s="185"/>
    </row>
    <row r="2670" spans="20:31" x14ac:dyDescent="0.25">
      <c r="T2670" s="81"/>
      <c r="W2670" s="185"/>
      <c r="AE2670" s="185"/>
    </row>
    <row r="2671" spans="20:31" x14ac:dyDescent="0.25">
      <c r="T2671" s="81"/>
      <c r="W2671" s="185"/>
      <c r="AE2671" s="185"/>
    </row>
    <row r="2672" spans="20:31" x14ac:dyDescent="0.25">
      <c r="T2672" s="81"/>
      <c r="W2672" s="185"/>
      <c r="AE2672" s="185"/>
    </row>
    <row r="2673" spans="20:31" x14ac:dyDescent="0.25">
      <c r="T2673" s="81"/>
      <c r="W2673" s="185"/>
      <c r="AE2673" s="185"/>
    </row>
    <row r="2674" spans="20:31" x14ac:dyDescent="0.25">
      <c r="T2674" s="81"/>
      <c r="W2674" s="185"/>
      <c r="AE2674" s="185"/>
    </row>
    <row r="2675" spans="20:31" x14ac:dyDescent="0.25">
      <c r="T2675" s="81"/>
      <c r="W2675" s="185"/>
      <c r="AE2675" s="185"/>
    </row>
    <row r="2676" spans="20:31" x14ac:dyDescent="0.25">
      <c r="T2676" s="81"/>
      <c r="W2676" s="185"/>
      <c r="AE2676" s="185"/>
    </row>
    <row r="2677" spans="20:31" x14ac:dyDescent="0.25">
      <c r="T2677" s="81"/>
      <c r="W2677" s="185"/>
      <c r="AE2677" s="185"/>
    </row>
    <row r="2678" spans="20:31" x14ac:dyDescent="0.25">
      <c r="T2678" s="81"/>
      <c r="W2678" s="185"/>
      <c r="AE2678" s="185"/>
    </row>
    <row r="2679" spans="20:31" x14ac:dyDescent="0.25">
      <c r="T2679" s="81"/>
      <c r="W2679" s="185"/>
      <c r="AE2679" s="185"/>
    </row>
    <row r="2680" spans="20:31" x14ac:dyDescent="0.25">
      <c r="T2680" s="81"/>
      <c r="W2680" s="185"/>
      <c r="AE2680" s="185"/>
    </row>
    <row r="2681" spans="20:31" x14ac:dyDescent="0.25">
      <c r="T2681" s="81"/>
      <c r="W2681" s="185"/>
      <c r="AE2681" s="185"/>
    </row>
    <row r="2682" spans="20:31" x14ac:dyDescent="0.25">
      <c r="T2682" s="81"/>
      <c r="W2682" s="185"/>
      <c r="AE2682" s="185"/>
    </row>
    <row r="2683" spans="20:31" x14ac:dyDescent="0.25">
      <c r="T2683" s="81"/>
      <c r="W2683" s="185"/>
      <c r="AE2683" s="185"/>
    </row>
    <row r="2684" spans="20:31" x14ac:dyDescent="0.25">
      <c r="T2684" s="81"/>
      <c r="W2684" s="185"/>
      <c r="AE2684" s="185"/>
    </row>
    <row r="2685" spans="20:31" x14ac:dyDescent="0.25">
      <c r="T2685" s="81"/>
      <c r="W2685" s="185"/>
      <c r="AE2685" s="185"/>
    </row>
    <row r="2686" spans="20:31" x14ac:dyDescent="0.25">
      <c r="T2686" s="81"/>
      <c r="W2686" s="185"/>
      <c r="AE2686" s="185"/>
    </row>
    <row r="2687" spans="20:31" x14ac:dyDescent="0.25">
      <c r="T2687" s="81"/>
      <c r="W2687" s="185"/>
      <c r="AE2687" s="185"/>
    </row>
    <row r="2688" spans="20:31" x14ac:dyDescent="0.25">
      <c r="T2688" s="81"/>
      <c r="W2688" s="185"/>
      <c r="AE2688" s="185"/>
    </row>
    <row r="2689" spans="20:31" x14ac:dyDescent="0.25">
      <c r="T2689" s="81"/>
      <c r="W2689" s="185"/>
      <c r="AE2689" s="185"/>
    </row>
    <row r="2690" spans="20:31" x14ac:dyDescent="0.25">
      <c r="T2690" s="81"/>
      <c r="W2690" s="185"/>
      <c r="AE2690" s="185"/>
    </row>
    <row r="2691" spans="20:31" x14ac:dyDescent="0.25">
      <c r="T2691" s="81"/>
      <c r="W2691" s="185"/>
      <c r="AE2691" s="185"/>
    </row>
    <row r="2692" spans="20:31" x14ac:dyDescent="0.25">
      <c r="T2692" s="81"/>
      <c r="W2692" s="185"/>
      <c r="AE2692" s="185"/>
    </row>
    <row r="2693" spans="20:31" x14ac:dyDescent="0.25">
      <c r="T2693" s="81"/>
      <c r="W2693" s="185"/>
      <c r="AE2693" s="185"/>
    </row>
    <row r="2694" spans="20:31" x14ac:dyDescent="0.25">
      <c r="T2694" s="81"/>
      <c r="W2694" s="185"/>
      <c r="AE2694" s="185"/>
    </row>
    <row r="2695" spans="20:31" x14ac:dyDescent="0.25">
      <c r="T2695" s="81"/>
      <c r="W2695" s="185"/>
      <c r="AE2695" s="185"/>
    </row>
    <row r="2696" spans="20:31" x14ac:dyDescent="0.25">
      <c r="T2696" s="81"/>
      <c r="W2696" s="185"/>
      <c r="AE2696" s="185"/>
    </row>
    <row r="2697" spans="20:31" x14ac:dyDescent="0.25">
      <c r="T2697" s="81"/>
      <c r="W2697" s="185"/>
      <c r="AE2697" s="185"/>
    </row>
    <row r="2698" spans="20:31" x14ac:dyDescent="0.25">
      <c r="T2698" s="81"/>
      <c r="W2698" s="185"/>
      <c r="AE2698" s="185"/>
    </row>
    <row r="2699" spans="20:31" x14ac:dyDescent="0.25">
      <c r="T2699" s="81"/>
      <c r="W2699" s="185"/>
      <c r="AE2699" s="185"/>
    </row>
    <row r="2700" spans="20:31" x14ac:dyDescent="0.25">
      <c r="T2700" s="81"/>
      <c r="W2700" s="185"/>
      <c r="AE2700" s="185"/>
    </row>
    <row r="2701" spans="20:31" x14ac:dyDescent="0.25">
      <c r="T2701" s="81"/>
      <c r="W2701" s="185"/>
      <c r="AE2701" s="185"/>
    </row>
    <row r="2702" spans="20:31" x14ac:dyDescent="0.25">
      <c r="T2702" s="81"/>
      <c r="W2702" s="185"/>
      <c r="AE2702" s="185"/>
    </row>
    <row r="2703" spans="20:31" x14ac:dyDescent="0.25">
      <c r="T2703" s="81"/>
      <c r="W2703" s="185"/>
      <c r="AE2703" s="185"/>
    </row>
    <row r="2704" spans="20:31" x14ac:dyDescent="0.25">
      <c r="T2704" s="81"/>
      <c r="W2704" s="185"/>
      <c r="AE2704" s="185"/>
    </row>
    <row r="2705" spans="20:31" x14ac:dyDescent="0.25">
      <c r="T2705" s="81"/>
      <c r="W2705" s="185"/>
      <c r="AE2705" s="185"/>
    </row>
    <row r="2706" spans="20:31" x14ac:dyDescent="0.25">
      <c r="T2706" s="81"/>
      <c r="W2706" s="185"/>
      <c r="AE2706" s="185"/>
    </row>
    <row r="2707" spans="20:31" x14ac:dyDescent="0.25">
      <c r="T2707" s="81"/>
      <c r="W2707" s="185"/>
      <c r="AE2707" s="185"/>
    </row>
    <row r="2708" spans="20:31" x14ac:dyDescent="0.25">
      <c r="T2708" s="81"/>
      <c r="W2708" s="185"/>
      <c r="AE2708" s="185"/>
    </row>
    <row r="2709" spans="20:31" x14ac:dyDescent="0.25">
      <c r="T2709" s="81"/>
      <c r="W2709" s="185"/>
      <c r="AE2709" s="185"/>
    </row>
    <row r="2710" spans="20:31" x14ac:dyDescent="0.25">
      <c r="T2710" s="81"/>
      <c r="W2710" s="185"/>
      <c r="AE2710" s="185"/>
    </row>
    <row r="2711" spans="20:31" x14ac:dyDescent="0.25">
      <c r="T2711" s="81"/>
      <c r="W2711" s="185"/>
      <c r="AE2711" s="185"/>
    </row>
    <row r="2712" spans="20:31" x14ac:dyDescent="0.25">
      <c r="T2712" s="81"/>
      <c r="W2712" s="185"/>
      <c r="AE2712" s="185"/>
    </row>
    <row r="2713" spans="20:31" x14ac:dyDescent="0.25">
      <c r="T2713" s="81"/>
      <c r="W2713" s="185"/>
      <c r="AE2713" s="185"/>
    </row>
    <row r="2714" spans="20:31" x14ac:dyDescent="0.25">
      <c r="T2714" s="81"/>
      <c r="W2714" s="185"/>
      <c r="AE2714" s="185"/>
    </row>
    <row r="2715" spans="20:31" x14ac:dyDescent="0.25">
      <c r="T2715" s="81"/>
      <c r="W2715" s="185"/>
      <c r="AE2715" s="185"/>
    </row>
    <row r="2716" spans="20:31" x14ac:dyDescent="0.25">
      <c r="T2716" s="81"/>
      <c r="W2716" s="185"/>
      <c r="AE2716" s="185"/>
    </row>
    <row r="2717" spans="20:31" x14ac:dyDescent="0.25">
      <c r="T2717" s="81"/>
      <c r="W2717" s="185"/>
      <c r="AE2717" s="185"/>
    </row>
    <row r="2718" spans="20:31" x14ac:dyDescent="0.25">
      <c r="T2718" s="81"/>
      <c r="W2718" s="185"/>
      <c r="AE2718" s="185"/>
    </row>
    <row r="2719" spans="20:31" x14ac:dyDescent="0.25">
      <c r="T2719" s="81"/>
      <c r="W2719" s="185"/>
      <c r="AE2719" s="185"/>
    </row>
    <row r="2720" spans="20:31" x14ac:dyDescent="0.25">
      <c r="T2720" s="81"/>
      <c r="W2720" s="185"/>
      <c r="AE2720" s="185"/>
    </row>
    <row r="2721" spans="20:31" x14ac:dyDescent="0.25">
      <c r="T2721" s="81"/>
      <c r="W2721" s="185"/>
      <c r="AE2721" s="185"/>
    </row>
    <row r="2722" spans="20:31" x14ac:dyDescent="0.25">
      <c r="T2722" s="81"/>
      <c r="W2722" s="185"/>
      <c r="AE2722" s="185"/>
    </row>
    <row r="2723" spans="20:31" x14ac:dyDescent="0.25">
      <c r="T2723" s="81"/>
      <c r="W2723" s="185"/>
      <c r="AE2723" s="185"/>
    </row>
    <row r="2724" spans="20:31" x14ac:dyDescent="0.25">
      <c r="T2724" s="81"/>
      <c r="W2724" s="185"/>
      <c r="AE2724" s="185"/>
    </row>
    <row r="2725" spans="20:31" x14ac:dyDescent="0.25">
      <c r="T2725" s="81"/>
      <c r="W2725" s="185"/>
      <c r="AE2725" s="185"/>
    </row>
    <row r="2726" spans="20:31" x14ac:dyDescent="0.25">
      <c r="T2726" s="81"/>
      <c r="W2726" s="185"/>
      <c r="AE2726" s="185"/>
    </row>
    <row r="2727" spans="20:31" x14ac:dyDescent="0.25">
      <c r="T2727" s="81"/>
      <c r="W2727" s="185"/>
      <c r="AE2727" s="185"/>
    </row>
    <row r="2728" spans="20:31" x14ac:dyDescent="0.25">
      <c r="T2728" s="81"/>
      <c r="W2728" s="185"/>
      <c r="AE2728" s="185"/>
    </row>
    <row r="2729" spans="20:31" x14ac:dyDescent="0.25">
      <c r="T2729" s="81"/>
      <c r="W2729" s="185"/>
      <c r="AE2729" s="185"/>
    </row>
    <row r="2730" spans="20:31" x14ac:dyDescent="0.25">
      <c r="T2730" s="81"/>
      <c r="W2730" s="185"/>
      <c r="AE2730" s="185"/>
    </row>
    <row r="2731" spans="20:31" x14ac:dyDescent="0.25">
      <c r="T2731" s="81"/>
      <c r="W2731" s="185"/>
      <c r="AE2731" s="185"/>
    </row>
    <row r="2732" spans="20:31" x14ac:dyDescent="0.25">
      <c r="T2732" s="81"/>
      <c r="W2732" s="185"/>
      <c r="AE2732" s="185"/>
    </row>
    <row r="2733" spans="20:31" x14ac:dyDescent="0.25">
      <c r="T2733" s="81"/>
      <c r="W2733" s="185"/>
      <c r="AE2733" s="185"/>
    </row>
    <row r="2734" spans="20:31" x14ac:dyDescent="0.25">
      <c r="T2734" s="81"/>
      <c r="W2734" s="185"/>
      <c r="AE2734" s="185"/>
    </row>
    <row r="2735" spans="20:31" x14ac:dyDescent="0.25">
      <c r="T2735" s="81"/>
      <c r="W2735" s="185"/>
      <c r="AE2735" s="185"/>
    </row>
    <row r="2736" spans="20:31" x14ac:dyDescent="0.25">
      <c r="T2736" s="81"/>
      <c r="W2736" s="185"/>
      <c r="AE2736" s="185"/>
    </row>
    <row r="2737" spans="20:31" x14ac:dyDescent="0.25">
      <c r="T2737" s="81"/>
      <c r="W2737" s="185"/>
      <c r="AE2737" s="185"/>
    </row>
    <row r="2738" spans="20:31" x14ac:dyDescent="0.25">
      <c r="T2738" s="81"/>
      <c r="W2738" s="185"/>
      <c r="AE2738" s="185"/>
    </row>
    <row r="2739" spans="20:31" x14ac:dyDescent="0.25">
      <c r="T2739" s="81"/>
      <c r="W2739" s="185"/>
      <c r="AE2739" s="185"/>
    </row>
    <row r="2740" spans="20:31" x14ac:dyDescent="0.25">
      <c r="T2740" s="81"/>
      <c r="W2740" s="185"/>
      <c r="AE2740" s="185"/>
    </row>
    <row r="2741" spans="20:31" x14ac:dyDescent="0.25">
      <c r="T2741" s="81"/>
      <c r="W2741" s="185"/>
      <c r="AE2741" s="185"/>
    </row>
    <row r="2742" spans="20:31" x14ac:dyDescent="0.25">
      <c r="T2742" s="81"/>
      <c r="W2742" s="185"/>
      <c r="AE2742" s="185"/>
    </row>
    <row r="2743" spans="20:31" x14ac:dyDescent="0.25">
      <c r="T2743" s="81"/>
      <c r="W2743" s="185"/>
      <c r="AE2743" s="185"/>
    </row>
    <row r="2744" spans="20:31" x14ac:dyDescent="0.25">
      <c r="T2744" s="81"/>
      <c r="W2744" s="185"/>
      <c r="AE2744" s="185"/>
    </row>
    <row r="2745" spans="20:31" x14ac:dyDescent="0.25">
      <c r="T2745" s="81"/>
      <c r="W2745" s="185"/>
      <c r="AE2745" s="185"/>
    </row>
    <row r="2746" spans="20:31" x14ac:dyDescent="0.25">
      <c r="T2746" s="81"/>
      <c r="W2746" s="185"/>
      <c r="AE2746" s="185"/>
    </row>
    <row r="2747" spans="20:31" x14ac:dyDescent="0.25">
      <c r="T2747" s="81"/>
      <c r="W2747" s="185"/>
      <c r="AE2747" s="185"/>
    </row>
    <row r="2748" spans="20:31" x14ac:dyDescent="0.25">
      <c r="T2748" s="81"/>
      <c r="W2748" s="185"/>
      <c r="AE2748" s="185"/>
    </row>
    <row r="2749" spans="20:31" x14ac:dyDescent="0.25">
      <c r="T2749" s="81"/>
      <c r="W2749" s="185"/>
      <c r="AE2749" s="185"/>
    </row>
    <row r="2750" spans="20:31" x14ac:dyDescent="0.25">
      <c r="T2750" s="81"/>
      <c r="W2750" s="185"/>
      <c r="AE2750" s="185"/>
    </row>
    <row r="2751" spans="20:31" x14ac:dyDescent="0.25">
      <c r="T2751" s="81"/>
      <c r="W2751" s="185"/>
      <c r="AE2751" s="185"/>
    </row>
    <row r="2752" spans="20:31" x14ac:dyDescent="0.25">
      <c r="T2752" s="81"/>
      <c r="W2752" s="185"/>
      <c r="AE2752" s="185"/>
    </row>
    <row r="2753" spans="20:31" x14ac:dyDescent="0.25">
      <c r="T2753" s="81"/>
      <c r="W2753" s="185"/>
      <c r="AE2753" s="185"/>
    </row>
    <row r="2754" spans="20:31" x14ac:dyDescent="0.25">
      <c r="T2754" s="81"/>
      <c r="W2754" s="185"/>
      <c r="AE2754" s="185"/>
    </row>
    <row r="2755" spans="20:31" x14ac:dyDescent="0.25">
      <c r="T2755" s="81"/>
      <c r="W2755" s="185"/>
      <c r="AE2755" s="185"/>
    </row>
    <row r="2756" spans="20:31" x14ac:dyDescent="0.25">
      <c r="T2756" s="81"/>
      <c r="W2756" s="185"/>
      <c r="AE2756" s="185"/>
    </row>
    <row r="2757" spans="20:31" x14ac:dyDescent="0.25">
      <c r="T2757" s="81"/>
      <c r="W2757" s="185"/>
      <c r="AE2757" s="185"/>
    </row>
    <row r="2758" spans="20:31" x14ac:dyDescent="0.25">
      <c r="T2758" s="81"/>
      <c r="W2758" s="185"/>
      <c r="AE2758" s="185"/>
    </row>
    <row r="2759" spans="20:31" x14ac:dyDescent="0.25">
      <c r="T2759" s="81"/>
      <c r="W2759" s="185"/>
      <c r="AE2759" s="185"/>
    </row>
    <row r="2760" spans="20:31" x14ac:dyDescent="0.25">
      <c r="T2760" s="81"/>
      <c r="W2760" s="185"/>
      <c r="AE2760" s="185"/>
    </row>
    <row r="2761" spans="20:31" x14ac:dyDescent="0.25">
      <c r="T2761" s="81"/>
      <c r="W2761" s="185"/>
      <c r="AE2761" s="185"/>
    </row>
    <row r="2762" spans="20:31" x14ac:dyDescent="0.25">
      <c r="T2762" s="81"/>
      <c r="W2762" s="185"/>
      <c r="AE2762" s="185"/>
    </row>
    <row r="2763" spans="20:31" x14ac:dyDescent="0.25">
      <c r="T2763" s="81"/>
      <c r="W2763" s="185"/>
      <c r="AE2763" s="185"/>
    </row>
    <row r="2764" spans="20:31" x14ac:dyDescent="0.25">
      <c r="T2764" s="81"/>
      <c r="W2764" s="185"/>
      <c r="AE2764" s="185"/>
    </row>
    <row r="2765" spans="20:31" x14ac:dyDescent="0.25">
      <c r="T2765" s="81"/>
      <c r="W2765" s="185"/>
      <c r="AE2765" s="185"/>
    </row>
    <row r="2766" spans="20:31" x14ac:dyDescent="0.25">
      <c r="T2766" s="81"/>
      <c r="W2766" s="185"/>
      <c r="AE2766" s="185"/>
    </row>
    <row r="2767" spans="20:31" x14ac:dyDescent="0.25">
      <c r="T2767" s="81"/>
      <c r="W2767" s="185"/>
      <c r="AE2767" s="185"/>
    </row>
    <row r="2768" spans="20:31" x14ac:dyDescent="0.25">
      <c r="T2768" s="81"/>
      <c r="W2768" s="185"/>
      <c r="AE2768" s="185"/>
    </row>
    <row r="2769" spans="20:31" x14ac:dyDescent="0.25">
      <c r="T2769" s="81"/>
      <c r="W2769" s="185"/>
      <c r="AE2769" s="185"/>
    </row>
    <row r="2770" spans="20:31" x14ac:dyDescent="0.25">
      <c r="T2770" s="81"/>
      <c r="W2770" s="185"/>
      <c r="AE2770" s="185"/>
    </row>
    <row r="2771" spans="20:31" x14ac:dyDescent="0.25">
      <c r="T2771" s="81"/>
      <c r="W2771" s="185"/>
      <c r="AE2771" s="185"/>
    </row>
    <row r="2772" spans="20:31" x14ac:dyDescent="0.25">
      <c r="T2772" s="81"/>
      <c r="W2772" s="185"/>
      <c r="AE2772" s="185"/>
    </row>
    <row r="2773" spans="20:31" x14ac:dyDescent="0.25">
      <c r="T2773" s="81"/>
      <c r="W2773" s="185"/>
      <c r="AE2773" s="185"/>
    </row>
    <row r="2774" spans="20:31" x14ac:dyDescent="0.25">
      <c r="T2774" s="81"/>
      <c r="W2774" s="185"/>
      <c r="AE2774" s="185"/>
    </row>
    <row r="2775" spans="20:31" x14ac:dyDescent="0.25">
      <c r="T2775" s="81"/>
      <c r="W2775" s="185"/>
      <c r="AE2775" s="185"/>
    </row>
    <row r="2776" spans="20:31" x14ac:dyDescent="0.25">
      <c r="T2776" s="81"/>
      <c r="W2776" s="185"/>
      <c r="AE2776" s="185"/>
    </row>
    <row r="2777" spans="20:31" x14ac:dyDescent="0.25">
      <c r="T2777" s="81"/>
      <c r="W2777" s="185"/>
      <c r="AE2777" s="185"/>
    </row>
    <row r="2778" spans="20:31" x14ac:dyDescent="0.25">
      <c r="T2778" s="81"/>
      <c r="W2778" s="185"/>
      <c r="AE2778" s="185"/>
    </row>
    <row r="2779" spans="20:31" x14ac:dyDescent="0.25">
      <c r="T2779" s="81"/>
      <c r="W2779" s="185"/>
      <c r="AE2779" s="185"/>
    </row>
    <row r="2780" spans="20:31" x14ac:dyDescent="0.25">
      <c r="T2780" s="81"/>
      <c r="W2780" s="185"/>
      <c r="AE2780" s="185"/>
    </row>
    <row r="2781" spans="20:31" x14ac:dyDescent="0.25">
      <c r="T2781" s="81"/>
      <c r="W2781" s="185"/>
      <c r="AE2781" s="185"/>
    </row>
    <row r="2782" spans="20:31" x14ac:dyDescent="0.25">
      <c r="T2782" s="81"/>
      <c r="W2782" s="185"/>
      <c r="AE2782" s="185"/>
    </row>
    <row r="2783" spans="20:31" x14ac:dyDescent="0.25">
      <c r="T2783" s="81"/>
      <c r="W2783" s="185"/>
      <c r="AE2783" s="185"/>
    </row>
    <row r="2784" spans="20:31" x14ac:dyDescent="0.25">
      <c r="T2784" s="81"/>
      <c r="W2784" s="185"/>
      <c r="AE2784" s="185"/>
    </row>
    <row r="2785" spans="20:31" x14ac:dyDescent="0.25">
      <c r="T2785" s="81"/>
      <c r="W2785" s="185"/>
      <c r="AE2785" s="185"/>
    </row>
    <row r="2786" spans="20:31" x14ac:dyDescent="0.25">
      <c r="T2786" s="81"/>
      <c r="W2786" s="185"/>
      <c r="AE2786" s="185"/>
    </row>
    <row r="2787" spans="20:31" x14ac:dyDescent="0.25">
      <c r="T2787" s="81"/>
      <c r="W2787" s="185"/>
      <c r="AE2787" s="185"/>
    </row>
    <row r="2788" spans="20:31" x14ac:dyDescent="0.25">
      <c r="T2788" s="81"/>
      <c r="W2788" s="185"/>
      <c r="AE2788" s="185"/>
    </row>
    <row r="2789" spans="20:31" x14ac:dyDescent="0.25">
      <c r="T2789" s="81"/>
      <c r="W2789" s="185"/>
      <c r="AE2789" s="185"/>
    </row>
    <row r="2790" spans="20:31" x14ac:dyDescent="0.25">
      <c r="T2790" s="81"/>
      <c r="W2790" s="185"/>
      <c r="AE2790" s="185"/>
    </row>
    <row r="2791" spans="20:31" x14ac:dyDescent="0.25">
      <c r="T2791" s="81"/>
      <c r="W2791" s="185"/>
      <c r="AE2791" s="185"/>
    </row>
    <row r="2792" spans="20:31" x14ac:dyDescent="0.25">
      <c r="T2792" s="81"/>
      <c r="W2792" s="185"/>
      <c r="AE2792" s="185"/>
    </row>
    <row r="2793" spans="20:31" x14ac:dyDescent="0.25">
      <c r="T2793" s="81"/>
      <c r="W2793" s="185"/>
      <c r="AE2793" s="185"/>
    </row>
    <row r="2794" spans="20:31" x14ac:dyDescent="0.25">
      <c r="T2794" s="81"/>
      <c r="W2794" s="185"/>
      <c r="AE2794" s="185"/>
    </row>
    <row r="2795" spans="20:31" x14ac:dyDescent="0.25">
      <c r="T2795" s="81"/>
      <c r="W2795" s="185"/>
      <c r="AE2795" s="185"/>
    </row>
    <row r="2796" spans="20:31" x14ac:dyDescent="0.25">
      <c r="T2796" s="81"/>
      <c r="W2796" s="185"/>
      <c r="AE2796" s="185"/>
    </row>
    <row r="2797" spans="20:31" x14ac:dyDescent="0.25">
      <c r="T2797" s="81"/>
      <c r="W2797" s="185"/>
      <c r="AE2797" s="185"/>
    </row>
    <row r="2798" spans="20:31" x14ac:dyDescent="0.25">
      <c r="T2798" s="81"/>
      <c r="W2798" s="185"/>
      <c r="AE2798" s="185"/>
    </row>
    <row r="2799" spans="20:31" x14ac:dyDescent="0.25">
      <c r="T2799" s="81"/>
      <c r="W2799" s="185"/>
      <c r="AE2799" s="185"/>
    </row>
    <row r="2800" spans="20:31" x14ac:dyDescent="0.25">
      <c r="T2800" s="81"/>
      <c r="W2800" s="185"/>
      <c r="AE2800" s="185"/>
    </row>
    <row r="2801" spans="20:31" x14ac:dyDescent="0.25">
      <c r="T2801" s="81"/>
      <c r="W2801" s="185"/>
      <c r="AE2801" s="185"/>
    </row>
    <row r="2802" spans="20:31" x14ac:dyDescent="0.25">
      <c r="T2802" s="81"/>
      <c r="W2802" s="185"/>
      <c r="AE2802" s="185"/>
    </row>
    <row r="2803" spans="20:31" x14ac:dyDescent="0.25">
      <c r="T2803" s="81"/>
      <c r="W2803" s="185"/>
      <c r="AE2803" s="185"/>
    </row>
    <row r="2804" spans="20:31" x14ac:dyDescent="0.25">
      <c r="T2804" s="81"/>
      <c r="W2804" s="185"/>
      <c r="AE2804" s="185"/>
    </row>
    <row r="2805" spans="20:31" x14ac:dyDescent="0.25">
      <c r="T2805" s="81"/>
      <c r="W2805" s="185"/>
      <c r="AE2805" s="185"/>
    </row>
    <row r="2806" spans="20:31" x14ac:dyDescent="0.25">
      <c r="T2806" s="81"/>
      <c r="W2806" s="185"/>
      <c r="AE2806" s="185"/>
    </row>
    <row r="2807" spans="20:31" x14ac:dyDescent="0.25">
      <c r="T2807" s="81"/>
      <c r="W2807" s="185"/>
      <c r="AE2807" s="185"/>
    </row>
    <row r="2808" spans="20:31" x14ac:dyDescent="0.25">
      <c r="T2808" s="81"/>
      <c r="W2808" s="185"/>
      <c r="AE2808" s="185"/>
    </row>
    <row r="2809" spans="20:31" x14ac:dyDescent="0.25">
      <c r="T2809" s="81"/>
      <c r="W2809" s="185"/>
      <c r="AE2809" s="185"/>
    </row>
    <row r="2810" spans="20:31" x14ac:dyDescent="0.25">
      <c r="T2810" s="81"/>
      <c r="W2810" s="185"/>
      <c r="AE2810" s="185"/>
    </row>
    <row r="2811" spans="20:31" x14ac:dyDescent="0.25">
      <c r="T2811" s="81"/>
      <c r="W2811" s="185"/>
      <c r="AE2811" s="185"/>
    </row>
    <row r="2812" spans="20:31" x14ac:dyDescent="0.25">
      <c r="T2812" s="81"/>
      <c r="W2812" s="185"/>
      <c r="AE2812" s="185"/>
    </row>
    <row r="2813" spans="20:31" x14ac:dyDescent="0.25">
      <c r="T2813" s="81"/>
      <c r="W2813" s="185"/>
      <c r="AE2813" s="185"/>
    </row>
    <row r="2814" spans="20:31" x14ac:dyDescent="0.25">
      <c r="T2814" s="81"/>
      <c r="W2814" s="185"/>
      <c r="AE2814" s="185"/>
    </row>
    <row r="2815" spans="20:31" x14ac:dyDescent="0.25">
      <c r="T2815" s="81"/>
      <c r="W2815" s="185"/>
      <c r="AE2815" s="185"/>
    </row>
    <row r="2816" spans="20:31" x14ac:dyDescent="0.25">
      <c r="T2816" s="81"/>
      <c r="W2816" s="185"/>
      <c r="AE2816" s="185"/>
    </row>
    <row r="2817" spans="20:31" x14ac:dyDescent="0.25">
      <c r="T2817" s="81"/>
      <c r="W2817" s="185"/>
      <c r="AE2817" s="185"/>
    </row>
    <row r="2818" spans="20:31" x14ac:dyDescent="0.25">
      <c r="T2818" s="81"/>
      <c r="W2818" s="185"/>
      <c r="AE2818" s="185"/>
    </row>
    <row r="2819" spans="20:31" x14ac:dyDescent="0.25">
      <c r="T2819" s="81"/>
      <c r="W2819" s="185"/>
      <c r="AE2819" s="185"/>
    </row>
    <row r="2820" spans="20:31" x14ac:dyDescent="0.25">
      <c r="T2820" s="81"/>
      <c r="W2820" s="185"/>
      <c r="AE2820" s="185"/>
    </row>
    <row r="2821" spans="20:31" x14ac:dyDescent="0.25">
      <c r="T2821" s="81"/>
      <c r="W2821" s="185"/>
      <c r="AE2821" s="185"/>
    </row>
    <row r="2822" spans="20:31" x14ac:dyDescent="0.25">
      <c r="T2822" s="81"/>
      <c r="W2822" s="185"/>
      <c r="AE2822" s="185"/>
    </row>
    <row r="2823" spans="20:31" x14ac:dyDescent="0.25">
      <c r="T2823" s="81"/>
      <c r="W2823" s="185"/>
      <c r="AE2823" s="185"/>
    </row>
    <row r="2824" spans="20:31" x14ac:dyDescent="0.25">
      <c r="T2824" s="81"/>
      <c r="W2824" s="185"/>
      <c r="AE2824" s="185"/>
    </row>
    <row r="2825" spans="20:31" x14ac:dyDescent="0.25">
      <c r="T2825" s="81"/>
      <c r="W2825" s="185"/>
      <c r="AE2825" s="185"/>
    </row>
    <row r="2826" spans="20:31" x14ac:dyDescent="0.25">
      <c r="T2826" s="81"/>
      <c r="W2826" s="185"/>
      <c r="AE2826" s="185"/>
    </row>
    <row r="2827" spans="20:31" x14ac:dyDescent="0.25">
      <c r="T2827" s="81"/>
      <c r="W2827" s="185"/>
      <c r="AE2827" s="185"/>
    </row>
    <row r="2828" spans="20:31" x14ac:dyDescent="0.25">
      <c r="T2828" s="81"/>
      <c r="W2828" s="185"/>
      <c r="AE2828" s="185"/>
    </row>
    <row r="2829" spans="20:31" x14ac:dyDescent="0.25">
      <c r="T2829" s="81"/>
      <c r="W2829" s="185"/>
      <c r="AE2829" s="185"/>
    </row>
    <row r="2830" spans="20:31" x14ac:dyDescent="0.25">
      <c r="T2830" s="81"/>
      <c r="W2830" s="185"/>
      <c r="AE2830" s="185"/>
    </row>
    <row r="2831" spans="20:31" x14ac:dyDescent="0.25">
      <c r="T2831" s="81"/>
      <c r="W2831" s="185"/>
      <c r="AE2831" s="185"/>
    </row>
    <row r="2832" spans="20:31" x14ac:dyDescent="0.25">
      <c r="T2832" s="81"/>
      <c r="W2832" s="185"/>
      <c r="AE2832" s="185"/>
    </row>
    <row r="2833" spans="20:31" x14ac:dyDescent="0.25">
      <c r="T2833" s="81"/>
      <c r="W2833" s="185"/>
      <c r="AE2833" s="185"/>
    </row>
    <row r="2834" spans="20:31" x14ac:dyDescent="0.25">
      <c r="T2834" s="81"/>
      <c r="W2834" s="185"/>
      <c r="AE2834" s="185"/>
    </row>
    <row r="2835" spans="20:31" x14ac:dyDescent="0.25">
      <c r="T2835" s="81"/>
      <c r="W2835" s="185"/>
      <c r="AE2835" s="185"/>
    </row>
    <row r="2836" spans="20:31" x14ac:dyDescent="0.25">
      <c r="T2836" s="81"/>
      <c r="W2836" s="185"/>
      <c r="AE2836" s="185"/>
    </row>
    <row r="2837" spans="20:31" x14ac:dyDescent="0.25">
      <c r="T2837" s="81"/>
      <c r="W2837" s="185"/>
      <c r="AE2837" s="185"/>
    </row>
    <row r="2838" spans="20:31" x14ac:dyDescent="0.25">
      <c r="T2838" s="81"/>
      <c r="W2838" s="185"/>
      <c r="AE2838" s="185"/>
    </row>
    <row r="2839" spans="20:31" x14ac:dyDescent="0.25">
      <c r="T2839" s="81"/>
      <c r="W2839" s="185"/>
      <c r="AE2839" s="185"/>
    </row>
    <row r="2840" spans="20:31" x14ac:dyDescent="0.25">
      <c r="T2840" s="81"/>
      <c r="W2840" s="185"/>
      <c r="AE2840" s="185"/>
    </row>
    <row r="2841" spans="20:31" x14ac:dyDescent="0.25">
      <c r="T2841" s="81"/>
      <c r="W2841" s="185"/>
      <c r="AE2841" s="185"/>
    </row>
    <row r="2842" spans="20:31" x14ac:dyDescent="0.25">
      <c r="T2842" s="81"/>
      <c r="W2842" s="185"/>
      <c r="AE2842" s="185"/>
    </row>
    <row r="2843" spans="20:31" x14ac:dyDescent="0.25">
      <c r="T2843" s="81"/>
      <c r="W2843" s="185"/>
      <c r="AE2843" s="185"/>
    </row>
    <row r="2844" spans="20:31" x14ac:dyDescent="0.25">
      <c r="T2844" s="81"/>
      <c r="W2844" s="185"/>
      <c r="AE2844" s="185"/>
    </row>
    <row r="2845" spans="20:31" x14ac:dyDescent="0.25">
      <c r="T2845" s="81"/>
      <c r="W2845" s="185"/>
      <c r="AE2845" s="185"/>
    </row>
    <row r="2846" spans="20:31" x14ac:dyDescent="0.25">
      <c r="T2846" s="81"/>
      <c r="W2846" s="185"/>
      <c r="AE2846" s="185"/>
    </row>
    <row r="2847" spans="20:31" x14ac:dyDescent="0.25">
      <c r="T2847" s="81"/>
      <c r="W2847" s="185"/>
      <c r="AE2847" s="185"/>
    </row>
    <row r="2848" spans="20:31" x14ac:dyDescent="0.25">
      <c r="T2848" s="81"/>
      <c r="W2848" s="185"/>
      <c r="AE2848" s="185"/>
    </row>
    <row r="2849" spans="20:31" x14ac:dyDescent="0.25">
      <c r="T2849" s="81"/>
      <c r="W2849" s="185"/>
      <c r="AE2849" s="185"/>
    </row>
    <row r="2850" spans="20:31" x14ac:dyDescent="0.25">
      <c r="T2850" s="81"/>
      <c r="W2850" s="185"/>
      <c r="AE2850" s="185"/>
    </row>
    <row r="2851" spans="20:31" x14ac:dyDescent="0.25">
      <c r="T2851" s="81"/>
      <c r="W2851" s="185"/>
      <c r="AE2851" s="185"/>
    </row>
    <row r="2852" spans="20:31" x14ac:dyDescent="0.25">
      <c r="T2852" s="81"/>
      <c r="W2852" s="185"/>
      <c r="AE2852" s="185"/>
    </row>
    <row r="2853" spans="20:31" x14ac:dyDescent="0.25">
      <c r="T2853" s="81"/>
      <c r="W2853" s="185"/>
      <c r="AE2853" s="185"/>
    </row>
    <row r="2854" spans="20:31" x14ac:dyDescent="0.25">
      <c r="T2854" s="81"/>
      <c r="W2854" s="185"/>
      <c r="AE2854" s="185"/>
    </row>
    <row r="2855" spans="20:31" x14ac:dyDescent="0.25">
      <c r="T2855" s="81"/>
      <c r="W2855" s="185"/>
      <c r="AE2855" s="185"/>
    </row>
    <row r="2856" spans="20:31" x14ac:dyDescent="0.25">
      <c r="T2856" s="81"/>
      <c r="W2856" s="185"/>
      <c r="AE2856" s="185"/>
    </row>
    <row r="2857" spans="20:31" x14ac:dyDescent="0.25">
      <c r="T2857" s="81"/>
      <c r="W2857" s="185"/>
      <c r="AE2857" s="185"/>
    </row>
    <row r="2858" spans="20:31" x14ac:dyDescent="0.25">
      <c r="T2858" s="81"/>
      <c r="W2858" s="185"/>
      <c r="AE2858" s="185"/>
    </row>
    <row r="2859" spans="20:31" x14ac:dyDescent="0.25">
      <c r="T2859" s="81"/>
      <c r="W2859" s="185"/>
      <c r="AE2859" s="185"/>
    </row>
    <row r="2860" spans="20:31" x14ac:dyDescent="0.25">
      <c r="T2860" s="81"/>
      <c r="W2860" s="185"/>
      <c r="AE2860" s="185"/>
    </row>
    <row r="2861" spans="20:31" x14ac:dyDescent="0.25">
      <c r="T2861" s="81"/>
      <c r="W2861" s="185"/>
      <c r="AE2861" s="185"/>
    </row>
    <row r="2862" spans="20:31" x14ac:dyDescent="0.25">
      <c r="T2862" s="81"/>
      <c r="W2862" s="185"/>
      <c r="AE2862" s="185"/>
    </row>
    <row r="2863" spans="20:31" x14ac:dyDescent="0.25">
      <c r="T2863" s="81"/>
      <c r="W2863" s="185"/>
      <c r="AE2863" s="185"/>
    </row>
    <row r="2864" spans="20:31" x14ac:dyDescent="0.25">
      <c r="T2864" s="81"/>
      <c r="W2864" s="185"/>
      <c r="AE2864" s="185"/>
    </row>
    <row r="2865" spans="20:31" x14ac:dyDescent="0.25">
      <c r="T2865" s="81"/>
      <c r="W2865" s="185"/>
      <c r="AE2865" s="185"/>
    </row>
    <row r="2866" spans="20:31" x14ac:dyDescent="0.25">
      <c r="T2866" s="81"/>
      <c r="W2866" s="185"/>
      <c r="AE2866" s="185"/>
    </row>
    <row r="2867" spans="20:31" x14ac:dyDescent="0.25">
      <c r="T2867" s="81"/>
      <c r="W2867" s="185"/>
      <c r="AE2867" s="185"/>
    </row>
    <row r="2868" spans="20:31" x14ac:dyDescent="0.25">
      <c r="T2868" s="81"/>
      <c r="W2868" s="185"/>
      <c r="AE2868" s="185"/>
    </row>
    <row r="2869" spans="20:31" x14ac:dyDescent="0.25">
      <c r="T2869" s="81"/>
      <c r="W2869" s="185"/>
      <c r="AE2869" s="185"/>
    </row>
    <row r="2870" spans="20:31" x14ac:dyDescent="0.25">
      <c r="T2870" s="81"/>
      <c r="W2870" s="185"/>
      <c r="AE2870" s="185"/>
    </row>
    <row r="2871" spans="20:31" x14ac:dyDescent="0.25">
      <c r="T2871" s="81"/>
      <c r="W2871" s="185"/>
      <c r="AE2871" s="185"/>
    </row>
    <row r="2872" spans="20:31" x14ac:dyDescent="0.25">
      <c r="T2872" s="81"/>
      <c r="W2872" s="185"/>
      <c r="AE2872" s="185"/>
    </row>
    <row r="2873" spans="20:31" x14ac:dyDescent="0.25">
      <c r="T2873" s="81"/>
      <c r="W2873" s="185"/>
      <c r="AE2873" s="185"/>
    </row>
    <row r="2874" spans="20:31" x14ac:dyDescent="0.25">
      <c r="T2874" s="81"/>
      <c r="W2874" s="185"/>
      <c r="AE2874" s="185"/>
    </row>
    <row r="2875" spans="20:31" x14ac:dyDescent="0.25">
      <c r="T2875" s="81"/>
      <c r="W2875" s="185"/>
      <c r="AE2875" s="185"/>
    </row>
    <row r="2876" spans="20:31" x14ac:dyDescent="0.25">
      <c r="T2876" s="81"/>
      <c r="W2876" s="185"/>
      <c r="AE2876" s="185"/>
    </row>
    <row r="2877" spans="20:31" x14ac:dyDescent="0.25">
      <c r="T2877" s="81"/>
      <c r="W2877" s="185"/>
      <c r="AE2877" s="185"/>
    </row>
    <row r="2878" spans="20:31" x14ac:dyDescent="0.25">
      <c r="T2878" s="81"/>
      <c r="W2878" s="185"/>
      <c r="AE2878" s="185"/>
    </row>
    <row r="2879" spans="20:31" x14ac:dyDescent="0.25">
      <c r="T2879" s="81"/>
      <c r="W2879" s="185"/>
      <c r="AE2879" s="185"/>
    </row>
    <row r="2880" spans="20:31" x14ac:dyDescent="0.25">
      <c r="T2880" s="81"/>
      <c r="W2880" s="185"/>
      <c r="AE2880" s="185"/>
    </row>
    <row r="2881" spans="20:31" x14ac:dyDescent="0.25">
      <c r="T2881" s="81"/>
      <c r="W2881" s="185"/>
      <c r="AE2881" s="185"/>
    </row>
    <row r="2882" spans="20:31" x14ac:dyDescent="0.25">
      <c r="T2882" s="81"/>
      <c r="W2882" s="185"/>
      <c r="AE2882" s="185"/>
    </row>
    <row r="2883" spans="20:31" x14ac:dyDescent="0.25">
      <c r="T2883" s="81"/>
      <c r="W2883" s="185"/>
      <c r="AE2883" s="185"/>
    </row>
    <row r="2884" spans="20:31" x14ac:dyDescent="0.25">
      <c r="T2884" s="81"/>
      <c r="W2884" s="185"/>
      <c r="AE2884" s="185"/>
    </row>
    <row r="2885" spans="20:31" x14ac:dyDescent="0.25">
      <c r="T2885" s="81"/>
      <c r="W2885" s="185"/>
      <c r="AE2885" s="185"/>
    </row>
    <row r="2886" spans="20:31" x14ac:dyDescent="0.25">
      <c r="T2886" s="81"/>
      <c r="W2886" s="185"/>
      <c r="AE2886" s="185"/>
    </row>
    <row r="2887" spans="20:31" x14ac:dyDescent="0.25">
      <c r="T2887" s="81"/>
      <c r="W2887" s="185"/>
      <c r="AE2887" s="185"/>
    </row>
    <row r="2888" spans="20:31" x14ac:dyDescent="0.25">
      <c r="T2888" s="81"/>
      <c r="W2888" s="185"/>
      <c r="AE2888" s="185"/>
    </row>
    <row r="2889" spans="20:31" x14ac:dyDescent="0.25">
      <c r="T2889" s="81"/>
      <c r="W2889" s="185"/>
      <c r="AE2889" s="185"/>
    </row>
    <row r="2890" spans="20:31" x14ac:dyDescent="0.25">
      <c r="T2890" s="81"/>
      <c r="W2890" s="185"/>
      <c r="AE2890" s="185"/>
    </row>
    <row r="2891" spans="20:31" x14ac:dyDescent="0.25">
      <c r="T2891" s="81"/>
      <c r="W2891" s="185"/>
      <c r="AE2891" s="185"/>
    </row>
    <row r="2892" spans="20:31" x14ac:dyDescent="0.25">
      <c r="T2892" s="81"/>
      <c r="W2892" s="185"/>
      <c r="AE2892" s="185"/>
    </row>
    <row r="2893" spans="20:31" x14ac:dyDescent="0.25">
      <c r="T2893" s="81"/>
      <c r="W2893" s="185"/>
      <c r="AE2893" s="185"/>
    </row>
    <row r="2894" spans="20:31" x14ac:dyDescent="0.25">
      <c r="T2894" s="81"/>
      <c r="W2894" s="185"/>
      <c r="AE2894" s="185"/>
    </row>
    <row r="2895" spans="20:31" x14ac:dyDescent="0.25">
      <c r="T2895" s="81"/>
      <c r="W2895" s="185"/>
      <c r="AE2895" s="185"/>
    </row>
    <row r="2896" spans="20:31" x14ac:dyDescent="0.25">
      <c r="T2896" s="81"/>
      <c r="W2896" s="185"/>
      <c r="AE2896" s="185"/>
    </row>
    <row r="2897" spans="20:31" x14ac:dyDescent="0.25">
      <c r="T2897" s="81"/>
      <c r="W2897" s="185"/>
      <c r="AE2897" s="185"/>
    </row>
    <row r="2898" spans="20:31" x14ac:dyDescent="0.25">
      <c r="T2898" s="81"/>
      <c r="W2898" s="185"/>
      <c r="AE2898" s="185"/>
    </row>
    <row r="2899" spans="20:31" x14ac:dyDescent="0.25">
      <c r="T2899" s="81"/>
      <c r="W2899" s="185"/>
      <c r="AE2899" s="185"/>
    </row>
    <row r="2900" spans="20:31" x14ac:dyDescent="0.25">
      <c r="T2900" s="81"/>
      <c r="W2900" s="185"/>
      <c r="AE2900" s="185"/>
    </row>
    <row r="2901" spans="20:31" x14ac:dyDescent="0.25">
      <c r="T2901" s="81"/>
      <c r="W2901" s="185"/>
      <c r="AE2901" s="185"/>
    </row>
    <row r="2902" spans="20:31" x14ac:dyDescent="0.25">
      <c r="T2902" s="81"/>
      <c r="W2902" s="185"/>
      <c r="AE2902" s="185"/>
    </row>
    <row r="2903" spans="20:31" x14ac:dyDescent="0.25">
      <c r="T2903" s="81"/>
      <c r="W2903" s="185"/>
      <c r="AE2903" s="185"/>
    </row>
    <row r="2904" spans="20:31" x14ac:dyDescent="0.25">
      <c r="T2904" s="81"/>
      <c r="W2904" s="185"/>
      <c r="AE2904" s="185"/>
    </row>
    <row r="2905" spans="20:31" x14ac:dyDescent="0.25">
      <c r="T2905" s="81"/>
      <c r="W2905" s="185"/>
      <c r="AE2905" s="185"/>
    </row>
    <row r="2906" spans="20:31" x14ac:dyDescent="0.25">
      <c r="T2906" s="81"/>
      <c r="W2906" s="185"/>
      <c r="AE2906" s="185"/>
    </row>
    <row r="2907" spans="20:31" x14ac:dyDescent="0.25">
      <c r="T2907" s="81"/>
      <c r="W2907" s="185"/>
      <c r="AE2907" s="185"/>
    </row>
    <row r="2908" spans="20:31" x14ac:dyDescent="0.25">
      <c r="T2908" s="81"/>
      <c r="W2908" s="185"/>
      <c r="AE2908" s="185"/>
    </row>
    <row r="2909" spans="20:31" x14ac:dyDescent="0.25">
      <c r="T2909" s="81"/>
      <c r="W2909" s="185"/>
      <c r="AE2909" s="185"/>
    </row>
    <row r="2910" spans="20:31" x14ac:dyDescent="0.25">
      <c r="T2910" s="81"/>
      <c r="W2910" s="185"/>
      <c r="AE2910" s="185"/>
    </row>
    <row r="2911" spans="20:31" x14ac:dyDescent="0.25">
      <c r="T2911" s="81"/>
      <c r="W2911" s="185"/>
      <c r="AE2911" s="185"/>
    </row>
    <row r="2912" spans="20:31" x14ac:dyDescent="0.25">
      <c r="T2912" s="81"/>
      <c r="W2912" s="185"/>
      <c r="AE2912" s="185"/>
    </row>
    <row r="2913" spans="20:31" x14ac:dyDescent="0.25">
      <c r="T2913" s="81"/>
      <c r="W2913" s="185"/>
      <c r="AE2913" s="185"/>
    </row>
    <row r="2914" spans="20:31" x14ac:dyDescent="0.25">
      <c r="T2914" s="81"/>
      <c r="W2914" s="185"/>
      <c r="AE2914" s="185"/>
    </row>
    <row r="2915" spans="20:31" x14ac:dyDescent="0.25">
      <c r="T2915" s="81"/>
      <c r="W2915" s="185"/>
      <c r="AE2915" s="185"/>
    </row>
    <row r="2916" spans="20:31" x14ac:dyDescent="0.25">
      <c r="T2916" s="81"/>
      <c r="W2916" s="185"/>
      <c r="AE2916" s="185"/>
    </row>
    <row r="2917" spans="20:31" x14ac:dyDescent="0.25">
      <c r="T2917" s="81"/>
      <c r="W2917" s="185"/>
      <c r="AE2917" s="185"/>
    </row>
    <row r="2918" spans="20:31" x14ac:dyDescent="0.25">
      <c r="T2918" s="81"/>
      <c r="W2918" s="185"/>
      <c r="AE2918" s="185"/>
    </row>
    <row r="2919" spans="20:31" x14ac:dyDescent="0.25">
      <c r="T2919" s="81"/>
      <c r="W2919" s="185"/>
      <c r="AE2919" s="185"/>
    </row>
    <row r="2920" spans="20:31" x14ac:dyDescent="0.25">
      <c r="T2920" s="81"/>
      <c r="W2920" s="185"/>
      <c r="AE2920" s="185"/>
    </row>
    <row r="2921" spans="20:31" x14ac:dyDescent="0.25">
      <c r="T2921" s="81"/>
      <c r="W2921" s="185"/>
      <c r="AE2921" s="185"/>
    </row>
    <row r="2922" spans="20:31" x14ac:dyDescent="0.25">
      <c r="T2922" s="81"/>
      <c r="W2922" s="185"/>
      <c r="AE2922" s="185"/>
    </row>
    <row r="2923" spans="20:31" x14ac:dyDescent="0.25">
      <c r="T2923" s="81"/>
      <c r="W2923" s="185"/>
      <c r="AE2923" s="185"/>
    </row>
    <row r="2924" spans="20:31" x14ac:dyDescent="0.25">
      <c r="T2924" s="81"/>
      <c r="W2924" s="185"/>
      <c r="AE2924" s="185"/>
    </row>
    <row r="2925" spans="20:31" x14ac:dyDescent="0.25">
      <c r="T2925" s="81"/>
      <c r="W2925" s="185"/>
      <c r="AE2925" s="185"/>
    </row>
    <row r="2926" spans="20:31" x14ac:dyDescent="0.25">
      <c r="T2926" s="81"/>
      <c r="W2926" s="185"/>
      <c r="AE2926" s="185"/>
    </row>
    <row r="2927" spans="20:31" x14ac:dyDescent="0.25">
      <c r="T2927" s="81"/>
      <c r="W2927" s="185"/>
      <c r="AE2927" s="185"/>
    </row>
    <row r="2928" spans="20:31" x14ac:dyDescent="0.25">
      <c r="T2928" s="81"/>
      <c r="W2928" s="185"/>
      <c r="AE2928" s="185"/>
    </row>
    <row r="2929" spans="20:31" x14ac:dyDescent="0.25">
      <c r="T2929" s="81"/>
      <c r="W2929" s="185"/>
      <c r="AE2929" s="185"/>
    </row>
    <row r="2930" spans="20:31" x14ac:dyDescent="0.25">
      <c r="T2930" s="81"/>
      <c r="W2930" s="185"/>
      <c r="AE2930" s="185"/>
    </row>
    <row r="2931" spans="20:31" x14ac:dyDescent="0.25">
      <c r="T2931" s="81"/>
      <c r="W2931" s="185"/>
      <c r="AE2931" s="185"/>
    </row>
    <row r="2932" spans="20:31" x14ac:dyDescent="0.25">
      <c r="T2932" s="81"/>
      <c r="W2932" s="185"/>
      <c r="AE2932" s="185"/>
    </row>
    <row r="2933" spans="20:31" x14ac:dyDescent="0.25">
      <c r="T2933" s="81"/>
      <c r="W2933" s="185"/>
      <c r="AE2933" s="185"/>
    </row>
    <row r="2934" spans="20:31" x14ac:dyDescent="0.25">
      <c r="T2934" s="81"/>
      <c r="W2934" s="185"/>
      <c r="AE2934" s="185"/>
    </row>
    <row r="2935" spans="20:31" x14ac:dyDescent="0.25">
      <c r="T2935" s="81"/>
      <c r="W2935" s="185"/>
      <c r="AE2935" s="185"/>
    </row>
    <row r="2936" spans="20:31" x14ac:dyDescent="0.25">
      <c r="T2936" s="81"/>
      <c r="W2936" s="185"/>
      <c r="AE2936" s="185"/>
    </row>
    <row r="2937" spans="20:31" x14ac:dyDescent="0.25">
      <c r="T2937" s="81"/>
      <c r="W2937" s="185"/>
      <c r="AE2937" s="185"/>
    </row>
    <row r="2938" spans="20:31" x14ac:dyDescent="0.25">
      <c r="T2938" s="81"/>
      <c r="W2938" s="185"/>
      <c r="AE2938" s="185"/>
    </row>
    <row r="2939" spans="20:31" x14ac:dyDescent="0.25">
      <c r="T2939" s="81"/>
      <c r="W2939" s="185"/>
      <c r="AE2939" s="185"/>
    </row>
    <row r="2940" spans="20:31" x14ac:dyDescent="0.25">
      <c r="T2940" s="81"/>
      <c r="W2940" s="185"/>
      <c r="AE2940" s="185"/>
    </row>
    <row r="2941" spans="20:31" x14ac:dyDescent="0.25">
      <c r="T2941" s="81"/>
      <c r="W2941" s="185"/>
      <c r="AE2941" s="185"/>
    </row>
    <row r="2942" spans="20:31" x14ac:dyDescent="0.25">
      <c r="T2942" s="81"/>
      <c r="W2942" s="185"/>
      <c r="AE2942" s="185"/>
    </row>
    <row r="2943" spans="20:31" x14ac:dyDescent="0.25">
      <c r="T2943" s="81"/>
      <c r="W2943" s="185"/>
      <c r="AE2943" s="185"/>
    </row>
    <row r="2944" spans="20:31" x14ac:dyDescent="0.25">
      <c r="T2944" s="81"/>
      <c r="W2944" s="185"/>
      <c r="AE2944" s="185"/>
    </row>
    <row r="2945" spans="20:31" x14ac:dyDescent="0.25">
      <c r="T2945" s="81"/>
      <c r="W2945" s="185"/>
      <c r="AE2945" s="185"/>
    </row>
    <row r="2946" spans="20:31" x14ac:dyDescent="0.25">
      <c r="T2946" s="81"/>
      <c r="W2946" s="185"/>
      <c r="AE2946" s="185"/>
    </row>
    <row r="2947" spans="20:31" x14ac:dyDescent="0.25">
      <c r="T2947" s="81"/>
      <c r="W2947" s="185"/>
      <c r="AE2947" s="185"/>
    </row>
    <row r="2948" spans="20:31" x14ac:dyDescent="0.25">
      <c r="T2948" s="81"/>
      <c r="W2948" s="185"/>
      <c r="AE2948" s="185"/>
    </row>
    <row r="2949" spans="20:31" x14ac:dyDescent="0.25">
      <c r="T2949" s="81"/>
      <c r="W2949" s="185"/>
      <c r="AE2949" s="185"/>
    </row>
    <row r="2950" spans="20:31" x14ac:dyDescent="0.25">
      <c r="T2950" s="81"/>
      <c r="W2950" s="185"/>
      <c r="AE2950" s="185"/>
    </row>
    <row r="2951" spans="20:31" x14ac:dyDescent="0.25">
      <c r="T2951" s="81"/>
      <c r="W2951" s="185"/>
      <c r="AE2951" s="185"/>
    </row>
    <row r="2952" spans="20:31" x14ac:dyDescent="0.25">
      <c r="T2952" s="81"/>
      <c r="W2952" s="185"/>
      <c r="AE2952" s="185"/>
    </row>
    <row r="2953" spans="20:31" x14ac:dyDescent="0.25">
      <c r="T2953" s="81"/>
      <c r="W2953" s="185"/>
      <c r="AE2953" s="185"/>
    </row>
    <row r="2954" spans="20:31" x14ac:dyDescent="0.25">
      <c r="T2954" s="81"/>
      <c r="W2954" s="185"/>
      <c r="AE2954" s="185"/>
    </row>
    <row r="2955" spans="20:31" x14ac:dyDescent="0.25">
      <c r="T2955" s="81"/>
      <c r="W2955" s="185"/>
      <c r="AE2955" s="185"/>
    </row>
    <row r="2956" spans="20:31" x14ac:dyDescent="0.25">
      <c r="T2956" s="81"/>
      <c r="W2956" s="185"/>
      <c r="AE2956" s="185"/>
    </row>
    <row r="2957" spans="20:31" x14ac:dyDescent="0.25">
      <c r="T2957" s="81"/>
      <c r="W2957" s="185"/>
      <c r="AE2957" s="185"/>
    </row>
    <row r="2958" spans="20:31" x14ac:dyDescent="0.25">
      <c r="T2958" s="81"/>
      <c r="W2958" s="185"/>
      <c r="AE2958" s="185"/>
    </row>
    <row r="2959" spans="20:31" x14ac:dyDescent="0.25">
      <c r="T2959" s="81"/>
      <c r="W2959" s="185"/>
      <c r="AE2959" s="185"/>
    </row>
    <row r="2960" spans="20:31" x14ac:dyDescent="0.25">
      <c r="T2960" s="81"/>
      <c r="W2960" s="185"/>
      <c r="AE2960" s="185"/>
    </row>
    <row r="2961" spans="20:31" x14ac:dyDescent="0.25">
      <c r="T2961" s="81"/>
      <c r="W2961" s="185"/>
      <c r="AE2961" s="185"/>
    </row>
    <row r="2962" spans="20:31" x14ac:dyDescent="0.25">
      <c r="T2962" s="81"/>
      <c r="W2962" s="185"/>
      <c r="AE2962" s="185"/>
    </row>
    <row r="2963" spans="20:31" x14ac:dyDescent="0.25">
      <c r="T2963" s="81"/>
      <c r="W2963" s="185"/>
      <c r="AE2963" s="185"/>
    </row>
    <row r="2964" spans="20:31" x14ac:dyDescent="0.25">
      <c r="T2964" s="81"/>
      <c r="W2964" s="185"/>
      <c r="AE2964" s="185"/>
    </row>
    <row r="2965" spans="20:31" x14ac:dyDescent="0.25">
      <c r="T2965" s="81"/>
      <c r="W2965" s="185"/>
      <c r="AE2965" s="185"/>
    </row>
    <row r="2966" spans="20:31" x14ac:dyDescent="0.25">
      <c r="T2966" s="81"/>
      <c r="W2966" s="185"/>
      <c r="AE2966" s="185"/>
    </row>
    <row r="2967" spans="20:31" x14ac:dyDescent="0.25">
      <c r="T2967" s="81"/>
      <c r="W2967" s="185"/>
      <c r="AE2967" s="185"/>
    </row>
    <row r="2968" spans="20:31" x14ac:dyDescent="0.25">
      <c r="T2968" s="81"/>
      <c r="W2968" s="185"/>
      <c r="AE2968" s="185"/>
    </row>
    <row r="2969" spans="20:31" x14ac:dyDescent="0.25">
      <c r="T2969" s="81"/>
      <c r="W2969" s="185"/>
      <c r="AE2969" s="185"/>
    </row>
    <row r="2970" spans="20:31" x14ac:dyDescent="0.25">
      <c r="T2970" s="81"/>
      <c r="W2970" s="185"/>
      <c r="AE2970" s="185"/>
    </row>
    <row r="2971" spans="20:31" x14ac:dyDescent="0.25">
      <c r="T2971" s="81"/>
      <c r="W2971" s="185"/>
      <c r="AE2971" s="185"/>
    </row>
    <row r="2972" spans="20:31" x14ac:dyDescent="0.25">
      <c r="T2972" s="81"/>
      <c r="W2972" s="185"/>
      <c r="AE2972" s="185"/>
    </row>
    <row r="2973" spans="20:31" x14ac:dyDescent="0.25">
      <c r="T2973" s="81"/>
      <c r="W2973" s="185"/>
      <c r="AE2973" s="185"/>
    </row>
    <row r="2974" spans="20:31" x14ac:dyDescent="0.25">
      <c r="T2974" s="81"/>
      <c r="W2974" s="185"/>
      <c r="AE2974" s="185"/>
    </row>
    <row r="2975" spans="20:31" x14ac:dyDescent="0.25">
      <c r="T2975" s="81"/>
      <c r="W2975" s="185"/>
      <c r="AE2975" s="185"/>
    </row>
    <row r="2976" spans="20:31" x14ac:dyDescent="0.25">
      <c r="T2976" s="81"/>
      <c r="W2976" s="185"/>
      <c r="AE2976" s="185"/>
    </row>
    <row r="2977" spans="20:31" x14ac:dyDescent="0.25">
      <c r="T2977" s="81"/>
      <c r="W2977" s="185"/>
      <c r="AE2977" s="185"/>
    </row>
    <row r="2978" spans="20:31" x14ac:dyDescent="0.25">
      <c r="T2978" s="81"/>
      <c r="W2978" s="185"/>
      <c r="AE2978" s="185"/>
    </row>
    <row r="2979" spans="20:31" x14ac:dyDescent="0.25">
      <c r="T2979" s="81"/>
      <c r="W2979" s="185"/>
      <c r="AE2979" s="185"/>
    </row>
    <row r="2980" spans="20:31" x14ac:dyDescent="0.25">
      <c r="T2980" s="81"/>
      <c r="W2980" s="185"/>
      <c r="AE2980" s="185"/>
    </row>
    <row r="2981" spans="20:31" x14ac:dyDescent="0.25">
      <c r="T2981" s="81"/>
      <c r="W2981" s="185"/>
      <c r="AE2981" s="185"/>
    </row>
    <row r="2982" spans="20:31" x14ac:dyDescent="0.25">
      <c r="T2982" s="81"/>
      <c r="W2982" s="185"/>
      <c r="AE2982" s="185"/>
    </row>
    <row r="2983" spans="20:31" x14ac:dyDescent="0.25">
      <c r="T2983" s="81"/>
      <c r="W2983" s="185"/>
      <c r="AE2983" s="185"/>
    </row>
    <row r="2984" spans="20:31" x14ac:dyDescent="0.25">
      <c r="T2984" s="81"/>
      <c r="W2984" s="185"/>
      <c r="AE2984" s="185"/>
    </row>
    <row r="2985" spans="20:31" x14ac:dyDescent="0.25">
      <c r="T2985" s="81"/>
      <c r="W2985" s="185"/>
      <c r="AE2985" s="185"/>
    </row>
    <row r="2986" spans="20:31" x14ac:dyDescent="0.25">
      <c r="T2986" s="81"/>
      <c r="W2986" s="185"/>
      <c r="AE2986" s="185"/>
    </row>
    <row r="2987" spans="20:31" x14ac:dyDescent="0.25">
      <c r="T2987" s="81"/>
      <c r="W2987" s="185"/>
      <c r="AE2987" s="185"/>
    </row>
    <row r="2988" spans="20:31" x14ac:dyDescent="0.25">
      <c r="T2988" s="81"/>
      <c r="W2988" s="185"/>
      <c r="AE2988" s="185"/>
    </row>
    <row r="2989" spans="20:31" x14ac:dyDescent="0.25">
      <c r="T2989" s="81"/>
      <c r="W2989" s="185"/>
      <c r="AE2989" s="185"/>
    </row>
    <row r="2990" spans="20:31" x14ac:dyDescent="0.25">
      <c r="T2990" s="81"/>
      <c r="W2990" s="185"/>
      <c r="AE2990" s="185"/>
    </row>
    <row r="2991" spans="20:31" x14ac:dyDescent="0.25">
      <c r="T2991" s="81"/>
      <c r="W2991" s="185"/>
      <c r="AE2991" s="185"/>
    </row>
    <row r="2992" spans="20:31" x14ac:dyDescent="0.25">
      <c r="T2992" s="81"/>
      <c r="W2992" s="185"/>
      <c r="AE2992" s="185"/>
    </row>
    <row r="2993" spans="20:31" x14ac:dyDescent="0.25">
      <c r="T2993" s="81"/>
      <c r="W2993" s="185"/>
      <c r="AE2993" s="185"/>
    </row>
    <row r="2994" spans="20:31" x14ac:dyDescent="0.25">
      <c r="T2994" s="81"/>
      <c r="W2994" s="185"/>
      <c r="AE2994" s="185"/>
    </row>
    <row r="2995" spans="20:31" x14ac:dyDescent="0.25">
      <c r="T2995" s="81"/>
      <c r="W2995" s="185"/>
      <c r="AE2995" s="185"/>
    </row>
    <row r="2996" spans="20:31" x14ac:dyDescent="0.25">
      <c r="T2996" s="81"/>
      <c r="W2996" s="185"/>
      <c r="AE2996" s="185"/>
    </row>
    <row r="2997" spans="20:31" x14ac:dyDescent="0.25">
      <c r="T2997" s="81"/>
      <c r="W2997" s="185"/>
      <c r="AE2997" s="185"/>
    </row>
    <row r="2998" spans="20:31" x14ac:dyDescent="0.25">
      <c r="T2998" s="81"/>
      <c r="W2998" s="185"/>
      <c r="AE2998" s="185"/>
    </row>
    <row r="2999" spans="20:31" x14ac:dyDescent="0.25">
      <c r="T2999" s="81"/>
      <c r="W2999" s="185"/>
      <c r="AE2999" s="185"/>
    </row>
    <row r="3000" spans="20:31" x14ac:dyDescent="0.25">
      <c r="T3000" s="81"/>
      <c r="W3000" s="185"/>
      <c r="AE3000" s="185"/>
    </row>
    <row r="3001" spans="20:31" x14ac:dyDescent="0.25">
      <c r="T3001" s="81"/>
      <c r="W3001" s="185"/>
      <c r="AE3001" s="185"/>
    </row>
    <row r="3002" spans="20:31" x14ac:dyDescent="0.25">
      <c r="T3002" s="81"/>
      <c r="W3002" s="185"/>
      <c r="AE3002" s="185"/>
    </row>
    <row r="3003" spans="20:31" x14ac:dyDescent="0.25">
      <c r="T3003" s="81"/>
      <c r="W3003" s="185"/>
      <c r="AE3003" s="185"/>
    </row>
    <row r="3004" spans="20:31" x14ac:dyDescent="0.25">
      <c r="T3004" s="81"/>
      <c r="W3004" s="185"/>
      <c r="AE3004" s="185"/>
    </row>
    <row r="3005" spans="20:31" x14ac:dyDescent="0.25">
      <c r="T3005" s="81"/>
      <c r="W3005" s="185"/>
      <c r="AE3005" s="185"/>
    </row>
    <row r="3006" spans="20:31" x14ac:dyDescent="0.25">
      <c r="T3006" s="81"/>
      <c r="W3006" s="185"/>
      <c r="AE3006" s="185"/>
    </row>
    <row r="3007" spans="20:31" x14ac:dyDescent="0.25">
      <c r="T3007" s="81"/>
      <c r="W3007" s="185"/>
      <c r="AE3007" s="185"/>
    </row>
    <row r="3008" spans="20:31" x14ac:dyDescent="0.25">
      <c r="T3008" s="81"/>
      <c r="W3008" s="185"/>
      <c r="AE3008" s="185"/>
    </row>
    <row r="3009" spans="20:31" x14ac:dyDescent="0.25">
      <c r="T3009" s="81"/>
      <c r="W3009" s="185"/>
      <c r="AE3009" s="185"/>
    </row>
    <row r="3010" spans="20:31" x14ac:dyDescent="0.25">
      <c r="T3010" s="81"/>
      <c r="W3010" s="185"/>
      <c r="AE3010" s="185"/>
    </row>
    <row r="3011" spans="20:31" x14ac:dyDescent="0.25">
      <c r="T3011" s="81"/>
      <c r="W3011" s="185"/>
      <c r="AE3011" s="185"/>
    </row>
    <row r="3012" spans="20:31" x14ac:dyDescent="0.25">
      <c r="T3012" s="81"/>
      <c r="W3012" s="185"/>
      <c r="AE3012" s="185"/>
    </row>
    <row r="3013" spans="20:31" x14ac:dyDescent="0.25">
      <c r="T3013" s="81"/>
      <c r="W3013" s="185"/>
      <c r="AE3013" s="185"/>
    </row>
    <row r="3014" spans="20:31" x14ac:dyDescent="0.25">
      <c r="T3014" s="81"/>
      <c r="W3014" s="185"/>
      <c r="AE3014" s="185"/>
    </row>
    <row r="3015" spans="20:31" x14ac:dyDescent="0.25">
      <c r="T3015" s="81"/>
      <c r="W3015" s="185"/>
      <c r="AE3015" s="185"/>
    </row>
    <row r="3016" spans="20:31" x14ac:dyDescent="0.25">
      <c r="T3016" s="81"/>
      <c r="W3016" s="185"/>
      <c r="AE3016" s="185"/>
    </row>
    <row r="3017" spans="20:31" x14ac:dyDescent="0.25">
      <c r="T3017" s="81"/>
      <c r="W3017" s="185"/>
      <c r="AE3017" s="185"/>
    </row>
    <row r="3018" spans="20:31" x14ac:dyDescent="0.25">
      <c r="T3018" s="81"/>
      <c r="W3018" s="185"/>
      <c r="AE3018" s="185"/>
    </row>
    <row r="3019" spans="20:31" x14ac:dyDescent="0.25">
      <c r="T3019" s="81"/>
      <c r="W3019" s="185"/>
      <c r="AE3019" s="185"/>
    </row>
    <row r="3020" spans="20:31" x14ac:dyDescent="0.25">
      <c r="T3020" s="81"/>
      <c r="W3020" s="185"/>
      <c r="AE3020" s="185"/>
    </row>
    <row r="3021" spans="20:31" x14ac:dyDescent="0.25">
      <c r="T3021" s="81"/>
      <c r="W3021" s="185"/>
      <c r="AE3021" s="185"/>
    </row>
    <row r="3022" spans="20:31" x14ac:dyDescent="0.25">
      <c r="T3022" s="81"/>
      <c r="W3022" s="185"/>
      <c r="AE3022" s="185"/>
    </row>
    <row r="3023" spans="20:31" x14ac:dyDescent="0.25">
      <c r="T3023" s="81"/>
      <c r="W3023" s="185"/>
      <c r="AE3023" s="185"/>
    </row>
    <row r="3024" spans="20:31" x14ac:dyDescent="0.25">
      <c r="T3024" s="81"/>
      <c r="W3024" s="185"/>
      <c r="AE3024" s="185"/>
    </row>
    <row r="3025" spans="20:31" x14ac:dyDescent="0.25">
      <c r="T3025" s="81"/>
      <c r="W3025" s="185"/>
      <c r="AE3025" s="185"/>
    </row>
    <row r="3026" spans="20:31" x14ac:dyDescent="0.25">
      <c r="T3026" s="81"/>
      <c r="W3026" s="185"/>
      <c r="AE3026" s="185"/>
    </row>
    <row r="3027" spans="20:31" x14ac:dyDescent="0.25">
      <c r="T3027" s="81"/>
      <c r="W3027" s="185"/>
      <c r="AE3027" s="185"/>
    </row>
    <row r="3028" spans="20:31" x14ac:dyDescent="0.25">
      <c r="T3028" s="81"/>
      <c r="W3028" s="185"/>
      <c r="AE3028" s="185"/>
    </row>
    <row r="3029" spans="20:31" x14ac:dyDescent="0.25">
      <c r="T3029" s="81"/>
      <c r="W3029" s="185"/>
      <c r="AE3029" s="185"/>
    </row>
    <row r="3030" spans="20:31" x14ac:dyDescent="0.25">
      <c r="T3030" s="81"/>
      <c r="W3030" s="185"/>
      <c r="AE3030" s="185"/>
    </row>
    <row r="3031" spans="20:31" x14ac:dyDescent="0.25">
      <c r="T3031" s="81"/>
      <c r="W3031" s="185"/>
      <c r="AE3031" s="185"/>
    </row>
    <row r="3032" spans="20:31" x14ac:dyDescent="0.25">
      <c r="T3032" s="81"/>
      <c r="W3032" s="185"/>
      <c r="AE3032" s="185"/>
    </row>
    <row r="3033" spans="20:31" x14ac:dyDescent="0.25">
      <c r="T3033" s="81"/>
      <c r="W3033" s="185"/>
      <c r="AE3033" s="185"/>
    </row>
    <row r="3034" spans="20:31" x14ac:dyDescent="0.25">
      <c r="T3034" s="81"/>
      <c r="W3034" s="185"/>
      <c r="AE3034" s="185"/>
    </row>
    <row r="3035" spans="20:31" x14ac:dyDescent="0.25">
      <c r="T3035" s="81"/>
      <c r="W3035" s="185"/>
      <c r="AE3035" s="185"/>
    </row>
    <row r="3036" spans="20:31" x14ac:dyDescent="0.25">
      <c r="T3036" s="81"/>
      <c r="W3036" s="185"/>
      <c r="AE3036" s="185"/>
    </row>
    <row r="3037" spans="20:31" x14ac:dyDescent="0.25">
      <c r="T3037" s="81"/>
      <c r="W3037" s="185"/>
      <c r="AE3037" s="185"/>
    </row>
    <row r="3038" spans="20:31" x14ac:dyDescent="0.25">
      <c r="T3038" s="81"/>
      <c r="W3038" s="185"/>
      <c r="AE3038" s="185"/>
    </row>
    <row r="3039" spans="20:31" x14ac:dyDescent="0.25">
      <c r="T3039" s="81"/>
      <c r="W3039" s="185"/>
      <c r="AE3039" s="185"/>
    </row>
    <row r="3040" spans="20:31" x14ac:dyDescent="0.25">
      <c r="T3040" s="81"/>
      <c r="W3040" s="185"/>
      <c r="AE3040" s="185"/>
    </row>
    <row r="3041" spans="20:31" x14ac:dyDescent="0.25">
      <c r="T3041" s="81"/>
      <c r="W3041" s="185"/>
      <c r="AE3041" s="185"/>
    </row>
    <row r="3042" spans="20:31" x14ac:dyDescent="0.25">
      <c r="T3042" s="81"/>
      <c r="W3042" s="185"/>
      <c r="AE3042" s="185"/>
    </row>
    <row r="3043" spans="20:31" x14ac:dyDescent="0.25">
      <c r="T3043" s="81"/>
      <c r="W3043" s="185"/>
      <c r="AE3043" s="185"/>
    </row>
    <row r="3044" spans="20:31" x14ac:dyDescent="0.25">
      <c r="T3044" s="81"/>
      <c r="W3044" s="185"/>
      <c r="AE3044" s="185"/>
    </row>
    <row r="3045" spans="20:31" x14ac:dyDescent="0.25">
      <c r="T3045" s="81"/>
      <c r="W3045" s="185"/>
      <c r="AE3045" s="185"/>
    </row>
    <row r="3046" spans="20:31" x14ac:dyDescent="0.25">
      <c r="T3046" s="81"/>
      <c r="W3046" s="185"/>
      <c r="AE3046" s="185"/>
    </row>
    <row r="3047" spans="20:31" x14ac:dyDescent="0.25">
      <c r="T3047" s="81"/>
      <c r="W3047" s="185"/>
      <c r="AE3047" s="185"/>
    </row>
    <row r="3048" spans="20:31" x14ac:dyDescent="0.25">
      <c r="T3048" s="81"/>
      <c r="W3048" s="185"/>
      <c r="AE3048" s="185"/>
    </row>
    <row r="3049" spans="20:31" x14ac:dyDescent="0.25">
      <c r="T3049" s="81"/>
      <c r="W3049" s="185"/>
      <c r="AE3049" s="185"/>
    </row>
    <row r="3050" spans="20:31" x14ac:dyDescent="0.25">
      <c r="T3050" s="81"/>
      <c r="W3050" s="185"/>
      <c r="AE3050" s="185"/>
    </row>
    <row r="3051" spans="20:31" x14ac:dyDescent="0.25">
      <c r="T3051" s="81"/>
      <c r="W3051" s="185"/>
      <c r="AE3051" s="185"/>
    </row>
    <row r="3052" spans="20:31" x14ac:dyDescent="0.25">
      <c r="T3052" s="81"/>
      <c r="W3052" s="185"/>
      <c r="AE3052" s="185"/>
    </row>
    <row r="3053" spans="20:31" x14ac:dyDescent="0.25">
      <c r="T3053" s="81"/>
      <c r="W3053" s="185"/>
      <c r="AE3053" s="185"/>
    </row>
    <row r="3054" spans="20:31" x14ac:dyDescent="0.25">
      <c r="T3054" s="81"/>
      <c r="W3054" s="185"/>
      <c r="AE3054" s="185"/>
    </row>
    <row r="3055" spans="20:31" x14ac:dyDescent="0.25">
      <c r="T3055" s="81"/>
      <c r="W3055" s="185"/>
      <c r="AE3055" s="185"/>
    </row>
    <row r="3056" spans="20:31" x14ac:dyDescent="0.25">
      <c r="T3056" s="81"/>
      <c r="W3056" s="185"/>
      <c r="AE3056" s="185"/>
    </row>
    <row r="3057" spans="20:31" x14ac:dyDescent="0.25">
      <c r="T3057" s="81"/>
      <c r="W3057" s="185"/>
      <c r="AE3057" s="185"/>
    </row>
    <row r="3058" spans="20:31" x14ac:dyDescent="0.25">
      <c r="T3058" s="81"/>
      <c r="W3058" s="185"/>
      <c r="AE3058" s="185"/>
    </row>
    <row r="3059" spans="20:31" x14ac:dyDescent="0.25">
      <c r="T3059" s="81"/>
      <c r="W3059" s="185"/>
      <c r="AE3059" s="185"/>
    </row>
    <row r="3060" spans="20:31" x14ac:dyDescent="0.25">
      <c r="T3060" s="81"/>
      <c r="W3060" s="185"/>
      <c r="AE3060" s="185"/>
    </row>
    <row r="3061" spans="20:31" x14ac:dyDescent="0.25">
      <c r="T3061" s="81"/>
      <c r="W3061" s="185"/>
      <c r="AE3061" s="185"/>
    </row>
    <row r="3062" spans="20:31" x14ac:dyDescent="0.25">
      <c r="T3062" s="81"/>
      <c r="W3062" s="185"/>
      <c r="AE3062" s="185"/>
    </row>
    <row r="3063" spans="20:31" x14ac:dyDescent="0.25">
      <c r="T3063" s="81"/>
      <c r="W3063" s="185"/>
      <c r="AE3063" s="185"/>
    </row>
    <row r="3064" spans="20:31" x14ac:dyDescent="0.25">
      <c r="T3064" s="81"/>
      <c r="W3064" s="185"/>
      <c r="AE3064" s="185"/>
    </row>
    <row r="3065" spans="20:31" x14ac:dyDescent="0.25">
      <c r="T3065" s="81"/>
      <c r="W3065" s="185"/>
      <c r="AE3065" s="185"/>
    </row>
    <row r="3066" spans="20:31" x14ac:dyDescent="0.25">
      <c r="T3066" s="81"/>
      <c r="W3066" s="185"/>
      <c r="AE3066" s="185"/>
    </row>
    <row r="3067" spans="20:31" x14ac:dyDescent="0.25">
      <c r="T3067" s="81"/>
      <c r="W3067" s="185"/>
      <c r="AE3067" s="185"/>
    </row>
    <row r="3068" spans="20:31" x14ac:dyDescent="0.25">
      <c r="T3068" s="81"/>
      <c r="W3068" s="185"/>
      <c r="AE3068" s="185"/>
    </row>
    <row r="3069" spans="20:31" x14ac:dyDescent="0.25">
      <c r="T3069" s="81"/>
      <c r="W3069" s="185"/>
      <c r="AE3069" s="185"/>
    </row>
    <row r="3070" spans="20:31" x14ac:dyDescent="0.25">
      <c r="T3070" s="81"/>
      <c r="W3070" s="185"/>
      <c r="AE3070" s="185"/>
    </row>
    <row r="3071" spans="20:31" x14ac:dyDescent="0.25">
      <c r="T3071" s="81"/>
      <c r="W3071" s="185"/>
      <c r="AE3071" s="185"/>
    </row>
    <row r="3072" spans="20:31" x14ac:dyDescent="0.25">
      <c r="T3072" s="81"/>
      <c r="W3072" s="185"/>
      <c r="AE3072" s="185"/>
    </row>
    <row r="3073" spans="20:31" x14ac:dyDescent="0.25">
      <c r="T3073" s="81"/>
      <c r="W3073" s="185"/>
      <c r="AE3073" s="185"/>
    </row>
    <row r="3074" spans="20:31" x14ac:dyDescent="0.25">
      <c r="T3074" s="81"/>
      <c r="W3074" s="185"/>
      <c r="AE3074" s="185"/>
    </row>
    <row r="3075" spans="20:31" x14ac:dyDescent="0.25">
      <c r="T3075" s="81"/>
      <c r="W3075" s="185"/>
      <c r="AE3075" s="185"/>
    </row>
    <row r="3076" spans="20:31" x14ac:dyDescent="0.25">
      <c r="T3076" s="81"/>
      <c r="W3076" s="185"/>
      <c r="AE3076" s="185"/>
    </row>
    <row r="3077" spans="20:31" x14ac:dyDescent="0.25">
      <c r="T3077" s="81"/>
      <c r="W3077" s="185"/>
      <c r="AE3077" s="185"/>
    </row>
    <row r="3078" spans="20:31" x14ac:dyDescent="0.25">
      <c r="T3078" s="81"/>
      <c r="W3078" s="185"/>
      <c r="AE3078" s="185"/>
    </row>
    <row r="3079" spans="20:31" x14ac:dyDescent="0.25">
      <c r="T3079" s="81"/>
      <c r="W3079" s="185"/>
      <c r="AE3079" s="185"/>
    </row>
    <row r="3080" spans="20:31" x14ac:dyDescent="0.25">
      <c r="T3080" s="81"/>
      <c r="W3080" s="185"/>
      <c r="AE3080" s="185"/>
    </row>
    <row r="3081" spans="20:31" x14ac:dyDescent="0.25">
      <c r="T3081" s="81"/>
      <c r="W3081" s="185"/>
      <c r="AE3081" s="185"/>
    </row>
    <row r="3082" spans="20:31" x14ac:dyDescent="0.25">
      <c r="T3082" s="81"/>
      <c r="W3082" s="185"/>
      <c r="AE3082" s="185"/>
    </row>
    <row r="3083" spans="20:31" x14ac:dyDescent="0.25">
      <c r="T3083" s="81"/>
      <c r="W3083" s="185"/>
      <c r="AE3083" s="185"/>
    </row>
    <row r="3084" spans="20:31" x14ac:dyDescent="0.25">
      <c r="T3084" s="81"/>
      <c r="W3084" s="185"/>
      <c r="AE3084" s="185"/>
    </row>
    <row r="3085" spans="20:31" x14ac:dyDescent="0.25">
      <c r="T3085" s="81"/>
      <c r="W3085" s="185"/>
      <c r="AE3085" s="185"/>
    </row>
    <row r="3086" spans="20:31" x14ac:dyDescent="0.25">
      <c r="T3086" s="81"/>
      <c r="W3086" s="185"/>
      <c r="AE3086" s="185"/>
    </row>
    <row r="3087" spans="20:31" x14ac:dyDescent="0.25">
      <c r="T3087" s="81"/>
      <c r="W3087" s="185"/>
      <c r="AE3087" s="185"/>
    </row>
    <row r="3088" spans="20:31" x14ac:dyDescent="0.25">
      <c r="T3088" s="81"/>
      <c r="W3088" s="185"/>
      <c r="AE3088" s="185"/>
    </row>
    <row r="3089" spans="20:31" x14ac:dyDescent="0.25">
      <c r="T3089" s="81"/>
      <c r="W3089" s="185"/>
      <c r="AE3089" s="185"/>
    </row>
    <row r="3090" spans="20:31" x14ac:dyDescent="0.25">
      <c r="T3090" s="81"/>
      <c r="W3090" s="185"/>
      <c r="AE3090" s="185"/>
    </row>
    <row r="3091" spans="20:31" x14ac:dyDescent="0.25">
      <c r="T3091" s="81"/>
      <c r="W3091" s="185"/>
      <c r="AE3091" s="185"/>
    </row>
    <row r="3092" spans="20:31" x14ac:dyDescent="0.25">
      <c r="T3092" s="81"/>
      <c r="W3092" s="185"/>
      <c r="AE3092" s="185"/>
    </row>
    <row r="3093" spans="20:31" x14ac:dyDescent="0.25">
      <c r="T3093" s="81"/>
      <c r="W3093" s="185"/>
      <c r="AE3093" s="185"/>
    </row>
    <row r="3094" spans="20:31" x14ac:dyDescent="0.25">
      <c r="T3094" s="81"/>
      <c r="W3094" s="185"/>
      <c r="AE3094" s="185"/>
    </row>
    <row r="3095" spans="20:31" x14ac:dyDescent="0.25">
      <c r="T3095" s="81"/>
      <c r="W3095" s="185"/>
      <c r="AE3095" s="185"/>
    </row>
    <row r="3096" spans="20:31" x14ac:dyDescent="0.25">
      <c r="T3096" s="81"/>
      <c r="W3096" s="185"/>
      <c r="AE3096" s="185"/>
    </row>
    <row r="3097" spans="20:31" x14ac:dyDescent="0.25">
      <c r="T3097" s="81"/>
      <c r="W3097" s="185"/>
      <c r="AE3097" s="185"/>
    </row>
    <row r="3098" spans="20:31" x14ac:dyDescent="0.25">
      <c r="T3098" s="81"/>
      <c r="W3098" s="185"/>
      <c r="AE3098" s="185"/>
    </row>
    <row r="3099" spans="20:31" x14ac:dyDescent="0.25">
      <c r="T3099" s="81"/>
      <c r="W3099" s="185"/>
      <c r="AE3099" s="185"/>
    </row>
    <row r="3100" spans="20:31" x14ac:dyDescent="0.25">
      <c r="T3100" s="81"/>
      <c r="W3100" s="185"/>
      <c r="AE3100" s="185"/>
    </row>
    <row r="3101" spans="20:31" x14ac:dyDescent="0.25">
      <c r="T3101" s="81"/>
      <c r="W3101" s="185"/>
      <c r="AE3101" s="185"/>
    </row>
    <row r="3102" spans="20:31" x14ac:dyDescent="0.25">
      <c r="T3102" s="81"/>
      <c r="W3102" s="185"/>
      <c r="AE3102" s="185"/>
    </row>
    <row r="3103" spans="20:31" x14ac:dyDescent="0.25">
      <c r="T3103" s="81"/>
      <c r="W3103" s="185"/>
      <c r="AE3103" s="185"/>
    </row>
    <row r="3104" spans="20:31" x14ac:dyDescent="0.25">
      <c r="T3104" s="81"/>
      <c r="W3104" s="185"/>
      <c r="AE3104" s="185"/>
    </row>
    <row r="3105" spans="20:31" x14ac:dyDescent="0.25">
      <c r="T3105" s="81"/>
      <c r="W3105" s="185"/>
      <c r="AE3105" s="185"/>
    </row>
    <row r="3106" spans="20:31" x14ac:dyDescent="0.25">
      <c r="T3106" s="81"/>
      <c r="W3106" s="185"/>
      <c r="AE3106" s="185"/>
    </row>
    <row r="3107" spans="20:31" x14ac:dyDescent="0.25">
      <c r="T3107" s="81"/>
      <c r="W3107" s="185"/>
      <c r="AE3107" s="185"/>
    </row>
    <row r="3108" spans="20:31" x14ac:dyDescent="0.25">
      <c r="T3108" s="81"/>
      <c r="W3108" s="185"/>
      <c r="AE3108" s="185"/>
    </row>
    <row r="3109" spans="20:31" x14ac:dyDescent="0.25">
      <c r="T3109" s="81"/>
      <c r="W3109" s="185"/>
      <c r="AE3109" s="185"/>
    </row>
    <row r="3110" spans="20:31" x14ac:dyDescent="0.25">
      <c r="T3110" s="81"/>
      <c r="W3110" s="185"/>
      <c r="AE3110" s="185"/>
    </row>
    <row r="3111" spans="20:31" x14ac:dyDescent="0.25">
      <c r="T3111" s="81"/>
      <c r="W3111" s="185"/>
      <c r="AE3111" s="185"/>
    </row>
    <row r="3112" spans="20:31" x14ac:dyDescent="0.25">
      <c r="T3112" s="81"/>
      <c r="W3112" s="185"/>
      <c r="AE3112" s="185"/>
    </row>
    <row r="3113" spans="20:31" x14ac:dyDescent="0.25">
      <c r="T3113" s="81"/>
      <c r="W3113" s="185"/>
      <c r="AE3113" s="185"/>
    </row>
    <row r="3114" spans="20:31" x14ac:dyDescent="0.25">
      <c r="T3114" s="81"/>
      <c r="W3114" s="185"/>
      <c r="AE3114" s="185"/>
    </row>
    <row r="3115" spans="20:31" x14ac:dyDescent="0.25">
      <c r="T3115" s="81"/>
      <c r="W3115" s="185"/>
      <c r="AE3115" s="185"/>
    </row>
    <row r="3116" spans="20:31" x14ac:dyDescent="0.25">
      <c r="T3116" s="81"/>
      <c r="W3116" s="185"/>
      <c r="AE3116" s="185"/>
    </row>
    <row r="3117" spans="20:31" x14ac:dyDescent="0.25">
      <c r="T3117" s="81"/>
      <c r="W3117" s="185"/>
      <c r="AE3117" s="185"/>
    </row>
    <row r="3118" spans="20:31" x14ac:dyDescent="0.25">
      <c r="T3118" s="81"/>
      <c r="W3118" s="185"/>
      <c r="AE3118" s="185"/>
    </row>
    <row r="3119" spans="20:31" x14ac:dyDescent="0.25">
      <c r="T3119" s="81"/>
      <c r="W3119" s="185"/>
      <c r="AE3119" s="185"/>
    </row>
    <row r="3120" spans="20:31" x14ac:dyDescent="0.25">
      <c r="T3120" s="81"/>
      <c r="W3120" s="185"/>
      <c r="AE3120" s="185"/>
    </row>
    <row r="3121" spans="20:31" x14ac:dyDescent="0.25">
      <c r="T3121" s="81"/>
      <c r="W3121" s="185"/>
      <c r="AE3121" s="185"/>
    </row>
    <row r="3122" spans="20:31" x14ac:dyDescent="0.25">
      <c r="T3122" s="81"/>
      <c r="W3122" s="185"/>
      <c r="AE3122" s="185"/>
    </row>
    <row r="3123" spans="20:31" x14ac:dyDescent="0.25">
      <c r="T3123" s="81"/>
      <c r="W3123" s="185"/>
      <c r="AE3123" s="185"/>
    </row>
    <row r="3124" spans="20:31" x14ac:dyDescent="0.25">
      <c r="T3124" s="81"/>
      <c r="W3124" s="185"/>
      <c r="AE3124" s="185"/>
    </row>
    <row r="3125" spans="20:31" x14ac:dyDescent="0.25">
      <c r="T3125" s="81"/>
      <c r="W3125" s="185"/>
      <c r="AE3125" s="185"/>
    </row>
    <row r="3126" spans="20:31" x14ac:dyDescent="0.25">
      <c r="T3126" s="81"/>
      <c r="W3126" s="185"/>
      <c r="AE3126" s="185"/>
    </row>
    <row r="3127" spans="20:31" x14ac:dyDescent="0.25">
      <c r="T3127" s="81"/>
      <c r="W3127" s="185"/>
      <c r="AE3127" s="185"/>
    </row>
    <row r="3128" spans="20:31" x14ac:dyDescent="0.25">
      <c r="T3128" s="81"/>
      <c r="W3128" s="185"/>
      <c r="AE3128" s="185"/>
    </row>
    <row r="3129" spans="20:31" x14ac:dyDescent="0.25">
      <c r="T3129" s="81"/>
      <c r="W3129" s="185"/>
      <c r="AE3129" s="185"/>
    </row>
    <row r="3130" spans="20:31" x14ac:dyDescent="0.25">
      <c r="T3130" s="81"/>
      <c r="W3130" s="185"/>
      <c r="AE3130" s="185"/>
    </row>
    <row r="3131" spans="20:31" x14ac:dyDescent="0.25">
      <c r="T3131" s="81"/>
      <c r="W3131" s="185"/>
      <c r="AE3131" s="185"/>
    </row>
    <row r="3132" spans="20:31" x14ac:dyDescent="0.25">
      <c r="T3132" s="81"/>
      <c r="W3132" s="185"/>
      <c r="AE3132" s="185"/>
    </row>
    <row r="3133" spans="20:31" x14ac:dyDescent="0.25">
      <c r="T3133" s="81"/>
      <c r="W3133" s="185"/>
      <c r="AE3133" s="185"/>
    </row>
    <row r="3134" spans="20:31" x14ac:dyDescent="0.25">
      <c r="T3134" s="81"/>
      <c r="W3134" s="185"/>
      <c r="AE3134" s="185"/>
    </row>
    <row r="3135" spans="20:31" x14ac:dyDescent="0.25">
      <c r="T3135" s="81"/>
      <c r="W3135" s="185"/>
      <c r="AE3135" s="185"/>
    </row>
    <row r="3136" spans="20:31" x14ac:dyDescent="0.25">
      <c r="T3136" s="81"/>
      <c r="W3136" s="185"/>
      <c r="AE3136" s="185"/>
    </row>
    <row r="3137" spans="20:31" x14ac:dyDescent="0.25">
      <c r="T3137" s="81"/>
      <c r="W3137" s="185"/>
      <c r="AE3137" s="185"/>
    </row>
    <row r="3138" spans="20:31" x14ac:dyDescent="0.25">
      <c r="T3138" s="81"/>
      <c r="W3138" s="185"/>
      <c r="AE3138" s="185"/>
    </row>
    <row r="3139" spans="20:31" x14ac:dyDescent="0.25">
      <c r="T3139" s="81"/>
      <c r="W3139" s="185"/>
      <c r="AE3139" s="185"/>
    </row>
    <row r="3140" spans="20:31" x14ac:dyDescent="0.25">
      <c r="T3140" s="81"/>
      <c r="W3140" s="185"/>
      <c r="AE3140" s="185"/>
    </row>
    <row r="3141" spans="20:31" x14ac:dyDescent="0.25">
      <c r="T3141" s="81"/>
      <c r="W3141" s="185"/>
      <c r="AE3141" s="185"/>
    </row>
    <row r="3142" spans="20:31" x14ac:dyDescent="0.25">
      <c r="T3142" s="81"/>
      <c r="W3142" s="185"/>
      <c r="AE3142" s="185"/>
    </row>
    <row r="3143" spans="20:31" x14ac:dyDescent="0.25">
      <c r="T3143" s="81"/>
      <c r="W3143" s="185"/>
      <c r="AE3143" s="185"/>
    </row>
    <row r="3144" spans="20:31" x14ac:dyDescent="0.25">
      <c r="T3144" s="81"/>
      <c r="W3144" s="185"/>
      <c r="AE3144" s="185"/>
    </row>
    <row r="3145" spans="20:31" x14ac:dyDescent="0.25">
      <c r="T3145" s="81"/>
      <c r="W3145" s="185"/>
      <c r="AE3145" s="185"/>
    </row>
    <row r="3146" spans="20:31" x14ac:dyDescent="0.25">
      <c r="T3146" s="81"/>
      <c r="W3146" s="185"/>
      <c r="AE3146" s="185"/>
    </row>
    <row r="3147" spans="20:31" x14ac:dyDescent="0.25">
      <c r="T3147" s="81"/>
      <c r="W3147" s="185"/>
      <c r="AE3147" s="185"/>
    </row>
    <row r="3148" spans="20:31" x14ac:dyDescent="0.25">
      <c r="T3148" s="81"/>
      <c r="W3148" s="185"/>
      <c r="AE3148" s="185"/>
    </row>
    <row r="3149" spans="20:31" x14ac:dyDescent="0.25">
      <c r="T3149" s="81"/>
      <c r="W3149" s="185"/>
      <c r="AE3149" s="185"/>
    </row>
    <row r="3150" spans="20:31" x14ac:dyDescent="0.25">
      <c r="T3150" s="81"/>
      <c r="W3150" s="185"/>
      <c r="AE3150" s="185"/>
    </row>
    <row r="3151" spans="20:31" x14ac:dyDescent="0.25">
      <c r="T3151" s="81"/>
      <c r="W3151" s="185"/>
      <c r="AE3151" s="185"/>
    </row>
    <row r="3152" spans="20:31" x14ac:dyDescent="0.25">
      <c r="T3152" s="81"/>
      <c r="W3152" s="185"/>
      <c r="AE3152" s="185"/>
    </row>
    <row r="3153" spans="20:31" x14ac:dyDescent="0.25">
      <c r="T3153" s="81"/>
      <c r="W3153" s="185"/>
      <c r="AE3153" s="185"/>
    </row>
    <row r="3154" spans="20:31" x14ac:dyDescent="0.25">
      <c r="T3154" s="81"/>
      <c r="W3154" s="185"/>
      <c r="AE3154" s="185"/>
    </row>
    <row r="3155" spans="20:31" x14ac:dyDescent="0.25">
      <c r="T3155" s="81"/>
      <c r="W3155" s="185"/>
      <c r="AE3155" s="185"/>
    </row>
    <row r="3156" spans="20:31" x14ac:dyDescent="0.25">
      <c r="T3156" s="81"/>
      <c r="W3156" s="185"/>
      <c r="AE3156" s="185"/>
    </row>
    <row r="3157" spans="20:31" x14ac:dyDescent="0.25">
      <c r="T3157" s="81"/>
      <c r="W3157" s="185"/>
      <c r="AE3157" s="185"/>
    </row>
    <row r="3158" spans="20:31" x14ac:dyDescent="0.25">
      <c r="T3158" s="81"/>
      <c r="W3158" s="185"/>
      <c r="AE3158" s="185"/>
    </row>
    <row r="3159" spans="20:31" x14ac:dyDescent="0.25">
      <c r="T3159" s="81"/>
      <c r="W3159" s="185"/>
      <c r="AE3159" s="185"/>
    </row>
    <row r="3160" spans="20:31" x14ac:dyDescent="0.25">
      <c r="T3160" s="81"/>
      <c r="W3160" s="185"/>
      <c r="AE3160" s="185"/>
    </row>
    <row r="3161" spans="20:31" x14ac:dyDescent="0.25">
      <c r="T3161" s="81"/>
      <c r="W3161" s="185"/>
      <c r="AE3161" s="185"/>
    </row>
    <row r="3162" spans="20:31" x14ac:dyDescent="0.25">
      <c r="T3162" s="81"/>
      <c r="W3162" s="185"/>
      <c r="AE3162" s="185"/>
    </row>
    <row r="3163" spans="20:31" x14ac:dyDescent="0.25">
      <c r="T3163" s="81"/>
      <c r="W3163" s="185"/>
      <c r="AE3163" s="185"/>
    </row>
    <row r="3164" spans="20:31" x14ac:dyDescent="0.25">
      <c r="T3164" s="81"/>
      <c r="W3164" s="185"/>
      <c r="AE3164" s="185"/>
    </row>
    <row r="3165" spans="20:31" x14ac:dyDescent="0.25">
      <c r="T3165" s="81"/>
      <c r="W3165" s="185"/>
      <c r="AE3165" s="185"/>
    </row>
    <row r="3166" spans="20:31" x14ac:dyDescent="0.25">
      <c r="T3166" s="81"/>
      <c r="W3166" s="185"/>
      <c r="AE3166" s="185"/>
    </row>
    <row r="3167" spans="20:31" x14ac:dyDescent="0.25">
      <c r="T3167" s="81"/>
      <c r="W3167" s="185"/>
      <c r="AE3167" s="185"/>
    </row>
    <row r="3168" spans="20:31" x14ac:dyDescent="0.25">
      <c r="T3168" s="81"/>
      <c r="W3168" s="185"/>
      <c r="AE3168" s="185"/>
    </row>
    <row r="3169" spans="20:31" x14ac:dyDescent="0.25">
      <c r="T3169" s="81"/>
      <c r="W3169" s="185"/>
      <c r="AE3169" s="185"/>
    </row>
    <row r="3170" spans="20:31" x14ac:dyDescent="0.25">
      <c r="T3170" s="81"/>
      <c r="W3170" s="185"/>
      <c r="AE3170" s="185"/>
    </row>
    <row r="3171" spans="20:31" x14ac:dyDescent="0.25">
      <c r="T3171" s="81"/>
      <c r="W3171" s="185"/>
      <c r="AE3171" s="185"/>
    </row>
    <row r="3172" spans="20:31" x14ac:dyDescent="0.25">
      <c r="T3172" s="81"/>
      <c r="W3172" s="185"/>
      <c r="AE3172" s="185"/>
    </row>
    <row r="3173" spans="20:31" x14ac:dyDescent="0.25">
      <c r="T3173" s="81"/>
      <c r="W3173" s="185"/>
      <c r="AE3173" s="185"/>
    </row>
    <row r="3174" spans="20:31" x14ac:dyDescent="0.25">
      <c r="T3174" s="81"/>
      <c r="W3174" s="185"/>
      <c r="AE3174" s="185"/>
    </row>
    <row r="3175" spans="20:31" x14ac:dyDescent="0.25">
      <c r="T3175" s="81"/>
      <c r="W3175" s="185"/>
      <c r="AE3175" s="185"/>
    </row>
    <row r="3176" spans="20:31" x14ac:dyDescent="0.25">
      <c r="T3176" s="81"/>
      <c r="W3176" s="185"/>
      <c r="AE3176" s="185"/>
    </row>
    <row r="3177" spans="20:31" x14ac:dyDescent="0.25">
      <c r="T3177" s="81"/>
      <c r="W3177" s="185"/>
      <c r="AE3177" s="185"/>
    </row>
    <row r="3178" spans="20:31" x14ac:dyDescent="0.25">
      <c r="T3178" s="81"/>
      <c r="W3178" s="185"/>
      <c r="AE3178" s="185"/>
    </row>
    <row r="3179" spans="20:31" x14ac:dyDescent="0.25">
      <c r="T3179" s="81"/>
      <c r="W3179" s="185"/>
      <c r="AE3179" s="185"/>
    </row>
    <row r="3180" spans="20:31" x14ac:dyDescent="0.25">
      <c r="T3180" s="81"/>
      <c r="W3180" s="185"/>
      <c r="AE3180" s="185"/>
    </row>
    <row r="3181" spans="20:31" x14ac:dyDescent="0.25">
      <c r="T3181" s="81"/>
      <c r="W3181" s="185"/>
      <c r="AE3181" s="185"/>
    </row>
    <row r="3182" spans="20:31" x14ac:dyDescent="0.25">
      <c r="T3182" s="81"/>
      <c r="W3182" s="185"/>
      <c r="AE3182" s="185"/>
    </row>
    <row r="3183" spans="20:31" x14ac:dyDescent="0.25">
      <c r="T3183" s="81"/>
      <c r="W3183" s="185"/>
      <c r="AE3183" s="185"/>
    </row>
    <row r="3184" spans="20:31" x14ac:dyDescent="0.25">
      <c r="T3184" s="81"/>
      <c r="W3184" s="185"/>
      <c r="AE3184" s="185"/>
    </row>
    <row r="3185" spans="20:31" x14ac:dyDescent="0.25">
      <c r="T3185" s="81"/>
      <c r="W3185" s="185"/>
      <c r="AE3185" s="185"/>
    </row>
    <row r="3186" spans="20:31" x14ac:dyDescent="0.25">
      <c r="T3186" s="81"/>
      <c r="W3186" s="185"/>
      <c r="AE3186" s="185"/>
    </row>
    <row r="3187" spans="20:31" x14ac:dyDescent="0.25">
      <c r="T3187" s="81"/>
      <c r="W3187" s="185"/>
      <c r="AE3187" s="185"/>
    </row>
    <row r="3188" spans="20:31" x14ac:dyDescent="0.25">
      <c r="T3188" s="81"/>
      <c r="W3188" s="185"/>
      <c r="AE3188" s="185"/>
    </row>
    <row r="3189" spans="20:31" x14ac:dyDescent="0.25">
      <c r="T3189" s="81"/>
      <c r="W3189" s="185"/>
      <c r="AE3189" s="185"/>
    </row>
    <row r="3190" spans="20:31" x14ac:dyDescent="0.25">
      <c r="T3190" s="81"/>
      <c r="W3190" s="185"/>
      <c r="AE3190" s="185"/>
    </row>
    <row r="3191" spans="20:31" x14ac:dyDescent="0.25">
      <c r="T3191" s="81"/>
      <c r="W3191" s="185"/>
      <c r="AE3191" s="185"/>
    </row>
    <row r="3192" spans="20:31" x14ac:dyDescent="0.25">
      <c r="T3192" s="81"/>
      <c r="W3192" s="185"/>
      <c r="AE3192" s="185"/>
    </row>
    <row r="3193" spans="20:31" x14ac:dyDescent="0.25">
      <c r="T3193" s="81"/>
      <c r="W3193" s="185"/>
      <c r="AE3193" s="185"/>
    </row>
    <row r="3194" spans="20:31" x14ac:dyDescent="0.25">
      <c r="T3194" s="81"/>
      <c r="W3194" s="185"/>
      <c r="AE3194" s="185"/>
    </row>
    <row r="3195" spans="20:31" x14ac:dyDescent="0.25">
      <c r="T3195" s="81"/>
      <c r="W3195" s="185"/>
      <c r="AE3195" s="185"/>
    </row>
    <row r="3196" spans="20:31" x14ac:dyDescent="0.25">
      <c r="T3196" s="81"/>
      <c r="W3196" s="185"/>
      <c r="AE3196" s="185"/>
    </row>
    <row r="3197" spans="20:31" x14ac:dyDescent="0.25">
      <c r="T3197" s="81"/>
      <c r="W3197" s="185"/>
      <c r="AE3197" s="185"/>
    </row>
    <row r="3198" spans="20:31" x14ac:dyDescent="0.25">
      <c r="T3198" s="81"/>
      <c r="W3198" s="185"/>
      <c r="AE3198" s="185"/>
    </row>
    <row r="3199" spans="20:31" x14ac:dyDescent="0.25">
      <c r="T3199" s="81"/>
      <c r="W3199" s="185"/>
      <c r="AE3199" s="185"/>
    </row>
    <row r="3200" spans="20:31" x14ac:dyDescent="0.25">
      <c r="T3200" s="81"/>
      <c r="W3200" s="185"/>
      <c r="AE3200" s="185"/>
    </row>
    <row r="3201" spans="20:31" x14ac:dyDescent="0.25">
      <c r="T3201" s="81"/>
      <c r="W3201" s="185"/>
      <c r="AE3201" s="185"/>
    </row>
    <row r="3202" spans="20:31" x14ac:dyDescent="0.25">
      <c r="T3202" s="81"/>
      <c r="W3202" s="185"/>
      <c r="AE3202" s="185"/>
    </row>
    <row r="3203" spans="20:31" x14ac:dyDescent="0.25">
      <c r="T3203" s="81"/>
      <c r="W3203" s="185"/>
      <c r="AE3203" s="185"/>
    </row>
    <row r="3204" spans="20:31" x14ac:dyDescent="0.25">
      <c r="T3204" s="81"/>
      <c r="W3204" s="185"/>
      <c r="AE3204" s="185"/>
    </row>
    <row r="3205" spans="20:31" x14ac:dyDescent="0.25">
      <c r="T3205" s="81"/>
      <c r="W3205" s="185"/>
      <c r="AE3205" s="185"/>
    </row>
    <row r="3206" spans="20:31" x14ac:dyDescent="0.25">
      <c r="T3206" s="81"/>
      <c r="W3206" s="185"/>
      <c r="AE3206" s="185"/>
    </row>
    <row r="3207" spans="20:31" x14ac:dyDescent="0.25">
      <c r="T3207" s="81"/>
      <c r="W3207" s="185"/>
      <c r="AE3207" s="185"/>
    </row>
    <row r="3208" spans="20:31" x14ac:dyDescent="0.25">
      <c r="T3208" s="81"/>
      <c r="W3208" s="185"/>
      <c r="AE3208" s="185"/>
    </row>
    <row r="3209" spans="20:31" x14ac:dyDescent="0.25">
      <c r="T3209" s="81"/>
      <c r="W3209" s="185"/>
      <c r="AE3209" s="185"/>
    </row>
    <row r="3210" spans="20:31" x14ac:dyDescent="0.25">
      <c r="T3210" s="81"/>
      <c r="W3210" s="185"/>
      <c r="AE3210" s="185"/>
    </row>
    <row r="3211" spans="20:31" x14ac:dyDescent="0.25">
      <c r="T3211" s="81"/>
      <c r="W3211" s="185"/>
      <c r="AE3211" s="185"/>
    </row>
    <row r="3212" spans="20:31" x14ac:dyDescent="0.25">
      <c r="T3212" s="81"/>
      <c r="W3212" s="185"/>
      <c r="AE3212" s="185"/>
    </row>
    <row r="3213" spans="20:31" x14ac:dyDescent="0.25">
      <c r="T3213" s="81"/>
      <c r="W3213" s="185"/>
      <c r="AE3213" s="185"/>
    </row>
    <row r="3214" spans="20:31" x14ac:dyDescent="0.25">
      <c r="T3214" s="81"/>
      <c r="W3214" s="185"/>
      <c r="AE3214" s="185"/>
    </row>
    <row r="3215" spans="20:31" x14ac:dyDescent="0.25">
      <c r="T3215" s="81"/>
      <c r="W3215" s="185"/>
      <c r="AE3215" s="185"/>
    </row>
    <row r="3216" spans="20:31" x14ac:dyDescent="0.25">
      <c r="T3216" s="81"/>
      <c r="W3216" s="185"/>
      <c r="AE3216" s="185"/>
    </row>
    <row r="3217" spans="20:31" x14ac:dyDescent="0.25">
      <c r="T3217" s="81"/>
      <c r="W3217" s="185"/>
      <c r="AE3217" s="185"/>
    </row>
    <row r="3218" spans="20:31" x14ac:dyDescent="0.25">
      <c r="T3218" s="81"/>
      <c r="W3218" s="185"/>
      <c r="AE3218" s="185"/>
    </row>
    <row r="3219" spans="20:31" x14ac:dyDescent="0.25">
      <c r="T3219" s="81"/>
      <c r="W3219" s="185"/>
      <c r="AE3219" s="185"/>
    </row>
    <row r="3220" spans="20:31" x14ac:dyDescent="0.25">
      <c r="T3220" s="81"/>
      <c r="W3220" s="185"/>
      <c r="AE3220" s="185"/>
    </row>
    <row r="3221" spans="20:31" x14ac:dyDescent="0.25">
      <c r="T3221" s="81"/>
      <c r="W3221" s="185"/>
      <c r="AE3221" s="185"/>
    </row>
    <row r="3222" spans="20:31" x14ac:dyDescent="0.25">
      <c r="T3222" s="81"/>
      <c r="W3222" s="185"/>
      <c r="AE3222" s="185"/>
    </row>
    <row r="3223" spans="20:31" x14ac:dyDescent="0.25">
      <c r="T3223" s="81"/>
      <c r="W3223" s="185"/>
      <c r="AE3223" s="185"/>
    </row>
    <row r="3224" spans="20:31" x14ac:dyDescent="0.25">
      <c r="T3224" s="81"/>
      <c r="W3224" s="185"/>
      <c r="AE3224" s="185"/>
    </row>
    <row r="3225" spans="20:31" x14ac:dyDescent="0.25">
      <c r="T3225" s="81"/>
      <c r="W3225" s="185"/>
      <c r="AE3225" s="185"/>
    </row>
    <row r="3226" spans="20:31" x14ac:dyDescent="0.25">
      <c r="T3226" s="81"/>
      <c r="W3226" s="185"/>
      <c r="AE3226" s="185"/>
    </row>
    <row r="3227" spans="20:31" x14ac:dyDescent="0.25">
      <c r="T3227" s="81"/>
      <c r="W3227" s="185"/>
      <c r="AE3227" s="185"/>
    </row>
    <row r="3228" spans="20:31" x14ac:dyDescent="0.25">
      <c r="T3228" s="81"/>
      <c r="W3228" s="185"/>
      <c r="AE3228" s="185"/>
    </row>
    <row r="3229" spans="20:31" x14ac:dyDescent="0.25">
      <c r="T3229" s="81"/>
      <c r="W3229" s="185"/>
      <c r="AE3229" s="185"/>
    </row>
    <row r="3230" spans="20:31" x14ac:dyDescent="0.25">
      <c r="T3230" s="81"/>
      <c r="W3230" s="185"/>
      <c r="AE3230" s="185"/>
    </row>
    <row r="3231" spans="20:31" x14ac:dyDescent="0.25">
      <c r="T3231" s="81"/>
      <c r="W3231" s="185"/>
      <c r="AE3231" s="185"/>
    </row>
    <row r="3232" spans="20:31" x14ac:dyDescent="0.25">
      <c r="T3232" s="81"/>
      <c r="W3232" s="185"/>
      <c r="AE3232" s="185"/>
    </row>
    <row r="3233" spans="20:31" x14ac:dyDescent="0.25">
      <c r="T3233" s="81"/>
      <c r="W3233" s="185"/>
      <c r="AE3233" s="185"/>
    </row>
    <row r="3234" spans="20:31" x14ac:dyDescent="0.25">
      <c r="T3234" s="81"/>
      <c r="W3234" s="185"/>
      <c r="AE3234" s="185"/>
    </row>
    <row r="3235" spans="20:31" x14ac:dyDescent="0.25">
      <c r="T3235" s="81"/>
      <c r="W3235" s="185"/>
      <c r="AE3235" s="185"/>
    </row>
    <row r="3236" spans="20:31" x14ac:dyDescent="0.25">
      <c r="T3236" s="81"/>
      <c r="W3236" s="185"/>
      <c r="AE3236" s="185"/>
    </row>
    <row r="3237" spans="20:31" x14ac:dyDescent="0.25">
      <c r="T3237" s="81"/>
      <c r="W3237" s="185"/>
      <c r="AE3237" s="185"/>
    </row>
    <row r="3238" spans="20:31" x14ac:dyDescent="0.25">
      <c r="T3238" s="81"/>
      <c r="W3238" s="185"/>
      <c r="AE3238" s="185"/>
    </row>
    <row r="3239" spans="20:31" x14ac:dyDescent="0.25">
      <c r="T3239" s="81"/>
      <c r="W3239" s="185"/>
      <c r="AE3239" s="185"/>
    </row>
    <row r="3240" spans="20:31" x14ac:dyDescent="0.25">
      <c r="T3240" s="81"/>
      <c r="W3240" s="185"/>
      <c r="AE3240" s="185"/>
    </row>
    <row r="3241" spans="20:31" x14ac:dyDescent="0.25">
      <c r="T3241" s="81"/>
      <c r="W3241" s="185"/>
      <c r="AE3241" s="185"/>
    </row>
    <row r="3242" spans="20:31" x14ac:dyDescent="0.25">
      <c r="T3242" s="81"/>
      <c r="W3242" s="185"/>
      <c r="AE3242" s="185"/>
    </row>
    <row r="3243" spans="20:31" x14ac:dyDescent="0.25">
      <c r="T3243" s="81"/>
      <c r="W3243" s="185"/>
      <c r="AE3243" s="185"/>
    </row>
    <row r="3244" spans="20:31" x14ac:dyDescent="0.25">
      <c r="T3244" s="81"/>
      <c r="W3244" s="185"/>
      <c r="AE3244" s="185"/>
    </row>
    <row r="3245" spans="20:31" x14ac:dyDescent="0.25">
      <c r="T3245" s="81"/>
      <c r="W3245" s="185"/>
      <c r="AE3245" s="185"/>
    </row>
    <row r="3246" spans="20:31" x14ac:dyDescent="0.25">
      <c r="T3246" s="81"/>
      <c r="W3246" s="185"/>
      <c r="AE3246" s="185"/>
    </row>
    <row r="3247" spans="20:31" x14ac:dyDescent="0.25">
      <c r="T3247" s="81"/>
      <c r="W3247" s="185"/>
      <c r="AE3247" s="185"/>
    </row>
    <row r="3248" spans="20:31" x14ac:dyDescent="0.25">
      <c r="T3248" s="81"/>
      <c r="W3248" s="185"/>
      <c r="AE3248" s="185"/>
    </row>
    <row r="3249" spans="20:31" x14ac:dyDescent="0.25">
      <c r="T3249" s="81"/>
      <c r="W3249" s="185"/>
      <c r="AE3249" s="185"/>
    </row>
    <row r="3250" spans="20:31" x14ac:dyDescent="0.25">
      <c r="T3250" s="81"/>
      <c r="W3250" s="185"/>
      <c r="AE3250" s="185"/>
    </row>
    <row r="3251" spans="20:31" x14ac:dyDescent="0.25">
      <c r="T3251" s="81"/>
      <c r="W3251" s="185"/>
      <c r="AE3251" s="185"/>
    </row>
    <row r="3252" spans="20:31" x14ac:dyDescent="0.25">
      <c r="T3252" s="81"/>
      <c r="W3252" s="185"/>
      <c r="AE3252" s="185"/>
    </row>
    <row r="3253" spans="20:31" x14ac:dyDescent="0.25">
      <c r="T3253" s="81"/>
      <c r="W3253" s="185"/>
      <c r="AE3253" s="185"/>
    </row>
    <row r="3254" spans="20:31" x14ac:dyDescent="0.25">
      <c r="T3254" s="81"/>
      <c r="W3254" s="185"/>
      <c r="AE3254" s="185"/>
    </row>
    <row r="3255" spans="20:31" x14ac:dyDescent="0.25">
      <c r="T3255" s="81"/>
      <c r="W3255" s="185"/>
      <c r="AE3255" s="185"/>
    </row>
    <row r="3256" spans="20:31" x14ac:dyDescent="0.25">
      <c r="T3256" s="81"/>
      <c r="W3256" s="185"/>
      <c r="AE3256" s="185"/>
    </row>
    <row r="3257" spans="20:31" x14ac:dyDescent="0.25">
      <c r="T3257" s="81"/>
      <c r="W3257" s="185"/>
      <c r="AE3257" s="185"/>
    </row>
    <row r="3258" spans="20:31" x14ac:dyDescent="0.25">
      <c r="T3258" s="81"/>
      <c r="W3258" s="185"/>
      <c r="AE3258" s="185"/>
    </row>
    <row r="3259" spans="20:31" x14ac:dyDescent="0.25">
      <c r="T3259" s="81"/>
      <c r="W3259" s="185"/>
      <c r="AE3259" s="185"/>
    </row>
    <row r="3260" spans="20:31" x14ac:dyDescent="0.25">
      <c r="T3260" s="81"/>
      <c r="W3260" s="185"/>
      <c r="AE3260" s="185"/>
    </row>
    <row r="3261" spans="20:31" x14ac:dyDescent="0.25">
      <c r="T3261" s="81"/>
      <c r="W3261" s="185"/>
      <c r="AE3261" s="185"/>
    </row>
    <row r="3262" spans="20:31" x14ac:dyDescent="0.25">
      <c r="T3262" s="81"/>
      <c r="W3262" s="185"/>
      <c r="AE3262" s="185"/>
    </row>
    <row r="3263" spans="20:31" x14ac:dyDescent="0.25">
      <c r="T3263" s="81"/>
      <c r="W3263" s="185"/>
      <c r="AE3263" s="185"/>
    </row>
    <row r="3264" spans="20:31" x14ac:dyDescent="0.25">
      <c r="T3264" s="81"/>
      <c r="W3264" s="185"/>
      <c r="AE3264" s="185"/>
    </row>
    <row r="3265" spans="20:31" x14ac:dyDescent="0.25">
      <c r="T3265" s="81"/>
      <c r="W3265" s="185"/>
      <c r="AE3265" s="185"/>
    </row>
    <row r="3266" spans="20:31" x14ac:dyDescent="0.25">
      <c r="T3266" s="81"/>
      <c r="W3266" s="185"/>
      <c r="AE3266" s="185"/>
    </row>
    <row r="3267" spans="20:31" x14ac:dyDescent="0.25">
      <c r="T3267" s="81"/>
      <c r="W3267" s="185"/>
      <c r="AE3267" s="185"/>
    </row>
    <row r="3268" spans="20:31" x14ac:dyDescent="0.25">
      <c r="T3268" s="81"/>
      <c r="W3268" s="185"/>
      <c r="AE3268" s="185"/>
    </row>
    <row r="3269" spans="20:31" x14ac:dyDescent="0.25">
      <c r="T3269" s="81"/>
      <c r="W3269" s="185"/>
      <c r="AE3269" s="185"/>
    </row>
    <row r="3270" spans="20:31" x14ac:dyDescent="0.25">
      <c r="T3270" s="81"/>
      <c r="W3270" s="185"/>
      <c r="AE3270" s="185"/>
    </row>
    <row r="3271" spans="20:31" x14ac:dyDescent="0.25">
      <c r="T3271" s="81"/>
      <c r="W3271" s="185"/>
      <c r="AE3271" s="185"/>
    </row>
    <row r="3272" spans="20:31" x14ac:dyDescent="0.25">
      <c r="T3272" s="81"/>
      <c r="W3272" s="185"/>
      <c r="AE3272" s="185"/>
    </row>
    <row r="3273" spans="20:31" x14ac:dyDescent="0.25">
      <c r="T3273" s="81"/>
      <c r="W3273" s="185"/>
      <c r="AE3273" s="185"/>
    </row>
    <row r="3274" spans="20:31" x14ac:dyDescent="0.25">
      <c r="T3274" s="81"/>
      <c r="W3274" s="185"/>
      <c r="AE3274" s="185"/>
    </row>
    <row r="3275" spans="20:31" x14ac:dyDescent="0.25">
      <c r="T3275" s="81"/>
      <c r="W3275" s="185"/>
      <c r="AE3275" s="185"/>
    </row>
    <row r="3276" spans="20:31" x14ac:dyDescent="0.25">
      <c r="T3276" s="81"/>
      <c r="W3276" s="185"/>
      <c r="AE3276" s="185"/>
    </row>
    <row r="3277" spans="20:31" x14ac:dyDescent="0.25">
      <c r="T3277" s="81"/>
      <c r="W3277" s="185"/>
      <c r="AE3277" s="185"/>
    </row>
    <row r="3278" spans="20:31" x14ac:dyDescent="0.25">
      <c r="T3278" s="81"/>
      <c r="W3278" s="185"/>
      <c r="AE3278" s="185"/>
    </row>
    <row r="3279" spans="20:31" x14ac:dyDescent="0.25">
      <c r="T3279" s="81"/>
      <c r="W3279" s="185"/>
      <c r="AE3279" s="185"/>
    </row>
    <row r="3280" spans="20:31" x14ac:dyDescent="0.25">
      <c r="T3280" s="81"/>
      <c r="W3280" s="185"/>
      <c r="AE3280" s="185"/>
    </row>
    <row r="3281" spans="20:31" x14ac:dyDescent="0.25">
      <c r="T3281" s="81"/>
      <c r="W3281" s="185"/>
      <c r="AE3281" s="185"/>
    </row>
    <row r="3282" spans="20:31" x14ac:dyDescent="0.25">
      <c r="T3282" s="81"/>
      <c r="W3282" s="185"/>
      <c r="AE3282" s="185"/>
    </row>
    <row r="3283" spans="20:31" x14ac:dyDescent="0.25">
      <c r="T3283" s="81"/>
      <c r="W3283" s="185"/>
      <c r="AE3283" s="185"/>
    </row>
    <row r="3284" spans="20:31" x14ac:dyDescent="0.25">
      <c r="T3284" s="81"/>
      <c r="W3284" s="185"/>
      <c r="AE3284" s="185"/>
    </row>
    <row r="3285" spans="20:31" x14ac:dyDescent="0.25">
      <c r="T3285" s="81"/>
      <c r="W3285" s="185"/>
      <c r="AE3285" s="185"/>
    </row>
    <row r="3286" spans="20:31" x14ac:dyDescent="0.25">
      <c r="T3286" s="81"/>
      <c r="W3286" s="185"/>
      <c r="AE3286" s="185"/>
    </row>
    <row r="3287" spans="20:31" x14ac:dyDescent="0.25">
      <c r="T3287" s="81"/>
      <c r="W3287" s="185"/>
      <c r="AE3287" s="185"/>
    </row>
    <row r="3288" spans="20:31" x14ac:dyDescent="0.25">
      <c r="T3288" s="81"/>
      <c r="W3288" s="185"/>
      <c r="AE3288" s="185"/>
    </row>
    <row r="3289" spans="20:31" x14ac:dyDescent="0.25">
      <c r="T3289" s="81"/>
      <c r="W3289" s="185"/>
      <c r="AE3289" s="185"/>
    </row>
    <row r="3290" spans="20:31" x14ac:dyDescent="0.25">
      <c r="T3290" s="81"/>
      <c r="W3290" s="185"/>
      <c r="AE3290" s="185"/>
    </row>
    <row r="3291" spans="20:31" x14ac:dyDescent="0.25">
      <c r="T3291" s="81"/>
      <c r="W3291" s="185"/>
      <c r="AE3291" s="185"/>
    </row>
    <row r="3292" spans="20:31" x14ac:dyDescent="0.25">
      <c r="T3292" s="81"/>
      <c r="W3292" s="185"/>
      <c r="AE3292" s="185"/>
    </row>
    <row r="3293" spans="20:31" x14ac:dyDescent="0.25">
      <c r="T3293" s="81"/>
      <c r="W3293" s="185"/>
      <c r="AE3293" s="185"/>
    </row>
    <row r="3294" spans="20:31" x14ac:dyDescent="0.25">
      <c r="T3294" s="81"/>
      <c r="W3294" s="185"/>
      <c r="AE3294" s="185"/>
    </row>
    <row r="3295" spans="20:31" x14ac:dyDescent="0.25">
      <c r="T3295" s="81"/>
      <c r="W3295" s="185"/>
      <c r="AE3295" s="185"/>
    </row>
    <row r="3296" spans="20:31" x14ac:dyDescent="0.25">
      <c r="T3296" s="81"/>
      <c r="W3296" s="185"/>
      <c r="AE3296" s="185"/>
    </row>
    <row r="3297" spans="20:31" x14ac:dyDescent="0.25">
      <c r="T3297" s="81"/>
      <c r="W3297" s="185"/>
      <c r="AE3297" s="185"/>
    </row>
    <row r="3298" spans="20:31" x14ac:dyDescent="0.25">
      <c r="T3298" s="81"/>
      <c r="W3298" s="185"/>
      <c r="AE3298" s="185"/>
    </row>
    <row r="3299" spans="20:31" x14ac:dyDescent="0.25">
      <c r="T3299" s="81"/>
      <c r="W3299" s="185"/>
      <c r="AE3299" s="185"/>
    </row>
    <row r="3300" spans="20:31" x14ac:dyDescent="0.25">
      <c r="T3300" s="81"/>
      <c r="W3300" s="185"/>
      <c r="AE3300" s="185"/>
    </row>
    <row r="3301" spans="20:31" x14ac:dyDescent="0.25">
      <c r="T3301" s="81"/>
      <c r="W3301" s="185"/>
      <c r="AE3301" s="185"/>
    </row>
    <row r="3302" spans="20:31" x14ac:dyDescent="0.25">
      <c r="T3302" s="81"/>
      <c r="W3302" s="185"/>
      <c r="AE3302" s="185"/>
    </row>
    <row r="3303" spans="20:31" x14ac:dyDescent="0.25">
      <c r="T3303" s="81"/>
      <c r="W3303" s="185"/>
      <c r="AE3303" s="185"/>
    </row>
    <row r="3304" spans="20:31" x14ac:dyDescent="0.25">
      <c r="T3304" s="81"/>
      <c r="W3304" s="185"/>
      <c r="AE3304" s="185"/>
    </row>
    <row r="3305" spans="20:31" x14ac:dyDescent="0.25">
      <c r="T3305" s="81"/>
      <c r="W3305" s="185"/>
      <c r="AE3305" s="185"/>
    </row>
    <row r="3306" spans="20:31" x14ac:dyDescent="0.25">
      <c r="T3306" s="81"/>
      <c r="W3306" s="185"/>
      <c r="AE3306" s="185"/>
    </row>
    <row r="3307" spans="20:31" x14ac:dyDescent="0.25">
      <c r="T3307" s="81"/>
      <c r="W3307" s="185"/>
      <c r="AE3307" s="185"/>
    </row>
    <row r="3308" spans="20:31" x14ac:dyDescent="0.25">
      <c r="T3308" s="81"/>
      <c r="W3308" s="185"/>
      <c r="AE3308" s="185"/>
    </row>
    <row r="3309" spans="20:31" x14ac:dyDescent="0.25">
      <c r="T3309" s="81"/>
      <c r="W3309" s="185"/>
      <c r="AE3309" s="185"/>
    </row>
    <row r="3310" spans="20:31" x14ac:dyDescent="0.25">
      <c r="T3310" s="81"/>
      <c r="W3310" s="185"/>
      <c r="AE3310" s="185"/>
    </row>
    <row r="3311" spans="20:31" x14ac:dyDescent="0.25">
      <c r="T3311" s="81"/>
      <c r="W3311" s="185"/>
      <c r="AE3311" s="185"/>
    </row>
    <row r="3312" spans="20:31" x14ac:dyDescent="0.25">
      <c r="T3312" s="81"/>
      <c r="W3312" s="185"/>
      <c r="AE3312" s="185"/>
    </row>
    <row r="3313" spans="20:31" x14ac:dyDescent="0.25">
      <c r="T3313" s="81"/>
      <c r="W3313" s="185"/>
      <c r="AE3313" s="185"/>
    </row>
    <row r="3314" spans="20:31" x14ac:dyDescent="0.25">
      <c r="T3314" s="81"/>
      <c r="W3314" s="185"/>
      <c r="AE3314" s="185"/>
    </row>
    <row r="3315" spans="20:31" x14ac:dyDescent="0.25">
      <c r="T3315" s="81"/>
      <c r="W3315" s="185"/>
      <c r="AE3315" s="185"/>
    </row>
    <row r="3316" spans="20:31" x14ac:dyDescent="0.25">
      <c r="T3316" s="81"/>
      <c r="W3316" s="185"/>
      <c r="AE3316" s="185"/>
    </row>
    <row r="3317" spans="20:31" x14ac:dyDescent="0.25">
      <c r="T3317" s="81"/>
      <c r="W3317" s="185"/>
      <c r="AE3317" s="185"/>
    </row>
    <row r="3318" spans="20:31" x14ac:dyDescent="0.25">
      <c r="T3318" s="81"/>
      <c r="W3318" s="185"/>
      <c r="AE3318" s="185"/>
    </row>
    <row r="3319" spans="20:31" x14ac:dyDescent="0.25">
      <c r="T3319" s="81"/>
      <c r="W3319" s="185"/>
      <c r="AE3319" s="185"/>
    </row>
    <row r="3320" spans="20:31" x14ac:dyDescent="0.25">
      <c r="T3320" s="81"/>
      <c r="W3320" s="185"/>
      <c r="AE3320" s="185"/>
    </row>
    <row r="3321" spans="20:31" x14ac:dyDescent="0.25">
      <c r="T3321" s="81"/>
      <c r="W3321" s="185"/>
      <c r="AE3321" s="185"/>
    </row>
    <row r="3322" spans="20:31" x14ac:dyDescent="0.25">
      <c r="T3322" s="81"/>
      <c r="W3322" s="185"/>
      <c r="AE3322" s="185"/>
    </row>
    <row r="3323" spans="20:31" x14ac:dyDescent="0.25">
      <c r="T3323" s="81"/>
      <c r="W3323" s="185"/>
      <c r="AE3323" s="185"/>
    </row>
    <row r="3324" spans="20:31" x14ac:dyDescent="0.25">
      <c r="T3324" s="81"/>
      <c r="W3324" s="185"/>
      <c r="AE3324" s="185"/>
    </row>
    <row r="3325" spans="20:31" x14ac:dyDescent="0.25">
      <c r="T3325" s="81"/>
      <c r="W3325" s="185"/>
      <c r="AE3325" s="185"/>
    </row>
    <row r="3326" spans="20:31" x14ac:dyDescent="0.25">
      <c r="T3326" s="81"/>
      <c r="W3326" s="185"/>
      <c r="AE3326" s="185"/>
    </row>
    <row r="3327" spans="20:31" x14ac:dyDescent="0.25">
      <c r="T3327" s="81"/>
      <c r="W3327" s="185"/>
      <c r="AE3327" s="185"/>
    </row>
    <row r="3328" spans="20:31" x14ac:dyDescent="0.25">
      <c r="T3328" s="81"/>
      <c r="W3328" s="185"/>
      <c r="AE3328" s="185"/>
    </row>
    <row r="3329" spans="20:31" x14ac:dyDescent="0.25">
      <c r="T3329" s="81"/>
      <c r="W3329" s="185"/>
      <c r="AE3329" s="185"/>
    </row>
    <row r="3330" spans="20:31" x14ac:dyDescent="0.25">
      <c r="T3330" s="81"/>
      <c r="W3330" s="185"/>
      <c r="AE3330" s="185"/>
    </row>
    <row r="3331" spans="20:31" x14ac:dyDescent="0.25">
      <c r="T3331" s="81"/>
      <c r="W3331" s="185"/>
      <c r="AE3331" s="185"/>
    </row>
    <row r="3332" spans="20:31" x14ac:dyDescent="0.25">
      <c r="T3332" s="81"/>
      <c r="W3332" s="185"/>
      <c r="AE3332" s="185"/>
    </row>
    <row r="3333" spans="20:31" x14ac:dyDescent="0.25">
      <c r="T3333" s="81"/>
      <c r="W3333" s="185"/>
      <c r="AE3333" s="185"/>
    </row>
    <row r="3334" spans="20:31" x14ac:dyDescent="0.25">
      <c r="T3334" s="81"/>
      <c r="W3334" s="185"/>
      <c r="AE3334" s="185"/>
    </row>
    <row r="3335" spans="20:31" x14ac:dyDescent="0.25">
      <c r="T3335" s="81"/>
      <c r="W3335" s="185"/>
      <c r="AE3335" s="185"/>
    </row>
    <row r="3336" spans="20:31" x14ac:dyDescent="0.25">
      <c r="T3336" s="81"/>
      <c r="W3336" s="185"/>
      <c r="AE3336" s="185"/>
    </row>
    <row r="3337" spans="20:31" x14ac:dyDescent="0.25">
      <c r="T3337" s="81"/>
      <c r="W3337" s="185"/>
      <c r="AE3337" s="185"/>
    </row>
    <row r="3338" spans="20:31" x14ac:dyDescent="0.25">
      <c r="T3338" s="81"/>
      <c r="W3338" s="185"/>
      <c r="AE3338" s="185"/>
    </row>
    <row r="3339" spans="20:31" x14ac:dyDescent="0.25">
      <c r="T3339" s="81"/>
      <c r="W3339" s="185"/>
      <c r="AE3339" s="185"/>
    </row>
    <row r="3340" spans="20:31" x14ac:dyDescent="0.25">
      <c r="T3340" s="81"/>
      <c r="W3340" s="185"/>
      <c r="AE3340" s="185"/>
    </row>
    <row r="3341" spans="20:31" x14ac:dyDescent="0.25">
      <c r="T3341" s="81"/>
      <c r="W3341" s="185"/>
      <c r="AE3341" s="185"/>
    </row>
    <row r="3342" spans="20:31" x14ac:dyDescent="0.25">
      <c r="T3342" s="81"/>
      <c r="W3342" s="185"/>
      <c r="AE3342" s="185"/>
    </row>
    <row r="3343" spans="20:31" x14ac:dyDescent="0.25">
      <c r="T3343" s="81"/>
      <c r="W3343" s="185"/>
      <c r="AE3343" s="185"/>
    </row>
    <row r="3344" spans="20:31" x14ac:dyDescent="0.25">
      <c r="T3344" s="81"/>
      <c r="W3344" s="185"/>
      <c r="AE3344" s="185"/>
    </row>
    <row r="3345" spans="20:31" x14ac:dyDescent="0.25">
      <c r="T3345" s="81"/>
      <c r="W3345" s="185"/>
      <c r="AE3345" s="185"/>
    </row>
    <row r="3346" spans="20:31" x14ac:dyDescent="0.25">
      <c r="T3346" s="81"/>
      <c r="W3346" s="185"/>
      <c r="AE3346" s="185"/>
    </row>
    <row r="3347" spans="20:31" x14ac:dyDescent="0.25">
      <c r="T3347" s="81"/>
      <c r="W3347" s="185"/>
      <c r="AE3347" s="185"/>
    </row>
    <row r="3348" spans="20:31" x14ac:dyDescent="0.25">
      <c r="T3348" s="81"/>
      <c r="W3348" s="185"/>
      <c r="AE3348" s="185"/>
    </row>
    <row r="3349" spans="20:31" x14ac:dyDescent="0.25">
      <c r="T3349" s="81"/>
      <c r="W3349" s="185"/>
      <c r="AE3349" s="185"/>
    </row>
    <row r="3350" spans="20:31" x14ac:dyDescent="0.25">
      <c r="T3350" s="81"/>
      <c r="W3350" s="185"/>
      <c r="AE3350" s="185"/>
    </row>
    <row r="3351" spans="20:31" x14ac:dyDescent="0.25">
      <c r="T3351" s="81"/>
      <c r="W3351" s="185"/>
      <c r="AE3351" s="185"/>
    </row>
    <row r="3352" spans="20:31" x14ac:dyDescent="0.25">
      <c r="T3352" s="81"/>
      <c r="W3352" s="185"/>
      <c r="AE3352" s="185"/>
    </row>
    <row r="3353" spans="20:31" x14ac:dyDescent="0.25">
      <c r="T3353" s="81"/>
      <c r="W3353" s="185"/>
      <c r="AE3353" s="185"/>
    </row>
    <row r="3354" spans="20:31" x14ac:dyDescent="0.25">
      <c r="T3354" s="81"/>
      <c r="W3354" s="185"/>
      <c r="AE3354" s="185"/>
    </row>
    <row r="3355" spans="20:31" x14ac:dyDescent="0.25">
      <c r="T3355" s="81"/>
      <c r="W3355" s="185"/>
      <c r="AE3355" s="185"/>
    </row>
    <row r="3356" spans="20:31" x14ac:dyDescent="0.25">
      <c r="T3356" s="81"/>
      <c r="W3356" s="185"/>
      <c r="AE3356" s="185"/>
    </row>
    <row r="3357" spans="20:31" x14ac:dyDescent="0.25">
      <c r="T3357" s="81"/>
      <c r="W3357" s="185"/>
      <c r="AE3357" s="185"/>
    </row>
    <row r="3358" spans="20:31" x14ac:dyDescent="0.25">
      <c r="T3358" s="81"/>
      <c r="W3358" s="185"/>
      <c r="AE3358" s="185"/>
    </row>
    <row r="3359" spans="20:31" x14ac:dyDescent="0.25">
      <c r="T3359" s="81"/>
      <c r="W3359" s="185"/>
      <c r="AE3359" s="185"/>
    </row>
    <row r="3360" spans="20:31" x14ac:dyDescent="0.25">
      <c r="T3360" s="81"/>
      <c r="W3360" s="185"/>
      <c r="AE3360" s="185"/>
    </row>
    <row r="3361" spans="20:31" x14ac:dyDescent="0.25">
      <c r="T3361" s="81"/>
      <c r="W3361" s="185"/>
      <c r="AE3361" s="185"/>
    </row>
    <row r="3362" spans="20:31" x14ac:dyDescent="0.25">
      <c r="T3362" s="81"/>
      <c r="W3362" s="185"/>
      <c r="AE3362" s="185"/>
    </row>
    <row r="3363" spans="20:31" x14ac:dyDescent="0.25">
      <c r="T3363" s="81"/>
      <c r="W3363" s="185"/>
      <c r="AE3363" s="185"/>
    </row>
    <row r="3364" spans="20:31" x14ac:dyDescent="0.25">
      <c r="T3364" s="81"/>
      <c r="W3364" s="185"/>
      <c r="AE3364" s="185"/>
    </row>
    <row r="3365" spans="20:31" x14ac:dyDescent="0.25">
      <c r="T3365" s="81"/>
      <c r="W3365" s="185"/>
      <c r="AE3365" s="185"/>
    </row>
    <row r="3366" spans="20:31" x14ac:dyDescent="0.25">
      <c r="T3366" s="81"/>
      <c r="W3366" s="185"/>
      <c r="AE3366" s="185"/>
    </row>
    <row r="3367" spans="20:31" x14ac:dyDescent="0.25">
      <c r="T3367" s="81"/>
      <c r="W3367" s="185"/>
      <c r="AE3367" s="185"/>
    </row>
    <row r="3368" spans="20:31" x14ac:dyDescent="0.25">
      <c r="T3368" s="81"/>
      <c r="W3368" s="185"/>
      <c r="AE3368" s="185"/>
    </row>
    <row r="3369" spans="20:31" x14ac:dyDescent="0.25">
      <c r="T3369" s="81"/>
      <c r="W3369" s="185"/>
      <c r="AE3369" s="185"/>
    </row>
    <row r="3370" spans="20:31" x14ac:dyDescent="0.25">
      <c r="T3370" s="81"/>
      <c r="W3370" s="185"/>
      <c r="AE3370" s="185"/>
    </row>
    <row r="3371" spans="20:31" x14ac:dyDescent="0.25">
      <c r="T3371" s="81"/>
      <c r="W3371" s="185"/>
      <c r="AE3371" s="185"/>
    </row>
    <row r="3372" spans="20:31" x14ac:dyDescent="0.25">
      <c r="T3372" s="81"/>
      <c r="W3372" s="185"/>
      <c r="AE3372" s="185"/>
    </row>
    <row r="3373" spans="20:31" x14ac:dyDescent="0.25">
      <c r="T3373" s="81"/>
      <c r="W3373" s="185"/>
      <c r="AE3373" s="185"/>
    </row>
    <row r="3374" spans="20:31" x14ac:dyDescent="0.25">
      <c r="T3374" s="81"/>
      <c r="W3374" s="185"/>
      <c r="AE3374" s="185"/>
    </row>
    <row r="3375" spans="20:31" x14ac:dyDescent="0.25">
      <c r="T3375" s="81"/>
      <c r="W3375" s="185"/>
      <c r="AE3375" s="185"/>
    </row>
    <row r="3376" spans="20:31" x14ac:dyDescent="0.25">
      <c r="T3376" s="81"/>
      <c r="W3376" s="185"/>
      <c r="AE3376" s="185"/>
    </row>
    <row r="3377" spans="20:31" x14ac:dyDescent="0.25">
      <c r="T3377" s="81"/>
      <c r="W3377" s="185"/>
      <c r="AE3377" s="185"/>
    </row>
    <row r="3378" spans="20:31" x14ac:dyDescent="0.25">
      <c r="T3378" s="81"/>
      <c r="W3378" s="185"/>
      <c r="AE3378" s="185"/>
    </row>
    <row r="3379" spans="20:31" x14ac:dyDescent="0.25">
      <c r="T3379" s="81"/>
      <c r="W3379" s="185"/>
      <c r="AE3379" s="185"/>
    </row>
    <row r="3380" spans="20:31" x14ac:dyDescent="0.25">
      <c r="T3380" s="81"/>
      <c r="W3380" s="185"/>
      <c r="AE3380" s="185"/>
    </row>
    <row r="3381" spans="20:31" x14ac:dyDescent="0.25">
      <c r="T3381" s="81"/>
      <c r="W3381" s="185"/>
      <c r="AE3381" s="185"/>
    </row>
    <row r="3382" spans="20:31" x14ac:dyDescent="0.25">
      <c r="T3382" s="81"/>
      <c r="W3382" s="185"/>
      <c r="AE3382" s="185"/>
    </row>
    <row r="3383" spans="20:31" x14ac:dyDescent="0.25">
      <c r="T3383" s="81"/>
      <c r="W3383" s="185"/>
      <c r="AE3383" s="185"/>
    </row>
    <row r="3384" spans="20:31" x14ac:dyDescent="0.25">
      <c r="T3384" s="81"/>
      <c r="W3384" s="185"/>
      <c r="AE3384" s="185"/>
    </row>
    <row r="3385" spans="20:31" x14ac:dyDescent="0.25">
      <c r="T3385" s="81"/>
      <c r="W3385" s="185"/>
      <c r="AE3385" s="185"/>
    </row>
    <row r="3386" spans="20:31" x14ac:dyDescent="0.25">
      <c r="T3386" s="81"/>
      <c r="W3386" s="185"/>
      <c r="AE3386" s="185"/>
    </row>
    <row r="3387" spans="20:31" x14ac:dyDescent="0.25">
      <c r="T3387" s="81"/>
      <c r="W3387" s="185"/>
      <c r="AE3387" s="185"/>
    </row>
    <row r="3388" spans="20:31" x14ac:dyDescent="0.25">
      <c r="T3388" s="81"/>
      <c r="W3388" s="185"/>
      <c r="AE3388" s="185"/>
    </row>
    <row r="3389" spans="20:31" x14ac:dyDescent="0.25">
      <c r="T3389" s="81"/>
      <c r="W3389" s="185"/>
      <c r="AE3389" s="185"/>
    </row>
    <row r="3390" spans="20:31" x14ac:dyDescent="0.25">
      <c r="T3390" s="81"/>
      <c r="W3390" s="185"/>
      <c r="AE3390" s="185"/>
    </row>
    <row r="3391" spans="20:31" x14ac:dyDescent="0.25">
      <c r="T3391" s="81"/>
      <c r="W3391" s="185"/>
      <c r="AE3391" s="185"/>
    </row>
    <row r="3392" spans="20:31" x14ac:dyDescent="0.25">
      <c r="T3392" s="81"/>
      <c r="W3392" s="185"/>
      <c r="AE3392" s="185"/>
    </row>
    <row r="3393" spans="20:31" x14ac:dyDescent="0.25">
      <c r="T3393" s="81"/>
      <c r="W3393" s="185"/>
      <c r="AE3393" s="185"/>
    </row>
    <row r="3394" spans="20:31" x14ac:dyDescent="0.25">
      <c r="T3394" s="81"/>
      <c r="W3394" s="185"/>
      <c r="AE3394" s="185"/>
    </row>
    <row r="3395" spans="20:31" x14ac:dyDescent="0.25">
      <c r="T3395" s="81"/>
      <c r="W3395" s="185"/>
      <c r="AE3395" s="185"/>
    </row>
    <row r="3396" spans="20:31" x14ac:dyDescent="0.25">
      <c r="T3396" s="81"/>
      <c r="W3396" s="185"/>
      <c r="AE3396" s="185"/>
    </row>
    <row r="3397" spans="20:31" x14ac:dyDescent="0.25">
      <c r="T3397" s="81"/>
      <c r="W3397" s="185"/>
      <c r="AE3397" s="185"/>
    </row>
    <row r="3398" spans="20:31" x14ac:dyDescent="0.25">
      <c r="T3398" s="81"/>
      <c r="W3398" s="185"/>
      <c r="AE3398" s="185"/>
    </row>
    <row r="3399" spans="20:31" x14ac:dyDescent="0.25">
      <c r="T3399" s="81"/>
      <c r="W3399" s="185"/>
      <c r="AE3399" s="185"/>
    </row>
    <row r="3400" spans="20:31" x14ac:dyDescent="0.25">
      <c r="T3400" s="81"/>
      <c r="W3400" s="185"/>
      <c r="AE3400" s="185"/>
    </row>
    <row r="3401" spans="20:31" x14ac:dyDescent="0.25">
      <c r="T3401" s="81"/>
      <c r="W3401" s="185"/>
      <c r="AE3401" s="185"/>
    </row>
    <row r="3402" spans="20:31" x14ac:dyDescent="0.25">
      <c r="T3402" s="81"/>
      <c r="W3402" s="185"/>
      <c r="AE3402" s="185"/>
    </row>
    <row r="3403" spans="20:31" x14ac:dyDescent="0.25">
      <c r="T3403" s="81"/>
      <c r="W3403" s="185"/>
      <c r="AE3403" s="185"/>
    </row>
    <row r="3404" spans="20:31" x14ac:dyDescent="0.25">
      <c r="T3404" s="81"/>
      <c r="W3404" s="185"/>
      <c r="AE3404" s="185"/>
    </row>
    <row r="3405" spans="20:31" x14ac:dyDescent="0.25">
      <c r="T3405" s="81"/>
      <c r="W3405" s="185"/>
      <c r="AE3405" s="185"/>
    </row>
    <row r="3406" spans="20:31" x14ac:dyDescent="0.25">
      <c r="T3406" s="81"/>
      <c r="W3406" s="185"/>
      <c r="AE3406" s="185"/>
    </row>
    <row r="3407" spans="20:31" x14ac:dyDescent="0.25">
      <c r="T3407" s="81"/>
      <c r="W3407" s="185"/>
      <c r="AE3407" s="185"/>
    </row>
    <row r="3408" spans="20:31" x14ac:dyDescent="0.25">
      <c r="T3408" s="81"/>
      <c r="W3408" s="185"/>
      <c r="AE3408" s="185"/>
    </row>
    <row r="3409" spans="20:31" x14ac:dyDescent="0.25">
      <c r="T3409" s="81"/>
      <c r="W3409" s="185"/>
      <c r="AE3409" s="185"/>
    </row>
    <row r="3410" spans="20:31" x14ac:dyDescent="0.25">
      <c r="T3410" s="81"/>
      <c r="W3410" s="185"/>
      <c r="AE3410" s="185"/>
    </row>
    <row r="3411" spans="20:31" x14ac:dyDescent="0.25">
      <c r="T3411" s="81"/>
      <c r="W3411" s="185"/>
      <c r="AE3411" s="185"/>
    </row>
    <row r="3412" spans="20:31" x14ac:dyDescent="0.25">
      <c r="T3412" s="81"/>
      <c r="W3412" s="185"/>
      <c r="AE3412" s="185"/>
    </row>
    <row r="3413" spans="20:31" x14ac:dyDescent="0.25">
      <c r="T3413" s="81"/>
      <c r="W3413" s="185"/>
      <c r="AE3413" s="185"/>
    </row>
    <row r="3414" spans="20:31" x14ac:dyDescent="0.25">
      <c r="T3414" s="81"/>
      <c r="W3414" s="185"/>
      <c r="AE3414" s="185"/>
    </row>
    <row r="3415" spans="20:31" x14ac:dyDescent="0.25">
      <c r="T3415" s="81"/>
      <c r="W3415" s="185"/>
      <c r="AE3415" s="185"/>
    </row>
    <row r="3416" spans="20:31" x14ac:dyDescent="0.25">
      <c r="T3416" s="81"/>
      <c r="W3416" s="185"/>
      <c r="AE3416" s="185"/>
    </row>
    <row r="3417" spans="20:31" x14ac:dyDescent="0.25">
      <c r="T3417" s="81"/>
      <c r="W3417" s="185"/>
      <c r="AE3417" s="185"/>
    </row>
    <row r="3418" spans="20:31" x14ac:dyDescent="0.25">
      <c r="T3418" s="81"/>
      <c r="W3418" s="185"/>
      <c r="AE3418" s="185"/>
    </row>
    <row r="3419" spans="20:31" x14ac:dyDescent="0.25">
      <c r="T3419" s="81"/>
      <c r="W3419" s="185"/>
      <c r="AE3419" s="185"/>
    </row>
    <row r="3420" spans="20:31" x14ac:dyDescent="0.25">
      <c r="T3420" s="81"/>
      <c r="W3420" s="185"/>
      <c r="AE3420" s="185"/>
    </row>
    <row r="3421" spans="20:31" x14ac:dyDescent="0.25">
      <c r="T3421" s="81"/>
      <c r="W3421" s="185"/>
      <c r="AE3421" s="185"/>
    </row>
    <row r="3422" spans="20:31" x14ac:dyDescent="0.25">
      <c r="T3422" s="81"/>
      <c r="W3422" s="185"/>
      <c r="AE3422" s="185"/>
    </row>
    <row r="3423" spans="20:31" x14ac:dyDescent="0.25">
      <c r="T3423" s="81"/>
      <c r="W3423" s="185"/>
      <c r="AE3423" s="185"/>
    </row>
    <row r="3424" spans="20:31" x14ac:dyDescent="0.25">
      <c r="T3424" s="81"/>
      <c r="W3424" s="185"/>
      <c r="AE3424" s="185"/>
    </row>
    <row r="3425" spans="20:31" x14ac:dyDescent="0.25">
      <c r="T3425" s="81"/>
      <c r="W3425" s="185"/>
      <c r="AE3425" s="185"/>
    </row>
    <row r="3426" spans="20:31" x14ac:dyDescent="0.25">
      <c r="T3426" s="81"/>
      <c r="W3426" s="185"/>
      <c r="AE3426" s="185"/>
    </row>
    <row r="3427" spans="20:31" x14ac:dyDescent="0.25">
      <c r="T3427" s="81"/>
      <c r="W3427" s="185"/>
      <c r="AE3427" s="185"/>
    </row>
    <row r="3428" spans="20:31" x14ac:dyDescent="0.25">
      <c r="T3428" s="81"/>
      <c r="W3428" s="185"/>
      <c r="AE3428" s="185"/>
    </row>
    <row r="3429" spans="20:31" x14ac:dyDescent="0.25">
      <c r="T3429" s="81"/>
      <c r="W3429" s="185"/>
      <c r="AE3429" s="185"/>
    </row>
    <row r="3430" spans="20:31" x14ac:dyDescent="0.25">
      <c r="T3430" s="81"/>
      <c r="W3430" s="185"/>
      <c r="AE3430" s="185"/>
    </row>
    <row r="3431" spans="20:31" x14ac:dyDescent="0.25">
      <c r="T3431" s="81"/>
      <c r="W3431" s="185"/>
      <c r="AE3431" s="185"/>
    </row>
    <row r="3432" spans="20:31" x14ac:dyDescent="0.25">
      <c r="T3432" s="81"/>
      <c r="W3432" s="185"/>
      <c r="AE3432" s="185"/>
    </row>
    <row r="3433" spans="20:31" x14ac:dyDescent="0.25">
      <c r="T3433" s="81"/>
      <c r="W3433" s="185"/>
      <c r="AE3433" s="185"/>
    </row>
    <row r="3434" spans="20:31" x14ac:dyDescent="0.25">
      <c r="T3434" s="81"/>
      <c r="W3434" s="185"/>
      <c r="AE3434" s="185"/>
    </row>
    <row r="3435" spans="20:31" x14ac:dyDescent="0.25">
      <c r="T3435" s="81"/>
      <c r="W3435" s="185"/>
      <c r="AE3435" s="185"/>
    </row>
    <row r="3436" spans="20:31" x14ac:dyDescent="0.25">
      <c r="T3436" s="81"/>
      <c r="W3436" s="185"/>
      <c r="AE3436" s="185"/>
    </row>
    <row r="3437" spans="20:31" x14ac:dyDescent="0.25">
      <c r="T3437" s="81"/>
      <c r="W3437" s="185"/>
      <c r="AE3437" s="185"/>
    </row>
    <row r="3438" spans="20:31" x14ac:dyDescent="0.25">
      <c r="T3438" s="81"/>
      <c r="W3438" s="185"/>
      <c r="AE3438" s="185"/>
    </row>
    <row r="3439" spans="20:31" x14ac:dyDescent="0.25">
      <c r="T3439" s="81"/>
      <c r="W3439" s="185"/>
      <c r="AE3439" s="185"/>
    </row>
    <row r="3440" spans="20:31" x14ac:dyDescent="0.25">
      <c r="T3440" s="81"/>
      <c r="W3440" s="185"/>
      <c r="AE3440" s="185"/>
    </row>
    <row r="3441" spans="20:31" x14ac:dyDescent="0.25">
      <c r="T3441" s="81"/>
      <c r="W3441" s="185"/>
      <c r="AE3441" s="185"/>
    </row>
    <row r="3442" spans="20:31" x14ac:dyDescent="0.25">
      <c r="T3442" s="81"/>
      <c r="W3442" s="185"/>
      <c r="AE3442" s="185"/>
    </row>
    <row r="3443" spans="20:31" x14ac:dyDescent="0.25">
      <c r="T3443" s="81"/>
      <c r="W3443" s="185"/>
      <c r="AE3443" s="185"/>
    </row>
    <row r="3444" spans="20:31" x14ac:dyDescent="0.25">
      <c r="T3444" s="81"/>
      <c r="W3444" s="185"/>
      <c r="AE3444" s="185"/>
    </row>
    <row r="3445" spans="20:31" x14ac:dyDescent="0.25">
      <c r="T3445" s="81"/>
      <c r="W3445" s="185"/>
      <c r="AE3445" s="185"/>
    </row>
    <row r="3446" spans="20:31" x14ac:dyDescent="0.25">
      <c r="T3446" s="81"/>
      <c r="W3446" s="185"/>
      <c r="AE3446" s="185"/>
    </row>
    <row r="3447" spans="20:31" x14ac:dyDescent="0.25">
      <c r="T3447" s="81"/>
      <c r="W3447" s="185"/>
      <c r="AE3447" s="185"/>
    </row>
    <row r="3448" spans="20:31" x14ac:dyDescent="0.25">
      <c r="T3448" s="81"/>
      <c r="W3448" s="185"/>
      <c r="AE3448" s="185"/>
    </row>
    <row r="3449" spans="20:31" x14ac:dyDescent="0.25">
      <c r="T3449" s="81"/>
      <c r="W3449" s="185"/>
      <c r="AE3449" s="185"/>
    </row>
    <row r="3450" spans="20:31" x14ac:dyDescent="0.25">
      <c r="T3450" s="81"/>
      <c r="W3450" s="185"/>
      <c r="AE3450" s="185"/>
    </row>
    <row r="3451" spans="20:31" x14ac:dyDescent="0.25">
      <c r="T3451" s="81"/>
      <c r="W3451" s="185"/>
      <c r="AE3451" s="185"/>
    </row>
    <row r="3452" spans="20:31" x14ac:dyDescent="0.25">
      <c r="T3452" s="81"/>
      <c r="W3452" s="185"/>
      <c r="AE3452" s="185"/>
    </row>
    <row r="3453" spans="20:31" x14ac:dyDescent="0.25">
      <c r="T3453" s="81"/>
      <c r="W3453" s="185"/>
      <c r="AE3453" s="185"/>
    </row>
    <row r="3454" spans="20:31" x14ac:dyDescent="0.25">
      <c r="T3454" s="81"/>
      <c r="W3454" s="185"/>
      <c r="AE3454" s="185"/>
    </row>
    <row r="3455" spans="20:31" x14ac:dyDescent="0.25">
      <c r="T3455" s="81"/>
      <c r="W3455" s="185"/>
      <c r="AE3455" s="185"/>
    </row>
    <row r="3456" spans="20:31" x14ac:dyDescent="0.25">
      <c r="T3456" s="81"/>
      <c r="W3456" s="185"/>
      <c r="AE3456" s="185"/>
    </row>
    <row r="3457" spans="20:31" x14ac:dyDescent="0.25">
      <c r="T3457" s="81"/>
      <c r="W3457" s="185"/>
      <c r="AE3457" s="185"/>
    </row>
    <row r="3458" spans="20:31" x14ac:dyDescent="0.25">
      <c r="T3458" s="81"/>
      <c r="W3458" s="185"/>
      <c r="AE3458" s="185"/>
    </row>
    <row r="3459" spans="20:31" x14ac:dyDescent="0.25">
      <c r="T3459" s="81"/>
      <c r="W3459" s="185"/>
      <c r="AE3459" s="185"/>
    </row>
    <row r="3460" spans="20:31" x14ac:dyDescent="0.25">
      <c r="T3460" s="81"/>
      <c r="W3460" s="185"/>
      <c r="AE3460" s="185"/>
    </row>
    <row r="3461" spans="20:31" x14ac:dyDescent="0.25">
      <c r="T3461" s="81"/>
      <c r="W3461" s="185"/>
      <c r="AE3461" s="185"/>
    </row>
    <row r="3462" spans="20:31" x14ac:dyDescent="0.25">
      <c r="T3462" s="81"/>
      <c r="W3462" s="185"/>
      <c r="AE3462" s="185"/>
    </row>
    <row r="3463" spans="20:31" x14ac:dyDescent="0.25">
      <c r="T3463" s="81"/>
      <c r="W3463" s="185"/>
      <c r="AE3463" s="185"/>
    </row>
    <row r="3464" spans="20:31" x14ac:dyDescent="0.25">
      <c r="T3464" s="81"/>
      <c r="W3464" s="185"/>
      <c r="AE3464" s="185"/>
    </row>
    <row r="3465" spans="20:31" x14ac:dyDescent="0.25">
      <c r="T3465" s="81"/>
      <c r="W3465" s="185"/>
      <c r="AE3465" s="185"/>
    </row>
    <row r="3466" spans="20:31" x14ac:dyDescent="0.25">
      <c r="T3466" s="81"/>
      <c r="W3466" s="185"/>
      <c r="AE3466" s="185"/>
    </row>
    <row r="3467" spans="20:31" x14ac:dyDescent="0.25">
      <c r="T3467" s="81"/>
      <c r="W3467" s="185"/>
      <c r="AE3467" s="185"/>
    </row>
    <row r="3468" spans="20:31" x14ac:dyDescent="0.25">
      <c r="T3468" s="81"/>
      <c r="W3468" s="185"/>
      <c r="AE3468" s="185"/>
    </row>
    <row r="3469" spans="20:31" x14ac:dyDescent="0.25">
      <c r="T3469" s="81"/>
      <c r="W3469" s="185"/>
      <c r="AE3469" s="185"/>
    </row>
    <row r="3470" spans="20:31" x14ac:dyDescent="0.25">
      <c r="T3470" s="81"/>
      <c r="W3470" s="185"/>
      <c r="AE3470" s="185"/>
    </row>
    <row r="3471" spans="20:31" x14ac:dyDescent="0.25">
      <c r="T3471" s="81"/>
      <c r="W3471" s="185"/>
      <c r="AE3471" s="185"/>
    </row>
    <row r="3472" spans="20:31" x14ac:dyDescent="0.25">
      <c r="T3472" s="81"/>
      <c r="W3472" s="185"/>
      <c r="AE3472" s="185"/>
    </row>
    <row r="3473" spans="20:31" x14ac:dyDescent="0.25">
      <c r="T3473" s="81"/>
      <c r="W3473" s="185"/>
      <c r="AE3473" s="185"/>
    </row>
    <row r="3474" spans="20:31" x14ac:dyDescent="0.25">
      <c r="T3474" s="81"/>
      <c r="W3474" s="185"/>
      <c r="AE3474" s="185"/>
    </row>
    <row r="3475" spans="20:31" x14ac:dyDescent="0.25">
      <c r="T3475" s="81"/>
      <c r="W3475" s="185"/>
      <c r="AE3475" s="185"/>
    </row>
    <row r="3476" spans="20:31" x14ac:dyDescent="0.25">
      <c r="T3476" s="81"/>
      <c r="W3476" s="185"/>
      <c r="AE3476" s="185"/>
    </row>
    <row r="3477" spans="20:31" x14ac:dyDescent="0.25">
      <c r="T3477" s="81"/>
      <c r="W3477" s="185"/>
      <c r="AE3477" s="185"/>
    </row>
    <row r="3478" spans="20:31" x14ac:dyDescent="0.25">
      <c r="T3478" s="81"/>
      <c r="W3478" s="185"/>
      <c r="AE3478" s="185"/>
    </row>
    <row r="3479" spans="20:31" x14ac:dyDescent="0.25">
      <c r="T3479" s="81"/>
      <c r="W3479" s="185"/>
      <c r="AE3479" s="185"/>
    </row>
    <row r="3480" spans="20:31" x14ac:dyDescent="0.25">
      <c r="T3480" s="81"/>
      <c r="W3480" s="185"/>
      <c r="AE3480" s="185"/>
    </row>
    <row r="3481" spans="20:31" x14ac:dyDescent="0.25">
      <c r="T3481" s="81"/>
      <c r="W3481" s="185"/>
      <c r="AE3481" s="185"/>
    </row>
    <row r="3482" spans="20:31" x14ac:dyDescent="0.25">
      <c r="T3482" s="81"/>
      <c r="W3482" s="185"/>
      <c r="AE3482" s="185"/>
    </row>
    <row r="3483" spans="20:31" x14ac:dyDescent="0.25">
      <c r="T3483" s="81"/>
      <c r="W3483" s="185"/>
      <c r="AE3483" s="185"/>
    </row>
    <row r="3484" spans="20:31" x14ac:dyDescent="0.25">
      <c r="T3484" s="81"/>
      <c r="W3484" s="185"/>
      <c r="AE3484" s="185"/>
    </row>
    <row r="3485" spans="20:31" x14ac:dyDescent="0.25">
      <c r="T3485" s="81"/>
      <c r="W3485" s="185"/>
      <c r="AE3485" s="185"/>
    </row>
    <row r="3486" spans="20:31" x14ac:dyDescent="0.25">
      <c r="T3486" s="81"/>
      <c r="W3486" s="185"/>
      <c r="AE3486" s="185"/>
    </row>
    <row r="3487" spans="20:31" x14ac:dyDescent="0.25">
      <c r="T3487" s="81"/>
      <c r="W3487" s="185"/>
      <c r="AE3487" s="185"/>
    </row>
    <row r="3488" spans="20:31" x14ac:dyDescent="0.25">
      <c r="T3488" s="81"/>
      <c r="W3488" s="185"/>
      <c r="AE3488" s="185"/>
    </row>
    <row r="3489" spans="20:31" x14ac:dyDescent="0.25">
      <c r="T3489" s="81"/>
      <c r="W3489" s="185"/>
      <c r="AE3489" s="185"/>
    </row>
    <row r="3490" spans="20:31" x14ac:dyDescent="0.25">
      <c r="T3490" s="81"/>
      <c r="W3490" s="185"/>
      <c r="AE3490" s="185"/>
    </row>
    <row r="3491" spans="20:31" x14ac:dyDescent="0.25">
      <c r="T3491" s="81"/>
      <c r="W3491" s="185"/>
      <c r="AE3491" s="185"/>
    </row>
    <row r="3492" spans="20:31" x14ac:dyDescent="0.25">
      <c r="T3492" s="81"/>
      <c r="W3492" s="185"/>
      <c r="AE3492" s="185"/>
    </row>
    <row r="3493" spans="20:31" x14ac:dyDescent="0.25">
      <c r="T3493" s="81"/>
      <c r="W3493" s="185"/>
      <c r="AE3493" s="185"/>
    </row>
    <row r="3494" spans="20:31" x14ac:dyDescent="0.25">
      <c r="T3494" s="81"/>
      <c r="W3494" s="185"/>
      <c r="AE3494" s="185"/>
    </row>
    <row r="3495" spans="20:31" x14ac:dyDescent="0.25">
      <c r="T3495" s="81"/>
      <c r="W3495" s="185"/>
      <c r="AE3495" s="185"/>
    </row>
    <row r="3496" spans="20:31" x14ac:dyDescent="0.25">
      <c r="T3496" s="81"/>
      <c r="W3496" s="185"/>
      <c r="AE3496" s="185"/>
    </row>
    <row r="3497" spans="20:31" x14ac:dyDescent="0.25">
      <c r="T3497" s="81"/>
      <c r="W3497" s="185"/>
      <c r="AE3497" s="185"/>
    </row>
    <row r="3498" spans="20:31" x14ac:dyDescent="0.25">
      <c r="T3498" s="81"/>
      <c r="W3498" s="185"/>
      <c r="AE3498" s="185"/>
    </row>
    <row r="3499" spans="20:31" x14ac:dyDescent="0.25">
      <c r="T3499" s="81"/>
      <c r="W3499" s="185"/>
      <c r="AE3499" s="185"/>
    </row>
    <row r="3500" spans="20:31" x14ac:dyDescent="0.25">
      <c r="T3500" s="81"/>
      <c r="W3500" s="185"/>
      <c r="AE3500" s="185"/>
    </row>
    <row r="3501" spans="20:31" x14ac:dyDescent="0.25">
      <c r="T3501" s="81"/>
      <c r="W3501" s="185"/>
      <c r="AE3501" s="185"/>
    </row>
    <row r="3502" spans="20:31" x14ac:dyDescent="0.25">
      <c r="T3502" s="81"/>
      <c r="W3502" s="185"/>
      <c r="AE3502" s="185"/>
    </row>
    <row r="3503" spans="20:31" x14ac:dyDescent="0.25">
      <c r="T3503" s="81"/>
      <c r="W3503" s="185"/>
      <c r="AE3503" s="185"/>
    </row>
    <row r="3504" spans="20:31" x14ac:dyDescent="0.25">
      <c r="T3504" s="81"/>
      <c r="W3504" s="185"/>
      <c r="AE3504" s="185"/>
    </row>
    <row r="3505" spans="20:31" x14ac:dyDescent="0.25">
      <c r="T3505" s="81"/>
      <c r="W3505" s="185"/>
      <c r="AE3505" s="185"/>
    </row>
    <row r="3506" spans="20:31" x14ac:dyDescent="0.25">
      <c r="T3506" s="81"/>
      <c r="W3506" s="185"/>
      <c r="AE3506" s="185"/>
    </row>
    <row r="3507" spans="20:31" x14ac:dyDescent="0.25">
      <c r="T3507" s="81"/>
      <c r="W3507" s="185"/>
      <c r="AE3507" s="185"/>
    </row>
    <row r="3508" spans="20:31" x14ac:dyDescent="0.25">
      <c r="T3508" s="81"/>
      <c r="W3508" s="185"/>
      <c r="AE3508" s="185"/>
    </row>
    <row r="3509" spans="20:31" x14ac:dyDescent="0.25">
      <c r="T3509" s="81"/>
      <c r="W3509" s="185"/>
      <c r="AE3509" s="185"/>
    </row>
    <row r="3510" spans="20:31" x14ac:dyDescent="0.25">
      <c r="T3510" s="81"/>
      <c r="W3510" s="185"/>
      <c r="AE3510" s="185"/>
    </row>
    <row r="3511" spans="20:31" x14ac:dyDescent="0.25">
      <c r="T3511" s="81"/>
      <c r="W3511" s="185"/>
      <c r="AE3511" s="185"/>
    </row>
    <row r="3512" spans="20:31" x14ac:dyDescent="0.25">
      <c r="T3512" s="81"/>
      <c r="W3512" s="185"/>
      <c r="AE3512" s="185"/>
    </row>
    <row r="3513" spans="20:31" x14ac:dyDescent="0.25">
      <c r="T3513" s="81"/>
      <c r="W3513" s="185"/>
      <c r="AE3513" s="185"/>
    </row>
    <row r="3514" spans="20:31" x14ac:dyDescent="0.25">
      <c r="T3514" s="81"/>
      <c r="W3514" s="185"/>
      <c r="AE3514" s="185"/>
    </row>
    <row r="3515" spans="20:31" x14ac:dyDescent="0.25">
      <c r="T3515" s="81"/>
      <c r="W3515" s="185"/>
      <c r="AE3515" s="185"/>
    </row>
    <row r="3516" spans="20:31" x14ac:dyDescent="0.25">
      <c r="T3516" s="81"/>
      <c r="W3516" s="185"/>
      <c r="AE3516" s="185"/>
    </row>
    <row r="3517" spans="20:31" x14ac:dyDescent="0.25">
      <c r="T3517" s="81"/>
      <c r="W3517" s="185"/>
      <c r="AE3517" s="185"/>
    </row>
    <row r="3518" spans="20:31" x14ac:dyDescent="0.25">
      <c r="T3518" s="81"/>
      <c r="W3518" s="185"/>
      <c r="AE3518" s="185"/>
    </row>
    <row r="3519" spans="20:31" x14ac:dyDescent="0.25">
      <c r="T3519" s="81"/>
      <c r="W3519" s="185"/>
      <c r="AE3519" s="185"/>
    </row>
    <row r="3520" spans="20:31" x14ac:dyDescent="0.25">
      <c r="T3520" s="81"/>
      <c r="W3520" s="185"/>
      <c r="AE3520" s="185"/>
    </row>
    <row r="3521" spans="20:31" x14ac:dyDescent="0.25">
      <c r="T3521" s="81"/>
      <c r="W3521" s="185"/>
      <c r="AE3521" s="185"/>
    </row>
    <row r="3522" spans="20:31" x14ac:dyDescent="0.25">
      <c r="T3522" s="81"/>
      <c r="W3522" s="185"/>
      <c r="AE3522" s="185"/>
    </row>
    <row r="3523" spans="20:31" x14ac:dyDescent="0.25">
      <c r="T3523" s="81"/>
      <c r="W3523" s="185"/>
      <c r="AE3523" s="185"/>
    </row>
    <row r="3524" spans="20:31" x14ac:dyDescent="0.25">
      <c r="T3524" s="81"/>
      <c r="W3524" s="185"/>
      <c r="AE3524" s="185"/>
    </row>
    <row r="3525" spans="20:31" x14ac:dyDescent="0.25">
      <c r="T3525" s="81"/>
      <c r="W3525" s="185"/>
      <c r="AE3525" s="185"/>
    </row>
    <row r="3526" spans="20:31" x14ac:dyDescent="0.25">
      <c r="T3526" s="81"/>
      <c r="W3526" s="185"/>
      <c r="AE3526" s="185"/>
    </row>
    <row r="3527" spans="20:31" x14ac:dyDescent="0.25">
      <c r="T3527" s="81"/>
      <c r="W3527" s="185"/>
      <c r="AE3527" s="185"/>
    </row>
    <row r="3528" spans="20:31" x14ac:dyDescent="0.25">
      <c r="T3528" s="81"/>
      <c r="W3528" s="185"/>
      <c r="AE3528" s="185"/>
    </row>
    <row r="3529" spans="20:31" x14ac:dyDescent="0.25">
      <c r="T3529" s="81"/>
      <c r="W3529" s="185"/>
      <c r="AE3529" s="185"/>
    </row>
    <row r="3530" spans="20:31" x14ac:dyDescent="0.25">
      <c r="T3530" s="81"/>
      <c r="W3530" s="185"/>
      <c r="AE3530" s="185"/>
    </row>
    <row r="3531" spans="20:31" x14ac:dyDescent="0.25">
      <c r="T3531" s="81"/>
      <c r="W3531" s="185"/>
      <c r="AE3531" s="185"/>
    </row>
    <row r="3532" spans="20:31" x14ac:dyDescent="0.25">
      <c r="T3532" s="81"/>
      <c r="W3532" s="185"/>
      <c r="AE3532" s="185"/>
    </row>
    <row r="3533" spans="20:31" x14ac:dyDescent="0.25">
      <c r="T3533" s="81"/>
      <c r="W3533" s="185"/>
      <c r="AE3533" s="185"/>
    </row>
    <row r="3534" spans="20:31" x14ac:dyDescent="0.25">
      <c r="T3534" s="81"/>
      <c r="W3534" s="185"/>
      <c r="AE3534" s="185"/>
    </row>
    <row r="3535" spans="20:31" x14ac:dyDescent="0.25">
      <c r="T3535" s="81"/>
      <c r="W3535" s="185"/>
      <c r="AE3535" s="185"/>
    </row>
    <row r="3536" spans="20:31" x14ac:dyDescent="0.25">
      <c r="T3536" s="81"/>
      <c r="W3536" s="185"/>
      <c r="AE3536" s="185"/>
    </row>
    <row r="3537" spans="20:31" x14ac:dyDescent="0.25">
      <c r="T3537" s="81"/>
      <c r="W3537" s="185"/>
      <c r="AE3537" s="185"/>
    </row>
    <row r="3538" spans="20:31" x14ac:dyDescent="0.25">
      <c r="T3538" s="81"/>
      <c r="W3538" s="185"/>
      <c r="AE3538" s="185"/>
    </row>
    <row r="3539" spans="20:31" x14ac:dyDescent="0.25">
      <c r="T3539" s="81"/>
      <c r="W3539" s="185"/>
      <c r="AE3539" s="185"/>
    </row>
    <row r="3540" spans="20:31" x14ac:dyDescent="0.25">
      <c r="T3540" s="81"/>
      <c r="W3540" s="185"/>
      <c r="AE3540" s="185"/>
    </row>
    <row r="3541" spans="20:31" x14ac:dyDescent="0.25">
      <c r="T3541" s="81"/>
      <c r="W3541" s="185"/>
      <c r="AE3541" s="185"/>
    </row>
    <row r="3542" spans="20:31" x14ac:dyDescent="0.25">
      <c r="T3542" s="81"/>
      <c r="W3542" s="185"/>
      <c r="AE3542" s="185"/>
    </row>
    <row r="3543" spans="20:31" x14ac:dyDescent="0.25">
      <c r="T3543" s="81"/>
      <c r="W3543" s="185"/>
      <c r="AE3543" s="185"/>
    </row>
    <row r="3544" spans="20:31" x14ac:dyDescent="0.25">
      <c r="T3544" s="81"/>
      <c r="W3544" s="185"/>
      <c r="AE3544" s="185"/>
    </row>
    <row r="3545" spans="20:31" x14ac:dyDescent="0.25">
      <c r="T3545" s="81"/>
      <c r="W3545" s="185"/>
      <c r="AE3545" s="185"/>
    </row>
    <row r="3546" spans="20:31" x14ac:dyDescent="0.25">
      <c r="T3546" s="81"/>
      <c r="W3546" s="185"/>
      <c r="AE3546" s="185"/>
    </row>
    <row r="3547" spans="20:31" x14ac:dyDescent="0.25">
      <c r="T3547" s="81"/>
      <c r="W3547" s="185"/>
      <c r="AE3547" s="185"/>
    </row>
    <row r="3548" spans="20:31" x14ac:dyDescent="0.25">
      <c r="T3548" s="81"/>
      <c r="W3548" s="185"/>
      <c r="AE3548" s="185"/>
    </row>
    <row r="3549" spans="20:31" x14ac:dyDescent="0.25">
      <c r="T3549" s="81"/>
      <c r="W3549" s="185"/>
      <c r="AE3549" s="185"/>
    </row>
    <row r="3550" spans="20:31" x14ac:dyDescent="0.25">
      <c r="T3550" s="81"/>
      <c r="W3550" s="185"/>
      <c r="AE3550" s="185"/>
    </row>
    <row r="3551" spans="20:31" x14ac:dyDescent="0.25">
      <c r="T3551" s="81"/>
      <c r="W3551" s="185"/>
      <c r="AE3551" s="185"/>
    </row>
    <row r="3552" spans="20:31" x14ac:dyDescent="0.25">
      <c r="T3552" s="81"/>
      <c r="W3552" s="185"/>
      <c r="AE3552" s="185"/>
    </row>
    <row r="3553" spans="20:31" x14ac:dyDescent="0.25">
      <c r="T3553" s="81"/>
      <c r="W3553" s="185"/>
      <c r="AE3553" s="185"/>
    </row>
    <row r="3554" spans="20:31" x14ac:dyDescent="0.25">
      <c r="T3554" s="81"/>
      <c r="W3554" s="185"/>
      <c r="AE3554" s="185"/>
    </row>
    <row r="3555" spans="20:31" x14ac:dyDescent="0.25">
      <c r="T3555" s="81"/>
      <c r="W3555" s="185"/>
      <c r="AE3555" s="185"/>
    </row>
    <row r="3556" spans="20:31" x14ac:dyDescent="0.25">
      <c r="T3556" s="81"/>
      <c r="W3556" s="185"/>
      <c r="AE3556" s="185"/>
    </row>
    <row r="3557" spans="20:31" x14ac:dyDescent="0.25">
      <c r="T3557" s="81"/>
      <c r="W3557" s="185"/>
      <c r="AE3557" s="185"/>
    </row>
    <row r="3558" spans="20:31" x14ac:dyDescent="0.25">
      <c r="T3558" s="81"/>
      <c r="W3558" s="185"/>
      <c r="AE3558" s="185"/>
    </row>
    <row r="3559" spans="20:31" x14ac:dyDescent="0.25">
      <c r="T3559" s="81"/>
      <c r="W3559" s="185"/>
      <c r="AE3559" s="185"/>
    </row>
    <row r="3560" spans="20:31" x14ac:dyDescent="0.25">
      <c r="T3560" s="81"/>
      <c r="W3560" s="185"/>
      <c r="AE3560" s="185"/>
    </row>
    <row r="3561" spans="20:31" x14ac:dyDescent="0.25">
      <c r="T3561" s="81"/>
      <c r="W3561" s="185"/>
      <c r="AE3561" s="185"/>
    </row>
    <row r="3562" spans="20:31" x14ac:dyDescent="0.25">
      <c r="T3562" s="81"/>
      <c r="W3562" s="185"/>
      <c r="AE3562" s="185"/>
    </row>
    <row r="3563" spans="20:31" x14ac:dyDescent="0.25">
      <c r="T3563" s="81"/>
      <c r="W3563" s="185"/>
      <c r="AE3563" s="185"/>
    </row>
    <row r="3564" spans="20:31" x14ac:dyDescent="0.25">
      <c r="T3564" s="81"/>
      <c r="W3564" s="185"/>
      <c r="AE3564" s="185"/>
    </row>
    <row r="3565" spans="20:31" x14ac:dyDescent="0.25">
      <c r="T3565" s="81"/>
      <c r="W3565" s="185"/>
      <c r="AE3565" s="185"/>
    </row>
    <row r="3566" spans="20:31" x14ac:dyDescent="0.25">
      <c r="T3566" s="81"/>
      <c r="W3566" s="185"/>
      <c r="AE3566" s="185"/>
    </row>
    <row r="3567" spans="20:31" x14ac:dyDescent="0.25">
      <c r="T3567" s="81"/>
      <c r="W3567" s="185"/>
      <c r="AE3567" s="185"/>
    </row>
    <row r="3568" spans="20:31" x14ac:dyDescent="0.25">
      <c r="T3568" s="81"/>
      <c r="W3568" s="185"/>
      <c r="AE3568" s="185"/>
    </row>
    <row r="3569" spans="20:31" x14ac:dyDescent="0.25">
      <c r="T3569" s="81"/>
      <c r="W3569" s="185"/>
      <c r="AE3569" s="185"/>
    </row>
    <row r="3570" spans="20:31" x14ac:dyDescent="0.25">
      <c r="T3570" s="81"/>
      <c r="W3570" s="185"/>
      <c r="AE3570" s="185"/>
    </row>
    <row r="3571" spans="20:31" x14ac:dyDescent="0.25">
      <c r="T3571" s="81"/>
      <c r="W3571" s="185"/>
      <c r="AE3571" s="185"/>
    </row>
    <row r="3572" spans="20:31" x14ac:dyDescent="0.25">
      <c r="T3572" s="81"/>
      <c r="W3572" s="185"/>
      <c r="AE3572" s="185"/>
    </row>
    <row r="3573" spans="20:31" x14ac:dyDescent="0.25">
      <c r="T3573" s="81"/>
      <c r="W3573" s="185"/>
      <c r="AE3573" s="185"/>
    </row>
    <row r="3574" spans="20:31" x14ac:dyDescent="0.25">
      <c r="T3574" s="81"/>
      <c r="W3574" s="185"/>
      <c r="AE3574" s="185"/>
    </row>
    <row r="3575" spans="20:31" x14ac:dyDescent="0.25">
      <c r="T3575" s="81"/>
      <c r="W3575" s="185"/>
      <c r="AE3575" s="185"/>
    </row>
    <row r="3576" spans="20:31" x14ac:dyDescent="0.25">
      <c r="T3576" s="81"/>
      <c r="W3576" s="185"/>
      <c r="AE3576" s="185"/>
    </row>
    <row r="3577" spans="20:31" x14ac:dyDescent="0.25">
      <c r="T3577" s="81"/>
      <c r="W3577" s="185"/>
      <c r="AE3577" s="185"/>
    </row>
    <row r="3578" spans="20:31" x14ac:dyDescent="0.25">
      <c r="T3578" s="81"/>
      <c r="W3578" s="185"/>
      <c r="AE3578" s="185"/>
    </row>
    <row r="3579" spans="20:31" x14ac:dyDescent="0.25">
      <c r="T3579" s="81"/>
      <c r="W3579" s="185"/>
      <c r="AE3579" s="185"/>
    </row>
    <row r="3580" spans="20:31" x14ac:dyDescent="0.25">
      <c r="T3580" s="81"/>
      <c r="W3580" s="185"/>
      <c r="AE3580" s="185"/>
    </row>
    <row r="3581" spans="20:31" x14ac:dyDescent="0.25">
      <c r="T3581" s="81"/>
      <c r="W3581" s="185"/>
      <c r="AE3581" s="185"/>
    </row>
    <row r="3582" spans="20:31" x14ac:dyDescent="0.25">
      <c r="T3582" s="81"/>
      <c r="W3582" s="185"/>
      <c r="AE3582" s="185"/>
    </row>
    <row r="3583" spans="20:31" x14ac:dyDescent="0.25">
      <c r="T3583" s="81"/>
      <c r="W3583" s="185"/>
      <c r="AE3583" s="185"/>
    </row>
    <row r="3584" spans="20:31" x14ac:dyDescent="0.25">
      <c r="T3584" s="81"/>
      <c r="W3584" s="185"/>
      <c r="AE3584" s="185"/>
    </row>
    <row r="3585" spans="20:31" x14ac:dyDescent="0.25">
      <c r="T3585" s="81"/>
      <c r="W3585" s="185"/>
      <c r="AE3585" s="185"/>
    </row>
    <row r="3586" spans="20:31" x14ac:dyDescent="0.25">
      <c r="T3586" s="81"/>
      <c r="W3586" s="185"/>
      <c r="AE3586" s="185"/>
    </row>
    <row r="3587" spans="20:31" x14ac:dyDescent="0.25">
      <c r="T3587" s="81"/>
      <c r="W3587" s="185"/>
      <c r="AE3587" s="185"/>
    </row>
    <row r="3588" spans="20:31" x14ac:dyDescent="0.25">
      <c r="T3588" s="81"/>
      <c r="W3588" s="185"/>
      <c r="AE3588" s="185"/>
    </row>
    <row r="3589" spans="20:31" x14ac:dyDescent="0.25">
      <c r="T3589" s="81"/>
      <c r="W3589" s="185"/>
      <c r="AE3589" s="185"/>
    </row>
    <row r="3590" spans="20:31" x14ac:dyDescent="0.25">
      <c r="T3590" s="81"/>
      <c r="W3590" s="185"/>
      <c r="AE3590" s="185"/>
    </row>
    <row r="3591" spans="20:31" x14ac:dyDescent="0.25">
      <c r="T3591" s="81"/>
      <c r="W3591" s="185"/>
      <c r="AE3591" s="185"/>
    </row>
    <row r="3592" spans="20:31" x14ac:dyDescent="0.25">
      <c r="T3592" s="81"/>
      <c r="W3592" s="185"/>
      <c r="AE3592" s="185"/>
    </row>
    <row r="3593" spans="20:31" x14ac:dyDescent="0.25">
      <c r="T3593" s="81"/>
      <c r="W3593" s="185"/>
      <c r="AE3593" s="185"/>
    </row>
    <row r="3594" spans="20:31" x14ac:dyDescent="0.25">
      <c r="T3594" s="81"/>
      <c r="W3594" s="185"/>
      <c r="AE3594" s="185"/>
    </row>
    <row r="3595" spans="20:31" x14ac:dyDescent="0.25">
      <c r="T3595" s="81"/>
      <c r="W3595" s="185"/>
      <c r="AE3595" s="185"/>
    </row>
    <row r="3596" spans="20:31" x14ac:dyDescent="0.25">
      <c r="T3596" s="81"/>
      <c r="W3596" s="185"/>
      <c r="AE3596" s="185"/>
    </row>
    <row r="3597" spans="20:31" x14ac:dyDescent="0.25">
      <c r="T3597" s="81"/>
      <c r="W3597" s="185"/>
      <c r="AE3597" s="185"/>
    </row>
    <row r="3598" spans="20:31" x14ac:dyDescent="0.25">
      <c r="T3598" s="81"/>
      <c r="W3598" s="185"/>
      <c r="AE3598" s="185"/>
    </row>
    <row r="3599" spans="20:31" x14ac:dyDescent="0.25">
      <c r="T3599" s="81"/>
      <c r="W3599" s="185"/>
      <c r="AE3599" s="185"/>
    </row>
    <row r="3600" spans="20:31" x14ac:dyDescent="0.25">
      <c r="T3600" s="81"/>
      <c r="W3600" s="185"/>
      <c r="AE3600" s="185"/>
    </row>
    <row r="3601" spans="20:31" x14ac:dyDescent="0.25">
      <c r="T3601" s="81"/>
      <c r="W3601" s="185"/>
      <c r="AE3601" s="185"/>
    </row>
    <row r="3602" spans="20:31" x14ac:dyDescent="0.25">
      <c r="T3602" s="81"/>
      <c r="W3602" s="185"/>
      <c r="AE3602" s="185"/>
    </row>
    <row r="3603" spans="20:31" x14ac:dyDescent="0.25">
      <c r="T3603" s="81"/>
      <c r="W3603" s="185"/>
      <c r="AE3603" s="185"/>
    </row>
    <row r="3604" spans="20:31" x14ac:dyDescent="0.25">
      <c r="T3604" s="81"/>
      <c r="W3604" s="185"/>
      <c r="AE3604" s="185"/>
    </row>
    <row r="3605" spans="20:31" x14ac:dyDescent="0.25">
      <c r="T3605" s="81"/>
      <c r="W3605" s="185"/>
      <c r="AE3605" s="185"/>
    </row>
    <row r="3606" spans="20:31" x14ac:dyDescent="0.25">
      <c r="T3606" s="81"/>
      <c r="W3606" s="185"/>
      <c r="AE3606" s="185"/>
    </row>
    <row r="3607" spans="20:31" x14ac:dyDescent="0.25">
      <c r="T3607" s="81"/>
      <c r="W3607" s="185"/>
      <c r="AE3607" s="185"/>
    </row>
    <row r="3608" spans="20:31" x14ac:dyDescent="0.25">
      <c r="T3608" s="81"/>
      <c r="W3608" s="185"/>
      <c r="AE3608" s="185"/>
    </row>
    <row r="3609" spans="20:31" x14ac:dyDescent="0.25">
      <c r="T3609" s="81"/>
      <c r="W3609" s="185"/>
      <c r="AE3609" s="185"/>
    </row>
    <row r="3610" spans="20:31" x14ac:dyDescent="0.25">
      <c r="T3610" s="81"/>
      <c r="W3610" s="185"/>
      <c r="AE3610" s="185"/>
    </row>
    <row r="3611" spans="20:31" x14ac:dyDescent="0.25">
      <c r="T3611" s="81"/>
      <c r="W3611" s="185"/>
      <c r="AE3611" s="185"/>
    </row>
    <row r="3612" spans="20:31" x14ac:dyDescent="0.25">
      <c r="T3612" s="81"/>
      <c r="W3612" s="185"/>
      <c r="AE3612" s="185"/>
    </row>
    <row r="3613" spans="20:31" x14ac:dyDescent="0.25">
      <c r="T3613" s="81"/>
      <c r="W3613" s="185"/>
      <c r="AE3613" s="185"/>
    </row>
    <row r="3614" spans="20:31" x14ac:dyDescent="0.25">
      <c r="T3614" s="81"/>
      <c r="W3614" s="185"/>
      <c r="AE3614" s="185"/>
    </row>
    <row r="3615" spans="20:31" x14ac:dyDescent="0.25">
      <c r="T3615" s="81"/>
      <c r="W3615" s="185"/>
      <c r="AE3615" s="185"/>
    </row>
    <row r="3616" spans="20:31" x14ac:dyDescent="0.25">
      <c r="T3616" s="81"/>
      <c r="W3616" s="185"/>
      <c r="AE3616" s="185"/>
    </row>
    <row r="3617" spans="20:31" x14ac:dyDescent="0.25">
      <c r="T3617" s="81"/>
      <c r="W3617" s="185"/>
      <c r="AE3617" s="185"/>
    </row>
    <row r="3618" spans="20:31" x14ac:dyDescent="0.25">
      <c r="T3618" s="81"/>
      <c r="W3618" s="185"/>
      <c r="AE3618" s="185"/>
    </row>
    <row r="3619" spans="20:31" x14ac:dyDescent="0.25">
      <c r="T3619" s="81"/>
      <c r="W3619" s="185"/>
      <c r="AE3619" s="185"/>
    </row>
    <row r="3620" spans="20:31" x14ac:dyDescent="0.25">
      <c r="T3620" s="81"/>
      <c r="W3620" s="185"/>
      <c r="AE3620" s="185"/>
    </row>
    <row r="3621" spans="20:31" x14ac:dyDescent="0.25">
      <c r="T3621" s="81"/>
      <c r="W3621" s="185"/>
      <c r="AE3621" s="185"/>
    </row>
    <row r="3622" spans="20:31" x14ac:dyDescent="0.25">
      <c r="T3622" s="81"/>
      <c r="W3622" s="185"/>
      <c r="AE3622" s="185"/>
    </row>
    <row r="3623" spans="20:31" x14ac:dyDescent="0.25">
      <c r="T3623" s="81"/>
      <c r="W3623" s="185"/>
      <c r="AE3623" s="185"/>
    </row>
    <row r="3624" spans="20:31" x14ac:dyDescent="0.25">
      <c r="T3624" s="81"/>
      <c r="W3624" s="185"/>
      <c r="AE3624" s="185"/>
    </row>
    <row r="3625" spans="20:31" x14ac:dyDescent="0.25">
      <c r="T3625" s="81"/>
      <c r="W3625" s="185"/>
      <c r="AE3625" s="185"/>
    </row>
    <row r="3626" spans="20:31" x14ac:dyDescent="0.25">
      <c r="T3626" s="81"/>
      <c r="W3626" s="185"/>
      <c r="AE3626" s="185"/>
    </row>
    <row r="3627" spans="20:31" x14ac:dyDescent="0.25">
      <c r="T3627" s="81"/>
      <c r="W3627" s="185"/>
      <c r="AE3627" s="185"/>
    </row>
    <row r="3628" spans="20:31" x14ac:dyDescent="0.25">
      <c r="T3628" s="81"/>
      <c r="W3628" s="185"/>
      <c r="AE3628" s="185"/>
    </row>
    <row r="3629" spans="20:31" x14ac:dyDescent="0.25">
      <c r="T3629" s="81"/>
      <c r="W3629" s="185"/>
      <c r="AE3629" s="185"/>
    </row>
    <row r="3630" spans="20:31" x14ac:dyDescent="0.25">
      <c r="T3630" s="81"/>
      <c r="W3630" s="185"/>
      <c r="AE3630" s="185"/>
    </row>
    <row r="3631" spans="20:31" x14ac:dyDescent="0.25">
      <c r="T3631" s="81"/>
      <c r="W3631" s="185"/>
      <c r="AE3631" s="185"/>
    </row>
    <row r="3632" spans="20:31" x14ac:dyDescent="0.25">
      <c r="T3632" s="81"/>
      <c r="W3632" s="185"/>
      <c r="AE3632" s="185"/>
    </row>
    <row r="3633" spans="20:31" x14ac:dyDescent="0.25">
      <c r="T3633" s="81"/>
      <c r="W3633" s="185"/>
      <c r="AE3633" s="185"/>
    </row>
    <row r="3634" spans="20:31" x14ac:dyDescent="0.25">
      <c r="T3634" s="81"/>
      <c r="W3634" s="185"/>
      <c r="AE3634" s="185"/>
    </row>
    <row r="3635" spans="20:31" x14ac:dyDescent="0.25">
      <c r="T3635" s="81"/>
      <c r="W3635" s="185"/>
      <c r="AE3635" s="185"/>
    </row>
    <row r="3636" spans="20:31" x14ac:dyDescent="0.25">
      <c r="T3636" s="81"/>
      <c r="W3636" s="185"/>
      <c r="AE3636" s="185"/>
    </row>
    <row r="3637" spans="20:31" x14ac:dyDescent="0.25">
      <c r="T3637" s="81"/>
      <c r="W3637" s="185"/>
      <c r="AE3637" s="185"/>
    </row>
    <row r="3638" spans="20:31" x14ac:dyDescent="0.25">
      <c r="T3638" s="81"/>
      <c r="W3638" s="185"/>
      <c r="AE3638" s="185"/>
    </row>
    <row r="3639" spans="20:31" x14ac:dyDescent="0.25">
      <c r="T3639" s="81"/>
      <c r="W3639" s="185"/>
      <c r="AE3639" s="185"/>
    </row>
    <row r="3640" spans="20:31" x14ac:dyDescent="0.25">
      <c r="T3640" s="81"/>
      <c r="W3640" s="185"/>
      <c r="AE3640" s="185"/>
    </row>
    <row r="3641" spans="20:31" x14ac:dyDescent="0.25">
      <c r="T3641" s="81"/>
      <c r="W3641" s="185"/>
      <c r="AE3641" s="185"/>
    </row>
    <row r="3642" spans="20:31" x14ac:dyDescent="0.25">
      <c r="T3642" s="81"/>
      <c r="W3642" s="185"/>
      <c r="AE3642" s="185"/>
    </row>
    <row r="3643" spans="20:31" x14ac:dyDescent="0.25">
      <c r="T3643" s="81"/>
      <c r="W3643" s="185"/>
      <c r="AE3643" s="185"/>
    </row>
    <row r="3644" spans="20:31" x14ac:dyDescent="0.25">
      <c r="T3644" s="81"/>
      <c r="W3644" s="185"/>
      <c r="AE3644" s="185"/>
    </row>
    <row r="3645" spans="20:31" x14ac:dyDescent="0.25">
      <c r="T3645" s="81"/>
      <c r="W3645" s="185"/>
      <c r="AE3645" s="185"/>
    </row>
    <row r="3646" spans="20:31" x14ac:dyDescent="0.25">
      <c r="T3646" s="81"/>
      <c r="W3646" s="185"/>
      <c r="AE3646" s="185"/>
    </row>
    <row r="3647" spans="20:31" x14ac:dyDescent="0.25">
      <c r="T3647" s="81"/>
      <c r="W3647" s="185"/>
      <c r="AE3647" s="185"/>
    </row>
    <row r="3648" spans="20:31" x14ac:dyDescent="0.25">
      <c r="T3648" s="81"/>
      <c r="W3648" s="185"/>
      <c r="AE3648" s="185"/>
    </row>
    <row r="3649" spans="20:31" x14ac:dyDescent="0.25">
      <c r="T3649" s="81"/>
      <c r="W3649" s="185"/>
      <c r="AE3649" s="185"/>
    </row>
    <row r="3650" spans="20:31" x14ac:dyDescent="0.25">
      <c r="T3650" s="81"/>
      <c r="W3650" s="185"/>
      <c r="AE3650" s="185"/>
    </row>
    <row r="3651" spans="20:31" x14ac:dyDescent="0.25">
      <c r="T3651" s="81"/>
      <c r="W3651" s="185"/>
      <c r="AE3651" s="185"/>
    </row>
    <row r="3652" spans="20:31" x14ac:dyDescent="0.25">
      <c r="T3652" s="81"/>
      <c r="W3652" s="185"/>
      <c r="AE3652" s="185"/>
    </row>
    <row r="3653" spans="20:31" x14ac:dyDescent="0.25">
      <c r="T3653" s="81"/>
      <c r="W3653" s="185"/>
      <c r="AE3653" s="185"/>
    </row>
    <row r="3654" spans="20:31" x14ac:dyDescent="0.25">
      <c r="T3654" s="81"/>
      <c r="W3654" s="185"/>
      <c r="AE3654" s="185"/>
    </row>
    <row r="3655" spans="20:31" x14ac:dyDescent="0.25">
      <c r="T3655" s="81"/>
      <c r="W3655" s="185"/>
      <c r="AE3655" s="185"/>
    </row>
    <row r="3656" spans="20:31" x14ac:dyDescent="0.25">
      <c r="T3656" s="81"/>
      <c r="W3656" s="185"/>
      <c r="AE3656" s="185"/>
    </row>
    <row r="3657" spans="20:31" x14ac:dyDescent="0.25">
      <c r="T3657" s="81"/>
      <c r="W3657" s="185"/>
      <c r="AE3657" s="185"/>
    </row>
    <row r="3658" spans="20:31" x14ac:dyDescent="0.25">
      <c r="T3658" s="81"/>
      <c r="W3658" s="185"/>
      <c r="AE3658" s="185"/>
    </row>
    <row r="3659" spans="20:31" x14ac:dyDescent="0.25">
      <c r="T3659" s="81"/>
      <c r="W3659" s="185"/>
      <c r="AE3659" s="185"/>
    </row>
    <row r="3660" spans="20:31" x14ac:dyDescent="0.25">
      <c r="T3660" s="81"/>
      <c r="W3660" s="185"/>
      <c r="AE3660" s="185"/>
    </row>
    <row r="3661" spans="20:31" x14ac:dyDescent="0.25">
      <c r="T3661" s="81"/>
      <c r="W3661" s="185"/>
      <c r="AE3661" s="185"/>
    </row>
    <row r="3662" spans="20:31" x14ac:dyDescent="0.25">
      <c r="T3662" s="81"/>
      <c r="W3662" s="185"/>
      <c r="AE3662" s="185"/>
    </row>
    <row r="3663" spans="20:31" x14ac:dyDescent="0.25">
      <c r="T3663" s="81"/>
      <c r="W3663" s="185"/>
      <c r="AE3663" s="185"/>
    </row>
    <row r="3664" spans="20:31" x14ac:dyDescent="0.25">
      <c r="T3664" s="81"/>
      <c r="W3664" s="185"/>
      <c r="AE3664" s="185"/>
    </row>
    <row r="3665" spans="20:31" x14ac:dyDescent="0.25">
      <c r="T3665" s="81"/>
      <c r="W3665" s="185"/>
      <c r="AE3665" s="185"/>
    </row>
    <row r="3666" spans="20:31" x14ac:dyDescent="0.25">
      <c r="T3666" s="81"/>
      <c r="W3666" s="185"/>
      <c r="AE3666" s="185"/>
    </row>
    <row r="3667" spans="20:31" x14ac:dyDescent="0.25">
      <c r="T3667" s="81"/>
      <c r="W3667" s="185"/>
      <c r="AE3667" s="185"/>
    </row>
    <row r="3668" spans="20:31" x14ac:dyDescent="0.25">
      <c r="T3668" s="81"/>
      <c r="W3668" s="185"/>
      <c r="AE3668" s="185"/>
    </row>
    <row r="3669" spans="20:31" x14ac:dyDescent="0.25">
      <c r="T3669" s="81"/>
      <c r="W3669" s="185"/>
      <c r="AE3669" s="185"/>
    </row>
    <row r="3670" spans="20:31" x14ac:dyDescent="0.25">
      <c r="T3670" s="81"/>
      <c r="W3670" s="185"/>
      <c r="AE3670" s="185"/>
    </row>
    <row r="3671" spans="20:31" x14ac:dyDescent="0.25">
      <c r="T3671" s="81"/>
      <c r="W3671" s="185"/>
      <c r="AE3671" s="185"/>
    </row>
    <row r="3672" spans="20:31" x14ac:dyDescent="0.25">
      <c r="T3672" s="81"/>
      <c r="W3672" s="185"/>
      <c r="AE3672" s="185"/>
    </row>
    <row r="3673" spans="20:31" x14ac:dyDescent="0.25">
      <c r="T3673" s="81"/>
      <c r="W3673" s="185"/>
      <c r="AE3673" s="185"/>
    </row>
    <row r="3674" spans="20:31" x14ac:dyDescent="0.25">
      <c r="T3674" s="81"/>
      <c r="W3674" s="185"/>
      <c r="AE3674" s="185"/>
    </row>
    <row r="3675" spans="20:31" x14ac:dyDescent="0.25">
      <c r="T3675" s="81"/>
      <c r="W3675" s="185"/>
      <c r="AE3675" s="185"/>
    </row>
    <row r="3676" spans="20:31" x14ac:dyDescent="0.25">
      <c r="T3676" s="81"/>
      <c r="W3676" s="185"/>
      <c r="AE3676" s="185"/>
    </row>
    <row r="3677" spans="20:31" x14ac:dyDescent="0.25">
      <c r="T3677" s="81"/>
      <c r="W3677" s="185"/>
      <c r="AE3677" s="185"/>
    </row>
    <row r="3678" spans="20:31" x14ac:dyDescent="0.25">
      <c r="T3678" s="81"/>
      <c r="W3678" s="185"/>
      <c r="AE3678" s="185"/>
    </row>
    <row r="3679" spans="20:31" x14ac:dyDescent="0.25">
      <c r="T3679" s="81"/>
      <c r="W3679" s="185"/>
      <c r="AE3679" s="185"/>
    </row>
    <row r="3680" spans="20:31" x14ac:dyDescent="0.25">
      <c r="T3680" s="81"/>
      <c r="W3680" s="185"/>
      <c r="AE3680" s="185"/>
    </row>
    <row r="3681" spans="20:31" x14ac:dyDescent="0.25">
      <c r="T3681" s="81"/>
      <c r="W3681" s="185"/>
      <c r="AE3681" s="185"/>
    </row>
    <row r="3682" spans="20:31" x14ac:dyDescent="0.25">
      <c r="T3682" s="81"/>
      <c r="W3682" s="185"/>
      <c r="AE3682" s="185"/>
    </row>
    <row r="3683" spans="20:31" x14ac:dyDescent="0.25">
      <c r="T3683" s="81"/>
      <c r="W3683" s="185"/>
      <c r="AE3683" s="185"/>
    </row>
    <row r="3684" spans="20:31" x14ac:dyDescent="0.25">
      <c r="T3684" s="81"/>
      <c r="W3684" s="185"/>
      <c r="AE3684" s="185"/>
    </row>
    <row r="3685" spans="20:31" x14ac:dyDescent="0.25">
      <c r="T3685" s="81"/>
      <c r="W3685" s="185"/>
      <c r="AE3685" s="185"/>
    </row>
    <row r="3686" spans="20:31" x14ac:dyDescent="0.25">
      <c r="T3686" s="81"/>
      <c r="W3686" s="185"/>
      <c r="AE3686" s="185"/>
    </row>
    <row r="3687" spans="20:31" x14ac:dyDescent="0.25">
      <c r="T3687" s="81"/>
      <c r="W3687" s="185"/>
      <c r="AE3687" s="185"/>
    </row>
    <row r="3688" spans="20:31" x14ac:dyDescent="0.25">
      <c r="T3688" s="81"/>
      <c r="W3688" s="185"/>
      <c r="AE3688" s="185"/>
    </row>
    <row r="3689" spans="20:31" x14ac:dyDescent="0.25">
      <c r="T3689" s="81"/>
      <c r="W3689" s="185"/>
      <c r="AE3689" s="185"/>
    </row>
    <row r="3690" spans="20:31" x14ac:dyDescent="0.25">
      <c r="T3690" s="81"/>
      <c r="W3690" s="185"/>
      <c r="AE3690" s="185"/>
    </row>
    <row r="3691" spans="20:31" x14ac:dyDescent="0.25">
      <c r="T3691" s="81"/>
      <c r="W3691" s="185"/>
      <c r="AE3691" s="185"/>
    </row>
    <row r="3692" spans="20:31" x14ac:dyDescent="0.25">
      <c r="T3692" s="81"/>
      <c r="W3692" s="185"/>
      <c r="AE3692" s="185"/>
    </row>
    <row r="3693" spans="20:31" x14ac:dyDescent="0.25">
      <c r="T3693" s="81"/>
      <c r="W3693" s="185"/>
      <c r="AE3693" s="185"/>
    </row>
    <row r="3694" spans="20:31" x14ac:dyDescent="0.25">
      <c r="T3694" s="81"/>
      <c r="W3694" s="185"/>
      <c r="AE3694" s="185"/>
    </row>
    <row r="3695" spans="20:31" x14ac:dyDescent="0.25">
      <c r="T3695" s="81"/>
      <c r="W3695" s="185"/>
      <c r="AE3695" s="185"/>
    </row>
    <row r="3696" spans="20:31" x14ac:dyDescent="0.25">
      <c r="T3696" s="81"/>
      <c r="W3696" s="185"/>
      <c r="AE3696" s="185"/>
    </row>
    <row r="3697" spans="20:31" x14ac:dyDescent="0.25">
      <c r="T3697" s="81"/>
      <c r="W3697" s="185"/>
      <c r="AE3697" s="185"/>
    </row>
    <row r="3698" spans="20:31" x14ac:dyDescent="0.25">
      <c r="T3698" s="81"/>
      <c r="W3698" s="185"/>
      <c r="AE3698" s="185"/>
    </row>
    <row r="3699" spans="20:31" x14ac:dyDescent="0.25">
      <c r="T3699" s="81"/>
      <c r="W3699" s="185"/>
      <c r="AE3699" s="185"/>
    </row>
    <row r="3700" spans="20:31" x14ac:dyDescent="0.25">
      <c r="T3700" s="81"/>
      <c r="W3700" s="185"/>
      <c r="AE3700" s="185"/>
    </row>
    <row r="3701" spans="20:31" x14ac:dyDescent="0.25">
      <c r="T3701" s="81"/>
      <c r="W3701" s="185"/>
      <c r="AE3701" s="185"/>
    </row>
    <row r="3702" spans="20:31" x14ac:dyDescent="0.25">
      <c r="T3702" s="81"/>
      <c r="W3702" s="185"/>
      <c r="AE3702" s="185"/>
    </row>
    <row r="3703" spans="20:31" x14ac:dyDescent="0.25">
      <c r="T3703" s="81"/>
      <c r="W3703" s="185"/>
      <c r="AE3703" s="185"/>
    </row>
    <row r="3704" spans="20:31" x14ac:dyDescent="0.25">
      <c r="T3704" s="81"/>
      <c r="W3704" s="185"/>
      <c r="AE3704" s="185"/>
    </row>
    <row r="3705" spans="20:31" x14ac:dyDescent="0.25">
      <c r="T3705" s="81"/>
      <c r="W3705" s="185"/>
      <c r="AE3705" s="185"/>
    </row>
    <row r="3706" spans="20:31" x14ac:dyDescent="0.25">
      <c r="T3706" s="81"/>
      <c r="W3706" s="185"/>
      <c r="AE3706" s="185"/>
    </row>
    <row r="3707" spans="20:31" x14ac:dyDescent="0.25">
      <c r="T3707" s="81"/>
      <c r="W3707" s="185"/>
      <c r="AE3707" s="185"/>
    </row>
    <row r="3708" spans="20:31" x14ac:dyDescent="0.25">
      <c r="T3708" s="81"/>
      <c r="W3708" s="185"/>
      <c r="AE3708" s="185"/>
    </row>
    <row r="3709" spans="20:31" x14ac:dyDescent="0.25">
      <c r="T3709" s="81"/>
      <c r="W3709" s="185"/>
      <c r="AE3709" s="185"/>
    </row>
    <row r="3710" spans="20:31" x14ac:dyDescent="0.25">
      <c r="T3710" s="81"/>
      <c r="W3710" s="185"/>
      <c r="AE3710" s="185"/>
    </row>
    <row r="3711" spans="20:31" x14ac:dyDescent="0.25">
      <c r="T3711" s="81"/>
      <c r="W3711" s="185"/>
      <c r="AE3711" s="185"/>
    </row>
    <row r="3712" spans="20:31" x14ac:dyDescent="0.25">
      <c r="T3712" s="81"/>
      <c r="W3712" s="185"/>
      <c r="AE3712" s="185"/>
    </row>
    <row r="3713" spans="20:31" x14ac:dyDescent="0.25">
      <c r="T3713" s="81"/>
      <c r="W3713" s="185"/>
      <c r="AE3713" s="185"/>
    </row>
    <row r="3714" spans="20:31" x14ac:dyDescent="0.25">
      <c r="T3714" s="81"/>
      <c r="W3714" s="185"/>
      <c r="AE3714" s="185"/>
    </row>
    <row r="3715" spans="20:31" x14ac:dyDescent="0.25">
      <c r="T3715" s="81"/>
      <c r="W3715" s="185"/>
      <c r="AE3715" s="185"/>
    </row>
    <row r="3716" spans="20:31" x14ac:dyDescent="0.25">
      <c r="T3716" s="81"/>
      <c r="W3716" s="185"/>
      <c r="AE3716" s="185"/>
    </row>
    <row r="3717" spans="20:31" x14ac:dyDescent="0.25">
      <c r="T3717" s="81"/>
      <c r="W3717" s="185"/>
      <c r="AE3717" s="185"/>
    </row>
    <row r="3718" spans="20:31" x14ac:dyDescent="0.25">
      <c r="T3718" s="81"/>
      <c r="W3718" s="185"/>
      <c r="AE3718" s="185"/>
    </row>
    <row r="3719" spans="20:31" x14ac:dyDescent="0.25">
      <c r="T3719" s="81"/>
      <c r="W3719" s="185"/>
      <c r="AE3719" s="185"/>
    </row>
    <row r="3720" spans="20:31" x14ac:dyDescent="0.25">
      <c r="T3720" s="81"/>
      <c r="W3720" s="185"/>
      <c r="AE3720" s="185"/>
    </row>
    <row r="3721" spans="20:31" x14ac:dyDescent="0.25">
      <c r="T3721" s="81"/>
      <c r="W3721" s="185"/>
      <c r="AE3721" s="185"/>
    </row>
    <row r="3722" spans="20:31" x14ac:dyDescent="0.25">
      <c r="T3722" s="81"/>
      <c r="W3722" s="185"/>
      <c r="AE3722" s="185"/>
    </row>
    <row r="3723" spans="20:31" x14ac:dyDescent="0.25">
      <c r="T3723" s="81"/>
      <c r="W3723" s="185"/>
      <c r="AE3723" s="185"/>
    </row>
    <row r="3724" spans="20:31" x14ac:dyDescent="0.25">
      <c r="T3724" s="81"/>
      <c r="W3724" s="185"/>
      <c r="AE3724" s="185"/>
    </row>
    <row r="3725" spans="20:31" x14ac:dyDescent="0.25">
      <c r="T3725" s="81"/>
      <c r="W3725" s="185"/>
      <c r="AE3725" s="185"/>
    </row>
    <row r="3726" spans="20:31" x14ac:dyDescent="0.25">
      <c r="T3726" s="81"/>
      <c r="W3726" s="185"/>
      <c r="AE3726" s="185"/>
    </row>
    <row r="3727" spans="20:31" x14ac:dyDescent="0.25">
      <c r="T3727" s="81"/>
      <c r="W3727" s="185"/>
      <c r="AE3727" s="185"/>
    </row>
    <row r="3728" spans="20:31" x14ac:dyDescent="0.25">
      <c r="T3728" s="81"/>
      <c r="W3728" s="185"/>
      <c r="AE3728" s="185"/>
    </row>
    <row r="3729" spans="20:31" x14ac:dyDescent="0.25">
      <c r="T3729" s="81"/>
      <c r="W3729" s="185"/>
      <c r="AE3729" s="185"/>
    </row>
    <row r="3730" spans="20:31" x14ac:dyDescent="0.25">
      <c r="T3730" s="81"/>
      <c r="W3730" s="185"/>
      <c r="AE3730" s="185"/>
    </row>
    <row r="3731" spans="20:31" x14ac:dyDescent="0.25">
      <c r="T3731" s="81"/>
      <c r="W3731" s="185"/>
      <c r="AE3731" s="185"/>
    </row>
    <row r="3732" spans="20:31" x14ac:dyDescent="0.25">
      <c r="T3732" s="81"/>
      <c r="W3732" s="185"/>
      <c r="AE3732" s="185"/>
    </row>
    <row r="3733" spans="20:31" x14ac:dyDescent="0.25">
      <c r="T3733" s="81"/>
      <c r="W3733" s="185"/>
      <c r="AE3733" s="185"/>
    </row>
    <row r="3734" spans="20:31" x14ac:dyDescent="0.25">
      <c r="T3734" s="81"/>
      <c r="W3734" s="185"/>
      <c r="AE3734" s="185"/>
    </row>
    <row r="3735" spans="20:31" x14ac:dyDescent="0.25">
      <c r="T3735" s="81"/>
      <c r="W3735" s="185"/>
      <c r="AE3735" s="185"/>
    </row>
    <row r="3736" spans="20:31" x14ac:dyDescent="0.25">
      <c r="T3736" s="81"/>
      <c r="W3736" s="185"/>
      <c r="AE3736" s="185"/>
    </row>
    <row r="3737" spans="20:31" x14ac:dyDescent="0.25">
      <c r="T3737" s="81"/>
      <c r="W3737" s="185"/>
      <c r="AE3737" s="185"/>
    </row>
    <row r="3738" spans="20:31" x14ac:dyDescent="0.25">
      <c r="T3738" s="81"/>
      <c r="W3738" s="185"/>
      <c r="AE3738" s="185"/>
    </row>
    <row r="3739" spans="20:31" x14ac:dyDescent="0.25">
      <c r="T3739" s="81"/>
      <c r="W3739" s="185"/>
      <c r="AE3739" s="185"/>
    </row>
    <row r="3740" spans="20:31" x14ac:dyDescent="0.25">
      <c r="T3740" s="81"/>
      <c r="W3740" s="185"/>
      <c r="AE3740" s="185"/>
    </row>
    <row r="3741" spans="20:31" x14ac:dyDescent="0.25">
      <c r="T3741" s="81"/>
      <c r="W3741" s="185"/>
      <c r="AE3741" s="185"/>
    </row>
    <row r="3742" spans="20:31" x14ac:dyDescent="0.25">
      <c r="T3742" s="81"/>
      <c r="W3742" s="185"/>
      <c r="AE3742" s="185"/>
    </row>
    <row r="3743" spans="20:31" x14ac:dyDescent="0.25">
      <c r="T3743" s="81"/>
      <c r="W3743" s="185"/>
      <c r="AE3743" s="185"/>
    </row>
    <row r="3744" spans="20:31" x14ac:dyDescent="0.25">
      <c r="T3744" s="81"/>
      <c r="W3744" s="185"/>
      <c r="AE3744" s="185"/>
    </row>
    <row r="3745" spans="20:31" x14ac:dyDescent="0.25">
      <c r="T3745" s="81"/>
      <c r="W3745" s="185"/>
      <c r="AE3745" s="185"/>
    </row>
    <row r="3746" spans="20:31" x14ac:dyDescent="0.25">
      <c r="T3746" s="81"/>
      <c r="W3746" s="185"/>
      <c r="AE3746" s="185"/>
    </row>
    <row r="3747" spans="20:31" x14ac:dyDescent="0.25">
      <c r="T3747" s="81"/>
      <c r="W3747" s="185"/>
      <c r="AE3747" s="185"/>
    </row>
    <row r="3748" spans="20:31" x14ac:dyDescent="0.25">
      <c r="T3748" s="81"/>
      <c r="W3748" s="185"/>
      <c r="AE3748" s="185"/>
    </row>
    <row r="3749" spans="20:31" x14ac:dyDescent="0.25">
      <c r="T3749" s="81"/>
      <c r="W3749" s="185"/>
      <c r="AE3749" s="185"/>
    </row>
    <row r="3750" spans="20:31" x14ac:dyDescent="0.25">
      <c r="T3750" s="81"/>
      <c r="W3750" s="185"/>
      <c r="AE3750" s="185"/>
    </row>
    <row r="3751" spans="20:31" x14ac:dyDescent="0.25">
      <c r="T3751" s="81"/>
      <c r="W3751" s="185"/>
      <c r="AE3751" s="185"/>
    </row>
    <row r="3752" spans="20:31" x14ac:dyDescent="0.25">
      <c r="T3752" s="81"/>
      <c r="W3752" s="185"/>
      <c r="AE3752" s="185"/>
    </row>
    <row r="3753" spans="20:31" x14ac:dyDescent="0.25">
      <c r="T3753" s="81"/>
      <c r="W3753" s="185"/>
      <c r="AE3753" s="185"/>
    </row>
    <row r="3754" spans="20:31" x14ac:dyDescent="0.25">
      <c r="T3754" s="81"/>
      <c r="W3754" s="185"/>
      <c r="AE3754" s="185"/>
    </row>
    <row r="3755" spans="20:31" x14ac:dyDescent="0.25">
      <c r="T3755" s="81"/>
      <c r="W3755" s="185"/>
      <c r="AE3755" s="185"/>
    </row>
    <row r="3756" spans="20:31" x14ac:dyDescent="0.25">
      <c r="T3756" s="81"/>
      <c r="W3756" s="185"/>
      <c r="AE3756" s="185"/>
    </row>
    <row r="3757" spans="20:31" x14ac:dyDescent="0.25">
      <c r="T3757" s="81"/>
      <c r="W3757" s="185"/>
      <c r="AE3757" s="185"/>
    </row>
    <row r="3758" spans="20:31" x14ac:dyDescent="0.25">
      <c r="T3758" s="81"/>
      <c r="W3758" s="185"/>
      <c r="AE3758" s="185"/>
    </row>
    <row r="3759" spans="20:31" x14ac:dyDescent="0.25">
      <c r="T3759" s="81"/>
      <c r="W3759" s="185"/>
      <c r="AE3759" s="185"/>
    </row>
    <row r="3760" spans="20:31" x14ac:dyDescent="0.25">
      <c r="T3760" s="81"/>
      <c r="W3760" s="185"/>
      <c r="AE3760" s="185"/>
    </row>
    <row r="3761" spans="20:31" x14ac:dyDescent="0.25">
      <c r="T3761" s="81"/>
      <c r="W3761" s="185"/>
      <c r="AE3761" s="185"/>
    </row>
    <row r="3762" spans="20:31" x14ac:dyDescent="0.25">
      <c r="T3762" s="81"/>
      <c r="W3762" s="185"/>
      <c r="AE3762" s="185"/>
    </row>
    <row r="3763" spans="20:31" x14ac:dyDescent="0.25">
      <c r="T3763" s="81"/>
      <c r="W3763" s="185"/>
      <c r="AE3763" s="185"/>
    </row>
    <row r="3764" spans="20:31" x14ac:dyDescent="0.25">
      <c r="T3764" s="81"/>
      <c r="W3764" s="185"/>
      <c r="AE3764" s="185"/>
    </row>
    <row r="3765" spans="20:31" x14ac:dyDescent="0.25">
      <c r="T3765" s="81"/>
      <c r="W3765" s="185"/>
      <c r="AE3765" s="185"/>
    </row>
    <row r="3766" spans="20:31" x14ac:dyDescent="0.25">
      <c r="T3766" s="81"/>
      <c r="W3766" s="185"/>
      <c r="AE3766" s="185"/>
    </row>
    <row r="3767" spans="20:31" x14ac:dyDescent="0.25">
      <c r="T3767" s="81"/>
      <c r="W3767" s="185"/>
      <c r="AE3767" s="185"/>
    </row>
    <row r="3768" spans="20:31" x14ac:dyDescent="0.25">
      <c r="T3768" s="81"/>
      <c r="W3768" s="185"/>
      <c r="AE3768" s="185"/>
    </row>
    <row r="3769" spans="20:31" x14ac:dyDescent="0.25">
      <c r="T3769" s="81"/>
      <c r="W3769" s="185"/>
      <c r="AE3769" s="185"/>
    </row>
    <row r="3770" spans="20:31" x14ac:dyDescent="0.25">
      <c r="T3770" s="81"/>
      <c r="W3770" s="185"/>
      <c r="AE3770" s="185"/>
    </row>
    <row r="3771" spans="20:31" x14ac:dyDescent="0.25">
      <c r="T3771" s="81"/>
      <c r="W3771" s="185"/>
      <c r="AE3771" s="185"/>
    </row>
    <row r="3772" spans="20:31" x14ac:dyDescent="0.25">
      <c r="T3772" s="81"/>
      <c r="W3772" s="185"/>
      <c r="AE3772" s="185"/>
    </row>
    <row r="3773" spans="20:31" x14ac:dyDescent="0.25">
      <c r="T3773" s="81"/>
      <c r="W3773" s="185"/>
      <c r="AE3773" s="185"/>
    </row>
    <row r="3774" spans="20:31" x14ac:dyDescent="0.25">
      <c r="T3774" s="81"/>
      <c r="W3774" s="185"/>
      <c r="AE3774" s="185"/>
    </row>
    <row r="3775" spans="20:31" x14ac:dyDescent="0.25">
      <c r="T3775" s="81"/>
      <c r="W3775" s="185"/>
      <c r="AE3775" s="185"/>
    </row>
    <row r="3776" spans="20:31" x14ac:dyDescent="0.25">
      <c r="T3776" s="81"/>
      <c r="W3776" s="185"/>
      <c r="AE3776" s="185"/>
    </row>
    <row r="3777" spans="20:31" x14ac:dyDescent="0.25">
      <c r="T3777" s="81"/>
      <c r="W3777" s="185"/>
      <c r="AE3777" s="185"/>
    </row>
    <row r="3778" spans="20:31" x14ac:dyDescent="0.25">
      <c r="T3778" s="81"/>
      <c r="W3778" s="185"/>
      <c r="AE3778" s="185"/>
    </row>
    <row r="3779" spans="20:31" x14ac:dyDescent="0.25">
      <c r="T3779" s="81"/>
      <c r="W3779" s="185"/>
      <c r="AE3779" s="185"/>
    </row>
    <row r="3780" spans="20:31" x14ac:dyDescent="0.25">
      <c r="T3780" s="81"/>
      <c r="W3780" s="185"/>
      <c r="AE3780" s="185"/>
    </row>
    <row r="3781" spans="20:31" x14ac:dyDescent="0.25">
      <c r="T3781" s="81"/>
      <c r="W3781" s="185"/>
      <c r="AE3781" s="185"/>
    </row>
    <row r="3782" spans="20:31" x14ac:dyDescent="0.25">
      <c r="T3782" s="81"/>
      <c r="W3782" s="185"/>
      <c r="AE3782" s="185"/>
    </row>
    <row r="3783" spans="20:31" x14ac:dyDescent="0.25">
      <c r="T3783" s="81"/>
      <c r="W3783" s="185"/>
      <c r="AE3783" s="185"/>
    </row>
    <row r="3784" spans="20:31" x14ac:dyDescent="0.25">
      <c r="T3784" s="81"/>
      <c r="W3784" s="185"/>
      <c r="AE3784" s="185"/>
    </row>
    <row r="3785" spans="20:31" x14ac:dyDescent="0.25">
      <c r="T3785" s="81"/>
      <c r="W3785" s="185"/>
      <c r="AE3785" s="185"/>
    </row>
    <row r="3786" spans="20:31" x14ac:dyDescent="0.25">
      <c r="T3786" s="81"/>
      <c r="W3786" s="185"/>
      <c r="AE3786" s="185"/>
    </row>
    <row r="3787" spans="20:31" x14ac:dyDescent="0.25">
      <c r="T3787" s="81"/>
      <c r="W3787" s="185"/>
      <c r="AE3787" s="185"/>
    </row>
    <row r="3788" spans="20:31" x14ac:dyDescent="0.25">
      <c r="T3788" s="81"/>
      <c r="W3788" s="185"/>
      <c r="AE3788" s="185"/>
    </row>
    <row r="3789" spans="20:31" x14ac:dyDescent="0.25">
      <c r="T3789" s="81"/>
      <c r="W3789" s="185"/>
      <c r="AE3789" s="185"/>
    </row>
    <row r="3790" spans="20:31" x14ac:dyDescent="0.25">
      <c r="T3790" s="81"/>
      <c r="W3790" s="185"/>
      <c r="AE3790" s="185"/>
    </row>
    <row r="3791" spans="20:31" x14ac:dyDescent="0.25">
      <c r="T3791" s="81"/>
      <c r="W3791" s="185"/>
      <c r="AE3791" s="185"/>
    </row>
    <row r="3792" spans="20:31" x14ac:dyDescent="0.25">
      <c r="T3792" s="81"/>
      <c r="W3792" s="185"/>
      <c r="AE3792" s="185"/>
    </row>
    <row r="3793" spans="20:31" x14ac:dyDescent="0.25">
      <c r="T3793" s="81"/>
      <c r="W3793" s="185"/>
      <c r="AE3793" s="185"/>
    </row>
    <row r="3794" spans="20:31" x14ac:dyDescent="0.25">
      <c r="T3794" s="81"/>
      <c r="W3794" s="185"/>
      <c r="AE3794" s="185"/>
    </row>
    <row r="3795" spans="20:31" x14ac:dyDescent="0.25">
      <c r="T3795" s="81"/>
      <c r="W3795" s="185"/>
      <c r="AE3795" s="185"/>
    </row>
    <row r="3796" spans="20:31" x14ac:dyDescent="0.25">
      <c r="T3796" s="81"/>
      <c r="W3796" s="185"/>
      <c r="AE3796" s="185"/>
    </row>
    <row r="3797" spans="20:31" x14ac:dyDescent="0.25">
      <c r="T3797" s="81"/>
      <c r="W3797" s="185"/>
      <c r="AE3797" s="185"/>
    </row>
    <row r="3798" spans="20:31" x14ac:dyDescent="0.25">
      <c r="T3798" s="81"/>
      <c r="W3798" s="185"/>
      <c r="AE3798" s="185"/>
    </row>
    <row r="3799" spans="20:31" x14ac:dyDescent="0.25">
      <c r="T3799" s="81"/>
      <c r="W3799" s="185"/>
      <c r="AE3799" s="185"/>
    </row>
    <row r="3800" spans="20:31" x14ac:dyDescent="0.25">
      <c r="T3800" s="81"/>
      <c r="W3800" s="185"/>
      <c r="AE3800" s="185"/>
    </row>
    <row r="3801" spans="20:31" x14ac:dyDescent="0.25">
      <c r="T3801" s="81"/>
      <c r="W3801" s="185"/>
      <c r="AE3801" s="185"/>
    </row>
    <row r="3802" spans="20:31" x14ac:dyDescent="0.25">
      <c r="T3802" s="81"/>
      <c r="W3802" s="185"/>
      <c r="AE3802" s="185"/>
    </row>
    <row r="3803" spans="20:31" x14ac:dyDescent="0.25">
      <c r="T3803" s="81"/>
      <c r="W3803" s="185"/>
      <c r="AE3803" s="185"/>
    </row>
    <row r="3804" spans="20:31" x14ac:dyDescent="0.25">
      <c r="T3804" s="81"/>
      <c r="W3804" s="185"/>
      <c r="AE3804" s="185"/>
    </row>
    <row r="3805" spans="20:31" x14ac:dyDescent="0.25">
      <c r="T3805" s="81"/>
      <c r="W3805" s="185"/>
      <c r="AE3805" s="185"/>
    </row>
    <row r="3806" spans="20:31" x14ac:dyDescent="0.25">
      <c r="T3806" s="81"/>
      <c r="W3806" s="185"/>
      <c r="AE3806" s="185"/>
    </row>
    <row r="3807" spans="20:31" x14ac:dyDescent="0.25">
      <c r="T3807" s="81"/>
      <c r="W3807" s="185"/>
      <c r="AE3807" s="185"/>
    </row>
    <row r="3808" spans="20:31" x14ac:dyDescent="0.25">
      <c r="T3808" s="81"/>
      <c r="W3808" s="185"/>
      <c r="AE3808" s="185"/>
    </row>
    <row r="3809" spans="20:31" x14ac:dyDescent="0.25">
      <c r="T3809" s="81"/>
      <c r="W3809" s="185"/>
      <c r="AE3809" s="185"/>
    </row>
    <row r="3810" spans="20:31" x14ac:dyDescent="0.25">
      <c r="T3810" s="81"/>
      <c r="W3810" s="185"/>
      <c r="AE3810" s="185"/>
    </row>
    <row r="3811" spans="20:31" x14ac:dyDescent="0.25">
      <c r="T3811" s="81"/>
      <c r="W3811" s="185"/>
      <c r="AE3811" s="185"/>
    </row>
    <row r="3812" spans="20:31" x14ac:dyDescent="0.25">
      <c r="T3812" s="81"/>
      <c r="W3812" s="185"/>
      <c r="AE3812" s="185"/>
    </row>
    <row r="3813" spans="20:31" x14ac:dyDescent="0.25">
      <c r="T3813" s="81"/>
      <c r="W3813" s="185"/>
      <c r="AE3813" s="185"/>
    </row>
    <row r="3814" spans="20:31" x14ac:dyDescent="0.25">
      <c r="T3814" s="81"/>
      <c r="W3814" s="185"/>
      <c r="AE3814" s="185"/>
    </row>
    <row r="3815" spans="20:31" x14ac:dyDescent="0.25">
      <c r="T3815" s="81"/>
      <c r="W3815" s="185"/>
      <c r="AE3815" s="185"/>
    </row>
    <row r="3816" spans="20:31" x14ac:dyDescent="0.25">
      <c r="T3816" s="81"/>
      <c r="W3816" s="185"/>
      <c r="AE3816" s="185"/>
    </row>
    <row r="3817" spans="20:31" x14ac:dyDescent="0.25">
      <c r="T3817" s="81"/>
      <c r="W3817" s="185"/>
      <c r="AE3817" s="185"/>
    </row>
    <row r="3818" spans="20:31" x14ac:dyDescent="0.25">
      <c r="T3818" s="81"/>
      <c r="W3818" s="185"/>
      <c r="AE3818" s="185"/>
    </row>
    <row r="3819" spans="20:31" x14ac:dyDescent="0.25">
      <c r="T3819" s="81"/>
      <c r="W3819" s="185"/>
      <c r="AE3819" s="185"/>
    </row>
    <row r="3820" spans="20:31" x14ac:dyDescent="0.25">
      <c r="T3820" s="81"/>
      <c r="W3820" s="185"/>
      <c r="AE3820" s="185"/>
    </row>
    <row r="3821" spans="20:31" x14ac:dyDescent="0.25">
      <c r="T3821" s="81"/>
      <c r="W3821" s="185"/>
      <c r="AE3821" s="185"/>
    </row>
    <row r="3822" spans="20:31" x14ac:dyDescent="0.25">
      <c r="T3822" s="81"/>
      <c r="W3822" s="185"/>
      <c r="AE3822" s="185"/>
    </row>
    <row r="3823" spans="20:31" x14ac:dyDescent="0.25">
      <c r="T3823" s="81"/>
      <c r="W3823" s="185"/>
      <c r="AE3823" s="185"/>
    </row>
    <row r="3824" spans="20:31" x14ac:dyDescent="0.25">
      <c r="T3824" s="81"/>
      <c r="W3824" s="185"/>
      <c r="AE3824" s="185"/>
    </row>
    <row r="3825" spans="20:31" x14ac:dyDescent="0.25">
      <c r="T3825" s="81"/>
      <c r="W3825" s="185"/>
      <c r="AE3825" s="185"/>
    </row>
    <row r="3826" spans="20:31" x14ac:dyDescent="0.25">
      <c r="T3826" s="81"/>
      <c r="W3826" s="185"/>
      <c r="AE3826" s="185"/>
    </row>
    <row r="3827" spans="20:31" x14ac:dyDescent="0.25">
      <c r="T3827" s="81"/>
      <c r="W3827" s="185"/>
      <c r="AE3827" s="185"/>
    </row>
    <row r="3828" spans="20:31" x14ac:dyDescent="0.25">
      <c r="T3828" s="81"/>
      <c r="W3828" s="185"/>
      <c r="AE3828" s="185"/>
    </row>
    <row r="3829" spans="20:31" x14ac:dyDescent="0.25">
      <c r="T3829" s="81"/>
      <c r="W3829" s="185"/>
      <c r="AE3829" s="185"/>
    </row>
    <row r="3830" spans="20:31" x14ac:dyDescent="0.25">
      <c r="T3830" s="81"/>
      <c r="W3830" s="185"/>
      <c r="AE3830" s="185"/>
    </row>
    <row r="3831" spans="20:31" x14ac:dyDescent="0.25">
      <c r="T3831" s="81"/>
      <c r="W3831" s="185"/>
      <c r="AE3831" s="185"/>
    </row>
    <row r="3832" spans="20:31" x14ac:dyDescent="0.25">
      <c r="T3832" s="81"/>
      <c r="W3832" s="185"/>
      <c r="AE3832" s="185"/>
    </row>
    <row r="3833" spans="20:31" x14ac:dyDescent="0.25">
      <c r="T3833" s="81"/>
      <c r="W3833" s="185"/>
      <c r="AE3833" s="185"/>
    </row>
    <row r="3834" spans="20:31" x14ac:dyDescent="0.25">
      <c r="T3834" s="81"/>
      <c r="W3834" s="185"/>
      <c r="AE3834" s="185"/>
    </row>
    <row r="3835" spans="20:31" x14ac:dyDescent="0.25">
      <c r="T3835" s="81"/>
      <c r="W3835" s="185"/>
      <c r="AE3835" s="185"/>
    </row>
    <row r="3836" spans="20:31" x14ac:dyDescent="0.25">
      <c r="T3836" s="81"/>
      <c r="W3836" s="185"/>
      <c r="AE3836" s="185"/>
    </row>
    <row r="3837" spans="20:31" x14ac:dyDescent="0.25">
      <c r="T3837" s="81"/>
      <c r="W3837" s="185"/>
      <c r="AE3837" s="185"/>
    </row>
    <row r="3838" spans="20:31" x14ac:dyDescent="0.25">
      <c r="T3838" s="81"/>
      <c r="W3838" s="185"/>
      <c r="AE3838" s="185"/>
    </row>
    <row r="3839" spans="20:31" x14ac:dyDescent="0.25">
      <c r="T3839" s="81"/>
      <c r="W3839" s="185"/>
      <c r="AE3839" s="185"/>
    </row>
    <row r="3840" spans="20:31" x14ac:dyDescent="0.25">
      <c r="T3840" s="81"/>
      <c r="W3840" s="185"/>
      <c r="AE3840" s="185"/>
    </row>
    <row r="3841" spans="20:31" x14ac:dyDescent="0.25">
      <c r="T3841" s="81"/>
      <c r="W3841" s="185"/>
      <c r="AE3841" s="185"/>
    </row>
    <row r="3842" spans="20:31" x14ac:dyDescent="0.25">
      <c r="T3842" s="81"/>
      <c r="W3842" s="185"/>
      <c r="AE3842" s="185"/>
    </row>
    <row r="3843" spans="20:31" x14ac:dyDescent="0.25">
      <c r="T3843" s="81"/>
      <c r="W3843" s="185"/>
      <c r="AE3843" s="185"/>
    </row>
    <row r="3844" spans="20:31" x14ac:dyDescent="0.25">
      <c r="T3844" s="81"/>
      <c r="W3844" s="185"/>
      <c r="AE3844" s="185"/>
    </row>
    <row r="3845" spans="20:31" x14ac:dyDescent="0.25">
      <c r="T3845" s="81"/>
      <c r="W3845" s="185"/>
      <c r="AE3845" s="185"/>
    </row>
    <row r="3846" spans="20:31" x14ac:dyDescent="0.25">
      <c r="T3846" s="81"/>
      <c r="W3846" s="185"/>
      <c r="AE3846" s="185"/>
    </row>
    <row r="3847" spans="20:31" x14ac:dyDescent="0.25">
      <c r="T3847" s="81"/>
      <c r="W3847" s="185"/>
      <c r="AE3847" s="185"/>
    </row>
    <row r="3848" spans="20:31" x14ac:dyDescent="0.25">
      <c r="T3848" s="81"/>
      <c r="W3848" s="185"/>
      <c r="AE3848" s="185"/>
    </row>
    <row r="3849" spans="20:31" x14ac:dyDescent="0.25">
      <c r="T3849" s="81"/>
      <c r="W3849" s="185"/>
      <c r="AE3849" s="185"/>
    </row>
    <row r="3850" spans="20:31" x14ac:dyDescent="0.25">
      <c r="T3850" s="81"/>
      <c r="W3850" s="185"/>
      <c r="AE3850" s="185"/>
    </row>
    <row r="3851" spans="20:31" x14ac:dyDescent="0.25">
      <c r="T3851" s="81"/>
      <c r="W3851" s="185"/>
      <c r="AE3851" s="185"/>
    </row>
    <row r="3852" spans="20:31" x14ac:dyDescent="0.25">
      <c r="T3852" s="81"/>
      <c r="W3852" s="185"/>
      <c r="AE3852" s="185"/>
    </row>
    <row r="3853" spans="20:31" x14ac:dyDescent="0.25">
      <c r="T3853" s="81"/>
      <c r="W3853" s="185"/>
      <c r="AE3853" s="185"/>
    </row>
    <row r="3854" spans="20:31" x14ac:dyDescent="0.25">
      <c r="T3854" s="81"/>
      <c r="W3854" s="185"/>
      <c r="AE3854" s="185"/>
    </row>
    <row r="3855" spans="20:31" x14ac:dyDescent="0.25">
      <c r="T3855" s="81"/>
      <c r="W3855" s="185"/>
      <c r="AE3855" s="185"/>
    </row>
    <row r="3856" spans="20:31" x14ac:dyDescent="0.25">
      <c r="T3856" s="81"/>
      <c r="W3856" s="185"/>
      <c r="AE3856" s="185"/>
    </row>
    <row r="3857" spans="20:31" x14ac:dyDescent="0.25">
      <c r="T3857" s="81"/>
      <c r="W3857" s="185"/>
      <c r="AE3857" s="185"/>
    </row>
    <row r="3858" spans="20:31" x14ac:dyDescent="0.25">
      <c r="T3858" s="81"/>
      <c r="W3858" s="185"/>
      <c r="AE3858" s="185"/>
    </row>
    <row r="3859" spans="20:31" x14ac:dyDescent="0.25">
      <c r="T3859" s="81"/>
      <c r="W3859" s="185"/>
      <c r="AE3859" s="185"/>
    </row>
    <row r="3860" spans="20:31" x14ac:dyDescent="0.25">
      <c r="T3860" s="81"/>
      <c r="W3860" s="185"/>
      <c r="AE3860" s="185"/>
    </row>
    <row r="3861" spans="20:31" x14ac:dyDescent="0.25">
      <c r="T3861" s="81"/>
      <c r="W3861" s="185"/>
      <c r="AE3861" s="185"/>
    </row>
    <row r="3862" spans="20:31" x14ac:dyDescent="0.25">
      <c r="T3862" s="81"/>
      <c r="W3862" s="185"/>
      <c r="AE3862" s="185"/>
    </row>
    <row r="3863" spans="20:31" x14ac:dyDescent="0.25">
      <c r="T3863" s="81"/>
      <c r="W3863" s="185"/>
      <c r="AE3863" s="185"/>
    </row>
    <row r="3864" spans="20:31" x14ac:dyDescent="0.25">
      <c r="T3864" s="81"/>
      <c r="W3864" s="185"/>
      <c r="AE3864" s="185"/>
    </row>
    <row r="3865" spans="20:31" x14ac:dyDescent="0.25">
      <c r="T3865" s="81"/>
      <c r="W3865" s="185"/>
      <c r="AE3865" s="185"/>
    </row>
    <row r="3866" spans="20:31" x14ac:dyDescent="0.25">
      <c r="T3866" s="81"/>
      <c r="W3866" s="185"/>
      <c r="AE3866" s="185"/>
    </row>
    <row r="3867" spans="20:31" x14ac:dyDescent="0.25">
      <c r="T3867" s="81"/>
      <c r="W3867" s="185"/>
      <c r="AE3867" s="185"/>
    </row>
    <row r="3868" spans="20:31" x14ac:dyDescent="0.25">
      <c r="T3868" s="81"/>
      <c r="W3868" s="185"/>
      <c r="AE3868" s="185"/>
    </row>
    <row r="3869" spans="20:31" x14ac:dyDescent="0.25">
      <c r="T3869" s="81"/>
      <c r="W3869" s="185"/>
      <c r="AE3869" s="185"/>
    </row>
    <row r="3870" spans="20:31" x14ac:dyDescent="0.25">
      <c r="T3870" s="81"/>
      <c r="W3870" s="185"/>
      <c r="AE3870" s="185"/>
    </row>
    <row r="3871" spans="20:31" x14ac:dyDescent="0.25">
      <c r="T3871" s="81"/>
      <c r="W3871" s="185"/>
      <c r="AE3871" s="185"/>
    </row>
    <row r="3872" spans="20:31" x14ac:dyDescent="0.25">
      <c r="T3872" s="81"/>
      <c r="W3872" s="185"/>
      <c r="AE3872" s="185"/>
    </row>
    <row r="3873" spans="20:31" x14ac:dyDescent="0.25">
      <c r="T3873" s="81"/>
      <c r="W3873" s="185"/>
      <c r="AE3873" s="185"/>
    </row>
    <row r="3874" spans="20:31" x14ac:dyDescent="0.25">
      <c r="T3874" s="81"/>
      <c r="W3874" s="185"/>
      <c r="AE3874" s="185"/>
    </row>
    <row r="3875" spans="20:31" x14ac:dyDescent="0.25">
      <c r="T3875" s="81"/>
      <c r="W3875" s="185"/>
      <c r="AE3875" s="185"/>
    </row>
    <row r="3876" spans="20:31" x14ac:dyDescent="0.25">
      <c r="T3876" s="81"/>
      <c r="W3876" s="185"/>
      <c r="AE3876" s="185"/>
    </row>
    <row r="3877" spans="20:31" x14ac:dyDescent="0.25">
      <c r="T3877" s="81"/>
      <c r="W3877" s="185"/>
      <c r="AE3877" s="185"/>
    </row>
    <row r="3878" spans="20:31" x14ac:dyDescent="0.25">
      <c r="T3878" s="81"/>
      <c r="W3878" s="185"/>
      <c r="AE3878" s="185"/>
    </row>
    <row r="3879" spans="20:31" x14ac:dyDescent="0.25">
      <c r="T3879" s="81"/>
      <c r="W3879" s="185"/>
      <c r="AE3879" s="185"/>
    </row>
    <row r="3880" spans="20:31" x14ac:dyDescent="0.25">
      <c r="T3880" s="81"/>
      <c r="W3880" s="185"/>
      <c r="AE3880" s="185"/>
    </row>
    <row r="3881" spans="20:31" x14ac:dyDescent="0.25">
      <c r="T3881" s="81"/>
      <c r="W3881" s="185"/>
      <c r="AE3881" s="185"/>
    </row>
    <row r="3882" spans="20:31" x14ac:dyDescent="0.25">
      <c r="T3882" s="81"/>
      <c r="W3882" s="185"/>
      <c r="AE3882" s="185"/>
    </row>
    <row r="3883" spans="20:31" x14ac:dyDescent="0.25">
      <c r="T3883" s="81"/>
      <c r="W3883" s="185"/>
      <c r="AE3883" s="185"/>
    </row>
    <row r="3884" spans="20:31" x14ac:dyDescent="0.25">
      <c r="T3884" s="81"/>
      <c r="W3884" s="185"/>
      <c r="AE3884" s="185"/>
    </row>
    <row r="3885" spans="20:31" x14ac:dyDescent="0.25">
      <c r="T3885" s="81"/>
      <c r="W3885" s="185"/>
      <c r="AE3885" s="185"/>
    </row>
    <row r="3886" spans="20:31" x14ac:dyDescent="0.25">
      <c r="T3886" s="81"/>
      <c r="W3886" s="185"/>
      <c r="AE3886" s="185"/>
    </row>
    <row r="3887" spans="20:31" x14ac:dyDescent="0.25">
      <c r="T3887" s="81"/>
      <c r="W3887" s="185"/>
      <c r="AE3887" s="185"/>
    </row>
    <row r="3888" spans="20:31" x14ac:dyDescent="0.25">
      <c r="T3888" s="81"/>
      <c r="W3888" s="185"/>
      <c r="AE3888" s="185"/>
    </row>
    <row r="3889" spans="20:31" x14ac:dyDescent="0.25">
      <c r="T3889" s="81"/>
      <c r="W3889" s="185"/>
      <c r="AE3889" s="185"/>
    </row>
    <row r="3890" spans="20:31" x14ac:dyDescent="0.25">
      <c r="T3890" s="81"/>
      <c r="W3890" s="185"/>
      <c r="AE3890" s="185"/>
    </row>
    <row r="3891" spans="20:31" x14ac:dyDescent="0.25">
      <c r="T3891" s="81"/>
      <c r="W3891" s="185"/>
      <c r="AE3891" s="185"/>
    </row>
    <row r="3892" spans="20:31" x14ac:dyDescent="0.25">
      <c r="T3892" s="81"/>
      <c r="W3892" s="185"/>
      <c r="AE3892" s="185"/>
    </row>
    <row r="3893" spans="20:31" x14ac:dyDescent="0.25">
      <c r="T3893" s="81"/>
      <c r="W3893" s="185"/>
      <c r="AE3893" s="185"/>
    </row>
    <row r="3894" spans="20:31" x14ac:dyDescent="0.25">
      <c r="T3894" s="81"/>
      <c r="W3894" s="185"/>
      <c r="AE3894" s="185"/>
    </row>
    <row r="3895" spans="20:31" x14ac:dyDescent="0.25">
      <c r="T3895" s="81"/>
      <c r="W3895" s="185"/>
      <c r="AE3895" s="185"/>
    </row>
    <row r="3896" spans="20:31" x14ac:dyDescent="0.25">
      <c r="T3896" s="81"/>
      <c r="W3896" s="185"/>
      <c r="AE3896" s="185"/>
    </row>
    <row r="3897" spans="20:31" x14ac:dyDescent="0.25">
      <c r="T3897" s="81"/>
      <c r="W3897" s="185"/>
      <c r="AE3897" s="185"/>
    </row>
    <row r="3898" spans="20:31" x14ac:dyDescent="0.25">
      <c r="T3898" s="81"/>
      <c r="W3898" s="185"/>
      <c r="AE3898" s="185"/>
    </row>
    <row r="3899" spans="20:31" x14ac:dyDescent="0.25">
      <c r="T3899" s="81"/>
      <c r="W3899" s="185"/>
      <c r="AE3899" s="185"/>
    </row>
    <row r="3900" spans="20:31" x14ac:dyDescent="0.25">
      <c r="T3900" s="81"/>
      <c r="W3900" s="185"/>
      <c r="AE3900" s="185"/>
    </row>
    <row r="3901" spans="20:31" x14ac:dyDescent="0.25">
      <c r="T3901" s="81"/>
      <c r="W3901" s="185"/>
      <c r="AE3901" s="185"/>
    </row>
    <row r="3902" spans="20:31" x14ac:dyDescent="0.25">
      <c r="T3902" s="81"/>
      <c r="W3902" s="185"/>
      <c r="AE3902" s="185"/>
    </row>
    <row r="3903" spans="20:31" x14ac:dyDescent="0.25">
      <c r="T3903" s="81"/>
      <c r="W3903" s="185"/>
      <c r="AE3903" s="185"/>
    </row>
    <row r="3904" spans="20:31" x14ac:dyDescent="0.25">
      <c r="T3904" s="81"/>
      <c r="W3904" s="185"/>
      <c r="AE3904" s="185"/>
    </row>
    <row r="3905" spans="20:31" x14ac:dyDescent="0.25">
      <c r="T3905" s="81"/>
      <c r="W3905" s="185"/>
      <c r="AE3905" s="185"/>
    </row>
    <row r="3906" spans="20:31" x14ac:dyDescent="0.25">
      <c r="T3906" s="81"/>
      <c r="W3906" s="185"/>
      <c r="AE3906" s="185"/>
    </row>
    <row r="3907" spans="20:31" x14ac:dyDescent="0.25">
      <c r="T3907" s="81"/>
      <c r="W3907" s="185"/>
      <c r="AE3907" s="185"/>
    </row>
    <row r="3908" spans="20:31" x14ac:dyDescent="0.25">
      <c r="T3908" s="81"/>
      <c r="W3908" s="185"/>
      <c r="AE3908" s="185"/>
    </row>
    <row r="3909" spans="20:31" x14ac:dyDescent="0.25">
      <c r="T3909" s="81"/>
      <c r="W3909" s="185"/>
      <c r="AE3909" s="185"/>
    </row>
    <row r="3910" spans="20:31" x14ac:dyDescent="0.25">
      <c r="T3910" s="81"/>
      <c r="W3910" s="185"/>
      <c r="AE3910" s="185"/>
    </row>
    <row r="3911" spans="20:31" x14ac:dyDescent="0.25">
      <c r="T3911" s="81"/>
      <c r="W3911" s="185"/>
      <c r="AE3911" s="185"/>
    </row>
    <row r="3912" spans="20:31" x14ac:dyDescent="0.25">
      <c r="T3912" s="81"/>
      <c r="W3912" s="185"/>
      <c r="AE3912" s="185"/>
    </row>
    <row r="3913" spans="20:31" x14ac:dyDescent="0.25">
      <c r="T3913" s="81"/>
      <c r="W3913" s="185"/>
      <c r="AE3913" s="185"/>
    </row>
    <row r="3914" spans="20:31" x14ac:dyDescent="0.25">
      <c r="T3914" s="81"/>
      <c r="W3914" s="185"/>
      <c r="AE3914" s="185"/>
    </row>
    <row r="3915" spans="20:31" x14ac:dyDescent="0.25">
      <c r="T3915" s="81"/>
      <c r="W3915" s="185"/>
      <c r="AE3915" s="185"/>
    </row>
    <row r="3916" spans="20:31" x14ac:dyDescent="0.25">
      <c r="T3916" s="81"/>
      <c r="W3916" s="185"/>
      <c r="AE3916" s="185"/>
    </row>
    <row r="3917" spans="20:31" x14ac:dyDescent="0.25">
      <c r="T3917" s="81"/>
      <c r="W3917" s="185"/>
      <c r="AE3917" s="185"/>
    </row>
    <row r="3918" spans="20:31" x14ac:dyDescent="0.25">
      <c r="T3918" s="81"/>
      <c r="W3918" s="185"/>
      <c r="AE3918" s="185"/>
    </row>
    <row r="3919" spans="20:31" x14ac:dyDescent="0.25">
      <c r="T3919" s="81"/>
      <c r="W3919" s="185"/>
      <c r="AE3919" s="185"/>
    </row>
    <row r="3920" spans="20:31" x14ac:dyDescent="0.25">
      <c r="T3920" s="81"/>
      <c r="W3920" s="185"/>
      <c r="AE3920" s="185"/>
    </row>
    <row r="3921" spans="20:31" x14ac:dyDescent="0.25">
      <c r="T3921" s="81"/>
      <c r="W3921" s="185"/>
      <c r="AE3921" s="185"/>
    </row>
    <row r="3922" spans="20:31" x14ac:dyDescent="0.25">
      <c r="T3922" s="81"/>
      <c r="W3922" s="185"/>
      <c r="AE3922" s="185"/>
    </row>
    <row r="3923" spans="20:31" x14ac:dyDescent="0.25">
      <c r="T3923" s="81"/>
      <c r="W3923" s="185"/>
      <c r="AE3923" s="185"/>
    </row>
    <row r="3924" spans="20:31" x14ac:dyDescent="0.25">
      <c r="T3924" s="81"/>
      <c r="W3924" s="185"/>
      <c r="AE3924" s="185"/>
    </row>
    <row r="3925" spans="20:31" x14ac:dyDescent="0.25">
      <c r="T3925" s="81"/>
      <c r="W3925" s="185"/>
      <c r="AE3925" s="185"/>
    </row>
    <row r="3926" spans="20:31" x14ac:dyDescent="0.25">
      <c r="T3926" s="81"/>
      <c r="W3926" s="185"/>
      <c r="AE3926" s="185"/>
    </row>
    <row r="3927" spans="20:31" x14ac:dyDescent="0.25">
      <c r="T3927" s="81"/>
      <c r="W3927" s="185"/>
      <c r="AE3927" s="185"/>
    </row>
    <row r="3928" spans="20:31" x14ac:dyDescent="0.25">
      <c r="T3928" s="81"/>
      <c r="W3928" s="185"/>
      <c r="AE3928" s="185"/>
    </row>
    <row r="3929" spans="20:31" x14ac:dyDescent="0.25">
      <c r="T3929" s="81"/>
      <c r="W3929" s="185"/>
      <c r="AE3929" s="185"/>
    </row>
    <row r="3930" spans="20:31" x14ac:dyDescent="0.25">
      <c r="T3930" s="81"/>
      <c r="W3930" s="185"/>
      <c r="AE3930" s="185"/>
    </row>
    <row r="3931" spans="20:31" x14ac:dyDescent="0.25">
      <c r="T3931" s="81"/>
      <c r="W3931" s="185"/>
      <c r="AE3931" s="185"/>
    </row>
    <row r="3932" spans="20:31" x14ac:dyDescent="0.25">
      <c r="T3932" s="81"/>
      <c r="W3932" s="185"/>
      <c r="AE3932" s="185"/>
    </row>
    <row r="3933" spans="20:31" x14ac:dyDescent="0.25">
      <c r="T3933" s="81"/>
      <c r="W3933" s="185"/>
      <c r="AE3933" s="185"/>
    </row>
    <row r="3934" spans="20:31" x14ac:dyDescent="0.25">
      <c r="T3934" s="81"/>
      <c r="W3934" s="185"/>
      <c r="AE3934" s="185"/>
    </row>
    <row r="3935" spans="20:31" x14ac:dyDescent="0.25">
      <c r="T3935" s="81"/>
      <c r="W3935" s="185"/>
      <c r="AE3935" s="185"/>
    </row>
    <row r="3936" spans="20:31" x14ac:dyDescent="0.25">
      <c r="T3936" s="81"/>
      <c r="W3936" s="185"/>
      <c r="AE3936" s="185"/>
    </row>
    <row r="3937" spans="20:31" x14ac:dyDescent="0.25">
      <c r="T3937" s="81"/>
      <c r="W3937" s="185"/>
      <c r="AE3937" s="185"/>
    </row>
    <row r="3938" spans="20:31" x14ac:dyDescent="0.25">
      <c r="T3938" s="81"/>
      <c r="W3938" s="185"/>
      <c r="AE3938" s="185"/>
    </row>
    <row r="3939" spans="20:31" x14ac:dyDescent="0.25">
      <c r="T3939" s="81"/>
      <c r="W3939" s="185"/>
      <c r="AE3939" s="185"/>
    </row>
    <row r="3940" spans="20:31" x14ac:dyDescent="0.25">
      <c r="T3940" s="81"/>
      <c r="W3940" s="185"/>
      <c r="AE3940" s="185"/>
    </row>
    <row r="3941" spans="20:31" x14ac:dyDescent="0.25">
      <c r="T3941" s="81"/>
      <c r="W3941" s="185"/>
      <c r="AE3941" s="185"/>
    </row>
    <row r="3942" spans="20:31" x14ac:dyDescent="0.25">
      <c r="T3942" s="81"/>
      <c r="W3942" s="185"/>
      <c r="AE3942" s="185"/>
    </row>
    <row r="3943" spans="20:31" x14ac:dyDescent="0.25">
      <c r="T3943" s="81"/>
      <c r="W3943" s="185"/>
      <c r="AE3943" s="185"/>
    </row>
    <row r="3944" spans="20:31" x14ac:dyDescent="0.25">
      <c r="T3944" s="81"/>
      <c r="W3944" s="185"/>
      <c r="AE3944" s="185"/>
    </row>
    <row r="3945" spans="20:31" x14ac:dyDescent="0.25">
      <c r="T3945" s="81"/>
      <c r="W3945" s="185"/>
      <c r="AE3945" s="185"/>
    </row>
    <row r="3946" spans="20:31" x14ac:dyDescent="0.25">
      <c r="T3946" s="81"/>
      <c r="W3946" s="185"/>
      <c r="AE3946" s="185"/>
    </row>
    <row r="3947" spans="20:31" x14ac:dyDescent="0.25">
      <c r="T3947" s="81"/>
      <c r="W3947" s="185"/>
      <c r="AE3947" s="185"/>
    </row>
    <row r="3948" spans="20:31" x14ac:dyDescent="0.25">
      <c r="T3948" s="81"/>
      <c r="W3948" s="185"/>
      <c r="AE3948" s="185"/>
    </row>
    <row r="3949" spans="20:31" x14ac:dyDescent="0.25">
      <c r="T3949" s="81"/>
      <c r="W3949" s="185"/>
      <c r="AE3949" s="185"/>
    </row>
    <row r="3950" spans="20:31" x14ac:dyDescent="0.25">
      <c r="T3950" s="81"/>
      <c r="W3950" s="185"/>
      <c r="AE3950" s="185"/>
    </row>
    <row r="3951" spans="20:31" x14ac:dyDescent="0.25">
      <c r="T3951" s="81"/>
      <c r="W3951" s="185"/>
      <c r="AE3951" s="185"/>
    </row>
    <row r="3952" spans="20:31" x14ac:dyDescent="0.25">
      <c r="T3952" s="81"/>
      <c r="W3952" s="185"/>
      <c r="AE3952" s="185"/>
    </row>
    <row r="3953" spans="20:31" x14ac:dyDescent="0.25">
      <c r="T3953" s="81"/>
      <c r="W3953" s="185"/>
      <c r="AE3953" s="185"/>
    </row>
    <row r="3954" spans="20:31" x14ac:dyDescent="0.25">
      <c r="T3954" s="81"/>
      <c r="W3954" s="185"/>
      <c r="AE3954" s="185"/>
    </row>
    <row r="3955" spans="20:31" x14ac:dyDescent="0.25">
      <c r="T3955" s="81"/>
      <c r="W3955" s="185"/>
      <c r="AE3955" s="185"/>
    </row>
    <row r="3956" spans="20:31" x14ac:dyDescent="0.25">
      <c r="T3956" s="81"/>
      <c r="W3956" s="185"/>
      <c r="AE3956" s="185"/>
    </row>
    <row r="3957" spans="20:31" x14ac:dyDescent="0.25">
      <c r="T3957" s="81"/>
      <c r="W3957" s="185"/>
      <c r="AE3957" s="185"/>
    </row>
    <row r="3958" spans="20:31" x14ac:dyDescent="0.25">
      <c r="T3958" s="81"/>
      <c r="W3958" s="185"/>
      <c r="AE3958" s="185"/>
    </row>
    <row r="3959" spans="20:31" x14ac:dyDescent="0.25">
      <c r="T3959" s="81"/>
      <c r="W3959" s="185"/>
      <c r="AE3959" s="185"/>
    </row>
    <row r="3960" spans="20:31" x14ac:dyDescent="0.25">
      <c r="T3960" s="81"/>
      <c r="W3960" s="185"/>
      <c r="AE3960" s="185"/>
    </row>
    <row r="3961" spans="20:31" x14ac:dyDescent="0.25">
      <c r="T3961" s="81"/>
      <c r="W3961" s="185"/>
      <c r="AE3961" s="185"/>
    </row>
    <row r="3962" spans="20:31" x14ac:dyDescent="0.25">
      <c r="T3962" s="81"/>
      <c r="W3962" s="185"/>
      <c r="AE3962" s="185"/>
    </row>
    <row r="3963" spans="20:31" x14ac:dyDescent="0.25">
      <c r="T3963" s="81"/>
      <c r="W3963" s="185"/>
      <c r="AE3963" s="185"/>
    </row>
    <row r="3964" spans="20:31" x14ac:dyDescent="0.25">
      <c r="T3964" s="81"/>
      <c r="W3964" s="185"/>
      <c r="AE3964" s="185"/>
    </row>
    <row r="3965" spans="20:31" x14ac:dyDescent="0.25">
      <c r="T3965" s="81"/>
      <c r="W3965" s="185"/>
      <c r="AE3965" s="185"/>
    </row>
    <row r="3966" spans="20:31" x14ac:dyDescent="0.25">
      <c r="T3966" s="81"/>
      <c r="W3966" s="185"/>
      <c r="AE3966" s="185"/>
    </row>
    <row r="3967" spans="20:31" x14ac:dyDescent="0.25">
      <c r="T3967" s="81"/>
      <c r="W3967" s="185"/>
      <c r="AE3967" s="185"/>
    </row>
    <row r="3968" spans="20:31" x14ac:dyDescent="0.25">
      <c r="T3968" s="81"/>
      <c r="W3968" s="185"/>
      <c r="AE3968" s="185"/>
    </row>
    <row r="3969" spans="20:31" x14ac:dyDescent="0.25">
      <c r="T3969" s="81"/>
      <c r="W3969" s="185"/>
      <c r="AE3969" s="185"/>
    </row>
    <row r="3970" spans="20:31" x14ac:dyDescent="0.25">
      <c r="T3970" s="81"/>
      <c r="W3970" s="185"/>
      <c r="AE3970" s="185"/>
    </row>
    <row r="3971" spans="20:31" x14ac:dyDescent="0.25">
      <c r="T3971" s="81"/>
      <c r="W3971" s="185"/>
      <c r="AE3971" s="185"/>
    </row>
    <row r="3972" spans="20:31" x14ac:dyDescent="0.25">
      <c r="T3972" s="81"/>
      <c r="W3972" s="185"/>
      <c r="AE3972" s="185"/>
    </row>
    <row r="3973" spans="20:31" x14ac:dyDescent="0.25">
      <c r="T3973" s="81"/>
      <c r="W3973" s="185"/>
      <c r="AE3973" s="185"/>
    </row>
    <row r="3974" spans="20:31" x14ac:dyDescent="0.25">
      <c r="T3974" s="81"/>
      <c r="W3974" s="185"/>
      <c r="AE3974" s="185"/>
    </row>
    <row r="3975" spans="20:31" x14ac:dyDescent="0.25">
      <c r="T3975" s="81"/>
      <c r="W3975" s="185"/>
      <c r="AE3975" s="185"/>
    </row>
    <row r="3976" spans="20:31" x14ac:dyDescent="0.25">
      <c r="T3976" s="81"/>
      <c r="W3976" s="185"/>
      <c r="AE3976" s="185"/>
    </row>
    <row r="3977" spans="20:31" x14ac:dyDescent="0.25">
      <c r="T3977" s="81"/>
      <c r="W3977" s="185"/>
      <c r="AE3977" s="185"/>
    </row>
    <row r="3978" spans="20:31" x14ac:dyDescent="0.25">
      <c r="T3978" s="81"/>
      <c r="W3978" s="185"/>
      <c r="AE3978" s="185"/>
    </row>
    <row r="3979" spans="20:31" x14ac:dyDescent="0.25">
      <c r="T3979" s="81"/>
      <c r="W3979" s="185"/>
      <c r="AE3979" s="185"/>
    </row>
    <row r="3980" spans="20:31" x14ac:dyDescent="0.25">
      <c r="T3980" s="81"/>
      <c r="W3980" s="185"/>
      <c r="AE3980" s="185"/>
    </row>
    <row r="3981" spans="20:31" x14ac:dyDescent="0.25">
      <c r="T3981" s="81"/>
      <c r="W3981" s="185"/>
      <c r="AE3981" s="185"/>
    </row>
    <row r="3982" spans="20:31" x14ac:dyDescent="0.25">
      <c r="T3982" s="81"/>
      <c r="W3982" s="185"/>
      <c r="AE3982" s="185"/>
    </row>
    <row r="3983" spans="20:31" x14ac:dyDescent="0.25">
      <c r="T3983" s="81"/>
      <c r="W3983" s="185"/>
      <c r="AE3983" s="185"/>
    </row>
    <row r="3984" spans="20:31" x14ac:dyDescent="0.25">
      <c r="T3984" s="81"/>
      <c r="W3984" s="185"/>
      <c r="AE3984" s="185"/>
    </row>
    <row r="3985" spans="20:31" x14ac:dyDescent="0.25">
      <c r="T3985" s="81"/>
      <c r="W3985" s="185"/>
      <c r="AE3985" s="185"/>
    </row>
    <row r="3986" spans="20:31" x14ac:dyDescent="0.25">
      <c r="T3986" s="81"/>
      <c r="W3986" s="185"/>
      <c r="AE3986" s="185"/>
    </row>
    <row r="3987" spans="20:31" x14ac:dyDescent="0.25">
      <c r="T3987" s="81"/>
      <c r="W3987" s="185"/>
      <c r="AE3987" s="185"/>
    </row>
    <row r="3988" spans="20:31" x14ac:dyDescent="0.25">
      <c r="T3988" s="81"/>
      <c r="W3988" s="185"/>
      <c r="AE3988" s="185"/>
    </row>
    <row r="3989" spans="20:31" x14ac:dyDescent="0.25">
      <c r="T3989" s="81"/>
      <c r="W3989" s="185"/>
      <c r="AE3989" s="185"/>
    </row>
    <row r="3990" spans="20:31" x14ac:dyDescent="0.25">
      <c r="T3990" s="81"/>
      <c r="W3990" s="185"/>
      <c r="AE3990" s="185"/>
    </row>
    <row r="3991" spans="20:31" x14ac:dyDescent="0.25">
      <c r="T3991" s="81"/>
      <c r="W3991" s="185"/>
      <c r="AE3991" s="185"/>
    </row>
    <row r="3992" spans="20:31" x14ac:dyDescent="0.25">
      <c r="T3992" s="81"/>
      <c r="W3992" s="185"/>
      <c r="AE3992" s="185"/>
    </row>
    <row r="3993" spans="20:31" x14ac:dyDescent="0.25">
      <c r="T3993" s="81"/>
      <c r="W3993" s="185"/>
      <c r="AE3993" s="185"/>
    </row>
    <row r="3994" spans="20:31" x14ac:dyDescent="0.25">
      <c r="T3994" s="81"/>
      <c r="W3994" s="185"/>
      <c r="AE3994" s="185"/>
    </row>
    <row r="3995" spans="20:31" x14ac:dyDescent="0.25">
      <c r="T3995" s="81"/>
      <c r="W3995" s="185"/>
      <c r="AE3995" s="185"/>
    </row>
    <row r="3996" spans="20:31" x14ac:dyDescent="0.25">
      <c r="T3996" s="81"/>
      <c r="W3996" s="185"/>
      <c r="AE3996" s="185"/>
    </row>
    <row r="3997" spans="20:31" x14ac:dyDescent="0.25">
      <c r="T3997" s="81"/>
      <c r="W3997" s="185"/>
      <c r="AE3997" s="185"/>
    </row>
    <row r="3998" spans="20:31" x14ac:dyDescent="0.25">
      <c r="T3998" s="81"/>
      <c r="W3998" s="185"/>
      <c r="AE3998" s="185"/>
    </row>
    <row r="3999" spans="20:31" x14ac:dyDescent="0.25">
      <c r="T3999" s="81"/>
      <c r="W3999" s="185"/>
      <c r="AE3999" s="185"/>
    </row>
    <row r="4000" spans="20:31" x14ac:dyDescent="0.25">
      <c r="T4000" s="81"/>
      <c r="W4000" s="185"/>
      <c r="AE4000" s="185"/>
    </row>
    <row r="4001" spans="20:31" x14ac:dyDescent="0.25">
      <c r="T4001" s="81"/>
      <c r="W4001" s="185"/>
      <c r="AE4001" s="185"/>
    </row>
    <row r="4002" spans="20:31" x14ac:dyDescent="0.25">
      <c r="T4002" s="81"/>
      <c r="W4002" s="185"/>
      <c r="AE4002" s="185"/>
    </row>
    <row r="4003" spans="20:31" x14ac:dyDescent="0.25">
      <c r="T4003" s="81"/>
      <c r="W4003" s="185"/>
      <c r="AE4003" s="185"/>
    </row>
    <row r="4004" spans="20:31" x14ac:dyDescent="0.25">
      <c r="T4004" s="81"/>
      <c r="W4004" s="185"/>
      <c r="AE4004" s="185"/>
    </row>
    <row r="4005" spans="20:31" x14ac:dyDescent="0.25">
      <c r="T4005" s="81"/>
      <c r="W4005" s="185"/>
      <c r="AE4005" s="185"/>
    </row>
    <row r="4006" spans="20:31" x14ac:dyDescent="0.25">
      <c r="T4006" s="81"/>
      <c r="W4006" s="185"/>
      <c r="AE4006" s="185"/>
    </row>
    <row r="4007" spans="20:31" x14ac:dyDescent="0.25">
      <c r="T4007" s="81"/>
      <c r="W4007" s="185"/>
      <c r="AE4007" s="185"/>
    </row>
    <row r="4008" spans="20:31" x14ac:dyDescent="0.25">
      <c r="T4008" s="81"/>
      <c r="W4008" s="185"/>
      <c r="AE4008" s="185"/>
    </row>
    <row r="4009" spans="20:31" x14ac:dyDescent="0.25">
      <c r="T4009" s="81"/>
      <c r="W4009" s="185"/>
      <c r="AE4009" s="185"/>
    </row>
    <row r="4010" spans="20:31" x14ac:dyDescent="0.25">
      <c r="T4010" s="81"/>
      <c r="W4010" s="185"/>
      <c r="AE4010" s="185"/>
    </row>
    <row r="4011" spans="20:31" x14ac:dyDescent="0.25">
      <c r="T4011" s="81"/>
      <c r="W4011" s="185"/>
      <c r="AE4011" s="185"/>
    </row>
    <row r="4012" spans="20:31" x14ac:dyDescent="0.25">
      <c r="T4012" s="81"/>
      <c r="W4012" s="185"/>
      <c r="AE4012" s="185"/>
    </row>
    <row r="4013" spans="20:31" x14ac:dyDescent="0.25">
      <c r="T4013" s="81"/>
      <c r="W4013" s="185"/>
      <c r="AE4013" s="185"/>
    </row>
    <row r="4014" spans="20:31" x14ac:dyDescent="0.25">
      <c r="T4014" s="81"/>
      <c r="W4014" s="185"/>
      <c r="AE4014" s="185"/>
    </row>
    <row r="4015" spans="20:31" x14ac:dyDescent="0.25">
      <c r="T4015" s="81"/>
      <c r="W4015" s="185"/>
      <c r="AE4015" s="185"/>
    </row>
    <row r="4016" spans="20:31" x14ac:dyDescent="0.25">
      <c r="T4016" s="81"/>
      <c r="W4016" s="185"/>
      <c r="AE4016" s="185"/>
    </row>
    <row r="4017" spans="20:31" x14ac:dyDescent="0.25">
      <c r="T4017" s="81"/>
      <c r="W4017" s="185"/>
      <c r="AE4017" s="185"/>
    </row>
    <row r="4018" spans="20:31" x14ac:dyDescent="0.25">
      <c r="T4018" s="81"/>
      <c r="W4018" s="185"/>
      <c r="AE4018" s="185"/>
    </row>
    <row r="4019" spans="20:31" x14ac:dyDescent="0.25">
      <c r="T4019" s="81"/>
      <c r="W4019" s="185"/>
      <c r="AE4019" s="185"/>
    </row>
    <row r="4020" spans="20:31" x14ac:dyDescent="0.25">
      <c r="T4020" s="81"/>
      <c r="W4020" s="185"/>
      <c r="AE4020" s="185"/>
    </row>
    <row r="4021" spans="20:31" x14ac:dyDescent="0.25">
      <c r="T4021" s="81"/>
      <c r="W4021" s="185"/>
      <c r="AE4021" s="185"/>
    </row>
    <row r="4022" spans="20:31" x14ac:dyDescent="0.25">
      <c r="T4022" s="81"/>
      <c r="W4022" s="185"/>
      <c r="AE4022" s="185"/>
    </row>
    <row r="4023" spans="20:31" x14ac:dyDescent="0.25">
      <c r="T4023" s="81"/>
      <c r="W4023" s="185"/>
      <c r="AE4023" s="185"/>
    </row>
    <row r="4024" spans="20:31" x14ac:dyDescent="0.25">
      <c r="T4024" s="81"/>
      <c r="W4024" s="185"/>
      <c r="AE4024" s="185"/>
    </row>
    <row r="4025" spans="20:31" x14ac:dyDescent="0.25">
      <c r="T4025" s="81"/>
      <c r="W4025" s="185"/>
      <c r="AE4025" s="185"/>
    </row>
    <row r="4026" spans="20:31" x14ac:dyDescent="0.25">
      <c r="T4026" s="81"/>
      <c r="W4026" s="185"/>
      <c r="AE4026" s="185"/>
    </row>
    <row r="4027" spans="20:31" x14ac:dyDescent="0.25">
      <c r="T4027" s="81"/>
      <c r="W4027" s="185"/>
      <c r="AE4027" s="185"/>
    </row>
    <row r="4028" spans="20:31" x14ac:dyDescent="0.25">
      <c r="T4028" s="81"/>
      <c r="W4028" s="185"/>
      <c r="AE4028" s="185"/>
    </row>
    <row r="4029" spans="20:31" x14ac:dyDescent="0.25">
      <c r="T4029" s="81"/>
      <c r="W4029" s="185"/>
      <c r="AE4029" s="185"/>
    </row>
    <row r="4030" spans="20:31" x14ac:dyDescent="0.25">
      <c r="T4030" s="81"/>
      <c r="W4030" s="185"/>
      <c r="AE4030" s="185"/>
    </row>
    <row r="4031" spans="20:31" x14ac:dyDescent="0.25">
      <c r="T4031" s="81"/>
      <c r="W4031" s="185"/>
      <c r="AE4031" s="185"/>
    </row>
    <row r="4032" spans="20:31" x14ac:dyDescent="0.25">
      <c r="T4032" s="81"/>
      <c r="W4032" s="185"/>
      <c r="AE4032" s="185"/>
    </row>
    <row r="4033" spans="20:31" x14ac:dyDescent="0.25">
      <c r="T4033" s="81"/>
      <c r="W4033" s="185"/>
      <c r="AE4033" s="185"/>
    </row>
    <row r="4034" spans="20:31" x14ac:dyDescent="0.25">
      <c r="T4034" s="81"/>
      <c r="W4034" s="185"/>
      <c r="AE4034" s="185"/>
    </row>
    <row r="4035" spans="20:31" x14ac:dyDescent="0.25">
      <c r="T4035" s="81"/>
      <c r="W4035" s="185"/>
      <c r="AE4035" s="185"/>
    </row>
    <row r="4036" spans="20:31" x14ac:dyDescent="0.25">
      <c r="T4036" s="81"/>
      <c r="W4036" s="185"/>
      <c r="AE4036" s="185"/>
    </row>
    <row r="4037" spans="20:31" x14ac:dyDescent="0.25">
      <c r="T4037" s="81"/>
      <c r="W4037" s="185"/>
      <c r="AE4037" s="185"/>
    </row>
    <row r="4038" spans="20:31" x14ac:dyDescent="0.25">
      <c r="T4038" s="81"/>
      <c r="W4038" s="185"/>
      <c r="AE4038" s="185"/>
    </row>
    <row r="4039" spans="20:31" x14ac:dyDescent="0.25">
      <c r="T4039" s="81"/>
      <c r="W4039" s="185"/>
      <c r="AE4039" s="185"/>
    </row>
    <row r="4040" spans="20:31" x14ac:dyDescent="0.25">
      <c r="T4040" s="81"/>
      <c r="W4040" s="185"/>
      <c r="AE4040" s="185"/>
    </row>
    <row r="4041" spans="20:31" x14ac:dyDescent="0.25">
      <c r="T4041" s="81"/>
      <c r="W4041" s="185"/>
      <c r="AE4041" s="185"/>
    </row>
    <row r="4042" spans="20:31" x14ac:dyDescent="0.25">
      <c r="T4042" s="81"/>
      <c r="W4042" s="185"/>
      <c r="AE4042" s="185"/>
    </row>
    <row r="4043" spans="20:31" x14ac:dyDescent="0.25">
      <c r="T4043" s="81"/>
      <c r="W4043" s="185"/>
      <c r="AE4043" s="185"/>
    </row>
    <row r="4044" spans="20:31" x14ac:dyDescent="0.25">
      <c r="T4044" s="81"/>
      <c r="W4044" s="185"/>
      <c r="AE4044" s="185"/>
    </row>
    <row r="4045" spans="20:31" x14ac:dyDescent="0.25">
      <c r="T4045" s="81"/>
      <c r="W4045" s="185"/>
      <c r="AE4045" s="185"/>
    </row>
    <row r="4046" spans="20:31" x14ac:dyDescent="0.25">
      <c r="T4046" s="81"/>
      <c r="W4046" s="185"/>
      <c r="AE4046" s="185"/>
    </row>
    <row r="4047" spans="20:31" x14ac:dyDescent="0.25">
      <c r="T4047" s="81"/>
      <c r="W4047" s="185"/>
      <c r="AE4047" s="185"/>
    </row>
    <row r="4048" spans="20:31" x14ac:dyDescent="0.25">
      <c r="T4048" s="81"/>
      <c r="W4048" s="185"/>
      <c r="AE4048" s="185"/>
    </row>
    <row r="4049" spans="20:31" x14ac:dyDescent="0.25">
      <c r="T4049" s="81"/>
      <c r="W4049" s="185"/>
      <c r="AE4049" s="185"/>
    </row>
    <row r="4050" spans="20:31" x14ac:dyDescent="0.25">
      <c r="T4050" s="81"/>
      <c r="W4050" s="185"/>
      <c r="AE4050" s="185"/>
    </row>
    <row r="4051" spans="20:31" x14ac:dyDescent="0.25">
      <c r="T4051" s="81"/>
      <c r="W4051" s="185"/>
      <c r="AE4051" s="185"/>
    </row>
    <row r="4052" spans="20:31" x14ac:dyDescent="0.25">
      <c r="T4052" s="81"/>
      <c r="W4052" s="185"/>
      <c r="AE4052" s="185"/>
    </row>
    <row r="4053" spans="20:31" x14ac:dyDescent="0.25">
      <c r="T4053" s="81"/>
      <c r="W4053" s="185"/>
      <c r="AE4053" s="185"/>
    </row>
    <row r="4054" spans="20:31" x14ac:dyDescent="0.25">
      <c r="T4054" s="81"/>
      <c r="W4054" s="185"/>
      <c r="AE4054" s="185"/>
    </row>
    <row r="4055" spans="20:31" x14ac:dyDescent="0.25">
      <c r="T4055" s="81"/>
      <c r="W4055" s="185"/>
      <c r="AE4055" s="185"/>
    </row>
    <row r="4056" spans="20:31" x14ac:dyDescent="0.25">
      <c r="T4056" s="81"/>
      <c r="W4056" s="185"/>
      <c r="AE4056" s="185"/>
    </row>
    <row r="4057" spans="20:31" x14ac:dyDescent="0.25">
      <c r="T4057" s="81"/>
      <c r="W4057" s="185"/>
      <c r="AE4057" s="185"/>
    </row>
    <row r="4058" spans="20:31" x14ac:dyDescent="0.25">
      <c r="T4058" s="81"/>
      <c r="W4058" s="185"/>
      <c r="AE4058" s="185"/>
    </row>
    <row r="4059" spans="20:31" x14ac:dyDescent="0.25">
      <c r="T4059" s="81"/>
      <c r="W4059" s="185"/>
      <c r="AE4059" s="185"/>
    </row>
    <row r="4060" spans="20:31" x14ac:dyDescent="0.25">
      <c r="T4060" s="81"/>
      <c r="W4060" s="185"/>
      <c r="AE4060" s="185"/>
    </row>
    <row r="4061" spans="20:31" x14ac:dyDescent="0.25">
      <c r="T4061" s="81"/>
      <c r="W4061" s="185"/>
      <c r="AE4061" s="185"/>
    </row>
    <row r="4062" spans="20:31" x14ac:dyDescent="0.25">
      <c r="T4062" s="81"/>
      <c r="W4062" s="185"/>
      <c r="AE4062" s="185"/>
    </row>
    <row r="4063" spans="20:31" x14ac:dyDescent="0.25">
      <c r="T4063" s="81"/>
      <c r="W4063" s="185"/>
      <c r="AE4063" s="185"/>
    </row>
    <row r="4064" spans="20:31" x14ac:dyDescent="0.25">
      <c r="T4064" s="81"/>
      <c r="W4064" s="185"/>
      <c r="AE4064" s="185"/>
    </row>
    <row r="4065" spans="20:31" x14ac:dyDescent="0.25">
      <c r="T4065" s="81"/>
      <c r="W4065" s="185"/>
      <c r="AE4065" s="185"/>
    </row>
    <row r="4066" spans="20:31" x14ac:dyDescent="0.25">
      <c r="T4066" s="81"/>
      <c r="W4066" s="185"/>
      <c r="AE4066" s="185"/>
    </row>
    <row r="4067" spans="20:31" x14ac:dyDescent="0.25">
      <c r="T4067" s="81"/>
      <c r="W4067" s="185"/>
      <c r="AE4067" s="185"/>
    </row>
    <row r="4068" spans="20:31" x14ac:dyDescent="0.25">
      <c r="T4068" s="81"/>
      <c r="W4068" s="185"/>
      <c r="AE4068" s="185"/>
    </row>
    <row r="4069" spans="20:31" x14ac:dyDescent="0.25">
      <c r="T4069" s="81"/>
      <c r="W4069" s="185"/>
      <c r="AE4069" s="185"/>
    </row>
    <row r="4070" spans="20:31" x14ac:dyDescent="0.25">
      <c r="T4070" s="81"/>
      <c r="W4070" s="185"/>
      <c r="AE4070" s="185"/>
    </row>
    <row r="4071" spans="20:31" x14ac:dyDescent="0.25">
      <c r="T4071" s="81"/>
      <c r="W4071" s="185"/>
      <c r="AE4071" s="185"/>
    </row>
    <row r="4072" spans="20:31" x14ac:dyDescent="0.25">
      <c r="T4072" s="81"/>
      <c r="W4072" s="185"/>
      <c r="AE4072" s="185"/>
    </row>
    <row r="4073" spans="20:31" x14ac:dyDescent="0.25">
      <c r="T4073" s="81"/>
      <c r="W4073" s="185"/>
      <c r="AE4073" s="185"/>
    </row>
    <row r="4074" spans="20:31" x14ac:dyDescent="0.25">
      <c r="T4074" s="81"/>
      <c r="W4074" s="185"/>
      <c r="AE4074" s="185"/>
    </row>
    <row r="4075" spans="20:31" x14ac:dyDescent="0.25">
      <c r="T4075" s="81"/>
      <c r="W4075" s="185"/>
      <c r="AE4075" s="185"/>
    </row>
    <row r="4076" spans="20:31" x14ac:dyDescent="0.25">
      <c r="T4076" s="81"/>
      <c r="W4076" s="185"/>
      <c r="AE4076" s="185"/>
    </row>
    <row r="4077" spans="20:31" x14ac:dyDescent="0.25">
      <c r="T4077" s="81"/>
      <c r="W4077" s="185"/>
      <c r="AE4077" s="185"/>
    </row>
    <row r="4078" spans="20:31" x14ac:dyDescent="0.25">
      <c r="T4078" s="81"/>
      <c r="W4078" s="185"/>
      <c r="AE4078" s="185"/>
    </row>
    <row r="4079" spans="20:31" x14ac:dyDescent="0.25">
      <c r="T4079" s="81"/>
      <c r="W4079" s="185"/>
      <c r="AE4079" s="185"/>
    </row>
    <row r="4080" spans="20:31" x14ac:dyDescent="0.25">
      <c r="T4080" s="81"/>
      <c r="W4080" s="185"/>
      <c r="AE4080" s="185"/>
    </row>
    <row r="4081" spans="20:31" x14ac:dyDescent="0.25">
      <c r="T4081" s="81"/>
      <c r="W4081" s="185"/>
      <c r="AE4081" s="185"/>
    </row>
    <row r="4082" spans="20:31" x14ac:dyDescent="0.25">
      <c r="T4082" s="81"/>
      <c r="W4082" s="185"/>
      <c r="AE4082" s="185"/>
    </row>
    <row r="4083" spans="20:31" x14ac:dyDescent="0.25">
      <c r="T4083" s="81"/>
      <c r="W4083" s="185"/>
      <c r="AE4083" s="185"/>
    </row>
    <row r="4084" spans="20:31" x14ac:dyDescent="0.25">
      <c r="T4084" s="81"/>
      <c r="W4084" s="185"/>
      <c r="AE4084" s="185"/>
    </row>
    <row r="4085" spans="20:31" x14ac:dyDescent="0.25">
      <c r="T4085" s="81"/>
      <c r="W4085" s="185"/>
      <c r="AE4085" s="185"/>
    </row>
    <row r="4086" spans="20:31" x14ac:dyDescent="0.25">
      <c r="T4086" s="81"/>
      <c r="W4086" s="185"/>
      <c r="AE4086" s="185"/>
    </row>
    <row r="4087" spans="20:31" x14ac:dyDescent="0.25">
      <c r="T4087" s="81"/>
      <c r="W4087" s="185"/>
      <c r="AE4087" s="185"/>
    </row>
    <row r="4088" spans="20:31" x14ac:dyDescent="0.25">
      <c r="T4088" s="81"/>
      <c r="W4088" s="185"/>
      <c r="AE4088" s="185"/>
    </row>
    <row r="4089" spans="20:31" x14ac:dyDescent="0.25">
      <c r="T4089" s="81"/>
      <c r="W4089" s="185"/>
      <c r="AE4089" s="185"/>
    </row>
    <row r="4090" spans="20:31" x14ac:dyDescent="0.25">
      <c r="T4090" s="81"/>
      <c r="W4090" s="185"/>
      <c r="AE4090" s="185"/>
    </row>
    <row r="4091" spans="20:31" x14ac:dyDescent="0.25">
      <c r="T4091" s="81"/>
      <c r="W4091" s="185"/>
      <c r="AE4091" s="185"/>
    </row>
    <row r="4092" spans="20:31" x14ac:dyDescent="0.25">
      <c r="T4092" s="81"/>
      <c r="W4092" s="185"/>
      <c r="AE4092" s="185"/>
    </row>
    <row r="4093" spans="20:31" x14ac:dyDescent="0.25">
      <c r="T4093" s="81"/>
      <c r="W4093" s="185"/>
      <c r="AE4093" s="185"/>
    </row>
    <row r="4094" spans="20:31" x14ac:dyDescent="0.25">
      <c r="T4094" s="81"/>
      <c r="W4094" s="185"/>
      <c r="AE4094" s="185"/>
    </row>
    <row r="4095" spans="20:31" x14ac:dyDescent="0.25">
      <c r="T4095" s="81"/>
      <c r="W4095" s="185"/>
      <c r="AE4095" s="185"/>
    </row>
    <row r="4096" spans="20:31" x14ac:dyDescent="0.25">
      <c r="T4096" s="81"/>
      <c r="W4096" s="185"/>
      <c r="AE4096" s="185"/>
    </row>
    <row r="4097" spans="20:31" x14ac:dyDescent="0.25">
      <c r="T4097" s="81"/>
      <c r="W4097" s="185"/>
      <c r="AE4097" s="185"/>
    </row>
    <row r="4098" spans="20:31" x14ac:dyDescent="0.25">
      <c r="T4098" s="81"/>
      <c r="W4098" s="185"/>
      <c r="AE4098" s="185"/>
    </row>
    <row r="4099" spans="20:31" x14ac:dyDescent="0.25">
      <c r="T4099" s="81"/>
      <c r="W4099" s="185"/>
      <c r="AE4099" s="185"/>
    </row>
    <row r="4100" spans="20:31" x14ac:dyDescent="0.25">
      <c r="T4100" s="81"/>
      <c r="W4100" s="185"/>
      <c r="AE4100" s="185"/>
    </row>
    <row r="4101" spans="20:31" x14ac:dyDescent="0.25">
      <c r="T4101" s="81"/>
      <c r="W4101" s="185"/>
      <c r="AE4101" s="185"/>
    </row>
    <row r="4102" spans="20:31" x14ac:dyDescent="0.25">
      <c r="T4102" s="81"/>
      <c r="W4102" s="185"/>
      <c r="AE4102" s="185"/>
    </row>
    <row r="4103" spans="20:31" x14ac:dyDescent="0.25">
      <c r="T4103" s="81"/>
      <c r="W4103" s="185"/>
      <c r="AE4103" s="185"/>
    </row>
    <row r="4104" spans="20:31" x14ac:dyDescent="0.25">
      <c r="T4104" s="81"/>
      <c r="W4104" s="185"/>
      <c r="AE4104" s="185"/>
    </row>
    <row r="4105" spans="20:31" x14ac:dyDescent="0.25">
      <c r="T4105" s="81"/>
      <c r="W4105" s="185"/>
      <c r="AE4105" s="185"/>
    </row>
    <row r="4106" spans="20:31" x14ac:dyDescent="0.25">
      <c r="T4106" s="81"/>
      <c r="W4106" s="185"/>
      <c r="AE4106" s="185"/>
    </row>
    <row r="4107" spans="20:31" x14ac:dyDescent="0.25">
      <c r="T4107" s="81"/>
      <c r="W4107" s="185"/>
      <c r="AE4107" s="185"/>
    </row>
    <row r="4108" spans="20:31" x14ac:dyDescent="0.25">
      <c r="T4108" s="81"/>
      <c r="W4108" s="185"/>
      <c r="AE4108" s="185"/>
    </row>
    <row r="4109" spans="20:31" x14ac:dyDescent="0.25">
      <c r="T4109" s="81"/>
      <c r="W4109" s="185"/>
      <c r="AE4109" s="185"/>
    </row>
    <row r="4110" spans="20:31" x14ac:dyDescent="0.25">
      <c r="T4110" s="81"/>
      <c r="W4110" s="185"/>
      <c r="AE4110" s="185"/>
    </row>
    <row r="4111" spans="20:31" x14ac:dyDescent="0.25">
      <c r="T4111" s="81"/>
      <c r="W4111" s="185"/>
      <c r="AE4111" s="185"/>
    </row>
    <row r="4112" spans="20:31" x14ac:dyDescent="0.25">
      <c r="T4112" s="81"/>
      <c r="W4112" s="185"/>
      <c r="AE4112" s="185"/>
    </row>
    <row r="4113" spans="20:31" x14ac:dyDescent="0.25">
      <c r="T4113" s="81"/>
      <c r="W4113" s="185"/>
      <c r="AE4113" s="185"/>
    </row>
    <row r="4114" spans="20:31" x14ac:dyDescent="0.25">
      <c r="T4114" s="81"/>
      <c r="W4114" s="185"/>
      <c r="AE4114" s="185"/>
    </row>
    <row r="4115" spans="20:31" x14ac:dyDescent="0.25">
      <c r="T4115" s="81"/>
      <c r="W4115" s="185"/>
      <c r="AE4115" s="185"/>
    </row>
    <row r="4116" spans="20:31" x14ac:dyDescent="0.25">
      <c r="T4116" s="81"/>
      <c r="W4116" s="185"/>
      <c r="AE4116" s="185"/>
    </row>
    <row r="4117" spans="20:31" x14ac:dyDescent="0.25">
      <c r="T4117" s="81"/>
      <c r="W4117" s="185"/>
      <c r="AE4117" s="185"/>
    </row>
    <row r="4118" spans="20:31" x14ac:dyDescent="0.25">
      <c r="T4118" s="81"/>
      <c r="W4118" s="185"/>
      <c r="AE4118" s="185"/>
    </row>
    <row r="4119" spans="20:31" x14ac:dyDescent="0.25">
      <c r="T4119" s="81"/>
      <c r="W4119" s="185"/>
      <c r="AE4119" s="185"/>
    </row>
    <row r="4120" spans="20:31" x14ac:dyDescent="0.25">
      <c r="T4120" s="81"/>
      <c r="W4120" s="185"/>
      <c r="AE4120" s="185"/>
    </row>
    <row r="4121" spans="20:31" x14ac:dyDescent="0.25">
      <c r="T4121" s="81"/>
      <c r="W4121" s="185"/>
      <c r="AE4121" s="185"/>
    </row>
    <row r="4122" spans="20:31" x14ac:dyDescent="0.25">
      <c r="T4122" s="81"/>
      <c r="W4122" s="185"/>
      <c r="AE4122" s="185"/>
    </row>
    <row r="4123" spans="20:31" x14ac:dyDescent="0.25">
      <c r="T4123" s="81"/>
      <c r="W4123" s="185"/>
      <c r="AE4123" s="185"/>
    </row>
    <row r="4124" spans="20:31" x14ac:dyDescent="0.25">
      <c r="T4124" s="81"/>
      <c r="W4124" s="185"/>
      <c r="AE4124" s="185"/>
    </row>
    <row r="4125" spans="20:31" x14ac:dyDescent="0.25">
      <c r="T4125" s="81"/>
      <c r="W4125" s="185"/>
      <c r="AE4125" s="185"/>
    </row>
    <row r="4126" spans="20:31" x14ac:dyDescent="0.25">
      <c r="T4126" s="81"/>
      <c r="W4126" s="185"/>
      <c r="AE4126" s="185"/>
    </row>
    <row r="4127" spans="20:31" x14ac:dyDescent="0.25">
      <c r="T4127" s="81"/>
      <c r="W4127" s="185"/>
      <c r="AE4127" s="185"/>
    </row>
    <row r="4128" spans="20:31" x14ac:dyDescent="0.25">
      <c r="T4128" s="81"/>
      <c r="W4128" s="185"/>
      <c r="AE4128" s="185"/>
    </row>
    <row r="4129" spans="20:31" x14ac:dyDescent="0.25">
      <c r="T4129" s="81"/>
      <c r="W4129" s="185"/>
      <c r="AE4129" s="185"/>
    </row>
    <row r="4130" spans="20:31" x14ac:dyDescent="0.25">
      <c r="T4130" s="81"/>
      <c r="W4130" s="185"/>
      <c r="AE4130" s="185"/>
    </row>
    <row r="4131" spans="20:31" x14ac:dyDescent="0.25">
      <c r="T4131" s="81"/>
      <c r="W4131" s="185"/>
      <c r="AE4131" s="185"/>
    </row>
    <row r="4132" spans="20:31" x14ac:dyDescent="0.25">
      <c r="T4132" s="81"/>
      <c r="W4132" s="185"/>
      <c r="AE4132" s="185"/>
    </row>
    <row r="4133" spans="20:31" x14ac:dyDescent="0.25">
      <c r="T4133" s="81"/>
      <c r="W4133" s="185"/>
      <c r="AE4133" s="185"/>
    </row>
    <row r="4134" spans="20:31" x14ac:dyDescent="0.25">
      <c r="T4134" s="81"/>
      <c r="W4134" s="185"/>
      <c r="AE4134" s="185"/>
    </row>
    <row r="4135" spans="20:31" x14ac:dyDescent="0.25">
      <c r="T4135" s="81"/>
      <c r="W4135" s="185"/>
      <c r="AE4135" s="185"/>
    </row>
    <row r="4136" spans="20:31" x14ac:dyDescent="0.25">
      <c r="T4136" s="81"/>
      <c r="W4136" s="185"/>
      <c r="AE4136" s="185"/>
    </row>
    <row r="4137" spans="20:31" x14ac:dyDescent="0.25">
      <c r="T4137" s="81"/>
      <c r="W4137" s="185"/>
      <c r="AE4137" s="185"/>
    </row>
    <row r="4138" spans="20:31" x14ac:dyDescent="0.25">
      <c r="T4138" s="81"/>
      <c r="W4138" s="185"/>
      <c r="AE4138" s="185"/>
    </row>
    <row r="4139" spans="20:31" x14ac:dyDescent="0.25">
      <c r="T4139" s="81"/>
      <c r="W4139" s="185"/>
      <c r="AE4139" s="185"/>
    </row>
    <row r="4140" spans="20:31" x14ac:dyDescent="0.25">
      <c r="T4140" s="81"/>
      <c r="W4140" s="185"/>
      <c r="AE4140" s="185"/>
    </row>
    <row r="4141" spans="20:31" x14ac:dyDescent="0.25">
      <c r="T4141" s="81"/>
      <c r="W4141" s="185"/>
      <c r="AE4141" s="185"/>
    </row>
    <row r="4142" spans="20:31" x14ac:dyDescent="0.25">
      <c r="T4142" s="81"/>
      <c r="W4142" s="185"/>
      <c r="AE4142" s="185"/>
    </row>
    <row r="4143" spans="20:31" x14ac:dyDescent="0.25">
      <c r="T4143" s="81"/>
      <c r="W4143" s="185"/>
      <c r="AE4143" s="185"/>
    </row>
    <row r="4144" spans="20:31" x14ac:dyDescent="0.25">
      <c r="T4144" s="81"/>
      <c r="W4144" s="185"/>
      <c r="AE4144" s="185"/>
    </row>
    <row r="4145" spans="20:31" x14ac:dyDescent="0.25">
      <c r="T4145" s="81"/>
      <c r="W4145" s="185"/>
      <c r="AE4145" s="185"/>
    </row>
    <row r="4146" spans="20:31" x14ac:dyDescent="0.25">
      <c r="T4146" s="81"/>
      <c r="W4146" s="185"/>
      <c r="AE4146" s="185"/>
    </row>
    <row r="4147" spans="20:31" x14ac:dyDescent="0.25">
      <c r="T4147" s="81"/>
      <c r="W4147" s="185"/>
      <c r="AE4147" s="185"/>
    </row>
    <row r="4148" spans="20:31" x14ac:dyDescent="0.25">
      <c r="T4148" s="81"/>
      <c r="W4148" s="185"/>
      <c r="AE4148" s="185"/>
    </row>
    <row r="4149" spans="20:31" x14ac:dyDescent="0.25">
      <c r="T4149" s="81"/>
      <c r="W4149" s="185"/>
      <c r="AE4149" s="185"/>
    </row>
    <row r="4150" spans="20:31" x14ac:dyDescent="0.25">
      <c r="T4150" s="81"/>
      <c r="W4150" s="185"/>
      <c r="AE4150" s="185"/>
    </row>
    <row r="4151" spans="20:31" x14ac:dyDescent="0.25">
      <c r="T4151" s="81"/>
      <c r="W4151" s="185"/>
      <c r="AE4151" s="185"/>
    </row>
    <row r="4152" spans="20:31" x14ac:dyDescent="0.25">
      <c r="T4152" s="81"/>
      <c r="W4152" s="185"/>
      <c r="AE4152" s="185"/>
    </row>
    <row r="4153" spans="20:31" x14ac:dyDescent="0.25">
      <c r="T4153" s="81"/>
      <c r="W4153" s="185"/>
      <c r="AE4153" s="185"/>
    </row>
    <row r="4154" spans="20:31" x14ac:dyDescent="0.25">
      <c r="T4154" s="81"/>
      <c r="W4154" s="185"/>
      <c r="AE4154" s="185"/>
    </row>
    <row r="4155" spans="20:31" x14ac:dyDescent="0.25">
      <c r="T4155" s="81"/>
      <c r="W4155" s="185"/>
      <c r="AE4155" s="185"/>
    </row>
    <row r="4156" spans="20:31" x14ac:dyDescent="0.25">
      <c r="T4156" s="81"/>
      <c r="W4156" s="185"/>
      <c r="AE4156" s="185"/>
    </row>
    <row r="4157" spans="20:31" x14ac:dyDescent="0.25">
      <c r="T4157" s="81"/>
      <c r="W4157" s="185"/>
      <c r="AE4157" s="185"/>
    </row>
    <row r="4158" spans="20:31" x14ac:dyDescent="0.25">
      <c r="T4158" s="81"/>
      <c r="W4158" s="185"/>
      <c r="AE4158" s="185"/>
    </row>
    <row r="4159" spans="20:31" x14ac:dyDescent="0.25">
      <c r="T4159" s="81"/>
      <c r="W4159" s="185"/>
      <c r="AE4159" s="185"/>
    </row>
    <row r="4160" spans="20:31" x14ac:dyDescent="0.25">
      <c r="T4160" s="81"/>
      <c r="W4160" s="185"/>
      <c r="AE4160" s="185"/>
    </row>
    <row r="4161" spans="20:31" x14ac:dyDescent="0.25">
      <c r="T4161" s="81"/>
      <c r="W4161" s="185"/>
      <c r="AE4161" s="185"/>
    </row>
    <row r="4162" spans="20:31" x14ac:dyDescent="0.25">
      <c r="T4162" s="81"/>
      <c r="W4162" s="185"/>
      <c r="AE4162" s="185"/>
    </row>
    <row r="4163" spans="20:31" x14ac:dyDescent="0.25">
      <c r="T4163" s="81"/>
      <c r="W4163" s="185"/>
      <c r="AE4163" s="185"/>
    </row>
    <row r="4164" spans="20:31" x14ac:dyDescent="0.25">
      <c r="T4164" s="81"/>
      <c r="W4164" s="185"/>
      <c r="AE4164" s="185"/>
    </row>
    <row r="4165" spans="20:31" x14ac:dyDescent="0.25">
      <c r="T4165" s="81"/>
      <c r="W4165" s="185"/>
      <c r="AE4165" s="185"/>
    </row>
    <row r="4166" spans="20:31" x14ac:dyDescent="0.25">
      <c r="T4166" s="81"/>
      <c r="W4166" s="185"/>
      <c r="AE4166" s="185"/>
    </row>
    <row r="4167" spans="20:31" x14ac:dyDescent="0.25">
      <c r="T4167" s="81"/>
      <c r="W4167" s="185"/>
      <c r="AE4167" s="185"/>
    </row>
    <row r="4168" spans="20:31" x14ac:dyDescent="0.25">
      <c r="T4168" s="81"/>
      <c r="W4168" s="185"/>
      <c r="AE4168" s="185"/>
    </row>
    <row r="4169" spans="20:31" x14ac:dyDescent="0.25">
      <c r="T4169" s="81"/>
      <c r="W4169" s="185"/>
      <c r="AE4169" s="185"/>
    </row>
    <row r="4170" spans="20:31" x14ac:dyDescent="0.25">
      <c r="T4170" s="81"/>
      <c r="W4170" s="185"/>
      <c r="AE4170" s="185"/>
    </row>
    <row r="4171" spans="20:31" x14ac:dyDescent="0.25">
      <c r="T4171" s="81"/>
      <c r="W4171" s="185"/>
      <c r="AE4171" s="185"/>
    </row>
    <row r="4172" spans="20:31" x14ac:dyDescent="0.25">
      <c r="T4172" s="81"/>
      <c r="W4172" s="185"/>
      <c r="AE4172" s="185"/>
    </row>
    <row r="4173" spans="20:31" x14ac:dyDescent="0.25">
      <c r="T4173" s="81"/>
      <c r="W4173" s="185"/>
      <c r="AE4173" s="185"/>
    </row>
    <row r="4174" spans="20:31" x14ac:dyDescent="0.25">
      <c r="T4174" s="81"/>
      <c r="W4174" s="185"/>
      <c r="AE4174" s="185"/>
    </row>
    <row r="4175" spans="20:31" x14ac:dyDescent="0.25">
      <c r="T4175" s="81"/>
      <c r="W4175" s="185"/>
      <c r="AE4175" s="185"/>
    </row>
    <row r="4176" spans="20:31" x14ac:dyDescent="0.25">
      <c r="T4176" s="81"/>
      <c r="W4176" s="185"/>
      <c r="AE4176" s="185"/>
    </row>
    <row r="4177" spans="20:31" x14ac:dyDescent="0.25">
      <c r="T4177" s="81"/>
      <c r="W4177" s="185"/>
      <c r="AE4177" s="185"/>
    </row>
    <row r="4178" spans="20:31" x14ac:dyDescent="0.25">
      <c r="T4178" s="81"/>
      <c r="W4178" s="185"/>
      <c r="AE4178" s="185"/>
    </row>
    <row r="4179" spans="20:31" x14ac:dyDescent="0.25">
      <c r="T4179" s="81"/>
      <c r="W4179" s="185"/>
      <c r="AE4179" s="185"/>
    </row>
    <row r="4180" spans="20:31" x14ac:dyDescent="0.25">
      <c r="T4180" s="81"/>
      <c r="W4180" s="185"/>
      <c r="AE4180" s="185"/>
    </row>
    <row r="4181" spans="20:31" x14ac:dyDescent="0.25">
      <c r="T4181" s="81"/>
      <c r="W4181" s="185"/>
      <c r="AE4181" s="185"/>
    </row>
    <row r="4182" spans="20:31" x14ac:dyDescent="0.25">
      <c r="T4182" s="81"/>
      <c r="W4182" s="185"/>
      <c r="AE4182" s="185"/>
    </row>
    <row r="4183" spans="20:31" x14ac:dyDescent="0.25">
      <c r="T4183" s="81"/>
      <c r="W4183" s="185"/>
      <c r="AE4183" s="185"/>
    </row>
    <row r="4184" spans="20:31" x14ac:dyDescent="0.25">
      <c r="T4184" s="81"/>
      <c r="W4184" s="185"/>
      <c r="AE4184" s="185"/>
    </row>
    <row r="4185" spans="20:31" x14ac:dyDescent="0.25">
      <c r="T4185" s="81"/>
      <c r="W4185" s="185"/>
      <c r="AE4185" s="185"/>
    </row>
    <row r="4186" spans="20:31" x14ac:dyDescent="0.25">
      <c r="T4186" s="81"/>
      <c r="W4186" s="185"/>
      <c r="AE4186" s="185"/>
    </row>
    <row r="4187" spans="20:31" x14ac:dyDescent="0.25">
      <c r="T4187" s="81"/>
      <c r="W4187" s="185"/>
      <c r="AE4187" s="185"/>
    </row>
    <row r="4188" spans="20:31" x14ac:dyDescent="0.25">
      <c r="T4188" s="81"/>
      <c r="W4188" s="185"/>
      <c r="AE4188" s="185"/>
    </row>
    <row r="4189" spans="20:31" x14ac:dyDescent="0.25">
      <c r="T4189" s="81"/>
      <c r="W4189" s="185"/>
      <c r="AE4189" s="185"/>
    </row>
    <row r="4190" spans="20:31" x14ac:dyDescent="0.25">
      <c r="T4190" s="81"/>
      <c r="W4190" s="185"/>
      <c r="AE4190" s="185"/>
    </row>
    <row r="4191" spans="20:31" x14ac:dyDescent="0.25">
      <c r="T4191" s="81"/>
      <c r="W4191" s="185"/>
      <c r="AE4191" s="185"/>
    </row>
    <row r="4192" spans="20:31" x14ac:dyDescent="0.25">
      <c r="T4192" s="81"/>
      <c r="W4192" s="185"/>
      <c r="AE4192" s="185"/>
    </row>
    <row r="4193" spans="20:31" x14ac:dyDescent="0.25">
      <c r="T4193" s="81"/>
      <c r="W4193" s="185"/>
      <c r="AE4193" s="185"/>
    </row>
    <row r="4194" spans="20:31" x14ac:dyDescent="0.25">
      <c r="T4194" s="81"/>
      <c r="W4194" s="185"/>
      <c r="AE4194" s="185"/>
    </row>
    <row r="4195" spans="20:31" x14ac:dyDescent="0.25">
      <c r="T4195" s="81"/>
      <c r="W4195" s="185"/>
      <c r="AE4195" s="185"/>
    </row>
    <row r="4196" spans="20:31" x14ac:dyDescent="0.25">
      <c r="T4196" s="81"/>
      <c r="W4196" s="185"/>
      <c r="AE4196" s="185"/>
    </row>
    <row r="4197" spans="20:31" x14ac:dyDescent="0.25">
      <c r="T4197" s="81"/>
      <c r="W4197" s="185"/>
      <c r="AE4197" s="185"/>
    </row>
    <row r="4198" spans="20:31" x14ac:dyDescent="0.25">
      <c r="T4198" s="81"/>
      <c r="W4198" s="185"/>
      <c r="AE4198" s="185"/>
    </row>
    <row r="4199" spans="20:31" x14ac:dyDescent="0.25">
      <c r="T4199" s="81"/>
      <c r="W4199" s="185"/>
      <c r="AE4199" s="185"/>
    </row>
    <row r="4200" spans="20:31" x14ac:dyDescent="0.25">
      <c r="T4200" s="81"/>
      <c r="W4200" s="185"/>
      <c r="AE4200" s="185"/>
    </row>
    <row r="4201" spans="20:31" x14ac:dyDescent="0.25">
      <c r="T4201" s="81"/>
      <c r="W4201" s="185"/>
      <c r="AE4201" s="185"/>
    </row>
    <row r="4202" spans="20:31" x14ac:dyDescent="0.25">
      <c r="T4202" s="81"/>
      <c r="W4202" s="185"/>
      <c r="AE4202" s="185"/>
    </row>
    <row r="4203" spans="20:31" x14ac:dyDescent="0.25">
      <c r="T4203" s="81"/>
      <c r="W4203" s="185"/>
      <c r="AE4203" s="185"/>
    </row>
    <row r="4204" spans="20:31" x14ac:dyDescent="0.25">
      <c r="T4204" s="81"/>
      <c r="W4204" s="185"/>
      <c r="AE4204" s="185"/>
    </row>
    <row r="4205" spans="20:31" x14ac:dyDescent="0.25">
      <c r="T4205" s="81"/>
      <c r="W4205" s="185"/>
      <c r="AE4205" s="185"/>
    </row>
    <row r="4206" spans="20:31" x14ac:dyDescent="0.25">
      <c r="T4206" s="81"/>
      <c r="W4206" s="185"/>
      <c r="AE4206" s="185"/>
    </row>
    <row r="4207" spans="20:31" x14ac:dyDescent="0.25">
      <c r="T4207" s="81"/>
      <c r="W4207" s="185"/>
      <c r="AE4207" s="185"/>
    </row>
    <row r="4208" spans="20:31" x14ac:dyDescent="0.25">
      <c r="T4208" s="81"/>
      <c r="W4208" s="185"/>
      <c r="AE4208" s="185"/>
    </row>
    <row r="4209" spans="20:31" x14ac:dyDescent="0.25">
      <c r="T4209" s="81"/>
      <c r="W4209" s="185"/>
      <c r="AE4209" s="185"/>
    </row>
    <row r="4210" spans="20:31" x14ac:dyDescent="0.25">
      <c r="T4210" s="81"/>
      <c r="W4210" s="185"/>
      <c r="AE4210" s="185"/>
    </row>
    <row r="4211" spans="20:31" x14ac:dyDescent="0.25">
      <c r="T4211" s="81"/>
      <c r="W4211" s="185"/>
      <c r="AE4211" s="185"/>
    </row>
    <row r="4212" spans="20:31" x14ac:dyDescent="0.25">
      <c r="T4212" s="81"/>
      <c r="W4212" s="185"/>
      <c r="AE4212" s="185"/>
    </row>
    <row r="4213" spans="20:31" x14ac:dyDescent="0.25">
      <c r="T4213" s="81"/>
      <c r="W4213" s="185"/>
      <c r="AE4213" s="185"/>
    </row>
    <row r="4214" spans="20:31" x14ac:dyDescent="0.25">
      <c r="T4214" s="81"/>
      <c r="W4214" s="185"/>
      <c r="AE4214" s="185"/>
    </row>
    <row r="4215" spans="20:31" x14ac:dyDescent="0.25">
      <c r="T4215" s="81"/>
      <c r="W4215" s="185"/>
      <c r="AE4215" s="185"/>
    </row>
    <row r="4216" spans="20:31" x14ac:dyDescent="0.25">
      <c r="T4216" s="81"/>
      <c r="W4216" s="185"/>
      <c r="AE4216" s="185"/>
    </row>
    <row r="4217" spans="20:31" x14ac:dyDescent="0.25">
      <c r="T4217" s="81"/>
      <c r="W4217" s="185"/>
      <c r="AE4217" s="185"/>
    </row>
    <row r="4218" spans="20:31" x14ac:dyDescent="0.25">
      <c r="T4218" s="81"/>
      <c r="W4218" s="185"/>
      <c r="AE4218" s="185"/>
    </row>
    <row r="4219" spans="20:31" x14ac:dyDescent="0.25">
      <c r="T4219" s="81"/>
      <c r="W4219" s="185"/>
      <c r="AE4219" s="185"/>
    </row>
    <row r="4220" spans="20:31" x14ac:dyDescent="0.25">
      <c r="T4220" s="81"/>
      <c r="W4220" s="185"/>
      <c r="AE4220" s="185"/>
    </row>
    <row r="4221" spans="20:31" x14ac:dyDescent="0.25">
      <c r="T4221" s="81"/>
      <c r="W4221" s="185"/>
      <c r="AE4221" s="185"/>
    </row>
    <row r="4222" spans="20:31" x14ac:dyDescent="0.25">
      <c r="T4222" s="81"/>
      <c r="W4222" s="185"/>
      <c r="AE4222" s="185"/>
    </row>
    <row r="4223" spans="20:31" x14ac:dyDescent="0.25">
      <c r="T4223" s="81"/>
      <c r="W4223" s="185"/>
      <c r="AE4223" s="185"/>
    </row>
    <row r="4224" spans="20:31" x14ac:dyDescent="0.25">
      <c r="T4224" s="81"/>
      <c r="W4224" s="185"/>
      <c r="AE4224" s="185"/>
    </row>
    <row r="4225" spans="20:31" x14ac:dyDescent="0.25">
      <c r="T4225" s="81"/>
      <c r="W4225" s="185"/>
      <c r="AE4225" s="185"/>
    </row>
    <row r="4226" spans="20:31" x14ac:dyDescent="0.25">
      <c r="T4226" s="81"/>
      <c r="W4226" s="185"/>
      <c r="AE4226" s="185"/>
    </row>
    <row r="4227" spans="20:31" x14ac:dyDescent="0.25">
      <c r="T4227" s="81"/>
      <c r="W4227" s="185"/>
      <c r="AE4227" s="185"/>
    </row>
    <row r="4228" spans="20:31" x14ac:dyDescent="0.25">
      <c r="T4228" s="81"/>
      <c r="W4228" s="185"/>
      <c r="AE4228" s="185"/>
    </row>
    <row r="4229" spans="20:31" x14ac:dyDescent="0.25">
      <c r="T4229" s="81"/>
      <c r="W4229" s="185"/>
      <c r="AE4229" s="185"/>
    </row>
    <row r="4230" spans="20:31" x14ac:dyDescent="0.25">
      <c r="T4230" s="81"/>
      <c r="W4230" s="185"/>
      <c r="AE4230" s="185"/>
    </row>
    <row r="4231" spans="20:31" x14ac:dyDescent="0.25">
      <c r="T4231" s="81"/>
      <c r="W4231" s="185"/>
      <c r="AE4231" s="185"/>
    </row>
    <row r="4232" spans="20:31" x14ac:dyDescent="0.25">
      <c r="T4232" s="81"/>
      <c r="W4232" s="185"/>
      <c r="AE4232" s="185"/>
    </row>
    <row r="4233" spans="20:31" x14ac:dyDescent="0.25">
      <c r="T4233" s="81"/>
      <c r="W4233" s="185"/>
      <c r="AE4233" s="185"/>
    </row>
    <row r="4234" spans="20:31" x14ac:dyDescent="0.25">
      <c r="T4234" s="81"/>
      <c r="W4234" s="185"/>
      <c r="AE4234" s="185"/>
    </row>
    <row r="4235" spans="20:31" x14ac:dyDescent="0.25">
      <c r="T4235" s="81"/>
      <c r="W4235" s="185"/>
      <c r="AE4235" s="185"/>
    </row>
    <row r="4236" spans="20:31" x14ac:dyDescent="0.25">
      <c r="T4236" s="81"/>
      <c r="W4236" s="185"/>
      <c r="AE4236" s="185"/>
    </row>
    <row r="4237" spans="20:31" x14ac:dyDescent="0.25">
      <c r="T4237" s="81"/>
      <c r="W4237" s="185"/>
      <c r="AE4237" s="185"/>
    </row>
    <row r="4238" spans="20:31" x14ac:dyDescent="0.25">
      <c r="T4238" s="81"/>
      <c r="W4238" s="185"/>
      <c r="AE4238" s="185"/>
    </row>
    <row r="4239" spans="20:31" x14ac:dyDescent="0.25">
      <c r="T4239" s="81"/>
      <c r="W4239" s="185"/>
      <c r="AE4239" s="185"/>
    </row>
    <row r="4240" spans="20:31" x14ac:dyDescent="0.25">
      <c r="T4240" s="81"/>
      <c r="W4240" s="185"/>
      <c r="AE4240" s="185"/>
    </row>
    <row r="4241" spans="20:31" x14ac:dyDescent="0.25">
      <c r="T4241" s="81"/>
      <c r="W4241" s="185"/>
      <c r="AE4241" s="185"/>
    </row>
    <row r="4242" spans="20:31" x14ac:dyDescent="0.25">
      <c r="T4242" s="81"/>
      <c r="W4242" s="185"/>
      <c r="AE4242" s="185"/>
    </row>
    <row r="4243" spans="20:31" x14ac:dyDescent="0.25">
      <c r="T4243" s="81"/>
      <c r="W4243" s="185"/>
      <c r="AE4243" s="185"/>
    </row>
    <row r="4244" spans="20:31" x14ac:dyDescent="0.25">
      <c r="T4244" s="81"/>
      <c r="W4244" s="185"/>
      <c r="AE4244" s="185"/>
    </row>
    <row r="4245" spans="20:31" x14ac:dyDescent="0.25">
      <c r="T4245" s="81"/>
      <c r="W4245" s="185"/>
      <c r="AE4245" s="185"/>
    </row>
    <row r="4246" spans="20:31" x14ac:dyDescent="0.25">
      <c r="T4246" s="81"/>
      <c r="W4246" s="185"/>
      <c r="AE4246" s="185"/>
    </row>
    <row r="4247" spans="20:31" x14ac:dyDescent="0.25">
      <c r="T4247" s="81"/>
      <c r="W4247" s="185"/>
      <c r="AE4247" s="185"/>
    </row>
    <row r="4248" spans="20:31" x14ac:dyDescent="0.25">
      <c r="T4248" s="81"/>
      <c r="W4248" s="185"/>
      <c r="AE4248" s="185"/>
    </row>
    <row r="4249" spans="20:31" x14ac:dyDescent="0.25">
      <c r="T4249" s="81"/>
      <c r="W4249" s="185"/>
      <c r="AE4249" s="185"/>
    </row>
    <row r="4250" spans="20:31" x14ac:dyDescent="0.25">
      <c r="T4250" s="81"/>
      <c r="W4250" s="185"/>
      <c r="AE4250" s="185"/>
    </row>
    <row r="4251" spans="20:31" x14ac:dyDescent="0.25">
      <c r="T4251" s="81"/>
      <c r="W4251" s="185"/>
      <c r="AE4251" s="185"/>
    </row>
    <row r="4252" spans="20:31" x14ac:dyDescent="0.25">
      <c r="T4252" s="81"/>
      <c r="W4252" s="185"/>
      <c r="AE4252" s="185"/>
    </row>
    <row r="4253" spans="20:31" x14ac:dyDescent="0.25">
      <c r="T4253" s="81"/>
      <c r="W4253" s="185"/>
      <c r="AE4253" s="185"/>
    </row>
    <row r="4254" spans="20:31" x14ac:dyDescent="0.25">
      <c r="T4254" s="81"/>
      <c r="W4254" s="185"/>
      <c r="AE4254" s="185"/>
    </row>
    <row r="4255" spans="20:31" x14ac:dyDescent="0.25">
      <c r="T4255" s="81"/>
      <c r="W4255" s="185"/>
      <c r="AE4255" s="185"/>
    </row>
    <row r="4256" spans="20:31" x14ac:dyDescent="0.25">
      <c r="T4256" s="81"/>
      <c r="W4256" s="185"/>
      <c r="AE4256" s="185"/>
    </row>
    <row r="4257" spans="20:31" x14ac:dyDescent="0.25">
      <c r="T4257" s="81"/>
      <c r="W4257" s="185"/>
      <c r="AE4257" s="185"/>
    </row>
    <row r="4258" spans="20:31" x14ac:dyDescent="0.25">
      <c r="T4258" s="81"/>
      <c r="W4258" s="185"/>
      <c r="AE4258" s="185"/>
    </row>
    <row r="4259" spans="20:31" x14ac:dyDescent="0.25">
      <c r="T4259" s="81"/>
      <c r="W4259" s="185"/>
      <c r="AE4259" s="185"/>
    </row>
    <row r="4260" spans="20:31" x14ac:dyDescent="0.25">
      <c r="T4260" s="81"/>
      <c r="W4260" s="185"/>
      <c r="AE4260" s="185"/>
    </row>
    <row r="4261" spans="20:31" x14ac:dyDescent="0.25">
      <c r="T4261" s="81"/>
      <c r="W4261" s="185"/>
      <c r="AE4261" s="185"/>
    </row>
    <row r="4262" spans="20:31" x14ac:dyDescent="0.25">
      <c r="T4262" s="81"/>
      <c r="W4262" s="185"/>
      <c r="AE4262" s="185"/>
    </row>
    <row r="4263" spans="20:31" x14ac:dyDescent="0.25">
      <c r="T4263" s="81"/>
      <c r="W4263" s="185"/>
      <c r="AE4263" s="185"/>
    </row>
    <row r="4264" spans="20:31" x14ac:dyDescent="0.25">
      <c r="T4264" s="81"/>
      <c r="W4264" s="185"/>
      <c r="AE4264" s="185"/>
    </row>
    <row r="4265" spans="20:31" x14ac:dyDescent="0.25">
      <c r="T4265" s="81"/>
      <c r="W4265" s="185"/>
      <c r="AE4265" s="185"/>
    </row>
    <row r="4266" spans="20:31" x14ac:dyDescent="0.25">
      <c r="T4266" s="81"/>
      <c r="W4266" s="185"/>
      <c r="AE4266" s="185"/>
    </row>
    <row r="4267" spans="20:31" x14ac:dyDescent="0.25">
      <c r="T4267" s="81"/>
      <c r="W4267" s="185"/>
      <c r="AE4267" s="185"/>
    </row>
    <row r="4268" spans="20:31" x14ac:dyDescent="0.25">
      <c r="T4268" s="81"/>
      <c r="W4268" s="185"/>
      <c r="AE4268" s="185"/>
    </row>
    <row r="4269" spans="20:31" x14ac:dyDescent="0.25">
      <c r="T4269" s="81"/>
      <c r="W4269" s="185"/>
      <c r="AE4269" s="185"/>
    </row>
    <row r="4270" spans="20:31" x14ac:dyDescent="0.25">
      <c r="T4270" s="81"/>
      <c r="W4270" s="185"/>
      <c r="AE4270" s="185"/>
    </row>
    <row r="4271" spans="20:31" x14ac:dyDescent="0.25">
      <c r="T4271" s="81"/>
      <c r="W4271" s="185"/>
      <c r="AE4271" s="185"/>
    </row>
    <row r="4272" spans="20:31" x14ac:dyDescent="0.25">
      <c r="T4272" s="81"/>
      <c r="W4272" s="185"/>
      <c r="AE4272" s="185"/>
    </row>
    <row r="4273" spans="20:31" x14ac:dyDescent="0.25">
      <c r="T4273" s="81"/>
      <c r="W4273" s="185"/>
      <c r="AE4273" s="185"/>
    </row>
    <row r="4274" spans="20:31" x14ac:dyDescent="0.25">
      <c r="T4274" s="81"/>
      <c r="W4274" s="185"/>
      <c r="AE4274" s="185"/>
    </row>
    <row r="4275" spans="20:31" x14ac:dyDescent="0.25">
      <c r="T4275" s="81"/>
      <c r="W4275" s="185"/>
      <c r="AE4275" s="185"/>
    </row>
    <row r="4276" spans="20:31" x14ac:dyDescent="0.25">
      <c r="T4276" s="81"/>
      <c r="W4276" s="185"/>
      <c r="AE4276" s="185"/>
    </row>
    <row r="4277" spans="20:31" x14ac:dyDescent="0.25">
      <c r="T4277" s="81"/>
      <c r="W4277" s="185"/>
      <c r="AE4277" s="185"/>
    </row>
    <row r="4278" spans="20:31" x14ac:dyDescent="0.25">
      <c r="T4278" s="81"/>
      <c r="W4278" s="185"/>
      <c r="AE4278" s="185"/>
    </row>
    <row r="4279" spans="20:31" x14ac:dyDescent="0.25">
      <c r="T4279" s="81"/>
      <c r="W4279" s="185"/>
      <c r="AE4279" s="185"/>
    </row>
    <row r="4280" spans="20:31" x14ac:dyDescent="0.25">
      <c r="T4280" s="81"/>
      <c r="W4280" s="185"/>
      <c r="AE4280" s="185"/>
    </row>
    <row r="4281" spans="20:31" x14ac:dyDescent="0.25">
      <c r="T4281" s="81"/>
      <c r="W4281" s="185"/>
      <c r="AE4281" s="185"/>
    </row>
    <row r="4282" spans="20:31" x14ac:dyDescent="0.25">
      <c r="T4282" s="81"/>
      <c r="W4282" s="185"/>
      <c r="AE4282" s="185"/>
    </row>
    <row r="4283" spans="20:31" x14ac:dyDescent="0.25">
      <c r="T4283" s="81"/>
      <c r="W4283" s="185"/>
      <c r="AE4283" s="185"/>
    </row>
    <row r="4284" spans="20:31" x14ac:dyDescent="0.25">
      <c r="T4284" s="81"/>
      <c r="W4284" s="185"/>
      <c r="AE4284" s="185"/>
    </row>
    <row r="4285" spans="20:31" x14ac:dyDescent="0.25">
      <c r="T4285" s="81"/>
      <c r="W4285" s="185"/>
      <c r="AE4285" s="185"/>
    </row>
    <row r="4286" spans="20:31" x14ac:dyDescent="0.25">
      <c r="T4286" s="81"/>
      <c r="W4286" s="185"/>
      <c r="AE4286" s="185"/>
    </row>
    <row r="4287" spans="20:31" x14ac:dyDescent="0.25">
      <c r="T4287" s="81"/>
      <c r="W4287" s="185"/>
      <c r="AE4287" s="185"/>
    </row>
    <row r="4288" spans="20:31" x14ac:dyDescent="0.25">
      <c r="T4288" s="81"/>
      <c r="W4288" s="185"/>
      <c r="AE4288" s="185"/>
    </row>
    <row r="4289" spans="20:31" x14ac:dyDescent="0.25">
      <c r="T4289" s="81"/>
      <c r="W4289" s="185"/>
      <c r="AE4289" s="185"/>
    </row>
    <row r="4290" spans="20:31" x14ac:dyDescent="0.25">
      <c r="T4290" s="81"/>
      <c r="W4290" s="185"/>
      <c r="AE4290" s="185"/>
    </row>
    <row r="4291" spans="20:31" x14ac:dyDescent="0.25">
      <c r="T4291" s="81"/>
      <c r="W4291" s="185"/>
      <c r="AE4291" s="185"/>
    </row>
    <row r="4292" spans="20:31" x14ac:dyDescent="0.25">
      <c r="T4292" s="81"/>
      <c r="W4292" s="185"/>
      <c r="AE4292" s="185"/>
    </row>
    <row r="4293" spans="20:31" x14ac:dyDescent="0.25">
      <c r="T4293" s="81"/>
      <c r="W4293" s="185"/>
      <c r="AE4293" s="185"/>
    </row>
    <row r="4294" spans="20:31" x14ac:dyDescent="0.25">
      <c r="T4294" s="81"/>
      <c r="W4294" s="185"/>
      <c r="AE4294" s="185"/>
    </row>
    <row r="4295" spans="20:31" x14ac:dyDescent="0.25">
      <c r="T4295" s="81"/>
      <c r="W4295" s="185"/>
      <c r="AE4295" s="185"/>
    </row>
    <row r="4296" spans="20:31" x14ac:dyDescent="0.25">
      <c r="T4296" s="81"/>
      <c r="W4296" s="185"/>
      <c r="AE4296" s="185"/>
    </row>
    <row r="4297" spans="20:31" x14ac:dyDescent="0.25">
      <c r="T4297" s="81"/>
      <c r="W4297" s="185"/>
      <c r="AE4297" s="185"/>
    </row>
    <row r="4298" spans="20:31" x14ac:dyDescent="0.25">
      <c r="T4298" s="81"/>
      <c r="W4298" s="185"/>
      <c r="AE4298" s="185"/>
    </row>
    <row r="4299" spans="20:31" x14ac:dyDescent="0.25">
      <c r="T4299" s="81"/>
      <c r="W4299" s="185"/>
      <c r="AE4299" s="185"/>
    </row>
    <row r="4300" spans="20:31" x14ac:dyDescent="0.25">
      <c r="T4300" s="81"/>
      <c r="W4300" s="185"/>
      <c r="AE4300" s="185"/>
    </row>
    <row r="4301" spans="20:31" x14ac:dyDescent="0.25">
      <c r="T4301" s="81"/>
      <c r="W4301" s="185"/>
      <c r="AE4301" s="185"/>
    </row>
    <row r="4302" spans="20:31" x14ac:dyDescent="0.25">
      <c r="T4302" s="81"/>
      <c r="W4302" s="185"/>
      <c r="AE4302" s="185"/>
    </row>
    <row r="4303" spans="20:31" x14ac:dyDescent="0.25">
      <c r="T4303" s="81"/>
      <c r="W4303" s="185"/>
      <c r="AE4303" s="185"/>
    </row>
    <row r="4304" spans="20:31" x14ac:dyDescent="0.25">
      <c r="T4304" s="81"/>
      <c r="W4304" s="185"/>
      <c r="AE4304" s="185"/>
    </row>
    <row r="4305" spans="20:31" x14ac:dyDescent="0.25">
      <c r="T4305" s="81"/>
      <c r="W4305" s="185"/>
      <c r="AE4305" s="185"/>
    </row>
    <row r="4306" spans="20:31" x14ac:dyDescent="0.25">
      <c r="T4306" s="81"/>
      <c r="W4306" s="185"/>
      <c r="AE4306" s="185"/>
    </row>
    <row r="4307" spans="20:31" x14ac:dyDescent="0.25">
      <c r="T4307" s="81"/>
      <c r="W4307" s="185"/>
      <c r="AE4307" s="185"/>
    </row>
    <row r="4308" spans="20:31" x14ac:dyDescent="0.25">
      <c r="T4308" s="81"/>
      <c r="W4308" s="185"/>
      <c r="AE4308" s="185"/>
    </row>
    <row r="4309" spans="20:31" x14ac:dyDescent="0.25">
      <c r="T4309" s="81"/>
      <c r="W4309" s="185"/>
      <c r="AE4309" s="185"/>
    </row>
    <row r="4310" spans="20:31" x14ac:dyDescent="0.25">
      <c r="T4310" s="81"/>
      <c r="W4310" s="185"/>
      <c r="AE4310" s="185"/>
    </row>
    <row r="4311" spans="20:31" x14ac:dyDescent="0.25">
      <c r="T4311" s="81"/>
      <c r="W4311" s="185"/>
      <c r="AE4311" s="185"/>
    </row>
    <row r="4312" spans="20:31" x14ac:dyDescent="0.25">
      <c r="T4312" s="81"/>
      <c r="W4312" s="185"/>
      <c r="AE4312" s="185"/>
    </row>
    <row r="4313" spans="20:31" x14ac:dyDescent="0.25">
      <c r="T4313" s="81"/>
      <c r="W4313" s="185"/>
      <c r="AE4313" s="185"/>
    </row>
    <row r="4314" spans="20:31" x14ac:dyDescent="0.25">
      <c r="T4314" s="81"/>
      <c r="W4314" s="185"/>
      <c r="AE4314" s="185"/>
    </row>
    <row r="4315" spans="20:31" x14ac:dyDescent="0.25">
      <c r="T4315" s="81"/>
      <c r="W4315" s="185"/>
      <c r="AE4315" s="185"/>
    </row>
    <row r="4316" spans="20:31" x14ac:dyDescent="0.25">
      <c r="T4316" s="81"/>
      <c r="W4316" s="185"/>
      <c r="AE4316" s="185"/>
    </row>
    <row r="4317" spans="20:31" x14ac:dyDescent="0.25">
      <c r="T4317" s="81"/>
      <c r="W4317" s="185"/>
      <c r="AE4317" s="185"/>
    </row>
    <row r="4318" spans="20:31" x14ac:dyDescent="0.25">
      <c r="T4318" s="81"/>
      <c r="W4318" s="185"/>
      <c r="AE4318" s="185"/>
    </row>
    <row r="4319" spans="20:31" x14ac:dyDescent="0.25">
      <c r="T4319" s="81"/>
      <c r="W4319" s="185"/>
      <c r="AE4319" s="185"/>
    </row>
    <row r="4320" spans="20:31" x14ac:dyDescent="0.25">
      <c r="T4320" s="81"/>
      <c r="W4320" s="185"/>
      <c r="AE4320" s="185"/>
    </row>
    <row r="4321" spans="20:31" x14ac:dyDescent="0.25">
      <c r="T4321" s="81"/>
      <c r="W4321" s="185"/>
      <c r="AE4321" s="185"/>
    </row>
    <row r="4322" spans="20:31" x14ac:dyDescent="0.25">
      <c r="T4322" s="81"/>
      <c r="W4322" s="185"/>
      <c r="AE4322" s="185"/>
    </row>
    <row r="4323" spans="20:31" x14ac:dyDescent="0.25">
      <c r="T4323" s="81"/>
      <c r="W4323" s="185"/>
      <c r="AE4323" s="185"/>
    </row>
    <row r="4324" spans="20:31" x14ac:dyDescent="0.25">
      <c r="T4324" s="81"/>
      <c r="W4324" s="185"/>
      <c r="AE4324" s="185"/>
    </row>
    <row r="4325" spans="20:31" x14ac:dyDescent="0.25">
      <c r="T4325" s="81"/>
      <c r="W4325" s="185"/>
      <c r="AE4325" s="185"/>
    </row>
    <row r="4326" spans="20:31" x14ac:dyDescent="0.25">
      <c r="T4326" s="81"/>
      <c r="W4326" s="185"/>
      <c r="AE4326" s="185"/>
    </row>
    <row r="4327" spans="20:31" x14ac:dyDescent="0.25">
      <c r="T4327" s="81"/>
      <c r="W4327" s="185"/>
      <c r="AE4327" s="185"/>
    </row>
    <row r="4328" spans="20:31" x14ac:dyDescent="0.25">
      <c r="T4328" s="81"/>
      <c r="W4328" s="185"/>
      <c r="AE4328" s="185"/>
    </row>
    <row r="4329" spans="20:31" x14ac:dyDescent="0.25">
      <c r="T4329" s="81"/>
      <c r="W4329" s="185"/>
      <c r="AE4329" s="185"/>
    </row>
    <row r="4330" spans="20:31" x14ac:dyDescent="0.25">
      <c r="T4330" s="81"/>
      <c r="W4330" s="185"/>
      <c r="AE4330" s="185"/>
    </row>
    <row r="4331" spans="20:31" x14ac:dyDescent="0.25">
      <c r="T4331" s="81"/>
      <c r="W4331" s="185"/>
      <c r="AE4331" s="185"/>
    </row>
    <row r="4332" spans="20:31" x14ac:dyDescent="0.25">
      <c r="T4332" s="81"/>
      <c r="W4332" s="185"/>
      <c r="AE4332" s="185"/>
    </row>
    <row r="4333" spans="20:31" x14ac:dyDescent="0.25">
      <c r="T4333" s="81"/>
      <c r="W4333" s="185"/>
      <c r="AE4333" s="185"/>
    </row>
    <row r="4334" spans="20:31" x14ac:dyDescent="0.25">
      <c r="T4334" s="81"/>
      <c r="W4334" s="185"/>
      <c r="AE4334" s="185"/>
    </row>
    <row r="4335" spans="20:31" x14ac:dyDescent="0.25">
      <c r="T4335" s="81"/>
      <c r="W4335" s="185"/>
      <c r="AE4335" s="185"/>
    </row>
    <row r="4336" spans="20:31" x14ac:dyDescent="0.25">
      <c r="T4336" s="81"/>
      <c r="W4336" s="185"/>
      <c r="AE4336" s="185"/>
    </row>
    <row r="4337" spans="20:31" x14ac:dyDescent="0.25">
      <c r="T4337" s="81"/>
      <c r="W4337" s="185"/>
      <c r="AE4337" s="185"/>
    </row>
    <row r="4338" spans="20:31" x14ac:dyDescent="0.25">
      <c r="T4338" s="81"/>
      <c r="W4338" s="185"/>
      <c r="AE4338" s="185"/>
    </row>
    <row r="4339" spans="20:31" x14ac:dyDescent="0.25">
      <c r="T4339" s="81"/>
      <c r="W4339" s="185"/>
      <c r="AE4339" s="185"/>
    </row>
    <row r="4340" spans="20:31" x14ac:dyDescent="0.25">
      <c r="T4340" s="81"/>
      <c r="W4340" s="185"/>
      <c r="AE4340" s="185"/>
    </row>
    <row r="4341" spans="20:31" x14ac:dyDescent="0.25">
      <c r="T4341" s="81"/>
      <c r="W4341" s="185"/>
      <c r="AE4341" s="185"/>
    </row>
    <row r="4342" spans="20:31" x14ac:dyDescent="0.25">
      <c r="T4342" s="81"/>
      <c r="W4342" s="185"/>
      <c r="AE4342" s="185"/>
    </row>
    <row r="4343" spans="20:31" x14ac:dyDescent="0.25">
      <c r="T4343" s="81"/>
      <c r="W4343" s="185"/>
      <c r="AE4343" s="185"/>
    </row>
    <row r="4344" spans="20:31" x14ac:dyDescent="0.25">
      <c r="T4344" s="81"/>
      <c r="W4344" s="185"/>
      <c r="AE4344" s="185"/>
    </row>
    <row r="4345" spans="20:31" x14ac:dyDescent="0.25">
      <c r="T4345" s="81"/>
      <c r="W4345" s="185"/>
      <c r="AE4345" s="185"/>
    </row>
    <row r="4346" spans="20:31" x14ac:dyDescent="0.25">
      <c r="T4346" s="81"/>
      <c r="W4346" s="185"/>
      <c r="AE4346" s="185"/>
    </row>
    <row r="4347" spans="20:31" x14ac:dyDescent="0.25">
      <c r="T4347" s="81"/>
      <c r="W4347" s="185"/>
      <c r="AE4347" s="185"/>
    </row>
    <row r="4348" spans="20:31" x14ac:dyDescent="0.25">
      <c r="T4348" s="81"/>
      <c r="W4348" s="185"/>
      <c r="AE4348" s="185"/>
    </row>
    <row r="4349" spans="20:31" x14ac:dyDescent="0.25">
      <c r="T4349" s="81"/>
      <c r="W4349" s="185"/>
      <c r="AE4349" s="185"/>
    </row>
    <row r="4350" spans="20:31" x14ac:dyDescent="0.25">
      <c r="T4350" s="81"/>
      <c r="W4350" s="185"/>
      <c r="AE4350" s="185"/>
    </row>
    <row r="4351" spans="20:31" x14ac:dyDescent="0.25">
      <c r="T4351" s="81"/>
      <c r="W4351" s="185"/>
      <c r="AE4351" s="185"/>
    </row>
    <row r="4352" spans="20:31" x14ac:dyDescent="0.25">
      <c r="T4352" s="81"/>
      <c r="W4352" s="185"/>
      <c r="AE4352" s="185"/>
    </row>
    <row r="4353" spans="20:31" x14ac:dyDescent="0.25">
      <c r="T4353" s="81"/>
      <c r="W4353" s="185"/>
      <c r="AE4353" s="185"/>
    </row>
    <row r="4354" spans="20:31" x14ac:dyDescent="0.25">
      <c r="T4354" s="81"/>
      <c r="W4354" s="185"/>
      <c r="AE4354" s="185"/>
    </row>
    <row r="4355" spans="20:31" x14ac:dyDescent="0.25">
      <c r="T4355" s="81"/>
      <c r="W4355" s="185"/>
      <c r="AE4355" s="185"/>
    </row>
    <row r="4356" spans="20:31" x14ac:dyDescent="0.25">
      <c r="T4356" s="81"/>
      <c r="W4356" s="185"/>
      <c r="AE4356" s="185"/>
    </row>
    <row r="4357" spans="20:31" x14ac:dyDescent="0.25">
      <c r="T4357" s="81"/>
      <c r="W4357" s="185"/>
      <c r="AE4357" s="185"/>
    </row>
    <row r="4358" spans="20:31" x14ac:dyDescent="0.25">
      <c r="T4358" s="81"/>
      <c r="W4358" s="185"/>
      <c r="AE4358" s="185"/>
    </row>
    <row r="4359" spans="20:31" x14ac:dyDescent="0.25">
      <c r="T4359" s="81"/>
      <c r="W4359" s="185"/>
      <c r="AE4359" s="185"/>
    </row>
    <row r="4360" spans="20:31" x14ac:dyDescent="0.25">
      <c r="T4360" s="81"/>
      <c r="W4360" s="185"/>
      <c r="AE4360" s="185"/>
    </row>
    <row r="4361" spans="20:31" x14ac:dyDescent="0.25">
      <c r="T4361" s="81"/>
      <c r="W4361" s="185"/>
      <c r="AE4361" s="185"/>
    </row>
    <row r="4362" spans="20:31" x14ac:dyDescent="0.25">
      <c r="T4362" s="81"/>
      <c r="W4362" s="185"/>
      <c r="AE4362" s="185"/>
    </row>
    <row r="4363" spans="20:31" x14ac:dyDescent="0.25">
      <c r="T4363" s="81"/>
      <c r="W4363" s="185"/>
      <c r="AE4363" s="185"/>
    </row>
    <row r="4364" spans="20:31" x14ac:dyDescent="0.25">
      <c r="T4364" s="81"/>
      <c r="W4364" s="185"/>
      <c r="AE4364" s="185"/>
    </row>
    <row r="4365" spans="20:31" x14ac:dyDescent="0.25">
      <c r="T4365" s="81"/>
      <c r="W4365" s="185"/>
      <c r="AE4365" s="185"/>
    </row>
    <row r="4366" spans="20:31" x14ac:dyDescent="0.25">
      <c r="T4366" s="81"/>
      <c r="W4366" s="185"/>
      <c r="AE4366" s="185"/>
    </row>
    <row r="4367" spans="20:31" x14ac:dyDescent="0.25">
      <c r="T4367" s="81"/>
      <c r="W4367" s="185"/>
      <c r="AE4367" s="185"/>
    </row>
    <row r="4368" spans="20:31" x14ac:dyDescent="0.25">
      <c r="T4368" s="81"/>
      <c r="W4368" s="185"/>
      <c r="AE4368" s="185"/>
    </row>
    <row r="4369" spans="20:31" x14ac:dyDescent="0.25">
      <c r="T4369" s="81"/>
      <c r="W4369" s="185"/>
      <c r="AE4369" s="185"/>
    </row>
    <row r="4370" spans="20:31" x14ac:dyDescent="0.25">
      <c r="T4370" s="81"/>
      <c r="W4370" s="185"/>
      <c r="AE4370" s="185"/>
    </row>
    <row r="4371" spans="20:31" x14ac:dyDescent="0.25">
      <c r="T4371" s="81"/>
      <c r="W4371" s="185"/>
      <c r="AE4371" s="185"/>
    </row>
    <row r="4372" spans="20:31" x14ac:dyDescent="0.25">
      <c r="T4372" s="81"/>
      <c r="W4372" s="185"/>
      <c r="AE4372" s="185"/>
    </row>
    <row r="4373" spans="20:31" x14ac:dyDescent="0.25">
      <c r="T4373" s="81"/>
      <c r="W4373" s="185"/>
      <c r="AE4373" s="185"/>
    </row>
    <row r="4374" spans="20:31" x14ac:dyDescent="0.25">
      <c r="T4374" s="81"/>
      <c r="W4374" s="185"/>
      <c r="AE4374" s="185"/>
    </row>
    <row r="4375" spans="20:31" x14ac:dyDescent="0.25">
      <c r="T4375" s="81"/>
      <c r="W4375" s="185"/>
      <c r="AE4375" s="185"/>
    </row>
    <row r="4376" spans="20:31" x14ac:dyDescent="0.25">
      <c r="T4376" s="81"/>
      <c r="W4376" s="185"/>
      <c r="AE4376" s="185"/>
    </row>
    <row r="4377" spans="20:31" x14ac:dyDescent="0.25">
      <c r="T4377" s="81"/>
      <c r="W4377" s="185"/>
      <c r="AE4377" s="185"/>
    </row>
    <row r="4378" spans="20:31" x14ac:dyDescent="0.25">
      <c r="T4378" s="81"/>
      <c r="W4378" s="185"/>
      <c r="AE4378" s="185"/>
    </row>
    <row r="4379" spans="20:31" x14ac:dyDescent="0.25">
      <c r="T4379" s="81"/>
      <c r="W4379" s="185"/>
      <c r="AE4379" s="185"/>
    </row>
    <row r="4380" spans="20:31" x14ac:dyDescent="0.25">
      <c r="T4380" s="81"/>
      <c r="W4380" s="185"/>
      <c r="AE4380" s="185"/>
    </row>
    <row r="4381" spans="20:31" x14ac:dyDescent="0.25">
      <c r="T4381" s="81"/>
      <c r="W4381" s="185"/>
      <c r="AE4381" s="185"/>
    </row>
    <row r="4382" spans="20:31" x14ac:dyDescent="0.25">
      <c r="T4382" s="81"/>
      <c r="W4382" s="185"/>
      <c r="AE4382" s="185"/>
    </row>
    <row r="4383" spans="20:31" x14ac:dyDescent="0.25">
      <c r="T4383" s="81"/>
      <c r="W4383" s="185"/>
      <c r="AE4383" s="185"/>
    </row>
    <row r="4384" spans="20:31" x14ac:dyDescent="0.25">
      <c r="T4384" s="81"/>
      <c r="W4384" s="185"/>
      <c r="AE4384" s="185"/>
    </row>
    <row r="4385" spans="20:31" x14ac:dyDescent="0.25">
      <c r="T4385" s="81"/>
      <c r="W4385" s="185"/>
      <c r="AE4385" s="185"/>
    </row>
    <row r="4386" spans="20:31" x14ac:dyDescent="0.25">
      <c r="T4386" s="81"/>
      <c r="W4386" s="185"/>
      <c r="AE4386" s="185"/>
    </row>
    <row r="4387" spans="20:31" x14ac:dyDescent="0.25">
      <c r="T4387" s="81"/>
      <c r="W4387" s="185"/>
      <c r="AE4387" s="185"/>
    </row>
    <row r="4388" spans="20:31" x14ac:dyDescent="0.25">
      <c r="T4388" s="81"/>
      <c r="W4388" s="185"/>
      <c r="AE4388" s="185"/>
    </row>
    <row r="4389" spans="20:31" x14ac:dyDescent="0.25">
      <c r="T4389" s="81"/>
      <c r="W4389" s="185"/>
      <c r="AE4389" s="185"/>
    </row>
    <row r="4390" spans="20:31" x14ac:dyDescent="0.25">
      <c r="T4390" s="81"/>
      <c r="W4390" s="185"/>
      <c r="AE4390" s="185"/>
    </row>
    <row r="4391" spans="20:31" x14ac:dyDescent="0.25">
      <c r="T4391" s="81"/>
      <c r="W4391" s="185"/>
      <c r="AE4391" s="185"/>
    </row>
    <row r="4392" spans="20:31" x14ac:dyDescent="0.25">
      <c r="T4392" s="81"/>
      <c r="W4392" s="185"/>
      <c r="AE4392" s="185"/>
    </row>
    <row r="4393" spans="20:31" x14ac:dyDescent="0.25">
      <c r="T4393" s="81"/>
      <c r="W4393" s="185"/>
      <c r="AE4393" s="185"/>
    </row>
    <row r="4394" spans="20:31" x14ac:dyDescent="0.25">
      <c r="T4394" s="81"/>
      <c r="W4394" s="185"/>
      <c r="AE4394" s="185"/>
    </row>
    <row r="4395" spans="20:31" x14ac:dyDescent="0.25">
      <c r="T4395" s="81"/>
      <c r="W4395" s="185"/>
      <c r="AE4395" s="185"/>
    </row>
    <row r="4396" spans="20:31" x14ac:dyDescent="0.25">
      <c r="T4396" s="81"/>
      <c r="W4396" s="185"/>
      <c r="AE4396" s="185"/>
    </row>
    <row r="4397" spans="20:31" x14ac:dyDescent="0.25">
      <c r="T4397" s="81"/>
      <c r="W4397" s="185"/>
      <c r="AE4397" s="185"/>
    </row>
    <row r="4398" spans="20:31" x14ac:dyDescent="0.25">
      <c r="T4398" s="81"/>
      <c r="W4398" s="185"/>
      <c r="AE4398" s="185"/>
    </row>
    <row r="4399" spans="20:31" x14ac:dyDescent="0.25">
      <c r="T4399" s="81"/>
      <c r="W4399" s="185"/>
      <c r="AE4399" s="185"/>
    </row>
    <row r="4400" spans="20:31" x14ac:dyDescent="0.25">
      <c r="T4400" s="81"/>
      <c r="W4400" s="185"/>
      <c r="AE4400" s="185"/>
    </row>
    <row r="4401" spans="20:31" x14ac:dyDescent="0.25">
      <c r="T4401" s="81"/>
      <c r="W4401" s="185"/>
      <c r="AE4401" s="185"/>
    </row>
    <row r="4402" spans="20:31" x14ac:dyDescent="0.25">
      <c r="T4402" s="81"/>
      <c r="W4402" s="185"/>
      <c r="AE4402" s="185"/>
    </row>
    <row r="4403" spans="20:31" x14ac:dyDescent="0.25">
      <c r="T4403" s="81"/>
      <c r="W4403" s="185"/>
      <c r="AE4403" s="185"/>
    </row>
    <row r="4404" spans="20:31" x14ac:dyDescent="0.25">
      <c r="T4404" s="81"/>
      <c r="W4404" s="185"/>
      <c r="AE4404" s="185"/>
    </row>
    <row r="4405" spans="20:31" x14ac:dyDescent="0.25">
      <c r="T4405" s="81"/>
      <c r="W4405" s="185"/>
      <c r="AE4405" s="185"/>
    </row>
    <row r="4406" spans="20:31" x14ac:dyDescent="0.25">
      <c r="T4406" s="81"/>
      <c r="W4406" s="185"/>
      <c r="AE4406" s="185"/>
    </row>
    <row r="4407" spans="20:31" x14ac:dyDescent="0.25">
      <c r="T4407" s="81"/>
      <c r="W4407" s="185"/>
      <c r="AE4407" s="185"/>
    </row>
    <row r="4408" spans="20:31" x14ac:dyDescent="0.25">
      <c r="T4408" s="81"/>
      <c r="W4408" s="185"/>
      <c r="AE4408" s="185"/>
    </row>
    <row r="4409" spans="20:31" x14ac:dyDescent="0.25">
      <c r="T4409" s="81"/>
      <c r="W4409" s="185"/>
      <c r="AE4409" s="185"/>
    </row>
    <row r="4410" spans="20:31" x14ac:dyDescent="0.25">
      <c r="T4410" s="81"/>
      <c r="W4410" s="185"/>
      <c r="AE4410" s="185"/>
    </row>
    <row r="4411" spans="20:31" x14ac:dyDescent="0.25">
      <c r="T4411" s="81"/>
      <c r="W4411" s="185"/>
      <c r="AE4411" s="185"/>
    </row>
    <row r="4412" spans="20:31" x14ac:dyDescent="0.25">
      <c r="T4412" s="81"/>
      <c r="W4412" s="185"/>
      <c r="AE4412" s="185"/>
    </row>
    <row r="4413" spans="20:31" x14ac:dyDescent="0.25">
      <c r="T4413" s="81"/>
      <c r="W4413" s="185"/>
      <c r="AE4413" s="185"/>
    </row>
    <row r="4414" spans="20:31" x14ac:dyDescent="0.25">
      <c r="T4414" s="81"/>
      <c r="W4414" s="185"/>
      <c r="AE4414" s="185"/>
    </row>
    <row r="4415" spans="20:31" x14ac:dyDescent="0.25">
      <c r="T4415" s="81"/>
      <c r="W4415" s="185"/>
      <c r="AE4415" s="185"/>
    </row>
    <row r="4416" spans="20:31" x14ac:dyDescent="0.25">
      <c r="T4416" s="81"/>
      <c r="W4416" s="185"/>
      <c r="AE4416" s="185"/>
    </row>
    <row r="4417" spans="20:31" x14ac:dyDescent="0.25">
      <c r="T4417" s="81"/>
      <c r="W4417" s="185"/>
      <c r="AE4417" s="185"/>
    </row>
    <row r="4418" spans="20:31" x14ac:dyDescent="0.25">
      <c r="T4418" s="81"/>
      <c r="W4418" s="185"/>
      <c r="AE4418" s="185"/>
    </row>
    <row r="4419" spans="20:31" x14ac:dyDescent="0.25">
      <c r="T4419" s="81"/>
      <c r="W4419" s="185"/>
      <c r="AE4419" s="185"/>
    </row>
    <row r="4420" spans="20:31" x14ac:dyDescent="0.25">
      <c r="T4420" s="81"/>
      <c r="W4420" s="185"/>
      <c r="AE4420" s="185"/>
    </row>
    <row r="4421" spans="20:31" x14ac:dyDescent="0.25">
      <c r="T4421" s="81"/>
      <c r="W4421" s="185"/>
      <c r="AE4421" s="185"/>
    </row>
    <row r="4422" spans="20:31" x14ac:dyDescent="0.25">
      <c r="T4422" s="81"/>
      <c r="W4422" s="185"/>
      <c r="AE4422" s="185"/>
    </row>
    <row r="4423" spans="20:31" x14ac:dyDescent="0.25">
      <c r="T4423" s="81"/>
      <c r="W4423" s="185"/>
      <c r="AE4423" s="185"/>
    </row>
    <row r="4424" spans="20:31" x14ac:dyDescent="0.25">
      <c r="T4424" s="81"/>
      <c r="W4424" s="185"/>
      <c r="AE4424" s="185"/>
    </row>
    <row r="4425" spans="20:31" x14ac:dyDescent="0.25">
      <c r="T4425" s="81"/>
      <c r="W4425" s="185"/>
      <c r="AE4425" s="185"/>
    </row>
    <row r="4426" spans="20:31" x14ac:dyDescent="0.25">
      <c r="T4426" s="81"/>
      <c r="W4426" s="185"/>
      <c r="AE4426" s="185"/>
    </row>
    <row r="4427" spans="20:31" x14ac:dyDescent="0.25">
      <c r="T4427" s="81"/>
      <c r="W4427" s="185"/>
      <c r="AE4427" s="185"/>
    </row>
    <row r="4428" spans="20:31" x14ac:dyDescent="0.25">
      <c r="T4428" s="81"/>
      <c r="W4428" s="185"/>
      <c r="AE4428" s="185"/>
    </row>
    <row r="4429" spans="20:31" x14ac:dyDescent="0.25">
      <c r="T4429" s="81"/>
      <c r="W4429" s="185"/>
      <c r="AE4429" s="185"/>
    </row>
    <row r="4430" spans="20:31" x14ac:dyDescent="0.25">
      <c r="T4430" s="81"/>
      <c r="W4430" s="185"/>
      <c r="AE4430" s="185"/>
    </row>
    <row r="4431" spans="20:31" x14ac:dyDescent="0.25">
      <c r="T4431" s="81"/>
      <c r="W4431" s="185"/>
      <c r="AE4431" s="185"/>
    </row>
    <row r="4432" spans="20:31" x14ac:dyDescent="0.25">
      <c r="T4432" s="81"/>
      <c r="W4432" s="185"/>
      <c r="AE4432" s="185"/>
    </row>
    <row r="4433" spans="20:31" x14ac:dyDescent="0.25">
      <c r="T4433" s="81"/>
      <c r="W4433" s="185"/>
      <c r="AE4433" s="185"/>
    </row>
    <row r="4434" spans="20:31" x14ac:dyDescent="0.25">
      <c r="T4434" s="81"/>
      <c r="W4434" s="185"/>
      <c r="AE4434" s="185"/>
    </row>
    <row r="4435" spans="20:31" x14ac:dyDescent="0.25">
      <c r="T4435" s="81"/>
      <c r="W4435" s="185"/>
      <c r="AE4435" s="185"/>
    </row>
    <row r="4436" spans="20:31" x14ac:dyDescent="0.25">
      <c r="T4436" s="81"/>
      <c r="W4436" s="185"/>
      <c r="AE4436" s="185"/>
    </row>
    <row r="4437" spans="20:31" x14ac:dyDescent="0.25">
      <c r="T4437" s="81"/>
      <c r="W4437" s="185"/>
      <c r="AE4437" s="185"/>
    </row>
    <row r="4438" spans="20:31" x14ac:dyDescent="0.25">
      <c r="T4438" s="81"/>
      <c r="W4438" s="185"/>
      <c r="AE4438" s="185"/>
    </row>
    <row r="4439" spans="20:31" x14ac:dyDescent="0.25">
      <c r="T4439" s="81"/>
      <c r="W4439" s="185"/>
      <c r="AE4439" s="185"/>
    </row>
    <row r="4440" spans="20:31" x14ac:dyDescent="0.25">
      <c r="T4440" s="81"/>
      <c r="W4440" s="185"/>
      <c r="AE4440" s="185"/>
    </row>
    <row r="4441" spans="20:31" x14ac:dyDescent="0.25">
      <c r="T4441" s="81"/>
      <c r="W4441" s="185"/>
      <c r="AE4441" s="185"/>
    </row>
    <row r="4442" spans="20:31" x14ac:dyDescent="0.25">
      <c r="T4442" s="81"/>
      <c r="W4442" s="185"/>
      <c r="AE4442" s="185"/>
    </row>
    <row r="4443" spans="20:31" x14ac:dyDescent="0.25">
      <c r="T4443" s="81"/>
      <c r="W4443" s="185"/>
      <c r="AE4443" s="185"/>
    </row>
    <row r="4444" spans="20:31" x14ac:dyDescent="0.25">
      <c r="T4444" s="81"/>
      <c r="W4444" s="185"/>
      <c r="AE4444" s="185"/>
    </row>
    <row r="4445" spans="20:31" x14ac:dyDescent="0.25">
      <c r="T4445" s="81"/>
      <c r="W4445" s="185"/>
      <c r="AE4445" s="185"/>
    </row>
    <row r="4446" spans="20:31" x14ac:dyDescent="0.25">
      <c r="T4446" s="81"/>
      <c r="W4446" s="185"/>
      <c r="AE4446" s="185"/>
    </row>
    <row r="4447" spans="20:31" x14ac:dyDescent="0.25">
      <c r="T4447" s="81"/>
      <c r="W4447" s="185"/>
      <c r="AE4447" s="185"/>
    </row>
    <row r="4448" spans="20:31" x14ac:dyDescent="0.25">
      <c r="T4448" s="81"/>
      <c r="W4448" s="185"/>
      <c r="AE4448" s="185"/>
    </row>
    <row r="4449" spans="20:31" x14ac:dyDescent="0.25">
      <c r="T4449" s="81"/>
      <c r="W4449" s="185"/>
      <c r="AE4449" s="185"/>
    </row>
    <row r="4450" spans="20:31" x14ac:dyDescent="0.25">
      <c r="T4450" s="81"/>
      <c r="W4450" s="185"/>
      <c r="AE4450" s="185"/>
    </row>
    <row r="4451" spans="20:31" x14ac:dyDescent="0.25">
      <c r="T4451" s="81"/>
      <c r="W4451" s="185"/>
      <c r="AE4451" s="185"/>
    </row>
    <row r="4452" spans="20:31" x14ac:dyDescent="0.25">
      <c r="T4452" s="81"/>
      <c r="W4452" s="185"/>
      <c r="AE4452" s="185"/>
    </row>
    <row r="4453" spans="20:31" x14ac:dyDescent="0.25">
      <c r="T4453" s="81"/>
      <c r="W4453" s="185"/>
      <c r="AE4453" s="185"/>
    </row>
    <row r="4454" spans="20:31" x14ac:dyDescent="0.25">
      <c r="T4454" s="81"/>
      <c r="W4454" s="185"/>
      <c r="AE4454" s="185"/>
    </row>
    <row r="4455" spans="20:31" x14ac:dyDescent="0.25">
      <c r="T4455" s="81"/>
      <c r="W4455" s="185"/>
      <c r="AE4455" s="185"/>
    </row>
    <row r="4456" spans="20:31" x14ac:dyDescent="0.25">
      <c r="T4456" s="81"/>
      <c r="W4456" s="185"/>
      <c r="AE4456" s="185"/>
    </row>
    <row r="4457" spans="20:31" x14ac:dyDescent="0.25">
      <c r="T4457" s="81"/>
      <c r="W4457" s="185"/>
      <c r="AE4457" s="185"/>
    </row>
    <row r="4458" spans="20:31" x14ac:dyDescent="0.25">
      <c r="T4458" s="81"/>
      <c r="W4458" s="185"/>
      <c r="AE4458" s="185"/>
    </row>
    <row r="4459" spans="20:31" x14ac:dyDescent="0.25">
      <c r="T4459" s="81"/>
      <c r="W4459" s="185"/>
      <c r="AE4459" s="185"/>
    </row>
    <row r="4460" spans="20:31" x14ac:dyDescent="0.25">
      <c r="T4460" s="81"/>
      <c r="W4460" s="185"/>
      <c r="AE4460" s="185"/>
    </row>
    <row r="4461" spans="20:31" x14ac:dyDescent="0.25">
      <c r="T4461" s="81"/>
      <c r="W4461" s="185"/>
      <c r="AE4461" s="185"/>
    </row>
    <row r="4462" spans="20:31" x14ac:dyDescent="0.25">
      <c r="T4462" s="81"/>
      <c r="W4462" s="185"/>
      <c r="AE4462" s="185"/>
    </row>
    <row r="4463" spans="20:31" x14ac:dyDescent="0.25">
      <c r="T4463" s="81"/>
      <c r="W4463" s="185"/>
      <c r="AE4463" s="185"/>
    </row>
    <row r="4464" spans="20:31" x14ac:dyDescent="0.25">
      <c r="T4464" s="81"/>
      <c r="W4464" s="185"/>
      <c r="AE4464" s="185"/>
    </row>
    <row r="4465" spans="20:31" x14ac:dyDescent="0.25">
      <c r="T4465" s="81"/>
      <c r="W4465" s="185"/>
      <c r="AE4465" s="185"/>
    </row>
    <row r="4466" spans="20:31" x14ac:dyDescent="0.25">
      <c r="T4466" s="81"/>
      <c r="W4466" s="185"/>
      <c r="AE4466" s="185"/>
    </row>
    <row r="4467" spans="20:31" x14ac:dyDescent="0.25">
      <c r="T4467" s="81"/>
      <c r="W4467" s="185"/>
      <c r="AE4467" s="185"/>
    </row>
    <row r="4468" spans="20:31" x14ac:dyDescent="0.25">
      <c r="T4468" s="81"/>
      <c r="W4468" s="185"/>
      <c r="AE4468" s="185"/>
    </row>
    <row r="4469" spans="20:31" x14ac:dyDescent="0.25">
      <c r="T4469" s="81"/>
      <c r="W4469" s="185"/>
      <c r="AE4469" s="185"/>
    </row>
    <row r="4470" spans="20:31" x14ac:dyDescent="0.25">
      <c r="T4470" s="81"/>
      <c r="W4470" s="185"/>
      <c r="AE4470" s="185"/>
    </row>
    <row r="4471" spans="20:31" x14ac:dyDescent="0.25">
      <c r="T4471" s="81"/>
      <c r="W4471" s="185"/>
      <c r="AE4471" s="185"/>
    </row>
    <row r="4472" spans="20:31" x14ac:dyDescent="0.25">
      <c r="T4472" s="81"/>
      <c r="W4472" s="185"/>
      <c r="AE4472" s="185"/>
    </row>
    <row r="4473" spans="20:31" x14ac:dyDescent="0.25">
      <c r="T4473" s="81"/>
      <c r="W4473" s="185"/>
      <c r="AE4473" s="185"/>
    </row>
    <row r="4474" spans="20:31" x14ac:dyDescent="0.25">
      <c r="T4474" s="81"/>
      <c r="W4474" s="185"/>
      <c r="AE4474" s="185"/>
    </row>
    <row r="4475" spans="20:31" x14ac:dyDescent="0.25">
      <c r="T4475" s="81"/>
      <c r="W4475" s="185"/>
      <c r="AE4475" s="185"/>
    </row>
    <row r="4476" spans="20:31" x14ac:dyDescent="0.25">
      <c r="T4476" s="81"/>
      <c r="W4476" s="185"/>
      <c r="AE4476" s="185"/>
    </row>
    <row r="4477" spans="20:31" x14ac:dyDescent="0.25">
      <c r="T4477" s="81"/>
      <c r="W4477" s="185"/>
      <c r="AE4477" s="185"/>
    </row>
    <row r="4478" spans="20:31" x14ac:dyDescent="0.25">
      <c r="T4478" s="81"/>
      <c r="W4478" s="185"/>
      <c r="AE4478" s="185"/>
    </row>
    <row r="4479" spans="20:31" x14ac:dyDescent="0.25">
      <c r="T4479" s="81"/>
      <c r="W4479" s="185"/>
      <c r="AE4479" s="185"/>
    </row>
    <row r="4480" spans="20:31" x14ac:dyDescent="0.25">
      <c r="T4480" s="81"/>
      <c r="W4480" s="185"/>
      <c r="AE4480" s="185"/>
    </row>
    <row r="4481" spans="20:31" x14ac:dyDescent="0.25">
      <c r="T4481" s="81"/>
      <c r="W4481" s="185"/>
      <c r="AE4481" s="185"/>
    </row>
    <row r="4482" spans="20:31" x14ac:dyDescent="0.25">
      <c r="T4482" s="81"/>
      <c r="W4482" s="185"/>
      <c r="AE4482" s="185"/>
    </row>
    <row r="4483" spans="20:31" x14ac:dyDescent="0.25">
      <c r="T4483" s="81"/>
      <c r="W4483" s="185"/>
      <c r="AE4483" s="185"/>
    </row>
    <row r="4484" spans="20:31" x14ac:dyDescent="0.25">
      <c r="T4484" s="81"/>
      <c r="W4484" s="185"/>
      <c r="AE4484" s="185"/>
    </row>
    <row r="4485" spans="20:31" x14ac:dyDescent="0.25">
      <c r="T4485" s="81"/>
      <c r="W4485" s="185"/>
      <c r="AE4485" s="185"/>
    </row>
    <row r="4486" spans="20:31" x14ac:dyDescent="0.25">
      <c r="T4486" s="81"/>
      <c r="W4486" s="185"/>
      <c r="AE4486" s="185"/>
    </row>
    <row r="4487" spans="20:31" x14ac:dyDescent="0.25">
      <c r="T4487" s="81"/>
      <c r="W4487" s="185"/>
      <c r="AE4487" s="185"/>
    </row>
    <row r="4488" spans="20:31" x14ac:dyDescent="0.25">
      <c r="T4488" s="81"/>
      <c r="W4488" s="185"/>
      <c r="AE4488" s="185"/>
    </row>
    <row r="4489" spans="20:31" x14ac:dyDescent="0.25">
      <c r="T4489" s="81"/>
      <c r="W4489" s="185"/>
      <c r="AE4489" s="185"/>
    </row>
    <row r="4490" spans="20:31" x14ac:dyDescent="0.25">
      <c r="T4490" s="81"/>
      <c r="W4490" s="185"/>
      <c r="AE4490" s="185"/>
    </row>
    <row r="4491" spans="20:31" x14ac:dyDescent="0.25">
      <c r="T4491" s="81"/>
      <c r="W4491" s="185"/>
      <c r="AE4491" s="185"/>
    </row>
    <row r="4492" spans="20:31" x14ac:dyDescent="0.25">
      <c r="T4492" s="81"/>
      <c r="W4492" s="185"/>
      <c r="AE4492" s="185"/>
    </row>
    <row r="4493" spans="20:31" x14ac:dyDescent="0.25">
      <c r="T4493" s="81"/>
      <c r="W4493" s="185"/>
      <c r="AE4493" s="185"/>
    </row>
    <row r="4494" spans="20:31" x14ac:dyDescent="0.25">
      <c r="T4494" s="81"/>
      <c r="W4494" s="185"/>
      <c r="AE4494" s="185"/>
    </row>
    <row r="4495" spans="20:31" x14ac:dyDescent="0.25">
      <c r="T4495" s="81"/>
      <c r="W4495" s="185"/>
      <c r="AE4495" s="185"/>
    </row>
    <row r="4496" spans="20:31" x14ac:dyDescent="0.25">
      <c r="T4496" s="81"/>
      <c r="W4496" s="185"/>
      <c r="AE4496" s="185"/>
    </row>
    <row r="4497" spans="20:31" x14ac:dyDescent="0.25">
      <c r="T4497" s="81"/>
      <c r="W4497" s="185"/>
      <c r="AE4497" s="185"/>
    </row>
    <row r="4498" spans="20:31" x14ac:dyDescent="0.25">
      <c r="T4498" s="81"/>
      <c r="W4498" s="185"/>
      <c r="AE4498" s="185"/>
    </row>
    <row r="4499" spans="20:31" x14ac:dyDescent="0.25">
      <c r="T4499" s="81"/>
      <c r="W4499" s="185"/>
      <c r="AE4499" s="185"/>
    </row>
    <row r="4500" spans="20:31" x14ac:dyDescent="0.25">
      <c r="T4500" s="81"/>
      <c r="W4500" s="185"/>
      <c r="AE4500" s="185"/>
    </row>
    <row r="4501" spans="20:31" x14ac:dyDescent="0.25">
      <c r="T4501" s="81"/>
      <c r="W4501" s="185"/>
      <c r="AE4501" s="185"/>
    </row>
    <row r="4502" spans="20:31" x14ac:dyDescent="0.25">
      <c r="T4502" s="81"/>
      <c r="W4502" s="185"/>
      <c r="AE4502" s="185"/>
    </row>
    <row r="4503" spans="20:31" x14ac:dyDescent="0.25">
      <c r="T4503" s="81"/>
      <c r="W4503" s="185"/>
      <c r="AE4503" s="185"/>
    </row>
    <row r="4504" spans="20:31" x14ac:dyDescent="0.25">
      <c r="T4504" s="81"/>
      <c r="W4504" s="185"/>
      <c r="AE4504" s="185"/>
    </row>
    <row r="4505" spans="20:31" x14ac:dyDescent="0.25">
      <c r="T4505" s="81"/>
      <c r="W4505" s="185"/>
      <c r="AE4505" s="185"/>
    </row>
    <row r="4506" spans="20:31" x14ac:dyDescent="0.25">
      <c r="T4506" s="81"/>
      <c r="W4506" s="185"/>
      <c r="AE4506" s="185"/>
    </row>
    <row r="4507" spans="20:31" x14ac:dyDescent="0.25">
      <c r="T4507" s="81"/>
      <c r="W4507" s="185"/>
      <c r="AE4507" s="185"/>
    </row>
    <row r="4508" spans="20:31" x14ac:dyDescent="0.25">
      <c r="T4508" s="81"/>
      <c r="W4508" s="185"/>
      <c r="AE4508" s="185"/>
    </row>
    <row r="4509" spans="20:31" x14ac:dyDescent="0.25">
      <c r="T4509" s="81"/>
      <c r="W4509" s="185"/>
      <c r="AE4509" s="185"/>
    </row>
    <row r="4510" spans="20:31" x14ac:dyDescent="0.25">
      <c r="T4510" s="81"/>
      <c r="W4510" s="185"/>
      <c r="AE4510" s="185"/>
    </row>
    <row r="4511" spans="20:31" x14ac:dyDescent="0.25">
      <c r="T4511" s="81"/>
      <c r="W4511" s="185"/>
      <c r="AE4511" s="185"/>
    </row>
    <row r="4512" spans="20:31" x14ac:dyDescent="0.25">
      <c r="T4512" s="81"/>
      <c r="W4512" s="185"/>
      <c r="AE4512" s="185"/>
    </row>
    <row r="4513" spans="20:31" x14ac:dyDescent="0.25">
      <c r="T4513" s="81"/>
      <c r="W4513" s="185"/>
      <c r="AE4513" s="185"/>
    </row>
    <row r="4514" spans="20:31" x14ac:dyDescent="0.25">
      <c r="T4514" s="81"/>
      <c r="W4514" s="185"/>
      <c r="AE4514" s="185"/>
    </row>
    <row r="4515" spans="20:31" x14ac:dyDescent="0.25">
      <c r="T4515" s="81"/>
      <c r="W4515" s="185"/>
      <c r="AE4515" s="185"/>
    </row>
    <row r="4516" spans="20:31" x14ac:dyDescent="0.25">
      <c r="T4516" s="81"/>
      <c r="W4516" s="185"/>
      <c r="AE4516" s="185"/>
    </row>
    <row r="4517" spans="20:31" x14ac:dyDescent="0.25">
      <c r="T4517" s="81"/>
      <c r="W4517" s="185"/>
      <c r="AE4517" s="185"/>
    </row>
    <row r="4518" spans="20:31" x14ac:dyDescent="0.25">
      <c r="T4518" s="81"/>
      <c r="W4518" s="185"/>
      <c r="AE4518" s="185"/>
    </row>
    <row r="4519" spans="20:31" x14ac:dyDescent="0.25">
      <c r="T4519" s="81"/>
      <c r="W4519" s="185"/>
      <c r="AE4519" s="185"/>
    </row>
    <row r="4520" spans="20:31" x14ac:dyDescent="0.25">
      <c r="T4520" s="81"/>
      <c r="W4520" s="185"/>
      <c r="AE4520" s="185"/>
    </row>
    <row r="4521" spans="20:31" x14ac:dyDescent="0.25">
      <c r="T4521" s="81"/>
      <c r="W4521" s="185"/>
      <c r="AE4521" s="185"/>
    </row>
    <row r="4522" spans="20:31" x14ac:dyDescent="0.25">
      <c r="T4522" s="81"/>
      <c r="W4522" s="185"/>
      <c r="AE4522" s="185"/>
    </row>
    <row r="4523" spans="20:31" x14ac:dyDescent="0.25">
      <c r="T4523" s="81"/>
      <c r="W4523" s="185"/>
      <c r="AE4523" s="185"/>
    </row>
    <row r="4524" spans="20:31" x14ac:dyDescent="0.25">
      <c r="T4524" s="81"/>
      <c r="W4524" s="185"/>
      <c r="AE4524" s="185"/>
    </row>
    <row r="4525" spans="20:31" x14ac:dyDescent="0.25">
      <c r="T4525" s="81"/>
      <c r="W4525" s="185"/>
      <c r="AE4525" s="185"/>
    </row>
    <row r="4526" spans="20:31" x14ac:dyDescent="0.25">
      <c r="T4526" s="81"/>
      <c r="W4526" s="185"/>
      <c r="AE4526" s="185"/>
    </row>
    <row r="4527" spans="20:31" x14ac:dyDescent="0.25">
      <c r="T4527" s="81"/>
      <c r="W4527" s="185"/>
      <c r="AE4527" s="185"/>
    </row>
    <row r="4528" spans="20:31" x14ac:dyDescent="0.25">
      <c r="T4528" s="81"/>
      <c r="W4528" s="185"/>
      <c r="AE4528" s="185"/>
    </row>
    <row r="4529" spans="20:31" x14ac:dyDescent="0.25">
      <c r="T4529" s="81"/>
      <c r="W4529" s="185"/>
      <c r="AE4529" s="185"/>
    </row>
    <row r="4530" spans="20:31" x14ac:dyDescent="0.25">
      <c r="T4530" s="81"/>
      <c r="W4530" s="185"/>
      <c r="AE4530" s="185"/>
    </row>
    <row r="4531" spans="20:31" x14ac:dyDescent="0.25">
      <c r="T4531" s="81"/>
      <c r="W4531" s="185"/>
      <c r="AE4531" s="185"/>
    </row>
    <row r="4532" spans="20:31" x14ac:dyDescent="0.25">
      <c r="T4532" s="81"/>
      <c r="W4532" s="185"/>
      <c r="AE4532" s="185"/>
    </row>
    <row r="4533" spans="20:31" x14ac:dyDescent="0.25">
      <c r="T4533" s="81"/>
      <c r="W4533" s="185"/>
      <c r="AE4533" s="185"/>
    </row>
    <row r="4534" spans="20:31" x14ac:dyDescent="0.25">
      <c r="T4534" s="81"/>
      <c r="W4534" s="185"/>
      <c r="AE4534" s="185"/>
    </row>
    <row r="4535" spans="20:31" x14ac:dyDescent="0.25">
      <c r="T4535" s="81"/>
      <c r="W4535" s="185"/>
      <c r="AE4535" s="185"/>
    </row>
    <row r="4536" spans="20:31" x14ac:dyDescent="0.25">
      <c r="T4536" s="81"/>
      <c r="W4536" s="185"/>
      <c r="AE4536" s="185"/>
    </row>
    <row r="4537" spans="20:31" x14ac:dyDescent="0.25">
      <c r="T4537" s="81"/>
      <c r="W4537" s="185"/>
      <c r="AE4537" s="185"/>
    </row>
    <row r="4538" spans="20:31" x14ac:dyDescent="0.25">
      <c r="T4538" s="81"/>
      <c r="W4538" s="185"/>
      <c r="AE4538" s="185"/>
    </row>
    <row r="4539" spans="20:31" x14ac:dyDescent="0.25">
      <c r="T4539" s="81"/>
      <c r="W4539" s="185"/>
      <c r="AE4539" s="185"/>
    </row>
    <row r="4540" spans="20:31" x14ac:dyDescent="0.25">
      <c r="T4540" s="81"/>
      <c r="W4540" s="185"/>
      <c r="AE4540" s="185"/>
    </row>
    <row r="4541" spans="20:31" x14ac:dyDescent="0.25">
      <c r="T4541" s="81"/>
      <c r="W4541" s="185"/>
      <c r="AE4541" s="185"/>
    </row>
    <row r="4542" spans="20:31" x14ac:dyDescent="0.25">
      <c r="T4542" s="81"/>
      <c r="W4542" s="185"/>
      <c r="AE4542" s="185"/>
    </row>
    <row r="4543" spans="20:31" x14ac:dyDescent="0.25">
      <c r="T4543" s="81"/>
      <c r="W4543" s="185"/>
      <c r="AE4543" s="185"/>
    </row>
    <row r="4544" spans="20:31" x14ac:dyDescent="0.25">
      <c r="T4544" s="81"/>
      <c r="W4544" s="185"/>
      <c r="AE4544" s="185"/>
    </row>
    <row r="4545" spans="20:31" x14ac:dyDescent="0.25">
      <c r="T4545" s="81"/>
      <c r="W4545" s="185"/>
      <c r="AE4545" s="185"/>
    </row>
    <row r="4546" spans="20:31" x14ac:dyDescent="0.25">
      <c r="T4546" s="81"/>
      <c r="W4546" s="185"/>
      <c r="AE4546" s="185"/>
    </row>
    <row r="4547" spans="20:31" x14ac:dyDescent="0.25">
      <c r="T4547" s="81"/>
      <c r="W4547" s="185"/>
      <c r="AE4547" s="185"/>
    </row>
    <row r="4548" spans="20:31" x14ac:dyDescent="0.25">
      <c r="T4548" s="81"/>
      <c r="W4548" s="185"/>
      <c r="AE4548" s="185"/>
    </row>
    <row r="4549" spans="20:31" x14ac:dyDescent="0.25">
      <c r="T4549" s="81"/>
      <c r="W4549" s="185"/>
      <c r="AE4549" s="185"/>
    </row>
    <row r="4550" spans="20:31" x14ac:dyDescent="0.25">
      <c r="T4550" s="81"/>
      <c r="W4550" s="185"/>
      <c r="AE4550" s="185"/>
    </row>
    <row r="4551" spans="20:31" x14ac:dyDescent="0.25">
      <c r="T4551" s="81"/>
      <c r="W4551" s="185"/>
      <c r="AE4551" s="185"/>
    </row>
    <row r="4552" spans="20:31" x14ac:dyDescent="0.25">
      <c r="T4552" s="81"/>
      <c r="W4552" s="185"/>
      <c r="AE4552" s="185"/>
    </row>
    <row r="4553" spans="20:31" x14ac:dyDescent="0.25">
      <c r="T4553" s="81"/>
      <c r="W4553" s="185"/>
      <c r="AE4553" s="185"/>
    </row>
    <row r="4554" spans="20:31" x14ac:dyDescent="0.25">
      <c r="T4554" s="81"/>
      <c r="W4554" s="185"/>
      <c r="AE4554" s="185"/>
    </row>
    <row r="4555" spans="20:31" x14ac:dyDescent="0.25">
      <c r="T4555" s="81"/>
      <c r="W4555" s="185"/>
      <c r="AE4555" s="185"/>
    </row>
    <row r="4556" spans="20:31" x14ac:dyDescent="0.25">
      <c r="T4556" s="81"/>
      <c r="W4556" s="185"/>
      <c r="AE4556" s="185"/>
    </row>
    <row r="4557" spans="20:31" x14ac:dyDescent="0.25">
      <c r="T4557" s="81"/>
      <c r="W4557" s="185"/>
      <c r="AE4557" s="185"/>
    </row>
    <row r="4558" spans="20:31" x14ac:dyDescent="0.25">
      <c r="T4558" s="81"/>
      <c r="W4558" s="185"/>
      <c r="AE4558" s="185"/>
    </row>
    <row r="4559" spans="20:31" x14ac:dyDescent="0.25">
      <c r="T4559" s="81"/>
      <c r="W4559" s="185"/>
      <c r="AE4559" s="185"/>
    </row>
    <row r="4560" spans="20:31" x14ac:dyDescent="0.25">
      <c r="T4560" s="81"/>
      <c r="W4560" s="185"/>
      <c r="AE4560" s="185"/>
    </row>
    <row r="4561" spans="20:31" x14ac:dyDescent="0.25">
      <c r="T4561" s="81"/>
      <c r="W4561" s="185"/>
      <c r="AE4561" s="185"/>
    </row>
    <row r="4562" spans="20:31" x14ac:dyDescent="0.25">
      <c r="T4562" s="81"/>
      <c r="W4562" s="185"/>
      <c r="AE4562" s="185"/>
    </row>
    <row r="4563" spans="20:31" x14ac:dyDescent="0.25">
      <c r="T4563" s="81"/>
      <c r="W4563" s="185"/>
      <c r="AE4563" s="185"/>
    </row>
    <row r="4564" spans="20:31" x14ac:dyDescent="0.25">
      <c r="T4564" s="81"/>
      <c r="W4564" s="185"/>
      <c r="AE4564" s="185"/>
    </row>
    <row r="4565" spans="20:31" x14ac:dyDescent="0.25">
      <c r="T4565" s="81"/>
      <c r="W4565" s="185"/>
      <c r="AE4565" s="185"/>
    </row>
    <row r="4566" spans="20:31" x14ac:dyDescent="0.25">
      <c r="T4566" s="81"/>
      <c r="W4566" s="185"/>
      <c r="AE4566" s="185"/>
    </row>
    <row r="4567" spans="20:31" x14ac:dyDescent="0.25">
      <c r="T4567" s="81"/>
      <c r="W4567" s="185"/>
      <c r="AE4567" s="185"/>
    </row>
    <row r="4568" spans="20:31" x14ac:dyDescent="0.25">
      <c r="T4568" s="81"/>
      <c r="W4568" s="185"/>
      <c r="AE4568" s="185"/>
    </row>
    <row r="4569" spans="20:31" x14ac:dyDescent="0.25">
      <c r="T4569" s="81"/>
      <c r="W4569" s="185"/>
      <c r="AE4569" s="185"/>
    </row>
    <row r="4570" spans="20:31" x14ac:dyDescent="0.25">
      <c r="T4570" s="81"/>
      <c r="W4570" s="185"/>
      <c r="AE4570" s="185"/>
    </row>
    <row r="4571" spans="20:31" x14ac:dyDescent="0.25">
      <c r="T4571" s="81"/>
      <c r="W4571" s="185"/>
      <c r="AE4571" s="185"/>
    </row>
    <row r="4572" spans="20:31" x14ac:dyDescent="0.25">
      <c r="T4572" s="81"/>
      <c r="W4572" s="185"/>
      <c r="AE4572" s="185"/>
    </row>
    <row r="4573" spans="20:31" x14ac:dyDescent="0.25">
      <c r="T4573" s="81"/>
      <c r="W4573" s="185"/>
      <c r="AE4573" s="185"/>
    </row>
    <row r="4574" spans="20:31" x14ac:dyDescent="0.25">
      <c r="T4574" s="81"/>
      <c r="W4574" s="185"/>
      <c r="AE4574" s="185"/>
    </row>
    <row r="4575" spans="20:31" x14ac:dyDescent="0.25">
      <c r="T4575" s="81"/>
      <c r="W4575" s="185"/>
      <c r="AE4575" s="185"/>
    </row>
    <row r="4576" spans="20:31" x14ac:dyDescent="0.25">
      <c r="T4576" s="81"/>
      <c r="W4576" s="185"/>
      <c r="AE4576" s="185"/>
    </row>
    <row r="4577" spans="20:31" x14ac:dyDescent="0.25">
      <c r="T4577" s="81"/>
      <c r="W4577" s="185"/>
      <c r="AE4577" s="185"/>
    </row>
    <row r="4578" spans="20:31" x14ac:dyDescent="0.25">
      <c r="T4578" s="81"/>
      <c r="W4578" s="185"/>
      <c r="AE4578" s="185"/>
    </row>
    <row r="4579" spans="20:31" x14ac:dyDescent="0.25">
      <c r="T4579" s="81"/>
      <c r="W4579" s="185"/>
      <c r="AE4579" s="185"/>
    </row>
    <row r="4580" spans="20:31" x14ac:dyDescent="0.25">
      <c r="T4580" s="81"/>
      <c r="W4580" s="185"/>
      <c r="AE4580" s="185"/>
    </row>
    <row r="4581" spans="20:31" x14ac:dyDescent="0.25">
      <c r="T4581" s="81"/>
      <c r="W4581" s="185"/>
      <c r="AE4581" s="185"/>
    </row>
    <row r="4582" spans="20:31" x14ac:dyDescent="0.25">
      <c r="T4582" s="81"/>
      <c r="W4582" s="185"/>
      <c r="AE4582" s="185"/>
    </row>
    <row r="4583" spans="20:31" x14ac:dyDescent="0.25">
      <c r="T4583" s="81"/>
      <c r="W4583" s="185"/>
      <c r="AE4583" s="185"/>
    </row>
    <row r="4584" spans="20:31" x14ac:dyDescent="0.25">
      <c r="T4584" s="81"/>
      <c r="W4584" s="185"/>
      <c r="AE4584" s="185"/>
    </row>
    <row r="4585" spans="20:31" x14ac:dyDescent="0.25">
      <c r="T4585" s="81"/>
      <c r="W4585" s="185"/>
      <c r="AE4585" s="185"/>
    </row>
    <row r="4586" spans="20:31" x14ac:dyDescent="0.25">
      <c r="T4586" s="81"/>
      <c r="W4586" s="185"/>
      <c r="AE4586" s="185"/>
    </row>
    <row r="4587" spans="20:31" x14ac:dyDescent="0.25">
      <c r="T4587" s="81"/>
      <c r="W4587" s="185"/>
      <c r="AE4587" s="185"/>
    </row>
    <row r="4588" spans="20:31" x14ac:dyDescent="0.25">
      <c r="T4588" s="81"/>
      <c r="W4588" s="185"/>
      <c r="AE4588" s="185"/>
    </row>
    <row r="4589" spans="20:31" x14ac:dyDescent="0.25">
      <c r="T4589" s="81"/>
      <c r="W4589" s="185"/>
      <c r="AE4589" s="185"/>
    </row>
    <row r="4590" spans="20:31" x14ac:dyDescent="0.25">
      <c r="T4590" s="81"/>
      <c r="W4590" s="185"/>
      <c r="AE4590" s="185"/>
    </row>
    <row r="4591" spans="20:31" x14ac:dyDescent="0.25">
      <c r="T4591" s="81"/>
      <c r="W4591" s="185"/>
      <c r="AE4591" s="185"/>
    </row>
    <row r="4592" spans="20:31" x14ac:dyDescent="0.25">
      <c r="T4592" s="81"/>
      <c r="W4592" s="185"/>
      <c r="AE4592" s="185"/>
    </row>
    <row r="4593" spans="20:31" x14ac:dyDescent="0.25">
      <c r="T4593" s="81"/>
      <c r="W4593" s="185"/>
      <c r="AE4593" s="185"/>
    </row>
    <row r="4594" spans="20:31" x14ac:dyDescent="0.25">
      <c r="T4594" s="81"/>
      <c r="W4594" s="185"/>
      <c r="AE4594" s="185"/>
    </row>
    <row r="4595" spans="20:31" x14ac:dyDescent="0.25">
      <c r="T4595" s="81"/>
      <c r="W4595" s="185"/>
      <c r="AE4595" s="185"/>
    </row>
    <row r="4596" spans="20:31" x14ac:dyDescent="0.25">
      <c r="T4596" s="81"/>
      <c r="W4596" s="185"/>
      <c r="AE4596" s="185"/>
    </row>
    <row r="4597" spans="20:31" x14ac:dyDescent="0.25">
      <c r="T4597" s="81"/>
      <c r="W4597" s="185"/>
      <c r="AE4597" s="185"/>
    </row>
    <row r="4598" spans="20:31" x14ac:dyDescent="0.25">
      <c r="T4598" s="81"/>
      <c r="W4598" s="185"/>
      <c r="AE4598" s="185"/>
    </row>
    <row r="4599" spans="20:31" x14ac:dyDescent="0.25">
      <c r="T4599" s="81"/>
      <c r="W4599" s="185"/>
      <c r="AE4599" s="185"/>
    </row>
    <row r="4600" spans="20:31" x14ac:dyDescent="0.25">
      <c r="T4600" s="81"/>
      <c r="W4600" s="185"/>
      <c r="AE4600" s="185"/>
    </row>
    <row r="4601" spans="20:31" x14ac:dyDescent="0.25">
      <c r="T4601" s="81"/>
      <c r="W4601" s="185"/>
      <c r="AE4601" s="185"/>
    </row>
    <row r="4602" spans="20:31" x14ac:dyDescent="0.25">
      <c r="T4602" s="81"/>
      <c r="W4602" s="185"/>
      <c r="AE4602" s="185"/>
    </row>
    <row r="4603" spans="20:31" x14ac:dyDescent="0.25">
      <c r="T4603" s="81"/>
      <c r="W4603" s="185"/>
      <c r="AE4603" s="185"/>
    </row>
    <row r="4604" spans="20:31" x14ac:dyDescent="0.25">
      <c r="T4604" s="81"/>
      <c r="W4604" s="185"/>
      <c r="AE4604" s="185"/>
    </row>
    <row r="4605" spans="20:31" x14ac:dyDescent="0.25">
      <c r="T4605" s="81"/>
      <c r="W4605" s="185"/>
      <c r="AE4605" s="185"/>
    </row>
    <row r="4606" spans="20:31" x14ac:dyDescent="0.25">
      <c r="T4606" s="81"/>
      <c r="W4606" s="185"/>
      <c r="AE4606" s="185"/>
    </row>
    <row r="4607" spans="20:31" x14ac:dyDescent="0.25">
      <c r="T4607" s="81"/>
      <c r="W4607" s="185"/>
      <c r="AE4607" s="185"/>
    </row>
    <row r="4608" spans="20:31" x14ac:dyDescent="0.25">
      <c r="T4608" s="81"/>
      <c r="W4608" s="185"/>
      <c r="AE4608" s="185"/>
    </row>
    <row r="4609" spans="20:31" x14ac:dyDescent="0.25">
      <c r="T4609" s="81"/>
      <c r="W4609" s="185"/>
      <c r="AE4609" s="185"/>
    </row>
    <row r="4610" spans="20:31" x14ac:dyDescent="0.25">
      <c r="T4610" s="81"/>
      <c r="W4610" s="185"/>
      <c r="AE4610" s="185"/>
    </row>
    <row r="4611" spans="20:31" x14ac:dyDescent="0.25">
      <c r="T4611" s="81"/>
      <c r="W4611" s="185"/>
      <c r="AE4611" s="185"/>
    </row>
    <row r="4612" spans="20:31" x14ac:dyDescent="0.25">
      <c r="T4612" s="81"/>
      <c r="W4612" s="185"/>
      <c r="AE4612" s="185"/>
    </row>
    <row r="4613" spans="20:31" x14ac:dyDescent="0.25">
      <c r="T4613" s="81"/>
      <c r="W4613" s="185"/>
      <c r="AE4613" s="185"/>
    </row>
    <row r="4614" spans="20:31" x14ac:dyDescent="0.25">
      <c r="T4614" s="81"/>
      <c r="W4614" s="185"/>
      <c r="AE4614" s="185"/>
    </row>
    <row r="4615" spans="20:31" x14ac:dyDescent="0.25">
      <c r="T4615" s="81"/>
      <c r="W4615" s="185"/>
      <c r="AE4615" s="185"/>
    </row>
    <row r="4616" spans="20:31" x14ac:dyDescent="0.25">
      <c r="T4616" s="81"/>
      <c r="W4616" s="185"/>
      <c r="AE4616" s="185"/>
    </row>
    <row r="4617" spans="20:31" x14ac:dyDescent="0.25">
      <c r="T4617" s="81"/>
      <c r="W4617" s="185"/>
      <c r="AE4617" s="185"/>
    </row>
    <row r="4618" spans="20:31" x14ac:dyDescent="0.25">
      <c r="T4618" s="81"/>
      <c r="W4618" s="185"/>
      <c r="AE4618" s="185"/>
    </row>
    <row r="4619" spans="20:31" x14ac:dyDescent="0.25">
      <c r="T4619" s="81"/>
      <c r="W4619" s="185"/>
      <c r="AE4619" s="185"/>
    </row>
    <row r="4620" spans="20:31" x14ac:dyDescent="0.25">
      <c r="T4620" s="81"/>
      <c r="W4620" s="185"/>
      <c r="AE4620" s="185"/>
    </row>
    <row r="4621" spans="20:31" x14ac:dyDescent="0.25">
      <c r="T4621" s="81"/>
      <c r="W4621" s="185"/>
      <c r="AE4621" s="185"/>
    </row>
    <row r="4622" spans="20:31" x14ac:dyDescent="0.25">
      <c r="T4622" s="81"/>
      <c r="W4622" s="185"/>
      <c r="AE4622" s="185"/>
    </row>
    <row r="4623" spans="20:31" x14ac:dyDescent="0.25">
      <c r="T4623" s="81"/>
      <c r="W4623" s="185"/>
      <c r="AE4623" s="185"/>
    </row>
    <row r="4624" spans="20:31" x14ac:dyDescent="0.25">
      <c r="T4624" s="81"/>
      <c r="W4624" s="185"/>
      <c r="AE4624" s="185"/>
    </row>
    <row r="4625" spans="20:31" x14ac:dyDescent="0.25">
      <c r="T4625" s="81"/>
      <c r="W4625" s="185"/>
      <c r="AE4625" s="185"/>
    </row>
    <row r="4626" spans="20:31" x14ac:dyDescent="0.25">
      <c r="T4626" s="81"/>
      <c r="W4626" s="185"/>
      <c r="AE4626" s="185"/>
    </row>
    <row r="4627" spans="20:31" x14ac:dyDescent="0.25">
      <c r="T4627" s="81"/>
      <c r="W4627" s="185"/>
      <c r="AE4627" s="185"/>
    </row>
    <row r="4628" spans="20:31" x14ac:dyDescent="0.25">
      <c r="T4628" s="81"/>
      <c r="W4628" s="185"/>
      <c r="AE4628" s="185"/>
    </row>
    <row r="4629" spans="20:31" x14ac:dyDescent="0.25">
      <c r="T4629" s="81"/>
      <c r="W4629" s="185"/>
      <c r="AE4629" s="185"/>
    </row>
    <row r="4630" spans="20:31" x14ac:dyDescent="0.25">
      <c r="T4630" s="81"/>
      <c r="W4630" s="185"/>
      <c r="AE4630" s="185"/>
    </row>
    <row r="4631" spans="20:31" x14ac:dyDescent="0.25">
      <c r="T4631" s="81"/>
      <c r="W4631" s="185"/>
      <c r="AE4631" s="185"/>
    </row>
    <row r="4632" spans="20:31" x14ac:dyDescent="0.25">
      <c r="T4632" s="81"/>
      <c r="W4632" s="185"/>
      <c r="AE4632" s="185"/>
    </row>
    <row r="4633" spans="20:31" x14ac:dyDescent="0.25">
      <c r="T4633" s="81"/>
      <c r="W4633" s="185"/>
      <c r="AE4633" s="185"/>
    </row>
    <row r="4634" spans="20:31" x14ac:dyDescent="0.25">
      <c r="T4634" s="81"/>
      <c r="W4634" s="185"/>
      <c r="AE4634" s="185"/>
    </row>
    <row r="4635" spans="20:31" x14ac:dyDescent="0.25">
      <c r="T4635" s="81"/>
      <c r="W4635" s="185"/>
      <c r="AE4635" s="185"/>
    </row>
    <row r="4636" spans="20:31" x14ac:dyDescent="0.25">
      <c r="T4636" s="81"/>
      <c r="W4636" s="185"/>
      <c r="AE4636" s="185"/>
    </row>
    <row r="4637" spans="20:31" x14ac:dyDescent="0.25">
      <c r="T4637" s="81"/>
      <c r="W4637" s="185"/>
      <c r="AE4637" s="185"/>
    </row>
    <row r="4638" spans="20:31" x14ac:dyDescent="0.25">
      <c r="T4638" s="81"/>
      <c r="W4638" s="185"/>
      <c r="AE4638" s="185"/>
    </row>
    <row r="4639" spans="20:31" x14ac:dyDescent="0.25">
      <c r="T4639" s="81"/>
      <c r="W4639" s="185"/>
      <c r="AE4639" s="185"/>
    </row>
    <row r="4640" spans="20:31" x14ac:dyDescent="0.25">
      <c r="T4640" s="81"/>
      <c r="W4640" s="185"/>
      <c r="AE4640" s="185"/>
    </row>
    <row r="4641" spans="20:31" x14ac:dyDescent="0.25">
      <c r="T4641" s="81"/>
      <c r="W4641" s="185"/>
      <c r="AE4641" s="185"/>
    </row>
    <row r="4642" spans="20:31" x14ac:dyDescent="0.25">
      <c r="T4642" s="81"/>
      <c r="W4642" s="185"/>
      <c r="AE4642" s="185"/>
    </row>
    <row r="4643" spans="20:31" x14ac:dyDescent="0.25">
      <c r="T4643" s="81"/>
      <c r="W4643" s="185"/>
      <c r="AE4643" s="185"/>
    </row>
    <row r="4644" spans="20:31" x14ac:dyDescent="0.25">
      <c r="T4644" s="81"/>
      <c r="W4644" s="185"/>
      <c r="AE4644" s="185"/>
    </row>
    <row r="4645" spans="20:31" x14ac:dyDescent="0.25">
      <c r="T4645" s="81"/>
      <c r="W4645" s="185"/>
      <c r="AE4645" s="185"/>
    </row>
    <row r="4646" spans="20:31" x14ac:dyDescent="0.25">
      <c r="T4646" s="81"/>
      <c r="W4646" s="185"/>
      <c r="AE4646" s="185"/>
    </row>
    <row r="4647" spans="20:31" x14ac:dyDescent="0.25">
      <c r="T4647" s="81"/>
      <c r="W4647" s="185"/>
      <c r="AE4647" s="185"/>
    </row>
    <row r="4648" spans="20:31" x14ac:dyDescent="0.25">
      <c r="T4648" s="81"/>
      <c r="W4648" s="185"/>
      <c r="AE4648" s="185"/>
    </row>
    <row r="4649" spans="20:31" x14ac:dyDescent="0.25">
      <c r="T4649" s="81"/>
      <c r="W4649" s="185"/>
      <c r="AE4649" s="185"/>
    </row>
    <row r="4650" spans="20:31" x14ac:dyDescent="0.25">
      <c r="T4650" s="81"/>
      <c r="W4650" s="185"/>
      <c r="AE4650" s="185"/>
    </row>
    <row r="4651" spans="20:31" x14ac:dyDescent="0.25">
      <c r="T4651" s="81"/>
      <c r="W4651" s="185"/>
      <c r="AE4651" s="185"/>
    </row>
    <row r="4652" spans="20:31" x14ac:dyDescent="0.25">
      <c r="T4652" s="81"/>
      <c r="W4652" s="185"/>
      <c r="AE4652" s="185"/>
    </row>
    <row r="4653" spans="20:31" x14ac:dyDescent="0.25">
      <c r="T4653" s="81"/>
      <c r="W4653" s="185"/>
      <c r="AE4653" s="185"/>
    </row>
    <row r="4654" spans="20:31" x14ac:dyDescent="0.25">
      <c r="T4654" s="81"/>
      <c r="W4654" s="185"/>
      <c r="AE4654" s="185"/>
    </row>
    <row r="4655" spans="20:31" x14ac:dyDescent="0.25">
      <c r="T4655" s="81"/>
      <c r="W4655" s="185"/>
      <c r="AE4655" s="185"/>
    </row>
    <row r="4656" spans="20:31" x14ac:dyDescent="0.25">
      <c r="T4656" s="81"/>
      <c r="W4656" s="185"/>
      <c r="AE4656" s="185"/>
    </row>
    <row r="4657" spans="20:31" x14ac:dyDescent="0.25">
      <c r="T4657" s="81"/>
      <c r="W4657" s="185"/>
      <c r="AE4657" s="185"/>
    </row>
    <row r="4658" spans="20:31" x14ac:dyDescent="0.25">
      <c r="T4658" s="81"/>
      <c r="W4658" s="185"/>
      <c r="AE4658" s="185"/>
    </row>
    <row r="4659" spans="20:31" x14ac:dyDescent="0.25">
      <c r="T4659" s="81"/>
      <c r="W4659" s="185"/>
      <c r="AE4659" s="185"/>
    </row>
    <row r="4660" spans="20:31" x14ac:dyDescent="0.25">
      <c r="T4660" s="81"/>
      <c r="W4660" s="185"/>
      <c r="AE4660" s="185"/>
    </row>
    <row r="4661" spans="20:31" x14ac:dyDescent="0.25">
      <c r="T4661" s="81"/>
      <c r="W4661" s="185"/>
      <c r="AE4661" s="185"/>
    </row>
    <row r="4662" spans="20:31" x14ac:dyDescent="0.25">
      <c r="T4662" s="81"/>
      <c r="W4662" s="185"/>
      <c r="AE4662" s="185"/>
    </row>
    <row r="4663" spans="20:31" x14ac:dyDescent="0.25">
      <c r="T4663" s="81"/>
      <c r="W4663" s="185"/>
      <c r="AE4663" s="185"/>
    </row>
    <row r="4664" spans="20:31" x14ac:dyDescent="0.25">
      <c r="T4664" s="81"/>
      <c r="W4664" s="185"/>
      <c r="AE4664" s="185"/>
    </row>
    <row r="4665" spans="20:31" x14ac:dyDescent="0.25">
      <c r="T4665" s="81"/>
      <c r="W4665" s="185"/>
      <c r="AE4665" s="185"/>
    </row>
    <row r="4666" spans="20:31" x14ac:dyDescent="0.25">
      <c r="T4666" s="81"/>
      <c r="W4666" s="185"/>
      <c r="AE4666" s="185"/>
    </row>
    <row r="4667" spans="20:31" x14ac:dyDescent="0.25">
      <c r="T4667" s="81"/>
      <c r="W4667" s="185"/>
      <c r="AE4667" s="185"/>
    </row>
    <row r="4668" spans="20:31" x14ac:dyDescent="0.25">
      <c r="T4668" s="81"/>
      <c r="W4668" s="185"/>
      <c r="AE4668" s="185"/>
    </row>
    <row r="4669" spans="20:31" x14ac:dyDescent="0.25">
      <c r="T4669" s="81"/>
      <c r="W4669" s="185"/>
      <c r="AE4669" s="185"/>
    </row>
    <row r="4670" spans="20:31" x14ac:dyDescent="0.25">
      <c r="T4670" s="81"/>
      <c r="W4670" s="185"/>
      <c r="AE4670" s="185"/>
    </row>
    <row r="4671" spans="20:31" x14ac:dyDescent="0.25">
      <c r="T4671" s="81"/>
      <c r="W4671" s="185"/>
      <c r="AE4671" s="185"/>
    </row>
    <row r="4672" spans="20:31" x14ac:dyDescent="0.25">
      <c r="T4672" s="81"/>
      <c r="W4672" s="185"/>
      <c r="AE4672" s="185"/>
    </row>
    <row r="4673" spans="20:31" x14ac:dyDescent="0.25">
      <c r="T4673" s="81"/>
      <c r="W4673" s="185"/>
      <c r="AE4673" s="185"/>
    </row>
    <row r="4674" spans="20:31" x14ac:dyDescent="0.25">
      <c r="T4674" s="81"/>
      <c r="W4674" s="185"/>
      <c r="AE4674" s="185"/>
    </row>
    <row r="4675" spans="20:31" x14ac:dyDescent="0.25">
      <c r="T4675" s="81"/>
      <c r="W4675" s="185"/>
      <c r="AE4675" s="185"/>
    </row>
    <row r="4676" spans="20:31" x14ac:dyDescent="0.25">
      <c r="T4676" s="81"/>
      <c r="W4676" s="185"/>
      <c r="AE4676" s="185"/>
    </row>
    <row r="4677" spans="20:31" x14ac:dyDescent="0.25">
      <c r="T4677" s="81"/>
      <c r="W4677" s="185"/>
      <c r="AE4677" s="185"/>
    </row>
    <row r="4678" spans="20:31" x14ac:dyDescent="0.25">
      <c r="T4678" s="81"/>
      <c r="W4678" s="185"/>
      <c r="AE4678" s="185"/>
    </row>
    <row r="4679" spans="20:31" x14ac:dyDescent="0.25">
      <c r="T4679" s="81"/>
      <c r="W4679" s="185"/>
      <c r="AE4679" s="185"/>
    </row>
    <row r="4680" spans="20:31" x14ac:dyDescent="0.25">
      <c r="T4680" s="81"/>
      <c r="W4680" s="185"/>
      <c r="AE4680" s="185"/>
    </row>
    <row r="4681" spans="20:31" x14ac:dyDescent="0.25">
      <c r="T4681" s="81"/>
      <c r="W4681" s="185"/>
      <c r="AE4681" s="185"/>
    </row>
    <row r="4682" spans="20:31" x14ac:dyDescent="0.25">
      <c r="T4682" s="81"/>
      <c r="W4682" s="185"/>
      <c r="AE4682" s="185"/>
    </row>
    <row r="4683" spans="20:31" x14ac:dyDescent="0.25">
      <c r="T4683" s="81"/>
      <c r="W4683" s="185"/>
      <c r="AE4683" s="185"/>
    </row>
    <row r="4684" spans="20:31" x14ac:dyDescent="0.25">
      <c r="T4684" s="81"/>
      <c r="W4684" s="185"/>
      <c r="AE4684" s="185"/>
    </row>
    <row r="4685" spans="20:31" x14ac:dyDescent="0.25">
      <c r="T4685" s="81"/>
      <c r="W4685" s="185"/>
      <c r="AE4685" s="185"/>
    </row>
    <row r="4686" spans="20:31" x14ac:dyDescent="0.25">
      <c r="T4686" s="81"/>
      <c r="W4686" s="185"/>
      <c r="AE4686" s="185"/>
    </row>
    <row r="4687" spans="20:31" x14ac:dyDescent="0.25">
      <c r="T4687" s="81"/>
      <c r="W4687" s="185"/>
      <c r="AE4687" s="185"/>
    </row>
    <row r="4688" spans="20:31" x14ac:dyDescent="0.25">
      <c r="T4688" s="81"/>
      <c r="W4688" s="185"/>
      <c r="AE4688" s="185"/>
    </row>
    <row r="4689" spans="20:31" x14ac:dyDescent="0.25">
      <c r="T4689" s="81"/>
      <c r="W4689" s="185"/>
      <c r="AE4689" s="185"/>
    </row>
    <row r="4690" spans="20:31" x14ac:dyDescent="0.25">
      <c r="T4690" s="81"/>
      <c r="W4690" s="185"/>
      <c r="AE4690" s="185"/>
    </row>
    <row r="4691" spans="20:31" x14ac:dyDescent="0.25">
      <c r="T4691" s="81"/>
      <c r="W4691" s="185"/>
      <c r="AE4691" s="185"/>
    </row>
    <row r="4692" spans="20:31" x14ac:dyDescent="0.25">
      <c r="T4692" s="81"/>
      <c r="W4692" s="185"/>
      <c r="AE4692" s="185"/>
    </row>
    <row r="4693" spans="20:31" x14ac:dyDescent="0.25">
      <c r="T4693" s="81"/>
      <c r="W4693" s="185"/>
      <c r="AE4693" s="185"/>
    </row>
    <row r="4694" spans="20:31" x14ac:dyDescent="0.25">
      <c r="T4694" s="81"/>
      <c r="W4694" s="185"/>
      <c r="AE4694" s="185"/>
    </row>
    <row r="4695" spans="20:31" x14ac:dyDescent="0.25">
      <c r="T4695" s="81"/>
      <c r="W4695" s="185"/>
      <c r="AE4695" s="185"/>
    </row>
    <row r="4696" spans="20:31" x14ac:dyDescent="0.25">
      <c r="T4696" s="81"/>
      <c r="W4696" s="185"/>
      <c r="AE4696" s="185"/>
    </row>
    <row r="4697" spans="20:31" x14ac:dyDescent="0.25">
      <c r="T4697" s="81"/>
      <c r="W4697" s="185"/>
      <c r="AE4697" s="185"/>
    </row>
    <row r="4698" spans="20:31" x14ac:dyDescent="0.25">
      <c r="T4698" s="81"/>
      <c r="W4698" s="185"/>
      <c r="AE4698" s="185"/>
    </row>
    <row r="4699" spans="20:31" x14ac:dyDescent="0.25">
      <c r="T4699" s="81"/>
      <c r="W4699" s="185"/>
      <c r="AE4699" s="185"/>
    </row>
    <row r="4700" spans="20:31" x14ac:dyDescent="0.25">
      <c r="T4700" s="81"/>
      <c r="W4700" s="185"/>
      <c r="AE4700" s="185"/>
    </row>
    <row r="4701" spans="20:31" x14ac:dyDescent="0.25">
      <c r="T4701" s="81"/>
      <c r="W4701" s="185"/>
      <c r="AE4701" s="185"/>
    </row>
    <row r="4702" spans="20:31" x14ac:dyDescent="0.25">
      <c r="T4702" s="81"/>
      <c r="W4702" s="185"/>
      <c r="AE4702" s="185"/>
    </row>
    <row r="4703" spans="20:31" x14ac:dyDescent="0.25">
      <c r="T4703" s="81"/>
      <c r="W4703" s="185"/>
      <c r="AE4703" s="185"/>
    </row>
    <row r="4704" spans="20:31" x14ac:dyDescent="0.25">
      <c r="T4704" s="81"/>
      <c r="W4704" s="185"/>
      <c r="AE4704" s="185"/>
    </row>
    <row r="4705" spans="20:31" x14ac:dyDescent="0.25">
      <c r="T4705" s="81"/>
      <c r="W4705" s="185"/>
      <c r="AE4705" s="185"/>
    </row>
    <row r="4706" spans="20:31" x14ac:dyDescent="0.25">
      <c r="T4706" s="81"/>
      <c r="W4706" s="185"/>
      <c r="AE4706" s="185"/>
    </row>
    <row r="4707" spans="20:31" x14ac:dyDescent="0.25">
      <c r="T4707" s="81"/>
      <c r="W4707" s="185"/>
      <c r="AE4707" s="185"/>
    </row>
    <row r="4708" spans="20:31" x14ac:dyDescent="0.25">
      <c r="T4708" s="81"/>
      <c r="W4708" s="185"/>
      <c r="AE4708" s="185"/>
    </row>
    <row r="4709" spans="20:31" x14ac:dyDescent="0.25">
      <c r="T4709" s="81"/>
      <c r="W4709" s="185"/>
      <c r="AE4709" s="185"/>
    </row>
    <row r="4710" spans="20:31" x14ac:dyDescent="0.25">
      <c r="T4710" s="81"/>
      <c r="W4710" s="185"/>
      <c r="AE4710" s="185"/>
    </row>
    <row r="4711" spans="20:31" x14ac:dyDescent="0.25">
      <c r="T4711" s="81"/>
      <c r="W4711" s="185"/>
      <c r="AE4711" s="185"/>
    </row>
    <row r="4712" spans="20:31" x14ac:dyDescent="0.25">
      <c r="T4712" s="81"/>
      <c r="W4712" s="185"/>
      <c r="AE4712" s="185"/>
    </row>
    <row r="4713" spans="20:31" x14ac:dyDescent="0.25">
      <c r="T4713" s="81"/>
      <c r="W4713" s="185"/>
      <c r="AE4713" s="185"/>
    </row>
    <row r="4714" spans="20:31" x14ac:dyDescent="0.25">
      <c r="T4714" s="81"/>
      <c r="W4714" s="185"/>
      <c r="AE4714" s="185"/>
    </row>
    <row r="4715" spans="20:31" x14ac:dyDescent="0.25">
      <c r="T4715" s="81"/>
      <c r="W4715" s="185"/>
      <c r="AE4715" s="185"/>
    </row>
    <row r="4716" spans="20:31" x14ac:dyDescent="0.25">
      <c r="T4716" s="81"/>
      <c r="W4716" s="185"/>
      <c r="AE4716" s="185"/>
    </row>
    <row r="4717" spans="20:31" x14ac:dyDescent="0.25">
      <c r="T4717" s="81"/>
      <c r="W4717" s="185"/>
      <c r="AE4717" s="185"/>
    </row>
    <row r="4718" spans="20:31" x14ac:dyDescent="0.25">
      <c r="T4718" s="81"/>
      <c r="W4718" s="185"/>
      <c r="AE4718" s="185"/>
    </row>
    <row r="4719" spans="20:31" x14ac:dyDescent="0.25">
      <c r="T4719" s="81"/>
      <c r="W4719" s="185"/>
      <c r="AE4719" s="185"/>
    </row>
    <row r="4720" spans="20:31" x14ac:dyDescent="0.25">
      <c r="T4720" s="81"/>
      <c r="W4720" s="185"/>
      <c r="AE4720" s="185"/>
    </row>
    <row r="4721" spans="20:31" x14ac:dyDescent="0.25">
      <c r="T4721" s="81"/>
      <c r="W4721" s="185"/>
      <c r="AE4721" s="185"/>
    </row>
    <row r="4722" spans="20:31" x14ac:dyDescent="0.25">
      <c r="T4722" s="81"/>
      <c r="W4722" s="185"/>
      <c r="AE4722" s="185"/>
    </row>
    <row r="4723" spans="20:31" x14ac:dyDescent="0.25">
      <c r="T4723" s="81"/>
      <c r="W4723" s="185"/>
      <c r="AE4723" s="185"/>
    </row>
    <row r="4724" spans="20:31" x14ac:dyDescent="0.25">
      <c r="T4724" s="81"/>
      <c r="W4724" s="185"/>
      <c r="AE4724" s="185"/>
    </row>
    <row r="4725" spans="20:31" x14ac:dyDescent="0.25">
      <c r="T4725" s="81"/>
      <c r="W4725" s="185"/>
      <c r="AE4725" s="185"/>
    </row>
    <row r="4726" spans="20:31" x14ac:dyDescent="0.25">
      <c r="T4726" s="81"/>
      <c r="W4726" s="185"/>
      <c r="AE4726" s="185"/>
    </row>
    <row r="4727" spans="20:31" x14ac:dyDescent="0.25">
      <c r="T4727" s="81"/>
      <c r="W4727" s="185"/>
      <c r="AE4727" s="185"/>
    </row>
    <row r="4728" spans="20:31" x14ac:dyDescent="0.25">
      <c r="T4728" s="81"/>
      <c r="W4728" s="185"/>
      <c r="AE4728" s="185"/>
    </row>
    <row r="4729" spans="20:31" x14ac:dyDescent="0.25">
      <c r="T4729" s="81"/>
      <c r="W4729" s="185"/>
      <c r="AE4729" s="185"/>
    </row>
    <row r="4730" spans="20:31" x14ac:dyDescent="0.25">
      <c r="T4730" s="81"/>
      <c r="W4730" s="185"/>
      <c r="AE4730" s="185"/>
    </row>
    <row r="4731" spans="20:31" x14ac:dyDescent="0.25">
      <c r="T4731" s="81"/>
      <c r="W4731" s="185"/>
      <c r="AE4731" s="185"/>
    </row>
    <row r="4732" spans="20:31" x14ac:dyDescent="0.25">
      <c r="T4732" s="81"/>
      <c r="W4732" s="185"/>
      <c r="AE4732" s="185"/>
    </row>
    <row r="4733" spans="20:31" x14ac:dyDescent="0.25">
      <c r="T4733" s="81"/>
      <c r="W4733" s="185"/>
      <c r="AE4733" s="185"/>
    </row>
    <row r="4734" spans="20:31" x14ac:dyDescent="0.25">
      <c r="T4734" s="81"/>
      <c r="W4734" s="185"/>
      <c r="AE4734" s="185"/>
    </row>
    <row r="4735" spans="20:31" x14ac:dyDescent="0.25">
      <c r="T4735" s="81"/>
      <c r="W4735" s="185"/>
      <c r="AE4735" s="185"/>
    </row>
    <row r="4736" spans="20:31" x14ac:dyDescent="0.25">
      <c r="T4736" s="81"/>
      <c r="W4736" s="185"/>
      <c r="AE4736" s="185"/>
    </row>
    <row r="4737" spans="20:31" x14ac:dyDescent="0.25">
      <c r="T4737" s="81"/>
      <c r="W4737" s="185"/>
      <c r="AE4737" s="185"/>
    </row>
    <row r="4738" spans="20:31" x14ac:dyDescent="0.25">
      <c r="T4738" s="81"/>
      <c r="W4738" s="185"/>
      <c r="AE4738" s="185"/>
    </row>
    <row r="4739" spans="20:31" x14ac:dyDescent="0.25">
      <c r="T4739" s="81"/>
      <c r="W4739" s="185"/>
      <c r="AE4739" s="185"/>
    </row>
    <row r="4740" spans="20:31" x14ac:dyDescent="0.25">
      <c r="T4740" s="81"/>
      <c r="W4740" s="185"/>
      <c r="AE4740" s="185"/>
    </row>
    <row r="4741" spans="20:31" x14ac:dyDescent="0.25">
      <c r="T4741" s="81"/>
      <c r="W4741" s="185"/>
      <c r="AE4741" s="185"/>
    </row>
    <row r="4742" spans="20:31" x14ac:dyDescent="0.25">
      <c r="T4742" s="81"/>
      <c r="W4742" s="185"/>
      <c r="AE4742" s="185"/>
    </row>
    <row r="4743" spans="20:31" x14ac:dyDescent="0.25">
      <c r="T4743" s="81"/>
      <c r="W4743" s="185"/>
      <c r="AE4743" s="185"/>
    </row>
    <row r="4744" spans="20:31" x14ac:dyDescent="0.25">
      <c r="T4744" s="81"/>
      <c r="W4744" s="185"/>
      <c r="AE4744" s="185"/>
    </row>
    <row r="4745" spans="20:31" x14ac:dyDescent="0.25">
      <c r="T4745" s="81"/>
      <c r="W4745" s="185"/>
      <c r="AE4745" s="185"/>
    </row>
    <row r="4746" spans="20:31" x14ac:dyDescent="0.25">
      <c r="T4746" s="81"/>
      <c r="W4746" s="185"/>
      <c r="AE4746" s="185"/>
    </row>
    <row r="4747" spans="20:31" x14ac:dyDescent="0.25">
      <c r="T4747" s="81"/>
      <c r="W4747" s="185"/>
      <c r="AE4747" s="185"/>
    </row>
    <row r="4748" spans="20:31" x14ac:dyDescent="0.25">
      <c r="T4748" s="81"/>
      <c r="W4748" s="185"/>
      <c r="AE4748" s="185"/>
    </row>
    <row r="4749" spans="20:31" x14ac:dyDescent="0.25">
      <c r="T4749" s="81"/>
      <c r="W4749" s="185"/>
      <c r="AE4749" s="185"/>
    </row>
    <row r="4750" spans="20:31" x14ac:dyDescent="0.25">
      <c r="T4750" s="81"/>
      <c r="W4750" s="185"/>
      <c r="AE4750" s="185"/>
    </row>
    <row r="4751" spans="20:31" x14ac:dyDescent="0.25">
      <c r="T4751" s="81"/>
      <c r="W4751" s="185"/>
      <c r="AE4751" s="185"/>
    </row>
    <row r="4752" spans="20:31" x14ac:dyDescent="0.25">
      <c r="T4752" s="81"/>
      <c r="W4752" s="185"/>
      <c r="AE4752" s="185"/>
    </row>
    <row r="4753" spans="20:31" x14ac:dyDescent="0.25">
      <c r="T4753" s="81"/>
      <c r="W4753" s="185"/>
      <c r="AE4753" s="185"/>
    </row>
    <row r="4754" spans="20:31" x14ac:dyDescent="0.25">
      <c r="T4754" s="81"/>
      <c r="W4754" s="185"/>
      <c r="AE4754" s="185"/>
    </row>
    <row r="4755" spans="20:31" x14ac:dyDescent="0.25">
      <c r="T4755" s="81"/>
      <c r="W4755" s="185"/>
      <c r="AE4755" s="185"/>
    </row>
    <row r="4756" spans="20:31" x14ac:dyDescent="0.25">
      <c r="T4756" s="81"/>
      <c r="W4756" s="185"/>
      <c r="AE4756" s="185"/>
    </row>
    <row r="4757" spans="20:31" x14ac:dyDescent="0.25">
      <c r="T4757" s="81"/>
      <c r="W4757" s="185"/>
      <c r="AE4757" s="185"/>
    </row>
    <row r="4758" spans="20:31" x14ac:dyDescent="0.25">
      <c r="T4758" s="81"/>
      <c r="W4758" s="185"/>
      <c r="AE4758" s="185"/>
    </row>
    <row r="4759" spans="20:31" x14ac:dyDescent="0.25">
      <c r="T4759" s="81"/>
      <c r="W4759" s="185"/>
      <c r="AE4759" s="185"/>
    </row>
    <row r="4760" spans="20:31" x14ac:dyDescent="0.25">
      <c r="T4760" s="81"/>
      <c r="W4760" s="185"/>
      <c r="AE4760" s="185"/>
    </row>
    <row r="4761" spans="20:31" x14ac:dyDescent="0.25">
      <c r="T4761" s="81"/>
      <c r="W4761" s="185"/>
      <c r="AE4761" s="185"/>
    </row>
    <row r="4762" spans="20:31" x14ac:dyDescent="0.25">
      <c r="T4762" s="81"/>
      <c r="W4762" s="185"/>
      <c r="AE4762" s="185"/>
    </row>
    <row r="4763" spans="20:31" x14ac:dyDescent="0.25">
      <c r="T4763" s="81"/>
      <c r="W4763" s="185"/>
      <c r="AE4763" s="185"/>
    </row>
    <row r="4764" spans="20:31" x14ac:dyDescent="0.25">
      <c r="T4764" s="81"/>
      <c r="W4764" s="185"/>
      <c r="AE4764" s="185"/>
    </row>
    <row r="4765" spans="20:31" x14ac:dyDescent="0.25">
      <c r="T4765" s="81"/>
      <c r="W4765" s="185"/>
      <c r="AE4765" s="185"/>
    </row>
    <row r="4766" spans="20:31" x14ac:dyDescent="0.25">
      <c r="T4766" s="81"/>
      <c r="W4766" s="185"/>
      <c r="AE4766" s="185"/>
    </row>
    <row r="4767" spans="20:31" x14ac:dyDescent="0.25">
      <c r="T4767" s="81"/>
      <c r="W4767" s="185"/>
      <c r="AE4767" s="185"/>
    </row>
    <row r="4768" spans="20:31" x14ac:dyDescent="0.25">
      <c r="T4768" s="81"/>
      <c r="W4768" s="185"/>
      <c r="AE4768" s="185"/>
    </row>
    <row r="4769" spans="20:31" x14ac:dyDescent="0.25">
      <c r="T4769" s="81"/>
      <c r="W4769" s="185"/>
      <c r="AE4769" s="185"/>
    </row>
    <row r="4770" spans="20:31" x14ac:dyDescent="0.25">
      <c r="T4770" s="81"/>
      <c r="W4770" s="185"/>
      <c r="AE4770" s="185"/>
    </row>
    <row r="4771" spans="20:31" x14ac:dyDescent="0.25">
      <c r="T4771" s="81"/>
      <c r="W4771" s="185"/>
      <c r="AE4771" s="185"/>
    </row>
    <row r="4772" spans="20:31" x14ac:dyDescent="0.25">
      <c r="T4772" s="81"/>
      <c r="W4772" s="185"/>
      <c r="AE4772" s="185"/>
    </row>
    <row r="4773" spans="20:31" x14ac:dyDescent="0.25">
      <c r="T4773" s="81"/>
      <c r="W4773" s="185"/>
      <c r="AE4773" s="185"/>
    </row>
    <row r="4774" spans="20:31" x14ac:dyDescent="0.25">
      <c r="T4774" s="81"/>
      <c r="W4774" s="185"/>
      <c r="AE4774" s="185"/>
    </row>
    <row r="4775" spans="20:31" x14ac:dyDescent="0.25">
      <c r="T4775" s="81"/>
      <c r="W4775" s="185"/>
      <c r="AE4775" s="185"/>
    </row>
    <row r="4776" spans="20:31" x14ac:dyDescent="0.25">
      <c r="T4776" s="81"/>
      <c r="W4776" s="185"/>
      <c r="AE4776" s="185"/>
    </row>
    <row r="4777" spans="20:31" x14ac:dyDescent="0.25">
      <c r="T4777" s="81"/>
      <c r="W4777" s="185"/>
      <c r="AE4777" s="185"/>
    </row>
    <row r="4778" spans="20:31" x14ac:dyDescent="0.25">
      <c r="T4778" s="81"/>
      <c r="W4778" s="185"/>
      <c r="AE4778" s="185"/>
    </row>
    <row r="4779" spans="20:31" x14ac:dyDescent="0.25">
      <c r="T4779" s="81"/>
      <c r="W4779" s="185"/>
      <c r="AE4779" s="185"/>
    </row>
    <row r="4780" spans="20:31" x14ac:dyDescent="0.25">
      <c r="T4780" s="81"/>
      <c r="W4780" s="185"/>
      <c r="AE4780" s="185"/>
    </row>
    <row r="4781" spans="20:31" x14ac:dyDescent="0.25">
      <c r="T4781" s="81"/>
      <c r="W4781" s="185"/>
      <c r="AE4781" s="185"/>
    </row>
    <row r="4782" spans="20:31" x14ac:dyDescent="0.25">
      <c r="T4782" s="81"/>
      <c r="W4782" s="185"/>
      <c r="AE4782" s="185"/>
    </row>
    <row r="4783" spans="20:31" x14ac:dyDescent="0.25">
      <c r="T4783" s="81"/>
      <c r="W4783" s="185"/>
      <c r="AE4783" s="185"/>
    </row>
    <row r="4784" spans="20:31" x14ac:dyDescent="0.25">
      <c r="T4784" s="81"/>
      <c r="W4784" s="185"/>
      <c r="AE4784" s="185"/>
    </row>
    <row r="4785" spans="20:31" x14ac:dyDescent="0.25">
      <c r="T4785" s="81"/>
      <c r="W4785" s="185"/>
      <c r="AE4785" s="185"/>
    </row>
    <row r="4786" spans="20:31" x14ac:dyDescent="0.25">
      <c r="T4786" s="81"/>
      <c r="W4786" s="185"/>
      <c r="AE4786" s="185"/>
    </row>
    <row r="4787" spans="20:31" x14ac:dyDescent="0.25">
      <c r="T4787" s="81"/>
      <c r="W4787" s="185"/>
      <c r="AE4787" s="185"/>
    </row>
    <row r="4788" spans="20:31" x14ac:dyDescent="0.25">
      <c r="T4788" s="81"/>
      <c r="W4788" s="185"/>
      <c r="AE4788" s="185"/>
    </row>
    <row r="4789" spans="20:31" x14ac:dyDescent="0.25">
      <c r="T4789" s="81"/>
      <c r="W4789" s="185"/>
      <c r="AE4789" s="185"/>
    </row>
    <row r="4790" spans="20:31" x14ac:dyDescent="0.25">
      <c r="T4790" s="81"/>
      <c r="W4790" s="185"/>
      <c r="AE4790" s="185"/>
    </row>
    <row r="4791" spans="20:31" x14ac:dyDescent="0.25">
      <c r="T4791" s="81"/>
      <c r="W4791" s="185"/>
      <c r="AE4791" s="185"/>
    </row>
    <row r="4792" spans="20:31" x14ac:dyDescent="0.25">
      <c r="T4792" s="81"/>
      <c r="W4792" s="185"/>
      <c r="AE4792" s="185"/>
    </row>
    <row r="4793" spans="20:31" x14ac:dyDescent="0.25">
      <c r="T4793" s="81"/>
      <c r="W4793" s="185"/>
      <c r="AE4793" s="185"/>
    </row>
    <row r="4794" spans="20:31" x14ac:dyDescent="0.25">
      <c r="T4794" s="81"/>
      <c r="W4794" s="185"/>
      <c r="AE4794" s="185"/>
    </row>
    <row r="4795" spans="20:31" x14ac:dyDescent="0.25">
      <c r="T4795" s="81"/>
      <c r="W4795" s="185"/>
      <c r="AE4795" s="185"/>
    </row>
    <row r="4796" spans="20:31" x14ac:dyDescent="0.25">
      <c r="T4796" s="81"/>
      <c r="W4796" s="185"/>
      <c r="AE4796" s="185"/>
    </row>
    <row r="4797" spans="20:31" x14ac:dyDescent="0.25">
      <c r="T4797" s="81"/>
      <c r="W4797" s="185"/>
      <c r="AE4797" s="185"/>
    </row>
    <row r="4798" spans="20:31" x14ac:dyDescent="0.25">
      <c r="T4798" s="81"/>
      <c r="W4798" s="185"/>
      <c r="AE4798" s="185"/>
    </row>
    <row r="4799" spans="20:31" x14ac:dyDescent="0.25">
      <c r="T4799" s="81"/>
      <c r="W4799" s="185"/>
      <c r="AE4799" s="185"/>
    </row>
    <row r="4800" spans="20:31" x14ac:dyDescent="0.25">
      <c r="T4800" s="81"/>
      <c r="W4800" s="185"/>
      <c r="AE4800" s="185"/>
    </row>
    <row r="4801" spans="20:31" x14ac:dyDescent="0.25">
      <c r="T4801" s="81"/>
      <c r="W4801" s="185"/>
      <c r="AE4801" s="185"/>
    </row>
    <row r="4802" spans="20:31" x14ac:dyDescent="0.25">
      <c r="T4802" s="81"/>
      <c r="W4802" s="185"/>
      <c r="AE4802" s="185"/>
    </row>
    <row r="4803" spans="20:31" x14ac:dyDescent="0.25">
      <c r="T4803" s="81"/>
      <c r="W4803" s="185"/>
      <c r="AE4803" s="185"/>
    </row>
    <row r="4804" spans="20:31" x14ac:dyDescent="0.25">
      <c r="T4804" s="81"/>
      <c r="W4804" s="185"/>
      <c r="AE4804" s="185"/>
    </row>
    <row r="4805" spans="20:31" x14ac:dyDescent="0.25">
      <c r="T4805" s="81"/>
      <c r="W4805" s="185"/>
      <c r="AE4805" s="185"/>
    </row>
    <row r="4806" spans="20:31" x14ac:dyDescent="0.25">
      <c r="T4806" s="81"/>
      <c r="W4806" s="185"/>
      <c r="AE4806" s="185"/>
    </row>
    <row r="4807" spans="20:31" x14ac:dyDescent="0.25">
      <c r="T4807" s="81"/>
      <c r="W4807" s="185"/>
      <c r="AE4807" s="185"/>
    </row>
    <row r="4808" spans="20:31" x14ac:dyDescent="0.25">
      <c r="T4808" s="81"/>
      <c r="W4808" s="185"/>
      <c r="AE4808" s="185"/>
    </row>
    <row r="4809" spans="20:31" x14ac:dyDescent="0.25">
      <c r="T4809" s="81"/>
      <c r="W4809" s="185"/>
      <c r="AE4809" s="185"/>
    </row>
    <row r="4810" spans="20:31" x14ac:dyDescent="0.25">
      <c r="T4810" s="81"/>
      <c r="W4810" s="185"/>
      <c r="AE4810" s="185"/>
    </row>
    <row r="4811" spans="20:31" x14ac:dyDescent="0.25">
      <c r="T4811" s="81"/>
      <c r="W4811" s="185"/>
      <c r="AE4811" s="185"/>
    </row>
    <row r="4812" spans="20:31" x14ac:dyDescent="0.25">
      <c r="T4812" s="81"/>
      <c r="W4812" s="185"/>
      <c r="AE4812" s="185"/>
    </row>
    <row r="4813" spans="20:31" x14ac:dyDescent="0.25">
      <c r="T4813" s="81"/>
      <c r="W4813" s="185"/>
      <c r="AE4813" s="185"/>
    </row>
    <row r="4814" spans="20:31" x14ac:dyDescent="0.25">
      <c r="T4814" s="81"/>
      <c r="W4814" s="185"/>
      <c r="AE4814" s="185"/>
    </row>
    <row r="4815" spans="20:31" x14ac:dyDescent="0.25">
      <c r="T4815" s="81"/>
      <c r="W4815" s="185"/>
      <c r="AE4815" s="185"/>
    </row>
    <row r="4816" spans="20:31" x14ac:dyDescent="0.25">
      <c r="T4816" s="81"/>
      <c r="W4816" s="185"/>
      <c r="AE4816" s="185"/>
    </row>
    <row r="4817" spans="20:31" x14ac:dyDescent="0.25">
      <c r="T4817" s="81"/>
      <c r="W4817" s="185"/>
      <c r="AE4817" s="185"/>
    </row>
    <row r="4818" spans="20:31" x14ac:dyDescent="0.25">
      <c r="T4818" s="81"/>
      <c r="W4818" s="185"/>
      <c r="AE4818" s="185"/>
    </row>
    <row r="4819" spans="20:31" x14ac:dyDescent="0.25">
      <c r="T4819" s="81"/>
      <c r="W4819" s="185"/>
      <c r="AE4819" s="185"/>
    </row>
    <row r="4820" spans="20:31" x14ac:dyDescent="0.25">
      <c r="T4820" s="81"/>
      <c r="W4820" s="185"/>
      <c r="AE4820" s="185"/>
    </row>
    <row r="4821" spans="20:31" x14ac:dyDescent="0.25">
      <c r="T4821" s="81"/>
      <c r="W4821" s="185"/>
      <c r="AE4821" s="185"/>
    </row>
    <row r="4822" spans="20:31" x14ac:dyDescent="0.25">
      <c r="T4822" s="81"/>
      <c r="W4822" s="185"/>
      <c r="AE4822" s="185"/>
    </row>
    <row r="4823" spans="20:31" x14ac:dyDescent="0.25">
      <c r="T4823" s="81"/>
      <c r="W4823" s="185"/>
      <c r="AE4823" s="185"/>
    </row>
    <row r="4824" spans="20:31" x14ac:dyDescent="0.25">
      <c r="T4824" s="81"/>
      <c r="W4824" s="185"/>
      <c r="AE4824" s="185"/>
    </row>
    <row r="4825" spans="20:31" x14ac:dyDescent="0.25">
      <c r="T4825" s="81"/>
      <c r="W4825" s="185"/>
      <c r="AE4825" s="185"/>
    </row>
    <row r="4826" spans="20:31" x14ac:dyDescent="0.25">
      <c r="T4826" s="81"/>
      <c r="W4826" s="185"/>
      <c r="AE4826" s="185"/>
    </row>
    <row r="4827" spans="20:31" x14ac:dyDescent="0.25">
      <c r="T4827" s="81"/>
      <c r="W4827" s="185"/>
      <c r="AE4827" s="185"/>
    </row>
    <row r="4828" spans="20:31" x14ac:dyDescent="0.25">
      <c r="T4828" s="81"/>
      <c r="W4828" s="185"/>
      <c r="AE4828" s="185"/>
    </row>
    <row r="4829" spans="20:31" x14ac:dyDescent="0.25">
      <c r="T4829" s="81"/>
      <c r="W4829" s="185"/>
      <c r="AE4829" s="185"/>
    </row>
    <row r="4830" spans="20:31" x14ac:dyDescent="0.25">
      <c r="T4830" s="81"/>
      <c r="W4830" s="185"/>
      <c r="AE4830" s="185"/>
    </row>
    <row r="4831" spans="20:31" x14ac:dyDescent="0.25">
      <c r="T4831" s="81"/>
      <c r="W4831" s="185"/>
      <c r="AE4831" s="185"/>
    </row>
    <row r="4832" spans="20:31" x14ac:dyDescent="0.25">
      <c r="T4832" s="81"/>
      <c r="W4832" s="185"/>
      <c r="AE4832" s="185"/>
    </row>
    <row r="4833" spans="20:31" x14ac:dyDescent="0.25">
      <c r="T4833" s="81"/>
      <c r="W4833" s="185"/>
      <c r="AE4833" s="185"/>
    </row>
    <row r="4834" spans="20:31" x14ac:dyDescent="0.25">
      <c r="T4834" s="81"/>
      <c r="W4834" s="185"/>
      <c r="AE4834" s="185"/>
    </row>
    <row r="4835" spans="20:31" x14ac:dyDescent="0.25">
      <c r="T4835" s="81"/>
      <c r="W4835" s="185"/>
      <c r="AE4835" s="185"/>
    </row>
    <row r="4836" spans="20:31" x14ac:dyDescent="0.25">
      <c r="T4836" s="81"/>
      <c r="W4836" s="185"/>
      <c r="AE4836" s="185"/>
    </row>
    <row r="4837" spans="20:31" x14ac:dyDescent="0.25">
      <c r="T4837" s="81"/>
      <c r="W4837" s="185"/>
      <c r="AE4837" s="185"/>
    </row>
    <row r="4838" spans="20:31" x14ac:dyDescent="0.25">
      <c r="T4838" s="81"/>
      <c r="W4838" s="185"/>
      <c r="AE4838" s="185"/>
    </row>
    <row r="4839" spans="20:31" x14ac:dyDescent="0.25">
      <c r="T4839" s="81"/>
      <c r="W4839" s="185"/>
      <c r="AE4839" s="185"/>
    </row>
    <row r="4840" spans="20:31" x14ac:dyDescent="0.25">
      <c r="T4840" s="81"/>
      <c r="W4840" s="185"/>
      <c r="AE4840" s="185"/>
    </row>
    <row r="4841" spans="20:31" x14ac:dyDescent="0.25">
      <c r="T4841" s="81"/>
      <c r="W4841" s="185"/>
      <c r="AE4841" s="185"/>
    </row>
    <row r="4842" spans="20:31" x14ac:dyDescent="0.25">
      <c r="T4842" s="81"/>
      <c r="W4842" s="185"/>
      <c r="AE4842" s="185"/>
    </row>
    <row r="4843" spans="20:31" x14ac:dyDescent="0.25">
      <c r="T4843" s="81"/>
      <c r="W4843" s="185"/>
      <c r="AE4843" s="185"/>
    </row>
    <row r="4844" spans="20:31" x14ac:dyDescent="0.25">
      <c r="T4844" s="81"/>
      <c r="W4844" s="185"/>
      <c r="AE4844" s="185"/>
    </row>
    <row r="4845" spans="20:31" x14ac:dyDescent="0.25">
      <c r="T4845" s="81"/>
      <c r="W4845" s="185"/>
      <c r="AE4845" s="185"/>
    </row>
    <row r="4846" spans="20:31" x14ac:dyDescent="0.25">
      <c r="T4846" s="81"/>
      <c r="W4846" s="185"/>
      <c r="AE4846" s="185"/>
    </row>
    <row r="4847" spans="20:31" x14ac:dyDescent="0.25">
      <c r="T4847" s="81"/>
      <c r="W4847" s="185"/>
      <c r="AE4847" s="185"/>
    </row>
    <row r="4848" spans="20:31" x14ac:dyDescent="0.25">
      <c r="T4848" s="81"/>
      <c r="W4848" s="185"/>
      <c r="AE4848" s="185"/>
    </row>
    <row r="4849" spans="20:31" x14ac:dyDescent="0.25">
      <c r="T4849" s="81"/>
      <c r="W4849" s="185"/>
      <c r="AE4849" s="185"/>
    </row>
    <row r="4850" spans="20:31" x14ac:dyDescent="0.25">
      <c r="T4850" s="81"/>
      <c r="W4850" s="185"/>
      <c r="AE4850" s="185"/>
    </row>
    <row r="4851" spans="20:31" x14ac:dyDescent="0.25">
      <c r="T4851" s="81"/>
      <c r="W4851" s="185"/>
      <c r="AE4851" s="185"/>
    </row>
    <row r="4852" spans="20:31" x14ac:dyDescent="0.25">
      <c r="T4852" s="81"/>
      <c r="W4852" s="185"/>
      <c r="AE4852" s="185"/>
    </row>
    <row r="4853" spans="20:31" x14ac:dyDescent="0.25">
      <c r="T4853" s="81"/>
      <c r="W4853" s="185"/>
      <c r="AE4853" s="185"/>
    </row>
    <row r="4854" spans="20:31" x14ac:dyDescent="0.25">
      <c r="T4854" s="81"/>
      <c r="W4854" s="185"/>
      <c r="AE4854" s="185"/>
    </row>
    <row r="4855" spans="20:31" x14ac:dyDescent="0.25">
      <c r="T4855" s="81"/>
      <c r="W4855" s="185"/>
      <c r="AE4855" s="185"/>
    </row>
    <row r="4856" spans="20:31" x14ac:dyDescent="0.25">
      <c r="T4856" s="81"/>
      <c r="W4856" s="185"/>
      <c r="AE4856" s="185"/>
    </row>
    <row r="4857" spans="20:31" x14ac:dyDescent="0.25">
      <c r="T4857" s="81"/>
      <c r="W4857" s="185"/>
      <c r="AE4857" s="185"/>
    </row>
    <row r="4858" spans="20:31" x14ac:dyDescent="0.25">
      <c r="T4858" s="81"/>
      <c r="W4858" s="185"/>
      <c r="AE4858" s="185"/>
    </row>
    <row r="4859" spans="20:31" x14ac:dyDescent="0.25">
      <c r="T4859" s="81"/>
      <c r="W4859" s="185"/>
      <c r="AE4859" s="185"/>
    </row>
    <row r="4860" spans="20:31" x14ac:dyDescent="0.25">
      <c r="T4860" s="81"/>
      <c r="W4860" s="185"/>
      <c r="AE4860" s="185"/>
    </row>
    <row r="4861" spans="20:31" x14ac:dyDescent="0.25">
      <c r="T4861" s="81"/>
      <c r="W4861" s="185"/>
      <c r="AE4861" s="185"/>
    </row>
    <row r="4862" spans="20:31" x14ac:dyDescent="0.25">
      <c r="T4862" s="81"/>
      <c r="W4862" s="185"/>
      <c r="AE4862" s="185"/>
    </row>
    <row r="4863" spans="20:31" x14ac:dyDescent="0.25">
      <c r="T4863" s="81"/>
      <c r="W4863" s="185"/>
      <c r="AE4863" s="185"/>
    </row>
    <row r="4864" spans="20:31" x14ac:dyDescent="0.25">
      <c r="T4864" s="81"/>
      <c r="W4864" s="185"/>
      <c r="AE4864" s="185"/>
    </row>
    <row r="4865" spans="20:31" x14ac:dyDescent="0.25">
      <c r="T4865" s="81"/>
      <c r="W4865" s="185"/>
      <c r="AE4865" s="185"/>
    </row>
    <row r="4866" spans="20:31" x14ac:dyDescent="0.25">
      <c r="T4866" s="81"/>
      <c r="W4866" s="185"/>
      <c r="AE4866" s="185"/>
    </row>
    <row r="4867" spans="20:31" x14ac:dyDescent="0.25">
      <c r="T4867" s="81"/>
      <c r="W4867" s="185"/>
      <c r="AE4867" s="185"/>
    </row>
    <row r="4868" spans="20:31" x14ac:dyDescent="0.25">
      <c r="T4868" s="81"/>
      <c r="W4868" s="185"/>
      <c r="AE4868" s="185"/>
    </row>
    <row r="4869" spans="20:31" x14ac:dyDescent="0.25">
      <c r="T4869" s="81"/>
      <c r="W4869" s="185"/>
      <c r="AE4869" s="185"/>
    </row>
    <row r="4870" spans="20:31" x14ac:dyDescent="0.25">
      <c r="T4870" s="81"/>
      <c r="W4870" s="185"/>
      <c r="AE4870" s="185"/>
    </row>
    <row r="4871" spans="20:31" x14ac:dyDescent="0.25">
      <c r="T4871" s="81"/>
      <c r="W4871" s="185"/>
      <c r="AE4871" s="185"/>
    </row>
    <row r="4872" spans="20:31" x14ac:dyDescent="0.25">
      <c r="T4872" s="81"/>
      <c r="W4872" s="185"/>
      <c r="AE4872" s="185"/>
    </row>
    <row r="4873" spans="20:31" x14ac:dyDescent="0.25">
      <c r="T4873" s="81"/>
      <c r="W4873" s="185"/>
      <c r="AE4873" s="185"/>
    </row>
    <row r="4874" spans="20:31" x14ac:dyDescent="0.25">
      <c r="T4874" s="81"/>
      <c r="W4874" s="185"/>
      <c r="AE4874" s="185"/>
    </row>
    <row r="4875" spans="20:31" x14ac:dyDescent="0.25">
      <c r="T4875" s="81"/>
      <c r="W4875" s="185"/>
      <c r="AE4875" s="185"/>
    </row>
    <row r="4876" spans="20:31" x14ac:dyDescent="0.25">
      <c r="T4876" s="81"/>
      <c r="W4876" s="185"/>
      <c r="AE4876" s="185"/>
    </row>
    <row r="4877" spans="20:31" x14ac:dyDescent="0.25">
      <c r="T4877" s="81"/>
      <c r="W4877" s="185"/>
      <c r="AE4877" s="185"/>
    </row>
    <row r="4878" spans="20:31" x14ac:dyDescent="0.25">
      <c r="T4878" s="81"/>
      <c r="W4878" s="185"/>
      <c r="AE4878" s="185"/>
    </row>
    <row r="4879" spans="20:31" x14ac:dyDescent="0.25">
      <c r="T4879" s="81"/>
      <c r="W4879" s="185"/>
      <c r="AE4879" s="185"/>
    </row>
    <row r="4880" spans="20:31" x14ac:dyDescent="0.25">
      <c r="T4880" s="81"/>
      <c r="W4880" s="185"/>
      <c r="AE4880" s="185"/>
    </row>
    <row r="4881" spans="20:31" x14ac:dyDescent="0.25">
      <c r="T4881" s="81"/>
      <c r="W4881" s="185"/>
      <c r="AE4881" s="185"/>
    </row>
    <row r="4882" spans="20:31" x14ac:dyDescent="0.25">
      <c r="T4882" s="81"/>
      <c r="W4882" s="185"/>
      <c r="AE4882" s="185"/>
    </row>
    <row r="4883" spans="20:31" x14ac:dyDescent="0.25">
      <c r="T4883" s="81"/>
      <c r="W4883" s="185"/>
      <c r="AE4883" s="185"/>
    </row>
    <row r="4884" spans="20:31" x14ac:dyDescent="0.25">
      <c r="T4884" s="81"/>
      <c r="W4884" s="185"/>
      <c r="AE4884" s="185"/>
    </row>
    <row r="4885" spans="20:31" x14ac:dyDescent="0.25">
      <c r="T4885" s="81"/>
      <c r="W4885" s="185"/>
      <c r="AE4885" s="185"/>
    </row>
    <row r="4886" spans="20:31" x14ac:dyDescent="0.25">
      <c r="T4886" s="81"/>
      <c r="W4886" s="185"/>
      <c r="AE4886" s="185"/>
    </row>
    <row r="4887" spans="20:31" x14ac:dyDescent="0.25">
      <c r="T4887" s="81"/>
      <c r="W4887" s="185"/>
      <c r="AE4887" s="185"/>
    </row>
    <row r="4888" spans="20:31" x14ac:dyDescent="0.25">
      <c r="T4888" s="81"/>
      <c r="W4888" s="185"/>
      <c r="AE4888" s="185"/>
    </row>
    <row r="4889" spans="20:31" x14ac:dyDescent="0.25">
      <c r="T4889" s="81"/>
      <c r="W4889" s="185"/>
      <c r="AE4889" s="185"/>
    </row>
    <row r="4890" spans="20:31" x14ac:dyDescent="0.25">
      <c r="T4890" s="81"/>
      <c r="W4890" s="185"/>
      <c r="AE4890" s="185"/>
    </row>
    <row r="4891" spans="20:31" x14ac:dyDescent="0.25">
      <c r="T4891" s="81"/>
      <c r="W4891" s="185"/>
      <c r="AE4891" s="185"/>
    </row>
    <row r="4892" spans="20:31" x14ac:dyDescent="0.25">
      <c r="T4892" s="81"/>
      <c r="W4892" s="185"/>
      <c r="AE4892" s="185"/>
    </row>
    <row r="4893" spans="20:31" x14ac:dyDescent="0.25">
      <c r="T4893" s="81"/>
      <c r="W4893" s="185"/>
      <c r="AE4893" s="185"/>
    </row>
    <row r="4894" spans="20:31" x14ac:dyDescent="0.25">
      <c r="T4894" s="81"/>
      <c r="W4894" s="185"/>
      <c r="AE4894" s="185"/>
    </row>
    <row r="4895" spans="20:31" x14ac:dyDescent="0.25">
      <c r="T4895" s="81"/>
      <c r="W4895" s="185"/>
      <c r="AE4895" s="185"/>
    </row>
    <row r="4896" spans="20:31" x14ac:dyDescent="0.25">
      <c r="T4896" s="81"/>
      <c r="W4896" s="185"/>
      <c r="AE4896" s="185"/>
    </row>
    <row r="4897" spans="20:31" x14ac:dyDescent="0.25">
      <c r="T4897" s="81"/>
      <c r="W4897" s="185"/>
      <c r="AE4897" s="185"/>
    </row>
    <row r="4898" spans="20:31" x14ac:dyDescent="0.25">
      <c r="T4898" s="81"/>
      <c r="W4898" s="185"/>
      <c r="AE4898" s="185"/>
    </row>
    <row r="4899" spans="20:31" x14ac:dyDescent="0.25">
      <c r="T4899" s="81"/>
      <c r="W4899" s="185"/>
      <c r="AE4899" s="185"/>
    </row>
    <row r="4900" spans="20:31" x14ac:dyDescent="0.25">
      <c r="T4900" s="81"/>
      <c r="W4900" s="185"/>
      <c r="AE4900" s="185"/>
    </row>
    <row r="4901" spans="20:31" x14ac:dyDescent="0.25">
      <c r="T4901" s="81"/>
      <c r="W4901" s="185"/>
      <c r="AE4901" s="185"/>
    </row>
    <row r="4902" spans="20:31" x14ac:dyDescent="0.25">
      <c r="T4902" s="81"/>
      <c r="W4902" s="185"/>
      <c r="AE4902" s="185"/>
    </row>
    <row r="4903" spans="20:31" x14ac:dyDescent="0.25">
      <c r="T4903" s="81"/>
      <c r="W4903" s="185"/>
      <c r="AE4903" s="185"/>
    </row>
    <row r="4904" spans="20:31" x14ac:dyDescent="0.25">
      <c r="T4904" s="81"/>
      <c r="W4904" s="185"/>
      <c r="AE4904" s="185"/>
    </row>
    <row r="4905" spans="20:31" x14ac:dyDescent="0.25">
      <c r="T4905" s="81"/>
      <c r="W4905" s="185"/>
      <c r="AE4905" s="185"/>
    </row>
    <row r="4906" spans="20:31" x14ac:dyDescent="0.25">
      <c r="T4906" s="81"/>
      <c r="W4906" s="185"/>
      <c r="AE4906" s="185"/>
    </row>
    <row r="4907" spans="20:31" x14ac:dyDescent="0.25">
      <c r="T4907" s="81"/>
      <c r="W4907" s="185"/>
      <c r="AE4907" s="185"/>
    </row>
    <row r="4908" spans="20:31" x14ac:dyDescent="0.25">
      <c r="T4908" s="81"/>
      <c r="W4908" s="185"/>
      <c r="AE4908" s="185"/>
    </row>
    <row r="4909" spans="20:31" x14ac:dyDescent="0.25">
      <c r="T4909" s="81"/>
      <c r="W4909" s="185"/>
      <c r="AE4909" s="185"/>
    </row>
    <row r="4910" spans="20:31" x14ac:dyDescent="0.25">
      <c r="T4910" s="81"/>
      <c r="W4910" s="185"/>
      <c r="AE4910" s="185"/>
    </row>
    <row r="4911" spans="20:31" x14ac:dyDescent="0.25">
      <c r="T4911" s="81"/>
      <c r="W4911" s="185"/>
      <c r="AE4911" s="185"/>
    </row>
    <row r="4912" spans="20:31" x14ac:dyDescent="0.25">
      <c r="T4912" s="81"/>
      <c r="W4912" s="185"/>
      <c r="AE4912" s="185"/>
    </row>
    <row r="4913" spans="20:31" x14ac:dyDescent="0.25">
      <c r="T4913" s="81"/>
      <c r="W4913" s="185"/>
      <c r="AE4913" s="185"/>
    </row>
    <row r="4914" spans="20:31" x14ac:dyDescent="0.25">
      <c r="T4914" s="81"/>
      <c r="W4914" s="185"/>
      <c r="AE4914" s="185"/>
    </row>
    <row r="4915" spans="20:31" x14ac:dyDescent="0.25">
      <c r="T4915" s="81"/>
      <c r="W4915" s="185"/>
      <c r="AE4915" s="185"/>
    </row>
    <row r="4916" spans="20:31" x14ac:dyDescent="0.25">
      <c r="T4916" s="81"/>
      <c r="W4916" s="185"/>
      <c r="AE4916" s="185"/>
    </row>
    <row r="4917" spans="20:31" x14ac:dyDescent="0.25">
      <c r="T4917" s="81"/>
      <c r="W4917" s="185"/>
      <c r="AE4917" s="185"/>
    </row>
    <row r="4918" spans="20:31" x14ac:dyDescent="0.25">
      <c r="T4918" s="81"/>
      <c r="W4918" s="185"/>
      <c r="AE4918" s="185"/>
    </row>
    <row r="4919" spans="20:31" x14ac:dyDescent="0.25">
      <c r="T4919" s="81"/>
      <c r="W4919" s="185"/>
      <c r="AE4919" s="185"/>
    </row>
    <row r="4920" spans="20:31" x14ac:dyDescent="0.25">
      <c r="T4920" s="81"/>
      <c r="W4920" s="185"/>
      <c r="AE4920" s="185"/>
    </row>
    <row r="4921" spans="20:31" x14ac:dyDescent="0.25">
      <c r="T4921" s="81"/>
      <c r="W4921" s="185"/>
      <c r="AE4921" s="185"/>
    </row>
    <row r="4922" spans="20:31" x14ac:dyDescent="0.25">
      <c r="T4922" s="81"/>
      <c r="W4922" s="185"/>
      <c r="AE4922" s="185"/>
    </row>
    <row r="4923" spans="20:31" x14ac:dyDescent="0.25">
      <c r="T4923" s="81"/>
      <c r="W4923" s="185"/>
      <c r="AE4923" s="185"/>
    </row>
    <row r="4924" spans="20:31" x14ac:dyDescent="0.25">
      <c r="T4924" s="81"/>
      <c r="W4924" s="185"/>
      <c r="AE4924" s="185"/>
    </row>
    <row r="4925" spans="20:31" x14ac:dyDescent="0.25">
      <c r="T4925" s="81"/>
      <c r="W4925" s="185"/>
      <c r="AE4925" s="185"/>
    </row>
    <row r="4926" spans="20:31" x14ac:dyDescent="0.25">
      <c r="T4926" s="81"/>
      <c r="W4926" s="185"/>
      <c r="AE4926" s="185"/>
    </row>
    <row r="4927" spans="20:31" x14ac:dyDescent="0.25">
      <c r="T4927" s="81"/>
      <c r="W4927" s="185"/>
      <c r="AE4927" s="185"/>
    </row>
    <row r="4928" spans="20:31" x14ac:dyDescent="0.25">
      <c r="T4928" s="81"/>
      <c r="W4928" s="185"/>
      <c r="AE4928" s="185"/>
    </row>
    <row r="4929" spans="20:31" x14ac:dyDescent="0.25">
      <c r="T4929" s="81"/>
      <c r="W4929" s="185"/>
      <c r="AE4929" s="185"/>
    </row>
    <row r="4930" spans="20:31" x14ac:dyDescent="0.25">
      <c r="T4930" s="81"/>
      <c r="W4930" s="185"/>
      <c r="AE4930" s="185"/>
    </row>
    <row r="4931" spans="20:31" x14ac:dyDescent="0.25">
      <c r="T4931" s="81"/>
      <c r="W4931" s="185"/>
      <c r="AE4931" s="185"/>
    </row>
    <row r="4932" spans="20:31" x14ac:dyDescent="0.25">
      <c r="T4932" s="81"/>
      <c r="W4932" s="185"/>
      <c r="AE4932" s="185"/>
    </row>
    <row r="4933" spans="20:31" x14ac:dyDescent="0.25">
      <c r="T4933" s="81"/>
      <c r="W4933" s="185"/>
      <c r="AE4933" s="185"/>
    </row>
    <row r="4934" spans="20:31" x14ac:dyDescent="0.25">
      <c r="T4934" s="81"/>
      <c r="W4934" s="185"/>
      <c r="AE4934" s="185"/>
    </row>
    <row r="4935" spans="20:31" x14ac:dyDescent="0.25">
      <c r="T4935" s="81"/>
      <c r="W4935" s="185"/>
      <c r="AE4935" s="185"/>
    </row>
    <row r="4936" spans="20:31" x14ac:dyDescent="0.25">
      <c r="T4936" s="81"/>
      <c r="W4936" s="185"/>
      <c r="AE4936" s="185"/>
    </row>
    <row r="4937" spans="20:31" x14ac:dyDescent="0.25">
      <c r="T4937" s="81"/>
      <c r="W4937" s="185"/>
      <c r="AE4937" s="185"/>
    </row>
    <row r="4938" spans="20:31" x14ac:dyDescent="0.25">
      <c r="T4938" s="81"/>
      <c r="W4938" s="185"/>
      <c r="AE4938" s="185"/>
    </row>
    <row r="4939" spans="20:31" x14ac:dyDescent="0.25">
      <c r="T4939" s="81"/>
      <c r="W4939" s="185"/>
      <c r="AE4939" s="185"/>
    </row>
    <row r="4940" spans="20:31" x14ac:dyDescent="0.25">
      <c r="T4940" s="81"/>
      <c r="W4940" s="185"/>
      <c r="AE4940" s="185"/>
    </row>
    <row r="4941" spans="20:31" x14ac:dyDescent="0.25">
      <c r="T4941" s="81"/>
      <c r="W4941" s="185"/>
      <c r="AE4941" s="185"/>
    </row>
    <row r="4942" spans="20:31" x14ac:dyDescent="0.25">
      <c r="T4942" s="81"/>
      <c r="W4942" s="185"/>
      <c r="AE4942" s="185"/>
    </row>
    <row r="4943" spans="20:31" x14ac:dyDescent="0.25">
      <c r="T4943" s="81"/>
      <c r="W4943" s="185"/>
      <c r="AE4943" s="185"/>
    </row>
    <row r="4944" spans="20:31" x14ac:dyDescent="0.25">
      <c r="T4944" s="81"/>
      <c r="W4944" s="185"/>
      <c r="AE4944" s="185"/>
    </row>
    <row r="4945" spans="20:31" x14ac:dyDescent="0.25">
      <c r="T4945" s="81"/>
      <c r="W4945" s="185"/>
      <c r="AE4945" s="185"/>
    </row>
    <row r="4946" spans="20:31" x14ac:dyDescent="0.25">
      <c r="T4946" s="81"/>
      <c r="W4946" s="185"/>
      <c r="AE4946" s="185"/>
    </row>
    <row r="4947" spans="20:31" x14ac:dyDescent="0.25">
      <c r="T4947" s="81"/>
      <c r="W4947" s="185"/>
      <c r="AE4947" s="185"/>
    </row>
    <row r="4948" spans="20:31" x14ac:dyDescent="0.25">
      <c r="T4948" s="81"/>
      <c r="W4948" s="185"/>
      <c r="AE4948" s="185"/>
    </row>
    <row r="4949" spans="20:31" x14ac:dyDescent="0.25">
      <c r="T4949" s="81"/>
      <c r="W4949" s="185"/>
      <c r="AE4949" s="185"/>
    </row>
    <row r="4950" spans="20:31" x14ac:dyDescent="0.25">
      <c r="T4950" s="81"/>
      <c r="W4950" s="185"/>
      <c r="AE4950" s="185"/>
    </row>
    <row r="4951" spans="20:31" x14ac:dyDescent="0.25">
      <c r="T4951" s="81"/>
      <c r="W4951" s="185"/>
      <c r="AE4951" s="185"/>
    </row>
    <row r="4952" spans="20:31" x14ac:dyDescent="0.25">
      <c r="T4952" s="81"/>
      <c r="W4952" s="185"/>
      <c r="AE4952" s="185"/>
    </row>
    <row r="4953" spans="20:31" x14ac:dyDescent="0.25">
      <c r="T4953" s="81"/>
      <c r="W4953" s="185"/>
      <c r="AE4953" s="185"/>
    </row>
    <row r="4954" spans="20:31" x14ac:dyDescent="0.25">
      <c r="T4954" s="81"/>
      <c r="W4954" s="185"/>
      <c r="AE4954" s="185"/>
    </row>
    <row r="4955" spans="20:31" x14ac:dyDescent="0.25">
      <c r="T4955" s="81"/>
      <c r="W4955" s="185"/>
      <c r="AE4955" s="185"/>
    </row>
    <row r="4956" spans="20:31" x14ac:dyDescent="0.25">
      <c r="T4956" s="81"/>
      <c r="W4956" s="185"/>
      <c r="AE4956" s="185"/>
    </row>
    <row r="4957" spans="20:31" x14ac:dyDescent="0.25">
      <c r="T4957" s="81"/>
      <c r="W4957" s="185"/>
      <c r="AE4957" s="185"/>
    </row>
    <row r="4958" spans="20:31" x14ac:dyDescent="0.25">
      <c r="T4958" s="81"/>
      <c r="W4958" s="185"/>
      <c r="AE4958" s="185"/>
    </row>
    <row r="4959" spans="20:31" x14ac:dyDescent="0.25">
      <c r="T4959" s="81"/>
      <c r="W4959" s="185"/>
      <c r="AE4959" s="185"/>
    </row>
    <row r="4960" spans="20:31" x14ac:dyDescent="0.25">
      <c r="T4960" s="81"/>
      <c r="W4960" s="185"/>
      <c r="AE4960" s="185"/>
    </row>
    <row r="4961" spans="20:31" x14ac:dyDescent="0.25">
      <c r="T4961" s="81"/>
      <c r="W4961" s="185"/>
      <c r="AE4961" s="185"/>
    </row>
    <row r="4962" spans="20:31" x14ac:dyDescent="0.25">
      <c r="T4962" s="81"/>
      <c r="W4962" s="185"/>
      <c r="AE4962" s="185"/>
    </row>
    <row r="4963" spans="20:31" x14ac:dyDescent="0.25">
      <c r="T4963" s="81"/>
      <c r="W4963" s="185"/>
      <c r="AE4963" s="185"/>
    </row>
    <row r="4964" spans="20:31" x14ac:dyDescent="0.25">
      <c r="T4964" s="81"/>
      <c r="W4964" s="185"/>
      <c r="AE4964" s="185"/>
    </row>
    <row r="4965" spans="20:31" x14ac:dyDescent="0.25">
      <c r="T4965" s="81"/>
      <c r="W4965" s="185"/>
      <c r="AE4965" s="185"/>
    </row>
    <row r="4966" spans="20:31" x14ac:dyDescent="0.25">
      <c r="T4966" s="81"/>
      <c r="W4966" s="185"/>
      <c r="AE4966" s="185"/>
    </row>
    <row r="4967" spans="20:31" x14ac:dyDescent="0.25">
      <c r="T4967" s="81"/>
      <c r="W4967" s="185"/>
      <c r="AE4967" s="185"/>
    </row>
    <row r="4968" spans="20:31" x14ac:dyDescent="0.25">
      <c r="T4968" s="81"/>
      <c r="W4968" s="185"/>
      <c r="AE4968" s="185"/>
    </row>
    <row r="4969" spans="20:31" x14ac:dyDescent="0.25">
      <c r="T4969" s="81"/>
      <c r="W4969" s="185"/>
      <c r="AE4969" s="185"/>
    </row>
    <row r="4970" spans="20:31" x14ac:dyDescent="0.25">
      <c r="T4970" s="81"/>
      <c r="W4970" s="185"/>
      <c r="AE4970" s="185"/>
    </row>
    <row r="4971" spans="20:31" x14ac:dyDescent="0.25">
      <c r="T4971" s="81"/>
      <c r="W4971" s="185"/>
      <c r="AE4971" s="185"/>
    </row>
    <row r="4972" spans="20:31" x14ac:dyDescent="0.25">
      <c r="T4972" s="81"/>
      <c r="W4972" s="185"/>
      <c r="AE4972" s="185"/>
    </row>
    <row r="4973" spans="20:31" x14ac:dyDescent="0.25">
      <c r="T4973" s="81"/>
      <c r="W4973" s="185"/>
      <c r="AE4973" s="185"/>
    </row>
    <row r="4974" spans="20:31" x14ac:dyDescent="0.25">
      <c r="T4974" s="81"/>
      <c r="W4974" s="185"/>
      <c r="AE4974" s="185"/>
    </row>
    <row r="4975" spans="20:31" x14ac:dyDescent="0.25">
      <c r="T4975" s="81"/>
      <c r="W4975" s="185"/>
      <c r="AE4975" s="185"/>
    </row>
    <row r="4976" spans="20:31" x14ac:dyDescent="0.25">
      <c r="T4976" s="81"/>
      <c r="W4976" s="185"/>
      <c r="AE4976" s="185"/>
    </row>
    <row r="4977" spans="20:31" x14ac:dyDescent="0.25">
      <c r="T4977" s="81"/>
      <c r="W4977" s="185"/>
      <c r="AE4977" s="185"/>
    </row>
    <row r="4978" spans="20:31" x14ac:dyDescent="0.25">
      <c r="T4978" s="81"/>
      <c r="W4978" s="185"/>
      <c r="AE4978" s="185"/>
    </row>
    <row r="4979" spans="20:31" x14ac:dyDescent="0.25">
      <c r="T4979" s="81"/>
      <c r="W4979" s="185"/>
      <c r="AE4979" s="185"/>
    </row>
    <row r="4980" spans="20:31" x14ac:dyDescent="0.25">
      <c r="T4980" s="81"/>
      <c r="W4980" s="185"/>
      <c r="AE4980" s="185"/>
    </row>
    <row r="4981" spans="20:31" x14ac:dyDescent="0.25">
      <c r="T4981" s="81"/>
      <c r="W4981" s="185"/>
      <c r="AE4981" s="185"/>
    </row>
    <row r="4982" spans="20:31" x14ac:dyDescent="0.25">
      <c r="T4982" s="81"/>
      <c r="W4982" s="185"/>
      <c r="AE4982" s="185"/>
    </row>
    <row r="4983" spans="20:31" x14ac:dyDescent="0.25">
      <c r="T4983" s="81"/>
      <c r="W4983" s="185"/>
      <c r="AE4983" s="185"/>
    </row>
    <row r="4984" spans="20:31" x14ac:dyDescent="0.25">
      <c r="T4984" s="81"/>
      <c r="W4984" s="185"/>
      <c r="AE4984" s="185"/>
    </row>
    <row r="4985" spans="20:31" x14ac:dyDescent="0.25">
      <c r="T4985" s="81"/>
      <c r="W4985" s="185"/>
      <c r="AE4985" s="185"/>
    </row>
    <row r="4986" spans="20:31" x14ac:dyDescent="0.25">
      <c r="T4986" s="81"/>
      <c r="W4986" s="185"/>
      <c r="AE4986" s="185"/>
    </row>
    <row r="4987" spans="20:31" x14ac:dyDescent="0.25">
      <c r="T4987" s="81"/>
      <c r="W4987" s="185"/>
      <c r="AE4987" s="185"/>
    </row>
    <row r="4988" spans="20:31" x14ac:dyDescent="0.25">
      <c r="T4988" s="81"/>
      <c r="W4988" s="185"/>
      <c r="AE4988" s="185"/>
    </row>
    <row r="4989" spans="20:31" x14ac:dyDescent="0.25">
      <c r="T4989" s="81"/>
      <c r="W4989" s="185"/>
      <c r="AE4989" s="185"/>
    </row>
    <row r="4990" spans="20:31" x14ac:dyDescent="0.25">
      <c r="T4990" s="81"/>
      <c r="W4990" s="185"/>
      <c r="AE4990" s="185"/>
    </row>
    <row r="4991" spans="20:31" x14ac:dyDescent="0.25">
      <c r="T4991" s="81"/>
      <c r="W4991" s="185"/>
      <c r="AE4991" s="185"/>
    </row>
    <row r="4992" spans="20:31" x14ac:dyDescent="0.25">
      <c r="T4992" s="81"/>
      <c r="W4992" s="185"/>
      <c r="AE4992" s="185"/>
    </row>
    <row r="4993" spans="20:31" x14ac:dyDescent="0.25">
      <c r="T4993" s="81"/>
      <c r="W4993" s="185"/>
      <c r="AE4993" s="185"/>
    </row>
    <row r="4994" spans="20:31" x14ac:dyDescent="0.25">
      <c r="T4994" s="81"/>
      <c r="W4994" s="185"/>
      <c r="AE4994" s="185"/>
    </row>
    <row r="4995" spans="20:31" x14ac:dyDescent="0.25">
      <c r="T4995" s="81"/>
      <c r="W4995" s="185"/>
      <c r="AE4995" s="185"/>
    </row>
    <row r="4996" spans="20:31" x14ac:dyDescent="0.25">
      <c r="T4996" s="81"/>
      <c r="W4996" s="185"/>
      <c r="AE4996" s="185"/>
    </row>
    <row r="4997" spans="20:31" x14ac:dyDescent="0.25">
      <c r="T4997" s="81"/>
      <c r="W4997" s="185"/>
      <c r="AE4997" s="185"/>
    </row>
    <row r="4998" spans="20:31" x14ac:dyDescent="0.25">
      <c r="T4998" s="81"/>
      <c r="W4998" s="185"/>
      <c r="AE4998" s="185"/>
    </row>
    <row r="4999" spans="20:31" x14ac:dyDescent="0.25">
      <c r="T4999" s="81"/>
      <c r="W4999" s="185"/>
      <c r="AE4999" s="185"/>
    </row>
    <row r="5000" spans="20:31" x14ac:dyDescent="0.25">
      <c r="T5000" s="81"/>
      <c r="W5000" s="185"/>
      <c r="AE5000" s="185"/>
    </row>
    <row r="5001" spans="20:31" x14ac:dyDescent="0.25">
      <c r="T5001" s="81"/>
      <c r="W5001" s="185"/>
      <c r="AE5001" s="185"/>
    </row>
    <row r="5002" spans="20:31" x14ac:dyDescent="0.25">
      <c r="T5002" s="81"/>
      <c r="W5002" s="185"/>
      <c r="AE5002" s="185"/>
    </row>
    <row r="5003" spans="20:31" x14ac:dyDescent="0.25">
      <c r="T5003" s="81"/>
      <c r="W5003" s="185"/>
      <c r="AE5003" s="185"/>
    </row>
    <row r="5004" spans="20:31" x14ac:dyDescent="0.25">
      <c r="T5004" s="81"/>
      <c r="W5004" s="185"/>
      <c r="AE5004" s="185"/>
    </row>
    <row r="5005" spans="20:31" x14ac:dyDescent="0.25">
      <c r="T5005" s="81"/>
      <c r="W5005" s="185"/>
      <c r="AE5005" s="185"/>
    </row>
    <row r="5006" spans="20:31" x14ac:dyDescent="0.25">
      <c r="T5006" s="81"/>
      <c r="W5006" s="185"/>
      <c r="AE5006" s="185"/>
    </row>
    <row r="5007" spans="20:31" x14ac:dyDescent="0.25">
      <c r="T5007" s="81"/>
      <c r="W5007" s="185"/>
      <c r="AE5007" s="185"/>
    </row>
    <row r="5008" spans="20:31" x14ac:dyDescent="0.25">
      <c r="T5008" s="81"/>
      <c r="W5008" s="185"/>
      <c r="AE5008" s="185"/>
    </row>
    <row r="5009" spans="20:31" x14ac:dyDescent="0.25">
      <c r="T5009" s="81"/>
      <c r="W5009" s="185"/>
      <c r="AE5009" s="185"/>
    </row>
    <row r="5010" spans="20:31" x14ac:dyDescent="0.25">
      <c r="T5010" s="81"/>
      <c r="W5010" s="185"/>
      <c r="AE5010" s="185"/>
    </row>
    <row r="5011" spans="20:31" x14ac:dyDescent="0.25">
      <c r="T5011" s="81"/>
      <c r="W5011" s="185"/>
      <c r="AE5011" s="185"/>
    </row>
    <row r="5012" spans="20:31" x14ac:dyDescent="0.25">
      <c r="T5012" s="81"/>
      <c r="W5012" s="185"/>
      <c r="AE5012" s="185"/>
    </row>
    <row r="5013" spans="20:31" x14ac:dyDescent="0.25">
      <c r="T5013" s="81"/>
      <c r="W5013" s="185"/>
      <c r="AE5013" s="185"/>
    </row>
    <row r="5014" spans="20:31" x14ac:dyDescent="0.25">
      <c r="T5014" s="81"/>
      <c r="W5014" s="185"/>
      <c r="AE5014" s="185"/>
    </row>
    <row r="5015" spans="20:31" x14ac:dyDescent="0.25">
      <c r="T5015" s="81"/>
      <c r="W5015" s="185"/>
      <c r="AE5015" s="185"/>
    </row>
    <row r="5016" spans="20:31" x14ac:dyDescent="0.25">
      <c r="T5016" s="81"/>
      <c r="W5016" s="185"/>
      <c r="AE5016" s="185"/>
    </row>
    <row r="5017" spans="20:31" x14ac:dyDescent="0.25">
      <c r="T5017" s="81"/>
      <c r="W5017" s="185"/>
      <c r="AE5017" s="185"/>
    </row>
    <row r="5018" spans="20:31" x14ac:dyDescent="0.25">
      <c r="T5018" s="81"/>
      <c r="W5018" s="185"/>
      <c r="AE5018" s="185"/>
    </row>
    <row r="5019" spans="20:31" x14ac:dyDescent="0.25">
      <c r="T5019" s="81"/>
      <c r="W5019" s="185"/>
      <c r="AE5019" s="185"/>
    </row>
    <row r="5020" spans="20:31" x14ac:dyDescent="0.25">
      <c r="T5020" s="81"/>
      <c r="W5020" s="185"/>
      <c r="AE5020" s="185"/>
    </row>
    <row r="5021" spans="20:31" x14ac:dyDescent="0.25">
      <c r="T5021" s="81"/>
      <c r="W5021" s="185"/>
      <c r="AE5021" s="185"/>
    </row>
    <row r="5022" spans="20:31" x14ac:dyDescent="0.25">
      <c r="T5022" s="81"/>
      <c r="W5022" s="185"/>
      <c r="AE5022" s="185"/>
    </row>
    <row r="5023" spans="20:31" x14ac:dyDescent="0.25">
      <c r="T5023" s="81"/>
      <c r="W5023" s="185"/>
      <c r="AE5023" s="185"/>
    </row>
    <row r="5024" spans="20:31" x14ac:dyDescent="0.25">
      <c r="T5024" s="81"/>
      <c r="W5024" s="185"/>
      <c r="AE5024" s="185"/>
    </row>
    <row r="5025" spans="20:31" x14ac:dyDescent="0.25">
      <c r="T5025" s="81"/>
      <c r="W5025" s="185"/>
      <c r="AE5025" s="185"/>
    </row>
    <row r="5026" spans="20:31" x14ac:dyDescent="0.25">
      <c r="T5026" s="81"/>
      <c r="W5026" s="185"/>
      <c r="AE5026" s="185"/>
    </row>
    <row r="5027" spans="20:31" x14ac:dyDescent="0.25">
      <c r="T5027" s="81"/>
      <c r="W5027" s="185"/>
      <c r="AE5027" s="185"/>
    </row>
    <row r="5028" spans="20:31" x14ac:dyDescent="0.25">
      <c r="T5028" s="81"/>
      <c r="W5028" s="185"/>
      <c r="AE5028" s="185"/>
    </row>
    <row r="5029" spans="20:31" x14ac:dyDescent="0.25">
      <c r="T5029" s="81"/>
      <c r="W5029" s="185"/>
      <c r="AE5029" s="185"/>
    </row>
    <row r="5030" spans="20:31" x14ac:dyDescent="0.25">
      <c r="T5030" s="81"/>
      <c r="W5030" s="185"/>
      <c r="AE5030" s="185"/>
    </row>
    <row r="5031" spans="20:31" x14ac:dyDescent="0.25">
      <c r="T5031" s="81"/>
      <c r="W5031" s="185"/>
      <c r="AE5031" s="185"/>
    </row>
    <row r="5032" spans="20:31" x14ac:dyDescent="0.25">
      <c r="T5032" s="81"/>
      <c r="W5032" s="185"/>
      <c r="AE5032" s="185"/>
    </row>
    <row r="5033" spans="20:31" x14ac:dyDescent="0.25">
      <c r="T5033" s="81"/>
      <c r="W5033" s="185"/>
      <c r="AE5033" s="185"/>
    </row>
    <row r="5034" spans="20:31" x14ac:dyDescent="0.25">
      <c r="T5034" s="81"/>
      <c r="W5034" s="185"/>
      <c r="AE5034" s="185"/>
    </row>
    <row r="5035" spans="20:31" x14ac:dyDescent="0.25">
      <c r="T5035" s="81"/>
      <c r="W5035" s="185"/>
      <c r="AE5035" s="185"/>
    </row>
    <row r="5036" spans="20:31" x14ac:dyDescent="0.25">
      <c r="T5036" s="81"/>
      <c r="W5036" s="185"/>
      <c r="AE5036" s="185"/>
    </row>
    <row r="5037" spans="20:31" x14ac:dyDescent="0.25">
      <c r="T5037" s="81"/>
      <c r="W5037" s="185"/>
      <c r="AE5037" s="185"/>
    </row>
    <row r="5038" spans="20:31" x14ac:dyDescent="0.25">
      <c r="T5038" s="81"/>
      <c r="W5038" s="185"/>
      <c r="AE5038" s="185"/>
    </row>
    <row r="5039" spans="20:31" x14ac:dyDescent="0.25">
      <c r="T5039" s="81"/>
      <c r="W5039" s="185"/>
      <c r="AE5039" s="185"/>
    </row>
    <row r="5040" spans="20:31" x14ac:dyDescent="0.25">
      <c r="T5040" s="81"/>
      <c r="W5040" s="185"/>
      <c r="AE5040" s="185"/>
    </row>
    <row r="5041" spans="20:31" x14ac:dyDescent="0.25">
      <c r="T5041" s="81"/>
      <c r="W5041" s="185"/>
      <c r="AE5041" s="185"/>
    </row>
    <row r="5042" spans="20:31" x14ac:dyDescent="0.25">
      <c r="T5042" s="81"/>
      <c r="W5042" s="185"/>
      <c r="AE5042" s="185"/>
    </row>
    <row r="5043" spans="20:31" x14ac:dyDescent="0.25">
      <c r="T5043" s="81"/>
      <c r="W5043" s="185"/>
      <c r="AE5043" s="185"/>
    </row>
    <row r="5044" spans="20:31" x14ac:dyDescent="0.25">
      <c r="T5044" s="81"/>
      <c r="W5044" s="185"/>
      <c r="AE5044" s="185"/>
    </row>
    <row r="5045" spans="20:31" x14ac:dyDescent="0.25">
      <c r="T5045" s="81"/>
      <c r="W5045" s="185"/>
      <c r="AE5045" s="185"/>
    </row>
    <row r="5046" spans="20:31" x14ac:dyDescent="0.25">
      <c r="T5046" s="81"/>
      <c r="W5046" s="185"/>
      <c r="AE5046" s="185"/>
    </row>
    <row r="5047" spans="20:31" x14ac:dyDescent="0.25">
      <c r="T5047" s="81"/>
      <c r="W5047" s="185"/>
      <c r="AE5047" s="185"/>
    </row>
    <row r="5048" spans="20:31" x14ac:dyDescent="0.25">
      <c r="T5048" s="81"/>
      <c r="W5048" s="185"/>
      <c r="AE5048" s="185"/>
    </row>
    <row r="5049" spans="20:31" x14ac:dyDescent="0.25">
      <c r="T5049" s="81"/>
      <c r="W5049" s="185"/>
      <c r="AE5049" s="185"/>
    </row>
    <row r="5050" spans="20:31" x14ac:dyDescent="0.25">
      <c r="T5050" s="81"/>
      <c r="W5050" s="185"/>
      <c r="AE5050" s="185"/>
    </row>
    <row r="5051" spans="20:31" x14ac:dyDescent="0.25">
      <c r="T5051" s="81"/>
      <c r="W5051" s="185"/>
      <c r="AE5051" s="185"/>
    </row>
    <row r="5052" spans="20:31" x14ac:dyDescent="0.25">
      <c r="T5052" s="81"/>
      <c r="W5052" s="185"/>
      <c r="AE5052" s="185"/>
    </row>
    <row r="5053" spans="20:31" x14ac:dyDescent="0.25">
      <c r="T5053" s="81"/>
      <c r="W5053" s="185"/>
      <c r="AE5053" s="185"/>
    </row>
    <row r="5054" spans="20:31" x14ac:dyDescent="0.25">
      <c r="T5054" s="81"/>
      <c r="W5054" s="185"/>
      <c r="AE5054" s="185"/>
    </row>
    <row r="5055" spans="20:31" x14ac:dyDescent="0.25">
      <c r="T5055" s="81"/>
      <c r="W5055" s="185"/>
      <c r="AE5055" s="185"/>
    </row>
    <row r="5056" spans="20:31" x14ac:dyDescent="0.25">
      <c r="T5056" s="81"/>
      <c r="W5056" s="185"/>
      <c r="AE5056" s="185"/>
    </row>
    <row r="5057" spans="20:31" x14ac:dyDescent="0.25">
      <c r="T5057" s="81"/>
      <c r="W5057" s="185"/>
      <c r="AE5057" s="185"/>
    </row>
    <row r="5058" spans="20:31" x14ac:dyDescent="0.25">
      <c r="T5058" s="81"/>
      <c r="W5058" s="185"/>
      <c r="AE5058" s="185"/>
    </row>
    <row r="5059" spans="20:31" x14ac:dyDescent="0.25">
      <c r="T5059" s="81"/>
      <c r="W5059" s="185"/>
      <c r="AE5059" s="185"/>
    </row>
    <row r="5060" spans="20:31" x14ac:dyDescent="0.25">
      <c r="T5060" s="81"/>
      <c r="W5060" s="185"/>
      <c r="AE5060" s="185"/>
    </row>
    <row r="5061" spans="20:31" x14ac:dyDescent="0.25">
      <c r="T5061" s="81"/>
      <c r="W5061" s="185"/>
      <c r="AE5061" s="185"/>
    </row>
    <row r="5062" spans="20:31" x14ac:dyDescent="0.25">
      <c r="T5062" s="81"/>
      <c r="W5062" s="185"/>
      <c r="AE5062" s="185"/>
    </row>
    <row r="5063" spans="20:31" x14ac:dyDescent="0.25">
      <c r="T5063" s="81"/>
      <c r="W5063" s="185"/>
      <c r="AE5063" s="185"/>
    </row>
    <row r="5064" spans="20:31" x14ac:dyDescent="0.25">
      <c r="T5064" s="81"/>
      <c r="W5064" s="185"/>
      <c r="AE5064" s="185"/>
    </row>
    <row r="5065" spans="20:31" x14ac:dyDescent="0.25">
      <c r="T5065" s="81"/>
      <c r="W5065" s="185"/>
      <c r="AE5065" s="185"/>
    </row>
    <row r="5066" spans="20:31" x14ac:dyDescent="0.25">
      <c r="T5066" s="81"/>
      <c r="W5066" s="185"/>
      <c r="AE5066" s="185"/>
    </row>
    <row r="5067" spans="20:31" x14ac:dyDescent="0.25">
      <c r="T5067" s="81"/>
      <c r="W5067" s="185"/>
      <c r="AE5067" s="185"/>
    </row>
    <row r="5068" spans="20:31" x14ac:dyDescent="0.25">
      <c r="T5068" s="81"/>
      <c r="W5068" s="185"/>
      <c r="AE5068" s="185"/>
    </row>
    <row r="5069" spans="20:31" x14ac:dyDescent="0.25">
      <c r="T5069" s="81"/>
      <c r="W5069" s="185"/>
      <c r="AE5069" s="185"/>
    </row>
    <row r="5070" spans="20:31" x14ac:dyDescent="0.25">
      <c r="T5070" s="81"/>
      <c r="W5070" s="185"/>
      <c r="AE5070" s="185"/>
    </row>
    <row r="5071" spans="20:31" x14ac:dyDescent="0.25">
      <c r="T5071" s="81"/>
      <c r="W5071" s="185"/>
      <c r="AE5071" s="185"/>
    </row>
    <row r="5072" spans="20:31" x14ac:dyDescent="0.25">
      <c r="T5072" s="81"/>
      <c r="W5072" s="185"/>
      <c r="AE5072" s="185"/>
    </row>
    <row r="5073" spans="20:31" x14ac:dyDescent="0.25">
      <c r="T5073" s="81"/>
      <c r="W5073" s="185"/>
      <c r="AE5073" s="185"/>
    </row>
    <row r="5074" spans="20:31" x14ac:dyDescent="0.25">
      <c r="T5074" s="81"/>
      <c r="W5074" s="185"/>
      <c r="AE5074" s="185"/>
    </row>
    <row r="5075" spans="20:31" x14ac:dyDescent="0.25">
      <c r="T5075" s="81"/>
      <c r="W5075" s="185"/>
      <c r="AE5075" s="185"/>
    </row>
    <row r="5076" spans="20:31" x14ac:dyDescent="0.25">
      <c r="T5076" s="81"/>
      <c r="W5076" s="185"/>
      <c r="AE5076" s="185"/>
    </row>
    <row r="5077" spans="20:31" x14ac:dyDescent="0.25">
      <c r="T5077" s="81"/>
      <c r="W5077" s="185"/>
      <c r="AE5077" s="185"/>
    </row>
    <row r="5078" spans="20:31" x14ac:dyDescent="0.25">
      <c r="T5078" s="81"/>
      <c r="W5078" s="185"/>
      <c r="AE5078" s="185"/>
    </row>
    <row r="5079" spans="20:31" x14ac:dyDescent="0.25">
      <c r="T5079" s="81"/>
      <c r="W5079" s="185"/>
      <c r="AE5079" s="185"/>
    </row>
    <row r="5080" spans="20:31" x14ac:dyDescent="0.25">
      <c r="T5080" s="81"/>
      <c r="W5080" s="185"/>
      <c r="AE5080" s="185"/>
    </row>
    <row r="5081" spans="20:31" x14ac:dyDescent="0.25">
      <c r="T5081" s="81"/>
      <c r="W5081" s="185"/>
      <c r="AE5081" s="185"/>
    </row>
    <row r="5082" spans="20:31" x14ac:dyDescent="0.25">
      <c r="T5082" s="81"/>
      <c r="W5082" s="185"/>
      <c r="AE5082" s="185"/>
    </row>
    <row r="5083" spans="20:31" x14ac:dyDescent="0.25">
      <c r="T5083" s="81"/>
      <c r="W5083" s="185"/>
      <c r="AE5083" s="185"/>
    </row>
    <row r="5084" spans="20:31" x14ac:dyDescent="0.25">
      <c r="T5084" s="81"/>
      <c r="W5084" s="185"/>
      <c r="AE5084" s="185"/>
    </row>
    <row r="5085" spans="20:31" x14ac:dyDescent="0.25">
      <c r="T5085" s="81"/>
      <c r="W5085" s="185"/>
      <c r="AE5085" s="185"/>
    </row>
    <row r="5086" spans="20:31" x14ac:dyDescent="0.25">
      <c r="T5086" s="81"/>
      <c r="W5086" s="185"/>
      <c r="AE5086" s="185"/>
    </row>
    <row r="5087" spans="20:31" x14ac:dyDescent="0.25">
      <c r="T5087" s="81"/>
      <c r="W5087" s="185"/>
      <c r="AE5087" s="185"/>
    </row>
    <row r="5088" spans="20:31" x14ac:dyDescent="0.25">
      <c r="T5088" s="81"/>
      <c r="W5088" s="185"/>
      <c r="AE5088" s="185"/>
    </row>
    <row r="5089" spans="20:31" x14ac:dyDescent="0.25">
      <c r="T5089" s="81"/>
      <c r="W5089" s="185"/>
      <c r="AE5089" s="185"/>
    </row>
    <row r="5090" spans="20:31" x14ac:dyDescent="0.25">
      <c r="T5090" s="81"/>
      <c r="W5090" s="185"/>
      <c r="AE5090" s="185"/>
    </row>
    <row r="5091" spans="20:31" x14ac:dyDescent="0.25">
      <c r="T5091" s="81"/>
      <c r="W5091" s="185"/>
      <c r="AE5091" s="185"/>
    </row>
    <row r="5092" spans="20:31" x14ac:dyDescent="0.25">
      <c r="T5092" s="81"/>
      <c r="W5092" s="185"/>
      <c r="AE5092" s="185"/>
    </row>
    <row r="5093" spans="20:31" x14ac:dyDescent="0.25">
      <c r="T5093" s="81"/>
      <c r="W5093" s="185"/>
      <c r="AE5093" s="185"/>
    </row>
    <row r="5094" spans="20:31" x14ac:dyDescent="0.25">
      <c r="T5094" s="81"/>
      <c r="W5094" s="185"/>
      <c r="AE5094" s="185"/>
    </row>
    <row r="5095" spans="20:31" x14ac:dyDescent="0.25">
      <c r="T5095" s="81"/>
      <c r="W5095" s="185"/>
      <c r="AE5095" s="185"/>
    </row>
    <row r="5096" spans="20:31" x14ac:dyDescent="0.25">
      <c r="T5096" s="81"/>
      <c r="W5096" s="185"/>
      <c r="AE5096" s="185"/>
    </row>
    <row r="5097" spans="20:31" x14ac:dyDescent="0.25">
      <c r="T5097" s="81"/>
      <c r="W5097" s="185"/>
      <c r="AE5097" s="185"/>
    </row>
    <row r="5098" spans="20:31" x14ac:dyDescent="0.25">
      <c r="T5098" s="81"/>
      <c r="W5098" s="185"/>
      <c r="AE5098" s="185"/>
    </row>
    <row r="5099" spans="20:31" x14ac:dyDescent="0.25">
      <c r="T5099" s="81"/>
      <c r="W5099" s="185"/>
      <c r="AE5099" s="185"/>
    </row>
    <row r="5100" spans="20:31" x14ac:dyDescent="0.25">
      <c r="T5100" s="81"/>
      <c r="W5100" s="185"/>
      <c r="AE5100" s="185"/>
    </row>
    <row r="5101" spans="20:31" x14ac:dyDescent="0.25">
      <c r="T5101" s="81"/>
      <c r="W5101" s="185"/>
      <c r="AE5101" s="185"/>
    </row>
    <row r="5102" spans="20:31" x14ac:dyDescent="0.25">
      <c r="T5102" s="81"/>
      <c r="W5102" s="185"/>
      <c r="AE5102" s="185"/>
    </row>
    <row r="5103" spans="20:31" x14ac:dyDescent="0.25">
      <c r="T5103" s="81"/>
      <c r="W5103" s="185"/>
      <c r="AE5103" s="185"/>
    </row>
    <row r="5104" spans="20:31" x14ac:dyDescent="0.25">
      <c r="T5104" s="81"/>
      <c r="W5104" s="185"/>
      <c r="AE5104" s="185"/>
    </row>
    <row r="5105" spans="20:31" x14ac:dyDescent="0.25">
      <c r="T5105" s="81"/>
      <c r="W5105" s="185"/>
      <c r="AE5105" s="185"/>
    </row>
    <row r="5106" spans="20:31" x14ac:dyDescent="0.25">
      <c r="T5106" s="81"/>
      <c r="W5106" s="185"/>
      <c r="AE5106" s="185"/>
    </row>
    <row r="5107" spans="20:31" x14ac:dyDescent="0.25">
      <c r="T5107" s="81"/>
      <c r="W5107" s="185"/>
      <c r="AE5107" s="185"/>
    </row>
    <row r="5108" spans="20:31" x14ac:dyDescent="0.25">
      <c r="T5108" s="81"/>
      <c r="W5108" s="185"/>
      <c r="AE5108" s="185"/>
    </row>
    <row r="5109" spans="20:31" x14ac:dyDescent="0.25">
      <c r="T5109" s="81"/>
      <c r="W5109" s="185"/>
      <c r="AE5109" s="185"/>
    </row>
    <row r="5110" spans="20:31" x14ac:dyDescent="0.25">
      <c r="T5110" s="81"/>
      <c r="W5110" s="185"/>
      <c r="AE5110" s="185"/>
    </row>
    <row r="5111" spans="20:31" x14ac:dyDescent="0.25">
      <c r="T5111" s="81"/>
      <c r="W5111" s="185"/>
      <c r="AE5111" s="185"/>
    </row>
    <row r="5112" spans="20:31" x14ac:dyDescent="0.25">
      <c r="T5112" s="81"/>
      <c r="W5112" s="185"/>
      <c r="AE5112" s="185"/>
    </row>
    <row r="5113" spans="20:31" x14ac:dyDescent="0.25">
      <c r="T5113" s="81"/>
      <c r="W5113" s="185"/>
      <c r="AE5113" s="185"/>
    </row>
    <row r="5114" spans="20:31" x14ac:dyDescent="0.25">
      <c r="T5114" s="81"/>
      <c r="W5114" s="185"/>
      <c r="AE5114" s="185"/>
    </row>
    <row r="5115" spans="20:31" x14ac:dyDescent="0.25">
      <c r="T5115" s="81"/>
      <c r="W5115" s="185"/>
      <c r="AE5115" s="185"/>
    </row>
    <row r="5116" spans="20:31" x14ac:dyDescent="0.25">
      <c r="T5116" s="81"/>
      <c r="W5116" s="185"/>
      <c r="AE5116" s="185"/>
    </row>
    <row r="5117" spans="20:31" x14ac:dyDescent="0.25">
      <c r="T5117" s="81"/>
      <c r="W5117" s="185"/>
      <c r="AE5117" s="185"/>
    </row>
    <row r="5118" spans="20:31" x14ac:dyDescent="0.25">
      <c r="T5118" s="81"/>
      <c r="W5118" s="185"/>
      <c r="AE5118" s="185"/>
    </row>
    <row r="5119" spans="20:31" x14ac:dyDescent="0.25">
      <c r="T5119" s="81"/>
      <c r="W5119" s="185"/>
      <c r="AE5119" s="185"/>
    </row>
    <row r="5120" spans="20:31" x14ac:dyDescent="0.25">
      <c r="T5120" s="81"/>
      <c r="W5120" s="185"/>
      <c r="AE5120" s="185"/>
    </row>
    <row r="5121" spans="20:31" x14ac:dyDescent="0.25">
      <c r="T5121" s="81"/>
      <c r="W5121" s="185"/>
      <c r="AE5121" s="185"/>
    </row>
    <row r="5122" spans="20:31" x14ac:dyDescent="0.25">
      <c r="T5122" s="81"/>
      <c r="W5122" s="185"/>
      <c r="AE5122" s="185"/>
    </row>
    <row r="5123" spans="20:31" x14ac:dyDescent="0.25">
      <c r="T5123" s="81"/>
      <c r="W5123" s="185"/>
      <c r="AE5123" s="185"/>
    </row>
    <row r="5124" spans="20:31" x14ac:dyDescent="0.25">
      <c r="T5124" s="81"/>
      <c r="W5124" s="185"/>
      <c r="AE5124" s="185"/>
    </row>
    <row r="5125" spans="20:31" x14ac:dyDescent="0.25">
      <c r="T5125" s="81"/>
      <c r="W5125" s="185"/>
      <c r="AE5125" s="185"/>
    </row>
    <row r="5126" spans="20:31" x14ac:dyDescent="0.25">
      <c r="T5126" s="81"/>
      <c r="W5126" s="185"/>
      <c r="AE5126" s="185"/>
    </row>
    <row r="5127" spans="20:31" x14ac:dyDescent="0.25">
      <c r="T5127" s="81"/>
      <c r="W5127" s="185"/>
      <c r="AE5127" s="185"/>
    </row>
    <row r="5128" spans="20:31" x14ac:dyDescent="0.25">
      <c r="T5128" s="81"/>
      <c r="W5128" s="185"/>
      <c r="AE5128" s="185"/>
    </row>
    <row r="5129" spans="20:31" x14ac:dyDescent="0.25">
      <c r="T5129" s="81"/>
      <c r="W5129" s="185"/>
      <c r="AE5129" s="185"/>
    </row>
    <row r="5130" spans="20:31" x14ac:dyDescent="0.25">
      <c r="T5130" s="81"/>
      <c r="W5130" s="185"/>
      <c r="AE5130" s="185"/>
    </row>
    <row r="5131" spans="20:31" x14ac:dyDescent="0.25">
      <c r="T5131" s="81"/>
      <c r="W5131" s="185"/>
      <c r="AE5131" s="185"/>
    </row>
    <row r="5132" spans="20:31" x14ac:dyDescent="0.25">
      <c r="T5132" s="81"/>
      <c r="W5132" s="185"/>
      <c r="AE5132" s="185"/>
    </row>
    <row r="5133" spans="20:31" x14ac:dyDescent="0.25">
      <c r="T5133" s="81"/>
      <c r="W5133" s="185"/>
      <c r="AE5133" s="185"/>
    </row>
    <row r="5134" spans="20:31" x14ac:dyDescent="0.25">
      <c r="T5134" s="81"/>
      <c r="W5134" s="185"/>
      <c r="AE5134" s="185"/>
    </row>
    <row r="5135" spans="20:31" x14ac:dyDescent="0.25">
      <c r="T5135" s="81"/>
      <c r="W5135" s="185"/>
      <c r="AE5135" s="185"/>
    </row>
    <row r="5136" spans="20:31" x14ac:dyDescent="0.25">
      <c r="T5136" s="81"/>
      <c r="W5136" s="185"/>
      <c r="AE5136" s="185"/>
    </row>
    <row r="5137" spans="20:31" x14ac:dyDescent="0.25">
      <c r="T5137" s="81"/>
      <c r="W5137" s="185"/>
      <c r="AE5137" s="185"/>
    </row>
    <row r="5138" spans="20:31" x14ac:dyDescent="0.25">
      <c r="T5138" s="81"/>
      <c r="W5138" s="185"/>
      <c r="AE5138" s="185"/>
    </row>
    <row r="5139" spans="20:31" x14ac:dyDescent="0.25">
      <c r="T5139" s="81"/>
      <c r="W5139" s="185"/>
      <c r="AE5139" s="185"/>
    </row>
    <row r="5140" spans="20:31" x14ac:dyDescent="0.25">
      <c r="T5140" s="81"/>
      <c r="W5140" s="185"/>
      <c r="AE5140" s="185"/>
    </row>
    <row r="5141" spans="20:31" x14ac:dyDescent="0.25">
      <c r="T5141" s="81"/>
      <c r="W5141" s="185"/>
      <c r="AE5141" s="185"/>
    </row>
    <row r="5142" spans="20:31" x14ac:dyDescent="0.25">
      <c r="T5142" s="81"/>
      <c r="W5142" s="185"/>
      <c r="AE5142" s="185"/>
    </row>
    <row r="5143" spans="20:31" x14ac:dyDescent="0.25">
      <c r="T5143" s="81"/>
      <c r="W5143" s="185"/>
      <c r="AE5143" s="185"/>
    </row>
    <row r="5144" spans="20:31" x14ac:dyDescent="0.25">
      <c r="T5144" s="81"/>
      <c r="W5144" s="185"/>
      <c r="AE5144" s="185"/>
    </row>
    <row r="5145" spans="20:31" x14ac:dyDescent="0.25">
      <c r="T5145" s="81"/>
      <c r="W5145" s="185"/>
      <c r="AE5145" s="185"/>
    </row>
    <row r="5146" spans="20:31" x14ac:dyDescent="0.25">
      <c r="T5146" s="81"/>
      <c r="W5146" s="185"/>
      <c r="AE5146" s="185"/>
    </row>
    <row r="5147" spans="20:31" x14ac:dyDescent="0.25">
      <c r="T5147" s="81"/>
      <c r="W5147" s="185"/>
      <c r="AE5147" s="185"/>
    </row>
    <row r="5148" spans="20:31" x14ac:dyDescent="0.25">
      <c r="T5148" s="81"/>
      <c r="W5148" s="185"/>
      <c r="AE5148" s="185"/>
    </row>
    <row r="5149" spans="20:31" x14ac:dyDescent="0.25">
      <c r="T5149" s="81"/>
      <c r="W5149" s="185"/>
      <c r="AE5149" s="185"/>
    </row>
    <row r="5150" spans="20:31" x14ac:dyDescent="0.25">
      <c r="T5150" s="81"/>
      <c r="W5150" s="185"/>
      <c r="AE5150" s="185"/>
    </row>
    <row r="5151" spans="20:31" x14ac:dyDescent="0.25">
      <c r="T5151" s="81"/>
      <c r="W5151" s="185"/>
      <c r="AE5151" s="185"/>
    </row>
    <row r="5152" spans="20:31" x14ac:dyDescent="0.25">
      <c r="T5152" s="81"/>
      <c r="W5152" s="185"/>
      <c r="AE5152" s="185"/>
    </row>
    <row r="5153" spans="20:31" x14ac:dyDescent="0.25">
      <c r="T5153" s="81"/>
      <c r="W5153" s="185"/>
      <c r="AE5153" s="185"/>
    </row>
    <row r="5154" spans="20:31" x14ac:dyDescent="0.25">
      <c r="T5154" s="81"/>
      <c r="W5154" s="185"/>
      <c r="AE5154" s="185"/>
    </row>
    <row r="5155" spans="20:31" x14ac:dyDescent="0.25">
      <c r="T5155" s="81"/>
      <c r="W5155" s="185"/>
      <c r="AE5155" s="185"/>
    </row>
    <row r="5156" spans="20:31" x14ac:dyDescent="0.25">
      <c r="T5156" s="81"/>
      <c r="W5156" s="185"/>
      <c r="AE5156" s="185"/>
    </row>
    <row r="5157" spans="20:31" x14ac:dyDescent="0.25">
      <c r="T5157" s="81"/>
      <c r="W5157" s="185"/>
      <c r="AE5157" s="185"/>
    </row>
    <row r="5158" spans="20:31" x14ac:dyDescent="0.25">
      <c r="T5158" s="81"/>
      <c r="W5158" s="185"/>
      <c r="AE5158" s="185"/>
    </row>
    <row r="5159" spans="20:31" x14ac:dyDescent="0.25">
      <c r="T5159" s="81"/>
      <c r="W5159" s="185"/>
      <c r="AE5159" s="185"/>
    </row>
    <row r="5160" spans="20:31" x14ac:dyDescent="0.25">
      <c r="T5160" s="81"/>
      <c r="W5160" s="185"/>
      <c r="AE5160" s="185"/>
    </row>
    <row r="5161" spans="20:31" x14ac:dyDescent="0.25">
      <c r="T5161" s="81"/>
      <c r="W5161" s="185"/>
      <c r="AE5161" s="185"/>
    </row>
    <row r="5162" spans="20:31" x14ac:dyDescent="0.25">
      <c r="T5162" s="81"/>
      <c r="W5162" s="185"/>
      <c r="AE5162" s="185"/>
    </row>
    <row r="5163" spans="20:31" x14ac:dyDescent="0.25">
      <c r="T5163" s="81"/>
      <c r="W5163" s="185"/>
      <c r="AE5163" s="185"/>
    </row>
    <row r="5164" spans="20:31" x14ac:dyDescent="0.25">
      <c r="T5164" s="81"/>
      <c r="W5164" s="185"/>
      <c r="AE5164" s="185"/>
    </row>
    <row r="5165" spans="20:31" x14ac:dyDescent="0.25">
      <c r="T5165" s="81"/>
      <c r="W5165" s="185"/>
      <c r="AE5165" s="185"/>
    </row>
    <row r="5166" spans="20:31" x14ac:dyDescent="0.25">
      <c r="T5166" s="81"/>
      <c r="W5166" s="185"/>
      <c r="AE5166" s="185"/>
    </row>
    <row r="5167" spans="20:31" x14ac:dyDescent="0.25">
      <c r="T5167" s="81"/>
      <c r="W5167" s="185"/>
      <c r="AE5167" s="185"/>
    </row>
    <row r="5168" spans="20:31" x14ac:dyDescent="0.25">
      <c r="T5168" s="81"/>
      <c r="W5168" s="185"/>
      <c r="AE5168" s="185"/>
    </row>
    <row r="5169" spans="20:31" x14ac:dyDescent="0.25">
      <c r="T5169" s="81"/>
      <c r="W5169" s="185"/>
      <c r="AE5169" s="185"/>
    </row>
    <row r="5170" spans="20:31" x14ac:dyDescent="0.25">
      <c r="T5170" s="81"/>
      <c r="W5170" s="185"/>
      <c r="AE5170" s="185"/>
    </row>
    <row r="5171" spans="20:31" x14ac:dyDescent="0.25">
      <c r="T5171" s="81"/>
      <c r="W5171" s="185"/>
      <c r="AE5171" s="185"/>
    </row>
    <row r="5172" spans="20:31" x14ac:dyDescent="0.25">
      <c r="T5172" s="81"/>
      <c r="W5172" s="185"/>
      <c r="AE5172" s="185"/>
    </row>
    <row r="5173" spans="20:31" x14ac:dyDescent="0.25">
      <c r="T5173" s="81"/>
      <c r="W5173" s="185"/>
      <c r="AE5173" s="185"/>
    </row>
    <row r="5174" spans="20:31" x14ac:dyDescent="0.25">
      <c r="T5174" s="81"/>
      <c r="W5174" s="185"/>
      <c r="AE5174" s="185"/>
    </row>
    <row r="5175" spans="20:31" x14ac:dyDescent="0.25">
      <c r="T5175" s="81"/>
      <c r="W5175" s="185"/>
      <c r="AE5175" s="185"/>
    </row>
    <row r="5176" spans="20:31" x14ac:dyDescent="0.25">
      <c r="T5176" s="81"/>
      <c r="W5176" s="185"/>
      <c r="AE5176" s="185"/>
    </row>
    <row r="5177" spans="20:31" x14ac:dyDescent="0.25">
      <c r="T5177" s="81"/>
      <c r="W5177" s="185"/>
      <c r="AE5177" s="185"/>
    </row>
    <row r="5178" spans="20:31" x14ac:dyDescent="0.25">
      <c r="T5178" s="81"/>
      <c r="W5178" s="185"/>
      <c r="AE5178" s="185"/>
    </row>
    <row r="5179" spans="20:31" x14ac:dyDescent="0.25">
      <c r="T5179" s="81"/>
      <c r="W5179" s="185"/>
      <c r="AE5179" s="185"/>
    </row>
    <row r="5180" spans="20:31" x14ac:dyDescent="0.25">
      <c r="T5180" s="81"/>
      <c r="W5180" s="185"/>
      <c r="AE5180" s="185"/>
    </row>
    <row r="5181" spans="20:31" x14ac:dyDescent="0.25">
      <c r="T5181" s="81"/>
      <c r="W5181" s="185"/>
      <c r="AE5181" s="185"/>
    </row>
    <row r="5182" spans="20:31" x14ac:dyDescent="0.25">
      <c r="T5182" s="81"/>
      <c r="W5182" s="185"/>
      <c r="AE5182" s="185"/>
    </row>
    <row r="5183" spans="20:31" x14ac:dyDescent="0.25">
      <c r="T5183" s="81"/>
      <c r="W5183" s="185"/>
      <c r="AE5183" s="185"/>
    </row>
    <row r="5184" spans="20:31" x14ac:dyDescent="0.25">
      <c r="T5184" s="81"/>
      <c r="W5184" s="185"/>
      <c r="AE5184" s="185"/>
    </row>
    <row r="5185" spans="20:31" x14ac:dyDescent="0.25">
      <c r="T5185" s="81"/>
      <c r="W5185" s="185"/>
      <c r="AE5185" s="185"/>
    </row>
    <row r="5186" spans="20:31" x14ac:dyDescent="0.25">
      <c r="T5186" s="81"/>
      <c r="W5186" s="185"/>
      <c r="AE5186" s="185"/>
    </row>
    <row r="5187" spans="20:31" x14ac:dyDescent="0.25">
      <c r="T5187" s="81"/>
      <c r="W5187" s="185"/>
      <c r="AE5187" s="185"/>
    </row>
    <row r="5188" spans="20:31" x14ac:dyDescent="0.25">
      <c r="T5188" s="81"/>
      <c r="W5188" s="185"/>
      <c r="AE5188" s="185"/>
    </row>
    <row r="5189" spans="20:31" x14ac:dyDescent="0.25">
      <c r="T5189" s="81"/>
      <c r="W5189" s="185"/>
      <c r="AE5189" s="185"/>
    </row>
    <row r="5190" spans="20:31" x14ac:dyDescent="0.25">
      <c r="T5190" s="81"/>
      <c r="W5190" s="185"/>
      <c r="AE5190" s="185"/>
    </row>
    <row r="5191" spans="20:31" x14ac:dyDescent="0.25">
      <c r="T5191" s="81"/>
      <c r="W5191" s="185"/>
      <c r="AE5191" s="185"/>
    </row>
    <row r="5192" spans="20:31" x14ac:dyDescent="0.25">
      <c r="T5192" s="81"/>
      <c r="W5192" s="185"/>
      <c r="AE5192" s="185"/>
    </row>
    <row r="5193" spans="20:31" x14ac:dyDescent="0.25">
      <c r="T5193" s="81"/>
      <c r="W5193" s="185"/>
      <c r="AE5193" s="185"/>
    </row>
    <row r="5194" spans="20:31" x14ac:dyDescent="0.25">
      <c r="T5194" s="81"/>
      <c r="W5194" s="185"/>
      <c r="AE5194" s="185"/>
    </row>
    <row r="5195" spans="20:31" x14ac:dyDescent="0.25">
      <c r="T5195" s="81"/>
      <c r="W5195" s="185"/>
      <c r="AE5195" s="185"/>
    </row>
    <row r="5196" spans="20:31" x14ac:dyDescent="0.25">
      <c r="T5196" s="81"/>
      <c r="W5196" s="185"/>
      <c r="AE5196" s="185"/>
    </row>
    <row r="5197" spans="20:31" x14ac:dyDescent="0.25">
      <c r="T5197" s="81"/>
      <c r="W5197" s="185"/>
      <c r="AE5197" s="185"/>
    </row>
    <row r="5198" spans="20:31" x14ac:dyDescent="0.25">
      <c r="T5198" s="81"/>
      <c r="W5198" s="185"/>
      <c r="AE5198" s="185"/>
    </row>
    <row r="5199" spans="20:31" x14ac:dyDescent="0.25">
      <c r="T5199" s="81"/>
      <c r="W5199" s="185"/>
      <c r="AE5199" s="185"/>
    </row>
    <row r="5200" spans="20:31" x14ac:dyDescent="0.25">
      <c r="T5200" s="81"/>
      <c r="W5200" s="185"/>
      <c r="AE5200" s="185"/>
    </row>
    <row r="5201" spans="20:31" x14ac:dyDescent="0.25">
      <c r="T5201" s="81"/>
      <c r="W5201" s="185"/>
      <c r="AE5201" s="185"/>
    </row>
    <row r="5202" spans="20:31" x14ac:dyDescent="0.25">
      <c r="T5202" s="81"/>
      <c r="W5202" s="185"/>
      <c r="AE5202" s="185"/>
    </row>
    <row r="5203" spans="20:31" x14ac:dyDescent="0.25">
      <c r="T5203" s="81"/>
      <c r="W5203" s="185"/>
      <c r="AE5203" s="185"/>
    </row>
    <row r="5204" spans="20:31" x14ac:dyDescent="0.25">
      <c r="T5204" s="81"/>
      <c r="W5204" s="185"/>
      <c r="AE5204" s="185"/>
    </row>
    <row r="5205" spans="20:31" x14ac:dyDescent="0.25">
      <c r="T5205" s="81"/>
      <c r="W5205" s="185"/>
      <c r="AE5205" s="185"/>
    </row>
    <row r="5206" spans="20:31" x14ac:dyDescent="0.25">
      <c r="T5206" s="81"/>
      <c r="W5206" s="185"/>
      <c r="AE5206" s="185"/>
    </row>
    <row r="5207" spans="20:31" x14ac:dyDescent="0.25">
      <c r="T5207" s="81"/>
      <c r="W5207" s="185"/>
      <c r="AE5207" s="185"/>
    </row>
    <row r="5208" spans="20:31" x14ac:dyDescent="0.25">
      <c r="T5208" s="81"/>
      <c r="W5208" s="185"/>
      <c r="AE5208" s="185"/>
    </row>
    <row r="5209" spans="20:31" x14ac:dyDescent="0.25">
      <c r="T5209" s="81"/>
      <c r="W5209" s="185"/>
      <c r="AE5209" s="185"/>
    </row>
    <row r="5210" spans="20:31" x14ac:dyDescent="0.25">
      <c r="T5210" s="81"/>
      <c r="W5210" s="185"/>
      <c r="AE5210" s="185"/>
    </row>
    <row r="5211" spans="20:31" x14ac:dyDescent="0.25">
      <c r="T5211" s="81"/>
      <c r="W5211" s="185"/>
      <c r="AE5211" s="185"/>
    </row>
    <row r="5212" spans="20:31" x14ac:dyDescent="0.25">
      <c r="T5212" s="81"/>
      <c r="W5212" s="185"/>
      <c r="AE5212" s="185"/>
    </row>
    <row r="5213" spans="20:31" x14ac:dyDescent="0.25">
      <c r="T5213" s="81"/>
      <c r="W5213" s="185"/>
      <c r="AE5213" s="185"/>
    </row>
    <row r="5214" spans="20:31" x14ac:dyDescent="0.25">
      <c r="T5214" s="81"/>
      <c r="W5214" s="185"/>
      <c r="AE5214" s="185"/>
    </row>
    <row r="5215" spans="20:31" x14ac:dyDescent="0.25">
      <c r="T5215" s="81"/>
      <c r="W5215" s="185"/>
      <c r="AE5215" s="185"/>
    </row>
    <row r="5216" spans="20:31" x14ac:dyDescent="0.25">
      <c r="T5216" s="81"/>
      <c r="W5216" s="185"/>
      <c r="AE5216" s="185"/>
    </row>
    <row r="5217" spans="20:31" x14ac:dyDescent="0.25">
      <c r="T5217" s="81"/>
      <c r="W5217" s="185"/>
      <c r="AE5217" s="185"/>
    </row>
    <row r="5218" spans="20:31" x14ac:dyDescent="0.25">
      <c r="T5218" s="81"/>
      <c r="W5218" s="185"/>
      <c r="AE5218" s="185"/>
    </row>
    <row r="5219" spans="20:31" x14ac:dyDescent="0.25">
      <c r="T5219" s="81"/>
      <c r="W5219" s="185"/>
      <c r="AE5219" s="185"/>
    </row>
    <row r="5220" spans="20:31" x14ac:dyDescent="0.25">
      <c r="T5220" s="81"/>
      <c r="W5220" s="185"/>
      <c r="AE5220" s="185"/>
    </row>
    <row r="5221" spans="20:31" x14ac:dyDescent="0.25">
      <c r="T5221" s="81"/>
      <c r="W5221" s="185"/>
      <c r="AE5221" s="185"/>
    </row>
    <row r="5222" spans="20:31" x14ac:dyDescent="0.25">
      <c r="T5222" s="81"/>
      <c r="W5222" s="185"/>
      <c r="AE5222" s="185"/>
    </row>
    <row r="5223" spans="20:31" x14ac:dyDescent="0.25">
      <c r="T5223" s="81"/>
      <c r="W5223" s="185"/>
      <c r="AE5223" s="185"/>
    </row>
    <row r="5224" spans="20:31" x14ac:dyDescent="0.25">
      <c r="T5224" s="81"/>
      <c r="W5224" s="185"/>
      <c r="AE5224" s="185"/>
    </row>
    <row r="5225" spans="20:31" x14ac:dyDescent="0.25">
      <c r="T5225" s="81"/>
      <c r="W5225" s="185"/>
      <c r="AE5225" s="185"/>
    </row>
    <row r="5226" spans="20:31" x14ac:dyDescent="0.25">
      <c r="T5226" s="81"/>
      <c r="W5226" s="185"/>
      <c r="AE5226" s="185"/>
    </row>
    <row r="5227" spans="20:31" x14ac:dyDescent="0.25">
      <c r="T5227" s="81"/>
      <c r="W5227" s="185"/>
      <c r="AE5227" s="185"/>
    </row>
    <row r="5228" spans="20:31" x14ac:dyDescent="0.25">
      <c r="T5228" s="81"/>
      <c r="W5228" s="185"/>
      <c r="AE5228" s="185"/>
    </row>
    <row r="5229" spans="20:31" x14ac:dyDescent="0.25">
      <c r="T5229" s="81"/>
      <c r="W5229" s="185"/>
      <c r="AE5229" s="185"/>
    </row>
    <row r="5230" spans="20:31" x14ac:dyDescent="0.25">
      <c r="T5230" s="81"/>
      <c r="W5230" s="185"/>
      <c r="AE5230" s="185"/>
    </row>
    <row r="5231" spans="20:31" x14ac:dyDescent="0.25">
      <c r="T5231" s="81"/>
      <c r="W5231" s="185"/>
      <c r="AE5231" s="185"/>
    </row>
    <row r="5232" spans="20:31" x14ac:dyDescent="0.25">
      <c r="T5232" s="81"/>
      <c r="W5232" s="185"/>
      <c r="AE5232" s="185"/>
    </row>
    <row r="5233" spans="20:31" x14ac:dyDescent="0.25">
      <c r="T5233" s="81"/>
      <c r="W5233" s="185"/>
      <c r="AE5233" s="185"/>
    </row>
    <row r="5234" spans="20:31" x14ac:dyDescent="0.25">
      <c r="T5234" s="81"/>
      <c r="W5234" s="185"/>
      <c r="AE5234" s="185"/>
    </row>
    <row r="5235" spans="20:31" x14ac:dyDescent="0.25">
      <c r="T5235" s="81"/>
      <c r="W5235" s="185"/>
      <c r="AE5235" s="185"/>
    </row>
    <row r="5236" spans="20:31" x14ac:dyDescent="0.25">
      <c r="T5236" s="81"/>
      <c r="W5236" s="185"/>
      <c r="AE5236" s="185"/>
    </row>
    <row r="5237" spans="20:31" x14ac:dyDescent="0.25">
      <c r="T5237" s="81"/>
      <c r="W5237" s="185"/>
      <c r="AE5237" s="185"/>
    </row>
    <row r="5238" spans="20:31" x14ac:dyDescent="0.25">
      <c r="T5238" s="81"/>
      <c r="W5238" s="185"/>
      <c r="AE5238" s="185"/>
    </row>
    <row r="5239" spans="20:31" x14ac:dyDescent="0.25">
      <c r="T5239" s="81"/>
      <c r="W5239" s="185"/>
      <c r="AE5239" s="185"/>
    </row>
    <row r="5240" spans="20:31" x14ac:dyDescent="0.25">
      <c r="T5240" s="81"/>
      <c r="W5240" s="185"/>
      <c r="AE5240" s="185"/>
    </row>
    <row r="5241" spans="20:31" x14ac:dyDescent="0.25">
      <c r="T5241" s="81"/>
      <c r="W5241" s="185"/>
      <c r="AE5241" s="185"/>
    </row>
    <row r="5242" spans="20:31" x14ac:dyDescent="0.25">
      <c r="T5242" s="81"/>
      <c r="W5242" s="185"/>
      <c r="AE5242" s="185"/>
    </row>
    <row r="5243" spans="20:31" x14ac:dyDescent="0.25">
      <c r="T5243" s="81"/>
      <c r="W5243" s="185"/>
      <c r="AE5243" s="185"/>
    </row>
    <row r="5244" spans="20:31" x14ac:dyDescent="0.25">
      <c r="T5244" s="81"/>
      <c r="W5244" s="185"/>
      <c r="AE5244" s="185"/>
    </row>
    <row r="5245" spans="20:31" x14ac:dyDescent="0.25">
      <c r="T5245" s="81"/>
      <c r="W5245" s="185"/>
      <c r="AE5245" s="185"/>
    </row>
    <row r="5246" spans="20:31" x14ac:dyDescent="0.25">
      <c r="T5246" s="81"/>
      <c r="W5246" s="185"/>
      <c r="AE5246" s="185"/>
    </row>
    <row r="5247" spans="20:31" x14ac:dyDescent="0.25">
      <c r="T5247" s="81"/>
      <c r="W5247" s="185"/>
      <c r="AE5247" s="185"/>
    </row>
    <row r="5248" spans="20:31" x14ac:dyDescent="0.25">
      <c r="T5248" s="81"/>
      <c r="W5248" s="185"/>
      <c r="AE5248" s="185"/>
    </row>
    <row r="5249" spans="20:31" x14ac:dyDescent="0.25">
      <c r="T5249" s="81"/>
      <c r="W5249" s="185"/>
      <c r="AE5249" s="185"/>
    </row>
    <row r="5250" spans="20:31" x14ac:dyDescent="0.25">
      <c r="T5250" s="81"/>
      <c r="W5250" s="185"/>
      <c r="AE5250" s="185"/>
    </row>
    <row r="5251" spans="20:31" x14ac:dyDescent="0.25">
      <c r="T5251" s="81"/>
      <c r="W5251" s="185"/>
      <c r="AE5251" s="185"/>
    </row>
    <row r="5252" spans="20:31" x14ac:dyDescent="0.25">
      <c r="T5252" s="81"/>
      <c r="W5252" s="185"/>
      <c r="AE5252" s="185"/>
    </row>
    <row r="5253" spans="20:31" x14ac:dyDescent="0.25">
      <c r="T5253" s="81"/>
      <c r="W5253" s="185"/>
      <c r="AE5253" s="185"/>
    </row>
    <row r="5254" spans="20:31" x14ac:dyDescent="0.25">
      <c r="T5254" s="81"/>
      <c r="W5254" s="185"/>
      <c r="AE5254" s="185"/>
    </row>
    <row r="5255" spans="20:31" x14ac:dyDescent="0.25">
      <c r="T5255" s="81"/>
      <c r="W5255" s="185"/>
      <c r="AE5255" s="185"/>
    </row>
    <row r="5256" spans="20:31" x14ac:dyDescent="0.25">
      <c r="T5256" s="81"/>
      <c r="W5256" s="185"/>
      <c r="AE5256" s="185"/>
    </row>
    <row r="5257" spans="20:31" x14ac:dyDescent="0.25">
      <c r="T5257" s="81"/>
      <c r="W5257" s="185"/>
      <c r="AE5257" s="185"/>
    </row>
    <row r="5258" spans="20:31" x14ac:dyDescent="0.25">
      <c r="T5258" s="81"/>
      <c r="W5258" s="185"/>
      <c r="AE5258" s="185"/>
    </row>
    <row r="5259" spans="20:31" x14ac:dyDescent="0.25">
      <c r="T5259" s="81"/>
      <c r="W5259" s="185"/>
      <c r="AE5259" s="185"/>
    </row>
    <row r="5260" spans="20:31" x14ac:dyDescent="0.25">
      <c r="T5260" s="81"/>
      <c r="W5260" s="185"/>
      <c r="AE5260" s="185"/>
    </row>
    <row r="5261" spans="20:31" x14ac:dyDescent="0.25">
      <c r="T5261" s="81"/>
      <c r="W5261" s="185"/>
      <c r="AE5261" s="185"/>
    </row>
    <row r="5262" spans="20:31" x14ac:dyDescent="0.25">
      <c r="T5262" s="81"/>
      <c r="W5262" s="185"/>
      <c r="AE5262" s="185"/>
    </row>
    <row r="5263" spans="20:31" x14ac:dyDescent="0.25">
      <c r="T5263" s="81"/>
      <c r="W5263" s="185"/>
      <c r="AE5263" s="185"/>
    </row>
    <row r="5264" spans="20:31" x14ac:dyDescent="0.25">
      <c r="T5264" s="81"/>
      <c r="W5264" s="185"/>
      <c r="AE5264" s="185"/>
    </row>
    <row r="5265" spans="20:31" x14ac:dyDescent="0.25">
      <c r="T5265" s="81"/>
      <c r="W5265" s="185"/>
      <c r="AE5265" s="185"/>
    </row>
    <row r="5266" spans="20:31" x14ac:dyDescent="0.25">
      <c r="T5266" s="81"/>
      <c r="W5266" s="185"/>
      <c r="AE5266" s="185"/>
    </row>
    <row r="5267" spans="20:31" x14ac:dyDescent="0.25">
      <c r="T5267" s="81"/>
      <c r="W5267" s="185"/>
      <c r="AE5267" s="185"/>
    </row>
    <row r="5268" spans="20:31" x14ac:dyDescent="0.25">
      <c r="T5268" s="81"/>
      <c r="W5268" s="185"/>
      <c r="AE5268" s="185"/>
    </row>
    <row r="5269" spans="20:31" x14ac:dyDescent="0.25">
      <c r="T5269" s="81"/>
      <c r="W5269" s="185"/>
      <c r="AE5269" s="185"/>
    </row>
    <row r="5270" spans="20:31" x14ac:dyDescent="0.25">
      <c r="T5270" s="81"/>
      <c r="W5270" s="185"/>
      <c r="AE5270" s="185"/>
    </row>
    <row r="5271" spans="20:31" x14ac:dyDescent="0.25">
      <c r="T5271" s="81"/>
      <c r="W5271" s="185"/>
      <c r="AE5271" s="185"/>
    </row>
    <row r="5272" spans="20:31" x14ac:dyDescent="0.25">
      <c r="T5272" s="81"/>
      <c r="W5272" s="185"/>
      <c r="AE5272" s="185"/>
    </row>
    <row r="5273" spans="20:31" x14ac:dyDescent="0.25">
      <c r="T5273" s="81"/>
      <c r="W5273" s="185"/>
      <c r="AE5273" s="185"/>
    </row>
    <row r="5274" spans="20:31" x14ac:dyDescent="0.25">
      <c r="T5274" s="81"/>
      <c r="W5274" s="185"/>
      <c r="AE5274" s="185"/>
    </row>
    <row r="5275" spans="20:31" x14ac:dyDescent="0.25">
      <c r="T5275" s="81"/>
      <c r="W5275" s="185"/>
      <c r="AE5275" s="185"/>
    </row>
    <row r="5276" spans="20:31" x14ac:dyDescent="0.25">
      <c r="T5276" s="81"/>
      <c r="W5276" s="185"/>
      <c r="AE5276" s="185"/>
    </row>
    <row r="5277" spans="20:31" x14ac:dyDescent="0.25">
      <c r="T5277" s="81"/>
      <c r="W5277" s="185"/>
      <c r="AE5277" s="185"/>
    </row>
    <row r="5278" spans="20:31" x14ac:dyDescent="0.25">
      <c r="T5278" s="81"/>
      <c r="W5278" s="185"/>
      <c r="AE5278" s="185"/>
    </row>
    <row r="5279" spans="20:31" x14ac:dyDescent="0.25">
      <c r="T5279" s="81"/>
      <c r="W5279" s="185"/>
      <c r="AE5279" s="185"/>
    </row>
    <row r="5280" spans="20:31" x14ac:dyDescent="0.25">
      <c r="T5280" s="81"/>
      <c r="W5280" s="185"/>
      <c r="AE5280" s="185"/>
    </row>
    <row r="5281" spans="20:31" x14ac:dyDescent="0.25">
      <c r="T5281" s="81"/>
      <c r="W5281" s="185"/>
      <c r="AE5281" s="185"/>
    </row>
    <row r="5282" spans="20:31" x14ac:dyDescent="0.25">
      <c r="T5282" s="81"/>
      <c r="W5282" s="185"/>
      <c r="AE5282" s="185"/>
    </row>
    <row r="5283" spans="20:31" x14ac:dyDescent="0.25">
      <c r="T5283" s="81"/>
      <c r="W5283" s="185"/>
      <c r="AE5283" s="185"/>
    </row>
    <row r="5284" spans="20:31" x14ac:dyDescent="0.25">
      <c r="T5284" s="81"/>
      <c r="W5284" s="185"/>
      <c r="AE5284" s="185"/>
    </row>
    <row r="5285" spans="20:31" x14ac:dyDescent="0.25">
      <c r="T5285" s="81"/>
      <c r="W5285" s="185"/>
      <c r="AE5285" s="185"/>
    </row>
    <row r="5286" spans="20:31" x14ac:dyDescent="0.25">
      <c r="T5286" s="81"/>
      <c r="W5286" s="185"/>
      <c r="AE5286" s="185"/>
    </row>
    <row r="5287" spans="20:31" x14ac:dyDescent="0.25">
      <c r="T5287" s="81"/>
      <c r="W5287" s="185"/>
      <c r="AE5287" s="185"/>
    </row>
    <row r="5288" spans="20:31" x14ac:dyDescent="0.25">
      <c r="T5288" s="81"/>
      <c r="W5288" s="185"/>
      <c r="AE5288" s="185"/>
    </row>
    <row r="5289" spans="20:31" x14ac:dyDescent="0.25">
      <c r="T5289" s="81"/>
      <c r="W5289" s="185"/>
      <c r="AE5289" s="185"/>
    </row>
    <row r="5290" spans="20:31" x14ac:dyDescent="0.25">
      <c r="T5290" s="81"/>
      <c r="W5290" s="185"/>
      <c r="AE5290" s="185"/>
    </row>
    <row r="5291" spans="20:31" x14ac:dyDescent="0.25">
      <c r="T5291" s="81"/>
      <c r="W5291" s="185"/>
      <c r="AE5291" s="185"/>
    </row>
    <row r="5292" spans="20:31" x14ac:dyDescent="0.25">
      <c r="T5292" s="81"/>
      <c r="W5292" s="185"/>
      <c r="AE5292" s="185"/>
    </row>
    <row r="5293" spans="20:31" x14ac:dyDescent="0.25">
      <c r="T5293" s="81"/>
      <c r="W5293" s="185"/>
      <c r="AE5293" s="185"/>
    </row>
    <row r="5294" spans="20:31" x14ac:dyDescent="0.25">
      <c r="T5294" s="81"/>
      <c r="W5294" s="185"/>
      <c r="AE5294" s="185"/>
    </row>
    <row r="5295" spans="20:31" x14ac:dyDescent="0.25">
      <c r="T5295" s="81"/>
      <c r="W5295" s="185"/>
      <c r="AE5295" s="185"/>
    </row>
    <row r="5296" spans="20:31" x14ac:dyDescent="0.25">
      <c r="T5296" s="81"/>
      <c r="W5296" s="185"/>
      <c r="AE5296" s="185"/>
    </row>
    <row r="5297" spans="20:31" x14ac:dyDescent="0.25">
      <c r="T5297" s="81"/>
      <c r="W5297" s="185"/>
      <c r="AE5297" s="185"/>
    </row>
    <row r="5298" spans="20:31" x14ac:dyDescent="0.25">
      <c r="T5298" s="81"/>
      <c r="W5298" s="185"/>
      <c r="AE5298" s="185"/>
    </row>
    <row r="5299" spans="20:31" x14ac:dyDescent="0.25">
      <c r="T5299" s="81"/>
      <c r="W5299" s="185"/>
      <c r="AE5299" s="185"/>
    </row>
    <row r="5300" spans="20:31" x14ac:dyDescent="0.25">
      <c r="T5300" s="81"/>
      <c r="W5300" s="185"/>
      <c r="AE5300" s="185"/>
    </row>
    <row r="5301" spans="20:31" x14ac:dyDescent="0.25">
      <c r="T5301" s="81"/>
      <c r="W5301" s="185"/>
      <c r="AE5301" s="185"/>
    </row>
    <row r="5302" spans="20:31" x14ac:dyDescent="0.25">
      <c r="T5302" s="81"/>
      <c r="W5302" s="185"/>
      <c r="AE5302" s="185"/>
    </row>
    <row r="5303" spans="20:31" x14ac:dyDescent="0.25">
      <c r="T5303" s="81"/>
      <c r="W5303" s="185"/>
      <c r="AE5303" s="185"/>
    </row>
    <row r="5304" spans="20:31" x14ac:dyDescent="0.25">
      <c r="T5304" s="81"/>
      <c r="W5304" s="185"/>
      <c r="AE5304" s="185"/>
    </row>
    <row r="5305" spans="20:31" x14ac:dyDescent="0.25">
      <c r="T5305" s="81"/>
      <c r="W5305" s="185"/>
      <c r="AE5305" s="185"/>
    </row>
    <row r="5306" spans="20:31" x14ac:dyDescent="0.25">
      <c r="T5306" s="81"/>
      <c r="W5306" s="185"/>
      <c r="AE5306" s="185"/>
    </row>
    <row r="5307" spans="20:31" x14ac:dyDescent="0.25">
      <c r="T5307" s="81"/>
      <c r="W5307" s="185"/>
      <c r="AE5307" s="185"/>
    </row>
    <row r="5308" spans="20:31" x14ac:dyDescent="0.25">
      <c r="T5308" s="81"/>
      <c r="W5308" s="185"/>
      <c r="AE5308" s="185"/>
    </row>
    <row r="5309" spans="20:31" x14ac:dyDescent="0.25">
      <c r="T5309" s="81"/>
      <c r="W5309" s="185"/>
      <c r="AE5309" s="185"/>
    </row>
    <row r="5310" spans="20:31" x14ac:dyDescent="0.25">
      <c r="T5310" s="81"/>
      <c r="W5310" s="185"/>
      <c r="AE5310" s="185"/>
    </row>
    <row r="5311" spans="20:31" x14ac:dyDescent="0.25">
      <c r="T5311" s="81"/>
      <c r="W5311" s="185"/>
      <c r="AE5311" s="185"/>
    </row>
    <row r="5312" spans="20:31" x14ac:dyDescent="0.25">
      <c r="T5312" s="81"/>
      <c r="W5312" s="185"/>
      <c r="AE5312" s="185"/>
    </row>
    <row r="5313" spans="20:31" x14ac:dyDescent="0.25">
      <c r="T5313" s="81"/>
      <c r="W5313" s="185"/>
      <c r="AE5313" s="185"/>
    </row>
    <row r="5314" spans="20:31" x14ac:dyDescent="0.25">
      <c r="T5314" s="81"/>
      <c r="W5314" s="185"/>
      <c r="AE5314" s="185"/>
    </row>
    <row r="5315" spans="20:31" x14ac:dyDescent="0.25">
      <c r="T5315" s="81"/>
      <c r="W5315" s="185"/>
      <c r="AE5315" s="185"/>
    </row>
    <row r="5316" spans="20:31" x14ac:dyDescent="0.25">
      <c r="T5316" s="81"/>
      <c r="W5316" s="185"/>
      <c r="AE5316" s="185"/>
    </row>
    <row r="5317" spans="20:31" x14ac:dyDescent="0.25">
      <c r="T5317" s="81"/>
      <c r="W5317" s="185"/>
      <c r="AE5317" s="185"/>
    </row>
    <row r="5318" spans="20:31" x14ac:dyDescent="0.25">
      <c r="T5318" s="81"/>
      <c r="W5318" s="185"/>
      <c r="AE5318" s="185"/>
    </row>
    <row r="5319" spans="20:31" x14ac:dyDescent="0.25">
      <c r="T5319" s="81"/>
      <c r="W5319" s="185"/>
      <c r="AE5319" s="185"/>
    </row>
    <row r="5320" spans="20:31" x14ac:dyDescent="0.25">
      <c r="T5320" s="81"/>
      <c r="W5320" s="185"/>
      <c r="AE5320" s="185"/>
    </row>
    <row r="5321" spans="20:31" x14ac:dyDescent="0.25">
      <c r="T5321" s="81"/>
      <c r="W5321" s="185"/>
      <c r="AE5321" s="185"/>
    </row>
    <row r="5322" spans="20:31" x14ac:dyDescent="0.25">
      <c r="T5322" s="81"/>
      <c r="W5322" s="185"/>
      <c r="AE5322" s="185"/>
    </row>
    <row r="5323" spans="20:31" x14ac:dyDescent="0.25">
      <c r="T5323" s="81"/>
      <c r="W5323" s="185"/>
      <c r="AE5323" s="185"/>
    </row>
    <row r="5324" spans="20:31" x14ac:dyDescent="0.25">
      <c r="T5324" s="81"/>
      <c r="W5324" s="185"/>
      <c r="AE5324" s="185"/>
    </row>
    <row r="5325" spans="20:31" x14ac:dyDescent="0.25">
      <c r="T5325" s="81"/>
      <c r="W5325" s="185"/>
      <c r="AE5325" s="185"/>
    </row>
    <row r="5326" spans="20:31" x14ac:dyDescent="0.25">
      <c r="T5326" s="81"/>
      <c r="W5326" s="185"/>
      <c r="AE5326" s="185"/>
    </row>
    <row r="5327" spans="20:31" x14ac:dyDescent="0.25">
      <c r="T5327" s="81"/>
      <c r="W5327" s="185"/>
      <c r="AE5327" s="185"/>
    </row>
    <row r="5328" spans="20:31" x14ac:dyDescent="0.25">
      <c r="T5328" s="81"/>
      <c r="W5328" s="185"/>
      <c r="AE5328" s="185"/>
    </row>
    <row r="5329" spans="20:31" x14ac:dyDescent="0.25">
      <c r="T5329" s="81"/>
      <c r="W5329" s="185"/>
      <c r="AE5329" s="185"/>
    </row>
    <row r="5330" spans="20:31" x14ac:dyDescent="0.25">
      <c r="T5330" s="81"/>
      <c r="W5330" s="185"/>
      <c r="AE5330" s="185"/>
    </row>
    <row r="5331" spans="20:31" x14ac:dyDescent="0.25">
      <c r="T5331" s="81"/>
      <c r="W5331" s="185"/>
      <c r="AE5331" s="185"/>
    </row>
    <row r="5332" spans="20:31" x14ac:dyDescent="0.25">
      <c r="T5332" s="81"/>
      <c r="W5332" s="185"/>
      <c r="AE5332" s="185"/>
    </row>
    <row r="5333" spans="20:31" x14ac:dyDescent="0.25">
      <c r="T5333" s="81"/>
      <c r="W5333" s="185"/>
      <c r="AE5333" s="185"/>
    </row>
    <row r="5334" spans="20:31" x14ac:dyDescent="0.25">
      <c r="T5334" s="81"/>
      <c r="W5334" s="185"/>
      <c r="AE5334" s="185"/>
    </row>
    <row r="5335" spans="20:31" x14ac:dyDescent="0.25">
      <c r="T5335" s="81"/>
      <c r="W5335" s="185"/>
      <c r="AE5335" s="185"/>
    </row>
    <row r="5336" spans="20:31" x14ac:dyDescent="0.25">
      <c r="T5336" s="81"/>
      <c r="W5336" s="185"/>
      <c r="AE5336" s="185"/>
    </row>
    <row r="5337" spans="20:31" x14ac:dyDescent="0.25">
      <c r="T5337" s="81"/>
      <c r="W5337" s="185"/>
      <c r="AE5337" s="185"/>
    </row>
    <row r="5338" spans="20:31" x14ac:dyDescent="0.25">
      <c r="T5338" s="81"/>
      <c r="W5338" s="185"/>
      <c r="AE5338" s="185"/>
    </row>
    <row r="5339" spans="20:31" x14ac:dyDescent="0.25">
      <c r="T5339" s="81"/>
      <c r="W5339" s="185"/>
      <c r="AE5339" s="185"/>
    </row>
    <row r="5340" spans="20:31" x14ac:dyDescent="0.25">
      <c r="T5340" s="81"/>
      <c r="W5340" s="185"/>
      <c r="AE5340" s="185"/>
    </row>
    <row r="5341" spans="20:31" x14ac:dyDescent="0.25">
      <c r="T5341" s="81"/>
      <c r="W5341" s="185"/>
      <c r="AE5341" s="185"/>
    </row>
    <row r="5342" spans="20:31" x14ac:dyDescent="0.25">
      <c r="T5342" s="81"/>
      <c r="W5342" s="185"/>
      <c r="AE5342" s="185"/>
    </row>
    <row r="5343" spans="20:31" x14ac:dyDescent="0.25">
      <c r="T5343" s="81"/>
      <c r="W5343" s="185"/>
      <c r="AE5343" s="185"/>
    </row>
    <row r="5344" spans="20:31" x14ac:dyDescent="0.25">
      <c r="T5344" s="81"/>
      <c r="W5344" s="185"/>
      <c r="AE5344" s="185"/>
    </row>
    <row r="5345" spans="20:31" x14ac:dyDescent="0.25">
      <c r="T5345" s="81"/>
      <c r="W5345" s="185"/>
      <c r="AE5345" s="185"/>
    </row>
    <row r="5346" spans="20:31" x14ac:dyDescent="0.25">
      <c r="T5346" s="81"/>
      <c r="W5346" s="185"/>
      <c r="AE5346" s="185"/>
    </row>
    <row r="5347" spans="20:31" x14ac:dyDescent="0.25">
      <c r="T5347" s="81"/>
      <c r="W5347" s="185"/>
      <c r="AE5347" s="185"/>
    </row>
    <row r="5348" spans="20:31" x14ac:dyDescent="0.25">
      <c r="T5348" s="81"/>
      <c r="W5348" s="185"/>
      <c r="AE5348" s="185"/>
    </row>
    <row r="5349" spans="20:31" x14ac:dyDescent="0.25">
      <c r="T5349" s="81"/>
      <c r="W5349" s="185"/>
      <c r="AE5349" s="185"/>
    </row>
    <row r="5350" spans="20:31" x14ac:dyDescent="0.25">
      <c r="T5350" s="81"/>
      <c r="W5350" s="185"/>
      <c r="AE5350" s="185"/>
    </row>
    <row r="5351" spans="20:31" x14ac:dyDescent="0.25">
      <c r="T5351" s="81"/>
      <c r="W5351" s="185"/>
      <c r="AE5351" s="185"/>
    </row>
    <row r="5352" spans="20:31" x14ac:dyDescent="0.25">
      <c r="T5352" s="81"/>
      <c r="W5352" s="185"/>
      <c r="AE5352" s="185"/>
    </row>
    <row r="5353" spans="20:31" x14ac:dyDescent="0.25">
      <c r="T5353" s="81"/>
      <c r="W5353" s="185"/>
      <c r="AE5353" s="185"/>
    </row>
    <row r="5354" spans="20:31" x14ac:dyDescent="0.25">
      <c r="T5354" s="81"/>
      <c r="W5354" s="185"/>
      <c r="AE5354" s="185"/>
    </row>
    <row r="5355" spans="20:31" x14ac:dyDescent="0.25">
      <c r="T5355" s="81"/>
      <c r="W5355" s="185"/>
      <c r="AE5355" s="185"/>
    </row>
    <row r="5356" spans="20:31" x14ac:dyDescent="0.25">
      <c r="T5356" s="81"/>
      <c r="W5356" s="185"/>
      <c r="AE5356" s="185"/>
    </row>
    <row r="5357" spans="20:31" x14ac:dyDescent="0.25">
      <c r="T5357" s="81"/>
      <c r="W5357" s="185"/>
      <c r="AE5357" s="185"/>
    </row>
    <row r="5358" spans="20:31" x14ac:dyDescent="0.25">
      <c r="T5358" s="81"/>
      <c r="W5358" s="185"/>
      <c r="AE5358" s="185"/>
    </row>
    <row r="5359" spans="20:31" x14ac:dyDescent="0.25">
      <c r="T5359" s="81"/>
      <c r="W5359" s="185"/>
      <c r="AE5359" s="185"/>
    </row>
    <row r="5360" spans="20:31" x14ac:dyDescent="0.25">
      <c r="T5360" s="81"/>
      <c r="W5360" s="185"/>
      <c r="AE5360" s="185"/>
    </row>
    <row r="5361" spans="20:31" x14ac:dyDescent="0.25">
      <c r="T5361" s="81"/>
      <c r="W5361" s="185"/>
      <c r="AE5361" s="185"/>
    </row>
    <row r="5362" spans="20:31" x14ac:dyDescent="0.25">
      <c r="T5362" s="81"/>
      <c r="W5362" s="185"/>
      <c r="AE5362" s="185"/>
    </row>
    <row r="5363" spans="20:31" x14ac:dyDescent="0.25">
      <c r="T5363" s="81"/>
      <c r="W5363" s="185"/>
      <c r="AE5363" s="185"/>
    </row>
    <row r="5364" spans="20:31" x14ac:dyDescent="0.25">
      <c r="T5364" s="81"/>
      <c r="W5364" s="185"/>
      <c r="AE5364" s="185"/>
    </row>
    <row r="5365" spans="20:31" x14ac:dyDescent="0.25">
      <c r="T5365" s="81"/>
      <c r="W5365" s="185"/>
      <c r="AE5365" s="185"/>
    </row>
    <row r="5366" spans="20:31" x14ac:dyDescent="0.25">
      <c r="T5366" s="81"/>
      <c r="W5366" s="185"/>
      <c r="AE5366" s="185"/>
    </row>
    <row r="5367" spans="20:31" x14ac:dyDescent="0.25">
      <c r="T5367" s="81"/>
      <c r="W5367" s="185"/>
      <c r="AE5367" s="185"/>
    </row>
    <row r="5368" spans="20:31" x14ac:dyDescent="0.25">
      <c r="T5368" s="81"/>
      <c r="W5368" s="185"/>
      <c r="AE5368" s="185"/>
    </row>
    <row r="5369" spans="20:31" x14ac:dyDescent="0.25">
      <c r="T5369" s="81"/>
      <c r="W5369" s="185"/>
      <c r="AE5369" s="185"/>
    </row>
    <row r="5370" spans="20:31" x14ac:dyDescent="0.25">
      <c r="T5370" s="81"/>
      <c r="W5370" s="185"/>
      <c r="AE5370" s="185"/>
    </row>
    <row r="5371" spans="20:31" x14ac:dyDescent="0.25">
      <c r="T5371" s="81"/>
      <c r="W5371" s="185"/>
      <c r="AE5371" s="185"/>
    </row>
    <row r="5372" spans="20:31" x14ac:dyDescent="0.25">
      <c r="T5372" s="81"/>
      <c r="W5372" s="185"/>
      <c r="AE5372" s="185"/>
    </row>
    <row r="5373" spans="20:31" x14ac:dyDescent="0.25">
      <c r="T5373" s="81"/>
      <c r="W5373" s="185"/>
      <c r="AE5373" s="185"/>
    </row>
    <row r="5374" spans="20:31" x14ac:dyDescent="0.25">
      <c r="T5374" s="81"/>
      <c r="W5374" s="185"/>
      <c r="AE5374" s="185"/>
    </row>
    <row r="5375" spans="20:31" x14ac:dyDescent="0.25">
      <c r="T5375" s="81"/>
      <c r="W5375" s="185"/>
      <c r="AE5375" s="185"/>
    </row>
    <row r="5376" spans="20:31" x14ac:dyDescent="0.25">
      <c r="T5376" s="81"/>
      <c r="W5376" s="185"/>
      <c r="AE5376" s="185"/>
    </row>
    <row r="5377" spans="20:31" x14ac:dyDescent="0.25">
      <c r="T5377" s="81"/>
      <c r="W5377" s="185"/>
      <c r="AE5377" s="185"/>
    </row>
    <row r="5378" spans="20:31" x14ac:dyDescent="0.25">
      <c r="T5378" s="81"/>
      <c r="W5378" s="185"/>
      <c r="AE5378" s="185"/>
    </row>
    <row r="5379" spans="20:31" x14ac:dyDescent="0.25">
      <c r="T5379" s="81"/>
      <c r="W5379" s="185"/>
      <c r="AE5379" s="185"/>
    </row>
    <row r="5380" spans="20:31" x14ac:dyDescent="0.25">
      <c r="T5380" s="81"/>
      <c r="W5380" s="185"/>
      <c r="AE5380" s="185"/>
    </row>
    <row r="5381" spans="20:31" x14ac:dyDescent="0.25">
      <c r="T5381" s="81"/>
      <c r="W5381" s="185"/>
      <c r="AE5381" s="185"/>
    </row>
    <row r="5382" spans="20:31" x14ac:dyDescent="0.25">
      <c r="T5382" s="81"/>
      <c r="W5382" s="185"/>
      <c r="AE5382" s="185"/>
    </row>
    <row r="5383" spans="20:31" x14ac:dyDescent="0.25">
      <c r="T5383" s="81"/>
      <c r="W5383" s="185"/>
      <c r="AE5383" s="185"/>
    </row>
    <row r="5384" spans="20:31" x14ac:dyDescent="0.25">
      <c r="T5384" s="81"/>
      <c r="W5384" s="185"/>
      <c r="AE5384" s="185"/>
    </row>
    <row r="5385" spans="20:31" x14ac:dyDescent="0.25">
      <c r="T5385" s="81"/>
      <c r="W5385" s="185"/>
      <c r="AE5385" s="185"/>
    </row>
    <row r="5386" spans="20:31" x14ac:dyDescent="0.25">
      <c r="T5386" s="81"/>
      <c r="W5386" s="185"/>
      <c r="AE5386" s="185"/>
    </row>
    <row r="5387" spans="20:31" x14ac:dyDescent="0.25">
      <c r="T5387" s="81"/>
      <c r="W5387" s="185"/>
      <c r="AE5387" s="185"/>
    </row>
    <row r="5388" spans="20:31" x14ac:dyDescent="0.25">
      <c r="T5388" s="81"/>
      <c r="W5388" s="185"/>
      <c r="AE5388" s="185"/>
    </row>
    <row r="5389" spans="20:31" x14ac:dyDescent="0.25">
      <c r="T5389" s="81"/>
      <c r="W5389" s="185"/>
      <c r="AE5389" s="185"/>
    </row>
    <row r="5390" spans="20:31" x14ac:dyDescent="0.25">
      <c r="T5390" s="81"/>
      <c r="W5390" s="185"/>
      <c r="AE5390" s="185"/>
    </row>
    <row r="5391" spans="20:31" x14ac:dyDescent="0.25">
      <c r="T5391" s="81"/>
      <c r="W5391" s="185"/>
      <c r="AE5391" s="185"/>
    </row>
    <row r="5392" spans="20:31" x14ac:dyDescent="0.25">
      <c r="T5392" s="81"/>
      <c r="W5392" s="185"/>
      <c r="AE5392" s="185"/>
    </row>
    <row r="5393" spans="20:31" x14ac:dyDescent="0.25">
      <c r="T5393" s="81"/>
      <c r="W5393" s="185"/>
      <c r="AE5393" s="185"/>
    </row>
    <row r="5394" spans="20:31" x14ac:dyDescent="0.25">
      <c r="T5394" s="81"/>
      <c r="W5394" s="185"/>
      <c r="AE5394" s="185"/>
    </row>
    <row r="5395" spans="20:31" x14ac:dyDescent="0.25">
      <c r="T5395" s="81"/>
      <c r="W5395" s="185"/>
      <c r="AE5395" s="185"/>
    </row>
    <row r="5396" spans="20:31" x14ac:dyDescent="0.25">
      <c r="T5396" s="81"/>
      <c r="W5396" s="185"/>
      <c r="AE5396" s="185"/>
    </row>
    <row r="5397" spans="20:31" x14ac:dyDescent="0.25">
      <c r="T5397" s="81"/>
      <c r="W5397" s="185"/>
      <c r="AE5397" s="185"/>
    </row>
    <row r="5398" spans="20:31" x14ac:dyDescent="0.25">
      <c r="T5398" s="81"/>
      <c r="W5398" s="185"/>
      <c r="AE5398" s="185"/>
    </row>
    <row r="5399" spans="20:31" x14ac:dyDescent="0.25">
      <c r="T5399" s="81"/>
      <c r="W5399" s="185"/>
      <c r="AE5399" s="185"/>
    </row>
    <row r="5400" spans="20:31" x14ac:dyDescent="0.25">
      <c r="T5400" s="81"/>
      <c r="W5400" s="185"/>
      <c r="AE5400" s="185"/>
    </row>
    <row r="5401" spans="20:31" x14ac:dyDescent="0.25">
      <c r="T5401" s="81"/>
      <c r="W5401" s="185"/>
      <c r="AE5401" s="185"/>
    </row>
    <row r="5402" spans="20:31" x14ac:dyDescent="0.25">
      <c r="T5402" s="81"/>
      <c r="W5402" s="185"/>
      <c r="AE5402" s="185"/>
    </row>
    <row r="5403" spans="20:31" x14ac:dyDescent="0.25">
      <c r="T5403" s="81"/>
      <c r="W5403" s="185"/>
      <c r="AE5403" s="185"/>
    </row>
    <row r="5404" spans="20:31" x14ac:dyDescent="0.25">
      <c r="T5404" s="81"/>
      <c r="W5404" s="185"/>
      <c r="AE5404" s="185"/>
    </row>
    <row r="5405" spans="20:31" x14ac:dyDescent="0.25">
      <c r="T5405" s="81"/>
      <c r="W5405" s="185"/>
      <c r="AE5405" s="185"/>
    </row>
    <row r="5406" spans="20:31" x14ac:dyDescent="0.25">
      <c r="T5406" s="81"/>
      <c r="W5406" s="185"/>
      <c r="AE5406" s="185"/>
    </row>
    <row r="5407" spans="20:31" x14ac:dyDescent="0.25">
      <c r="T5407" s="81"/>
      <c r="W5407" s="185"/>
      <c r="AE5407" s="185"/>
    </row>
    <row r="5408" spans="20:31" x14ac:dyDescent="0.25">
      <c r="T5408" s="81"/>
      <c r="W5408" s="185"/>
      <c r="AE5408" s="185"/>
    </row>
    <row r="5409" spans="20:31" x14ac:dyDescent="0.25">
      <c r="T5409" s="81"/>
      <c r="W5409" s="185"/>
      <c r="AE5409" s="185"/>
    </row>
    <row r="5410" spans="20:31" x14ac:dyDescent="0.25">
      <c r="T5410" s="81"/>
      <c r="W5410" s="185"/>
      <c r="AE5410" s="185"/>
    </row>
    <row r="5411" spans="20:31" x14ac:dyDescent="0.25">
      <c r="T5411" s="81"/>
      <c r="W5411" s="185"/>
      <c r="AE5411" s="185"/>
    </row>
    <row r="5412" spans="20:31" x14ac:dyDescent="0.25">
      <c r="T5412" s="81"/>
      <c r="W5412" s="185"/>
      <c r="AE5412" s="185"/>
    </row>
    <row r="5413" spans="20:31" x14ac:dyDescent="0.25">
      <c r="T5413" s="81"/>
      <c r="W5413" s="185"/>
      <c r="AE5413" s="185"/>
    </row>
    <row r="5414" spans="20:31" x14ac:dyDescent="0.25">
      <c r="T5414" s="81"/>
      <c r="W5414" s="185"/>
      <c r="AE5414" s="185"/>
    </row>
    <row r="5415" spans="20:31" x14ac:dyDescent="0.25">
      <c r="T5415" s="81"/>
      <c r="W5415" s="185"/>
      <c r="AE5415" s="185"/>
    </row>
    <row r="5416" spans="20:31" x14ac:dyDescent="0.25">
      <c r="T5416" s="81"/>
      <c r="W5416" s="185"/>
      <c r="AE5416" s="185"/>
    </row>
    <row r="5417" spans="20:31" x14ac:dyDescent="0.25">
      <c r="T5417" s="81"/>
      <c r="W5417" s="185"/>
      <c r="AE5417" s="185"/>
    </row>
    <row r="5418" spans="20:31" x14ac:dyDescent="0.25">
      <c r="T5418" s="81"/>
      <c r="W5418" s="185"/>
      <c r="AE5418" s="185"/>
    </row>
    <row r="5419" spans="20:31" x14ac:dyDescent="0.25">
      <c r="T5419" s="81"/>
      <c r="W5419" s="185"/>
      <c r="AE5419" s="185"/>
    </row>
    <row r="5420" spans="20:31" x14ac:dyDescent="0.25">
      <c r="T5420" s="81"/>
      <c r="W5420" s="185"/>
      <c r="AE5420" s="185"/>
    </row>
    <row r="5421" spans="20:31" x14ac:dyDescent="0.25">
      <c r="T5421" s="81"/>
      <c r="W5421" s="185"/>
      <c r="AE5421" s="185"/>
    </row>
    <row r="5422" spans="20:31" x14ac:dyDescent="0.25">
      <c r="T5422" s="81"/>
      <c r="W5422" s="185"/>
      <c r="AE5422" s="185"/>
    </row>
    <row r="5423" spans="20:31" x14ac:dyDescent="0.25">
      <c r="T5423" s="81"/>
      <c r="W5423" s="185"/>
      <c r="AE5423" s="185"/>
    </row>
    <row r="5424" spans="20:31" x14ac:dyDescent="0.25">
      <c r="T5424" s="81"/>
      <c r="W5424" s="185"/>
      <c r="AE5424" s="185"/>
    </row>
    <row r="5425" spans="20:31" x14ac:dyDescent="0.25">
      <c r="T5425" s="81"/>
      <c r="W5425" s="185"/>
      <c r="AE5425" s="185"/>
    </row>
    <row r="5426" spans="20:31" x14ac:dyDescent="0.25">
      <c r="T5426" s="81"/>
      <c r="W5426" s="185"/>
      <c r="AE5426" s="185"/>
    </row>
    <row r="5427" spans="20:31" x14ac:dyDescent="0.25">
      <c r="T5427" s="81"/>
      <c r="W5427" s="185"/>
      <c r="AE5427" s="185"/>
    </row>
    <row r="5428" spans="20:31" x14ac:dyDescent="0.25">
      <c r="T5428" s="81"/>
      <c r="W5428" s="185"/>
      <c r="AE5428" s="185"/>
    </row>
    <row r="5429" spans="20:31" x14ac:dyDescent="0.25">
      <c r="T5429" s="81"/>
      <c r="W5429" s="185"/>
      <c r="AE5429" s="185"/>
    </row>
    <row r="5430" spans="20:31" x14ac:dyDescent="0.25">
      <c r="T5430" s="81"/>
      <c r="W5430" s="185"/>
      <c r="AE5430" s="185"/>
    </row>
    <row r="5431" spans="20:31" x14ac:dyDescent="0.25">
      <c r="T5431" s="81"/>
      <c r="W5431" s="185"/>
      <c r="AE5431" s="185"/>
    </row>
    <row r="5432" spans="20:31" x14ac:dyDescent="0.25">
      <c r="T5432" s="81"/>
      <c r="W5432" s="185"/>
      <c r="AE5432" s="185"/>
    </row>
    <row r="5433" spans="20:31" x14ac:dyDescent="0.25">
      <c r="T5433" s="81"/>
      <c r="W5433" s="185"/>
      <c r="AE5433" s="185"/>
    </row>
    <row r="5434" spans="20:31" x14ac:dyDescent="0.25">
      <c r="T5434" s="81"/>
      <c r="W5434" s="185"/>
      <c r="AE5434" s="185"/>
    </row>
    <row r="5435" spans="20:31" x14ac:dyDescent="0.25">
      <c r="T5435" s="81"/>
      <c r="W5435" s="185"/>
      <c r="AE5435" s="185"/>
    </row>
    <row r="5436" spans="20:31" x14ac:dyDescent="0.25">
      <c r="T5436" s="81"/>
      <c r="W5436" s="185"/>
      <c r="AE5436" s="185"/>
    </row>
    <row r="5437" spans="20:31" x14ac:dyDescent="0.25">
      <c r="T5437" s="81"/>
      <c r="W5437" s="185"/>
      <c r="AE5437" s="185"/>
    </row>
    <row r="5438" spans="20:31" x14ac:dyDescent="0.25">
      <c r="T5438" s="81"/>
      <c r="W5438" s="185"/>
      <c r="AE5438" s="185"/>
    </row>
    <row r="5439" spans="20:31" x14ac:dyDescent="0.25">
      <c r="T5439" s="81"/>
      <c r="W5439" s="185"/>
      <c r="AE5439" s="185"/>
    </row>
    <row r="5440" spans="20:31" x14ac:dyDescent="0.25">
      <c r="T5440" s="81"/>
      <c r="W5440" s="185"/>
      <c r="AE5440" s="185"/>
    </row>
    <row r="5441" spans="20:31" x14ac:dyDescent="0.25">
      <c r="T5441" s="81"/>
      <c r="W5441" s="185"/>
      <c r="AE5441" s="185"/>
    </row>
    <row r="5442" spans="20:31" x14ac:dyDescent="0.25">
      <c r="T5442" s="81"/>
      <c r="W5442" s="185"/>
      <c r="AE5442" s="185"/>
    </row>
    <row r="5443" spans="20:31" x14ac:dyDescent="0.25">
      <c r="T5443" s="81"/>
      <c r="W5443" s="185"/>
      <c r="AE5443" s="185"/>
    </row>
    <row r="5444" spans="20:31" x14ac:dyDescent="0.25">
      <c r="T5444" s="81"/>
      <c r="W5444" s="185"/>
      <c r="AE5444" s="185"/>
    </row>
    <row r="5445" spans="20:31" x14ac:dyDescent="0.25">
      <c r="T5445" s="81"/>
      <c r="W5445" s="185"/>
      <c r="AE5445" s="185"/>
    </row>
    <row r="5446" spans="20:31" x14ac:dyDescent="0.25">
      <c r="T5446" s="81"/>
      <c r="W5446" s="185"/>
      <c r="AE5446" s="185"/>
    </row>
    <row r="5447" spans="20:31" x14ac:dyDescent="0.25">
      <c r="T5447" s="81"/>
      <c r="W5447" s="185"/>
      <c r="AE5447" s="185"/>
    </row>
    <row r="5448" spans="20:31" x14ac:dyDescent="0.25">
      <c r="T5448" s="81"/>
      <c r="W5448" s="185"/>
      <c r="AE5448" s="185"/>
    </row>
    <row r="5449" spans="20:31" x14ac:dyDescent="0.25">
      <c r="T5449" s="81"/>
      <c r="W5449" s="185"/>
      <c r="AE5449" s="185"/>
    </row>
    <row r="5450" spans="20:31" x14ac:dyDescent="0.25">
      <c r="T5450" s="81"/>
      <c r="W5450" s="185"/>
      <c r="AE5450" s="185"/>
    </row>
    <row r="5451" spans="20:31" x14ac:dyDescent="0.25">
      <c r="T5451" s="81"/>
      <c r="W5451" s="185"/>
      <c r="AE5451" s="185"/>
    </row>
    <row r="5452" spans="20:31" x14ac:dyDescent="0.25">
      <c r="T5452" s="81"/>
      <c r="W5452" s="185"/>
      <c r="AE5452" s="185"/>
    </row>
    <row r="5453" spans="20:31" x14ac:dyDescent="0.25">
      <c r="T5453" s="81"/>
      <c r="W5453" s="185"/>
      <c r="AE5453" s="185"/>
    </row>
    <row r="5454" spans="20:31" x14ac:dyDescent="0.25">
      <c r="T5454" s="81"/>
      <c r="W5454" s="185"/>
      <c r="AE5454" s="185"/>
    </row>
    <row r="5455" spans="20:31" x14ac:dyDescent="0.25">
      <c r="T5455" s="81"/>
      <c r="W5455" s="185"/>
      <c r="AE5455" s="185"/>
    </row>
    <row r="5456" spans="20:31" x14ac:dyDescent="0.25">
      <c r="T5456" s="81"/>
      <c r="W5456" s="185"/>
      <c r="AE5456" s="185"/>
    </row>
    <row r="5457" spans="20:31" x14ac:dyDescent="0.25">
      <c r="T5457" s="81"/>
      <c r="W5457" s="185"/>
      <c r="AE5457" s="185"/>
    </row>
    <row r="5458" spans="20:31" x14ac:dyDescent="0.25">
      <c r="T5458" s="81"/>
      <c r="W5458" s="185"/>
      <c r="AE5458" s="185"/>
    </row>
    <row r="5459" spans="20:31" x14ac:dyDescent="0.25">
      <c r="T5459" s="81"/>
      <c r="W5459" s="185"/>
      <c r="AE5459" s="185"/>
    </row>
    <row r="5460" spans="20:31" x14ac:dyDescent="0.25">
      <c r="T5460" s="81"/>
      <c r="W5460" s="185"/>
      <c r="AE5460" s="185"/>
    </row>
    <row r="5461" spans="20:31" x14ac:dyDescent="0.25">
      <c r="T5461" s="81"/>
      <c r="W5461" s="185"/>
      <c r="AE5461" s="185"/>
    </row>
    <row r="5462" spans="20:31" x14ac:dyDescent="0.25">
      <c r="T5462" s="81"/>
      <c r="W5462" s="185"/>
      <c r="AE5462" s="185"/>
    </row>
    <row r="5463" spans="20:31" x14ac:dyDescent="0.25">
      <c r="T5463" s="81"/>
      <c r="W5463" s="185"/>
      <c r="AE5463" s="185"/>
    </row>
    <row r="5464" spans="20:31" x14ac:dyDescent="0.25">
      <c r="T5464" s="81"/>
      <c r="W5464" s="185"/>
      <c r="AE5464" s="185"/>
    </row>
    <row r="5465" spans="20:31" x14ac:dyDescent="0.25">
      <c r="T5465" s="81"/>
      <c r="W5465" s="185"/>
      <c r="AE5465" s="185"/>
    </row>
    <row r="5466" spans="20:31" x14ac:dyDescent="0.25">
      <c r="T5466" s="81"/>
      <c r="W5466" s="185"/>
      <c r="AE5466" s="185"/>
    </row>
    <row r="5467" spans="20:31" x14ac:dyDescent="0.25">
      <c r="T5467" s="81"/>
      <c r="W5467" s="185"/>
      <c r="AE5467" s="185"/>
    </row>
    <row r="5468" spans="20:31" x14ac:dyDescent="0.25">
      <c r="T5468" s="81"/>
      <c r="W5468" s="185"/>
      <c r="AE5468" s="185"/>
    </row>
    <row r="5469" spans="20:31" x14ac:dyDescent="0.25">
      <c r="T5469" s="81"/>
      <c r="W5469" s="185"/>
      <c r="AE5469" s="185"/>
    </row>
    <row r="5470" spans="20:31" x14ac:dyDescent="0.25">
      <c r="T5470" s="81"/>
      <c r="W5470" s="185"/>
      <c r="AE5470" s="185"/>
    </row>
    <row r="5471" spans="20:31" x14ac:dyDescent="0.25">
      <c r="T5471" s="81"/>
      <c r="W5471" s="185"/>
      <c r="AE5471" s="185"/>
    </row>
    <row r="5472" spans="20:31" x14ac:dyDescent="0.25">
      <c r="T5472" s="81"/>
      <c r="W5472" s="185"/>
      <c r="AE5472" s="185"/>
    </row>
    <row r="5473" spans="20:31" x14ac:dyDescent="0.25">
      <c r="T5473" s="81"/>
      <c r="W5473" s="185"/>
      <c r="AE5473" s="185"/>
    </row>
    <row r="5474" spans="20:31" x14ac:dyDescent="0.25">
      <c r="T5474" s="81"/>
      <c r="W5474" s="185"/>
      <c r="AE5474" s="185"/>
    </row>
    <row r="5475" spans="20:31" x14ac:dyDescent="0.25">
      <c r="T5475" s="81"/>
      <c r="W5475" s="185"/>
      <c r="AE5475" s="185"/>
    </row>
    <row r="5476" spans="20:31" x14ac:dyDescent="0.25">
      <c r="T5476" s="81"/>
      <c r="W5476" s="185"/>
      <c r="AE5476" s="185"/>
    </row>
    <row r="5477" spans="20:31" x14ac:dyDescent="0.25">
      <c r="T5477" s="81"/>
      <c r="W5477" s="185"/>
      <c r="AE5477" s="185"/>
    </row>
    <row r="5478" spans="20:31" x14ac:dyDescent="0.25">
      <c r="T5478" s="81"/>
      <c r="W5478" s="185"/>
      <c r="AE5478" s="185"/>
    </row>
    <row r="5479" spans="20:31" x14ac:dyDescent="0.25">
      <c r="T5479" s="81"/>
      <c r="W5479" s="185"/>
      <c r="AE5479" s="185"/>
    </row>
    <row r="5480" spans="20:31" x14ac:dyDescent="0.25">
      <c r="T5480" s="81"/>
      <c r="W5480" s="185"/>
      <c r="AE5480" s="185"/>
    </row>
    <row r="5481" spans="20:31" x14ac:dyDescent="0.25">
      <c r="T5481" s="81"/>
      <c r="W5481" s="185"/>
      <c r="AE5481" s="185"/>
    </row>
    <row r="5482" spans="20:31" x14ac:dyDescent="0.25">
      <c r="T5482" s="81"/>
      <c r="W5482" s="185"/>
      <c r="AE5482" s="185"/>
    </row>
    <row r="5483" spans="20:31" x14ac:dyDescent="0.25">
      <c r="T5483" s="81"/>
      <c r="W5483" s="185"/>
      <c r="AE5483" s="185"/>
    </row>
    <row r="5484" spans="20:31" x14ac:dyDescent="0.25">
      <c r="T5484" s="81"/>
      <c r="W5484" s="185"/>
      <c r="AE5484" s="185"/>
    </row>
    <row r="5485" spans="20:31" x14ac:dyDescent="0.25">
      <c r="T5485" s="81"/>
      <c r="W5485" s="185"/>
      <c r="AE5485" s="185"/>
    </row>
    <row r="5486" spans="20:31" x14ac:dyDescent="0.25">
      <c r="T5486" s="81"/>
      <c r="W5486" s="185"/>
      <c r="AE5486" s="185"/>
    </row>
    <row r="5487" spans="20:31" x14ac:dyDescent="0.25">
      <c r="T5487" s="81"/>
      <c r="W5487" s="185"/>
      <c r="AE5487" s="185"/>
    </row>
    <row r="5488" spans="20:31" x14ac:dyDescent="0.25">
      <c r="T5488" s="81"/>
      <c r="W5488" s="185"/>
      <c r="AE5488" s="185"/>
    </row>
    <row r="5489" spans="20:31" x14ac:dyDescent="0.25">
      <c r="T5489" s="81"/>
      <c r="W5489" s="185"/>
      <c r="AE5489" s="185"/>
    </row>
    <row r="5490" spans="20:31" x14ac:dyDescent="0.25">
      <c r="T5490" s="81"/>
      <c r="W5490" s="185"/>
      <c r="AE5490" s="185"/>
    </row>
    <row r="5491" spans="20:31" x14ac:dyDescent="0.25">
      <c r="T5491" s="81"/>
      <c r="W5491" s="185"/>
      <c r="AE5491" s="185"/>
    </row>
    <row r="5492" spans="20:31" x14ac:dyDescent="0.25">
      <c r="T5492" s="81"/>
      <c r="W5492" s="185"/>
      <c r="AE5492" s="185"/>
    </row>
    <row r="5493" spans="20:31" x14ac:dyDescent="0.25">
      <c r="T5493" s="81"/>
      <c r="W5493" s="185"/>
      <c r="AE5493" s="185"/>
    </row>
    <row r="5494" spans="20:31" x14ac:dyDescent="0.25">
      <c r="T5494" s="81"/>
      <c r="W5494" s="185"/>
      <c r="AE5494" s="185"/>
    </row>
    <row r="5495" spans="20:31" x14ac:dyDescent="0.25">
      <c r="T5495" s="81"/>
      <c r="W5495" s="185"/>
      <c r="AE5495" s="185"/>
    </row>
    <row r="5496" spans="20:31" x14ac:dyDescent="0.25">
      <c r="T5496" s="81"/>
      <c r="W5496" s="185"/>
      <c r="AE5496" s="185"/>
    </row>
    <row r="5497" spans="20:31" x14ac:dyDescent="0.25">
      <c r="T5497" s="81"/>
      <c r="W5497" s="185"/>
      <c r="AE5497" s="185"/>
    </row>
    <row r="5498" spans="20:31" x14ac:dyDescent="0.25">
      <c r="T5498" s="81"/>
      <c r="W5498" s="185"/>
      <c r="AE5498" s="185"/>
    </row>
    <row r="5499" spans="20:31" x14ac:dyDescent="0.25">
      <c r="T5499" s="81"/>
      <c r="W5499" s="185"/>
      <c r="AE5499" s="185"/>
    </row>
    <row r="5500" spans="20:31" x14ac:dyDescent="0.25">
      <c r="T5500" s="81"/>
      <c r="W5500" s="185"/>
      <c r="AE5500" s="185"/>
    </row>
    <row r="5501" spans="20:31" x14ac:dyDescent="0.25">
      <c r="T5501" s="81"/>
      <c r="W5501" s="185"/>
      <c r="AE5501" s="185"/>
    </row>
    <row r="5502" spans="20:31" x14ac:dyDescent="0.25">
      <c r="T5502" s="81"/>
      <c r="W5502" s="185"/>
      <c r="AE5502" s="185"/>
    </row>
    <row r="5503" spans="20:31" x14ac:dyDescent="0.25">
      <c r="T5503" s="81"/>
      <c r="W5503" s="185"/>
      <c r="AE5503" s="185"/>
    </row>
    <row r="5504" spans="20:31" x14ac:dyDescent="0.25">
      <c r="T5504" s="81"/>
      <c r="W5504" s="185"/>
      <c r="AE5504" s="185"/>
    </row>
    <row r="5505" spans="20:31" x14ac:dyDescent="0.25">
      <c r="T5505" s="81"/>
      <c r="W5505" s="185"/>
      <c r="AE5505" s="185"/>
    </row>
    <row r="5506" spans="20:31" x14ac:dyDescent="0.25">
      <c r="T5506" s="81"/>
      <c r="W5506" s="185"/>
      <c r="AE5506" s="185"/>
    </row>
    <row r="5507" spans="20:31" x14ac:dyDescent="0.25">
      <c r="T5507" s="81"/>
      <c r="W5507" s="185"/>
      <c r="AE5507" s="185"/>
    </row>
    <row r="5508" spans="20:31" x14ac:dyDescent="0.25">
      <c r="T5508" s="81"/>
      <c r="W5508" s="185"/>
      <c r="AE5508" s="185"/>
    </row>
    <row r="5509" spans="20:31" x14ac:dyDescent="0.25">
      <c r="T5509" s="81"/>
      <c r="W5509" s="185"/>
      <c r="AE5509" s="185"/>
    </row>
    <row r="5510" spans="20:31" x14ac:dyDescent="0.25">
      <c r="T5510" s="81"/>
      <c r="W5510" s="185"/>
      <c r="AE5510" s="185"/>
    </row>
    <row r="5511" spans="20:31" x14ac:dyDescent="0.25">
      <c r="T5511" s="81"/>
      <c r="W5511" s="185"/>
      <c r="AE5511" s="185"/>
    </row>
    <row r="5512" spans="20:31" x14ac:dyDescent="0.25">
      <c r="T5512" s="81"/>
      <c r="W5512" s="185"/>
      <c r="AE5512" s="185"/>
    </row>
    <row r="5513" spans="20:31" x14ac:dyDescent="0.25">
      <c r="T5513" s="81"/>
      <c r="W5513" s="185"/>
      <c r="AE5513" s="185"/>
    </row>
    <row r="5514" spans="20:31" x14ac:dyDescent="0.25">
      <c r="T5514" s="81"/>
      <c r="W5514" s="185"/>
      <c r="AE5514" s="185"/>
    </row>
    <row r="5515" spans="20:31" x14ac:dyDescent="0.25">
      <c r="T5515" s="81"/>
      <c r="W5515" s="185"/>
      <c r="AE5515" s="185"/>
    </row>
    <row r="5516" spans="20:31" x14ac:dyDescent="0.25">
      <c r="T5516" s="81"/>
      <c r="W5516" s="185"/>
      <c r="AE5516" s="185"/>
    </row>
    <row r="5517" spans="20:31" x14ac:dyDescent="0.25">
      <c r="T5517" s="81"/>
      <c r="W5517" s="185"/>
      <c r="AE5517" s="185"/>
    </row>
    <row r="5518" spans="20:31" x14ac:dyDescent="0.25">
      <c r="T5518" s="81"/>
      <c r="W5518" s="185"/>
      <c r="AE5518" s="185"/>
    </row>
    <row r="5519" spans="20:31" x14ac:dyDescent="0.25">
      <c r="T5519" s="81"/>
      <c r="W5519" s="185"/>
      <c r="AE5519" s="185"/>
    </row>
    <row r="5520" spans="20:31" x14ac:dyDescent="0.25">
      <c r="T5520" s="81"/>
      <c r="W5520" s="185"/>
      <c r="AE5520" s="185"/>
    </row>
    <row r="5521" spans="20:31" x14ac:dyDescent="0.25">
      <c r="T5521" s="81"/>
      <c r="W5521" s="185"/>
      <c r="AE5521" s="185"/>
    </row>
    <row r="5522" spans="20:31" x14ac:dyDescent="0.25">
      <c r="T5522" s="81"/>
      <c r="W5522" s="185"/>
      <c r="AE5522" s="185"/>
    </row>
    <row r="5523" spans="20:31" x14ac:dyDescent="0.25">
      <c r="T5523" s="81"/>
      <c r="W5523" s="185"/>
      <c r="AE5523" s="185"/>
    </row>
    <row r="5524" spans="20:31" x14ac:dyDescent="0.25">
      <c r="T5524" s="81"/>
      <c r="W5524" s="185"/>
      <c r="AE5524" s="185"/>
    </row>
    <row r="5525" spans="20:31" x14ac:dyDescent="0.25">
      <c r="T5525" s="81"/>
      <c r="W5525" s="185"/>
      <c r="AE5525" s="185"/>
    </row>
    <row r="5526" spans="20:31" x14ac:dyDescent="0.25">
      <c r="T5526" s="81"/>
      <c r="W5526" s="185"/>
      <c r="AE5526" s="185"/>
    </row>
    <row r="5527" spans="20:31" x14ac:dyDescent="0.25">
      <c r="T5527" s="81"/>
      <c r="W5527" s="185"/>
      <c r="AE5527" s="185"/>
    </row>
    <row r="5528" spans="20:31" x14ac:dyDescent="0.25">
      <c r="T5528" s="81"/>
      <c r="W5528" s="185"/>
      <c r="AE5528" s="185"/>
    </row>
    <row r="5529" spans="20:31" x14ac:dyDescent="0.25">
      <c r="T5529" s="81"/>
      <c r="W5529" s="185"/>
      <c r="AE5529" s="185"/>
    </row>
    <row r="5530" spans="20:31" x14ac:dyDescent="0.25">
      <c r="T5530" s="81"/>
      <c r="W5530" s="185"/>
      <c r="AE5530" s="185"/>
    </row>
    <row r="5531" spans="20:31" x14ac:dyDescent="0.25">
      <c r="T5531" s="81"/>
      <c r="W5531" s="185"/>
      <c r="AE5531" s="185"/>
    </row>
    <row r="5532" spans="20:31" x14ac:dyDescent="0.25">
      <c r="T5532" s="81"/>
      <c r="W5532" s="185"/>
      <c r="AE5532" s="185"/>
    </row>
    <row r="5533" spans="20:31" x14ac:dyDescent="0.25">
      <c r="T5533" s="81"/>
      <c r="W5533" s="185"/>
      <c r="AE5533" s="185"/>
    </row>
    <row r="5534" spans="20:31" x14ac:dyDescent="0.25">
      <c r="T5534" s="81"/>
      <c r="W5534" s="185"/>
      <c r="AE5534" s="185"/>
    </row>
    <row r="5535" spans="20:31" x14ac:dyDescent="0.25">
      <c r="T5535" s="81"/>
      <c r="W5535" s="185"/>
      <c r="AE5535" s="185"/>
    </row>
    <row r="5536" spans="20:31" x14ac:dyDescent="0.25">
      <c r="T5536" s="81"/>
      <c r="W5536" s="185"/>
      <c r="AE5536" s="185"/>
    </row>
    <row r="5537" spans="20:31" x14ac:dyDescent="0.25">
      <c r="T5537" s="81"/>
      <c r="W5537" s="185"/>
      <c r="AE5537" s="185"/>
    </row>
    <row r="5538" spans="20:31" x14ac:dyDescent="0.25">
      <c r="T5538" s="81"/>
      <c r="W5538" s="185"/>
      <c r="AE5538" s="185"/>
    </row>
    <row r="5539" spans="20:31" x14ac:dyDescent="0.25">
      <c r="T5539" s="81"/>
      <c r="W5539" s="185"/>
      <c r="AE5539" s="185"/>
    </row>
    <row r="5540" spans="20:31" x14ac:dyDescent="0.25">
      <c r="T5540" s="81"/>
      <c r="W5540" s="185"/>
      <c r="AE5540" s="185"/>
    </row>
    <row r="5541" spans="20:31" x14ac:dyDescent="0.25">
      <c r="T5541" s="81"/>
      <c r="W5541" s="185"/>
      <c r="AE5541" s="185"/>
    </row>
    <row r="5542" spans="20:31" x14ac:dyDescent="0.25">
      <c r="T5542" s="81"/>
      <c r="W5542" s="185"/>
      <c r="AE5542" s="185"/>
    </row>
    <row r="5543" spans="20:31" x14ac:dyDescent="0.25">
      <c r="T5543" s="81"/>
      <c r="W5543" s="185"/>
      <c r="AE5543" s="185"/>
    </row>
    <row r="5544" spans="20:31" x14ac:dyDescent="0.25">
      <c r="T5544" s="81"/>
      <c r="W5544" s="185"/>
      <c r="AE5544" s="185"/>
    </row>
    <row r="5545" spans="20:31" x14ac:dyDescent="0.25">
      <c r="T5545" s="81"/>
      <c r="W5545" s="185"/>
      <c r="AE5545" s="185"/>
    </row>
    <row r="5546" spans="20:31" x14ac:dyDescent="0.25">
      <c r="T5546" s="81"/>
      <c r="W5546" s="185"/>
      <c r="AE5546" s="185"/>
    </row>
    <row r="5547" spans="20:31" x14ac:dyDescent="0.25">
      <c r="T5547" s="81"/>
      <c r="W5547" s="185"/>
      <c r="AE5547" s="185"/>
    </row>
    <row r="5548" spans="20:31" x14ac:dyDescent="0.25">
      <c r="T5548" s="81"/>
      <c r="W5548" s="185"/>
      <c r="AE5548" s="185"/>
    </row>
    <row r="5549" spans="20:31" x14ac:dyDescent="0.25">
      <c r="T5549" s="81"/>
      <c r="W5549" s="185"/>
      <c r="AE5549" s="185"/>
    </row>
    <row r="5550" spans="20:31" x14ac:dyDescent="0.25">
      <c r="T5550" s="81"/>
      <c r="W5550" s="185"/>
      <c r="AE5550" s="185"/>
    </row>
    <row r="5551" spans="20:31" x14ac:dyDescent="0.25">
      <c r="T5551" s="81"/>
      <c r="W5551" s="185"/>
      <c r="AE5551" s="185"/>
    </row>
    <row r="5552" spans="20:31" x14ac:dyDescent="0.25">
      <c r="T5552" s="81"/>
      <c r="W5552" s="185"/>
      <c r="AE5552" s="185"/>
    </row>
    <row r="5553" spans="20:31" x14ac:dyDescent="0.25">
      <c r="T5553" s="81"/>
      <c r="W5553" s="185"/>
      <c r="AE5553" s="185"/>
    </row>
    <row r="5554" spans="20:31" x14ac:dyDescent="0.25">
      <c r="T5554" s="81"/>
      <c r="W5554" s="185"/>
      <c r="AE5554" s="185"/>
    </row>
    <row r="5555" spans="20:31" x14ac:dyDescent="0.25">
      <c r="T5555" s="81"/>
      <c r="W5555" s="185"/>
      <c r="AE5555" s="185"/>
    </row>
    <row r="5556" spans="20:31" x14ac:dyDescent="0.25">
      <c r="T5556" s="81"/>
      <c r="W5556" s="185"/>
      <c r="AE5556" s="185"/>
    </row>
    <row r="5557" spans="20:31" x14ac:dyDescent="0.25">
      <c r="T5557" s="81"/>
      <c r="W5557" s="185"/>
      <c r="AE5557" s="185"/>
    </row>
    <row r="5558" spans="20:31" x14ac:dyDescent="0.25">
      <c r="T5558" s="81"/>
      <c r="W5558" s="185"/>
      <c r="AE5558" s="185"/>
    </row>
    <row r="5559" spans="20:31" x14ac:dyDescent="0.25">
      <c r="T5559" s="81"/>
      <c r="W5559" s="185"/>
      <c r="AE5559" s="185"/>
    </row>
    <row r="5560" spans="20:31" x14ac:dyDescent="0.25">
      <c r="T5560" s="81"/>
      <c r="W5560" s="185"/>
      <c r="AE5560" s="185"/>
    </row>
    <row r="5561" spans="20:31" x14ac:dyDescent="0.25">
      <c r="T5561" s="81"/>
      <c r="W5561" s="185"/>
      <c r="AE5561" s="185"/>
    </row>
    <row r="5562" spans="20:31" x14ac:dyDescent="0.25">
      <c r="T5562" s="81"/>
      <c r="W5562" s="185"/>
      <c r="AE5562" s="185"/>
    </row>
    <row r="5563" spans="20:31" x14ac:dyDescent="0.25">
      <c r="T5563" s="81"/>
      <c r="W5563" s="185"/>
      <c r="AE5563" s="185"/>
    </row>
    <row r="5564" spans="20:31" x14ac:dyDescent="0.25">
      <c r="T5564" s="81"/>
      <c r="W5564" s="185"/>
      <c r="AE5564" s="185"/>
    </row>
    <row r="5565" spans="20:31" x14ac:dyDescent="0.25">
      <c r="T5565" s="81"/>
      <c r="W5565" s="185"/>
      <c r="AE5565" s="185"/>
    </row>
    <row r="5566" spans="20:31" x14ac:dyDescent="0.25">
      <c r="T5566" s="81"/>
      <c r="W5566" s="185"/>
      <c r="AE5566" s="185"/>
    </row>
    <row r="5567" spans="20:31" x14ac:dyDescent="0.25">
      <c r="T5567" s="81"/>
      <c r="W5567" s="185"/>
      <c r="AE5567" s="185"/>
    </row>
    <row r="5568" spans="20:31" x14ac:dyDescent="0.25">
      <c r="T5568" s="81"/>
      <c r="W5568" s="185"/>
      <c r="AE5568" s="185"/>
    </row>
    <row r="5569" spans="20:31" x14ac:dyDescent="0.25">
      <c r="T5569" s="81"/>
      <c r="W5569" s="185"/>
      <c r="AE5569" s="185"/>
    </row>
    <row r="5570" spans="20:31" x14ac:dyDescent="0.25">
      <c r="T5570" s="81"/>
      <c r="W5570" s="185"/>
      <c r="AE5570" s="185"/>
    </row>
    <row r="5571" spans="20:31" x14ac:dyDescent="0.25">
      <c r="T5571" s="81"/>
      <c r="W5571" s="185"/>
      <c r="AE5571" s="185"/>
    </row>
    <row r="5572" spans="20:31" x14ac:dyDescent="0.25">
      <c r="T5572" s="81"/>
      <c r="W5572" s="185"/>
      <c r="AE5572" s="185"/>
    </row>
    <row r="5573" spans="20:31" x14ac:dyDescent="0.25">
      <c r="T5573" s="81"/>
      <c r="W5573" s="185"/>
      <c r="AE5573" s="185"/>
    </row>
    <row r="5574" spans="20:31" x14ac:dyDescent="0.25">
      <c r="T5574" s="81"/>
      <c r="W5574" s="185"/>
      <c r="AE5574" s="185"/>
    </row>
    <row r="5575" spans="20:31" x14ac:dyDescent="0.25">
      <c r="T5575" s="81"/>
      <c r="W5575" s="185"/>
      <c r="AE5575" s="185"/>
    </row>
    <row r="5576" spans="20:31" x14ac:dyDescent="0.25">
      <c r="T5576" s="81"/>
      <c r="W5576" s="185"/>
      <c r="AE5576" s="185"/>
    </row>
    <row r="5577" spans="20:31" x14ac:dyDescent="0.25">
      <c r="T5577" s="81"/>
      <c r="W5577" s="185"/>
      <c r="AE5577" s="185"/>
    </row>
    <row r="5578" spans="20:31" x14ac:dyDescent="0.25">
      <c r="T5578" s="81"/>
      <c r="W5578" s="185"/>
      <c r="AE5578" s="185"/>
    </row>
    <row r="5579" spans="20:31" x14ac:dyDescent="0.25">
      <c r="T5579" s="81"/>
      <c r="W5579" s="185"/>
      <c r="AE5579" s="185"/>
    </row>
    <row r="5580" spans="20:31" x14ac:dyDescent="0.25">
      <c r="T5580" s="81"/>
      <c r="W5580" s="185"/>
      <c r="AE5580" s="185"/>
    </row>
    <row r="5581" spans="20:31" x14ac:dyDescent="0.25">
      <c r="T5581" s="81"/>
      <c r="W5581" s="185"/>
      <c r="AE5581" s="185"/>
    </row>
    <row r="5582" spans="20:31" x14ac:dyDescent="0.25">
      <c r="T5582" s="81"/>
      <c r="W5582" s="185"/>
      <c r="AE5582" s="185"/>
    </row>
    <row r="5583" spans="20:31" x14ac:dyDescent="0.25">
      <c r="T5583" s="81"/>
      <c r="W5583" s="185"/>
      <c r="AE5583" s="185"/>
    </row>
    <row r="5584" spans="20:31" x14ac:dyDescent="0.25">
      <c r="T5584" s="81"/>
      <c r="W5584" s="185"/>
      <c r="AE5584" s="185"/>
    </row>
    <row r="5585" spans="20:31" x14ac:dyDescent="0.25">
      <c r="T5585" s="81"/>
      <c r="W5585" s="185"/>
      <c r="AE5585" s="185"/>
    </row>
    <row r="5586" spans="20:31" x14ac:dyDescent="0.25">
      <c r="T5586" s="81"/>
      <c r="W5586" s="185"/>
      <c r="AE5586" s="185"/>
    </row>
    <row r="5587" spans="20:31" x14ac:dyDescent="0.25">
      <c r="T5587" s="81"/>
      <c r="W5587" s="185"/>
      <c r="AE5587" s="185"/>
    </row>
    <row r="5588" spans="20:31" x14ac:dyDescent="0.25">
      <c r="T5588" s="81"/>
      <c r="W5588" s="185"/>
      <c r="AE5588" s="185"/>
    </row>
    <row r="5589" spans="20:31" x14ac:dyDescent="0.25">
      <c r="T5589" s="81"/>
      <c r="W5589" s="185"/>
      <c r="AE5589" s="185"/>
    </row>
    <row r="5590" spans="20:31" x14ac:dyDescent="0.25">
      <c r="T5590" s="81"/>
      <c r="W5590" s="185"/>
      <c r="AE5590" s="185"/>
    </row>
    <row r="5591" spans="20:31" x14ac:dyDescent="0.25">
      <c r="T5591" s="81"/>
      <c r="W5591" s="185"/>
      <c r="AE5591" s="185"/>
    </row>
    <row r="5592" spans="20:31" x14ac:dyDescent="0.25">
      <c r="T5592" s="81"/>
      <c r="W5592" s="185"/>
      <c r="AE5592" s="185"/>
    </row>
    <row r="5593" spans="20:31" x14ac:dyDescent="0.25">
      <c r="T5593" s="81"/>
      <c r="W5593" s="185"/>
      <c r="AE5593" s="185"/>
    </row>
    <row r="5594" spans="20:31" x14ac:dyDescent="0.25">
      <c r="T5594" s="81"/>
      <c r="W5594" s="185"/>
      <c r="AE5594" s="185"/>
    </row>
    <row r="5595" spans="20:31" x14ac:dyDescent="0.25">
      <c r="T5595" s="81"/>
      <c r="W5595" s="185"/>
      <c r="AE5595" s="185"/>
    </row>
    <row r="5596" spans="20:31" x14ac:dyDescent="0.25">
      <c r="T5596" s="81"/>
      <c r="W5596" s="185"/>
      <c r="AE5596" s="185"/>
    </row>
    <row r="5597" spans="20:31" x14ac:dyDescent="0.25">
      <c r="T5597" s="81"/>
      <c r="W5597" s="185"/>
      <c r="AE5597" s="185"/>
    </row>
    <row r="5598" spans="20:31" x14ac:dyDescent="0.25">
      <c r="T5598" s="81"/>
      <c r="W5598" s="185"/>
      <c r="AE5598" s="185"/>
    </row>
    <row r="5599" spans="20:31" x14ac:dyDescent="0.25">
      <c r="T5599" s="81"/>
      <c r="W5599" s="185"/>
      <c r="AE5599" s="185"/>
    </row>
    <row r="5600" spans="20:31" x14ac:dyDescent="0.25">
      <c r="T5600" s="81"/>
      <c r="W5600" s="185"/>
      <c r="AE5600" s="185"/>
    </row>
    <row r="5601" spans="20:31" x14ac:dyDescent="0.25">
      <c r="T5601" s="81"/>
      <c r="W5601" s="185"/>
      <c r="AE5601" s="185"/>
    </row>
    <row r="5602" spans="20:31" x14ac:dyDescent="0.25">
      <c r="T5602" s="81"/>
      <c r="W5602" s="185"/>
      <c r="AE5602" s="185"/>
    </row>
    <row r="5603" spans="20:31" x14ac:dyDescent="0.25">
      <c r="T5603" s="81"/>
      <c r="W5603" s="185"/>
      <c r="AE5603" s="185"/>
    </row>
    <row r="5604" spans="20:31" x14ac:dyDescent="0.25">
      <c r="T5604" s="81"/>
      <c r="W5604" s="185"/>
      <c r="AE5604" s="185"/>
    </row>
    <row r="5605" spans="20:31" x14ac:dyDescent="0.25">
      <c r="T5605" s="81"/>
      <c r="W5605" s="185"/>
      <c r="AE5605" s="185"/>
    </row>
    <row r="5606" spans="20:31" x14ac:dyDescent="0.25">
      <c r="T5606" s="81"/>
      <c r="W5606" s="185"/>
      <c r="AE5606" s="185"/>
    </row>
    <row r="5607" spans="20:31" x14ac:dyDescent="0.25">
      <c r="T5607" s="81"/>
      <c r="W5607" s="185"/>
      <c r="AE5607" s="185"/>
    </row>
    <row r="5608" spans="20:31" x14ac:dyDescent="0.25">
      <c r="T5608" s="81"/>
      <c r="W5608" s="185"/>
      <c r="AE5608" s="185"/>
    </row>
    <row r="5609" spans="20:31" x14ac:dyDescent="0.25">
      <c r="T5609" s="81"/>
      <c r="W5609" s="185"/>
      <c r="AE5609" s="185"/>
    </row>
    <row r="5610" spans="20:31" x14ac:dyDescent="0.25">
      <c r="T5610" s="81"/>
      <c r="W5610" s="185"/>
      <c r="AE5610" s="185"/>
    </row>
    <row r="5611" spans="20:31" x14ac:dyDescent="0.25">
      <c r="T5611" s="81"/>
      <c r="W5611" s="185"/>
      <c r="AE5611" s="185"/>
    </row>
    <row r="5612" spans="20:31" x14ac:dyDescent="0.25">
      <c r="T5612" s="81"/>
      <c r="W5612" s="185"/>
      <c r="AE5612" s="185"/>
    </row>
    <row r="5613" spans="20:31" x14ac:dyDescent="0.25">
      <c r="T5613" s="81"/>
      <c r="W5613" s="185"/>
      <c r="AE5613" s="185"/>
    </row>
    <row r="5614" spans="20:31" x14ac:dyDescent="0.25">
      <c r="T5614" s="81"/>
      <c r="W5614" s="185"/>
      <c r="AE5614" s="185"/>
    </row>
    <row r="5615" spans="20:31" x14ac:dyDescent="0.25">
      <c r="T5615" s="81"/>
      <c r="W5615" s="185"/>
      <c r="AE5615" s="185"/>
    </row>
    <row r="5616" spans="20:31" x14ac:dyDescent="0.25">
      <c r="T5616" s="81"/>
      <c r="W5616" s="185"/>
      <c r="AE5616" s="185"/>
    </row>
    <row r="5617" spans="20:31" x14ac:dyDescent="0.25">
      <c r="T5617" s="81"/>
      <c r="W5617" s="185"/>
      <c r="AE5617" s="185"/>
    </row>
    <row r="5618" spans="20:31" x14ac:dyDescent="0.25">
      <c r="T5618" s="81"/>
      <c r="W5618" s="185"/>
      <c r="AE5618" s="185"/>
    </row>
    <row r="5619" spans="20:31" x14ac:dyDescent="0.25">
      <c r="T5619" s="81"/>
      <c r="W5619" s="185"/>
      <c r="AE5619" s="185"/>
    </row>
    <row r="5620" spans="20:31" x14ac:dyDescent="0.25">
      <c r="T5620" s="81"/>
      <c r="W5620" s="185"/>
      <c r="AE5620" s="185"/>
    </row>
    <row r="5621" spans="20:31" x14ac:dyDescent="0.25">
      <c r="T5621" s="81"/>
      <c r="W5621" s="185"/>
      <c r="AE5621" s="185"/>
    </row>
    <row r="5622" spans="20:31" x14ac:dyDescent="0.25">
      <c r="T5622" s="81"/>
      <c r="W5622" s="185"/>
      <c r="AE5622" s="185"/>
    </row>
    <row r="5623" spans="20:31" x14ac:dyDescent="0.25">
      <c r="T5623" s="81"/>
      <c r="W5623" s="185"/>
      <c r="AE5623" s="185"/>
    </row>
    <row r="5624" spans="20:31" x14ac:dyDescent="0.25">
      <c r="T5624" s="81"/>
      <c r="W5624" s="185"/>
      <c r="AE5624" s="185"/>
    </row>
    <row r="5625" spans="20:31" x14ac:dyDescent="0.25">
      <c r="T5625" s="81"/>
      <c r="W5625" s="185"/>
      <c r="AE5625" s="185"/>
    </row>
    <row r="5626" spans="20:31" x14ac:dyDescent="0.25">
      <c r="T5626" s="81"/>
      <c r="W5626" s="185"/>
      <c r="AE5626" s="185"/>
    </row>
    <row r="5627" spans="20:31" x14ac:dyDescent="0.25">
      <c r="T5627" s="81"/>
      <c r="W5627" s="185"/>
      <c r="AE5627" s="185"/>
    </row>
    <row r="5628" spans="20:31" x14ac:dyDescent="0.25">
      <c r="T5628" s="81"/>
      <c r="W5628" s="185"/>
      <c r="AE5628" s="185"/>
    </row>
    <row r="5629" spans="20:31" x14ac:dyDescent="0.25">
      <c r="T5629" s="81"/>
      <c r="W5629" s="185"/>
      <c r="AE5629" s="185"/>
    </row>
    <row r="5630" spans="20:31" x14ac:dyDescent="0.25">
      <c r="T5630" s="81"/>
      <c r="W5630" s="185"/>
      <c r="AE5630" s="185"/>
    </row>
    <row r="5631" spans="20:31" x14ac:dyDescent="0.25">
      <c r="T5631" s="81"/>
      <c r="W5631" s="185"/>
      <c r="AE5631" s="185"/>
    </row>
    <row r="5632" spans="20:31" x14ac:dyDescent="0.25">
      <c r="T5632" s="81"/>
      <c r="W5632" s="185"/>
      <c r="AE5632" s="185"/>
    </row>
    <row r="5633" spans="20:31" x14ac:dyDescent="0.25">
      <c r="T5633" s="81"/>
      <c r="W5633" s="185"/>
      <c r="AE5633" s="185"/>
    </row>
    <row r="5634" spans="20:31" x14ac:dyDescent="0.25">
      <c r="T5634" s="81"/>
      <c r="W5634" s="185"/>
      <c r="AE5634" s="185"/>
    </row>
    <row r="5635" spans="20:31" x14ac:dyDescent="0.25">
      <c r="T5635" s="81"/>
      <c r="W5635" s="185"/>
      <c r="AE5635" s="185"/>
    </row>
    <row r="5636" spans="20:31" x14ac:dyDescent="0.25">
      <c r="T5636" s="81"/>
      <c r="W5636" s="185"/>
      <c r="AE5636" s="185"/>
    </row>
    <row r="5637" spans="20:31" x14ac:dyDescent="0.25">
      <c r="T5637" s="81"/>
      <c r="W5637" s="185"/>
      <c r="AE5637" s="185"/>
    </row>
    <row r="5638" spans="20:31" x14ac:dyDescent="0.25">
      <c r="T5638" s="81"/>
      <c r="W5638" s="185"/>
      <c r="AE5638" s="185"/>
    </row>
    <row r="5639" spans="20:31" x14ac:dyDescent="0.25">
      <c r="T5639" s="81"/>
      <c r="W5639" s="185"/>
      <c r="AE5639" s="185"/>
    </row>
    <row r="5640" spans="20:31" x14ac:dyDescent="0.25">
      <c r="T5640" s="81"/>
      <c r="W5640" s="185"/>
      <c r="AE5640" s="185"/>
    </row>
    <row r="5641" spans="20:31" x14ac:dyDescent="0.25">
      <c r="T5641" s="81"/>
      <c r="W5641" s="185"/>
      <c r="AE5641" s="185"/>
    </row>
    <row r="5642" spans="20:31" x14ac:dyDescent="0.25">
      <c r="T5642" s="81"/>
      <c r="W5642" s="185"/>
      <c r="AE5642" s="185"/>
    </row>
    <row r="5643" spans="20:31" x14ac:dyDescent="0.25">
      <c r="T5643" s="81"/>
      <c r="W5643" s="185"/>
      <c r="AE5643" s="185"/>
    </row>
    <row r="5644" spans="20:31" x14ac:dyDescent="0.25">
      <c r="T5644" s="81"/>
      <c r="W5644" s="185"/>
      <c r="AE5644" s="185"/>
    </row>
    <row r="5645" spans="20:31" x14ac:dyDescent="0.25">
      <c r="T5645" s="81"/>
      <c r="W5645" s="185"/>
      <c r="AE5645" s="185"/>
    </row>
    <row r="5646" spans="20:31" x14ac:dyDescent="0.25">
      <c r="T5646" s="81"/>
      <c r="W5646" s="185"/>
      <c r="AE5646" s="185"/>
    </row>
    <row r="5647" spans="20:31" x14ac:dyDescent="0.25">
      <c r="T5647" s="81"/>
      <c r="W5647" s="185"/>
      <c r="AE5647" s="185"/>
    </row>
    <row r="5648" spans="20:31" x14ac:dyDescent="0.25">
      <c r="T5648" s="81"/>
      <c r="W5648" s="185"/>
      <c r="AE5648" s="185"/>
    </row>
    <row r="5649" spans="20:31" x14ac:dyDescent="0.25">
      <c r="T5649" s="81"/>
      <c r="W5649" s="185"/>
      <c r="AE5649" s="185"/>
    </row>
    <row r="5650" spans="20:31" x14ac:dyDescent="0.25">
      <c r="T5650" s="81"/>
      <c r="W5650" s="185"/>
      <c r="AE5650" s="185"/>
    </row>
    <row r="5651" spans="20:31" x14ac:dyDescent="0.25">
      <c r="T5651" s="81"/>
      <c r="W5651" s="185"/>
      <c r="AE5651" s="185"/>
    </row>
    <row r="5652" spans="20:31" x14ac:dyDescent="0.25">
      <c r="T5652" s="81"/>
      <c r="W5652" s="185"/>
      <c r="AE5652" s="185"/>
    </row>
    <row r="5653" spans="20:31" x14ac:dyDescent="0.25">
      <c r="T5653" s="81"/>
      <c r="W5653" s="185"/>
      <c r="AE5653" s="185"/>
    </row>
    <row r="5654" spans="20:31" x14ac:dyDescent="0.25">
      <c r="T5654" s="81"/>
      <c r="W5654" s="185"/>
      <c r="AE5654" s="185"/>
    </row>
    <row r="5655" spans="20:31" x14ac:dyDescent="0.25">
      <c r="T5655" s="81"/>
      <c r="W5655" s="185"/>
      <c r="AE5655" s="185"/>
    </row>
    <row r="5656" spans="20:31" x14ac:dyDescent="0.25">
      <c r="T5656" s="81"/>
      <c r="W5656" s="185"/>
      <c r="AE5656" s="185"/>
    </row>
    <row r="5657" spans="20:31" x14ac:dyDescent="0.25">
      <c r="T5657" s="81"/>
      <c r="W5657" s="185"/>
      <c r="AE5657" s="185"/>
    </row>
    <row r="5658" spans="20:31" x14ac:dyDescent="0.25">
      <c r="T5658" s="81"/>
      <c r="W5658" s="185"/>
      <c r="AE5658" s="185"/>
    </row>
    <row r="5659" spans="20:31" x14ac:dyDescent="0.25">
      <c r="T5659" s="81"/>
      <c r="W5659" s="185"/>
      <c r="AE5659" s="185"/>
    </row>
    <row r="5660" spans="20:31" x14ac:dyDescent="0.25">
      <c r="T5660" s="81"/>
      <c r="W5660" s="185"/>
      <c r="AE5660" s="185"/>
    </row>
    <row r="5661" spans="20:31" x14ac:dyDescent="0.25">
      <c r="T5661" s="81"/>
      <c r="W5661" s="185"/>
      <c r="AE5661" s="185"/>
    </row>
    <row r="5662" spans="20:31" x14ac:dyDescent="0.25">
      <c r="T5662" s="81"/>
      <c r="W5662" s="185"/>
      <c r="AE5662" s="185"/>
    </row>
    <row r="5663" spans="20:31" x14ac:dyDescent="0.25">
      <c r="T5663" s="81"/>
      <c r="W5663" s="185"/>
      <c r="AE5663" s="185"/>
    </row>
    <row r="5664" spans="20:31" x14ac:dyDescent="0.25">
      <c r="T5664" s="81"/>
      <c r="W5664" s="185"/>
      <c r="AE5664" s="185"/>
    </row>
    <row r="5665" spans="20:31" x14ac:dyDescent="0.25">
      <c r="T5665" s="81"/>
      <c r="W5665" s="185"/>
      <c r="AE5665" s="185"/>
    </row>
    <row r="5666" spans="20:31" x14ac:dyDescent="0.25">
      <c r="T5666" s="81"/>
      <c r="W5666" s="185"/>
      <c r="AE5666" s="185"/>
    </row>
    <row r="5667" spans="20:31" x14ac:dyDescent="0.25">
      <c r="T5667" s="81"/>
      <c r="W5667" s="185"/>
      <c r="AE5667" s="185"/>
    </row>
    <row r="5668" spans="20:31" x14ac:dyDescent="0.25">
      <c r="T5668" s="81"/>
      <c r="W5668" s="185"/>
      <c r="AE5668" s="185"/>
    </row>
    <row r="5669" spans="20:31" x14ac:dyDescent="0.25">
      <c r="T5669" s="81"/>
      <c r="W5669" s="185"/>
      <c r="AE5669" s="185"/>
    </row>
    <row r="5670" spans="20:31" x14ac:dyDescent="0.25">
      <c r="T5670" s="81"/>
      <c r="W5670" s="185"/>
      <c r="AE5670" s="185"/>
    </row>
    <row r="5671" spans="20:31" x14ac:dyDescent="0.25">
      <c r="T5671" s="81"/>
      <c r="W5671" s="185"/>
      <c r="AE5671" s="185"/>
    </row>
    <row r="5672" spans="20:31" x14ac:dyDescent="0.25">
      <c r="T5672" s="81"/>
      <c r="W5672" s="185"/>
      <c r="AE5672" s="185"/>
    </row>
    <row r="5673" spans="20:31" x14ac:dyDescent="0.25">
      <c r="T5673" s="81"/>
      <c r="W5673" s="185"/>
      <c r="AE5673" s="185"/>
    </row>
    <row r="5674" spans="20:31" x14ac:dyDescent="0.25">
      <c r="T5674" s="81"/>
      <c r="W5674" s="185"/>
      <c r="AE5674" s="185"/>
    </row>
    <row r="5675" spans="20:31" x14ac:dyDescent="0.25">
      <c r="T5675" s="81"/>
      <c r="W5675" s="185"/>
      <c r="AE5675" s="185"/>
    </row>
    <row r="5676" spans="20:31" x14ac:dyDescent="0.25">
      <c r="T5676" s="81"/>
      <c r="W5676" s="185"/>
      <c r="AE5676" s="185"/>
    </row>
    <row r="5677" spans="20:31" x14ac:dyDescent="0.25">
      <c r="T5677" s="81"/>
      <c r="W5677" s="185"/>
      <c r="AE5677" s="185"/>
    </row>
    <row r="5678" spans="20:31" x14ac:dyDescent="0.25">
      <c r="T5678" s="81"/>
      <c r="W5678" s="185"/>
      <c r="AE5678" s="185"/>
    </row>
    <row r="5679" spans="20:31" x14ac:dyDescent="0.25">
      <c r="T5679" s="81"/>
      <c r="W5679" s="185"/>
      <c r="AE5679" s="185"/>
    </row>
    <row r="5680" spans="20:31" x14ac:dyDescent="0.25">
      <c r="T5680" s="81"/>
      <c r="W5680" s="185"/>
      <c r="AE5680" s="185"/>
    </row>
    <row r="5681" spans="20:31" x14ac:dyDescent="0.25">
      <c r="T5681" s="81"/>
      <c r="W5681" s="185"/>
      <c r="AE5681" s="185"/>
    </row>
    <row r="5682" spans="20:31" x14ac:dyDescent="0.25">
      <c r="T5682" s="81"/>
      <c r="W5682" s="185"/>
      <c r="AE5682" s="185"/>
    </row>
    <row r="5683" spans="20:31" x14ac:dyDescent="0.25">
      <c r="T5683" s="81"/>
      <c r="W5683" s="185"/>
      <c r="AE5683" s="185"/>
    </row>
    <row r="5684" spans="20:31" x14ac:dyDescent="0.25">
      <c r="T5684" s="81"/>
      <c r="W5684" s="185"/>
      <c r="AE5684" s="185"/>
    </row>
    <row r="5685" spans="20:31" x14ac:dyDescent="0.25">
      <c r="T5685" s="81"/>
      <c r="W5685" s="185"/>
      <c r="AE5685" s="185"/>
    </row>
    <row r="5686" spans="20:31" x14ac:dyDescent="0.25">
      <c r="T5686" s="81"/>
      <c r="W5686" s="185"/>
      <c r="AE5686" s="185"/>
    </row>
    <row r="5687" spans="20:31" x14ac:dyDescent="0.25">
      <c r="T5687" s="81"/>
      <c r="W5687" s="185"/>
      <c r="AE5687" s="185"/>
    </row>
    <row r="5688" spans="20:31" x14ac:dyDescent="0.25">
      <c r="T5688" s="81"/>
      <c r="W5688" s="185"/>
      <c r="AE5688" s="185"/>
    </row>
    <row r="5689" spans="20:31" x14ac:dyDescent="0.25">
      <c r="T5689" s="81"/>
      <c r="W5689" s="185"/>
      <c r="AE5689" s="185"/>
    </row>
    <row r="5690" spans="20:31" x14ac:dyDescent="0.25">
      <c r="T5690" s="81"/>
      <c r="W5690" s="185"/>
      <c r="AE5690" s="185"/>
    </row>
    <row r="5691" spans="20:31" x14ac:dyDescent="0.25">
      <c r="T5691" s="81"/>
      <c r="W5691" s="185"/>
      <c r="AE5691" s="185"/>
    </row>
    <row r="5692" spans="20:31" x14ac:dyDescent="0.25">
      <c r="T5692" s="81"/>
      <c r="W5692" s="185"/>
      <c r="AE5692" s="185"/>
    </row>
    <row r="5693" spans="20:31" x14ac:dyDescent="0.25">
      <c r="T5693" s="81"/>
      <c r="W5693" s="185"/>
      <c r="AE5693" s="185"/>
    </row>
    <row r="5694" spans="20:31" x14ac:dyDescent="0.25">
      <c r="T5694" s="81"/>
      <c r="W5694" s="185"/>
      <c r="AE5694" s="185"/>
    </row>
    <row r="5695" spans="20:31" x14ac:dyDescent="0.25">
      <c r="T5695" s="81"/>
      <c r="W5695" s="185"/>
      <c r="AE5695" s="185"/>
    </row>
    <row r="5696" spans="20:31" x14ac:dyDescent="0.25">
      <c r="T5696" s="81"/>
      <c r="W5696" s="185"/>
      <c r="AE5696" s="185"/>
    </row>
    <row r="5697" spans="20:31" x14ac:dyDescent="0.25">
      <c r="T5697" s="81"/>
      <c r="W5697" s="185"/>
      <c r="AE5697" s="185"/>
    </row>
    <row r="5698" spans="20:31" x14ac:dyDescent="0.25">
      <c r="T5698" s="81"/>
      <c r="W5698" s="185"/>
      <c r="AE5698" s="185"/>
    </row>
    <row r="5699" spans="20:31" x14ac:dyDescent="0.25">
      <c r="T5699" s="81"/>
      <c r="W5699" s="185"/>
      <c r="AE5699" s="185"/>
    </row>
    <row r="5700" spans="20:31" x14ac:dyDescent="0.25">
      <c r="T5700" s="81"/>
      <c r="W5700" s="185"/>
      <c r="AE5700" s="185"/>
    </row>
    <row r="5701" spans="20:31" x14ac:dyDescent="0.25">
      <c r="T5701" s="81"/>
      <c r="W5701" s="185"/>
      <c r="AE5701" s="185"/>
    </row>
    <row r="5702" spans="20:31" x14ac:dyDescent="0.25">
      <c r="T5702" s="81"/>
      <c r="W5702" s="185"/>
      <c r="AE5702" s="185"/>
    </row>
    <row r="5703" spans="20:31" x14ac:dyDescent="0.25">
      <c r="T5703" s="81"/>
      <c r="W5703" s="185"/>
      <c r="AE5703" s="185"/>
    </row>
    <row r="5704" spans="20:31" x14ac:dyDescent="0.25">
      <c r="T5704" s="81"/>
      <c r="W5704" s="185"/>
      <c r="AE5704" s="185"/>
    </row>
    <row r="5705" spans="20:31" x14ac:dyDescent="0.25">
      <c r="T5705" s="81"/>
      <c r="W5705" s="185"/>
      <c r="AE5705" s="185"/>
    </row>
    <row r="5706" spans="20:31" x14ac:dyDescent="0.25">
      <c r="T5706" s="81"/>
      <c r="W5706" s="185"/>
      <c r="AE5706" s="185"/>
    </row>
    <row r="5707" spans="20:31" x14ac:dyDescent="0.25">
      <c r="T5707" s="81"/>
      <c r="W5707" s="185"/>
      <c r="AE5707" s="185"/>
    </row>
    <row r="5708" spans="20:31" x14ac:dyDescent="0.25">
      <c r="T5708" s="81"/>
      <c r="W5708" s="185"/>
      <c r="AE5708" s="185"/>
    </row>
    <row r="5709" spans="20:31" x14ac:dyDescent="0.25">
      <c r="T5709" s="81"/>
      <c r="W5709" s="185"/>
      <c r="AE5709" s="185"/>
    </row>
    <row r="5710" spans="20:31" x14ac:dyDescent="0.25">
      <c r="T5710" s="81"/>
      <c r="W5710" s="185"/>
      <c r="AE5710" s="185"/>
    </row>
    <row r="5711" spans="20:31" x14ac:dyDescent="0.25">
      <c r="T5711" s="81"/>
      <c r="W5711" s="185"/>
      <c r="AE5711" s="185"/>
    </row>
    <row r="5712" spans="20:31" x14ac:dyDescent="0.25">
      <c r="T5712" s="81"/>
      <c r="W5712" s="185"/>
      <c r="AE5712" s="185"/>
    </row>
    <row r="5713" spans="20:31" x14ac:dyDescent="0.25">
      <c r="T5713" s="81"/>
      <c r="W5713" s="185"/>
      <c r="AE5713" s="185"/>
    </row>
    <row r="5714" spans="20:31" x14ac:dyDescent="0.25">
      <c r="T5714" s="81"/>
      <c r="W5714" s="185"/>
      <c r="AE5714" s="185"/>
    </row>
    <row r="5715" spans="20:31" x14ac:dyDescent="0.25">
      <c r="T5715" s="81"/>
      <c r="W5715" s="185"/>
      <c r="AE5715" s="185"/>
    </row>
    <row r="5716" spans="20:31" x14ac:dyDescent="0.25">
      <c r="T5716" s="81"/>
      <c r="W5716" s="185"/>
      <c r="AE5716" s="185"/>
    </row>
    <row r="5717" spans="20:31" x14ac:dyDescent="0.25">
      <c r="T5717" s="81"/>
      <c r="W5717" s="185"/>
      <c r="AE5717" s="185"/>
    </row>
    <row r="5718" spans="20:31" x14ac:dyDescent="0.25">
      <c r="T5718" s="81"/>
      <c r="W5718" s="185"/>
      <c r="AE5718" s="185"/>
    </row>
    <row r="5719" spans="20:31" x14ac:dyDescent="0.25">
      <c r="T5719" s="81"/>
      <c r="W5719" s="185"/>
      <c r="AE5719" s="185"/>
    </row>
    <row r="5720" spans="20:31" x14ac:dyDescent="0.25">
      <c r="T5720" s="81"/>
      <c r="W5720" s="185"/>
      <c r="AE5720" s="185"/>
    </row>
    <row r="5721" spans="20:31" x14ac:dyDescent="0.25">
      <c r="T5721" s="81"/>
      <c r="W5721" s="185"/>
      <c r="AE5721" s="185"/>
    </row>
    <row r="5722" spans="20:31" x14ac:dyDescent="0.25">
      <c r="T5722" s="81"/>
      <c r="W5722" s="185"/>
      <c r="AE5722" s="185"/>
    </row>
    <row r="5723" spans="20:31" x14ac:dyDescent="0.25">
      <c r="T5723" s="81"/>
      <c r="W5723" s="185"/>
      <c r="AE5723" s="185"/>
    </row>
    <row r="5724" spans="20:31" x14ac:dyDescent="0.25">
      <c r="T5724" s="81"/>
      <c r="W5724" s="185"/>
      <c r="AE5724" s="185"/>
    </row>
    <row r="5725" spans="20:31" x14ac:dyDescent="0.25">
      <c r="T5725" s="81"/>
      <c r="W5725" s="185"/>
      <c r="AE5725" s="185"/>
    </row>
    <row r="5726" spans="20:31" x14ac:dyDescent="0.25">
      <c r="T5726" s="81"/>
      <c r="W5726" s="185"/>
      <c r="AE5726" s="185"/>
    </row>
    <row r="5727" spans="20:31" x14ac:dyDescent="0.25">
      <c r="T5727" s="81"/>
      <c r="W5727" s="185"/>
      <c r="AE5727" s="185"/>
    </row>
    <row r="5728" spans="20:31" x14ac:dyDescent="0.25">
      <c r="T5728" s="81"/>
      <c r="W5728" s="185"/>
      <c r="AE5728" s="185"/>
    </row>
    <row r="5729" spans="20:31" x14ac:dyDescent="0.25">
      <c r="T5729" s="81"/>
      <c r="W5729" s="185"/>
      <c r="AE5729" s="185"/>
    </row>
    <row r="5730" spans="20:31" x14ac:dyDescent="0.25">
      <c r="T5730" s="81"/>
      <c r="W5730" s="185"/>
      <c r="AE5730" s="185"/>
    </row>
    <row r="5731" spans="20:31" x14ac:dyDescent="0.25">
      <c r="T5731" s="81"/>
      <c r="W5731" s="185"/>
      <c r="AE5731" s="185"/>
    </row>
    <row r="5732" spans="20:31" x14ac:dyDescent="0.25">
      <c r="T5732" s="81"/>
      <c r="W5732" s="185"/>
      <c r="AE5732" s="185"/>
    </row>
    <row r="5733" spans="20:31" x14ac:dyDescent="0.25">
      <c r="T5733" s="81"/>
      <c r="W5733" s="185"/>
      <c r="AE5733" s="185"/>
    </row>
    <row r="5734" spans="20:31" x14ac:dyDescent="0.25">
      <c r="T5734" s="81"/>
      <c r="W5734" s="185"/>
      <c r="AE5734" s="185"/>
    </row>
    <row r="5735" spans="20:31" x14ac:dyDescent="0.25">
      <c r="T5735" s="81"/>
      <c r="W5735" s="185"/>
      <c r="AE5735" s="185"/>
    </row>
    <row r="5736" spans="20:31" x14ac:dyDescent="0.25">
      <c r="T5736" s="81"/>
      <c r="W5736" s="185"/>
      <c r="AE5736" s="185"/>
    </row>
    <row r="5737" spans="20:31" x14ac:dyDescent="0.25">
      <c r="T5737" s="81"/>
      <c r="W5737" s="185"/>
      <c r="AE5737" s="185"/>
    </row>
    <row r="5738" spans="20:31" x14ac:dyDescent="0.25">
      <c r="T5738" s="81"/>
      <c r="W5738" s="185"/>
      <c r="AE5738" s="185"/>
    </row>
    <row r="5739" spans="20:31" x14ac:dyDescent="0.25">
      <c r="T5739" s="81"/>
      <c r="W5739" s="185"/>
      <c r="AE5739" s="185"/>
    </row>
    <row r="5740" spans="20:31" x14ac:dyDescent="0.25">
      <c r="T5740" s="81"/>
      <c r="W5740" s="185"/>
      <c r="AE5740" s="185"/>
    </row>
    <row r="5741" spans="20:31" x14ac:dyDescent="0.25">
      <c r="T5741" s="81"/>
      <c r="W5741" s="185"/>
      <c r="AE5741" s="185"/>
    </row>
    <row r="5742" spans="20:31" x14ac:dyDescent="0.25">
      <c r="T5742" s="81"/>
      <c r="W5742" s="185"/>
      <c r="AE5742" s="185"/>
    </row>
    <row r="5743" spans="20:31" x14ac:dyDescent="0.25">
      <c r="T5743" s="81"/>
      <c r="W5743" s="185"/>
      <c r="AE5743" s="185"/>
    </row>
    <row r="5744" spans="20:31" x14ac:dyDescent="0.25">
      <c r="T5744" s="81"/>
      <c r="W5744" s="185"/>
      <c r="AE5744" s="185"/>
    </row>
    <row r="5745" spans="20:31" x14ac:dyDescent="0.25">
      <c r="T5745" s="81"/>
      <c r="W5745" s="185"/>
      <c r="AE5745" s="185"/>
    </row>
    <row r="5746" spans="20:31" x14ac:dyDescent="0.25">
      <c r="T5746" s="81"/>
      <c r="W5746" s="185"/>
      <c r="AE5746" s="185"/>
    </row>
    <row r="5747" spans="20:31" x14ac:dyDescent="0.25">
      <c r="T5747" s="81"/>
      <c r="W5747" s="185"/>
      <c r="AE5747" s="185"/>
    </row>
    <row r="5748" spans="20:31" x14ac:dyDescent="0.25">
      <c r="T5748" s="81"/>
      <c r="W5748" s="185"/>
      <c r="AE5748" s="185"/>
    </row>
    <row r="5749" spans="20:31" x14ac:dyDescent="0.25">
      <c r="T5749" s="81"/>
      <c r="W5749" s="185"/>
      <c r="AE5749" s="185"/>
    </row>
    <row r="5750" spans="20:31" x14ac:dyDescent="0.25">
      <c r="T5750" s="81"/>
      <c r="W5750" s="185"/>
      <c r="AE5750" s="185"/>
    </row>
    <row r="5751" spans="20:31" x14ac:dyDescent="0.25">
      <c r="T5751" s="81"/>
      <c r="W5751" s="185"/>
      <c r="AE5751" s="185"/>
    </row>
    <row r="5752" spans="20:31" x14ac:dyDescent="0.25">
      <c r="T5752" s="81"/>
      <c r="W5752" s="185"/>
      <c r="AE5752" s="185"/>
    </row>
    <row r="5753" spans="20:31" x14ac:dyDescent="0.25">
      <c r="T5753" s="81"/>
      <c r="W5753" s="185"/>
      <c r="AE5753" s="185"/>
    </row>
    <row r="5754" spans="20:31" x14ac:dyDescent="0.25">
      <c r="T5754" s="81"/>
      <c r="W5754" s="185"/>
      <c r="AE5754" s="185"/>
    </row>
    <row r="5755" spans="20:31" x14ac:dyDescent="0.25">
      <c r="T5755" s="81"/>
      <c r="W5755" s="185"/>
      <c r="AE5755" s="185"/>
    </row>
    <row r="5756" spans="20:31" x14ac:dyDescent="0.25">
      <c r="T5756" s="81"/>
      <c r="W5756" s="185"/>
      <c r="AE5756" s="185"/>
    </row>
    <row r="5757" spans="20:31" x14ac:dyDescent="0.25">
      <c r="T5757" s="81"/>
      <c r="W5757" s="185"/>
      <c r="AE5757" s="185"/>
    </row>
    <row r="5758" spans="20:31" x14ac:dyDescent="0.25">
      <c r="T5758" s="81"/>
      <c r="W5758" s="185"/>
      <c r="AE5758" s="185"/>
    </row>
    <row r="5759" spans="20:31" x14ac:dyDescent="0.25">
      <c r="T5759" s="81"/>
      <c r="W5759" s="185"/>
      <c r="AE5759" s="185"/>
    </row>
    <row r="5760" spans="20:31" x14ac:dyDescent="0.25">
      <c r="T5760" s="81"/>
      <c r="W5760" s="185"/>
      <c r="AE5760" s="185"/>
    </row>
    <row r="5761" spans="20:31" x14ac:dyDescent="0.25">
      <c r="T5761" s="81"/>
      <c r="W5761" s="185"/>
      <c r="AE5761" s="185"/>
    </row>
    <row r="5762" spans="20:31" x14ac:dyDescent="0.25">
      <c r="T5762" s="81"/>
      <c r="W5762" s="185"/>
      <c r="AE5762" s="185"/>
    </row>
    <row r="5763" spans="20:31" x14ac:dyDescent="0.25">
      <c r="T5763" s="81"/>
      <c r="W5763" s="185"/>
      <c r="AE5763" s="185"/>
    </row>
    <row r="5764" spans="20:31" x14ac:dyDescent="0.25">
      <c r="T5764" s="81"/>
      <c r="W5764" s="185"/>
      <c r="AE5764" s="185"/>
    </row>
    <row r="5765" spans="20:31" x14ac:dyDescent="0.25">
      <c r="T5765" s="81"/>
      <c r="W5765" s="185"/>
      <c r="AE5765" s="185"/>
    </row>
    <row r="5766" spans="20:31" x14ac:dyDescent="0.25">
      <c r="T5766" s="81"/>
      <c r="W5766" s="185"/>
      <c r="AE5766" s="185"/>
    </row>
    <row r="5767" spans="20:31" x14ac:dyDescent="0.25">
      <c r="T5767" s="81"/>
      <c r="W5767" s="185"/>
      <c r="AE5767" s="185"/>
    </row>
    <row r="5768" spans="20:31" x14ac:dyDescent="0.25">
      <c r="T5768" s="81"/>
      <c r="W5768" s="185"/>
      <c r="AE5768" s="185"/>
    </row>
    <row r="5769" spans="20:31" x14ac:dyDescent="0.25">
      <c r="T5769" s="81"/>
      <c r="W5769" s="185"/>
      <c r="AE5769" s="185"/>
    </row>
    <row r="5770" spans="20:31" x14ac:dyDescent="0.25">
      <c r="T5770" s="81"/>
      <c r="W5770" s="185"/>
      <c r="AE5770" s="185"/>
    </row>
    <row r="5771" spans="20:31" x14ac:dyDescent="0.25">
      <c r="T5771" s="81"/>
      <c r="W5771" s="185"/>
      <c r="AE5771" s="185"/>
    </row>
    <row r="5772" spans="20:31" x14ac:dyDescent="0.25">
      <c r="T5772" s="81"/>
      <c r="W5772" s="185"/>
      <c r="AE5772" s="185"/>
    </row>
    <row r="5773" spans="20:31" x14ac:dyDescent="0.25">
      <c r="T5773" s="81"/>
      <c r="W5773" s="185"/>
      <c r="AE5773" s="185"/>
    </row>
    <row r="5774" spans="20:31" x14ac:dyDescent="0.25">
      <c r="T5774" s="81"/>
      <c r="W5774" s="185"/>
      <c r="AE5774" s="185"/>
    </row>
    <row r="5775" spans="20:31" x14ac:dyDescent="0.25">
      <c r="T5775" s="81"/>
      <c r="W5775" s="185"/>
      <c r="AE5775" s="185"/>
    </row>
    <row r="5776" spans="20:31" x14ac:dyDescent="0.25">
      <c r="T5776" s="81"/>
      <c r="W5776" s="185"/>
      <c r="AE5776" s="185"/>
    </row>
    <row r="5777" spans="20:31" x14ac:dyDescent="0.25">
      <c r="T5777" s="81"/>
      <c r="W5777" s="185"/>
      <c r="AE5777" s="185"/>
    </row>
    <row r="5778" spans="20:31" x14ac:dyDescent="0.25">
      <c r="T5778" s="81"/>
      <c r="W5778" s="185"/>
      <c r="AE5778" s="185"/>
    </row>
    <row r="5779" spans="20:31" x14ac:dyDescent="0.25">
      <c r="T5779" s="81"/>
      <c r="W5779" s="185"/>
      <c r="AE5779" s="185"/>
    </row>
    <row r="5780" spans="20:31" x14ac:dyDescent="0.25">
      <c r="T5780" s="81"/>
      <c r="W5780" s="185"/>
      <c r="AE5780" s="185"/>
    </row>
    <row r="5781" spans="20:31" x14ac:dyDescent="0.25">
      <c r="T5781" s="81"/>
      <c r="W5781" s="185"/>
      <c r="AE5781" s="185"/>
    </row>
    <row r="5782" spans="20:31" x14ac:dyDescent="0.25">
      <c r="T5782" s="81"/>
      <c r="W5782" s="185"/>
      <c r="AE5782" s="185"/>
    </row>
    <row r="5783" spans="20:31" x14ac:dyDescent="0.25">
      <c r="T5783" s="81"/>
      <c r="W5783" s="185"/>
      <c r="AE5783" s="185"/>
    </row>
    <row r="5784" spans="20:31" x14ac:dyDescent="0.25">
      <c r="T5784" s="81"/>
      <c r="W5784" s="185"/>
      <c r="AE5784" s="185"/>
    </row>
    <row r="5785" spans="20:31" x14ac:dyDescent="0.25">
      <c r="T5785" s="81"/>
      <c r="W5785" s="185"/>
      <c r="AE5785" s="185"/>
    </row>
    <row r="5786" spans="20:31" x14ac:dyDescent="0.25">
      <c r="T5786" s="81"/>
      <c r="W5786" s="185"/>
      <c r="AE5786" s="185"/>
    </row>
    <row r="5787" spans="20:31" x14ac:dyDescent="0.25">
      <c r="T5787" s="81"/>
      <c r="W5787" s="185"/>
      <c r="AE5787" s="185"/>
    </row>
    <row r="5788" spans="20:31" x14ac:dyDescent="0.25">
      <c r="T5788" s="81"/>
      <c r="W5788" s="185"/>
      <c r="AE5788" s="185"/>
    </row>
    <row r="5789" spans="20:31" x14ac:dyDescent="0.25">
      <c r="T5789" s="81"/>
      <c r="W5789" s="185"/>
      <c r="AE5789" s="185"/>
    </row>
    <row r="5790" spans="20:31" x14ac:dyDescent="0.25">
      <c r="T5790" s="81"/>
      <c r="W5790" s="185"/>
      <c r="AE5790" s="185"/>
    </row>
    <row r="5791" spans="20:31" x14ac:dyDescent="0.25">
      <c r="T5791" s="81"/>
      <c r="W5791" s="185"/>
      <c r="AE5791" s="185"/>
    </row>
    <row r="5792" spans="20:31" x14ac:dyDescent="0.25">
      <c r="T5792" s="81"/>
      <c r="W5792" s="185"/>
      <c r="AE5792" s="185"/>
    </row>
    <row r="5793" spans="20:31" x14ac:dyDescent="0.25">
      <c r="T5793" s="81"/>
      <c r="W5793" s="185"/>
      <c r="AE5793" s="185"/>
    </row>
    <row r="5794" spans="20:31" x14ac:dyDescent="0.25">
      <c r="T5794" s="81"/>
      <c r="W5794" s="185"/>
      <c r="AE5794" s="185"/>
    </row>
    <row r="5795" spans="20:31" x14ac:dyDescent="0.25">
      <c r="T5795" s="81"/>
      <c r="W5795" s="185"/>
      <c r="AE5795" s="185"/>
    </row>
    <row r="5796" spans="20:31" x14ac:dyDescent="0.25">
      <c r="T5796" s="81"/>
      <c r="W5796" s="185"/>
      <c r="AE5796" s="185"/>
    </row>
    <row r="5797" spans="20:31" x14ac:dyDescent="0.25">
      <c r="T5797" s="81"/>
      <c r="W5797" s="185"/>
      <c r="AE5797" s="185"/>
    </row>
    <row r="5798" spans="20:31" x14ac:dyDescent="0.25">
      <c r="T5798" s="81"/>
      <c r="W5798" s="185"/>
      <c r="AE5798" s="185"/>
    </row>
    <row r="5799" spans="20:31" x14ac:dyDescent="0.25">
      <c r="T5799" s="81"/>
      <c r="W5799" s="185"/>
      <c r="AE5799" s="185"/>
    </row>
    <row r="5800" spans="20:31" x14ac:dyDescent="0.25">
      <c r="T5800" s="81"/>
      <c r="W5800" s="185"/>
      <c r="AE5800" s="185"/>
    </row>
    <row r="5801" spans="20:31" x14ac:dyDescent="0.25">
      <c r="T5801" s="81"/>
      <c r="W5801" s="185"/>
      <c r="AE5801" s="185"/>
    </row>
    <row r="5802" spans="20:31" x14ac:dyDescent="0.25">
      <c r="T5802" s="81"/>
      <c r="W5802" s="185"/>
      <c r="AE5802" s="185"/>
    </row>
    <row r="5803" spans="20:31" x14ac:dyDescent="0.25">
      <c r="T5803" s="81"/>
      <c r="W5803" s="185"/>
      <c r="AE5803" s="185"/>
    </row>
    <row r="5804" spans="20:31" x14ac:dyDescent="0.25">
      <c r="T5804" s="81"/>
      <c r="W5804" s="185"/>
      <c r="AE5804" s="185"/>
    </row>
    <row r="5805" spans="20:31" x14ac:dyDescent="0.25">
      <c r="T5805" s="81"/>
      <c r="W5805" s="185"/>
      <c r="AE5805" s="185"/>
    </row>
    <row r="5806" spans="20:31" x14ac:dyDescent="0.25">
      <c r="T5806" s="81"/>
      <c r="W5806" s="185"/>
      <c r="AE5806" s="185"/>
    </row>
    <row r="5807" spans="20:31" x14ac:dyDescent="0.25">
      <c r="T5807" s="81"/>
      <c r="W5807" s="185"/>
      <c r="AE5807" s="185"/>
    </row>
    <row r="5808" spans="20:31" x14ac:dyDescent="0.25">
      <c r="T5808" s="81"/>
      <c r="W5808" s="185"/>
      <c r="AE5808" s="185"/>
    </row>
    <row r="5809" spans="20:31" x14ac:dyDescent="0.25">
      <c r="T5809" s="81"/>
      <c r="W5809" s="185"/>
      <c r="AE5809" s="185"/>
    </row>
    <row r="5810" spans="20:31" x14ac:dyDescent="0.25">
      <c r="T5810" s="81"/>
      <c r="W5810" s="185"/>
      <c r="AE5810" s="185"/>
    </row>
    <row r="5811" spans="20:31" x14ac:dyDescent="0.25">
      <c r="T5811" s="81"/>
      <c r="W5811" s="185"/>
      <c r="AE5811" s="185"/>
    </row>
    <row r="5812" spans="20:31" x14ac:dyDescent="0.25">
      <c r="T5812" s="81"/>
      <c r="W5812" s="185"/>
      <c r="AE5812" s="185"/>
    </row>
    <row r="5813" spans="20:31" x14ac:dyDescent="0.25">
      <c r="T5813" s="81"/>
      <c r="W5813" s="185"/>
      <c r="AE5813" s="185"/>
    </row>
    <row r="5814" spans="20:31" x14ac:dyDescent="0.25">
      <c r="T5814" s="81"/>
      <c r="W5814" s="185"/>
      <c r="AE5814" s="185"/>
    </row>
    <row r="5815" spans="20:31" x14ac:dyDescent="0.25">
      <c r="T5815" s="81"/>
      <c r="W5815" s="185"/>
      <c r="AE5815" s="185"/>
    </row>
    <row r="5816" spans="20:31" x14ac:dyDescent="0.25">
      <c r="T5816" s="81"/>
      <c r="W5816" s="185"/>
      <c r="AE5816" s="185"/>
    </row>
    <row r="5817" spans="20:31" x14ac:dyDescent="0.25">
      <c r="T5817" s="81"/>
      <c r="W5817" s="185"/>
      <c r="AE5817" s="185"/>
    </row>
    <row r="5818" spans="20:31" x14ac:dyDescent="0.25">
      <c r="T5818" s="81"/>
      <c r="W5818" s="185"/>
      <c r="AE5818" s="185"/>
    </row>
    <row r="5819" spans="20:31" x14ac:dyDescent="0.25">
      <c r="T5819" s="81"/>
      <c r="W5819" s="185"/>
      <c r="AE5819" s="185"/>
    </row>
    <row r="5820" spans="20:31" x14ac:dyDescent="0.25">
      <c r="T5820" s="81"/>
      <c r="W5820" s="185"/>
      <c r="AE5820" s="185"/>
    </row>
    <row r="5821" spans="20:31" x14ac:dyDescent="0.25">
      <c r="T5821" s="81"/>
      <c r="W5821" s="185"/>
      <c r="AE5821" s="185"/>
    </row>
    <row r="5822" spans="20:31" x14ac:dyDescent="0.25">
      <c r="T5822" s="81"/>
      <c r="W5822" s="185"/>
      <c r="AE5822" s="185"/>
    </row>
    <row r="5823" spans="20:31" x14ac:dyDescent="0.25">
      <c r="T5823" s="81"/>
      <c r="W5823" s="185"/>
      <c r="AE5823" s="185"/>
    </row>
    <row r="5824" spans="20:31" x14ac:dyDescent="0.25">
      <c r="T5824" s="81"/>
      <c r="W5824" s="185"/>
      <c r="AE5824" s="185"/>
    </row>
    <row r="5825" spans="20:31" x14ac:dyDescent="0.25">
      <c r="T5825" s="81"/>
      <c r="W5825" s="185"/>
      <c r="AE5825" s="185"/>
    </row>
    <row r="5826" spans="20:31" x14ac:dyDescent="0.25">
      <c r="T5826" s="81"/>
      <c r="W5826" s="185"/>
      <c r="AE5826" s="185"/>
    </row>
    <row r="5827" spans="20:31" x14ac:dyDescent="0.25">
      <c r="T5827" s="81"/>
      <c r="W5827" s="185"/>
      <c r="AE5827" s="185"/>
    </row>
    <row r="5828" spans="20:31" x14ac:dyDescent="0.25">
      <c r="T5828" s="81"/>
      <c r="W5828" s="185"/>
      <c r="AE5828" s="185"/>
    </row>
    <row r="5829" spans="20:31" x14ac:dyDescent="0.25">
      <c r="T5829" s="81"/>
      <c r="W5829" s="185"/>
      <c r="AE5829" s="185"/>
    </row>
    <row r="5830" spans="20:31" x14ac:dyDescent="0.25">
      <c r="T5830" s="81"/>
      <c r="W5830" s="185"/>
      <c r="AE5830" s="185"/>
    </row>
    <row r="5831" spans="20:31" x14ac:dyDescent="0.25">
      <c r="T5831" s="81"/>
      <c r="W5831" s="185"/>
      <c r="AE5831" s="185"/>
    </row>
    <row r="5832" spans="20:31" x14ac:dyDescent="0.25">
      <c r="T5832" s="81"/>
      <c r="W5832" s="185"/>
      <c r="AE5832" s="185"/>
    </row>
    <row r="5833" spans="20:31" x14ac:dyDescent="0.25">
      <c r="T5833" s="81"/>
      <c r="W5833" s="185"/>
      <c r="AE5833" s="185"/>
    </row>
    <row r="5834" spans="20:31" x14ac:dyDescent="0.25">
      <c r="T5834" s="81"/>
      <c r="W5834" s="185"/>
      <c r="AE5834" s="185"/>
    </row>
    <row r="5835" spans="20:31" x14ac:dyDescent="0.25">
      <c r="T5835" s="81"/>
      <c r="W5835" s="185"/>
      <c r="AE5835" s="185"/>
    </row>
    <row r="5836" spans="20:31" x14ac:dyDescent="0.25">
      <c r="T5836" s="81"/>
      <c r="W5836" s="185"/>
      <c r="AE5836" s="185"/>
    </row>
    <row r="5837" spans="20:31" x14ac:dyDescent="0.25">
      <c r="T5837" s="81"/>
      <c r="W5837" s="185"/>
      <c r="AE5837" s="185"/>
    </row>
    <row r="5838" spans="20:31" x14ac:dyDescent="0.25">
      <c r="T5838" s="81"/>
      <c r="W5838" s="185"/>
      <c r="AE5838" s="185"/>
    </row>
    <row r="5839" spans="20:31" x14ac:dyDescent="0.25">
      <c r="T5839" s="81"/>
      <c r="W5839" s="185"/>
      <c r="AE5839" s="185"/>
    </row>
    <row r="5840" spans="20:31" x14ac:dyDescent="0.25">
      <c r="T5840" s="81"/>
      <c r="W5840" s="185"/>
      <c r="AE5840" s="185"/>
    </row>
    <row r="5841" spans="20:31" x14ac:dyDescent="0.25">
      <c r="T5841" s="81"/>
      <c r="W5841" s="185"/>
      <c r="AE5841" s="185"/>
    </row>
    <row r="5842" spans="20:31" x14ac:dyDescent="0.25">
      <c r="T5842" s="81"/>
      <c r="W5842" s="185"/>
      <c r="AE5842" s="185"/>
    </row>
    <row r="5843" spans="20:31" x14ac:dyDescent="0.25">
      <c r="T5843" s="81"/>
      <c r="W5843" s="185"/>
      <c r="AE5843" s="185"/>
    </row>
    <row r="5844" spans="20:31" x14ac:dyDescent="0.25">
      <c r="T5844" s="81"/>
      <c r="W5844" s="185"/>
      <c r="AE5844" s="185"/>
    </row>
    <row r="5845" spans="20:31" x14ac:dyDescent="0.25">
      <c r="T5845" s="81"/>
      <c r="W5845" s="185"/>
      <c r="AE5845" s="185"/>
    </row>
    <row r="5846" spans="20:31" x14ac:dyDescent="0.25">
      <c r="T5846" s="81"/>
      <c r="W5846" s="185"/>
      <c r="AE5846" s="185"/>
    </row>
    <row r="5847" spans="20:31" x14ac:dyDescent="0.25">
      <c r="T5847" s="81"/>
      <c r="W5847" s="185"/>
      <c r="AE5847" s="185"/>
    </row>
    <row r="5848" spans="20:31" x14ac:dyDescent="0.25">
      <c r="T5848" s="81"/>
      <c r="W5848" s="185"/>
      <c r="AE5848" s="185"/>
    </row>
    <row r="5849" spans="20:31" x14ac:dyDescent="0.25">
      <c r="T5849" s="81"/>
      <c r="W5849" s="185"/>
      <c r="AE5849" s="185"/>
    </row>
    <row r="5850" spans="20:31" x14ac:dyDescent="0.25">
      <c r="T5850" s="81"/>
      <c r="W5850" s="185"/>
      <c r="AE5850" s="185"/>
    </row>
    <row r="5851" spans="20:31" x14ac:dyDescent="0.25">
      <c r="T5851" s="81"/>
      <c r="W5851" s="185"/>
      <c r="AE5851" s="185"/>
    </row>
    <row r="5852" spans="20:31" x14ac:dyDescent="0.25">
      <c r="T5852" s="81"/>
      <c r="W5852" s="185"/>
      <c r="AE5852" s="185"/>
    </row>
    <row r="5853" spans="20:31" x14ac:dyDescent="0.25">
      <c r="T5853" s="81"/>
      <c r="W5853" s="185"/>
      <c r="AE5853" s="185"/>
    </row>
    <row r="5854" spans="20:31" x14ac:dyDescent="0.25">
      <c r="T5854" s="81"/>
      <c r="W5854" s="185"/>
      <c r="AE5854" s="185"/>
    </row>
    <row r="5855" spans="20:31" x14ac:dyDescent="0.25">
      <c r="T5855" s="81"/>
      <c r="W5855" s="185"/>
      <c r="AE5855" s="185"/>
    </row>
    <row r="5856" spans="20:31" x14ac:dyDescent="0.25">
      <c r="T5856" s="81"/>
      <c r="W5856" s="185"/>
      <c r="AE5856" s="185"/>
    </row>
    <row r="5857" spans="20:31" x14ac:dyDescent="0.25">
      <c r="T5857" s="81"/>
      <c r="W5857" s="185"/>
      <c r="AE5857" s="185"/>
    </row>
    <row r="5858" spans="20:31" x14ac:dyDescent="0.25">
      <c r="T5858" s="81"/>
      <c r="W5858" s="185"/>
      <c r="AE5858" s="185"/>
    </row>
    <row r="5859" spans="20:31" x14ac:dyDescent="0.25">
      <c r="T5859" s="81"/>
      <c r="W5859" s="185"/>
      <c r="AE5859" s="185"/>
    </row>
    <row r="5860" spans="20:31" x14ac:dyDescent="0.25">
      <c r="T5860" s="81"/>
      <c r="W5860" s="185"/>
      <c r="AE5860" s="185"/>
    </row>
    <row r="5861" spans="20:31" x14ac:dyDescent="0.25">
      <c r="T5861" s="81"/>
      <c r="W5861" s="185"/>
      <c r="AE5861" s="185"/>
    </row>
    <row r="5862" spans="20:31" x14ac:dyDescent="0.25">
      <c r="T5862" s="81"/>
      <c r="W5862" s="185"/>
      <c r="AE5862" s="185"/>
    </row>
    <row r="5863" spans="20:31" x14ac:dyDescent="0.25">
      <c r="T5863" s="81"/>
      <c r="W5863" s="185"/>
      <c r="AE5863" s="185"/>
    </row>
    <row r="5864" spans="20:31" x14ac:dyDescent="0.25">
      <c r="T5864" s="81"/>
      <c r="W5864" s="185"/>
      <c r="AE5864" s="185"/>
    </row>
    <row r="5865" spans="20:31" x14ac:dyDescent="0.25">
      <c r="T5865" s="81"/>
      <c r="W5865" s="185"/>
      <c r="AE5865" s="185"/>
    </row>
    <row r="5866" spans="20:31" x14ac:dyDescent="0.25">
      <c r="T5866" s="81"/>
      <c r="W5866" s="185"/>
      <c r="AE5866" s="185"/>
    </row>
    <row r="5867" spans="20:31" x14ac:dyDescent="0.25">
      <c r="T5867" s="81"/>
      <c r="W5867" s="185"/>
      <c r="AE5867" s="185"/>
    </row>
    <row r="5868" spans="20:31" x14ac:dyDescent="0.25">
      <c r="T5868" s="81"/>
      <c r="W5868" s="185"/>
      <c r="AE5868" s="185"/>
    </row>
    <row r="5869" spans="20:31" x14ac:dyDescent="0.25">
      <c r="T5869" s="81"/>
      <c r="W5869" s="185"/>
      <c r="AE5869" s="185"/>
    </row>
    <row r="5870" spans="20:31" x14ac:dyDescent="0.25">
      <c r="T5870" s="81"/>
      <c r="W5870" s="185"/>
      <c r="AE5870" s="185"/>
    </row>
    <row r="5871" spans="20:31" x14ac:dyDescent="0.25">
      <c r="T5871" s="81"/>
      <c r="W5871" s="185"/>
      <c r="AE5871" s="185"/>
    </row>
    <row r="5872" spans="20:31" x14ac:dyDescent="0.25">
      <c r="T5872" s="81"/>
      <c r="W5872" s="185"/>
      <c r="AE5872" s="185"/>
    </row>
    <row r="5873" spans="20:31" x14ac:dyDescent="0.25">
      <c r="T5873" s="81"/>
      <c r="W5873" s="185"/>
      <c r="AE5873" s="185"/>
    </row>
    <row r="5874" spans="20:31" x14ac:dyDescent="0.25">
      <c r="T5874" s="81"/>
      <c r="W5874" s="185"/>
      <c r="AE5874" s="185"/>
    </row>
    <row r="5875" spans="20:31" x14ac:dyDescent="0.25">
      <c r="T5875" s="81"/>
      <c r="W5875" s="185"/>
      <c r="AE5875" s="185"/>
    </row>
    <row r="5876" spans="20:31" x14ac:dyDescent="0.25">
      <c r="T5876" s="81"/>
      <c r="W5876" s="185"/>
      <c r="AE5876" s="185"/>
    </row>
    <row r="5877" spans="20:31" x14ac:dyDescent="0.25">
      <c r="T5877" s="81"/>
      <c r="W5877" s="185"/>
      <c r="AE5877" s="185"/>
    </row>
    <row r="5878" spans="20:31" x14ac:dyDescent="0.25">
      <c r="T5878" s="81"/>
      <c r="W5878" s="185"/>
      <c r="AE5878" s="185"/>
    </row>
    <row r="5879" spans="20:31" x14ac:dyDescent="0.25">
      <c r="T5879" s="81"/>
      <c r="W5879" s="185"/>
      <c r="AE5879" s="185"/>
    </row>
    <row r="5880" spans="20:31" x14ac:dyDescent="0.25">
      <c r="T5880" s="81"/>
      <c r="W5880" s="185"/>
      <c r="AE5880" s="185"/>
    </row>
    <row r="5881" spans="20:31" x14ac:dyDescent="0.25">
      <c r="T5881" s="81"/>
      <c r="W5881" s="185"/>
      <c r="AE5881" s="185"/>
    </row>
    <row r="5882" spans="20:31" x14ac:dyDescent="0.25">
      <c r="T5882" s="81"/>
      <c r="W5882" s="185"/>
      <c r="AE5882" s="185"/>
    </row>
    <row r="5883" spans="20:31" x14ac:dyDescent="0.25">
      <c r="T5883" s="81"/>
      <c r="W5883" s="185"/>
      <c r="AE5883" s="185"/>
    </row>
    <row r="5884" spans="20:31" x14ac:dyDescent="0.25">
      <c r="T5884" s="81"/>
      <c r="W5884" s="185"/>
      <c r="AE5884" s="185"/>
    </row>
    <row r="5885" spans="20:31" x14ac:dyDescent="0.25">
      <c r="T5885" s="81"/>
      <c r="W5885" s="185"/>
      <c r="AE5885" s="185"/>
    </row>
    <row r="5886" spans="20:31" x14ac:dyDescent="0.25">
      <c r="T5886" s="81"/>
      <c r="W5886" s="185"/>
      <c r="AE5886" s="185"/>
    </row>
    <row r="5887" spans="20:31" x14ac:dyDescent="0.25">
      <c r="T5887" s="81"/>
      <c r="W5887" s="185"/>
      <c r="AE5887" s="185"/>
    </row>
    <row r="5888" spans="20:31" x14ac:dyDescent="0.25">
      <c r="T5888" s="81"/>
      <c r="W5888" s="185"/>
      <c r="AE5888" s="185"/>
    </row>
    <row r="5889" spans="20:31" x14ac:dyDescent="0.25">
      <c r="T5889" s="81"/>
      <c r="W5889" s="185"/>
      <c r="AE5889" s="185"/>
    </row>
    <row r="5890" spans="20:31" x14ac:dyDescent="0.25">
      <c r="T5890" s="81"/>
      <c r="W5890" s="185"/>
      <c r="AE5890" s="185"/>
    </row>
    <row r="5891" spans="20:31" x14ac:dyDescent="0.25">
      <c r="T5891" s="81"/>
      <c r="W5891" s="185"/>
      <c r="AE5891" s="185"/>
    </row>
    <row r="5892" spans="20:31" x14ac:dyDescent="0.25">
      <c r="T5892" s="81"/>
      <c r="W5892" s="185"/>
      <c r="AE5892" s="185"/>
    </row>
    <row r="5893" spans="20:31" x14ac:dyDescent="0.25">
      <c r="T5893" s="81"/>
      <c r="W5893" s="185"/>
      <c r="AE5893" s="185"/>
    </row>
    <row r="5894" spans="20:31" x14ac:dyDescent="0.25">
      <c r="T5894" s="81"/>
      <c r="W5894" s="185"/>
      <c r="AE5894" s="185"/>
    </row>
    <row r="5895" spans="20:31" x14ac:dyDescent="0.25">
      <c r="T5895" s="81"/>
      <c r="W5895" s="185"/>
      <c r="AE5895" s="185"/>
    </row>
    <row r="5896" spans="20:31" x14ac:dyDescent="0.25">
      <c r="T5896" s="81"/>
      <c r="W5896" s="185"/>
      <c r="AE5896" s="185"/>
    </row>
    <row r="5897" spans="20:31" x14ac:dyDescent="0.25">
      <c r="T5897" s="81"/>
      <c r="W5897" s="185"/>
      <c r="AE5897" s="185"/>
    </row>
    <row r="5898" spans="20:31" x14ac:dyDescent="0.25">
      <c r="T5898" s="81"/>
      <c r="W5898" s="185"/>
      <c r="AE5898" s="185"/>
    </row>
    <row r="5899" spans="20:31" x14ac:dyDescent="0.25">
      <c r="T5899" s="81"/>
      <c r="W5899" s="185"/>
      <c r="AE5899" s="185"/>
    </row>
    <row r="5900" spans="20:31" x14ac:dyDescent="0.25">
      <c r="T5900" s="81"/>
      <c r="W5900" s="185"/>
      <c r="AE5900" s="185"/>
    </row>
    <row r="5901" spans="20:31" x14ac:dyDescent="0.25">
      <c r="T5901" s="81"/>
      <c r="W5901" s="185"/>
      <c r="AE5901" s="185"/>
    </row>
    <row r="5902" spans="20:31" x14ac:dyDescent="0.25">
      <c r="T5902" s="81"/>
      <c r="W5902" s="185"/>
      <c r="AE5902" s="185"/>
    </row>
    <row r="5903" spans="20:31" x14ac:dyDescent="0.25">
      <c r="T5903" s="81"/>
      <c r="W5903" s="185"/>
      <c r="AE5903" s="185"/>
    </row>
    <row r="5904" spans="20:31" x14ac:dyDescent="0.25">
      <c r="T5904" s="81"/>
      <c r="W5904" s="185"/>
      <c r="AE5904" s="185"/>
    </row>
    <row r="5905" spans="20:31" x14ac:dyDescent="0.25">
      <c r="T5905" s="81"/>
      <c r="W5905" s="185"/>
      <c r="AE5905" s="185"/>
    </row>
    <row r="5906" spans="20:31" x14ac:dyDescent="0.25">
      <c r="T5906" s="81"/>
      <c r="W5906" s="185"/>
      <c r="AE5906" s="185"/>
    </row>
    <row r="5907" spans="20:31" x14ac:dyDescent="0.25">
      <c r="T5907" s="81"/>
      <c r="W5907" s="185"/>
      <c r="AE5907" s="185"/>
    </row>
    <row r="5908" spans="20:31" x14ac:dyDescent="0.25">
      <c r="T5908" s="81"/>
      <c r="W5908" s="185"/>
      <c r="AE5908" s="185"/>
    </row>
    <row r="5909" spans="20:31" x14ac:dyDescent="0.25">
      <c r="T5909" s="81"/>
      <c r="W5909" s="185"/>
      <c r="AE5909" s="185"/>
    </row>
    <row r="5910" spans="20:31" x14ac:dyDescent="0.25">
      <c r="T5910" s="81"/>
      <c r="W5910" s="185"/>
      <c r="AE5910" s="185"/>
    </row>
    <row r="5911" spans="20:31" x14ac:dyDescent="0.25">
      <c r="T5911" s="81"/>
      <c r="W5911" s="185"/>
      <c r="AE5911" s="185"/>
    </row>
    <row r="5912" spans="20:31" x14ac:dyDescent="0.25">
      <c r="T5912" s="81"/>
      <c r="W5912" s="185"/>
      <c r="AE5912" s="185"/>
    </row>
    <row r="5913" spans="20:31" x14ac:dyDescent="0.25">
      <c r="T5913" s="81"/>
      <c r="W5913" s="185"/>
      <c r="AE5913" s="185"/>
    </row>
    <row r="5914" spans="20:31" x14ac:dyDescent="0.25">
      <c r="T5914" s="81"/>
      <c r="W5914" s="185"/>
      <c r="AE5914" s="185"/>
    </row>
    <row r="5915" spans="20:31" x14ac:dyDescent="0.25">
      <c r="T5915" s="81"/>
      <c r="W5915" s="185"/>
      <c r="AE5915" s="185"/>
    </row>
    <row r="5916" spans="20:31" x14ac:dyDescent="0.25">
      <c r="T5916" s="81"/>
      <c r="W5916" s="185"/>
      <c r="AE5916" s="185"/>
    </row>
    <row r="5917" spans="20:31" x14ac:dyDescent="0.25">
      <c r="T5917" s="81"/>
      <c r="W5917" s="185"/>
      <c r="AE5917" s="185"/>
    </row>
    <row r="5918" spans="20:31" x14ac:dyDescent="0.25">
      <c r="T5918" s="81"/>
      <c r="W5918" s="185"/>
      <c r="AE5918" s="185"/>
    </row>
    <row r="5919" spans="20:31" x14ac:dyDescent="0.25">
      <c r="T5919" s="81"/>
      <c r="W5919" s="185"/>
      <c r="AE5919" s="185"/>
    </row>
    <row r="5920" spans="20:31" x14ac:dyDescent="0.25">
      <c r="T5920" s="81"/>
      <c r="W5920" s="185"/>
      <c r="AE5920" s="185"/>
    </row>
    <row r="5921" spans="20:31" x14ac:dyDescent="0.25">
      <c r="T5921" s="81"/>
      <c r="W5921" s="185"/>
      <c r="AE5921" s="185"/>
    </row>
    <row r="5922" spans="20:31" x14ac:dyDescent="0.25">
      <c r="T5922" s="81"/>
      <c r="W5922" s="185"/>
      <c r="AE5922" s="185"/>
    </row>
    <row r="5923" spans="20:31" x14ac:dyDescent="0.25">
      <c r="T5923" s="81"/>
      <c r="W5923" s="185"/>
      <c r="AE5923" s="185"/>
    </row>
    <row r="5924" spans="20:31" x14ac:dyDescent="0.25">
      <c r="T5924" s="81"/>
      <c r="W5924" s="185"/>
      <c r="AE5924" s="185"/>
    </row>
    <row r="5925" spans="20:31" x14ac:dyDescent="0.25">
      <c r="T5925" s="81"/>
      <c r="W5925" s="185"/>
      <c r="AE5925" s="185"/>
    </row>
    <row r="5926" spans="20:31" x14ac:dyDescent="0.25">
      <c r="T5926" s="81"/>
      <c r="W5926" s="185"/>
      <c r="AE5926" s="185"/>
    </row>
    <row r="5927" spans="20:31" x14ac:dyDescent="0.25">
      <c r="T5927" s="81"/>
      <c r="W5927" s="185"/>
      <c r="AE5927" s="185"/>
    </row>
    <row r="5928" spans="20:31" x14ac:dyDescent="0.25">
      <c r="T5928" s="81"/>
      <c r="W5928" s="185"/>
      <c r="AE5928" s="185"/>
    </row>
    <row r="5929" spans="20:31" x14ac:dyDescent="0.25">
      <c r="T5929" s="81"/>
      <c r="W5929" s="185"/>
      <c r="AE5929" s="185"/>
    </row>
    <row r="5930" spans="20:31" x14ac:dyDescent="0.25">
      <c r="T5930" s="81"/>
      <c r="W5930" s="185"/>
      <c r="AE5930" s="185"/>
    </row>
    <row r="5931" spans="20:31" x14ac:dyDescent="0.25">
      <c r="T5931" s="81"/>
      <c r="W5931" s="185"/>
      <c r="AE5931" s="185"/>
    </row>
    <row r="5932" spans="20:31" x14ac:dyDescent="0.25">
      <c r="T5932" s="81"/>
      <c r="W5932" s="185"/>
      <c r="AE5932" s="185"/>
    </row>
    <row r="5933" spans="20:31" x14ac:dyDescent="0.25">
      <c r="T5933" s="81"/>
      <c r="W5933" s="185"/>
      <c r="AE5933" s="185"/>
    </row>
    <row r="5934" spans="20:31" x14ac:dyDescent="0.25">
      <c r="T5934" s="81"/>
      <c r="W5934" s="185"/>
      <c r="AE5934" s="185"/>
    </row>
    <row r="5935" spans="20:31" x14ac:dyDescent="0.25">
      <c r="T5935" s="81"/>
      <c r="W5935" s="185"/>
      <c r="AE5935" s="185"/>
    </row>
    <row r="5936" spans="20:31" x14ac:dyDescent="0.25">
      <c r="T5936" s="81"/>
      <c r="W5936" s="185"/>
      <c r="AE5936" s="185"/>
    </row>
    <row r="5937" spans="20:31" x14ac:dyDescent="0.25">
      <c r="T5937" s="81"/>
      <c r="W5937" s="185"/>
      <c r="AE5937" s="185"/>
    </row>
    <row r="5938" spans="20:31" x14ac:dyDescent="0.25">
      <c r="T5938" s="81"/>
      <c r="W5938" s="185"/>
      <c r="AE5938" s="185"/>
    </row>
    <row r="5939" spans="20:31" x14ac:dyDescent="0.25">
      <c r="T5939" s="81"/>
      <c r="W5939" s="185"/>
      <c r="AE5939" s="185"/>
    </row>
    <row r="5940" spans="20:31" x14ac:dyDescent="0.25">
      <c r="T5940" s="81"/>
      <c r="W5940" s="185"/>
      <c r="AE5940" s="185"/>
    </row>
    <row r="5941" spans="20:31" x14ac:dyDescent="0.25">
      <c r="T5941" s="81"/>
      <c r="W5941" s="185"/>
      <c r="AE5941" s="185"/>
    </row>
    <row r="5942" spans="20:31" x14ac:dyDescent="0.25">
      <c r="T5942" s="81"/>
      <c r="W5942" s="185"/>
      <c r="AE5942" s="185"/>
    </row>
    <row r="5943" spans="20:31" x14ac:dyDescent="0.25">
      <c r="T5943" s="81"/>
      <c r="W5943" s="185"/>
      <c r="AE5943" s="185"/>
    </row>
    <row r="5944" spans="20:31" x14ac:dyDescent="0.25">
      <c r="T5944" s="81"/>
      <c r="W5944" s="185"/>
      <c r="AE5944" s="185"/>
    </row>
    <row r="5945" spans="20:31" x14ac:dyDescent="0.25">
      <c r="T5945" s="81"/>
      <c r="W5945" s="185"/>
      <c r="AE5945" s="185"/>
    </row>
    <row r="5946" spans="20:31" x14ac:dyDescent="0.25">
      <c r="T5946" s="81"/>
      <c r="W5946" s="185"/>
      <c r="AE5946" s="185"/>
    </row>
    <row r="5947" spans="20:31" x14ac:dyDescent="0.25">
      <c r="T5947" s="81"/>
      <c r="W5947" s="185"/>
      <c r="AE5947" s="185"/>
    </row>
    <row r="5948" spans="20:31" x14ac:dyDescent="0.25">
      <c r="T5948" s="81"/>
      <c r="W5948" s="185"/>
      <c r="AE5948" s="185"/>
    </row>
    <row r="5949" spans="20:31" x14ac:dyDescent="0.25">
      <c r="T5949" s="81"/>
      <c r="W5949" s="185"/>
      <c r="AE5949" s="185"/>
    </row>
    <row r="5950" spans="20:31" x14ac:dyDescent="0.25">
      <c r="T5950" s="81"/>
      <c r="W5950" s="185"/>
      <c r="AE5950" s="185"/>
    </row>
    <row r="5951" spans="20:31" x14ac:dyDescent="0.25">
      <c r="T5951" s="81"/>
      <c r="W5951" s="185"/>
      <c r="AE5951" s="185"/>
    </row>
    <row r="5952" spans="20:31" x14ac:dyDescent="0.25">
      <c r="T5952" s="81"/>
      <c r="W5952" s="185"/>
      <c r="AE5952" s="185"/>
    </row>
    <row r="5953" spans="20:31" x14ac:dyDescent="0.25">
      <c r="T5953" s="81"/>
      <c r="W5953" s="185"/>
      <c r="AE5953" s="185"/>
    </row>
    <row r="5954" spans="20:31" x14ac:dyDescent="0.25">
      <c r="T5954" s="81"/>
      <c r="W5954" s="185"/>
      <c r="AE5954" s="185"/>
    </row>
    <row r="5955" spans="20:31" x14ac:dyDescent="0.25">
      <c r="T5955" s="81"/>
      <c r="W5955" s="185"/>
      <c r="AE5955" s="185"/>
    </row>
    <row r="5956" spans="20:31" x14ac:dyDescent="0.25">
      <c r="T5956" s="81"/>
      <c r="W5956" s="185"/>
      <c r="AE5956" s="185"/>
    </row>
    <row r="5957" spans="20:31" x14ac:dyDescent="0.25">
      <c r="T5957" s="81"/>
      <c r="W5957" s="185"/>
      <c r="AE5957" s="185"/>
    </row>
    <row r="5958" spans="20:31" x14ac:dyDescent="0.25">
      <c r="T5958" s="81"/>
      <c r="W5958" s="185"/>
      <c r="AE5958" s="185"/>
    </row>
    <row r="5959" spans="20:31" x14ac:dyDescent="0.25">
      <c r="T5959" s="81"/>
      <c r="W5959" s="185"/>
      <c r="AE5959" s="185"/>
    </row>
    <row r="5960" spans="20:31" x14ac:dyDescent="0.25">
      <c r="T5960" s="81"/>
      <c r="W5960" s="185"/>
      <c r="AE5960" s="185"/>
    </row>
    <row r="5961" spans="20:31" x14ac:dyDescent="0.25">
      <c r="T5961" s="81"/>
      <c r="W5961" s="185"/>
      <c r="AE5961" s="185"/>
    </row>
    <row r="5962" spans="20:31" x14ac:dyDescent="0.25">
      <c r="T5962" s="81"/>
      <c r="W5962" s="185"/>
      <c r="AE5962" s="185"/>
    </row>
    <row r="5963" spans="20:31" x14ac:dyDescent="0.25">
      <c r="T5963" s="81"/>
      <c r="W5963" s="185"/>
      <c r="AE5963" s="185"/>
    </row>
    <row r="5964" spans="20:31" x14ac:dyDescent="0.25">
      <c r="T5964" s="81"/>
      <c r="W5964" s="185"/>
      <c r="AE5964" s="185"/>
    </row>
    <row r="5965" spans="20:31" x14ac:dyDescent="0.25">
      <c r="T5965" s="81"/>
      <c r="W5965" s="185"/>
      <c r="AE5965" s="185"/>
    </row>
    <row r="5966" spans="20:31" x14ac:dyDescent="0.25">
      <c r="T5966" s="81"/>
      <c r="W5966" s="185"/>
      <c r="AE5966" s="185"/>
    </row>
    <row r="5967" spans="20:31" x14ac:dyDescent="0.25">
      <c r="T5967" s="81"/>
      <c r="W5967" s="185"/>
      <c r="AE5967" s="185"/>
    </row>
    <row r="5968" spans="20:31" x14ac:dyDescent="0.25">
      <c r="T5968" s="81"/>
      <c r="W5968" s="185"/>
      <c r="AE5968" s="185"/>
    </row>
    <row r="5969" spans="20:31" x14ac:dyDescent="0.25">
      <c r="T5969" s="81"/>
      <c r="W5969" s="185"/>
      <c r="AE5969" s="185"/>
    </row>
    <row r="5970" spans="20:31" x14ac:dyDescent="0.25">
      <c r="T5970" s="81"/>
      <c r="W5970" s="185"/>
      <c r="AE5970" s="185"/>
    </row>
    <row r="5971" spans="20:31" x14ac:dyDescent="0.25">
      <c r="T5971" s="81"/>
      <c r="W5971" s="185"/>
      <c r="AE5971" s="185"/>
    </row>
    <row r="5972" spans="20:31" x14ac:dyDescent="0.25">
      <c r="T5972" s="81"/>
      <c r="W5972" s="185"/>
      <c r="AE5972" s="185"/>
    </row>
    <row r="5973" spans="20:31" x14ac:dyDescent="0.25">
      <c r="T5973" s="81"/>
      <c r="W5973" s="185"/>
      <c r="AE5973" s="185"/>
    </row>
    <row r="5974" spans="20:31" x14ac:dyDescent="0.25">
      <c r="T5974" s="81"/>
      <c r="W5974" s="185"/>
      <c r="AE5974" s="185"/>
    </row>
    <row r="5975" spans="20:31" x14ac:dyDescent="0.25">
      <c r="T5975" s="81"/>
      <c r="W5975" s="185"/>
      <c r="AE5975" s="185"/>
    </row>
    <row r="5976" spans="20:31" x14ac:dyDescent="0.25">
      <c r="T5976" s="81"/>
      <c r="W5976" s="185"/>
      <c r="AE5976" s="185"/>
    </row>
    <row r="5977" spans="20:31" x14ac:dyDescent="0.25">
      <c r="T5977" s="81"/>
      <c r="W5977" s="185"/>
      <c r="AE5977" s="185"/>
    </row>
    <row r="5978" spans="20:31" x14ac:dyDescent="0.25">
      <c r="T5978" s="81"/>
      <c r="W5978" s="185"/>
      <c r="AE5978" s="185"/>
    </row>
    <row r="5979" spans="20:31" x14ac:dyDescent="0.25">
      <c r="T5979" s="81"/>
      <c r="W5979" s="185"/>
      <c r="AE5979" s="185"/>
    </row>
    <row r="5980" spans="20:31" x14ac:dyDescent="0.25">
      <c r="T5980" s="81"/>
      <c r="W5980" s="185"/>
      <c r="AE5980" s="185"/>
    </row>
    <row r="5981" spans="20:31" x14ac:dyDescent="0.25">
      <c r="T5981" s="81"/>
      <c r="W5981" s="185"/>
      <c r="AE5981" s="185"/>
    </row>
    <row r="5982" spans="20:31" x14ac:dyDescent="0.25">
      <c r="T5982" s="81"/>
      <c r="W5982" s="185"/>
      <c r="AE5982" s="185"/>
    </row>
    <row r="5983" spans="20:31" x14ac:dyDescent="0.25">
      <c r="T5983" s="81"/>
      <c r="W5983" s="185"/>
      <c r="AE5983" s="185"/>
    </row>
    <row r="5984" spans="20:31" x14ac:dyDescent="0.25">
      <c r="T5984" s="81"/>
      <c r="W5984" s="185"/>
      <c r="AE5984" s="185"/>
    </row>
    <row r="5985" spans="20:31" x14ac:dyDescent="0.25">
      <c r="T5985" s="81"/>
      <c r="W5985" s="185"/>
      <c r="AE5985" s="185"/>
    </row>
    <row r="5986" spans="20:31" x14ac:dyDescent="0.25">
      <c r="T5986" s="81"/>
      <c r="W5986" s="185"/>
      <c r="AE5986" s="185"/>
    </row>
    <row r="5987" spans="20:31" x14ac:dyDescent="0.25">
      <c r="T5987" s="81"/>
      <c r="W5987" s="185"/>
      <c r="AE5987" s="185"/>
    </row>
    <row r="5988" spans="20:31" x14ac:dyDescent="0.25">
      <c r="T5988" s="81"/>
      <c r="W5988" s="185"/>
      <c r="AE5988" s="185"/>
    </row>
    <row r="5989" spans="20:31" x14ac:dyDescent="0.25">
      <c r="T5989" s="81"/>
      <c r="W5989" s="185"/>
      <c r="AE5989" s="185"/>
    </row>
    <row r="5990" spans="20:31" x14ac:dyDescent="0.25">
      <c r="T5990" s="81"/>
      <c r="W5990" s="185"/>
      <c r="AE5990" s="185"/>
    </row>
    <row r="5991" spans="20:31" x14ac:dyDescent="0.25">
      <c r="T5991" s="81"/>
      <c r="W5991" s="185"/>
      <c r="AE5991" s="185"/>
    </row>
    <row r="5992" spans="20:31" x14ac:dyDescent="0.25">
      <c r="T5992" s="81"/>
      <c r="W5992" s="185"/>
      <c r="AE5992" s="185"/>
    </row>
    <row r="5993" spans="20:31" x14ac:dyDescent="0.25">
      <c r="T5993" s="81"/>
      <c r="W5993" s="185"/>
      <c r="AE5993" s="185"/>
    </row>
    <row r="5994" spans="20:31" x14ac:dyDescent="0.25">
      <c r="T5994" s="81"/>
      <c r="W5994" s="185"/>
      <c r="AE5994" s="185"/>
    </row>
    <row r="5995" spans="20:31" x14ac:dyDescent="0.25">
      <c r="T5995" s="81"/>
      <c r="W5995" s="185"/>
      <c r="AE5995" s="185"/>
    </row>
    <row r="5996" spans="20:31" x14ac:dyDescent="0.25">
      <c r="T5996" s="81"/>
      <c r="W5996" s="185"/>
      <c r="AE5996" s="185"/>
    </row>
    <row r="5997" spans="20:31" x14ac:dyDescent="0.25">
      <c r="T5997" s="81"/>
      <c r="W5997" s="185"/>
      <c r="AE5997" s="185"/>
    </row>
    <row r="5998" spans="20:31" x14ac:dyDescent="0.25">
      <c r="T5998" s="81"/>
      <c r="W5998" s="185"/>
      <c r="AE5998" s="185"/>
    </row>
    <row r="5999" spans="20:31" x14ac:dyDescent="0.25">
      <c r="T5999" s="81"/>
      <c r="W5999" s="185"/>
      <c r="AE5999" s="185"/>
    </row>
    <row r="6000" spans="20:31" x14ac:dyDescent="0.25">
      <c r="T6000" s="81"/>
      <c r="W6000" s="185"/>
      <c r="AE6000" s="185"/>
    </row>
    <row r="6001" spans="20:31" x14ac:dyDescent="0.25">
      <c r="T6001" s="81"/>
      <c r="W6001" s="185"/>
      <c r="AE6001" s="185"/>
    </row>
    <row r="6002" spans="20:31" x14ac:dyDescent="0.25">
      <c r="T6002" s="81"/>
      <c r="W6002" s="185"/>
      <c r="AE6002" s="185"/>
    </row>
    <row r="6003" spans="20:31" x14ac:dyDescent="0.25">
      <c r="T6003" s="81"/>
      <c r="W6003" s="185"/>
      <c r="AE6003" s="185"/>
    </row>
    <row r="6004" spans="20:31" x14ac:dyDescent="0.25">
      <c r="T6004" s="81"/>
      <c r="W6004" s="185"/>
      <c r="AE6004" s="185"/>
    </row>
    <row r="6005" spans="20:31" x14ac:dyDescent="0.25">
      <c r="T6005" s="81"/>
      <c r="W6005" s="185"/>
      <c r="AE6005" s="185"/>
    </row>
    <row r="6006" spans="20:31" x14ac:dyDescent="0.25">
      <c r="T6006" s="81"/>
      <c r="W6006" s="185"/>
      <c r="AE6006" s="185"/>
    </row>
    <row r="6007" spans="20:31" x14ac:dyDescent="0.25">
      <c r="T6007" s="81"/>
      <c r="W6007" s="185"/>
      <c r="AE6007" s="185"/>
    </row>
    <row r="6008" spans="20:31" x14ac:dyDescent="0.25">
      <c r="T6008" s="81"/>
      <c r="W6008" s="185"/>
      <c r="AE6008" s="185"/>
    </row>
    <row r="6009" spans="20:31" x14ac:dyDescent="0.25">
      <c r="T6009" s="81"/>
      <c r="W6009" s="185"/>
      <c r="AE6009" s="185"/>
    </row>
    <row r="6010" spans="20:31" x14ac:dyDescent="0.25">
      <c r="T6010" s="81"/>
      <c r="W6010" s="185"/>
      <c r="AE6010" s="185"/>
    </row>
    <row r="6011" spans="20:31" x14ac:dyDescent="0.25">
      <c r="T6011" s="81"/>
      <c r="W6011" s="185"/>
      <c r="AE6011" s="185"/>
    </row>
    <row r="6012" spans="20:31" x14ac:dyDescent="0.25">
      <c r="T6012" s="81"/>
      <c r="W6012" s="185"/>
      <c r="AE6012" s="185"/>
    </row>
    <row r="6013" spans="20:31" x14ac:dyDescent="0.25">
      <c r="T6013" s="81"/>
      <c r="W6013" s="185"/>
      <c r="AE6013" s="185"/>
    </row>
    <row r="6014" spans="20:31" x14ac:dyDescent="0.25">
      <c r="T6014" s="81"/>
      <c r="W6014" s="185"/>
      <c r="AE6014" s="185"/>
    </row>
    <row r="6015" spans="20:31" x14ac:dyDescent="0.25">
      <c r="T6015" s="81"/>
      <c r="W6015" s="185"/>
      <c r="AE6015" s="185"/>
    </row>
    <row r="6016" spans="20:31" x14ac:dyDescent="0.25">
      <c r="T6016" s="81"/>
      <c r="W6016" s="185"/>
      <c r="AE6016" s="185"/>
    </row>
    <row r="6017" spans="20:31" x14ac:dyDescent="0.25">
      <c r="T6017" s="81"/>
      <c r="W6017" s="185"/>
      <c r="AE6017" s="185"/>
    </row>
    <row r="6018" spans="20:31" x14ac:dyDescent="0.25">
      <c r="T6018" s="81"/>
      <c r="W6018" s="185"/>
      <c r="AE6018" s="185"/>
    </row>
    <row r="6019" spans="20:31" x14ac:dyDescent="0.25">
      <c r="T6019" s="81"/>
      <c r="W6019" s="185"/>
      <c r="AE6019" s="185"/>
    </row>
    <row r="6020" spans="20:31" x14ac:dyDescent="0.25">
      <c r="T6020" s="81"/>
      <c r="W6020" s="185"/>
      <c r="AE6020" s="185"/>
    </row>
    <row r="6021" spans="20:31" x14ac:dyDescent="0.25">
      <c r="T6021" s="81"/>
      <c r="W6021" s="185"/>
      <c r="AE6021" s="185"/>
    </row>
    <row r="6022" spans="20:31" x14ac:dyDescent="0.25">
      <c r="T6022" s="81"/>
      <c r="W6022" s="185"/>
      <c r="AE6022" s="185"/>
    </row>
    <row r="6023" spans="20:31" x14ac:dyDescent="0.25">
      <c r="T6023" s="81"/>
      <c r="W6023" s="185"/>
      <c r="AE6023" s="185"/>
    </row>
    <row r="6024" spans="20:31" x14ac:dyDescent="0.25">
      <c r="T6024" s="81"/>
      <c r="W6024" s="185"/>
      <c r="AE6024" s="185"/>
    </row>
    <row r="6025" spans="20:31" x14ac:dyDescent="0.25">
      <c r="T6025" s="81"/>
      <c r="W6025" s="185"/>
      <c r="AE6025" s="185"/>
    </row>
    <row r="6026" spans="20:31" x14ac:dyDescent="0.25">
      <c r="T6026" s="81"/>
      <c r="W6026" s="185"/>
      <c r="AE6026" s="185"/>
    </row>
    <row r="6027" spans="20:31" x14ac:dyDescent="0.25">
      <c r="T6027" s="81"/>
      <c r="W6027" s="185"/>
      <c r="AE6027" s="185"/>
    </row>
    <row r="6028" spans="20:31" x14ac:dyDescent="0.25">
      <c r="T6028" s="81"/>
      <c r="W6028" s="185"/>
      <c r="AE6028" s="185"/>
    </row>
    <row r="6029" spans="20:31" x14ac:dyDescent="0.25">
      <c r="T6029" s="81"/>
      <c r="W6029" s="185"/>
      <c r="AE6029" s="185"/>
    </row>
    <row r="6030" spans="20:31" x14ac:dyDescent="0.25">
      <c r="T6030" s="81"/>
      <c r="W6030" s="185"/>
      <c r="AE6030" s="185"/>
    </row>
    <row r="6031" spans="20:31" x14ac:dyDescent="0.25">
      <c r="T6031" s="81"/>
      <c r="W6031" s="185"/>
      <c r="AE6031" s="185"/>
    </row>
    <row r="6032" spans="20:31" x14ac:dyDescent="0.25">
      <c r="T6032" s="81"/>
      <c r="W6032" s="185"/>
      <c r="AE6032" s="185"/>
    </row>
    <row r="6033" spans="20:31" x14ac:dyDescent="0.25">
      <c r="T6033" s="81"/>
      <c r="W6033" s="185"/>
      <c r="AE6033" s="185"/>
    </row>
    <row r="6034" spans="20:31" x14ac:dyDescent="0.25">
      <c r="T6034" s="81"/>
      <c r="W6034" s="185"/>
      <c r="AE6034" s="185"/>
    </row>
    <row r="6035" spans="20:31" x14ac:dyDescent="0.25">
      <c r="T6035" s="81"/>
      <c r="W6035" s="185"/>
      <c r="AE6035" s="185"/>
    </row>
    <row r="6036" spans="20:31" x14ac:dyDescent="0.25">
      <c r="T6036" s="81"/>
      <c r="W6036" s="185"/>
      <c r="AE6036" s="185"/>
    </row>
    <row r="6037" spans="20:31" x14ac:dyDescent="0.25">
      <c r="T6037" s="81"/>
      <c r="W6037" s="185"/>
      <c r="AE6037" s="185"/>
    </row>
    <row r="6038" spans="20:31" x14ac:dyDescent="0.25">
      <c r="T6038" s="81"/>
      <c r="W6038" s="185"/>
      <c r="AE6038" s="185"/>
    </row>
    <row r="6039" spans="20:31" x14ac:dyDescent="0.25">
      <c r="T6039" s="81"/>
      <c r="W6039" s="185"/>
      <c r="AE6039" s="185"/>
    </row>
    <row r="6040" spans="20:31" x14ac:dyDescent="0.25">
      <c r="T6040" s="81"/>
      <c r="W6040" s="185"/>
      <c r="AE6040" s="185"/>
    </row>
    <row r="6041" spans="20:31" x14ac:dyDescent="0.25">
      <c r="T6041" s="81"/>
      <c r="W6041" s="185"/>
      <c r="AE6041" s="185"/>
    </row>
    <row r="6042" spans="20:31" x14ac:dyDescent="0.25">
      <c r="T6042" s="81"/>
      <c r="W6042" s="185"/>
      <c r="AE6042" s="185"/>
    </row>
    <row r="6043" spans="20:31" x14ac:dyDescent="0.25">
      <c r="T6043" s="81"/>
      <c r="W6043" s="185"/>
      <c r="AE6043" s="185"/>
    </row>
    <row r="6044" spans="20:31" x14ac:dyDescent="0.25">
      <c r="T6044" s="81"/>
      <c r="W6044" s="185"/>
      <c r="AE6044" s="185"/>
    </row>
    <row r="6045" spans="20:31" x14ac:dyDescent="0.25">
      <c r="T6045" s="81"/>
      <c r="W6045" s="185"/>
      <c r="AE6045" s="185"/>
    </row>
    <row r="6046" spans="20:31" x14ac:dyDescent="0.25">
      <c r="T6046" s="81"/>
      <c r="W6046" s="185"/>
      <c r="AE6046" s="185"/>
    </row>
    <row r="6047" spans="20:31" x14ac:dyDescent="0.25">
      <c r="T6047" s="81"/>
      <c r="W6047" s="185"/>
      <c r="AE6047" s="185"/>
    </row>
    <row r="6048" spans="20:31" x14ac:dyDescent="0.25">
      <c r="T6048" s="81"/>
      <c r="W6048" s="185"/>
      <c r="AE6048" s="185"/>
    </row>
    <row r="6049" spans="20:31" x14ac:dyDescent="0.25">
      <c r="T6049" s="81"/>
      <c r="W6049" s="185"/>
      <c r="AE6049" s="185"/>
    </row>
    <row r="6050" spans="20:31" x14ac:dyDescent="0.25">
      <c r="T6050" s="81"/>
      <c r="W6050" s="185"/>
      <c r="AE6050" s="185"/>
    </row>
    <row r="6051" spans="20:31" x14ac:dyDescent="0.25">
      <c r="T6051" s="81"/>
      <c r="W6051" s="185"/>
      <c r="AE6051" s="185"/>
    </row>
    <row r="6052" spans="20:31" x14ac:dyDescent="0.25">
      <c r="T6052" s="81"/>
      <c r="W6052" s="185"/>
      <c r="AE6052" s="185"/>
    </row>
    <row r="6053" spans="20:31" x14ac:dyDescent="0.25">
      <c r="T6053" s="81"/>
      <c r="W6053" s="185"/>
      <c r="AE6053" s="185"/>
    </row>
    <row r="6054" spans="20:31" x14ac:dyDescent="0.25">
      <c r="T6054" s="81"/>
      <c r="W6054" s="185"/>
      <c r="AE6054" s="185"/>
    </row>
    <row r="6055" spans="20:31" x14ac:dyDescent="0.25">
      <c r="T6055" s="81"/>
      <c r="W6055" s="185"/>
      <c r="AE6055" s="185"/>
    </row>
    <row r="6056" spans="20:31" x14ac:dyDescent="0.25">
      <c r="T6056" s="81"/>
      <c r="W6056" s="185"/>
      <c r="AE6056" s="185"/>
    </row>
    <row r="6057" spans="20:31" x14ac:dyDescent="0.25">
      <c r="T6057" s="81"/>
      <c r="W6057" s="185"/>
      <c r="AE6057" s="185"/>
    </row>
    <row r="6058" spans="20:31" x14ac:dyDescent="0.25">
      <c r="T6058" s="81"/>
      <c r="W6058" s="185"/>
      <c r="AE6058" s="185"/>
    </row>
    <row r="6059" spans="20:31" x14ac:dyDescent="0.25">
      <c r="T6059" s="81"/>
      <c r="W6059" s="185"/>
      <c r="AE6059" s="185"/>
    </row>
    <row r="6060" spans="20:31" x14ac:dyDescent="0.25">
      <c r="T6060" s="81"/>
      <c r="W6060" s="185"/>
      <c r="AE6060" s="185"/>
    </row>
    <row r="6061" spans="20:31" x14ac:dyDescent="0.25">
      <c r="T6061" s="81"/>
      <c r="W6061" s="185"/>
      <c r="AE6061" s="185"/>
    </row>
    <row r="6062" spans="20:31" x14ac:dyDescent="0.25">
      <c r="T6062" s="81"/>
      <c r="W6062" s="185"/>
      <c r="AE6062" s="185"/>
    </row>
    <row r="6063" spans="20:31" x14ac:dyDescent="0.25">
      <c r="T6063" s="81"/>
      <c r="W6063" s="185"/>
      <c r="AE6063" s="185"/>
    </row>
    <row r="6064" spans="20:31" x14ac:dyDescent="0.25">
      <c r="T6064" s="81"/>
      <c r="W6064" s="185"/>
      <c r="AE6064" s="185"/>
    </row>
    <row r="6065" spans="20:31" x14ac:dyDescent="0.25">
      <c r="T6065" s="81"/>
      <c r="W6065" s="185"/>
      <c r="AE6065" s="185"/>
    </row>
    <row r="6066" spans="20:31" x14ac:dyDescent="0.25">
      <c r="T6066" s="81"/>
      <c r="W6066" s="185"/>
      <c r="AE6066" s="185"/>
    </row>
    <row r="6067" spans="20:31" x14ac:dyDescent="0.25">
      <c r="T6067" s="81"/>
      <c r="W6067" s="185"/>
      <c r="AE6067" s="185"/>
    </row>
    <row r="6068" spans="20:31" x14ac:dyDescent="0.25">
      <c r="T6068" s="81"/>
      <c r="W6068" s="185"/>
      <c r="AE6068" s="185"/>
    </row>
    <row r="6069" spans="20:31" x14ac:dyDescent="0.25">
      <c r="T6069" s="81"/>
      <c r="W6069" s="185"/>
      <c r="AE6069" s="185"/>
    </row>
    <row r="6070" spans="20:31" x14ac:dyDescent="0.25">
      <c r="T6070" s="81"/>
      <c r="W6070" s="185"/>
      <c r="AE6070" s="185"/>
    </row>
    <row r="6071" spans="20:31" x14ac:dyDescent="0.25">
      <c r="T6071" s="81"/>
      <c r="W6071" s="185"/>
      <c r="AE6071" s="185"/>
    </row>
    <row r="6072" spans="20:31" x14ac:dyDescent="0.25">
      <c r="T6072" s="81"/>
      <c r="W6072" s="185"/>
      <c r="AE6072" s="185"/>
    </row>
    <row r="6073" spans="20:31" x14ac:dyDescent="0.25">
      <c r="T6073" s="81"/>
      <c r="W6073" s="185"/>
      <c r="AE6073" s="185"/>
    </row>
    <row r="6074" spans="20:31" x14ac:dyDescent="0.25">
      <c r="T6074" s="81"/>
      <c r="W6074" s="185"/>
      <c r="AE6074" s="185"/>
    </row>
    <row r="6075" spans="20:31" x14ac:dyDescent="0.25">
      <c r="T6075" s="81"/>
      <c r="W6075" s="185"/>
      <c r="AE6075" s="185"/>
    </row>
    <row r="6076" spans="20:31" x14ac:dyDescent="0.25">
      <c r="T6076" s="81"/>
      <c r="W6076" s="185"/>
      <c r="AE6076" s="185"/>
    </row>
    <row r="6077" spans="20:31" x14ac:dyDescent="0.25">
      <c r="T6077" s="81"/>
      <c r="W6077" s="185"/>
      <c r="AE6077" s="185"/>
    </row>
    <row r="6078" spans="20:31" x14ac:dyDescent="0.25">
      <c r="T6078" s="81"/>
      <c r="W6078" s="185"/>
      <c r="AE6078" s="185"/>
    </row>
    <row r="6079" spans="20:31" x14ac:dyDescent="0.25">
      <c r="T6079" s="81"/>
      <c r="W6079" s="185"/>
      <c r="AE6079" s="185"/>
    </row>
    <row r="6080" spans="20:31" x14ac:dyDescent="0.25">
      <c r="T6080" s="81"/>
      <c r="W6080" s="185"/>
      <c r="AE6080" s="185"/>
    </row>
    <row r="6081" spans="20:31" x14ac:dyDescent="0.25">
      <c r="T6081" s="81"/>
      <c r="W6081" s="185"/>
      <c r="AE6081" s="185"/>
    </row>
    <row r="6082" spans="20:31" x14ac:dyDescent="0.25">
      <c r="T6082" s="81"/>
      <c r="W6082" s="185"/>
      <c r="AE6082" s="185"/>
    </row>
    <row r="6083" spans="20:31" x14ac:dyDescent="0.25">
      <c r="T6083" s="81"/>
      <c r="W6083" s="185"/>
      <c r="AE6083" s="185"/>
    </row>
    <row r="6084" spans="20:31" x14ac:dyDescent="0.25">
      <c r="T6084" s="81"/>
      <c r="W6084" s="185"/>
      <c r="AE6084" s="185"/>
    </row>
    <row r="6085" spans="20:31" x14ac:dyDescent="0.25">
      <c r="T6085" s="81"/>
      <c r="W6085" s="185"/>
      <c r="AE6085" s="185"/>
    </row>
    <row r="6086" spans="20:31" x14ac:dyDescent="0.25">
      <c r="T6086" s="81"/>
      <c r="W6086" s="185"/>
      <c r="AE6086" s="185"/>
    </row>
    <row r="6087" spans="20:31" x14ac:dyDescent="0.25">
      <c r="T6087" s="81"/>
      <c r="W6087" s="185"/>
      <c r="AE6087" s="185"/>
    </row>
    <row r="6088" spans="20:31" x14ac:dyDescent="0.25">
      <c r="T6088" s="81"/>
      <c r="W6088" s="185"/>
      <c r="AE6088" s="185"/>
    </row>
    <row r="6089" spans="20:31" x14ac:dyDescent="0.25">
      <c r="T6089" s="81"/>
      <c r="W6089" s="185"/>
      <c r="AE6089" s="185"/>
    </row>
    <row r="6090" spans="20:31" x14ac:dyDescent="0.25">
      <c r="T6090" s="81"/>
      <c r="W6090" s="185"/>
      <c r="AE6090" s="185"/>
    </row>
    <row r="6091" spans="20:31" x14ac:dyDescent="0.25">
      <c r="T6091" s="81"/>
      <c r="W6091" s="185"/>
      <c r="AE6091" s="185"/>
    </row>
    <row r="6092" spans="20:31" x14ac:dyDescent="0.25">
      <c r="T6092" s="81"/>
      <c r="W6092" s="185"/>
      <c r="AE6092" s="185"/>
    </row>
    <row r="6093" spans="20:31" x14ac:dyDescent="0.25">
      <c r="T6093" s="81"/>
      <c r="W6093" s="185"/>
      <c r="AE6093" s="185"/>
    </row>
    <row r="6094" spans="20:31" x14ac:dyDescent="0.25">
      <c r="T6094" s="81"/>
      <c r="W6094" s="185"/>
      <c r="AE6094" s="185"/>
    </row>
    <row r="6095" spans="20:31" x14ac:dyDescent="0.25">
      <c r="T6095" s="81"/>
      <c r="W6095" s="185"/>
      <c r="AE6095" s="185"/>
    </row>
    <row r="6096" spans="20:31" x14ac:dyDescent="0.25">
      <c r="T6096" s="81"/>
      <c r="W6096" s="185"/>
      <c r="AE6096" s="185"/>
    </row>
    <row r="6097" spans="20:31" x14ac:dyDescent="0.25">
      <c r="T6097" s="81"/>
      <c r="W6097" s="185"/>
      <c r="AE6097" s="185"/>
    </row>
    <row r="6098" spans="20:31" x14ac:dyDescent="0.25">
      <c r="T6098" s="81"/>
      <c r="W6098" s="185"/>
      <c r="AE6098" s="185"/>
    </row>
    <row r="6099" spans="20:31" x14ac:dyDescent="0.25">
      <c r="T6099" s="81"/>
      <c r="W6099" s="185"/>
      <c r="AE6099" s="185"/>
    </row>
    <row r="6100" spans="20:31" x14ac:dyDescent="0.25">
      <c r="T6100" s="81"/>
      <c r="W6100" s="185"/>
      <c r="AE6100" s="185"/>
    </row>
    <row r="6101" spans="20:31" x14ac:dyDescent="0.25">
      <c r="T6101" s="81"/>
      <c r="W6101" s="185"/>
      <c r="AE6101" s="185"/>
    </row>
    <row r="6102" spans="20:31" x14ac:dyDescent="0.25">
      <c r="T6102" s="81"/>
      <c r="W6102" s="185"/>
      <c r="AE6102" s="185"/>
    </row>
    <row r="6103" spans="20:31" x14ac:dyDescent="0.25">
      <c r="T6103" s="81"/>
      <c r="W6103" s="185"/>
      <c r="AE6103" s="185"/>
    </row>
    <row r="6104" spans="20:31" x14ac:dyDescent="0.25">
      <c r="T6104" s="81"/>
      <c r="W6104" s="185"/>
      <c r="AE6104" s="185"/>
    </row>
    <row r="6105" spans="20:31" x14ac:dyDescent="0.25">
      <c r="T6105" s="81"/>
      <c r="W6105" s="185"/>
      <c r="AE6105" s="185"/>
    </row>
    <row r="6106" spans="20:31" x14ac:dyDescent="0.25">
      <c r="T6106" s="81"/>
      <c r="W6106" s="185"/>
      <c r="AE6106" s="185"/>
    </row>
    <row r="6107" spans="20:31" x14ac:dyDescent="0.25">
      <c r="T6107" s="81"/>
      <c r="W6107" s="185"/>
      <c r="AE6107" s="185"/>
    </row>
    <row r="6108" spans="20:31" x14ac:dyDescent="0.25">
      <c r="T6108" s="81"/>
      <c r="W6108" s="185"/>
      <c r="AE6108" s="185"/>
    </row>
    <row r="6109" spans="20:31" x14ac:dyDescent="0.25">
      <c r="T6109" s="81"/>
      <c r="W6109" s="185"/>
      <c r="AE6109" s="185"/>
    </row>
    <row r="6110" spans="20:31" x14ac:dyDescent="0.25">
      <c r="T6110" s="81"/>
      <c r="W6110" s="185"/>
      <c r="AE6110" s="185"/>
    </row>
    <row r="6111" spans="20:31" x14ac:dyDescent="0.25">
      <c r="T6111" s="81"/>
      <c r="W6111" s="185"/>
      <c r="AE6111" s="185"/>
    </row>
    <row r="6112" spans="20:31" x14ac:dyDescent="0.25">
      <c r="T6112" s="81"/>
      <c r="W6112" s="185"/>
      <c r="AE6112" s="185"/>
    </row>
    <row r="6113" spans="20:31" x14ac:dyDescent="0.25">
      <c r="T6113" s="81"/>
      <c r="W6113" s="185"/>
      <c r="AE6113" s="185"/>
    </row>
    <row r="6114" spans="20:31" x14ac:dyDescent="0.25">
      <c r="T6114" s="81"/>
      <c r="W6114" s="185"/>
      <c r="AE6114" s="185"/>
    </row>
    <row r="6115" spans="20:31" x14ac:dyDescent="0.25">
      <c r="T6115" s="81"/>
      <c r="W6115" s="185"/>
      <c r="AE6115" s="185"/>
    </row>
    <row r="6116" spans="20:31" x14ac:dyDescent="0.25">
      <c r="T6116" s="81"/>
      <c r="W6116" s="185"/>
      <c r="AE6116" s="185"/>
    </row>
    <row r="6117" spans="20:31" x14ac:dyDescent="0.25">
      <c r="T6117" s="81"/>
      <c r="W6117" s="185"/>
      <c r="AE6117" s="185"/>
    </row>
    <row r="6118" spans="20:31" x14ac:dyDescent="0.25">
      <c r="T6118" s="81"/>
      <c r="W6118" s="185"/>
      <c r="AE6118" s="185"/>
    </row>
    <row r="6119" spans="20:31" x14ac:dyDescent="0.25">
      <c r="T6119" s="81"/>
      <c r="W6119" s="185"/>
      <c r="AE6119" s="185"/>
    </row>
    <row r="6120" spans="20:31" x14ac:dyDescent="0.25">
      <c r="T6120" s="81"/>
      <c r="W6120" s="185"/>
      <c r="AE6120" s="185"/>
    </row>
    <row r="6121" spans="20:31" x14ac:dyDescent="0.25">
      <c r="T6121" s="81"/>
      <c r="W6121" s="185"/>
      <c r="AE6121" s="185"/>
    </row>
    <row r="6122" spans="20:31" x14ac:dyDescent="0.25">
      <c r="T6122" s="81"/>
      <c r="W6122" s="185"/>
      <c r="AE6122" s="185"/>
    </row>
    <row r="6123" spans="20:31" x14ac:dyDescent="0.25">
      <c r="T6123" s="81"/>
      <c r="W6123" s="185"/>
      <c r="AE6123" s="185"/>
    </row>
    <row r="6124" spans="20:31" x14ac:dyDescent="0.25">
      <c r="T6124" s="81"/>
      <c r="W6124" s="185"/>
      <c r="AE6124" s="185"/>
    </row>
    <row r="6125" spans="20:31" x14ac:dyDescent="0.25">
      <c r="T6125" s="81"/>
      <c r="W6125" s="185"/>
      <c r="AE6125" s="185"/>
    </row>
    <row r="6126" spans="20:31" x14ac:dyDescent="0.25">
      <c r="T6126" s="81"/>
      <c r="W6126" s="185"/>
      <c r="AE6126" s="185"/>
    </row>
    <row r="6127" spans="20:31" x14ac:dyDescent="0.25">
      <c r="T6127" s="81"/>
      <c r="W6127" s="185"/>
      <c r="AE6127" s="185"/>
    </row>
    <row r="6128" spans="20:31" x14ac:dyDescent="0.25">
      <c r="T6128" s="81"/>
      <c r="W6128" s="185"/>
      <c r="AE6128" s="185"/>
    </row>
    <row r="6129" spans="20:31" x14ac:dyDescent="0.25">
      <c r="T6129" s="81"/>
      <c r="W6129" s="185"/>
      <c r="AE6129" s="185"/>
    </row>
    <row r="6130" spans="20:31" x14ac:dyDescent="0.25">
      <c r="T6130" s="81"/>
      <c r="W6130" s="185"/>
      <c r="AE6130" s="185"/>
    </row>
    <row r="6131" spans="20:31" x14ac:dyDescent="0.25">
      <c r="T6131" s="81"/>
      <c r="W6131" s="185"/>
      <c r="AE6131" s="185"/>
    </row>
    <row r="6132" spans="20:31" x14ac:dyDescent="0.25">
      <c r="T6132" s="81"/>
      <c r="W6132" s="185"/>
      <c r="AE6132" s="185"/>
    </row>
    <row r="6133" spans="20:31" x14ac:dyDescent="0.25">
      <c r="T6133" s="81"/>
      <c r="W6133" s="185"/>
      <c r="AE6133" s="185"/>
    </row>
    <row r="6134" spans="20:31" x14ac:dyDescent="0.25">
      <c r="T6134" s="81"/>
      <c r="W6134" s="185"/>
      <c r="AE6134" s="185"/>
    </row>
    <row r="6135" spans="20:31" x14ac:dyDescent="0.25">
      <c r="T6135" s="81"/>
      <c r="W6135" s="185"/>
      <c r="AE6135" s="185"/>
    </row>
    <row r="6136" spans="20:31" x14ac:dyDescent="0.25">
      <c r="T6136" s="81"/>
      <c r="W6136" s="185"/>
      <c r="AE6136" s="185"/>
    </row>
    <row r="6137" spans="20:31" x14ac:dyDescent="0.25">
      <c r="T6137" s="81"/>
      <c r="W6137" s="185"/>
      <c r="AE6137" s="185"/>
    </row>
    <row r="6138" spans="20:31" x14ac:dyDescent="0.25">
      <c r="T6138" s="81"/>
      <c r="W6138" s="185"/>
      <c r="AE6138" s="185"/>
    </row>
    <row r="6139" spans="20:31" x14ac:dyDescent="0.25">
      <c r="T6139" s="81"/>
      <c r="W6139" s="185"/>
      <c r="AE6139" s="185"/>
    </row>
    <row r="6140" spans="20:31" x14ac:dyDescent="0.25">
      <c r="T6140" s="81"/>
      <c r="W6140" s="185"/>
      <c r="AE6140" s="185"/>
    </row>
    <row r="6141" spans="20:31" x14ac:dyDescent="0.25">
      <c r="T6141" s="81"/>
      <c r="W6141" s="185"/>
      <c r="AE6141" s="185"/>
    </row>
    <row r="6142" spans="20:31" x14ac:dyDescent="0.25">
      <c r="T6142" s="81"/>
      <c r="W6142" s="185"/>
      <c r="AE6142" s="185"/>
    </row>
    <row r="6143" spans="20:31" x14ac:dyDescent="0.25">
      <c r="T6143" s="81"/>
      <c r="W6143" s="185"/>
      <c r="AE6143" s="185"/>
    </row>
    <row r="6144" spans="20:31" x14ac:dyDescent="0.25">
      <c r="T6144" s="81"/>
      <c r="W6144" s="185"/>
      <c r="AE6144" s="185"/>
    </row>
    <row r="6145" spans="20:31" x14ac:dyDescent="0.25">
      <c r="T6145" s="81"/>
      <c r="W6145" s="185"/>
      <c r="AE6145" s="185"/>
    </row>
    <row r="6146" spans="20:31" x14ac:dyDescent="0.25">
      <c r="T6146" s="81"/>
      <c r="W6146" s="185"/>
      <c r="AE6146" s="185"/>
    </row>
    <row r="6147" spans="20:31" x14ac:dyDescent="0.25">
      <c r="T6147" s="81"/>
      <c r="W6147" s="185"/>
      <c r="AE6147" s="185"/>
    </row>
    <row r="6148" spans="20:31" x14ac:dyDescent="0.25">
      <c r="T6148" s="81"/>
      <c r="W6148" s="185"/>
      <c r="AE6148" s="185"/>
    </row>
    <row r="6149" spans="20:31" x14ac:dyDescent="0.25">
      <c r="T6149" s="81"/>
      <c r="W6149" s="185"/>
      <c r="AE6149" s="185"/>
    </row>
    <row r="6150" spans="20:31" x14ac:dyDescent="0.25">
      <c r="T6150" s="81"/>
      <c r="W6150" s="185"/>
      <c r="AE6150" s="185"/>
    </row>
    <row r="6151" spans="20:31" x14ac:dyDescent="0.25">
      <c r="T6151" s="81"/>
      <c r="W6151" s="185"/>
      <c r="AE6151" s="185"/>
    </row>
    <row r="6152" spans="20:31" x14ac:dyDescent="0.25">
      <c r="T6152" s="81"/>
      <c r="W6152" s="185"/>
      <c r="AE6152" s="185"/>
    </row>
    <row r="6153" spans="20:31" x14ac:dyDescent="0.25">
      <c r="T6153" s="81"/>
      <c r="W6153" s="185"/>
      <c r="AE6153" s="185"/>
    </row>
    <row r="6154" spans="20:31" x14ac:dyDescent="0.25">
      <c r="T6154" s="81"/>
      <c r="W6154" s="185"/>
      <c r="AE6154" s="185"/>
    </row>
    <row r="6155" spans="20:31" x14ac:dyDescent="0.25">
      <c r="T6155" s="81"/>
      <c r="W6155" s="185"/>
      <c r="AE6155" s="185"/>
    </row>
    <row r="6156" spans="20:31" x14ac:dyDescent="0.25">
      <c r="T6156" s="81"/>
      <c r="W6156" s="185"/>
      <c r="AE6156" s="185"/>
    </row>
    <row r="6157" spans="20:31" x14ac:dyDescent="0.25">
      <c r="T6157" s="81"/>
      <c r="W6157" s="185"/>
      <c r="AE6157" s="185"/>
    </row>
    <row r="6158" spans="20:31" x14ac:dyDescent="0.25">
      <c r="T6158" s="81"/>
      <c r="W6158" s="185"/>
      <c r="AE6158" s="185"/>
    </row>
    <row r="6159" spans="20:31" x14ac:dyDescent="0.25">
      <c r="T6159" s="81"/>
      <c r="W6159" s="185"/>
      <c r="AE6159" s="185"/>
    </row>
    <row r="6160" spans="20:31" x14ac:dyDescent="0.25">
      <c r="T6160" s="81"/>
      <c r="W6160" s="185"/>
      <c r="AE6160" s="185"/>
    </row>
    <row r="6161" spans="20:31" x14ac:dyDescent="0.25">
      <c r="T6161" s="81"/>
      <c r="W6161" s="185"/>
      <c r="AE6161" s="185"/>
    </row>
    <row r="6162" spans="20:31" x14ac:dyDescent="0.25">
      <c r="T6162" s="81"/>
      <c r="W6162" s="185"/>
      <c r="AE6162" s="185"/>
    </row>
    <row r="6163" spans="20:31" x14ac:dyDescent="0.25">
      <c r="T6163" s="81"/>
      <c r="W6163" s="185"/>
      <c r="AE6163" s="185"/>
    </row>
    <row r="6164" spans="20:31" x14ac:dyDescent="0.25">
      <c r="T6164" s="81"/>
      <c r="W6164" s="185"/>
      <c r="AE6164" s="185"/>
    </row>
    <row r="6165" spans="20:31" x14ac:dyDescent="0.25">
      <c r="T6165" s="81"/>
      <c r="W6165" s="185"/>
      <c r="AE6165" s="185"/>
    </row>
    <row r="6166" spans="20:31" x14ac:dyDescent="0.25">
      <c r="T6166" s="81"/>
      <c r="W6166" s="185"/>
      <c r="AE6166" s="185"/>
    </row>
    <row r="6167" spans="20:31" x14ac:dyDescent="0.25">
      <c r="T6167" s="81"/>
      <c r="W6167" s="185"/>
      <c r="AE6167" s="185"/>
    </row>
    <row r="6168" spans="20:31" x14ac:dyDescent="0.25">
      <c r="T6168" s="81"/>
      <c r="W6168" s="185"/>
      <c r="AE6168" s="185"/>
    </row>
    <row r="6169" spans="20:31" x14ac:dyDescent="0.25">
      <c r="T6169" s="81"/>
      <c r="W6169" s="185"/>
      <c r="AE6169" s="185"/>
    </row>
    <row r="6170" spans="20:31" x14ac:dyDescent="0.25">
      <c r="T6170" s="81"/>
      <c r="W6170" s="185"/>
      <c r="AE6170" s="185"/>
    </row>
    <row r="6171" spans="20:31" x14ac:dyDescent="0.25">
      <c r="T6171" s="81"/>
      <c r="W6171" s="185"/>
      <c r="AE6171" s="185"/>
    </row>
    <row r="6172" spans="20:31" x14ac:dyDescent="0.25">
      <c r="T6172" s="81"/>
      <c r="W6172" s="185"/>
      <c r="AE6172" s="185"/>
    </row>
    <row r="6173" spans="20:31" x14ac:dyDescent="0.25">
      <c r="T6173" s="81"/>
      <c r="W6173" s="185"/>
      <c r="AE6173" s="185"/>
    </row>
    <row r="6174" spans="20:31" x14ac:dyDescent="0.25">
      <c r="T6174" s="81"/>
      <c r="W6174" s="185"/>
      <c r="AE6174" s="185"/>
    </row>
    <row r="6175" spans="20:31" x14ac:dyDescent="0.25">
      <c r="T6175" s="81"/>
      <c r="W6175" s="185"/>
      <c r="AE6175" s="185"/>
    </row>
    <row r="6176" spans="20:31" x14ac:dyDescent="0.25">
      <c r="T6176" s="81"/>
      <c r="W6176" s="185"/>
      <c r="AE6176" s="185"/>
    </row>
    <row r="6177" spans="20:31" x14ac:dyDescent="0.25">
      <c r="T6177" s="81"/>
      <c r="W6177" s="185"/>
      <c r="AE6177" s="185"/>
    </row>
    <row r="6178" spans="20:31" x14ac:dyDescent="0.25">
      <c r="T6178" s="81"/>
      <c r="W6178" s="185"/>
      <c r="AE6178" s="185"/>
    </row>
    <row r="6179" spans="20:31" x14ac:dyDescent="0.25">
      <c r="T6179" s="81"/>
      <c r="W6179" s="185"/>
      <c r="AE6179" s="185"/>
    </row>
    <row r="6180" spans="20:31" x14ac:dyDescent="0.25">
      <c r="T6180" s="81"/>
      <c r="W6180" s="185"/>
      <c r="AE6180" s="185"/>
    </row>
    <row r="6181" spans="20:31" x14ac:dyDescent="0.25">
      <c r="T6181" s="81"/>
      <c r="W6181" s="185"/>
      <c r="AE6181" s="185"/>
    </row>
    <row r="6182" spans="20:31" x14ac:dyDescent="0.25">
      <c r="T6182" s="81"/>
      <c r="W6182" s="185"/>
      <c r="AE6182" s="185"/>
    </row>
    <row r="6183" spans="20:31" x14ac:dyDescent="0.25">
      <c r="T6183" s="81"/>
      <c r="W6183" s="185"/>
      <c r="AE6183" s="185"/>
    </row>
    <row r="6184" spans="20:31" x14ac:dyDescent="0.25">
      <c r="T6184" s="81"/>
      <c r="W6184" s="185"/>
      <c r="AE6184" s="185"/>
    </row>
    <row r="6185" spans="20:31" x14ac:dyDescent="0.25">
      <c r="T6185" s="81"/>
      <c r="W6185" s="185"/>
      <c r="AE6185" s="185"/>
    </row>
    <row r="6186" spans="20:31" x14ac:dyDescent="0.25">
      <c r="T6186" s="81"/>
      <c r="W6186" s="185"/>
      <c r="AE6186" s="185"/>
    </row>
    <row r="6187" spans="20:31" x14ac:dyDescent="0.25">
      <c r="T6187" s="81"/>
      <c r="W6187" s="185"/>
      <c r="AE6187" s="185"/>
    </row>
    <row r="6188" spans="20:31" x14ac:dyDescent="0.25">
      <c r="T6188" s="81"/>
      <c r="W6188" s="185"/>
      <c r="AE6188" s="185"/>
    </row>
    <row r="6189" spans="20:31" x14ac:dyDescent="0.25">
      <c r="T6189" s="81"/>
      <c r="W6189" s="185"/>
      <c r="AE6189" s="185"/>
    </row>
    <row r="6190" spans="20:31" x14ac:dyDescent="0.25">
      <c r="T6190" s="81"/>
      <c r="W6190" s="185"/>
      <c r="AE6190" s="185"/>
    </row>
    <row r="6191" spans="20:31" x14ac:dyDescent="0.25">
      <c r="T6191" s="81"/>
      <c r="W6191" s="185"/>
      <c r="AE6191" s="185"/>
    </row>
    <row r="6192" spans="20:31" x14ac:dyDescent="0.25">
      <c r="T6192" s="81"/>
      <c r="W6192" s="185"/>
      <c r="AE6192" s="185"/>
    </row>
    <row r="6193" spans="20:31" x14ac:dyDescent="0.25">
      <c r="T6193" s="81"/>
      <c r="W6193" s="185"/>
      <c r="AE6193" s="185"/>
    </row>
    <row r="6194" spans="20:31" x14ac:dyDescent="0.25">
      <c r="T6194" s="81"/>
      <c r="W6194" s="185"/>
      <c r="AE6194" s="185"/>
    </row>
    <row r="6195" spans="20:31" x14ac:dyDescent="0.25">
      <c r="T6195" s="81"/>
      <c r="W6195" s="185"/>
      <c r="AE6195" s="185"/>
    </row>
    <row r="6196" spans="20:31" x14ac:dyDescent="0.25">
      <c r="T6196" s="81"/>
      <c r="W6196" s="185"/>
      <c r="AE6196" s="185"/>
    </row>
    <row r="6197" spans="20:31" x14ac:dyDescent="0.25">
      <c r="T6197" s="81"/>
      <c r="W6197" s="185"/>
      <c r="AE6197" s="185"/>
    </row>
    <row r="6198" spans="20:31" x14ac:dyDescent="0.25">
      <c r="T6198" s="81"/>
      <c r="W6198" s="185"/>
      <c r="AE6198" s="185"/>
    </row>
    <row r="6199" spans="20:31" x14ac:dyDescent="0.25">
      <c r="T6199" s="81"/>
      <c r="W6199" s="185"/>
      <c r="AE6199" s="185"/>
    </row>
    <row r="6200" spans="20:31" x14ac:dyDescent="0.25">
      <c r="T6200" s="81"/>
      <c r="W6200" s="185"/>
      <c r="AE6200" s="185"/>
    </row>
    <row r="6201" spans="20:31" x14ac:dyDescent="0.25">
      <c r="T6201" s="81"/>
      <c r="W6201" s="185"/>
      <c r="AE6201" s="185"/>
    </row>
    <row r="6202" spans="20:31" x14ac:dyDescent="0.25">
      <c r="T6202" s="81"/>
      <c r="W6202" s="185"/>
      <c r="AE6202" s="185"/>
    </row>
    <row r="6203" spans="20:31" x14ac:dyDescent="0.25">
      <c r="T6203" s="81"/>
      <c r="W6203" s="185"/>
      <c r="AE6203" s="185"/>
    </row>
    <row r="6204" spans="20:31" x14ac:dyDescent="0.25">
      <c r="T6204" s="81"/>
      <c r="W6204" s="185"/>
      <c r="AE6204" s="185"/>
    </row>
    <row r="6205" spans="20:31" x14ac:dyDescent="0.25">
      <c r="T6205" s="81"/>
      <c r="W6205" s="185"/>
      <c r="AE6205" s="185"/>
    </row>
    <row r="6206" spans="20:31" x14ac:dyDescent="0.25">
      <c r="T6206" s="81"/>
      <c r="W6206" s="185"/>
      <c r="AE6206" s="185"/>
    </row>
    <row r="6207" spans="20:31" x14ac:dyDescent="0.25">
      <c r="T6207" s="81"/>
      <c r="W6207" s="185"/>
      <c r="AE6207" s="185"/>
    </row>
    <row r="6208" spans="20:31" x14ac:dyDescent="0.25">
      <c r="T6208" s="81"/>
      <c r="W6208" s="185"/>
      <c r="AE6208" s="185"/>
    </row>
    <row r="6209" spans="20:31" x14ac:dyDescent="0.25">
      <c r="T6209" s="81"/>
      <c r="W6209" s="185"/>
      <c r="AE6209" s="185"/>
    </row>
    <row r="6210" spans="20:31" x14ac:dyDescent="0.25">
      <c r="T6210" s="81"/>
      <c r="W6210" s="185"/>
      <c r="AE6210" s="185"/>
    </row>
    <row r="6211" spans="20:31" x14ac:dyDescent="0.25">
      <c r="T6211" s="81"/>
      <c r="W6211" s="185"/>
      <c r="AE6211" s="185"/>
    </row>
    <row r="6212" spans="20:31" x14ac:dyDescent="0.25">
      <c r="T6212" s="81"/>
      <c r="W6212" s="185"/>
      <c r="AE6212" s="185"/>
    </row>
    <row r="6213" spans="20:31" x14ac:dyDescent="0.25">
      <c r="T6213" s="81"/>
      <c r="W6213" s="185"/>
      <c r="AE6213" s="185"/>
    </row>
    <row r="6214" spans="20:31" x14ac:dyDescent="0.25">
      <c r="T6214" s="81"/>
      <c r="W6214" s="185"/>
      <c r="AE6214" s="185"/>
    </row>
    <row r="6215" spans="20:31" x14ac:dyDescent="0.25">
      <c r="T6215" s="81"/>
      <c r="W6215" s="185"/>
      <c r="AE6215" s="185"/>
    </row>
    <row r="6216" spans="20:31" x14ac:dyDescent="0.25">
      <c r="T6216" s="81"/>
      <c r="W6216" s="185"/>
      <c r="AE6216" s="185"/>
    </row>
    <row r="6217" spans="20:31" x14ac:dyDescent="0.25">
      <c r="T6217" s="81"/>
      <c r="W6217" s="185"/>
      <c r="AE6217" s="185"/>
    </row>
    <row r="6218" spans="20:31" x14ac:dyDescent="0.25">
      <c r="T6218" s="81"/>
      <c r="W6218" s="185"/>
      <c r="AE6218" s="185"/>
    </row>
    <row r="6219" spans="20:31" x14ac:dyDescent="0.25">
      <c r="T6219" s="81"/>
      <c r="W6219" s="185"/>
      <c r="AE6219" s="185"/>
    </row>
    <row r="6220" spans="20:31" x14ac:dyDescent="0.25">
      <c r="T6220" s="81"/>
      <c r="W6220" s="185"/>
      <c r="AE6220" s="185"/>
    </row>
    <row r="6221" spans="20:31" x14ac:dyDescent="0.25">
      <c r="T6221" s="81"/>
      <c r="W6221" s="185"/>
      <c r="AE6221" s="185"/>
    </row>
    <row r="6222" spans="20:31" x14ac:dyDescent="0.25">
      <c r="T6222" s="81"/>
      <c r="W6222" s="185"/>
      <c r="AE6222" s="185"/>
    </row>
    <row r="6223" spans="20:31" x14ac:dyDescent="0.25">
      <c r="T6223" s="81"/>
      <c r="W6223" s="185"/>
      <c r="AE6223" s="185"/>
    </row>
    <row r="6224" spans="20:31" x14ac:dyDescent="0.25">
      <c r="T6224" s="81"/>
      <c r="W6224" s="185"/>
      <c r="AE6224" s="185"/>
    </row>
    <row r="6225" spans="20:31" x14ac:dyDescent="0.25">
      <c r="T6225" s="81"/>
      <c r="W6225" s="185"/>
      <c r="AE6225" s="185"/>
    </row>
    <row r="6226" spans="20:31" x14ac:dyDescent="0.25">
      <c r="T6226" s="81"/>
      <c r="W6226" s="185"/>
      <c r="AE6226" s="185"/>
    </row>
    <row r="6227" spans="20:31" x14ac:dyDescent="0.25">
      <c r="T6227" s="81"/>
      <c r="W6227" s="185"/>
      <c r="AE6227" s="185"/>
    </row>
    <row r="6228" spans="20:31" x14ac:dyDescent="0.25">
      <c r="T6228" s="81"/>
      <c r="W6228" s="185"/>
      <c r="AE6228" s="185"/>
    </row>
    <row r="6229" spans="20:31" x14ac:dyDescent="0.25">
      <c r="T6229" s="81"/>
      <c r="W6229" s="185"/>
      <c r="AE6229" s="185"/>
    </row>
    <row r="6230" spans="20:31" x14ac:dyDescent="0.25">
      <c r="T6230" s="81"/>
      <c r="W6230" s="185"/>
      <c r="AE6230" s="185"/>
    </row>
    <row r="6231" spans="20:31" x14ac:dyDescent="0.25">
      <c r="T6231" s="81"/>
      <c r="W6231" s="185"/>
      <c r="AE6231" s="185"/>
    </row>
    <row r="6232" spans="20:31" x14ac:dyDescent="0.25">
      <c r="T6232" s="81"/>
      <c r="W6232" s="185"/>
      <c r="AE6232" s="185"/>
    </row>
    <row r="6233" spans="20:31" x14ac:dyDescent="0.25">
      <c r="T6233" s="81"/>
      <c r="W6233" s="185"/>
      <c r="AE6233" s="185"/>
    </row>
    <row r="6234" spans="20:31" x14ac:dyDescent="0.25">
      <c r="T6234" s="81"/>
      <c r="W6234" s="185"/>
      <c r="AE6234" s="185"/>
    </row>
    <row r="6235" spans="20:31" x14ac:dyDescent="0.25">
      <c r="T6235" s="81"/>
      <c r="W6235" s="185"/>
      <c r="AE6235" s="185"/>
    </row>
    <row r="6236" spans="20:31" x14ac:dyDescent="0.25">
      <c r="T6236" s="81"/>
      <c r="W6236" s="185"/>
      <c r="AE6236" s="185"/>
    </row>
    <row r="6237" spans="20:31" x14ac:dyDescent="0.25">
      <c r="T6237" s="81"/>
      <c r="W6237" s="185"/>
      <c r="AE6237" s="185"/>
    </row>
    <row r="6238" spans="20:31" x14ac:dyDescent="0.25">
      <c r="T6238" s="81"/>
      <c r="W6238" s="185"/>
      <c r="AE6238" s="185"/>
    </row>
    <row r="6239" spans="20:31" x14ac:dyDescent="0.25">
      <c r="T6239" s="81"/>
      <c r="W6239" s="185"/>
      <c r="AE6239" s="185"/>
    </row>
    <row r="6240" spans="20:31" x14ac:dyDescent="0.25">
      <c r="T6240" s="81"/>
      <c r="W6240" s="185"/>
      <c r="AE6240" s="185"/>
    </row>
    <row r="6241" spans="20:31" x14ac:dyDescent="0.25">
      <c r="T6241" s="81"/>
      <c r="W6241" s="185"/>
      <c r="AE6241" s="185"/>
    </row>
    <row r="6242" spans="20:31" x14ac:dyDescent="0.25">
      <c r="T6242" s="81"/>
      <c r="W6242" s="185"/>
      <c r="AE6242" s="185"/>
    </row>
    <row r="6243" spans="20:31" x14ac:dyDescent="0.25">
      <c r="T6243" s="81"/>
      <c r="W6243" s="185"/>
      <c r="AE6243" s="185"/>
    </row>
    <row r="6244" spans="20:31" x14ac:dyDescent="0.25">
      <c r="T6244" s="81"/>
      <c r="W6244" s="185"/>
      <c r="AE6244" s="185"/>
    </row>
    <row r="6245" spans="20:31" x14ac:dyDescent="0.25">
      <c r="T6245" s="81"/>
      <c r="W6245" s="185"/>
      <c r="AE6245" s="185"/>
    </row>
    <row r="6246" spans="20:31" x14ac:dyDescent="0.25">
      <c r="T6246" s="81"/>
      <c r="W6246" s="185"/>
      <c r="AE6246" s="185"/>
    </row>
    <row r="6247" spans="20:31" x14ac:dyDescent="0.25">
      <c r="T6247" s="81"/>
      <c r="W6247" s="185"/>
      <c r="AE6247" s="185"/>
    </row>
    <row r="6248" spans="20:31" x14ac:dyDescent="0.25">
      <c r="T6248" s="81"/>
      <c r="W6248" s="185"/>
      <c r="AE6248" s="185"/>
    </row>
    <row r="6249" spans="20:31" x14ac:dyDescent="0.25">
      <c r="T6249" s="81"/>
      <c r="W6249" s="185"/>
      <c r="AE6249" s="185"/>
    </row>
    <row r="6250" spans="20:31" x14ac:dyDescent="0.25">
      <c r="T6250" s="81"/>
      <c r="W6250" s="185"/>
      <c r="AE6250" s="185"/>
    </row>
    <row r="6251" spans="20:31" x14ac:dyDescent="0.25">
      <c r="T6251" s="81"/>
      <c r="W6251" s="185"/>
      <c r="AE6251" s="185"/>
    </row>
    <row r="6252" spans="20:31" x14ac:dyDescent="0.25">
      <c r="T6252" s="81"/>
      <c r="W6252" s="185"/>
      <c r="AE6252" s="185"/>
    </row>
    <row r="6253" spans="20:31" x14ac:dyDescent="0.25">
      <c r="T6253" s="81"/>
      <c r="W6253" s="185"/>
      <c r="AE6253" s="185"/>
    </row>
    <row r="6254" spans="20:31" x14ac:dyDescent="0.25">
      <c r="T6254" s="81"/>
      <c r="W6254" s="185"/>
      <c r="AE6254" s="185"/>
    </row>
    <row r="6255" spans="20:31" x14ac:dyDescent="0.25">
      <c r="T6255" s="81"/>
      <c r="W6255" s="185"/>
      <c r="AE6255" s="185"/>
    </row>
    <row r="6256" spans="20:31" x14ac:dyDescent="0.25">
      <c r="T6256" s="81"/>
      <c r="W6256" s="185"/>
      <c r="AE6256" s="185"/>
    </row>
    <row r="6257" spans="20:31" x14ac:dyDescent="0.25">
      <c r="T6257" s="81"/>
      <c r="W6257" s="185"/>
      <c r="AE6257" s="185"/>
    </row>
    <row r="6258" spans="20:31" x14ac:dyDescent="0.25">
      <c r="T6258" s="81"/>
      <c r="W6258" s="185"/>
      <c r="AE6258" s="185"/>
    </row>
    <row r="6259" spans="20:31" x14ac:dyDescent="0.25">
      <c r="T6259" s="81"/>
      <c r="W6259" s="185"/>
      <c r="AE6259" s="185"/>
    </row>
    <row r="6260" spans="20:31" x14ac:dyDescent="0.25">
      <c r="T6260" s="81"/>
      <c r="W6260" s="185"/>
      <c r="AE6260" s="185"/>
    </row>
    <row r="6261" spans="20:31" x14ac:dyDescent="0.25">
      <c r="T6261" s="81"/>
      <c r="W6261" s="185"/>
      <c r="AE6261" s="185"/>
    </row>
    <row r="6262" spans="20:31" x14ac:dyDescent="0.25">
      <c r="T6262" s="81"/>
      <c r="W6262" s="185"/>
      <c r="AE6262" s="185"/>
    </row>
    <row r="6263" spans="20:31" x14ac:dyDescent="0.25">
      <c r="T6263" s="81"/>
      <c r="W6263" s="185"/>
      <c r="AE6263" s="185"/>
    </row>
    <row r="6264" spans="20:31" x14ac:dyDescent="0.25">
      <c r="T6264" s="81"/>
      <c r="W6264" s="185"/>
      <c r="AE6264" s="185"/>
    </row>
    <row r="6265" spans="20:31" x14ac:dyDescent="0.25">
      <c r="T6265" s="81"/>
      <c r="W6265" s="185"/>
      <c r="AE6265" s="185"/>
    </row>
    <row r="6266" spans="20:31" x14ac:dyDescent="0.25">
      <c r="T6266" s="81"/>
      <c r="W6266" s="185"/>
      <c r="AE6266" s="185"/>
    </row>
    <row r="6267" spans="20:31" x14ac:dyDescent="0.25">
      <c r="T6267" s="81"/>
      <c r="W6267" s="185"/>
      <c r="AE6267" s="185"/>
    </row>
    <row r="6268" spans="20:31" x14ac:dyDescent="0.25">
      <c r="T6268" s="81"/>
      <c r="W6268" s="185"/>
      <c r="AE6268" s="185"/>
    </row>
    <row r="6269" spans="20:31" x14ac:dyDescent="0.25">
      <c r="T6269" s="81"/>
      <c r="W6269" s="185"/>
      <c r="AE6269" s="185"/>
    </row>
    <row r="6270" spans="20:31" x14ac:dyDescent="0.25">
      <c r="T6270" s="81"/>
      <c r="W6270" s="185"/>
      <c r="AE6270" s="185"/>
    </row>
    <row r="6271" spans="20:31" x14ac:dyDescent="0.25">
      <c r="T6271" s="81"/>
      <c r="W6271" s="185"/>
      <c r="AE6271" s="185"/>
    </row>
    <row r="6272" spans="20:31" x14ac:dyDescent="0.25">
      <c r="T6272" s="81"/>
      <c r="W6272" s="185"/>
      <c r="AE6272" s="185"/>
    </row>
    <row r="6273" spans="20:31" x14ac:dyDescent="0.25">
      <c r="T6273" s="81"/>
      <c r="W6273" s="185"/>
      <c r="AE6273" s="185"/>
    </row>
    <row r="6274" spans="20:31" x14ac:dyDescent="0.25">
      <c r="T6274" s="81"/>
      <c r="W6274" s="185"/>
      <c r="AE6274" s="185"/>
    </row>
    <row r="6275" spans="20:31" x14ac:dyDescent="0.25">
      <c r="T6275" s="81"/>
      <c r="W6275" s="185"/>
      <c r="AE6275" s="185"/>
    </row>
    <row r="6276" spans="20:31" x14ac:dyDescent="0.25">
      <c r="T6276" s="81"/>
      <c r="W6276" s="185"/>
      <c r="AE6276" s="185"/>
    </row>
    <row r="6277" spans="20:31" x14ac:dyDescent="0.25">
      <c r="T6277" s="81"/>
      <c r="W6277" s="185"/>
      <c r="AE6277" s="185"/>
    </row>
    <row r="6278" spans="20:31" x14ac:dyDescent="0.25">
      <c r="T6278" s="81"/>
      <c r="W6278" s="185"/>
      <c r="AE6278" s="185"/>
    </row>
    <row r="6279" spans="20:31" x14ac:dyDescent="0.25">
      <c r="T6279" s="81"/>
      <c r="W6279" s="185"/>
      <c r="AE6279" s="185"/>
    </row>
    <row r="6280" spans="20:31" x14ac:dyDescent="0.25">
      <c r="T6280" s="81"/>
      <c r="W6280" s="185"/>
      <c r="AE6280" s="185"/>
    </row>
    <row r="6281" spans="20:31" x14ac:dyDescent="0.25">
      <c r="T6281" s="81"/>
      <c r="W6281" s="185"/>
      <c r="AE6281" s="185"/>
    </row>
    <row r="6282" spans="20:31" x14ac:dyDescent="0.25">
      <c r="T6282" s="81"/>
      <c r="W6282" s="185"/>
      <c r="AE6282" s="185"/>
    </row>
    <row r="6283" spans="20:31" x14ac:dyDescent="0.25">
      <c r="T6283" s="81"/>
      <c r="W6283" s="185"/>
      <c r="AE6283" s="185"/>
    </row>
    <row r="6284" spans="20:31" x14ac:dyDescent="0.25">
      <c r="T6284" s="81"/>
      <c r="W6284" s="185"/>
      <c r="AE6284" s="185"/>
    </row>
    <row r="6285" spans="20:31" x14ac:dyDescent="0.25">
      <c r="T6285" s="81"/>
      <c r="W6285" s="185"/>
      <c r="AE6285" s="185"/>
    </row>
    <row r="6286" spans="20:31" x14ac:dyDescent="0.25">
      <c r="T6286" s="81"/>
      <c r="W6286" s="185"/>
      <c r="AE6286" s="185"/>
    </row>
    <row r="6287" spans="20:31" x14ac:dyDescent="0.25">
      <c r="T6287" s="81"/>
      <c r="W6287" s="185"/>
      <c r="AE6287" s="185"/>
    </row>
    <row r="6288" spans="20:31" x14ac:dyDescent="0.25">
      <c r="T6288" s="81"/>
      <c r="W6288" s="185"/>
      <c r="AE6288" s="185"/>
    </row>
    <row r="6289" spans="20:31" x14ac:dyDescent="0.25">
      <c r="T6289" s="81"/>
      <c r="W6289" s="185"/>
      <c r="AE6289" s="185"/>
    </row>
    <row r="6290" spans="20:31" x14ac:dyDescent="0.25">
      <c r="T6290" s="81"/>
      <c r="W6290" s="185"/>
      <c r="AE6290" s="185"/>
    </row>
    <row r="6291" spans="20:31" x14ac:dyDescent="0.25">
      <c r="T6291" s="81"/>
      <c r="W6291" s="185"/>
      <c r="AE6291" s="185"/>
    </row>
    <row r="6292" spans="20:31" x14ac:dyDescent="0.25">
      <c r="T6292" s="81"/>
      <c r="W6292" s="185"/>
      <c r="AE6292" s="185"/>
    </row>
    <row r="6293" spans="20:31" x14ac:dyDescent="0.25">
      <c r="T6293" s="81"/>
      <c r="W6293" s="185"/>
      <c r="AE6293" s="185"/>
    </row>
    <row r="6294" spans="20:31" x14ac:dyDescent="0.25">
      <c r="T6294" s="81"/>
      <c r="W6294" s="185"/>
      <c r="AE6294" s="185"/>
    </row>
    <row r="6295" spans="20:31" x14ac:dyDescent="0.25">
      <c r="T6295" s="81"/>
      <c r="W6295" s="185"/>
      <c r="AE6295" s="185"/>
    </row>
    <row r="6296" spans="20:31" x14ac:dyDescent="0.25">
      <c r="T6296" s="81"/>
      <c r="W6296" s="185"/>
      <c r="AE6296" s="185"/>
    </row>
    <row r="6297" spans="20:31" x14ac:dyDescent="0.25">
      <c r="T6297" s="81"/>
      <c r="W6297" s="185"/>
      <c r="AE6297" s="185"/>
    </row>
    <row r="6298" spans="20:31" x14ac:dyDescent="0.25">
      <c r="T6298" s="81"/>
      <c r="W6298" s="185"/>
      <c r="AE6298" s="185"/>
    </row>
    <row r="6299" spans="20:31" x14ac:dyDescent="0.25">
      <c r="T6299" s="81"/>
      <c r="W6299" s="185"/>
      <c r="AE6299" s="185"/>
    </row>
    <row r="6300" spans="20:31" x14ac:dyDescent="0.25">
      <c r="T6300" s="81"/>
      <c r="W6300" s="185"/>
      <c r="AE6300" s="185"/>
    </row>
    <row r="6301" spans="20:31" x14ac:dyDescent="0.25">
      <c r="T6301" s="81"/>
      <c r="W6301" s="185"/>
      <c r="AE6301" s="185"/>
    </row>
    <row r="6302" spans="20:31" x14ac:dyDescent="0.25">
      <c r="T6302" s="81"/>
      <c r="W6302" s="185"/>
      <c r="AE6302" s="185"/>
    </row>
    <row r="6303" spans="20:31" x14ac:dyDescent="0.25">
      <c r="T6303" s="81"/>
      <c r="W6303" s="185"/>
      <c r="AE6303" s="185"/>
    </row>
    <row r="6304" spans="20:31" x14ac:dyDescent="0.25">
      <c r="T6304" s="81"/>
      <c r="W6304" s="185"/>
      <c r="AE6304" s="185"/>
    </row>
    <row r="6305" spans="20:31" x14ac:dyDescent="0.25">
      <c r="T6305" s="81"/>
      <c r="W6305" s="185"/>
      <c r="AE6305" s="185"/>
    </row>
    <row r="6306" spans="20:31" x14ac:dyDescent="0.25">
      <c r="T6306" s="81"/>
      <c r="W6306" s="185"/>
      <c r="AE6306" s="185"/>
    </row>
    <row r="6307" spans="20:31" x14ac:dyDescent="0.25">
      <c r="T6307" s="81"/>
      <c r="W6307" s="185"/>
      <c r="AE6307" s="185"/>
    </row>
    <row r="6308" spans="20:31" x14ac:dyDescent="0.25">
      <c r="T6308" s="81"/>
      <c r="W6308" s="185"/>
      <c r="AE6308" s="185"/>
    </row>
    <row r="6309" spans="20:31" x14ac:dyDescent="0.25">
      <c r="T6309" s="81"/>
      <c r="W6309" s="185"/>
      <c r="AE6309" s="185"/>
    </row>
    <row r="6310" spans="20:31" x14ac:dyDescent="0.25">
      <c r="T6310" s="81"/>
      <c r="W6310" s="185"/>
      <c r="AE6310" s="185"/>
    </row>
    <row r="6311" spans="20:31" x14ac:dyDescent="0.25">
      <c r="T6311" s="81"/>
      <c r="W6311" s="185"/>
      <c r="AE6311" s="185"/>
    </row>
    <row r="6312" spans="20:31" x14ac:dyDescent="0.25">
      <c r="T6312" s="81"/>
      <c r="W6312" s="185"/>
      <c r="AE6312" s="185"/>
    </row>
    <row r="6313" spans="20:31" x14ac:dyDescent="0.25">
      <c r="T6313" s="81"/>
      <c r="W6313" s="185"/>
      <c r="AE6313" s="185"/>
    </row>
    <row r="6314" spans="20:31" x14ac:dyDescent="0.25">
      <c r="T6314" s="81"/>
      <c r="W6314" s="185"/>
      <c r="AE6314" s="185"/>
    </row>
    <row r="6315" spans="20:31" x14ac:dyDescent="0.25">
      <c r="T6315" s="81"/>
      <c r="W6315" s="185"/>
      <c r="AE6315" s="185"/>
    </row>
    <row r="6316" spans="20:31" x14ac:dyDescent="0.25">
      <c r="T6316" s="81"/>
      <c r="W6316" s="185"/>
      <c r="AE6316" s="185"/>
    </row>
    <row r="6317" spans="20:31" x14ac:dyDescent="0.25">
      <c r="T6317" s="81"/>
      <c r="W6317" s="185"/>
      <c r="AE6317" s="185"/>
    </row>
    <row r="6318" spans="20:31" x14ac:dyDescent="0.25">
      <c r="T6318" s="81"/>
      <c r="W6318" s="185"/>
      <c r="AE6318" s="185"/>
    </row>
    <row r="6319" spans="20:31" x14ac:dyDescent="0.25">
      <c r="T6319" s="81"/>
      <c r="W6319" s="185"/>
      <c r="AE6319" s="185"/>
    </row>
    <row r="6320" spans="20:31" x14ac:dyDescent="0.25">
      <c r="T6320" s="81"/>
      <c r="W6320" s="185"/>
      <c r="AE6320" s="185"/>
    </row>
    <row r="6321" spans="20:31" x14ac:dyDescent="0.25">
      <c r="T6321" s="81"/>
      <c r="W6321" s="185"/>
      <c r="AE6321" s="185"/>
    </row>
    <row r="6322" spans="20:31" x14ac:dyDescent="0.25">
      <c r="T6322" s="81"/>
      <c r="W6322" s="185"/>
      <c r="AE6322" s="185"/>
    </row>
    <row r="6323" spans="20:31" x14ac:dyDescent="0.25">
      <c r="T6323" s="81"/>
      <c r="W6323" s="185"/>
      <c r="AE6323" s="185"/>
    </row>
    <row r="6324" spans="20:31" x14ac:dyDescent="0.25">
      <c r="T6324" s="81"/>
      <c r="W6324" s="185"/>
      <c r="AE6324" s="185"/>
    </row>
    <row r="6325" spans="20:31" x14ac:dyDescent="0.25">
      <c r="T6325" s="81"/>
      <c r="W6325" s="185"/>
      <c r="AE6325" s="185"/>
    </row>
    <row r="6326" spans="20:31" x14ac:dyDescent="0.25">
      <c r="T6326" s="81"/>
      <c r="W6326" s="185"/>
      <c r="AE6326" s="185"/>
    </row>
    <row r="6327" spans="20:31" x14ac:dyDescent="0.25">
      <c r="T6327" s="81"/>
      <c r="W6327" s="185"/>
      <c r="AE6327" s="185"/>
    </row>
    <row r="6328" spans="20:31" x14ac:dyDescent="0.25">
      <c r="T6328" s="81"/>
      <c r="W6328" s="185"/>
      <c r="AE6328" s="185"/>
    </row>
    <row r="6329" spans="20:31" x14ac:dyDescent="0.25">
      <c r="T6329" s="81"/>
      <c r="W6329" s="185"/>
      <c r="AE6329" s="185"/>
    </row>
    <row r="6330" spans="20:31" x14ac:dyDescent="0.25">
      <c r="T6330" s="81"/>
      <c r="W6330" s="185"/>
      <c r="AE6330" s="185"/>
    </row>
    <row r="6331" spans="20:31" x14ac:dyDescent="0.25">
      <c r="T6331" s="81"/>
      <c r="W6331" s="185"/>
      <c r="AE6331" s="185"/>
    </row>
    <row r="6332" spans="20:31" x14ac:dyDescent="0.25">
      <c r="T6332" s="81"/>
      <c r="W6332" s="185"/>
      <c r="AE6332" s="185"/>
    </row>
    <row r="6333" spans="20:31" x14ac:dyDescent="0.25">
      <c r="T6333" s="81"/>
      <c r="W6333" s="185"/>
      <c r="AE6333" s="185"/>
    </row>
    <row r="6334" spans="20:31" x14ac:dyDescent="0.25">
      <c r="T6334" s="81"/>
      <c r="W6334" s="185"/>
      <c r="AE6334" s="185"/>
    </row>
    <row r="6335" spans="20:31" x14ac:dyDescent="0.25">
      <c r="T6335" s="81"/>
      <c r="W6335" s="185"/>
      <c r="AE6335" s="185"/>
    </row>
    <row r="6336" spans="20:31" x14ac:dyDescent="0.25">
      <c r="T6336" s="81"/>
      <c r="W6336" s="185"/>
      <c r="AE6336" s="185"/>
    </row>
    <row r="6337" spans="20:31" x14ac:dyDescent="0.25">
      <c r="T6337" s="81"/>
      <c r="W6337" s="185"/>
      <c r="AE6337" s="185"/>
    </row>
    <row r="6338" spans="20:31" x14ac:dyDescent="0.25">
      <c r="T6338" s="81"/>
      <c r="W6338" s="185"/>
      <c r="AE6338" s="185"/>
    </row>
    <row r="6339" spans="20:31" x14ac:dyDescent="0.25">
      <c r="T6339" s="81"/>
      <c r="W6339" s="185"/>
      <c r="AE6339" s="185"/>
    </row>
    <row r="6340" spans="20:31" x14ac:dyDescent="0.25">
      <c r="T6340" s="81"/>
      <c r="W6340" s="185"/>
      <c r="AE6340" s="185"/>
    </row>
    <row r="6341" spans="20:31" x14ac:dyDescent="0.25">
      <c r="T6341" s="81"/>
      <c r="W6341" s="185"/>
      <c r="AE6341" s="185"/>
    </row>
    <row r="6342" spans="20:31" x14ac:dyDescent="0.25">
      <c r="T6342" s="81"/>
      <c r="W6342" s="185"/>
      <c r="AE6342" s="185"/>
    </row>
    <row r="6343" spans="20:31" x14ac:dyDescent="0.25">
      <c r="T6343" s="81"/>
      <c r="W6343" s="185"/>
      <c r="AE6343" s="185"/>
    </row>
    <row r="6344" spans="20:31" x14ac:dyDescent="0.25">
      <c r="T6344" s="81"/>
      <c r="W6344" s="185"/>
      <c r="AE6344" s="185"/>
    </row>
    <row r="6345" spans="20:31" x14ac:dyDescent="0.25">
      <c r="T6345" s="81"/>
      <c r="W6345" s="185"/>
      <c r="AE6345" s="185"/>
    </row>
    <row r="6346" spans="20:31" x14ac:dyDescent="0.25">
      <c r="T6346" s="81"/>
      <c r="W6346" s="185"/>
      <c r="AE6346" s="185"/>
    </row>
    <row r="6347" spans="20:31" x14ac:dyDescent="0.25">
      <c r="T6347" s="81"/>
      <c r="W6347" s="185"/>
      <c r="AE6347" s="185"/>
    </row>
    <row r="6348" spans="20:31" x14ac:dyDescent="0.25">
      <c r="T6348" s="81"/>
      <c r="W6348" s="185"/>
      <c r="AE6348" s="185"/>
    </row>
    <row r="6349" spans="20:31" x14ac:dyDescent="0.25">
      <c r="T6349" s="81"/>
      <c r="W6349" s="185"/>
      <c r="AE6349" s="185"/>
    </row>
    <row r="6350" spans="20:31" x14ac:dyDescent="0.25">
      <c r="T6350" s="81"/>
      <c r="W6350" s="185"/>
      <c r="AE6350" s="185"/>
    </row>
    <row r="6351" spans="20:31" x14ac:dyDescent="0.25">
      <c r="T6351" s="81"/>
      <c r="W6351" s="185"/>
      <c r="AE6351" s="185"/>
    </row>
    <row r="6352" spans="20:31" x14ac:dyDescent="0.25">
      <c r="T6352" s="81"/>
      <c r="W6352" s="185"/>
      <c r="AE6352" s="185"/>
    </row>
    <row r="6353" spans="20:31" x14ac:dyDescent="0.25">
      <c r="T6353" s="81"/>
      <c r="W6353" s="185"/>
      <c r="AE6353" s="185"/>
    </row>
    <row r="6354" spans="20:31" x14ac:dyDescent="0.25">
      <c r="T6354" s="81"/>
      <c r="W6354" s="185"/>
      <c r="AE6354" s="185"/>
    </row>
    <row r="6355" spans="20:31" x14ac:dyDescent="0.25">
      <c r="T6355" s="81"/>
      <c r="W6355" s="185"/>
      <c r="AE6355" s="185"/>
    </row>
    <row r="6356" spans="20:31" x14ac:dyDescent="0.25">
      <c r="T6356" s="81"/>
      <c r="W6356" s="185"/>
      <c r="AE6356" s="185"/>
    </row>
    <row r="6357" spans="20:31" x14ac:dyDescent="0.25">
      <c r="T6357" s="81"/>
      <c r="W6357" s="185"/>
      <c r="AE6357" s="185"/>
    </row>
    <row r="6358" spans="20:31" x14ac:dyDescent="0.25">
      <c r="T6358" s="81"/>
      <c r="W6358" s="185"/>
      <c r="AE6358" s="185"/>
    </row>
    <row r="6359" spans="20:31" x14ac:dyDescent="0.25">
      <c r="T6359" s="81"/>
      <c r="W6359" s="185"/>
      <c r="AE6359" s="185"/>
    </row>
    <row r="6360" spans="20:31" x14ac:dyDescent="0.25">
      <c r="T6360" s="81"/>
      <c r="W6360" s="185"/>
      <c r="AE6360" s="185"/>
    </row>
    <row r="6361" spans="20:31" x14ac:dyDescent="0.25">
      <c r="T6361" s="81"/>
      <c r="W6361" s="185"/>
      <c r="AE6361" s="185"/>
    </row>
    <row r="6362" spans="20:31" x14ac:dyDescent="0.25">
      <c r="T6362" s="81"/>
      <c r="W6362" s="185"/>
      <c r="AE6362" s="185"/>
    </row>
    <row r="6363" spans="20:31" x14ac:dyDescent="0.25">
      <c r="T6363" s="81"/>
      <c r="W6363" s="185"/>
      <c r="AE6363" s="185"/>
    </row>
    <row r="6364" spans="20:31" x14ac:dyDescent="0.25">
      <c r="T6364" s="81"/>
      <c r="W6364" s="185"/>
      <c r="AE6364" s="185"/>
    </row>
    <row r="6365" spans="20:31" x14ac:dyDescent="0.25">
      <c r="T6365" s="81"/>
      <c r="W6365" s="185"/>
      <c r="AE6365" s="185"/>
    </row>
    <row r="6366" spans="20:31" x14ac:dyDescent="0.25">
      <c r="T6366" s="81"/>
      <c r="W6366" s="185"/>
      <c r="AE6366" s="185"/>
    </row>
    <row r="6367" spans="20:31" x14ac:dyDescent="0.25">
      <c r="T6367" s="81"/>
      <c r="W6367" s="185"/>
      <c r="AE6367" s="185"/>
    </row>
    <row r="6368" spans="20:31" x14ac:dyDescent="0.25">
      <c r="T6368" s="81"/>
      <c r="W6368" s="185"/>
      <c r="AE6368" s="185"/>
    </row>
    <row r="6369" spans="20:31" x14ac:dyDescent="0.25">
      <c r="T6369" s="81"/>
      <c r="W6369" s="185"/>
      <c r="AE6369" s="185"/>
    </row>
    <row r="6370" spans="20:31" x14ac:dyDescent="0.25">
      <c r="T6370" s="81"/>
      <c r="W6370" s="185"/>
      <c r="AE6370" s="185"/>
    </row>
    <row r="6371" spans="20:31" x14ac:dyDescent="0.25">
      <c r="T6371" s="81"/>
      <c r="W6371" s="185"/>
      <c r="AE6371" s="185"/>
    </row>
    <row r="6372" spans="20:31" x14ac:dyDescent="0.25">
      <c r="T6372" s="81"/>
      <c r="W6372" s="185"/>
      <c r="AE6372" s="185"/>
    </row>
    <row r="6373" spans="20:31" x14ac:dyDescent="0.25">
      <c r="T6373" s="81"/>
      <c r="W6373" s="185"/>
      <c r="AE6373" s="185"/>
    </row>
    <row r="6374" spans="20:31" x14ac:dyDescent="0.25">
      <c r="T6374" s="81"/>
      <c r="W6374" s="185"/>
      <c r="AE6374" s="185"/>
    </row>
    <row r="6375" spans="20:31" x14ac:dyDescent="0.25">
      <c r="T6375" s="81"/>
      <c r="W6375" s="185"/>
      <c r="AE6375" s="185"/>
    </row>
    <row r="6376" spans="20:31" x14ac:dyDescent="0.25">
      <c r="T6376" s="81"/>
      <c r="W6376" s="185"/>
      <c r="AE6376" s="185"/>
    </row>
    <row r="6377" spans="20:31" x14ac:dyDescent="0.25">
      <c r="T6377" s="81"/>
      <c r="W6377" s="185"/>
      <c r="AE6377" s="185"/>
    </row>
    <row r="6378" spans="20:31" x14ac:dyDescent="0.25">
      <c r="T6378" s="81"/>
      <c r="W6378" s="185"/>
      <c r="AE6378" s="185"/>
    </row>
    <row r="6379" spans="20:31" x14ac:dyDescent="0.25">
      <c r="T6379" s="81"/>
      <c r="W6379" s="185"/>
      <c r="AE6379" s="185"/>
    </row>
    <row r="6380" spans="20:31" x14ac:dyDescent="0.25">
      <c r="T6380" s="81"/>
      <c r="W6380" s="185"/>
      <c r="AE6380" s="185"/>
    </row>
    <row r="6381" spans="20:31" x14ac:dyDescent="0.25">
      <c r="T6381" s="81"/>
      <c r="W6381" s="185"/>
      <c r="AE6381" s="185"/>
    </row>
    <row r="6382" spans="20:31" x14ac:dyDescent="0.25">
      <c r="T6382" s="81"/>
      <c r="W6382" s="185"/>
      <c r="AE6382" s="185"/>
    </row>
    <row r="6383" spans="20:31" x14ac:dyDescent="0.25">
      <c r="T6383" s="81"/>
      <c r="W6383" s="185"/>
      <c r="AE6383" s="185"/>
    </row>
    <row r="6384" spans="20:31" x14ac:dyDescent="0.25">
      <c r="T6384" s="81"/>
      <c r="W6384" s="185"/>
      <c r="AE6384" s="185"/>
    </row>
    <row r="6385" spans="20:31" x14ac:dyDescent="0.25">
      <c r="T6385" s="81"/>
      <c r="W6385" s="185"/>
      <c r="AE6385" s="185"/>
    </row>
    <row r="6386" spans="20:31" x14ac:dyDescent="0.25">
      <c r="T6386" s="81"/>
      <c r="W6386" s="185"/>
      <c r="AE6386" s="185"/>
    </row>
    <row r="6387" spans="20:31" x14ac:dyDescent="0.25">
      <c r="T6387" s="81"/>
      <c r="W6387" s="185"/>
      <c r="AE6387" s="185"/>
    </row>
    <row r="6388" spans="20:31" x14ac:dyDescent="0.25">
      <c r="T6388" s="81"/>
      <c r="W6388" s="185"/>
      <c r="AE6388" s="185"/>
    </row>
    <row r="6389" spans="20:31" x14ac:dyDescent="0.25">
      <c r="T6389" s="81"/>
      <c r="W6389" s="185"/>
      <c r="AE6389" s="185"/>
    </row>
    <row r="6390" spans="20:31" x14ac:dyDescent="0.25">
      <c r="T6390" s="81"/>
      <c r="W6390" s="185"/>
      <c r="AE6390" s="185"/>
    </row>
    <row r="6391" spans="20:31" x14ac:dyDescent="0.25">
      <c r="T6391" s="81"/>
      <c r="W6391" s="185"/>
      <c r="AE6391" s="185"/>
    </row>
    <row r="6392" spans="20:31" x14ac:dyDescent="0.25">
      <c r="T6392" s="81"/>
      <c r="W6392" s="185"/>
      <c r="AE6392" s="185"/>
    </row>
    <row r="6393" spans="20:31" x14ac:dyDescent="0.25">
      <c r="T6393" s="81"/>
      <c r="W6393" s="185"/>
      <c r="AE6393" s="185"/>
    </row>
    <row r="6394" spans="20:31" x14ac:dyDescent="0.25">
      <c r="T6394" s="81"/>
      <c r="W6394" s="185"/>
      <c r="AE6394" s="185"/>
    </row>
    <row r="6395" spans="20:31" x14ac:dyDescent="0.25">
      <c r="T6395" s="81"/>
      <c r="W6395" s="185"/>
      <c r="AE6395" s="185"/>
    </row>
    <row r="6396" spans="20:31" x14ac:dyDescent="0.25">
      <c r="T6396" s="81"/>
      <c r="W6396" s="185"/>
      <c r="AE6396" s="185"/>
    </row>
    <row r="6397" spans="20:31" x14ac:dyDescent="0.25">
      <c r="T6397" s="81"/>
      <c r="W6397" s="185"/>
      <c r="AE6397" s="185"/>
    </row>
    <row r="6398" spans="20:31" x14ac:dyDescent="0.25">
      <c r="T6398" s="81"/>
      <c r="W6398" s="185"/>
      <c r="AE6398" s="185"/>
    </row>
    <row r="6399" spans="20:31" x14ac:dyDescent="0.25">
      <c r="T6399" s="81"/>
      <c r="W6399" s="185"/>
      <c r="AE6399" s="185"/>
    </row>
    <row r="6400" spans="20:31" x14ac:dyDescent="0.25">
      <c r="T6400" s="81"/>
      <c r="W6400" s="185"/>
      <c r="AE6400" s="185"/>
    </row>
    <row r="6401" spans="20:31" x14ac:dyDescent="0.25">
      <c r="T6401" s="81"/>
      <c r="W6401" s="185"/>
      <c r="AE6401" s="185"/>
    </row>
    <row r="6402" spans="20:31" x14ac:dyDescent="0.25">
      <c r="T6402" s="81"/>
      <c r="W6402" s="185"/>
      <c r="AE6402" s="185"/>
    </row>
    <row r="6403" spans="20:31" x14ac:dyDescent="0.25">
      <c r="T6403" s="81"/>
      <c r="W6403" s="185"/>
      <c r="AE6403" s="185"/>
    </row>
    <row r="6404" spans="20:31" x14ac:dyDescent="0.25">
      <c r="T6404" s="81"/>
      <c r="W6404" s="185"/>
      <c r="AE6404" s="185"/>
    </row>
    <row r="6405" spans="20:31" x14ac:dyDescent="0.25">
      <c r="T6405" s="81"/>
      <c r="W6405" s="185"/>
      <c r="AE6405" s="185"/>
    </row>
    <row r="6406" spans="20:31" x14ac:dyDescent="0.25">
      <c r="T6406" s="81"/>
      <c r="W6406" s="185"/>
      <c r="AE6406" s="185"/>
    </row>
    <row r="6407" spans="20:31" x14ac:dyDescent="0.25">
      <c r="T6407" s="81"/>
      <c r="W6407" s="185"/>
      <c r="AE6407" s="185"/>
    </row>
    <row r="6408" spans="20:31" x14ac:dyDescent="0.25">
      <c r="T6408" s="81"/>
      <c r="W6408" s="185"/>
      <c r="AE6408" s="185"/>
    </row>
    <row r="6409" spans="20:31" x14ac:dyDescent="0.25">
      <c r="T6409" s="81"/>
      <c r="W6409" s="185"/>
      <c r="AE6409" s="185"/>
    </row>
    <row r="6410" spans="20:31" x14ac:dyDescent="0.25">
      <c r="T6410" s="81"/>
      <c r="W6410" s="185"/>
      <c r="AE6410" s="185"/>
    </row>
    <row r="6411" spans="20:31" x14ac:dyDescent="0.25">
      <c r="T6411" s="81"/>
      <c r="W6411" s="185"/>
      <c r="AE6411" s="185"/>
    </row>
    <row r="6412" spans="20:31" x14ac:dyDescent="0.25">
      <c r="T6412" s="81"/>
      <c r="W6412" s="185"/>
      <c r="AE6412" s="185"/>
    </row>
    <row r="6413" spans="20:31" x14ac:dyDescent="0.25">
      <c r="T6413" s="81"/>
      <c r="W6413" s="185"/>
      <c r="AE6413" s="185"/>
    </row>
    <row r="6414" spans="20:31" x14ac:dyDescent="0.25">
      <c r="T6414" s="81"/>
      <c r="W6414" s="185"/>
      <c r="AE6414" s="185"/>
    </row>
    <row r="6415" spans="20:31" x14ac:dyDescent="0.25">
      <c r="T6415" s="81"/>
      <c r="W6415" s="185"/>
      <c r="AE6415" s="185"/>
    </row>
    <row r="6416" spans="20:31" x14ac:dyDescent="0.25">
      <c r="T6416" s="81"/>
      <c r="W6416" s="185"/>
      <c r="AE6416" s="185"/>
    </row>
    <row r="6417" spans="20:31" x14ac:dyDescent="0.25">
      <c r="T6417" s="81"/>
      <c r="W6417" s="185"/>
      <c r="AE6417" s="185"/>
    </row>
    <row r="6418" spans="20:31" x14ac:dyDescent="0.25">
      <c r="T6418" s="81"/>
      <c r="W6418" s="185"/>
      <c r="AE6418" s="185"/>
    </row>
    <row r="6419" spans="20:31" x14ac:dyDescent="0.25">
      <c r="T6419" s="81"/>
      <c r="W6419" s="185"/>
      <c r="AE6419" s="185"/>
    </row>
    <row r="6420" spans="20:31" x14ac:dyDescent="0.25">
      <c r="T6420" s="81"/>
      <c r="W6420" s="185"/>
      <c r="AE6420" s="185"/>
    </row>
    <row r="6421" spans="20:31" x14ac:dyDescent="0.25">
      <c r="T6421" s="81"/>
      <c r="W6421" s="185"/>
      <c r="AE6421" s="185"/>
    </row>
    <row r="6422" spans="20:31" x14ac:dyDescent="0.25">
      <c r="T6422" s="81"/>
      <c r="W6422" s="185"/>
      <c r="AE6422" s="185"/>
    </row>
    <row r="6423" spans="20:31" x14ac:dyDescent="0.25">
      <c r="T6423" s="81"/>
      <c r="W6423" s="185"/>
      <c r="AE6423" s="185"/>
    </row>
    <row r="6424" spans="20:31" x14ac:dyDescent="0.25">
      <c r="T6424" s="81"/>
      <c r="W6424" s="185"/>
      <c r="AE6424" s="185"/>
    </row>
    <row r="6425" spans="20:31" x14ac:dyDescent="0.25">
      <c r="T6425" s="81"/>
      <c r="W6425" s="185"/>
      <c r="AE6425" s="185"/>
    </row>
    <row r="6426" spans="20:31" x14ac:dyDescent="0.25">
      <c r="T6426" s="81"/>
      <c r="W6426" s="185"/>
      <c r="AE6426" s="185"/>
    </row>
    <row r="6427" spans="20:31" x14ac:dyDescent="0.25">
      <c r="T6427" s="81"/>
      <c r="W6427" s="185"/>
      <c r="AE6427" s="185"/>
    </row>
    <row r="6428" spans="20:31" x14ac:dyDescent="0.25">
      <c r="T6428" s="81"/>
      <c r="W6428" s="185"/>
      <c r="AE6428" s="185"/>
    </row>
    <row r="6429" spans="20:31" x14ac:dyDescent="0.25">
      <c r="T6429" s="81"/>
      <c r="W6429" s="185"/>
      <c r="AE6429" s="185"/>
    </row>
    <row r="6430" spans="20:31" x14ac:dyDescent="0.25">
      <c r="T6430" s="81"/>
      <c r="W6430" s="185"/>
      <c r="AE6430" s="185"/>
    </row>
    <row r="6431" spans="20:31" x14ac:dyDescent="0.25">
      <c r="T6431" s="81"/>
      <c r="W6431" s="185"/>
      <c r="AE6431" s="185"/>
    </row>
    <row r="6432" spans="20:31" x14ac:dyDescent="0.25">
      <c r="T6432" s="81"/>
      <c r="W6432" s="185"/>
      <c r="AE6432" s="185"/>
    </row>
    <row r="6433" spans="20:31" x14ac:dyDescent="0.25">
      <c r="T6433" s="81"/>
      <c r="W6433" s="185"/>
      <c r="AE6433" s="185"/>
    </row>
    <row r="6434" spans="20:31" x14ac:dyDescent="0.25">
      <c r="T6434" s="81"/>
      <c r="W6434" s="185"/>
      <c r="AE6434" s="185"/>
    </row>
    <row r="6435" spans="20:31" x14ac:dyDescent="0.25">
      <c r="T6435" s="81"/>
      <c r="W6435" s="185"/>
      <c r="AE6435" s="185"/>
    </row>
    <row r="6436" spans="20:31" x14ac:dyDescent="0.25">
      <c r="T6436" s="81"/>
      <c r="W6436" s="185"/>
      <c r="AE6436" s="185"/>
    </row>
    <row r="6437" spans="20:31" x14ac:dyDescent="0.25">
      <c r="T6437" s="81"/>
      <c r="W6437" s="185"/>
      <c r="AE6437" s="185"/>
    </row>
    <row r="6438" spans="20:31" x14ac:dyDescent="0.25">
      <c r="T6438" s="81"/>
      <c r="W6438" s="185"/>
      <c r="AE6438" s="185"/>
    </row>
    <row r="6439" spans="20:31" x14ac:dyDescent="0.25">
      <c r="T6439" s="81"/>
      <c r="W6439" s="185"/>
      <c r="AE6439" s="185"/>
    </row>
    <row r="6440" spans="20:31" x14ac:dyDescent="0.25">
      <c r="T6440" s="81"/>
      <c r="W6440" s="185"/>
      <c r="AE6440" s="185"/>
    </row>
    <row r="6441" spans="20:31" x14ac:dyDescent="0.25">
      <c r="T6441" s="81"/>
      <c r="W6441" s="185"/>
      <c r="AE6441" s="185"/>
    </row>
    <row r="6442" spans="20:31" x14ac:dyDescent="0.25">
      <c r="T6442" s="81"/>
      <c r="W6442" s="185"/>
      <c r="AE6442" s="185"/>
    </row>
    <row r="6443" spans="20:31" x14ac:dyDescent="0.25">
      <c r="T6443" s="81"/>
      <c r="W6443" s="185"/>
      <c r="AE6443" s="185"/>
    </row>
    <row r="6444" spans="20:31" x14ac:dyDescent="0.25">
      <c r="T6444" s="81"/>
      <c r="W6444" s="185"/>
      <c r="AE6444" s="185"/>
    </row>
    <row r="6445" spans="20:31" x14ac:dyDescent="0.25">
      <c r="T6445" s="81"/>
      <c r="W6445" s="185"/>
      <c r="AE6445" s="185"/>
    </row>
    <row r="6446" spans="20:31" x14ac:dyDescent="0.25">
      <c r="T6446" s="81"/>
      <c r="W6446" s="185"/>
      <c r="AE6446" s="185"/>
    </row>
    <row r="6447" spans="20:31" x14ac:dyDescent="0.25">
      <c r="T6447" s="81"/>
      <c r="W6447" s="185"/>
      <c r="AE6447" s="185"/>
    </row>
    <row r="6448" spans="20:31" x14ac:dyDescent="0.25">
      <c r="T6448" s="81"/>
      <c r="W6448" s="185"/>
      <c r="AE6448" s="185"/>
    </row>
    <row r="6449" spans="20:31" x14ac:dyDescent="0.25">
      <c r="T6449" s="81"/>
      <c r="W6449" s="185"/>
      <c r="AE6449" s="185"/>
    </row>
    <row r="6450" spans="20:31" x14ac:dyDescent="0.25">
      <c r="T6450" s="81"/>
      <c r="W6450" s="185"/>
      <c r="AE6450" s="185"/>
    </row>
    <row r="6451" spans="20:31" x14ac:dyDescent="0.25">
      <c r="T6451" s="81"/>
      <c r="W6451" s="185"/>
      <c r="AE6451" s="185"/>
    </row>
    <row r="6452" spans="20:31" x14ac:dyDescent="0.25">
      <c r="T6452" s="81"/>
      <c r="W6452" s="185"/>
      <c r="AE6452" s="185"/>
    </row>
    <row r="6453" spans="20:31" x14ac:dyDescent="0.25">
      <c r="T6453" s="81"/>
      <c r="W6453" s="185"/>
      <c r="AE6453" s="185"/>
    </row>
    <row r="6454" spans="20:31" x14ac:dyDescent="0.25">
      <c r="T6454" s="81"/>
      <c r="W6454" s="185"/>
      <c r="AE6454" s="185"/>
    </row>
    <row r="6455" spans="20:31" x14ac:dyDescent="0.25">
      <c r="T6455" s="81"/>
      <c r="W6455" s="185"/>
      <c r="AE6455" s="185"/>
    </row>
    <row r="6456" spans="20:31" x14ac:dyDescent="0.25">
      <c r="T6456" s="81"/>
      <c r="W6456" s="185"/>
      <c r="AE6456" s="185"/>
    </row>
    <row r="6457" spans="20:31" x14ac:dyDescent="0.25">
      <c r="T6457" s="81"/>
      <c r="W6457" s="185"/>
      <c r="AE6457" s="185"/>
    </row>
    <row r="6458" spans="20:31" x14ac:dyDescent="0.25">
      <c r="T6458" s="81"/>
      <c r="W6458" s="185"/>
      <c r="AE6458" s="185"/>
    </row>
    <row r="6459" spans="20:31" x14ac:dyDescent="0.25">
      <c r="T6459" s="81"/>
      <c r="W6459" s="185"/>
      <c r="AE6459" s="185"/>
    </row>
    <row r="6460" spans="20:31" x14ac:dyDescent="0.25">
      <c r="T6460" s="81"/>
      <c r="W6460" s="185"/>
      <c r="AE6460" s="185"/>
    </row>
    <row r="6461" spans="20:31" x14ac:dyDescent="0.25">
      <c r="T6461" s="81"/>
      <c r="W6461" s="185"/>
      <c r="AE6461" s="185"/>
    </row>
    <row r="6462" spans="20:31" x14ac:dyDescent="0.25">
      <c r="T6462" s="81"/>
      <c r="W6462" s="185"/>
      <c r="AE6462" s="185"/>
    </row>
    <row r="6463" spans="20:31" x14ac:dyDescent="0.25">
      <c r="T6463" s="81"/>
      <c r="W6463" s="185"/>
      <c r="AE6463" s="185"/>
    </row>
    <row r="6464" spans="20:31" x14ac:dyDescent="0.25">
      <c r="T6464" s="81"/>
      <c r="W6464" s="185"/>
      <c r="AE6464" s="185"/>
    </row>
    <row r="6465" spans="20:31" x14ac:dyDescent="0.25">
      <c r="T6465" s="81"/>
      <c r="W6465" s="185"/>
      <c r="AE6465" s="185"/>
    </row>
    <row r="6466" spans="20:31" x14ac:dyDescent="0.25">
      <c r="T6466" s="81"/>
      <c r="W6466" s="185"/>
      <c r="AE6466" s="185"/>
    </row>
    <row r="6467" spans="20:31" x14ac:dyDescent="0.25">
      <c r="T6467" s="81"/>
      <c r="W6467" s="185"/>
      <c r="AE6467" s="185"/>
    </row>
    <row r="6468" spans="20:31" x14ac:dyDescent="0.25">
      <c r="T6468" s="81"/>
      <c r="W6468" s="185"/>
      <c r="AE6468" s="185"/>
    </row>
    <row r="6469" spans="20:31" x14ac:dyDescent="0.25">
      <c r="T6469" s="81"/>
      <c r="W6469" s="185"/>
      <c r="AE6469" s="185"/>
    </row>
    <row r="6470" spans="20:31" x14ac:dyDescent="0.25">
      <c r="T6470" s="81"/>
      <c r="W6470" s="185"/>
      <c r="AE6470" s="185"/>
    </row>
    <row r="6471" spans="20:31" x14ac:dyDescent="0.25">
      <c r="T6471" s="81"/>
      <c r="W6471" s="185"/>
      <c r="AE6471" s="185"/>
    </row>
    <row r="6472" spans="20:31" x14ac:dyDescent="0.25">
      <c r="T6472" s="81"/>
      <c r="W6472" s="185"/>
      <c r="AE6472" s="185"/>
    </row>
    <row r="6473" spans="20:31" x14ac:dyDescent="0.25">
      <c r="T6473" s="81"/>
      <c r="W6473" s="185"/>
      <c r="AE6473" s="185"/>
    </row>
    <row r="6474" spans="20:31" x14ac:dyDescent="0.25">
      <c r="T6474" s="81"/>
      <c r="W6474" s="185"/>
      <c r="AE6474" s="185"/>
    </row>
    <row r="6475" spans="20:31" x14ac:dyDescent="0.25">
      <c r="T6475" s="81"/>
      <c r="W6475" s="185"/>
      <c r="AE6475" s="185"/>
    </row>
    <row r="6476" spans="20:31" x14ac:dyDescent="0.25">
      <c r="T6476" s="81"/>
      <c r="W6476" s="185"/>
      <c r="AE6476" s="185"/>
    </row>
    <row r="6477" spans="20:31" x14ac:dyDescent="0.25">
      <c r="T6477" s="81"/>
      <c r="W6477" s="185"/>
      <c r="AE6477" s="185"/>
    </row>
    <row r="6478" spans="20:31" x14ac:dyDescent="0.25">
      <c r="T6478" s="81"/>
      <c r="W6478" s="185"/>
      <c r="AE6478" s="185"/>
    </row>
    <row r="6479" spans="20:31" x14ac:dyDescent="0.25">
      <c r="T6479" s="81"/>
      <c r="W6479" s="185"/>
      <c r="AE6479" s="185"/>
    </row>
    <row r="6480" spans="20:31" x14ac:dyDescent="0.25">
      <c r="T6480" s="81"/>
      <c r="W6480" s="185"/>
      <c r="AE6480" s="185"/>
    </row>
    <row r="6481" spans="20:31" x14ac:dyDescent="0.25">
      <c r="T6481" s="81"/>
      <c r="W6481" s="185"/>
      <c r="AE6481" s="185"/>
    </row>
    <row r="6482" spans="20:31" x14ac:dyDescent="0.25">
      <c r="T6482" s="81"/>
      <c r="W6482" s="185"/>
      <c r="AE6482" s="185"/>
    </row>
    <row r="6483" spans="20:31" x14ac:dyDescent="0.25">
      <c r="T6483" s="81"/>
      <c r="W6483" s="185"/>
      <c r="AE6483" s="185"/>
    </row>
    <row r="6484" spans="20:31" x14ac:dyDescent="0.25">
      <c r="T6484" s="81"/>
      <c r="W6484" s="185"/>
      <c r="AE6484" s="185"/>
    </row>
    <row r="6485" spans="20:31" x14ac:dyDescent="0.25">
      <c r="T6485" s="81"/>
      <c r="W6485" s="185"/>
      <c r="AE6485" s="185"/>
    </row>
    <row r="6486" spans="20:31" x14ac:dyDescent="0.25">
      <c r="T6486" s="81"/>
      <c r="W6486" s="185"/>
      <c r="AE6486" s="185"/>
    </row>
    <row r="6487" spans="20:31" x14ac:dyDescent="0.25">
      <c r="T6487" s="81"/>
      <c r="W6487" s="185"/>
      <c r="AE6487" s="185"/>
    </row>
    <row r="6488" spans="20:31" x14ac:dyDescent="0.25">
      <c r="T6488" s="81"/>
      <c r="W6488" s="185"/>
      <c r="AE6488" s="185"/>
    </row>
    <row r="6489" spans="20:31" x14ac:dyDescent="0.25">
      <c r="T6489" s="81"/>
      <c r="W6489" s="185"/>
      <c r="AE6489" s="185"/>
    </row>
    <row r="6490" spans="20:31" x14ac:dyDescent="0.25">
      <c r="T6490" s="81"/>
      <c r="W6490" s="185"/>
      <c r="AE6490" s="185"/>
    </row>
    <row r="6491" spans="20:31" x14ac:dyDescent="0.25">
      <c r="T6491" s="81"/>
      <c r="W6491" s="185"/>
      <c r="AE6491" s="185"/>
    </row>
    <row r="6492" spans="20:31" x14ac:dyDescent="0.25">
      <c r="T6492" s="81"/>
      <c r="W6492" s="185"/>
      <c r="AE6492" s="185"/>
    </row>
    <row r="6493" spans="20:31" x14ac:dyDescent="0.25">
      <c r="T6493" s="81"/>
      <c r="W6493" s="185"/>
      <c r="AE6493" s="185"/>
    </row>
    <row r="6494" spans="20:31" x14ac:dyDescent="0.25">
      <c r="T6494" s="81"/>
      <c r="W6494" s="185"/>
      <c r="AE6494" s="185"/>
    </row>
    <row r="6495" spans="20:31" x14ac:dyDescent="0.25">
      <c r="T6495" s="81"/>
      <c r="W6495" s="185"/>
      <c r="AE6495" s="185"/>
    </row>
    <row r="6496" spans="20:31" x14ac:dyDescent="0.25">
      <c r="T6496" s="81"/>
      <c r="W6496" s="185"/>
      <c r="AE6496" s="185"/>
    </row>
    <row r="6497" spans="20:31" x14ac:dyDescent="0.25">
      <c r="T6497" s="81"/>
      <c r="W6497" s="185"/>
      <c r="AE6497" s="185"/>
    </row>
    <row r="6498" spans="20:31" x14ac:dyDescent="0.25">
      <c r="T6498" s="81"/>
      <c r="W6498" s="185"/>
      <c r="AE6498" s="185"/>
    </row>
    <row r="6499" spans="20:31" x14ac:dyDescent="0.25">
      <c r="T6499" s="81"/>
      <c r="W6499" s="185"/>
      <c r="AE6499" s="185"/>
    </row>
    <row r="6500" spans="20:31" x14ac:dyDescent="0.25">
      <c r="T6500" s="81"/>
      <c r="W6500" s="185"/>
      <c r="AE6500" s="185"/>
    </row>
    <row r="6501" spans="20:31" x14ac:dyDescent="0.25">
      <c r="T6501" s="81"/>
      <c r="W6501" s="185"/>
      <c r="AE6501" s="185"/>
    </row>
    <row r="6502" spans="20:31" x14ac:dyDescent="0.25">
      <c r="T6502" s="81"/>
      <c r="W6502" s="185"/>
      <c r="AE6502" s="185"/>
    </row>
    <row r="6503" spans="20:31" x14ac:dyDescent="0.25">
      <c r="T6503" s="81"/>
      <c r="W6503" s="185"/>
      <c r="AE6503" s="185"/>
    </row>
    <row r="6504" spans="20:31" x14ac:dyDescent="0.25">
      <c r="T6504" s="81"/>
      <c r="W6504" s="185"/>
      <c r="AE6504" s="185"/>
    </row>
    <row r="6505" spans="20:31" x14ac:dyDescent="0.25">
      <c r="T6505" s="81"/>
      <c r="W6505" s="185"/>
      <c r="AE6505" s="185"/>
    </row>
    <row r="6506" spans="20:31" x14ac:dyDescent="0.25">
      <c r="T6506" s="81"/>
      <c r="W6506" s="185"/>
      <c r="AE6506" s="185"/>
    </row>
    <row r="6507" spans="20:31" x14ac:dyDescent="0.25">
      <c r="T6507" s="81"/>
      <c r="W6507" s="185"/>
      <c r="AE6507" s="185"/>
    </row>
    <row r="6508" spans="20:31" x14ac:dyDescent="0.25">
      <c r="T6508" s="81"/>
      <c r="W6508" s="185"/>
      <c r="AE6508" s="185"/>
    </row>
    <row r="6509" spans="20:31" x14ac:dyDescent="0.25">
      <c r="T6509" s="81"/>
      <c r="W6509" s="185"/>
      <c r="AE6509" s="185"/>
    </row>
    <row r="6510" spans="20:31" x14ac:dyDescent="0.25">
      <c r="T6510" s="81"/>
      <c r="W6510" s="185"/>
      <c r="AE6510" s="185"/>
    </row>
    <row r="6511" spans="20:31" x14ac:dyDescent="0.25">
      <c r="T6511" s="81"/>
      <c r="W6511" s="185"/>
      <c r="AE6511" s="185"/>
    </row>
    <row r="6512" spans="20:31" x14ac:dyDescent="0.25">
      <c r="T6512" s="81"/>
      <c r="W6512" s="185"/>
      <c r="AE6512" s="185"/>
    </row>
    <row r="6513" spans="20:31" x14ac:dyDescent="0.25">
      <c r="T6513" s="81"/>
      <c r="W6513" s="185"/>
      <c r="AE6513" s="185"/>
    </row>
    <row r="6514" spans="20:31" x14ac:dyDescent="0.25">
      <c r="T6514" s="81"/>
      <c r="W6514" s="185"/>
      <c r="AE6514" s="185"/>
    </row>
    <row r="6515" spans="20:31" x14ac:dyDescent="0.25">
      <c r="T6515" s="81"/>
      <c r="W6515" s="185"/>
      <c r="AE6515" s="185"/>
    </row>
    <row r="6516" spans="20:31" x14ac:dyDescent="0.25">
      <c r="T6516" s="81"/>
      <c r="W6516" s="185"/>
      <c r="AE6516" s="185"/>
    </row>
    <row r="6517" spans="20:31" x14ac:dyDescent="0.25">
      <c r="T6517" s="81"/>
      <c r="W6517" s="185"/>
      <c r="AE6517" s="185"/>
    </row>
    <row r="6518" spans="20:31" x14ac:dyDescent="0.25">
      <c r="T6518" s="81"/>
      <c r="W6518" s="185"/>
      <c r="AE6518" s="185"/>
    </row>
    <row r="6519" spans="20:31" x14ac:dyDescent="0.25">
      <c r="T6519" s="81"/>
      <c r="W6519" s="185"/>
      <c r="AE6519" s="185"/>
    </row>
    <row r="6520" spans="20:31" x14ac:dyDescent="0.25">
      <c r="T6520" s="81"/>
      <c r="W6520" s="185"/>
      <c r="AE6520" s="185"/>
    </row>
    <row r="6521" spans="20:31" x14ac:dyDescent="0.25">
      <c r="T6521" s="81"/>
      <c r="W6521" s="185"/>
      <c r="AE6521" s="185"/>
    </row>
    <row r="6522" spans="20:31" x14ac:dyDescent="0.25">
      <c r="T6522" s="81"/>
      <c r="W6522" s="185"/>
      <c r="AE6522" s="185"/>
    </row>
    <row r="6523" spans="20:31" x14ac:dyDescent="0.25">
      <c r="T6523" s="81"/>
      <c r="W6523" s="185"/>
      <c r="AE6523" s="185"/>
    </row>
    <row r="6524" spans="20:31" x14ac:dyDescent="0.25">
      <c r="T6524" s="81"/>
      <c r="W6524" s="185"/>
      <c r="AE6524" s="185"/>
    </row>
    <row r="6525" spans="20:31" x14ac:dyDescent="0.25">
      <c r="T6525" s="81"/>
      <c r="W6525" s="185"/>
      <c r="AE6525" s="185"/>
    </row>
    <row r="6526" spans="20:31" x14ac:dyDescent="0.25">
      <c r="T6526" s="81"/>
      <c r="W6526" s="185"/>
      <c r="AE6526" s="185"/>
    </row>
    <row r="6527" spans="20:31" x14ac:dyDescent="0.25">
      <c r="T6527" s="81"/>
      <c r="W6527" s="185"/>
      <c r="AE6527" s="185"/>
    </row>
    <row r="6528" spans="20:31" x14ac:dyDescent="0.25">
      <c r="T6528" s="81"/>
      <c r="W6528" s="185"/>
      <c r="AE6528" s="185"/>
    </row>
    <row r="6529" spans="20:31" x14ac:dyDescent="0.25">
      <c r="T6529" s="81"/>
      <c r="W6529" s="185"/>
      <c r="AE6529" s="185"/>
    </row>
    <row r="6530" spans="20:31" x14ac:dyDescent="0.25">
      <c r="T6530" s="81"/>
      <c r="W6530" s="185"/>
      <c r="AE6530" s="185"/>
    </row>
    <row r="6531" spans="20:31" x14ac:dyDescent="0.25">
      <c r="T6531" s="81"/>
      <c r="W6531" s="185"/>
      <c r="AE6531" s="185"/>
    </row>
    <row r="6532" spans="20:31" x14ac:dyDescent="0.25">
      <c r="T6532" s="81"/>
      <c r="W6532" s="185"/>
      <c r="AE6532" s="185"/>
    </row>
    <row r="6533" spans="20:31" x14ac:dyDescent="0.25">
      <c r="T6533" s="81"/>
      <c r="W6533" s="185"/>
      <c r="AE6533" s="185"/>
    </row>
    <row r="6534" spans="20:31" x14ac:dyDescent="0.25">
      <c r="T6534" s="81"/>
      <c r="W6534" s="185"/>
      <c r="AE6534" s="185"/>
    </row>
    <row r="6535" spans="20:31" x14ac:dyDescent="0.25">
      <c r="T6535" s="81"/>
      <c r="W6535" s="185"/>
      <c r="AE6535" s="185"/>
    </row>
    <row r="6536" spans="20:31" x14ac:dyDescent="0.25">
      <c r="T6536" s="81"/>
      <c r="W6536" s="185"/>
      <c r="AE6536" s="185"/>
    </row>
    <row r="6537" spans="20:31" x14ac:dyDescent="0.25">
      <c r="T6537" s="81"/>
      <c r="W6537" s="185"/>
      <c r="AE6537" s="185"/>
    </row>
    <row r="6538" spans="20:31" x14ac:dyDescent="0.25">
      <c r="T6538" s="81"/>
      <c r="W6538" s="185"/>
      <c r="AE6538" s="185"/>
    </row>
    <row r="6539" spans="20:31" x14ac:dyDescent="0.25">
      <c r="T6539" s="81"/>
      <c r="W6539" s="185"/>
      <c r="AE6539" s="185"/>
    </row>
    <row r="6540" spans="20:31" x14ac:dyDescent="0.25">
      <c r="T6540" s="81"/>
      <c r="W6540" s="185"/>
      <c r="AE6540" s="185"/>
    </row>
    <row r="6541" spans="20:31" x14ac:dyDescent="0.25">
      <c r="T6541" s="81"/>
      <c r="W6541" s="185"/>
      <c r="AE6541" s="185"/>
    </row>
    <row r="6542" spans="20:31" x14ac:dyDescent="0.25">
      <c r="T6542" s="81"/>
      <c r="W6542" s="185"/>
      <c r="AE6542" s="185"/>
    </row>
    <row r="6543" spans="20:31" x14ac:dyDescent="0.25">
      <c r="T6543" s="81"/>
      <c r="W6543" s="185"/>
      <c r="AE6543" s="185"/>
    </row>
    <row r="6544" spans="20:31" x14ac:dyDescent="0.25">
      <c r="T6544" s="81"/>
      <c r="W6544" s="185"/>
      <c r="AE6544" s="185"/>
    </row>
    <row r="6545" spans="20:31" x14ac:dyDescent="0.25">
      <c r="T6545" s="81"/>
      <c r="W6545" s="185"/>
      <c r="AE6545" s="185"/>
    </row>
    <row r="6546" spans="20:31" x14ac:dyDescent="0.25">
      <c r="T6546" s="81"/>
      <c r="W6546" s="185"/>
      <c r="AE6546" s="185"/>
    </row>
    <row r="6547" spans="20:31" x14ac:dyDescent="0.25">
      <c r="T6547" s="81"/>
      <c r="W6547" s="185"/>
      <c r="AE6547" s="185"/>
    </row>
    <row r="6548" spans="20:31" x14ac:dyDescent="0.25">
      <c r="T6548" s="81"/>
      <c r="W6548" s="185"/>
      <c r="AE6548" s="185"/>
    </row>
    <row r="6549" spans="20:31" x14ac:dyDescent="0.25">
      <c r="T6549" s="81"/>
      <c r="W6549" s="185"/>
      <c r="AE6549" s="185"/>
    </row>
    <row r="6550" spans="20:31" x14ac:dyDescent="0.25">
      <c r="T6550" s="81"/>
      <c r="W6550" s="185"/>
      <c r="AE6550" s="185"/>
    </row>
    <row r="6551" spans="20:31" x14ac:dyDescent="0.25">
      <c r="T6551" s="81"/>
      <c r="W6551" s="185"/>
      <c r="AE6551" s="185"/>
    </row>
    <row r="6552" spans="20:31" x14ac:dyDescent="0.25">
      <c r="T6552" s="81"/>
      <c r="W6552" s="185"/>
      <c r="AE6552" s="185"/>
    </row>
    <row r="6553" spans="20:31" x14ac:dyDescent="0.25">
      <c r="T6553" s="81"/>
      <c r="W6553" s="185"/>
      <c r="AE6553" s="185"/>
    </row>
    <row r="6554" spans="20:31" x14ac:dyDescent="0.25">
      <c r="T6554" s="81"/>
      <c r="W6554" s="185"/>
      <c r="AE6554" s="185"/>
    </row>
    <row r="6555" spans="20:31" x14ac:dyDescent="0.25">
      <c r="T6555" s="81"/>
      <c r="W6555" s="185"/>
      <c r="AE6555" s="185"/>
    </row>
    <row r="6556" spans="20:31" x14ac:dyDescent="0.25">
      <c r="T6556" s="81"/>
      <c r="W6556" s="185"/>
      <c r="AE6556" s="185"/>
    </row>
    <row r="6557" spans="20:31" x14ac:dyDescent="0.25">
      <c r="T6557" s="81"/>
      <c r="W6557" s="185"/>
      <c r="AE6557" s="185"/>
    </row>
    <row r="6558" spans="20:31" x14ac:dyDescent="0.25">
      <c r="T6558" s="81"/>
      <c r="W6558" s="185"/>
      <c r="AE6558" s="185"/>
    </row>
    <row r="6559" spans="20:31" x14ac:dyDescent="0.25">
      <c r="T6559" s="81"/>
      <c r="W6559" s="185"/>
      <c r="AE6559" s="185"/>
    </row>
    <row r="6560" spans="20:31" x14ac:dyDescent="0.25">
      <c r="T6560" s="81"/>
      <c r="W6560" s="185"/>
      <c r="AE6560" s="185"/>
    </row>
    <row r="6561" spans="20:31" x14ac:dyDescent="0.25">
      <c r="T6561" s="81"/>
      <c r="W6561" s="185"/>
      <c r="AE6561" s="185"/>
    </row>
    <row r="6562" spans="20:31" x14ac:dyDescent="0.25">
      <c r="T6562" s="81"/>
      <c r="W6562" s="185"/>
      <c r="AE6562" s="185"/>
    </row>
    <row r="6563" spans="20:31" x14ac:dyDescent="0.25">
      <c r="T6563" s="81"/>
      <c r="W6563" s="185"/>
      <c r="AE6563" s="185"/>
    </row>
    <row r="6564" spans="20:31" x14ac:dyDescent="0.25">
      <c r="T6564" s="81"/>
      <c r="W6564" s="185"/>
      <c r="AE6564" s="185"/>
    </row>
    <row r="6565" spans="20:31" x14ac:dyDescent="0.25">
      <c r="T6565" s="81"/>
      <c r="W6565" s="185"/>
      <c r="AE6565" s="185"/>
    </row>
    <row r="6566" spans="20:31" x14ac:dyDescent="0.25">
      <c r="T6566" s="81"/>
      <c r="W6566" s="185"/>
      <c r="AE6566" s="185"/>
    </row>
    <row r="6567" spans="20:31" x14ac:dyDescent="0.25">
      <c r="T6567" s="81"/>
      <c r="W6567" s="185"/>
      <c r="AE6567" s="185"/>
    </row>
    <row r="6568" spans="20:31" x14ac:dyDescent="0.25">
      <c r="T6568" s="81"/>
      <c r="W6568" s="185"/>
      <c r="AE6568" s="185"/>
    </row>
    <row r="6569" spans="20:31" x14ac:dyDescent="0.25">
      <c r="T6569" s="81"/>
      <c r="W6569" s="185"/>
      <c r="AE6569" s="185"/>
    </row>
    <row r="6570" spans="20:31" x14ac:dyDescent="0.25">
      <c r="T6570" s="81"/>
      <c r="W6570" s="185"/>
      <c r="AE6570" s="185"/>
    </row>
    <row r="6571" spans="20:31" x14ac:dyDescent="0.25">
      <c r="T6571" s="81"/>
      <c r="W6571" s="185"/>
      <c r="AE6571" s="185"/>
    </row>
    <row r="6572" spans="20:31" x14ac:dyDescent="0.25">
      <c r="T6572" s="81"/>
      <c r="W6572" s="185"/>
      <c r="AE6572" s="185"/>
    </row>
    <row r="6573" spans="20:31" x14ac:dyDescent="0.25">
      <c r="T6573" s="81"/>
      <c r="W6573" s="185"/>
      <c r="AE6573" s="185"/>
    </row>
    <row r="6574" spans="20:31" x14ac:dyDescent="0.25">
      <c r="T6574" s="81"/>
      <c r="W6574" s="185"/>
      <c r="AE6574" s="185"/>
    </row>
    <row r="6575" spans="20:31" x14ac:dyDescent="0.25">
      <c r="T6575" s="81"/>
      <c r="W6575" s="185"/>
      <c r="AE6575" s="185"/>
    </row>
    <row r="6576" spans="20:31" x14ac:dyDescent="0.25">
      <c r="T6576" s="81"/>
      <c r="W6576" s="185"/>
      <c r="AE6576" s="185"/>
    </row>
    <row r="6577" spans="20:31" x14ac:dyDescent="0.25">
      <c r="T6577" s="81"/>
      <c r="W6577" s="185"/>
      <c r="AE6577" s="185"/>
    </row>
    <row r="6578" spans="20:31" x14ac:dyDescent="0.25">
      <c r="T6578" s="81"/>
      <c r="W6578" s="185"/>
      <c r="AE6578" s="185"/>
    </row>
    <row r="6579" spans="20:31" x14ac:dyDescent="0.25">
      <c r="T6579" s="81"/>
      <c r="W6579" s="185"/>
      <c r="AE6579" s="185"/>
    </row>
    <row r="6580" spans="20:31" x14ac:dyDescent="0.25">
      <c r="T6580" s="81"/>
      <c r="W6580" s="185"/>
      <c r="AE6580" s="185"/>
    </row>
    <row r="6581" spans="20:31" x14ac:dyDescent="0.25">
      <c r="T6581" s="81"/>
      <c r="W6581" s="185"/>
      <c r="AE6581" s="185"/>
    </row>
    <row r="6582" spans="20:31" x14ac:dyDescent="0.25">
      <c r="T6582" s="81"/>
      <c r="W6582" s="185"/>
      <c r="AE6582" s="185"/>
    </row>
    <row r="6583" spans="20:31" x14ac:dyDescent="0.25">
      <c r="T6583" s="81"/>
      <c r="W6583" s="185"/>
      <c r="AE6583" s="185"/>
    </row>
    <row r="6584" spans="20:31" x14ac:dyDescent="0.25">
      <c r="T6584" s="81"/>
      <c r="W6584" s="185"/>
      <c r="AE6584" s="185"/>
    </row>
    <row r="6585" spans="20:31" x14ac:dyDescent="0.25">
      <c r="T6585" s="81"/>
      <c r="W6585" s="185"/>
      <c r="AE6585" s="185"/>
    </row>
    <row r="6586" spans="20:31" x14ac:dyDescent="0.25">
      <c r="T6586" s="81"/>
      <c r="W6586" s="185"/>
      <c r="AE6586" s="185"/>
    </row>
    <row r="6587" spans="20:31" x14ac:dyDescent="0.25">
      <c r="T6587" s="81"/>
      <c r="W6587" s="185"/>
      <c r="AE6587" s="185"/>
    </row>
    <row r="6588" spans="20:31" x14ac:dyDescent="0.25">
      <c r="T6588" s="81"/>
      <c r="W6588" s="185"/>
      <c r="AE6588" s="185"/>
    </row>
    <row r="6589" spans="20:31" x14ac:dyDescent="0.25">
      <c r="T6589" s="81"/>
      <c r="W6589" s="185"/>
      <c r="AE6589" s="185"/>
    </row>
    <row r="6590" spans="20:31" x14ac:dyDescent="0.25">
      <c r="T6590" s="81"/>
      <c r="W6590" s="185"/>
      <c r="AE6590" s="185"/>
    </row>
    <row r="6591" spans="20:31" x14ac:dyDescent="0.25">
      <c r="T6591" s="81"/>
      <c r="W6591" s="185"/>
      <c r="AE6591" s="185"/>
    </row>
    <row r="6592" spans="20:31" x14ac:dyDescent="0.25">
      <c r="T6592" s="81"/>
      <c r="W6592" s="185"/>
      <c r="AE6592" s="185"/>
    </row>
    <row r="6593" spans="20:31" x14ac:dyDescent="0.25">
      <c r="T6593" s="81"/>
      <c r="W6593" s="185"/>
      <c r="AE6593" s="185"/>
    </row>
    <row r="6594" spans="20:31" x14ac:dyDescent="0.25">
      <c r="T6594" s="81"/>
      <c r="W6594" s="185"/>
      <c r="AE6594" s="185"/>
    </row>
    <row r="6595" spans="20:31" x14ac:dyDescent="0.25">
      <c r="T6595" s="81"/>
      <c r="W6595" s="185"/>
      <c r="AE6595" s="185"/>
    </row>
    <row r="6596" spans="20:31" x14ac:dyDescent="0.25">
      <c r="T6596" s="81"/>
      <c r="W6596" s="185"/>
      <c r="AE6596" s="185"/>
    </row>
    <row r="6597" spans="20:31" x14ac:dyDescent="0.25">
      <c r="T6597" s="81"/>
      <c r="W6597" s="185"/>
      <c r="AE6597" s="185"/>
    </row>
    <row r="6598" spans="20:31" x14ac:dyDescent="0.25">
      <c r="T6598" s="81"/>
      <c r="W6598" s="185"/>
      <c r="AE6598" s="185"/>
    </row>
    <row r="6599" spans="20:31" x14ac:dyDescent="0.25">
      <c r="T6599" s="81"/>
      <c r="W6599" s="185"/>
      <c r="AE6599" s="185"/>
    </row>
    <row r="6600" spans="20:31" x14ac:dyDescent="0.25">
      <c r="T6600" s="81"/>
      <c r="W6600" s="185"/>
      <c r="AE6600" s="185"/>
    </row>
    <row r="6601" spans="20:31" x14ac:dyDescent="0.25">
      <c r="T6601" s="81"/>
      <c r="W6601" s="185"/>
      <c r="AE6601" s="185"/>
    </row>
    <row r="6602" spans="20:31" x14ac:dyDescent="0.25">
      <c r="T6602" s="81"/>
      <c r="W6602" s="185"/>
      <c r="AE6602" s="185"/>
    </row>
    <row r="6603" spans="20:31" x14ac:dyDescent="0.25">
      <c r="T6603" s="81"/>
      <c r="W6603" s="185"/>
      <c r="AE6603" s="185"/>
    </row>
    <row r="6604" spans="20:31" x14ac:dyDescent="0.25">
      <c r="T6604" s="81"/>
      <c r="W6604" s="185"/>
      <c r="AE6604" s="185"/>
    </row>
    <row r="6605" spans="20:31" x14ac:dyDescent="0.25">
      <c r="T6605" s="81"/>
      <c r="W6605" s="185"/>
      <c r="AE6605" s="185"/>
    </row>
    <row r="6606" spans="20:31" x14ac:dyDescent="0.25">
      <c r="T6606" s="81"/>
      <c r="W6606" s="185"/>
      <c r="AE6606" s="185"/>
    </row>
    <row r="6607" spans="20:31" x14ac:dyDescent="0.25">
      <c r="T6607" s="81"/>
      <c r="W6607" s="185"/>
      <c r="AE6607" s="185"/>
    </row>
    <row r="6608" spans="20:31" x14ac:dyDescent="0.25">
      <c r="T6608" s="81"/>
      <c r="W6608" s="185"/>
      <c r="AE6608" s="185"/>
    </row>
    <row r="6609" spans="20:31" x14ac:dyDescent="0.25">
      <c r="T6609" s="81"/>
      <c r="W6609" s="185"/>
      <c r="AE6609" s="185"/>
    </row>
    <row r="6610" spans="20:31" x14ac:dyDescent="0.25">
      <c r="T6610" s="81"/>
      <c r="W6610" s="185"/>
      <c r="AE6610" s="185"/>
    </row>
    <row r="6611" spans="20:31" x14ac:dyDescent="0.25">
      <c r="T6611" s="81"/>
      <c r="W6611" s="185"/>
      <c r="AE6611" s="185"/>
    </row>
    <row r="6612" spans="20:31" x14ac:dyDescent="0.25">
      <c r="T6612" s="81"/>
      <c r="W6612" s="185"/>
      <c r="AE6612" s="185"/>
    </row>
    <row r="6613" spans="20:31" x14ac:dyDescent="0.25">
      <c r="T6613" s="81"/>
      <c r="W6613" s="185"/>
      <c r="AE6613" s="185"/>
    </row>
    <row r="6614" spans="20:31" x14ac:dyDescent="0.25">
      <c r="T6614" s="81"/>
      <c r="W6614" s="185"/>
      <c r="AE6614" s="185"/>
    </row>
    <row r="6615" spans="20:31" x14ac:dyDescent="0.25">
      <c r="T6615" s="81"/>
      <c r="W6615" s="185"/>
      <c r="AE6615" s="185"/>
    </row>
    <row r="6616" spans="20:31" x14ac:dyDescent="0.25">
      <c r="T6616" s="81"/>
      <c r="W6616" s="185"/>
      <c r="AE6616" s="185"/>
    </row>
    <row r="6617" spans="20:31" x14ac:dyDescent="0.25">
      <c r="T6617" s="81"/>
      <c r="W6617" s="185"/>
      <c r="AE6617" s="185"/>
    </row>
    <row r="6618" spans="20:31" x14ac:dyDescent="0.25">
      <c r="T6618" s="81"/>
      <c r="W6618" s="185"/>
      <c r="AE6618" s="185"/>
    </row>
    <row r="6619" spans="20:31" x14ac:dyDescent="0.25">
      <c r="T6619" s="81"/>
      <c r="W6619" s="185"/>
      <c r="AE6619" s="185"/>
    </row>
    <row r="6620" spans="20:31" x14ac:dyDescent="0.25">
      <c r="T6620" s="81"/>
      <c r="W6620" s="185"/>
      <c r="AE6620" s="185"/>
    </row>
    <row r="6621" spans="20:31" x14ac:dyDescent="0.25">
      <c r="T6621" s="81"/>
      <c r="W6621" s="185"/>
      <c r="AE6621" s="185"/>
    </row>
    <row r="6622" spans="20:31" x14ac:dyDescent="0.25">
      <c r="T6622" s="81"/>
      <c r="W6622" s="185"/>
      <c r="AE6622" s="185"/>
    </row>
    <row r="6623" spans="20:31" x14ac:dyDescent="0.25">
      <c r="T6623" s="81"/>
      <c r="W6623" s="185"/>
      <c r="AE6623" s="185"/>
    </row>
    <row r="6624" spans="20:31" x14ac:dyDescent="0.25">
      <c r="T6624" s="81"/>
      <c r="W6624" s="185"/>
      <c r="AE6624" s="185"/>
    </row>
    <row r="6625" spans="20:31" x14ac:dyDescent="0.25">
      <c r="T6625" s="81"/>
      <c r="W6625" s="185"/>
      <c r="AE6625" s="185"/>
    </row>
    <row r="6626" spans="20:31" x14ac:dyDescent="0.25">
      <c r="T6626" s="81"/>
      <c r="W6626" s="185"/>
      <c r="AE6626" s="185"/>
    </row>
    <row r="6627" spans="20:31" x14ac:dyDescent="0.25">
      <c r="T6627" s="81"/>
      <c r="W6627" s="185"/>
      <c r="AE6627" s="185"/>
    </row>
    <row r="6628" spans="20:31" x14ac:dyDescent="0.25">
      <c r="T6628" s="81"/>
      <c r="W6628" s="185"/>
      <c r="AE6628" s="185"/>
    </row>
    <row r="6629" spans="20:31" x14ac:dyDescent="0.25">
      <c r="T6629" s="81"/>
      <c r="W6629" s="185"/>
      <c r="AE6629" s="185"/>
    </row>
    <row r="6630" spans="20:31" x14ac:dyDescent="0.25">
      <c r="T6630" s="81"/>
      <c r="W6630" s="185"/>
      <c r="AE6630" s="185"/>
    </row>
    <row r="6631" spans="20:31" x14ac:dyDescent="0.25">
      <c r="T6631" s="81"/>
      <c r="W6631" s="185"/>
      <c r="AE6631" s="185"/>
    </row>
    <row r="6632" spans="20:31" x14ac:dyDescent="0.25">
      <c r="T6632" s="81"/>
      <c r="W6632" s="185"/>
      <c r="AE6632" s="185"/>
    </row>
    <row r="6633" spans="20:31" x14ac:dyDescent="0.25">
      <c r="T6633" s="81"/>
      <c r="W6633" s="185"/>
      <c r="AE6633" s="185"/>
    </row>
    <row r="6634" spans="20:31" x14ac:dyDescent="0.25">
      <c r="T6634" s="81"/>
      <c r="W6634" s="185"/>
      <c r="AE6634" s="185"/>
    </row>
    <row r="6635" spans="20:31" x14ac:dyDescent="0.25">
      <c r="T6635" s="81"/>
      <c r="W6635" s="185"/>
      <c r="AE6635" s="185"/>
    </row>
    <row r="6636" spans="20:31" x14ac:dyDescent="0.25">
      <c r="T6636" s="81"/>
      <c r="W6636" s="185"/>
      <c r="AE6636" s="185"/>
    </row>
    <row r="6637" spans="20:31" x14ac:dyDescent="0.25">
      <c r="T6637" s="81"/>
      <c r="W6637" s="185"/>
      <c r="AE6637" s="185"/>
    </row>
    <row r="6638" spans="20:31" x14ac:dyDescent="0.25">
      <c r="T6638" s="81"/>
      <c r="W6638" s="185"/>
      <c r="AE6638" s="185"/>
    </row>
    <row r="6639" spans="20:31" x14ac:dyDescent="0.25">
      <c r="T6639" s="81"/>
      <c r="W6639" s="185"/>
      <c r="AE6639" s="185"/>
    </row>
    <row r="6640" spans="20:31" x14ac:dyDescent="0.25">
      <c r="T6640" s="81"/>
      <c r="W6640" s="185"/>
      <c r="AE6640" s="185"/>
    </row>
    <row r="6641" spans="20:31" x14ac:dyDescent="0.25">
      <c r="T6641" s="81"/>
      <c r="W6641" s="185"/>
      <c r="AE6641" s="185"/>
    </row>
    <row r="6642" spans="20:31" x14ac:dyDescent="0.25">
      <c r="T6642" s="81"/>
      <c r="W6642" s="185"/>
      <c r="AE6642" s="185"/>
    </row>
    <row r="6643" spans="20:31" x14ac:dyDescent="0.25">
      <c r="T6643" s="81"/>
      <c r="W6643" s="185"/>
      <c r="AE6643" s="185"/>
    </row>
    <row r="6644" spans="20:31" x14ac:dyDescent="0.25">
      <c r="T6644" s="81"/>
      <c r="W6644" s="185"/>
      <c r="AE6644" s="185"/>
    </row>
    <row r="6645" spans="20:31" x14ac:dyDescent="0.25">
      <c r="T6645" s="81"/>
      <c r="W6645" s="185"/>
      <c r="AE6645" s="185"/>
    </row>
    <row r="6646" spans="20:31" x14ac:dyDescent="0.25">
      <c r="T6646" s="81"/>
      <c r="W6646" s="185"/>
      <c r="AE6646" s="185"/>
    </row>
    <row r="6647" spans="20:31" x14ac:dyDescent="0.25">
      <c r="T6647" s="81"/>
      <c r="W6647" s="185"/>
      <c r="AE6647" s="185"/>
    </row>
    <row r="6648" spans="20:31" x14ac:dyDescent="0.25">
      <c r="T6648" s="81"/>
      <c r="W6648" s="185"/>
      <c r="AE6648" s="185"/>
    </row>
    <row r="6649" spans="20:31" x14ac:dyDescent="0.25">
      <c r="T6649" s="81"/>
      <c r="W6649" s="185"/>
      <c r="AE6649" s="185"/>
    </row>
    <row r="6650" spans="20:31" x14ac:dyDescent="0.25">
      <c r="T6650" s="81"/>
      <c r="W6650" s="185"/>
      <c r="AE6650" s="185"/>
    </row>
    <row r="6651" spans="20:31" x14ac:dyDescent="0.25">
      <c r="T6651" s="81"/>
      <c r="W6651" s="185"/>
      <c r="AE6651" s="185"/>
    </row>
    <row r="6652" spans="20:31" x14ac:dyDescent="0.25">
      <c r="T6652" s="81"/>
      <c r="W6652" s="185"/>
      <c r="AE6652" s="185"/>
    </row>
    <row r="6653" spans="20:31" x14ac:dyDescent="0.25">
      <c r="T6653" s="81"/>
      <c r="W6653" s="185"/>
      <c r="AE6653" s="185"/>
    </row>
    <row r="6654" spans="20:31" x14ac:dyDescent="0.25">
      <c r="T6654" s="81"/>
      <c r="W6654" s="185"/>
      <c r="AE6654" s="185"/>
    </row>
    <row r="6655" spans="20:31" x14ac:dyDescent="0.25">
      <c r="T6655" s="81"/>
      <c r="W6655" s="185"/>
      <c r="AE6655" s="185"/>
    </row>
    <row r="6656" spans="20:31" x14ac:dyDescent="0.25">
      <c r="T6656" s="81"/>
      <c r="W6656" s="185"/>
      <c r="AE6656" s="185"/>
    </row>
    <row r="6657" spans="20:31" x14ac:dyDescent="0.25">
      <c r="T6657" s="81"/>
      <c r="W6657" s="185"/>
      <c r="AE6657" s="185"/>
    </row>
    <row r="6658" spans="20:31" x14ac:dyDescent="0.25">
      <c r="T6658" s="81"/>
      <c r="W6658" s="185"/>
      <c r="AE6658" s="185"/>
    </row>
    <row r="6659" spans="20:31" x14ac:dyDescent="0.25">
      <c r="T6659" s="81"/>
      <c r="W6659" s="185"/>
      <c r="AE6659" s="185"/>
    </row>
    <row r="6660" spans="20:31" x14ac:dyDescent="0.25">
      <c r="T6660" s="81"/>
      <c r="W6660" s="185"/>
      <c r="AE6660" s="185"/>
    </row>
    <row r="6661" spans="20:31" x14ac:dyDescent="0.25">
      <c r="T6661" s="81"/>
      <c r="W6661" s="185"/>
      <c r="AE6661" s="185"/>
    </row>
    <row r="6662" spans="20:31" x14ac:dyDescent="0.25">
      <c r="T6662" s="81"/>
      <c r="W6662" s="185"/>
      <c r="AE6662" s="185"/>
    </row>
    <row r="6663" spans="20:31" x14ac:dyDescent="0.25">
      <c r="T6663" s="81"/>
      <c r="W6663" s="185"/>
      <c r="AE6663" s="185"/>
    </row>
    <row r="6664" spans="20:31" x14ac:dyDescent="0.25">
      <c r="T6664" s="81"/>
      <c r="W6664" s="185"/>
      <c r="AE6664" s="185"/>
    </row>
    <row r="6665" spans="20:31" x14ac:dyDescent="0.25">
      <c r="T6665" s="81"/>
      <c r="W6665" s="185"/>
      <c r="AE6665" s="185"/>
    </row>
    <row r="6666" spans="20:31" x14ac:dyDescent="0.25">
      <c r="T6666" s="81"/>
      <c r="W6666" s="185"/>
      <c r="AE6666" s="185"/>
    </row>
    <row r="6667" spans="20:31" x14ac:dyDescent="0.25">
      <c r="T6667" s="81"/>
      <c r="W6667" s="185"/>
      <c r="AE6667" s="185"/>
    </row>
    <row r="6668" spans="20:31" x14ac:dyDescent="0.25">
      <c r="T6668" s="81"/>
      <c r="W6668" s="185"/>
      <c r="AE6668" s="185"/>
    </row>
    <row r="6669" spans="20:31" x14ac:dyDescent="0.25">
      <c r="T6669" s="81"/>
      <c r="W6669" s="185"/>
      <c r="AE6669" s="185"/>
    </row>
    <row r="6670" spans="20:31" x14ac:dyDescent="0.25">
      <c r="T6670" s="81"/>
      <c r="W6670" s="185"/>
      <c r="AE6670" s="185"/>
    </row>
    <row r="6671" spans="20:31" x14ac:dyDescent="0.25">
      <c r="T6671" s="81"/>
      <c r="W6671" s="185"/>
      <c r="AE6671" s="185"/>
    </row>
    <row r="6672" spans="20:31" x14ac:dyDescent="0.25">
      <c r="T6672" s="81"/>
      <c r="W6672" s="185"/>
      <c r="AE6672" s="185"/>
    </row>
    <row r="6673" spans="20:31" x14ac:dyDescent="0.25">
      <c r="T6673" s="81"/>
      <c r="W6673" s="185"/>
      <c r="AE6673" s="185"/>
    </row>
    <row r="6674" spans="20:31" x14ac:dyDescent="0.25">
      <c r="T6674" s="81"/>
      <c r="W6674" s="185"/>
      <c r="AE6674" s="185"/>
    </row>
    <row r="6675" spans="20:31" x14ac:dyDescent="0.25">
      <c r="T6675" s="81"/>
      <c r="W6675" s="185"/>
      <c r="AE6675" s="185"/>
    </row>
    <row r="6676" spans="20:31" x14ac:dyDescent="0.25">
      <c r="T6676" s="81"/>
      <c r="W6676" s="185"/>
      <c r="AE6676" s="185"/>
    </row>
    <row r="6677" spans="20:31" x14ac:dyDescent="0.25">
      <c r="T6677" s="81"/>
      <c r="W6677" s="185"/>
      <c r="AE6677" s="185"/>
    </row>
    <row r="6678" spans="20:31" x14ac:dyDescent="0.25">
      <c r="T6678" s="81"/>
      <c r="W6678" s="185"/>
      <c r="AE6678" s="185"/>
    </row>
    <row r="6679" spans="20:31" x14ac:dyDescent="0.25">
      <c r="T6679" s="81"/>
      <c r="W6679" s="185"/>
      <c r="AE6679" s="185"/>
    </row>
    <row r="6680" spans="20:31" x14ac:dyDescent="0.25">
      <c r="T6680" s="81"/>
      <c r="W6680" s="185"/>
      <c r="AE6680" s="185"/>
    </row>
    <row r="6681" spans="20:31" x14ac:dyDescent="0.25">
      <c r="T6681" s="81"/>
      <c r="W6681" s="185"/>
      <c r="AE6681" s="185"/>
    </row>
    <row r="6682" spans="20:31" x14ac:dyDescent="0.25">
      <c r="T6682" s="81"/>
      <c r="W6682" s="185"/>
      <c r="AE6682" s="185"/>
    </row>
    <row r="6683" spans="20:31" x14ac:dyDescent="0.25">
      <c r="T6683" s="81"/>
      <c r="W6683" s="185"/>
      <c r="AE6683" s="185"/>
    </row>
    <row r="6684" spans="20:31" x14ac:dyDescent="0.25">
      <c r="T6684" s="81"/>
      <c r="W6684" s="185"/>
      <c r="AE6684" s="185"/>
    </row>
    <row r="6685" spans="20:31" x14ac:dyDescent="0.25">
      <c r="T6685" s="81"/>
      <c r="W6685" s="185"/>
      <c r="AE6685" s="185"/>
    </row>
    <row r="6686" spans="20:31" x14ac:dyDescent="0.25">
      <c r="T6686" s="81"/>
      <c r="W6686" s="185"/>
      <c r="AE6686" s="185"/>
    </row>
    <row r="6687" spans="20:31" x14ac:dyDescent="0.25">
      <c r="T6687" s="81"/>
      <c r="W6687" s="185"/>
      <c r="AE6687" s="185"/>
    </row>
    <row r="6688" spans="20:31" x14ac:dyDescent="0.25">
      <c r="T6688" s="81"/>
      <c r="W6688" s="185"/>
      <c r="AE6688" s="185"/>
    </row>
    <row r="6689" spans="20:31" x14ac:dyDescent="0.25">
      <c r="T6689" s="81"/>
      <c r="W6689" s="185"/>
      <c r="AE6689" s="185"/>
    </row>
    <row r="6690" spans="20:31" x14ac:dyDescent="0.25">
      <c r="T6690" s="81"/>
      <c r="W6690" s="185"/>
      <c r="AE6690" s="185"/>
    </row>
    <row r="6691" spans="20:31" x14ac:dyDescent="0.25">
      <c r="T6691" s="81"/>
      <c r="W6691" s="185"/>
      <c r="AE6691" s="185"/>
    </row>
    <row r="6692" spans="20:31" x14ac:dyDescent="0.25">
      <c r="T6692" s="81"/>
      <c r="W6692" s="185"/>
      <c r="AE6692" s="185"/>
    </row>
    <row r="6693" spans="20:31" x14ac:dyDescent="0.25">
      <c r="T6693" s="81"/>
      <c r="W6693" s="185"/>
      <c r="AE6693" s="185"/>
    </row>
    <row r="6694" spans="20:31" x14ac:dyDescent="0.25">
      <c r="T6694" s="81"/>
      <c r="W6694" s="185"/>
      <c r="AE6694" s="185"/>
    </row>
    <row r="6695" spans="20:31" x14ac:dyDescent="0.25">
      <c r="T6695" s="81"/>
      <c r="W6695" s="185"/>
      <c r="AE6695" s="185"/>
    </row>
    <row r="6696" spans="20:31" x14ac:dyDescent="0.25">
      <c r="T6696" s="81"/>
      <c r="W6696" s="185"/>
      <c r="AE6696" s="185"/>
    </row>
    <row r="6697" spans="20:31" x14ac:dyDescent="0.25">
      <c r="T6697" s="81"/>
      <c r="W6697" s="185"/>
      <c r="AE6697" s="185"/>
    </row>
    <row r="6698" spans="20:31" x14ac:dyDescent="0.25">
      <c r="T6698" s="81"/>
      <c r="W6698" s="185"/>
      <c r="AE6698" s="185"/>
    </row>
    <row r="6699" spans="20:31" x14ac:dyDescent="0.25">
      <c r="T6699" s="81"/>
      <c r="W6699" s="185"/>
      <c r="AE6699" s="185"/>
    </row>
    <row r="6700" spans="20:31" x14ac:dyDescent="0.25">
      <c r="T6700" s="81"/>
      <c r="W6700" s="185"/>
      <c r="AE6700" s="185"/>
    </row>
    <row r="6701" spans="20:31" x14ac:dyDescent="0.25">
      <c r="T6701" s="81"/>
      <c r="W6701" s="185"/>
      <c r="AE6701" s="185"/>
    </row>
    <row r="6702" spans="20:31" x14ac:dyDescent="0.25">
      <c r="T6702" s="81"/>
      <c r="W6702" s="185"/>
      <c r="AE6702" s="185"/>
    </row>
    <row r="6703" spans="20:31" x14ac:dyDescent="0.25">
      <c r="T6703" s="81"/>
      <c r="W6703" s="185"/>
      <c r="AE6703" s="185"/>
    </row>
    <row r="6704" spans="20:31" x14ac:dyDescent="0.25">
      <c r="T6704" s="81"/>
      <c r="W6704" s="185"/>
      <c r="AE6704" s="185"/>
    </row>
    <row r="6705" spans="20:31" x14ac:dyDescent="0.25">
      <c r="T6705" s="81"/>
      <c r="W6705" s="185"/>
      <c r="AE6705" s="185"/>
    </row>
    <row r="6706" spans="20:31" x14ac:dyDescent="0.25">
      <c r="T6706" s="81"/>
      <c r="W6706" s="185"/>
      <c r="AE6706" s="185"/>
    </row>
    <row r="6707" spans="20:31" x14ac:dyDescent="0.25">
      <c r="T6707" s="81"/>
      <c r="W6707" s="185"/>
      <c r="AE6707" s="185"/>
    </row>
    <row r="6708" spans="20:31" x14ac:dyDescent="0.25">
      <c r="T6708" s="81"/>
      <c r="W6708" s="185"/>
      <c r="AE6708" s="185"/>
    </row>
    <row r="6709" spans="20:31" x14ac:dyDescent="0.25">
      <c r="T6709" s="81"/>
      <c r="W6709" s="185"/>
      <c r="AE6709" s="185"/>
    </row>
    <row r="6710" spans="20:31" x14ac:dyDescent="0.25">
      <c r="T6710" s="81"/>
      <c r="W6710" s="185"/>
      <c r="AE6710" s="185"/>
    </row>
    <row r="6711" spans="20:31" x14ac:dyDescent="0.25">
      <c r="T6711" s="81"/>
      <c r="W6711" s="185"/>
      <c r="AE6711" s="185"/>
    </row>
    <row r="6712" spans="20:31" x14ac:dyDescent="0.25">
      <c r="T6712" s="81"/>
      <c r="W6712" s="185"/>
      <c r="AE6712" s="185"/>
    </row>
    <row r="6713" spans="20:31" x14ac:dyDescent="0.25">
      <c r="T6713" s="81"/>
      <c r="W6713" s="185"/>
      <c r="AE6713" s="185"/>
    </row>
    <row r="6714" spans="20:31" x14ac:dyDescent="0.25">
      <c r="T6714" s="81"/>
      <c r="W6714" s="185"/>
      <c r="AE6714" s="185"/>
    </row>
    <row r="6715" spans="20:31" x14ac:dyDescent="0.25">
      <c r="T6715" s="81"/>
      <c r="W6715" s="185"/>
      <c r="AE6715" s="185"/>
    </row>
    <row r="6716" spans="20:31" x14ac:dyDescent="0.25">
      <c r="T6716" s="81"/>
      <c r="W6716" s="185"/>
      <c r="AE6716" s="185"/>
    </row>
    <row r="6717" spans="20:31" x14ac:dyDescent="0.25">
      <c r="T6717" s="81"/>
      <c r="W6717" s="185"/>
      <c r="AE6717" s="185"/>
    </row>
    <row r="6718" spans="20:31" x14ac:dyDescent="0.25">
      <c r="T6718" s="81"/>
      <c r="W6718" s="185"/>
      <c r="AE6718" s="185"/>
    </row>
    <row r="6719" spans="20:31" x14ac:dyDescent="0.25">
      <c r="T6719" s="81"/>
      <c r="W6719" s="185"/>
      <c r="AE6719" s="185"/>
    </row>
    <row r="6720" spans="20:31" x14ac:dyDescent="0.25">
      <c r="T6720" s="81"/>
      <c r="W6720" s="185"/>
      <c r="AE6720" s="185"/>
    </row>
    <row r="6721" spans="20:31" x14ac:dyDescent="0.25">
      <c r="T6721" s="81"/>
      <c r="W6721" s="185"/>
      <c r="AE6721" s="185"/>
    </row>
    <row r="6722" spans="20:31" x14ac:dyDescent="0.25">
      <c r="T6722" s="81"/>
      <c r="W6722" s="185"/>
      <c r="AE6722" s="185"/>
    </row>
    <row r="6723" spans="20:31" x14ac:dyDescent="0.25">
      <c r="T6723" s="81"/>
      <c r="W6723" s="185"/>
      <c r="AE6723" s="185"/>
    </row>
    <row r="6724" spans="20:31" x14ac:dyDescent="0.25">
      <c r="T6724" s="81"/>
      <c r="W6724" s="185"/>
      <c r="AE6724" s="185"/>
    </row>
    <row r="6725" spans="20:31" x14ac:dyDescent="0.25">
      <c r="T6725" s="81"/>
      <c r="W6725" s="185"/>
      <c r="AE6725" s="185"/>
    </row>
    <row r="6726" spans="20:31" x14ac:dyDescent="0.25">
      <c r="T6726" s="81"/>
      <c r="W6726" s="185"/>
      <c r="AE6726" s="185"/>
    </row>
    <row r="6727" spans="20:31" x14ac:dyDescent="0.25">
      <c r="T6727" s="81"/>
      <c r="W6727" s="185"/>
      <c r="AE6727" s="185"/>
    </row>
    <row r="6728" spans="20:31" x14ac:dyDescent="0.25">
      <c r="T6728" s="81"/>
      <c r="W6728" s="185"/>
      <c r="AE6728" s="185"/>
    </row>
    <row r="6729" spans="20:31" x14ac:dyDescent="0.25">
      <c r="T6729" s="81"/>
      <c r="W6729" s="185"/>
      <c r="AE6729" s="185"/>
    </row>
    <row r="6730" spans="20:31" x14ac:dyDescent="0.25">
      <c r="T6730" s="81"/>
      <c r="W6730" s="185"/>
      <c r="AE6730" s="185"/>
    </row>
    <row r="6731" spans="20:31" x14ac:dyDescent="0.25">
      <c r="T6731" s="81"/>
      <c r="W6731" s="185"/>
      <c r="AE6731" s="185"/>
    </row>
    <row r="6732" spans="20:31" x14ac:dyDescent="0.25">
      <c r="T6732" s="81"/>
      <c r="W6732" s="185"/>
      <c r="AE6732" s="185"/>
    </row>
    <row r="6733" spans="20:31" x14ac:dyDescent="0.25">
      <c r="T6733" s="81"/>
      <c r="W6733" s="185"/>
      <c r="AE6733" s="185"/>
    </row>
    <row r="6734" spans="20:31" x14ac:dyDescent="0.25">
      <c r="T6734" s="81"/>
      <c r="W6734" s="185"/>
      <c r="AE6734" s="185"/>
    </row>
    <row r="6735" spans="20:31" x14ac:dyDescent="0.25">
      <c r="T6735" s="81"/>
      <c r="W6735" s="185"/>
      <c r="AE6735" s="185"/>
    </row>
    <row r="6736" spans="20:31" x14ac:dyDescent="0.25">
      <c r="T6736" s="81"/>
      <c r="W6736" s="185"/>
      <c r="AE6736" s="185"/>
    </row>
    <row r="6737" spans="20:31" x14ac:dyDescent="0.25">
      <c r="T6737" s="81"/>
      <c r="W6737" s="185"/>
      <c r="AE6737" s="185"/>
    </row>
    <row r="6738" spans="20:31" x14ac:dyDescent="0.25">
      <c r="T6738" s="81"/>
      <c r="W6738" s="185"/>
      <c r="AE6738" s="185"/>
    </row>
    <row r="6739" spans="20:31" x14ac:dyDescent="0.25">
      <c r="T6739" s="81"/>
      <c r="W6739" s="185"/>
      <c r="AE6739" s="185"/>
    </row>
    <row r="6740" spans="20:31" x14ac:dyDescent="0.25">
      <c r="T6740" s="81"/>
      <c r="W6740" s="185"/>
      <c r="AE6740" s="185"/>
    </row>
    <row r="6741" spans="20:31" x14ac:dyDescent="0.25">
      <c r="T6741" s="81"/>
      <c r="W6741" s="185"/>
      <c r="AE6741" s="185"/>
    </row>
    <row r="6742" spans="20:31" x14ac:dyDescent="0.25">
      <c r="T6742" s="81"/>
      <c r="W6742" s="185"/>
      <c r="AE6742" s="185"/>
    </row>
    <row r="6743" spans="20:31" x14ac:dyDescent="0.25">
      <c r="T6743" s="81"/>
      <c r="W6743" s="185"/>
      <c r="AE6743" s="185"/>
    </row>
    <row r="6744" spans="20:31" x14ac:dyDescent="0.25">
      <c r="T6744" s="81"/>
      <c r="W6744" s="185"/>
      <c r="AE6744" s="185"/>
    </row>
    <row r="6745" spans="20:31" x14ac:dyDescent="0.25">
      <c r="T6745" s="81"/>
      <c r="W6745" s="185"/>
      <c r="AE6745" s="185"/>
    </row>
    <row r="6746" spans="20:31" x14ac:dyDescent="0.25">
      <c r="T6746" s="81"/>
      <c r="W6746" s="185"/>
      <c r="AE6746" s="185"/>
    </row>
    <row r="6747" spans="20:31" x14ac:dyDescent="0.25">
      <c r="T6747" s="81"/>
      <c r="W6747" s="185"/>
      <c r="AE6747" s="185"/>
    </row>
    <row r="6748" spans="20:31" x14ac:dyDescent="0.25">
      <c r="T6748" s="81"/>
      <c r="W6748" s="185"/>
      <c r="AE6748" s="185"/>
    </row>
    <row r="6749" spans="20:31" x14ac:dyDescent="0.25">
      <c r="T6749" s="81"/>
      <c r="W6749" s="185"/>
      <c r="AE6749" s="185"/>
    </row>
    <row r="6750" spans="20:31" x14ac:dyDescent="0.25">
      <c r="T6750" s="81"/>
      <c r="W6750" s="185"/>
      <c r="AE6750" s="185"/>
    </row>
    <row r="6751" spans="20:31" x14ac:dyDescent="0.25">
      <c r="T6751" s="81"/>
      <c r="W6751" s="185"/>
      <c r="AE6751" s="185"/>
    </row>
    <row r="6752" spans="20:31" x14ac:dyDescent="0.25">
      <c r="T6752" s="81"/>
      <c r="W6752" s="185"/>
      <c r="AE6752" s="185"/>
    </row>
    <row r="6753" spans="20:31" x14ac:dyDescent="0.25">
      <c r="T6753" s="81"/>
      <c r="W6753" s="185"/>
      <c r="AE6753" s="185"/>
    </row>
    <row r="6754" spans="20:31" x14ac:dyDescent="0.25">
      <c r="T6754" s="81"/>
      <c r="W6754" s="185"/>
      <c r="AE6754" s="185"/>
    </row>
    <row r="6755" spans="20:31" x14ac:dyDescent="0.25">
      <c r="T6755" s="81"/>
      <c r="W6755" s="185"/>
      <c r="AE6755" s="185"/>
    </row>
    <row r="6756" spans="20:31" x14ac:dyDescent="0.25">
      <c r="T6756" s="81"/>
      <c r="W6756" s="185"/>
      <c r="AE6756" s="185"/>
    </row>
    <row r="6757" spans="20:31" x14ac:dyDescent="0.25">
      <c r="T6757" s="81"/>
      <c r="W6757" s="185"/>
      <c r="AE6757" s="185"/>
    </row>
    <row r="6758" spans="20:31" x14ac:dyDescent="0.25">
      <c r="T6758" s="81"/>
      <c r="W6758" s="185"/>
      <c r="AE6758" s="185"/>
    </row>
    <row r="6759" spans="20:31" x14ac:dyDescent="0.25">
      <c r="T6759" s="81"/>
      <c r="W6759" s="185"/>
      <c r="AE6759" s="185"/>
    </row>
    <row r="6760" spans="20:31" x14ac:dyDescent="0.25">
      <c r="T6760" s="81"/>
      <c r="W6760" s="185"/>
      <c r="AE6760" s="185"/>
    </row>
    <row r="6761" spans="20:31" x14ac:dyDescent="0.25">
      <c r="T6761" s="81"/>
      <c r="W6761" s="185"/>
      <c r="AE6761" s="185"/>
    </row>
    <row r="6762" spans="20:31" x14ac:dyDescent="0.25">
      <c r="T6762" s="81"/>
      <c r="W6762" s="185"/>
      <c r="AE6762" s="185"/>
    </row>
    <row r="6763" spans="20:31" x14ac:dyDescent="0.25">
      <c r="T6763" s="81"/>
      <c r="W6763" s="185"/>
      <c r="AE6763" s="185"/>
    </row>
    <row r="6764" spans="20:31" x14ac:dyDescent="0.25">
      <c r="T6764" s="81"/>
      <c r="W6764" s="185"/>
      <c r="AE6764" s="185"/>
    </row>
    <row r="6765" spans="20:31" x14ac:dyDescent="0.25">
      <c r="T6765" s="81"/>
      <c r="W6765" s="185"/>
      <c r="AE6765" s="185"/>
    </row>
    <row r="6766" spans="20:31" x14ac:dyDescent="0.25">
      <c r="T6766" s="81"/>
      <c r="W6766" s="185"/>
      <c r="AE6766" s="185"/>
    </row>
    <row r="6767" spans="20:31" x14ac:dyDescent="0.25">
      <c r="T6767" s="81"/>
      <c r="W6767" s="185"/>
      <c r="AE6767" s="185"/>
    </row>
    <row r="6768" spans="20:31" x14ac:dyDescent="0.25">
      <c r="T6768" s="81"/>
      <c r="W6768" s="185"/>
      <c r="AE6768" s="185"/>
    </row>
    <row r="6769" spans="20:31" x14ac:dyDescent="0.25">
      <c r="T6769" s="81"/>
      <c r="W6769" s="185"/>
      <c r="AE6769" s="185"/>
    </row>
    <row r="6770" spans="20:31" x14ac:dyDescent="0.25">
      <c r="T6770" s="81"/>
      <c r="W6770" s="185"/>
      <c r="AE6770" s="185"/>
    </row>
    <row r="6771" spans="20:31" x14ac:dyDescent="0.25">
      <c r="T6771" s="81"/>
      <c r="W6771" s="185"/>
      <c r="AE6771" s="185"/>
    </row>
    <row r="6772" spans="20:31" x14ac:dyDescent="0.25">
      <c r="T6772" s="81"/>
      <c r="W6772" s="185"/>
      <c r="AE6772" s="185"/>
    </row>
    <row r="6773" spans="20:31" x14ac:dyDescent="0.25">
      <c r="T6773" s="81"/>
      <c r="W6773" s="185"/>
      <c r="AE6773" s="185"/>
    </row>
    <row r="6774" spans="20:31" x14ac:dyDescent="0.25">
      <c r="T6774" s="81"/>
      <c r="W6774" s="185"/>
      <c r="AE6774" s="185"/>
    </row>
    <row r="6775" spans="20:31" x14ac:dyDescent="0.25">
      <c r="T6775" s="81"/>
      <c r="W6775" s="185"/>
      <c r="AE6775" s="185"/>
    </row>
    <row r="6776" spans="20:31" x14ac:dyDescent="0.25">
      <c r="T6776" s="81"/>
      <c r="W6776" s="185"/>
      <c r="AE6776" s="185"/>
    </row>
    <row r="6777" spans="20:31" x14ac:dyDescent="0.25">
      <c r="T6777" s="81"/>
      <c r="W6777" s="185"/>
      <c r="AE6777" s="185"/>
    </row>
    <row r="6778" spans="20:31" x14ac:dyDescent="0.25">
      <c r="T6778" s="81"/>
      <c r="W6778" s="185"/>
      <c r="AE6778" s="185"/>
    </row>
    <row r="6779" spans="20:31" x14ac:dyDescent="0.25">
      <c r="T6779" s="81"/>
      <c r="W6779" s="185"/>
      <c r="AE6779" s="185"/>
    </row>
    <row r="6780" spans="20:31" x14ac:dyDescent="0.25">
      <c r="T6780" s="81"/>
      <c r="W6780" s="185"/>
      <c r="AE6780" s="185"/>
    </row>
    <row r="6781" spans="20:31" x14ac:dyDescent="0.25">
      <c r="T6781" s="81"/>
      <c r="W6781" s="185"/>
      <c r="AE6781" s="185"/>
    </row>
    <row r="6782" spans="20:31" x14ac:dyDescent="0.25">
      <c r="T6782" s="81"/>
      <c r="W6782" s="185"/>
      <c r="AE6782" s="185"/>
    </row>
    <row r="6783" spans="20:31" x14ac:dyDescent="0.25">
      <c r="T6783" s="81"/>
      <c r="W6783" s="185"/>
      <c r="AE6783" s="185"/>
    </row>
    <row r="6784" spans="20:31" x14ac:dyDescent="0.25">
      <c r="T6784" s="81"/>
      <c r="W6784" s="185"/>
      <c r="AE6784" s="185"/>
    </row>
    <row r="6785" spans="20:31" x14ac:dyDescent="0.25">
      <c r="T6785" s="81"/>
      <c r="W6785" s="185"/>
      <c r="AE6785" s="185"/>
    </row>
    <row r="6786" spans="20:31" x14ac:dyDescent="0.25">
      <c r="T6786" s="81"/>
      <c r="W6786" s="185"/>
      <c r="AE6786" s="185"/>
    </row>
    <row r="6787" spans="20:31" x14ac:dyDescent="0.25">
      <c r="T6787" s="81"/>
      <c r="W6787" s="185"/>
      <c r="AE6787" s="185"/>
    </row>
    <row r="6788" spans="20:31" x14ac:dyDescent="0.25">
      <c r="T6788" s="81"/>
      <c r="W6788" s="185"/>
      <c r="AE6788" s="185"/>
    </row>
    <row r="6789" spans="20:31" x14ac:dyDescent="0.25">
      <c r="T6789" s="81"/>
      <c r="W6789" s="185"/>
      <c r="AE6789" s="185"/>
    </row>
    <row r="6790" spans="20:31" x14ac:dyDescent="0.25">
      <c r="T6790" s="81"/>
      <c r="W6790" s="185"/>
      <c r="AE6790" s="185"/>
    </row>
    <row r="6791" spans="20:31" x14ac:dyDescent="0.25">
      <c r="T6791" s="81"/>
      <c r="W6791" s="185"/>
      <c r="AE6791" s="185"/>
    </row>
    <row r="6792" spans="20:31" x14ac:dyDescent="0.25">
      <c r="T6792" s="81"/>
      <c r="W6792" s="185"/>
      <c r="AE6792" s="185"/>
    </row>
    <row r="6793" spans="20:31" x14ac:dyDescent="0.25">
      <c r="T6793" s="81"/>
      <c r="W6793" s="185"/>
      <c r="AE6793" s="185"/>
    </row>
    <row r="6794" spans="20:31" x14ac:dyDescent="0.25">
      <c r="T6794" s="81"/>
      <c r="W6794" s="185"/>
      <c r="AE6794" s="185"/>
    </row>
    <row r="6795" spans="20:31" x14ac:dyDescent="0.25">
      <c r="T6795" s="81"/>
      <c r="W6795" s="185"/>
      <c r="AE6795" s="185"/>
    </row>
    <row r="6796" spans="20:31" x14ac:dyDescent="0.25">
      <c r="T6796" s="81"/>
      <c r="W6796" s="185"/>
      <c r="AE6796" s="185"/>
    </row>
    <row r="6797" spans="20:31" x14ac:dyDescent="0.25">
      <c r="T6797" s="81"/>
      <c r="W6797" s="185"/>
      <c r="AE6797" s="185"/>
    </row>
    <row r="6798" spans="20:31" x14ac:dyDescent="0.25">
      <c r="T6798" s="81"/>
      <c r="W6798" s="185"/>
      <c r="AE6798" s="185"/>
    </row>
    <row r="6799" spans="20:31" x14ac:dyDescent="0.25">
      <c r="T6799" s="81"/>
      <c r="W6799" s="185"/>
      <c r="AE6799" s="185"/>
    </row>
    <row r="6800" spans="20:31" x14ac:dyDescent="0.25">
      <c r="T6800" s="81"/>
      <c r="W6800" s="185"/>
      <c r="AE6800" s="185"/>
    </row>
    <row r="6801" spans="20:31" x14ac:dyDescent="0.25">
      <c r="T6801" s="81"/>
      <c r="W6801" s="185"/>
      <c r="AE6801" s="185"/>
    </row>
    <row r="6802" spans="20:31" x14ac:dyDescent="0.25">
      <c r="T6802" s="81"/>
      <c r="W6802" s="185"/>
      <c r="AE6802" s="185"/>
    </row>
    <row r="6803" spans="20:31" x14ac:dyDescent="0.25">
      <c r="T6803" s="81"/>
      <c r="W6803" s="185"/>
      <c r="AE6803" s="185"/>
    </row>
    <row r="6804" spans="20:31" x14ac:dyDescent="0.25">
      <c r="T6804" s="81"/>
      <c r="W6804" s="185"/>
      <c r="AE6804" s="185"/>
    </row>
    <row r="6805" spans="20:31" x14ac:dyDescent="0.25">
      <c r="T6805" s="81"/>
      <c r="W6805" s="185"/>
      <c r="AE6805" s="185"/>
    </row>
    <row r="6806" spans="20:31" x14ac:dyDescent="0.25">
      <c r="T6806" s="81"/>
      <c r="W6806" s="185"/>
      <c r="AE6806" s="185"/>
    </row>
    <row r="6807" spans="20:31" x14ac:dyDescent="0.25">
      <c r="T6807" s="81"/>
      <c r="W6807" s="185"/>
      <c r="AE6807" s="185"/>
    </row>
    <row r="6808" spans="20:31" x14ac:dyDescent="0.25">
      <c r="T6808" s="81"/>
      <c r="W6808" s="185"/>
      <c r="AE6808" s="185"/>
    </row>
    <row r="6809" spans="20:31" x14ac:dyDescent="0.25">
      <c r="T6809" s="81"/>
      <c r="W6809" s="185"/>
      <c r="AE6809" s="185"/>
    </row>
    <row r="6810" spans="20:31" x14ac:dyDescent="0.25">
      <c r="T6810" s="81"/>
      <c r="W6810" s="185"/>
      <c r="AE6810" s="185"/>
    </row>
    <row r="6811" spans="20:31" x14ac:dyDescent="0.25">
      <c r="T6811" s="81"/>
      <c r="W6811" s="185"/>
      <c r="AE6811" s="185"/>
    </row>
    <row r="6812" spans="20:31" x14ac:dyDescent="0.25">
      <c r="T6812" s="81"/>
      <c r="W6812" s="185"/>
      <c r="AE6812" s="185"/>
    </row>
    <row r="6813" spans="20:31" x14ac:dyDescent="0.25">
      <c r="T6813" s="81"/>
      <c r="W6813" s="185"/>
      <c r="AE6813" s="185"/>
    </row>
    <row r="6814" spans="20:31" x14ac:dyDescent="0.25">
      <c r="T6814" s="81"/>
      <c r="W6814" s="185"/>
      <c r="AE6814" s="185"/>
    </row>
    <row r="6815" spans="20:31" x14ac:dyDescent="0.25">
      <c r="T6815" s="81"/>
      <c r="W6815" s="185"/>
      <c r="AE6815" s="185"/>
    </row>
    <row r="6816" spans="20:31" x14ac:dyDescent="0.25">
      <c r="T6816" s="81"/>
      <c r="W6816" s="185"/>
      <c r="AE6816" s="185"/>
    </row>
    <row r="6817" spans="20:31" x14ac:dyDescent="0.25">
      <c r="T6817" s="81"/>
      <c r="W6817" s="185"/>
      <c r="AE6817" s="185"/>
    </row>
    <row r="6818" spans="20:31" x14ac:dyDescent="0.25">
      <c r="T6818" s="81"/>
      <c r="W6818" s="185"/>
      <c r="AE6818" s="185"/>
    </row>
    <row r="6819" spans="20:31" x14ac:dyDescent="0.25">
      <c r="T6819" s="81"/>
      <c r="W6819" s="185"/>
      <c r="AE6819" s="185"/>
    </row>
    <row r="6820" spans="20:31" x14ac:dyDescent="0.25">
      <c r="T6820" s="81"/>
      <c r="W6820" s="185"/>
      <c r="AE6820" s="185"/>
    </row>
    <row r="6821" spans="20:31" x14ac:dyDescent="0.25">
      <c r="T6821" s="81"/>
      <c r="W6821" s="185"/>
      <c r="AE6821" s="185"/>
    </row>
    <row r="6822" spans="20:31" x14ac:dyDescent="0.25">
      <c r="T6822" s="81"/>
      <c r="W6822" s="185"/>
      <c r="AE6822" s="185"/>
    </row>
    <row r="6823" spans="20:31" x14ac:dyDescent="0.25">
      <c r="T6823" s="81"/>
      <c r="W6823" s="185"/>
      <c r="AE6823" s="185"/>
    </row>
    <row r="6824" spans="20:31" x14ac:dyDescent="0.25">
      <c r="T6824" s="81"/>
      <c r="W6824" s="185"/>
      <c r="AE6824" s="185"/>
    </row>
    <row r="6825" spans="20:31" x14ac:dyDescent="0.25">
      <c r="T6825" s="81"/>
      <c r="W6825" s="185"/>
      <c r="AE6825" s="185"/>
    </row>
    <row r="6826" spans="20:31" x14ac:dyDescent="0.25">
      <c r="T6826" s="81"/>
      <c r="W6826" s="185"/>
      <c r="AE6826" s="185"/>
    </row>
    <row r="6827" spans="20:31" x14ac:dyDescent="0.25">
      <c r="T6827" s="81"/>
      <c r="W6827" s="185"/>
      <c r="AE6827" s="185"/>
    </row>
    <row r="6828" spans="20:31" x14ac:dyDescent="0.25">
      <c r="T6828" s="81"/>
      <c r="W6828" s="185"/>
      <c r="AE6828" s="185"/>
    </row>
    <row r="6829" spans="20:31" x14ac:dyDescent="0.25">
      <c r="T6829" s="81"/>
      <c r="W6829" s="185"/>
      <c r="AE6829" s="185"/>
    </row>
    <row r="6830" spans="20:31" x14ac:dyDescent="0.25">
      <c r="T6830" s="81"/>
      <c r="W6830" s="185"/>
      <c r="AE6830" s="185"/>
    </row>
    <row r="6831" spans="20:31" x14ac:dyDescent="0.25">
      <c r="T6831" s="81"/>
      <c r="W6831" s="185"/>
      <c r="AE6831" s="185"/>
    </row>
    <row r="6832" spans="20:31" x14ac:dyDescent="0.25">
      <c r="T6832" s="81"/>
      <c r="W6832" s="185"/>
      <c r="AE6832" s="185"/>
    </row>
    <row r="6833" spans="20:31" x14ac:dyDescent="0.25">
      <c r="T6833" s="81"/>
      <c r="W6833" s="185"/>
      <c r="AE6833" s="185"/>
    </row>
    <row r="6834" spans="20:31" x14ac:dyDescent="0.25">
      <c r="T6834" s="81"/>
      <c r="W6834" s="185"/>
      <c r="AE6834" s="185"/>
    </row>
    <row r="6835" spans="20:31" x14ac:dyDescent="0.25">
      <c r="T6835" s="81"/>
      <c r="W6835" s="185"/>
      <c r="AE6835" s="185"/>
    </row>
    <row r="6836" spans="20:31" x14ac:dyDescent="0.25">
      <c r="T6836" s="81"/>
      <c r="W6836" s="185"/>
      <c r="AE6836" s="185"/>
    </row>
    <row r="6837" spans="20:31" x14ac:dyDescent="0.25">
      <c r="T6837" s="81"/>
      <c r="W6837" s="185"/>
      <c r="AE6837" s="185"/>
    </row>
    <row r="6838" spans="20:31" x14ac:dyDescent="0.25">
      <c r="T6838" s="81"/>
      <c r="W6838" s="185"/>
      <c r="AE6838" s="185"/>
    </row>
    <row r="6839" spans="20:31" x14ac:dyDescent="0.25">
      <c r="T6839" s="81"/>
      <c r="W6839" s="185"/>
      <c r="AE6839" s="185"/>
    </row>
    <row r="6840" spans="20:31" x14ac:dyDescent="0.25">
      <c r="T6840" s="81"/>
      <c r="W6840" s="185"/>
      <c r="AE6840" s="185"/>
    </row>
    <row r="6841" spans="20:31" x14ac:dyDescent="0.25">
      <c r="T6841" s="81"/>
      <c r="W6841" s="185"/>
      <c r="AE6841" s="185"/>
    </row>
    <row r="6842" spans="20:31" x14ac:dyDescent="0.25">
      <c r="T6842" s="81"/>
      <c r="W6842" s="185"/>
      <c r="AE6842" s="185"/>
    </row>
    <row r="6843" spans="20:31" x14ac:dyDescent="0.25">
      <c r="T6843" s="81"/>
      <c r="W6843" s="185"/>
      <c r="AE6843" s="185"/>
    </row>
    <row r="6844" spans="20:31" x14ac:dyDescent="0.25">
      <c r="T6844" s="81"/>
      <c r="W6844" s="185"/>
      <c r="AE6844" s="185"/>
    </row>
    <row r="6845" spans="20:31" x14ac:dyDescent="0.25">
      <c r="T6845" s="81"/>
      <c r="W6845" s="185"/>
      <c r="AE6845" s="185"/>
    </row>
    <row r="6846" spans="20:31" x14ac:dyDescent="0.25">
      <c r="T6846" s="81"/>
      <c r="W6846" s="185"/>
      <c r="AE6846" s="185"/>
    </row>
    <row r="6847" spans="20:31" x14ac:dyDescent="0.25">
      <c r="T6847" s="81"/>
      <c r="W6847" s="185"/>
      <c r="AE6847" s="185"/>
    </row>
    <row r="6848" spans="20:31" x14ac:dyDescent="0.25">
      <c r="T6848" s="81"/>
      <c r="W6848" s="185"/>
      <c r="AE6848" s="185"/>
    </row>
    <row r="6849" spans="20:31" x14ac:dyDescent="0.25">
      <c r="T6849" s="81"/>
      <c r="W6849" s="185"/>
      <c r="AE6849" s="185"/>
    </row>
    <row r="6850" spans="20:31" x14ac:dyDescent="0.25">
      <c r="T6850" s="81"/>
      <c r="W6850" s="185"/>
      <c r="AE6850" s="185"/>
    </row>
    <row r="6851" spans="20:31" x14ac:dyDescent="0.25">
      <c r="T6851" s="81"/>
      <c r="W6851" s="185"/>
      <c r="AE6851" s="185"/>
    </row>
    <row r="6852" spans="20:31" x14ac:dyDescent="0.25">
      <c r="T6852" s="81"/>
      <c r="W6852" s="185"/>
      <c r="AE6852" s="185"/>
    </row>
    <row r="6853" spans="20:31" x14ac:dyDescent="0.25">
      <c r="T6853" s="81"/>
      <c r="W6853" s="185"/>
      <c r="AE6853" s="185"/>
    </row>
    <row r="6854" spans="20:31" x14ac:dyDescent="0.25">
      <c r="T6854" s="81"/>
      <c r="W6854" s="185"/>
      <c r="AE6854" s="185"/>
    </row>
    <row r="6855" spans="20:31" x14ac:dyDescent="0.25">
      <c r="T6855" s="81"/>
      <c r="W6855" s="185"/>
      <c r="AE6855" s="185"/>
    </row>
    <row r="6856" spans="20:31" x14ac:dyDescent="0.25">
      <c r="T6856" s="81"/>
      <c r="W6856" s="185"/>
      <c r="AE6856" s="185"/>
    </row>
    <row r="6857" spans="20:31" x14ac:dyDescent="0.25">
      <c r="T6857" s="81"/>
      <c r="W6857" s="185"/>
      <c r="AE6857" s="185"/>
    </row>
    <row r="6858" spans="20:31" x14ac:dyDescent="0.25">
      <c r="T6858" s="81"/>
      <c r="W6858" s="185"/>
      <c r="AE6858" s="185"/>
    </row>
    <row r="6859" spans="20:31" x14ac:dyDescent="0.25">
      <c r="T6859" s="81"/>
      <c r="W6859" s="185"/>
      <c r="AE6859" s="185"/>
    </row>
    <row r="6860" spans="20:31" x14ac:dyDescent="0.25">
      <c r="T6860" s="81"/>
      <c r="W6860" s="185"/>
      <c r="AE6860" s="185"/>
    </row>
    <row r="6861" spans="20:31" x14ac:dyDescent="0.25">
      <c r="T6861" s="81"/>
      <c r="W6861" s="185"/>
      <c r="AE6861" s="185"/>
    </row>
    <row r="6862" spans="20:31" x14ac:dyDescent="0.25">
      <c r="T6862" s="81"/>
      <c r="W6862" s="185"/>
      <c r="AE6862" s="185"/>
    </row>
    <row r="6863" spans="20:31" x14ac:dyDescent="0.25">
      <c r="T6863" s="81"/>
      <c r="W6863" s="185"/>
      <c r="AE6863" s="185"/>
    </row>
    <row r="6864" spans="20:31" x14ac:dyDescent="0.25">
      <c r="T6864" s="81"/>
      <c r="W6864" s="185"/>
      <c r="AE6864" s="185"/>
    </row>
    <row r="6865" spans="20:31" x14ac:dyDescent="0.25">
      <c r="T6865" s="81"/>
      <c r="W6865" s="185"/>
      <c r="AE6865" s="185"/>
    </row>
    <row r="6866" spans="20:31" x14ac:dyDescent="0.25">
      <c r="T6866" s="81"/>
      <c r="W6866" s="185"/>
      <c r="AE6866" s="185"/>
    </row>
    <row r="6867" spans="20:31" x14ac:dyDescent="0.25">
      <c r="T6867" s="81"/>
      <c r="W6867" s="185"/>
      <c r="AE6867" s="185"/>
    </row>
    <row r="6868" spans="20:31" x14ac:dyDescent="0.25">
      <c r="T6868" s="81"/>
      <c r="W6868" s="185"/>
      <c r="AE6868" s="185"/>
    </row>
    <row r="6869" spans="20:31" x14ac:dyDescent="0.25">
      <c r="T6869" s="81"/>
      <c r="W6869" s="185"/>
      <c r="AE6869" s="185"/>
    </row>
    <row r="6870" spans="20:31" x14ac:dyDescent="0.25">
      <c r="T6870" s="81"/>
      <c r="W6870" s="185"/>
      <c r="AE6870" s="185"/>
    </row>
    <row r="6871" spans="20:31" x14ac:dyDescent="0.25">
      <c r="T6871" s="81"/>
      <c r="W6871" s="185"/>
      <c r="AE6871" s="185"/>
    </row>
    <row r="6872" spans="20:31" x14ac:dyDescent="0.25">
      <c r="T6872" s="81"/>
      <c r="W6872" s="185"/>
      <c r="AE6872" s="185"/>
    </row>
    <row r="6873" spans="20:31" x14ac:dyDescent="0.25">
      <c r="T6873" s="81"/>
      <c r="W6873" s="185"/>
      <c r="AE6873" s="185"/>
    </row>
    <row r="6874" spans="20:31" x14ac:dyDescent="0.25">
      <c r="T6874" s="81"/>
      <c r="W6874" s="185"/>
      <c r="AE6874" s="185"/>
    </row>
    <row r="6875" spans="20:31" x14ac:dyDescent="0.25">
      <c r="T6875" s="81"/>
      <c r="W6875" s="185"/>
      <c r="AE6875" s="185"/>
    </row>
    <row r="6876" spans="20:31" x14ac:dyDescent="0.25">
      <c r="T6876" s="81"/>
      <c r="W6876" s="185"/>
      <c r="AE6876" s="185"/>
    </row>
    <row r="6877" spans="20:31" x14ac:dyDescent="0.25">
      <c r="T6877" s="81"/>
      <c r="W6877" s="185"/>
      <c r="AE6877" s="185"/>
    </row>
    <row r="6878" spans="20:31" x14ac:dyDescent="0.25">
      <c r="T6878" s="81"/>
      <c r="W6878" s="185"/>
      <c r="AE6878" s="185"/>
    </row>
    <row r="6879" spans="20:31" x14ac:dyDescent="0.25">
      <c r="T6879" s="81"/>
      <c r="W6879" s="185"/>
      <c r="AE6879" s="185"/>
    </row>
    <row r="6880" spans="20:31" x14ac:dyDescent="0.25">
      <c r="T6880" s="81"/>
      <c r="W6880" s="185"/>
      <c r="AE6880" s="185"/>
    </row>
    <row r="6881" spans="20:31" x14ac:dyDescent="0.25">
      <c r="T6881" s="81"/>
      <c r="W6881" s="185"/>
      <c r="AE6881" s="185"/>
    </row>
    <row r="6882" spans="20:31" x14ac:dyDescent="0.25">
      <c r="T6882" s="81"/>
      <c r="W6882" s="185"/>
      <c r="AE6882" s="185"/>
    </row>
    <row r="6883" spans="20:31" x14ac:dyDescent="0.25">
      <c r="T6883" s="81"/>
      <c r="W6883" s="185"/>
      <c r="AE6883" s="185"/>
    </row>
    <row r="6884" spans="20:31" x14ac:dyDescent="0.25">
      <c r="T6884" s="81"/>
      <c r="W6884" s="185"/>
      <c r="AE6884" s="185"/>
    </row>
    <row r="6885" spans="20:31" x14ac:dyDescent="0.25">
      <c r="T6885" s="81"/>
      <c r="W6885" s="185"/>
      <c r="AE6885" s="185"/>
    </row>
    <row r="6886" spans="20:31" x14ac:dyDescent="0.25">
      <c r="T6886" s="81"/>
      <c r="W6886" s="185"/>
      <c r="AE6886" s="185"/>
    </row>
    <row r="6887" spans="20:31" x14ac:dyDescent="0.25">
      <c r="T6887" s="81"/>
      <c r="W6887" s="185"/>
      <c r="AE6887" s="185"/>
    </row>
    <row r="6888" spans="20:31" x14ac:dyDescent="0.25">
      <c r="T6888" s="81"/>
      <c r="W6888" s="185"/>
      <c r="AE6888" s="185"/>
    </row>
    <row r="6889" spans="20:31" x14ac:dyDescent="0.25">
      <c r="T6889" s="81"/>
      <c r="W6889" s="185"/>
      <c r="AE6889" s="185"/>
    </row>
    <row r="6890" spans="20:31" x14ac:dyDescent="0.25">
      <c r="T6890" s="81"/>
      <c r="W6890" s="185"/>
      <c r="AE6890" s="185"/>
    </row>
    <row r="6891" spans="20:31" x14ac:dyDescent="0.25">
      <c r="T6891" s="81"/>
      <c r="W6891" s="185"/>
      <c r="AE6891" s="185"/>
    </row>
    <row r="6892" spans="20:31" x14ac:dyDescent="0.25">
      <c r="T6892" s="81"/>
      <c r="W6892" s="185"/>
      <c r="AE6892" s="185"/>
    </row>
    <row r="6893" spans="20:31" x14ac:dyDescent="0.25">
      <c r="T6893" s="81"/>
      <c r="W6893" s="185"/>
      <c r="AE6893" s="185"/>
    </row>
    <row r="6894" spans="20:31" x14ac:dyDescent="0.25">
      <c r="T6894" s="81"/>
      <c r="W6894" s="185"/>
      <c r="AE6894" s="185"/>
    </row>
    <row r="6895" spans="20:31" x14ac:dyDescent="0.25">
      <c r="T6895" s="81"/>
      <c r="W6895" s="185"/>
      <c r="AE6895" s="185"/>
    </row>
    <row r="6896" spans="20:31" x14ac:dyDescent="0.25">
      <c r="T6896" s="81"/>
      <c r="W6896" s="185"/>
      <c r="AE6896" s="185"/>
    </row>
    <row r="6897" spans="20:31" x14ac:dyDescent="0.25">
      <c r="T6897" s="81"/>
      <c r="W6897" s="185"/>
      <c r="AE6897" s="185"/>
    </row>
    <row r="6898" spans="20:31" x14ac:dyDescent="0.25">
      <c r="T6898" s="81"/>
      <c r="W6898" s="185"/>
      <c r="AE6898" s="185"/>
    </row>
    <row r="6899" spans="20:31" x14ac:dyDescent="0.25">
      <c r="T6899" s="81"/>
      <c r="W6899" s="185"/>
      <c r="AE6899" s="185"/>
    </row>
    <row r="6900" spans="20:31" x14ac:dyDescent="0.25">
      <c r="T6900" s="81"/>
      <c r="W6900" s="185"/>
      <c r="AE6900" s="185"/>
    </row>
    <row r="6901" spans="20:31" x14ac:dyDescent="0.25">
      <c r="T6901" s="81"/>
      <c r="W6901" s="185"/>
      <c r="AE6901" s="185"/>
    </row>
    <row r="6902" spans="20:31" x14ac:dyDescent="0.25">
      <c r="T6902" s="81"/>
      <c r="W6902" s="185"/>
      <c r="AE6902" s="185"/>
    </row>
    <row r="6903" spans="20:31" x14ac:dyDescent="0.25">
      <c r="T6903" s="81"/>
      <c r="W6903" s="185"/>
      <c r="AE6903" s="185"/>
    </row>
    <row r="6904" spans="20:31" x14ac:dyDescent="0.25">
      <c r="T6904" s="81"/>
      <c r="W6904" s="185"/>
      <c r="AE6904" s="185"/>
    </row>
    <row r="6905" spans="20:31" x14ac:dyDescent="0.25">
      <c r="T6905" s="81"/>
      <c r="W6905" s="185"/>
      <c r="AE6905" s="185"/>
    </row>
    <row r="6906" spans="20:31" x14ac:dyDescent="0.25">
      <c r="T6906" s="81"/>
      <c r="W6906" s="185"/>
      <c r="AE6906" s="185"/>
    </row>
    <row r="6907" spans="20:31" x14ac:dyDescent="0.25">
      <c r="T6907" s="81"/>
      <c r="W6907" s="185"/>
      <c r="AE6907" s="185"/>
    </row>
    <row r="6908" spans="20:31" x14ac:dyDescent="0.25">
      <c r="T6908" s="81"/>
      <c r="W6908" s="185"/>
      <c r="AE6908" s="185"/>
    </row>
    <row r="6909" spans="20:31" x14ac:dyDescent="0.25">
      <c r="T6909" s="81"/>
      <c r="W6909" s="185"/>
      <c r="AE6909" s="185"/>
    </row>
    <row r="6910" spans="20:31" x14ac:dyDescent="0.25">
      <c r="T6910" s="81"/>
      <c r="W6910" s="185"/>
      <c r="AE6910" s="185"/>
    </row>
    <row r="6911" spans="20:31" x14ac:dyDescent="0.25">
      <c r="T6911" s="81"/>
      <c r="W6911" s="185"/>
      <c r="AE6911" s="185"/>
    </row>
    <row r="6912" spans="20:31" x14ac:dyDescent="0.25">
      <c r="T6912" s="81"/>
      <c r="W6912" s="185"/>
      <c r="AE6912" s="185"/>
    </row>
    <row r="6913" spans="20:31" x14ac:dyDescent="0.25">
      <c r="T6913" s="81"/>
      <c r="W6913" s="185"/>
      <c r="AE6913" s="185"/>
    </row>
    <row r="6914" spans="20:31" x14ac:dyDescent="0.25">
      <c r="T6914" s="81"/>
      <c r="W6914" s="185"/>
      <c r="AE6914" s="185"/>
    </row>
    <row r="6915" spans="20:31" x14ac:dyDescent="0.25">
      <c r="T6915" s="81"/>
      <c r="W6915" s="185"/>
      <c r="AE6915" s="185"/>
    </row>
    <row r="6916" spans="20:31" x14ac:dyDescent="0.25">
      <c r="T6916" s="81"/>
      <c r="W6916" s="185"/>
      <c r="AE6916" s="185"/>
    </row>
    <row r="6917" spans="20:31" x14ac:dyDescent="0.25">
      <c r="T6917" s="81"/>
      <c r="W6917" s="185"/>
      <c r="AE6917" s="185"/>
    </row>
    <row r="6918" spans="20:31" x14ac:dyDescent="0.25">
      <c r="T6918" s="81"/>
      <c r="W6918" s="185"/>
      <c r="AE6918" s="185"/>
    </row>
    <row r="6919" spans="20:31" x14ac:dyDescent="0.25">
      <c r="T6919" s="81"/>
      <c r="W6919" s="185"/>
      <c r="AE6919" s="185"/>
    </row>
    <row r="6920" spans="20:31" x14ac:dyDescent="0.25">
      <c r="T6920" s="81"/>
      <c r="W6920" s="185"/>
      <c r="AE6920" s="185"/>
    </row>
    <row r="6921" spans="20:31" x14ac:dyDescent="0.25">
      <c r="T6921" s="81"/>
      <c r="W6921" s="185"/>
      <c r="AE6921" s="185"/>
    </row>
    <row r="6922" spans="20:31" x14ac:dyDescent="0.25">
      <c r="T6922" s="81"/>
      <c r="W6922" s="185"/>
      <c r="AE6922" s="185"/>
    </row>
    <row r="6923" spans="20:31" x14ac:dyDescent="0.25">
      <c r="T6923" s="81"/>
      <c r="W6923" s="185"/>
      <c r="AE6923" s="185"/>
    </row>
    <row r="6924" spans="20:31" x14ac:dyDescent="0.25">
      <c r="T6924" s="81"/>
      <c r="W6924" s="185"/>
      <c r="AE6924" s="185"/>
    </row>
    <row r="6925" spans="20:31" x14ac:dyDescent="0.25">
      <c r="T6925" s="81"/>
      <c r="W6925" s="185"/>
      <c r="AE6925" s="185"/>
    </row>
    <row r="6926" spans="20:31" x14ac:dyDescent="0.25">
      <c r="T6926" s="81"/>
      <c r="W6926" s="185"/>
      <c r="AE6926" s="185"/>
    </row>
    <row r="6927" spans="20:31" x14ac:dyDescent="0.25">
      <c r="T6927" s="81"/>
      <c r="W6927" s="185"/>
      <c r="AE6927" s="185"/>
    </row>
    <row r="6928" spans="20:31" x14ac:dyDescent="0.25">
      <c r="T6928" s="81"/>
      <c r="W6928" s="185"/>
      <c r="AE6928" s="185"/>
    </row>
    <row r="6929" spans="20:31" x14ac:dyDescent="0.25">
      <c r="T6929" s="81"/>
      <c r="W6929" s="185"/>
      <c r="AE6929" s="185"/>
    </row>
    <row r="6930" spans="20:31" x14ac:dyDescent="0.25">
      <c r="T6930" s="81"/>
      <c r="W6930" s="185"/>
      <c r="AE6930" s="185"/>
    </row>
    <row r="6931" spans="20:31" x14ac:dyDescent="0.25">
      <c r="T6931" s="81"/>
      <c r="W6931" s="185"/>
      <c r="AE6931" s="185"/>
    </row>
    <row r="6932" spans="20:31" x14ac:dyDescent="0.25">
      <c r="T6932" s="81"/>
      <c r="W6932" s="185"/>
      <c r="AE6932" s="185"/>
    </row>
    <row r="6933" spans="20:31" x14ac:dyDescent="0.25">
      <c r="T6933" s="81"/>
      <c r="W6933" s="185"/>
      <c r="AE6933" s="185"/>
    </row>
    <row r="6934" spans="20:31" x14ac:dyDescent="0.25">
      <c r="T6934" s="81"/>
      <c r="W6934" s="185"/>
      <c r="AE6934" s="185"/>
    </row>
    <row r="6935" spans="20:31" x14ac:dyDescent="0.25">
      <c r="T6935" s="81"/>
      <c r="W6935" s="185"/>
      <c r="AE6935" s="185"/>
    </row>
    <row r="6936" spans="20:31" x14ac:dyDescent="0.25">
      <c r="T6936" s="81"/>
      <c r="W6936" s="185"/>
      <c r="AE6936" s="185"/>
    </row>
    <row r="6937" spans="20:31" x14ac:dyDescent="0.25">
      <c r="T6937" s="81"/>
      <c r="W6937" s="185"/>
      <c r="AE6937" s="185"/>
    </row>
    <row r="6938" spans="20:31" x14ac:dyDescent="0.25">
      <c r="T6938" s="81"/>
      <c r="W6938" s="185"/>
      <c r="AE6938" s="185"/>
    </row>
    <row r="6939" spans="20:31" x14ac:dyDescent="0.25">
      <c r="T6939" s="81"/>
      <c r="W6939" s="185"/>
      <c r="AE6939" s="185"/>
    </row>
    <row r="6940" spans="20:31" x14ac:dyDescent="0.25">
      <c r="T6940" s="81"/>
      <c r="W6940" s="185"/>
      <c r="AE6940" s="185"/>
    </row>
    <row r="6941" spans="20:31" x14ac:dyDescent="0.25">
      <c r="T6941" s="81"/>
      <c r="W6941" s="185"/>
      <c r="AE6941" s="185"/>
    </row>
    <row r="6942" spans="20:31" x14ac:dyDescent="0.25">
      <c r="T6942" s="81"/>
      <c r="W6942" s="185"/>
      <c r="AE6942" s="185"/>
    </row>
    <row r="6943" spans="20:31" x14ac:dyDescent="0.25">
      <c r="T6943" s="81"/>
      <c r="W6943" s="185"/>
      <c r="AE6943" s="185"/>
    </row>
    <row r="6944" spans="20:31" x14ac:dyDescent="0.25">
      <c r="T6944" s="81"/>
      <c r="W6944" s="185"/>
      <c r="AE6944" s="185"/>
    </row>
    <row r="6945" spans="20:31" x14ac:dyDescent="0.25">
      <c r="T6945" s="81"/>
      <c r="W6945" s="185"/>
      <c r="AE6945" s="185"/>
    </row>
    <row r="6946" spans="20:31" x14ac:dyDescent="0.25">
      <c r="T6946" s="81"/>
      <c r="W6946" s="185"/>
      <c r="AE6946" s="185"/>
    </row>
    <row r="6947" spans="20:31" x14ac:dyDescent="0.25">
      <c r="T6947" s="81"/>
      <c r="W6947" s="185"/>
      <c r="AE6947" s="185"/>
    </row>
    <row r="6948" spans="20:31" x14ac:dyDescent="0.25">
      <c r="T6948" s="81"/>
      <c r="W6948" s="185"/>
      <c r="AE6948" s="185"/>
    </row>
    <row r="6949" spans="20:31" x14ac:dyDescent="0.25">
      <c r="T6949" s="81"/>
      <c r="W6949" s="185"/>
      <c r="AE6949" s="185"/>
    </row>
    <row r="6950" spans="20:31" x14ac:dyDescent="0.25">
      <c r="T6950" s="81"/>
      <c r="W6950" s="185"/>
      <c r="AE6950" s="185"/>
    </row>
    <row r="6951" spans="20:31" x14ac:dyDescent="0.25">
      <c r="T6951" s="81"/>
      <c r="W6951" s="185"/>
      <c r="AE6951" s="185"/>
    </row>
    <row r="6952" spans="20:31" x14ac:dyDescent="0.25">
      <c r="T6952" s="81"/>
      <c r="W6952" s="185"/>
      <c r="AE6952" s="185"/>
    </row>
    <row r="6953" spans="20:31" x14ac:dyDescent="0.25">
      <c r="T6953" s="81"/>
      <c r="W6953" s="185"/>
      <c r="AE6953" s="185"/>
    </row>
    <row r="6954" spans="20:31" x14ac:dyDescent="0.25">
      <c r="T6954" s="81"/>
      <c r="W6954" s="185"/>
      <c r="AE6954" s="185"/>
    </row>
    <row r="6955" spans="20:31" x14ac:dyDescent="0.25">
      <c r="T6955" s="81"/>
      <c r="W6955" s="185"/>
      <c r="AE6955" s="185"/>
    </row>
    <row r="6956" spans="20:31" x14ac:dyDescent="0.25">
      <c r="T6956" s="81"/>
      <c r="W6956" s="185"/>
      <c r="AE6956" s="185"/>
    </row>
    <row r="6957" spans="20:31" x14ac:dyDescent="0.25">
      <c r="T6957" s="81"/>
      <c r="W6957" s="185"/>
      <c r="AE6957" s="185"/>
    </row>
    <row r="6958" spans="20:31" x14ac:dyDescent="0.25">
      <c r="T6958" s="81"/>
      <c r="W6958" s="185"/>
      <c r="AE6958" s="185"/>
    </row>
    <row r="6959" spans="20:31" x14ac:dyDescent="0.25">
      <c r="T6959" s="81"/>
      <c r="W6959" s="185"/>
      <c r="AE6959" s="185"/>
    </row>
    <row r="6960" spans="20:31" x14ac:dyDescent="0.25">
      <c r="T6960" s="81"/>
      <c r="W6960" s="185"/>
      <c r="AE6960" s="185"/>
    </row>
    <row r="6961" spans="20:31" x14ac:dyDescent="0.25">
      <c r="T6961" s="81"/>
      <c r="W6961" s="185"/>
      <c r="AE6961" s="185"/>
    </row>
    <row r="6962" spans="20:31" x14ac:dyDescent="0.25">
      <c r="T6962" s="81"/>
      <c r="W6962" s="185"/>
      <c r="AE6962" s="185"/>
    </row>
    <row r="6963" spans="20:31" x14ac:dyDescent="0.25">
      <c r="T6963" s="81"/>
      <c r="W6963" s="185"/>
      <c r="AE6963" s="185"/>
    </row>
    <row r="6964" spans="20:31" x14ac:dyDescent="0.25">
      <c r="T6964" s="81"/>
      <c r="W6964" s="185"/>
      <c r="AE6964" s="185"/>
    </row>
    <row r="6965" spans="20:31" x14ac:dyDescent="0.25">
      <c r="T6965" s="81"/>
      <c r="W6965" s="185"/>
      <c r="AE6965" s="185"/>
    </row>
    <row r="6966" spans="20:31" x14ac:dyDescent="0.25">
      <c r="T6966" s="81"/>
      <c r="W6966" s="185"/>
      <c r="AE6966" s="185"/>
    </row>
    <row r="6967" spans="20:31" x14ac:dyDescent="0.25">
      <c r="T6967" s="81"/>
      <c r="W6967" s="185"/>
      <c r="AE6967" s="185"/>
    </row>
    <row r="6968" spans="20:31" x14ac:dyDescent="0.25">
      <c r="T6968" s="81"/>
      <c r="W6968" s="185"/>
      <c r="AE6968" s="185"/>
    </row>
    <row r="6969" spans="20:31" x14ac:dyDescent="0.25">
      <c r="T6969" s="81"/>
      <c r="W6969" s="185"/>
      <c r="AE6969" s="185"/>
    </row>
    <row r="6970" spans="20:31" x14ac:dyDescent="0.25">
      <c r="T6970" s="81"/>
      <c r="W6970" s="185"/>
      <c r="AE6970" s="185"/>
    </row>
    <row r="6971" spans="20:31" x14ac:dyDescent="0.25">
      <c r="T6971" s="81"/>
      <c r="W6971" s="185"/>
      <c r="AE6971" s="185"/>
    </row>
    <row r="6972" spans="20:31" x14ac:dyDescent="0.25">
      <c r="T6972" s="81"/>
      <c r="W6972" s="185"/>
      <c r="AE6972" s="185"/>
    </row>
    <row r="6973" spans="20:31" x14ac:dyDescent="0.25">
      <c r="T6973" s="81"/>
      <c r="W6973" s="185"/>
      <c r="AE6973" s="185"/>
    </row>
    <row r="6974" spans="20:31" x14ac:dyDescent="0.25">
      <c r="T6974" s="81"/>
      <c r="W6974" s="185"/>
      <c r="AE6974" s="185"/>
    </row>
    <row r="6975" spans="20:31" x14ac:dyDescent="0.25">
      <c r="T6975" s="81"/>
      <c r="W6975" s="185"/>
      <c r="AE6975" s="185"/>
    </row>
    <row r="6976" spans="20:31" x14ac:dyDescent="0.25">
      <c r="T6976" s="81"/>
      <c r="W6976" s="185"/>
      <c r="AE6976" s="185"/>
    </row>
    <row r="6977" spans="20:31" x14ac:dyDescent="0.25">
      <c r="T6977" s="81"/>
      <c r="W6977" s="185"/>
      <c r="AE6977" s="185"/>
    </row>
    <row r="6978" spans="20:31" x14ac:dyDescent="0.25">
      <c r="T6978" s="81"/>
      <c r="W6978" s="185"/>
      <c r="AE6978" s="185"/>
    </row>
    <row r="6979" spans="20:31" x14ac:dyDescent="0.25">
      <c r="T6979" s="81"/>
      <c r="W6979" s="185"/>
      <c r="AE6979" s="185"/>
    </row>
    <row r="6980" spans="20:31" x14ac:dyDescent="0.25">
      <c r="T6980" s="81"/>
      <c r="W6980" s="185"/>
      <c r="AE6980" s="185"/>
    </row>
    <row r="6981" spans="20:31" x14ac:dyDescent="0.25">
      <c r="T6981" s="81"/>
      <c r="W6981" s="185"/>
      <c r="AE6981" s="185"/>
    </row>
    <row r="6982" spans="20:31" x14ac:dyDescent="0.25">
      <c r="T6982" s="81"/>
      <c r="W6982" s="185"/>
      <c r="AE6982" s="185"/>
    </row>
    <row r="6983" spans="20:31" x14ac:dyDescent="0.25">
      <c r="T6983" s="81"/>
      <c r="W6983" s="185"/>
      <c r="AE6983" s="185"/>
    </row>
    <row r="6984" spans="20:31" x14ac:dyDescent="0.25">
      <c r="T6984" s="81"/>
      <c r="W6984" s="185"/>
      <c r="AE6984" s="185"/>
    </row>
    <row r="6985" spans="20:31" x14ac:dyDescent="0.25">
      <c r="T6985" s="81"/>
      <c r="W6985" s="185"/>
      <c r="AE6985" s="185"/>
    </row>
    <row r="6986" spans="20:31" x14ac:dyDescent="0.25">
      <c r="T6986" s="81"/>
      <c r="W6986" s="185"/>
      <c r="AE6986" s="185"/>
    </row>
    <row r="6987" spans="20:31" x14ac:dyDescent="0.25">
      <c r="T6987" s="81"/>
      <c r="W6987" s="185"/>
      <c r="AE6987" s="185"/>
    </row>
    <row r="6988" spans="20:31" x14ac:dyDescent="0.25">
      <c r="T6988" s="81"/>
      <c r="W6988" s="185"/>
      <c r="AE6988" s="185"/>
    </row>
    <row r="6989" spans="20:31" x14ac:dyDescent="0.25">
      <c r="T6989" s="81"/>
      <c r="W6989" s="185"/>
      <c r="AE6989" s="185"/>
    </row>
    <row r="6990" spans="20:31" x14ac:dyDescent="0.25">
      <c r="T6990" s="81"/>
      <c r="W6990" s="185"/>
      <c r="AE6990" s="185"/>
    </row>
    <row r="6991" spans="20:31" x14ac:dyDescent="0.25">
      <c r="T6991" s="81"/>
      <c r="W6991" s="185"/>
      <c r="AE6991" s="185"/>
    </row>
    <row r="6992" spans="20:31" x14ac:dyDescent="0.25">
      <c r="T6992" s="81"/>
      <c r="W6992" s="185"/>
      <c r="AE6992" s="185"/>
    </row>
    <row r="6993" spans="20:31" x14ac:dyDescent="0.25">
      <c r="T6993" s="81"/>
      <c r="W6993" s="185"/>
      <c r="AE6993" s="185"/>
    </row>
    <row r="6994" spans="20:31" x14ac:dyDescent="0.25">
      <c r="T6994" s="81"/>
      <c r="W6994" s="185"/>
      <c r="AE6994" s="185"/>
    </row>
    <row r="6995" spans="20:31" x14ac:dyDescent="0.25">
      <c r="T6995" s="81"/>
      <c r="W6995" s="185"/>
      <c r="AE6995" s="185"/>
    </row>
    <row r="6996" spans="20:31" x14ac:dyDescent="0.25">
      <c r="T6996" s="81"/>
      <c r="W6996" s="185"/>
      <c r="AE6996" s="185"/>
    </row>
    <row r="6997" spans="20:31" x14ac:dyDescent="0.25">
      <c r="T6997" s="81"/>
      <c r="W6997" s="185"/>
      <c r="AE6997" s="185"/>
    </row>
    <row r="6998" spans="20:31" x14ac:dyDescent="0.25">
      <c r="T6998" s="81"/>
      <c r="W6998" s="185"/>
      <c r="AE6998" s="185"/>
    </row>
    <row r="6999" spans="20:31" x14ac:dyDescent="0.25">
      <c r="T6999" s="81"/>
      <c r="W6999" s="185"/>
      <c r="AE6999" s="185"/>
    </row>
    <row r="7000" spans="20:31" x14ac:dyDescent="0.25">
      <c r="T7000" s="81"/>
      <c r="W7000" s="185"/>
      <c r="AE7000" s="185"/>
    </row>
    <row r="7001" spans="20:31" x14ac:dyDescent="0.25">
      <c r="T7001" s="81"/>
      <c r="W7001" s="185"/>
      <c r="AE7001" s="185"/>
    </row>
    <row r="7002" spans="20:31" x14ac:dyDescent="0.25">
      <c r="T7002" s="81"/>
      <c r="W7002" s="185"/>
      <c r="AE7002" s="185"/>
    </row>
    <row r="7003" spans="20:31" x14ac:dyDescent="0.25">
      <c r="T7003" s="81"/>
      <c r="W7003" s="185"/>
      <c r="AE7003" s="185"/>
    </row>
    <row r="7004" spans="20:31" x14ac:dyDescent="0.25">
      <c r="T7004" s="81"/>
      <c r="W7004" s="185"/>
      <c r="AE7004" s="185"/>
    </row>
    <row r="7005" spans="20:31" x14ac:dyDescent="0.25">
      <c r="T7005" s="81"/>
      <c r="W7005" s="185"/>
      <c r="AE7005" s="185"/>
    </row>
    <row r="7006" spans="20:31" x14ac:dyDescent="0.25">
      <c r="T7006" s="81"/>
      <c r="W7006" s="185"/>
      <c r="AE7006" s="185"/>
    </row>
    <row r="7007" spans="20:31" x14ac:dyDescent="0.25">
      <c r="T7007" s="81"/>
      <c r="W7007" s="185"/>
      <c r="AE7007" s="185"/>
    </row>
    <row r="7008" spans="20:31" x14ac:dyDescent="0.25">
      <c r="T7008" s="81"/>
      <c r="W7008" s="185"/>
      <c r="AE7008" s="185"/>
    </row>
    <row r="7009" spans="20:31" x14ac:dyDescent="0.25">
      <c r="T7009" s="81"/>
      <c r="W7009" s="185"/>
      <c r="AE7009" s="185"/>
    </row>
    <row r="7010" spans="20:31" x14ac:dyDescent="0.25">
      <c r="T7010" s="81"/>
      <c r="W7010" s="185"/>
      <c r="AE7010" s="185"/>
    </row>
    <row r="7011" spans="20:31" x14ac:dyDescent="0.25">
      <c r="T7011" s="81"/>
      <c r="W7011" s="185"/>
      <c r="AE7011" s="185"/>
    </row>
    <row r="7012" spans="20:31" x14ac:dyDescent="0.25">
      <c r="T7012" s="81"/>
      <c r="W7012" s="185"/>
      <c r="AE7012" s="185"/>
    </row>
    <row r="7013" spans="20:31" x14ac:dyDescent="0.25">
      <c r="T7013" s="81"/>
      <c r="W7013" s="185"/>
      <c r="AE7013" s="185"/>
    </row>
    <row r="7014" spans="20:31" x14ac:dyDescent="0.25">
      <c r="T7014" s="81"/>
      <c r="W7014" s="185"/>
      <c r="AE7014" s="185"/>
    </row>
    <row r="7015" spans="20:31" x14ac:dyDescent="0.25">
      <c r="T7015" s="81"/>
      <c r="W7015" s="185"/>
      <c r="AE7015" s="185"/>
    </row>
    <row r="7016" spans="20:31" x14ac:dyDescent="0.25">
      <c r="T7016" s="81"/>
      <c r="W7016" s="185"/>
      <c r="AE7016" s="185"/>
    </row>
    <row r="7017" spans="20:31" x14ac:dyDescent="0.25">
      <c r="T7017" s="81"/>
      <c r="W7017" s="185"/>
      <c r="AE7017" s="185"/>
    </row>
    <row r="7018" spans="20:31" x14ac:dyDescent="0.25">
      <c r="T7018" s="81"/>
      <c r="W7018" s="185"/>
      <c r="AE7018" s="185"/>
    </row>
    <row r="7019" spans="20:31" x14ac:dyDescent="0.25">
      <c r="T7019" s="81"/>
      <c r="W7019" s="185"/>
      <c r="AE7019" s="185"/>
    </row>
    <row r="7020" spans="20:31" x14ac:dyDescent="0.25">
      <c r="T7020" s="81"/>
      <c r="W7020" s="185"/>
      <c r="AE7020" s="185"/>
    </row>
    <row r="7021" spans="20:31" x14ac:dyDescent="0.25">
      <c r="T7021" s="81"/>
      <c r="W7021" s="185"/>
      <c r="AE7021" s="185"/>
    </row>
    <row r="7022" spans="20:31" x14ac:dyDescent="0.25">
      <c r="T7022" s="81"/>
      <c r="W7022" s="185"/>
      <c r="AE7022" s="185"/>
    </row>
    <row r="7023" spans="20:31" x14ac:dyDescent="0.25">
      <c r="T7023" s="81"/>
      <c r="W7023" s="185"/>
      <c r="AE7023" s="185"/>
    </row>
    <row r="7024" spans="20:31" x14ac:dyDescent="0.25">
      <c r="T7024" s="81"/>
      <c r="W7024" s="185"/>
      <c r="AE7024" s="185"/>
    </row>
    <row r="7025" spans="20:31" x14ac:dyDescent="0.25">
      <c r="T7025" s="81"/>
      <c r="W7025" s="185"/>
      <c r="AE7025" s="185"/>
    </row>
    <row r="7026" spans="20:31" x14ac:dyDescent="0.25">
      <c r="T7026" s="81"/>
      <c r="W7026" s="185"/>
      <c r="AE7026" s="185"/>
    </row>
    <row r="7027" spans="20:31" x14ac:dyDescent="0.25">
      <c r="T7027" s="81"/>
      <c r="W7027" s="185"/>
      <c r="AE7027" s="185"/>
    </row>
    <row r="7028" spans="20:31" x14ac:dyDescent="0.25">
      <c r="T7028" s="81"/>
      <c r="W7028" s="185"/>
      <c r="AE7028" s="185"/>
    </row>
    <row r="7029" spans="20:31" x14ac:dyDescent="0.25">
      <c r="T7029" s="81"/>
      <c r="W7029" s="185"/>
      <c r="AE7029" s="185"/>
    </row>
    <row r="7030" spans="20:31" x14ac:dyDescent="0.25">
      <c r="T7030" s="81"/>
      <c r="W7030" s="185"/>
      <c r="AE7030" s="185"/>
    </row>
    <row r="7031" spans="20:31" x14ac:dyDescent="0.25">
      <c r="T7031" s="81"/>
      <c r="W7031" s="185"/>
      <c r="AE7031" s="185"/>
    </row>
    <row r="7032" spans="20:31" x14ac:dyDescent="0.25">
      <c r="T7032" s="81"/>
      <c r="W7032" s="185"/>
      <c r="AE7032" s="185"/>
    </row>
    <row r="7033" spans="20:31" x14ac:dyDescent="0.25">
      <c r="T7033" s="81"/>
      <c r="W7033" s="185"/>
      <c r="AE7033" s="185"/>
    </row>
    <row r="7034" spans="20:31" x14ac:dyDescent="0.25">
      <c r="T7034" s="81"/>
      <c r="W7034" s="185"/>
      <c r="AE7034" s="185"/>
    </row>
    <row r="7035" spans="20:31" x14ac:dyDescent="0.25">
      <c r="T7035" s="81"/>
      <c r="W7035" s="185"/>
      <c r="AE7035" s="185"/>
    </row>
    <row r="7036" spans="20:31" x14ac:dyDescent="0.25">
      <c r="T7036" s="81"/>
      <c r="W7036" s="185"/>
      <c r="AE7036" s="185"/>
    </row>
    <row r="7037" spans="20:31" x14ac:dyDescent="0.25">
      <c r="T7037" s="81"/>
      <c r="W7037" s="185"/>
      <c r="AE7037" s="185"/>
    </row>
    <row r="7038" spans="20:31" x14ac:dyDescent="0.25">
      <c r="T7038" s="81"/>
      <c r="W7038" s="185"/>
      <c r="AE7038" s="185"/>
    </row>
    <row r="7039" spans="20:31" x14ac:dyDescent="0.25">
      <c r="T7039" s="81"/>
      <c r="W7039" s="185"/>
      <c r="AE7039" s="185"/>
    </row>
    <row r="7040" spans="20:31" x14ac:dyDescent="0.25">
      <c r="T7040" s="81"/>
      <c r="W7040" s="185"/>
      <c r="AE7040" s="185"/>
    </row>
    <row r="7041" spans="20:31" x14ac:dyDescent="0.25">
      <c r="T7041" s="81"/>
      <c r="W7041" s="185"/>
      <c r="AE7041" s="185"/>
    </row>
    <row r="7042" spans="20:31" x14ac:dyDescent="0.25">
      <c r="T7042" s="81"/>
      <c r="W7042" s="185"/>
      <c r="AE7042" s="185"/>
    </row>
    <row r="7043" spans="20:31" x14ac:dyDescent="0.25">
      <c r="T7043" s="81"/>
      <c r="W7043" s="185"/>
      <c r="AE7043" s="185"/>
    </row>
    <row r="7044" spans="20:31" x14ac:dyDescent="0.25">
      <c r="T7044" s="81"/>
      <c r="W7044" s="185"/>
      <c r="AE7044" s="185"/>
    </row>
    <row r="7045" spans="20:31" x14ac:dyDescent="0.25">
      <c r="T7045" s="81"/>
      <c r="W7045" s="185"/>
      <c r="AE7045" s="185"/>
    </row>
    <row r="7046" spans="20:31" x14ac:dyDescent="0.25">
      <c r="T7046" s="81"/>
      <c r="W7046" s="185"/>
      <c r="AE7046" s="185"/>
    </row>
    <row r="7047" spans="20:31" x14ac:dyDescent="0.25">
      <c r="T7047" s="81"/>
      <c r="W7047" s="185"/>
      <c r="AE7047" s="185"/>
    </row>
    <row r="7048" spans="20:31" x14ac:dyDescent="0.25">
      <c r="T7048" s="81"/>
      <c r="W7048" s="185"/>
      <c r="AE7048" s="185"/>
    </row>
    <row r="7049" spans="20:31" x14ac:dyDescent="0.25">
      <c r="T7049" s="81"/>
      <c r="W7049" s="185"/>
      <c r="AE7049" s="185"/>
    </row>
    <row r="7050" spans="20:31" x14ac:dyDescent="0.25">
      <c r="T7050" s="81"/>
      <c r="W7050" s="185"/>
      <c r="AE7050" s="185"/>
    </row>
    <row r="7051" spans="20:31" x14ac:dyDescent="0.25">
      <c r="T7051" s="81"/>
      <c r="W7051" s="185"/>
      <c r="AE7051" s="185"/>
    </row>
    <row r="7052" spans="20:31" x14ac:dyDescent="0.25">
      <c r="T7052" s="81"/>
      <c r="W7052" s="185"/>
      <c r="AE7052" s="185"/>
    </row>
    <row r="7053" spans="20:31" x14ac:dyDescent="0.25">
      <c r="T7053" s="81"/>
      <c r="W7053" s="185"/>
      <c r="AE7053" s="185"/>
    </row>
    <row r="7054" spans="20:31" x14ac:dyDescent="0.25">
      <c r="T7054" s="81"/>
      <c r="W7054" s="185"/>
      <c r="AE7054" s="185"/>
    </row>
    <row r="7055" spans="20:31" x14ac:dyDescent="0.25">
      <c r="T7055" s="81"/>
      <c r="W7055" s="185"/>
      <c r="AE7055" s="185"/>
    </row>
    <row r="7056" spans="20:31" x14ac:dyDescent="0.25">
      <c r="T7056" s="81"/>
      <c r="W7056" s="185"/>
      <c r="AE7056" s="185"/>
    </row>
    <row r="7057" spans="20:31" x14ac:dyDescent="0.25">
      <c r="T7057" s="81"/>
      <c r="W7057" s="185"/>
      <c r="AE7057" s="185"/>
    </row>
    <row r="7058" spans="20:31" x14ac:dyDescent="0.25">
      <c r="T7058" s="81"/>
      <c r="W7058" s="185"/>
      <c r="AE7058" s="185"/>
    </row>
    <row r="7059" spans="20:31" x14ac:dyDescent="0.25">
      <c r="T7059" s="81"/>
      <c r="W7059" s="185"/>
      <c r="AE7059" s="185"/>
    </row>
    <row r="7060" spans="20:31" x14ac:dyDescent="0.25">
      <c r="T7060" s="81"/>
      <c r="W7060" s="185"/>
      <c r="AE7060" s="185"/>
    </row>
    <row r="7061" spans="20:31" x14ac:dyDescent="0.25">
      <c r="T7061" s="81"/>
      <c r="W7061" s="185"/>
      <c r="AE7061" s="185"/>
    </row>
    <row r="7062" spans="20:31" x14ac:dyDescent="0.25">
      <c r="T7062" s="81"/>
      <c r="W7062" s="185"/>
      <c r="AE7062" s="185"/>
    </row>
    <row r="7063" spans="20:31" x14ac:dyDescent="0.25">
      <c r="T7063" s="81"/>
      <c r="W7063" s="185"/>
      <c r="AE7063" s="185"/>
    </row>
    <row r="7064" spans="20:31" x14ac:dyDescent="0.25">
      <c r="T7064" s="81"/>
      <c r="W7064" s="185"/>
      <c r="AE7064" s="185"/>
    </row>
    <row r="7065" spans="20:31" x14ac:dyDescent="0.25">
      <c r="T7065" s="81"/>
      <c r="W7065" s="185"/>
      <c r="AE7065" s="185"/>
    </row>
    <row r="7066" spans="20:31" x14ac:dyDescent="0.25">
      <c r="T7066" s="81"/>
      <c r="W7066" s="185"/>
      <c r="AE7066" s="185"/>
    </row>
    <row r="7067" spans="20:31" x14ac:dyDescent="0.25">
      <c r="T7067" s="81"/>
      <c r="W7067" s="185"/>
      <c r="AE7067" s="185"/>
    </row>
    <row r="7068" spans="20:31" x14ac:dyDescent="0.25">
      <c r="T7068" s="81"/>
      <c r="W7068" s="185"/>
      <c r="AE7068" s="185"/>
    </row>
    <row r="7069" spans="20:31" x14ac:dyDescent="0.25">
      <c r="T7069" s="81"/>
      <c r="W7069" s="185"/>
      <c r="AE7069" s="185"/>
    </row>
    <row r="7070" spans="20:31" x14ac:dyDescent="0.25">
      <c r="T7070" s="81"/>
      <c r="W7070" s="185"/>
      <c r="AE7070" s="185"/>
    </row>
    <row r="7071" spans="20:31" x14ac:dyDescent="0.25">
      <c r="T7071" s="81"/>
      <c r="W7071" s="185"/>
      <c r="AE7071" s="185"/>
    </row>
    <row r="7072" spans="20:31" x14ac:dyDescent="0.25">
      <c r="T7072" s="81"/>
      <c r="W7072" s="185"/>
      <c r="AE7072" s="185"/>
    </row>
    <row r="7073" spans="20:31" x14ac:dyDescent="0.25">
      <c r="T7073" s="81"/>
      <c r="W7073" s="185"/>
      <c r="AE7073" s="185"/>
    </row>
    <row r="7074" spans="20:31" x14ac:dyDescent="0.25">
      <c r="T7074" s="81"/>
      <c r="W7074" s="185"/>
      <c r="AE7074" s="185"/>
    </row>
    <row r="7075" spans="20:31" x14ac:dyDescent="0.25">
      <c r="T7075" s="81"/>
      <c r="W7075" s="185"/>
      <c r="AE7075" s="185"/>
    </row>
    <row r="7076" spans="20:31" x14ac:dyDescent="0.25">
      <c r="T7076" s="81"/>
      <c r="W7076" s="185"/>
      <c r="AE7076" s="185"/>
    </row>
    <row r="7077" spans="20:31" x14ac:dyDescent="0.25">
      <c r="T7077" s="81"/>
      <c r="W7077" s="185"/>
      <c r="AE7077" s="185"/>
    </row>
    <row r="7078" spans="20:31" x14ac:dyDescent="0.25">
      <c r="T7078" s="81"/>
      <c r="W7078" s="185"/>
      <c r="AE7078" s="185"/>
    </row>
    <row r="7079" spans="20:31" x14ac:dyDescent="0.25">
      <c r="T7079" s="81"/>
      <c r="W7079" s="185"/>
      <c r="AE7079" s="185"/>
    </row>
    <row r="7080" spans="20:31" x14ac:dyDescent="0.25">
      <c r="T7080" s="81"/>
      <c r="W7080" s="185"/>
      <c r="AE7080" s="185"/>
    </row>
    <row r="7081" spans="20:31" x14ac:dyDescent="0.25">
      <c r="T7081" s="81"/>
      <c r="W7081" s="185"/>
      <c r="AE7081" s="185"/>
    </row>
    <row r="7082" spans="20:31" x14ac:dyDescent="0.25">
      <c r="T7082" s="81"/>
      <c r="W7082" s="185"/>
      <c r="AE7082" s="185"/>
    </row>
    <row r="7083" spans="20:31" x14ac:dyDescent="0.25">
      <c r="T7083" s="81"/>
      <c r="W7083" s="185"/>
      <c r="AE7083" s="185"/>
    </row>
    <row r="7084" spans="20:31" x14ac:dyDescent="0.25">
      <c r="T7084" s="81"/>
      <c r="W7084" s="185"/>
      <c r="AE7084" s="185"/>
    </row>
    <row r="7085" spans="20:31" x14ac:dyDescent="0.25">
      <c r="T7085" s="81"/>
      <c r="W7085" s="185"/>
      <c r="AE7085" s="185"/>
    </row>
    <row r="7086" spans="20:31" x14ac:dyDescent="0.25">
      <c r="T7086" s="81"/>
      <c r="W7086" s="185"/>
      <c r="AE7086" s="185"/>
    </row>
    <row r="7087" spans="20:31" x14ac:dyDescent="0.25">
      <c r="T7087" s="81"/>
      <c r="W7087" s="185"/>
      <c r="AE7087" s="185"/>
    </row>
    <row r="7088" spans="20:31" x14ac:dyDescent="0.25">
      <c r="T7088" s="81"/>
      <c r="W7088" s="185"/>
      <c r="AE7088" s="185"/>
    </row>
    <row r="7089" spans="20:31" x14ac:dyDescent="0.25">
      <c r="T7089" s="81"/>
      <c r="W7089" s="185"/>
      <c r="AE7089" s="185"/>
    </row>
    <row r="7090" spans="20:31" x14ac:dyDescent="0.25">
      <c r="T7090" s="81"/>
      <c r="W7090" s="185"/>
      <c r="AE7090" s="185"/>
    </row>
    <row r="7091" spans="20:31" x14ac:dyDescent="0.25">
      <c r="T7091" s="81"/>
      <c r="W7091" s="185"/>
      <c r="AE7091" s="185"/>
    </row>
    <row r="7092" spans="20:31" x14ac:dyDescent="0.25">
      <c r="T7092" s="81"/>
      <c r="W7092" s="185"/>
      <c r="AE7092" s="185"/>
    </row>
    <row r="7093" spans="20:31" x14ac:dyDescent="0.25">
      <c r="T7093" s="81"/>
      <c r="W7093" s="185"/>
      <c r="AE7093" s="185"/>
    </row>
    <row r="7094" spans="20:31" x14ac:dyDescent="0.25">
      <c r="T7094" s="81"/>
      <c r="W7094" s="185"/>
      <c r="AE7094" s="185"/>
    </row>
    <row r="7095" spans="20:31" x14ac:dyDescent="0.25">
      <c r="T7095" s="81"/>
      <c r="W7095" s="185"/>
      <c r="AE7095" s="185"/>
    </row>
    <row r="7096" spans="20:31" x14ac:dyDescent="0.25">
      <c r="T7096" s="81"/>
      <c r="W7096" s="185"/>
      <c r="AE7096" s="185"/>
    </row>
    <row r="7097" spans="20:31" x14ac:dyDescent="0.25">
      <c r="T7097" s="81"/>
      <c r="W7097" s="185"/>
      <c r="AE7097" s="185"/>
    </row>
    <row r="7098" spans="20:31" x14ac:dyDescent="0.25">
      <c r="T7098" s="81"/>
      <c r="W7098" s="185"/>
      <c r="AE7098" s="185"/>
    </row>
    <row r="7099" spans="20:31" x14ac:dyDescent="0.25">
      <c r="T7099" s="81"/>
      <c r="W7099" s="185"/>
      <c r="AE7099" s="185"/>
    </row>
    <row r="7100" spans="20:31" x14ac:dyDescent="0.25">
      <c r="T7100" s="81"/>
      <c r="W7100" s="185"/>
      <c r="AE7100" s="185"/>
    </row>
    <row r="7101" spans="20:31" x14ac:dyDescent="0.25">
      <c r="T7101" s="81"/>
      <c r="W7101" s="185"/>
      <c r="AE7101" s="185"/>
    </row>
    <row r="7102" spans="20:31" x14ac:dyDescent="0.25">
      <c r="T7102" s="81"/>
      <c r="W7102" s="185"/>
      <c r="AE7102" s="185"/>
    </row>
    <row r="7103" spans="20:31" x14ac:dyDescent="0.25">
      <c r="T7103" s="81"/>
      <c r="W7103" s="185"/>
      <c r="AE7103" s="185"/>
    </row>
    <row r="7104" spans="20:31" x14ac:dyDescent="0.25">
      <c r="T7104" s="81"/>
      <c r="W7104" s="185"/>
      <c r="AE7104" s="185"/>
    </row>
    <row r="7105" spans="20:31" x14ac:dyDescent="0.25">
      <c r="T7105" s="81"/>
      <c r="W7105" s="185"/>
      <c r="AE7105" s="185"/>
    </row>
    <row r="7106" spans="20:31" x14ac:dyDescent="0.25">
      <c r="T7106" s="81"/>
      <c r="W7106" s="185"/>
      <c r="AE7106" s="185"/>
    </row>
    <row r="7107" spans="20:31" x14ac:dyDescent="0.25">
      <c r="T7107" s="81"/>
      <c r="W7107" s="185"/>
      <c r="AE7107" s="185"/>
    </row>
    <row r="7108" spans="20:31" x14ac:dyDescent="0.25">
      <c r="T7108" s="81"/>
      <c r="W7108" s="185"/>
      <c r="AE7108" s="185"/>
    </row>
    <row r="7109" spans="20:31" x14ac:dyDescent="0.25">
      <c r="T7109" s="81"/>
      <c r="W7109" s="185"/>
      <c r="AE7109" s="185"/>
    </row>
    <row r="7110" spans="20:31" x14ac:dyDescent="0.25">
      <c r="T7110" s="81"/>
      <c r="W7110" s="185"/>
      <c r="AE7110" s="185"/>
    </row>
    <row r="7111" spans="20:31" x14ac:dyDescent="0.25">
      <c r="T7111" s="81"/>
      <c r="W7111" s="185"/>
      <c r="AE7111" s="185"/>
    </row>
    <row r="7112" spans="20:31" x14ac:dyDescent="0.25">
      <c r="T7112" s="81"/>
      <c r="W7112" s="185"/>
      <c r="AE7112" s="185"/>
    </row>
    <row r="7113" spans="20:31" x14ac:dyDescent="0.25">
      <c r="T7113" s="81"/>
      <c r="W7113" s="185"/>
      <c r="AE7113" s="185"/>
    </row>
    <row r="7114" spans="20:31" x14ac:dyDescent="0.25">
      <c r="T7114" s="81"/>
      <c r="W7114" s="185"/>
      <c r="AE7114" s="185"/>
    </row>
    <row r="7115" spans="20:31" x14ac:dyDescent="0.25">
      <c r="T7115" s="81"/>
      <c r="W7115" s="185"/>
      <c r="AE7115" s="185"/>
    </row>
    <row r="7116" spans="20:31" x14ac:dyDescent="0.25">
      <c r="T7116" s="81"/>
      <c r="W7116" s="185"/>
      <c r="AE7116" s="185"/>
    </row>
    <row r="7117" spans="20:31" x14ac:dyDescent="0.25">
      <c r="T7117" s="81"/>
      <c r="W7117" s="185"/>
      <c r="AE7117" s="185"/>
    </row>
    <row r="7118" spans="20:31" x14ac:dyDescent="0.25">
      <c r="T7118" s="81"/>
      <c r="W7118" s="185"/>
      <c r="AE7118" s="185"/>
    </row>
    <row r="7119" spans="20:31" x14ac:dyDescent="0.25">
      <c r="T7119" s="81"/>
      <c r="W7119" s="185"/>
      <c r="AE7119" s="185"/>
    </row>
    <row r="7120" spans="20:31" x14ac:dyDescent="0.25">
      <c r="T7120" s="81"/>
      <c r="W7120" s="185"/>
      <c r="AE7120" s="185"/>
    </row>
    <row r="7121" spans="20:31" x14ac:dyDescent="0.25">
      <c r="T7121" s="81"/>
      <c r="W7121" s="185"/>
      <c r="AE7121" s="185"/>
    </row>
    <row r="7122" spans="20:31" x14ac:dyDescent="0.25">
      <c r="T7122" s="81"/>
      <c r="W7122" s="185"/>
      <c r="AE7122" s="185"/>
    </row>
    <row r="7123" spans="20:31" x14ac:dyDescent="0.25">
      <c r="T7123" s="81"/>
      <c r="W7123" s="185"/>
      <c r="AE7123" s="185"/>
    </row>
    <row r="7124" spans="20:31" x14ac:dyDescent="0.25">
      <c r="T7124" s="81"/>
      <c r="W7124" s="185"/>
      <c r="AE7124" s="185"/>
    </row>
    <row r="7125" spans="20:31" x14ac:dyDescent="0.25">
      <c r="T7125" s="81"/>
      <c r="W7125" s="185"/>
      <c r="AE7125" s="185"/>
    </row>
    <row r="7126" spans="20:31" x14ac:dyDescent="0.25">
      <c r="T7126" s="81"/>
      <c r="W7126" s="185"/>
      <c r="AE7126" s="185"/>
    </row>
    <row r="7127" spans="20:31" x14ac:dyDescent="0.25">
      <c r="T7127" s="81"/>
      <c r="W7127" s="185"/>
      <c r="AE7127" s="185"/>
    </row>
    <row r="7128" spans="20:31" x14ac:dyDescent="0.25">
      <c r="T7128" s="81"/>
      <c r="W7128" s="185"/>
      <c r="AE7128" s="185"/>
    </row>
    <row r="7129" spans="20:31" x14ac:dyDescent="0.25">
      <c r="T7129" s="81"/>
      <c r="W7129" s="185"/>
      <c r="AE7129" s="185"/>
    </row>
    <row r="7130" spans="20:31" x14ac:dyDescent="0.25">
      <c r="T7130" s="81"/>
      <c r="W7130" s="185"/>
      <c r="AE7130" s="185"/>
    </row>
    <row r="7131" spans="20:31" x14ac:dyDescent="0.25">
      <c r="T7131" s="81"/>
      <c r="W7131" s="185"/>
      <c r="AE7131" s="185"/>
    </row>
    <row r="7132" spans="20:31" x14ac:dyDescent="0.25">
      <c r="T7132" s="81"/>
      <c r="W7132" s="185"/>
      <c r="AE7132" s="185"/>
    </row>
    <row r="7133" spans="20:31" x14ac:dyDescent="0.25">
      <c r="T7133" s="81"/>
      <c r="W7133" s="185"/>
      <c r="AE7133" s="185"/>
    </row>
    <row r="7134" spans="20:31" x14ac:dyDescent="0.25">
      <c r="T7134" s="81"/>
      <c r="W7134" s="185"/>
      <c r="AE7134" s="185"/>
    </row>
    <row r="7135" spans="20:31" x14ac:dyDescent="0.25">
      <c r="T7135" s="81"/>
      <c r="W7135" s="185"/>
      <c r="AE7135" s="185"/>
    </row>
    <row r="7136" spans="20:31" x14ac:dyDescent="0.25">
      <c r="T7136" s="81"/>
      <c r="W7136" s="185"/>
      <c r="AE7136" s="185"/>
    </row>
    <row r="7137" spans="20:31" x14ac:dyDescent="0.25">
      <c r="T7137" s="81"/>
      <c r="W7137" s="185"/>
      <c r="AE7137" s="185"/>
    </row>
    <row r="7138" spans="20:31" x14ac:dyDescent="0.25">
      <c r="T7138" s="81"/>
      <c r="W7138" s="185"/>
      <c r="AE7138" s="185"/>
    </row>
    <row r="7139" spans="20:31" x14ac:dyDescent="0.25">
      <c r="T7139" s="81"/>
      <c r="W7139" s="185"/>
      <c r="AE7139" s="185"/>
    </row>
    <row r="7140" spans="20:31" x14ac:dyDescent="0.25">
      <c r="T7140" s="81"/>
      <c r="W7140" s="185"/>
      <c r="AE7140" s="185"/>
    </row>
    <row r="7141" spans="20:31" x14ac:dyDescent="0.25">
      <c r="T7141" s="81"/>
      <c r="W7141" s="185"/>
      <c r="AE7141" s="185"/>
    </row>
    <row r="7142" spans="20:31" x14ac:dyDescent="0.25">
      <c r="T7142" s="81"/>
      <c r="W7142" s="185"/>
      <c r="AE7142" s="185"/>
    </row>
    <row r="7143" spans="20:31" x14ac:dyDescent="0.25">
      <c r="T7143" s="81"/>
      <c r="W7143" s="185"/>
      <c r="AE7143" s="185"/>
    </row>
    <row r="7144" spans="20:31" x14ac:dyDescent="0.25">
      <c r="T7144" s="81"/>
      <c r="W7144" s="185"/>
      <c r="AE7144" s="185"/>
    </row>
    <row r="7145" spans="20:31" x14ac:dyDescent="0.25">
      <c r="T7145" s="81"/>
      <c r="W7145" s="185"/>
      <c r="AE7145" s="185"/>
    </row>
    <row r="7146" spans="20:31" x14ac:dyDescent="0.25">
      <c r="T7146" s="81"/>
      <c r="W7146" s="185"/>
      <c r="AE7146" s="185"/>
    </row>
    <row r="7147" spans="20:31" x14ac:dyDescent="0.25">
      <c r="T7147" s="81"/>
      <c r="W7147" s="185"/>
      <c r="AE7147" s="185"/>
    </row>
    <row r="7148" spans="20:31" x14ac:dyDescent="0.25">
      <c r="T7148" s="81"/>
      <c r="W7148" s="185"/>
      <c r="AE7148" s="185"/>
    </row>
    <row r="7149" spans="20:31" x14ac:dyDescent="0.25">
      <c r="T7149" s="81"/>
      <c r="W7149" s="185"/>
      <c r="AE7149" s="185"/>
    </row>
    <row r="7150" spans="20:31" x14ac:dyDescent="0.25">
      <c r="T7150" s="81"/>
      <c r="W7150" s="185"/>
      <c r="AE7150" s="185"/>
    </row>
    <row r="7151" spans="20:31" x14ac:dyDescent="0.25">
      <c r="T7151" s="81"/>
      <c r="W7151" s="185"/>
      <c r="AE7151" s="185"/>
    </row>
    <row r="7152" spans="20:31" x14ac:dyDescent="0.25">
      <c r="T7152" s="81"/>
      <c r="W7152" s="185"/>
      <c r="AE7152" s="185"/>
    </row>
    <row r="7153" spans="20:31" x14ac:dyDescent="0.25">
      <c r="T7153" s="81"/>
      <c r="W7153" s="185"/>
      <c r="AE7153" s="185"/>
    </row>
    <row r="7154" spans="20:31" x14ac:dyDescent="0.25">
      <c r="T7154" s="81"/>
      <c r="W7154" s="185"/>
      <c r="AE7154" s="185"/>
    </row>
    <row r="7155" spans="20:31" x14ac:dyDescent="0.25">
      <c r="T7155" s="81"/>
      <c r="W7155" s="185"/>
      <c r="AE7155" s="185"/>
    </row>
    <row r="7156" spans="20:31" x14ac:dyDescent="0.25">
      <c r="T7156" s="81"/>
      <c r="W7156" s="185"/>
      <c r="AE7156" s="185"/>
    </row>
    <row r="7157" spans="20:31" x14ac:dyDescent="0.25">
      <c r="T7157" s="81"/>
      <c r="W7157" s="185"/>
      <c r="AE7157" s="185"/>
    </row>
    <row r="7158" spans="20:31" x14ac:dyDescent="0.25">
      <c r="T7158" s="81"/>
      <c r="W7158" s="185"/>
      <c r="AE7158" s="185"/>
    </row>
    <row r="7159" spans="20:31" x14ac:dyDescent="0.25">
      <c r="T7159" s="81"/>
      <c r="W7159" s="185"/>
      <c r="AE7159" s="185"/>
    </row>
    <row r="7160" spans="20:31" x14ac:dyDescent="0.25">
      <c r="T7160" s="81"/>
      <c r="W7160" s="185"/>
      <c r="AE7160" s="185"/>
    </row>
    <row r="7161" spans="20:31" x14ac:dyDescent="0.25">
      <c r="T7161" s="81"/>
      <c r="W7161" s="185"/>
      <c r="AE7161" s="185"/>
    </row>
    <row r="7162" spans="20:31" x14ac:dyDescent="0.25">
      <c r="T7162" s="81"/>
      <c r="W7162" s="185"/>
      <c r="AE7162" s="185"/>
    </row>
    <row r="7163" spans="20:31" x14ac:dyDescent="0.25">
      <c r="T7163" s="81"/>
      <c r="W7163" s="185"/>
      <c r="AE7163" s="185"/>
    </row>
    <row r="7164" spans="20:31" x14ac:dyDescent="0.25">
      <c r="T7164" s="81"/>
      <c r="W7164" s="185"/>
      <c r="AE7164" s="185"/>
    </row>
    <row r="7165" spans="20:31" x14ac:dyDescent="0.25">
      <c r="T7165" s="81"/>
      <c r="W7165" s="185"/>
      <c r="AE7165" s="185"/>
    </row>
    <row r="7166" spans="20:31" x14ac:dyDescent="0.25">
      <c r="T7166" s="81"/>
      <c r="W7166" s="185"/>
      <c r="AE7166" s="185"/>
    </row>
    <row r="7167" spans="20:31" x14ac:dyDescent="0.25">
      <c r="T7167" s="81"/>
      <c r="W7167" s="185"/>
      <c r="AE7167" s="185"/>
    </row>
    <row r="7168" spans="20:31" x14ac:dyDescent="0.25">
      <c r="T7168" s="81"/>
      <c r="W7168" s="185"/>
      <c r="AE7168" s="185"/>
    </row>
    <row r="7169" spans="20:31" x14ac:dyDescent="0.25">
      <c r="T7169" s="81"/>
      <c r="W7169" s="185"/>
      <c r="AE7169" s="185"/>
    </row>
    <row r="7170" spans="20:31" x14ac:dyDescent="0.25">
      <c r="T7170" s="81"/>
      <c r="W7170" s="185"/>
      <c r="AE7170" s="185"/>
    </row>
    <row r="7171" spans="20:31" x14ac:dyDescent="0.25">
      <c r="T7171" s="81"/>
      <c r="W7171" s="185"/>
      <c r="AE7171" s="185"/>
    </row>
    <row r="7172" spans="20:31" x14ac:dyDescent="0.25">
      <c r="T7172" s="81"/>
      <c r="W7172" s="185"/>
      <c r="AE7172" s="185"/>
    </row>
    <row r="7173" spans="20:31" x14ac:dyDescent="0.25">
      <c r="T7173" s="81"/>
      <c r="W7173" s="185"/>
      <c r="AE7173" s="185"/>
    </row>
    <row r="7174" spans="20:31" x14ac:dyDescent="0.25">
      <c r="T7174" s="81"/>
      <c r="W7174" s="185"/>
      <c r="AE7174" s="185"/>
    </row>
    <row r="7175" spans="20:31" x14ac:dyDescent="0.25">
      <c r="T7175" s="81"/>
      <c r="W7175" s="185"/>
      <c r="AE7175" s="185"/>
    </row>
    <row r="7176" spans="20:31" x14ac:dyDescent="0.25">
      <c r="T7176" s="81"/>
      <c r="W7176" s="185"/>
      <c r="AE7176" s="185"/>
    </row>
    <row r="7177" spans="20:31" x14ac:dyDescent="0.25">
      <c r="T7177" s="81"/>
      <c r="W7177" s="185"/>
      <c r="AE7177" s="185"/>
    </row>
    <row r="7178" spans="20:31" x14ac:dyDescent="0.25">
      <c r="T7178" s="81"/>
      <c r="W7178" s="185"/>
      <c r="AE7178" s="185"/>
    </row>
    <row r="7179" spans="20:31" x14ac:dyDescent="0.25">
      <c r="T7179" s="81"/>
      <c r="W7179" s="185"/>
      <c r="AE7179" s="185"/>
    </row>
    <row r="7180" spans="20:31" x14ac:dyDescent="0.25">
      <c r="T7180" s="81"/>
      <c r="W7180" s="185"/>
      <c r="AE7180" s="185"/>
    </row>
    <row r="7181" spans="20:31" x14ac:dyDescent="0.25">
      <c r="T7181" s="81"/>
      <c r="W7181" s="185"/>
      <c r="AE7181" s="185"/>
    </row>
    <row r="7182" spans="20:31" x14ac:dyDescent="0.25">
      <c r="T7182" s="81"/>
      <c r="W7182" s="185"/>
      <c r="AE7182" s="185"/>
    </row>
    <row r="7183" spans="20:31" x14ac:dyDescent="0.25">
      <c r="T7183" s="81"/>
      <c r="W7183" s="185"/>
      <c r="AE7183" s="185"/>
    </row>
    <row r="7184" spans="20:31" x14ac:dyDescent="0.25">
      <c r="T7184" s="81"/>
      <c r="W7184" s="185"/>
      <c r="AE7184" s="185"/>
    </row>
    <row r="7185" spans="20:31" x14ac:dyDescent="0.25">
      <c r="T7185" s="81"/>
      <c r="W7185" s="185"/>
      <c r="AE7185" s="185"/>
    </row>
    <row r="7186" spans="20:31" x14ac:dyDescent="0.25">
      <c r="T7186" s="81"/>
      <c r="W7186" s="185"/>
      <c r="AE7186" s="185"/>
    </row>
    <row r="7187" spans="20:31" x14ac:dyDescent="0.25">
      <c r="T7187" s="81"/>
      <c r="W7187" s="185"/>
      <c r="AE7187" s="185"/>
    </row>
    <row r="7188" spans="20:31" x14ac:dyDescent="0.25">
      <c r="T7188" s="81"/>
      <c r="W7188" s="185"/>
      <c r="AE7188" s="185"/>
    </row>
    <row r="7189" spans="20:31" x14ac:dyDescent="0.25">
      <c r="T7189" s="81"/>
      <c r="W7189" s="185"/>
      <c r="AE7189" s="185"/>
    </row>
    <row r="7190" spans="20:31" x14ac:dyDescent="0.25">
      <c r="T7190" s="81"/>
      <c r="W7190" s="185"/>
      <c r="AE7190" s="185"/>
    </row>
    <row r="7191" spans="20:31" x14ac:dyDescent="0.25">
      <c r="T7191" s="81"/>
      <c r="W7191" s="185"/>
      <c r="AE7191" s="185"/>
    </row>
    <row r="7192" spans="20:31" x14ac:dyDescent="0.25">
      <c r="T7192" s="81"/>
      <c r="W7192" s="185"/>
      <c r="AE7192" s="185"/>
    </row>
    <row r="7193" spans="20:31" x14ac:dyDescent="0.25">
      <c r="T7193" s="81"/>
      <c r="W7193" s="185"/>
      <c r="AE7193" s="185"/>
    </row>
    <row r="7194" spans="20:31" x14ac:dyDescent="0.25">
      <c r="T7194" s="81"/>
      <c r="W7194" s="185"/>
      <c r="AE7194" s="185"/>
    </row>
    <row r="7195" spans="20:31" x14ac:dyDescent="0.25">
      <c r="T7195" s="81"/>
      <c r="W7195" s="185"/>
      <c r="AE7195" s="185"/>
    </row>
    <row r="7196" spans="20:31" x14ac:dyDescent="0.25">
      <c r="T7196" s="81"/>
      <c r="W7196" s="185"/>
      <c r="AE7196" s="185"/>
    </row>
    <row r="7197" spans="20:31" x14ac:dyDescent="0.25">
      <c r="T7197" s="81"/>
      <c r="W7197" s="185"/>
      <c r="AE7197" s="185"/>
    </row>
    <row r="7198" spans="20:31" x14ac:dyDescent="0.25">
      <c r="T7198" s="81"/>
      <c r="W7198" s="185"/>
      <c r="AE7198" s="185"/>
    </row>
    <row r="7199" spans="20:31" x14ac:dyDescent="0.25">
      <c r="T7199" s="81"/>
      <c r="W7199" s="185"/>
      <c r="AE7199" s="185"/>
    </row>
    <row r="7200" spans="20:31" x14ac:dyDescent="0.25">
      <c r="T7200" s="81"/>
      <c r="W7200" s="185"/>
      <c r="AE7200" s="185"/>
    </row>
    <row r="7201" spans="20:31" x14ac:dyDescent="0.25">
      <c r="T7201" s="81"/>
      <c r="W7201" s="185"/>
      <c r="AE7201" s="185"/>
    </row>
    <row r="7202" spans="20:31" x14ac:dyDescent="0.25">
      <c r="T7202" s="81"/>
      <c r="W7202" s="185"/>
      <c r="AE7202" s="185"/>
    </row>
    <row r="7203" spans="20:31" x14ac:dyDescent="0.25">
      <c r="T7203" s="81"/>
      <c r="W7203" s="185"/>
      <c r="AE7203" s="185"/>
    </row>
    <row r="7204" spans="20:31" x14ac:dyDescent="0.25">
      <c r="T7204" s="81"/>
      <c r="W7204" s="185"/>
      <c r="AE7204" s="185"/>
    </row>
    <row r="7205" spans="20:31" x14ac:dyDescent="0.25">
      <c r="T7205" s="81"/>
      <c r="W7205" s="185"/>
      <c r="AE7205" s="185"/>
    </row>
    <row r="7206" spans="20:31" x14ac:dyDescent="0.25">
      <c r="T7206" s="81"/>
      <c r="W7206" s="185"/>
      <c r="AE7206" s="185"/>
    </row>
    <row r="7207" spans="20:31" x14ac:dyDescent="0.25">
      <c r="T7207" s="81"/>
      <c r="W7207" s="185"/>
      <c r="AE7207" s="185"/>
    </row>
    <row r="7208" spans="20:31" x14ac:dyDescent="0.25">
      <c r="T7208" s="81"/>
      <c r="W7208" s="185"/>
      <c r="AE7208" s="185"/>
    </row>
    <row r="7209" spans="20:31" x14ac:dyDescent="0.25">
      <c r="T7209" s="81"/>
      <c r="W7209" s="185"/>
      <c r="AE7209" s="185"/>
    </row>
    <row r="7210" spans="20:31" x14ac:dyDescent="0.25">
      <c r="T7210" s="81"/>
      <c r="W7210" s="185"/>
      <c r="AE7210" s="185"/>
    </row>
    <row r="7211" spans="20:31" x14ac:dyDescent="0.25">
      <c r="T7211" s="81"/>
      <c r="W7211" s="185"/>
      <c r="AE7211" s="185"/>
    </row>
    <row r="7212" spans="20:31" x14ac:dyDescent="0.25">
      <c r="T7212" s="81"/>
      <c r="W7212" s="185"/>
      <c r="AE7212" s="185"/>
    </row>
    <row r="7213" spans="20:31" x14ac:dyDescent="0.25">
      <c r="T7213" s="81"/>
      <c r="W7213" s="185"/>
      <c r="AE7213" s="185"/>
    </row>
    <row r="7214" spans="20:31" x14ac:dyDescent="0.25">
      <c r="T7214" s="81"/>
      <c r="W7214" s="185"/>
      <c r="AE7214" s="185"/>
    </row>
    <row r="7215" spans="20:31" x14ac:dyDescent="0.25">
      <c r="T7215" s="81"/>
      <c r="W7215" s="185"/>
      <c r="AE7215" s="185"/>
    </row>
    <row r="7216" spans="20:31" x14ac:dyDescent="0.25">
      <c r="T7216" s="81"/>
      <c r="W7216" s="185"/>
      <c r="AE7216" s="185"/>
    </row>
    <row r="7217" spans="20:31" x14ac:dyDescent="0.25">
      <c r="T7217" s="81"/>
      <c r="W7217" s="185"/>
      <c r="AE7217" s="185"/>
    </row>
    <row r="7218" spans="20:31" x14ac:dyDescent="0.25">
      <c r="T7218" s="81"/>
      <c r="W7218" s="185"/>
      <c r="AE7218" s="185"/>
    </row>
    <row r="7219" spans="20:31" x14ac:dyDescent="0.25">
      <c r="T7219" s="81"/>
      <c r="W7219" s="185"/>
      <c r="AE7219" s="185"/>
    </row>
    <row r="7220" spans="20:31" x14ac:dyDescent="0.25">
      <c r="T7220" s="81"/>
      <c r="W7220" s="185"/>
      <c r="AE7220" s="185"/>
    </row>
    <row r="7221" spans="20:31" x14ac:dyDescent="0.25">
      <c r="T7221" s="81"/>
      <c r="W7221" s="185"/>
      <c r="AE7221" s="185"/>
    </row>
    <row r="7222" spans="20:31" x14ac:dyDescent="0.25">
      <c r="T7222" s="81"/>
      <c r="W7222" s="185"/>
      <c r="AE7222" s="185"/>
    </row>
    <row r="7223" spans="20:31" x14ac:dyDescent="0.25">
      <c r="T7223" s="81"/>
      <c r="W7223" s="185"/>
      <c r="AE7223" s="185"/>
    </row>
    <row r="7224" spans="20:31" x14ac:dyDescent="0.25">
      <c r="T7224" s="81"/>
      <c r="W7224" s="185"/>
      <c r="AE7224" s="185"/>
    </row>
    <row r="7225" spans="20:31" x14ac:dyDescent="0.25">
      <c r="T7225" s="81"/>
      <c r="W7225" s="185"/>
      <c r="AE7225" s="185"/>
    </row>
    <row r="7226" spans="20:31" x14ac:dyDescent="0.25">
      <c r="T7226" s="81"/>
      <c r="W7226" s="185"/>
      <c r="AE7226" s="185"/>
    </row>
    <row r="7227" spans="20:31" x14ac:dyDescent="0.25">
      <c r="T7227" s="81"/>
      <c r="W7227" s="185"/>
      <c r="AE7227" s="185"/>
    </row>
    <row r="7228" spans="20:31" x14ac:dyDescent="0.25">
      <c r="T7228" s="81"/>
      <c r="W7228" s="185"/>
      <c r="AE7228" s="185"/>
    </row>
    <row r="7229" spans="20:31" x14ac:dyDescent="0.25">
      <c r="T7229" s="81"/>
      <c r="W7229" s="185"/>
      <c r="AE7229" s="185"/>
    </row>
    <row r="7230" spans="20:31" x14ac:dyDescent="0.25">
      <c r="T7230" s="81"/>
      <c r="W7230" s="185"/>
      <c r="AE7230" s="185"/>
    </row>
    <row r="7231" spans="20:31" x14ac:dyDescent="0.25">
      <c r="T7231" s="81"/>
      <c r="W7231" s="185"/>
      <c r="AE7231" s="185"/>
    </row>
    <row r="7232" spans="20:31" x14ac:dyDescent="0.25">
      <c r="T7232" s="81"/>
      <c r="W7232" s="185"/>
      <c r="AE7232" s="185"/>
    </row>
    <row r="7233" spans="20:31" x14ac:dyDescent="0.25">
      <c r="T7233" s="81"/>
      <c r="W7233" s="185"/>
      <c r="AE7233" s="185"/>
    </row>
    <row r="7234" spans="20:31" x14ac:dyDescent="0.25">
      <c r="T7234" s="81"/>
      <c r="W7234" s="185"/>
      <c r="AE7234" s="185"/>
    </row>
    <row r="7235" spans="20:31" x14ac:dyDescent="0.25">
      <c r="T7235" s="81"/>
      <c r="W7235" s="185"/>
      <c r="AE7235" s="185"/>
    </row>
    <row r="7236" spans="20:31" x14ac:dyDescent="0.25">
      <c r="T7236" s="81"/>
      <c r="W7236" s="185"/>
      <c r="AE7236" s="185"/>
    </row>
    <row r="7237" spans="20:31" x14ac:dyDescent="0.25">
      <c r="T7237" s="81"/>
      <c r="W7237" s="185"/>
      <c r="AE7237" s="185"/>
    </row>
    <row r="7238" spans="20:31" x14ac:dyDescent="0.25">
      <c r="T7238" s="81"/>
      <c r="W7238" s="185"/>
      <c r="AE7238" s="185"/>
    </row>
    <row r="7239" spans="20:31" x14ac:dyDescent="0.25">
      <c r="T7239" s="81"/>
      <c r="W7239" s="185"/>
      <c r="AE7239" s="185"/>
    </row>
    <row r="7240" spans="20:31" x14ac:dyDescent="0.25">
      <c r="T7240" s="81"/>
      <c r="W7240" s="185"/>
      <c r="AE7240" s="185"/>
    </row>
    <row r="7241" spans="20:31" x14ac:dyDescent="0.25">
      <c r="T7241" s="81"/>
      <c r="W7241" s="185"/>
      <c r="AE7241" s="185"/>
    </row>
    <row r="7242" spans="20:31" x14ac:dyDescent="0.25">
      <c r="T7242" s="81"/>
      <c r="W7242" s="185"/>
      <c r="AE7242" s="185"/>
    </row>
    <row r="7243" spans="20:31" x14ac:dyDescent="0.25">
      <c r="T7243" s="81"/>
      <c r="W7243" s="185"/>
      <c r="AE7243" s="185"/>
    </row>
    <row r="7244" spans="20:31" x14ac:dyDescent="0.25">
      <c r="T7244" s="81"/>
      <c r="W7244" s="185"/>
      <c r="AE7244" s="185"/>
    </row>
    <row r="7245" spans="20:31" x14ac:dyDescent="0.25">
      <c r="T7245" s="81"/>
      <c r="W7245" s="185"/>
      <c r="AE7245" s="185"/>
    </row>
    <row r="7246" spans="20:31" x14ac:dyDescent="0.25">
      <c r="T7246" s="81"/>
      <c r="W7246" s="185"/>
      <c r="AE7246" s="185"/>
    </row>
    <row r="7247" spans="20:31" x14ac:dyDescent="0.25">
      <c r="T7247" s="81"/>
      <c r="W7247" s="185"/>
      <c r="AE7247" s="185"/>
    </row>
    <row r="7248" spans="20:31" x14ac:dyDescent="0.25">
      <c r="T7248" s="81"/>
      <c r="W7248" s="185"/>
      <c r="AE7248" s="185"/>
    </row>
    <row r="7249" spans="20:31" x14ac:dyDescent="0.25">
      <c r="T7249" s="81"/>
      <c r="W7249" s="185"/>
      <c r="AE7249" s="185"/>
    </row>
    <row r="7250" spans="20:31" x14ac:dyDescent="0.25">
      <c r="T7250" s="81"/>
      <c r="W7250" s="185"/>
      <c r="AE7250" s="185"/>
    </row>
    <row r="7251" spans="20:31" x14ac:dyDescent="0.25">
      <c r="T7251" s="81"/>
      <c r="W7251" s="185"/>
      <c r="AE7251" s="185"/>
    </row>
    <row r="7252" spans="20:31" x14ac:dyDescent="0.25">
      <c r="T7252" s="81"/>
      <c r="W7252" s="185"/>
      <c r="AE7252" s="185"/>
    </row>
    <row r="7253" spans="20:31" x14ac:dyDescent="0.25">
      <c r="T7253" s="81"/>
      <c r="W7253" s="185"/>
      <c r="AE7253" s="185"/>
    </row>
    <row r="7254" spans="20:31" x14ac:dyDescent="0.25">
      <c r="T7254" s="81"/>
      <c r="W7254" s="185"/>
      <c r="AE7254" s="185"/>
    </row>
    <row r="7255" spans="20:31" x14ac:dyDescent="0.25">
      <c r="T7255" s="81"/>
      <c r="W7255" s="185"/>
      <c r="AE7255" s="185"/>
    </row>
    <row r="7256" spans="20:31" x14ac:dyDescent="0.25">
      <c r="T7256" s="81"/>
      <c r="W7256" s="185"/>
      <c r="AE7256" s="185"/>
    </row>
    <row r="7257" spans="20:31" x14ac:dyDescent="0.25">
      <c r="T7257" s="81"/>
      <c r="W7257" s="185"/>
      <c r="AE7257" s="185"/>
    </row>
    <row r="7258" spans="20:31" x14ac:dyDescent="0.25">
      <c r="T7258" s="81"/>
      <c r="W7258" s="185"/>
      <c r="AE7258" s="185"/>
    </row>
    <row r="7259" spans="20:31" x14ac:dyDescent="0.25">
      <c r="T7259" s="81"/>
      <c r="W7259" s="185"/>
      <c r="AE7259" s="185"/>
    </row>
    <row r="7260" spans="20:31" x14ac:dyDescent="0.25">
      <c r="T7260" s="81"/>
      <c r="W7260" s="185"/>
      <c r="AE7260" s="185"/>
    </row>
    <row r="7261" spans="20:31" x14ac:dyDescent="0.25">
      <c r="T7261" s="81"/>
      <c r="W7261" s="185"/>
      <c r="AE7261" s="185"/>
    </row>
    <row r="7262" spans="20:31" x14ac:dyDescent="0.25">
      <c r="T7262" s="81"/>
      <c r="W7262" s="185"/>
      <c r="AE7262" s="185"/>
    </row>
    <row r="7263" spans="20:31" x14ac:dyDescent="0.25">
      <c r="T7263" s="81"/>
      <c r="W7263" s="185"/>
      <c r="AE7263" s="185"/>
    </row>
    <row r="7264" spans="20:31" x14ac:dyDescent="0.25">
      <c r="T7264" s="81"/>
      <c r="W7264" s="185"/>
      <c r="AE7264" s="185"/>
    </row>
    <row r="7265" spans="20:31" x14ac:dyDescent="0.25">
      <c r="T7265" s="81"/>
      <c r="W7265" s="185"/>
      <c r="AE7265" s="185"/>
    </row>
    <row r="7266" spans="20:31" x14ac:dyDescent="0.25">
      <c r="T7266" s="81"/>
      <c r="W7266" s="185"/>
      <c r="AE7266" s="185"/>
    </row>
    <row r="7267" spans="20:31" x14ac:dyDescent="0.25">
      <c r="T7267" s="81"/>
      <c r="W7267" s="185"/>
      <c r="AE7267" s="185"/>
    </row>
    <row r="7268" spans="20:31" x14ac:dyDescent="0.25">
      <c r="T7268" s="81"/>
      <c r="W7268" s="185"/>
      <c r="AE7268" s="185"/>
    </row>
    <row r="7269" spans="20:31" x14ac:dyDescent="0.25">
      <c r="T7269" s="81"/>
      <c r="W7269" s="185"/>
      <c r="AE7269" s="185"/>
    </row>
    <row r="7270" spans="20:31" x14ac:dyDescent="0.25">
      <c r="T7270" s="81"/>
      <c r="W7270" s="185"/>
      <c r="AE7270" s="185"/>
    </row>
    <row r="7271" spans="20:31" x14ac:dyDescent="0.25">
      <c r="T7271" s="81"/>
      <c r="W7271" s="185"/>
      <c r="AE7271" s="185"/>
    </row>
    <row r="7272" spans="20:31" x14ac:dyDescent="0.25">
      <c r="T7272" s="81"/>
      <c r="W7272" s="185"/>
      <c r="AE7272" s="185"/>
    </row>
    <row r="7273" spans="20:31" x14ac:dyDescent="0.25">
      <c r="T7273" s="81"/>
      <c r="W7273" s="185"/>
      <c r="AE7273" s="185"/>
    </row>
    <row r="7274" spans="20:31" x14ac:dyDescent="0.25">
      <c r="T7274" s="81"/>
      <c r="W7274" s="185"/>
      <c r="AE7274" s="185"/>
    </row>
    <row r="7275" spans="20:31" x14ac:dyDescent="0.25">
      <c r="T7275" s="81"/>
      <c r="W7275" s="185"/>
      <c r="AE7275" s="185"/>
    </row>
    <row r="7276" spans="20:31" x14ac:dyDescent="0.25">
      <c r="T7276" s="81"/>
      <c r="W7276" s="185"/>
      <c r="AE7276" s="185"/>
    </row>
    <row r="7277" spans="20:31" x14ac:dyDescent="0.25">
      <c r="T7277" s="81"/>
      <c r="W7277" s="185"/>
      <c r="AE7277" s="185"/>
    </row>
    <row r="7278" spans="20:31" x14ac:dyDescent="0.25">
      <c r="T7278" s="81"/>
      <c r="W7278" s="185"/>
      <c r="AE7278" s="185"/>
    </row>
    <row r="7279" spans="20:31" x14ac:dyDescent="0.25">
      <c r="T7279" s="81"/>
      <c r="W7279" s="185"/>
      <c r="AE7279" s="185"/>
    </row>
    <row r="7280" spans="20:31" x14ac:dyDescent="0.25">
      <c r="T7280" s="81"/>
      <c r="W7280" s="185"/>
      <c r="AE7280" s="185"/>
    </row>
    <row r="7281" spans="20:31" x14ac:dyDescent="0.25">
      <c r="T7281" s="81"/>
      <c r="W7281" s="185"/>
      <c r="AE7281" s="185"/>
    </row>
    <row r="7282" spans="20:31" x14ac:dyDescent="0.25">
      <c r="T7282" s="81"/>
      <c r="W7282" s="185"/>
      <c r="AE7282" s="185"/>
    </row>
    <row r="7283" spans="20:31" x14ac:dyDescent="0.25">
      <c r="T7283" s="81"/>
      <c r="W7283" s="185"/>
      <c r="AE7283" s="185"/>
    </row>
    <row r="7284" spans="20:31" x14ac:dyDescent="0.25">
      <c r="T7284" s="81"/>
      <c r="W7284" s="185"/>
      <c r="AE7284" s="185"/>
    </row>
    <row r="7285" spans="20:31" x14ac:dyDescent="0.25">
      <c r="T7285" s="81"/>
      <c r="W7285" s="185"/>
      <c r="AE7285" s="185"/>
    </row>
    <row r="7286" spans="20:31" x14ac:dyDescent="0.25">
      <c r="T7286" s="81"/>
      <c r="W7286" s="185"/>
      <c r="AE7286" s="185"/>
    </row>
    <row r="7287" spans="20:31" x14ac:dyDescent="0.25">
      <c r="T7287" s="81"/>
      <c r="W7287" s="185"/>
      <c r="AE7287" s="185"/>
    </row>
    <row r="7288" spans="20:31" x14ac:dyDescent="0.25">
      <c r="T7288" s="81"/>
      <c r="W7288" s="185"/>
      <c r="AE7288" s="185"/>
    </row>
    <row r="7289" spans="20:31" x14ac:dyDescent="0.25">
      <c r="T7289" s="81"/>
      <c r="W7289" s="185"/>
      <c r="AE7289" s="185"/>
    </row>
    <row r="7290" spans="20:31" x14ac:dyDescent="0.25">
      <c r="T7290" s="81"/>
      <c r="W7290" s="185"/>
      <c r="AE7290" s="185"/>
    </row>
    <row r="7291" spans="20:31" x14ac:dyDescent="0.25">
      <c r="T7291" s="81"/>
      <c r="W7291" s="185"/>
      <c r="AE7291" s="185"/>
    </row>
    <row r="7292" spans="20:31" x14ac:dyDescent="0.25">
      <c r="T7292" s="81"/>
      <c r="W7292" s="185"/>
      <c r="AE7292" s="185"/>
    </row>
    <row r="7293" spans="20:31" x14ac:dyDescent="0.25">
      <c r="T7293" s="81"/>
      <c r="W7293" s="185"/>
      <c r="AE7293" s="185"/>
    </row>
    <row r="7294" spans="20:31" x14ac:dyDescent="0.25">
      <c r="T7294" s="81"/>
      <c r="W7294" s="185"/>
      <c r="AE7294" s="185"/>
    </row>
    <row r="7295" spans="20:31" x14ac:dyDescent="0.25">
      <c r="T7295" s="81"/>
      <c r="W7295" s="185"/>
      <c r="AE7295" s="185"/>
    </row>
    <row r="7296" spans="20:31" x14ac:dyDescent="0.25">
      <c r="T7296" s="81"/>
      <c r="W7296" s="185"/>
      <c r="AE7296" s="185"/>
    </row>
    <row r="7297" spans="20:31" x14ac:dyDescent="0.25">
      <c r="T7297" s="81"/>
      <c r="W7297" s="185"/>
      <c r="AE7297" s="185"/>
    </row>
    <row r="7298" spans="20:31" x14ac:dyDescent="0.25">
      <c r="T7298" s="81"/>
      <c r="W7298" s="185"/>
      <c r="AE7298" s="185"/>
    </row>
    <row r="7299" spans="20:31" x14ac:dyDescent="0.25">
      <c r="T7299" s="81"/>
      <c r="W7299" s="185"/>
      <c r="AE7299" s="185"/>
    </row>
    <row r="7300" spans="20:31" x14ac:dyDescent="0.25">
      <c r="T7300" s="81"/>
      <c r="W7300" s="185"/>
      <c r="AE7300" s="185"/>
    </row>
    <row r="7301" spans="20:31" x14ac:dyDescent="0.25">
      <c r="T7301" s="81"/>
      <c r="W7301" s="185"/>
      <c r="AE7301" s="185"/>
    </row>
    <row r="7302" spans="20:31" x14ac:dyDescent="0.25">
      <c r="T7302" s="81"/>
      <c r="W7302" s="185"/>
      <c r="AE7302" s="185"/>
    </row>
    <row r="7303" spans="20:31" x14ac:dyDescent="0.25">
      <c r="T7303" s="81"/>
      <c r="W7303" s="185"/>
      <c r="AE7303" s="185"/>
    </row>
    <row r="7304" spans="20:31" x14ac:dyDescent="0.25">
      <c r="T7304" s="81"/>
      <c r="W7304" s="185"/>
      <c r="AE7304" s="185"/>
    </row>
    <row r="7305" spans="20:31" x14ac:dyDescent="0.25">
      <c r="T7305" s="81"/>
      <c r="W7305" s="185"/>
      <c r="AE7305" s="185"/>
    </row>
    <row r="7306" spans="20:31" x14ac:dyDescent="0.25">
      <c r="T7306" s="81"/>
      <c r="W7306" s="185"/>
      <c r="AE7306" s="185"/>
    </row>
    <row r="7307" spans="20:31" x14ac:dyDescent="0.25">
      <c r="T7307" s="81"/>
      <c r="W7307" s="185"/>
      <c r="AE7307" s="185"/>
    </row>
    <row r="7308" spans="20:31" x14ac:dyDescent="0.25">
      <c r="T7308" s="81"/>
      <c r="W7308" s="185"/>
      <c r="AE7308" s="185"/>
    </row>
    <row r="7309" spans="20:31" x14ac:dyDescent="0.25">
      <c r="T7309" s="81"/>
      <c r="W7309" s="185"/>
      <c r="AE7309" s="185"/>
    </row>
    <row r="7310" spans="20:31" x14ac:dyDescent="0.25">
      <c r="T7310" s="81"/>
      <c r="W7310" s="185"/>
      <c r="AE7310" s="185"/>
    </row>
    <row r="7311" spans="20:31" x14ac:dyDescent="0.25">
      <c r="T7311" s="81"/>
      <c r="W7311" s="185"/>
      <c r="AE7311" s="185"/>
    </row>
    <row r="7312" spans="20:31" x14ac:dyDescent="0.25">
      <c r="T7312" s="81"/>
      <c r="W7312" s="185"/>
      <c r="AE7312" s="185"/>
    </row>
    <row r="7313" spans="20:31" x14ac:dyDescent="0.25">
      <c r="T7313" s="81"/>
      <c r="W7313" s="185"/>
      <c r="AE7313" s="185"/>
    </row>
    <row r="7314" spans="20:31" x14ac:dyDescent="0.25">
      <c r="T7314" s="81"/>
      <c r="W7314" s="185"/>
      <c r="AE7314" s="185"/>
    </row>
    <row r="7315" spans="20:31" x14ac:dyDescent="0.25">
      <c r="T7315" s="81"/>
      <c r="W7315" s="185"/>
      <c r="AE7315" s="185"/>
    </row>
    <row r="7316" spans="20:31" x14ac:dyDescent="0.25">
      <c r="T7316" s="81"/>
      <c r="W7316" s="185"/>
      <c r="AE7316" s="185"/>
    </row>
    <row r="7317" spans="20:31" x14ac:dyDescent="0.25">
      <c r="T7317" s="81"/>
      <c r="W7317" s="185"/>
      <c r="AE7317" s="185"/>
    </row>
    <row r="7318" spans="20:31" x14ac:dyDescent="0.25">
      <c r="T7318" s="81"/>
      <c r="W7318" s="185"/>
      <c r="AE7318" s="185"/>
    </row>
    <row r="7319" spans="20:31" x14ac:dyDescent="0.25">
      <c r="T7319" s="81"/>
      <c r="W7319" s="185"/>
      <c r="AE7319" s="185"/>
    </row>
    <row r="7320" spans="20:31" x14ac:dyDescent="0.25">
      <c r="T7320" s="81"/>
      <c r="W7320" s="185"/>
      <c r="AE7320" s="185"/>
    </row>
    <row r="7321" spans="20:31" x14ac:dyDescent="0.25">
      <c r="T7321" s="81"/>
      <c r="W7321" s="185"/>
      <c r="AE7321" s="185"/>
    </row>
    <row r="7322" spans="20:31" x14ac:dyDescent="0.25">
      <c r="T7322" s="81"/>
      <c r="W7322" s="185"/>
      <c r="AE7322" s="185"/>
    </row>
    <row r="7323" spans="20:31" x14ac:dyDescent="0.25">
      <c r="T7323" s="81"/>
      <c r="W7323" s="185"/>
      <c r="AE7323" s="185"/>
    </row>
    <row r="7324" spans="20:31" x14ac:dyDescent="0.25">
      <c r="T7324" s="81"/>
      <c r="W7324" s="185"/>
      <c r="AE7324" s="185"/>
    </row>
    <row r="7325" spans="20:31" x14ac:dyDescent="0.25">
      <c r="T7325" s="81"/>
      <c r="W7325" s="185"/>
      <c r="AE7325" s="185"/>
    </row>
    <row r="7326" spans="20:31" x14ac:dyDescent="0.25">
      <c r="T7326" s="81"/>
      <c r="W7326" s="185"/>
      <c r="AE7326" s="185"/>
    </row>
    <row r="7327" spans="20:31" x14ac:dyDescent="0.25">
      <c r="T7327" s="81"/>
      <c r="W7327" s="185"/>
      <c r="AE7327" s="185"/>
    </row>
    <row r="7328" spans="20:31" x14ac:dyDescent="0.25">
      <c r="T7328" s="81"/>
      <c r="W7328" s="185"/>
      <c r="AE7328" s="185"/>
    </row>
    <row r="7329" spans="20:31" x14ac:dyDescent="0.25">
      <c r="T7329" s="81"/>
      <c r="W7329" s="185"/>
      <c r="AE7329" s="185"/>
    </row>
    <row r="7330" spans="20:31" x14ac:dyDescent="0.25">
      <c r="T7330" s="81"/>
      <c r="W7330" s="185"/>
      <c r="AE7330" s="185"/>
    </row>
    <row r="7331" spans="20:31" x14ac:dyDescent="0.25">
      <c r="T7331" s="81"/>
      <c r="W7331" s="185"/>
      <c r="AE7331" s="185"/>
    </row>
    <row r="7332" spans="20:31" x14ac:dyDescent="0.25">
      <c r="T7332" s="81"/>
      <c r="W7332" s="185"/>
      <c r="AE7332" s="185"/>
    </row>
    <row r="7333" spans="20:31" x14ac:dyDescent="0.25">
      <c r="T7333" s="81"/>
      <c r="W7333" s="185"/>
      <c r="AE7333" s="185"/>
    </row>
    <row r="7334" spans="20:31" x14ac:dyDescent="0.25">
      <c r="T7334" s="81"/>
      <c r="W7334" s="185"/>
      <c r="AE7334" s="185"/>
    </row>
    <row r="7335" spans="20:31" x14ac:dyDescent="0.25">
      <c r="T7335" s="81"/>
      <c r="W7335" s="185"/>
      <c r="AE7335" s="185"/>
    </row>
    <row r="7336" spans="20:31" x14ac:dyDescent="0.25">
      <c r="T7336" s="81"/>
      <c r="W7336" s="185"/>
      <c r="AE7336" s="185"/>
    </row>
    <row r="7337" spans="20:31" x14ac:dyDescent="0.25">
      <c r="T7337" s="81"/>
      <c r="W7337" s="185"/>
      <c r="AE7337" s="185"/>
    </row>
    <row r="7338" spans="20:31" x14ac:dyDescent="0.25">
      <c r="T7338" s="81"/>
      <c r="W7338" s="185"/>
      <c r="AE7338" s="185"/>
    </row>
    <row r="7339" spans="20:31" x14ac:dyDescent="0.25">
      <c r="T7339" s="81"/>
      <c r="W7339" s="185"/>
      <c r="AE7339" s="185"/>
    </row>
    <row r="7340" spans="20:31" x14ac:dyDescent="0.25">
      <c r="T7340" s="81"/>
      <c r="W7340" s="185"/>
      <c r="AE7340" s="185"/>
    </row>
    <row r="7341" spans="20:31" x14ac:dyDescent="0.25">
      <c r="T7341" s="81"/>
      <c r="W7341" s="185"/>
      <c r="AE7341" s="185"/>
    </row>
    <row r="7342" spans="20:31" x14ac:dyDescent="0.25">
      <c r="T7342" s="81"/>
      <c r="W7342" s="185"/>
      <c r="AE7342" s="185"/>
    </row>
    <row r="7343" spans="20:31" x14ac:dyDescent="0.25">
      <c r="T7343" s="81"/>
      <c r="W7343" s="185"/>
      <c r="AE7343" s="185"/>
    </row>
    <row r="7344" spans="20:31" x14ac:dyDescent="0.25">
      <c r="T7344" s="81"/>
      <c r="W7344" s="185"/>
      <c r="AE7344" s="185"/>
    </row>
    <row r="7345" spans="20:31" x14ac:dyDescent="0.25">
      <c r="T7345" s="81"/>
      <c r="W7345" s="185"/>
      <c r="AE7345" s="185"/>
    </row>
    <row r="7346" spans="20:31" x14ac:dyDescent="0.25">
      <c r="T7346" s="81"/>
      <c r="W7346" s="185"/>
      <c r="AE7346" s="185"/>
    </row>
    <row r="7347" spans="20:31" x14ac:dyDescent="0.25">
      <c r="T7347" s="81"/>
      <c r="W7347" s="185"/>
      <c r="AE7347" s="185"/>
    </row>
    <row r="7348" spans="20:31" x14ac:dyDescent="0.25">
      <c r="T7348" s="81"/>
      <c r="W7348" s="185"/>
      <c r="AE7348" s="185"/>
    </row>
    <row r="7349" spans="20:31" x14ac:dyDescent="0.25">
      <c r="T7349" s="81"/>
      <c r="W7349" s="185"/>
      <c r="AE7349" s="185"/>
    </row>
    <row r="7350" spans="20:31" x14ac:dyDescent="0.25">
      <c r="T7350" s="81"/>
      <c r="W7350" s="185"/>
      <c r="AE7350" s="185"/>
    </row>
    <row r="7351" spans="20:31" x14ac:dyDescent="0.25">
      <c r="T7351" s="81"/>
      <c r="W7351" s="185"/>
      <c r="AE7351" s="185"/>
    </row>
    <row r="7352" spans="20:31" x14ac:dyDescent="0.25">
      <c r="T7352" s="81"/>
      <c r="W7352" s="185"/>
      <c r="AE7352" s="185"/>
    </row>
    <row r="7353" spans="20:31" x14ac:dyDescent="0.25">
      <c r="T7353" s="81"/>
      <c r="W7353" s="185"/>
      <c r="AE7353" s="185"/>
    </row>
    <row r="7354" spans="20:31" x14ac:dyDescent="0.25">
      <c r="T7354" s="81"/>
      <c r="W7354" s="185"/>
      <c r="AE7354" s="185"/>
    </row>
    <row r="7355" spans="20:31" x14ac:dyDescent="0.25">
      <c r="T7355" s="81"/>
      <c r="W7355" s="185"/>
      <c r="AE7355" s="185"/>
    </row>
    <row r="7356" spans="20:31" x14ac:dyDescent="0.25">
      <c r="T7356" s="81"/>
      <c r="W7356" s="185"/>
      <c r="AE7356" s="185"/>
    </row>
    <row r="7357" spans="20:31" x14ac:dyDescent="0.25">
      <c r="T7357" s="81"/>
      <c r="W7357" s="185"/>
      <c r="AE7357" s="185"/>
    </row>
    <row r="7358" spans="20:31" x14ac:dyDescent="0.25">
      <c r="T7358" s="81"/>
      <c r="W7358" s="185"/>
      <c r="AE7358" s="185"/>
    </row>
    <row r="7359" spans="20:31" x14ac:dyDescent="0.25">
      <c r="T7359" s="81"/>
      <c r="W7359" s="185"/>
      <c r="AE7359" s="185"/>
    </row>
    <row r="7360" spans="20:31" x14ac:dyDescent="0.25">
      <c r="T7360" s="81"/>
      <c r="W7360" s="185"/>
      <c r="AE7360" s="185"/>
    </row>
    <row r="7361" spans="20:31" x14ac:dyDescent="0.25">
      <c r="T7361" s="81"/>
      <c r="W7361" s="185"/>
      <c r="AE7361" s="185"/>
    </row>
    <row r="7362" spans="20:31" x14ac:dyDescent="0.25">
      <c r="T7362" s="81"/>
      <c r="W7362" s="185"/>
      <c r="AE7362" s="185"/>
    </row>
    <row r="7363" spans="20:31" x14ac:dyDescent="0.25">
      <c r="T7363" s="81"/>
      <c r="W7363" s="185"/>
      <c r="AE7363" s="185"/>
    </row>
    <row r="7364" spans="20:31" x14ac:dyDescent="0.25">
      <c r="T7364" s="81"/>
      <c r="W7364" s="185"/>
      <c r="AE7364" s="185"/>
    </row>
    <row r="7365" spans="20:31" x14ac:dyDescent="0.25">
      <c r="T7365" s="81"/>
      <c r="W7365" s="185"/>
      <c r="AE7365" s="185"/>
    </row>
    <row r="7366" spans="20:31" x14ac:dyDescent="0.25">
      <c r="T7366" s="81"/>
      <c r="W7366" s="185"/>
      <c r="AE7366" s="185"/>
    </row>
    <row r="7367" spans="20:31" x14ac:dyDescent="0.25">
      <c r="T7367" s="81"/>
      <c r="W7367" s="185"/>
      <c r="AE7367" s="185"/>
    </row>
    <row r="7368" spans="20:31" x14ac:dyDescent="0.25">
      <c r="T7368" s="81"/>
      <c r="W7368" s="185"/>
      <c r="AE7368" s="185"/>
    </row>
    <row r="7369" spans="20:31" x14ac:dyDescent="0.25">
      <c r="T7369" s="81"/>
      <c r="W7369" s="185"/>
      <c r="AE7369" s="185"/>
    </row>
    <row r="7370" spans="20:31" x14ac:dyDescent="0.25">
      <c r="T7370" s="81"/>
      <c r="W7370" s="185"/>
      <c r="AE7370" s="185"/>
    </row>
    <row r="7371" spans="20:31" x14ac:dyDescent="0.25">
      <c r="T7371" s="81"/>
      <c r="W7371" s="185"/>
      <c r="AE7371" s="185"/>
    </row>
    <row r="7372" spans="20:31" x14ac:dyDescent="0.25">
      <c r="T7372" s="81"/>
      <c r="W7372" s="185"/>
      <c r="AE7372" s="185"/>
    </row>
    <row r="7373" spans="20:31" x14ac:dyDescent="0.25">
      <c r="T7373" s="81"/>
      <c r="W7373" s="185"/>
      <c r="AE7373" s="185"/>
    </row>
    <row r="7374" spans="20:31" x14ac:dyDescent="0.25">
      <c r="T7374" s="81"/>
      <c r="W7374" s="185"/>
      <c r="AE7374" s="185"/>
    </row>
    <row r="7375" spans="20:31" x14ac:dyDescent="0.25">
      <c r="T7375" s="81"/>
      <c r="W7375" s="185"/>
      <c r="AE7375" s="185"/>
    </row>
    <row r="7376" spans="20:31" x14ac:dyDescent="0.25">
      <c r="T7376" s="81"/>
      <c r="W7376" s="185"/>
      <c r="AE7376" s="185"/>
    </row>
    <row r="7377" spans="20:31" x14ac:dyDescent="0.25">
      <c r="T7377" s="81"/>
      <c r="W7377" s="185"/>
      <c r="AE7377" s="185"/>
    </row>
    <row r="7378" spans="20:31" x14ac:dyDescent="0.25">
      <c r="T7378" s="81"/>
      <c r="W7378" s="185"/>
      <c r="AE7378" s="185"/>
    </row>
    <row r="7379" spans="20:31" x14ac:dyDescent="0.25">
      <c r="T7379" s="81"/>
      <c r="W7379" s="185"/>
      <c r="AE7379" s="185"/>
    </row>
    <row r="7380" spans="20:31" x14ac:dyDescent="0.25">
      <c r="T7380" s="81"/>
      <c r="W7380" s="185"/>
      <c r="AE7380" s="185"/>
    </row>
    <row r="7381" spans="20:31" x14ac:dyDescent="0.25">
      <c r="T7381" s="81"/>
      <c r="W7381" s="185"/>
      <c r="AE7381" s="185"/>
    </row>
    <row r="7382" spans="20:31" x14ac:dyDescent="0.25">
      <c r="T7382" s="81"/>
      <c r="W7382" s="185"/>
      <c r="AE7382" s="185"/>
    </row>
    <row r="7383" spans="20:31" x14ac:dyDescent="0.25">
      <c r="T7383" s="81"/>
      <c r="W7383" s="185"/>
      <c r="AE7383" s="185"/>
    </row>
    <row r="7384" spans="20:31" x14ac:dyDescent="0.25">
      <c r="T7384" s="81"/>
      <c r="W7384" s="185"/>
      <c r="AE7384" s="185"/>
    </row>
    <row r="7385" spans="20:31" x14ac:dyDescent="0.25">
      <c r="T7385" s="81"/>
      <c r="W7385" s="185"/>
      <c r="AE7385" s="185"/>
    </row>
    <row r="7386" spans="20:31" x14ac:dyDescent="0.25">
      <c r="T7386" s="81"/>
      <c r="W7386" s="185"/>
      <c r="AE7386" s="185"/>
    </row>
    <row r="7387" spans="20:31" x14ac:dyDescent="0.25">
      <c r="T7387" s="81"/>
      <c r="W7387" s="185"/>
      <c r="AE7387" s="185"/>
    </row>
    <row r="7388" spans="20:31" x14ac:dyDescent="0.25">
      <c r="T7388" s="81"/>
      <c r="W7388" s="185"/>
      <c r="AE7388" s="185"/>
    </row>
    <row r="7389" spans="20:31" x14ac:dyDescent="0.25">
      <c r="T7389" s="81"/>
      <c r="W7389" s="185"/>
      <c r="AE7389" s="185"/>
    </row>
    <row r="7390" spans="20:31" x14ac:dyDescent="0.25">
      <c r="T7390" s="81"/>
      <c r="W7390" s="185"/>
      <c r="AE7390" s="185"/>
    </row>
    <row r="7391" spans="20:31" x14ac:dyDescent="0.25">
      <c r="T7391" s="81"/>
      <c r="W7391" s="185"/>
      <c r="AE7391" s="185"/>
    </row>
    <row r="7392" spans="20:31" x14ac:dyDescent="0.25">
      <c r="T7392" s="81"/>
      <c r="W7392" s="185"/>
      <c r="AE7392" s="185"/>
    </row>
    <row r="7393" spans="20:31" x14ac:dyDescent="0.25">
      <c r="T7393" s="81"/>
      <c r="W7393" s="185"/>
      <c r="AE7393" s="185"/>
    </row>
    <row r="7394" spans="20:31" x14ac:dyDescent="0.25">
      <c r="T7394" s="81"/>
      <c r="W7394" s="185"/>
      <c r="AE7394" s="185"/>
    </row>
    <row r="7395" spans="20:31" x14ac:dyDescent="0.25">
      <c r="T7395" s="81"/>
      <c r="W7395" s="185"/>
      <c r="AE7395" s="185"/>
    </row>
    <row r="7396" spans="20:31" x14ac:dyDescent="0.25">
      <c r="T7396" s="81"/>
      <c r="W7396" s="185"/>
      <c r="AE7396" s="185"/>
    </row>
    <row r="7397" spans="20:31" x14ac:dyDescent="0.25">
      <c r="T7397" s="81"/>
      <c r="W7397" s="185"/>
      <c r="AE7397" s="185"/>
    </row>
    <row r="7398" spans="20:31" x14ac:dyDescent="0.25">
      <c r="T7398" s="81"/>
      <c r="W7398" s="185"/>
      <c r="AE7398" s="185"/>
    </row>
    <row r="7399" spans="20:31" x14ac:dyDescent="0.25">
      <c r="T7399" s="81"/>
      <c r="W7399" s="185"/>
      <c r="AE7399" s="185"/>
    </row>
    <row r="7400" spans="20:31" x14ac:dyDescent="0.25">
      <c r="T7400" s="81"/>
      <c r="W7400" s="185"/>
      <c r="AE7400" s="185"/>
    </row>
    <row r="7401" spans="20:31" x14ac:dyDescent="0.25">
      <c r="T7401" s="81"/>
      <c r="W7401" s="185"/>
      <c r="AE7401" s="185"/>
    </row>
    <row r="7402" spans="20:31" x14ac:dyDescent="0.25">
      <c r="T7402" s="81"/>
      <c r="W7402" s="185"/>
      <c r="AE7402" s="185"/>
    </row>
    <row r="7403" spans="20:31" x14ac:dyDescent="0.25">
      <c r="T7403" s="81"/>
      <c r="W7403" s="185"/>
      <c r="AE7403" s="185"/>
    </row>
    <row r="7404" spans="20:31" x14ac:dyDescent="0.25">
      <c r="T7404" s="81"/>
      <c r="W7404" s="185"/>
      <c r="AE7404" s="185"/>
    </row>
    <row r="7405" spans="20:31" x14ac:dyDescent="0.25">
      <c r="T7405" s="81"/>
      <c r="W7405" s="185"/>
      <c r="AE7405" s="185"/>
    </row>
    <row r="7406" spans="20:31" x14ac:dyDescent="0.25">
      <c r="T7406" s="81"/>
      <c r="W7406" s="185"/>
      <c r="AE7406" s="185"/>
    </row>
    <row r="7407" spans="20:31" x14ac:dyDescent="0.25">
      <c r="T7407" s="81"/>
      <c r="W7407" s="185"/>
      <c r="AE7407" s="185"/>
    </row>
    <row r="7408" spans="20:31" x14ac:dyDescent="0.25">
      <c r="T7408" s="81"/>
      <c r="W7408" s="185"/>
      <c r="AE7408" s="185"/>
    </row>
    <row r="7409" spans="20:31" x14ac:dyDescent="0.25">
      <c r="T7409" s="81"/>
      <c r="W7409" s="185"/>
      <c r="AE7409" s="185"/>
    </row>
    <row r="7410" spans="20:31" x14ac:dyDescent="0.25">
      <c r="T7410" s="81"/>
      <c r="W7410" s="185"/>
      <c r="AE7410" s="185"/>
    </row>
    <row r="7411" spans="20:31" x14ac:dyDescent="0.25">
      <c r="T7411" s="81"/>
      <c r="W7411" s="185"/>
      <c r="AE7411" s="185"/>
    </row>
    <row r="7412" spans="20:31" x14ac:dyDescent="0.25">
      <c r="T7412" s="81"/>
      <c r="W7412" s="185"/>
      <c r="AE7412" s="185"/>
    </row>
    <row r="7413" spans="20:31" x14ac:dyDescent="0.25">
      <c r="T7413" s="81"/>
      <c r="W7413" s="185"/>
      <c r="AE7413" s="185"/>
    </row>
    <row r="7414" spans="20:31" x14ac:dyDescent="0.25">
      <c r="T7414" s="81"/>
      <c r="W7414" s="185"/>
      <c r="AE7414" s="185"/>
    </row>
    <row r="7415" spans="20:31" x14ac:dyDescent="0.25">
      <c r="T7415" s="81"/>
      <c r="W7415" s="185"/>
      <c r="AE7415" s="185"/>
    </row>
    <row r="7416" spans="20:31" x14ac:dyDescent="0.25">
      <c r="T7416" s="81"/>
      <c r="W7416" s="185"/>
      <c r="AE7416" s="185"/>
    </row>
    <row r="7417" spans="20:31" x14ac:dyDescent="0.25">
      <c r="T7417" s="81"/>
      <c r="W7417" s="185"/>
      <c r="AE7417" s="185"/>
    </row>
    <row r="7418" spans="20:31" x14ac:dyDescent="0.25">
      <c r="T7418" s="81"/>
      <c r="W7418" s="185"/>
      <c r="AE7418" s="185"/>
    </row>
    <row r="7419" spans="20:31" x14ac:dyDescent="0.25">
      <c r="T7419" s="81"/>
      <c r="W7419" s="185"/>
      <c r="AE7419" s="185"/>
    </row>
    <row r="7420" spans="20:31" x14ac:dyDescent="0.25">
      <c r="T7420" s="81"/>
      <c r="W7420" s="185"/>
      <c r="AE7420" s="185"/>
    </row>
    <row r="7421" spans="20:31" x14ac:dyDescent="0.25">
      <c r="T7421" s="81"/>
      <c r="W7421" s="185"/>
      <c r="AE7421" s="185"/>
    </row>
    <row r="7422" spans="20:31" x14ac:dyDescent="0.25">
      <c r="T7422" s="81"/>
      <c r="W7422" s="185"/>
      <c r="AE7422" s="185"/>
    </row>
    <row r="7423" spans="20:31" x14ac:dyDescent="0.25">
      <c r="T7423" s="81"/>
      <c r="W7423" s="185"/>
      <c r="AE7423" s="185"/>
    </row>
    <row r="7424" spans="20:31" x14ac:dyDescent="0.25">
      <c r="T7424" s="81"/>
      <c r="W7424" s="185"/>
      <c r="AE7424" s="185"/>
    </row>
    <row r="7425" spans="20:31" x14ac:dyDescent="0.25">
      <c r="T7425" s="81"/>
      <c r="W7425" s="185"/>
      <c r="AE7425" s="185"/>
    </row>
    <row r="7426" spans="20:31" x14ac:dyDescent="0.25">
      <c r="T7426" s="81"/>
      <c r="W7426" s="185"/>
      <c r="AE7426" s="185"/>
    </row>
    <row r="7427" spans="20:31" x14ac:dyDescent="0.25">
      <c r="T7427" s="81"/>
      <c r="W7427" s="185"/>
      <c r="AE7427" s="185"/>
    </row>
    <row r="7428" spans="20:31" x14ac:dyDescent="0.25">
      <c r="T7428" s="81"/>
      <c r="W7428" s="185"/>
      <c r="AE7428" s="185"/>
    </row>
    <row r="7429" spans="20:31" x14ac:dyDescent="0.25">
      <c r="T7429" s="81"/>
      <c r="W7429" s="185"/>
      <c r="AE7429" s="185"/>
    </row>
    <row r="7430" spans="20:31" x14ac:dyDescent="0.25">
      <c r="T7430" s="81"/>
      <c r="W7430" s="185"/>
      <c r="AE7430" s="185"/>
    </row>
    <row r="7431" spans="20:31" x14ac:dyDescent="0.25">
      <c r="T7431" s="81"/>
      <c r="W7431" s="185"/>
      <c r="AE7431" s="185"/>
    </row>
    <row r="7432" spans="20:31" x14ac:dyDescent="0.25">
      <c r="T7432" s="81"/>
      <c r="W7432" s="185"/>
      <c r="AE7432" s="185"/>
    </row>
    <row r="7433" spans="20:31" x14ac:dyDescent="0.25">
      <c r="T7433" s="81"/>
      <c r="W7433" s="185"/>
      <c r="AE7433" s="185"/>
    </row>
    <row r="7434" spans="20:31" x14ac:dyDescent="0.25">
      <c r="T7434" s="81"/>
      <c r="W7434" s="185"/>
      <c r="AE7434" s="185"/>
    </row>
    <row r="7435" spans="20:31" x14ac:dyDescent="0.25">
      <c r="T7435" s="81"/>
      <c r="W7435" s="185"/>
      <c r="AE7435" s="185"/>
    </row>
    <row r="7436" spans="20:31" x14ac:dyDescent="0.25">
      <c r="T7436" s="81"/>
      <c r="W7436" s="185"/>
      <c r="AE7436" s="185"/>
    </row>
    <row r="7437" spans="20:31" x14ac:dyDescent="0.25">
      <c r="T7437" s="81"/>
      <c r="W7437" s="185"/>
      <c r="AE7437" s="185"/>
    </row>
    <row r="7438" spans="20:31" x14ac:dyDescent="0.25">
      <c r="T7438" s="81"/>
      <c r="W7438" s="185"/>
      <c r="AE7438" s="185"/>
    </row>
    <row r="7439" spans="20:31" x14ac:dyDescent="0.25">
      <c r="T7439" s="81"/>
      <c r="W7439" s="185"/>
      <c r="AE7439" s="185"/>
    </row>
    <row r="7440" spans="20:31" x14ac:dyDescent="0.25">
      <c r="T7440" s="81"/>
      <c r="W7440" s="185"/>
      <c r="AE7440" s="185"/>
    </row>
    <row r="7441" spans="20:31" x14ac:dyDescent="0.25">
      <c r="T7441" s="81"/>
      <c r="W7441" s="185"/>
      <c r="AE7441" s="185"/>
    </row>
    <row r="7442" spans="20:31" x14ac:dyDescent="0.25">
      <c r="T7442" s="81"/>
      <c r="W7442" s="185"/>
      <c r="AE7442" s="185"/>
    </row>
    <row r="7443" spans="20:31" x14ac:dyDescent="0.25">
      <c r="T7443" s="81"/>
      <c r="W7443" s="185"/>
      <c r="AE7443" s="185"/>
    </row>
    <row r="7444" spans="20:31" x14ac:dyDescent="0.25">
      <c r="T7444" s="81"/>
      <c r="W7444" s="185"/>
      <c r="AE7444" s="185"/>
    </row>
    <row r="7445" spans="20:31" x14ac:dyDescent="0.25">
      <c r="T7445" s="81"/>
      <c r="W7445" s="185"/>
      <c r="AE7445" s="185"/>
    </row>
    <row r="7446" spans="20:31" x14ac:dyDescent="0.25">
      <c r="T7446" s="81"/>
      <c r="W7446" s="185"/>
      <c r="AE7446" s="185"/>
    </row>
    <row r="7447" spans="20:31" x14ac:dyDescent="0.25">
      <c r="T7447" s="81"/>
      <c r="W7447" s="185"/>
      <c r="AE7447" s="185"/>
    </row>
    <row r="7448" spans="20:31" x14ac:dyDescent="0.25">
      <c r="T7448" s="81"/>
      <c r="W7448" s="185"/>
      <c r="AE7448" s="185"/>
    </row>
    <row r="7449" spans="20:31" x14ac:dyDescent="0.25">
      <c r="T7449" s="81"/>
      <c r="W7449" s="185"/>
      <c r="AE7449" s="185"/>
    </row>
    <row r="7450" spans="20:31" x14ac:dyDescent="0.25">
      <c r="T7450" s="81"/>
      <c r="W7450" s="185"/>
      <c r="AE7450" s="185"/>
    </row>
    <row r="7451" spans="20:31" x14ac:dyDescent="0.25">
      <c r="T7451" s="81"/>
      <c r="W7451" s="185"/>
      <c r="AE7451" s="185"/>
    </row>
    <row r="7452" spans="20:31" x14ac:dyDescent="0.25">
      <c r="T7452" s="81"/>
      <c r="W7452" s="185"/>
      <c r="AE7452" s="185"/>
    </row>
    <row r="7453" spans="20:31" x14ac:dyDescent="0.25">
      <c r="T7453" s="81"/>
      <c r="W7453" s="185"/>
      <c r="AE7453" s="185"/>
    </row>
    <row r="7454" spans="20:31" x14ac:dyDescent="0.25">
      <c r="T7454" s="81"/>
      <c r="W7454" s="185"/>
      <c r="AE7454" s="185"/>
    </row>
    <row r="7455" spans="20:31" x14ac:dyDescent="0.25">
      <c r="T7455" s="81"/>
      <c r="W7455" s="185"/>
      <c r="AE7455" s="185"/>
    </row>
    <row r="7456" spans="20:31" x14ac:dyDescent="0.25">
      <c r="T7456" s="81"/>
      <c r="W7456" s="185"/>
      <c r="AE7456" s="185"/>
    </row>
    <row r="7457" spans="20:31" x14ac:dyDescent="0.25">
      <c r="T7457" s="81"/>
      <c r="W7457" s="185"/>
      <c r="AE7457" s="185"/>
    </row>
    <row r="7458" spans="20:31" x14ac:dyDescent="0.25">
      <c r="T7458" s="81"/>
      <c r="W7458" s="185"/>
      <c r="AE7458" s="185"/>
    </row>
    <row r="7459" spans="20:31" x14ac:dyDescent="0.25">
      <c r="T7459" s="81"/>
      <c r="W7459" s="185"/>
      <c r="AE7459" s="185"/>
    </row>
    <row r="7460" spans="20:31" x14ac:dyDescent="0.25">
      <c r="T7460" s="81"/>
      <c r="W7460" s="185"/>
      <c r="AE7460" s="185"/>
    </row>
    <row r="7461" spans="20:31" x14ac:dyDescent="0.25">
      <c r="T7461" s="81"/>
      <c r="W7461" s="185"/>
      <c r="AE7461" s="185"/>
    </row>
    <row r="7462" spans="20:31" x14ac:dyDescent="0.25">
      <c r="T7462" s="81"/>
      <c r="W7462" s="185"/>
      <c r="AE7462" s="185"/>
    </row>
    <row r="7463" spans="20:31" x14ac:dyDescent="0.25">
      <c r="T7463" s="81"/>
      <c r="W7463" s="185"/>
      <c r="AE7463" s="185"/>
    </row>
    <row r="7464" spans="20:31" x14ac:dyDescent="0.25">
      <c r="T7464" s="81"/>
      <c r="W7464" s="185"/>
      <c r="AE7464" s="185"/>
    </row>
    <row r="7465" spans="20:31" x14ac:dyDescent="0.25">
      <c r="T7465" s="81"/>
      <c r="W7465" s="185"/>
      <c r="AE7465" s="185"/>
    </row>
    <row r="7466" spans="20:31" x14ac:dyDescent="0.25">
      <c r="T7466" s="81"/>
      <c r="W7466" s="185"/>
      <c r="AE7466" s="185"/>
    </row>
    <row r="7467" spans="20:31" x14ac:dyDescent="0.25">
      <c r="T7467" s="81"/>
      <c r="W7467" s="185"/>
      <c r="AE7467" s="185"/>
    </row>
    <row r="7468" spans="20:31" x14ac:dyDescent="0.25">
      <c r="T7468" s="81"/>
      <c r="W7468" s="185"/>
      <c r="AE7468" s="185"/>
    </row>
    <row r="7469" spans="20:31" x14ac:dyDescent="0.25">
      <c r="T7469" s="81"/>
      <c r="W7469" s="185"/>
      <c r="AE7469" s="185"/>
    </row>
    <row r="7470" spans="20:31" x14ac:dyDescent="0.25">
      <c r="T7470" s="81"/>
      <c r="W7470" s="185"/>
      <c r="AE7470" s="185"/>
    </row>
    <row r="7471" spans="20:31" x14ac:dyDescent="0.25">
      <c r="T7471" s="81"/>
      <c r="W7471" s="185"/>
      <c r="AE7471" s="185"/>
    </row>
    <row r="7472" spans="20:31" x14ac:dyDescent="0.25">
      <c r="T7472" s="81"/>
      <c r="W7472" s="185"/>
      <c r="AE7472" s="185"/>
    </row>
    <row r="7473" spans="20:31" x14ac:dyDescent="0.25">
      <c r="T7473" s="81"/>
      <c r="W7473" s="185"/>
      <c r="AE7473" s="185"/>
    </row>
    <row r="7474" spans="20:31" x14ac:dyDescent="0.25">
      <c r="T7474" s="81"/>
      <c r="W7474" s="185"/>
      <c r="AE7474" s="185"/>
    </row>
    <row r="7475" spans="20:31" x14ac:dyDescent="0.25">
      <c r="T7475" s="81"/>
      <c r="W7475" s="185"/>
      <c r="AE7475" s="185"/>
    </row>
    <row r="7476" spans="20:31" x14ac:dyDescent="0.25">
      <c r="T7476" s="81"/>
      <c r="W7476" s="185"/>
      <c r="AE7476" s="185"/>
    </row>
    <row r="7477" spans="20:31" x14ac:dyDescent="0.25">
      <c r="T7477" s="81"/>
      <c r="W7477" s="185"/>
      <c r="AE7477" s="185"/>
    </row>
    <row r="7478" spans="20:31" x14ac:dyDescent="0.25">
      <c r="T7478" s="81"/>
      <c r="W7478" s="185"/>
      <c r="AE7478" s="185"/>
    </row>
    <row r="7479" spans="20:31" x14ac:dyDescent="0.25">
      <c r="T7479" s="81"/>
      <c r="W7479" s="185"/>
      <c r="AE7479" s="185"/>
    </row>
    <row r="7480" spans="20:31" x14ac:dyDescent="0.25">
      <c r="T7480" s="81"/>
      <c r="W7480" s="185"/>
      <c r="AE7480" s="185"/>
    </row>
    <row r="7481" spans="20:31" x14ac:dyDescent="0.25">
      <c r="T7481" s="81"/>
      <c r="W7481" s="185"/>
      <c r="AE7481" s="185"/>
    </row>
    <row r="7482" spans="20:31" x14ac:dyDescent="0.25">
      <c r="T7482" s="81"/>
      <c r="W7482" s="185"/>
      <c r="AE7482" s="185"/>
    </row>
    <row r="7483" spans="20:31" x14ac:dyDescent="0.25">
      <c r="T7483" s="81"/>
      <c r="W7483" s="185"/>
      <c r="AE7483" s="185"/>
    </row>
    <row r="7484" spans="20:31" x14ac:dyDescent="0.25">
      <c r="T7484" s="81"/>
      <c r="W7484" s="185"/>
      <c r="AE7484" s="185"/>
    </row>
    <row r="7485" spans="20:31" x14ac:dyDescent="0.25">
      <c r="T7485" s="81"/>
      <c r="W7485" s="185"/>
      <c r="AE7485" s="185"/>
    </row>
    <row r="7486" spans="20:31" x14ac:dyDescent="0.25">
      <c r="T7486" s="81"/>
      <c r="W7486" s="185"/>
      <c r="AE7486" s="185"/>
    </row>
    <row r="7487" spans="20:31" x14ac:dyDescent="0.25">
      <c r="T7487" s="81"/>
      <c r="W7487" s="185"/>
      <c r="AE7487" s="185"/>
    </row>
    <row r="7488" spans="20:31" x14ac:dyDescent="0.25">
      <c r="T7488" s="81"/>
      <c r="W7488" s="185"/>
      <c r="AE7488" s="185"/>
    </row>
    <row r="7489" spans="20:31" x14ac:dyDescent="0.25">
      <c r="T7489" s="81"/>
      <c r="W7489" s="185"/>
      <c r="AE7489" s="185"/>
    </row>
    <row r="7490" spans="20:31" x14ac:dyDescent="0.25">
      <c r="T7490" s="81"/>
      <c r="W7490" s="185"/>
      <c r="AE7490" s="185"/>
    </row>
    <row r="7491" spans="20:31" x14ac:dyDescent="0.25">
      <c r="T7491" s="81"/>
      <c r="W7491" s="185"/>
      <c r="AE7491" s="185"/>
    </row>
    <row r="7492" spans="20:31" x14ac:dyDescent="0.25">
      <c r="T7492" s="81"/>
      <c r="W7492" s="185"/>
      <c r="AE7492" s="185"/>
    </row>
    <row r="7493" spans="20:31" x14ac:dyDescent="0.25">
      <c r="T7493" s="81"/>
      <c r="W7493" s="185"/>
      <c r="AE7493" s="185"/>
    </row>
    <row r="7494" spans="20:31" x14ac:dyDescent="0.25">
      <c r="T7494" s="81"/>
      <c r="W7494" s="185"/>
      <c r="AE7494" s="185"/>
    </row>
    <row r="7495" spans="20:31" x14ac:dyDescent="0.25">
      <c r="T7495" s="81"/>
      <c r="W7495" s="185"/>
      <c r="AE7495" s="185"/>
    </row>
    <row r="7496" spans="20:31" x14ac:dyDescent="0.25">
      <c r="T7496" s="81"/>
      <c r="W7496" s="185"/>
      <c r="AE7496" s="185"/>
    </row>
    <row r="7497" spans="20:31" x14ac:dyDescent="0.25">
      <c r="T7497" s="81"/>
      <c r="W7497" s="185"/>
      <c r="AE7497" s="185"/>
    </row>
    <row r="7498" spans="20:31" x14ac:dyDescent="0.25">
      <c r="T7498" s="81"/>
      <c r="W7498" s="185"/>
      <c r="AE7498" s="185"/>
    </row>
    <row r="7499" spans="20:31" x14ac:dyDescent="0.25">
      <c r="T7499" s="81"/>
      <c r="W7499" s="185"/>
      <c r="AE7499" s="185"/>
    </row>
    <row r="7500" spans="20:31" x14ac:dyDescent="0.25">
      <c r="T7500" s="81"/>
      <c r="W7500" s="185"/>
      <c r="AE7500" s="185"/>
    </row>
    <row r="7501" spans="20:31" x14ac:dyDescent="0.25">
      <c r="T7501" s="81"/>
      <c r="W7501" s="185"/>
      <c r="AE7501" s="185"/>
    </row>
    <row r="7502" spans="20:31" x14ac:dyDescent="0.25">
      <c r="T7502" s="81"/>
      <c r="W7502" s="185"/>
      <c r="AE7502" s="185"/>
    </row>
    <row r="7503" spans="20:31" x14ac:dyDescent="0.25">
      <c r="T7503" s="81"/>
      <c r="W7503" s="185"/>
      <c r="AE7503" s="185"/>
    </row>
    <row r="7504" spans="20:31" x14ac:dyDescent="0.25">
      <c r="T7504" s="81"/>
      <c r="W7504" s="185"/>
      <c r="AE7504" s="185"/>
    </row>
    <row r="7505" spans="20:31" x14ac:dyDescent="0.25">
      <c r="T7505" s="81"/>
      <c r="W7505" s="185"/>
      <c r="AE7505" s="185"/>
    </row>
    <row r="7506" spans="20:31" x14ac:dyDescent="0.25">
      <c r="T7506" s="81"/>
      <c r="W7506" s="185"/>
      <c r="AE7506" s="185"/>
    </row>
    <row r="7507" spans="20:31" x14ac:dyDescent="0.25">
      <c r="T7507" s="81"/>
      <c r="W7507" s="185"/>
      <c r="AE7507" s="185"/>
    </row>
    <row r="7508" spans="20:31" x14ac:dyDescent="0.25">
      <c r="T7508" s="81"/>
      <c r="W7508" s="185"/>
      <c r="AE7508" s="185"/>
    </row>
    <row r="7509" spans="20:31" x14ac:dyDescent="0.25">
      <c r="T7509" s="81"/>
      <c r="W7509" s="185"/>
      <c r="AE7509" s="185"/>
    </row>
    <row r="7510" spans="20:31" x14ac:dyDescent="0.25">
      <c r="T7510" s="81"/>
      <c r="W7510" s="185"/>
      <c r="AE7510" s="185"/>
    </row>
    <row r="7511" spans="20:31" x14ac:dyDescent="0.25">
      <c r="T7511" s="81"/>
      <c r="W7511" s="185"/>
      <c r="AE7511" s="185"/>
    </row>
    <row r="7512" spans="20:31" x14ac:dyDescent="0.25">
      <c r="T7512" s="81"/>
      <c r="W7512" s="185"/>
      <c r="AE7512" s="185"/>
    </row>
    <row r="7513" spans="20:31" x14ac:dyDescent="0.25">
      <c r="T7513" s="81"/>
      <c r="W7513" s="185"/>
      <c r="AE7513" s="185"/>
    </row>
    <row r="7514" spans="20:31" x14ac:dyDescent="0.25">
      <c r="T7514" s="81"/>
      <c r="W7514" s="185"/>
      <c r="AE7514" s="185"/>
    </row>
    <row r="7515" spans="20:31" x14ac:dyDescent="0.25">
      <c r="T7515" s="81"/>
      <c r="W7515" s="185"/>
      <c r="AE7515" s="185"/>
    </row>
    <row r="7516" spans="20:31" x14ac:dyDescent="0.25">
      <c r="T7516" s="81"/>
      <c r="W7516" s="185"/>
      <c r="AE7516" s="185"/>
    </row>
    <row r="7517" spans="20:31" x14ac:dyDescent="0.25">
      <c r="T7517" s="81"/>
      <c r="W7517" s="185"/>
      <c r="AE7517" s="185"/>
    </row>
    <row r="7518" spans="20:31" x14ac:dyDescent="0.25">
      <c r="T7518" s="81"/>
      <c r="W7518" s="185"/>
      <c r="AE7518" s="185"/>
    </row>
    <row r="7519" spans="20:31" x14ac:dyDescent="0.25">
      <c r="T7519" s="81"/>
      <c r="W7519" s="185"/>
      <c r="AE7519" s="185"/>
    </row>
    <row r="7520" spans="20:31" x14ac:dyDescent="0.25">
      <c r="T7520" s="81"/>
      <c r="W7520" s="185"/>
      <c r="AE7520" s="185"/>
    </row>
    <row r="7521" spans="20:31" x14ac:dyDescent="0.25">
      <c r="T7521" s="81"/>
      <c r="W7521" s="185"/>
      <c r="AE7521" s="185"/>
    </row>
    <row r="7522" spans="20:31" x14ac:dyDescent="0.25">
      <c r="T7522" s="81"/>
      <c r="W7522" s="185"/>
      <c r="AE7522" s="185"/>
    </row>
    <row r="7523" spans="20:31" x14ac:dyDescent="0.25">
      <c r="T7523" s="81"/>
      <c r="W7523" s="185"/>
      <c r="AE7523" s="185"/>
    </row>
    <row r="7524" spans="20:31" x14ac:dyDescent="0.25">
      <c r="T7524" s="81"/>
      <c r="W7524" s="185"/>
      <c r="AE7524" s="185"/>
    </row>
    <row r="7525" spans="20:31" x14ac:dyDescent="0.25">
      <c r="T7525" s="81"/>
      <c r="W7525" s="185"/>
      <c r="AE7525" s="185"/>
    </row>
    <row r="7526" spans="20:31" x14ac:dyDescent="0.25">
      <c r="T7526" s="81"/>
      <c r="W7526" s="185"/>
      <c r="AE7526" s="185"/>
    </row>
    <row r="7527" spans="20:31" x14ac:dyDescent="0.25">
      <c r="T7527" s="81"/>
      <c r="W7527" s="185"/>
      <c r="AE7527" s="185"/>
    </row>
    <row r="7528" spans="20:31" x14ac:dyDescent="0.25">
      <c r="T7528" s="81"/>
      <c r="W7528" s="185"/>
      <c r="AE7528" s="185"/>
    </row>
    <row r="7529" spans="20:31" x14ac:dyDescent="0.25">
      <c r="T7529" s="81"/>
      <c r="W7529" s="185"/>
      <c r="AE7529" s="185"/>
    </row>
    <row r="7530" spans="20:31" x14ac:dyDescent="0.25">
      <c r="T7530" s="81"/>
      <c r="W7530" s="185"/>
      <c r="AE7530" s="185"/>
    </row>
    <row r="7531" spans="20:31" x14ac:dyDescent="0.25">
      <c r="T7531" s="81"/>
      <c r="W7531" s="185"/>
      <c r="AE7531" s="185"/>
    </row>
    <row r="7532" spans="20:31" x14ac:dyDescent="0.25">
      <c r="T7532" s="81"/>
      <c r="W7532" s="185"/>
      <c r="AE7532" s="185"/>
    </row>
    <row r="7533" spans="20:31" x14ac:dyDescent="0.25">
      <c r="T7533" s="81"/>
      <c r="W7533" s="185"/>
      <c r="AE7533" s="185"/>
    </row>
    <row r="7534" spans="20:31" x14ac:dyDescent="0.25">
      <c r="T7534" s="81"/>
      <c r="W7534" s="185"/>
      <c r="AE7534" s="185"/>
    </row>
    <row r="7535" spans="20:31" x14ac:dyDescent="0.25">
      <c r="T7535" s="81"/>
      <c r="W7535" s="185"/>
      <c r="AE7535" s="185"/>
    </row>
    <row r="7536" spans="20:31" x14ac:dyDescent="0.25">
      <c r="T7536" s="81"/>
      <c r="W7536" s="185"/>
      <c r="AE7536" s="185"/>
    </row>
    <row r="7537" spans="20:31" x14ac:dyDescent="0.25">
      <c r="T7537" s="81"/>
      <c r="W7537" s="185"/>
      <c r="AE7537" s="185"/>
    </row>
    <row r="7538" spans="20:31" x14ac:dyDescent="0.25">
      <c r="T7538" s="81"/>
      <c r="W7538" s="185"/>
      <c r="AE7538" s="185"/>
    </row>
    <row r="7539" spans="20:31" x14ac:dyDescent="0.25">
      <c r="T7539" s="81"/>
      <c r="W7539" s="185"/>
      <c r="AE7539" s="185"/>
    </row>
    <row r="7540" spans="20:31" x14ac:dyDescent="0.25">
      <c r="T7540" s="81"/>
      <c r="W7540" s="185"/>
      <c r="AE7540" s="185"/>
    </row>
    <row r="7541" spans="20:31" x14ac:dyDescent="0.25">
      <c r="T7541" s="81"/>
      <c r="W7541" s="185"/>
      <c r="AE7541" s="185"/>
    </row>
    <row r="7542" spans="20:31" x14ac:dyDescent="0.25">
      <c r="T7542" s="81"/>
      <c r="W7542" s="185"/>
      <c r="AE7542" s="185"/>
    </row>
    <row r="7543" spans="20:31" x14ac:dyDescent="0.25">
      <c r="T7543" s="81"/>
      <c r="W7543" s="185"/>
      <c r="AE7543" s="185"/>
    </row>
    <row r="7544" spans="20:31" x14ac:dyDescent="0.25">
      <c r="T7544" s="81"/>
      <c r="W7544" s="185"/>
      <c r="AE7544" s="185"/>
    </row>
    <row r="7545" spans="20:31" x14ac:dyDescent="0.25">
      <c r="T7545" s="81"/>
      <c r="W7545" s="185"/>
      <c r="AE7545" s="185"/>
    </row>
    <row r="7546" spans="20:31" x14ac:dyDescent="0.25">
      <c r="T7546" s="81"/>
      <c r="W7546" s="185"/>
      <c r="AE7546" s="185"/>
    </row>
    <row r="7547" spans="20:31" x14ac:dyDescent="0.25">
      <c r="T7547" s="81"/>
      <c r="W7547" s="185"/>
      <c r="AE7547" s="185"/>
    </row>
    <row r="7548" spans="20:31" x14ac:dyDescent="0.25">
      <c r="T7548" s="81"/>
      <c r="W7548" s="185"/>
      <c r="AE7548" s="185"/>
    </row>
    <row r="7549" spans="20:31" x14ac:dyDescent="0.25">
      <c r="T7549" s="81"/>
      <c r="W7549" s="185"/>
      <c r="AE7549" s="185"/>
    </row>
    <row r="7550" spans="20:31" x14ac:dyDescent="0.25">
      <c r="T7550" s="81"/>
      <c r="W7550" s="185"/>
      <c r="AE7550" s="185"/>
    </row>
    <row r="7551" spans="20:31" x14ac:dyDescent="0.25">
      <c r="T7551" s="81"/>
      <c r="W7551" s="185"/>
      <c r="AE7551" s="185"/>
    </row>
    <row r="7552" spans="20:31" x14ac:dyDescent="0.25">
      <c r="T7552" s="81"/>
      <c r="W7552" s="185"/>
      <c r="AE7552" s="185"/>
    </row>
    <row r="7553" spans="20:31" x14ac:dyDescent="0.25">
      <c r="T7553" s="81"/>
      <c r="W7553" s="185"/>
      <c r="AE7553" s="185"/>
    </row>
    <row r="7554" spans="20:31" x14ac:dyDescent="0.25">
      <c r="T7554" s="81"/>
      <c r="W7554" s="185"/>
      <c r="AE7554" s="185"/>
    </row>
    <row r="7555" spans="20:31" x14ac:dyDescent="0.25">
      <c r="T7555" s="81"/>
      <c r="W7555" s="185"/>
      <c r="AE7555" s="185"/>
    </row>
    <row r="7556" spans="20:31" x14ac:dyDescent="0.25">
      <c r="T7556" s="81"/>
      <c r="W7556" s="185"/>
      <c r="AE7556" s="185"/>
    </row>
    <row r="7557" spans="20:31" x14ac:dyDescent="0.25">
      <c r="T7557" s="81"/>
      <c r="W7557" s="185"/>
      <c r="AE7557" s="185"/>
    </row>
    <row r="7558" spans="20:31" x14ac:dyDescent="0.25">
      <c r="T7558" s="81"/>
      <c r="W7558" s="185"/>
      <c r="AE7558" s="185"/>
    </row>
    <row r="7559" spans="20:31" x14ac:dyDescent="0.25">
      <c r="T7559" s="81"/>
      <c r="W7559" s="185"/>
      <c r="AE7559" s="185"/>
    </row>
    <row r="7560" spans="20:31" x14ac:dyDescent="0.25">
      <c r="T7560" s="81"/>
      <c r="W7560" s="185"/>
      <c r="AE7560" s="185"/>
    </row>
    <row r="7561" spans="20:31" x14ac:dyDescent="0.25">
      <c r="T7561" s="81"/>
      <c r="W7561" s="185"/>
      <c r="AE7561" s="185"/>
    </row>
    <row r="7562" spans="20:31" x14ac:dyDescent="0.25">
      <c r="T7562" s="81"/>
      <c r="W7562" s="185"/>
      <c r="AE7562" s="185"/>
    </row>
    <row r="7563" spans="20:31" x14ac:dyDescent="0.25">
      <c r="T7563" s="81"/>
      <c r="W7563" s="185"/>
      <c r="AE7563" s="185"/>
    </row>
    <row r="7564" spans="20:31" x14ac:dyDescent="0.25">
      <c r="T7564" s="81"/>
      <c r="W7564" s="185"/>
      <c r="AE7564" s="185"/>
    </row>
    <row r="7565" spans="20:31" x14ac:dyDescent="0.25">
      <c r="T7565" s="81"/>
      <c r="W7565" s="185"/>
      <c r="AE7565" s="185"/>
    </row>
    <row r="7566" spans="20:31" x14ac:dyDescent="0.25">
      <c r="T7566" s="81"/>
      <c r="W7566" s="185"/>
      <c r="AE7566" s="185"/>
    </row>
    <row r="7567" spans="20:31" x14ac:dyDescent="0.25">
      <c r="T7567" s="81"/>
      <c r="W7567" s="185"/>
      <c r="AE7567" s="185"/>
    </row>
    <row r="7568" spans="20:31" x14ac:dyDescent="0.25">
      <c r="T7568" s="81"/>
      <c r="W7568" s="185"/>
      <c r="AE7568" s="185"/>
    </row>
    <row r="7569" spans="20:31" x14ac:dyDescent="0.25">
      <c r="T7569" s="81"/>
      <c r="W7569" s="185"/>
      <c r="AE7569" s="185"/>
    </row>
    <row r="7570" spans="20:31" x14ac:dyDescent="0.25">
      <c r="T7570" s="81"/>
      <c r="W7570" s="185"/>
      <c r="AE7570" s="185"/>
    </row>
    <row r="7571" spans="20:31" x14ac:dyDescent="0.25">
      <c r="T7571" s="81"/>
      <c r="W7571" s="185"/>
      <c r="AE7571" s="185"/>
    </row>
    <row r="7572" spans="20:31" x14ac:dyDescent="0.25">
      <c r="T7572" s="81"/>
      <c r="W7572" s="185"/>
      <c r="AE7572" s="185"/>
    </row>
    <row r="7573" spans="20:31" x14ac:dyDescent="0.25">
      <c r="T7573" s="81"/>
      <c r="W7573" s="185"/>
      <c r="AE7573" s="185"/>
    </row>
    <row r="7574" spans="20:31" x14ac:dyDescent="0.25">
      <c r="T7574" s="81"/>
      <c r="W7574" s="185"/>
      <c r="AE7574" s="185"/>
    </row>
    <row r="7575" spans="20:31" x14ac:dyDescent="0.25">
      <c r="T7575" s="81"/>
      <c r="W7575" s="185"/>
      <c r="AE7575" s="185"/>
    </row>
    <row r="7576" spans="20:31" x14ac:dyDescent="0.25">
      <c r="T7576" s="81"/>
      <c r="W7576" s="185"/>
      <c r="AE7576" s="185"/>
    </row>
    <row r="7577" spans="20:31" x14ac:dyDescent="0.25">
      <c r="T7577" s="81"/>
      <c r="W7577" s="185"/>
      <c r="AE7577" s="185"/>
    </row>
    <row r="7578" spans="20:31" x14ac:dyDescent="0.25">
      <c r="T7578" s="81"/>
      <c r="W7578" s="185"/>
      <c r="AE7578" s="185"/>
    </row>
    <row r="7579" spans="20:31" x14ac:dyDescent="0.25">
      <c r="T7579" s="81"/>
      <c r="W7579" s="185"/>
      <c r="AE7579" s="185"/>
    </row>
    <row r="7580" spans="20:31" x14ac:dyDescent="0.25">
      <c r="T7580" s="81"/>
      <c r="W7580" s="185"/>
      <c r="AE7580" s="185"/>
    </row>
    <row r="7581" spans="20:31" x14ac:dyDescent="0.25">
      <c r="T7581" s="81"/>
      <c r="W7581" s="185"/>
      <c r="AE7581" s="185"/>
    </row>
    <row r="7582" spans="20:31" x14ac:dyDescent="0.25">
      <c r="T7582" s="81"/>
      <c r="W7582" s="185"/>
      <c r="AE7582" s="185"/>
    </row>
    <row r="7583" spans="20:31" x14ac:dyDescent="0.25">
      <c r="T7583" s="81"/>
      <c r="W7583" s="185"/>
      <c r="AE7583" s="185"/>
    </row>
    <row r="7584" spans="20:31" x14ac:dyDescent="0.25">
      <c r="T7584" s="81"/>
      <c r="W7584" s="185"/>
      <c r="AE7584" s="185"/>
    </row>
    <row r="7585" spans="20:31" x14ac:dyDescent="0.25">
      <c r="T7585" s="81"/>
      <c r="W7585" s="185"/>
      <c r="AE7585" s="185"/>
    </row>
    <row r="7586" spans="20:31" x14ac:dyDescent="0.25">
      <c r="T7586" s="81"/>
      <c r="W7586" s="185"/>
      <c r="AE7586" s="185"/>
    </row>
    <row r="7587" spans="20:31" x14ac:dyDescent="0.25">
      <c r="T7587" s="81"/>
      <c r="W7587" s="185"/>
      <c r="AE7587" s="185"/>
    </row>
    <row r="7588" spans="20:31" x14ac:dyDescent="0.25">
      <c r="T7588" s="81"/>
      <c r="W7588" s="185"/>
      <c r="AE7588" s="185"/>
    </row>
    <row r="7589" spans="20:31" x14ac:dyDescent="0.25">
      <c r="T7589" s="81"/>
      <c r="W7589" s="185"/>
      <c r="AE7589" s="185"/>
    </row>
    <row r="7590" spans="20:31" x14ac:dyDescent="0.25">
      <c r="T7590" s="81"/>
      <c r="W7590" s="185"/>
      <c r="AE7590" s="185"/>
    </row>
    <row r="7591" spans="20:31" x14ac:dyDescent="0.25">
      <c r="T7591" s="81"/>
      <c r="W7591" s="185"/>
      <c r="AE7591" s="185"/>
    </row>
    <row r="7592" spans="20:31" x14ac:dyDescent="0.25">
      <c r="T7592" s="81"/>
      <c r="W7592" s="185"/>
      <c r="AE7592" s="185"/>
    </row>
    <row r="7593" spans="20:31" x14ac:dyDescent="0.25">
      <c r="T7593" s="81"/>
      <c r="W7593" s="185"/>
      <c r="AE7593" s="185"/>
    </row>
    <row r="7594" spans="20:31" x14ac:dyDescent="0.25">
      <c r="T7594" s="81"/>
      <c r="W7594" s="185"/>
      <c r="AE7594" s="185"/>
    </row>
    <row r="7595" spans="20:31" x14ac:dyDescent="0.25">
      <c r="T7595" s="81"/>
      <c r="W7595" s="185"/>
      <c r="AE7595" s="185"/>
    </row>
    <row r="7596" spans="20:31" x14ac:dyDescent="0.25">
      <c r="T7596" s="81"/>
      <c r="W7596" s="185"/>
      <c r="AE7596" s="185"/>
    </row>
    <row r="7597" spans="20:31" x14ac:dyDescent="0.25">
      <c r="T7597" s="81"/>
      <c r="W7597" s="185"/>
      <c r="AE7597" s="185"/>
    </row>
    <row r="7598" spans="20:31" x14ac:dyDescent="0.25">
      <c r="T7598" s="81"/>
      <c r="W7598" s="185"/>
      <c r="AE7598" s="185"/>
    </row>
    <row r="7599" spans="20:31" x14ac:dyDescent="0.25">
      <c r="T7599" s="81"/>
      <c r="W7599" s="185"/>
      <c r="AE7599" s="185"/>
    </row>
    <row r="7600" spans="20:31" x14ac:dyDescent="0.25">
      <c r="T7600" s="81"/>
      <c r="W7600" s="185"/>
      <c r="AE7600" s="185"/>
    </row>
    <row r="7601" spans="20:31" x14ac:dyDescent="0.25">
      <c r="T7601" s="81"/>
      <c r="W7601" s="185"/>
      <c r="AE7601" s="185"/>
    </row>
    <row r="7602" spans="20:31" x14ac:dyDescent="0.25">
      <c r="T7602" s="81"/>
      <c r="W7602" s="185"/>
      <c r="AE7602" s="185"/>
    </row>
    <row r="7603" spans="20:31" x14ac:dyDescent="0.25">
      <c r="T7603" s="81"/>
      <c r="W7603" s="185"/>
      <c r="AE7603" s="185"/>
    </row>
    <row r="7604" spans="20:31" x14ac:dyDescent="0.25">
      <c r="T7604" s="81"/>
      <c r="W7604" s="185"/>
      <c r="AE7604" s="185"/>
    </row>
    <row r="7605" spans="20:31" x14ac:dyDescent="0.25">
      <c r="T7605" s="81"/>
      <c r="W7605" s="185"/>
      <c r="AE7605" s="185"/>
    </row>
    <row r="7606" spans="20:31" x14ac:dyDescent="0.25">
      <c r="T7606" s="81"/>
      <c r="W7606" s="185"/>
      <c r="AE7606" s="185"/>
    </row>
    <row r="7607" spans="20:31" x14ac:dyDescent="0.25">
      <c r="T7607" s="81"/>
      <c r="W7607" s="185"/>
      <c r="AE7607" s="185"/>
    </row>
    <row r="7608" spans="20:31" x14ac:dyDescent="0.25">
      <c r="T7608" s="81"/>
      <c r="W7608" s="185"/>
      <c r="AE7608" s="185"/>
    </row>
    <row r="7609" spans="20:31" x14ac:dyDescent="0.25">
      <c r="T7609" s="81"/>
      <c r="W7609" s="185"/>
      <c r="AE7609" s="185"/>
    </row>
    <row r="7610" spans="20:31" x14ac:dyDescent="0.25">
      <c r="T7610" s="81"/>
      <c r="W7610" s="185"/>
      <c r="AE7610" s="185"/>
    </row>
    <row r="7611" spans="20:31" x14ac:dyDescent="0.25">
      <c r="T7611" s="81"/>
      <c r="W7611" s="185"/>
      <c r="AE7611" s="185"/>
    </row>
    <row r="7612" spans="20:31" x14ac:dyDescent="0.25">
      <c r="T7612" s="81"/>
      <c r="W7612" s="185"/>
      <c r="AE7612" s="185"/>
    </row>
    <row r="7613" spans="20:31" x14ac:dyDescent="0.25">
      <c r="T7613" s="81"/>
      <c r="W7613" s="185"/>
      <c r="AE7613" s="185"/>
    </row>
    <row r="7614" spans="20:31" x14ac:dyDescent="0.25">
      <c r="T7614" s="81"/>
      <c r="W7614" s="185"/>
      <c r="AE7614" s="185"/>
    </row>
    <row r="7615" spans="20:31" x14ac:dyDescent="0.25">
      <c r="T7615" s="81"/>
      <c r="W7615" s="185"/>
      <c r="AE7615" s="185"/>
    </row>
    <row r="7616" spans="20:31" x14ac:dyDescent="0.25">
      <c r="T7616" s="81"/>
      <c r="W7616" s="185"/>
      <c r="AE7616" s="185"/>
    </row>
    <row r="7617" spans="20:31" x14ac:dyDescent="0.25">
      <c r="T7617" s="81"/>
      <c r="W7617" s="185"/>
      <c r="AE7617" s="185"/>
    </row>
    <row r="7618" spans="20:31" x14ac:dyDescent="0.25">
      <c r="T7618" s="81"/>
      <c r="W7618" s="185"/>
      <c r="AE7618" s="185"/>
    </row>
    <row r="7619" spans="20:31" x14ac:dyDescent="0.25">
      <c r="T7619" s="81"/>
      <c r="W7619" s="185"/>
      <c r="AE7619" s="185"/>
    </row>
    <row r="7620" spans="20:31" x14ac:dyDescent="0.25">
      <c r="T7620" s="81"/>
      <c r="W7620" s="185"/>
      <c r="AE7620" s="185"/>
    </row>
    <row r="7621" spans="20:31" x14ac:dyDescent="0.25">
      <c r="T7621" s="81"/>
      <c r="W7621" s="185"/>
      <c r="AE7621" s="185"/>
    </row>
    <row r="7622" spans="20:31" x14ac:dyDescent="0.25">
      <c r="T7622" s="81"/>
      <c r="W7622" s="185"/>
      <c r="AE7622" s="185"/>
    </row>
    <row r="7623" spans="20:31" x14ac:dyDescent="0.25">
      <c r="T7623" s="81"/>
      <c r="W7623" s="185"/>
      <c r="AE7623" s="185"/>
    </row>
    <row r="7624" spans="20:31" x14ac:dyDescent="0.25">
      <c r="T7624" s="81"/>
      <c r="W7624" s="185"/>
      <c r="AE7624" s="185"/>
    </row>
    <row r="7625" spans="20:31" x14ac:dyDescent="0.25">
      <c r="T7625" s="81"/>
      <c r="W7625" s="185"/>
      <c r="AE7625" s="185"/>
    </row>
    <row r="7626" spans="20:31" x14ac:dyDescent="0.25">
      <c r="T7626" s="81"/>
      <c r="W7626" s="185"/>
      <c r="AE7626" s="185"/>
    </row>
    <row r="7627" spans="20:31" x14ac:dyDescent="0.25">
      <c r="T7627" s="81"/>
      <c r="W7627" s="185"/>
      <c r="AE7627" s="185"/>
    </row>
    <row r="7628" spans="20:31" x14ac:dyDescent="0.25">
      <c r="T7628" s="81"/>
      <c r="W7628" s="185"/>
      <c r="AE7628" s="185"/>
    </row>
    <row r="7629" spans="20:31" x14ac:dyDescent="0.25">
      <c r="T7629" s="81"/>
      <c r="W7629" s="185"/>
      <c r="AE7629" s="185"/>
    </row>
    <row r="7630" spans="20:31" x14ac:dyDescent="0.25">
      <c r="T7630" s="81"/>
      <c r="W7630" s="185"/>
      <c r="AE7630" s="185"/>
    </row>
    <row r="7631" spans="20:31" x14ac:dyDescent="0.25">
      <c r="T7631" s="81"/>
      <c r="W7631" s="185"/>
      <c r="AE7631" s="185"/>
    </row>
    <row r="7632" spans="20:31" x14ac:dyDescent="0.25">
      <c r="T7632" s="81"/>
      <c r="W7632" s="185"/>
      <c r="AE7632" s="185"/>
    </row>
    <row r="7633" spans="20:31" x14ac:dyDescent="0.25">
      <c r="T7633" s="81"/>
      <c r="W7633" s="185"/>
      <c r="AE7633" s="185"/>
    </row>
    <row r="7634" spans="20:31" x14ac:dyDescent="0.25">
      <c r="T7634" s="81"/>
      <c r="W7634" s="185"/>
      <c r="AE7634" s="185"/>
    </row>
    <row r="7635" spans="20:31" x14ac:dyDescent="0.25">
      <c r="T7635" s="81"/>
      <c r="W7635" s="185"/>
      <c r="AE7635" s="185"/>
    </row>
    <row r="7636" spans="20:31" x14ac:dyDescent="0.25">
      <c r="T7636" s="81"/>
      <c r="W7636" s="185"/>
      <c r="AE7636" s="185"/>
    </row>
    <row r="7637" spans="20:31" x14ac:dyDescent="0.25">
      <c r="T7637" s="81"/>
      <c r="W7637" s="185"/>
      <c r="AE7637" s="185"/>
    </row>
    <row r="7638" spans="20:31" x14ac:dyDescent="0.25">
      <c r="T7638" s="81"/>
      <c r="W7638" s="185"/>
      <c r="AE7638" s="185"/>
    </row>
    <row r="7639" spans="20:31" x14ac:dyDescent="0.25">
      <c r="T7639" s="81"/>
      <c r="W7639" s="185"/>
      <c r="AE7639" s="185"/>
    </row>
    <row r="7640" spans="20:31" x14ac:dyDescent="0.25">
      <c r="T7640" s="81"/>
      <c r="W7640" s="185"/>
      <c r="AE7640" s="185"/>
    </row>
    <row r="7641" spans="20:31" x14ac:dyDescent="0.25">
      <c r="T7641" s="81"/>
      <c r="W7641" s="185"/>
      <c r="AE7641" s="185"/>
    </row>
    <row r="7642" spans="20:31" x14ac:dyDescent="0.25">
      <c r="T7642" s="81"/>
      <c r="W7642" s="185"/>
      <c r="AE7642" s="185"/>
    </row>
    <row r="7643" spans="20:31" x14ac:dyDescent="0.25">
      <c r="T7643" s="81"/>
      <c r="W7643" s="185"/>
      <c r="AE7643" s="185"/>
    </row>
    <row r="7644" spans="20:31" x14ac:dyDescent="0.25">
      <c r="T7644" s="81"/>
      <c r="W7644" s="185"/>
      <c r="AE7644" s="185"/>
    </row>
    <row r="7645" spans="20:31" x14ac:dyDescent="0.25">
      <c r="T7645" s="81"/>
      <c r="W7645" s="185"/>
      <c r="AE7645" s="185"/>
    </row>
    <row r="7646" spans="20:31" x14ac:dyDescent="0.25">
      <c r="T7646" s="81"/>
      <c r="W7646" s="185"/>
      <c r="AE7646" s="185"/>
    </row>
    <row r="7647" spans="20:31" x14ac:dyDescent="0.25">
      <c r="T7647" s="81"/>
      <c r="W7647" s="185"/>
      <c r="AE7647" s="185"/>
    </row>
    <row r="7648" spans="20:31" x14ac:dyDescent="0.25">
      <c r="T7648" s="81"/>
      <c r="W7648" s="185"/>
      <c r="AE7648" s="185"/>
    </row>
    <row r="7649" spans="20:31" x14ac:dyDescent="0.25">
      <c r="T7649" s="81"/>
      <c r="W7649" s="185"/>
      <c r="AE7649" s="185"/>
    </row>
    <row r="7650" spans="20:31" x14ac:dyDescent="0.25">
      <c r="T7650" s="81"/>
      <c r="W7650" s="185"/>
      <c r="AE7650" s="185"/>
    </row>
    <row r="7651" spans="20:31" x14ac:dyDescent="0.25">
      <c r="T7651" s="81"/>
      <c r="W7651" s="185"/>
      <c r="AE7651" s="185"/>
    </row>
    <row r="7652" spans="20:31" x14ac:dyDescent="0.25">
      <c r="T7652" s="81"/>
      <c r="W7652" s="185"/>
      <c r="AE7652" s="185"/>
    </row>
    <row r="7653" spans="20:31" x14ac:dyDescent="0.25">
      <c r="T7653" s="81"/>
      <c r="W7653" s="185"/>
      <c r="AE7653" s="185"/>
    </row>
    <row r="7654" spans="20:31" x14ac:dyDescent="0.25">
      <c r="T7654" s="81"/>
      <c r="W7654" s="185"/>
      <c r="AE7654" s="185"/>
    </row>
    <row r="7655" spans="20:31" x14ac:dyDescent="0.25">
      <c r="T7655" s="81"/>
      <c r="W7655" s="185"/>
      <c r="AE7655" s="185"/>
    </row>
    <row r="7656" spans="20:31" x14ac:dyDescent="0.25">
      <c r="T7656" s="81"/>
      <c r="W7656" s="185"/>
      <c r="AE7656" s="185"/>
    </row>
    <row r="7657" spans="20:31" x14ac:dyDescent="0.25">
      <c r="T7657" s="81"/>
      <c r="W7657" s="185"/>
      <c r="AE7657" s="185"/>
    </row>
    <row r="7658" spans="20:31" x14ac:dyDescent="0.25">
      <c r="T7658" s="81"/>
      <c r="W7658" s="185"/>
      <c r="AE7658" s="185"/>
    </row>
    <row r="7659" spans="20:31" x14ac:dyDescent="0.25">
      <c r="T7659" s="81"/>
      <c r="W7659" s="185"/>
      <c r="AE7659" s="185"/>
    </row>
    <row r="7660" spans="20:31" x14ac:dyDescent="0.25">
      <c r="T7660" s="81"/>
      <c r="W7660" s="185"/>
      <c r="AE7660" s="185"/>
    </row>
    <row r="7661" spans="20:31" x14ac:dyDescent="0.25">
      <c r="T7661" s="81"/>
      <c r="W7661" s="185"/>
      <c r="AE7661" s="185"/>
    </row>
    <row r="7662" spans="20:31" x14ac:dyDescent="0.25">
      <c r="T7662" s="81"/>
      <c r="W7662" s="185"/>
      <c r="AE7662" s="185"/>
    </row>
    <row r="7663" spans="20:31" x14ac:dyDescent="0.25">
      <c r="T7663" s="81"/>
      <c r="W7663" s="185"/>
      <c r="AE7663" s="185"/>
    </row>
    <row r="7664" spans="20:31" x14ac:dyDescent="0.25">
      <c r="T7664" s="81"/>
      <c r="W7664" s="185"/>
      <c r="AE7664" s="185"/>
    </row>
    <row r="7665" spans="20:31" x14ac:dyDescent="0.25">
      <c r="T7665" s="81"/>
      <c r="W7665" s="185"/>
      <c r="AE7665" s="185"/>
    </row>
    <row r="7666" spans="20:31" x14ac:dyDescent="0.25">
      <c r="T7666" s="81"/>
      <c r="W7666" s="185"/>
      <c r="AE7666" s="185"/>
    </row>
    <row r="7667" spans="20:31" x14ac:dyDescent="0.25">
      <c r="T7667" s="81"/>
      <c r="W7667" s="185"/>
      <c r="AE7667" s="185"/>
    </row>
    <row r="7668" spans="20:31" x14ac:dyDescent="0.25">
      <c r="T7668" s="81"/>
      <c r="W7668" s="185"/>
      <c r="AE7668" s="185"/>
    </row>
    <row r="7669" spans="20:31" x14ac:dyDescent="0.25">
      <c r="T7669" s="81"/>
      <c r="W7669" s="185"/>
      <c r="AE7669" s="185"/>
    </row>
    <row r="7670" spans="20:31" x14ac:dyDescent="0.25">
      <c r="T7670" s="81"/>
      <c r="W7670" s="185"/>
      <c r="AE7670" s="185"/>
    </row>
    <row r="7671" spans="20:31" x14ac:dyDescent="0.25">
      <c r="T7671" s="81"/>
      <c r="W7671" s="185"/>
      <c r="AE7671" s="185"/>
    </row>
    <row r="7672" spans="20:31" x14ac:dyDescent="0.25">
      <c r="T7672" s="81"/>
      <c r="W7672" s="185"/>
      <c r="AE7672" s="185"/>
    </row>
    <row r="7673" spans="20:31" x14ac:dyDescent="0.25">
      <c r="T7673" s="81"/>
      <c r="W7673" s="185"/>
      <c r="AE7673" s="185"/>
    </row>
    <row r="7674" spans="20:31" x14ac:dyDescent="0.25">
      <c r="T7674" s="81"/>
      <c r="W7674" s="185"/>
      <c r="AE7674" s="185"/>
    </row>
    <row r="7675" spans="20:31" x14ac:dyDescent="0.25">
      <c r="T7675" s="81"/>
      <c r="W7675" s="185"/>
      <c r="AE7675" s="185"/>
    </row>
    <row r="7676" spans="20:31" x14ac:dyDescent="0.25">
      <c r="T7676" s="81"/>
      <c r="W7676" s="185"/>
      <c r="AE7676" s="185"/>
    </row>
    <row r="7677" spans="20:31" x14ac:dyDescent="0.25">
      <c r="T7677" s="81"/>
      <c r="W7677" s="185"/>
      <c r="AE7677" s="185"/>
    </row>
    <row r="7678" spans="20:31" x14ac:dyDescent="0.25">
      <c r="T7678" s="81"/>
      <c r="W7678" s="185"/>
      <c r="AE7678" s="185"/>
    </row>
    <row r="7679" spans="20:31" x14ac:dyDescent="0.25">
      <c r="T7679" s="81"/>
      <c r="W7679" s="185"/>
      <c r="AE7679" s="185"/>
    </row>
    <row r="7680" spans="20:31" x14ac:dyDescent="0.25">
      <c r="T7680" s="81"/>
      <c r="W7680" s="185"/>
      <c r="AE7680" s="185"/>
    </row>
    <row r="7681" spans="20:31" x14ac:dyDescent="0.25">
      <c r="T7681" s="81"/>
      <c r="W7681" s="185"/>
      <c r="AE7681" s="185"/>
    </row>
    <row r="7682" spans="20:31" x14ac:dyDescent="0.25">
      <c r="T7682" s="81"/>
      <c r="W7682" s="185"/>
      <c r="AE7682" s="185"/>
    </row>
    <row r="7683" spans="20:31" x14ac:dyDescent="0.25">
      <c r="T7683" s="81"/>
      <c r="W7683" s="185"/>
      <c r="AE7683" s="185"/>
    </row>
    <row r="7684" spans="20:31" x14ac:dyDescent="0.25">
      <c r="T7684" s="81"/>
      <c r="W7684" s="185"/>
      <c r="AE7684" s="185"/>
    </row>
    <row r="7685" spans="20:31" x14ac:dyDescent="0.25">
      <c r="T7685" s="81"/>
      <c r="W7685" s="185"/>
      <c r="AE7685" s="185"/>
    </row>
    <row r="7686" spans="20:31" x14ac:dyDescent="0.25">
      <c r="T7686" s="81"/>
      <c r="W7686" s="185"/>
      <c r="AE7686" s="185"/>
    </row>
    <row r="7687" spans="20:31" x14ac:dyDescent="0.25">
      <c r="T7687" s="81"/>
      <c r="W7687" s="185"/>
      <c r="AE7687" s="185"/>
    </row>
    <row r="7688" spans="20:31" x14ac:dyDescent="0.25">
      <c r="T7688" s="81"/>
      <c r="W7688" s="185"/>
      <c r="AE7688" s="185"/>
    </row>
    <row r="7689" spans="20:31" x14ac:dyDescent="0.25">
      <c r="T7689" s="81"/>
      <c r="W7689" s="185"/>
      <c r="AE7689" s="185"/>
    </row>
    <row r="7690" spans="20:31" x14ac:dyDescent="0.25">
      <c r="T7690" s="81"/>
      <c r="W7690" s="185"/>
      <c r="AE7690" s="185"/>
    </row>
    <row r="7691" spans="20:31" x14ac:dyDescent="0.25">
      <c r="T7691" s="81"/>
      <c r="W7691" s="185"/>
      <c r="AE7691" s="185"/>
    </row>
    <row r="7692" spans="20:31" x14ac:dyDescent="0.25">
      <c r="T7692" s="81"/>
      <c r="W7692" s="185"/>
      <c r="AE7692" s="185"/>
    </row>
    <row r="7693" spans="20:31" x14ac:dyDescent="0.25">
      <c r="T7693" s="81"/>
      <c r="W7693" s="185"/>
      <c r="AE7693" s="185"/>
    </row>
    <row r="7694" spans="20:31" x14ac:dyDescent="0.25">
      <c r="T7694" s="81"/>
      <c r="W7694" s="185"/>
      <c r="AE7694" s="185"/>
    </row>
    <row r="7695" spans="20:31" x14ac:dyDescent="0.25">
      <c r="T7695" s="81"/>
      <c r="W7695" s="185"/>
      <c r="AE7695" s="185"/>
    </row>
    <row r="7696" spans="20:31" x14ac:dyDescent="0.25">
      <c r="T7696" s="81"/>
      <c r="W7696" s="185"/>
      <c r="AE7696" s="185"/>
    </row>
    <row r="7697" spans="20:31" x14ac:dyDescent="0.25">
      <c r="T7697" s="81"/>
      <c r="W7697" s="185"/>
      <c r="AE7697" s="185"/>
    </row>
    <row r="7698" spans="20:31" x14ac:dyDescent="0.25">
      <c r="T7698" s="81"/>
      <c r="W7698" s="185"/>
      <c r="AE7698" s="185"/>
    </row>
    <row r="7699" spans="20:31" x14ac:dyDescent="0.25">
      <c r="T7699" s="81"/>
      <c r="W7699" s="185"/>
      <c r="AE7699" s="185"/>
    </row>
    <row r="7700" spans="20:31" x14ac:dyDescent="0.25">
      <c r="T7700" s="81"/>
      <c r="W7700" s="185"/>
      <c r="AE7700" s="185"/>
    </row>
    <row r="7701" spans="20:31" x14ac:dyDescent="0.25">
      <c r="T7701" s="81"/>
      <c r="W7701" s="185"/>
      <c r="AE7701" s="185"/>
    </row>
    <row r="7702" spans="20:31" x14ac:dyDescent="0.25">
      <c r="T7702" s="81"/>
      <c r="W7702" s="185"/>
      <c r="AE7702" s="185"/>
    </row>
    <row r="7703" spans="20:31" x14ac:dyDescent="0.25">
      <c r="T7703" s="81"/>
      <c r="W7703" s="185"/>
      <c r="AE7703" s="185"/>
    </row>
    <row r="7704" spans="20:31" x14ac:dyDescent="0.25">
      <c r="T7704" s="81"/>
      <c r="W7704" s="185"/>
      <c r="AE7704" s="185"/>
    </row>
    <row r="7705" spans="20:31" x14ac:dyDescent="0.25">
      <c r="T7705" s="81"/>
      <c r="W7705" s="185"/>
      <c r="AE7705" s="185"/>
    </row>
    <row r="7706" spans="20:31" x14ac:dyDescent="0.25">
      <c r="T7706" s="81"/>
      <c r="W7706" s="185"/>
      <c r="AE7706" s="185"/>
    </row>
    <row r="7707" spans="20:31" x14ac:dyDescent="0.25">
      <c r="T7707" s="81"/>
      <c r="W7707" s="185"/>
      <c r="AE7707" s="185"/>
    </row>
    <row r="7708" spans="20:31" x14ac:dyDescent="0.25">
      <c r="T7708" s="81"/>
      <c r="W7708" s="185"/>
      <c r="AE7708" s="185"/>
    </row>
    <row r="7709" spans="20:31" x14ac:dyDescent="0.25">
      <c r="T7709" s="81"/>
      <c r="W7709" s="185"/>
      <c r="AE7709" s="185"/>
    </row>
    <row r="7710" spans="20:31" x14ac:dyDescent="0.25">
      <c r="T7710" s="81"/>
      <c r="W7710" s="185"/>
      <c r="AE7710" s="185"/>
    </row>
    <row r="7711" spans="20:31" x14ac:dyDescent="0.25">
      <c r="T7711" s="81"/>
      <c r="W7711" s="185"/>
      <c r="AE7711" s="185"/>
    </row>
    <row r="7712" spans="20:31" x14ac:dyDescent="0.25">
      <c r="T7712" s="81"/>
      <c r="W7712" s="185"/>
      <c r="AE7712" s="185"/>
    </row>
    <row r="7713" spans="20:31" x14ac:dyDescent="0.25">
      <c r="T7713" s="81"/>
      <c r="W7713" s="185"/>
      <c r="AE7713" s="185"/>
    </row>
    <row r="7714" spans="20:31" x14ac:dyDescent="0.25">
      <c r="T7714" s="81"/>
      <c r="W7714" s="185"/>
      <c r="AE7714" s="185"/>
    </row>
    <row r="7715" spans="20:31" x14ac:dyDescent="0.25">
      <c r="T7715" s="81"/>
      <c r="W7715" s="185"/>
      <c r="AE7715" s="185"/>
    </row>
    <row r="7716" spans="20:31" x14ac:dyDescent="0.25">
      <c r="T7716" s="81"/>
      <c r="W7716" s="185"/>
      <c r="AE7716" s="185"/>
    </row>
    <row r="7717" spans="20:31" x14ac:dyDescent="0.25">
      <c r="T7717" s="81"/>
      <c r="W7717" s="185"/>
      <c r="AE7717" s="185"/>
    </row>
    <row r="7718" spans="20:31" x14ac:dyDescent="0.25">
      <c r="T7718" s="81"/>
      <c r="W7718" s="185"/>
      <c r="AE7718" s="185"/>
    </row>
    <row r="7719" spans="20:31" x14ac:dyDescent="0.25">
      <c r="T7719" s="81"/>
      <c r="W7719" s="185"/>
      <c r="AE7719" s="185"/>
    </row>
    <row r="7720" spans="20:31" x14ac:dyDescent="0.25">
      <c r="T7720" s="81"/>
      <c r="W7720" s="185"/>
      <c r="AE7720" s="185"/>
    </row>
    <row r="7721" spans="20:31" x14ac:dyDescent="0.25">
      <c r="T7721" s="81"/>
      <c r="W7721" s="185"/>
      <c r="AE7721" s="185"/>
    </row>
    <row r="7722" spans="20:31" x14ac:dyDescent="0.25">
      <c r="T7722" s="81"/>
      <c r="W7722" s="185"/>
      <c r="AE7722" s="185"/>
    </row>
    <row r="7723" spans="20:31" x14ac:dyDescent="0.25">
      <c r="T7723" s="81"/>
      <c r="W7723" s="185"/>
      <c r="AE7723" s="185"/>
    </row>
    <row r="7724" spans="20:31" x14ac:dyDescent="0.25">
      <c r="T7724" s="81"/>
      <c r="W7724" s="185"/>
      <c r="AE7724" s="185"/>
    </row>
    <row r="7725" spans="20:31" x14ac:dyDescent="0.25">
      <c r="T7725" s="81"/>
      <c r="W7725" s="185"/>
      <c r="AE7725" s="185"/>
    </row>
    <row r="7726" spans="20:31" x14ac:dyDescent="0.25">
      <c r="T7726" s="81"/>
      <c r="W7726" s="185"/>
      <c r="AE7726" s="185"/>
    </row>
    <row r="7727" spans="20:31" x14ac:dyDescent="0.25">
      <c r="T7727" s="81"/>
      <c r="W7727" s="185"/>
      <c r="AE7727" s="185"/>
    </row>
    <row r="7728" spans="20:31" x14ac:dyDescent="0.25">
      <c r="T7728" s="81"/>
      <c r="W7728" s="185"/>
      <c r="AE7728" s="185"/>
    </row>
    <row r="7729" spans="20:31" x14ac:dyDescent="0.25">
      <c r="T7729" s="81"/>
      <c r="W7729" s="185"/>
      <c r="AE7729" s="185"/>
    </row>
    <row r="7730" spans="20:31" x14ac:dyDescent="0.25">
      <c r="T7730" s="81"/>
      <c r="W7730" s="185"/>
      <c r="AE7730" s="185"/>
    </row>
    <row r="7731" spans="20:31" x14ac:dyDescent="0.25">
      <c r="T7731" s="81"/>
      <c r="W7731" s="185"/>
      <c r="AE7731" s="185"/>
    </row>
    <row r="7732" spans="20:31" x14ac:dyDescent="0.25">
      <c r="T7732" s="81"/>
      <c r="W7732" s="185"/>
      <c r="AE7732" s="185"/>
    </row>
    <row r="7733" spans="20:31" x14ac:dyDescent="0.25">
      <c r="T7733" s="81"/>
      <c r="W7733" s="185"/>
      <c r="AE7733" s="185"/>
    </row>
    <row r="7734" spans="20:31" x14ac:dyDescent="0.25">
      <c r="T7734" s="81"/>
      <c r="W7734" s="185"/>
      <c r="AE7734" s="185"/>
    </row>
    <row r="7735" spans="20:31" x14ac:dyDescent="0.25">
      <c r="T7735" s="81"/>
      <c r="W7735" s="185"/>
      <c r="AE7735" s="185"/>
    </row>
    <row r="7736" spans="20:31" x14ac:dyDescent="0.25">
      <c r="T7736" s="81"/>
      <c r="W7736" s="185"/>
      <c r="AE7736" s="185"/>
    </row>
    <row r="7737" spans="20:31" x14ac:dyDescent="0.25">
      <c r="T7737" s="81"/>
      <c r="W7737" s="185"/>
      <c r="AE7737" s="185"/>
    </row>
    <row r="7738" spans="20:31" x14ac:dyDescent="0.25">
      <c r="T7738" s="81"/>
      <c r="W7738" s="185"/>
      <c r="AE7738" s="185"/>
    </row>
    <row r="7739" spans="20:31" x14ac:dyDescent="0.25">
      <c r="T7739" s="81"/>
      <c r="W7739" s="185"/>
      <c r="AE7739" s="185"/>
    </row>
    <row r="7740" spans="20:31" x14ac:dyDescent="0.25">
      <c r="T7740" s="81"/>
      <c r="W7740" s="185"/>
      <c r="AE7740" s="185"/>
    </row>
    <row r="7741" spans="20:31" x14ac:dyDescent="0.25">
      <c r="T7741" s="81"/>
      <c r="W7741" s="185"/>
      <c r="AE7741" s="185"/>
    </row>
    <row r="7742" spans="20:31" x14ac:dyDescent="0.25">
      <c r="T7742" s="81"/>
      <c r="W7742" s="185"/>
      <c r="AE7742" s="185"/>
    </row>
    <row r="7743" spans="20:31" x14ac:dyDescent="0.25">
      <c r="T7743" s="81"/>
      <c r="W7743" s="185"/>
      <c r="AE7743" s="185"/>
    </row>
    <row r="7744" spans="20:31" x14ac:dyDescent="0.25">
      <c r="T7744" s="81"/>
      <c r="W7744" s="185"/>
      <c r="AE7744" s="185"/>
    </row>
    <row r="7745" spans="20:31" x14ac:dyDescent="0.25">
      <c r="T7745" s="81"/>
      <c r="W7745" s="185"/>
      <c r="AE7745" s="185"/>
    </row>
    <row r="7746" spans="20:31" x14ac:dyDescent="0.25">
      <c r="T7746" s="81"/>
      <c r="W7746" s="185"/>
      <c r="AE7746" s="185"/>
    </row>
    <row r="7747" spans="20:31" x14ac:dyDescent="0.25">
      <c r="T7747" s="81"/>
      <c r="W7747" s="185"/>
      <c r="AE7747" s="185"/>
    </row>
    <row r="7748" spans="20:31" x14ac:dyDescent="0.25">
      <c r="T7748" s="81"/>
      <c r="W7748" s="185"/>
      <c r="AE7748" s="185"/>
    </row>
    <row r="7749" spans="20:31" x14ac:dyDescent="0.25">
      <c r="T7749" s="81"/>
      <c r="W7749" s="185"/>
      <c r="AE7749" s="185"/>
    </row>
    <row r="7750" spans="20:31" x14ac:dyDescent="0.25">
      <c r="T7750" s="81"/>
      <c r="W7750" s="185"/>
      <c r="AE7750" s="185"/>
    </row>
    <row r="7751" spans="20:31" x14ac:dyDescent="0.25">
      <c r="T7751" s="81"/>
      <c r="W7751" s="185"/>
      <c r="AE7751" s="185"/>
    </row>
    <row r="7752" spans="20:31" x14ac:dyDescent="0.25">
      <c r="T7752" s="81"/>
      <c r="W7752" s="185"/>
      <c r="AE7752" s="185"/>
    </row>
    <row r="7753" spans="20:31" x14ac:dyDescent="0.25">
      <c r="T7753" s="81"/>
      <c r="W7753" s="185"/>
      <c r="AE7753" s="185"/>
    </row>
    <row r="7754" spans="20:31" x14ac:dyDescent="0.25">
      <c r="T7754" s="81"/>
      <c r="W7754" s="185"/>
      <c r="AE7754" s="185"/>
    </row>
    <row r="7755" spans="20:31" x14ac:dyDescent="0.25">
      <c r="T7755" s="81"/>
      <c r="W7755" s="185"/>
      <c r="AE7755" s="185"/>
    </row>
    <row r="7756" spans="20:31" x14ac:dyDescent="0.25">
      <c r="T7756" s="81"/>
      <c r="W7756" s="185"/>
      <c r="AE7756" s="185"/>
    </row>
    <row r="7757" spans="20:31" x14ac:dyDescent="0.25">
      <c r="T7757" s="81"/>
      <c r="W7757" s="185"/>
      <c r="AE7757" s="185"/>
    </row>
    <row r="7758" spans="20:31" x14ac:dyDescent="0.25">
      <c r="T7758" s="81"/>
      <c r="W7758" s="185"/>
      <c r="AE7758" s="185"/>
    </row>
    <row r="7759" spans="20:31" x14ac:dyDescent="0.25">
      <c r="T7759" s="81"/>
      <c r="W7759" s="185"/>
      <c r="AE7759" s="185"/>
    </row>
    <row r="7760" spans="20:31" x14ac:dyDescent="0.25">
      <c r="T7760" s="81"/>
      <c r="W7760" s="185"/>
      <c r="AE7760" s="185"/>
    </row>
    <row r="7761" spans="20:31" x14ac:dyDescent="0.25">
      <c r="T7761" s="81"/>
      <c r="W7761" s="185"/>
      <c r="AE7761" s="185"/>
    </row>
    <row r="7762" spans="20:31" x14ac:dyDescent="0.25">
      <c r="T7762" s="81"/>
      <c r="W7762" s="185"/>
      <c r="AE7762" s="185"/>
    </row>
    <row r="7763" spans="20:31" x14ac:dyDescent="0.25">
      <c r="T7763" s="81"/>
      <c r="W7763" s="185"/>
      <c r="AE7763" s="185"/>
    </row>
    <row r="7764" spans="20:31" x14ac:dyDescent="0.25">
      <c r="T7764" s="81"/>
      <c r="W7764" s="185"/>
      <c r="AE7764" s="185"/>
    </row>
    <row r="7765" spans="20:31" x14ac:dyDescent="0.25">
      <c r="T7765" s="81"/>
      <c r="W7765" s="185"/>
      <c r="AE7765" s="185"/>
    </row>
    <row r="7766" spans="20:31" x14ac:dyDescent="0.25">
      <c r="T7766" s="81"/>
      <c r="W7766" s="185"/>
      <c r="AE7766" s="185"/>
    </row>
    <row r="7767" spans="20:31" x14ac:dyDescent="0.25">
      <c r="T7767" s="81"/>
      <c r="W7767" s="185"/>
      <c r="AE7767" s="185"/>
    </row>
    <row r="7768" spans="20:31" x14ac:dyDescent="0.25">
      <c r="T7768" s="81"/>
      <c r="W7768" s="185"/>
      <c r="AE7768" s="185"/>
    </row>
    <row r="7769" spans="20:31" x14ac:dyDescent="0.25">
      <c r="T7769" s="81"/>
      <c r="W7769" s="185"/>
      <c r="AE7769" s="185"/>
    </row>
    <row r="7770" spans="20:31" x14ac:dyDescent="0.25">
      <c r="T7770" s="81"/>
      <c r="W7770" s="185"/>
      <c r="AE7770" s="185"/>
    </row>
    <row r="7771" spans="20:31" x14ac:dyDescent="0.25">
      <c r="T7771" s="81"/>
      <c r="W7771" s="185"/>
      <c r="AE7771" s="185"/>
    </row>
    <row r="7772" spans="20:31" x14ac:dyDescent="0.25">
      <c r="T7772" s="81"/>
      <c r="W7772" s="185"/>
      <c r="AE7772" s="185"/>
    </row>
    <row r="7773" spans="20:31" x14ac:dyDescent="0.25">
      <c r="T7773" s="81"/>
      <c r="W7773" s="185"/>
      <c r="AE7773" s="185"/>
    </row>
    <row r="7774" spans="20:31" x14ac:dyDescent="0.25">
      <c r="T7774" s="81"/>
      <c r="W7774" s="185"/>
      <c r="AE7774" s="185"/>
    </row>
    <row r="7775" spans="20:31" x14ac:dyDescent="0.25">
      <c r="T7775" s="81"/>
      <c r="W7775" s="185"/>
      <c r="AE7775" s="185"/>
    </row>
    <row r="7776" spans="20:31" x14ac:dyDescent="0.25">
      <c r="T7776" s="81"/>
      <c r="W7776" s="185"/>
      <c r="AE7776" s="185"/>
    </row>
    <row r="7777" spans="20:31" x14ac:dyDescent="0.25">
      <c r="T7777" s="81"/>
      <c r="W7777" s="185"/>
      <c r="AE7777" s="185"/>
    </row>
    <row r="7778" spans="20:31" x14ac:dyDescent="0.25">
      <c r="T7778" s="81"/>
      <c r="W7778" s="185"/>
      <c r="AE7778" s="185"/>
    </row>
    <row r="7779" spans="20:31" x14ac:dyDescent="0.25">
      <c r="T7779" s="81"/>
      <c r="W7779" s="185"/>
      <c r="AE7779" s="185"/>
    </row>
    <row r="7780" spans="20:31" x14ac:dyDescent="0.25">
      <c r="T7780" s="81"/>
      <c r="W7780" s="185"/>
      <c r="AE7780" s="185"/>
    </row>
    <row r="7781" spans="20:31" x14ac:dyDescent="0.25">
      <c r="T7781" s="81"/>
      <c r="W7781" s="185"/>
      <c r="AE7781" s="185"/>
    </row>
    <row r="7782" spans="20:31" x14ac:dyDescent="0.25">
      <c r="T7782" s="81"/>
      <c r="W7782" s="185"/>
      <c r="AE7782" s="185"/>
    </row>
    <row r="7783" spans="20:31" x14ac:dyDescent="0.25">
      <c r="T7783" s="81"/>
      <c r="W7783" s="185"/>
      <c r="AE7783" s="185"/>
    </row>
    <row r="7784" spans="20:31" x14ac:dyDescent="0.25">
      <c r="T7784" s="81"/>
      <c r="W7784" s="185"/>
      <c r="AE7784" s="185"/>
    </row>
    <row r="7785" spans="20:31" x14ac:dyDescent="0.25">
      <c r="T7785" s="81"/>
      <c r="W7785" s="185"/>
      <c r="AE7785" s="185"/>
    </row>
    <row r="7786" spans="20:31" x14ac:dyDescent="0.25">
      <c r="T7786" s="81"/>
      <c r="W7786" s="185"/>
      <c r="AE7786" s="185"/>
    </row>
    <row r="7787" spans="20:31" x14ac:dyDescent="0.25">
      <c r="T7787" s="81"/>
      <c r="W7787" s="185"/>
      <c r="AE7787" s="185"/>
    </row>
    <row r="7788" spans="20:31" x14ac:dyDescent="0.25">
      <c r="T7788" s="81"/>
      <c r="W7788" s="185"/>
      <c r="AE7788" s="185"/>
    </row>
    <row r="7789" spans="20:31" x14ac:dyDescent="0.25">
      <c r="T7789" s="81"/>
      <c r="W7789" s="185"/>
      <c r="AE7789" s="185"/>
    </row>
    <row r="7790" spans="20:31" x14ac:dyDescent="0.25">
      <c r="T7790" s="81"/>
      <c r="W7790" s="185"/>
      <c r="AE7790" s="185"/>
    </row>
    <row r="7791" spans="20:31" x14ac:dyDescent="0.25">
      <c r="T7791" s="81"/>
      <c r="W7791" s="185"/>
      <c r="AE7791" s="185"/>
    </row>
    <row r="7792" spans="20:31" x14ac:dyDescent="0.25">
      <c r="T7792" s="81"/>
      <c r="W7792" s="185"/>
      <c r="AE7792" s="185"/>
    </row>
    <row r="7793" spans="20:31" x14ac:dyDescent="0.25">
      <c r="T7793" s="81"/>
      <c r="W7793" s="185"/>
      <c r="AE7793" s="185"/>
    </row>
    <row r="7794" spans="20:31" x14ac:dyDescent="0.25">
      <c r="T7794" s="81"/>
      <c r="W7794" s="185"/>
      <c r="AE7794" s="185"/>
    </row>
    <row r="7795" spans="20:31" x14ac:dyDescent="0.25">
      <c r="T7795" s="81"/>
      <c r="W7795" s="185"/>
      <c r="AE7795" s="185"/>
    </row>
    <row r="7796" spans="20:31" x14ac:dyDescent="0.25">
      <c r="T7796" s="81"/>
      <c r="W7796" s="185"/>
      <c r="AE7796" s="185"/>
    </row>
    <row r="7797" spans="20:31" x14ac:dyDescent="0.25">
      <c r="T7797" s="81"/>
      <c r="W7797" s="185"/>
      <c r="AE7797" s="185"/>
    </row>
    <row r="7798" spans="20:31" x14ac:dyDescent="0.25">
      <c r="T7798" s="81"/>
      <c r="W7798" s="185"/>
      <c r="AE7798" s="185"/>
    </row>
    <row r="7799" spans="20:31" x14ac:dyDescent="0.25">
      <c r="T7799" s="81"/>
      <c r="W7799" s="185"/>
      <c r="AE7799" s="185"/>
    </row>
    <row r="7800" spans="20:31" x14ac:dyDescent="0.25">
      <c r="T7800" s="81"/>
      <c r="W7800" s="185"/>
      <c r="AE7800" s="185"/>
    </row>
    <row r="7801" spans="20:31" x14ac:dyDescent="0.25">
      <c r="T7801" s="81"/>
      <c r="W7801" s="185"/>
      <c r="AE7801" s="185"/>
    </row>
    <row r="7802" spans="20:31" x14ac:dyDescent="0.25">
      <c r="T7802" s="81"/>
      <c r="W7802" s="185"/>
      <c r="AE7802" s="185"/>
    </row>
    <row r="7803" spans="20:31" x14ac:dyDescent="0.25">
      <c r="T7803" s="81"/>
      <c r="W7803" s="185"/>
      <c r="AE7803" s="185"/>
    </row>
    <row r="7804" spans="20:31" x14ac:dyDescent="0.25">
      <c r="T7804" s="81"/>
      <c r="W7804" s="185"/>
      <c r="AE7804" s="185"/>
    </row>
    <row r="7805" spans="20:31" x14ac:dyDescent="0.25">
      <c r="T7805" s="81"/>
      <c r="W7805" s="185"/>
      <c r="AE7805" s="185"/>
    </row>
    <row r="7806" spans="20:31" x14ac:dyDescent="0.25">
      <c r="T7806" s="81"/>
      <c r="W7806" s="185"/>
      <c r="AE7806" s="185"/>
    </row>
    <row r="7807" spans="20:31" x14ac:dyDescent="0.25">
      <c r="T7807" s="81"/>
      <c r="W7807" s="185"/>
      <c r="AE7807" s="185"/>
    </row>
    <row r="7808" spans="20:31" x14ac:dyDescent="0.25">
      <c r="T7808" s="81"/>
      <c r="W7808" s="185"/>
      <c r="AE7808" s="185"/>
    </row>
    <row r="7809" spans="20:31" x14ac:dyDescent="0.25">
      <c r="T7809" s="81"/>
      <c r="W7809" s="185"/>
      <c r="AE7809" s="185"/>
    </row>
    <row r="7810" spans="20:31" x14ac:dyDescent="0.25">
      <c r="T7810" s="81"/>
      <c r="W7810" s="185"/>
      <c r="AE7810" s="185"/>
    </row>
    <row r="7811" spans="20:31" x14ac:dyDescent="0.25">
      <c r="T7811" s="81"/>
      <c r="W7811" s="185"/>
      <c r="AE7811" s="185"/>
    </row>
    <row r="7812" spans="20:31" x14ac:dyDescent="0.25">
      <c r="T7812" s="81"/>
      <c r="W7812" s="185"/>
      <c r="AE7812" s="185"/>
    </row>
    <row r="7813" spans="20:31" x14ac:dyDescent="0.25">
      <c r="T7813" s="81"/>
      <c r="W7813" s="185"/>
      <c r="AE7813" s="185"/>
    </row>
    <row r="7814" spans="20:31" x14ac:dyDescent="0.25">
      <c r="T7814" s="81"/>
      <c r="W7814" s="185"/>
      <c r="AE7814" s="185"/>
    </row>
    <row r="7815" spans="20:31" x14ac:dyDescent="0.25">
      <c r="T7815" s="81"/>
      <c r="W7815" s="185"/>
      <c r="AE7815" s="185"/>
    </row>
    <row r="7816" spans="20:31" x14ac:dyDescent="0.25">
      <c r="T7816" s="81"/>
      <c r="W7816" s="185"/>
      <c r="AE7816" s="185"/>
    </row>
    <row r="7817" spans="20:31" x14ac:dyDescent="0.25">
      <c r="T7817" s="81"/>
      <c r="W7817" s="185"/>
      <c r="AE7817" s="185"/>
    </row>
    <row r="7818" spans="20:31" x14ac:dyDescent="0.25">
      <c r="T7818" s="81"/>
      <c r="W7818" s="185"/>
      <c r="AE7818" s="185"/>
    </row>
    <row r="7819" spans="20:31" x14ac:dyDescent="0.25">
      <c r="T7819" s="81"/>
      <c r="W7819" s="185"/>
      <c r="AE7819" s="185"/>
    </row>
    <row r="7820" spans="20:31" x14ac:dyDescent="0.25">
      <c r="T7820" s="81"/>
      <c r="W7820" s="185"/>
      <c r="AE7820" s="185"/>
    </row>
    <row r="7821" spans="20:31" x14ac:dyDescent="0.25">
      <c r="T7821" s="81"/>
      <c r="W7821" s="185"/>
      <c r="AE7821" s="185"/>
    </row>
    <row r="7822" spans="20:31" x14ac:dyDescent="0.25">
      <c r="T7822" s="81"/>
      <c r="W7822" s="185"/>
      <c r="AE7822" s="185"/>
    </row>
    <row r="7823" spans="20:31" x14ac:dyDescent="0.25">
      <c r="T7823" s="81"/>
      <c r="W7823" s="185"/>
      <c r="AE7823" s="185"/>
    </row>
    <row r="7824" spans="20:31" x14ac:dyDescent="0.25">
      <c r="T7824" s="81"/>
      <c r="W7824" s="185"/>
      <c r="AE7824" s="185"/>
    </row>
    <row r="7825" spans="20:31" x14ac:dyDescent="0.25">
      <c r="T7825" s="81"/>
      <c r="W7825" s="185"/>
      <c r="AE7825" s="185"/>
    </row>
    <row r="7826" spans="20:31" x14ac:dyDescent="0.25">
      <c r="T7826" s="81"/>
      <c r="W7826" s="185"/>
      <c r="AE7826" s="185"/>
    </row>
    <row r="7827" spans="20:31" x14ac:dyDescent="0.25">
      <c r="T7827" s="81"/>
      <c r="W7827" s="185"/>
      <c r="AE7827" s="185"/>
    </row>
    <row r="7828" spans="20:31" x14ac:dyDescent="0.25">
      <c r="T7828" s="81"/>
      <c r="W7828" s="185"/>
      <c r="AE7828" s="185"/>
    </row>
    <row r="7829" spans="20:31" x14ac:dyDescent="0.25">
      <c r="T7829" s="81"/>
      <c r="W7829" s="185"/>
      <c r="AE7829" s="185"/>
    </row>
    <row r="7830" spans="20:31" x14ac:dyDescent="0.25">
      <c r="T7830" s="81"/>
      <c r="W7830" s="185"/>
      <c r="AE7830" s="185"/>
    </row>
    <row r="7831" spans="20:31" x14ac:dyDescent="0.25">
      <c r="T7831" s="81"/>
      <c r="W7831" s="185"/>
      <c r="AE7831" s="185"/>
    </row>
    <row r="7832" spans="20:31" x14ac:dyDescent="0.25">
      <c r="T7832" s="81"/>
      <c r="W7832" s="185"/>
      <c r="AE7832" s="185"/>
    </row>
    <row r="7833" spans="20:31" x14ac:dyDescent="0.25">
      <c r="T7833" s="81"/>
      <c r="W7833" s="185"/>
      <c r="AE7833" s="185"/>
    </row>
    <row r="7834" spans="20:31" x14ac:dyDescent="0.25">
      <c r="T7834" s="81"/>
      <c r="W7834" s="185"/>
      <c r="AE7834" s="185"/>
    </row>
    <row r="7835" spans="20:31" x14ac:dyDescent="0.25">
      <c r="T7835" s="81"/>
      <c r="W7835" s="185"/>
      <c r="AE7835" s="185"/>
    </row>
    <row r="7836" spans="20:31" x14ac:dyDescent="0.25">
      <c r="T7836" s="81"/>
      <c r="W7836" s="185"/>
      <c r="AE7836" s="185"/>
    </row>
    <row r="7837" spans="20:31" x14ac:dyDescent="0.25">
      <c r="T7837" s="81"/>
      <c r="W7837" s="185"/>
      <c r="AE7837" s="185"/>
    </row>
    <row r="7838" spans="20:31" x14ac:dyDescent="0.25">
      <c r="T7838" s="81"/>
      <c r="W7838" s="185"/>
      <c r="AE7838" s="185"/>
    </row>
    <row r="7839" spans="20:31" x14ac:dyDescent="0.25">
      <c r="T7839" s="81"/>
      <c r="W7839" s="185"/>
      <c r="AE7839" s="185"/>
    </row>
    <row r="7840" spans="20:31" x14ac:dyDescent="0.25">
      <c r="T7840" s="81"/>
      <c r="W7840" s="185"/>
      <c r="AE7840" s="185"/>
    </row>
    <row r="7841" spans="20:31" x14ac:dyDescent="0.25">
      <c r="T7841" s="81"/>
      <c r="W7841" s="185"/>
      <c r="AE7841" s="185"/>
    </row>
    <row r="7842" spans="20:31" x14ac:dyDescent="0.25">
      <c r="T7842" s="81"/>
      <c r="W7842" s="185"/>
      <c r="AE7842" s="185"/>
    </row>
    <row r="7843" spans="20:31" x14ac:dyDescent="0.25">
      <c r="T7843" s="81"/>
      <c r="W7843" s="185"/>
      <c r="AE7843" s="185"/>
    </row>
    <row r="7844" spans="20:31" x14ac:dyDescent="0.25">
      <c r="T7844" s="81"/>
      <c r="W7844" s="185"/>
      <c r="AE7844" s="185"/>
    </row>
    <row r="7845" spans="20:31" x14ac:dyDescent="0.25">
      <c r="T7845" s="81"/>
      <c r="W7845" s="185"/>
      <c r="AE7845" s="185"/>
    </row>
    <row r="7846" spans="20:31" x14ac:dyDescent="0.25">
      <c r="T7846" s="81"/>
      <c r="W7846" s="185"/>
      <c r="AE7846" s="185"/>
    </row>
    <row r="7847" spans="20:31" x14ac:dyDescent="0.25">
      <c r="T7847" s="81"/>
      <c r="W7847" s="185"/>
      <c r="AE7847" s="185"/>
    </row>
    <row r="7848" spans="20:31" x14ac:dyDescent="0.25">
      <c r="T7848" s="81"/>
      <c r="W7848" s="185"/>
      <c r="AE7848" s="185"/>
    </row>
    <row r="7849" spans="20:31" x14ac:dyDescent="0.25">
      <c r="T7849" s="81"/>
      <c r="W7849" s="185"/>
      <c r="AE7849" s="185"/>
    </row>
    <row r="7850" spans="20:31" x14ac:dyDescent="0.25">
      <c r="T7850" s="81"/>
      <c r="W7850" s="185"/>
      <c r="AE7850" s="185"/>
    </row>
    <row r="7851" spans="20:31" x14ac:dyDescent="0.25">
      <c r="T7851" s="81"/>
      <c r="W7851" s="185"/>
      <c r="AE7851" s="185"/>
    </row>
    <row r="7852" spans="20:31" x14ac:dyDescent="0.25">
      <c r="T7852" s="81"/>
      <c r="W7852" s="185"/>
      <c r="AE7852" s="185"/>
    </row>
    <row r="7853" spans="20:31" x14ac:dyDescent="0.25">
      <c r="T7853" s="81"/>
      <c r="W7853" s="185"/>
      <c r="AE7853" s="185"/>
    </row>
    <row r="7854" spans="20:31" x14ac:dyDescent="0.25">
      <c r="T7854" s="81"/>
      <c r="W7854" s="185"/>
      <c r="AE7854" s="185"/>
    </row>
    <row r="7855" spans="20:31" x14ac:dyDescent="0.25">
      <c r="T7855" s="81"/>
      <c r="W7855" s="185"/>
      <c r="AE7855" s="185"/>
    </row>
    <row r="7856" spans="20:31" x14ac:dyDescent="0.25">
      <c r="T7856" s="81"/>
      <c r="W7856" s="185"/>
      <c r="AE7856" s="185"/>
    </row>
    <row r="7857" spans="20:31" x14ac:dyDescent="0.25">
      <c r="T7857" s="81"/>
      <c r="W7857" s="185"/>
      <c r="AE7857" s="185"/>
    </row>
    <row r="7858" spans="20:31" x14ac:dyDescent="0.25">
      <c r="T7858" s="81"/>
      <c r="W7858" s="185"/>
      <c r="AE7858" s="185"/>
    </row>
    <row r="7859" spans="20:31" x14ac:dyDescent="0.25">
      <c r="T7859" s="81"/>
      <c r="W7859" s="185"/>
      <c r="AE7859" s="185"/>
    </row>
    <row r="7860" spans="20:31" x14ac:dyDescent="0.25">
      <c r="T7860" s="81"/>
      <c r="W7860" s="185"/>
      <c r="AE7860" s="185"/>
    </row>
    <row r="7861" spans="20:31" x14ac:dyDescent="0.25">
      <c r="T7861" s="81"/>
      <c r="W7861" s="185"/>
      <c r="AE7861" s="185"/>
    </row>
    <row r="7862" spans="20:31" x14ac:dyDescent="0.25">
      <c r="T7862" s="81"/>
      <c r="W7862" s="185"/>
      <c r="AE7862" s="185"/>
    </row>
    <row r="7863" spans="20:31" x14ac:dyDescent="0.25">
      <c r="T7863" s="81"/>
      <c r="W7863" s="185"/>
      <c r="AE7863" s="185"/>
    </row>
    <row r="7864" spans="20:31" x14ac:dyDescent="0.25">
      <c r="T7864" s="81"/>
      <c r="W7864" s="185"/>
      <c r="AE7864" s="185"/>
    </row>
    <row r="7865" spans="20:31" x14ac:dyDescent="0.25">
      <c r="T7865" s="81"/>
      <c r="W7865" s="185"/>
      <c r="AE7865" s="185"/>
    </row>
    <row r="7866" spans="20:31" x14ac:dyDescent="0.25">
      <c r="T7866" s="81"/>
      <c r="W7866" s="185"/>
      <c r="AE7866" s="185"/>
    </row>
    <row r="7867" spans="20:31" x14ac:dyDescent="0.25">
      <c r="T7867" s="81"/>
      <c r="W7867" s="185"/>
      <c r="AE7867" s="185"/>
    </row>
    <row r="7868" spans="20:31" x14ac:dyDescent="0.25">
      <c r="T7868" s="81"/>
      <c r="W7868" s="185"/>
      <c r="AE7868" s="185"/>
    </row>
    <row r="7869" spans="20:31" x14ac:dyDescent="0.25">
      <c r="T7869" s="81"/>
      <c r="W7869" s="185"/>
      <c r="AE7869" s="185"/>
    </row>
    <row r="7870" spans="20:31" x14ac:dyDescent="0.25">
      <c r="T7870" s="81"/>
      <c r="W7870" s="185"/>
      <c r="AE7870" s="185"/>
    </row>
    <row r="7871" spans="20:31" x14ac:dyDescent="0.25">
      <c r="T7871" s="81"/>
      <c r="W7871" s="185"/>
      <c r="AE7871" s="185"/>
    </row>
    <row r="7872" spans="20:31" x14ac:dyDescent="0.25">
      <c r="T7872" s="81"/>
      <c r="W7872" s="185"/>
      <c r="AE7872" s="185"/>
    </row>
    <row r="7873" spans="20:31" x14ac:dyDescent="0.25">
      <c r="T7873" s="81"/>
      <c r="W7873" s="185"/>
      <c r="AE7873" s="185"/>
    </row>
    <row r="7874" spans="20:31" x14ac:dyDescent="0.25">
      <c r="T7874" s="81"/>
      <c r="W7874" s="185"/>
      <c r="AE7874" s="185"/>
    </row>
    <row r="7875" spans="20:31" x14ac:dyDescent="0.25">
      <c r="T7875" s="81"/>
      <c r="W7875" s="185"/>
      <c r="AE7875" s="185"/>
    </row>
    <row r="7876" spans="20:31" x14ac:dyDescent="0.25">
      <c r="T7876" s="81"/>
      <c r="W7876" s="185"/>
      <c r="AE7876" s="185"/>
    </row>
    <row r="7877" spans="20:31" x14ac:dyDescent="0.25">
      <c r="T7877" s="81"/>
      <c r="W7877" s="185"/>
      <c r="AE7877" s="185"/>
    </row>
    <row r="7878" spans="20:31" x14ac:dyDescent="0.25">
      <c r="T7878" s="81"/>
      <c r="W7878" s="185"/>
      <c r="AE7878" s="185"/>
    </row>
    <row r="7879" spans="20:31" x14ac:dyDescent="0.25">
      <c r="T7879" s="81"/>
      <c r="W7879" s="185"/>
      <c r="AE7879" s="185"/>
    </row>
    <row r="7880" spans="20:31" x14ac:dyDescent="0.25">
      <c r="T7880" s="81"/>
      <c r="W7880" s="185"/>
      <c r="AE7880" s="185"/>
    </row>
    <row r="7881" spans="20:31" x14ac:dyDescent="0.25">
      <c r="T7881" s="81"/>
      <c r="W7881" s="185"/>
      <c r="AE7881" s="185"/>
    </row>
    <row r="7882" spans="20:31" x14ac:dyDescent="0.25">
      <c r="T7882" s="81"/>
      <c r="W7882" s="185"/>
      <c r="AE7882" s="185"/>
    </row>
    <row r="7883" spans="20:31" x14ac:dyDescent="0.25">
      <c r="T7883" s="81"/>
      <c r="W7883" s="185"/>
      <c r="AE7883" s="185"/>
    </row>
    <row r="7884" spans="20:31" x14ac:dyDescent="0.25">
      <c r="T7884" s="81"/>
      <c r="W7884" s="185"/>
      <c r="AE7884" s="185"/>
    </row>
    <row r="7885" spans="20:31" x14ac:dyDescent="0.25">
      <c r="T7885" s="81"/>
      <c r="W7885" s="185"/>
      <c r="AE7885" s="185"/>
    </row>
    <row r="7886" spans="20:31" x14ac:dyDescent="0.25">
      <c r="T7886" s="81"/>
      <c r="W7886" s="185"/>
      <c r="AE7886" s="185"/>
    </row>
    <row r="7887" spans="20:31" x14ac:dyDescent="0.25">
      <c r="T7887" s="81"/>
      <c r="W7887" s="185"/>
      <c r="AE7887" s="185"/>
    </row>
    <row r="7888" spans="20:31" x14ac:dyDescent="0.25">
      <c r="T7888" s="81"/>
      <c r="W7888" s="185"/>
      <c r="AE7888" s="185"/>
    </row>
    <row r="7889" spans="20:31" x14ac:dyDescent="0.25">
      <c r="T7889" s="81"/>
      <c r="W7889" s="185"/>
      <c r="AE7889" s="185"/>
    </row>
    <row r="7890" spans="20:31" x14ac:dyDescent="0.25">
      <c r="T7890" s="81"/>
      <c r="W7890" s="185"/>
      <c r="AE7890" s="185"/>
    </row>
    <row r="7891" spans="20:31" x14ac:dyDescent="0.25">
      <c r="T7891" s="81"/>
      <c r="W7891" s="185"/>
      <c r="AE7891" s="185"/>
    </row>
    <row r="7892" spans="20:31" x14ac:dyDescent="0.25">
      <c r="T7892" s="81"/>
      <c r="W7892" s="185"/>
      <c r="AE7892" s="185"/>
    </row>
    <row r="7893" spans="20:31" x14ac:dyDescent="0.25">
      <c r="T7893" s="81"/>
      <c r="W7893" s="185"/>
      <c r="AE7893" s="185"/>
    </row>
    <row r="7894" spans="20:31" x14ac:dyDescent="0.25">
      <c r="T7894" s="81"/>
      <c r="W7894" s="185"/>
      <c r="AE7894" s="185"/>
    </row>
    <row r="7895" spans="20:31" x14ac:dyDescent="0.25">
      <c r="T7895" s="81"/>
      <c r="W7895" s="185"/>
      <c r="AE7895" s="185"/>
    </row>
    <row r="7896" spans="20:31" x14ac:dyDescent="0.25">
      <c r="T7896" s="81"/>
      <c r="W7896" s="185"/>
      <c r="AE7896" s="185"/>
    </row>
    <row r="7897" spans="20:31" x14ac:dyDescent="0.25">
      <c r="T7897" s="81"/>
      <c r="W7897" s="185"/>
      <c r="AE7897" s="185"/>
    </row>
    <row r="7898" spans="20:31" x14ac:dyDescent="0.25">
      <c r="T7898" s="81"/>
      <c r="W7898" s="185"/>
      <c r="AE7898" s="185"/>
    </row>
    <row r="7899" spans="20:31" x14ac:dyDescent="0.25">
      <c r="T7899" s="81"/>
      <c r="W7899" s="185"/>
      <c r="AE7899" s="185"/>
    </row>
    <row r="7900" spans="20:31" x14ac:dyDescent="0.25">
      <c r="T7900" s="81"/>
      <c r="W7900" s="185"/>
      <c r="AE7900" s="185"/>
    </row>
    <row r="7901" spans="20:31" x14ac:dyDescent="0.25">
      <c r="T7901" s="81"/>
      <c r="W7901" s="185"/>
      <c r="AE7901" s="185"/>
    </row>
    <row r="7902" spans="20:31" x14ac:dyDescent="0.25">
      <c r="T7902" s="81"/>
      <c r="W7902" s="185"/>
      <c r="AE7902" s="185"/>
    </row>
    <row r="7903" spans="20:31" x14ac:dyDescent="0.25">
      <c r="T7903" s="81"/>
      <c r="W7903" s="185"/>
      <c r="AE7903" s="185"/>
    </row>
    <row r="7904" spans="20:31" x14ac:dyDescent="0.25">
      <c r="T7904" s="81"/>
      <c r="W7904" s="185"/>
      <c r="AE7904" s="185"/>
    </row>
    <row r="7905" spans="20:31" x14ac:dyDescent="0.25">
      <c r="T7905" s="81"/>
      <c r="W7905" s="185"/>
      <c r="AE7905" s="185"/>
    </row>
    <row r="7906" spans="20:31" x14ac:dyDescent="0.25">
      <c r="T7906" s="81"/>
      <c r="W7906" s="185"/>
      <c r="AE7906" s="185"/>
    </row>
    <row r="7907" spans="20:31" x14ac:dyDescent="0.25">
      <c r="T7907" s="81"/>
      <c r="W7907" s="185"/>
      <c r="AE7907" s="185"/>
    </row>
    <row r="7908" spans="20:31" x14ac:dyDescent="0.25">
      <c r="T7908" s="81"/>
      <c r="W7908" s="185"/>
      <c r="AE7908" s="185"/>
    </row>
    <row r="7909" spans="20:31" x14ac:dyDescent="0.25">
      <c r="T7909" s="81"/>
      <c r="W7909" s="185"/>
      <c r="AE7909" s="185"/>
    </row>
    <row r="7910" spans="20:31" x14ac:dyDescent="0.25">
      <c r="T7910" s="81"/>
      <c r="W7910" s="185"/>
      <c r="AE7910" s="185"/>
    </row>
    <row r="7911" spans="20:31" x14ac:dyDescent="0.25">
      <c r="T7911" s="81"/>
      <c r="W7911" s="185"/>
      <c r="AE7911" s="185"/>
    </row>
    <row r="7912" spans="20:31" x14ac:dyDescent="0.25">
      <c r="T7912" s="81"/>
      <c r="W7912" s="185"/>
      <c r="AE7912" s="185"/>
    </row>
    <row r="7913" spans="20:31" x14ac:dyDescent="0.25">
      <c r="T7913" s="81"/>
      <c r="W7913" s="185"/>
      <c r="AE7913" s="185"/>
    </row>
    <row r="7914" spans="20:31" x14ac:dyDescent="0.25">
      <c r="T7914" s="81"/>
      <c r="W7914" s="185"/>
      <c r="AE7914" s="185"/>
    </row>
    <row r="7915" spans="20:31" x14ac:dyDescent="0.25">
      <c r="T7915" s="81"/>
      <c r="W7915" s="185"/>
      <c r="AE7915" s="185"/>
    </row>
    <row r="7916" spans="20:31" x14ac:dyDescent="0.25">
      <c r="T7916" s="81"/>
      <c r="W7916" s="185"/>
      <c r="AE7916" s="185"/>
    </row>
    <row r="7917" spans="20:31" x14ac:dyDescent="0.25">
      <c r="T7917" s="81"/>
      <c r="W7917" s="185"/>
      <c r="AE7917" s="185"/>
    </row>
    <row r="7918" spans="20:31" x14ac:dyDescent="0.25">
      <c r="T7918" s="81"/>
      <c r="W7918" s="185"/>
      <c r="AE7918" s="185"/>
    </row>
    <row r="7919" spans="20:31" x14ac:dyDescent="0.25">
      <c r="T7919" s="81"/>
      <c r="W7919" s="185"/>
      <c r="AE7919" s="185"/>
    </row>
    <row r="7920" spans="20:31" x14ac:dyDescent="0.25">
      <c r="T7920" s="81"/>
      <c r="W7920" s="185"/>
      <c r="AE7920" s="185"/>
    </row>
    <row r="7921" spans="20:31" x14ac:dyDescent="0.25">
      <c r="T7921" s="81"/>
      <c r="W7921" s="185"/>
      <c r="AE7921" s="185"/>
    </row>
    <row r="7922" spans="20:31" x14ac:dyDescent="0.25">
      <c r="T7922" s="81"/>
      <c r="W7922" s="185"/>
      <c r="AE7922" s="185"/>
    </row>
    <row r="7923" spans="20:31" x14ac:dyDescent="0.25">
      <c r="T7923" s="81"/>
      <c r="W7923" s="185"/>
      <c r="AE7923" s="185"/>
    </row>
    <row r="7924" spans="20:31" x14ac:dyDescent="0.25">
      <c r="T7924" s="81"/>
      <c r="W7924" s="185"/>
      <c r="AE7924" s="185"/>
    </row>
    <row r="7925" spans="20:31" x14ac:dyDescent="0.25">
      <c r="T7925" s="81"/>
      <c r="W7925" s="185"/>
      <c r="AE7925" s="185"/>
    </row>
    <row r="7926" spans="20:31" x14ac:dyDescent="0.25">
      <c r="T7926" s="81"/>
      <c r="W7926" s="185"/>
      <c r="AE7926" s="185"/>
    </row>
    <row r="7927" spans="20:31" x14ac:dyDescent="0.25">
      <c r="T7927" s="81"/>
      <c r="W7927" s="185"/>
      <c r="AE7927" s="185"/>
    </row>
    <row r="7928" spans="20:31" x14ac:dyDescent="0.25">
      <c r="T7928" s="81"/>
      <c r="W7928" s="185"/>
      <c r="AE7928" s="185"/>
    </row>
    <row r="7929" spans="20:31" x14ac:dyDescent="0.25">
      <c r="T7929" s="81"/>
      <c r="W7929" s="185"/>
      <c r="AE7929" s="185"/>
    </row>
    <row r="7930" spans="20:31" x14ac:dyDescent="0.25">
      <c r="T7930" s="81"/>
      <c r="W7930" s="185"/>
      <c r="AE7930" s="185"/>
    </row>
    <row r="7931" spans="20:31" x14ac:dyDescent="0.25">
      <c r="T7931" s="81"/>
      <c r="W7931" s="185"/>
      <c r="AE7931" s="185"/>
    </row>
    <row r="7932" spans="20:31" x14ac:dyDescent="0.25">
      <c r="T7932" s="81"/>
      <c r="W7932" s="185"/>
      <c r="AE7932" s="185"/>
    </row>
    <row r="7933" spans="20:31" x14ac:dyDescent="0.25">
      <c r="T7933" s="81"/>
      <c r="W7933" s="185"/>
      <c r="AE7933" s="185"/>
    </row>
    <row r="7934" spans="20:31" x14ac:dyDescent="0.25">
      <c r="T7934" s="81"/>
      <c r="W7934" s="185"/>
      <c r="AE7934" s="185"/>
    </row>
    <row r="7935" spans="20:31" x14ac:dyDescent="0.25">
      <c r="T7935" s="81"/>
      <c r="W7935" s="185"/>
      <c r="AE7935" s="185"/>
    </row>
    <row r="7936" spans="20:31" x14ac:dyDescent="0.25">
      <c r="T7936" s="81"/>
      <c r="W7936" s="185"/>
      <c r="AE7936" s="185"/>
    </row>
    <row r="7937" spans="20:31" x14ac:dyDescent="0.25">
      <c r="T7937" s="81"/>
      <c r="W7937" s="185"/>
      <c r="AE7937" s="185"/>
    </row>
    <row r="7938" spans="20:31" x14ac:dyDescent="0.25">
      <c r="T7938" s="81"/>
      <c r="W7938" s="185"/>
      <c r="AE7938" s="185"/>
    </row>
    <row r="7939" spans="20:31" x14ac:dyDescent="0.25">
      <c r="T7939" s="81"/>
      <c r="W7939" s="185"/>
      <c r="AE7939" s="185"/>
    </row>
    <row r="7940" spans="20:31" x14ac:dyDescent="0.25">
      <c r="T7940" s="81"/>
      <c r="W7940" s="185"/>
      <c r="AE7940" s="185"/>
    </row>
    <row r="7941" spans="20:31" x14ac:dyDescent="0.25">
      <c r="T7941" s="81"/>
      <c r="W7941" s="185"/>
      <c r="AE7941" s="185"/>
    </row>
    <row r="7942" spans="20:31" x14ac:dyDescent="0.25">
      <c r="T7942" s="81"/>
      <c r="W7942" s="185"/>
      <c r="AE7942" s="185"/>
    </row>
    <row r="7943" spans="20:31" x14ac:dyDescent="0.25">
      <c r="T7943" s="81"/>
      <c r="W7943" s="185"/>
      <c r="AE7943" s="185"/>
    </row>
    <row r="7944" spans="20:31" x14ac:dyDescent="0.25">
      <c r="T7944" s="81"/>
      <c r="W7944" s="185"/>
      <c r="AE7944" s="185"/>
    </row>
    <row r="7945" spans="20:31" x14ac:dyDescent="0.25">
      <c r="T7945" s="81"/>
      <c r="W7945" s="185"/>
      <c r="AE7945" s="185"/>
    </row>
    <row r="7946" spans="20:31" x14ac:dyDescent="0.25">
      <c r="T7946" s="81"/>
      <c r="W7946" s="185"/>
      <c r="AE7946" s="185"/>
    </row>
    <row r="7947" spans="20:31" x14ac:dyDescent="0.25">
      <c r="T7947" s="81"/>
      <c r="W7947" s="185"/>
      <c r="AE7947" s="185"/>
    </row>
    <row r="7948" spans="20:31" x14ac:dyDescent="0.25">
      <c r="T7948" s="81"/>
      <c r="W7948" s="185"/>
      <c r="AE7948" s="185"/>
    </row>
    <row r="7949" spans="20:31" x14ac:dyDescent="0.25">
      <c r="T7949" s="81"/>
      <c r="W7949" s="185"/>
      <c r="AE7949" s="185"/>
    </row>
    <row r="7950" spans="20:31" x14ac:dyDescent="0.25">
      <c r="T7950" s="81"/>
      <c r="W7950" s="185"/>
      <c r="AE7950" s="185"/>
    </row>
    <row r="7951" spans="20:31" x14ac:dyDescent="0.25">
      <c r="T7951" s="81"/>
      <c r="W7951" s="185"/>
      <c r="AE7951" s="185"/>
    </row>
    <row r="7952" spans="20:31" x14ac:dyDescent="0.25">
      <c r="T7952" s="81"/>
      <c r="W7952" s="185"/>
      <c r="AE7952" s="185"/>
    </row>
    <row r="7953" spans="20:31" x14ac:dyDescent="0.25">
      <c r="T7953" s="81"/>
      <c r="W7953" s="185"/>
      <c r="AE7953" s="185"/>
    </row>
    <row r="7954" spans="20:31" x14ac:dyDescent="0.25">
      <c r="T7954" s="81"/>
      <c r="W7954" s="185"/>
      <c r="AE7954" s="185"/>
    </row>
    <row r="7955" spans="20:31" x14ac:dyDescent="0.25">
      <c r="T7955" s="81"/>
      <c r="W7955" s="185"/>
      <c r="AE7955" s="185"/>
    </row>
    <row r="7956" spans="20:31" x14ac:dyDescent="0.25">
      <c r="T7956" s="81"/>
      <c r="W7956" s="185"/>
      <c r="AE7956" s="185"/>
    </row>
    <row r="7957" spans="20:31" x14ac:dyDescent="0.25">
      <c r="T7957" s="81"/>
      <c r="W7957" s="185"/>
      <c r="AE7957" s="185"/>
    </row>
    <row r="7958" spans="20:31" x14ac:dyDescent="0.25">
      <c r="T7958" s="81"/>
      <c r="W7958" s="185"/>
      <c r="AE7958" s="185"/>
    </row>
    <row r="7959" spans="20:31" x14ac:dyDescent="0.25">
      <c r="T7959" s="81"/>
      <c r="W7959" s="185"/>
      <c r="AE7959" s="185"/>
    </row>
    <row r="7960" spans="20:31" x14ac:dyDescent="0.25">
      <c r="T7960" s="81"/>
      <c r="W7960" s="185"/>
      <c r="AE7960" s="185"/>
    </row>
    <row r="7961" spans="20:31" x14ac:dyDescent="0.25">
      <c r="T7961" s="81"/>
      <c r="W7961" s="185"/>
      <c r="AE7961" s="185"/>
    </row>
    <row r="7962" spans="20:31" x14ac:dyDescent="0.25">
      <c r="T7962" s="81"/>
      <c r="W7962" s="185"/>
      <c r="AE7962" s="185"/>
    </row>
    <row r="7963" spans="20:31" x14ac:dyDescent="0.25">
      <c r="T7963" s="81"/>
      <c r="W7963" s="185"/>
      <c r="AE7963" s="185"/>
    </row>
    <row r="7964" spans="20:31" x14ac:dyDescent="0.25">
      <c r="T7964" s="81"/>
      <c r="W7964" s="185"/>
      <c r="AE7964" s="185"/>
    </row>
    <row r="7965" spans="20:31" x14ac:dyDescent="0.25">
      <c r="T7965" s="81"/>
      <c r="W7965" s="185"/>
      <c r="AE7965" s="185"/>
    </row>
    <row r="7966" spans="20:31" x14ac:dyDescent="0.25">
      <c r="T7966" s="81"/>
      <c r="W7966" s="185"/>
      <c r="AE7966" s="185"/>
    </row>
    <row r="7967" spans="20:31" x14ac:dyDescent="0.25">
      <c r="T7967" s="81"/>
      <c r="W7967" s="185"/>
      <c r="AE7967" s="185"/>
    </row>
    <row r="7968" spans="20:31" x14ac:dyDescent="0.25">
      <c r="T7968" s="81"/>
      <c r="W7968" s="185"/>
      <c r="AE7968" s="185"/>
    </row>
    <row r="7969" spans="20:31" x14ac:dyDescent="0.25">
      <c r="T7969" s="81"/>
      <c r="W7969" s="185"/>
      <c r="AE7969" s="185"/>
    </row>
    <row r="7970" spans="20:31" x14ac:dyDescent="0.25">
      <c r="T7970" s="81"/>
      <c r="W7970" s="185"/>
      <c r="AE7970" s="185"/>
    </row>
    <row r="7971" spans="20:31" x14ac:dyDescent="0.25">
      <c r="T7971" s="81"/>
      <c r="W7971" s="185"/>
      <c r="AE7971" s="185"/>
    </row>
    <row r="7972" spans="20:31" x14ac:dyDescent="0.25">
      <c r="T7972" s="81"/>
      <c r="W7972" s="185"/>
      <c r="AE7972" s="185"/>
    </row>
    <row r="7973" spans="20:31" x14ac:dyDescent="0.25">
      <c r="T7973" s="81"/>
      <c r="W7973" s="185"/>
      <c r="AE7973" s="185"/>
    </row>
    <row r="7974" spans="20:31" x14ac:dyDescent="0.25">
      <c r="T7974" s="81"/>
      <c r="W7974" s="185"/>
      <c r="AE7974" s="185"/>
    </row>
    <row r="7975" spans="20:31" x14ac:dyDescent="0.25">
      <c r="T7975" s="81"/>
      <c r="W7975" s="185"/>
      <c r="AE7975" s="185"/>
    </row>
    <row r="7976" spans="20:31" x14ac:dyDescent="0.25">
      <c r="T7976" s="81"/>
      <c r="W7976" s="185"/>
      <c r="AE7976" s="185"/>
    </row>
    <row r="7977" spans="20:31" x14ac:dyDescent="0.25">
      <c r="T7977" s="81"/>
      <c r="W7977" s="185"/>
      <c r="AE7977" s="185"/>
    </row>
    <row r="7978" spans="20:31" x14ac:dyDescent="0.25">
      <c r="T7978" s="81"/>
      <c r="W7978" s="185"/>
      <c r="AE7978" s="185"/>
    </row>
    <row r="7979" spans="20:31" x14ac:dyDescent="0.25">
      <c r="T7979" s="81"/>
      <c r="W7979" s="185"/>
      <c r="AE7979" s="185"/>
    </row>
    <row r="7980" spans="20:31" x14ac:dyDescent="0.25">
      <c r="T7980" s="81"/>
      <c r="W7980" s="185"/>
      <c r="AE7980" s="185"/>
    </row>
    <row r="7981" spans="20:31" x14ac:dyDescent="0.25">
      <c r="T7981" s="81"/>
      <c r="W7981" s="185"/>
      <c r="AE7981" s="185"/>
    </row>
    <row r="7982" spans="20:31" x14ac:dyDescent="0.25">
      <c r="T7982" s="81"/>
      <c r="W7982" s="185"/>
      <c r="AE7982" s="185"/>
    </row>
    <row r="7983" spans="20:31" x14ac:dyDescent="0.25">
      <c r="T7983" s="81"/>
      <c r="W7983" s="185"/>
      <c r="AE7983" s="185"/>
    </row>
    <row r="7984" spans="20:31" x14ac:dyDescent="0.25">
      <c r="T7984" s="81"/>
      <c r="W7984" s="185"/>
      <c r="AE7984" s="185"/>
    </row>
    <row r="7985" spans="20:31" x14ac:dyDescent="0.25">
      <c r="T7985" s="81"/>
      <c r="W7985" s="185"/>
      <c r="AE7985" s="185"/>
    </row>
    <row r="7986" spans="20:31" x14ac:dyDescent="0.25">
      <c r="T7986" s="81"/>
      <c r="W7986" s="185"/>
      <c r="AE7986" s="185"/>
    </row>
    <row r="7987" spans="20:31" x14ac:dyDescent="0.25">
      <c r="T7987" s="81"/>
      <c r="W7987" s="185"/>
      <c r="AE7987" s="185"/>
    </row>
    <row r="7988" spans="20:31" x14ac:dyDescent="0.25">
      <c r="T7988" s="81"/>
      <c r="W7988" s="185"/>
      <c r="AE7988" s="185"/>
    </row>
    <row r="7989" spans="20:31" x14ac:dyDescent="0.25">
      <c r="T7989" s="81"/>
      <c r="W7989" s="185"/>
      <c r="AE7989" s="185"/>
    </row>
    <row r="7990" spans="20:31" x14ac:dyDescent="0.25">
      <c r="T7990" s="81"/>
      <c r="W7990" s="185"/>
      <c r="AE7990" s="185"/>
    </row>
    <row r="7991" spans="20:31" x14ac:dyDescent="0.25">
      <c r="T7991" s="81"/>
      <c r="W7991" s="185"/>
      <c r="AE7991" s="185"/>
    </row>
    <row r="7992" spans="20:31" x14ac:dyDescent="0.25">
      <c r="T7992" s="81"/>
      <c r="W7992" s="185"/>
      <c r="AE7992" s="185"/>
    </row>
    <row r="7993" spans="20:31" x14ac:dyDescent="0.25">
      <c r="T7993" s="81"/>
      <c r="W7993" s="185"/>
      <c r="AE7993" s="185"/>
    </row>
    <row r="7994" spans="20:31" x14ac:dyDescent="0.25">
      <c r="T7994" s="81"/>
      <c r="W7994" s="185"/>
      <c r="AE7994" s="185"/>
    </row>
    <row r="7995" spans="20:31" x14ac:dyDescent="0.25">
      <c r="T7995" s="81"/>
      <c r="W7995" s="185"/>
      <c r="AE7995" s="185"/>
    </row>
    <row r="7996" spans="20:31" x14ac:dyDescent="0.25">
      <c r="T7996" s="81"/>
      <c r="W7996" s="185"/>
      <c r="AE7996" s="185"/>
    </row>
    <row r="7997" spans="20:31" x14ac:dyDescent="0.25">
      <c r="T7997" s="81"/>
      <c r="W7997" s="185"/>
      <c r="AE7997" s="185"/>
    </row>
    <row r="7998" spans="20:31" x14ac:dyDescent="0.25">
      <c r="T7998" s="81"/>
      <c r="W7998" s="185"/>
      <c r="AE7998" s="185"/>
    </row>
    <row r="7999" spans="20:31" x14ac:dyDescent="0.25">
      <c r="T7999" s="81"/>
      <c r="W7999" s="185"/>
      <c r="AE7999" s="185"/>
    </row>
    <row r="8000" spans="20:31" x14ac:dyDescent="0.25">
      <c r="T8000" s="81"/>
      <c r="W8000" s="185"/>
      <c r="AE8000" s="185"/>
    </row>
    <row r="8001" spans="20:31" x14ac:dyDescent="0.25">
      <c r="T8001" s="81"/>
      <c r="W8001" s="185"/>
      <c r="AE8001" s="185"/>
    </row>
    <row r="8002" spans="20:31" x14ac:dyDescent="0.25">
      <c r="T8002" s="81"/>
      <c r="W8002" s="185"/>
      <c r="AE8002" s="185"/>
    </row>
    <row r="8003" spans="20:31" x14ac:dyDescent="0.25">
      <c r="T8003" s="81"/>
      <c r="W8003" s="185"/>
      <c r="AE8003" s="185"/>
    </row>
    <row r="8004" spans="20:31" x14ac:dyDescent="0.25">
      <c r="T8004" s="81"/>
      <c r="W8004" s="185"/>
      <c r="AE8004" s="185"/>
    </row>
    <row r="8005" spans="20:31" x14ac:dyDescent="0.25">
      <c r="T8005" s="81"/>
      <c r="W8005" s="185"/>
      <c r="AE8005" s="185"/>
    </row>
    <row r="8006" spans="20:31" x14ac:dyDescent="0.25">
      <c r="T8006" s="81"/>
      <c r="W8006" s="185"/>
      <c r="AE8006" s="185"/>
    </row>
    <row r="8007" spans="20:31" x14ac:dyDescent="0.25">
      <c r="T8007" s="81"/>
      <c r="W8007" s="185"/>
      <c r="AE8007" s="185"/>
    </row>
    <row r="8008" spans="20:31" x14ac:dyDescent="0.25">
      <c r="T8008" s="81"/>
      <c r="W8008" s="185"/>
      <c r="AE8008" s="185"/>
    </row>
    <row r="8009" spans="20:31" x14ac:dyDescent="0.25">
      <c r="T8009" s="81"/>
      <c r="W8009" s="185"/>
      <c r="AE8009" s="185"/>
    </row>
    <row r="8010" spans="20:31" x14ac:dyDescent="0.25">
      <c r="T8010" s="81"/>
      <c r="W8010" s="185"/>
      <c r="AE8010" s="185"/>
    </row>
    <row r="8011" spans="20:31" x14ac:dyDescent="0.25">
      <c r="T8011" s="81"/>
      <c r="W8011" s="185"/>
      <c r="AE8011" s="185"/>
    </row>
    <row r="8012" spans="20:31" x14ac:dyDescent="0.25">
      <c r="T8012" s="81"/>
      <c r="W8012" s="185"/>
      <c r="AE8012" s="185"/>
    </row>
    <row r="8013" spans="20:31" x14ac:dyDescent="0.25">
      <c r="T8013" s="81"/>
      <c r="W8013" s="185"/>
      <c r="AE8013" s="185"/>
    </row>
    <row r="8014" spans="20:31" x14ac:dyDescent="0.25">
      <c r="T8014" s="81"/>
      <c r="W8014" s="185"/>
      <c r="AE8014" s="185"/>
    </row>
    <row r="8015" spans="20:31" x14ac:dyDescent="0.25">
      <c r="T8015" s="81"/>
      <c r="W8015" s="185"/>
      <c r="AE8015" s="185"/>
    </row>
    <row r="8016" spans="20:31" x14ac:dyDescent="0.25">
      <c r="T8016" s="81"/>
      <c r="W8016" s="185"/>
      <c r="AE8016" s="185"/>
    </row>
    <row r="8017" spans="20:31" x14ac:dyDescent="0.25">
      <c r="T8017" s="81"/>
      <c r="W8017" s="185"/>
      <c r="AE8017" s="185"/>
    </row>
    <row r="8018" spans="20:31" x14ac:dyDescent="0.25">
      <c r="T8018" s="81"/>
      <c r="W8018" s="185"/>
      <c r="AE8018" s="185"/>
    </row>
    <row r="8019" spans="20:31" x14ac:dyDescent="0.25">
      <c r="T8019" s="81"/>
      <c r="W8019" s="185"/>
      <c r="AE8019" s="185"/>
    </row>
    <row r="8020" spans="20:31" x14ac:dyDescent="0.25">
      <c r="T8020" s="81"/>
      <c r="W8020" s="185"/>
      <c r="AE8020" s="185"/>
    </row>
    <row r="8021" spans="20:31" x14ac:dyDescent="0.25">
      <c r="T8021" s="81"/>
      <c r="W8021" s="185"/>
      <c r="AE8021" s="185"/>
    </row>
    <row r="8022" spans="20:31" x14ac:dyDescent="0.25">
      <c r="T8022" s="81"/>
      <c r="W8022" s="185"/>
      <c r="AE8022" s="185"/>
    </row>
    <row r="8023" spans="20:31" x14ac:dyDescent="0.25">
      <c r="T8023" s="81"/>
      <c r="W8023" s="185"/>
      <c r="AE8023" s="185"/>
    </row>
    <row r="8024" spans="20:31" x14ac:dyDescent="0.25">
      <c r="T8024" s="81"/>
      <c r="W8024" s="185"/>
      <c r="AE8024" s="185"/>
    </row>
    <row r="8025" spans="20:31" x14ac:dyDescent="0.25">
      <c r="T8025" s="81"/>
      <c r="W8025" s="185"/>
      <c r="AE8025" s="185"/>
    </row>
    <row r="8026" spans="20:31" x14ac:dyDescent="0.25">
      <c r="T8026" s="81"/>
      <c r="W8026" s="185"/>
      <c r="AE8026" s="185"/>
    </row>
    <row r="8027" spans="20:31" x14ac:dyDescent="0.25">
      <c r="T8027" s="81"/>
      <c r="W8027" s="185"/>
      <c r="AE8027" s="185"/>
    </row>
    <row r="8028" spans="20:31" x14ac:dyDescent="0.25">
      <c r="T8028" s="81"/>
      <c r="W8028" s="185"/>
      <c r="AE8028" s="185"/>
    </row>
    <row r="8029" spans="20:31" x14ac:dyDescent="0.25">
      <c r="T8029" s="81"/>
      <c r="W8029" s="185"/>
      <c r="AE8029" s="185"/>
    </row>
    <row r="8030" spans="20:31" x14ac:dyDescent="0.25">
      <c r="T8030" s="81"/>
      <c r="W8030" s="185"/>
      <c r="AE8030" s="185"/>
    </row>
    <row r="8031" spans="20:31" x14ac:dyDescent="0.25">
      <c r="T8031" s="81"/>
      <c r="W8031" s="185"/>
      <c r="AE8031" s="185"/>
    </row>
    <row r="8032" spans="20:31" x14ac:dyDescent="0.25">
      <c r="T8032" s="81"/>
      <c r="W8032" s="185"/>
      <c r="AE8032" s="185"/>
    </row>
    <row r="8033" spans="20:31" x14ac:dyDescent="0.25">
      <c r="T8033" s="81"/>
      <c r="W8033" s="185"/>
      <c r="AE8033" s="185"/>
    </row>
    <row r="8034" spans="20:31" x14ac:dyDescent="0.25">
      <c r="T8034" s="81"/>
      <c r="W8034" s="185"/>
      <c r="AE8034" s="185"/>
    </row>
    <row r="8035" spans="20:31" x14ac:dyDescent="0.25">
      <c r="T8035" s="81"/>
      <c r="W8035" s="185"/>
      <c r="AE8035" s="185"/>
    </row>
    <row r="8036" spans="20:31" x14ac:dyDescent="0.25">
      <c r="T8036" s="81"/>
      <c r="W8036" s="185"/>
      <c r="AE8036" s="185"/>
    </row>
    <row r="8037" spans="20:31" x14ac:dyDescent="0.25">
      <c r="T8037" s="81"/>
      <c r="W8037" s="185"/>
      <c r="AE8037" s="185"/>
    </row>
    <row r="8038" spans="20:31" x14ac:dyDescent="0.25">
      <c r="T8038" s="81"/>
      <c r="W8038" s="185"/>
      <c r="AE8038" s="185"/>
    </row>
    <row r="8039" spans="20:31" x14ac:dyDescent="0.25">
      <c r="T8039" s="81"/>
      <c r="W8039" s="185"/>
      <c r="AE8039" s="185"/>
    </row>
    <row r="8040" spans="20:31" x14ac:dyDescent="0.25">
      <c r="T8040" s="81"/>
      <c r="W8040" s="185"/>
      <c r="AE8040" s="185"/>
    </row>
    <row r="8041" spans="20:31" x14ac:dyDescent="0.25">
      <c r="T8041" s="81"/>
      <c r="W8041" s="185"/>
      <c r="AE8041" s="185"/>
    </row>
    <row r="8042" spans="20:31" x14ac:dyDescent="0.25">
      <c r="T8042" s="81"/>
      <c r="W8042" s="185"/>
      <c r="AE8042" s="185"/>
    </row>
    <row r="8043" spans="20:31" x14ac:dyDescent="0.25">
      <c r="T8043" s="81"/>
      <c r="W8043" s="185"/>
      <c r="AE8043" s="185"/>
    </row>
    <row r="8044" spans="20:31" x14ac:dyDescent="0.25">
      <c r="T8044" s="81"/>
      <c r="W8044" s="185"/>
      <c r="AE8044" s="185"/>
    </row>
    <row r="8045" spans="20:31" x14ac:dyDescent="0.25">
      <c r="T8045" s="81"/>
      <c r="W8045" s="185"/>
      <c r="AE8045" s="185"/>
    </row>
    <row r="8046" spans="20:31" x14ac:dyDescent="0.25">
      <c r="T8046" s="81"/>
      <c r="W8046" s="185"/>
      <c r="AE8046" s="185"/>
    </row>
    <row r="8047" spans="20:31" x14ac:dyDescent="0.25">
      <c r="T8047" s="81"/>
      <c r="W8047" s="185"/>
      <c r="AE8047" s="185"/>
    </row>
    <row r="8048" spans="20:31" x14ac:dyDescent="0.25">
      <c r="T8048" s="81"/>
      <c r="W8048" s="185"/>
      <c r="AE8048" s="185"/>
    </row>
    <row r="8049" spans="20:31" x14ac:dyDescent="0.25">
      <c r="T8049" s="81"/>
      <c r="W8049" s="185"/>
      <c r="AE8049" s="185"/>
    </row>
    <row r="8050" spans="20:31" x14ac:dyDescent="0.25">
      <c r="T8050" s="81"/>
      <c r="W8050" s="185"/>
      <c r="AE8050" s="185"/>
    </row>
    <row r="8051" spans="20:31" x14ac:dyDescent="0.25">
      <c r="T8051" s="81"/>
      <c r="W8051" s="185"/>
      <c r="AE8051" s="185"/>
    </row>
    <row r="8052" spans="20:31" x14ac:dyDescent="0.25">
      <c r="T8052" s="81"/>
      <c r="W8052" s="185"/>
      <c r="AE8052" s="185"/>
    </row>
    <row r="8053" spans="20:31" x14ac:dyDescent="0.25">
      <c r="T8053" s="81"/>
      <c r="W8053" s="185"/>
      <c r="AE8053" s="185"/>
    </row>
    <row r="8054" spans="20:31" x14ac:dyDescent="0.25">
      <c r="T8054" s="81"/>
      <c r="W8054" s="185"/>
      <c r="AE8054" s="185"/>
    </row>
    <row r="8055" spans="20:31" x14ac:dyDescent="0.25">
      <c r="T8055" s="81"/>
      <c r="W8055" s="185"/>
      <c r="AE8055" s="185"/>
    </row>
    <row r="8056" spans="20:31" x14ac:dyDescent="0.25">
      <c r="T8056" s="81"/>
      <c r="W8056" s="185"/>
      <c r="AE8056" s="185"/>
    </row>
    <row r="8057" spans="20:31" x14ac:dyDescent="0.25">
      <c r="T8057" s="81"/>
      <c r="W8057" s="185"/>
      <c r="AE8057" s="185"/>
    </row>
    <row r="8058" spans="20:31" x14ac:dyDescent="0.25">
      <c r="T8058" s="81"/>
      <c r="W8058" s="185"/>
      <c r="AE8058" s="185"/>
    </row>
    <row r="8059" spans="20:31" x14ac:dyDescent="0.25">
      <c r="T8059" s="81"/>
      <c r="W8059" s="185"/>
      <c r="AE8059" s="185"/>
    </row>
    <row r="8060" spans="20:31" x14ac:dyDescent="0.25">
      <c r="T8060" s="81"/>
      <c r="W8060" s="185"/>
      <c r="AE8060" s="185"/>
    </row>
    <row r="8061" spans="20:31" x14ac:dyDescent="0.25">
      <c r="T8061" s="81"/>
      <c r="W8061" s="185"/>
      <c r="AE8061" s="185"/>
    </row>
    <row r="8062" spans="20:31" x14ac:dyDescent="0.25">
      <c r="T8062" s="81"/>
      <c r="W8062" s="185"/>
      <c r="AE8062" s="185"/>
    </row>
    <row r="8063" spans="20:31" x14ac:dyDescent="0.25">
      <c r="T8063" s="81"/>
      <c r="W8063" s="185"/>
      <c r="AE8063" s="185"/>
    </row>
    <row r="8064" spans="20:31" x14ac:dyDescent="0.25">
      <c r="T8064" s="81"/>
      <c r="W8064" s="185"/>
      <c r="AE8064" s="185"/>
    </row>
    <row r="8065" spans="20:31" x14ac:dyDescent="0.25">
      <c r="T8065" s="81"/>
      <c r="W8065" s="185"/>
      <c r="AE8065" s="185"/>
    </row>
    <row r="8066" spans="20:31" x14ac:dyDescent="0.25">
      <c r="T8066" s="81"/>
      <c r="W8066" s="185"/>
      <c r="AE8066" s="185"/>
    </row>
    <row r="8067" spans="20:31" x14ac:dyDescent="0.25">
      <c r="T8067" s="81"/>
      <c r="W8067" s="185"/>
      <c r="AE8067" s="185"/>
    </row>
    <row r="8068" spans="20:31" x14ac:dyDescent="0.25">
      <c r="T8068" s="81"/>
      <c r="W8068" s="185"/>
      <c r="AE8068" s="185"/>
    </row>
    <row r="8069" spans="20:31" x14ac:dyDescent="0.25">
      <c r="T8069" s="81"/>
      <c r="W8069" s="185"/>
      <c r="AE8069" s="185"/>
    </row>
    <row r="8070" spans="20:31" x14ac:dyDescent="0.25">
      <c r="T8070" s="81"/>
      <c r="W8070" s="185"/>
      <c r="AE8070" s="185"/>
    </row>
    <row r="8071" spans="20:31" x14ac:dyDescent="0.25">
      <c r="T8071" s="81"/>
      <c r="W8071" s="185"/>
      <c r="AE8071" s="185"/>
    </row>
    <row r="8072" spans="20:31" x14ac:dyDescent="0.25">
      <c r="T8072" s="81"/>
      <c r="W8072" s="185"/>
      <c r="AE8072" s="185"/>
    </row>
    <row r="8073" spans="20:31" x14ac:dyDescent="0.25">
      <c r="T8073" s="81"/>
      <c r="W8073" s="185"/>
      <c r="AE8073" s="185"/>
    </row>
    <row r="8074" spans="20:31" x14ac:dyDescent="0.25">
      <c r="T8074" s="81"/>
      <c r="W8074" s="185"/>
      <c r="AE8074" s="185"/>
    </row>
    <row r="8075" spans="20:31" x14ac:dyDescent="0.25">
      <c r="T8075" s="81"/>
      <c r="W8075" s="185"/>
      <c r="AE8075" s="185"/>
    </row>
    <row r="8076" spans="20:31" x14ac:dyDescent="0.25">
      <c r="T8076" s="81"/>
      <c r="W8076" s="185"/>
      <c r="AE8076" s="185"/>
    </row>
    <row r="8077" spans="20:31" x14ac:dyDescent="0.25">
      <c r="T8077" s="81"/>
      <c r="W8077" s="185"/>
      <c r="AE8077" s="185"/>
    </row>
    <row r="8078" spans="20:31" x14ac:dyDescent="0.25">
      <c r="T8078" s="81"/>
      <c r="W8078" s="185"/>
      <c r="AE8078" s="185"/>
    </row>
    <row r="8079" spans="20:31" x14ac:dyDescent="0.25">
      <c r="T8079" s="81"/>
      <c r="W8079" s="185"/>
      <c r="AE8079" s="185"/>
    </row>
    <row r="8080" spans="20:31" x14ac:dyDescent="0.25">
      <c r="T8080" s="81"/>
      <c r="W8080" s="185"/>
      <c r="AE8080" s="185"/>
    </row>
    <row r="8081" spans="20:31" x14ac:dyDescent="0.25">
      <c r="T8081" s="81"/>
      <c r="W8081" s="185"/>
      <c r="AE8081" s="185"/>
    </row>
    <row r="8082" spans="20:31" x14ac:dyDescent="0.25">
      <c r="T8082" s="81"/>
      <c r="W8082" s="185"/>
      <c r="AE8082" s="185"/>
    </row>
    <row r="8083" spans="20:31" x14ac:dyDescent="0.25">
      <c r="T8083" s="81"/>
      <c r="W8083" s="185"/>
      <c r="AE8083" s="185"/>
    </row>
    <row r="8084" spans="20:31" x14ac:dyDescent="0.25">
      <c r="T8084" s="81"/>
      <c r="W8084" s="185"/>
      <c r="AE8084" s="185"/>
    </row>
    <row r="8085" spans="20:31" x14ac:dyDescent="0.25">
      <c r="T8085" s="81"/>
      <c r="W8085" s="185"/>
      <c r="AE8085" s="185"/>
    </row>
    <row r="8086" spans="20:31" x14ac:dyDescent="0.25">
      <c r="T8086" s="81"/>
      <c r="W8086" s="185"/>
      <c r="AE8086" s="185"/>
    </row>
    <row r="8087" spans="20:31" x14ac:dyDescent="0.25">
      <c r="T8087" s="81"/>
      <c r="W8087" s="185"/>
      <c r="AE8087" s="185"/>
    </row>
    <row r="8088" spans="20:31" x14ac:dyDescent="0.25">
      <c r="T8088" s="81"/>
      <c r="W8088" s="185"/>
      <c r="AE8088" s="185"/>
    </row>
    <row r="8089" spans="20:31" x14ac:dyDescent="0.25">
      <c r="T8089" s="81"/>
      <c r="W8089" s="185"/>
      <c r="AE8089" s="185"/>
    </row>
    <row r="8090" spans="20:31" x14ac:dyDescent="0.25">
      <c r="T8090" s="81"/>
      <c r="W8090" s="185"/>
      <c r="AE8090" s="185"/>
    </row>
    <row r="8091" spans="20:31" x14ac:dyDescent="0.25">
      <c r="T8091" s="81"/>
      <c r="W8091" s="185"/>
      <c r="AE8091" s="185"/>
    </row>
    <row r="8092" spans="20:31" x14ac:dyDescent="0.25">
      <c r="T8092" s="81"/>
      <c r="W8092" s="185"/>
      <c r="AE8092" s="185"/>
    </row>
    <row r="8093" spans="20:31" x14ac:dyDescent="0.25">
      <c r="T8093" s="81"/>
      <c r="W8093" s="185"/>
      <c r="AE8093" s="185"/>
    </row>
    <row r="8094" spans="20:31" x14ac:dyDescent="0.25">
      <c r="T8094" s="81"/>
      <c r="W8094" s="185"/>
      <c r="AE8094" s="185"/>
    </row>
    <row r="8095" spans="20:31" x14ac:dyDescent="0.25">
      <c r="T8095" s="81"/>
      <c r="W8095" s="185"/>
      <c r="AE8095" s="185"/>
    </row>
    <row r="8096" spans="20:31" x14ac:dyDescent="0.25">
      <c r="T8096" s="81"/>
      <c r="W8096" s="185"/>
      <c r="AE8096" s="185"/>
    </row>
    <row r="8097" spans="20:31" x14ac:dyDescent="0.25">
      <c r="T8097" s="81"/>
      <c r="W8097" s="185"/>
      <c r="AE8097" s="185"/>
    </row>
    <row r="8098" spans="20:31" x14ac:dyDescent="0.25">
      <c r="T8098" s="81"/>
      <c r="W8098" s="185"/>
      <c r="AE8098" s="185"/>
    </row>
    <row r="8099" spans="20:31" x14ac:dyDescent="0.25">
      <c r="T8099" s="81"/>
      <c r="W8099" s="185"/>
      <c r="AE8099" s="185"/>
    </row>
    <row r="8100" spans="20:31" x14ac:dyDescent="0.25">
      <c r="T8100" s="81"/>
      <c r="W8100" s="185"/>
      <c r="AE8100" s="185"/>
    </row>
    <row r="8101" spans="20:31" x14ac:dyDescent="0.25">
      <c r="T8101" s="81"/>
      <c r="W8101" s="185"/>
      <c r="AE8101" s="185"/>
    </row>
    <row r="8102" spans="20:31" x14ac:dyDescent="0.25">
      <c r="T8102" s="81"/>
      <c r="W8102" s="185"/>
      <c r="AE8102" s="185"/>
    </row>
    <row r="8103" spans="20:31" x14ac:dyDescent="0.25">
      <c r="T8103" s="81"/>
      <c r="W8103" s="185"/>
      <c r="AE8103" s="185"/>
    </row>
    <row r="8104" spans="20:31" x14ac:dyDescent="0.25">
      <c r="T8104" s="81"/>
      <c r="W8104" s="185"/>
      <c r="AE8104" s="185"/>
    </row>
    <row r="8105" spans="20:31" x14ac:dyDescent="0.25">
      <c r="T8105" s="81"/>
      <c r="W8105" s="185"/>
      <c r="AE8105" s="185"/>
    </row>
    <row r="8106" spans="20:31" x14ac:dyDescent="0.25">
      <c r="T8106" s="81"/>
      <c r="W8106" s="185"/>
      <c r="AE8106" s="185"/>
    </row>
    <row r="8107" spans="20:31" x14ac:dyDescent="0.25">
      <c r="T8107" s="81"/>
      <c r="W8107" s="185"/>
      <c r="AE8107" s="185"/>
    </row>
    <row r="8108" spans="20:31" x14ac:dyDescent="0.25">
      <c r="T8108" s="81"/>
      <c r="W8108" s="185"/>
      <c r="AE8108" s="185"/>
    </row>
    <row r="8109" spans="20:31" x14ac:dyDescent="0.25">
      <c r="T8109" s="81"/>
      <c r="W8109" s="185"/>
      <c r="AE8109" s="185"/>
    </row>
    <row r="8110" spans="20:31" x14ac:dyDescent="0.25">
      <c r="T8110" s="81"/>
      <c r="W8110" s="185"/>
      <c r="AE8110" s="185"/>
    </row>
    <row r="8111" spans="20:31" x14ac:dyDescent="0.25">
      <c r="T8111" s="81"/>
      <c r="W8111" s="185"/>
      <c r="AE8111" s="185"/>
    </row>
    <row r="8112" spans="20:31" x14ac:dyDescent="0.25">
      <c r="T8112" s="81"/>
      <c r="W8112" s="185"/>
      <c r="AE8112" s="185"/>
    </row>
    <row r="8113" spans="20:31" x14ac:dyDescent="0.25">
      <c r="T8113" s="81"/>
      <c r="W8113" s="185"/>
      <c r="AE8113" s="185"/>
    </row>
    <row r="8114" spans="20:31" x14ac:dyDescent="0.25">
      <c r="T8114" s="81"/>
      <c r="W8114" s="185"/>
      <c r="AE8114" s="185"/>
    </row>
    <row r="8115" spans="20:31" x14ac:dyDescent="0.25">
      <c r="T8115" s="81"/>
      <c r="W8115" s="185"/>
      <c r="AE8115" s="185"/>
    </row>
    <row r="8116" spans="20:31" x14ac:dyDescent="0.25">
      <c r="T8116" s="81"/>
      <c r="W8116" s="185"/>
      <c r="AE8116" s="185"/>
    </row>
    <row r="8117" spans="20:31" x14ac:dyDescent="0.25">
      <c r="T8117" s="81"/>
      <c r="W8117" s="185"/>
      <c r="AE8117" s="185"/>
    </row>
    <row r="8118" spans="20:31" x14ac:dyDescent="0.25">
      <c r="T8118" s="81"/>
      <c r="W8118" s="185"/>
      <c r="AE8118" s="185"/>
    </row>
    <row r="8119" spans="20:31" x14ac:dyDescent="0.25">
      <c r="T8119" s="81"/>
      <c r="W8119" s="185"/>
      <c r="AE8119" s="185"/>
    </row>
    <row r="8120" spans="20:31" x14ac:dyDescent="0.25">
      <c r="T8120" s="81"/>
      <c r="W8120" s="185"/>
      <c r="AE8120" s="185"/>
    </row>
    <row r="8121" spans="20:31" x14ac:dyDescent="0.25">
      <c r="T8121" s="81"/>
      <c r="W8121" s="185"/>
      <c r="AE8121" s="185"/>
    </row>
    <row r="8122" spans="20:31" x14ac:dyDescent="0.25">
      <c r="T8122" s="81"/>
      <c r="W8122" s="185"/>
      <c r="AE8122" s="185"/>
    </row>
    <row r="8123" spans="20:31" x14ac:dyDescent="0.25">
      <c r="T8123" s="81"/>
      <c r="W8123" s="185"/>
      <c r="AE8123" s="185"/>
    </row>
    <row r="8124" spans="20:31" x14ac:dyDescent="0.25">
      <c r="T8124" s="81"/>
      <c r="W8124" s="185"/>
      <c r="AE8124" s="185"/>
    </row>
    <row r="8125" spans="20:31" x14ac:dyDescent="0.25">
      <c r="T8125" s="81"/>
      <c r="W8125" s="185"/>
      <c r="AE8125" s="185"/>
    </row>
    <row r="8126" spans="20:31" x14ac:dyDescent="0.25">
      <c r="T8126" s="81"/>
      <c r="W8126" s="185"/>
      <c r="AE8126" s="185"/>
    </row>
    <row r="8127" spans="20:31" x14ac:dyDescent="0.25">
      <c r="T8127" s="81"/>
      <c r="W8127" s="185"/>
      <c r="AE8127" s="185"/>
    </row>
    <row r="8128" spans="20:31" x14ac:dyDescent="0.25">
      <c r="T8128" s="81"/>
      <c r="W8128" s="185"/>
      <c r="AE8128" s="185"/>
    </row>
    <row r="8129" spans="20:31" x14ac:dyDescent="0.25">
      <c r="T8129" s="81"/>
      <c r="W8129" s="185"/>
      <c r="AE8129" s="185"/>
    </row>
    <row r="8130" spans="20:31" x14ac:dyDescent="0.25">
      <c r="T8130" s="81"/>
      <c r="W8130" s="185"/>
      <c r="AE8130" s="185"/>
    </row>
    <row r="8131" spans="20:31" x14ac:dyDescent="0.25">
      <c r="T8131" s="81"/>
      <c r="W8131" s="185"/>
      <c r="AE8131" s="185"/>
    </row>
    <row r="8132" spans="20:31" x14ac:dyDescent="0.25">
      <c r="T8132" s="81"/>
      <c r="W8132" s="185"/>
      <c r="AE8132" s="185"/>
    </row>
    <row r="8133" spans="20:31" x14ac:dyDescent="0.25">
      <c r="T8133" s="81"/>
      <c r="W8133" s="185"/>
      <c r="AE8133" s="185"/>
    </row>
    <row r="8134" spans="20:31" x14ac:dyDescent="0.25">
      <c r="T8134" s="81"/>
      <c r="W8134" s="185"/>
      <c r="AE8134" s="185"/>
    </row>
    <row r="8135" spans="20:31" x14ac:dyDescent="0.25">
      <c r="T8135" s="81"/>
      <c r="W8135" s="185"/>
      <c r="AE8135" s="185"/>
    </row>
    <row r="8136" spans="20:31" x14ac:dyDescent="0.25">
      <c r="T8136" s="81"/>
      <c r="W8136" s="185"/>
      <c r="AE8136" s="185"/>
    </row>
    <row r="8137" spans="20:31" x14ac:dyDescent="0.25">
      <c r="T8137" s="81"/>
      <c r="W8137" s="185"/>
      <c r="AE8137" s="185"/>
    </row>
    <row r="8138" spans="20:31" x14ac:dyDescent="0.25">
      <c r="T8138" s="81"/>
      <c r="W8138" s="185"/>
      <c r="AE8138" s="185"/>
    </row>
    <row r="8139" spans="20:31" x14ac:dyDescent="0.25">
      <c r="T8139" s="81"/>
      <c r="W8139" s="185"/>
      <c r="AE8139" s="185"/>
    </row>
    <row r="8140" spans="20:31" x14ac:dyDescent="0.25">
      <c r="T8140" s="81"/>
      <c r="W8140" s="185"/>
      <c r="AE8140" s="185"/>
    </row>
    <row r="8141" spans="20:31" x14ac:dyDescent="0.25">
      <c r="T8141" s="81"/>
      <c r="W8141" s="185"/>
      <c r="AE8141" s="185"/>
    </row>
    <row r="8142" spans="20:31" x14ac:dyDescent="0.25">
      <c r="T8142" s="81"/>
      <c r="W8142" s="185"/>
      <c r="AE8142" s="185"/>
    </row>
    <row r="8143" spans="20:31" x14ac:dyDescent="0.25">
      <c r="T8143" s="81"/>
      <c r="W8143" s="185"/>
      <c r="AE8143" s="185"/>
    </row>
    <row r="8144" spans="20:31" x14ac:dyDescent="0.25">
      <c r="T8144" s="81"/>
      <c r="W8144" s="185"/>
      <c r="AE8144" s="185"/>
    </row>
    <row r="8145" spans="20:31" x14ac:dyDescent="0.25">
      <c r="T8145" s="81"/>
      <c r="W8145" s="185"/>
      <c r="AE8145" s="185"/>
    </row>
    <row r="8146" spans="20:31" x14ac:dyDescent="0.25">
      <c r="T8146" s="81"/>
      <c r="W8146" s="185"/>
      <c r="AE8146" s="185"/>
    </row>
    <row r="8147" spans="20:31" x14ac:dyDescent="0.25">
      <c r="T8147" s="81"/>
      <c r="W8147" s="185"/>
      <c r="AE8147" s="185"/>
    </row>
    <row r="8148" spans="20:31" x14ac:dyDescent="0.25">
      <c r="T8148" s="81"/>
      <c r="W8148" s="185"/>
      <c r="AE8148" s="185"/>
    </row>
    <row r="8149" spans="20:31" x14ac:dyDescent="0.25">
      <c r="T8149" s="81"/>
      <c r="W8149" s="185"/>
      <c r="AE8149" s="185"/>
    </row>
    <row r="8150" spans="20:31" x14ac:dyDescent="0.25">
      <c r="T8150" s="81"/>
      <c r="W8150" s="185"/>
      <c r="AE8150" s="185"/>
    </row>
    <row r="8151" spans="20:31" x14ac:dyDescent="0.25">
      <c r="T8151" s="81"/>
      <c r="W8151" s="185"/>
      <c r="AE8151" s="185"/>
    </row>
    <row r="8152" spans="20:31" x14ac:dyDescent="0.25">
      <c r="T8152" s="81"/>
      <c r="W8152" s="185"/>
      <c r="AE8152" s="185"/>
    </row>
    <row r="8153" spans="20:31" x14ac:dyDescent="0.25">
      <c r="T8153" s="81"/>
      <c r="W8153" s="185"/>
      <c r="AE8153" s="185"/>
    </row>
    <row r="8154" spans="20:31" x14ac:dyDescent="0.25">
      <c r="T8154" s="81"/>
      <c r="W8154" s="185"/>
      <c r="AE8154" s="185"/>
    </row>
    <row r="8155" spans="20:31" x14ac:dyDescent="0.25">
      <c r="T8155" s="81"/>
      <c r="W8155" s="185"/>
      <c r="AE8155" s="185"/>
    </row>
    <row r="8156" spans="20:31" x14ac:dyDescent="0.25">
      <c r="T8156" s="81"/>
      <c r="W8156" s="185"/>
      <c r="AE8156" s="185"/>
    </row>
    <row r="8157" spans="20:31" x14ac:dyDescent="0.25">
      <c r="T8157" s="81"/>
      <c r="W8157" s="185"/>
      <c r="AE8157" s="185"/>
    </row>
    <row r="8158" spans="20:31" x14ac:dyDescent="0.25">
      <c r="T8158" s="81"/>
      <c r="W8158" s="185"/>
      <c r="AE8158" s="185"/>
    </row>
    <row r="8159" spans="20:31" x14ac:dyDescent="0.25">
      <c r="T8159" s="81"/>
      <c r="W8159" s="185"/>
      <c r="AE8159" s="185"/>
    </row>
    <row r="8160" spans="20:31" x14ac:dyDescent="0.25">
      <c r="T8160" s="81"/>
      <c r="W8160" s="185"/>
      <c r="AE8160" s="185"/>
    </row>
    <row r="8161" spans="20:31" x14ac:dyDescent="0.25">
      <c r="T8161" s="81"/>
      <c r="W8161" s="185"/>
      <c r="AE8161" s="185"/>
    </row>
    <row r="8162" spans="20:31" x14ac:dyDescent="0.25">
      <c r="T8162" s="81"/>
      <c r="W8162" s="185"/>
      <c r="AE8162" s="185"/>
    </row>
    <row r="8163" spans="20:31" x14ac:dyDescent="0.25">
      <c r="T8163" s="81"/>
      <c r="W8163" s="185"/>
      <c r="AE8163" s="185"/>
    </row>
    <row r="8164" spans="20:31" x14ac:dyDescent="0.25">
      <c r="T8164" s="81"/>
      <c r="W8164" s="185"/>
      <c r="AE8164" s="185"/>
    </row>
    <row r="8165" spans="20:31" x14ac:dyDescent="0.25">
      <c r="T8165" s="81"/>
      <c r="W8165" s="185"/>
      <c r="AE8165" s="185"/>
    </row>
    <row r="8166" spans="20:31" x14ac:dyDescent="0.25">
      <c r="T8166" s="81"/>
      <c r="W8166" s="185"/>
      <c r="AE8166" s="185"/>
    </row>
    <row r="8167" spans="20:31" x14ac:dyDescent="0.25">
      <c r="T8167" s="81"/>
      <c r="W8167" s="185"/>
      <c r="AE8167" s="185"/>
    </row>
    <row r="8168" spans="20:31" x14ac:dyDescent="0.25">
      <c r="T8168" s="81"/>
      <c r="W8168" s="185"/>
      <c r="AE8168" s="185"/>
    </row>
    <row r="8169" spans="20:31" x14ac:dyDescent="0.25">
      <c r="T8169" s="81"/>
      <c r="W8169" s="185"/>
      <c r="AE8169" s="185"/>
    </row>
    <row r="8170" spans="20:31" x14ac:dyDescent="0.25">
      <c r="T8170" s="81"/>
      <c r="W8170" s="185"/>
      <c r="AE8170" s="185"/>
    </row>
    <row r="8171" spans="20:31" x14ac:dyDescent="0.25">
      <c r="T8171" s="81"/>
      <c r="W8171" s="185"/>
      <c r="AE8171" s="185"/>
    </row>
    <row r="8172" spans="20:31" x14ac:dyDescent="0.25">
      <c r="T8172" s="81"/>
      <c r="W8172" s="185"/>
      <c r="AE8172" s="185"/>
    </row>
    <row r="8173" spans="20:31" x14ac:dyDescent="0.25">
      <c r="T8173" s="81"/>
      <c r="W8173" s="185"/>
      <c r="AE8173" s="185"/>
    </row>
    <row r="8174" spans="20:31" x14ac:dyDescent="0.25">
      <c r="T8174" s="81"/>
      <c r="W8174" s="185"/>
      <c r="AE8174" s="185"/>
    </row>
    <row r="8175" spans="20:31" x14ac:dyDescent="0.25">
      <c r="T8175" s="81"/>
      <c r="W8175" s="185"/>
      <c r="AE8175" s="185"/>
    </row>
    <row r="8176" spans="20:31" x14ac:dyDescent="0.25">
      <c r="T8176" s="81"/>
      <c r="W8176" s="185"/>
      <c r="AE8176" s="185"/>
    </row>
    <row r="8177" spans="20:31" x14ac:dyDescent="0.25">
      <c r="T8177" s="81"/>
      <c r="W8177" s="185"/>
      <c r="AE8177" s="185"/>
    </row>
    <row r="8178" spans="20:31" x14ac:dyDescent="0.25">
      <c r="T8178" s="81"/>
      <c r="W8178" s="185"/>
      <c r="AE8178" s="185"/>
    </row>
    <row r="8179" spans="20:31" x14ac:dyDescent="0.25">
      <c r="T8179" s="81"/>
      <c r="W8179" s="185"/>
      <c r="AE8179" s="185"/>
    </row>
    <row r="8180" spans="20:31" x14ac:dyDescent="0.25">
      <c r="T8180" s="81"/>
      <c r="W8180" s="185"/>
      <c r="AE8180" s="185"/>
    </row>
    <row r="8181" spans="20:31" x14ac:dyDescent="0.25">
      <c r="T8181" s="81"/>
      <c r="W8181" s="185"/>
      <c r="AE8181" s="185"/>
    </row>
    <row r="8182" spans="20:31" x14ac:dyDescent="0.25">
      <c r="T8182" s="81"/>
      <c r="W8182" s="185"/>
      <c r="AE8182" s="185"/>
    </row>
    <row r="8183" spans="20:31" x14ac:dyDescent="0.25">
      <c r="T8183" s="81"/>
      <c r="W8183" s="185"/>
      <c r="AE8183" s="185"/>
    </row>
    <row r="8184" spans="20:31" x14ac:dyDescent="0.25">
      <c r="T8184" s="81"/>
      <c r="W8184" s="185"/>
      <c r="AE8184" s="185"/>
    </row>
    <row r="8185" spans="20:31" x14ac:dyDescent="0.25">
      <c r="T8185" s="81"/>
      <c r="W8185" s="185"/>
      <c r="AE8185" s="185"/>
    </row>
    <row r="8186" spans="20:31" x14ac:dyDescent="0.25">
      <c r="T8186" s="81"/>
      <c r="W8186" s="185"/>
      <c r="AE8186" s="185"/>
    </row>
    <row r="8187" spans="20:31" x14ac:dyDescent="0.25">
      <c r="T8187" s="81"/>
      <c r="W8187" s="185"/>
      <c r="AE8187" s="185"/>
    </row>
    <row r="8188" spans="20:31" x14ac:dyDescent="0.25">
      <c r="T8188" s="81"/>
      <c r="W8188" s="185"/>
      <c r="AE8188" s="185"/>
    </row>
    <row r="8189" spans="20:31" x14ac:dyDescent="0.25">
      <c r="T8189" s="81"/>
      <c r="W8189" s="185"/>
      <c r="AE8189" s="185"/>
    </row>
    <row r="8190" spans="20:31" x14ac:dyDescent="0.25">
      <c r="T8190" s="81"/>
      <c r="W8190" s="185"/>
      <c r="AE8190" s="185"/>
    </row>
    <row r="8191" spans="20:31" x14ac:dyDescent="0.25">
      <c r="T8191" s="81"/>
      <c r="W8191" s="185"/>
      <c r="AE8191" s="185"/>
    </row>
    <row r="8192" spans="20:31" x14ac:dyDescent="0.25">
      <c r="T8192" s="81"/>
      <c r="W8192" s="185"/>
      <c r="AE8192" s="185"/>
    </row>
    <row r="8193" spans="20:31" x14ac:dyDescent="0.25">
      <c r="T8193" s="81"/>
      <c r="W8193" s="185"/>
      <c r="AE8193" s="185"/>
    </row>
    <row r="8194" spans="20:31" x14ac:dyDescent="0.25">
      <c r="T8194" s="81"/>
      <c r="W8194" s="185"/>
      <c r="AE8194" s="185"/>
    </row>
    <row r="8195" spans="20:31" x14ac:dyDescent="0.25">
      <c r="T8195" s="81"/>
      <c r="W8195" s="185"/>
      <c r="AE8195" s="185"/>
    </row>
    <row r="8196" spans="20:31" x14ac:dyDescent="0.25">
      <c r="T8196" s="81"/>
      <c r="W8196" s="185"/>
      <c r="AE8196" s="185"/>
    </row>
    <row r="8197" spans="20:31" x14ac:dyDescent="0.25">
      <c r="T8197" s="81"/>
      <c r="W8197" s="185"/>
      <c r="AE8197" s="185"/>
    </row>
    <row r="8198" spans="20:31" x14ac:dyDescent="0.25">
      <c r="T8198" s="81"/>
      <c r="W8198" s="185"/>
      <c r="AE8198" s="185"/>
    </row>
    <row r="8199" spans="20:31" x14ac:dyDescent="0.25">
      <c r="T8199" s="81"/>
      <c r="W8199" s="185"/>
      <c r="AE8199" s="185"/>
    </row>
    <row r="8200" spans="20:31" x14ac:dyDescent="0.25">
      <c r="T8200" s="81"/>
      <c r="W8200" s="185"/>
      <c r="AE8200" s="185"/>
    </row>
    <row r="8201" spans="20:31" x14ac:dyDescent="0.25">
      <c r="T8201" s="81"/>
      <c r="W8201" s="185"/>
      <c r="AE8201" s="185"/>
    </row>
    <row r="8202" spans="20:31" x14ac:dyDescent="0.25">
      <c r="T8202" s="81"/>
      <c r="W8202" s="185"/>
      <c r="AE8202" s="185"/>
    </row>
    <row r="8203" spans="20:31" x14ac:dyDescent="0.25">
      <c r="T8203" s="81"/>
      <c r="W8203" s="185"/>
      <c r="AE8203" s="185"/>
    </row>
    <row r="8204" spans="20:31" x14ac:dyDescent="0.25">
      <c r="T8204" s="81"/>
      <c r="W8204" s="185"/>
      <c r="AE8204" s="185"/>
    </row>
    <row r="8205" spans="20:31" x14ac:dyDescent="0.25">
      <c r="T8205" s="81"/>
      <c r="W8205" s="185"/>
      <c r="AE8205" s="185"/>
    </row>
    <row r="8206" spans="20:31" x14ac:dyDescent="0.25">
      <c r="T8206" s="81"/>
      <c r="W8206" s="185"/>
      <c r="AE8206" s="185"/>
    </row>
    <row r="8207" spans="20:31" x14ac:dyDescent="0.25">
      <c r="T8207" s="81"/>
      <c r="W8207" s="185"/>
      <c r="AE8207" s="185"/>
    </row>
    <row r="8208" spans="20:31" x14ac:dyDescent="0.25">
      <c r="T8208" s="81"/>
      <c r="W8208" s="185"/>
      <c r="AE8208" s="185"/>
    </row>
    <row r="8209" spans="20:31" x14ac:dyDescent="0.25">
      <c r="T8209" s="81"/>
      <c r="W8209" s="185"/>
      <c r="AE8209" s="185"/>
    </row>
    <row r="8210" spans="20:31" x14ac:dyDescent="0.25">
      <c r="T8210" s="81"/>
      <c r="W8210" s="185"/>
      <c r="AE8210" s="185"/>
    </row>
    <row r="8211" spans="20:31" x14ac:dyDescent="0.25">
      <c r="T8211" s="81"/>
      <c r="W8211" s="185"/>
      <c r="AE8211" s="185"/>
    </row>
    <row r="8212" spans="20:31" x14ac:dyDescent="0.25">
      <c r="T8212" s="81"/>
      <c r="W8212" s="185"/>
      <c r="AE8212" s="185"/>
    </row>
    <row r="8213" spans="20:31" x14ac:dyDescent="0.25">
      <c r="T8213" s="81"/>
      <c r="W8213" s="185"/>
      <c r="AE8213" s="185"/>
    </row>
    <row r="8214" spans="20:31" x14ac:dyDescent="0.25">
      <c r="T8214" s="81"/>
      <c r="W8214" s="185"/>
      <c r="AE8214" s="185"/>
    </row>
    <row r="8215" spans="20:31" x14ac:dyDescent="0.25">
      <c r="T8215" s="81"/>
      <c r="W8215" s="185"/>
      <c r="AE8215" s="185"/>
    </row>
    <row r="8216" spans="20:31" x14ac:dyDescent="0.25">
      <c r="T8216" s="81"/>
      <c r="W8216" s="185"/>
      <c r="AE8216" s="185"/>
    </row>
    <row r="8217" spans="20:31" x14ac:dyDescent="0.25">
      <c r="T8217" s="81"/>
      <c r="W8217" s="185"/>
      <c r="AE8217" s="185"/>
    </row>
    <row r="8218" spans="20:31" x14ac:dyDescent="0.25">
      <c r="T8218" s="81"/>
      <c r="W8218" s="185"/>
      <c r="AE8218" s="185"/>
    </row>
    <row r="8219" spans="20:31" x14ac:dyDescent="0.25">
      <c r="T8219" s="81"/>
      <c r="W8219" s="185"/>
      <c r="AE8219" s="185"/>
    </row>
    <row r="8220" spans="20:31" x14ac:dyDescent="0.25">
      <c r="T8220" s="81"/>
      <c r="W8220" s="185"/>
      <c r="AE8220" s="185"/>
    </row>
    <row r="8221" spans="20:31" x14ac:dyDescent="0.25">
      <c r="T8221" s="81"/>
      <c r="W8221" s="185"/>
      <c r="AE8221" s="185"/>
    </row>
    <row r="8222" spans="20:31" x14ac:dyDescent="0.25">
      <c r="T8222" s="81"/>
      <c r="W8222" s="185"/>
      <c r="AE8222" s="185"/>
    </row>
    <row r="8223" spans="20:31" x14ac:dyDescent="0.25">
      <c r="T8223" s="81"/>
      <c r="W8223" s="185"/>
      <c r="AE8223" s="185"/>
    </row>
    <row r="8224" spans="20:31" x14ac:dyDescent="0.25">
      <c r="T8224" s="81"/>
      <c r="W8224" s="185"/>
      <c r="AE8224" s="185"/>
    </row>
    <row r="8225" spans="20:31" x14ac:dyDescent="0.25">
      <c r="T8225" s="81"/>
      <c r="W8225" s="185"/>
      <c r="AE8225" s="185"/>
    </row>
    <row r="8226" spans="20:31" x14ac:dyDescent="0.25">
      <c r="T8226" s="81"/>
      <c r="W8226" s="185"/>
      <c r="AE8226" s="185"/>
    </row>
    <row r="8227" spans="20:31" x14ac:dyDescent="0.25">
      <c r="T8227" s="81"/>
      <c r="W8227" s="185"/>
      <c r="AE8227" s="185"/>
    </row>
    <row r="8228" spans="20:31" x14ac:dyDescent="0.25">
      <c r="T8228" s="81"/>
      <c r="W8228" s="185"/>
      <c r="AE8228" s="185"/>
    </row>
    <row r="8229" spans="20:31" x14ac:dyDescent="0.25">
      <c r="T8229" s="81"/>
      <c r="W8229" s="185"/>
      <c r="AE8229" s="185"/>
    </row>
    <row r="8230" spans="20:31" x14ac:dyDescent="0.25">
      <c r="T8230" s="81"/>
      <c r="W8230" s="185"/>
      <c r="AE8230" s="185"/>
    </row>
    <row r="8231" spans="20:31" x14ac:dyDescent="0.25">
      <c r="T8231" s="81"/>
      <c r="W8231" s="185"/>
      <c r="AE8231" s="185"/>
    </row>
    <row r="8232" spans="20:31" x14ac:dyDescent="0.25">
      <c r="T8232" s="81"/>
      <c r="W8232" s="185"/>
      <c r="AE8232" s="185"/>
    </row>
    <row r="8233" spans="20:31" x14ac:dyDescent="0.25">
      <c r="T8233" s="81"/>
      <c r="W8233" s="185"/>
      <c r="AE8233" s="185"/>
    </row>
    <row r="8234" spans="20:31" x14ac:dyDescent="0.25">
      <c r="T8234" s="81"/>
      <c r="W8234" s="185"/>
      <c r="AE8234" s="185"/>
    </row>
    <row r="8235" spans="20:31" x14ac:dyDescent="0.25">
      <c r="T8235" s="81"/>
      <c r="W8235" s="185"/>
      <c r="AE8235" s="185"/>
    </row>
    <row r="8236" spans="20:31" x14ac:dyDescent="0.25">
      <c r="T8236" s="81"/>
      <c r="W8236" s="185"/>
      <c r="AE8236" s="185"/>
    </row>
    <row r="8237" spans="20:31" x14ac:dyDescent="0.25">
      <c r="T8237" s="81"/>
      <c r="W8237" s="185"/>
      <c r="AE8237" s="185"/>
    </row>
    <row r="8238" spans="20:31" x14ac:dyDescent="0.25">
      <c r="T8238" s="81"/>
      <c r="W8238" s="185"/>
      <c r="AE8238" s="185"/>
    </row>
    <row r="8239" spans="20:31" x14ac:dyDescent="0.25">
      <c r="T8239" s="81"/>
      <c r="W8239" s="185"/>
      <c r="AE8239" s="185"/>
    </row>
    <row r="8240" spans="20:31" x14ac:dyDescent="0.25">
      <c r="T8240" s="81"/>
      <c r="W8240" s="185"/>
      <c r="AE8240" s="185"/>
    </row>
    <row r="8241" spans="20:31" x14ac:dyDescent="0.25">
      <c r="T8241" s="81"/>
      <c r="W8241" s="185"/>
      <c r="AE8241" s="185"/>
    </row>
    <row r="8242" spans="20:31" x14ac:dyDescent="0.25">
      <c r="T8242" s="81"/>
      <c r="W8242" s="185"/>
      <c r="AE8242" s="185"/>
    </row>
    <row r="8243" spans="20:31" x14ac:dyDescent="0.25">
      <c r="T8243" s="81"/>
      <c r="W8243" s="185"/>
      <c r="AE8243" s="185"/>
    </row>
    <row r="8244" spans="20:31" x14ac:dyDescent="0.25">
      <c r="T8244" s="81"/>
      <c r="W8244" s="185"/>
      <c r="AE8244" s="185"/>
    </row>
    <row r="8245" spans="20:31" x14ac:dyDescent="0.25">
      <c r="T8245" s="81"/>
      <c r="W8245" s="185"/>
      <c r="AE8245" s="185"/>
    </row>
    <row r="8246" spans="20:31" x14ac:dyDescent="0.25">
      <c r="T8246" s="81"/>
      <c r="W8246" s="185"/>
      <c r="AE8246" s="185"/>
    </row>
    <row r="8247" spans="20:31" x14ac:dyDescent="0.25">
      <c r="T8247" s="81"/>
      <c r="W8247" s="185"/>
      <c r="AE8247" s="185"/>
    </row>
    <row r="8248" spans="20:31" x14ac:dyDescent="0.25">
      <c r="T8248" s="81"/>
      <c r="W8248" s="185"/>
      <c r="AE8248" s="185"/>
    </row>
    <row r="8249" spans="20:31" x14ac:dyDescent="0.25">
      <c r="T8249" s="81"/>
      <c r="W8249" s="185"/>
      <c r="AE8249" s="185"/>
    </row>
    <row r="8250" spans="20:31" x14ac:dyDescent="0.25">
      <c r="T8250" s="81"/>
      <c r="W8250" s="185"/>
      <c r="AE8250" s="185"/>
    </row>
    <row r="8251" spans="20:31" x14ac:dyDescent="0.25">
      <c r="T8251" s="81"/>
      <c r="W8251" s="185"/>
      <c r="AE8251" s="185"/>
    </row>
    <row r="8252" spans="20:31" x14ac:dyDescent="0.25">
      <c r="T8252" s="81"/>
      <c r="W8252" s="185"/>
      <c r="AE8252" s="185"/>
    </row>
    <row r="8253" spans="20:31" x14ac:dyDescent="0.25">
      <c r="T8253" s="81"/>
      <c r="W8253" s="185"/>
      <c r="AE8253" s="185"/>
    </row>
    <row r="8254" spans="20:31" x14ac:dyDescent="0.25">
      <c r="T8254" s="81"/>
      <c r="W8254" s="185"/>
      <c r="AE8254" s="185"/>
    </row>
    <row r="8255" spans="20:31" x14ac:dyDescent="0.25">
      <c r="T8255" s="81"/>
      <c r="W8255" s="185"/>
      <c r="AE8255" s="185"/>
    </row>
    <row r="8256" spans="20:31" x14ac:dyDescent="0.25">
      <c r="T8256" s="81"/>
      <c r="W8256" s="185"/>
      <c r="AE8256" s="185"/>
    </row>
    <row r="8257" spans="20:31" x14ac:dyDescent="0.25">
      <c r="T8257" s="81"/>
      <c r="W8257" s="185"/>
      <c r="AE8257" s="185"/>
    </row>
    <row r="8258" spans="20:31" x14ac:dyDescent="0.25">
      <c r="T8258" s="81"/>
      <c r="W8258" s="185"/>
      <c r="AE8258" s="185"/>
    </row>
    <row r="8259" spans="20:31" x14ac:dyDescent="0.25">
      <c r="T8259" s="81"/>
      <c r="W8259" s="185"/>
      <c r="AE8259" s="185"/>
    </row>
    <row r="8260" spans="20:31" x14ac:dyDescent="0.25">
      <c r="T8260" s="81"/>
      <c r="W8260" s="185"/>
      <c r="AE8260" s="185"/>
    </row>
    <row r="8261" spans="20:31" x14ac:dyDescent="0.25">
      <c r="T8261" s="81"/>
      <c r="W8261" s="185"/>
      <c r="AE8261" s="185"/>
    </row>
    <row r="8262" spans="20:31" x14ac:dyDescent="0.25">
      <c r="T8262" s="81"/>
      <c r="W8262" s="185"/>
      <c r="AE8262" s="185"/>
    </row>
    <row r="8263" spans="20:31" x14ac:dyDescent="0.25">
      <c r="T8263" s="81"/>
      <c r="W8263" s="185"/>
      <c r="AE8263" s="185"/>
    </row>
    <row r="8264" spans="20:31" x14ac:dyDescent="0.25">
      <c r="T8264" s="81"/>
      <c r="W8264" s="185"/>
      <c r="AE8264" s="185"/>
    </row>
    <row r="8265" spans="20:31" x14ac:dyDescent="0.25">
      <c r="T8265" s="81"/>
      <c r="W8265" s="185"/>
      <c r="AE8265" s="185"/>
    </row>
    <row r="8266" spans="20:31" x14ac:dyDescent="0.25">
      <c r="T8266" s="81"/>
      <c r="W8266" s="185"/>
      <c r="AE8266" s="185"/>
    </row>
    <row r="8267" spans="20:31" x14ac:dyDescent="0.25">
      <c r="T8267" s="81"/>
      <c r="W8267" s="185"/>
      <c r="AE8267" s="185"/>
    </row>
    <row r="8268" spans="20:31" x14ac:dyDescent="0.25">
      <c r="T8268" s="81"/>
      <c r="W8268" s="185"/>
      <c r="AE8268" s="185"/>
    </row>
    <row r="8269" spans="20:31" x14ac:dyDescent="0.25">
      <c r="T8269" s="81"/>
      <c r="W8269" s="185"/>
      <c r="AE8269" s="185"/>
    </row>
    <row r="8270" spans="20:31" x14ac:dyDescent="0.25">
      <c r="T8270" s="81"/>
      <c r="W8270" s="185"/>
      <c r="AE8270" s="185"/>
    </row>
    <row r="8271" spans="20:31" x14ac:dyDescent="0.25">
      <c r="T8271" s="81"/>
      <c r="W8271" s="185"/>
      <c r="AE8271" s="185"/>
    </row>
    <row r="8272" spans="20:31" x14ac:dyDescent="0.25">
      <c r="T8272" s="81"/>
      <c r="W8272" s="185"/>
      <c r="AE8272" s="185"/>
    </row>
    <row r="8273" spans="20:31" x14ac:dyDescent="0.25">
      <c r="T8273" s="81"/>
      <c r="W8273" s="185"/>
      <c r="AE8273" s="185"/>
    </row>
    <row r="8274" spans="20:31" x14ac:dyDescent="0.25">
      <c r="T8274" s="81"/>
      <c r="W8274" s="185"/>
      <c r="AE8274" s="185"/>
    </row>
    <row r="8275" spans="20:31" x14ac:dyDescent="0.25">
      <c r="T8275" s="81"/>
      <c r="W8275" s="185"/>
      <c r="AE8275" s="185"/>
    </row>
    <row r="8276" spans="20:31" x14ac:dyDescent="0.25">
      <c r="T8276" s="81"/>
      <c r="W8276" s="185"/>
      <c r="AE8276" s="185"/>
    </row>
    <row r="8277" spans="20:31" x14ac:dyDescent="0.25">
      <c r="T8277" s="81"/>
      <c r="W8277" s="185"/>
      <c r="AE8277" s="185"/>
    </row>
    <row r="8278" spans="20:31" x14ac:dyDescent="0.25">
      <c r="T8278" s="81"/>
      <c r="W8278" s="185"/>
      <c r="AE8278" s="185"/>
    </row>
    <row r="8279" spans="20:31" x14ac:dyDescent="0.25">
      <c r="T8279" s="81"/>
      <c r="W8279" s="185"/>
      <c r="AE8279" s="185"/>
    </row>
    <row r="8280" spans="20:31" x14ac:dyDescent="0.25">
      <c r="T8280" s="81"/>
      <c r="W8280" s="185"/>
      <c r="AE8280" s="185"/>
    </row>
    <row r="8281" spans="20:31" x14ac:dyDescent="0.25">
      <c r="T8281" s="81"/>
      <c r="W8281" s="185"/>
      <c r="AE8281" s="185"/>
    </row>
    <row r="8282" spans="20:31" x14ac:dyDescent="0.25">
      <c r="T8282" s="81"/>
      <c r="W8282" s="185"/>
      <c r="AE8282" s="185"/>
    </row>
    <row r="8283" spans="20:31" x14ac:dyDescent="0.25">
      <c r="T8283" s="81"/>
      <c r="W8283" s="185"/>
      <c r="AE8283" s="185"/>
    </row>
    <row r="8284" spans="20:31" x14ac:dyDescent="0.25">
      <c r="T8284" s="81"/>
      <c r="W8284" s="185"/>
      <c r="AE8284" s="185"/>
    </row>
    <row r="8285" spans="20:31" x14ac:dyDescent="0.25">
      <c r="T8285" s="81"/>
      <c r="W8285" s="185"/>
      <c r="AE8285" s="185"/>
    </row>
    <row r="8286" spans="20:31" x14ac:dyDescent="0.25">
      <c r="T8286" s="81"/>
      <c r="W8286" s="185"/>
      <c r="AE8286" s="185"/>
    </row>
    <row r="8287" spans="20:31" x14ac:dyDescent="0.25">
      <c r="T8287" s="81"/>
      <c r="W8287" s="185"/>
      <c r="AE8287" s="185"/>
    </row>
    <row r="8288" spans="20:31" x14ac:dyDescent="0.25">
      <c r="T8288" s="81"/>
      <c r="W8288" s="185"/>
      <c r="AE8288" s="185"/>
    </row>
    <row r="8289" spans="20:31" x14ac:dyDescent="0.25">
      <c r="T8289" s="81"/>
      <c r="W8289" s="185"/>
      <c r="AE8289" s="185"/>
    </row>
    <row r="8290" spans="20:31" x14ac:dyDescent="0.25">
      <c r="T8290" s="81"/>
      <c r="W8290" s="185"/>
      <c r="AE8290" s="185"/>
    </row>
    <row r="8291" spans="20:31" x14ac:dyDescent="0.25">
      <c r="T8291" s="81"/>
      <c r="W8291" s="185"/>
      <c r="AE8291" s="185"/>
    </row>
    <row r="8292" spans="20:31" x14ac:dyDescent="0.25">
      <c r="T8292" s="81"/>
      <c r="W8292" s="185"/>
      <c r="AE8292" s="185"/>
    </row>
    <row r="8293" spans="20:31" x14ac:dyDescent="0.25">
      <c r="T8293" s="81"/>
      <c r="W8293" s="185"/>
      <c r="AE8293" s="185"/>
    </row>
    <row r="8294" spans="20:31" x14ac:dyDescent="0.25">
      <c r="T8294" s="81"/>
      <c r="W8294" s="185"/>
      <c r="AE8294" s="185"/>
    </row>
    <row r="8295" spans="20:31" x14ac:dyDescent="0.25">
      <c r="T8295" s="81"/>
      <c r="W8295" s="185"/>
      <c r="AE8295" s="185"/>
    </row>
    <row r="8296" spans="20:31" x14ac:dyDescent="0.25">
      <c r="T8296" s="81"/>
      <c r="W8296" s="185"/>
      <c r="AE8296" s="185"/>
    </row>
    <row r="8297" spans="20:31" x14ac:dyDescent="0.25">
      <c r="T8297" s="81"/>
      <c r="W8297" s="185"/>
      <c r="AE8297" s="185"/>
    </row>
    <row r="8298" spans="20:31" x14ac:dyDescent="0.25">
      <c r="T8298" s="81"/>
      <c r="W8298" s="185"/>
      <c r="AE8298" s="185"/>
    </row>
    <row r="8299" spans="20:31" x14ac:dyDescent="0.25">
      <c r="T8299" s="81"/>
      <c r="W8299" s="185"/>
      <c r="AE8299" s="185"/>
    </row>
    <row r="8300" spans="20:31" x14ac:dyDescent="0.25">
      <c r="T8300" s="81"/>
      <c r="W8300" s="185"/>
      <c r="AE8300" s="185"/>
    </row>
    <row r="8301" spans="20:31" x14ac:dyDescent="0.25">
      <c r="T8301" s="81"/>
      <c r="W8301" s="185"/>
      <c r="AE8301" s="185"/>
    </row>
    <row r="8302" spans="20:31" x14ac:dyDescent="0.25">
      <c r="T8302" s="81"/>
      <c r="W8302" s="185"/>
      <c r="AE8302" s="185"/>
    </row>
    <row r="8303" spans="20:31" x14ac:dyDescent="0.25">
      <c r="T8303" s="81"/>
      <c r="W8303" s="185"/>
      <c r="AE8303" s="185"/>
    </row>
    <row r="8304" spans="20:31" x14ac:dyDescent="0.25">
      <c r="T8304" s="81"/>
      <c r="W8304" s="185"/>
      <c r="AE8304" s="185"/>
    </row>
    <row r="8305" spans="20:31" x14ac:dyDescent="0.25">
      <c r="T8305" s="81"/>
      <c r="W8305" s="185"/>
      <c r="AE8305" s="185"/>
    </row>
    <row r="8306" spans="20:31" x14ac:dyDescent="0.25">
      <c r="T8306" s="81"/>
      <c r="W8306" s="185"/>
      <c r="AE8306" s="185"/>
    </row>
    <row r="8307" spans="20:31" x14ac:dyDescent="0.25">
      <c r="T8307" s="81"/>
      <c r="W8307" s="185"/>
      <c r="AE8307" s="185"/>
    </row>
    <row r="8308" spans="20:31" x14ac:dyDescent="0.25">
      <c r="T8308" s="81"/>
      <c r="W8308" s="185"/>
      <c r="AE8308" s="185"/>
    </row>
    <row r="8309" spans="20:31" x14ac:dyDescent="0.25">
      <c r="T8309" s="81"/>
      <c r="W8309" s="185"/>
      <c r="AE8309" s="185"/>
    </row>
    <row r="8310" spans="20:31" x14ac:dyDescent="0.25">
      <c r="T8310" s="81"/>
      <c r="W8310" s="185"/>
      <c r="AE8310" s="185"/>
    </row>
    <row r="8311" spans="20:31" x14ac:dyDescent="0.25">
      <c r="T8311" s="81"/>
      <c r="W8311" s="185"/>
      <c r="AE8311" s="185"/>
    </row>
    <row r="8312" spans="20:31" x14ac:dyDescent="0.25">
      <c r="T8312" s="81"/>
      <c r="W8312" s="185"/>
      <c r="AE8312" s="185"/>
    </row>
    <row r="8313" spans="20:31" x14ac:dyDescent="0.25">
      <c r="T8313" s="81"/>
      <c r="W8313" s="185"/>
      <c r="AE8313" s="185"/>
    </row>
    <row r="8314" spans="20:31" x14ac:dyDescent="0.25">
      <c r="T8314" s="81"/>
      <c r="W8314" s="185"/>
      <c r="AE8314" s="185"/>
    </row>
    <row r="8315" spans="20:31" x14ac:dyDescent="0.25">
      <c r="T8315" s="81"/>
      <c r="W8315" s="185"/>
      <c r="AE8315" s="185"/>
    </row>
    <row r="8316" spans="20:31" x14ac:dyDescent="0.25">
      <c r="T8316" s="81"/>
      <c r="W8316" s="185"/>
      <c r="AE8316" s="185"/>
    </row>
    <row r="8317" spans="20:31" x14ac:dyDescent="0.25">
      <c r="T8317" s="81"/>
      <c r="W8317" s="185"/>
      <c r="AE8317" s="185"/>
    </row>
    <row r="8318" spans="20:31" x14ac:dyDescent="0.25">
      <c r="T8318" s="81"/>
      <c r="W8318" s="185"/>
      <c r="AE8318" s="185"/>
    </row>
    <row r="8319" spans="20:31" x14ac:dyDescent="0.25">
      <c r="T8319" s="81"/>
      <c r="W8319" s="185"/>
      <c r="AE8319" s="185"/>
    </row>
    <row r="8320" spans="20:31" x14ac:dyDescent="0.25">
      <c r="T8320" s="81"/>
      <c r="W8320" s="185"/>
      <c r="AE8320" s="185"/>
    </row>
    <row r="8321" spans="20:31" x14ac:dyDescent="0.25">
      <c r="T8321" s="81"/>
      <c r="W8321" s="185"/>
      <c r="AE8321" s="185"/>
    </row>
    <row r="8322" spans="20:31" x14ac:dyDescent="0.25">
      <c r="T8322" s="81"/>
      <c r="W8322" s="185"/>
      <c r="AE8322" s="185"/>
    </row>
    <row r="8323" spans="20:31" x14ac:dyDescent="0.25">
      <c r="T8323" s="81"/>
      <c r="W8323" s="185"/>
      <c r="AE8323" s="185"/>
    </row>
    <row r="8324" spans="20:31" x14ac:dyDescent="0.25">
      <c r="T8324" s="81"/>
      <c r="W8324" s="185"/>
      <c r="AE8324" s="185"/>
    </row>
    <row r="8325" spans="20:31" x14ac:dyDescent="0.25">
      <c r="T8325" s="81"/>
      <c r="W8325" s="185"/>
      <c r="AE8325" s="185"/>
    </row>
    <row r="8326" spans="20:31" x14ac:dyDescent="0.25">
      <c r="T8326" s="81"/>
      <c r="W8326" s="185"/>
      <c r="AE8326" s="185"/>
    </row>
    <row r="8327" spans="20:31" x14ac:dyDescent="0.25">
      <c r="T8327" s="81"/>
      <c r="W8327" s="185"/>
      <c r="AE8327" s="185"/>
    </row>
    <row r="8328" spans="20:31" x14ac:dyDescent="0.25">
      <c r="T8328" s="81"/>
      <c r="W8328" s="185"/>
      <c r="AE8328" s="185"/>
    </row>
    <row r="8329" spans="20:31" x14ac:dyDescent="0.25">
      <c r="T8329" s="81"/>
      <c r="W8329" s="185"/>
      <c r="AE8329" s="185"/>
    </row>
    <row r="8330" spans="20:31" x14ac:dyDescent="0.25">
      <c r="T8330" s="81"/>
      <c r="W8330" s="185"/>
      <c r="AE8330" s="185"/>
    </row>
    <row r="8331" spans="20:31" x14ac:dyDescent="0.25">
      <c r="T8331" s="81"/>
      <c r="W8331" s="185"/>
      <c r="AE8331" s="185"/>
    </row>
    <row r="8332" spans="20:31" x14ac:dyDescent="0.25">
      <c r="T8332" s="81"/>
      <c r="W8332" s="185"/>
      <c r="AE8332" s="185"/>
    </row>
    <row r="8333" spans="20:31" x14ac:dyDescent="0.25">
      <c r="T8333" s="81"/>
      <c r="W8333" s="185"/>
      <c r="AE8333" s="185"/>
    </row>
    <row r="8334" spans="20:31" x14ac:dyDescent="0.25">
      <c r="T8334" s="81"/>
      <c r="W8334" s="185"/>
      <c r="AE8334" s="185"/>
    </row>
    <row r="8335" spans="20:31" x14ac:dyDescent="0.25">
      <c r="T8335" s="81"/>
      <c r="W8335" s="185"/>
      <c r="AE8335" s="185"/>
    </row>
    <row r="8336" spans="20:31" x14ac:dyDescent="0.25">
      <c r="T8336" s="81"/>
      <c r="W8336" s="185"/>
      <c r="AE8336" s="185"/>
    </row>
    <row r="8337" spans="20:31" x14ac:dyDescent="0.25">
      <c r="T8337" s="81"/>
      <c r="W8337" s="185"/>
      <c r="AE8337" s="185"/>
    </row>
    <row r="8338" spans="20:31" x14ac:dyDescent="0.25">
      <c r="T8338" s="81"/>
      <c r="W8338" s="185"/>
      <c r="AE8338" s="185"/>
    </row>
    <row r="8339" spans="20:31" x14ac:dyDescent="0.25">
      <c r="T8339" s="81"/>
      <c r="W8339" s="185"/>
      <c r="AE8339" s="185"/>
    </row>
    <row r="8340" spans="20:31" x14ac:dyDescent="0.25">
      <c r="T8340" s="81"/>
      <c r="W8340" s="185"/>
      <c r="AE8340" s="185"/>
    </row>
    <row r="8341" spans="20:31" x14ac:dyDescent="0.25">
      <c r="T8341" s="81"/>
      <c r="W8341" s="185"/>
      <c r="AE8341" s="185"/>
    </row>
    <row r="8342" spans="20:31" x14ac:dyDescent="0.25">
      <c r="T8342" s="81"/>
      <c r="W8342" s="185"/>
      <c r="AE8342" s="185"/>
    </row>
    <row r="8343" spans="20:31" x14ac:dyDescent="0.25">
      <c r="T8343" s="81"/>
      <c r="W8343" s="185"/>
      <c r="AE8343" s="185"/>
    </row>
    <row r="8344" spans="20:31" x14ac:dyDescent="0.25">
      <c r="T8344" s="81"/>
      <c r="W8344" s="185"/>
      <c r="AE8344" s="185"/>
    </row>
    <row r="8345" spans="20:31" x14ac:dyDescent="0.25">
      <c r="T8345" s="81"/>
      <c r="W8345" s="185"/>
      <c r="AE8345" s="185"/>
    </row>
    <row r="8346" spans="20:31" x14ac:dyDescent="0.25">
      <c r="T8346" s="81"/>
      <c r="W8346" s="185"/>
      <c r="AE8346" s="185"/>
    </row>
    <row r="8347" spans="20:31" x14ac:dyDescent="0.25">
      <c r="T8347" s="81"/>
      <c r="W8347" s="185"/>
      <c r="AE8347" s="185"/>
    </row>
    <row r="8348" spans="20:31" x14ac:dyDescent="0.25">
      <c r="T8348" s="81"/>
      <c r="W8348" s="185"/>
      <c r="AE8348" s="185"/>
    </row>
    <row r="8349" spans="20:31" x14ac:dyDescent="0.25">
      <c r="T8349" s="81"/>
      <c r="W8349" s="185"/>
      <c r="AE8349" s="185"/>
    </row>
    <row r="8350" spans="20:31" x14ac:dyDescent="0.25">
      <c r="T8350" s="81"/>
      <c r="W8350" s="185"/>
      <c r="AE8350" s="185"/>
    </row>
    <row r="8351" spans="20:31" x14ac:dyDescent="0.25">
      <c r="T8351" s="81"/>
      <c r="W8351" s="185"/>
      <c r="AE8351" s="185"/>
    </row>
    <row r="8352" spans="20:31" x14ac:dyDescent="0.25">
      <c r="T8352" s="81"/>
      <c r="W8352" s="185"/>
      <c r="AE8352" s="185"/>
    </row>
    <row r="8353" spans="20:31" x14ac:dyDescent="0.25">
      <c r="T8353" s="81"/>
      <c r="W8353" s="185"/>
      <c r="AE8353" s="185"/>
    </row>
    <row r="8354" spans="20:31" x14ac:dyDescent="0.25">
      <c r="T8354" s="81"/>
      <c r="W8354" s="185"/>
      <c r="AE8354" s="185"/>
    </row>
    <row r="8355" spans="20:31" x14ac:dyDescent="0.25">
      <c r="T8355" s="81"/>
      <c r="W8355" s="185"/>
      <c r="AE8355" s="185"/>
    </row>
    <row r="8356" spans="20:31" x14ac:dyDescent="0.25">
      <c r="T8356" s="81"/>
      <c r="W8356" s="185"/>
      <c r="AE8356" s="185"/>
    </row>
    <row r="8357" spans="20:31" x14ac:dyDescent="0.25">
      <c r="T8357" s="81"/>
      <c r="W8357" s="185"/>
      <c r="AE8357" s="185"/>
    </row>
    <row r="8358" spans="20:31" x14ac:dyDescent="0.25">
      <c r="T8358" s="81"/>
      <c r="W8358" s="185"/>
      <c r="AE8358" s="185"/>
    </row>
    <row r="8359" spans="20:31" x14ac:dyDescent="0.25">
      <c r="T8359" s="81"/>
      <c r="W8359" s="185"/>
      <c r="AE8359" s="185"/>
    </row>
    <row r="8360" spans="20:31" x14ac:dyDescent="0.25">
      <c r="T8360" s="81"/>
      <c r="W8360" s="185"/>
      <c r="AE8360" s="185"/>
    </row>
    <row r="8361" spans="20:31" x14ac:dyDescent="0.25">
      <c r="T8361" s="81"/>
      <c r="W8361" s="185"/>
      <c r="AE8361" s="185"/>
    </row>
    <row r="8362" spans="20:31" x14ac:dyDescent="0.25">
      <c r="T8362" s="81"/>
      <c r="W8362" s="185"/>
      <c r="AE8362" s="185"/>
    </row>
    <row r="8363" spans="20:31" x14ac:dyDescent="0.25">
      <c r="T8363" s="81"/>
      <c r="W8363" s="185"/>
      <c r="AE8363" s="185"/>
    </row>
    <row r="8364" spans="20:31" x14ac:dyDescent="0.25">
      <c r="T8364" s="81"/>
      <c r="W8364" s="185"/>
      <c r="AE8364" s="185"/>
    </row>
    <row r="8365" spans="20:31" x14ac:dyDescent="0.25">
      <c r="T8365" s="81"/>
      <c r="W8365" s="185"/>
      <c r="AE8365" s="185"/>
    </row>
    <row r="8366" spans="20:31" x14ac:dyDescent="0.25">
      <c r="T8366" s="81"/>
      <c r="W8366" s="185"/>
      <c r="AE8366" s="185"/>
    </row>
    <row r="8367" spans="20:31" x14ac:dyDescent="0.25">
      <c r="T8367" s="81"/>
      <c r="W8367" s="185"/>
      <c r="AE8367" s="185"/>
    </row>
    <row r="8368" spans="20:31" x14ac:dyDescent="0.25">
      <c r="T8368" s="81"/>
      <c r="W8368" s="185"/>
      <c r="AE8368" s="185"/>
    </row>
    <row r="8369" spans="20:31" x14ac:dyDescent="0.25">
      <c r="T8369" s="81"/>
      <c r="W8369" s="185"/>
      <c r="AE8369" s="185"/>
    </row>
    <row r="8370" spans="20:31" x14ac:dyDescent="0.25">
      <c r="T8370" s="81"/>
      <c r="W8370" s="185"/>
      <c r="AE8370" s="185"/>
    </row>
    <row r="8371" spans="20:31" x14ac:dyDescent="0.25">
      <c r="T8371" s="81"/>
      <c r="W8371" s="185"/>
      <c r="AE8371" s="185"/>
    </row>
    <row r="8372" spans="20:31" x14ac:dyDescent="0.25">
      <c r="T8372" s="81"/>
      <c r="W8372" s="185"/>
      <c r="AE8372" s="185"/>
    </row>
    <row r="8373" spans="20:31" x14ac:dyDescent="0.25">
      <c r="T8373" s="81"/>
      <c r="W8373" s="185"/>
      <c r="AE8373" s="185"/>
    </row>
    <row r="8374" spans="20:31" x14ac:dyDescent="0.25">
      <c r="T8374" s="81"/>
      <c r="W8374" s="185"/>
      <c r="AE8374" s="185"/>
    </row>
    <row r="8375" spans="20:31" x14ac:dyDescent="0.25">
      <c r="T8375" s="81"/>
      <c r="W8375" s="185"/>
      <c r="AE8375" s="185"/>
    </row>
    <row r="8376" spans="20:31" x14ac:dyDescent="0.25">
      <c r="T8376" s="81"/>
      <c r="W8376" s="185"/>
      <c r="AE8376" s="185"/>
    </row>
    <row r="8377" spans="20:31" x14ac:dyDescent="0.25">
      <c r="T8377" s="81"/>
      <c r="W8377" s="185"/>
      <c r="AE8377" s="185"/>
    </row>
    <row r="8378" spans="20:31" x14ac:dyDescent="0.25">
      <c r="T8378" s="81"/>
      <c r="W8378" s="185"/>
      <c r="AE8378" s="185"/>
    </row>
    <row r="8379" spans="20:31" x14ac:dyDescent="0.25">
      <c r="T8379" s="81"/>
      <c r="W8379" s="185"/>
      <c r="AE8379" s="185"/>
    </row>
    <row r="8380" spans="20:31" x14ac:dyDescent="0.25">
      <c r="T8380" s="81"/>
      <c r="W8380" s="185"/>
      <c r="AE8380" s="185"/>
    </row>
    <row r="8381" spans="20:31" x14ac:dyDescent="0.25">
      <c r="T8381" s="81"/>
      <c r="W8381" s="185"/>
      <c r="AE8381" s="185"/>
    </row>
    <row r="8382" spans="20:31" x14ac:dyDescent="0.25">
      <c r="T8382" s="81"/>
      <c r="W8382" s="185"/>
      <c r="AE8382" s="185"/>
    </row>
    <row r="8383" spans="20:31" x14ac:dyDescent="0.25">
      <c r="T8383" s="81"/>
      <c r="W8383" s="185"/>
      <c r="AE8383" s="185"/>
    </row>
    <row r="8384" spans="20:31" x14ac:dyDescent="0.25">
      <c r="T8384" s="81"/>
      <c r="W8384" s="185"/>
      <c r="AE8384" s="185"/>
    </row>
    <row r="8385" spans="20:31" x14ac:dyDescent="0.25">
      <c r="T8385" s="81"/>
      <c r="W8385" s="185"/>
      <c r="AE8385" s="185"/>
    </row>
    <row r="8386" spans="20:31" x14ac:dyDescent="0.25">
      <c r="T8386" s="81"/>
      <c r="W8386" s="185"/>
      <c r="AE8386" s="185"/>
    </row>
    <row r="8387" spans="20:31" x14ac:dyDescent="0.25">
      <c r="T8387" s="81"/>
      <c r="W8387" s="185"/>
      <c r="AE8387" s="185"/>
    </row>
    <row r="8388" spans="20:31" x14ac:dyDescent="0.25">
      <c r="T8388" s="81"/>
      <c r="W8388" s="185"/>
      <c r="AE8388" s="185"/>
    </row>
    <row r="8389" spans="20:31" x14ac:dyDescent="0.25">
      <c r="T8389" s="81"/>
      <c r="W8389" s="185"/>
      <c r="AE8389" s="185"/>
    </row>
    <row r="8390" spans="20:31" x14ac:dyDescent="0.25">
      <c r="T8390" s="81"/>
      <c r="W8390" s="185"/>
      <c r="AE8390" s="185"/>
    </row>
    <row r="8391" spans="20:31" x14ac:dyDescent="0.25">
      <c r="T8391" s="81"/>
      <c r="W8391" s="185"/>
      <c r="AE8391" s="185"/>
    </row>
    <row r="8392" spans="20:31" x14ac:dyDescent="0.25">
      <c r="T8392" s="81"/>
      <c r="W8392" s="185"/>
      <c r="AE8392" s="185"/>
    </row>
    <row r="8393" spans="20:31" x14ac:dyDescent="0.25">
      <c r="T8393" s="81"/>
      <c r="W8393" s="185"/>
      <c r="AE8393" s="185"/>
    </row>
    <row r="8394" spans="20:31" x14ac:dyDescent="0.25">
      <c r="T8394" s="81"/>
      <c r="W8394" s="185"/>
      <c r="AE8394" s="185"/>
    </row>
    <row r="8395" spans="20:31" x14ac:dyDescent="0.25">
      <c r="T8395" s="81"/>
      <c r="W8395" s="185"/>
      <c r="AE8395" s="185"/>
    </row>
    <row r="8396" spans="20:31" x14ac:dyDescent="0.25">
      <c r="T8396" s="81"/>
      <c r="W8396" s="185"/>
      <c r="AE8396" s="185"/>
    </row>
    <row r="8397" spans="20:31" x14ac:dyDescent="0.25">
      <c r="T8397" s="81"/>
      <c r="W8397" s="185"/>
      <c r="AE8397" s="185"/>
    </row>
    <row r="8398" spans="20:31" x14ac:dyDescent="0.25">
      <c r="T8398" s="81"/>
      <c r="W8398" s="185"/>
      <c r="AE8398" s="185"/>
    </row>
    <row r="8399" spans="20:31" x14ac:dyDescent="0.25">
      <c r="T8399" s="81"/>
      <c r="W8399" s="185"/>
      <c r="AE8399" s="185"/>
    </row>
    <row r="8400" spans="20:31" x14ac:dyDescent="0.25">
      <c r="T8400" s="81"/>
      <c r="W8400" s="185"/>
      <c r="AE8400" s="185"/>
    </row>
    <row r="8401" spans="20:31" x14ac:dyDescent="0.25">
      <c r="T8401" s="81"/>
      <c r="W8401" s="185"/>
      <c r="AE8401" s="185"/>
    </row>
    <row r="8402" spans="20:31" x14ac:dyDescent="0.25">
      <c r="T8402" s="81"/>
      <c r="W8402" s="185"/>
      <c r="AE8402" s="185"/>
    </row>
    <row r="8403" spans="20:31" x14ac:dyDescent="0.25">
      <c r="T8403" s="81"/>
      <c r="W8403" s="185"/>
      <c r="AE8403" s="185"/>
    </row>
    <row r="8404" spans="20:31" x14ac:dyDescent="0.25">
      <c r="T8404" s="81"/>
      <c r="W8404" s="185"/>
      <c r="AE8404" s="185"/>
    </row>
    <row r="8405" spans="20:31" x14ac:dyDescent="0.25">
      <c r="T8405" s="81"/>
      <c r="W8405" s="185"/>
      <c r="AE8405" s="185"/>
    </row>
    <row r="8406" spans="20:31" x14ac:dyDescent="0.25">
      <c r="T8406" s="81"/>
      <c r="W8406" s="185"/>
      <c r="AE8406" s="185"/>
    </row>
    <row r="8407" spans="20:31" x14ac:dyDescent="0.25">
      <c r="T8407" s="81"/>
      <c r="W8407" s="185"/>
      <c r="AE8407" s="185"/>
    </row>
    <row r="8408" spans="20:31" x14ac:dyDescent="0.25">
      <c r="T8408" s="81"/>
      <c r="W8408" s="185"/>
      <c r="AE8408" s="185"/>
    </row>
    <row r="8409" spans="20:31" x14ac:dyDescent="0.25">
      <c r="T8409" s="81"/>
      <c r="W8409" s="185"/>
      <c r="AE8409" s="185"/>
    </row>
    <row r="8410" spans="20:31" x14ac:dyDescent="0.25">
      <c r="T8410" s="81"/>
      <c r="W8410" s="185"/>
      <c r="AE8410" s="185"/>
    </row>
    <row r="8411" spans="20:31" x14ac:dyDescent="0.25">
      <c r="T8411" s="81"/>
      <c r="W8411" s="185"/>
      <c r="AE8411" s="185"/>
    </row>
    <row r="8412" spans="20:31" x14ac:dyDescent="0.25">
      <c r="T8412" s="81"/>
      <c r="W8412" s="185"/>
      <c r="AE8412" s="185"/>
    </row>
    <row r="8413" spans="20:31" x14ac:dyDescent="0.25">
      <c r="T8413" s="81"/>
      <c r="W8413" s="185"/>
      <c r="AE8413" s="185"/>
    </row>
    <row r="8414" spans="20:31" x14ac:dyDescent="0.25">
      <c r="T8414" s="81"/>
      <c r="W8414" s="185"/>
      <c r="AE8414" s="185"/>
    </row>
    <row r="8415" spans="20:31" x14ac:dyDescent="0.25">
      <c r="T8415" s="81"/>
      <c r="W8415" s="185"/>
      <c r="AE8415" s="185"/>
    </row>
    <row r="8416" spans="20:31" x14ac:dyDescent="0.25">
      <c r="T8416" s="81"/>
      <c r="W8416" s="185"/>
      <c r="AE8416" s="185"/>
    </row>
    <row r="8417" spans="20:31" x14ac:dyDescent="0.25">
      <c r="T8417" s="81"/>
      <c r="W8417" s="185"/>
      <c r="AE8417" s="185"/>
    </row>
    <row r="8418" spans="20:31" x14ac:dyDescent="0.25">
      <c r="T8418" s="81"/>
      <c r="W8418" s="185"/>
      <c r="AE8418" s="185"/>
    </row>
    <row r="8419" spans="20:31" x14ac:dyDescent="0.25">
      <c r="T8419" s="81"/>
      <c r="W8419" s="185"/>
      <c r="AE8419" s="185"/>
    </row>
    <row r="8420" spans="20:31" x14ac:dyDescent="0.25">
      <c r="T8420" s="81"/>
      <c r="W8420" s="185"/>
      <c r="AE8420" s="185"/>
    </row>
    <row r="8421" spans="20:31" x14ac:dyDescent="0.25">
      <c r="T8421" s="81"/>
      <c r="W8421" s="185"/>
      <c r="AE8421" s="185"/>
    </row>
    <row r="8422" spans="20:31" x14ac:dyDescent="0.25">
      <c r="T8422" s="81"/>
      <c r="W8422" s="185"/>
      <c r="AE8422" s="185"/>
    </row>
    <row r="8423" spans="20:31" x14ac:dyDescent="0.25">
      <c r="T8423" s="81"/>
      <c r="W8423" s="185"/>
      <c r="AE8423" s="185"/>
    </row>
    <row r="8424" spans="20:31" x14ac:dyDescent="0.25">
      <c r="T8424" s="81"/>
      <c r="W8424" s="185"/>
      <c r="AE8424" s="185"/>
    </row>
    <row r="8425" spans="20:31" x14ac:dyDescent="0.25">
      <c r="T8425" s="81"/>
      <c r="W8425" s="185"/>
      <c r="AE8425" s="185"/>
    </row>
    <row r="8426" spans="20:31" x14ac:dyDescent="0.25">
      <c r="T8426" s="81"/>
      <c r="W8426" s="185"/>
      <c r="AE8426" s="185"/>
    </row>
    <row r="8427" spans="20:31" x14ac:dyDescent="0.25">
      <c r="T8427" s="81"/>
      <c r="W8427" s="185"/>
      <c r="AE8427" s="185"/>
    </row>
    <row r="8428" spans="20:31" x14ac:dyDescent="0.25">
      <c r="T8428" s="81"/>
      <c r="W8428" s="185"/>
      <c r="AE8428" s="185"/>
    </row>
    <row r="8429" spans="20:31" x14ac:dyDescent="0.25">
      <c r="T8429" s="81"/>
      <c r="W8429" s="185"/>
      <c r="AE8429" s="185"/>
    </row>
    <row r="8430" spans="20:31" x14ac:dyDescent="0.25">
      <c r="T8430" s="81"/>
      <c r="W8430" s="185"/>
      <c r="AE8430" s="185"/>
    </row>
    <row r="8431" spans="20:31" x14ac:dyDescent="0.25">
      <c r="T8431" s="81"/>
      <c r="W8431" s="185"/>
      <c r="AE8431" s="185"/>
    </row>
    <row r="8432" spans="20:31" x14ac:dyDescent="0.25">
      <c r="T8432" s="81"/>
      <c r="W8432" s="185"/>
      <c r="AE8432" s="185"/>
    </row>
    <row r="8433" spans="20:31" x14ac:dyDescent="0.25">
      <c r="T8433" s="81"/>
      <c r="W8433" s="185"/>
      <c r="AE8433" s="185"/>
    </row>
    <row r="8434" spans="20:31" x14ac:dyDescent="0.25">
      <c r="T8434" s="81"/>
      <c r="W8434" s="185"/>
      <c r="AE8434" s="185"/>
    </row>
    <row r="8435" spans="20:31" x14ac:dyDescent="0.25">
      <c r="T8435" s="81"/>
      <c r="W8435" s="185"/>
      <c r="AE8435" s="185"/>
    </row>
    <row r="8436" spans="20:31" x14ac:dyDescent="0.25">
      <c r="T8436" s="81"/>
      <c r="W8436" s="185"/>
      <c r="AE8436" s="185"/>
    </row>
    <row r="8437" spans="20:31" x14ac:dyDescent="0.25">
      <c r="T8437" s="81"/>
      <c r="W8437" s="185"/>
      <c r="AE8437" s="185"/>
    </row>
    <row r="8438" spans="20:31" x14ac:dyDescent="0.25">
      <c r="T8438" s="81"/>
      <c r="W8438" s="185"/>
      <c r="AE8438" s="185"/>
    </row>
    <row r="8439" spans="20:31" x14ac:dyDescent="0.25">
      <c r="T8439" s="81"/>
      <c r="W8439" s="185"/>
      <c r="AE8439" s="185"/>
    </row>
    <row r="8440" spans="20:31" x14ac:dyDescent="0.25">
      <c r="T8440" s="81"/>
      <c r="W8440" s="185"/>
      <c r="AE8440" s="185"/>
    </row>
    <row r="8441" spans="20:31" x14ac:dyDescent="0.25">
      <c r="T8441" s="81"/>
      <c r="W8441" s="185"/>
      <c r="AE8441" s="185"/>
    </row>
    <row r="8442" spans="20:31" x14ac:dyDescent="0.25">
      <c r="T8442" s="81"/>
      <c r="W8442" s="185"/>
      <c r="AE8442" s="185"/>
    </row>
    <row r="8443" spans="20:31" x14ac:dyDescent="0.25">
      <c r="T8443" s="81"/>
      <c r="W8443" s="185"/>
      <c r="AE8443" s="185"/>
    </row>
    <row r="8444" spans="20:31" x14ac:dyDescent="0.25">
      <c r="T8444" s="81"/>
      <c r="W8444" s="185"/>
      <c r="AE8444" s="185"/>
    </row>
    <row r="8445" spans="20:31" x14ac:dyDescent="0.25">
      <c r="T8445" s="81"/>
      <c r="W8445" s="185"/>
      <c r="AE8445" s="185"/>
    </row>
    <row r="8446" spans="20:31" x14ac:dyDescent="0.25">
      <c r="T8446" s="81"/>
      <c r="W8446" s="185"/>
      <c r="AE8446" s="185"/>
    </row>
    <row r="8447" spans="20:31" x14ac:dyDescent="0.25">
      <c r="T8447" s="81"/>
      <c r="W8447" s="185"/>
      <c r="AE8447" s="185"/>
    </row>
    <row r="8448" spans="20:31" x14ac:dyDescent="0.25">
      <c r="T8448" s="81"/>
      <c r="W8448" s="185"/>
      <c r="AE8448" s="185"/>
    </row>
    <row r="8449" spans="20:31" x14ac:dyDescent="0.25">
      <c r="T8449" s="81"/>
      <c r="W8449" s="185"/>
      <c r="AE8449" s="185"/>
    </row>
    <row r="8450" spans="20:31" x14ac:dyDescent="0.25">
      <c r="T8450" s="81"/>
      <c r="W8450" s="185"/>
      <c r="AE8450" s="185"/>
    </row>
    <row r="8451" spans="20:31" x14ac:dyDescent="0.25">
      <c r="T8451" s="81"/>
      <c r="W8451" s="185"/>
      <c r="AE8451" s="185"/>
    </row>
    <row r="8452" spans="20:31" x14ac:dyDescent="0.25">
      <c r="T8452" s="81"/>
      <c r="W8452" s="185"/>
      <c r="AE8452" s="185"/>
    </row>
    <row r="8453" spans="20:31" x14ac:dyDescent="0.25">
      <c r="T8453" s="81"/>
      <c r="W8453" s="185"/>
      <c r="AE8453" s="185"/>
    </row>
    <row r="8454" spans="20:31" x14ac:dyDescent="0.25">
      <c r="T8454" s="81"/>
      <c r="W8454" s="185"/>
      <c r="AE8454" s="185"/>
    </row>
    <row r="8455" spans="20:31" x14ac:dyDescent="0.25">
      <c r="T8455" s="81"/>
      <c r="W8455" s="185"/>
      <c r="AE8455" s="185"/>
    </row>
    <row r="8456" spans="20:31" x14ac:dyDescent="0.25">
      <c r="T8456" s="81"/>
      <c r="W8456" s="185"/>
      <c r="AE8456" s="185"/>
    </row>
    <row r="8457" spans="20:31" x14ac:dyDescent="0.25">
      <c r="T8457" s="81"/>
      <c r="W8457" s="185"/>
      <c r="AE8457" s="185"/>
    </row>
    <row r="8458" spans="20:31" x14ac:dyDescent="0.25">
      <c r="T8458" s="81"/>
      <c r="W8458" s="185"/>
      <c r="AE8458" s="185"/>
    </row>
    <row r="8459" spans="20:31" x14ac:dyDescent="0.25">
      <c r="T8459" s="81"/>
      <c r="W8459" s="185"/>
      <c r="AE8459" s="185"/>
    </row>
    <row r="8460" spans="20:31" x14ac:dyDescent="0.25">
      <c r="T8460" s="81"/>
      <c r="W8460" s="185"/>
      <c r="AE8460" s="185"/>
    </row>
    <row r="8461" spans="20:31" x14ac:dyDescent="0.25">
      <c r="T8461" s="81"/>
      <c r="W8461" s="185"/>
      <c r="AE8461" s="185"/>
    </row>
    <row r="8462" spans="20:31" x14ac:dyDescent="0.25">
      <c r="T8462" s="81"/>
      <c r="W8462" s="185"/>
      <c r="AE8462" s="185"/>
    </row>
    <row r="8463" spans="20:31" x14ac:dyDescent="0.25">
      <c r="T8463" s="81"/>
      <c r="W8463" s="185"/>
      <c r="AE8463" s="185"/>
    </row>
    <row r="8464" spans="20:31" x14ac:dyDescent="0.25">
      <c r="T8464" s="81"/>
      <c r="W8464" s="185"/>
      <c r="AE8464" s="185"/>
    </row>
    <row r="8465" spans="20:31" x14ac:dyDescent="0.25">
      <c r="T8465" s="81"/>
      <c r="W8465" s="185"/>
      <c r="AE8465" s="185"/>
    </row>
    <row r="8466" spans="20:31" x14ac:dyDescent="0.25">
      <c r="T8466" s="81"/>
      <c r="W8466" s="185"/>
      <c r="AE8466" s="185"/>
    </row>
    <row r="8467" spans="20:31" x14ac:dyDescent="0.25">
      <c r="T8467" s="81"/>
      <c r="W8467" s="185"/>
      <c r="AE8467" s="185"/>
    </row>
    <row r="8468" spans="20:31" x14ac:dyDescent="0.25">
      <c r="T8468" s="81"/>
      <c r="W8468" s="185"/>
      <c r="AE8468" s="185"/>
    </row>
    <row r="8469" spans="20:31" x14ac:dyDescent="0.25">
      <c r="T8469" s="81"/>
      <c r="W8469" s="185"/>
      <c r="AE8469" s="185"/>
    </row>
    <row r="8470" spans="20:31" x14ac:dyDescent="0.25">
      <c r="T8470" s="81"/>
      <c r="W8470" s="185"/>
      <c r="AE8470" s="185"/>
    </row>
    <row r="8471" spans="20:31" x14ac:dyDescent="0.25">
      <c r="T8471" s="81"/>
      <c r="W8471" s="185"/>
      <c r="AE8471" s="185"/>
    </row>
    <row r="8472" spans="20:31" x14ac:dyDescent="0.25">
      <c r="T8472" s="81"/>
      <c r="W8472" s="185"/>
      <c r="AE8472" s="185"/>
    </row>
    <row r="8473" spans="20:31" x14ac:dyDescent="0.25">
      <c r="T8473" s="81"/>
      <c r="W8473" s="185"/>
      <c r="AE8473" s="185"/>
    </row>
    <row r="8474" spans="20:31" x14ac:dyDescent="0.25">
      <c r="T8474" s="81"/>
      <c r="W8474" s="185"/>
      <c r="AE8474" s="185"/>
    </row>
    <row r="8475" spans="20:31" x14ac:dyDescent="0.25">
      <c r="T8475" s="81"/>
      <c r="W8475" s="185"/>
      <c r="AE8475" s="185"/>
    </row>
    <row r="8476" spans="20:31" x14ac:dyDescent="0.25">
      <c r="T8476" s="81"/>
      <c r="W8476" s="185"/>
      <c r="AE8476" s="185"/>
    </row>
    <row r="8477" spans="20:31" x14ac:dyDescent="0.25">
      <c r="T8477" s="81"/>
      <c r="W8477" s="185"/>
      <c r="AE8477" s="185"/>
    </row>
    <row r="8478" spans="20:31" x14ac:dyDescent="0.25">
      <c r="T8478" s="81"/>
      <c r="W8478" s="185"/>
      <c r="AE8478" s="185"/>
    </row>
    <row r="8479" spans="20:31" x14ac:dyDescent="0.25">
      <c r="T8479" s="81"/>
      <c r="W8479" s="185"/>
      <c r="AE8479" s="185"/>
    </row>
    <row r="8480" spans="20:31" x14ac:dyDescent="0.25">
      <c r="T8480" s="81"/>
      <c r="W8480" s="185"/>
      <c r="AE8480" s="185"/>
    </row>
    <row r="8481" spans="20:31" x14ac:dyDescent="0.25">
      <c r="T8481" s="81"/>
      <c r="W8481" s="185"/>
      <c r="AE8481" s="185"/>
    </row>
    <row r="8482" spans="20:31" x14ac:dyDescent="0.25">
      <c r="T8482" s="81"/>
      <c r="W8482" s="185"/>
      <c r="AE8482" s="185"/>
    </row>
    <row r="8483" spans="20:31" x14ac:dyDescent="0.25">
      <c r="T8483" s="81"/>
      <c r="W8483" s="185"/>
      <c r="AE8483" s="185"/>
    </row>
    <row r="8484" spans="20:31" x14ac:dyDescent="0.25">
      <c r="T8484" s="81"/>
      <c r="W8484" s="185"/>
      <c r="AE8484" s="185"/>
    </row>
    <row r="8485" spans="20:31" x14ac:dyDescent="0.25">
      <c r="T8485" s="81"/>
      <c r="W8485" s="185"/>
      <c r="AE8485" s="185"/>
    </row>
    <row r="8486" spans="20:31" x14ac:dyDescent="0.25">
      <c r="T8486" s="81"/>
      <c r="W8486" s="185"/>
      <c r="AE8486" s="185"/>
    </row>
    <row r="8487" spans="20:31" x14ac:dyDescent="0.25">
      <c r="T8487" s="81"/>
      <c r="W8487" s="185"/>
      <c r="AE8487" s="185"/>
    </row>
    <row r="8488" spans="20:31" x14ac:dyDescent="0.25">
      <c r="T8488" s="81"/>
      <c r="W8488" s="185"/>
      <c r="AE8488" s="185"/>
    </row>
    <row r="8489" spans="20:31" x14ac:dyDescent="0.25">
      <c r="T8489" s="81"/>
      <c r="W8489" s="185"/>
      <c r="AE8489" s="185"/>
    </row>
    <row r="8490" spans="20:31" x14ac:dyDescent="0.25">
      <c r="T8490" s="81"/>
      <c r="W8490" s="185"/>
      <c r="AE8490" s="185"/>
    </row>
    <row r="8491" spans="20:31" x14ac:dyDescent="0.25">
      <c r="T8491" s="81"/>
      <c r="W8491" s="185"/>
      <c r="AE8491" s="185"/>
    </row>
    <row r="8492" spans="20:31" x14ac:dyDescent="0.25">
      <c r="T8492" s="81"/>
      <c r="W8492" s="185"/>
      <c r="AE8492" s="185"/>
    </row>
    <row r="8493" spans="20:31" x14ac:dyDescent="0.25">
      <c r="T8493" s="81"/>
      <c r="W8493" s="185"/>
      <c r="AE8493" s="185"/>
    </row>
    <row r="8494" spans="20:31" x14ac:dyDescent="0.25">
      <c r="T8494" s="81"/>
      <c r="W8494" s="185"/>
      <c r="AE8494" s="185"/>
    </row>
    <row r="8495" spans="20:31" x14ac:dyDescent="0.25">
      <c r="T8495" s="81"/>
      <c r="W8495" s="185"/>
      <c r="AE8495" s="185"/>
    </row>
    <row r="8496" spans="20:31" x14ac:dyDescent="0.25">
      <c r="T8496" s="81"/>
      <c r="W8496" s="185"/>
      <c r="AE8496" s="185"/>
    </row>
    <row r="8497" spans="20:31" x14ac:dyDescent="0.25">
      <c r="T8497" s="81"/>
      <c r="W8497" s="185"/>
      <c r="AE8497" s="185"/>
    </row>
    <row r="8498" spans="20:31" x14ac:dyDescent="0.25">
      <c r="T8498" s="81"/>
      <c r="W8498" s="185"/>
      <c r="AE8498" s="185"/>
    </row>
    <row r="8499" spans="20:31" x14ac:dyDescent="0.25">
      <c r="T8499" s="81"/>
      <c r="W8499" s="185"/>
      <c r="AE8499" s="185"/>
    </row>
    <row r="8500" spans="20:31" x14ac:dyDescent="0.25">
      <c r="T8500" s="81"/>
      <c r="W8500" s="185"/>
      <c r="AE8500" s="185"/>
    </row>
    <row r="8501" spans="20:31" x14ac:dyDescent="0.25">
      <c r="T8501" s="81"/>
      <c r="W8501" s="185"/>
      <c r="AE8501" s="185"/>
    </row>
    <row r="8502" spans="20:31" x14ac:dyDescent="0.25">
      <c r="T8502" s="81"/>
      <c r="W8502" s="185"/>
      <c r="AE8502" s="185"/>
    </row>
    <row r="8503" spans="20:31" x14ac:dyDescent="0.25">
      <c r="T8503" s="81"/>
      <c r="W8503" s="185"/>
      <c r="AE8503" s="185"/>
    </row>
    <row r="8504" spans="20:31" x14ac:dyDescent="0.25">
      <c r="T8504" s="81"/>
      <c r="W8504" s="185"/>
      <c r="AE8504" s="185"/>
    </row>
    <row r="8505" spans="20:31" x14ac:dyDescent="0.25">
      <c r="T8505" s="81"/>
      <c r="W8505" s="185"/>
      <c r="AE8505" s="185"/>
    </row>
    <row r="8506" spans="20:31" x14ac:dyDescent="0.25">
      <c r="T8506" s="81"/>
      <c r="W8506" s="185"/>
      <c r="AE8506" s="185"/>
    </row>
    <row r="8507" spans="20:31" x14ac:dyDescent="0.25">
      <c r="T8507" s="81"/>
      <c r="W8507" s="185"/>
      <c r="AE8507" s="185"/>
    </row>
    <row r="8508" spans="20:31" x14ac:dyDescent="0.25">
      <c r="T8508" s="81"/>
      <c r="W8508" s="185"/>
      <c r="AE8508" s="185"/>
    </row>
    <row r="8509" spans="20:31" x14ac:dyDescent="0.25">
      <c r="T8509" s="81"/>
      <c r="W8509" s="185"/>
      <c r="AE8509" s="185"/>
    </row>
    <row r="8510" spans="20:31" x14ac:dyDescent="0.25">
      <c r="T8510" s="81"/>
      <c r="W8510" s="185"/>
      <c r="AE8510" s="185"/>
    </row>
    <row r="8511" spans="20:31" x14ac:dyDescent="0.25">
      <c r="T8511" s="81"/>
      <c r="W8511" s="185"/>
      <c r="AE8511" s="185"/>
    </row>
    <row r="8512" spans="20:31" x14ac:dyDescent="0.25">
      <c r="T8512" s="81"/>
      <c r="W8512" s="185"/>
      <c r="AE8512" s="185"/>
    </row>
    <row r="8513" spans="20:31" x14ac:dyDescent="0.25">
      <c r="T8513" s="81"/>
      <c r="W8513" s="185"/>
      <c r="AE8513" s="185"/>
    </row>
    <row r="8514" spans="20:31" x14ac:dyDescent="0.25">
      <c r="T8514" s="81"/>
      <c r="W8514" s="185"/>
      <c r="AE8514" s="185"/>
    </row>
    <row r="8515" spans="20:31" x14ac:dyDescent="0.25">
      <c r="T8515" s="81"/>
      <c r="W8515" s="185"/>
      <c r="AE8515" s="185"/>
    </row>
    <row r="8516" spans="20:31" x14ac:dyDescent="0.25">
      <c r="T8516" s="81"/>
      <c r="W8516" s="185"/>
      <c r="AE8516" s="185"/>
    </row>
    <row r="8517" spans="20:31" x14ac:dyDescent="0.25">
      <c r="T8517" s="81"/>
      <c r="W8517" s="185"/>
      <c r="AE8517" s="185"/>
    </row>
    <row r="8518" spans="20:31" x14ac:dyDescent="0.25">
      <c r="T8518" s="81"/>
      <c r="W8518" s="185"/>
      <c r="AE8518" s="185"/>
    </row>
    <row r="8519" spans="20:31" x14ac:dyDescent="0.25">
      <c r="T8519" s="81"/>
      <c r="W8519" s="185"/>
      <c r="AE8519" s="185"/>
    </row>
    <row r="8520" spans="20:31" x14ac:dyDescent="0.25">
      <c r="T8520" s="81"/>
      <c r="W8520" s="185"/>
      <c r="AE8520" s="185"/>
    </row>
    <row r="8521" spans="20:31" x14ac:dyDescent="0.25">
      <c r="T8521" s="81"/>
      <c r="W8521" s="185"/>
      <c r="AE8521" s="185"/>
    </row>
    <row r="8522" spans="20:31" x14ac:dyDescent="0.25">
      <c r="T8522" s="81"/>
      <c r="W8522" s="185"/>
      <c r="AE8522" s="185"/>
    </row>
    <row r="8523" spans="20:31" x14ac:dyDescent="0.25">
      <c r="T8523" s="81"/>
      <c r="W8523" s="185"/>
      <c r="AE8523" s="185"/>
    </row>
    <row r="8524" spans="20:31" x14ac:dyDescent="0.25">
      <c r="T8524" s="81"/>
      <c r="W8524" s="185"/>
      <c r="AE8524" s="185"/>
    </row>
    <row r="8525" spans="20:31" x14ac:dyDescent="0.25">
      <c r="T8525" s="81"/>
      <c r="W8525" s="185"/>
      <c r="AE8525" s="185"/>
    </row>
    <row r="8526" spans="20:31" x14ac:dyDescent="0.25">
      <c r="T8526" s="81"/>
      <c r="W8526" s="185"/>
      <c r="AE8526" s="185"/>
    </row>
    <row r="8527" spans="20:31" x14ac:dyDescent="0.25">
      <c r="T8527" s="81"/>
      <c r="W8527" s="185"/>
      <c r="AE8527" s="185"/>
    </row>
    <row r="8528" spans="20:31" x14ac:dyDescent="0.25">
      <c r="T8528" s="81"/>
      <c r="W8528" s="185"/>
      <c r="AE8528" s="185"/>
    </row>
    <row r="8529" spans="20:31" x14ac:dyDescent="0.25">
      <c r="T8529" s="81"/>
      <c r="W8529" s="185"/>
      <c r="AE8529" s="185"/>
    </row>
    <row r="8530" spans="20:31" x14ac:dyDescent="0.25">
      <c r="T8530" s="81"/>
      <c r="W8530" s="185"/>
      <c r="AE8530" s="185"/>
    </row>
    <row r="8531" spans="20:31" x14ac:dyDescent="0.25">
      <c r="T8531" s="81"/>
      <c r="W8531" s="185"/>
      <c r="AE8531" s="185"/>
    </row>
    <row r="8532" spans="20:31" x14ac:dyDescent="0.25">
      <c r="T8532" s="81"/>
      <c r="W8532" s="185"/>
      <c r="AE8532" s="185"/>
    </row>
    <row r="8533" spans="20:31" x14ac:dyDescent="0.25">
      <c r="T8533" s="81"/>
      <c r="W8533" s="185"/>
      <c r="AE8533" s="185"/>
    </row>
    <row r="8534" spans="20:31" x14ac:dyDescent="0.25">
      <c r="T8534" s="81"/>
      <c r="W8534" s="185"/>
      <c r="AE8534" s="185"/>
    </row>
    <row r="8535" spans="20:31" x14ac:dyDescent="0.25">
      <c r="T8535" s="81"/>
      <c r="W8535" s="185"/>
      <c r="AE8535" s="185"/>
    </row>
    <row r="8536" spans="20:31" x14ac:dyDescent="0.25">
      <c r="T8536" s="81"/>
      <c r="W8536" s="185"/>
      <c r="AE8536" s="185"/>
    </row>
    <row r="8537" spans="20:31" x14ac:dyDescent="0.25">
      <c r="T8537" s="81"/>
      <c r="W8537" s="185"/>
      <c r="AE8537" s="185"/>
    </row>
    <row r="8538" spans="20:31" x14ac:dyDescent="0.25">
      <c r="T8538" s="81"/>
      <c r="W8538" s="185"/>
      <c r="AE8538" s="185"/>
    </row>
    <row r="8539" spans="20:31" x14ac:dyDescent="0.25">
      <c r="T8539" s="81"/>
      <c r="W8539" s="185"/>
      <c r="AE8539" s="185"/>
    </row>
    <row r="8540" spans="20:31" x14ac:dyDescent="0.25">
      <c r="T8540" s="81"/>
      <c r="W8540" s="185"/>
      <c r="AE8540" s="185"/>
    </row>
    <row r="8541" spans="20:31" x14ac:dyDescent="0.25">
      <c r="T8541" s="81"/>
      <c r="W8541" s="185"/>
      <c r="AE8541" s="185"/>
    </row>
    <row r="8542" spans="20:31" x14ac:dyDescent="0.25">
      <c r="T8542" s="81"/>
      <c r="W8542" s="185"/>
      <c r="AE8542" s="185"/>
    </row>
    <row r="8543" spans="20:31" x14ac:dyDescent="0.25">
      <c r="T8543" s="81"/>
      <c r="W8543" s="185"/>
      <c r="AE8543" s="185"/>
    </row>
    <row r="8544" spans="20:31" x14ac:dyDescent="0.25">
      <c r="T8544" s="81"/>
      <c r="W8544" s="185"/>
      <c r="AE8544" s="185"/>
    </row>
    <row r="8545" spans="20:31" x14ac:dyDescent="0.25">
      <c r="T8545" s="81"/>
      <c r="W8545" s="185"/>
      <c r="AE8545" s="185"/>
    </row>
    <row r="8546" spans="20:31" x14ac:dyDescent="0.25">
      <c r="T8546" s="81"/>
      <c r="W8546" s="185"/>
      <c r="AE8546" s="185"/>
    </row>
    <row r="8547" spans="20:31" x14ac:dyDescent="0.25">
      <c r="T8547" s="81"/>
      <c r="W8547" s="185"/>
      <c r="AE8547" s="185"/>
    </row>
    <row r="8548" spans="20:31" x14ac:dyDescent="0.25">
      <c r="T8548" s="81"/>
      <c r="W8548" s="185"/>
      <c r="AE8548" s="185"/>
    </row>
    <row r="8549" spans="20:31" x14ac:dyDescent="0.25">
      <c r="T8549" s="81"/>
      <c r="W8549" s="185"/>
      <c r="AE8549" s="185"/>
    </row>
    <row r="8550" spans="20:31" x14ac:dyDescent="0.25">
      <c r="T8550" s="81"/>
      <c r="W8550" s="185"/>
      <c r="AE8550" s="185"/>
    </row>
    <row r="8551" spans="20:31" x14ac:dyDescent="0.25">
      <c r="T8551" s="81"/>
      <c r="W8551" s="185"/>
      <c r="AE8551" s="185"/>
    </row>
    <row r="8552" spans="20:31" x14ac:dyDescent="0.25">
      <c r="T8552" s="81"/>
      <c r="W8552" s="185"/>
      <c r="AE8552" s="185"/>
    </row>
    <row r="8553" spans="20:31" x14ac:dyDescent="0.25">
      <c r="T8553" s="81"/>
      <c r="W8553" s="185"/>
      <c r="AE8553" s="185"/>
    </row>
    <row r="8554" spans="20:31" x14ac:dyDescent="0.25">
      <c r="T8554" s="81"/>
      <c r="W8554" s="185"/>
      <c r="AE8554" s="185"/>
    </row>
    <row r="8555" spans="20:31" x14ac:dyDescent="0.25">
      <c r="T8555" s="81"/>
      <c r="W8555" s="185"/>
      <c r="AE8555" s="185"/>
    </row>
    <row r="8556" spans="20:31" x14ac:dyDescent="0.25">
      <c r="T8556" s="81"/>
      <c r="W8556" s="185"/>
      <c r="AE8556" s="185"/>
    </row>
    <row r="8557" spans="20:31" x14ac:dyDescent="0.25">
      <c r="T8557" s="81"/>
      <c r="W8557" s="185"/>
      <c r="AE8557" s="185"/>
    </row>
    <row r="8558" spans="20:31" x14ac:dyDescent="0.25">
      <c r="T8558" s="81"/>
      <c r="W8558" s="185"/>
      <c r="AE8558" s="185"/>
    </row>
    <row r="8559" spans="20:31" x14ac:dyDescent="0.25">
      <c r="T8559" s="81"/>
      <c r="W8559" s="185"/>
      <c r="AE8559" s="185"/>
    </row>
    <row r="8560" spans="20:31" x14ac:dyDescent="0.25">
      <c r="T8560" s="81"/>
      <c r="W8560" s="185"/>
      <c r="AE8560" s="185"/>
    </row>
    <row r="8561" spans="20:31" x14ac:dyDescent="0.25">
      <c r="T8561" s="81"/>
      <c r="W8561" s="185"/>
      <c r="AE8561" s="185"/>
    </row>
    <row r="8562" spans="20:31" x14ac:dyDescent="0.25">
      <c r="T8562" s="81"/>
      <c r="W8562" s="185"/>
      <c r="AE8562" s="185"/>
    </row>
    <row r="8563" spans="20:31" x14ac:dyDescent="0.25">
      <c r="T8563" s="81"/>
      <c r="W8563" s="185"/>
      <c r="AE8563" s="185"/>
    </row>
    <row r="8564" spans="20:31" x14ac:dyDescent="0.25">
      <c r="T8564" s="81"/>
      <c r="W8564" s="185"/>
      <c r="AE8564" s="185"/>
    </row>
    <row r="8565" spans="20:31" x14ac:dyDescent="0.25">
      <c r="T8565" s="81"/>
      <c r="W8565" s="185"/>
      <c r="AE8565" s="185"/>
    </row>
    <row r="8566" spans="20:31" x14ac:dyDescent="0.25">
      <c r="T8566" s="81"/>
      <c r="W8566" s="185"/>
      <c r="AE8566" s="185"/>
    </row>
    <row r="8567" spans="20:31" x14ac:dyDescent="0.25">
      <c r="T8567" s="81"/>
      <c r="W8567" s="185"/>
      <c r="AE8567" s="185"/>
    </row>
    <row r="8568" spans="20:31" x14ac:dyDescent="0.25">
      <c r="T8568" s="81"/>
      <c r="W8568" s="185"/>
      <c r="AE8568" s="185"/>
    </row>
    <row r="8569" spans="20:31" x14ac:dyDescent="0.25">
      <c r="T8569" s="81"/>
      <c r="W8569" s="185"/>
      <c r="AE8569" s="185"/>
    </row>
    <row r="8570" spans="20:31" x14ac:dyDescent="0.25">
      <c r="T8570" s="81"/>
      <c r="W8570" s="185"/>
      <c r="AE8570" s="185"/>
    </row>
    <row r="8571" spans="20:31" x14ac:dyDescent="0.25">
      <c r="T8571" s="81"/>
      <c r="W8571" s="185"/>
      <c r="AE8571" s="185"/>
    </row>
    <row r="8572" spans="20:31" x14ac:dyDescent="0.25">
      <c r="T8572" s="81"/>
      <c r="W8572" s="185"/>
      <c r="AE8572" s="185"/>
    </row>
    <row r="8573" spans="20:31" x14ac:dyDescent="0.25">
      <c r="T8573" s="81"/>
      <c r="W8573" s="185"/>
      <c r="AE8573" s="185"/>
    </row>
    <row r="8574" spans="20:31" x14ac:dyDescent="0.25">
      <c r="T8574" s="81"/>
      <c r="W8574" s="185"/>
      <c r="AE8574" s="185"/>
    </row>
    <row r="8575" spans="20:31" x14ac:dyDescent="0.25">
      <c r="T8575" s="81"/>
      <c r="W8575" s="185"/>
      <c r="AE8575" s="185"/>
    </row>
    <row r="8576" spans="20:31" x14ac:dyDescent="0.25">
      <c r="T8576" s="81"/>
      <c r="W8576" s="185"/>
      <c r="AE8576" s="185"/>
    </row>
    <row r="8577" spans="20:31" x14ac:dyDescent="0.25">
      <c r="T8577" s="81"/>
      <c r="W8577" s="185"/>
      <c r="AE8577" s="185"/>
    </row>
    <row r="8578" spans="20:31" x14ac:dyDescent="0.25">
      <c r="T8578" s="81"/>
      <c r="W8578" s="185"/>
      <c r="AE8578" s="185"/>
    </row>
    <row r="8579" spans="20:31" x14ac:dyDescent="0.25">
      <c r="T8579" s="81"/>
      <c r="W8579" s="185"/>
      <c r="AE8579" s="185"/>
    </row>
    <row r="8580" spans="20:31" x14ac:dyDescent="0.25">
      <c r="T8580" s="81"/>
      <c r="W8580" s="185"/>
      <c r="AE8580" s="185"/>
    </row>
    <row r="8581" spans="20:31" x14ac:dyDescent="0.25">
      <c r="T8581" s="81"/>
      <c r="W8581" s="185"/>
      <c r="AE8581" s="185"/>
    </row>
    <row r="8582" spans="20:31" x14ac:dyDescent="0.25">
      <c r="T8582" s="81"/>
      <c r="W8582" s="185"/>
      <c r="AE8582" s="185"/>
    </row>
    <row r="8583" spans="20:31" x14ac:dyDescent="0.25">
      <c r="T8583" s="81"/>
      <c r="W8583" s="185"/>
      <c r="AE8583" s="185"/>
    </row>
    <row r="8584" spans="20:31" x14ac:dyDescent="0.25">
      <c r="T8584" s="81"/>
      <c r="W8584" s="185"/>
      <c r="AE8584" s="185"/>
    </row>
    <row r="8585" spans="20:31" x14ac:dyDescent="0.25">
      <c r="T8585" s="81"/>
      <c r="W8585" s="185"/>
      <c r="AE8585" s="185"/>
    </row>
    <row r="8586" spans="20:31" x14ac:dyDescent="0.25">
      <c r="T8586" s="81"/>
      <c r="W8586" s="185"/>
      <c r="AE8586" s="185"/>
    </row>
    <row r="8587" spans="20:31" x14ac:dyDescent="0.25">
      <c r="T8587" s="81"/>
      <c r="W8587" s="185"/>
      <c r="AE8587" s="185"/>
    </row>
    <row r="8588" spans="20:31" x14ac:dyDescent="0.25">
      <c r="T8588" s="81"/>
      <c r="W8588" s="185"/>
      <c r="AE8588" s="185"/>
    </row>
    <row r="8589" spans="20:31" x14ac:dyDescent="0.25">
      <c r="T8589" s="81"/>
      <c r="W8589" s="185"/>
      <c r="AE8589" s="185"/>
    </row>
    <row r="8590" spans="20:31" x14ac:dyDescent="0.25">
      <c r="T8590" s="81"/>
      <c r="W8590" s="185"/>
      <c r="AE8590" s="185"/>
    </row>
    <row r="8591" spans="20:31" x14ac:dyDescent="0.25">
      <c r="T8591" s="81"/>
      <c r="W8591" s="185"/>
      <c r="AE8591" s="185"/>
    </row>
    <row r="8592" spans="20:31" x14ac:dyDescent="0.25">
      <c r="T8592" s="81"/>
      <c r="W8592" s="185"/>
      <c r="AE8592" s="185"/>
    </row>
    <row r="8593" spans="20:31" x14ac:dyDescent="0.25">
      <c r="T8593" s="81"/>
      <c r="W8593" s="185"/>
      <c r="AE8593" s="185"/>
    </row>
    <row r="8594" spans="20:31" x14ac:dyDescent="0.25">
      <c r="T8594" s="81"/>
      <c r="W8594" s="185"/>
      <c r="AE8594" s="185"/>
    </row>
    <row r="8595" spans="20:31" x14ac:dyDescent="0.25">
      <c r="T8595" s="81"/>
      <c r="W8595" s="185"/>
      <c r="AE8595" s="185"/>
    </row>
    <row r="8596" spans="20:31" x14ac:dyDescent="0.25">
      <c r="T8596" s="81"/>
      <c r="W8596" s="185"/>
      <c r="AE8596" s="185"/>
    </row>
    <row r="8597" spans="20:31" x14ac:dyDescent="0.25">
      <c r="T8597" s="81"/>
      <c r="W8597" s="185"/>
      <c r="AE8597" s="185"/>
    </row>
    <row r="8598" spans="20:31" x14ac:dyDescent="0.25">
      <c r="T8598" s="81"/>
      <c r="W8598" s="185"/>
      <c r="AE8598" s="185"/>
    </row>
    <row r="8599" spans="20:31" x14ac:dyDescent="0.25">
      <c r="T8599" s="81"/>
      <c r="W8599" s="185"/>
      <c r="AE8599" s="185"/>
    </row>
    <row r="8600" spans="20:31" x14ac:dyDescent="0.25">
      <c r="T8600" s="81"/>
      <c r="W8600" s="185"/>
      <c r="AE8600" s="185"/>
    </row>
    <row r="8601" spans="20:31" x14ac:dyDescent="0.25">
      <c r="T8601" s="81"/>
      <c r="W8601" s="185"/>
      <c r="AE8601" s="185"/>
    </row>
    <row r="8602" spans="20:31" x14ac:dyDescent="0.25">
      <c r="T8602" s="81"/>
      <c r="W8602" s="185"/>
      <c r="AE8602" s="185"/>
    </row>
    <row r="8603" spans="20:31" x14ac:dyDescent="0.25">
      <c r="T8603" s="81"/>
      <c r="W8603" s="185"/>
      <c r="AE8603" s="185"/>
    </row>
    <row r="8604" spans="20:31" x14ac:dyDescent="0.25">
      <c r="T8604" s="81"/>
      <c r="W8604" s="185"/>
      <c r="AE8604" s="185"/>
    </row>
    <row r="8605" spans="20:31" x14ac:dyDescent="0.25">
      <c r="T8605" s="81"/>
      <c r="W8605" s="185"/>
      <c r="AE8605" s="185"/>
    </row>
    <row r="8606" spans="20:31" x14ac:dyDescent="0.25">
      <c r="T8606" s="81"/>
      <c r="W8606" s="185"/>
      <c r="AE8606" s="185"/>
    </row>
    <row r="8607" spans="20:31" x14ac:dyDescent="0.25">
      <c r="T8607" s="81"/>
      <c r="W8607" s="185"/>
      <c r="AE8607" s="185"/>
    </row>
    <row r="8608" spans="20:31" x14ac:dyDescent="0.25">
      <c r="T8608" s="81"/>
      <c r="W8608" s="185"/>
      <c r="AE8608" s="185"/>
    </row>
    <row r="8609" spans="20:31" x14ac:dyDescent="0.25">
      <c r="T8609" s="81"/>
      <c r="W8609" s="185"/>
      <c r="AE8609" s="185"/>
    </row>
    <row r="8610" spans="20:31" x14ac:dyDescent="0.25">
      <c r="T8610" s="81"/>
      <c r="W8610" s="185"/>
      <c r="AE8610" s="185"/>
    </row>
    <row r="8611" spans="20:31" x14ac:dyDescent="0.25">
      <c r="T8611" s="81"/>
      <c r="W8611" s="185"/>
      <c r="AE8611" s="185"/>
    </row>
    <row r="8612" spans="20:31" x14ac:dyDescent="0.25">
      <c r="T8612" s="81"/>
      <c r="W8612" s="185"/>
      <c r="AE8612" s="185"/>
    </row>
    <row r="8613" spans="20:31" x14ac:dyDescent="0.25">
      <c r="T8613" s="81"/>
      <c r="W8613" s="185"/>
      <c r="AE8613" s="185"/>
    </row>
    <row r="8614" spans="20:31" x14ac:dyDescent="0.25">
      <c r="T8614" s="81"/>
      <c r="W8614" s="185"/>
      <c r="AE8614" s="185"/>
    </row>
    <row r="8615" spans="20:31" x14ac:dyDescent="0.25">
      <c r="T8615" s="81"/>
      <c r="W8615" s="185"/>
      <c r="AE8615" s="185"/>
    </row>
    <row r="8616" spans="20:31" x14ac:dyDescent="0.25">
      <c r="T8616" s="81"/>
      <c r="W8616" s="185"/>
      <c r="AE8616" s="185"/>
    </row>
    <row r="8617" spans="20:31" x14ac:dyDescent="0.25">
      <c r="T8617" s="81"/>
      <c r="W8617" s="185"/>
      <c r="AE8617" s="185"/>
    </row>
    <row r="8618" spans="20:31" x14ac:dyDescent="0.25">
      <c r="T8618" s="81"/>
      <c r="W8618" s="185"/>
      <c r="AE8618" s="185"/>
    </row>
    <row r="8619" spans="20:31" x14ac:dyDescent="0.25">
      <c r="T8619" s="81"/>
      <c r="W8619" s="185"/>
      <c r="AE8619" s="185"/>
    </row>
    <row r="8620" spans="20:31" x14ac:dyDescent="0.25">
      <c r="T8620" s="81"/>
      <c r="W8620" s="185"/>
      <c r="AE8620" s="185"/>
    </row>
    <row r="8621" spans="20:31" x14ac:dyDescent="0.25">
      <c r="T8621" s="81"/>
      <c r="W8621" s="185"/>
      <c r="AE8621" s="185"/>
    </row>
    <row r="8622" spans="20:31" x14ac:dyDescent="0.25">
      <c r="T8622" s="81"/>
      <c r="W8622" s="185"/>
      <c r="AE8622" s="185"/>
    </row>
    <row r="8623" spans="20:31" x14ac:dyDescent="0.25">
      <c r="T8623" s="81"/>
      <c r="W8623" s="185"/>
      <c r="AE8623" s="185"/>
    </row>
    <row r="8624" spans="20:31" x14ac:dyDescent="0.25">
      <c r="T8624" s="81"/>
      <c r="W8624" s="185"/>
      <c r="AE8624" s="185"/>
    </row>
    <row r="8625" spans="20:31" x14ac:dyDescent="0.25">
      <c r="T8625" s="81"/>
      <c r="W8625" s="185"/>
      <c r="AE8625" s="185"/>
    </row>
    <row r="8626" spans="20:31" x14ac:dyDescent="0.25">
      <c r="T8626" s="81"/>
      <c r="W8626" s="185"/>
      <c r="AE8626" s="185"/>
    </row>
    <row r="8627" spans="20:31" x14ac:dyDescent="0.25">
      <c r="T8627" s="81"/>
      <c r="W8627" s="185"/>
      <c r="AE8627" s="185"/>
    </row>
    <row r="8628" spans="20:31" x14ac:dyDescent="0.25">
      <c r="T8628" s="81"/>
      <c r="W8628" s="185"/>
      <c r="AE8628" s="185"/>
    </row>
    <row r="8629" spans="20:31" x14ac:dyDescent="0.25">
      <c r="T8629" s="81"/>
      <c r="W8629" s="185"/>
      <c r="AE8629" s="185"/>
    </row>
    <row r="8630" spans="20:31" x14ac:dyDescent="0.25">
      <c r="T8630" s="81"/>
      <c r="W8630" s="185"/>
      <c r="AE8630" s="185"/>
    </row>
    <row r="8631" spans="20:31" x14ac:dyDescent="0.25">
      <c r="T8631" s="81"/>
      <c r="W8631" s="185"/>
      <c r="AE8631" s="185"/>
    </row>
    <row r="8632" spans="20:31" x14ac:dyDescent="0.25">
      <c r="T8632" s="81"/>
      <c r="W8632" s="185"/>
      <c r="AE8632" s="185"/>
    </row>
    <row r="8633" spans="20:31" x14ac:dyDescent="0.25">
      <c r="T8633" s="81"/>
      <c r="W8633" s="185"/>
      <c r="AE8633" s="185"/>
    </row>
    <row r="8634" spans="20:31" x14ac:dyDescent="0.25">
      <c r="T8634" s="81"/>
      <c r="W8634" s="185"/>
      <c r="AE8634" s="185"/>
    </row>
    <row r="8635" spans="20:31" x14ac:dyDescent="0.25">
      <c r="T8635" s="81"/>
      <c r="W8635" s="185"/>
      <c r="AE8635" s="185"/>
    </row>
    <row r="8636" spans="20:31" x14ac:dyDescent="0.25">
      <c r="T8636" s="81"/>
      <c r="W8636" s="185"/>
      <c r="AE8636" s="185"/>
    </row>
    <row r="8637" spans="20:31" x14ac:dyDescent="0.25">
      <c r="T8637" s="81"/>
      <c r="W8637" s="185"/>
      <c r="AE8637" s="185"/>
    </row>
    <row r="8638" spans="20:31" x14ac:dyDescent="0.25">
      <c r="T8638" s="81"/>
      <c r="W8638" s="185"/>
      <c r="AE8638" s="185"/>
    </row>
    <row r="8639" spans="20:31" x14ac:dyDescent="0.25">
      <c r="T8639" s="81"/>
      <c r="W8639" s="185"/>
      <c r="AE8639" s="185"/>
    </row>
    <row r="8640" spans="20:31" x14ac:dyDescent="0.25">
      <c r="T8640" s="81"/>
      <c r="W8640" s="185"/>
      <c r="AE8640" s="185"/>
    </row>
    <row r="8641" spans="20:31" x14ac:dyDescent="0.25">
      <c r="T8641" s="81"/>
      <c r="W8641" s="185"/>
      <c r="AE8641" s="185"/>
    </row>
    <row r="8642" spans="20:31" x14ac:dyDescent="0.25">
      <c r="T8642" s="81"/>
      <c r="W8642" s="185"/>
      <c r="AE8642" s="185"/>
    </row>
    <row r="8643" spans="20:31" x14ac:dyDescent="0.25">
      <c r="T8643" s="81"/>
      <c r="W8643" s="185"/>
      <c r="AE8643" s="185"/>
    </row>
    <row r="8644" spans="20:31" x14ac:dyDescent="0.25">
      <c r="T8644" s="81"/>
      <c r="W8644" s="185"/>
      <c r="AE8644" s="185"/>
    </row>
    <row r="8645" spans="20:31" x14ac:dyDescent="0.25">
      <c r="T8645" s="81"/>
      <c r="W8645" s="185"/>
      <c r="AE8645" s="185"/>
    </row>
    <row r="8646" spans="20:31" x14ac:dyDescent="0.25">
      <c r="T8646" s="81"/>
      <c r="W8646" s="185"/>
      <c r="AE8646" s="185"/>
    </row>
    <row r="8647" spans="20:31" x14ac:dyDescent="0.25">
      <c r="T8647" s="81"/>
      <c r="W8647" s="185"/>
      <c r="AE8647" s="185"/>
    </row>
    <row r="8648" spans="20:31" x14ac:dyDescent="0.25">
      <c r="T8648" s="81"/>
      <c r="W8648" s="185"/>
      <c r="AE8648" s="185"/>
    </row>
    <row r="8649" spans="20:31" x14ac:dyDescent="0.25">
      <c r="T8649" s="81"/>
      <c r="W8649" s="185"/>
      <c r="AE8649" s="185"/>
    </row>
    <row r="8650" spans="20:31" x14ac:dyDescent="0.25">
      <c r="T8650" s="81"/>
      <c r="W8650" s="185"/>
      <c r="AE8650" s="185"/>
    </row>
    <row r="8651" spans="20:31" x14ac:dyDescent="0.25">
      <c r="T8651" s="81"/>
      <c r="W8651" s="185"/>
      <c r="AE8651" s="185"/>
    </row>
    <row r="8652" spans="20:31" x14ac:dyDescent="0.25">
      <c r="T8652" s="81"/>
      <c r="W8652" s="185"/>
      <c r="AE8652" s="185"/>
    </row>
    <row r="8653" spans="20:31" x14ac:dyDescent="0.25">
      <c r="T8653" s="81"/>
      <c r="W8653" s="185"/>
      <c r="AE8653" s="185"/>
    </row>
    <row r="8654" spans="20:31" x14ac:dyDescent="0.25">
      <c r="T8654" s="81"/>
      <c r="W8654" s="185"/>
      <c r="AE8654" s="185"/>
    </row>
    <row r="8655" spans="20:31" x14ac:dyDescent="0.25">
      <c r="T8655" s="81"/>
      <c r="W8655" s="185"/>
      <c r="AE8655" s="185"/>
    </row>
    <row r="8656" spans="20:31" x14ac:dyDescent="0.25">
      <c r="T8656" s="81"/>
      <c r="W8656" s="185"/>
      <c r="AE8656" s="185"/>
    </row>
    <row r="8657" spans="20:31" x14ac:dyDescent="0.25">
      <c r="T8657" s="81"/>
      <c r="W8657" s="185"/>
      <c r="AE8657" s="185"/>
    </row>
    <row r="8658" spans="20:31" x14ac:dyDescent="0.25">
      <c r="T8658" s="81"/>
      <c r="W8658" s="185"/>
      <c r="AE8658" s="185"/>
    </row>
    <row r="8659" spans="20:31" x14ac:dyDescent="0.25">
      <c r="T8659" s="81"/>
      <c r="W8659" s="185"/>
      <c r="AE8659" s="185"/>
    </row>
    <row r="8660" spans="20:31" x14ac:dyDescent="0.25">
      <c r="T8660" s="81"/>
      <c r="W8660" s="185"/>
      <c r="AE8660" s="185"/>
    </row>
    <row r="8661" spans="20:31" x14ac:dyDescent="0.25">
      <c r="T8661" s="81"/>
      <c r="W8661" s="185"/>
      <c r="AE8661" s="185"/>
    </row>
    <row r="8662" spans="20:31" x14ac:dyDescent="0.25">
      <c r="T8662" s="81"/>
      <c r="W8662" s="185"/>
      <c r="AE8662" s="185"/>
    </row>
    <row r="8663" spans="20:31" x14ac:dyDescent="0.25">
      <c r="T8663" s="81"/>
      <c r="W8663" s="185"/>
      <c r="AE8663" s="185"/>
    </row>
    <row r="8664" spans="20:31" x14ac:dyDescent="0.25">
      <c r="T8664" s="81"/>
      <c r="W8664" s="185"/>
      <c r="AE8664" s="185"/>
    </row>
    <row r="8665" spans="20:31" x14ac:dyDescent="0.25">
      <c r="T8665" s="81"/>
      <c r="W8665" s="185"/>
      <c r="AE8665" s="185"/>
    </row>
    <row r="8666" spans="20:31" x14ac:dyDescent="0.25">
      <c r="T8666" s="81"/>
      <c r="W8666" s="185"/>
      <c r="AE8666" s="185"/>
    </row>
    <row r="8667" spans="20:31" x14ac:dyDescent="0.25">
      <c r="T8667" s="81"/>
      <c r="W8667" s="185"/>
      <c r="AE8667" s="185"/>
    </row>
    <row r="8668" spans="20:31" x14ac:dyDescent="0.25">
      <c r="T8668" s="81"/>
      <c r="W8668" s="185"/>
      <c r="AE8668" s="185"/>
    </row>
    <row r="8669" spans="20:31" x14ac:dyDescent="0.25">
      <c r="T8669" s="81"/>
      <c r="W8669" s="185"/>
      <c r="AE8669" s="185"/>
    </row>
    <row r="8670" spans="20:31" x14ac:dyDescent="0.25">
      <c r="T8670" s="81"/>
      <c r="W8670" s="185"/>
      <c r="AE8670" s="185"/>
    </row>
    <row r="8671" spans="20:31" x14ac:dyDescent="0.25">
      <c r="T8671" s="81"/>
      <c r="W8671" s="185"/>
      <c r="AE8671" s="185"/>
    </row>
    <row r="8672" spans="20:31" x14ac:dyDescent="0.25">
      <c r="T8672" s="81"/>
      <c r="W8672" s="185"/>
      <c r="AE8672" s="185"/>
    </row>
    <row r="8673" spans="20:31" x14ac:dyDescent="0.25">
      <c r="T8673" s="81"/>
      <c r="W8673" s="185"/>
      <c r="AE8673" s="185"/>
    </row>
    <row r="8674" spans="20:31" x14ac:dyDescent="0.25">
      <c r="T8674" s="81"/>
      <c r="W8674" s="185"/>
      <c r="AE8674" s="185"/>
    </row>
    <row r="8675" spans="20:31" x14ac:dyDescent="0.25">
      <c r="T8675" s="81"/>
      <c r="W8675" s="185"/>
      <c r="AE8675" s="185"/>
    </row>
    <row r="8676" spans="20:31" x14ac:dyDescent="0.25">
      <c r="T8676" s="81"/>
      <c r="W8676" s="185"/>
      <c r="AE8676" s="185"/>
    </row>
    <row r="8677" spans="20:31" x14ac:dyDescent="0.25">
      <c r="T8677" s="81"/>
      <c r="W8677" s="185"/>
      <c r="AE8677" s="185"/>
    </row>
    <row r="8678" spans="20:31" x14ac:dyDescent="0.25">
      <c r="T8678" s="81"/>
      <c r="W8678" s="185"/>
      <c r="AE8678" s="185"/>
    </row>
    <row r="8679" spans="20:31" x14ac:dyDescent="0.25">
      <c r="T8679" s="81"/>
      <c r="W8679" s="185"/>
      <c r="AE8679" s="185"/>
    </row>
    <row r="8680" spans="20:31" x14ac:dyDescent="0.25">
      <c r="T8680" s="81"/>
      <c r="W8680" s="185"/>
      <c r="AE8680" s="185"/>
    </row>
    <row r="8681" spans="20:31" x14ac:dyDescent="0.25">
      <c r="T8681" s="81"/>
      <c r="W8681" s="185"/>
      <c r="AE8681" s="185"/>
    </row>
    <row r="8682" spans="20:31" x14ac:dyDescent="0.25">
      <c r="T8682" s="81"/>
      <c r="W8682" s="185"/>
      <c r="AE8682" s="185"/>
    </row>
    <row r="8683" spans="20:31" x14ac:dyDescent="0.25">
      <c r="T8683" s="81"/>
      <c r="W8683" s="185"/>
      <c r="AE8683" s="185"/>
    </row>
    <row r="8684" spans="20:31" x14ac:dyDescent="0.25">
      <c r="T8684" s="81"/>
      <c r="W8684" s="185"/>
      <c r="AE8684" s="185"/>
    </row>
    <row r="8685" spans="20:31" x14ac:dyDescent="0.25">
      <c r="T8685" s="81"/>
      <c r="W8685" s="185"/>
      <c r="AE8685" s="185"/>
    </row>
    <row r="8686" spans="20:31" x14ac:dyDescent="0.25">
      <c r="T8686" s="81"/>
      <c r="W8686" s="185"/>
      <c r="AE8686" s="185"/>
    </row>
    <row r="8687" spans="20:31" x14ac:dyDescent="0.25">
      <c r="T8687" s="81"/>
      <c r="W8687" s="185"/>
      <c r="AE8687" s="185"/>
    </row>
    <row r="8688" spans="20:31" x14ac:dyDescent="0.25">
      <c r="T8688" s="81"/>
      <c r="W8688" s="185"/>
      <c r="AE8688" s="185"/>
    </row>
    <row r="8689" spans="20:31" x14ac:dyDescent="0.25">
      <c r="T8689" s="81"/>
      <c r="W8689" s="185"/>
      <c r="AE8689" s="185"/>
    </row>
    <row r="8690" spans="20:31" x14ac:dyDescent="0.25">
      <c r="T8690" s="81"/>
      <c r="W8690" s="185"/>
      <c r="AE8690" s="185"/>
    </row>
    <row r="8691" spans="20:31" x14ac:dyDescent="0.25">
      <c r="T8691" s="81"/>
      <c r="W8691" s="185"/>
      <c r="AE8691" s="185"/>
    </row>
    <row r="8692" spans="20:31" x14ac:dyDescent="0.25">
      <c r="T8692" s="81"/>
      <c r="W8692" s="185"/>
      <c r="AE8692" s="185"/>
    </row>
    <row r="8693" spans="20:31" x14ac:dyDescent="0.25">
      <c r="T8693" s="81"/>
      <c r="W8693" s="185"/>
      <c r="AE8693" s="185"/>
    </row>
    <row r="8694" spans="20:31" x14ac:dyDescent="0.25">
      <c r="T8694" s="81"/>
      <c r="W8694" s="185"/>
      <c r="AE8694" s="185"/>
    </row>
    <row r="8695" spans="20:31" x14ac:dyDescent="0.25">
      <c r="T8695" s="81"/>
      <c r="W8695" s="185"/>
      <c r="AE8695" s="185"/>
    </row>
    <row r="8696" spans="20:31" x14ac:dyDescent="0.25">
      <c r="T8696" s="81"/>
      <c r="W8696" s="185"/>
      <c r="AE8696" s="185"/>
    </row>
    <row r="8697" spans="20:31" x14ac:dyDescent="0.25">
      <c r="T8697" s="81"/>
      <c r="W8697" s="185"/>
      <c r="AE8697" s="185"/>
    </row>
    <row r="8698" spans="20:31" x14ac:dyDescent="0.25">
      <c r="T8698" s="81"/>
      <c r="W8698" s="185"/>
      <c r="AE8698" s="185"/>
    </row>
    <row r="8699" spans="20:31" x14ac:dyDescent="0.25">
      <c r="T8699" s="81"/>
      <c r="W8699" s="185"/>
      <c r="AE8699" s="185"/>
    </row>
    <row r="8700" spans="20:31" x14ac:dyDescent="0.25">
      <c r="T8700" s="81"/>
      <c r="W8700" s="185"/>
      <c r="AE8700" s="185"/>
    </row>
    <row r="8701" spans="20:31" x14ac:dyDescent="0.25">
      <c r="T8701" s="81"/>
      <c r="W8701" s="185"/>
      <c r="AE8701" s="185"/>
    </row>
    <row r="8702" spans="20:31" x14ac:dyDescent="0.25">
      <c r="T8702" s="81"/>
      <c r="W8702" s="185"/>
      <c r="AE8702" s="185"/>
    </row>
    <row r="8703" spans="20:31" x14ac:dyDescent="0.25">
      <c r="T8703" s="81"/>
      <c r="W8703" s="185"/>
      <c r="AE8703" s="185"/>
    </row>
    <row r="8704" spans="20:31" x14ac:dyDescent="0.25">
      <c r="T8704" s="81"/>
      <c r="W8704" s="185"/>
      <c r="AE8704" s="185"/>
    </row>
    <row r="8705" spans="20:31" x14ac:dyDescent="0.25">
      <c r="T8705" s="81"/>
      <c r="W8705" s="185"/>
      <c r="AE8705" s="185"/>
    </row>
    <row r="8706" spans="20:31" x14ac:dyDescent="0.25">
      <c r="T8706" s="81"/>
      <c r="W8706" s="185"/>
      <c r="AE8706" s="185"/>
    </row>
    <row r="8707" spans="20:31" x14ac:dyDescent="0.25">
      <c r="T8707" s="81"/>
      <c r="W8707" s="185"/>
      <c r="AE8707" s="185"/>
    </row>
    <row r="8708" spans="20:31" x14ac:dyDescent="0.25">
      <c r="T8708" s="81"/>
      <c r="W8708" s="185"/>
      <c r="AE8708" s="185"/>
    </row>
    <row r="8709" spans="20:31" x14ac:dyDescent="0.25">
      <c r="T8709" s="81"/>
      <c r="W8709" s="185"/>
      <c r="AE8709" s="185"/>
    </row>
    <row r="8710" spans="20:31" x14ac:dyDescent="0.25">
      <c r="T8710" s="81"/>
      <c r="W8710" s="185"/>
      <c r="AE8710" s="185"/>
    </row>
    <row r="8711" spans="20:31" x14ac:dyDescent="0.25">
      <c r="T8711" s="81"/>
      <c r="W8711" s="185"/>
      <c r="AE8711" s="185"/>
    </row>
    <row r="8712" spans="20:31" x14ac:dyDescent="0.25">
      <c r="T8712" s="81"/>
      <c r="W8712" s="185"/>
      <c r="AE8712" s="185"/>
    </row>
    <row r="8713" spans="20:31" x14ac:dyDescent="0.25">
      <c r="T8713" s="81"/>
      <c r="W8713" s="185"/>
      <c r="AE8713" s="185"/>
    </row>
    <row r="8714" spans="20:31" x14ac:dyDescent="0.25">
      <c r="T8714" s="81"/>
      <c r="W8714" s="185"/>
      <c r="AE8714" s="185"/>
    </row>
    <row r="8715" spans="20:31" x14ac:dyDescent="0.25">
      <c r="T8715" s="81"/>
      <c r="W8715" s="185"/>
      <c r="AE8715" s="185"/>
    </row>
    <row r="8716" spans="20:31" x14ac:dyDescent="0.25">
      <c r="T8716" s="81"/>
      <c r="W8716" s="185"/>
      <c r="AE8716" s="185"/>
    </row>
    <row r="8717" spans="20:31" x14ac:dyDescent="0.25">
      <c r="T8717" s="81"/>
      <c r="W8717" s="185"/>
      <c r="AE8717" s="185"/>
    </row>
    <row r="8718" spans="20:31" x14ac:dyDescent="0.25">
      <c r="T8718" s="81"/>
      <c r="W8718" s="185"/>
      <c r="AE8718" s="185"/>
    </row>
    <row r="8719" spans="20:31" x14ac:dyDescent="0.25">
      <c r="T8719" s="81"/>
      <c r="W8719" s="185"/>
      <c r="AE8719" s="185"/>
    </row>
    <row r="8720" spans="20:31" x14ac:dyDescent="0.25">
      <c r="T8720" s="81"/>
      <c r="W8720" s="185"/>
      <c r="AE8720" s="185"/>
    </row>
    <row r="8721" spans="20:31" x14ac:dyDescent="0.25">
      <c r="T8721" s="81"/>
      <c r="W8721" s="185"/>
      <c r="AE8721" s="185"/>
    </row>
    <row r="8722" spans="20:31" x14ac:dyDescent="0.25">
      <c r="T8722" s="81"/>
      <c r="W8722" s="185"/>
      <c r="AE8722" s="185"/>
    </row>
    <row r="8723" spans="20:31" x14ac:dyDescent="0.25">
      <c r="T8723" s="81"/>
      <c r="W8723" s="185"/>
      <c r="AE8723" s="185"/>
    </row>
    <row r="8724" spans="20:31" x14ac:dyDescent="0.25">
      <c r="T8724" s="81"/>
      <c r="W8724" s="185"/>
      <c r="AE8724" s="185"/>
    </row>
    <row r="8725" spans="20:31" x14ac:dyDescent="0.25">
      <c r="T8725" s="81"/>
      <c r="W8725" s="185"/>
      <c r="AE8725" s="185"/>
    </row>
    <row r="8726" spans="20:31" x14ac:dyDescent="0.25">
      <c r="T8726" s="81"/>
      <c r="W8726" s="185"/>
      <c r="AE8726" s="185"/>
    </row>
    <row r="8727" spans="20:31" x14ac:dyDescent="0.25">
      <c r="T8727" s="81"/>
      <c r="W8727" s="185"/>
      <c r="AE8727" s="185"/>
    </row>
    <row r="8728" spans="20:31" x14ac:dyDescent="0.25">
      <c r="T8728" s="81"/>
      <c r="W8728" s="185"/>
      <c r="AE8728" s="185"/>
    </row>
    <row r="8729" spans="20:31" x14ac:dyDescent="0.25">
      <c r="T8729" s="81"/>
      <c r="W8729" s="185"/>
      <c r="AE8729" s="185"/>
    </row>
    <row r="8730" spans="20:31" x14ac:dyDescent="0.25">
      <c r="T8730" s="81"/>
      <c r="W8730" s="185"/>
      <c r="AE8730" s="185"/>
    </row>
    <row r="8731" spans="20:31" x14ac:dyDescent="0.25">
      <c r="T8731" s="81"/>
      <c r="W8731" s="185"/>
      <c r="AE8731" s="185"/>
    </row>
    <row r="8732" spans="20:31" x14ac:dyDescent="0.25">
      <c r="T8732" s="81"/>
      <c r="W8732" s="185"/>
      <c r="AE8732" s="185"/>
    </row>
    <row r="8733" spans="20:31" x14ac:dyDescent="0.25">
      <c r="T8733" s="81"/>
      <c r="W8733" s="185"/>
      <c r="AE8733" s="185"/>
    </row>
    <row r="8734" spans="20:31" x14ac:dyDescent="0.25">
      <c r="T8734" s="81"/>
      <c r="W8734" s="185"/>
      <c r="AE8734" s="185"/>
    </row>
    <row r="8735" spans="20:31" x14ac:dyDescent="0.25">
      <c r="T8735" s="81"/>
      <c r="W8735" s="185"/>
      <c r="AE8735" s="185"/>
    </row>
    <row r="8736" spans="20:31" x14ac:dyDescent="0.25">
      <c r="T8736" s="81"/>
      <c r="W8736" s="185"/>
      <c r="AE8736" s="185"/>
    </row>
    <row r="8737" spans="20:31" x14ac:dyDescent="0.25">
      <c r="T8737" s="81"/>
      <c r="W8737" s="185"/>
      <c r="AE8737" s="185"/>
    </row>
    <row r="8738" spans="20:31" x14ac:dyDescent="0.25">
      <c r="T8738" s="81"/>
      <c r="W8738" s="185"/>
      <c r="AE8738" s="185"/>
    </row>
    <row r="8739" spans="20:31" x14ac:dyDescent="0.25">
      <c r="T8739" s="81"/>
      <c r="W8739" s="185"/>
      <c r="AE8739" s="185"/>
    </row>
    <row r="8740" spans="20:31" x14ac:dyDescent="0.25">
      <c r="T8740" s="81"/>
      <c r="W8740" s="185"/>
      <c r="AE8740" s="185"/>
    </row>
    <row r="8741" spans="20:31" x14ac:dyDescent="0.25">
      <c r="T8741" s="81"/>
      <c r="W8741" s="185"/>
      <c r="AE8741" s="185"/>
    </row>
    <row r="8742" spans="20:31" x14ac:dyDescent="0.25">
      <c r="T8742" s="81"/>
      <c r="W8742" s="185"/>
      <c r="AE8742" s="185"/>
    </row>
    <row r="8743" spans="20:31" x14ac:dyDescent="0.25">
      <c r="T8743" s="81"/>
      <c r="W8743" s="185"/>
      <c r="AE8743" s="185"/>
    </row>
    <row r="8744" spans="20:31" x14ac:dyDescent="0.25">
      <c r="T8744" s="81"/>
      <c r="W8744" s="185"/>
      <c r="AE8744" s="185"/>
    </row>
    <row r="8745" spans="20:31" x14ac:dyDescent="0.25">
      <c r="T8745" s="81"/>
      <c r="W8745" s="185"/>
      <c r="AE8745" s="185"/>
    </row>
    <row r="8746" spans="20:31" x14ac:dyDescent="0.25">
      <c r="T8746" s="81"/>
      <c r="W8746" s="185"/>
      <c r="AE8746" s="185"/>
    </row>
    <row r="8747" spans="20:31" x14ac:dyDescent="0.25">
      <c r="T8747" s="81"/>
      <c r="W8747" s="185"/>
      <c r="AE8747" s="185"/>
    </row>
    <row r="8748" spans="20:31" x14ac:dyDescent="0.25">
      <c r="T8748" s="81"/>
      <c r="W8748" s="185"/>
      <c r="AE8748" s="185"/>
    </row>
    <row r="8749" spans="20:31" x14ac:dyDescent="0.25">
      <c r="T8749" s="81"/>
      <c r="W8749" s="185"/>
      <c r="AE8749" s="185"/>
    </row>
    <row r="8750" spans="20:31" x14ac:dyDescent="0.25">
      <c r="T8750" s="81"/>
      <c r="W8750" s="185"/>
      <c r="AE8750" s="185"/>
    </row>
    <row r="8751" spans="20:31" x14ac:dyDescent="0.25">
      <c r="T8751" s="81"/>
      <c r="W8751" s="185"/>
      <c r="AE8751" s="185"/>
    </row>
    <row r="8752" spans="20:31" x14ac:dyDescent="0.25">
      <c r="T8752" s="81"/>
      <c r="W8752" s="185"/>
      <c r="AE8752" s="185"/>
    </row>
    <row r="8753" spans="20:31" x14ac:dyDescent="0.25">
      <c r="T8753" s="81"/>
      <c r="W8753" s="185"/>
      <c r="AE8753" s="185"/>
    </row>
    <row r="8754" spans="20:31" x14ac:dyDescent="0.25">
      <c r="T8754" s="81"/>
      <c r="W8754" s="185"/>
      <c r="AE8754" s="185"/>
    </row>
    <row r="8755" spans="20:31" x14ac:dyDescent="0.25">
      <c r="T8755" s="81"/>
      <c r="W8755" s="185"/>
      <c r="AE8755" s="185"/>
    </row>
    <row r="8756" spans="20:31" x14ac:dyDescent="0.25">
      <c r="T8756" s="81"/>
      <c r="W8756" s="185"/>
      <c r="AE8756" s="185"/>
    </row>
    <row r="8757" spans="20:31" x14ac:dyDescent="0.25">
      <c r="T8757" s="81"/>
      <c r="W8757" s="185"/>
      <c r="AE8757" s="185"/>
    </row>
    <row r="8758" spans="20:31" x14ac:dyDescent="0.25">
      <c r="T8758" s="81"/>
      <c r="W8758" s="185"/>
      <c r="AE8758" s="185"/>
    </row>
    <row r="8759" spans="20:31" x14ac:dyDescent="0.25">
      <c r="T8759" s="81"/>
      <c r="W8759" s="185"/>
      <c r="AE8759" s="185"/>
    </row>
    <row r="8760" spans="20:31" x14ac:dyDescent="0.25">
      <c r="T8760" s="81"/>
      <c r="W8760" s="185"/>
      <c r="AE8760" s="185"/>
    </row>
    <row r="8761" spans="20:31" x14ac:dyDescent="0.25">
      <c r="T8761" s="81"/>
      <c r="W8761" s="185"/>
      <c r="AE8761" s="185"/>
    </row>
    <row r="8762" spans="20:31" x14ac:dyDescent="0.25">
      <c r="T8762" s="81"/>
      <c r="W8762" s="185"/>
      <c r="AE8762" s="185"/>
    </row>
    <row r="8763" spans="20:31" x14ac:dyDescent="0.25">
      <c r="T8763" s="81"/>
      <c r="W8763" s="185"/>
      <c r="AE8763" s="185"/>
    </row>
    <row r="8764" spans="20:31" x14ac:dyDescent="0.25">
      <c r="T8764" s="81"/>
      <c r="W8764" s="185"/>
      <c r="AE8764" s="185"/>
    </row>
    <row r="8765" spans="20:31" x14ac:dyDescent="0.25">
      <c r="T8765" s="81"/>
      <c r="W8765" s="185"/>
      <c r="AE8765" s="185"/>
    </row>
    <row r="8766" spans="20:31" x14ac:dyDescent="0.25">
      <c r="T8766" s="81"/>
      <c r="W8766" s="185"/>
      <c r="AE8766" s="185"/>
    </row>
    <row r="8767" spans="20:31" x14ac:dyDescent="0.25">
      <c r="T8767" s="81"/>
      <c r="W8767" s="185"/>
      <c r="AE8767" s="185"/>
    </row>
    <row r="8768" spans="20:31" x14ac:dyDescent="0.25">
      <c r="T8768" s="81"/>
      <c r="W8768" s="185"/>
      <c r="AE8768" s="185"/>
    </row>
    <row r="8769" spans="20:31" x14ac:dyDescent="0.25">
      <c r="T8769" s="81"/>
      <c r="W8769" s="185"/>
      <c r="AE8769" s="185"/>
    </row>
    <row r="8770" spans="20:31" x14ac:dyDescent="0.25">
      <c r="T8770" s="81"/>
      <c r="W8770" s="185"/>
      <c r="AE8770" s="185"/>
    </row>
    <row r="8771" spans="20:31" x14ac:dyDescent="0.25">
      <c r="T8771" s="81"/>
      <c r="W8771" s="185"/>
      <c r="AE8771" s="185"/>
    </row>
    <row r="8772" spans="20:31" x14ac:dyDescent="0.25">
      <c r="T8772" s="81"/>
      <c r="W8772" s="185"/>
      <c r="AE8772" s="185"/>
    </row>
    <row r="8773" spans="20:31" x14ac:dyDescent="0.25">
      <c r="T8773" s="81"/>
      <c r="W8773" s="185"/>
      <c r="AE8773" s="185"/>
    </row>
    <row r="8774" spans="20:31" x14ac:dyDescent="0.25">
      <c r="T8774" s="81"/>
      <c r="W8774" s="185"/>
      <c r="AE8774" s="185"/>
    </row>
    <row r="8775" spans="20:31" x14ac:dyDescent="0.25">
      <c r="T8775" s="81"/>
      <c r="W8775" s="185"/>
      <c r="AE8775" s="185"/>
    </row>
    <row r="8776" spans="20:31" x14ac:dyDescent="0.25">
      <c r="T8776" s="81"/>
      <c r="W8776" s="185"/>
      <c r="AE8776" s="185"/>
    </row>
    <row r="8777" spans="20:31" x14ac:dyDescent="0.25">
      <c r="T8777" s="81"/>
      <c r="W8777" s="185"/>
      <c r="AE8777" s="185"/>
    </row>
    <row r="8778" spans="20:31" x14ac:dyDescent="0.25">
      <c r="T8778" s="81"/>
      <c r="W8778" s="185"/>
      <c r="AE8778" s="185"/>
    </row>
    <row r="8779" spans="20:31" x14ac:dyDescent="0.25">
      <c r="T8779" s="81"/>
      <c r="W8779" s="185"/>
      <c r="AE8779" s="185"/>
    </row>
    <row r="8780" spans="20:31" x14ac:dyDescent="0.25">
      <c r="T8780" s="81"/>
      <c r="W8780" s="185"/>
      <c r="AE8780" s="185"/>
    </row>
    <row r="8781" spans="20:31" x14ac:dyDescent="0.25">
      <c r="T8781" s="81"/>
      <c r="W8781" s="185"/>
      <c r="AE8781" s="185"/>
    </row>
    <row r="8782" spans="20:31" x14ac:dyDescent="0.25">
      <c r="T8782" s="81"/>
      <c r="W8782" s="185"/>
      <c r="AE8782" s="185"/>
    </row>
    <row r="8783" spans="20:31" x14ac:dyDescent="0.25">
      <c r="T8783" s="81"/>
      <c r="W8783" s="185"/>
      <c r="AE8783" s="185"/>
    </row>
    <row r="8784" spans="20:31" x14ac:dyDescent="0.25">
      <c r="T8784" s="81"/>
      <c r="W8784" s="185"/>
      <c r="AE8784" s="185"/>
    </row>
    <row r="8785" spans="20:31" x14ac:dyDescent="0.25">
      <c r="T8785" s="81"/>
      <c r="W8785" s="185"/>
      <c r="AE8785" s="185"/>
    </row>
    <row r="8786" spans="20:31" x14ac:dyDescent="0.25">
      <c r="T8786" s="81"/>
      <c r="W8786" s="185"/>
      <c r="AE8786" s="185"/>
    </row>
    <row r="8787" spans="20:31" x14ac:dyDescent="0.25">
      <c r="T8787" s="81"/>
      <c r="W8787" s="185"/>
      <c r="AE8787" s="185"/>
    </row>
    <row r="8788" spans="20:31" x14ac:dyDescent="0.25">
      <c r="T8788" s="81"/>
      <c r="W8788" s="185"/>
      <c r="AE8788" s="185"/>
    </row>
    <row r="8789" spans="20:31" x14ac:dyDescent="0.25">
      <c r="T8789" s="81"/>
      <c r="W8789" s="185"/>
      <c r="AE8789" s="185"/>
    </row>
    <row r="8790" spans="20:31" x14ac:dyDescent="0.25">
      <c r="T8790" s="81"/>
      <c r="W8790" s="185"/>
      <c r="AE8790" s="185"/>
    </row>
    <row r="8791" spans="20:31" x14ac:dyDescent="0.25">
      <c r="T8791" s="81"/>
      <c r="W8791" s="185"/>
      <c r="AE8791" s="185"/>
    </row>
    <row r="8792" spans="20:31" x14ac:dyDescent="0.25">
      <c r="T8792" s="81"/>
      <c r="W8792" s="185"/>
      <c r="AE8792" s="185"/>
    </row>
    <row r="8793" spans="20:31" x14ac:dyDescent="0.25">
      <c r="T8793" s="81"/>
      <c r="W8793" s="185"/>
      <c r="AE8793" s="185"/>
    </row>
    <row r="8794" spans="20:31" x14ac:dyDescent="0.25">
      <c r="T8794" s="81"/>
      <c r="W8794" s="185"/>
      <c r="AE8794" s="185"/>
    </row>
    <row r="8795" spans="20:31" x14ac:dyDescent="0.25">
      <c r="T8795" s="81"/>
      <c r="W8795" s="185"/>
      <c r="AE8795" s="185"/>
    </row>
    <row r="8796" spans="20:31" x14ac:dyDescent="0.25">
      <c r="T8796" s="81"/>
      <c r="W8796" s="185"/>
      <c r="AE8796" s="185"/>
    </row>
    <row r="8797" spans="20:31" x14ac:dyDescent="0.25">
      <c r="T8797" s="81"/>
      <c r="W8797" s="185"/>
      <c r="AE8797" s="185"/>
    </row>
    <row r="8798" spans="20:31" x14ac:dyDescent="0.25">
      <c r="T8798" s="81"/>
      <c r="W8798" s="185"/>
      <c r="AE8798" s="185"/>
    </row>
    <row r="8799" spans="20:31" x14ac:dyDescent="0.25">
      <c r="T8799" s="81"/>
      <c r="W8799" s="185"/>
      <c r="AE8799" s="185"/>
    </row>
    <row r="8800" spans="20:31" x14ac:dyDescent="0.25">
      <c r="T8800" s="81"/>
      <c r="W8800" s="185"/>
      <c r="AE8800" s="185"/>
    </row>
    <row r="8801" spans="20:31" x14ac:dyDescent="0.25">
      <c r="T8801" s="81"/>
      <c r="W8801" s="185"/>
      <c r="AE8801" s="185"/>
    </row>
    <row r="8802" spans="20:31" x14ac:dyDescent="0.25">
      <c r="T8802" s="81"/>
      <c r="W8802" s="185"/>
      <c r="AE8802" s="185"/>
    </row>
    <row r="8803" spans="20:31" x14ac:dyDescent="0.25">
      <c r="T8803" s="81"/>
      <c r="W8803" s="185"/>
      <c r="AE8803" s="185"/>
    </row>
    <row r="8804" spans="20:31" x14ac:dyDescent="0.25">
      <c r="T8804" s="81"/>
      <c r="W8804" s="185"/>
      <c r="AE8804" s="185"/>
    </row>
    <row r="8805" spans="20:31" x14ac:dyDescent="0.25">
      <c r="T8805" s="81"/>
      <c r="W8805" s="185"/>
      <c r="AE8805" s="185"/>
    </row>
    <row r="8806" spans="20:31" x14ac:dyDescent="0.25">
      <c r="T8806" s="81"/>
      <c r="W8806" s="185"/>
      <c r="AE8806" s="185"/>
    </row>
    <row r="8807" spans="20:31" x14ac:dyDescent="0.25">
      <c r="T8807" s="81"/>
      <c r="W8807" s="185"/>
      <c r="AE8807" s="185"/>
    </row>
    <row r="8808" spans="20:31" x14ac:dyDescent="0.25">
      <c r="T8808" s="81"/>
      <c r="W8808" s="185"/>
      <c r="AE8808" s="185"/>
    </row>
    <row r="8809" spans="20:31" x14ac:dyDescent="0.25">
      <c r="T8809" s="81"/>
      <c r="W8809" s="185"/>
      <c r="AE8809" s="185"/>
    </row>
    <row r="8810" spans="20:31" x14ac:dyDescent="0.25">
      <c r="T8810" s="81"/>
      <c r="W8810" s="185"/>
      <c r="AE8810" s="185"/>
    </row>
    <row r="8811" spans="20:31" x14ac:dyDescent="0.25">
      <c r="T8811" s="81"/>
      <c r="W8811" s="185"/>
      <c r="AE8811" s="185"/>
    </row>
    <row r="8812" spans="20:31" x14ac:dyDescent="0.25">
      <c r="T8812" s="81"/>
      <c r="W8812" s="185"/>
      <c r="AE8812" s="185"/>
    </row>
    <row r="8813" spans="20:31" x14ac:dyDescent="0.25">
      <c r="T8813" s="81"/>
      <c r="W8813" s="185"/>
      <c r="AE8813" s="185"/>
    </row>
    <row r="8814" spans="20:31" x14ac:dyDescent="0.25">
      <c r="T8814" s="81"/>
      <c r="W8814" s="185"/>
      <c r="AE8814" s="185"/>
    </row>
    <row r="8815" spans="20:31" x14ac:dyDescent="0.25">
      <c r="T8815" s="81"/>
      <c r="W8815" s="185"/>
      <c r="AE8815" s="185"/>
    </row>
    <row r="8816" spans="20:31" x14ac:dyDescent="0.25">
      <c r="T8816" s="81"/>
      <c r="W8816" s="185"/>
      <c r="AE8816" s="185"/>
    </row>
    <row r="8817" spans="20:31" x14ac:dyDescent="0.25">
      <c r="T8817" s="81"/>
      <c r="W8817" s="185"/>
      <c r="AE8817" s="185"/>
    </row>
    <row r="8818" spans="20:31" x14ac:dyDescent="0.25">
      <c r="T8818" s="81"/>
      <c r="W8818" s="185"/>
      <c r="AE8818" s="185"/>
    </row>
    <row r="8819" spans="20:31" x14ac:dyDescent="0.25">
      <c r="T8819" s="81"/>
      <c r="W8819" s="185"/>
      <c r="AE8819" s="185"/>
    </row>
    <row r="8820" spans="20:31" x14ac:dyDescent="0.25">
      <c r="T8820" s="81"/>
      <c r="W8820" s="185"/>
      <c r="AE8820" s="185"/>
    </row>
    <row r="8821" spans="20:31" x14ac:dyDescent="0.25">
      <c r="T8821" s="81"/>
      <c r="W8821" s="185"/>
      <c r="AE8821" s="185"/>
    </row>
    <row r="8822" spans="20:31" x14ac:dyDescent="0.25">
      <c r="T8822" s="81"/>
      <c r="W8822" s="185"/>
      <c r="AE8822" s="185"/>
    </row>
    <row r="8823" spans="20:31" x14ac:dyDescent="0.25">
      <c r="T8823" s="81"/>
      <c r="W8823" s="185"/>
      <c r="AE8823" s="185"/>
    </row>
    <row r="8824" spans="20:31" x14ac:dyDescent="0.25">
      <c r="T8824" s="81"/>
      <c r="W8824" s="185"/>
      <c r="AE8824" s="185"/>
    </row>
    <row r="8825" spans="20:31" x14ac:dyDescent="0.25">
      <c r="T8825" s="81"/>
      <c r="W8825" s="185"/>
      <c r="AE8825" s="185"/>
    </row>
    <row r="8826" spans="20:31" x14ac:dyDescent="0.25">
      <c r="T8826" s="81"/>
      <c r="W8826" s="185"/>
      <c r="AE8826" s="185"/>
    </row>
    <row r="8827" spans="20:31" x14ac:dyDescent="0.25">
      <c r="T8827" s="81"/>
      <c r="W8827" s="185"/>
      <c r="AE8827" s="185"/>
    </row>
    <row r="8828" spans="20:31" x14ac:dyDescent="0.25">
      <c r="T8828" s="81"/>
      <c r="W8828" s="185"/>
      <c r="AE8828" s="185"/>
    </row>
    <row r="8829" spans="20:31" x14ac:dyDescent="0.25">
      <c r="T8829" s="81"/>
      <c r="W8829" s="185"/>
      <c r="AE8829" s="185"/>
    </row>
    <row r="8830" spans="20:31" x14ac:dyDescent="0.25">
      <c r="T8830" s="81"/>
      <c r="W8830" s="185"/>
      <c r="AE8830" s="185"/>
    </row>
    <row r="8831" spans="20:31" x14ac:dyDescent="0.25">
      <c r="T8831" s="81"/>
      <c r="W8831" s="185"/>
      <c r="AE8831" s="185"/>
    </row>
    <row r="8832" spans="20:31" x14ac:dyDescent="0.25">
      <c r="T8832" s="81"/>
      <c r="W8832" s="185"/>
      <c r="AE8832" s="185"/>
    </row>
    <row r="8833" spans="20:31" x14ac:dyDescent="0.25">
      <c r="T8833" s="81"/>
      <c r="W8833" s="185"/>
      <c r="AE8833" s="185"/>
    </row>
    <row r="8834" spans="20:31" x14ac:dyDescent="0.25">
      <c r="T8834" s="81"/>
      <c r="W8834" s="185"/>
      <c r="AE8834" s="185"/>
    </row>
    <row r="8835" spans="20:31" x14ac:dyDescent="0.25">
      <c r="T8835" s="81"/>
      <c r="W8835" s="185"/>
      <c r="AE8835" s="185"/>
    </row>
    <row r="8836" spans="20:31" x14ac:dyDescent="0.25">
      <c r="T8836" s="81"/>
      <c r="W8836" s="185"/>
      <c r="AE8836" s="185"/>
    </row>
    <row r="8837" spans="20:31" x14ac:dyDescent="0.25">
      <c r="T8837" s="81"/>
      <c r="W8837" s="185"/>
      <c r="AE8837" s="185"/>
    </row>
    <row r="8838" spans="20:31" x14ac:dyDescent="0.25">
      <c r="T8838" s="81"/>
      <c r="W8838" s="185"/>
      <c r="AE8838" s="185"/>
    </row>
    <row r="8839" spans="20:31" x14ac:dyDescent="0.25">
      <c r="T8839" s="81"/>
      <c r="W8839" s="185"/>
      <c r="AE8839" s="185"/>
    </row>
    <row r="8840" spans="20:31" x14ac:dyDescent="0.25">
      <c r="T8840" s="81"/>
      <c r="W8840" s="185"/>
      <c r="AE8840" s="185"/>
    </row>
    <row r="8841" spans="20:31" x14ac:dyDescent="0.25">
      <c r="T8841" s="81"/>
      <c r="W8841" s="185"/>
      <c r="AE8841" s="185"/>
    </row>
    <row r="8842" spans="20:31" x14ac:dyDescent="0.25">
      <c r="T8842" s="81"/>
      <c r="W8842" s="185"/>
      <c r="AE8842" s="185"/>
    </row>
    <row r="8843" spans="20:31" x14ac:dyDescent="0.25">
      <c r="T8843" s="81"/>
      <c r="W8843" s="185"/>
      <c r="AE8843" s="185"/>
    </row>
    <row r="8844" spans="20:31" x14ac:dyDescent="0.25">
      <c r="T8844" s="81"/>
      <c r="W8844" s="185"/>
      <c r="AE8844" s="185"/>
    </row>
    <row r="8845" spans="20:31" x14ac:dyDescent="0.25">
      <c r="T8845" s="81"/>
      <c r="W8845" s="185"/>
      <c r="AE8845" s="185"/>
    </row>
    <row r="8846" spans="20:31" x14ac:dyDescent="0.25">
      <c r="T8846" s="81"/>
      <c r="W8846" s="185"/>
      <c r="AE8846" s="185"/>
    </row>
    <row r="8847" spans="20:31" x14ac:dyDescent="0.25">
      <c r="T8847" s="81"/>
      <c r="W8847" s="185"/>
      <c r="AE8847" s="185"/>
    </row>
    <row r="8848" spans="20:31" x14ac:dyDescent="0.25">
      <c r="T8848" s="81"/>
      <c r="W8848" s="185"/>
      <c r="AE8848" s="185"/>
    </row>
    <row r="8849" spans="20:31" x14ac:dyDescent="0.25">
      <c r="T8849" s="81"/>
      <c r="W8849" s="185"/>
      <c r="AE8849" s="185"/>
    </row>
    <row r="8850" spans="20:31" x14ac:dyDescent="0.25">
      <c r="T8850" s="81"/>
      <c r="W8850" s="185"/>
      <c r="AE8850" s="185"/>
    </row>
    <row r="8851" spans="20:31" x14ac:dyDescent="0.25">
      <c r="T8851" s="81"/>
      <c r="W8851" s="185"/>
      <c r="AE8851" s="185"/>
    </row>
    <row r="8852" spans="20:31" x14ac:dyDescent="0.25">
      <c r="T8852" s="81"/>
      <c r="W8852" s="185"/>
      <c r="AE8852" s="185"/>
    </row>
    <row r="8853" spans="20:31" x14ac:dyDescent="0.25">
      <c r="T8853" s="81"/>
      <c r="W8853" s="185"/>
      <c r="AE8853" s="185"/>
    </row>
    <row r="8854" spans="20:31" x14ac:dyDescent="0.25">
      <c r="T8854" s="81"/>
      <c r="W8854" s="185"/>
      <c r="AE8854" s="185"/>
    </row>
    <row r="8855" spans="20:31" x14ac:dyDescent="0.25">
      <c r="T8855" s="81"/>
      <c r="W8855" s="185"/>
      <c r="AE8855" s="185"/>
    </row>
    <row r="8856" spans="20:31" x14ac:dyDescent="0.25">
      <c r="T8856" s="81"/>
      <c r="W8856" s="185"/>
      <c r="AE8856" s="185"/>
    </row>
    <row r="8857" spans="20:31" x14ac:dyDescent="0.25">
      <c r="T8857" s="81"/>
      <c r="W8857" s="185"/>
      <c r="AE8857" s="185"/>
    </row>
    <row r="8858" spans="20:31" x14ac:dyDescent="0.25">
      <c r="T8858" s="81"/>
      <c r="W8858" s="185"/>
      <c r="AE8858" s="185"/>
    </row>
    <row r="8859" spans="20:31" x14ac:dyDescent="0.25">
      <c r="T8859" s="81"/>
      <c r="W8859" s="185"/>
      <c r="AE8859" s="185"/>
    </row>
    <row r="8860" spans="20:31" x14ac:dyDescent="0.25">
      <c r="T8860" s="81"/>
      <c r="W8860" s="185"/>
      <c r="AE8860" s="185"/>
    </row>
    <row r="8861" spans="20:31" x14ac:dyDescent="0.25">
      <c r="T8861" s="81"/>
      <c r="W8861" s="185"/>
      <c r="AE8861" s="185"/>
    </row>
    <row r="8862" spans="20:31" x14ac:dyDescent="0.25">
      <c r="T8862" s="81"/>
      <c r="W8862" s="185"/>
      <c r="AE8862" s="185"/>
    </row>
    <row r="8863" spans="20:31" x14ac:dyDescent="0.25">
      <c r="T8863" s="81"/>
      <c r="W8863" s="185"/>
      <c r="AE8863" s="185"/>
    </row>
    <row r="8864" spans="20:31" x14ac:dyDescent="0.25">
      <c r="T8864" s="81"/>
      <c r="W8864" s="185"/>
      <c r="AE8864" s="185"/>
    </row>
    <row r="8865" spans="20:31" x14ac:dyDescent="0.25">
      <c r="T8865" s="81"/>
      <c r="W8865" s="185"/>
      <c r="AE8865" s="185"/>
    </row>
    <row r="8866" spans="20:31" x14ac:dyDescent="0.25">
      <c r="T8866" s="81"/>
      <c r="W8866" s="185"/>
      <c r="AE8866" s="185"/>
    </row>
    <row r="8867" spans="20:31" x14ac:dyDescent="0.25">
      <c r="T8867" s="81"/>
      <c r="W8867" s="185"/>
      <c r="AE8867" s="185"/>
    </row>
    <row r="8868" spans="20:31" x14ac:dyDescent="0.25">
      <c r="T8868" s="81"/>
      <c r="W8868" s="185"/>
      <c r="AE8868" s="185"/>
    </row>
    <row r="8869" spans="20:31" x14ac:dyDescent="0.25">
      <c r="T8869" s="81"/>
      <c r="W8869" s="185"/>
      <c r="AE8869" s="185"/>
    </row>
    <row r="8870" spans="20:31" x14ac:dyDescent="0.25">
      <c r="T8870" s="81"/>
      <c r="W8870" s="185"/>
      <c r="AE8870" s="185"/>
    </row>
    <row r="8871" spans="20:31" x14ac:dyDescent="0.25">
      <c r="T8871" s="81"/>
      <c r="W8871" s="185"/>
      <c r="AE8871" s="185"/>
    </row>
    <row r="8872" spans="20:31" x14ac:dyDescent="0.25">
      <c r="T8872" s="81"/>
      <c r="W8872" s="185"/>
      <c r="AE8872" s="185"/>
    </row>
    <row r="8873" spans="20:31" x14ac:dyDescent="0.25">
      <c r="T8873" s="81"/>
      <c r="W8873" s="185"/>
      <c r="AE8873" s="185"/>
    </row>
    <row r="8874" spans="20:31" x14ac:dyDescent="0.25">
      <c r="T8874" s="81"/>
      <c r="W8874" s="185"/>
      <c r="AE8874" s="185"/>
    </row>
    <row r="8875" spans="20:31" x14ac:dyDescent="0.25">
      <c r="T8875" s="81"/>
      <c r="W8875" s="185"/>
      <c r="AE8875" s="185"/>
    </row>
    <row r="8876" spans="20:31" x14ac:dyDescent="0.25">
      <c r="T8876" s="81"/>
      <c r="W8876" s="185"/>
      <c r="AE8876" s="185"/>
    </row>
    <row r="8877" spans="20:31" x14ac:dyDescent="0.25">
      <c r="T8877" s="81"/>
      <c r="W8877" s="185"/>
      <c r="AE8877" s="185"/>
    </row>
    <row r="8878" spans="20:31" x14ac:dyDescent="0.25">
      <c r="T8878" s="81"/>
      <c r="W8878" s="185"/>
      <c r="AE8878" s="185"/>
    </row>
    <row r="8879" spans="20:31" x14ac:dyDescent="0.25">
      <c r="T8879" s="81"/>
      <c r="W8879" s="185"/>
      <c r="AE8879" s="185"/>
    </row>
    <row r="8880" spans="20:31" x14ac:dyDescent="0.25">
      <c r="T8880" s="81"/>
      <c r="W8880" s="185"/>
      <c r="AE8880" s="185"/>
    </row>
    <row r="8881" spans="20:31" x14ac:dyDescent="0.25">
      <c r="T8881" s="81"/>
      <c r="W8881" s="185"/>
      <c r="AE8881" s="185"/>
    </row>
    <row r="8882" spans="20:31" x14ac:dyDescent="0.25">
      <c r="T8882" s="81"/>
      <c r="W8882" s="185"/>
      <c r="AE8882" s="185"/>
    </row>
    <row r="8883" spans="20:31" x14ac:dyDescent="0.25">
      <c r="T8883" s="81"/>
      <c r="W8883" s="185"/>
      <c r="AE8883" s="185"/>
    </row>
    <row r="8884" spans="20:31" x14ac:dyDescent="0.25">
      <c r="T8884" s="81"/>
      <c r="W8884" s="185"/>
      <c r="AE8884" s="185"/>
    </row>
    <row r="8885" spans="20:31" x14ac:dyDescent="0.25">
      <c r="T8885" s="81"/>
      <c r="W8885" s="185"/>
      <c r="AE8885" s="185"/>
    </row>
    <row r="8886" spans="20:31" x14ac:dyDescent="0.25">
      <c r="T8886" s="81"/>
      <c r="W8886" s="185"/>
      <c r="AE8886" s="185"/>
    </row>
    <row r="8887" spans="20:31" x14ac:dyDescent="0.25">
      <c r="T8887" s="81"/>
      <c r="W8887" s="185"/>
      <c r="AE8887" s="185"/>
    </row>
    <row r="8888" spans="20:31" x14ac:dyDescent="0.25">
      <c r="T8888" s="81"/>
      <c r="W8888" s="185"/>
      <c r="AE8888" s="185"/>
    </row>
    <row r="8889" spans="20:31" x14ac:dyDescent="0.25">
      <c r="T8889" s="81"/>
      <c r="W8889" s="185"/>
      <c r="AE8889" s="185"/>
    </row>
    <row r="8890" spans="20:31" x14ac:dyDescent="0.25">
      <c r="T8890" s="81"/>
      <c r="W8890" s="185"/>
      <c r="AE8890" s="185"/>
    </row>
    <row r="8891" spans="20:31" x14ac:dyDescent="0.25">
      <c r="T8891" s="81"/>
      <c r="W8891" s="185"/>
      <c r="AE8891" s="185"/>
    </row>
    <row r="8892" spans="20:31" x14ac:dyDescent="0.25">
      <c r="T8892" s="81"/>
      <c r="W8892" s="185"/>
      <c r="AE8892" s="185"/>
    </row>
    <row r="8893" spans="20:31" x14ac:dyDescent="0.25">
      <c r="T8893" s="81"/>
      <c r="W8893" s="185"/>
      <c r="AE8893" s="185"/>
    </row>
    <row r="8894" spans="20:31" x14ac:dyDescent="0.25">
      <c r="T8894" s="81"/>
      <c r="W8894" s="185"/>
      <c r="AE8894" s="185"/>
    </row>
    <row r="8895" spans="20:31" x14ac:dyDescent="0.25">
      <c r="T8895" s="81"/>
      <c r="W8895" s="185"/>
      <c r="AE8895" s="185"/>
    </row>
    <row r="8896" spans="20:31" x14ac:dyDescent="0.25">
      <c r="T8896" s="81"/>
      <c r="W8896" s="185"/>
      <c r="AE8896" s="185"/>
    </row>
    <row r="8897" spans="20:31" x14ac:dyDescent="0.25">
      <c r="T8897" s="81"/>
      <c r="W8897" s="185"/>
      <c r="AE8897" s="185"/>
    </row>
    <row r="8898" spans="20:31" x14ac:dyDescent="0.25">
      <c r="T8898" s="81"/>
      <c r="W8898" s="185"/>
      <c r="AE8898" s="185"/>
    </row>
    <row r="8899" spans="20:31" x14ac:dyDescent="0.25">
      <c r="T8899" s="81"/>
      <c r="W8899" s="185"/>
      <c r="AE8899" s="185"/>
    </row>
    <row r="8900" spans="20:31" x14ac:dyDescent="0.25">
      <c r="T8900" s="81"/>
      <c r="W8900" s="185"/>
      <c r="AE8900" s="185"/>
    </row>
    <row r="8901" spans="20:31" x14ac:dyDescent="0.25">
      <c r="T8901" s="81"/>
      <c r="W8901" s="185"/>
      <c r="AE8901" s="185"/>
    </row>
    <row r="8902" spans="20:31" x14ac:dyDescent="0.25">
      <c r="T8902" s="81"/>
      <c r="W8902" s="185"/>
      <c r="AE8902" s="185"/>
    </row>
    <row r="8903" spans="20:31" x14ac:dyDescent="0.25">
      <c r="T8903" s="81"/>
      <c r="W8903" s="185"/>
      <c r="AE8903" s="185"/>
    </row>
    <row r="8904" spans="20:31" x14ac:dyDescent="0.25">
      <c r="T8904" s="81"/>
      <c r="W8904" s="185"/>
      <c r="AE8904" s="185"/>
    </row>
    <row r="8905" spans="20:31" x14ac:dyDescent="0.25">
      <c r="T8905" s="81"/>
      <c r="W8905" s="185"/>
      <c r="AE8905" s="185"/>
    </row>
    <row r="8906" spans="20:31" x14ac:dyDescent="0.25">
      <c r="T8906" s="81"/>
      <c r="W8906" s="185"/>
      <c r="AE8906" s="185"/>
    </row>
    <row r="8907" spans="20:31" x14ac:dyDescent="0.25">
      <c r="T8907" s="81"/>
      <c r="W8907" s="185"/>
      <c r="AE8907" s="185"/>
    </row>
    <row r="8908" spans="20:31" x14ac:dyDescent="0.25">
      <c r="T8908" s="81"/>
      <c r="W8908" s="185"/>
      <c r="AE8908" s="185"/>
    </row>
    <row r="8909" spans="20:31" x14ac:dyDescent="0.25">
      <c r="T8909" s="81"/>
      <c r="W8909" s="185"/>
      <c r="AE8909" s="185"/>
    </row>
    <row r="8910" spans="20:31" x14ac:dyDescent="0.25">
      <c r="T8910" s="81"/>
      <c r="W8910" s="185"/>
      <c r="AE8910" s="185"/>
    </row>
    <row r="8911" spans="20:31" x14ac:dyDescent="0.25">
      <c r="T8911" s="81"/>
      <c r="W8911" s="185"/>
      <c r="AE8911" s="185"/>
    </row>
    <row r="8912" spans="20:31" x14ac:dyDescent="0.25">
      <c r="T8912" s="81"/>
      <c r="W8912" s="185"/>
      <c r="AE8912" s="185"/>
    </row>
    <row r="8913" spans="20:31" x14ac:dyDescent="0.25">
      <c r="T8913" s="81"/>
      <c r="W8913" s="185"/>
      <c r="AE8913" s="185"/>
    </row>
    <row r="8914" spans="20:31" x14ac:dyDescent="0.25">
      <c r="T8914" s="81"/>
      <c r="W8914" s="185"/>
      <c r="AE8914" s="185"/>
    </row>
    <row r="8915" spans="20:31" x14ac:dyDescent="0.25">
      <c r="T8915" s="81"/>
      <c r="W8915" s="185"/>
      <c r="AE8915" s="185"/>
    </row>
    <row r="8916" spans="20:31" x14ac:dyDescent="0.25">
      <c r="T8916" s="81"/>
      <c r="W8916" s="185"/>
      <c r="AE8916" s="185"/>
    </row>
    <row r="8917" spans="20:31" x14ac:dyDescent="0.25">
      <c r="T8917" s="81"/>
      <c r="W8917" s="185"/>
      <c r="AE8917" s="185"/>
    </row>
    <row r="8918" spans="20:31" x14ac:dyDescent="0.25">
      <c r="T8918" s="81"/>
      <c r="W8918" s="185"/>
      <c r="AE8918" s="185"/>
    </row>
    <row r="8919" spans="20:31" x14ac:dyDescent="0.25">
      <c r="T8919" s="81"/>
      <c r="W8919" s="185"/>
      <c r="AE8919" s="185"/>
    </row>
    <row r="8920" spans="20:31" x14ac:dyDescent="0.25">
      <c r="T8920" s="81"/>
      <c r="W8920" s="185"/>
      <c r="AE8920" s="185"/>
    </row>
    <row r="8921" spans="20:31" x14ac:dyDescent="0.25">
      <c r="T8921" s="81"/>
      <c r="W8921" s="185"/>
      <c r="AE8921" s="185"/>
    </row>
    <row r="8922" spans="20:31" x14ac:dyDescent="0.25">
      <c r="T8922" s="81"/>
      <c r="W8922" s="185"/>
      <c r="AE8922" s="185"/>
    </row>
    <row r="8923" spans="20:31" x14ac:dyDescent="0.25">
      <c r="T8923" s="81"/>
      <c r="W8923" s="185"/>
      <c r="AE8923" s="185"/>
    </row>
    <row r="8924" spans="20:31" x14ac:dyDescent="0.25">
      <c r="T8924" s="81"/>
      <c r="W8924" s="185"/>
      <c r="AE8924" s="185"/>
    </row>
    <row r="8925" spans="20:31" x14ac:dyDescent="0.25">
      <c r="T8925" s="81"/>
      <c r="W8925" s="185"/>
      <c r="AE8925" s="185"/>
    </row>
    <row r="8926" spans="20:31" x14ac:dyDescent="0.25">
      <c r="T8926" s="81"/>
      <c r="W8926" s="185"/>
      <c r="AE8926" s="185"/>
    </row>
    <row r="8927" spans="20:31" x14ac:dyDescent="0.25">
      <c r="T8927" s="81"/>
      <c r="W8927" s="185"/>
      <c r="AE8927" s="185"/>
    </row>
    <row r="8928" spans="20:31" x14ac:dyDescent="0.25">
      <c r="T8928" s="81"/>
      <c r="W8928" s="185"/>
      <c r="AE8928" s="185"/>
    </row>
    <row r="8929" spans="20:31" x14ac:dyDescent="0.25">
      <c r="T8929" s="81"/>
      <c r="W8929" s="185"/>
      <c r="AE8929" s="185"/>
    </row>
    <row r="8930" spans="20:31" x14ac:dyDescent="0.25">
      <c r="T8930" s="81"/>
      <c r="W8930" s="185"/>
      <c r="AE8930" s="185"/>
    </row>
    <row r="8931" spans="20:31" x14ac:dyDescent="0.25">
      <c r="T8931" s="81"/>
      <c r="W8931" s="185"/>
      <c r="AE8931" s="185"/>
    </row>
    <row r="8932" spans="20:31" x14ac:dyDescent="0.25">
      <c r="T8932" s="81"/>
      <c r="W8932" s="185"/>
      <c r="AE8932" s="185"/>
    </row>
    <row r="8933" spans="20:31" x14ac:dyDescent="0.25">
      <c r="T8933" s="81"/>
      <c r="W8933" s="185"/>
      <c r="AE8933" s="185"/>
    </row>
    <row r="8934" spans="20:31" x14ac:dyDescent="0.25">
      <c r="T8934" s="81"/>
      <c r="W8934" s="185"/>
      <c r="AE8934" s="185"/>
    </row>
    <row r="8935" spans="20:31" x14ac:dyDescent="0.25">
      <c r="T8935" s="81"/>
      <c r="W8935" s="185"/>
      <c r="AE8935" s="185"/>
    </row>
    <row r="8936" spans="20:31" x14ac:dyDescent="0.25">
      <c r="T8936" s="81"/>
      <c r="W8936" s="185"/>
      <c r="AE8936" s="185"/>
    </row>
    <row r="8937" spans="20:31" x14ac:dyDescent="0.25">
      <c r="T8937" s="81"/>
      <c r="W8937" s="185"/>
      <c r="AE8937" s="185"/>
    </row>
    <row r="8938" spans="20:31" x14ac:dyDescent="0.25">
      <c r="T8938" s="81"/>
      <c r="W8938" s="185"/>
      <c r="AE8938" s="185"/>
    </row>
    <row r="8939" spans="20:31" x14ac:dyDescent="0.25">
      <c r="T8939" s="81"/>
      <c r="W8939" s="185"/>
      <c r="AE8939" s="185"/>
    </row>
    <row r="8940" spans="20:31" x14ac:dyDescent="0.25">
      <c r="T8940" s="81"/>
      <c r="W8940" s="185"/>
      <c r="AE8940" s="185"/>
    </row>
    <row r="8941" spans="20:31" x14ac:dyDescent="0.25">
      <c r="T8941" s="81"/>
      <c r="W8941" s="185"/>
      <c r="AE8941" s="185"/>
    </row>
    <row r="8942" spans="20:31" x14ac:dyDescent="0.25">
      <c r="T8942" s="81"/>
      <c r="W8942" s="185"/>
      <c r="AE8942" s="185"/>
    </row>
    <row r="8943" spans="20:31" x14ac:dyDescent="0.25">
      <c r="T8943" s="81"/>
      <c r="W8943" s="185"/>
      <c r="AE8943" s="185"/>
    </row>
    <row r="8944" spans="20:31" x14ac:dyDescent="0.25">
      <c r="T8944" s="81"/>
      <c r="W8944" s="185"/>
      <c r="AE8944" s="185"/>
    </row>
    <row r="8945" spans="20:31" x14ac:dyDescent="0.25">
      <c r="T8945" s="81"/>
      <c r="W8945" s="185"/>
      <c r="AE8945" s="185"/>
    </row>
    <row r="8946" spans="20:31" x14ac:dyDescent="0.25">
      <c r="T8946" s="81"/>
      <c r="W8946" s="185"/>
      <c r="AE8946" s="185"/>
    </row>
    <row r="8947" spans="20:31" x14ac:dyDescent="0.25">
      <c r="T8947" s="81"/>
      <c r="W8947" s="185"/>
      <c r="AE8947" s="185"/>
    </row>
    <row r="8948" spans="20:31" x14ac:dyDescent="0.25">
      <c r="T8948" s="81"/>
      <c r="W8948" s="185"/>
      <c r="AE8948" s="185"/>
    </row>
    <row r="8949" spans="20:31" x14ac:dyDescent="0.25">
      <c r="T8949" s="81"/>
      <c r="W8949" s="185"/>
      <c r="AE8949" s="185"/>
    </row>
    <row r="8950" spans="20:31" x14ac:dyDescent="0.25">
      <c r="T8950" s="81"/>
      <c r="W8950" s="185"/>
      <c r="AE8950" s="185"/>
    </row>
    <row r="8951" spans="20:31" x14ac:dyDescent="0.25">
      <c r="T8951" s="81"/>
      <c r="W8951" s="185"/>
      <c r="AE8951" s="185"/>
    </row>
    <row r="8952" spans="20:31" x14ac:dyDescent="0.25">
      <c r="T8952" s="81"/>
      <c r="W8952" s="185"/>
      <c r="AE8952" s="185"/>
    </row>
    <row r="8953" spans="20:31" x14ac:dyDescent="0.25">
      <c r="T8953" s="81"/>
      <c r="W8953" s="185"/>
      <c r="AE8953" s="185"/>
    </row>
    <row r="8954" spans="20:31" x14ac:dyDescent="0.25">
      <c r="T8954" s="81"/>
      <c r="W8954" s="185"/>
      <c r="AE8954" s="185"/>
    </row>
    <row r="8955" spans="20:31" x14ac:dyDescent="0.25">
      <c r="T8955" s="81"/>
      <c r="W8955" s="185"/>
      <c r="AE8955" s="185"/>
    </row>
    <row r="8956" spans="20:31" x14ac:dyDescent="0.25">
      <c r="T8956" s="81"/>
      <c r="W8956" s="185"/>
      <c r="AE8956" s="185"/>
    </row>
    <row r="8957" spans="20:31" x14ac:dyDescent="0.25">
      <c r="T8957" s="81"/>
      <c r="W8957" s="185"/>
      <c r="AE8957" s="185"/>
    </row>
    <row r="8958" spans="20:31" x14ac:dyDescent="0.25">
      <c r="T8958" s="81"/>
      <c r="W8958" s="185"/>
      <c r="AE8958" s="185"/>
    </row>
    <row r="8959" spans="20:31" x14ac:dyDescent="0.25">
      <c r="T8959" s="81"/>
      <c r="W8959" s="185"/>
      <c r="AE8959" s="185"/>
    </row>
    <row r="8960" spans="20:31" x14ac:dyDescent="0.25">
      <c r="T8960" s="81"/>
      <c r="W8960" s="185"/>
      <c r="AE8960" s="185"/>
    </row>
    <row r="8961" spans="20:31" x14ac:dyDescent="0.25">
      <c r="T8961" s="81"/>
      <c r="W8961" s="185"/>
      <c r="AE8961" s="185"/>
    </row>
    <row r="8962" spans="20:31" x14ac:dyDescent="0.25">
      <c r="T8962" s="81"/>
      <c r="W8962" s="185"/>
      <c r="AE8962" s="185"/>
    </row>
    <row r="8963" spans="20:31" x14ac:dyDescent="0.25">
      <c r="T8963" s="81"/>
      <c r="W8963" s="185"/>
      <c r="AE8963" s="185"/>
    </row>
    <row r="8964" spans="20:31" x14ac:dyDescent="0.25">
      <c r="T8964" s="81"/>
      <c r="W8964" s="185"/>
      <c r="AE8964" s="185"/>
    </row>
    <row r="8965" spans="20:31" x14ac:dyDescent="0.25">
      <c r="T8965" s="81"/>
      <c r="W8965" s="185"/>
      <c r="AE8965" s="185"/>
    </row>
    <row r="8966" spans="20:31" x14ac:dyDescent="0.25">
      <c r="T8966" s="81"/>
      <c r="W8966" s="185"/>
      <c r="AE8966" s="185"/>
    </row>
    <row r="8967" spans="20:31" x14ac:dyDescent="0.25">
      <c r="T8967" s="81"/>
      <c r="W8967" s="185"/>
      <c r="AE8967" s="185"/>
    </row>
    <row r="8968" spans="20:31" x14ac:dyDescent="0.25">
      <c r="T8968" s="81"/>
      <c r="W8968" s="185"/>
      <c r="AE8968" s="185"/>
    </row>
    <row r="8969" spans="20:31" x14ac:dyDescent="0.25">
      <c r="T8969" s="81"/>
      <c r="W8969" s="185"/>
      <c r="AE8969" s="185"/>
    </row>
    <row r="8970" spans="20:31" x14ac:dyDescent="0.25">
      <c r="T8970" s="81"/>
      <c r="W8970" s="185"/>
      <c r="AE8970" s="185"/>
    </row>
    <row r="8971" spans="20:31" x14ac:dyDescent="0.25">
      <c r="T8971" s="81"/>
      <c r="W8971" s="185"/>
      <c r="AE8971" s="185"/>
    </row>
    <row r="8972" spans="20:31" x14ac:dyDescent="0.25">
      <c r="T8972" s="81"/>
      <c r="W8972" s="185"/>
      <c r="AE8972" s="185"/>
    </row>
    <row r="8973" spans="20:31" x14ac:dyDescent="0.25">
      <c r="T8973" s="81"/>
      <c r="W8973" s="185"/>
      <c r="AE8973" s="185"/>
    </row>
    <row r="8974" spans="20:31" x14ac:dyDescent="0.25">
      <c r="T8974" s="81"/>
      <c r="W8974" s="185"/>
      <c r="AE8974" s="185"/>
    </row>
    <row r="8975" spans="20:31" x14ac:dyDescent="0.25">
      <c r="T8975" s="81"/>
      <c r="W8975" s="185"/>
      <c r="AE8975" s="185"/>
    </row>
    <row r="8976" spans="20:31" x14ac:dyDescent="0.25">
      <c r="T8976" s="81"/>
      <c r="W8976" s="185"/>
      <c r="AE8976" s="185"/>
    </row>
    <row r="8977" spans="20:31" x14ac:dyDescent="0.25">
      <c r="T8977" s="81"/>
      <c r="W8977" s="185"/>
      <c r="AE8977" s="185"/>
    </row>
    <row r="8978" spans="20:31" x14ac:dyDescent="0.25">
      <c r="T8978" s="81"/>
      <c r="W8978" s="185"/>
      <c r="AE8978" s="185"/>
    </row>
    <row r="8979" spans="20:31" x14ac:dyDescent="0.25">
      <c r="T8979" s="81"/>
      <c r="W8979" s="185"/>
      <c r="AE8979" s="185"/>
    </row>
    <row r="8980" spans="20:31" x14ac:dyDescent="0.25">
      <c r="T8980" s="81"/>
      <c r="W8980" s="185"/>
      <c r="AE8980" s="185"/>
    </row>
    <row r="8981" spans="20:31" x14ac:dyDescent="0.25">
      <c r="T8981" s="81"/>
      <c r="W8981" s="185"/>
      <c r="AE8981" s="185"/>
    </row>
    <row r="8982" spans="20:31" x14ac:dyDescent="0.25">
      <c r="T8982" s="81"/>
      <c r="W8982" s="185"/>
      <c r="AE8982" s="185"/>
    </row>
    <row r="8983" spans="20:31" x14ac:dyDescent="0.25">
      <c r="T8983" s="81"/>
      <c r="W8983" s="185"/>
      <c r="AE8983" s="185"/>
    </row>
    <row r="8984" spans="20:31" x14ac:dyDescent="0.25">
      <c r="T8984" s="81"/>
      <c r="W8984" s="185"/>
      <c r="AE8984" s="185"/>
    </row>
    <row r="8985" spans="20:31" x14ac:dyDescent="0.25">
      <c r="T8985" s="81"/>
      <c r="W8985" s="185"/>
      <c r="AE8985" s="185"/>
    </row>
    <row r="8986" spans="20:31" x14ac:dyDescent="0.25">
      <c r="T8986" s="81"/>
      <c r="W8986" s="185"/>
      <c r="AE8986" s="185"/>
    </row>
    <row r="8987" spans="20:31" x14ac:dyDescent="0.25">
      <c r="T8987" s="81"/>
      <c r="W8987" s="185"/>
      <c r="AE8987" s="185"/>
    </row>
    <row r="8988" spans="20:31" x14ac:dyDescent="0.25">
      <c r="T8988" s="81"/>
      <c r="W8988" s="185"/>
      <c r="AE8988" s="185"/>
    </row>
    <row r="8989" spans="20:31" x14ac:dyDescent="0.25">
      <c r="T8989" s="81"/>
      <c r="W8989" s="185"/>
      <c r="AE8989" s="185"/>
    </row>
    <row r="8990" spans="20:31" x14ac:dyDescent="0.25">
      <c r="T8990" s="81"/>
      <c r="W8990" s="185"/>
      <c r="AE8990" s="185"/>
    </row>
    <row r="8991" spans="20:31" x14ac:dyDescent="0.25">
      <c r="T8991" s="81"/>
      <c r="W8991" s="185"/>
      <c r="AE8991" s="185"/>
    </row>
    <row r="8992" spans="20:31" x14ac:dyDescent="0.25">
      <c r="T8992" s="81"/>
      <c r="W8992" s="185"/>
      <c r="AE8992" s="185"/>
    </row>
    <row r="8993" spans="20:31" x14ac:dyDescent="0.25">
      <c r="T8993" s="81"/>
      <c r="W8993" s="185"/>
      <c r="AE8993" s="185"/>
    </row>
    <row r="8994" spans="20:31" x14ac:dyDescent="0.25">
      <c r="T8994" s="81"/>
      <c r="W8994" s="185"/>
      <c r="AE8994" s="185"/>
    </row>
    <row r="8995" spans="20:31" x14ac:dyDescent="0.25">
      <c r="T8995" s="81"/>
      <c r="W8995" s="185"/>
      <c r="AE8995" s="185"/>
    </row>
    <row r="8996" spans="20:31" x14ac:dyDescent="0.25">
      <c r="T8996" s="81"/>
      <c r="W8996" s="185"/>
      <c r="AE8996" s="185"/>
    </row>
    <row r="8997" spans="20:31" x14ac:dyDescent="0.25">
      <c r="T8997" s="81"/>
      <c r="W8997" s="185"/>
      <c r="AE8997" s="185"/>
    </row>
    <row r="8998" spans="20:31" x14ac:dyDescent="0.25">
      <c r="T8998" s="81"/>
      <c r="W8998" s="185"/>
      <c r="AE8998" s="185"/>
    </row>
    <row r="8999" spans="20:31" x14ac:dyDescent="0.25">
      <c r="T8999" s="81"/>
      <c r="W8999" s="185"/>
      <c r="AE8999" s="185"/>
    </row>
    <row r="9000" spans="20:31" x14ac:dyDescent="0.25">
      <c r="T9000" s="81"/>
      <c r="W9000" s="185"/>
      <c r="AE9000" s="185"/>
    </row>
    <row r="9001" spans="20:31" x14ac:dyDescent="0.25">
      <c r="T9001" s="81"/>
      <c r="W9001" s="185"/>
      <c r="AE9001" s="185"/>
    </row>
    <row r="9002" spans="20:31" x14ac:dyDescent="0.25">
      <c r="T9002" s="81"/>
      <c r="W9002" s="185"/>
      <c r="AE9002" s="185"/>
    </row>
    <row r="9003" spans="20:31" x14ac:dyDescent="0.25">
      <c r="T9003" s="81"/>
      <c r="W9003" s="185"/>
      <c r="AE9003" s="185"/>
    </row>
    <row r="9004" spans="20:31" x14ac:dyDescent="0.25">
      <c r="T9004" s="81"/>
      <c r="W9004" s="185"/>
      <c r="AE9004" s="185"/>
    </row>
    <row r="9005" spans="20:31" x14ac:dyDescent="0.25">
      <c r="T9005" s="81"/>
      <c r="W9005" s="185"/>
      <c r="AE9005" s="185"/>
    </row>
    <row r="9006" spans="20:31" x14ac:dyDescent="0.25">
      <c r="T9006" s="81"/>
      <c r="W9006" s="185"/>
      <c r="AE9006" s="185"/>
    </row>
    <row r="9007" spans="20:31" x14ac:dyDescent="0.25">
      <c r="T9007" s="81"/>
      <c r="W9007" s="185"/>
      <c r="AE9007" s="185"/>
    </row>
    <row r="9008" spans="20:31" x14ac:dyDescent="0.25">
      <c r="T9008" s="81"/>
      <c r="W9008" s="185"/>
      <c r="AE9008" s="185"/>
    </row>
    <row r="9009" spans="20:31" x14ac:dyDescent="0.25">
      <c r="T9009" s="81"/>
      <c r="W9009" s="185"/>
      <c r="AE9009" s="185"/>
    </row>
    <row r="9010" spans="20:31" x14ac:dyDescent="0.25">
      <c r="T9010" s="81"/>
      <c r="W9010" s="185"/>
      <c r="AE9010" s="185"/>
    </row>
    <row r="9011" spans="20:31" x14ac:dyDescent="0.25">
      <c r="T9011" s="81"/>
      <c r="W9011" s="185"/>
      <c r="AE9011" s="185"/>
    </row>
    <row r="9012" spans="20:31" x14ac:dyDescent="0.25">
      <c r="T9012" s="81"/>
      <c r="W9012" s="185"/>
      <c r="AE9012" s="185"/>
    </row>
    <row r="9013" spans="20:31" x14ac:dyDescent="0.25">
      <c r="T9013" s="81"/>
      <c r="W9013" s="185"/>
      <c r="AE9013" s="185"/>
    </row>
    <row r="9014" spans="20:31" x14ac:dyDescent="0.25">
      <c r="T9014" s="81"/>
      <c r="W9014" s="185"/>
      <c r="AE9014" s="185"/>
    </row>
    <row r="9015" spans="20:31" x14ac:dyDescent="0.25">
      <c r="T9015" s="81"/>
      <c r="W9015" s="185"/>
      <c r="AE9015" s="185"/>
    </row>
    <row r="9016" spans="20:31" x14ac:dyDescent="0.25">
      <c r="T9016" s="81"/>
      <c r="W9016" s="185"/>
      <c r="AE9016" s="185"/>
    </row>
    <row r="9017" spans="20:31" x14ac:dyDescent="0.25">
      <c r="T9017" s="81"/>
      <c r="W9017" s="185"/>
      <c r="AE9017" s="185"/>
    </row>
    <row r="9018" spans="20:31" x14ac:dyDescent="0.25">
      <c r="T9018" s="81"/>
      <c r="W9018" s="185"/>
      <c r="AE9018" s="185"/>
    </row>
    <row r="9019" spans="20:31" x14ac:dyDescent="0.25">
      <c r="T9019" s="81"/>
      <c r="W9019" s="185"/>
      <c r="AE9019" s="185"/>
    </row>
    <row r="9020" spans="20:31" x14ac:dyDescent="0.25">
      <c r="T9020" s="81"/>
      <c r="W9020" s="185"/>
      <c r="AE9020" s="185"/>
    </row>
    <row r="9021" spans="20:31" x14ac:dyDescent="0.25">
      <c r="T9021" s="81"/>
      <c r="W9021" s="185"/>
      <c r="AE9021" s="185"/>
    </row>
    <row r="9022" spans="20:31" x14ac:dyDescent="0.25">
      <c r="T9022" s="81"/>
      <c r="W9022" s="185"/>
      <c r="AE9022" s="185"/>
    </row>
    <row r="9023" spans="20:31" x14ac:dyDescent="0.25">
      <c r="T9023" s="81"/>
      <c r="W9023" s="185"/>
      <c r="AE9023" s="185"/>
    </row>
    <row r="9024" spans="20:31" x14ac:dyDescent="0.25">
      <c r="T9024" s="81"/>
      <c r="W9024" s="185"/>
      <c r="AE9024" s="185"/>
    </row>
    <row r="9025" spans="20:31" x14ac:dyDescent="0.25">
      <c r="T9025" s="81"/>
      <c r="W9025" s="185"/>
      <c r="AE9025" s="185"/>
    </row>
    <row r="9026" spans="20:31" x14ac:dyDescent="0.25">
      <c r="T9026" s="81"/>
      <c r="W9026" s="185"/>
      <c r="AE9026" s="185"/>
    </row>
    <row r="9027" spans="20:31" x14ac:dyDescent="0.25">
      <c r="T9027" s="81"/>
      <c r="W9027" s="185"/>
      <c r="AE9027" s="185"/>
    </row>
    <row r="9028" spans="20:31" x14ac:dyDescent="0.25">
      <c r="T9028" s="81"/>
      <c r="W9028" s="185"/>
      <c r="AE9028" s="185"/>
    </row>
    <row r="9029" spans="20:31" x14ac:dyDescent="0.25">
      <c r="T9029" s="81"/>
      <c r="W9029" s="185"/>
      <c r="AE9029" s="185"/>
    </row>
    <row r="9030" spans="20:31" x14ac:dyDescent="0.25">
      <c r="T9030" s="81"/>
      <c r="W9030" s="185"/>
      <c r="AE9030" s="185"/>
    </row>
    <row r="9031" spans="20:31" x14ac:dyDescent="0.25">
      <c r="T9031" s="81"/>
      <c r="W9031" s="185"/>
      <c r="AE9031" s="185"/>
    </row>
    <row r="9032" spans="20:31" x14ac:dyDescent="0.25">
      <c r="T9032" s="81"/>
      <c r="W9032" s="185"/>
      <c r="AE9032" s="185"/>
    </row>
    <row r="9033" spans="20:31" x14ac:dyDescent="0.25">
      <c r="T9033" s="81"/>
      <c r="W9033" s="185"/>
      <c r="AE9033" s="185"/>
    </row>
    <row r="9034" spans="20:31" x14ac:dyDescent="0.25">
      <c r="T9034" s="81"/>
      <c r="W9034" s="185"/>
      <c r="AE9034" s="185"/>
    </row>
    <row r="9035" spans="20:31" x14ac:dyDescent="0.25">
      <c r="T9035" s="81"/>
      <c r="W9035" s="185"/>
      <c r="AE9035" s="185"/>
    </row>
    <row r="9036" spans="20:31" x14ac:dyDescent="0.25">
      <c r="T9036" s="81"/>
      <c r="W9036" s="185"/>
      <c r="AE9036" s="185"/>
    </row>
    <row r="9037" spans="20:31" x14ac:dyDescent="0.25">
      <c r="T9037" s="81"/>
      <c r="W9037" s="185"/>
      <c r="AE9037" s="185"/>
    </row>
    <row r="9038" spans="20:31" x14ac:dyDescent="0.25">
      <c r="T9038" s="81"/>
      <c r="W9038" s="185"/>
      <c r="AE9038" s="185"/>
    </row>
    <row r="9039" spans="20:31" x14ac:dyDescent="0.25">
      <c r="T9039" s="81"/>
      <c r="W9039" s="185"/>
      <c r="AE9039" s="185"/>
    </row>
    <row r="9040" spans="20:31" x14ac:dyDescent="0.25">
      <c r="T9040" s="81"/>
      <c r="W9040" s="185"/>
      <c r="AE9040" s="185"/>
    </row>
    <row r="9041" spans="20:31" x14ac:dyDescent="0.25">
      <c r="T9041" s="81"/>
      <c r="W9041" s="185"/>
      <c r="AE9041" s="185"/>
    </row>
    <row r="9042" spans="20:31" x14ac:dyDescent="0.25">
      <c r="T9042" s="81"/>
      <c r="W9042" s="185"/>
      <c r="AE9042" s="185"/>
    </row>
    <row r="9043" spans="20:31" x14ac:dyDescent="0.25">
      <c r="T9043" s="81"/>
      <c r="W9043" s="185"/>
      <c r="AE9043" s="185"/>
    </row>
    <row r="9044" spans="20:31" x14ac:dyDescent="0.25">
      <c r="T9044" s="81"/>
      <c r="W9044" s="185"/>
      <c r="AE9044" s="185"/>
    </row>
    <row r="9045" spans="20:31" x14ac:dyDescent="0.25">
      <c r="T9045" s="81"/>
      <c r="W9045" s="185"/>
      <c r="AE9045" s="185"/>
    </row>
    <row r="9046" spans="20:31" x14ac:dyDescent="0.25">
      <c r="T9046" s="81"/>
      <c r="W9046" s="185"/>
      <c r="AE9046" s="185"/>
    </row>
    <row r="9047" spans="20:31" x14ac:dyDescent="0.25">
      <c r="T9047" s="81"/>
      <c r="W9047" s="185"/>
      <c r="AE9047" s="185"/>
    </row>
    <row r="9048" spans="20:31" x14ac:dyDescent="0.25">
      <c r="T9048" s="81"/>
      <c r="W9048" s="185"/>
      <c r="AE9048" s="185"/>
    </row>
    <row r="9049" spans="20:31" x14ac:dyDescent="0.25">
      <c r="T9049" s="81"/>
      <c r="W9049" s="185"/>
      <c r="AE9049" s="185"/>
    </row>
    <row r="9050" spans="20:31" x14ac:dyDescent="0.25">
      <c r="T9050" s="81"/>
      <c r="W9050" s="185"/>
      <c r="AE9050" s="185"/>
    </row>
    <row r="9051" spans="20:31" x14ac:dyDescent="0.25">
      <c r="T9051" s="81"/>
      <c r="W9051" s="185"/>
      <c r="AE9051" s="185"/>
    </row>
    <row r="9052" spans="20:31" x14ac:dyDescent="0.25">
      <c r="T9052" s="81"/>
      <c r="W9052" s="185"/>
      <c r="AE9052" s="185"/>
    </row>
    <row r="9053" spans="20:31" x14ac:dyDescent="0.25">
      <c r="T9053" s="81"/>
      <c r="W9053" s="185"/>
      <c r="AE9053" s="185"/>
    </row>
    <row r="9054" spans="20:31" x14ac:dyDescent="0.25">
      <c r="T9054" s="81"/>
      <c r="W9054" s="185"/>
      <c r="AE9054" s="185"/>
    </row>
    <row r="9055" spans="20:31" x14ac:dyDescent="0.25">
      <c r="T9055" s="81"/>
      <c r="W9055" s="185"/>
      <c r="AE9055" s="185"/>
    </row>
    <row r="9056" spans="20:31" x14ac:dyDescent="0.25">
      <c r="T9056" s="81"/>
      <c r="W9056" s="185"/>
      <c r="AE9056" s="185"/>
    </row>
    <row r="9057" spans="20:31" x14ac:dyDescent="0.25">
      <c r="T9057" s="81"/>
      <c r="W9057" s="185"/>
      <c r="AE9057" s="185"/>
    </row>
    <row r="9058" spans="20:31" x14ac:dyDescent="0.25">
      <c r="T9058" s="81"/>
      <c r="W9058" s="185"/>
      <c r="AE9058" s="185"/>
    </row>
    <row r="9059" spans="20:31" x14ac:dyDescent="0.25">
      <c r="T9059" s="81"/>
      <c r="W9059" s="185"/>
      <c r="AE9059" s="185"/>
    </row>
    <row r="9060" spans="20:31" x14ac:dyDescent="0.25">
      <c r="T9060" s="81"/>
      <c r="W9060" s="185"/>
      <c r="AE9060" s="185"/>
    </row>
    <row r="9061" spans="20:31" x14ac:dyDescent="0.25">
      <c r="T9061" s="81"/>
      <c r="W9061" s="185"/>
      <c r="AE9061" s="185"/>
    </row>
    <row r="9062" spans="20:31" x14ac:dyDescent="0.25">
      <c r="T9062" s="81"/>
      <c r="W9062" s="185"/>
      <c r="AE9062" s="185"/>
    </row>
    <row r="9063" spans="20:31" x14ac:dyDescent="0.25">
      <c r="T9063" s="81"/>
      <c r="W9063" s="185"/>
      <c r="AE9063" s="185"/>
    </row>
    <row r="9064" spans="20:31" x14ac:dyDescent="0.25">
      <c r="T9064" s="81"/>
      <c r="W9064" s="185"/>
      <c r="AE9064" s="185"/>
    </row>
    <row r="9065" spans="20:31" x14ac:dyDescent="0.25">
      <c r="T9065" s="81"/>
      <c r="W9065" s="185"/>
      <c r="AE9065" s="185"/>
    </row>
    <row r="9066" spans="20:31" x14ac:dyDescent="0.25">
      <c r="T9066" s="81"/>
      <c r="W9066" s="185"/>
      <c r="AE9066" s="185"/>
    </row>
    <row r="9067" spans="20:31" x14ac:dyDescent="0.25">
      <c r="T9067" s="81"/>
      <c r="W9067" s="185"/>
      <c r="AE9067" s="185"/>
    </row>
    <row r="9068" spans="20:31" x14ac:dyDescent="0.25">
      <c r="T9068" s="81"/>
      <c r="W9068" s="185"/>
      <c r="AE9068" s="185"/>
    </row>
    <row r="9069" spans="20:31" x14ac:dyDescent="0.25">
      <c r="T9069" s="81"/>
      <c r="W9069" s="185"/>
      <c r="AE9069" s="185"/>
    </row>
    <row r="9070" spans="20:31" x14ac:dyDescent="0.25">
      <c r="T9070" s="81"/>
      <c r="W9070" s="185"/>
      <c r="AE9070" s="185"/>
    </row>
    <row r="9071" spans="20:31" x14ac:dyDescent="0.25">
      <c r="T9071" s="81"/>
      <c r="W9071" s="185"/>
      <c r="AE9071" s="185"/>
    </row>
    <row r="9072" spans="20:31" x14ac:dyDescent="0.25">
      <c r="T9072" s="81"/>
      <c r="W9072" s="185"/>
      <c r="AE9072" s="185"/>
    </row>
    <row r="9073" spans="20:31" x14ac:dyDescent="0.25">
      <c r="T9073" s="81"/>
      <c r="W9073" s="185"/>
      <c r="AE9073" s="185"/>
    </row>
    <row r="9074" spans="20:31" x14ac:dyDescent="0.25">
      <c r="T9074" s="81"/>
      <c r="W9074" s="185"/>
      <c r="AE9074" s="185"/>
    </row>
    <row r="9075" spans="20:31" x14ac:dyDescent="0.25">
      <c r="T9075" s="81"/>
      <c r="W9075" s="185"/>
      <c r="AE9075" s="185"/>
    </row>
    <row r="9076" spans="20:31" x14ac:dyDescent="0.25">
      <c r="T9076" s="81"/>
      <c r="W9076" s="185"/>
      <c r="AE9076" s="185"/>
    </row>
    <row r="9077" spans="20:31" x14ac:dyDescent="0.25">
      <c r="T9077" s="81"/>
      <c r="W9077" s="185"/>
      <c r="AE9077" s="185"/>
    </row>
    <row r="9078" spans="20:31" x14ac:dyDescent="0.25">
      <c r="T9078" s="81"/>
      <c r="W9078" s="185"/>
      <c r="AE9078" s="185"/>
    </row>
    <row r="9079" spans="20:31" x14ac:dyDescent="0.25">
      <c r="T9079" s="81"/>
      <c r="W9079" s="185"/>
      <c r="AE9079" s="185"/>
    </row>
    <row r="9080" spans="20:31" x14ac:dyDescent="0.25">
      <c r="T9080" s="81"/>
      <c r="W9080" s="185"/>
      <c r="AE9080" s="185"/>
    </row>
    <row r="9081" spans="20:31" x14ac:dyDescent="0.25">
      <c r="T9081" s="81"/>
      <c r="W9081" s="185"/>
      <c r="AE9081" s="185"/>
    </row>
    <row r="9082" spans="20:31" x14ac:dyDescent="0.25">
      <c r="T9082" s="81"/>
      <c r="W9082" s="185"/>
      <c r="AE9082" s="185"/>
    </row>
    <row r="9083" spans="20:31" x14ac:dyDescent="0.25">
      <c r="T9083" s="81"/>
      <c r="W9083" s="185"/>
      <c r="AE9083" s="185"/>
    </row>
    <row r="9084" spans="20:31" x14ac:dyDescent="0.25">
      <c r="T9084" s="81"/>
      <c r="W9084" s="185"/>
      <c r="AE9084" s="185"/>
    </row>
    <row r="9085" spans="20:31" x14ac:dyDescent="0.25">
      <c r="T9085" s="81"/>
      <c r="W9085" s="185"/>
      <c r="AE9085" s="185"/>
    </row>
    <row r="9086" spans="20:31" x14ac:dyDescent="0.25">
      <c r="T9086" s="81"/>
      <c r="W9086" s="185"/>
      <c r="AE9086" s="185"/>
    </row>
    <row r="9087" spans="20:31" x14ac:dyDescent="0.25">
      <c r="T9087" s="81"/>
      <c r="W9087" s="185"/>
      <c r="AE9087" s="185"/>
    </row>
    <row r="9088" spans="20:31" x14ac:dyDescent="0.25">
      <c r="T9088" s="81"/>
      <c r="W9088" s="185"/>
      <c r="AE9088" s="185"/>
    </row>
    <row r="9089" spans="20:31" x14ac:dyDescent="0.25">
      <c r="T9089" s="81"/>
      <c r="W9089" s="185"/>
      <c r="AE9089" s="185"/>
    </row>
    <row r="9090" spans="20:31" x14ac:dyDescent="0.25">
      <c r="T9090" s="81"/>
      <c r="W9090" s="185"/>
      <c r="AE9090" s="185"/>
    </row>
    <row r="9091" spans="20:31" x14ac:dyDescent="0.25">
      <c r="T9091" s="81"/>
      <c r="W9091" s="185"/>
      <c r="AE9091" s="185"/>
    </row>
    <row r="9092" spans="20:31" x14ac:dyDescent="0.25">
      <c r="T9092" s="81"/>
      <c r="W9092" s="185"/>
      <c r="AE9092" s="185"/>
    </row>
    <row r="9093" spans="20:31" x14ac:dyDescent="0.25">
      <c r="T9093" s="81"/>
      <c r="W9093" s="185"/>
      <c r="AE9093" s="185"/>
    </row>
    <row r="9094" spans="20:31" x14ac:dyDescent="0.25">
      <c r="T9094" s="81"/>
      <c r="W9094" s="185"/>
      <c r="AE9094" s="185"/>
    </row>
    <row r="9095" spans="20:31" x14ac:dyDescent="0.25">
      <c r="T9095" s="81"/>
      <c r="W9095" s="185"/>
      <c r="AE9095" s="185"/>
    </row>
    <row r="9096" spans="20:31" x14ac:dyDescent="0.25">
      <c r="T9096" s="81"/>
      <c r="W9096" s="185"/>
      <c r="AE9096" s="185"/>
    </row>
    <row r="9097" spans="20:31" x14ac:dyDescent="0.25">
      <c r="T9097" s="81"/>
      <c r="W9097" s="185"/>
      <c r="AE9097" s="185"/>
    </row>
    <row r="9098" spans="20:31" x14ac:dyDescent="0.25">
      <c r="T9098" s="81"/>
      <c r="W9098" s="185"/>
      <c r="AE9098" s="185"/>
    </row>
    <row r="9099" spans="20:31" x14ac:dyDescent="0.25">
      <c r="T9099" s="81"/>
      <c r="W9099" s="185"/>
      <c r="AE9099" s="185"/>
    </row>
    <row r="9100" spans="20:31" x14ac:dyDescent="0.25">
      <c r="T9100" s="81"/>
      <c r="W9100" s="185"/>
      <c r="AE9100" s="185"/>
    </row>
    <row r="9101" spans="20:31" x14ac:dyDescent="0.25">
      <c r="T9101" s="81"/>
      <c r="W9101" s="185"/>
      <c r="AE9101" s="185"/>
    </row>
    <row r="9102" spans="20:31" x14ac:dyDescent="0.25">
      <c r="T9102" s="81"/>
      <c r="W9102" s="185"/>
      <c r="AE9102" s="185"/>
    </row>
    <row r="9103" spans="20:31" x14ac:dyDescent="0.25">
      <c r="T9103" s="81"/>
      <c r="W9103" s="185"/>
      <c r="AE9103" s="185"/>
    </row>
    <row r="9104" spans="20:31" x14ac:dyDescent="0.25">
      <c r="T9104" s="81"/>
      <c r="W9104" s="185"/>
      <c r="AE9104" s="185"/>
    </row>
    <row r="9105" spans="20:31" x14ac:dyDescent="0.25">
      <c r="T9105" s="81"/>
      <c r="W9105" s="185"/>
      <c r="AE9105" s="185"/>
    </row>
    <row r="9106" spans="20:31" x14ac:dyDescent="0.25">
      <c r="T9106" s="81"/>
      <c r="W9106" s="185"/>
      <c r="AE9106" s="185"/>
    </row>
    <row r="9107" spans="20:31" x14ac:dyDescent="0.25">
      <c r="T9107" s="81"/>
      <c r="W9107" s="185"/>
      <c r="AE9107" s="185"/>
    </row>
    <row r="9108" spans="20:31" x14ac:dyDescent="0.25">
      <c r="T9108" s="81"/>
      <c r="W9108" s="185"/>
      <c r="AE9108" s="185"/>
    </row>
    <row r="9109" spans="20:31" x14ac:dyDescent="0.25">
      <c r="T9109" s="81"/>
      <c r="W9109" s="185"/>
      <c r="AE9109" s="185"/>
    </row>
    <row r="9110" spans="20:31" x14ac:dyDescent="0.25">
      <c r="T9110" s="81"/>
      <c r="W9110" s="185"/>
      <c r="AE9110" s="185"/>
    </row>
    <row r="9111" spans="20:31" x14ac:dyDescent="0.25">
      <c r="T9111" s="81"/>
      <c r="W9111" s="185"/>
      <c r="AE9111" s="185"/>
    </row>
    <row r="9112" spans="20:31" x14ac:dyDescent="0.25">
      <c r="T9112" s="81"/>
      <c r="W9112" s="185"/>
      <c r="AE9112" s="185"/>
    </row>
    <row r="9113" spans="20:31" x14ac:dyDescent="0.25">
      <c r="T9113" s="81"/>
      <c r="W9113" s="185"/>
      <c r="AE9113" s="185"/>
    </row>
    <row r="9114" spans="20:31" x14ac:dyDescent="0.25">
      <c r="T9114" s="81"/>
      <c r="W9114" s="185"/>
      <c r="AE9114" s="185"/>
    </row>
    <row r="9115" spans="20:31" x14ac:dyDescent="0.25">
      <c r="T9115" s="81"/>
      <c r="W9115" s="185"/>
      <c r="AE9115" s="185"/>
    </row>
    <row r="9116" spans="20:31" x14ac:dyDescent="0.25">
      <c r="T9116" s="81"/>
      <c r="W9116" s="185"/>
      <c r="AE9116" s="185"/>
    </row>
    <row r="9117" spans="20:31" x14ac:dyDescent="0.25">
      <c r="T9117" s="81"/>
      <c r="W9117" s="185"/>
      <c r="AE9117" s="185"/>
    </row>
    <row r="9118" spans="20:31" x14ac:dyDescent="0.25">
      <c r="T9118" s="81"/>
      <c r="W9118" s="185"/>
      <c r="AE9118" s="185"/>
    </row>
    <row r="9119" spans="20:31" x14ac:dyDescent="0.25">
      <c r="T9119" s="81"/>
      <c r="W9119" s="185"/>
      <c r="AE9119" s="185"/>
    </row>
    <row r="9120" spans="20:31" x14ac:dyDescent="0.25">
      <c r="T9120" s="81"/>
      <c r="W9120" s="185"/>
      <c r="AE9120" s="185"/>
    </row>
    <row r="9121" spans="20:31" x14ac:dyDescent="0.25">
      <c r="T9121" s="81"/>
      <c r="W9121" s="185"/>
      <c r="AE9121" s="185"/>
    </row>
    <row r="9122" spans="20:31" x14ac:dyDescent="0.25">
      <c r="T9122" s="81"/>
      <c r="W9122" s="185"/>
      <c r="AE9122" s="185"/>
    </row>
    <row r="9123" spans="20:31" x14ac:dyDescent="0.25">
      <c r="T9123" s="81"/>
      <c r="W9123" s="185"/>
      <c r="AE9123" s="185"/>
    </row>
    <row r="9124" spans="20:31" x14ac:dyDescent="0.25">
      <c r="T9124" s="81"/>
      <c r="W9124" s="185"/>
      <c r="AE9124" s="185"/>
    </row>
    <row r="9125" spans="20:31" x14ac:dyDescent="0.25">
      <c r="T9125" s="81"/>
      <c r="W9125" s="185"/>
      <c r="AE9125" s="185"/>
    </row>
    <row r="9126" spans="20:31" x14ac:dyDescent="0.25">
      <c r="T9126" s="81"/>
      <c r="W9126" s="185"/>
      <c r="AE9126" s="185"/>
    </row>
    <row r="9127" spans="20:31" x14ac:dyDescent="0.25">
      <c r="T9127" s="81"/>
      <c r="W9127" s="185"/>
      <c r="AE9127" s="185"/>
    </row>
    <row r="9128" spans="20:31" x14ac:dyDescent="0.25">
      <c r="T9128" s="81"/>
      <c r="W9128" s="185"/>
      <c r="AE9128" s="185"/>
    </row>
    <row r="9129" spans="20:31" x14ac:dyDescent="0.25">
      <c r="T9129" s="81"/>
      <c r="W9129" s="185"/>
      <c r="AE9129" s="185"/>
    </row>
    <row r="9130" spans="20:31" x14ac:dyDescent="0.25">
      <c r="T9130" s="81"/>
      <c r="W9130" s="185"/>
      <c r="AE9130" s="185"/>
    </row>
    <row r="9131" spans="20:31" x14ac:dyDescent="0.25">
      <c r="T9131" s="81"/>
      <c r="W9131" s="185"/>
      <c r="AE9131" s="185"/>
    </row>
    <row r="9132" spans="20:31" x14ac:dyDescent="0.25">
      <c r="T9132" s="81"/>
      <c r="W9132" s="185"/>
      <c r="AE9132" s="185"/>
    </row>
    <row r="9133" spans="20:31" x14ac:dyDescent="0.25">
      <c r="T9133" s="81"/>
      <c r="W9133" s="185"/>
      <c r="AE9133" s="185"/>
    </row>
    <row r="9134" spans="20:31" x14ac:dyDescent="0.25">
      <c r="T9134" s="81"/>
      <c r="W9134" s="185"/>
      <c r="AE9134" s="185"/>
    </row>
    <row r="9135" spans="20:31" x14ac:dyDescent="0.25">
      <c r="T9135" s="81"/>
      <c r="W9135" s="185"/>
      <c r="AE9135" s="185"/>
    </row>
    <row r="9136" spans="20:31" x14ac:dyDescent="0.25">
      <c r="T9136" s="81"/>
      <c r="W9136" s="185"/>
      <c r="AE9136" s="185"/>
    </row>
    <row r="9137" spans="20:31" x14ac:dyDescent="0.25">
      <c r="T9137" s="81"/>
      <c r="W9137" s="185"/>
      <c r="AE9137" s="185"/>
    </row>
    <row r="9138" spans="20:31" x14ac:dyDescent="0.25">
      <c r="T9138" s="81"/>
      <c r="W9138" s="185"/>
      <c r="AE9138" s="185"/>
    </row>
    <row r="9139" spans="20:31" x14ac:dyDescent="0.25">
      <c r="T9139" s="81"/>
      <c r="W9139" s="185"/>
      <c r="AE9139" s="185"/>
    </row>
    <row r="9140" spans="20:31" x14ac:dyDescent="0.25">
      <c r="T9140" s="81"/>
      <c r="W9140" s="185"/>
      <c r="AE9140" s="185"/>
    </row>
    <row r="9141" spans="20:31" x14ac:dyDescent="0.25">
      <c r="T9141" s="81"/>
      <c r="W9141" s="185"/>
      <c r="AE9141" s="185"/>
    </row>
    <row r="9142" spans="20:31" x14ac:dyDescent="0.25">
      <c r="T9142" s="81"/>
      <c r="W9142" s="185"/>
      <c r="AE9142" s="185"/>
    </row>
    <row r="9143" spans="20:31" x14ac:dyDescent="0.25">
      <c r="T9143" s="81"/>
      <c r="W9143" s="185"/>
      <c r="AE9143" s="185"/>
    </row>
    <row r="9144" spans="20:31" x14ac:dyDescent="0.25">
      <c r="T9144" s="81"/>
      <c r="W9144" s="185"/>
      <c r="AE9144" s="185"/>
    </row>
    <row r="9145" spans="20:31" x14ac:dyDescent="0.25">
      <c r="T9145" s="81"/>
      <c r="W9145" s="185"/>
      <c r="AE9145" s="185"/>
    </row>
    <row r="9146" spans="20:31" x14ac:dyDescent="0.25">
      <c r="T9146" s="81"/>
      <c r="W9146" s="185"/>
      <c r="AE9146" s="185"/>
    </row>
    <row r="9147" spans="20:31" x14ac:dyDescent="0.25">
      <c r="T9147" s="81"/>
      <c r="W9147" s="185"/>
      <c r="AE9147" s="185"/>
    </row>
    <row r="9148" spans="20:31" x14ac:dyDescent="0.25">
      <c r="T9148" s="81"/>
      <c r="W9148" s="185"/>
      <c r="AE9148" s="185"/>
    </row>
    <row r="9149" spans="20:31" x14ac:dyDescent="0.25">
      <c r="T9149" s="81"/>
      <c r="W9149" s="185"/>
      <c r="AE9149" s="185"/>
    </row>
    <row r="9150" spans="20:31" x14ac:dyDescent="0.25">
      <c r="T9150" s="81"/>
      <c r="W9150" s="185"/>
      <c r="AE9150" s="185"/>
    </row>
    <row r="9151" spans="20:31" x14ac:dyDescent="0.25">
      <c r="T9151" s="81"/>
      <c r="W9151" s="185"/>
      <c r="AE9151" s="185"/>
    </row>
    <row r="9152" spans="20:31" x14ac:dyDescent="0.25">
      <c r="T9152" s="81"/>
      <c r="W9152" s="185"/>
      <c r="AE9152" s="185"/>
    </row>
    <row r="9153" spans="20:31" x14ac:dyDescent="0.25">
      <c r="T9153" s="81"/>
      <c r="W9153" s="185"/>
      <c r="AE9153" s="185"/>
    </row>
    <row r="9154" spans="20:31" x14ac:dyDescent="0.25">
      <c r="T9154" s="81"/>
      <c r="W9154" s="185"/>
      <c r="AE9154" s="185"/>
    </row>
    <row r="9155" spans="20:31" x14ac:dyDescent="0.25">
      <c r="T9155" s="81"/>
      <c r="W9155" s="185"/>
      <c r="AE9155" s="185"/>
    </row>
    <row r="9156" spans="20:31" x14ac:dyDescent="0.25">
      <c r="T9156" s="81"/>
      <c r="W9156" s="185"/>
      <c r="AE9156" s="185"/>
    </row>
    <row r="9157" spans="20:31" x14ac:dyDescent="0.25">
      <c r="T9157" s="81"/>
      <c r="W9157" s="185"/>
      <c r="AE9157" s="185"/>
    </row>
    <row r="9158" spans="20:31" x14ac:dyDescent="0.25">
      <c r="T9158" s="81"/>
      <c r="W9158" s="185"/>
      <c r="AE9158" s="185"/>
    </row>
    <row r="9159" spans="20:31" x14ac:dyDescent="0.25">
      <c r="T9159" s="81"/>
      <c r="W9159" s="185"/>
      <c r="AE9159" s="185"/>
    </row>
    <row r="9160" spans="20:31" x14ac:dyDescent="0.25">
      <c r="T9160" s="81"/>
      <c r="W9160" s="185"/>
      <c r="AE9160" s="185"/>
    </row>
    <row r="9161" spans="20:31" x14ac:dyDescent="0.25">
      <c r="T9161" s="81"/>
      <c r="W9161" s="185"/>
      <c r="AE9161" s="185"/>
    </row>
    <row r="9162" spans="20:31" x14ac:dyDescent="0.25">
      <c r="T9162" s="81"/>
      <c r="W9162" s="185"/>
      <c r="AE9162" s="185"/>
    </row>
    <row r="9163" spans="20:31" x14ac:dyDescent="0.25">
      <c r="T9163" s="81"/>
      <c r="W9163" s="185"/>
      <c r="AE9163" s="185"/>
    </row>
    <row r="9164" spans="20:31" x14ac:dyDescent="0.25">
      <c r="T9164" s="81"/>
      <c r="W9164" s="185"/>
      <c r="AE9164" s="185"/>
    </row>
    <row r="9165" spans="20:31" x14ac:dyDescent="0.25">
      <c r="T9165" s="81"/>
      <c r="W9165" s="185"/>
      <c r="AE9165" s="185"/>
    </row>
    <row r="9166" spans="20:31" x14ac:dyDescent="0.25">
      <c r="T9166" s="81"/>
      <c r="W9166" s="185"/>
      <c r="AE9166" s="185"/>
    </row>
    <row r="9167" spans="20:31" x14ac:dyDescent="0.25">
      <c r="T9167" s="81"/>
      <c r="W9167" s="185"/>
      <c r="AE9167" s="185"/>
    </row>
    <row r="9168" spans="20:31" x14ac:dyDescent="0.25">
      <c r="T9168" s="81"/>
      <c r="W9168" s="185"/>
      <c r="AE9168" s="185"/>
    </row>
    <row r="9169" spans="20:31" x14ac:dyDescent="0.25">
      <c r="T9169" s="81"/>
      <c r="W9169" s="185"/>
      <c r="AE9169" s="185"/>
    </row>
    <row r="9170" spans="20:31" x14ac:dyDescent="0.25">
      <c r="T9170" s="81"/>
      <c r="W9170" s="185"/>
      <c r="AE9170" s="185"/>
    </row>
    <row r="9171" spans="20:31" x14ac:dyDescent="0.25">
      <c r="T9171" s="81"/>
      <c r="W9171" s="185"/>
      <c r="AE9171" s="185"/>
    </row>
    <row r="9172" spans="20:31" x14ac:dyDescent="0.25">
      <c r="T9172" s="81"/>
      <c r="W9172" s="185"/>
      <c r="AE9172" s="185"/>
    </row>
    <row r="9173" spans="20:31" x14ac:dyDescent="0.25">
      <c r="T9173" s="81"/>
      <c r="W9173" s="185"/>
      <c r="AE9173" s="185"/>
    </row>
    <row r="9174" spans="20:31" x14ac:dyDescent="0.25">
      <c r="T9174" s="81"/>
      <c r="W9174" s="185"/>
      <c r="AE9174" s="185"/>
    </row>
    <row r="9175" spans="20:31" x14ac:dyDescent="0.25">
      <c r="T9175" s="81"/>
      <c r="W9175" s="185"/>
      <c r="AE9175" s="185"/>
    </row>
    <row r="9176" spans="20:31" x14ac:dyDescent="0.25">
      <c r="T9176" s="81"/>
      <c r="W9176" s="185"/>
      <c r="AE9176" s="185"/>
    </row>
    <row r="9177" spans="20:31" x14ac:dyDescent="0.25">
      <c r="T9177" s="81"/>
      <c r="W9177" s="185"/>
      <c r="AE9177" s="185"/>
    </row>
    <row r="9178" spans="20:31" x14ac:dyDescent="0.25">
      <c r="T9178" s="81"/>
      <c r="W9178" s="185"/>
      <c r="AE9178" s="185"/>
    </row>
    <row r="9179" spans="20:31" x14ac:dyDescent="0.25">
      <c r="T9179" s="81"/>
      <c r="W9179" s="185"/>
      <c r="AE9179" s="185"/>
    </row>
    <row r="9180" spans="20:31" x14ac:dyDescent="0.25">
      <c r="T9180" s="81"/>
      <c r="W9180" s="185"/>
      <c r="AE9180" s="185"/>
    </row>
    <row r="9181" spans="20:31" x14ac:dyDescent="0.25">
      <c r="T9181" s="81"/>
      <c r="W9181" s="185"/>
      <c r="AE9181" s="185"/>
    </row>
    <row r="9182" spans="20:31" x14ac:dyDescent="0.25">
      <c r="T9182" s="81"/>
      <c r="W9182" s="185"/>
      <c r="AE9182" s="185"/>
    </row>
    <row r="9183" spans="20:31" x14ac:dyDescent="0.25">
      <c r="T9183" s="81"/>
      <c r="W9183" s="185"/>
      <c r="AE9183" s="185"/>
    </row>
    <row r="9184" spans="20:31" x14ac:dyDescent="0.25">
      <c r="T9184" s="81"/>
      <c r="W9184" s="185"/>
      <c r="AE9184" s="185"/>
    </row>
    <row r="9185" spans="20:31" x14ac:dyDescent="0.25">
      <c r="T9185" s="81"/>
      <c r="W9185" s="185"/>
      <c r="AE9185" s="185"/>
    </row>
    <row r="9186" spans="20:31" x14ac:dyDescent="0.25">
      <c r="T9186" s="81"/>
      <c r="W9186" s="185"/>
      <c r="AE9186" s="185"/>
    </row>
    <row r="9187" spans="20:31" x14ac:dyDescent="0.25">
      <c r="T9187" s="81"/>
      <c r="W9187" s="185"/>
      <c r="AE9187" s="185"/>
    </row>
    <row r="9188" spans="20:31" x14ac:dyDescent="0.25">
      <c r="T9188" s="81"/>
      <c r="W9188" s="185"/>
      <c r="AE9188" s="185"/>
    </row>
    <row r="9189" spans="20:31" x14ac:dyDescent="0.25">
      <c r="T9189" s="81"/>
      <c r="W9189" s="185"/>
      <c r="AE9189" s="185"/>
    </row>
    <row r="9190" spans="20:31" x14ac:dyDescent="0.25">
      <c r="T9190" s="81"/>
      <c r="W9190" s="185"/>
      <c r="AE9190" s="185"/>
    </row>
    <row r="9191" spans="20:31" x14ac:dyDescent="0.25">
      <c r="T9191" s="81"/>
      <c r="W9191" s="185"/>
      <c r="AE9191" s="185"/>
    </row>
    <row r="9192" spans="20:31" x14ac:dyDescent="0.25">
      <c r="T9192" s="81"/>
      <c r="W9192" s="185"/>
      <c r="AE9192" s="185"/>
    </row>
    <row r="9193" spans="20:31" x14ac:dyDescent="0.25">
      <c r="T9193" s="81"/>
      <c r="W9193" s="185"/>
      <c r="AE9193" s="185"/>
    </row>
    <row r="9194" spans="20:31" x14ac:dyDescent="0.25">
      <c r="T9194" s="81"/>
      <c r="W9194" s="185"/>
      <c r="AE9194" s="185"/>
    </row>
    <row r="9195" spans="20:31" x14ac:dyDescent="0.25">
      <c r="T9195" s="81"/>
      <c r="W9195" s="185"/>
      <c r="AE9195" s="185"/>
    </row>
    <row r="9196" spans="20:31" x14ac:dyDescent="0.25">
      <c r="T9196" s="81"/>
      <c r="W9196" s="185"/>
      <c r="AE9196" s="185"/>
    </row>
    <row r="9197" spans="20:31" x14ac:dyDescent="0.25">
      <c r="T9197" s="81"/>
      <c r="W9197" s="185"/>
      <c r="AE9197" s="185"/>
    </row>
    <row r="9198" spans="20:31" x14ac:dyDescent="0.25">
      <c r="T9198" s="81"/>
      <c r="W9198" s="185"/>
      <c r="AE9198" s="185"/>
    </row>
    <row r="9199" spans="20:31" x14ac:dyDescent="0.25">
      <c r="T9199" s="81"/>
      <c r="W9199" s="185"/>
      <c r="AE9199" s="185"/>
    </row>
    <row r="9200" spans="20:31" x14ac:dyDescent="0.25">
      <c r="T9200" s="81"/>
      <c r="W9200" s="185"/>
      <c r="AE9200" s="185"/>
    </row>
    <row r="9201" spans="20:31" x14ac:dyDescent="0.25">
      <c r="T9201" s="81"/>
      <c r="W9201" s="185"/>
      <c r="AE9201" s="185"/>
    </row>
    <row r="9202" spans="20:31" x14ac:dyDescent="0.25">
      <c r="T9202" s="81"/>
      <c r="W9202" s="185"/>
      <c r="AE9202" s="185"/>
    </row>
    <row r="9203" spans="20:31" x14ac:dyDescent="0.25">
      <c r="T9203" s="81"/>
      <c r="W9203" s="185"/>
      <c r="AE9203" s="185"/>
    </row>
    <row r="9204" spans="20:31" x14ac:dyDescent="0.25">
      <c r="T9204" s="81"/>
      <c r="W9204" s="185"/>
      <c r="AE9204" s="185"/>
    </row>
    <row r="9205" spans="20:31" x14ac:dyDescent="0.25">
      <c r="T9205" s="81"/>
      <c r="W9205" s="185"/>
      <c r="AE9205" s="185"/>
    </row>
    <row r="9206" spans="20:31" x14ac:dyDescent="0.25">
      <c r="T9206" s="81"/>
      <c r="W9206" s="185"/>
      <c r="AE9206" s="185"/>
    </row>
    <row r="9207" spans="20:31" x14ac:dyDescent="0.25">
      <c r="T9207" s="81"/>
      <c r="W9207" s="185"/>
      <c r="AE9207" s="185"/>
    </row>
    <row r="9208" spans="20:31" x14ac:dyDescent="0.25">
      <c r="T9208" s="81"/>
      <c r="W9208" s="185"/>
      <c r="AE9208" s="185"/>
    </row>
    <row r="9209" spans="20:31" x14ac:dyDescent="0.25">
      <c r="T9209" s="81"/>
      <c r="W9209" s="185"/>
      <c r="AE9209" s="185"/>
    </row>
    <row r="9210" spans="20:31" x14ac:dyDescent="0.25">
      <c r="T9210" s="81"/>
      <c r="W9210" s="185"/>
      <c r="AE9210" s="185"/>
    </row>
    <row r="9211" spans="20:31" x14ac:dyDescent="0.25">
      <c r="T9211" s="81"/>
      <c r="W9211" s="185"/>
      <c r="AE9211" s="185"/>
    </row>
    <row r="9212" spans="20:31" x14ac:dyDescent="0.25">
      <c r="T9212" s="81"/>
      <c r="W9212" s="185"/>
      <c r="AE9212" s="185"/>
    </row>
    <row r="9213" spans="20:31" x14ac:dyDescent="0.25">
      <c r="T9213" s="81"/>
      <c r="W9213" s="185"/>
      <c r="AE9213" s="185"/>
    </row>
    <row r="9214" spans="20:31" x14ac:dyDescent="0.25">
      <c r="T9214" s="81"/>
      <c r="W9214" s="185"/>
      <c r="AE9214" s="185"/>
    </row>
    <row r="9215" spans="20:31" x14ac:dyDescent="0.25">
      <c r="T9215" s="81"/>
      <c r="W9215" s="185"/>
      <c r="AE9215" s="185"/>
    </row>
    <row r="9216" spans="20:31" x14ac:dyDescent="0.25">
      <c r="T9216" s="81"/>
      <c r="W9216" s="185"/>
      <c r="AE9216" s="185"/>
    </row>
    <row r="9217" spans="20:31" x14ac:dyDescent="0.25">
      <c r="T9217" s="81"/>
      <c r="W9217" s="185"/>
      <c r="AE9217" s="185"/>
    </row>
    <row r="9218" spans="20:31" x14ac:dyDescent="0.25">
      <c r="T9218" s="81"/>
      <c r="W9218" s="185"/>
      <c r="AE9218" s="185"/>
    </row>
    <row r="9219" spans="20:31" x14ac:dyDescent="0.25">
      <c r="T9219" s="81"/>
      <c r="W9219" s="185"/>
      <c r="AE9219" s="185"/>
    </row>
    <row r="9220" spans="20:31" x14ac:dyDescent="0.25">
      <c r="T9220" s="81"/>
      <c r="W9220" s="185"/>
      <c r="AE9220" s="185"/>
    </row>
    <row r="9221" spans="20:31" x14ac:dyDescent="0.25">
      <c r="T9221" s="81"/>
      <c r="W9221" s="185"/>
      <c r="AE9221" s="185"/>
    </row>
    <row r="9222" spans="20:31" x14ac:dyDescent="0.25">
      <c r="T9222" s="81"/>
      <c r="W9222" s="185"/>
      <c r="AE9222" s="185"/>
    </row>
    <row r="9223" spans="20:31" x14ac:dyDescent="0.25">
      <c r="T9223" s="81"/>
      <c r="W9223" s="185"/>
      <c r="AE9223" s="185"/>
    </row>
    <row r="9224" spans="20:31" x14ac:dyDescent="0.25">
      <c r="T9224" s="81"/>
      <c r="W9224" s="185"/>
      <c r="AE9224" s="185"/>
    </row>
    <row r="9225" spans="20:31" x14ac:dyDescent="0.25">
      <c r="T9225" s="81"/>
      <c r="W9225" s="185"/>
      <c r="AE9225" s="185"/>
    </row>
    <row r="9226" spans="20:31" x14ac:dyDescent="0.25">
      <c r="T9226" s="81"/>
      <c r="W9226" s="185"/>
      <c r="AE9226" s="185"/>
    </row>
    <row r="9227" spans="20:31" x14ac:dyDescent="0.25">
      <c r="T9227" s="81"/>
      <c r="W9227" s="185"/>
      <c r="AE9227" s="185"/>
    </row>
    <row r="9228" spans="20:31" x14ac:dyDescent="0.25">
      <c r="T9228" s="81"/>
      <c r="W9228" s="185"/>
      <c r="AE9228" s="185"/>
    </row>
    <row r="9229" spans="20:31" x14ac:dyDescent="0.25">
      <c r="T9229" s="81"/>
      <c r="W9229" s="185"/>
      <c r="AE9229" s="185"/>
    </row>
    <row r="9230" spans="20:31" x14ac:dyDescent="0.25">
      <c r="T9230" s="81"/>
      <c r="W9230" s="185"/>
      <c r="AE9230" s="185"/>
    </row>
    <row r="9231" spans="20:31" x14ac:dyDescent="0.25">
      <c r="T9231" s="81"/>
      <c r="W9231" s="185"/>
      <c r="AE9231" s="185"/>
    </row>
    <row r="9232" spans="20:31" x14ac:dyDescent="0.25">
      <c r="T9232" s="81"/>
      <c r="W9232" s="185"/>
      <c r="AE9232" s="185"/>
    </row>
    <row r="9233" spans="20:31" x14ac:dyDescent="0.25">
      <c r="T9233" s="81"/>
      <c r="W9233" s="185"/>
      <c r="AE9233" s="185"/>
    </row>
    <row r="9234" spans="20:31" x14ac:dyDescent="0.25">
      <c r="T9234" s="81"/>
      <c r="W9234" s="185"/>
      <c r="AE9234" s="185"/>
    </row>
    <row r="9235" spans="20:31" x14ac:dyDescent="0.25">
      <c r="T9235" s="81"/>
      <c r="W9235" s="185"/>
      <c r="AE9235" s="185"/>
    </row>
    <row r="9236" spans="20:31" x14ac:dyDescent="0.25">
      <c r="T9236" s="81"/>
      <c r="W9236" s="185"/>
      <c r="AE9236" s="185"/>
    </row>
    <row r="9237" spans="20:31" x14ac:dyDescent="0.25">
      <c r="T9237" s="81"/>
      <c r="W9237" s="185"/>
      <c r="AE9237" s="185"/>
    </row>
    <row r="9238" spans="20:31" x14ac:dyDescent="0.25">
      <c r="T9238" s="81"/>
      <c r="W9238" s="185"/>
      <c r="AE9238" s="185"/>
    </row>
    <row r="9239" spans="20:31" x14ac:dyDescent="0.25">
      <c r="T9239" s="81"/>
      <c r="W9239" s="185"/>
      <c r="AE9239" s="185"/>
    </row>
    <row r="9240" spans="20:31" x14ac:dyDescent="0.25">
      <c r="T9240" s="81"/>
      <c r="W9240" s="185"/>
      <c r="AE9240" s="185"/>
    </row>
    <row r="9241" spans="20:31" x14ac:dyDescent="0.25">
      <c r="T9241" s="81"/>
      <c r="W9241" s="185"/>
      <c r="AE9241" s="185"/>
    </row>
    <row r="9242" spans="20:31" x14ac:dyDescent="0.25">
      <c r="T9242" s="81"/>
      <c r="W9242" s="185"/>
      <c r="AE9242" s="185"/>
    </row>
    <row r="9243" spans="20:31" x14ac:dyDescent="0.25">
      <c r="T9243" s="81"/>
      <c r="W9243" s="185"/>
      <c r="AE9243" s="185"/>
    </row>
    <row r="9244" spans="20:31" x14ac:dyDescent="0.25">
      <c r="T9244" s="81"/>
      <c r="W9244" s="185"/>
      <c r="AE9244" s="185"/>
    </row>
    <row r="9245" spans="20:31" x14ac:dyDescent="0.25">
      <c r="T9245" s="81"/>
      <c r="W9245" s="185"/>
      <c r="AE9245" s="185"/>
    </row>
    <row r="9246" spans="20:31" x14ac:dyDescent="0.25">
      <c r="T9246" s="81"/>
      <c r="W9246" s="185"/>
      <c r="AE9246" s="185"/>
    </row>
    <row r="9247" spans="20:31" x14ac:dyDescent="0.25">
      <c r="T9247" s="81"/>
      <c r="W9247" s="185"/>
      <c r="AE9247" s="185"/>
    </row>
    <row r="9248" spans="20:31" x14ac:dyDescent="0.25">
      <c r="T9248" s="81"/>
      <c r="W9248" s="185"/>
      <c r="AE9248" s="185"/>
    </row>
    <row r="9249" spans="20:31" x14ac:dyDescent="0.25">
      <c r="T9249" s="81"/>
      <c r="W9249" s="185"/>
      <c r="AE9249" s="185"/>
    </row>
    <row r="9250" spans="20:31" x14ac:dyDescent="0.25">
      <c r="T9250" s="81"/>
      <c r="W9250" s="185"/>
      <c r="AE9250" s="185"/>
    </row>
    <row r="9251" spans="20:31" x14ac:dyDescent="0.25">
      <c r="T9251" s="81"/>
      <c r="W9251" s="185"/>
      <c r="AE9251" s="185"/>
    </row>
    <row r="9252" spans="20:31" x14ac:dyDescent="0.25">
      <c r="T9252" s="81"/>
      <c r="W9252" s="185"/>
      <c r="AE9252" s="185"/>
    </row>
    <row r="9253" spans="20:31" x14ac:dyDescent="0.25">
      <c r="T9253" s="81"/>
      <c r="W9253" s="185"/>
      <c r="AE9253" s="185"/>
    </row>
    <row r="9254" spans="20:31" x14ac:dyDescent="0.25">
      <c r="T9254" s="81"/>
      <c r="W9254" s="185"/>
      <c r="AE9254" s="185"/>
    </row>
    <row r="9255" spans="20:31" x14ac:dyDescent="0.25">
      <c r="T9255" s="81"/>
      <c r="W9255" s="185"/>
      <c r="AE9255" s="185"/>
    </row>
    <row r="9256" spans="20:31" x14ac:dyDescent="0.25">
      <c r="T9256" s="81"/>
      <c r="W9256" s="185"/>
      <c r="AE9256" s="185"/>
    </row>
    <row r="9257" spans="20:31" x14ac:dyDescent="0.25">
      <c r="T9257" s="81"/>
      <c r="W9257" s="185"/>
      <c r="AE9257" s="185"/>
    </row>
    <row r="9258" spans="20:31" x14ac:dyDescent="0.25">
      <c r="T9258" s="81"/>
      <c r="W9258" s="185"/>
      <c r="AE9258" s="185"/>
    </row>
    <row r="9259" spans="20:31" x14ac:dyDescent="0.25">
      <c r="T9259" s="81"/>
      <c r="W9259" s="185"/>
      <c r="AE9259" s="185"/>
    </row>
    <row r="9260" spans="20:31" x14ac:dyDescent="0.25">
      <c r="T9260" s="81"/>
      <c r="W9260" s="185"/>
      <c r="AE9260" s="185"/>
    </row>
    <row r="9261" spans="20:31" x14ac:dyDescent="0.25">
      <c r="T9261" s="81"/>
      <c r="W9261" s="185"/>
      <c r="AE9261" s="185"/>
    </row>
    <row r="9262" spans="20:31" x14ac:dyDescent="0.25">
      <c r="T9262" s="81"/>
      <c r="W9262" s="185"/>
      <c r="AE9262" s="185"/>
    </row>
    <row r="9263" spans="20:31" x14ac:dyDescent="0.25">
      <c r="T9263" s="81"/>
      <c r="W9263" s="185"/>
      <c r="AE9263" s="185"/>
    </row>
    <row r="9264" spans="20:31" x14ac:dyDescent="0.25">
      <c r="T9264" s="81"/>
      <c r="W9264" s="185"/>
      <c r="AE9264" s="185"/>
    </row>
    <row r="9265" spans="20:31" x14ac:dyDescent="0.25">
      <c r="T9265" s="81"/>
      <c r="W9265" s="185"/>
      <c r="AE9265" s="185"/>
    </row>
    <row r="9266" spans="20:31" x14ac:dyDescent="0.25">
      <c r="T9266" s="81"/>
      <c r="W9266" s="185"/>
      <c r="AE9266" s="185"/>
    </row>
    <row r="9267" spans="20:31" x14ac:dyDescent="0.25">
      <c r="T9267" s="81"/>
      <c r="W9267" s="185"/>
      <c r="AE9267" s="185"/>
    </row>
    <row r="9268" spans="20:31" x14ac:dyDescent="0.25">
      <c r="T9268" s="81"/>
      <c r="W9268" s="185"/>
      <c r="AE9268" s="185"/>
    </row>
    <row r="9269" spans="20:31" x14ac:dyDescent="0.25">
      <c r="T9269" s="81"/>
      <c r="W9269" s="185"/>
      <c r="AE9269" s="185"/>
    </row>
    <row r="9270" spans="20:31" x14ac:dyDescent="0.25">
      <c r="T9270" s="81"/>
      <c r="W9270" s="185"/>
      <c r="AE9270" s="185"/>
    </row>
    <row r="9271" spans="20:31" x14ac:dyDescent="0.25">
      <c r="T9271" s="81"/>
      <c r="W9271" s="185"/>
      <c r="AE9271" s="185"/>
    </row>
    <row r="9272" spans="20:31" x14ac:dyDescent="0.25">
      <c r="T9272" s="81"/>
      <c r="W9272" s="185"/>
      <c r="AE9272" s="185"/>
    </row>
    <row r="9273" spans="20:31" x14ac:dyDescent="0.25">
      <c r="T9273" s="81"/>
      <c r="W9273" s="185"/>
      <c r="AE9273" s="185"/>
    </row>
    <row r="9274" spans="20:31" x14ac:dyDescent="0.25">
      <c r="T9274" s="81"/>
      <c r="W9274" s="185"/>
      <c r="AE9274" s="185"/>
    </row>
    <row r="9275" spans="20:31" x14ac:dyDescent="0.25">
      <c r="T9275" s="81"/>
      <c r="W9275" s="185"/>
      <c r="AE9275" s="185"/>
    </row>
    <row r="9276" spans="20:31" x14ac:dyDescent="0.25">
      <c r="T9276" s="81"/>
      <c r="W9276" s="185"/>
      <c r="AE9276" s="185"/>
    </row>
    <row r="9277" spans="20:31" x14ac:dyDescent="0.25">
      <c r="T9277" s="81"/>
      <c r="W9277" s="185"/>
      <c r="AE9277" s="185"/>
    </row>
    <row r="9278" spans="20:31" x14ac:dyDescent="0.25">
      <c r="T9278" s="81"/>
      <c r="W9278" s="185"/>
      <c r="AE9278" s="185"/>
    </row>
    <row r="9279" spans="20:31" x14ac:dyDescent="0.25">
      <c r="T9279" s="81"/>
      <c r="W9279" s="185"/>
      <c r="AE9279" s="185"/>
    </row>
    <row r="9280" spans="20:31" x14ac:dyDescent="0.25">
      <c r="T9280" s="81"/>
      <c r="W9280" s="185"/>
      <c r="AE9280" s="185"/>
    </row>
    <row r="9281" spans="20:31" x14ac:dyDescent="0.25">
      <c r="T9281" s="81"/>
      <c r="W9281" s="185"/>
      <c r="AE9281" s="185"/>
    </row>
    <row r="9282" spans="20:31" x14ac:dyDescent="0.25">
      <c r="T9282" s="81"/>
      <c r="W9282" s="185"/>
      <c r="AE9282" s="185"/>
    </row>
    <row r="9283" spans="20:31" x14ac:dyDescent="0.25">
      <c r="T9283" s="81"/>
      <c r="W9283" s="185"/>
      <c r="AE9283" s="185"/>
    </row>
    <row r="9284" spans="20:31" x14ac:dyDescent="0.25">
      <c r="T9284" s="81"/>
      <c r="W9284" s="185"/>
      <c r="AE9284" s="185"/>
    </row>
    <row r="9285" spans="20:31" x14ac:dyDescent="0.25">
      <c r="T9285" s="81"/>
      <c r="W9285" s="185"/>
      <c r="AE9285" s="185"/>
    </row>
    <row r="9286" spans="20:31" x14ac:dyDescent="0.25">
      <c r="T9286" s="81"/>
      <c r="W9286" s="185"/>
      <c r="AE9286" s="185"/>
    </row>
    <row r="9287" spans="20:31" x14ac:dyDescent="0.25">
      <c r="T9287" s="81"/>
      <c r="W9287" s="185"/>
      <c r="AE9287" s="185"/>
    </row>
    <row r="9288" spans="20:31" x14ac:dyDescent="0.25">
      <c r="T9288" s="81"/>
      <c r="W9288" s="185"/>
      <c r="AE9288" s="185"/>
    </row>
    <row r="9289" spans="20:31" x14ac:dyDescent="0.25">
      <c r="T9289" s="81"/>
      <c r="W9289" s="185"/>
      <c r="AE9289" s="185"/>
    </row>
    <row r="9290" spans="20:31" x14ac:dyDescent="0.25">
      <c r="T9290" s="81"/>
      <c r="W9290" s="185"/>
      <c r="AE9290" s="185"/>
    </row>
    <row r="9291" spans="20:31" x14ac:dyDescent="0.25">
      <c r="T9291" s="81"/>
      <c r="W9291" s="185"/>
      <c r="AE9291" s="185"/>
    </row>
    <row r="9292" spans="20:31" x14ac:dyDescent="0.25">
      <c r="T9292" s="81"/>
      <c r="W9292" s="185"/>
      <c r="AE9292" s="185"/>
    </row>
    <row r="9293" spans="20:31" x14ac:dyDescent="0.25">
      <c r="T9293" s="81"/>
      <c r="W9293" s="185"/>
      <c r="AE9293" s="185"/>
    </row>
    <row r="9294" spans="20:31" x14ac:dyDescent="0.25">
      <c r="T9294" s="81"/>
      <c r="W9294" s="185"/>
      <c r="AE9294" s="185"/>
    </row>
    <row r="9295" spans="20:31" x14ac:dyDescent="0.25">
      <c r="T9295" s="81"/>
      <c r="W9295" s="185"/>
      <c r="AE9295" s="185"/>
    </row>
    <row r="9296" spans="20:31" x14ac:dyDescent="0.25">
      <c r="T9296" s="81"/>
      <c r="W9296" s="185"/>
      <c r="AE9296" s="185"/>
    </row>
    <row r="9297" spans="20:31" x14ac:dyDescent="0.25">
      <c r="T9297" s="81"/>
      <c r="W9297" s="185"/>
      <c r="AE9297" s="185"/>
    </row>
    <row r="9298" spans="20:31" x14ac:dyDescent="0.25">
      <c r="T9298" s="81"/>
      <c r="W9298" s="185"/>
      <c r="AE9298" s="185"/>
    </row>
    <row r="9299" spans="20:31" x14ac:dyDescent="0.25">
      <c r="T9299" s="81"/>
      <c r="W9299" s="185"/>
      <c r="AE9299" s="185"/>
    </row>
    <row r="9300" spans="20:31" x14ac:dyDescent="0.25">
      <c r="T9300" s="81"/>
      <c r="W9300" s="185"/>
      <c r="AE9300" s="185"/>
    </row>
    <row r="9301" spans="20:31" x14ac:dyDescent="0.25">
      <c r="T9301" s="81"/>
      <c r="W9301" s="185"/>
      <c r="AE9301" s="185"/>
    </row>
    <row r="9302" spans="20:31" x14ac:dyDescent="0.25">
      <c r="T9302" s="81"/>
      <c r="W9302" s="185"/>
      <c r="AE9302" s="185"/>
    </row>
    <row r="9303" spans="20:31" x14ac:dyDescent="0.25">
      <c r="T9303" s="81"/>
      <c r="W9303" s="185"/>
      <c r="AE9303" s="185"/>
    </row>
    <row r="9304" spans="20:31" x14ac:dyDescent="0.25">
      <c r="T9304" s="81"/>
      <c r="W9304" s="185"/>
      <c r="AE9304" s="185"/>
    </row>
    <row r="9305" spans="20:31" x14ac:dyDescent="0.25">
      <c r="T9305" s="81"/>
      <c r="W9305" s="185"/>
      <c r="AE9305" s="185"/>
    </row>
    <row r="9306" spans="20:31" x14ac:dyDescent="0.25">
      <c r="T9306" s="81"/>
      <c r="W9306" s="185"/>
      <c r="AE9306" s="185"/>
    </row>
    <row r="9307" spans="20:31" x14ac:dyDescent="0.25">
      <c r="T9307" s="81"/>
      <c r="W9307" s="185"/>
      <c r="AE9307" s="185"/>
    </row>
    <row r="9308" spans="20:31" x14ac:dyDescent="0.25">
      <c r="T9308" s="81"/>
      <c r="W9308" s="185"/>
      <c r="AE9308" s="185"/>
    </row>
    <row r="9309" spans="20:31" x14ac:dyDescent="0.25">
      <c r="T9309" s="81"/>
      <c r="W9309" s="185"/>
      <c r="AE9309" s="185"/>
    </row>
    <row r="9310" spans="20:31" x14ac:dyDescent="0.25">
      <c r="T9310" s="81"/>
      <c r="W9310" s="185"/>
      <c r="AE9310" s="185"/>
    </row>
    <row r="9311" spans="20:31" x14ac:dyDescent="0.25">
      <c r="T9311" s="81"/>
      <c r="W9311" s="185"/>
      <c r="AE9311" s="185"/>
    </row>
    <row r="9312" spans="20:31" x14ac:dyDescent="0.25">
      <c r="T9312" s="81"/>
      <c r="W9312" s="185"/>
      <c r="AE9312" s="185"/>
    </row>
    <row r="9313" spans="20:31" x14ac:dyDescent="0.25">
      <c r="T9313" s="81"/>
      <c r="W9313" s="185"/>
      <c r="AE9313" s="185"/>
    </row>
    <row r="9314" spans="20:31" x14ac:dyDescent="0.25">
      <c r="T9314" s="81"/>
      <c r="W9314" s="185"/>
      <c r="AE9314" s="185"/>
    </row>
    <row r="9315" spans="20:31" x14ac:dyDescent="0.25">
      <c r="T9315" s="81"/>
      <c r="W9315" s="185"/>
      <c r="AE9315" s="185"/>
    </row>
    <row r="9316" spans="20:31" x14ac:dyDescent="0.25">
      <c r="T9316" s="81"/>
      <c r="W9316" s="185"/>
      <c r="AE9316" s="185"/>
    </row>
    <row r="9317" spans="20:31" x14ac:dyDescent="0.25">
      <c r="T9317" s="81"/>
      <c r="W9317" s="185"/>
      <c r="AE9317" s="185"/>
    </row>
    <row r="9318" spans="20:31" x14ac:dyDescent="0.25">
      <c r="T9318" s="81"/>
      <c r="W9318" s="185"/>
      <c r="AE9318" s="185"/>
    </row>
    <row r="9319" spans="20:31" x14ac:dyDescent="0.25">
      <c r="T9319" s="81"/>
      <c r="W9319" s="185"/>
      <c r="AE9319" s="185"/>
    </row>
    <row r="9320" spans="20:31" x14ac:dyDescent="0.25">
      <c r="T9320" s="81"/>
      <c r="W9320" s="185"/>
      <c r="AE9320" s="185"/>
    </row>
    <row r="9321" spans="20:31" x14ac:dyDescent="0.25">
      <c r="T9321" s="81"/>
      <c r="W9321" s="185"/>
      <c r="AE9321" s="185"/>
    </row>
    <row r="9322" spans="20:31" x14ac:dyDescent="0.25">
      <c r="T9322" s="81"/>
      <c r="W9322" s="185"/>
      <c r="AE9322" s="185"/>
    </row>
    <row r="9323" spans="20:31" x14ac:dyDescent="0.25">
      <c r="T9323" s="81"/>
      <c r="W9323" s="185"/>
      <c r="AE9323" s="185"/>
    </row>
    <row r="9324" spans="20:31" x14ac:dyDescent="0.25">
      <c r="T9324" s="81"/>
      <c r="W9324" s="185"/>
      <c r="AE9324" s="185"/>
    </row>
    <row r="9325" spans="20:31" x14ac:dyDescent="0.25">
      <c r="T9325" s="81"/>
      <c r="W9325" s="185"/>
      <c r="AE9325" s="185"/>
    </row>
    <row r="9326" spans="20:31" x14ac:dyDescent="0.25">
      <c r="T9326" s="81"/>
      <c r="W9326" s="185"/>
      <c r="AE9326" s="185"/>
    </row>
    <row r="9327" spans="20:31" x14ac:dyDescent="0.25">
      <c r="T9327" s="81"/>
      <c r="W9327" s="185"/>
      <c r="AE9327" s="185"/>
    </row>
    <row r="9328" spans="20:31" x14ac:dyDescent="0.25">
      <c r="T9328" s="81"/>
      <c r="W9328" s="185"/>
      <c r="AE9328" s="185"/>
    </row>
    <row r="9329" spans="20:31" x14ac:dyDescent="0.25">
      <c r="T9329" s="81"/>
      <c r="W9329" s="185"/>
      <c r="AE9329" s="185"/>
    </row>
    <row r="9330" spans="20:31" x14ac:dyDescent="0.25">
      <c r="T9330" s="81"/>
      <c r="W9330" s="185"/>
      <c r="AE9330" s="185"/>
    </row>
    <row r="9331" spans="20:31" x14ac:dyDescent="0.25">
      <c r="T9331" s="81"/>
      <c r="W9331" s="185"/>
      <c r="AE9331" s="185"/>
    </row>
    <row r="9332" spans="20:31" x14ac:dyDescent="0.25">
      <c r="T9332" s="81"/>
      <c r="W9332" s="185"/>
      <c r="AE9332" s="185"/>
    </row>
    <row r="9333" spans="20:31" x14ac:dyDescent="0.25">
      <c r="T9333" s="81"/>
      <c r="W9333" s="185"/>
      <c r="AE9333" s="185"/>
    </row>
    <row r="9334" spans="20:31" x14ac:dyDescent="0.25">
      <c r="T9334" s="81"/>
      <c r="W9334" s="185"/>
      <c r="AE9334" s="185"/>
    </row>
    <row r="9335" spans="20:31" x14ac:dyDescent="0.25">
      <c r="T9335" s="81"/>
      <c r="W9335" s="185"/>
      <c r="AE9335" s="185"/>
    </row>
    <row r="9336" spans="20:31" x14ac:dyDescent="0.25">
      <c r="T9336" s="81"/>
      <c r="W9336" s="185"/>
      <c r="AE9336" s="185"/>
    </row>
    <row r="9337" spans="20:31" x14ac:dyDescent="0.25">
      <c r="T9337" s="81"/>
      <c r="W9337" s="185"/>
      <c r="AE9337" s="185"/>
    </row>
    <row r="9338" spans="20:31" x14ac:dyDescent="0.25">
      <c r="T9338" s="81"/>
      <c r="W9338" s="185"/>
      <c r="AE9338" s="185"/>
    </row>
    <row r="9339" spans="20:31" x14ac:dyDescent="0.25">
      <c r="T9339" s="81"/>
      <c r="W9339" s="185"/>
      <c r="AE9339" s="185"/>
    </row>
    <row r="9340" spans="20:31" x14ac:dyDescent="0.25">
      <c r="T9340" s="81"/>
      <c r="W9340" s="185"/>
      <c r="AE9340" s="185"/>
    </row>
    <row r="9341" spans="20:31" x14ac:dyDescent="0.25">
      <c r="T9341" s="81"/>
      <c r="W9341" s="185"/>
      <c r="AE9341" s="185"/>
    </row>
    <row r="9342" spans="20:31" x14ac:dyDescent="0.25">
      <c r="T9342" s="81"/>
      <c r="W9342" s="185"/>
      <c r="AE9342" s="185"/>
    </row>
    <row r="9343" spans="20:31" x14ac:dyDescent="0.25">
      <c r="T9343" s="81"/>
      <c r="W9343" s="185"/>
      <c r="AE9343" s="185"/>
    </row>
    <row r="9344" spans="20:31" x14ac:dyDescent="0.25">
      <c r="T9344" s="81"/>
      <c r="W9344" s="185"/>
      <c r="AE9344" s="185"/>
    </row>
    <row r="9345" spans="20:31" x14ac:dyDescent="0.25">
      <c r="T9345" s="81"/>
      <c r="W9345" s="185"/>
      <c r="AE9345" s="185"/>
    </row>
    <row r="9346" spans="20:31" x14ac:dyDescent="0.25">
      <c r="T9346" s="81"/>
      <c r="W9346" s="185"/>
      <c r="AE9346" s="185"/>
    </row>
    <row r="9347" spans="20:31" x14ac:dyDescent="0.25">
      <c r="T9347" s="81"/>
      <c r="W9347" s="185"/>
      <c r="AE9347" s="185"/>
    </row>
    <row r="9348" spans="20:31" x14ac:dyDescent="0.25">
      <c r="T9348" s="81"/>
      <c r="W9348" s="185"/>
      <c r="AE9348" s="185"/>
    </row>
    <row r="9349" spans="20:31" x14ac:dyDescent="0.25">
      <c r="T9349" s="81"/>
      <c r="W9349" s="185"/>
      <c r="AE9349" s="185"/>
    </row>
    <row r="9350" spans="20:31" x14ac:dyDescent="0.25">
      <c r="T9350" s="81"/>
      <c r="W9350" s="185"/>
      <c r="AE9350" s="185"/>
    </row>
    <row r="9351" spans="20:31" x14ac:dyDescent="0.25">
      <c r="T9351" s="81"/>
      <c r="W9351" s="185"/>
      <c r="AE9351" s="185"/>
    </row>
    <row r="9352" spans="20:31" x14ac:dyDescent="0.25">
      <c r="T9352" s="81"/>
      <c r="W9352" s="185"/>
      <c r="AE9352" s="185"/>
    </row>
    <row r="9353" spans="20:31" x14ac:dyDescent="0.25">
      <c r="T9353" s="81"/>
      <c r="W9353" s="185"/>
      <c r="AE9353" s="185"/>
    </row>
    <row r="9354" spans="20:31" x14ac:dyDescent="0.25">
      <c r="T9354" s="81"/>
      <c r="W9354" s="185"/>
      <c r="AE9354" s="185"/>
    </row>
    <row r="9355" spans="20:31" x14ac:dyDescent="0.25">
      <c r="T9355" s="81"/>
      <c r="W9355" s="185"/>
      <c r="AE9355" s="185"/>
    </row>
    <row r="9356" spans="20:31" x14ac:dyDescent="0.25">
      <c r="T9356" s="81"/>
      <c r="W9356" s="185"/>
      <c r="AE9356" s="185"/>
    </row>
    <row r="9357" spans="20:31" x14ac:dyDescent="0.25">
      <c r="T9357" s="81"/>
      <c r="W9357" s="185"/>
      <c r="AE9357" s="185"/>
    </row>
    <row r="9358" spans="20:31" x14ac:dyDescent="0.25">
      <c r="T9358" s="81"/>
      <c r="W9358" s="185"/>
      <c r="AE9358" s="185"/>
    </row>
    <row r="9359" spans="20:31" x14ac:dyDescent="0.25">
      <c r="T9359" s="81"/>
      <c r="W9359" s="185"/>
      <c r="AE9359" s="185"/>
    </row>
    <row r="9360" spans="20:31" x14ac:dyDescent="0.25">
      <c r="T9360" s="81"/>
      <c r="W9360" s="185"/>
      <c r="AE9360" s="185"/>
    </row>
    <row r="9361" spans="20:31" x14ac:dyDescent="0.25">
      <c r="T9361" s="81"/>
      <c r="W9361" s="185"/>
      <c r="AE9361" s="185"/>
    </row>
    <row r="9362" spans="20:31" x14ac:dyDescent="0.25">
      <c r="T9362" s="81"/>
      <c r="W9362" s="185"/>
      <c r="AE9362" s="185"/>
    </row>
    <row r="9363" spans="20:31" x14ac:dyDescent="0.25">
      <c r="T9363" s="81"/>
      <c r="W9363" s="185"/>
      <c r="AE9363" s="185"/>
    </row>
    <row r="9364" spans="20:31" x14ac:dyDescent="0.25">
      <c r="T9364" s="81"/>
      <c r="W9364" s="185"/>
      <c r="AE9364" s="185"/>
    </row>
    <row r="9365" spans="20:31" x14ac:dyDescent="0.25">
      <c r="T9365" s="81"/>
      <c r="W9365" s="185"/>
      <c r="AE9365" s="185"/>
    </row>
    <row r="9366" spans="20:31" x14ac:dyDescent="0.25">
      <c r="T9366" s="81"/>
      <c r="W9366" s="185"/>
      <c r="AE9366" s="185"/>
    </row>
    <row r="9367" spans="20:31" x14ac:dyDescent="0.25">
      <c r="T9367" s="81"/>
      <c r="W9367" s="185"/>
      <c r="AE9367" s="185"/>
    </row>
    <row r="9368" spans="20:31" x14ac:dyDescent="0.25">
      <c r="T9368" s="81"/>
      <c r="W9368" s="185"/>
      <c r="AE9368" s="185"/>
    </row>
    <row r="9369" spans="20:31" x14ac:dyDescent="0.25">
      <c r="T9369" s="81"/>
      <c r="W9369" s="185"/>
      <c r="AE9369" s="185"/>
    </row>
    <row r="9370" spans="20:31" x14ac:dyDescent="0.25">
      <c r="T9370" s="81"/>
      <c r="W9370" s="185"/>
      <c r="AE9370" s="185"/>
    </row>
    <row r="9371" spans="20:31" x14ac:dyDescent="0.25">
      <c r="T9371" s="81"/>
      <c r="W9371" s="185"/>
      <c r="AE9371" s="185"/>
    </row>
    <row r="9372" spans="20:31" x14ac:dyDescent="0.25">
      <c r="T9372" s="81"/>
      <c r="W9372" s="185"/>
      <c r="AE9372" s="185"/>
    </row>
    <row r="9373" spans="20:31" x14ac:dyDescent="0.25">
      <c r="T9373" s="81"/>
      <c r="W9373" s="185"/>
      <c r="AE9373" s="185"/>
    </row>
    <row r="9374" spans="20:31" x14ac:dyDescent="0.25">
      <c r="T9374" s="81"/>
      <c r="W9374" s="185"/>
      <c r="AE9374" s="185"/>
    </row>
    <row r="9375" spans="20:31" x14ac:dyDescent="0.25">
      <c r="T9375" s="81"/>
      <c r="W9375" s="185"/>
      <c r="AE9375" s="185"/>
    </row>
    <row r="9376" spans="20:31" x14ac:dyDescent="0.25">
      <c r="T9376" s="81"/>
      <c r="W9376" s="185"/>
      <c r="AE9376" s="185"/>
    </row>
    <row r="9377" spans="20:31" x14ac:dyDescent="0.25">
      <c r="T9377" s="81"/>
      <c r="W9377" s="185"/>
      <c r="AE9377" s="185"/>
    </row>
    <row r="9378" spans="20:31" x14ac:dyDescent="0.25">
      <c r="T9378" s="81"/>
      <c r="W9378" s="185"/>
      <c r="AE9378" s="185"/>
    </row>
    <row r="9379" spans="20:31" x14ac:dyDescent="0.25">
      <c r="T9379" s="81"/>
      <c r="W9379" s="185"/>
      <c r="AE9379" s="185"/>
    </row>
    <row r="9380" spans="20:31" x14ac:dyDescent="0.25">
      <c r="T9380" s="81"/>
      <c r="W9380" s="185"/>
      <c r="AE9380" s="185"/>
    </row>
    <row r="9381" spans="20:31" x14ac:dyDescent="0.25">
      <c r="T9381" s="81"/>
      <c r="W9381" s="185"/>
      <c r="AE9381" s="185"/>
    </row>
    <row r="9382" spans="20:31" x14ac:dyDescent="0.25">
      <c r="T9382" s="81"/>
      <c r="W9382" s="185"/>
      <c r="AE9382" s="185"/>
    </row>
    <row r="9383" spans="20:31" x14ac:dyDescent="0.25">
      <c r="T9383" s="81"/>
      <c r="W9383" s="185"/>
      <c r="AE9383" s="185"/>
    </row>
    <row r="9384" spans="20:31" x14ac:dyDescent="0.25">
      <c r="T9384" s="81"/>
      <c r="W9384" s="185"/>
      <c r="AE9384" s="185"/>
    </row>
    <row r="9385" spans="20:31" x14ac:dyDescent="0.25">
      <c r="T9385" s="81"/>
      <c r="W9385" s="185"/>
      <c r="AE9385" s="185"/>
    </row>
    <row r="9386" spans="20:31" x14ac:dyDescent="0.25">
      <c r="T9386" s="81"/>
      <c r="W9386" s="185"/>
      <c r="AE9386" s="185"/>
    </row>
    <row r="9387" spans="20:31" x14ac:dyDescent="0.25">
      <c r="T9387" s="81"/>
      <c r="W9387" s="185"/>
      <c r="AE9387" s="185"/>
    </row>
    <row r="9388" spans="20:31" x14ac:dyDescent="0.25">
      <c r="T9388" s="81"/>
      <c r="W9388" s="185"/>
      <c r="AE9388" s="185"/>
    </row>
    <row r="9389" spans="20:31" x14ac:dyDescent="0.25">
      <c r="T9389" s="81"/>
      <c r="W9389" s="185"/>
      <c r="AE9389" s="185"/>
    </row>
    <row r="9390" spans="20:31" x14ac:dyDescent="0.25">
      <c r="T9390" s="81"/>
      <c r="W9390" s="185"/>
      <c r="AE9390" s="185"/>
    </row>
    <row r="9391" spans="20:31" x14ac:dyDescent="0.25">
      <c r="T9391" s="81"/>
      <c r="W9391" s="185"/>
      <c r="AE9391" s="185"/>
    </row>
    <row r="9392" spans="20:31" x14ac:dyDescent="0.25">
      <c r="T9392" s="81"/>
      <c r="W9392" s="185"/>
      <c r="AE9392" s="185"/>
    </row>
    <row r="9393" spans="20:31" x14ac:dyDescent="0.25">
      <c r="T9393" s="81"/>
      <c r="W9393" s="185"/>
      <c r="AE9393" s="185"/>
    </row>
    <row r="9394" spans="20:31" x14ac:dyDescent="0.25">
      <c r="T9394" s="81"/>
      <c r="W9394" s="185"/>
      <c r="AE9394" s="185"/>
    </row>
    <row r="9395" spans="20:31" x14ac:dyDescent="0.25">
      <c r="T9395" s="81"/>
      <c r="W9395" s="185"/>
      <c r="AE9395" s="185"/>
    </row>
    <row r="9396" spans="20:31" x14ac:dyDescent="0.25">
      <c r="T9396" s="81"/>
      <c r="W9396" s="185"/>
      <c r="AE9396" s="185"/>
    </row>
    <row r="9397" spans="20:31" x14ac:dyDescent="0.25">
      <c r="T9397" s="81"/>
      <c r="W9397" s="185"/>
      <c r="AE9397" s="185"/>
    </row>
    <row r="9398" spans="20:31" x14ac:dyDescent="0.25">
      <c r="T9398" s="81"/>
      <c r="W9398" s="185"/>
      <c r="AE9398" s="185"/>
    </row>
    <row r="9399" spans="20:31" x14ac:dyDescent="0.25">
      <c r="T9399" s="81"/>
      <c r="W9399" s="185"/>
      <c r="AE9399" s="185"/>
    </row>
    <row r="9400" spans="20:31" x14ac:dyDescent="0.25">
      <c r="T9400" s="81"/>
      <c r="W9400" s="185"/>
      <c r="AE9400" s="185"/>
    </row>
    <row r="9401" spans="20:31" x14ac:dyDescent="0.25">
      <c r="T9401" s="81"/>
      <c r="W9401" s="185"/>
      <c r="AE9401" s="185"/>
    </row>
    <row r="9402" spans="20:31" x14ac:dyDescent="0.25">
      <c r="T9402" s="81"/>
      <c r="W9402" s="185"/>
      <c r="AE9402" s="185"/>
    </row>
    <row r="9403" spans="20:31" x14ac:dyDescent="0.25">
      <c r="T9403" s="81"/>
      <c r="W9403" s="185"/>
      <c r="AE9403" s="185"/>
    </row>
    <row r="9404" spans="20:31" x14ac:dyDescent="0.25">
      <c r="T9404" s="81"/>
      <c r="W9404" s="185"/>
      <c r="AE9404" s="185"/>
    </row>
    <row r="9405" spans="20:31" x14ac:dyDescent="0.25">
      <c r="T9405" s="81"/>
      <c r="W9405" s="185"/>
      <c r="AE9405" s="185"/>
    </row>
    <row r="9406" spans="20:31" x14ac:dyDescent="0.25">
      <c r="T9406" s="81"/>
      <c r="W9406" s="185"/>
      <c r="AE9406" s="185"/>
    </row>
    <row r="9407" spans="20:31" x14ac:dyDescent="0.25">
      <c r="T9407" s="81"/>
      <c r="W9407" s="185"/>
      <c r="AE9407" s="185"/>
    </row>
    <row r="9408" spans="20:31" x14ac:dyDescent="0.25">
      <c r="T9408" s="81"/>
      <c r="W9408" s="185"/>
      <c r="AE9408" s="185"/>
    </row>
    <row r="9409" spans="20:31" x14ac:dyDescent="0.25">
      <c r="T9409" s="81"/>
      <c r="W9409" s="185"/>
      <c r="AE9409" s="185"/>
    </row>
    <row r="9410" spans="20:31" x14ac:dyDescent="0.25">
      <c r="T9410" s="81"/>
      <c r="W9410" s="185"/>
      <c r="AE9410" s="185"/>
    </row>
    <row r="9411" spans="20:31" x14ac:dyDescent="0.25">
      <c r="T9411" s="81"/>
      <c r="W9411" s="185"/>
      <c r="AE9411" s="185"/>
    </row>
    <row r="9412" spans="20:31" x14ac:dyDescent="0.25">
      <c r="T9412" s="81"/>
      <c r="W9412" s="185"/>
      <c r="AE9412" s="185"/>
    </row>
    <row r="9413" spans="20:31" x14ac:dyDescent="0.25">
      <c r="T9413" s="81"/>
      <c r="W9413" s="185"/>
      <c r="AE9413" s="185"/>
    </row>
    <row r="9414" spans="20:31" x14ac:dyDescent="0.25">
      <c r="T9414" s="81"/>
      <c r="W9414" s="185"/>
      <c r="AE9414" s="185"/>
    </row>
    <row r="9415" spans="20:31" x14ac:dyDescent="0.25">
      <c r="T9415" s="81"/>
      <c r="W9415" s="185"/>
      <c r="AE9415" s="185"/>
    </row>
    <row r="9416" spans="20:31" x14ac:dyDescent="0.25">
      <c r="T9416" s="81"/>
      <c r="W9416" s="185"/>
      <c r="AE9416" s="185"/>
    </row>
    <row r="9417" spans="20:31" x14ac:dyDescent="0.25">
      <c r="T9417" s="81"/>
      <c r="W9417" s="185"/>
      <c r="AE9417" s="185"/>
    </row>
    <row r="9418" spans="20:31" x14ac:dyDescent="0.25">
      <c r="T9418" s="81"/>
      <c r="W9418" s="185"/>
      <c r="AE9418" s="185"/>
    </row>
    <row r="9419" spans="20:31" x14ac:dyDescent="0.25">
      <c r="T9419" s="81"/>
      <c r="W9419" s="185"/>
      <c r="AE9419" s="185"/>
    </row>
    <row r="9420" spans="20:31" x14ac:dyDescent="0.25">
      <c r="T9420" s="81"/>
      <c r="W9420" s="185"/>
      <c r="AE9420" s="185"/>
    </row>
    <row r="9421" spans="20:31" x14ac:dyDescent="0.25">
      <c r="T9421" s="81"/>
      <c r="W9421" s="185"/>
      <c r="AE9421" s="185"/>
    </row>
    <row r="9422" spans="20:31" x14ac:dyDescent="0.25">
      <c r="T9422" s="81"/>
      <c r="W9422" s="185"/>
      <c r="AE9422" s="185"/>
    </row>
    <row r="9423" spans="20:31" x14ac:dyDescent="0.25">
      <c r="T9423" s="81"/>
      <c r="W9423" s="185"/>
      <c r="AE9423" s="185"/>
    </row>
    <row r="9424" spans="20:31" x14ac:dyDescent="0.25">
      <c r="T9424" s="81"/>
      <c r="W9424" s="185"/>
      <c r="AE9424" s="185"/>
    </row>
    <row r="9425" spans="20:31" x14ac:dyDescent="0.25">
      <c r="T9425" s="81"/>
      <c r="W9425" s="185"/>
      <c r="AE9425" s="185"/>
    </row>
    <row r="9426" spans="20:31" x14ac:dyDescent="0.25">
      <c r="T9426" s="81"/>
      <c r="W9426" s="185"/>
      <c r="AE9426" s="185"/>
    </row>
    <row r="9427" spans="20:31" x14ac:dyDescent="0.25">
      <c r="T9427" s="81"/>
      <c r="W9427" s="185"/>
      <c r="AE9427" s="185"/>
    </row>
    <row r="9428" spans="20:31" x14ac:dyDescent="0.25">
      <c r="T9428" s="81"/>
      <c r="W9428" s="185"/>
      <c r="AE9428" s="185"/>
    </row>
    <row r="9429" spans="20:31" x14ac:dyDescent="0.25">
      <c r="T9429" s="81"/>
      <c r="W9429" s="185"/>
      <c r="AE9429" s="185"/>
    </row>
    <row r="9430" spans="20:31" x14ac:dyDescent="0.25">
      <c r="T9430" s="81"/>
      <c r="W9430" s="185"/>
      <c r="AE9430" s="185"/>
    </row>
    <row r="9431" spans="20:31" x14ac:dyDescent="0.25">
      <c r="T9431" s="81"/>
      <c r="W9431" s="185"/>
      <c r="AE9431" s="185"/>
    </row>
    <row r="9432" spans="20:31" x14ac:dyDescent="0.25">
      <c r="T9432" s="81"/>
      <c r="W9432" s="185"/>
      <c r="AE9432" s="185"/>
    </row>
    <row r="9433" spans="20:31" x14ac:dyDescent="0.25">
      <c r="T9433" s="81"/>
      <c r="W9433" s="185"/>
      <c r="AE9433" s="185"/>
    </row>
    <row r="9434" spans="20:31" x14ac:dyDescent="0.25">
      <c r="T9434" s="81"/>
      <c r="W9434" s="185"/>
      <c r="AE9434" s="185"/>
    </row>
    <row r="9435" spans="20:31" x14ac:dyDescent="0.25">
      <c r="T9435" s="81"/>
      <c r="W9435" s="185"/>
      <c r="AE9435" s="185"/>
    </row>
    <row r="9436" spans="20:31" x14ac:dyDescent="0.25">
      <c r="T9436" s="81"/>
      <c r="W9436" s="185"/>
      <c r="AE9436" s="185"/>
    </row>
    <row r="9437" spans="20:31" x14ac:dyDescent="0.25">
      <c r="T9437" s="81"/>
      <c r="W9437" s="185"/>
      <c r="AE9437" s="185"/>
    </row>
    <row r="9438" spans="20:31" x14ac:dyDescent="0.25">
      <c r="T9438" s="81"/>
      <c r="W9438" s="185"/>
      <c r="AE9438" s="185"/>
    </row>
    <row r="9439" spans="20:31" x14ac:dyDescent="0.25">
      <c r="T9439" s="81"/>
      <c r="W9439" s="185"/>
      <c r="AE9439" s="185"/>
    </row>
    <row r="9440" spans="20:31" x14ac:dyDescent="0.25">
      <c r="T9440" s="81"/>
      <c r="W9440" s="185"/>
      <c r="AE9440" s="185"/>
    </row>
    <row r="9441" spans="20:31" x14ac:dyDescent="0.25">
      <c r="T9441" s="81"/>
      <c r="W9441" s="185"/>
      <c r="AE9441" s="185"/>
    </row>
    <row r="9442" spans="20:31" x14ac:dyDescent="0.25">
      <c r="T9442" s="81"/>
      <c r="W9442" s="185"/>
      <c r="AE9442" s="185"/>
    </row>
    <row r="9443" spans="20:31" x14ac:dyDescent="0.25">
      <c r="T9443" s="81"/>
      <c r="W9443" s="185"/>
      <c r="AE9443" s="185"/>
    </row>
    <row r="9444" spans="20:31" x14ac:dyDescent="0.25">
      <c r="T9444" s="81"/>
      <c r="W9444" s="185"/>
      <c r="AE9444" s="185"/>
    </row>
    <row r="9445" spans="20:31" x14ac:dyDescent="0.25">
      <c r="T9445" s="81"/>
      <c r="W9445" s="185"/>
      <c r="AE9445" s="185"/>
    </row>
    <row r="9446" spans="20:31" x14ac:dyDescent="0.25">
      <c r="T9446" s="81"/>
      <c r="W9446" s="185"/>
      <c r="AE9446" s="185"/>
    </row>
    <row r="9447" spans="20:31" x14ac:dyDescent="0.25">
      <c r="T9447" s="81"/>
      <c r="W9447" s="185"/>
      <c r="AE9447" s="185"/>
    </row>
    <row r="9448" spans="20:31" x14ac:dyDescent="0.25">
      <c r="T9448" s="81"/>
      <c r="W9448" s="185"/>
      <c r="AE9448" s="185"/>
    </row>
    <row r="9449" spans="20:31" x14ac:dyDescent="0.25">
      <c r="T9449" s="81"/>
      <c r="W9449" s="185"/>
      <c r="AE9449" s="185"/>
    </row>
    <row r="9450" spans="20:31" x14ac:dyDescent="0.25">
      <c r="T9450" s="81"/>
      <c r="W9450" s="185"/>
      <c r="AE9450" s="185"/>
    </row>
    <row r="9451" spans="20:31" x14ac:dyDescent="0.25">
      <c r="T9451" s="81"/>
      <c r="W9451" s="185"/>
      <c r="AE9451" s="185"/>
    </row>
    <row r="9452" spans="20:31" x14ac:dyDescent="0.25">
      <c r="T9452" s="81"/>
      <c r="W9452" s="185"/>
      <c r="AE9452" s="185"/>
    </row>
    <row r="9453" spans="20:31" x14ac:dyDescent="0.25">
      <c r="T9453" s="81"/>
      <c r="W9453" s="185"/>
      <c r="AE9453" s="185"/>
    </row>
    <row r="9454" spans="20:31" x14ac:dyDescent="0.25">
      <c r="T9454" s="81"/>
      <c r="W9454" s="185"/>
      <c r="AE9454" s="185"/>
    </row>
    <row r="9455" spans="20:31" x14ac:dyDescent="0.25">
      <c r="T9455" s="81"/>
      <c r="W9455" s="185"/>
      <c r="AE9455" s="185"/>
    </row>
    <row r="9456" spans="20:31" x14ac:dyDescent="0.25">
      <c r="T9456" s="81"/>
      <c r="W9456" s="185"/>
      <c r="AE9456" s="185"/>
    </row>
    <row r="9457" spans="20:31" x14ac:dyDescent="0.25">
      <c r="T9457" s="81"/>
      <c r="W9457" s="185"/>
      <c r="AE9457" s="185"/>
    </row>
    <row r="9458" spans="20:31" x14ac:dyDescent="0.25">
      <c r="T9458" s="81"/>
      <c r="W9458" s="185"/>
      <c r="AE9458" s="185"/>
    </row>
    <row r="9459" spans="20:31" x14ac:dyDescent="0.25">
      <c r="T9459" s="81"/>
      <c r="W9459" s="185"/>
      <c r="AE9459" s="185"/>
    </row>
    <row r="9460" spans="20:31" x14ac:dyDescent="0.25">
      <c r="T9460" s="81"/>
      <c r="W9460" s="185"/>
      <c r="AE9460" s="185"/>
    </row>
    <row r="9461" spans="20:31" x14ac:dyDescent="0.25">
      <c r="T9461" s="81"/>
      <c r="W9461" s="185"/>
      <c r="AE9461" s="185"/>
    </row>
    <row r="9462" spans="20:31" x14ac:dyDescent="0.25">
      <c r="T9462" s="81"/>
      <c r="W9462" s="185"/>
      <c r="AE9462" s="185"/>
    </row>
    <row r="9463" spans="20:31" x14ac:dyDescent="0.25">
      <c r="T9463" s="81"/>
      <c r="W9463" s="185"/>
      <c r="AE9463" s="185"/>
    </row>
    <row r="9464" spans="20:31" x14ac:dyDescent="0.25">
      <c r="T9464" s="81"/>
      <c r="W9464" s="185"/>
      <c r="AE9464" s="185"/>
    </row>
    <row r="9465" spans="20:31" x14ac:dyDescent="0.25">
      <c r="T9465" s="81"/>
      <c r="W9465" s="185"/>
      <c r="AE9465" s="185"/>
    </row>
    <row r="9466" spans="20:31" x14ac:dyDescent="0.25">
      <c r="T9466" s="81"/>
      <c r="W9466" s="185"/>
      <c r="AE9466" s="185"/>
    </row>
    <row r="9467" spans="20:31" x14ac:dyDescent="0.25">
      <c r="T9467" s="81"/>
      <c r="W9467" s="185"/>
      <c r="AE9467" s="185"/>
    </row>
    <row r="9468" spans="20:31" x14ac:dyDescent="0.25">
      <c r="T9468" s="81"/>
      <c r="W9468" s="185"/>
      <c r="AE9468" s="185"/>
    </row>
    <row r="9469" spans="20:31" x14ac:dyDescent="0.25">
      <c r="T9469" s="81"/>
      <c r="W9469" s="185"/>
      <c r="AE9469" s="185"/>
    </row>
    <row r="9470" spans="20:31" x14ac:dyDescent="0.25">
      <c r="T9470" s="81"/>
      <c r="W9470" s="185"/>
      <c r="AE9470" s="185"/>
    </row>
    <row r="9471" spans="20:31" x14ac:dyDescent="0.25">
      <c r="T9471" s="81"/>
      <c r="W9471" s="185"/>
      <c r="AE9471" s="185"/>
    </row>
    <row r="9472" spans="20:31" x14ac:dyDescent="0.25">
      <c r="T9472" s="81"/>
      <c r="W9472" s="185"/>
      <c r="AE9472" s="185"/>
    </row>
    <row r="9473" spans="20:31" x14ac:dyDescent="0.25">
      <c r="T9473" s="81"/>
      <c r="W9473" s="185"/>
      <c r="AE9473" s="185"/>
    </row>
    <row r="9474" spans="20:31" x14ac:dyDescent="0.25">
      <c r="T9474" s="81"/>
      <c r="W9474" s="185"/>
      <c r="AE9474" s="185"/>
    </row>
    <row r="9475" spans="20:31" x14ac:dyDescent="0.25">
      <c r="T9475" s="81"/>
      <c r="W9475" s="185"/>
      <c r="AE9475" s="185"/>
    </row>
    <row r="9476" spans="20:31" x14ac:dyDescent="0.25">
      <c r="T9476" s="81"/>
      <c r="W9476" s="185"/>
      <c r="AE9476" s="185"/>
    </row>
    <row r="9477" spans="20:31" x14ac:dyDescent="0.25">
      <c r="T9477" s="81"/>
      <c r="W9477" s="185"/>
      <c r="AE9477" s="185"/>
    </row>
    <row r="9478" spans="20:31" x14ac:dyDescent="0.25">
      <c r="T9478" s="81"/>
      <c r="W9478" s="185"/>
      <c r="AE9478" s="185"/>
    </row>
    <row r="9479" spans="20:31" x14ac:dyDescent="0.25">
      <c r="T9479" s="81"/>
      <c r="W9479" s="185"/>
      <c r="AE9479" s="185"/>
    </row>
    <row r="9480" spans="20:31" x14ac:dyDescent="0.25">
      <c r="T9480" s="81"/>
      <c r="W9480" s="185"/>
      <c r="AE9480" s="185"/>
    </row>
    <row r="9481" spans="20:31" x14ac:dyDescent="0.25">
      <c r="T9481" s="81"/>
      <c r="W9481" s="185"/>
      <c r="AE9481" s="185"/>
    </row>
    <row r="9482" spans="20:31" x14ac:dyDescent="0.25">
      <c r="T9482" s="81"/>
      <c r="W9482" s="185"/>
      <c r="AE9482" s="185"/>
    </row>
    <row r="9483" spans="20:31" x14ac:dyDescent="0.25">
      <c r="T9483" s="81"/>
      <c r="W9483" s="185"/>
      <c r="AE9483" s="185"/>
    </row>
    <row r="9484" spans="20:31" x14ac:dyDescent="0.25">
      <c r="T9484" s="81"/>
      <c r="W9484" s="185"/>
      <c r="AE9484" s="185"/>
    </row>
    <row r="9485" spans="20:31" x14ac:dyDescent="0.25">
      <c r="T9485" s="81"/>
      <c r="W9485" s="185"/>
      <c r="AE9485" s="185"/>
    </row>
    <row r="9486" spans="20:31" x14ac:dyDescent="0.25">
      <c r="T9486" s="81"/>
      <c r="W9486" s="185"/>
      <c r="AE9486" s="185"/>
    </row>
    <row r="9487" spans="20:31" x14ac:dyDescent="0.25">
      <c r="T9487" s="81"/>
      <c r="W9487" s="185"/>
      <c r="AE9487" s="185"/>
    </row>
    <row r="9488" spans="20:31" x14ac:dyDescent="0.25">
      <c r="T9488" s="81"/>
      <c r="W9488" s="185"/>
      <c r="AE9488" s="185"/>
    </row>
    <row r="9489" spans="20:31" x14ac:dyDescent="0.25">
      <c r="T9489" s="81"/>
      <c r="W9489" s="185"/>
      <c r="AE9489" s="185"/>
    </row>
    <row r="9490" spans="20:31" x14ac:dyDescent="0.25">
      <c r="T9490" s="81"/>
      <c r="W9490" s="185"/>
      <c r="AE9490" s="185"/>
    </row>
    <row r="9491" spans="20:31" x14ac:dyDescent="0.25">
      <c r="T9491" s="81"/>
      <c r="W9491" s="185"/>
      <c r="AE9491" s="185"/>
    </row>
    <row r="9492" spans="20:31" x14ac:dyDescent="0.25">
      <c r="T9492" s="81"/>
      <c r="W9492" s="185"/>
      <c r="AE9492" s="185"/>
    </row>
    <row r="9493" spans="20:31" x14ac:dyDescent="0.25">
      <c r="T9493" s="81"/>
      <c r="W9493" s="185"/>
      <c r="AE9493" s="185"/>
    </row>
    <row r="9494" spans="20:31" x14ac:dyDescent="0.25">
      <c r="T9494" s="81"/>
      <c r="W9494" s="185"/>
      <c r="AE9494" s="185"/>
    </row>
    <row r="9495" spans="20:31" x14ac:dyDescent="0.25">
      <c r="T9495" s="81"/>
      <c r="W9495" s="185"/>
      <c r="AE9495" s="185"/>
    </row>
    <row r="9496" spans="20:31" x14ac:dyDescent="0.25">
      <c r="T9496" s="81"/>
      <c r="W9496" s="185"/>
      <c r="AE9496" s="185"/>
    </row>
    <row r="9497" spans="20:31" x14ac:dyDescent="0.25">
      <c r="T9497" s="81"/>
      <c r="W9497" s="185"/>
      <c r="AE9497" s="185"/>
    </row>
    <row r="9498" spans="20:31" x14ac:dyDescent="0.25">
      <c r="T9498" s="81"/>
      <c r="W9498" s="185"/>
      <c r="AE9498" s="185"/>
    </row>
    <row r="9499" spans="20:31" x14ac:dyDescent="0.25">
      <c r="T9499" s="81"/>
      <c r="W9499" s="185"/>
      <c r="AE9499" s="185"/>
    </row>
    <row r="9500" spans="20:31" x14ac:dyDescent="0.25">
      <c r="T9500" s="81"/>
      <c r="W9500" s="185"/>
      <c r="AE9500" s="185"/>
    </row>
    <row r="9501" spans="20:31" x14ac:dyDescent="0.25">
      <c r="T9501" s="81"/>
      <c r="W9501" s="185"/>
      <c r="AE9501" s="185"/>
    </row>
    <row r="9502" spans="20:31" x14ac:dyDescent="0.25">
      <c r="T9502" s="81"/>
      <c r="W9502" s="185"/>
      <c r="AE9502" s="185"/>
    </row>
    <row r="9503" spans="20:31" x14ac:dyDescent="0.25">
      <c r="T9503" s="81"/>
      <c r="W9503" s="185"/>
      <c r="AE9503" s="185"/>
    </row>
    <row r="9504" spans="20:31" x14ac:dyDescent="0.25">
      <c r="T9504" s="81"/>
      <c r="W9504" s="185"/>
      <c r="AE9504" s="185"/>
    </row>
    <row r="9505" spans="20:31" x14ac:dyDescent="0.25">
      <c r="T9505" s="81"/>
      <c r="W9505" s="185"/>
      <c r="AE9505" s="185"/>
    </row>
    <row r="9506" spans="20:31" x14ac:dyDescent="0.25">
      <c r="T9506" s="81"/>
      <c r="W9506" s="185"/>
      <c r="AE9506" s="185"/>
    </row>
    <row r="9507" spans="20:31" x14ac:dyDescent="0.25">
      <c r="T9507" s="81"/>
      <c r="W9507" s="185"/>
      <c r="AE9507" s="185"/>
    </row>
    <row r="9508" spans="20:31" x14ac:dyDescent="0.25">
      <c r="T9508" s="81"/>
      <c r="W9508" s="185"/>
      <c r="AE9508" s="185"/>
    </row>
    <row r="9509" spans="20:31" x14ac:dyDescent="0.25">
      <c r="T9509" s="81"/>
      <c r="W9509" s="185"/>
      <c r="AE9509" s="185"/>
    </row>
    <row r="9510" spans="20:31" x14ac:dyDescent="0.25">
      <c r="T9510" s="81"/>
      <c r="W9510" s="185"/>
      <c r="AE9510" s="185"/>
    </row>
    <row r="9511" spans="20:31" x14ac:dyDescent="0.25">
      <c r="T9511" s="81"/>
      <c r="W9511" s="185"/>
      <c r="AE9511" s="185"/>
    </row>
    <row r="9512" spans="20:31" x14ac:dyDescent="0.25">
      <c r="T9512" s="81"/>
      <c r="W9512" s="185"/>
      <c r="AE9512" s="185"/>
    </row>
    <row r="9513" spans="20:31" x14ac:dyDescent="0.25">
      <c r="T9513" s="81"/>
      <c r="W9513" s="185"/>
      <c r="AE9513" s="185"/>
    </row>
    <row r="9514" spans="20:31" x14ac:dyDescent="0.25">
      <c r="T9514" s="81"/>
      <c r="W9514" s="185"/>
      <c r="AE9514" s="185"/>
    </row>
    <row r="9515" spans="20:31" x14ac:dyDescent="0.25">
      <c r="T9515" s="81"/>
      <c r="W9515" s="185"/>
      <c r="AE9515" s="185"/>
    </row>
    <row r="9516" spans="20:31" x14ac:dyDescent="0.25">
      <c r="T9516" s="81"/>
      <c r="W9516" s="185"/>
      <c r="AE9516" s="185"/>
    </row>
    <row r="9517" spans="20:31" x14ac:dyDescent="0.25">
      <c r="T9517" s="81"/>
      <c r="W9517" s="185"/>
      <c r="AE9517" s="185"/>
    </row>
    <row r="9518" spans="20:31" x14ac:dyDescent="0.25">
      <c r="T9518" s="81"/>
      <c r="W9518" s="185"/>
      <c r="AE9518" s="185"/>
    </row>
    <row r="9519" spans="20:31" x14ac:dyDescent="0.25">
      <c r="T9519" s="81"/>
      <c r="W9519" s="185"/>
      <c r="AE9519" s="185"/>
    </row>
    <row r="9520" spans="20:31" x14ac:dyDescent="0.25">
      <c r="T9520" s="81"/>
      <c r="W9520" s="185"/>
      <c r="AE9520" s="185"/>
    </row>
    <row r="9521" spans="20:31" x14ac:dyDescent="0.25">
      <c r="T9521" s="81"/>
      <c r="W9521" s="185"/>
      <c r="AE9521" s="185"/>
    </row>
    <row r="9522" spans="20:31" x14ac:dyDescent="0.25">
      <c r="T9522" s="81"/>
      <c r="W9522" s="185"/>
      <c r="AE9522" s="185"/>
    </row>
    <row r="9523" spans="20:31" x14ac:dyDescent="0.25">
      <c r="T9523" s="81"/>
      <c r="W9523" s="185"/>
      <c r="AE9523" s="185"/>
    </row>
    <row r="9524" spans="20:31" x14ac:dyDescent="0.25">
      <c r="T9524" s="81"/>
      <c r="W9524" s="185"/>
      <c r="AE9524" s="185"/>
    </row>
    <row r="9525" spans="20:31" x14ac:dyDescent="0.25">
      <c r="T9525" s="81"/>
      <c r="W9525" s="185"/>
      <c r="AE9525" s="185"/>
    </row>
    <row r="9526" spans="20:31" x14ac:dyDescent="0.25">
      <c r="T9526" s="81"/>
      <c r="W9526" s="185"/>
      <c r="AE9526" s="185"/>
    </row>
    <row r="9527" spans="20:31" x14ac:dyDescent="0.25">
      <c r="T9527" s="81"/>
      <c r="W9527" s="185"/>
      <c r="AE9527" s="185"/>
    </row>
    <row r="9528" spans="20:31" x14ac:dyDescent="0.25">
      <c r="T9528" s="81"/>
      <c r="W9528" s="185"/>
      <c r="AE9528" s="185"/>
    </row>
    <row r="9529" spans="20:31" x14ac:dyDescent="0.25">
      <c r="T9529" s="81"/>
      <c r="W9529" s="185"/>
      <c r="AE9529" s="185"/>
    </row>
    <row r="9530" spans="20:31" x14ac:dyDescent="0.25">
      <c r="T9530" s="81"/>
      <c r="W9530" s="185"/>
      <c r="AE9530" s="185"/>
    </row>
    <row r="9531" spans="20:31" x14ac:dyDescent="0.25">
      <c r="T9531" s="81"/>
      <c r="W9531" s="185"/>
      <c r="AE9531" s="185"/>
    </row>
    <row r="9532" spans="20:31" x14ac:dyDescent="0.25">
      <c r="T9532" s="81"/>
      <c r="W9532" s="185"/>
      <c r="AE9532" s="185"/>
    </row>
    <row r="9533" spans="20:31" x14ac:dyDescent="0.25">
      <c r="T9533" s="81"/>
      <c r="W9533" s="185"/>
      <c r="AE9533" s="185"/>
    </row>
    <row r="9534" spans="20:31" x14ac:dyDescent="0.25">
      <c r="T9534" s="81"/>
      <c r="W9534" s="185"/>
      <c r="AE9534" s="185"/>
    </row>
    <row r="9535" spans="20:31" x14ac:dyDescent="0.25">
      <c r="T9535" s="81"/>
      <c r="W9535" s="185"/>
      <c r="AE9535" s="185"/>
    </row>
    <row r="9536" spans="20:31" x14ac:dyDescent="0.25">
      <c r="T9536" s="81"/>
      <c r="W9536" s="185"/>
      <c r="AE9536" s="185"/>
    </row>
    <row r="9537" spans="20:31" x14ac:dyDescent="0.25">
      <c r="T9537" s="81"/>
      <c r="W9537" s="185"/>
      <c r="AE9537" s="185"/>
    </row>
    <row r="9538" spans="20:31" x14ac:dyDescent="0.25">
      <c r="T9538" s="81"/>
      <c r="W9538" s="185"/>
      <c r="AE9538" s="185"/>
    </row>
    <row r="9539" spans="20:31" x14ac:dyDescent="0.25">
      <c r="T9539" s="81"/>
      <c r="W9539" s="185"/>
      <c r="AE9539" s="185"/>
    </row>
    <row r="9540" spans="20:31" x14ac:dyDescent="0.25">
      <c r="T9540" s="81"/>
      <c r="W9540" s="185"/>
      <c r="AE9540" s="185"/>
    </row>
    <row r="9541" spans="20:31" x14ac:dyDescent="0.25">
      <c r="T9541" s="81"/>
      <c r="W9541" s="185"/>
      <c r="AE9541" s="185"/>
    </row>
    <row r="9542" spans="20:31" x14ac:dyDescent="0.25">
      <c r="T9542" s="81"/>
      <c r="W9542" s="185"/>
      <c r="AE9542" s="185"/>
    </row>
    <row r="9543" spans="20:31" x14ac:dyDescent="0.25">
      <c r="T9543" s="81"/>
      <c r="W9543" s="185"/>
      <c r="AE9543" s="185"/>
    </row>
    <row r="9544" spans="20:31" x14ac:dyDescent="0.25">
      <c r="T9544" s="81"/>
      <c r="W9544" s="185"/>
      <c r="AE9544" s="185"/>
    </row>
    <row r="9545" spans="20:31" x14ac:dyDescent="0.25">
      <c r="T9545" s="81"/>
      <c r="W9545" s="185"/>
      <c r="AE9545" s="185"/>
    </row>
    <row r="9546" spans="20:31" x14ac:dyDescent="0.25">
      <c r="T9546" s="81"/>
      <c r="W9546" s="185"/>
      <c r="AE9546" s="185"/>
    </row>
    <row r="9547" spans="20:31" x14ac:dyDescent="0.25">
      <c r="T9547" s="81"/>
      <c r="W9547" s="185"/>
      <c r="AE9547" s="185"/>
    </row>
    <row r="9548" spans="20:31" x14ac:dyDescent="0.25">
      <c r="T9548" s="81"/>
      <c r="W9548" s="185"/>
      <c r="AE9548" s="185"/>
    </row>
    <row r="9549" spans="20:31" x14ac:dyDescent="0.25">
      <c r="T9549" s="81"/>
      <c r="W9549" s="185"/>
      <c r="AE9549" s="185"/>
    </row>
    <row r="9550" spans="20:31" x14ac:dyDescent="0.25">
      <c r="T9550" s="81"/>
      <c r="W9550" s="185"/>
      <c r="AE9550" s="185"/>
    </row>
    <row r="9551" spans="20:31" x14ac:dyDescent="0.25">
      <c r="T9551" s="81"/>
      <c r="W9551" s="185"/>
      <c r="AE9551" s="185"/>
    </row>
    <row r="9552" spans="20:31" x14ac:dyDescent="0.25">
      <c r="T9552" s="81"/>
      <c r="W9552" s="185"/>
      <c r="AE9552" s="185"/>
    </row>
    <row r="9553" spans="20:31" x14ac:dyDescent="0.25">
      <c r="T9553" s="81"/>
      <c r="W9553" s="185"/>
      <c r="AE9553" s="185"/>
    </row>
    <row r="9554" spans="20:31" x14ac:dyDescent="0.25">
      <c r="T9554" s="81"/>
      <c r="W9554" s="185"/>
      <c r="AE9554" s="185"/>
    </row>
    <row r="9555" spans="20:31" x14ac:dyDescent="0.25">
      <c r="T9555" s="81"/>
      <c r="W9555" s="185"/>
      <c r="AE9555" s="185"/>
    </row>
    <row r="9556" spans="20:31" x14ac:dyDescent="0.25">
      <c r="T9556" s="81"/>
      <c r="W9556" s="185"/>
      <c r="AE9556" s="185"/>
    </row>
    <row r="9557" spans="20:31" x14ac:dyDescent="0.25">
      <c r="T9557" s="81"/>
      <c r="W9557" s="185"/>
      <c r="AE9557" s="185"/>
    </row>
    <row r="9558" spans="20:31" x14ac:dyDescent="0.25">
      <c r="T9558" s="81"/>
      <c r="W9558" s="185"/>
      <c r="AE9558" s="185"/>
    </row>
    <row r="9559" spans="20:31" x14ac:dyDescent="0.25">
      <c r="T9559" s="81"/>
      <c r="W9559" s="185"/>
      <c r="AE9559" s="185"/>
    </row>
    <row r="9560" spans="20:31" x14ac:dyDescent="0.25">
      <c r="T9560" s="81"/>
      <c r="W9560" s="185"/>
      <c r="AE9560" s="185"/>
    </row>
    <row r="9561" spans="20:31" x14ac:dyDescent="0.25">
      <c r="T9561" s="81"/>
      <c r="W9561" s="185"/>
      <c r="AE9561" s="185"/>
    </row>
    <row r="9562" spans="20:31" x14ac:dyDescent="0.25">
      <c r="T9562" s="81"/>
      <c r="W9562" s="185"/>
      <c r="AE9562" s="185"/>
    </row>
    <row r="9563" spans="20:31" x14ac:dyDescent="0.25">
      <c r="T9563" s="81"/>
      <c r="W9563" s="185"/>
      <c r="AE9563" s="185"/>
    </row>
    <row r="9564" spans="20:31" x14ac:dyDescent="0.25">
      <c r="T9564" s="81"/>
      <c r="W9564" s="185"/>
      <c r="AE9564" s="185"/>
    </row>
    <row r="9565" spans="20:31" x14ac:dyDescent="0.25">
      <c r="T9565" s="81"/>
      <c r="W9565" s="185"/>
      <c r="AE9565" s="185"/>
    </row>
    <row r="9566" spans="20:31" x14ac:dyDescent="0.25">
      <c r="T9566" s="81"/>
      <c r="W9566" s="185"/>
      <c r="AE9566" s="185"/>
    </row>
    <row r="9567" spans="20:31" x14ac:dyDescent="0.25">
      <c r="T9567" s="81"/>
      <c r="W9567" s="185"/>
      <c r="AE9567" s="185"/>
    </row>
    <row r="9568" spans="20:31" x14ac:dyDescent="0.25">
      <c r="T9568" s="81"/>
      <c r="W9568" s="185"/>
      <c r="AE9568" s="185"/>
    </row>
    <row r="9569" spans="20:31" x14ac:dyDescent="0.25">
      <c r="T9569" s="81"/>
      <c r="W9569" s="185"/>
      <c r="AE9569" s="185"/>
    </row>
    <row r="9570" spans="20:31" x14ac:dyDescent="0.25">
      <c r="T9570" s="81"/>
      <c r="W9570" s="185"/>
      <c r="AE9570" s="185"/>
    </row>
    <row r="9571" spans="20:31" x14ac:dyDescent="0.25">
      <c r="T9571" s="81"/>
      <c r="W9571" s="185"/>
      <c r="AE9571" s="185"/>
    </row>
    <row r="9572" spans="20:31" x14ac:dyDescent="0.25">
      <c r="T9572" s="81"/>
      <c r="W9572" s="185"/>
      <c r="AE9572" s="185"/>
    </row>
    <row r="9573" spans="20:31" x14ac:dyDescent="0.25">
      <c r="T9573" s="81"/>
      <c r="W9573" s="185"/>
      <c r="AE9573" s="185"/>
    </row>
    <row r="9574" spans="20:31" x14ac:dyDescent="0.25">
      <c r="T9574" s="81"/>
      <c r="W9574" s="185"/>
      <c r="AE9574" s="185"/>
    </row>
    <row r="9575" spans="20:31" x14ac:dyDescent="0.25">
      <c r="T9575" s="81"/>
      <c r="W9575" s="185"/>
      <c r="AE9575" s="185"/>
    </row>
    <row r="9576" spans="20:31" x14ac:dyDescent="0.25">
      <c r="T9576" s="81"/>
      <c r="W9576" s="185"/>
      <c r="AE9576" s="185"/>
    </row>
    <row r="9577" spans="20:31" x14ac:dyDescent="0.25">
      <c r="T9577" s="81"/>
      <c r="W9577" s="185"/>
      <c r="AE9577" s="185"/>
    </row>
    <row r="9578" spans="20:31" x14ac:dyDescent="0.25">
      <c r="T9578" s="81"/>
      <c r="W9578" s="185"/>
      <c r="AE9578" s="185"/>
    </row>
    <row r="9579" spans="20:31" x14ac:dyDescent="0.25">
      <c r="T9579" s="81"/>
      <c r="W9579" s="185"/>
      <c r="AE9579" s="185"/>
    </row>
    <row r="9580" spans="20:31" x14ac:dyDescent="0.25">
      <c r="T9580" s="81"/>
      <c r="W9580" s="185"/>
      <c r="AE9580" s="185"/>
    </row>
    <row r="9581" spans="20:31" x14ac:dyDescent="0.25">
      <c r="T9581" s="81"/>
      <c r="W9581" s="185"/>
      <c r="AE9581" s="185"/>
    </row>
    <row r="9582" spans="20:31" x14ac:dyDescent="0.25">
      <c r="T9582" s="81"/>
      <c r="W9582" s="185"/>
      <c r="AE9582" s="185"/>
    </row>
    <row r="9583" spans="20:31" x14ac:dyDescent="0.25">
      <c r="T9583" s="81"/>
      <c r="W9583" s="185"/>
      <c r="AE9583" s="185"/>
    </row>
    <row r="9584" spans="20:31" x14ac:dyDescent="0.25">
      <c r="T9584" s="81"/>
      <c r="W9584" s="185"/>
      <c r="AE9584" s="185"/>
    </row>
    <row r="9585" spans="20:31" x14ac:dyDescent="0.25">
      <c r="T9585" s="81"/>
      <c r="W9585" s="185"/>
      <c r="AE9585" s="185"/>
    </row>
    <row r="9586" spans="20:31" x14ac:dyDescent="0.25">
      <c r="T9586" s="81"/>
      <c r="W9586" s="185"/>
      <c r="AE9586" s="185"/>
    </row>
    <row r="9587" spans="20:31" x14ac:dyDescent="0.25">
      <c r="T9587" s="81"/>
      <c r="W9587" s="185"/>
      <c r="AE9587" s="185"/>
    </row>
    <row r="9588" spans="20:31" x14ac:dyDescent="0.25">
      <c r="T9588" s="81"/>
      <c r="W9588" s="185"/>
      <c r="AE9588" s="185"/>
    </row>
    <row r="9589" spans="20:31" x14ac:dyDescent="0.25">
      <c r="T9589" s="81"/>
      <c r="W9589" s="185"/>
      <c r="AE9589" s="185"/>
    </row>
    <row r="9590" spans="20:31" x14ac:dyDescent="0.25">
      <c r="T9590" s="81"/>
      <c r="W9590" s="185"/>
      <c r="AE9590" s="185"/>
    </row>
    <row r="9591" spans="20:31" x14ac:dyDescent="0.25">
      <c r="T9591" s="81"/>
      <c r="W9591" s="185"/>
      <c r="AE9591" s="185"/>
    </row>
    <row r="9592" spans="20:31" x14ac:dyDescent="0.25">
      <c r="T9592" s="81"/>
      <c r="W9592" s="185"/>
      <c r="AE9592" s="185"/>
    </row>
    <row r="9593" spans="20:31" x14ac:dyDescent="0.25">
      <c r="T9593" s="81"/>
      <c r="W9593" s="185"/>
      <c r="AE9593" s="185"/>
    </row>
    <row r="9594" spans="20:31" x14ac:dyDescent="0.25">
      <c r="T9594" s="81"/>
      <c r="W9594" s="185"/>
      <c r="AE9594" s="185"/>
    </row>
    <row r="9595" spans="20:31" x14ac:dyDescent="0.25">
      <c r="T9595" s="81"/>
      <c r="W9595" s="185"/>
      <c r="AE9595" s="185"/>
    </row>
    <row r="9596" spans="20:31" x14ac:dyDescent="0.25">
      <c r="T9596" s="81"/>
      <c r="W9596" s="185"/>
      <c r="AE9596" s="185"/>
    </row>
    <row r="9597" spans="20:31" x14ac:dyDescent="0.25">
      <c r="T9597" s="81"/>
      <c r="W9597" s="185"/>
      <c r="AE9597" s="185"/>
    </row>
    <row r="9598" spans="20:31" x14ac:dyDescent="0.25">
      <c r="T9598" s="81"/>
      <c r="W9598" s="185"/>
      <c r="AE9598" s="185"/>
    </row>
    <row r="9599" spans="20:31" x14ac:dyDescent="0.25">
      <c r="T9599" s="81"/>
      <c r="W9599" s="185"/>
      <c r="AE9599" s="185"/>
    </row>
    <row r="9600" spans="20:31" x14ac:dyDescent="0.25">
      <c r="T9600" s="81"/>
      <c r="W9600" s="185"/>
      <c r="AE9600" s="185"/>
    </row>
    <row r="9601" spans="20:31" x14ac:dyDescent="0.25">
      <c r="T9601" s="81"/>
      <c r="W9601" s="185"/>
      <c r="AE9601" s="185"/>
    </row>
    <row r="9602" spans="20:31" x14ac:dyDescent="0.25">
      <c r="T9602" s="81"/>
      <c r="W9602" s="185"/>
      <c r="AE9602" s="185"/>
    </row>
    <row r="9603" spans="20:31" x14ac:dyDescent="0.25">
      <c r="T9603" s="81"/>
      <c r="W9603" s="185"/>
      <c r="AE9603" s="185"/>
    </row>
    <row r="9604" spans="20:31" x14ac:dyDescent="0.25">
      <c r="T9604" s="81"/>
      <c r="W9604" s="185"/>
      <c r="AE9604" s="185"/>
    </row>
    <row r="9605" spans="20:31" x14ac:dyDescent="0.25">
      <c r="T9605" s="81"/>
      <c r="W9605" s="185"/>
      <c r="AE9605" s="185"/>
    </row>
    <row r="9606" spans="20:31" x14ac:dyDescent="0.25">
      <c r="T9606" s="81"/>
      <c r="W9606" s="185"/>
      <c r="AE9606" s="185"/>
    </row>
    <row r="9607" spans="20:31" x14ac:dyDescent="0.25">
      <c r="T9607" s="81"/>
      <c r="W9607" s="185"/>
      <c r="AE9607" s="185"/>
    </row>
    <row r="9608" spans="20:31" x14ac:dyDescent="0.25">
      <c r="T9608" s="81"/>
      <c r="W9608" s="185"/>
      <c r="AE9608" s="185"/>
    </row>
    <row r="9609" spans="20:31" x14ac:dyDescent="0.25">
      <c r="T9609" s="81"/>
      <c r="W9609" s="185"/>
      <c r="AE9609" s="185"/>
    </row>
    <row r="9610" spans="20:31" x14ac:dyDescent="0.25">
      <c r="T9610" s="81"/>
      <c r="W9610" s="185"/>
      <c r="AE9610" s="185"/>
    </row>
    <row r="9611" spans="20:31" x14ac:dyDescent="0.25">
      <c r="T9611" s="81"/>
      <c r="W9611" s="185"/>
      <c r="AE9611" s="185"/>
    </row>
    <row r="9612" spans="20:31" x14ac:dyDescent="0.25">
      <c r="T9612" s="81"/>
      <c r="W9612" s="185"/>
      <c r="AE9612" s="185"/>
    </row>
    <row r="9613" spans="20:31" x14ac:dyDescent="0.25">
      <c r="T9613" s="81"/>
      <c r="W9613" s="185"/>
      <c r="AE9613" s="185"/>
    </row>
    <row r="9614" spans="20:31" x14ac:dyDescent="0.25">
      <c r="T9614" s="81"/>
      <c r="W9614" s="185"/>
      <c r="AE9614" s="185"/>
    </row>
    <row r="9615" spans="20:31" x14ac:dyDescent="0.25">
      <c r="T9615" s="81"/>
      <c r="W9615" s="185"/>
      <c r="AE9615" s="185"/>
    </row>
    <row r="9616" spans="20:31" x14ac:dyDescent="0.25">
      <c r="T9616" s="81"/>
      <c r="W9616" s="185"/>
      <c r="AE9616" s="185"/>
    </row>
    <row r="9617" spans="20:31" x14ac:dyDescent="0.25">
      <c r="T9617" s="81"/>
      <c r="W9617" s="185"/>
      <c r="AE9617" s="185"/>
    </row>
    <row r="9618" spans="20:31" x14ac:dyDescent="0.25">
      <c r="T9618" s="81"/>
      <c r="W9618" s="185"/>
      <c r="AE9618" s="185"/>
    </row>
    <row r="9619" spans="20:31" x14ac:dyDescent="0.25">
      <c r="T9619" s="81"/>
      <c r="W9619" s="185"/>
      <c r="AE9619" s="185"/>
    </row>
    <row r="9620" spans="20:31" x14ac:dyDescent="0.25">
      <c r="T9620" s="81"/>
      <c r="W9620" s="185"/>
      <c r="AE9620" s="185"/>
    </row>
    <row r="9621" spans="20:31" x14ac:dyDescent="0.25">
      <c r="T9621" s="81"/>
      <c r="W9621" s="185"/>
      <c r="AE9621" s="185"/>
    </row>
    <row r="9622" spans="20:31" x14ac:dyDescent="0.25">
      <c r="T9622" s="81"/>
      <c r="W9622" s="185"/>
      <c r="AE9622" s="185"/>
    </row>
    <row r="9623" spans="20:31" x14ac:dyDescent="0.25">
      <c r="T9623" s="81"/>
      <c r="W9623" s="185"/>
      <c r="AE9623" s="185"/>
    </row>
    <row r="9624" spans="20:31" x14ac:dyDescent="0.25">
      <c r="T9624" s="81"/>
      <c r="W9624" s="185"/>
      <c r="AE9624" s="185"/>
    </row>
    <row r="9625" spans="20:31" x14ac:dyDescent="0.25">
      <c r="T9625" s="81"/>
      <c r="W9625" s="185"/>
      <c r="AE9625" s="185"/>
    </row>
    <row r="9626" spans="20:31" x14ac:dyDescent="0.25">
      <c r="T9626" s="81"/>
      <c r="W9626" s="185"/>
      <c r="AE9626" s="185"/>
    </row>
    <row r="9627" spans="20:31" x14ac:dyDescent="0.25">
      <c r="T9627" s="81"/>
      <c r="W9627" s="185"/>
      <c r="AE9627" s="185"/>
    </row>
    <row r="9628" spans="20:31" x14ac:dyDescent="0.25">
      <c r="T9628" s="81"/>
      <c r="W9628" s="185"/>
      <c r="AE9628" s="185"/>
    </row>
    <row r="9629" spans="20:31" x14ac:dyDescent="0.25">
      <c r="T9629" s="81"/>
      <c r="W9629" s="185"/>
      <c r="AE9629" s="185"/>
    </row>
    <row r="9630" spans="20:31" x14ac:dyDescent="0.25">
      <c r="T9630" s="81"/>
      <c r="W9630" s="185"/>
      <c r="AE9630" s="185"/>
    </row>
    <row r="9631" spans="20:31" x14ac:dyDescent="0.25">
      <c r="T9631" s="81"/>
      <c r="W9631" s="185"/>
      <c r="AE9631" s="185"/>
    </row>
    <row r="9632" spans="20:31" x14ac:dyDescent="0.25">
      <c r="T9632" s="81"/>
      <c r="W9632" s="185"/>
      <c r="AE9632" s="185"/>
    </row>
    <row r="9633" spans="20:31" x14ac:dyDescent="0.25">
      <c r="T9633" s="81"/>
      <c r="W9633" s="185"/>
      <c r="AE9633" s="185"/>
    </row>
    <row r="9634" spans="20:31" x14ac:dyDescent="0.25">
      <c r="T9634" s="81"/>
      <c r="W9634" s="185"/>
      <c r="AE9634" s="185"/>
    </row>
    <row r="9635" spans="20:31" x14ac:dyDescent="0.25">
      <c r="T9635" s="81"/>
      <c r="W9635" s="185"/>
      <c r="AE9635" s="185"/>
    </row>
    <row r="9636" spans="20:31" x14ac:dyDescent="0.25">
      <c r="T9636" s="81"/>
      <c r="W9636" s="185"/>
      <c r="AE9636" s="185"/>
    </row>
    <row r="9637" spans="20:31" x14ac:dyDescent="0.25">
      <c r="T9637" s="81"/>
      <c r="W9637" s="185"/>
      <c r="AE9637" s="185"/>
    </row>
    <row r="9638" spans="20:31" x14ac:dyDescent="0.25">
      <c r="T9638" s="81"/>
      <c r="W9638" s="185"/>
      <c r="AE9638" s="185"/>
    </row>
    <row r="9639" spans="20:31" x14ac:dyDescent="0.25">
      <c r="T9639" s="81"/>
      <c r="W9639" s="185"/>
      <c r="AE9639" s="185"/>
    </row>
    <row r="9640" spans="20:31" x14ac:dyDescent="0.25">
      <c r="T9640" s="81"/>
      <c r="W9640" s="185"/>
      <c r="AE9640" s="185"/>
    </row>
    <row r="9641" spans="20:31" x14ac:dyDescent="0.25">
      <c r="T9641" s="81"/>
      <c r="W9641" s="185"/>
      <c r="AE9641" s="185"/>
    </row>
    <row r="9642" spans="20:31" x14ac:dyDescent="0.25">
      <c r="T9642" s="81"/>
      <c r="W9642" s="185"/>
      <c r="AE9642" s="185"/>
    </row>
    <row r="9643" spans="20:31" x14ac:dyDescent="0.25">
      <c r="T9643" s="81"/>
      <c r="W9643" s="185"/>
      <c r="AE9643" s="185"/>
    </row>
    <row r="9644" spans="20:31" x14ac:dyDescent="0.25">
      <c r="T9644" s="81"/>
      <c r="W9644" s="185"/>
      <c r="AE9644" s="185"/>
    </row>
    <row r="9645" spans="20:31" x14ac:dyDescent="0.25">
      <c r="T9645" s="81"/>
      <c r="W9645" s="185"/>
      <c r="AE9645" s="185"/>
    </row>
    <row r="9646" spans="20:31" x14ac:dyDescent="0.25">
      <c r="T9646" s="81"/>
      <c r="W9646" s="185"/>
      <c r="AE9646" s="185"/>
    </row>
    <row r="9647" spans="20:31" x14ac:dyDescent="0.25">
      <c r="T9647" s="81"/>
      <c r="W9647" s="185"/>
      <c r="AE9647" s="185"/>
    </row>
    <row r="9648" spans="20:31" x14ac:dyDescent="0.25">
      <c r="T9648" s="81"/>
      <c r="W9648" s="185"/>
      <c r="AE9648" s="185"/>
    </row>
    <row r="9649" spans="20:31" x14ac:dyDescent="0.25">
      <c r="T9649" s="81"/>
      <c r="W9649" s="185"/>
      <c r="AE9649" s="185"/>
    </row>
    <row r="9650" spans="20:31" x14ac:dyDescent="0.25">
      <c r="T9650" s="81"/>
      <c r="W9650" s="185"/>
      <c r="AE9650" s="185"/>
    </row>
    <row r="9651" spans="20:31" x14ac:dyDescent="0.25">
      <c r="T9651" s="81"/>
      <c r="W9651" s="185"/>
      <c r="AE9651" s="185"/>
    </row>
    <row r="9652" spans="20:31" x14ac:dyDescent="0.25">
      <c r="T9652" s="81"/>
      <c r="W9652" s="185"/>
      <c r="AE9652" s="185"/>
    </row>
    <row r="9653" spans="20:31" x14ac:dyDescent="0.25">
      <c r="T9653" s="81"/>
      <c r="W9653" s="185"/>
      <c r="AE9653" s="185"/>
    </row>
    <row r="9654" spans="20:31" x14ac:dyDescent="0.25">
      <c r="T9654" s="81"/>
      <c r="W9654" s="185"/>
      <c r="AE9654" s="185"/>
    </row>
    <row r="9655" spans="20:31" x14ac:dyDescent="0.25">
      <c r="T9655" s="81"/>
      <c r="W9655" s="185"/>
      <c r="AE9655" s="185"/>
    </row>
    <row r="9656" spans="20:31" x14ac:dyDescent="0.25">
      <c r="T9656" s="81"/>
      <c r="W9656" s="185"/>
      <c r="AE9656" s="185"/>
    </row>
    <row r="9657" spans="20:31" x14ac:dyDescent="0.25">
      <c r="T9657" s="81"/>
      <c r="W9657" s="185"/>
      <c r="AE9657" s="185"/>
    </row>
    <row r="9658" spans="20:31" x14ac:dyDescent="0.25">
      <c r="T9658" s="81"/>
      <c r="W9658" s="185"/>
      <c r="AE9658" s="185"/>
    </row>
    <row r="9659" spans="20:31" x14ac:dyDescent="0.25">
      <c r="T9659" s="81"/>
      <c r="W9659" s="185"/>
      <c r="AE9659" s="185"/>
    </row>
    <row r="9660" spans="20:31" x14ac:dyDescent="0.25">
      <c r="T9660" s="81"/>
      <c r="W9660" s="185"/>
      <c r="AE9660" s="185"/>
    </row>
    <row r="9661" spans="20:31" x14ac:dyDescent="0.25">
      <c r="T9661" s="81"/>
      <c r="W9661" s="185"/>
      <c r="AE9661" s="185"/>
    </row>
    <row r="9662" spans="20:31" x14ac:dyDescent="0.25">
      <c r="T9662" s="81"/>
      <c r="W9662" s="185"/>
      <c r="AE9662" s="185"/>
    </row>
    <row r="9663" spans="20:31" x14ac:dyDescent="0.25">
      <c r="T9663" s="81"/>
      <c r="W9663" s="185"/>
      <c r="AE9663" s="185"/>
    </row>
    <row r="9664" spans="20:31" x14ac:dyDescent="0.25">
      <c r="T9664" s="81"/>
      <c r="W9664" s="185"/>
      <c r="AE9664" s="185"/>
    </row>
    <row r="9665" spans="20:31" x14ac:dyDescent="0.25">
      <c r="T9665" s="81"/>
      <c r="W9665" s="185"/>
      <c r="AE9665" s="185"/>
    </row>
    <row r="9666" spans="20:31" x14ac:dyDescent="0.25">
      <c r="T9666" s="81"/>
      <c r="W9666" s="185"/>
      <c r="AE9666" s="185"/>
    </row>
    <row r="9667" spans="20:31" x14ac:dyDescent="0.25">
      <c r="T9667" s="81"/>
      <c r="W9667" s="185"/>
      <c r="AE9667" s="185"/>
    </row>
    <row r="9668" spans="20:31" x14ac:dyDescent="0.25">
      <c r="T9668" s="81"/>
      <c r="W9668" s="185"/>
      <c r="AE9668" s="185"/>
    </row>
    <row r="9669" spans="20:31" x14ac:dyDescent="0.25">
      <c r="T9669" s="81"/>
      <c r="W9669" s="185"/>
      <c r="AE9669" s="185"/>
    </row>
    <row r="9670" spans="20:31" x14ac:dyDescent="0.25">
      <c r="T9670" s="81"/>
      <c r="W9670" s="185"/>
      <c r="AE9670" s="185"/>
    </row>
    <row r="9671" spans="20:31" x14ac:dyDescent="0.25">
      <c r="T9671" s="81"/>
      <c r="W9671" s="185"/>
      <c r="AE9671" s="185"/>
    </row>
    <row r="9672" spans="20:31" x14ac:dyDescent="0.25">
      <c r="T9672" s="81"/>
      <c r="W9672" s="185"/>
      <c r="AE9672" s="185"/>
    </row>
    <row r="9673" spans="20:31" x14ac:dyDescent="0.25">
      <c r="T9673" s="81"/>
      <c r="W9673" s="185"/>
      <c r="AE9673" s="185"/>
    </row>
    <row r="9674" spans="20:31" x14ac:dyDescent="0.25">
      <c r="T9674" s="81"/>
      <c r="W9674" s="185"/>
      <c r="AE9674" s="185"/>
    </row>
    <row r="9675" spans="20:31" x14ac:dyDescent="0.25">
      <c r="T9675" s="81"/>
      <c r="W9675" s="185"/>
      <c r="AE9675" s="185"/>
    </row>
    <row r="9676" spans="20:31" x14ac:dyDescent="0.25">
      <c r="T9676" s="81"/>
      <c r="W9676" s="185"/>
      <c r="AE9676" s="185"/>
    </row>
    <row r="9677" spans="20:31" x14ac:dyDescent="0.25">
      <c r="T9677" s="81"/>
      <c r="W9677" s="185"/>
      <c r="AE9677" s="185"/>
    </row>
    <row r="9678" spans="20:31" x14ac:dyDescent="0.25">
      <c r="T9678" s="81"/>
      <c r="W9678" s="185"/>
      <c r="AE9678" s="185"/>
    </row>
    <row r="9679" spans="20:31" x14ac:dyDescent="0.25">
      <c r="T9679" s="81"/>
      <c r="W9679" s="185"/>
      <c r="AE9679" s="185"/>
    </row>
    <row r="9680" spans="20:31" x14ac:dyDescent="0.25">
      <c r="T9680" s="81"/>
      <c r="W9680" s="185"/>
      <c r="AE9680" s="185"/>
    </row>
    <row r="9681" spans="20:31" x14ac:dyDescent="0.25">
      <c r="T9681" s="81"/>
      <c r="W9681" s="185"/>
      <c r="AE9681" s="185"/>
    </row>
    <row r="9682" spans="20:31" x14ac:dyDescent="0.25">
      <c r="T9682" s="81"/>
      <c r="W9682" s="185"/>
      <c r="AE9682" s="185"/>
    </row>
    <row r="9683" spans="20:31" x14ac:dyDescent="0.25">
      <c r="T9683" s="81"/>
      <c r="W9683" s="185"/>
      <c r="AE9683" s="185"/>
    </row>
    <row r="9684" spans="20:31" x14ac:dyDescent="0.25">
      <c r="T9684" s="81"/>
      <c r="W9684" s="185"/>
      <c r="AE9684" s="185"/>
    </row>
    <row r="9685" spans="20:31" x14ac:dyDescent="0.25">
      <c r="T9685" s="81"/>
      <c r="W9685" s="185"/>
      <c r="AE9685" s="185"/>
    </row>
    <row r="9686" spans="20:31" x14ac:dyDescent="0.25">
      <c r="T9686" s="81"/>
      <c r="W9686" s="185"/>
      <c r="AE9686" s="185"/>
    </row>
    <row r="9687" spans="20:31" x14ac:dyDescent="0.25">
      <c r="T9687" s="81"/>
      <c r="W9687" s="185"/>
      <c r="AE9687" s="185"/>
    </row>
    <row r="9688" spans="20:31" x14ac:dyDescent="0.25">
      <c r="T9688" s="81"/>
      <c r="W9688" s="185"/>
      <c r="AE9688" s="185"/>
    </row>
    <row r="9689" spans="20:31" x14ac:dyDescent="0.25">
      <c r="T9689" s="81"/>
      <c r="W9689" s="185"/>
      <c r="AE9689" s="185"/>
    </row>
    <row r="9690" spans="20:31" x14ac:dyDescent="0.25">
      <c r="T9690" s="81"/>
      <c r="W9690" s="185"/>
      <c r="AE9690" s="185"/>
    </row>
    <row r="9691" spans="20:31" x14ac:dyDescent="0.25">
      <c r="T9691" s="81"/>
      <c r="W9691" s="185"/>
      <c r="AE9691" s="185"/>
    </row>
    <row r="9692" spans="20:31" x14ac:dyDescent="0.25">
      <c r="T9692" s="81"/>
      <c r="W9692" s="185"/>
      <c r="AE9692" s="185"/>
    </row>
    <row r="9693" spans="20:31" x14ac:dyDescent="0.25">
      <c r="T9693" s="81"/>
      <c r="W9693" s="185"/>
      <c r="AE9693" s="185"/>
    </row>
    <row r="9694" spans="20:31" x14ac:dyDescent="0.25">
      <c r="T9694" s="81"/>
      <c r="W9694" s="185"/>
      <c r="AE9694" s="185"/>
    </row>
    <row r="9695" spans="20:31" x14ac:dyDescent="0.25">
      <c r="T9695" s="81"/>
      <c r="W9695" s="185"/>
      <c r="AE9695" s="185"/>
    </row>
    <row r="9696" spans="20:31" x14ac:dyDescent="0.25">
      <c r="T9696" s="81"/>
      <c r="W9696" s="185"/>
      <c r="AE9696" s="185"/>
    </row>
    <row r="9697" spans="20:31" x14ac:dyDescent="0.25">
      <c r="T9697" s="81"/>
      <c r="W9697" s="185"/>
      <c r="AE9697" s="185"/>
    </row>
    <row r="9698" spans="20:31" x14ac:dyDescent="0.25">
      <c r="T9698" s="81"/>
      <c r="W9698" s="185"/>
      <c r="AE9698" s="185"/>
    </row>
    <row r="9699" spans="20:31" x14ac:dyDescent="0.25">
      <c r="T9699" s="81"/>
      <c r="W9699" s="185"/>
      <c r="AE9699" s="185"/>
    </row>
    <row r="9700" spans="20:31" x14ac:dyDescent="0.25">
      <c r="T9700" s="81"/>
      <c r="W9700" s="185"/>
      <c r="AE9700" s="185"/>
    </row>
    <row r="9701" spans="20:31" x14ac:dyDescent="0.25">
      <c r="T9701" s="81"/>
      <c r="W9701" s="185"/>
      <c r="AE9701" s="185"/>
    </row>
    <row r="9702" spans="20:31" x14ac:dyDescent="0.25">
      <c r="T9702" s="81"/>
      <c r="W9702" s="185"/>
      <c r="AE9702" s="185"/>
    </row>
    <row r="9703" spans="20:31" x14ac:dyDescent="0.25">
      <c r="T9703" s="81"/>
      <c r="W9703" s="185"/>
      <c r="AE9703" s="185"/>
    </row>
    <row r="9704" spans="20:31" x14ac:dyDescent="0.25">
      <c r="T9704" s="81"/>
      <c r="W9704" s="185"/>
      <c r="AE9704" s="185"/>
    </row>
    <row r="9705" spans="20:31" x14ac:dyDescent="0.25">
      <c r="T9705" s="81"/>
      <c r="W9705" s="185"/>
      <c r="AE9705" s="185"/>
    </row>
    <row r="9706" spans="20:31" x14ac:dyDescent="0.25">
      <c r="T9706" s="81"/>
      <c r="W9706" s="185"/>
      <c r="AE9706" s="185"/>
    </row>
    <row r="9707" spans="20:31" x14ac:dyDescent="0.25">
      <c r="T9707" s="81"/>
      <c r="W9707" s="185"/>
      <c r="AE9707" s="185"/>
    </row>
    <row r="9708" spans="20:31" x14ac:dyDescent="0.25">
      <c r="T9708" s="81"/>
      <c r="W9708" s="185"/>
      <c r="AE9708" s="185"/>
    </row>
    <row r="9709" spans="20:31" x14ac:dyDescent="0.25">
      <c r="T9709" s="81"/>
      <c r="W9709" s="185"/>
      <c r="AE9709" s="185"/>
    </row>
    <row r="9710" spans="20:31" x14ac:dyDescent="0.25">
      <c r="T9710" s="81"/>
      <c r="W9710" s="185"/>
      <c r="AE9710" s="185"/>
    </row>
    <row r="9711" spans="20:31" x14ac:dyDescent="0.25">
      <c r="T9711" s="81"/>
      <c r="W9711" s="185"/>
      <c r="AE9711" s="185"/>
    </row>
    <row r="9712" spans="20:31" x14ac:dyDescent="0.25">
      <c r="T9712" s="81"/>
      <c r="W9712" s="185"/>
      <c r="AE9712" s="185"/>
    </row>
    <row r="9713" spans="20:31" x14ac:dyDescent="0.25">
      <c r="T9713" s="81"/>
      <c r="W9713" s="185"/>
      <c r="AE9713" s="185"/>
    </row>
    <row r="9714" spans="20:31" x14ac:dyDescent="0.25">
      <c r="T9714" s="81"/>
      <c r="W9714" s="185"/>
      <c r="AE9714" s="185"/>
    </row>
    <row r="9715" spans="20:31" x14ac:dyDescent="0.25">
      <c r="T9715" s="81"/>
      <c r="W9715" s="185"/>
      <c r="AE9715" s="185"/>
    </row>
    <row r="9716" spans="20:31" x14ac:dyDescent="0.25">
      <c r="T9716" s="81"/>
      <c r="W9716" s="185"/>
      <c r="AE9716" s="185"/>
    </row>
    <row r="9717" spans="20:31" x14ac:dyDescent="0.25">
      <c r="T9717" s="81"/>
      <c r="W9717" s="185"/>
      <c r="AE9717" s="185"/>
    </row>
    <row r="9718" spans="20:31" x14ac:dyDescent="0.25">
      <c r="T9718" s="81"/>
      <c r="W9718" s="185"/>
      <c r="AE9718" s="185"/>
    </row>
    <row r="9719" spans="20:31" x14ac:dyDescent="0.25">
      <c r="T9719" s="81"/>
      <c r="W9719" s="185"/>
      <c r="AE9719" s="185"/>
    </row>
    <row r="9720" spans="20:31" x14ac:dyDescent="0.25">
      <c r="T9720" s="81"/>
      <c r="W9720" s="185"/>
      <c r="AE9720" s="185"/>
    </row>
    <row r="9721" spans="20:31" x14ac:dyDescent="0.25">
      <c r="T9721" s="81"/>
      <c r="W9721" s="185"/>
      <c r="AE9721" s="185"/>
    </row>
    <row r="9722" spans="20:31" x14ac:dyDescent="0.25">
      <c r="T9722" s="81"/>
      <c r="W9722" s="185"/>
      <c r="AE9722" s="185"/>
    </row>
    <row r="9723" spans="20:31" x14ac:dyDescent="0.25">
      <c r="T9723" s="81"/>
      <c r="W9723" s="185"/>
      <c r="AE9723" s="185"/>
    </row>
    <row r="9724" spans="20:31" x14ac:dyDescent="0.25">
      <c r="T9724" s="81"/>
      <c r="W9724" s="185"/>
      <c r="AE9724" s="185"/>
    </row>
    <row r="9725" spans="20:31" x14ac:dyDescent="0.25">
      <c r="T9725" s="81"/>
      <c r="W9725" s="185"/>
      <c r="AE9725" s="185"/>
    </row>
    <row r="9726" spans="20:31" x14ac:dyDescent="0.25">
      <c r="T9726" s="81"/>
      <c r="W9726" s="185"/>
      <c r="AE9726" s="185"/>
    </row>
    <row r="9727" spans="20:31" x14ac:dyDescent="0.25">
      <c r="T9727" s="81"/>
      <c r="W9727" s="185"/>
      <c r="AE9727" s="185"/>
    </row>
    <row r="9728" spans="20:31" x14ac:dyDescent="0.25">
      <c r="T9728" s="81"/>
      <c r="W9728" s="185"/>
      <c r="AE9728" s="185"/>
    </row>
    <row r="9729" spans="20:31" x14ac:dyDescent="0.25">
      <c r="T9729" s="81"/>
      <c r="W9729" s="185"/>
      <c r="AE9729" s="185"/>
    </row>
    <row r="9730" spans="20:31" x14ac:dyDescent="0.25">
      <c r="T9730" s="81"/>
      <c r="W9730" s="185"/>
      <c r="AE9730" s="185"/>
    </row>
    <row r="9731" spans="20:31" x14ac:dyDescent="0.25">
      <c r="T9731" s="81"/>
      <c r="W9731" s="185"/>
      <c r="AE9731" s="185"/>
    </row>
    <row r="9732" spans="20:31" x14ac:dyDescent="0.25">
      <c r="T9732" s="81"/>
      <c r="W9732" s="185"/>
      <c r="AE9732" s="185"/>
    </row>
    <row r="9733" spans="20:31" x14ac:dyDescent="0.25">
      <c r="T9733" s="81"/>
      <c r="W9733" s="185"/>
      <c r="AE9733" s="185"/>
    </row>
    <row r="9734" spans="20:31" x14ac:dyDescent="0.25">
      <c r="T9734" s="81"/>
      <c r="W9734" s="185"/>
      <c r="AE9734" s="185"/>
    </row>
    <row r="9735" spans="20:31" x14ac:dyDescent="0.25">
      <c r="T9735" s="81"/>
      <c r="W9735" s="185"/>
      <c r="AE9735" s="185"/>
    </row>
    <row r="9736" spans="20:31" x14ac:dyDescent="0.25">
      <c r="T9736" s="81"/>
      <c r="W9736" s="185"/>
      <c r="AE9736" s="185"/>
    </row>
    <row r="9737" spans="20:31" x14ac:dyDescent="0.25">
      <c r="T9737" s="81"/>
      <c r="W9737" s="185"/>
      <c r="AE9737" s="185"/>
    </row>
    <row r="9738" spans="20:31" x14ac:dyDescent="0.25">
      <c r="T9738" s="81"/>
      <c r="W9738" s="185"/>
      <c r="AE9738" s="185"/>
    </row>
    <row r="9739" spans="20:31" x14ac:dyDescent="0.25">
      <c r="T9739" s="81"/>
      <c r="W9739" s="185"/>
      <c r="AE9739" s="185"/>
    </row>
    <row r="9740" spans="20:31" x14ac:dyDescent="0.25">
      <c r="T9740" s="81"/>
      <c r="W9740" s="185"/>
      <c r="AE9740" s="185"/>
    </row>
    <row r="9741" spans="20:31" x14ac:dyDescent="0.25">
      <c r="T9741" s="81"/>
      <c r="W9741" s="185"/>
      <c r="AE9741" s="185"/>
    </row>
    <row r="9742" spans="20:31" x14ac:dyDescent="0.25">
      <c r="T9742" s="81"/>
      <c r="W9742" s="185"/>
      <c r="AE9742" s="185"/>
    </row>
    <row r="9743" spans="20:31" x14ac:dyDescent="0.25">
      <c r="T9743" s="81"/>
      <c r="W9743" s="185"/>
      <c r="AE9743" s="185"/>
    </row>
    <row r="9744" spans="20:31" x14ac:dyDescent="0.25">
      <c r="T9744" s="81"/>
      <c r="W9744" s="185"/>
      <c r="AE9744" s="185"/>
    </row>
    <row r="9745" spans="20:31" x14ac:dyDescent="0.25">
      <c r="T9745" s="81"/>
      <c r="W9745" s="185"/>
      <c r="AE9745" s="185"/>
    </row>
    <row r="9746" spans="20:31" x14ac:dyDescent="0.25">
      <c r="T9746" s="81"/>
      <c r="W9746" s="185"/>
      <c r="AE9746" s="185"/>
    </row>
    <row r="9747" spans="20:31" x14ac:dyDescent="0.25">
      <c r="T9747" s="81"/>
      <c r="W9747" s="185"/>
      <c r="AE9747" s="185"/>
    </row>
    <row r="9748" spans="20:31" x14ac:dyDescent="0.25">
      <c r="T9748" s="81"/>
      <c r="W9748" s="185"/>
      <c r="AE9748" s="185"/>
    </row>
    <row r="9749" spans="20:31" x14ac:dyDescent="0.25">
      <c r="T9749" s="81"/>
      <c r="W9749" s="185"/>
      <c r="AE9749" s="185"/>
    </row>
    <row r="9750" spans="20:31" x14ac:dyDescent="0.25">
      <c r="T9750" s="81"/>
      <c r="W9750" s="185"/>
      <c r="AE9750" s="185"/>
    </row>
    <row r="9751" spans="20:31" x14ac:dyDescent="0.25">
      <c r="T9751" s="81"/>
      <c r="W9751" s="185"/>
      <c r="AE9751" s="185"/>
    </row>
    <row r="9752" spans="20:31" x14ac:dyDescent="0.25">
      <c r="T9752" s="81"/>
      <c r="W9752" s="185"/>
      <c r="AE9752" s="185"/>
    </row>
    <row r="9753" spans="20:31" x14ac:dyDescent="0.25">
      <c r="T9753" s="81"/>
      <c r="W9753" s="185"/>
      <c r="AE9753" s="185"/>
    </row>
    <row r="9754" spans="20:31" x14ac:dyDescent="0.25">
      <c r="T9754" s="81"/>
      <c r="W9754" s="185"/>
      <c r="AE9754" s="185"/>
    </row>
    <row r="9755" spans="20:31" x14ac:dyDescent="0.25">
      <c r="T9755" s="81"/>
      <c r="W9755" s="185"/>
      <c r="AE9755" s="185"/>
    </row>
    <row r="9756" spans="20:31" x14ac:dyDescent="0.25">
      <c r="T9756" s="81"/>
      <c r="W9756" s="185"/>
      <c r="AE9756" s="185"/>
    </row>
    <row r="9757" spans="20:31" x14ac:dyDescent="0.25">
      <c r="T9757" s="81"/>
      <c r="W9757" s="185"/>
      <c r="AE9757" s="185"/>
    </row>
    <row r="9758" spans="20:31" x14ac:dyDescent="0.25">
      <c r="T9758" s="81"/>
      <c r="W9758" s="185"/>
      <c r="AE9758" s="185"/>
    </row>
    <row r="9759" spans="20:31" x14ac:dyDescent="0.25">
      <c r="T9759" s="81"/>
      <c r="W9759" s="185"/>
      <c r="AE9759" s="185"/>
    </row>
    <row r="9760" spans="20:31" x14ac:dyDescent="0.25">
      <c r="T9760" s="81"/>
      <c r="W9760" s="185"/>
      <c r="AE9760" s="185"/>
    </row>
    <row r="9761" spans="20:31" x14ac:dyDescent="0.25">
      <c r="T9761" s="81"/>
      <c r="W9761" s="185"/>
      <c r="AE9761" s="185"/>
    </row>
    <row r="9762" spans="20:31" x14ac:dyDescent="0.25">
      <c r="T9762" s="81"/>
      <c r="W9762" s="185"/>
      <c r="AE9762" s="185"/>
    </row>
    <row r="9763" spans="20:31" x14ac:dyDescent="0.25">
      <c r="T9763" s="81"/>
      <c r="W9763" s="185"/>
      <c r="AE9763" s="185"/>
    </row>
    <row r="9764" spans="20:31" x14ac:dyDescent="0.25">
      <c r="T9764" s="81"/>
      <c r="W9764" s="185"/>
      <c r="AE9764" s="185"/>
    </row>
    <row r="9765" spans="20:31" x14ac:dyDescent="0.25">
      <c r="T9765" s="81"/>
      <c r="W9765" s="185"/>
      <c r="AE9765" s="185"/>
    </row>
    <row r="9766" spans="20:31" x14ac:dyDescent="0.25">
      <c r="T9766" s="81"/>
      <c r="W9766" s="185"/>
      <c r="AE9766" s="185"/>
    </row>
    <row r="9767" spans="20:31" x14ac:dyDescent="0.25">
      <c r="T9767" s="81"/>
      <c r="W9767" s="185"/>
      <c r="AE9767" s="185"/>
    </row>
    <row r="9768" spans="20:31" x14ac:dyDescent="0.25">
      <c r="T9768" s="81"/>
      <c r="W9768" s="185"/>
      <c r="AE9768" s="185"/>
    </row>
    <row r="9769" spans="20:31" x14ac:dyDescent="0.25">
      <c r="T9769" s="81"/>
      <c r="W9769" s="185"/>
      <c r="AE9769" s="185"/>
    </row>
    <row r="9770" spans="20:31" x14ac:dyDescent="0.25">
      <c r="T9770" s="81"/>
      <c r="W9770" s="185"/>
      <c r="AE9770" s="185"/>
    </row>
    <row r="9771" spans="20:31" x14ac:dyDescent="0.25">
      <c r="T9771" s="81"/>
      <c r="W9771" s="185"/>
      <c r="AE9771" s="185"/>
    </row>
    <row r="9772" spans="20:31" x14ac:dyDescent="0.25">
      <c r="T9772" s="81"/>
      <c r="W9772" s="185"/>
      <c r="AE9772" s="185"/>
    </row>
    <row r="9773" spans="20:31" x14ac:dyDescent="0.25">
      <c r="T9773" s="81"/>
      <c r="W9773" s="185"/>
      <c r="AE9773" s="185"/>
    </row>
    <row r="9774" spans="20:31" x14ac:dyDescent="0.25">
      <c r="T9774" s="81"/>
      <c r="W9774" s="185"/>
      <c r="AE9774" s="185"/>
    </row>
    <row r="9775" spans="20:31" x14ac:dyDescent="0.25">
      <c r="T9775" s="81"/>
      <c r="W9775" s="185"/>
      <c r="AE9775" s="185"/>
    </row>
    <row r="9776" spans="20:31" x14ac:dyDescent="0.25">
      <c r="T9776" s="81"/>
      <c r="W9776" s="185"/>
      <c r="AE9776" s="185"/>
    </row>
    <row r="9777" spans="20:31" x14ac:dyDescent="0.25">
      <c r="T9777" s="81"/>
      <c r="W9777" s="185"/>
      <c r="AE9777" s="185"/>
    </row>
    <row r="9778" spans="20:31" x14ac:dyDescent="0.25">
      <c r="T9778" s="81"/>
      <c r="W9778" s="185"/>
      <c r="AE9778" s="185"/>
    </row>
    <row r="9779" spans="20:31" x14ac:dyDescent="0.25">
      <c r="T9779" s="81"/>
      <c r="W9779" s="185"/>
      <c r="AE9779" s="185"/>
    </row>
    <row r="9780" spans="20:31" x14ac:dyDescent="0.25">
      <c r="T9780" s="81"/>
      <c r="W9780" s="185"/>
      <c r="AE9780" s="185"/>
    </row>
    <row r="9781" spans="20:31" x14ac:dyDescent="0.25">
      <c r="T9781" s="81"/>
      <c r="W9781" s="185"/>
      <c r="AE9781" s="185"/>
    </row>
    <row r="9782" spans="20:31" x14ac:dyDescent="0.25">
      <c r="T9782" s="81"/>
      <c r="W9782" s="185"/>
      <c r="AE9782" s="185"/>
    </row>
    <row r="9783" spans="20:31" x14ac:dyDescent="0.25">
      <c r="T9783" s="81"/>
      <c r="W9783" s="185"/>
      <c r="AE9783" s="185"/>
    </row>
    <row r="9784" spans="20:31" x14ac:dyDescent="0.25">
      <c r="T9784" s="81"/>
      <c r="W9784" s="185"/>
      <c r="AE9784" s="185"/>
    </row>
    <row r="9785" spans="20:31" x14ac:dyDescent="0.25">
      <c r="T9785" s="81"/>
      <c r="W9785" s="185"/>
      <c r="AE9785" s="185"/>
    </row>
    <row r="9786" spans="20:31" x14ac:dyDescent="0.25">
      <c r="T9786" s="81"/>
      <c r="W9786" s="185"/>
      <c r="AE9786" s="185"/>
    </row>
    <row r="9787" spans="20:31" x14ac:dyDescent="0.25">
      <c r="T9787" s="81"/>
      <c r="W9787" s="185"/>
      <c r="AE9787" s="185"/>
    </row>
    <row r="9788" spans="20:31" x14ac:dyDescent="0.25">
      <c r="T9788" s="81"/>
      <c r="W9788" s="185"/>
      <c r="AE9788" s="185"/>
    </row>
    <row r="9789" spans="20:31" x14ac:dyDescent="0.25">
      <c r="T9789" s="81"/>
      <c r="W9789" s="185"/>
      <c r="AE9789" s="185"/>
    </row>
    <row r="9790" spans="20:31" x14ac:dyDescent="0.25">
      <c r="T9790" s="81"/>
      <c r="W9790" s="185"/>
      <c r="AE9790" s="185"/>
    </row>
    <row r="9791" spans="20:31" x14ac:dyDescent="0.25">
      <c r="T9791" s="81"/>
      <c r="W9791" s="185"/>
      <c r="AE9791" s="185"/>
    </row>
    <row r="9792" spans="20:31" x14ac:dyDescent="0.25">
      <c r="T9792" s="81"/>
      <c r="W9792" s="185"/>
      <c r="AE9792" s="185"/>
    </row>
    <row r="9793" spans="20:31" x14ac:dyDescent="0.25">
      <c r="T9793" s="81"/>
      <c r="W9793" s="185"/>
      <c r="AE9793" s="185"/>
    </row>
    <row r="9794" spans="20:31" x14ac:dyDescent="0.25">
      <c r="T9794" s="81"/>
      <c r="W9794" s="185"/>
      <c r="AE9794" s="185"/>
    </row>
    <row r="9795" spans="20:31" x14ac:dyDescent="0.25">
      <c r="T9795" s="81"/>
      <c r="W9795" s="185"/>
      <c r="AE9795" s="185"/>
    </row>
    <row r="9796" spans="20:31" x14ac:dyDescent="0.25">
      <c r="T9796" s="81"/>
      <c r="W9796" s="185"/>
      <c r="AE9796" s="185"/>
    </row>
    <row r="9797" spans="20:31" x14ac:dyDescent="0.25">
      <c r="T9797" s="81"/>
      <c r="W9797" s="185"/>
      <c r="AE9797" s="185"/>
    </row>
    <row r="9798" spans="20:31" x14ac:dyDescent="0.25">
      <c r="T9798" s="81"/>
      <c r="W9798" s="185"/>
      <c r="AE9798" s="185"/>
    </row>
    <row r="9799" spans="20:31" x14ac:dyDescent="0.25">
      <c r="T9799" s="81"/>
      <c r="W9799" s="185"/>
      <c r="AE9799" s="185"/>
    </row>
    <row r="9800" spans="20:31" x14ac:dyDescent="0.25">
      <c r="T9800" s="81"/>
      <c r="W9800" s="185"/>
      <c r="AE9800" s="185"/>
    </row>
    <row r="9801" spans="20:31" x14ac:dyDescent="0.25">
      <c r="T9801" s="81"/>
      <c r="W9801" s="185"/>
      <c r="AE9801" s="185"/>
    </row>
    <row r="9802" spans="20:31" x14ac:dyDescent="0.25">
      <c r="T9802" s="81"/>
      <c r="W9802" s="185"/>
      <c r="AE9802" s="185"/>
    </row>
    <row r="9803" spans="20:31" x14ac:dyDescent="0.25">
      <c r="T9803" s="81"/>
      <c r="W9803" s="185"/>
      <c r="AE9803" s="185"/>
    </row>
    <row r="9804" spans="20:31" x14ac:dyDescent="0.25">
      <c r="T9804" s="81"/>
      <c r="W9804" s="185"/>
      <c r="AE9804" s="185"/>
    </row>
    <row r="9805" spans="20:31" x14ac:dyDescent="0.25">
      <c r="T9805" s="81"/>
      <c r="W9805" s="185"/>
      <c r="AE9805" s="185"/>
    </row>
    <row r="9806" spans="20:31" x14ac:dyDescent="0.25">
      <c r="T9806" s="81"/>
      <c r="W9806" s="185"/>
      <c r="AE9806" s="185"/>
    </row>
    <row r="9807" spans="20:31" x14ac:dyDescent="0.25">
      <c r="T9807" s="81"/>
      <c r="W9807" s="185"/>
      <c r="AE9807" s="185"/>
    </row>
    <row r="9808" spans="20:31" x14ac:dyDescent="0.25">
      <c r="T9808" s="81"/>
      <c r="W9808" s="185"/>
      <c r="AE9808" s="185"/>
    </row>
    <row r="9809" spans="20:31" x14ac:dyDescent="0.25">
      <c r="T9809" s="81"/>
      <c r="W9809" s="185"/>
      <c r="AE9809" s="185"/>
    </row>
    <row r="9810" spans="20:31" x14ac:dyDescent="0.25">
      <c r="T9810" s="81"/>
      <c r="W9810" s="185"/>
      <c r="AE9810" s="185"/>
    </row>
    <row r="9811" spans="20:31" x14ac:dyDescent="0.25">
      <c r="T9811" s="81"/>
      <c r="W9811" s="185"/>
      <c r="AE9811" s="185"/>
    </row>
    <row r="9812" spans="20:31" x14ac:dyDescent="0.25">
      <c r="T9812" s="81"/>
      <c r="W9812" s="185"/>
      <c r="AE9812" s="185"/>
    </row>
    <row r="9813" spans="20:31" x14ac:dyDescent="0.25">
      <c r="T9813" s="81"/>
      <c r="W9813" s="185"/>
      <c r="AE9813" s="185"/>
    </row>
    <row r="9814" spans="20:31" x14ac:dyDescent="0.25">
      <c r="T9814" s="81"/>
      <c r="W9814" s="185"/>
      <c r="AE9814" s="185"/>
    </row>
    <row r="9815" spans="20:31" x14ac:dyDescent="0.25">
      <c r="T9815" s="81"/>
      <c r="W9815" s="185"/>
      <c r="AE9815" s="185"/>
    </row>
    <row r="9816" spans="20:31" x14ac:dyDescent="0.25">
      <c r="T9816" s="81"/>
      <c r="W9816" s="185"/>
      <c r="AE9816" s="185"/>
    </row>
    <row r="9817" spans="20:31" x14ac:dyDescent="0.25">
      <c r="T9817" s="81"/>
      <c r="W9817" s="185"/>
      <c r="AE9817" s="185"/>
    </row>
    <row r="9818" spans="20:31" x14ac:dyDescent="0.25">
      <c r="T9818" s="81"/>
      <c r="W9818" s="185"/>
      <c r="AE9818" s="185"/>
    </row>
    <row r="9819" spans="20:31" x14ac:dyDescent="0.25">
      <c r="T9819" s="81"/>
      <c r="W9819" s="185"/>
      <c r="AE9819" s="185"/>
    </row>
    <row r="9820" spans="20:31" x14ac:dyDescent="0.25">
      <c r="T9820" s="81"/>
      <c r="W9820" s="185"/>
      <c r="AE9820" s="185"/>
    </row>
    <row r="9821" spans="20:31" x14ac:dyDescent="0.25">
      <c r="T9821" s="81"/>
      <c r="W9821" s="185"/>
      <c r="AE9821" s="185"/>
    </row>
    <row r="9822" spans="20:31" x14ac:dyDescent="0.25">
      <c r="T9822" s="81"/>
      <c r="W9822" s="185"/>
      <c r="AE9822" s="185"/>
    </row>
    <row r="9823" spans="20:31" x14ac:dyDescent="0.25">
      <c r="T9823" s="81"/>
      <c r="W9823" s="185"/>
      <c r="AE9823" s="185"/>
    </row>
    <row r="9824" spans="20:31" x14ac:dyDescent="0.25">
      <c r="T9824" s="81"/>
      <c r="W9824" s="185"/>
      <c r="AE9824" s="185"/>
    </row>
    <row r="9825" spans="20:31" x14ac:dyDescent="0.25">
      <c r="T9825" s="81"/>
      <c r="W9825" s="185"/>
      <c r="AE9825" s="185"/>
    </row>
    <row r="9826" spans="20:31" x14ac:dyDescent="0.25">
      <c r="T9826" s="81"/>
      <c r="W9826" s="185"/>
      <c r="AE9826" s="185"/>
    </row>
    <row r="9827" spans="20:31" x14ac:dyDescent="0.25">
      <c r="T9827" s="81"/>
      <c r="W9827" s="185"/>
      <c r="AE9827" s="185"/>
    </row>
    <row r="9828" spans="20:31" x14ac:dyDescent="0.25">
      <c r="T9828" s="81"/>
      <c r="W9828" s="185"/>
      <c r="AE9828" s="185"/>
    </row>
    <row r="9829" spans="20:31" x14ac:dyDescent="0.25">
      <c r="T9829" s="81"/>
      <c r="W9829" s="185"/>
      <c r="AE9829" s="185"/>
    </row>
    <row r="9830" spans="20:31" x14ac:dyDescent="0.25">
      <c r="T9830" s="81"/>
      <c r="W9830" s="185"/>
      <c r="AE9830" s="185"/>
    </row>
    <row r="9831" spans="20:31" x14ac:dyDescent="0.25">
      <c r="T9831" s="81"/>
      <c r="W9831" s="185"/>
      <c r="AE9831" s="185"/>
    </row>
    <row r="9832" spans="20:31" x14ac:dyDescent="0.25">
      <c r="T9832" s="81"/>
      <c r="W9832" s="185"/>
      <c r="AE9832" s="185"/>
    </row>
    <row r="9833" spans="20:31" x14ac:dyDescent="0.25">
      <c r="T9833" s="81"/>
      <c r="W9833" s="185"/>
      <c r="AE9833" s="185"/>
    </row>
    <row r="9834" spans="20:31" x14ac:dyDescent="0.25">
      <c r="T9834" s="81"/>
      <c r="W9834" s="185"/>
      <c r="AE9834" s="185"/>
    </row>
    <row r="9835" spans="20:31" x14ac:dyDescent="0.25">
      <c r="T9835" s="81"/>
      <c r="W9835" s="185"/>
      <c r="AE9835" s="185"/>
    </row>
    <row r="9836" spans="20:31" x14ac:dyDescent="0.25">
      <c r="T9836" s="81"/>
      <c r="W9836" s="185"/>
      <c r="AE9836" s="185"/>
    </row>
    <row r="9837" spans="20:31" x14ac:dyDescent="0.25">
      <c r="T9837" s="81"/>
      <c r="W9837" s="185"/>
      <c r="AE9837" s="185"/>
    </row>
    <row r="9838" spans="20:31" x14ac:dyDescent="0.25">
      <c r="T9838" s="81"/>
      <c r="W9838" s="185"/>
      <c r="AE9838" s="185"/>
    </row>
    <row r="9839" spans="20:31" x14ac:dyDescent="0.25">
      <c r="T9839" s="81"/>
      <c r="W9839" s="185"/>
      <c r="AE9839" s="185"/>
    </row>
    <row r="9840" spans="20:31" x14ac:dyDescent="0.25">
      <c r="T9840" s="81"/>
      <c r="W9840" s="185"/>
      <c r="AE9840" s="185"/>
    </row>
    <row r="9841" spans="20:31" x14ac:dyDescent="0.25">
      <c r="T9841" s="81"/>
      <c r="W9841" s="185"/>
      <c r="AE9841" s="185"/>
    </row>
    <row r="9842" spans="20:31" x14ac:dyDescent="0.25">
      <c r="T9842" s="81"/>
      <c r="W9842" s="185"/>
      <c r="AE9842" s="185"/>
    </row>
    <row r="9843" spans="20:31" x14ac:dyDescent="0.25">
      <c r="T9843" s="81"/>
      <c r="W9843" s="185"/>
      <c r="AE9843" s="185"/>
    </row>
    <row r="9844" spans="20:31" x14ac:dyDescent="0.25">
      <c r="T9844" s="81"/>
      <c r="W9844" s="185"/>
      <c r="AE9844" s="185"/>
    </row>
    <row r="9845" spans="20:31" x14ac:dyDescent="0.25">
      <c r="T9845" s="81"/>
      <c r="W9845" s="185"/>
      <c r="AE9845" s="185"/>
    </row>
    <row r="9846" spans="20:31" x14ac:dyDescent="0.25">
      <c r="T9846" s="81"/>
      <c r="W9846" s="185"/>
      <c r="AE9846" s="185"/>
    </row>
    <row r="9847" spans="20:31" x14ac:dyDescent="0.25">
      <c r="T9847" s="81"/>
      <c r="W9847" s="185"/>
      <c r="AE9847" s="185"/>
    </row>
    <row r="9848" spans="20:31" x14ac:dyDescent="0.25">
      <c r="T9848" s="81"/>
      <c r="W9848" s="185"/>
      <c r="AE9848" s="185"/>
    </row>
    <row r="9849" spans="20:31" x14ac:dyDescent="0.25">
      <c r="T9849" s="81"/>
      <c r="W9849" s="185"/>
      <c r="AE9849" s="185"/>
    </row>
    <row r="9850" spans="20:31" x14ac:dyDescent="0.25">
      <c r="T9850" s="81"/>
      <c r="W9850" s="185"/>
      <c r="AE9850" s="185"/>
    </row>
    <row r="9851" spans="20:31" x14ac:dyDescent="0.25">
      <c r="T9851" s="81"/>
      <c r="W9851" s="185"/>
      <c r="AE9851" s="185"/>
    </row>
    <row r="9852" spans="20:31" x14ac:dyDescent="0.25">
      <c r="T9852" s="81"/>
      <c r="W9852" s="185"/>
      <c r="AE9852" s="185"/>
    </row>
    <row r="9853" spans="20:31" x14ac:dyDescent="0.25">
      <c r="T9853" s="81"/>
      <c r="W9853" s="185"/>
      <c r="AE9853" s="185"/>
    </row>
    <row r="9854" spans="20:31" x14ac:dyDescent="0.25">
      <c r="T9854" s="81"/>
      <c r="W9854" s="185"/>
      <c r="AE9854" s="185"/>
    </row>
    <row r="9855" spans="20:31" x14ac:dyDescent="0.25">
      <c r="T9855" s="81"/>
      <c r="W9855" s="185"/>
      <c r="AE9855" s="185"/>
    </row>
    <row r="9856" spans="20:31" x14ac:dyDescent="0.25">
      <c r="T9856" s="81"/>
      <c r="W9856" s="185"/>
      <c r="AE9856" s="185"/>
    </row>
    <row r="9857" spans="20:31" x14ac:dyDescent="0.25">
      <c r="T9857" s="81"/>
      <c r="W9857" s="185"/>
      <c r="AE9857" s="185"/>
    </row>
    <row r="9858" spans="20:31" x14ac:dyDescent="0.25">
      <c r="T9858" s="81"/>
      <c r="W9858" s="185"/>
      <c r="AE9858" s="185"/>
    </row>
    <row r="9859" spans="20:31" x14ac:dyDescent="0.25">
      <c r="T9859" s="81"/>
      <c r="W9859" s="185"/>
      <c r="AE9859" s="185"/>
    </row>
    <row r="9860" spans="20:31" x14ac:dyDescent="0.25">
      <c r="T9860" s="81"/>
      <c r="W9860" s="185"/>
      <c r="AE9860" s="185"/>
    </row>
    <row r="9861" spans="20:31" x14ac:dyDescent="0.25">
      <c r="T9861" s="81"/>
      <c r="W9861" s="185"/>
      <c r="AE9861" s="185"/>
    </row>
    <row r="9862" spans="20:31" x14ac:dyDescent="0.25">
      <c r="T9862" s="81"/>
      <c r="W9862" s="185"/>
      <c r="AE9862" s="185"/>
    </row>
    <row r="9863" spans="20:31" x14ac:dyDescent="0.25">
      <c r="T9863" s="81"/>
      <c r="W9863" s="185"/>
      <c r="AE9863" s="185"/>
    </row>
    <row r="9864" spans="20:31" x14ac:dyDescent="0.25">
      <c r="T9864" s="81"/>
      <c r="W9864" s="185"/>
      <c r="AE9864" s="185"/>
    </row>
    <row r="9865" spans="20:31" x14ac:dyDescent="0.25">
      <c r="T9865" s="81"/>
      <c r="W9865" s="185"/>
      <c r="AE9865" s="185"/>
    </row>
    <row r="9866" spans="20:31" x14ac:dyDescent="0.25">
      <c r="T9866" s="81"/>
      <c r="W9866" s="185"/>
      <c r="AE9866" s="185"/>
    </row>
    <row r="9867" spans="20:31" x14ac:dyDescent="0.25">
      <c r="T9867" s="81"/>
      <c r="W9867" s="185"/>
      <c r="AE9867" s="185"/>
    </row>
    <row r="9868" spans="20:31" x14ac:dyDescent="0.25">
      <c r="T9868" s="81"/>
      <c r="W9868" s="185"/>
      <c r="AE9868" s="185"/>
    </row>
    <row r="9869" spans="20:31" x14ac:dyDescent="0.25">
      <c r="T9869" s="81"/>
      <c r="W9869" s="185"/>
      <c r="AE9869" s="185"/>
    </row>
    <row r="9870" spans="20:31" x14ac:dyDescent="0.25">
      <c r="T9870" s="81"/>
      <c r="W9870" s="185"/>
      <c r="AE9870" s="185"/>
    </row>
    <row r="9871" spans="20:31" x14ac:dyDescent="0.25">
      <c r="T9871" s="81"/>
      <c r="W9871" s="185"/>
      <c r="AE9871" s="185"/>
    </row>
    <row r="9872" spans="20:31" x14ac:dyDescent="0.25">
      <c r="T9872" s="81"/>
      <c r="W9872" s="185"/>
      <c r="AE9872" s="185"/>
    </row>
    <row r="9873" spans="20:31" x14ac:dyDescent="0.25">
      <c r="T9873" s="81"/>
      <c r="W9873" s="185"/>
      <c r="AE9873" s="185"/>
    </row>
    <row r="9874" spans="20:31" x14ac:dyDescent="0.25">
      <c r="T9874" s="81"/>
      <c r="W9874" s="185"/>
      <c r="AE9874" s="185"/>
    </row>
    <row r="9875" spans="20:31" x14ac:dyDescent="0.25">
      <c r="T9875" s="81"/>
      <c r="W9875" s="185"/>
      <c r="AE9875" s="185"/>
    </row>
    <row r="9876" spans="20:31" x14ac:dyDescent="0.25">
      <c r="T9876" s="81"/>
      <c r="W9876" s="185"/>
      <c r="AE9876" s="185"/>
    </row>
    <row r="9877" spans="20:31" x14ac:dyDescent="0.25">
      <c r="T9877" s="81"/>
      <c r="W9877" s="185"/>
      <c r="AE9877" s="185"/>
    </row>
    <row r="9878" spans="20:31" x14ac:dyDescent="0.25">
      <c r="T9878" s="81"/>
      <c r="W9878" s="185"/>
      <c r="AE9878" s="185"/>
    </row>
    <row r="9879" spans="20:31" x14ac:dyDescent="0.25">
      <c r="T9879" s="81"/>
      <c r="W9879" s="185"/>
      <c r="AE9879" s="185"/>
    </row>
    <row r="9880" spans="20:31" x14ac:dyDescent="0.25">
      <c r="T9880" s="81"/>
      <c r="W9880" s="185"/>
      <c r="AE9880" s="185"/>
    </row>
    <row r="9881" spans="20:31" x14ac:dyDescent="0.25">
      <c r="T9881" s="81"/>
      <c r="W9881" s="185"/>
      <c r="AE9881" s="185"/>
    </row>
    <row r="9882" spans="20:31" x14ac:dyDescent="0.25">
      <c r="T9882" s="81"/>
      <c r="W9882" s="185"/>
      <c r="AE9882" s="185"/>
    </row>
    <row r="9883" spans="20:31" x14ac:dyDescent="0.25">
      <c r="T9883" s="81"/>
      <c r="W9883" s="185"/>
      <c r="AE9883" s="185"/>
    </row>
    <row r="9884" spans="20:31" x14ac:dyDescent="0.25">
      <c r="T9884" s="81"/>
      <c r="W9884" s="185"/>
      <c r="AE9884" s="185"/>
    </row>
    <row r="9885" spans="20:31" x14ac:dyDescent="0.25">
      <c r="T9885" s="81"/>
      <c r="W9885" s="185"/>
      <c r="AE9885" s="185"/>
    </row>
    <row r="9886" spans="20:31" x14ac:dyDescent="0.25">
      <c r="T9886" s="81"/>
      <c r="W9886" s="185"/>
      <c r="AE9886" s="185"/>
    </row>
    <row r="9887" spans="20:31" x14ac:dyDescent="0.25">
      <c r="T9887" s="81"/>
      <c r="W9887" s="185"/>
      <c r="AE9887" s="185"/>
    </row>
    <row r="9888" spans="20:31" x14ac:dyDescent="0.25">
      <c r="T9888" s="81"/>
      <c r="W9888" s="185"/>
      <c r="AE9888" s="185"/>
    </row>
    <row r="9889" spans="20:31" x14ac:dyDescent="0.25">
      <c r="T9889" s="81"/>
      <c r="W9889" s="185"/>
      <c r="AE9889" s="185"/>
    </row>
    <row r="9890" spans="20:31" x14ac:dyDescent="0.25">
      <c r="T9890" s="81"/>
      <c r="W9890" s="185"/>
      <c r="AE9890" s="185"/>
    </row>
    <row r="9891" spans="20:31" x14ac:dyDescent="0.25">
      <c r="T9891" s="81"/>
      <c r="W9891" s="185"/>
      <c r="AE9891" s="185"/>
    </row>
    <row r="9892" spans="20:31" x14ac:dyDescent="0.25">
      <c r="T9892" s="81"/>
      <c r="W9892" s="185"/>
      <c r="AE9892" s="185"/>
    </row>
    <row r="9893" spans="20:31" x14ac:dyDescent="0.25">
      <c r="T9893" s="81"/>
      <c r="W9893" s="185"/>
      <c r="AE9893" s="185"/>
    </row>
    <row r="9894" spans="20:31" x14ac:dyDescent="0.25">
      <c r="T9894" s="81"/>
      <c r="W9894" s="185"/>
      <c r="AE9894" s="185"/>
    </row>
    <row r="9895" spans="20:31" x14ac:dyDescent="0.25">
      <c r="T9895" s="81"/>
      <c r="W9895" s="185"/>
      <c r="AE9895" s="185"/>
    </row>
    <row r="9896" spans="20:31" x14ac:dyDescent="0.25">
      <c r="T9896" s="81"/>
      <c r="W9896" s="185"/>
      <c r="AE9896" s="185"/>
    </row>
    <row r="9897" spans="20:31" x14ac:dyDescent="0.25">
      <c r="T9897" s="81"/>
      <c r="W9897" s="185"/>
      <c r="AE9897" s="185"/>
    </row>
    <row r="9898" spans="20:31" x14ac:dyDescent="0.25">
      <c r="T9898" s="81"/>
      <c r="W9898" s="185"/>
      <c r="AE9898" s="185"/>
    </row>
    <row r="9899" spans="20:31" x14ac:dyDescent="0.25">
      <c r="T9899" s="81"/>
      <c r="W9899" s="185"/>
      <c r="AE9899" s="185"/>
    </row>
    <row r="9900" spans="20:31" x14ac:dyDescent="0.25">
      <c r="T9900" s="81"/>
      <c r="W9900" s="185"/>
      <c r="AE9900" s="185"/>
    </row>
    <row r="9901" spans="20:31" x14ac:dyDescent="0.25">
      <c r="T9901" s="81"/>
      <c r="W9901" s="185"/>
      <c r="AE9901" s="185"/>
    </row>
    <row r="9902" spans="20:31" x14ac:dyDescent="0.25">
      <c r="T9902" s="81"/>
      <c r="W9902" s="185"/>
      <c r="AE9902" s="185"/>
    </row>
    <row r="9903" spans="20:31" x14ac:dyDescent="0.25">
      <c r="T9903" s="81"/>
      <c r="W9903" s="185"/>
      <c r="AE9903" s="185"/>
    </row>
    <row r="9904" spans="20:31" x14ac:dyDescent="0.25">
      <c r="T9904" s="81"/>
      <c r="W9904" s="185"/>
      <c r="AE9904" s="185"/>
    </row>
    <row r="9905" spans="20:31" x14ac:dyDescent="0.25">
      <c r="T9905" s="81"/>
      <c r="W9905" s="185"/>
      <c r="AE9905" s="185"/>
    </row>
    <row r="9906" spans="20:31" x14ac:dyDescent="0.25">
      <c r="T9906" s="81"/>
      <c r="W9906" s="185"/>
      <c r="AE9906" s="185"/>
    </row>
    <row r="9907" spans="20:31" x14ac:dyDescent="0.25">
      <c r="T9907" s="81"/>
      <c r="W9907" s="185"/>
      <c r="AE9907" s="185"/>
    </row>
    <row r="9908" spans="20:31" x14ac:dyDescent="0.25">
      <c r="T9908" s="81"/>
      <c r="W9908" s="185"/>
      <c r="AE9908" s="185"/>
    </row>
    <row r="9909" spans="20:31" x14ac:dyDescent="0.25">
      <c r="T9909" s="81"/>
      <c r="W9909" s="185"/>
      <c r="AE9909" s="185"/>
    </row>
    <row r="9910" spans="20:31" x14ac:dyDescent="0.25">
      <c r="T9910" s="81"/>
      <c r="W9910" s="185"/>
      <c r="AE9910" s="185"/>
    </row>
    <row r="9911" spans="20:31" x14ac:dyDescent="0.25">
      <c r="T9911" s="81"/>
      <c r="W9911" s="185"/>
      <c r="AE9911" s="185"/>
    </row>
    <row r="9912" spans="20:31" x14ac:dyDescent="0.25">
      <c r="T9912" s="81"/>
      <c r="W9912" s="185"/>
      <c r="AE9912" s="185"/>
    </row>
    <row r="9913" spans="20:31" x14ac:dyDescent="0.25">
      <c r="T9913" s="81"/>
      <c r="W9913" s="185"/>
      <c r="AE9913" s="185"/>
    </row>
    <row r="9914" spans="20:31" x14ac:dyDescent="0.25">
      <c r="T9914" s="81"/>
      <c r="W9914" s="185"/>
      <c r="AE9914" s="185"/>
    </row>
    <row r="9915" spans="20:31" x14ac:dyDescent="0.25">
      <c r="T9915" s="81"/>
      <c r="W9915" s="185"/>
      <c r="AE9915" s="185"/>
    </row>
    <row r="9916" spans="20:31" x14ac:dyDescent="0.25">
      <c r="T9916" s="81"/>
      <c r="W9916" s="185"/>
      <c r="AE9916" s="185"/>
    </row>
    <row r="9917" spans="20:31" x14ac:dyDescent="0.25">
      <c r="T9917" s="81"/>
      <c r="W9917" s="185"/>
      <c r="AE9917" s="185"/>
    </row>
    <row r="9918" spans="20:31" x14ac:dyDescent="0.25">
      <c r="T9918" s="81"/>
      <c r="W9918" s="185"/>
      <c r="AE9918" s="185"/>
    </row>
    <row r="9919" spans="20:31" x14ac:dyDescent="0.25">
      <c r="T9919" s="81"/>
      <c r="W9919" s="185"/>
      <c r="AE9919" s="185"/>
    </row>
    <row r="9920" spans="20:31" x14ac:dyDescent="0.25">
      <c r="T9920" s="81"/>
      <c r="W9920" s="185"/>
      <c r="AE9920" s="185"/>
    </row>
    <row r="9921" spans="20:31" x14ac:dyDescent="0.25">
      <c r="T9921" s="81"/>
      <c r="W9921" s="185"/>
      <c r="AE9921" s="185"/>
    </row>
    <row r="9922" spans="20:31" x14ac:dyDescent="0.25">
      <c r="T9922" s="81"/>
      <c r="W9922" s="185"/>
      <c r="AE9922" s="185"/>
    </row>
    <row r="9923" spans="20:31" x14ac:dyDescent="0.25">
      <c r="T9923" s="81"/>
      <c r="W9923" s="185"/>
      <c r="AE9923" s="185"/>
    </row>
    <row r="9924" spans="20:31" x14ac:dyDescent="0.25">
      <c r="T9924" s="81"/>
      <c r="W9924" s="185"/>
      <c r="AE9924" s="185"/>
    </row>
    <row r="9925" spans="20:31" x14ac:dyDescent="0.25">
      <c r="T9925" s="81"/>
      <c r="W9925" s="185"/>
      <c r="AE9925" s="185"/>
    </row>
    <row r="9926" spans="20:31" x14ac:dyDescent="0.25">
      <c r="T9926" s="81"/>
      <c r="W9926" s="185"/>
      <c r="AE9926" s="185"/>
    </row>
    <row r="9927" spans="20:31" x14ac:dyDescent="0.25">
      <c r="T9927" s="81"/>
      <c r="W9927" s="185"/>
      <c r="AE9927" s="185"/>
    </row>
    <row r="9928" spans="20:31" x14ac:dyDescent="0.25">
      <c r="T9928" s="81"/>
      <c r="W9928" s="185"/>
      <c r="AE9928" s="185"/>
    </row>
    <row r="9929" spans="20:31" x14ac:dyDescent="0.25">
      <c r="T9929" s="81"/>
      <c r="W9929" s="185"/>
      <c r="AE9929" s="185"/>
    </row>
    <row r="9930" spans="20:31" x14ac:dyDescent="0.25">
      <c r="T9930" s="81"/>
      <c r="W9930" s="185"/>
      <c r="AE9930" s="185"/>
    </row>
    <row r="9931" spans="20:31" x14ac:dyDescent="0.25">
      <c r="T9931" s="81"/>
      <c r="W9931" s="185"/>
      <c r="AE9931" s="185"/>
    </row>
    <row r="9932" spans="20:31" x14ac:dyDescent="0.25">
      <c r="T9932" s="81"/>
      <c r="W9932" s="185"/>
      <c r="AE9932" s="185"/>
    </row>
    <row r="9933" spans="20:31" x14ac:dyDescent="0.25">
      <c r="T9933" s="81"/>
      <c r="W9933" s="185"/>
      <c r="AE9933" s="185"/>
    </row>
    <row r="9934" spans="20:31" x14ac:dyDescent="0.25">
      <c r="T9934" s="81"/>
      <c r="W9934" s="185"/>
      <c r="AE9934" s="185"/>
    </row>
    <row r="9935" spans="20:31" x14ac:dyDescent="0.25">
      <c r="T9935" s="81"/>
      <c r="W9935" s="185"/>
      <c r="AE9935" s="185"/>
    </row>
    <row r="9936" spans="20:31" x14ac:dyDescent="0.25">
      <c r="T9936" s="81"/>
      <c r="W9936" s="185"/>
      <c r="AE9936" s="185"/>
    </row>
    <row r="9937" spans="20:31" x14ac:dyDescent="0.25">
      <c r="T9937" s="81"/>
      <c r="W9937" s="185"/>
      <c r="AE9937" s="185"/>
    </row>
    <row r="9938" spans="20:31" x14ac:dyDescent="0.25">
      <c r="T9938" s="81"/>
      <c r="W9938" s="185"/>
      <c r="AE9938" s="185"/>
    </row>
    <row r="9939" spans="20:31" x14ac:dyDescent="0.25">
      <c r="T9939" s="81"/>
      <c r="W9939" s="185"/>
      <c r="AE9939" s="185"/>
    </row>
    <row r="9940" spans="20:31" x14ac:dyDescent="0.25">
      <c r="T9940" s="81"/>
      <c r="W9940" s="185"/>
      <c r="AE9940" s="185"/>
    </row>
    <row r="9941" spans="20:31" x14ac:dyDescent="0.25">
      <c r="T9941" s="81"/>
      <c r="W9941" s="185"/>
      <c r="AE9941" s="185"/>
    </row>
    <row r="9942" spans="20:31" x14ac:dyDescent="0.25">
      <c r="T9942" s="81"/>
      <c r="W9942" s="185"/>
      <c r="AE9942" s="185"/>
    </row>
    <row r="9943" spans="20:31" x14ac:dyDescent="0.25">
      <c r="T9943" s="81"/>
      <c r="W9943" s="185"/>
      <c r="AE9943" s="185"/>
    </row>
    <row r="9944" spans="20:31" x14ac:dyDescent="0.25">
      <c r="T9944" s="81"/>
      <c r="W9944" s="185"/>
      <c r="AE9944" s="185"/>
    </row>
    <row r="9945" spans="20:31" x14ac:dyDescent="0.25">
      <c r="T9945" s="81"/>
      <c r="W9945" s="185"/>
      <c r="AE9945" s="185"/>
    </row>
    <row r="9946" spans="20:31" x14ac:dyDescent="0.25">
      <c r="T9946" s="81"/>
      <c r="W9946" s="185"/>
      <c r="AE9946" s="185"/>
    </row>
    <row r="9947" spans="20:31" x14ac:dyDescent="0.25">
      <c r="T9947" s="81"/>
      <c r="W9947" s="185"/>
      <c r="AE9947" s="185"/>
    </row>
    <row r="9948" spans="20:31" x14ac:dyDescent="0.25">
      <c r="T9948" s="81"/>
      <c r="W9948" s="185"/>
      <c r="AE9948" s="185"/>
    </row>
    <row r="9949" spans="20:31" x14ac:dyDescent="0.25">
      <c r="T9949" s="81"/>
      <c r="W9949" s="185"/>
      <c r="AE9949" s="185"/>
    </row>
    <row r="9950" spans="20:31" x14ac:dyDescent="0.25">
      <c r="T9950" s="81"/>
      <c r="W9950" s="185"/>
      <c r="AE9950" s="185"/>
    </row>
    <row r="9951" spans="20:31" x14ac:dyDescent="0.25">
      <c r="T9951" s="81"/>
      <c r="W9951" s="185"/>
      <c r="AE9951" s="185"/>
    </row>
    <row r="9952" spans="20:31" x14ac:dyDescent="0.25">
      <c r="T9952" s="81"/>
      <c r="W9952" s="185"/>
      <c r="AE9952" s="185"/>
    </row>
    <row r="9953" spans="20:31" x14ac:dyDescent="0.25">
      <c r="T9953" s="81"/>
      <c r="W9953" s="185"/>
      <c r="AE9953" s="185"/>
    </row>
    <row r="9954" spans="20:31" x14ac:dyDescent="0.25">
      <c r="T9954" s="81"/>
      <c r="W9954" s="185"/>
      <c r="AE9954" s="185"/>
    </row>
    <row r="9955" spans="20:31" x14ac:dyDescent="0.25">
      <c r="T9955" s="81"/>
      <c r="W9955" s="185"/>
      <c r="AE9955" s="185"/>
    </row>
    <row r="9956" spans="20:31" x14ac:dyDescent="0.25">
      <c r="T9956" s="81"/>
      <c r="W9956" s="185"/>
      <c r="AE9956" s="185"/>
    </row>
    <row r="9957" spans="20:31" x14ac:dyDescent="0.25">
      <c r="T9957" s="81"/>
      <c r="W9957" s="185"/>
      <c r="AE9957" s="185"/>
    </row>
    <row r="9958" spans="20:31" x14ac:dyDescent="0.25">
      <c r="T9958" s="81"/>
      <c r="W9958" s="185"/>
      <c r="AE9958" s="185"/>
    </row>
    <row r="9959" spans="20:31" x14ac:dyDescent="0.25">
      <c r="T9959" s="81"/>
      <c r="W9959" s="185"/>
      <c r="AE9959" s="185"/>
    </row>
    <row r="9960" spans="20:31" x14ac:dyDescent="0.25">
      <c r="T9960" s="81"/>
      <c r="W9960" s="185"/>
      <c r="AE9960" s="185"/>
    </row>
    <row r="9961" spans="20:31" x14ac:dyDescent="0.25">
      <c r="T9961" s="81"/>
      <c r="W9961" s="185"/>
      <c r="AE9961" s="185"/>
    </row>
    <row r="9962" spans="20:31" x14ac:dyDescent="0.25">
      <c r="T9962" s="81"/>
      <c r="W9962" s="185"/>
      <c r="AE9962" s="185"/>
    </row>
    <row r="9963" spans="20:31" x14ac:dyDescent="0.25">
      <c r="T9963" s="81"/>
      <c r="W9963" s="185"/>
      <c r="AE9963" s="185"/>
    </row>
    <row r="9964" spans="20:31" x14ac:dyDescent="0.25">
      <c r="T9964" s="81"/>
      <c r="W9964" s="185"/>
      <c r="AE9964" s="185"/>
    </row>
    <row r="9965" spans="20:31" x14ac:dyDescent="0.25">
      <c r="T9965" s="81"/>
      <c r="W9965" s="185"/>
      <c r="AE9965" s="185"/>
    </row>
    <row r="9966" spans="20:31" x14ac:dyDescent="0.25">
      <c r="T9966" s="81"/>
      <c r="W9966" s="185"/>
      <c r="AE9966" s="185"/>
    </row>
    <row r="9967" spans="20:31" x14ac:dyDescent="0.25">
      <c r="T9967" s="81"/>
      <c r="W9967" s="185"/>
      <c r="AE9967" s="185"/>
    </row>
    <row r="9968" spans="20:31" x14ac:dyDescent="0.25">
      <c r="T9968" s="81"/>
      <c r="W9968" s="185"/>
      <c r="AE9968" s="185"/>
    </row>
    <row r="9969" spans="20:31" x14ac:dyDescent="0.25">
      <c r="T9969" s="81"/>
      <c r="W9969" s="185"/>
      <c r="AE9969" s="185"/>
    </row>
    <row r="9970" spans="20:31" x14ac:dyDescent="0.25">
      <c r="T9970" s="81"/>
      <c r="W9970" s="185"/>
      <c r="AE9970" s="185"/>
    </row>
    <row r="9971" spans="20:31" x14ac:dyDescent="0.25">
      <c r="T9971" s="81"/>
      <c r="W9971" s="185"/>
      <c r="AE9971" s="185"/>
    </row>
    <row r="9972" spans="20:31" x14ac:dyDescent="0.25">
      <c r="T9972" s="81"/>
      <c r="W9972" s="185"/>
      <c r="AE9972" s="185"/>
    </row>
    <row r="9973" spans="20:31" x14ac:dyDescent="0.25">
      <c r="T9973" s="81"/>
      <c r="W9973" s="185"/>
      <c r="AE9973" s="185"/>
    </row>
    <row r="9974" spans="20:31" x14ac:dyDescent="0.25">
      <c r="T9974" s="81"/>
      <c r="W9974" s="185"/>
      <c r="AE9974" s="185"/>
    </row>
    <row r="9975" spans="20:31" x14ac:dyDescent="0.25">
      <c r="T9975" s="81"/>
      <c r="W9975" s="185"/>
      <c r="AE9975" s="185"/>
    </row>
    <row r="9976" spans="20:31" x14ac:dyDescent="0.25">
      <c r="T9976" s="81"/>
      <c r="W9976" s="185"/>
      <c r="AE9976" s="185"/>
    </row>
    <row r="9977" spans="20:31" x14ac:dyDescent="0.25">
      <c r="T9977" s="81"/>
      <c r="W9977" s="185"/>
      <c r="AE9977" s="185"/>
    </row>
    <row r="9978" spans="20:31" x14ac:dyDescent="0.25">
      <c r="T9978" s="81"/>
      <c r="W9978" s="185"/>
      <c r="AE9978" s="185"/>
    </row>
    <row r="9979" spans="20:31" x14ac:dyDescent="0.25">
      <c r="T9979" s="81"/>
      <c r="W9979" s="185"/>
      <c r="AE9979" s="185"/>
    </row>
    <row r="9980" spans="20:31" x14ac:dyDescent="0.25">
      <c r="T9980" s="81"/>
      <c r="W9980" s="185"/>
      <c r="AE9980" s="185"/>
    </row>
    <row r="9981" spans="20:31" x14ac:dyDescent="0.25">
      <c r="T9981" s="81"/>
      <c r="W9981" s="185"/>
      <c r="AE9981" s="185"/>
    </row>
    <row r="9982" spans="20:31" x14ac:dyDescent="0.25">
      <c r="T9982" s="81"/>
      <c r="W9982" s="185"/>
      <c r="AE9982" s="185"/>
    </row>
    <row r="9983" spans="20:31" x14ac:dyDescent="0.25">
      <c r="T9983" s="81"/>
      <c r="W9983" s="185"/>
      <c r="AE9983" s="185"/>
    </row>
    <row r="9984" spans="20:31" x14ac:dyDescent="0.25">
      <c r="T9984" s="81"/>
      <c r="W9984" s="185"/>
      <c r="AE9984" s="185"/>
    </row>
    <row r="9985" spans="20:31" x14ac:dyDescent="0.25">
      <c r="T9985" s="81"/>
      <c r="W9985" s="185"/>
      <c r="AE9985" s="185"/>
    </row>
    <row r="9986" spans="20:31" x14ac:dyDescent="0.25">
      <c r="T9986" s="81"/>
      <c r="W9986" s="185"/>
      <c r="AE9986" s="185"/>
    </row>
    <row r="9987" spans="20:31" x14ac:dyDescent="0.25">
      <c r="T9987" s="81"/>
      <c r="W9987" s="185"/>
      <c r="AE9987" s="185"/>
    </row>
    <row r="9988" spans="20:31" x14ac:dyDescent="0.25">
      <c r="T9988" s="81"/>
      <c r="W9988" s="185"/>
      <c r="AE9988" s="185"/>
    </row>
    <row r="9989" spans="20:31" x14ac:dyDescent="0.25">
      <c r="T9989" s="81"/>
      <c r="W9989" s="185"/>
      <c r="AE9989" s="185"/>
    </row>
    <row r="9990" spans="20:31" x14ac:dyDescent="0.25">
      <c r="T9990" s="81"/>
      <c r="W9990" s="185"/>
      <c r="AE9990" s="185"/>
    </row>
    <row r="9991" spans="20:31" x14ac:dyDescent="0.25">
      <c r="T9991" s="81"/>
      <c r="W9991" s="185"/>
      <c r="AE9991" s="185"/>
    </row>
    <row r="9992" spans="20:31" x14ac:dyDescent="0.25">
      <c r="T9992" s="81"/>
      <c r="W9992" s="185"/>
      <c r="AE9992" s="185"/>
    </row>
    <row r="9993" spans="20:31" x14ac:dyDescent="0.25">
      <c r="T9993" s="81"/>
      <c r="W9993" s="185"/>
      <c r="AE9993" s="185"/>
    </row>
    <row r="9994" spans="20:31" x14ac:dyDescent="0.25">
      <c r="T9994" s="81"/>
      <c r="W9994" s="185"/>
      <c r="AE9994" s="185"/>
    </row>
    <row r="9995" spans="20:31" x14ac:dyDescent="0.25">
      <c r="T9995" s="81"/>
      <c r="W9995" s="185"/>
      <c r="AE9995" s="185"/>
    </row>
    <row r="9996" spans="20:31" x14ac:dyDescent="0.25">
      <c r="T9996" s="81"/>
      <c r="W9996" s="185"/>
      <c r="AE9996" s="185"/>
    </row>
    <row r="9997" spans="20:31" x14ac:dyDescent="0.25">
      <c r="T9997" s="81"/>
      <c r="W9997" s="185"/>
      <c r="AE9997" s="185"/>
    </row>
    <row r="9998" spans="20:31" x14ac:dyDescent="0.25">
      <c r="T9998" s="81"/>
      <c r="W9998" s="185"/>
      <c r="AE9998" s="185"/>
    </row>
    <row r="9999" spans="20:31" x14ac:dyDescent="0.25">
      <c r="T9999" s="81"/>
      <c r="W9999" s="185"/>
      <c r="AE9999" s="185"/>
    </row>
    <row r="10000" spans="20:31" x14ac:dyDescent="0.25">
      <c r="T10000" s="81"/>
      <c r="W10000" s="185"/>
      <c r="AE10000" s="185"/>
    </row>
    <row r="10001" spans="20:31" x14ac:dyDescent="0.25">
      <c r="T10001" s="81"/>
      <c r="W10001" s="185"/>
      <c r="AE10001" s="185"/>
    </row>
    <row r="10002" spans="20:31" x14ac:dyDescent="0.25">
      <c r="T10002" s="81"/>
      <c r="W10002" s="185"/>
      <c r="AE10002" s="185"/>
    </row>
    <row r="10003" spans="20:31" x14ac:dyDescent="0.25">
      <c r="T10003" s="81"/>
      <c r="W10003" s="185"/>
      <c r="AE10003" s="185"/>
    </row>
    <row r="10004" spans="20:31" x14ac:dyDescent="0.25">
      <c r="T10004" s="81"/>
      <c r="W10004" s="185"/>
      <c r="AE10004" s="185"/>
    </row>
    <row r="10005" spans="20:31" x14ac:dyDescent="0.25">
      <c r="T10005" s="81"/>
      <c r="W10005" s="185"/>
      <c r="AE10005" s="185"/>
    </row>
    <row r="10006" spans="20:31" x14ac:dyDescent="0.25">
      <c r="T10006" s="81"/>
      <c r="W10006" s="185"/>
      <c r="AE10006" s="185"/>
    </row>
    <row r="10007" spans="20:31" x14ac:dyDescent="0.25">
      <c r="T10007" s="81"/>
      <c r="W10007" s="185"/>
      <c r="AE10007" s="185"/>
    </row>
    <row r="10008" spans="20:31" x14ac:dyDescent="0.25">
      <c r="T10008" s="81"/>
      <c r="W10008" s="185"/>
      <c r="AE10008" s="185"/>
    </row>
    <row r="10009" spans="20:31" x14ac:dyDescent="0.25">
      <c r="T10009" s="81"/>
      <c r="W10009" s="185"/>
      <c r="AE10009" s="185"/>
    </row>
    <row r="10010" spans="20:31" x14ac:dyDescent="0.25">
      <c r="T10010" s="81"/>
      <c r="W10010" s="185"/>
      <c r="AE10010" s="185"/>
    </row>
    <row r="10011" spans="20:31" x14ac:dyDescent="0.25">
      <c r="T10011" s="81"/>
      <c r="W10011" s="185"/>
      <c r="AE10011" s="185"/>
    </row>
    <row r="10012" spans="20:31" x14ac:dyDescent="0.25">
      <c r="T10012" s="81"/>
      <c r="W10012" s="185"/>
      <c r="AE10012" s="185"/>
    </row>
  </sheetData>
  <mergeCells count="15">
    <mergeCell ref="G8:H8"/>
    <mergeCell ref="P24:Q24"/>
    <mergeCell ref="P20:Q20"/>
    <mergeCell ref="P21:Q21"/>
    <mergeCell ref="P22:Q22"/>
    <mergeCell ref="P23:Q23"/>
    <mergeCell ref="P16:Q16"/>
    <mergeCell ref="P17:Q17"/>
    <mergeCell ref="P18:Q18"/>
    <mergeCell ref="P19:Q19"/>
    <mergeCell ref="P11:Q11"/>
    <mergeCell ref="P12:Q12"/>
    <mergeCell ref="P13:Q13"/>
    <mergeCell ref="P14:Q14"/>
    <mergeCell ref="P15:Q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인포맥스함수</vt:lpstr>
      <vt:lpstr>날짜함수</vt:lpstr>
      <vt:lpstr>날짜함수활용</vt:lpstr>
      <vt:lpstr>INDEX</vt:lpstr>
      <vt:lpstr>글로벌금융시장동향</vt:lpstr>
      <vt:lpstr>글로벌금융시장동향실습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2018-11-04T23:33:47Z</dcterms:created>
  <dcterms:modified xsi:type="dcterms:W3CDTF">2023-01-25T02:24:47Z</dcterms:modified>
</cp:coreProperties>
</file>