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현재_통합_문서" defaultThemeVersion="124226"/>
  <bookViews>
    <workbookView xWindow="240" yWindow="60" windowWidth="24825" windowHeight="11700"/>
  </bookViews>
  <sheets>
    <sheet name="개요" sheetId="2" r:id="rId1"/>
    <sheet name="Daily Report" sheetId="1" r:id="rId2"/>
    <sheet name="연습" sheetId="5" r:id="rId3"/>
    <sheet name="INDEX" sheetId="6" r:id="rId4"/>
    <sheet name="날짜함수" sheetId="7" r:id="rId5"/>
  </sheets>
  <calcPr calcId="145621"/>
</workbook>
</file>

<file path=xl/calcChain.xml><?xml version="1.0" encoding="utf-8"?>
<calcChain xmlns="http://schemas.openxmlformats.org/spreadsheetml/2006/main">
  <c r="N5" i="5" l="1"/>
  <c r="C2" i="7"/>
  <c r="C4" i="7" s="1"/>
  <c r="C6" i="7" l="1"/>
  <c r="L7" i="5"/>
  <c r="C5" i="7"/>
  <c r="BE6" i="5"/>
  <c r="BD6" i="5"/>
  <c r="BC6" i="5"/>
  <c r="BB6" i="5"/>
  <c r="BA6" i="5"/>
  <c r="AZ6" i="5"/>
  <c r="AY6" i="5"/>
  <c r="AX6" i="5"/>
  <c r="AT4" i="5"/>
  <c r="BH7" i="5"/>
  <c r="BI7" i="5"/>
  <c r="BJ7" i="5"/>
  <c r="BK7" i="5"/>
  <c r="BL7" i="5"/>
  <c r="BM7" i="5"/>
  <c r="BN7" i="5"/>
  <c r="BG7" i="5"/>
  <c r="BF7" i="5"/>
  <c r="AU6" i="5"/>
  <c r="AI21" i="5" l="1"/>
  <c r="AI5" i="5"/>
  <c r="BH31" i="5"/>
  <c r="BI31" i="5"/>
  <c r="BJ31" i="5"/>
  <c r="BK31" i="5"/>
  <c r="BL31" i="5"/>
  <c r="BM31" i="5"/>
  <c r="BN31" i="5"/>
  <c r="BH32" i="5"/>
  <c r="BI32" i="5"/>
  <c r="BJ32" i="5"/>
  <c r="BK32" i="5"/>
  <c r="BL32" i="5"/>
  <c r="BM32" i="5"/>
  <c r="BN32" i="5"/>
  <c r="BH33" i="5"/>
  <c r="BI33" i="5"/>
  <c r="BJ33" i="5"/>
  <c r="BK33" i="5"/>
  <c r="BL33" i="5"/>
  <c r="BM33" i="5"/>
  <c r="BN33" i="5"/>
  <c r="BH34" i="5"/>
  <c r="BI34" i="5"/>
  <c r="BJ34" i="5"/>
  <c r="BK34" i="5"/>
  <c r="BL34" i="5"/>
  <c r="BM34" i="5"/>
  <c r="BN34" i="5"/>
  <c r="BH35" i="5"/>
  <c r="BI35" i="5"/>
  <c r="BJ35" i="5"/>
  <c r="BK35" i="5"/>
  <c r="BL35" i="5"/>
  <c r="BM35" i="5"/>
  <c r="BN35" i="5"/>
  <c r="BH36" i="5"/>
  <c r="BI36" i="5"/>
  <c r="BJ36" i="5"/>
  <c r="BK36" i="5"/>
  <c r="BL36" i="5"/>
  <c r="BM36" i="5"/>
  <c r="BN36" i="5"/>
  <c r="BH37" i="5"/>
  <c r="BI37" i="5"/>
  <c r="BJ37" i="5"/>
  <c r="BK37" i="5"/>
  <c r="BL37" i="5"/>
  <c r="BM37" i="5"/>
  <c r="BN37" i="5"/>
  <c r="BH38" i="5"/>
  <c r="BI38" i="5"/>
  <c r="BJ38" i="5"/>
  <c r="BK38" i="5"/>
  <c r="BL38" i="5"/>
  <c r="BM38" i="5"/>
  <c r="BN38" i="5"/>
  <c r="BH39" i="5"/>
  <c r="BI39" i="5"/>
  <c r="BJ39" i="5"/>
  <c r="BK39" i="5"/>
  <c r="BL39" i="5"/>
  <c r="BM39" i="5"/>
  <c r="BN39" i="5"/>
  <c r="BH40" i="5"/>
  <c r="BI40" i="5"/>
  <c r="BJ40" i="5"/>
  <c r="BK40" i="5"/>
  <c r="BL40" i="5"/>
  <c r="BM40" i="5"/>
  <c r="BN40" i="5"/>
  <c r="BH41" i="5"/>
  <c r="BI41" i="5"/>
  <c r="BJ41" i="5"/>
  <c r="BK41" i="5"/>
  <c r="BL41" i="5"/>
  <c r="BM41" i="5"/>
  <c r="BN41" i="5"/>
  <c r="BH42" i="5"/>
  <c r="BI42" i="5"/>
  <c r="BJ42" i="5"/>
  <c r="BK42" i="5"/>
  <c r="BL42" i="5"/>
  <c r="BM42" i="5"/>
  <c r="BN42" i="5"/>
  <c r="BH43" i="5"/>
  <c r="BI43" i="5"/>
  <c r="BJ43" i="5"/>
  <c r="BK43" i="5"/>
  <c r="BL43" i="5"/>
  <c r="BM43" i="5"/>
  <c r="BN43" i="5"/>
  <c r="BH44" i="5"/>
  <c r="BI44" i="5"/>
  <c r="BJ44" i="5"/>
  <c r="BK44" i="5"/>
  <c r="BL44" i="5"/>
  <c r="BM44" i="5"/>
  <c r="BN44" i="5"/>
  <c r="BH45" i="5"/>
  <c r="BI45" i="5"/>
  <c r="BJ45" i="5"/>
  <c r="BK45" i="5"/>
  <c r="BL45" i="5"/>
  <c r="BM45" i="5"/>
  <c r="BN45" i="5"/>
  <c r="BH46" i="5"/>
  <c r="BI46" i="5"/>
  <c r="BJ46" i="5"/>
  <c r="BK46" i="5"/>
  <c r="BL46" i="5"/>
  <c r="BM46" i="5"/>
  <c r="BN46" i="5"/>
  <c r="BH47" i="5"/>
  <c r="BI47" i="5"/>
  <c r="BJ47" i="5"/>
  <c r="BK47" i="5"/>
  <c r="BL47" i="5"/>
  <c r="BM47" i="5"/>
  <c r="BN47" i="5"/>
  <c r="BH48" i="5"/>
  <c r="BI48" i="5"/>
  <c r="BJ48" i="5"/>
  <c r="BK48" i="5"/>
  <c r="BL48" i="5"/>
  <c r="BM48" i="5"/>
  <c r="BN48" i="5"/>
  <c r="BH49" i="5"/>
  <c r="BI49" i="5"/>
  <c r="BJ49" i="5"/>
  <c r="BK49" i="5"/>
  <c r="BL49" i="5"/>
  <c r="BM49" i="5"/>
  <c r="BN49" i="5"/>
  <c r="BH50" i="5"/>
  <c r="BI50" i="5"/>
  <c r="BJ50" i="5"/>
  <c r="BK50" i="5"/>
  <c r="BL50" i="5"/>
  <c r="BM50" i="5"/>
  <c r="BN50" i="5"/>
  <c r="BH51" i="5"/>
  <c r="BI51" i="5"/>
  <c r="BJ51" i="5"/>
  <c r="BK51" i="5"/>
  <c r="BL51" i="5"/>
  <c r="BM51" i="5"/>
  <c r="BN51" i="5"/>
  <c r="BH52" i="5"/>
  <c r="BI52" i="5"/>
  <c r="BJ52" i="5"/>
  <c r="BK52" i="5"/>
  <c r="BL52" i="5"/>
  <c r="BM52" i="5"/>
  <c r="BN52" i="5"/>
  <c r="BH53" i="5"/>
  <c r="BI53" i="5"/>
  <c r="BJ53" i="5"/>
  <c r="BK53" i="5"/>
  <c r="BL53" i="5"/>
  <c r="BM53" i="5"/>
  <c r="BN53" i="5"/>
  <c r="BH54" i="5"/>
  <c r="BI54" i="5"/>
  <c r="BJ54" i="5"/>
  <c r="BK54" i="5"/>
  <c r="BL54" i="5"/>
  <c r="BM54" i="5"/>
  <c r="BN54" i="5"/>
  <c r="BH55" i="5"/>
  <c r="BI55" i="5"/>
  <c r="BJ55" i="5"/>
  <c r="BK55" i="5"/>
  <c r="BL55" i="5"/>
  <c r="BM55" i="5"/>
  <c r="BN55" i="5"/>
  <c r="BH56" i="5"/>
  <c r="BI56" i="5"/>
  <c r="BJ56" i="5"/>
  <c r="BK56" i="5"/>
  <c r="BL56" i="5"/>
  <c r="BM56" i="5"/>
  <c r="BN56" i="5"/>
  <c r="BH57" i="5"/>
  <c r="BI57" i="5"/>
  <c r="BJ57" i="5"/>
  <c r="BK57" i="5"/>
  <c r="BL57" i="5"/>
  <c r="BM57" i="5"/>
  <c r="BN57" i="5"/>
  <c r="BH58" i="5"/>
  <c r="BI58" i="5"/>
  <c r="BJ58" i="5"/>
  <c r="BK58" i="5"/>
  <c r="BL58" i="5"/>
  <c r="BM58" i="5"/>
  <c r="BN58" i="5"/>
  <c r="BH59" i="5"/>
  <c r="BI59" i="5"/>
  <c r="BJ59" i="5"/>
  <c r="BK59" i="5"/>
  <c r="BL59" i="5"/>
  <c r="BM59" i="5"/>
  <c r="BN59" i="5"/>
  <c r="BH60" i="5"/>
  <c r="BI60" i="5"/>
  <c r="BJ60" i="5"/>
  <c r="BK60" i="5"/>
  <c r="BL60" i="5"/>
  <c r="BM60" i="5"/>
  <c r="BN60" i="5"/>
  <c r="BH61" i="5"/>
  <c r="BI61" i="5"/>
  <c r="BJ61" i="5"/>
  <c r="BK61" i="5"/>
  <c r="BL61" i="5"/>
  <c r="BM61" i="5"/>
  <c r="BN61" i="5"/>
  <c r="BH62" i="5"/>
  <c r="BI62" i="5"/>
  <c r="BJ62" i="5"/>
  <c r="BK62" i="5"/>
  <c r="BL62" i="5"/>
  <c r="BM62" i="5"/>
  <c r="BN62" i="5"/>
  <c r="BH63" i="5"/>
  <c r="BI63" i="5"/>
  <c r="BJ63" i="5"/>
  <c r="BK63" i="5"/>
  <c r="BL63" i="5"/>
  <c r="BM63" i="5"/>
  <c r="BN63" i="5"/>
  <c r="BH64" i="5"/>
  <c r="BI64" i="5"/>
  <c r="BJ64" i="5"/>
  <c r="BK64" i="5"/>
  <c r="BL64" i="5"/>
  <c r="BM64" i="5"/>
  <c r="BN64" i="5"/>
  <c r="BH65" i="5"/>
  <c r="BI65" i="5"/>
  <c r="BJ65" i="5"/>
  <c r="BK65" i="5"/>
  <c r="BL65" i="5"/>
  <c r="BM65" i="5"/>
  <c r="BN65" i="5"/>
  <c r="BH66" i="5"/>
  <c r="BI66" i="5"/>
  <c r="BJ66" i="5"/>
  <c r="BK66" i="5"/>
  <c r="BL66" i="5"/>
  <c r="BM66" i="5"/>
  <c r="BN66" i="5"/>
  <c r="BH67" i="5"/>
  <c r="BI67" i="5"/>
  <c r="BJ67" i="5"/>
  <c r="BK67" i="5"/>
  <c r="BL67" i="5"/>
  <c r="BM67" i="5"/>
  <c r="BN67" i="5"/>
  <c r="BH68" i="5"/>
  <c r="BI68" i="5"/>
  <c r="BJ68" i="5"/>
  <c r="BK68" i="5"/>
  <c r="BL68" i="5"/>
  <c r="BM68" i="5"/>
  <c r="BN68" i="5"/>
  <c r="BH29" i="5"/>
  <c r="BI29" i="5"/>
  <c r="BJ29" i="5"/>
  <c r="BK29" i="5"/>
  <c r="BL29" i="5"/>
  <c r="BM29" i="5"/>
  <c r="BN29" i="5"/>
  <c r="BH30" i="5"/>
  <c r="BI30" i="5"/>
  <c r="BJ30" i="5"/>
  <c r="BK30" i="5"/>
  <c r="BL30" i="5"/>
  <c r="BM30" i="5"/>
  <c r="BN30" i="5"/>
  <c r="BH9" i="5"/>
  <c r="BI9" i="5"/>
  <c r="BJ9" i="5"/>
  <c r="BK9" i="5"/>
  <c r="BL9" i="5"/>
  <c r="BM9" i="5"/>
  <c r="BN9" i="5"/>
  <c r="BH10" i="5"/>
  <c r="BI10" i="5"/>
  <c r="BJ10" i="5"/>
  <c r="BK10" i="5"/>
  <c r="BL10" i="5"/>
  <c r="BM10" i="5"/>
  <c r="BN10" i="5"/>
  <c r="BH11" i="5"/>
  <c r="BI11" i="5"/>
  <c r="BJ11" i="5"/>
  <c r="BK11" i="5"/>
  <c r="BL11" i="5"/>
  <c r="BM11" i="5"/>
  <c r="BN11" i="5"/>
  <c r="BH12" i="5"/>
  <c r="BI12" i="5"/>
  <c r="BJ12" i="5"/>
  <c r="BK12" i="5"/>
  <c r="BL12" i="5"/>
  <c r="BM12" i="5"/>
  <c r="BN12" i="5"/>
  <c r="BH13" i="5"/>
  <c r="BI13" i="5"/>
  <c r="BJ13" i="5"/>
  <c r="BK13" i="5"/>
  <c r="BL13" i="5"/>
  <c r="BM13" i="5"/>
  <c r="BN13" i="5"/>
  <c r="BH14" i="5"/>
  <c r="BI14" i="5"/>
  <c r="BJ14" i="5"/>
  <c r="BK14" i="5"/>
  <c r="BL14" i="5"/>
  <c r="BM14" i="5"/>
  <c r="BN14" i="5"/>
  <c r="BH15" i="5"/>
  <c r="BI15" i="5"/>
  <c r="BJ15" i="5"/>
  <c r="BK15" i="5"/>
  <c r="BL15" i="5"/>
  <c r="BM15" i="5"/>
  <c r="BN15" i="5"/>
  <c r="BH16" i="5"/>
  <c r="BI16" i="5"/>
  <c r="BJ16" i="5"/>
  <c r="BK16" i="5"/>
  <c r="BL16" i="5"/>
  <c r="BM16" i="5"/>
  <c r="BN16" i="5"/>
  <c r="BH17" i="5"/>
  <c r="BI17" i="5"/>
  <c r="BJ17" i="5"/>
  <c r="BK17" i="5"/>
  <c r="BL17" i="5"/>
  <c r="BM17" i="5"/>
  <c r="BN17" i="5"/>
  <c r="BH18" i="5"/>
  <c r="BI18" i="5"/>
  <c r="BJ18" i="5"/>
  <c r="BK18" i="5"/>
  <c r="BL18" i="5"/>
  <c r="BM18" i="5"/>
  <c r="BN18" i="5"/>
  <c r="BH19" i="5"/>
  <c r="BI19" i="5"/>
  <c r="BJ19" i="5"/>
  <c r="BK19" i="5"/>
  <c r="BL19" i="5"/>
  <c r="BM19" i="5"/>
  <c r="BN19" i="5"/>
  <c r="BH20" i="5"/>
  <c r="BI20" i="5"/>
  <c r="BJ20" i="5"/>
  <c r="BK20" i="5"/>
  <c r="BL20" i="5"/>
  <c r="BM20" i="5"/>
  <c r="BN20" i="5"/>
  <c r="BH21" i="5"/>
  <c r="BI21" i="5"/>
  <c r="BJ21" i="5"/>
  <c r="BK21" i="5"/>
  <c r="BL21" i="5"/>
  <c r="BM21" i="5"/>
  <c r="BN21" i="5"/>
  <c r="BH22" i="5"/>
  <c r="BI22" i="5"/>
  <c r="BJ22" i="5"/>
  <c r="BK22" i="5"/>
  <c r="BL22" i="5"/>
  <c r="BM22" i="5"/>
  <c r="BN22" i="5"/>
  <c r="BH23" i="5"/>
  <c r="BI23" i="5"/>
  <c r="BJ23" i="5"/>
  <c r="BK23" i="5"/>
  <c r="BL23" i="5"/>
  <c r="BM23" i="5"/>
  <c r="BN23" i="5"/>
  <c r="BH24" i="5"/>
  <c r="BI24" i="5"/>
  <c r="BJ24" i="5"/>
  <c r="BK24" i="5"/>
  <c r="BL24" i="5"/>
  <c r="BM24" i="5"/>
  <c r="BN24" i="5"/>
  <c r="BH25" i="5"/>
  <c r="BI25" i="5"/>
  <c r="BJ25" i="5"/>
  <c r="BK25" i="5"/>
  <c r="BL25" i="5"/>
  <c r="BM25" i="5"/>
  <c r="BN25" i="5"/>
  <c r="BH26" i="5"/>
  <c r="BI26" i="5"/>
  <c r="BJ26" i="5"/>
  <c r="BK26" i="5"/>
  <c r="BL26" i="5"/>
  <c r="BM26" i="5"/>
  <c r="BN26" i="5"/>
  <c r="BH27" i="5"/>
  <c r="BI27" i="5"/>
  <c r="BJ27" i="5"/>
  <c r="BK27" i="5"/>
  <c r="BL27" i="5"/>
  <c r="BM27" i="5"/>
  <c r="BN27" i="5"/>
  <c r="BH28" i="5"/>
  <c r="BI28" i="5"/>
  <c r="BJ28" i="5"/>
  <c r="BK28" i="5"/>
  <c r="BL28" i="5"/>
  <c r="BM28" i="5"/>
  <c r="BN28" i="5"/>
  <c r="BG29" i="5"/>
  <c r="BG30" i="5"/>
  <c r="BG31" i="5"/>
  <c r="BG32" i="5"/>
  <c r="BG33" i="5"/>
  <c r="BZ665" i="5" l="1"/>
  <c r="BY665" i="5"/>
  <c r="BX665" i="5"/>
  <c r="BW665" i="5"/>
  <c r="BV665" i="5"/>
  <c r="BU665" i="5"/>
  <c r="BT665" i="5"/>
  <c r="BS665" i="5"/>
  <c r="BR665" i="5"/>
  <c r="BZ664" i="5"/>
  <c r="BY664" i="5"/>
  <c r="BX664" i="5"/>
  <c r="BW664" i="5"/>
  <c r="BV664" i="5"/>
  <c r="BU664" i="5"/>
  <c r="BT664" i="5"/>
  <c r="BS664" i="5"/>
  <c r="BR664" i="5"/>
  <c r="BZ663" i="5"/>
  <c r="BY663" i="5"/>
  <c r="BX663" i="5"/>
  <c r="BW663" i="5"/>
  <c r="BV663" i="5"/>
  <c r="BU663" i="5"/>
  <c r="BT663" i="5"/>
  <c r="BS663" i="5"/>
  <c r="BR663" i="5"/>
  <c r="BZ662" i="5"/>
  <c r="BY662" i="5"/>
  <c r="BX662" i="5"/>
  <c r="BW662" i="5"/>
  <c r="BV662" i="5"/>
  <c r="BU662" i="5"/>
  <c r="BT662" i="5"/>
  <c r="BS662" i="5"/>
  <c r="BR662" i="5"/>
  <c r="BZ661" i="5"/>
  <c r="BY661" i="5"/>
  <c r="BX661" i="5"/>
  <c r="BW661" i="5"/>
  <c r="BV661" i="5"/>
  <c r="BU661" i="5"/>
  <c r="BT661" i="5"/>
  <c r="BS661" i="5"/>
  <c r="BR661" i="5"/>
  <c r="BZ660" i="5"/>
  <c r="BY660" i="5"/>
  <c r="BX660" i="5"/>
  <c r="BW660" i="5"/>
  <c r="BV660" i="5"/>
  <c r="BU660" i="5"/>
  <c r="BT660" i="5"/>
  <c r="BS660" i="5"/>
  <c r="BR660" i="5"/>
  <c r="BZ659" i="5"/>
  <c r="BY659" i="5"/>
  <c r="BX659" i="5"/>
  <c r="BW659" i="5"/>
  <c r="BV659" i="5"/>
  <c r="BU659" i="5"/>
  <c r="BT659" i="5"/>
  <c r="BS659" i="5"/>
  <c r="BR659" i="5"/>
  <c r="BZ658" i="5"/>
  <c r="BY658" i="5"/>
  <c r="BX658" i="5"/>
  <c r="BW658" i="5"/>
  <c r="BV658" i="5"/>
  <c r="BU658" i="5"/>
  <c r="BT658" i="5"/>
  <c r="BS658" i="5"/>
  <c r="BR658" i="5"/>
  <c r="BZ657" i="5"/>
  <c r="BY657" i="5"/>
  <c r="BX657" i="5"/>
  <c r="BW657" i="5"/>
  <c r="BV657" i="5"/>
  <c r="BU657" i="5"/>
  <c r="BT657" i="5"/>
  <c r="BS657" i="5"/>
  <c r="BR657" i="5"/>
  <c r="BZ656" i="5"/>
  <c r="BY656" i="5"/>
  <c r="BX656" i="5"/>
  <c r="BW656" i="5"/>
  <c r="BV656" i="5"/>
  <c r="BU656" i="5"/>
  <c r="BT656" i="5"/>
  <c r="BS656" i="5"/>
  <c r="BR656" i="5"/>
  <c r="BZ655" i="5"/>
  <c r="BY655" i="5"/>
  <c r="BX655" i="5"/>
  <c r="BW655" i="5"/>
  <c r="BV655" i="5"/>
  <c r="BU655" i="5"/>
  <c r="BT655" i="5"/>
  <c r="BS655" i="5"/>
  <c r="BR655" i="5"/>
  <c r="BZ654" i="5"/>
  <c r="BY654" i="5"/>
  <c r="BX654" i="5"/>
  <c r="BW654" i="5"/>
  <c r="BV654" i="5"/>
  <c r="BU654" i="5"/>
  <c r="BT654" i="5"/>
  <c r="BS654" i="5"/>
  <c r="BR654" i="5"/>
  <c r="BZ653" i="5"/>
  <c r="BY653" i="5"/>
  <c r="BX653" i="5"/>
  <c r="BW653" i="5"/>
  <c r="BV653" i="5"/>
  <c r="BU653" i="5"/>
  <c r="BT653" i="5"/>
  <c r="BS653" i="5"/>
  <c r="BR653" i="5"/>
  <c r="BZ652" i="5"/>
  <c r="BY652" i="5"/>
  <c r="BX652" i="5"/>
  <c r="BW652" i="5"/>
  <c r="BV652" i="5"/>
  <c r="BU652" i="5"/>
  <c r="BT652" i="5"/>
  <c r="BS652" i="5"/>
  <c r="BR652" i="5"/>
  <c r="BZ651" i="5"/>
  <c r="BY651" i="5"/>
  <c r="BX651" i="5"/>
  <c r="BW651" i="5"/>
  <c r="BV651" i="5"/>
  <c r="BU651" i="5"/>
  <c r="BT651" i="5"/>
  <c r="BS651" i="5"/>
  <c r="BR651" i="5"/>
  <c r="BZ650" i="5"/>
  <c r="BY650" i="5"/>
  <c r="BX650" i="5"/>
  <c r="BW650" i="5"/>
  <c r="BV650" i="5"/>
  <c r="BU650" i="5"/>
  <c r="BT650" i="5"/>
  <c r="BS650" i="5"/>
  <c r="BR650" i="5"/>
  <c r="BZ649" i="5"/>
  <c r="BY649" i="5"/>
  <c r="BX649" i="5"/>
  <c r="BW649" i="5"/>
  <c r="BV649" i="5"/>
  <c r="BU649" i="5"/>
  <c r="BT649" i="5"/>
  <c r="BS649" i="5"/>
  <c r="BR649" i="5"/>
  <c r="BZ648" i="5"/>
  <c r="BY648" i="5"/>
  <c r="BX648" i="5"/>
  <c r="BW648" i="5"/>
  <c r="BV648" i="5"/>
  <c r="BU648" i="5"/>
  <c r="BT648" i="5"/>
  <c r="BS648" i="5"/>
  <c r="BR648" i="5"/>
  <c r="BZ647" i="5"/>
  <c r="BY647" i="5"/>
  <c r="BX647" i="5"/>
  <c r="BW647" i="5"/>
  <c r="BV647" i="5"/>
  <c r="BU647" i="5"/>
  <c r="BT647" i="5"/>
  <c r="BS647" i="5"/>
  <c r="BR647" i="5"/>
  <c r="BZ646" i="5"/>
  <c r="BY646" i="5"/>
  <c r="BX646" i="5"/>
  <c r="BW646" i="5"/>
  <c r="BV646" i="5"/>
  <c r="BU646" i="5"/>
  <c r="BT646" i="5"/>
  <c r="BS646" i="5"/>
  <c r="BR646" i="5"/>
  <c r="BZ645" i="5"/>
  <c r="BY645" i="5"/>
  <c r="BX645" i="5"/>
  <c r="BW645" i="5"/>
  <c r="BV645" i="5"/>
  <c r="BU645" i="5"/>
  <c r="BT645" i="5"/>
  <c r="BS645" i="5"/>
  <c r="BR645" i="5"/>
  <c r="BZ644" i="5"/>
  <c r="BY644" i="5"/>
  <c r="BX644" i="5"/>
  <c r="BW644" i="5"/>
  <c r="BV644" i="5"/>
  <c r="BU644" i="5"/>
  <c r="BT644" i="5"/>
  <c r="BS644" i="5"/>
  <c r="BR644" i="5"/>
  <c r="BZ643" i="5"/>
  <c r="BY643" i="5"/>
  <c r="BX643" i="5"/>
  <c r="BW643" i="5"/>
  <c r="BV643" i="5"/>
  <c r="BU643" i="5"/>
  <c r="BT643" i="5"/>
  <c r="BS643" i="5"/>
  <c r="BR643" i="5"/>
  <c r="BZ642" i="5"/>
  <c r="BY642" i="5"/>
  <c r="BX642" i="5"/>
  <c r="BW642" i="5"/>
  <c r="BV642" i="5"/>
  <c r="BU642" i="5"/>
  <c r="BT642" i="5"/>
  <c r="BS642" i="5"/>
  <c r="BR642" i="5"/>
  <c r="BZ641" i="5"/>
  <c r="BY641" i="5"/>
  <c r="BX641" i="5"/>
  <c r="BW641" i="5"/>
  <c r="BV641" i="5"/>
  <c r="BU641" i="5"/>
  <c r="BT641" i="5"/>
  <c r="BS641" i="5"/>
  <c r="BR641" i="5"/>
  <c r="BZ640" i="5"/>
  <c r="BY640" i="5"/>
  <c r="BX640" i="5"/>
  <c r="BW640" i="5"/>
  <c r="BV640" i="5"/>
  <c r="BU640" i="5"/>
  <c r="BT640" i="5"/>
  <c r="BS640" i="5"/>
  <c r="BR640" i="5"/>
  <c r="BZ639" i="5"/>
  <c r="BY639" i="5"/>
  <c r="BX639" i="5"/>
  <c r="BW639" i="5"/>
  <c r="BV639" i="5"/>
  <c r="BU639" i="5"/>
  <c r="BT639" i="5"/>
  <c r="BS639" i="5"/>
  <c r="BR639" i="5"/>
  <c r="BZ638" i="5"/>
  <c r="BY638" i="5"/>
  <c r="BX638" i="5"/>
  <c r="BW638" i="5"/>
  <c r="BV638" i="5"/>
  <c r="BU638" i="5"/>
  <c r="BT638" i="5"/>
  <c r="BS638" i="5"/>
  <c r="BR638" i="5"/>
  <c r="BZ637" i="5"/>
  <c r="BY637" i="5"/>
  <c r="BX637" i="5"/>
  <c r="BW637" i="5"/>
  <c r="BV637" i="5"/>
  <c r="BU637" i="5"/>
  <c r="BT637" i="5"/>
  <c r="BS637" i="5"/>
  <c r="BR637" i="5"/>
  <c r="BZ636" i="5"/>
  <c r="BY636" i="5"/>
  <c r="BX636" i="5"/>
  <c r="BW636" i="5"/>
  <c r="BV636" i="5"/>
  <c r="BU636" i="5"/>
  <c r="BT636" i="5"/>
  <c r="BS636" i="5"/>
  <c r="BR636" i="5"/>
  <c r="BZ635" i="5"/>
  <c r="BY635" i="5"/>
  <c r="BX635" i="5"/>
  <c r="BW635" i="5"/>
  <c r="BV635" i="5"/>
  <c r="BU635" i="5"/>
  <c r="BT635" i="5"/>
  <c r="BS635" i="5"/>
  <c r="BR635" i="5"/>
  <c r="BZ634" i="5"/>
  <c r="BY634" i="5"/>
  <c r="BX634" i="5"/>
  <c r="BW634" i="5"/>
  <c r="BV634" i="5"/>
  <c r="BU634" i="5"/>
  <c r="BT634" i="5"/>
  <c r="BS634" i="5"/>
  <c r="BR634" i="5"/>
  <c r="BZ633" i="5"/>
  <c r="BY633" i="5"/>
  <c r="BX633" i="5"/>
  <c r="BW633" i="5"/>
  <c r="BV633" i="5"/>
  <c r="BU633" i="5"/>
  <c r="BT633" i="5"/>
  <c r="BS633" i="5"/>
  <c r="BR633" i="5"/>
  <c r="BZ632" i="5"/>
  <c r="BY632" i="5"/>
  <c r="BX632" i="5"/>
  <c r="BW632" i="5"/>
  <c r="BV632" i="5"/>
  <c r="BU632" i="5"/>
  <c r="BT632" i="5"/>
  <c r="BS632" i="5"/>
  <c r="BR632" i="5"/>
  <c r="BZ631" i="5"/>
  <c r="BY631" i="5"/>
  <c r="BX631" i="5"/>
  <c r="BW631" i="5"/>
  <c r="BV631" i="5"/>
  <c r="BU631" i="5"/>
  <c r="BT631" i="5"/>
  <c r="BS631" i="5"/>
  <c r="BR631" i="5"/>
  <c r="BZ630" i="5"/>
  <c r="BY630" i="5"/>
  <c r="BX630" i="5"/>
  <c r="BW630" i="5"/>
  <c r="BV630" i="5"/>
  <c r="BU630" i="5"/>
  <c r="BT630" i="5"/>
  <c r="BS630" i="5"/>
  <c r="BR630" i="5"/>
  <c r="BZ629" i="5"/>
  <c r="BY629" i="5"/>
  <c r="BX629" i="5"/>
  <c r="BW629" i="5"/>
  <c r="BV629" i="5"/>
  <c r="BU629" i="5"/>
  <c r="BT629" i="5"/>
  <c r="BS629" i="5"/>
  <c r="BR629" i="5"/>
  <c r="BZ628" i="5"/>
  <c r="BY628" i="5"/>
  <c r="BX628" i="5"/>
  <c r="BW628" i="5"/>
  <c r="BV628" i="5"/>
  <c r="BU628" i="5"/>
  <c r="BT628" i="5"/>
  <c r="BS628" i="5"/>
  <c r="BR628" i="5"/>
  <c r="BZ627" i="5"/>
  <c r="BY627" i="5"/>
  <c r="BX627" i="5"/>
  <c r="BW627" i="5"/>
  <c r="BV627" i="5"/>
  <c r="BU627" i="5"/>
  <c r="BT627" i="5"/>
  <c r="BS627" i="5"/>
  <c r="BR627" i="5"/>
  <c r="BZ626" i="5"/>
  <c r="BY626" i="5"/>
  <c r="BX626" i="5"/>
  <c r="BW626" i="5"/>
  <c r="BV626" i="5"/>
  <c r="BU626" i="5"/>
  <c r="BT626" i="5"/>
  <c r="BS626" i="5"/>
  <c r="BR626" i="5"/>
  <c r="BZ625" i="5"/>
  <c r="BY625" i="5"/>
  <c r="BX625" i="5"/>
  <c r="BW625" i="5"/>
  <c r="BV625" i="5"/>
  <c r="BU625" i="5"/>
  <c r="BT625" i="5"/>
  <c r="BS625" i="5"/>
  <c r="BR625" i="5"/>
  <c r="BZ624" i="5"/>
  <c r="BY624" i="5"/>
  <c r="BX624" i="5"/>
  <c r="BW624" i="5"/>
  <c r="BV624" i="5"/>
  <c r="BU624" i="5"/>
  <c r="BT624" i="5"/>
  <c r="BS624" i="5"/>
  <c r="BR624" i="5"/>
  <c r="BZ623" i="5"/>
  <c r="BY623" i="5"/>
  <c r="BX623" i="5"/>
  <c r="BW623" i="5"/>
  <c r="BV623" i="5"/>
  <c r="BU623" i="5"/>
  <c r="BT623" i="5"/>
  <c r="BS623" i="5"/>
  <c r="BR623" i="5"/>
  <c r="BZ622" i="5"/>
  <c r="BY622" i="5"/>
  <c r="BX622" i="5"/>
  <c r="BW622" i="5"/>
  <c r="BV622" i="5"/>
  <c r="BU622" i="5"/>
  <c r="BT622" i="5"/>
  <c r="BS622" i="5"/>
  <c r="BR622" i="5"/>
  <c r="BZ621" i="5"/>
  <c r="BY621" i="5"/>
  <c r="BX621" i="5"/>
  <c r="BW621" i="5"/>
  <c r="BV621" i="5"/>
  <c r="BU621" i="5"/>
  <c r="BT621" i="5"/>
  <c r="BS621" i="5"/>
  <c r="BR621" i="5"/>
  <c r="BZ620" i="5"/>
  <c r="BY620" i="5"/>
  <c r="BX620" i="5"/>
  <c r="BW620" i="5"/>
  <c r="BV620" i="5"/>
  <c r="BU620" i="5"/>
  <c r="BT620" i="5"/>
  <c r="BS620" i="5"/>
  <c r="BR620" i="5"/>
  <c r="BZ619" i="5"/>
  <c r="BY619" i="5"/>
  <c r="BX619" i="5"/>
  <c r="BW619" i="5"/>
  <c r="BV619" i="5"/>
  <c r="BU619" i="5"/>
  <c r="BT619" i="5"/>
  <c r="BS619" i="5"/>
  <c r="BR619" i="5"/>
  <c r="BZ618" i="5"/>
  <c r="BY618" i="5"/>
  <c r="BX618" i="5"/>
  <c r="BW618" i="5"/>
  <c r="BV618" i="5"/>
  <c r="BU618" i="5"/>
  <c r="BT618" i="5"/>
  <c r="BS618" i="5"/>
  <c r="BR618" i="5"/>
  <c r="BZ617" i="5"/>
  <c r="BY617" i="5"/>
  <c r="BX617" i="5"/>
  <c r="BW617" i="5"/>
  <c r="BV617" i="5"/>
  <c r="BU617" i="5"/>
  <c r="BT617" i="5"/>
  <c r="BS617" i="5"/>
  <c r="BR617" i="5"/>
  <c r="BZ616" i="5"/>
  <c r="BY616" i="5"/>
  <c r="BX616" i="5"/>
  <c r="BW616" i="5"/>
  <c r="BV616" i="5"/>
  <c r="BU616" i="5"/>
  <c r="BT616" i="5"/>
  <c r="BS616" i="5"/>
  <c r="BR616" i="5"/>
  <c r="BZ615" i="5"/>
  <c r="BY615" i="5"/>
  <c r="BX615" i="5"/>
  <c r="BW615" i="5"/>
  <c r="BV615" i="5"/>
  <c r="BU615" i="5"/>
  <c r="BT615" i="5"/>
  <c r="BS615" i="5"/>
  <c r="BR615" i="5"/>
  <c r="BZ614" i="5"/>
  <c r="BY614" i="5"/>
  <c r="BX614" i="5"/>
  <c r="BW614" i="5"/>
  <c r="BV614" i="5"/>
  <c r="BU614" i="5"/>
  <c r="BT614" i="5"/>
  <c r="BS614" i="5"/>
  <c r="BR614" i="5"/>
  <c r="BZ613" i="5"/>
  <c r="BY613" i="5"/>
  <c r="BX613" i="5"/>
  <c r="BW613" i="5"/>
  <c r="BV613" i="5"/>
  <c r="BU613" i="5"/>
  <c r="BT613" i="5"/>
  <c r="BS613" i="5"/>
  <c r="BR613" i="5"/>
  <c r="BZ612" i="5"/>
  <c r="BY612" i="5"/>
  <c r="BX612" i="5"/>
  <c r="BW612" i="5"/>
  <c r="BV612" i="5"/>
  <c r="BU612" i="5"/>
  <c r="BT612" i="5"/>
  <c r="BS612" i="5"/>
  <c r="BR612" i="5"/>
  <c r="BZ611" i="5"/>
  <c r="BY611" i="5"/>
  <c r="BX611" i="5"/>
  <c r="BW611" i="5"/>
  <c r="BV611" i="5"/>
  <c r="BU611" i="5"/>
  <c r="BT611" i="5"/>
  <c r="BS611" i="5"/>
  <c r="BR611" i="5"/>
  <c r="BZ610" i="5"/>
  <c r="BY610" i="5"/>
  <c r="BX610" i="5"/>
  <c r="BW610" i="5"/>
  <c r="BV610" i="5"/>
  <c r="BU610" i="5"/>
  <c r="BT610" i="5"/>
  <c r="BS610" i="5"/>
  <c r="BR610" i="5"/>
  <c r="BZ609" i="5"/>
  <c r="BY609" i="5"/>
  <c r="BX609" i="5"/>
  <c r="BW609" i="5"/>
  <c r="BV609" i="5"/>
  <c r="BU609" i="5"/>
  <c r="BT609" i="5"/>
  <c r="BS609" i="5"/>
  <c r="BR609" i="5"/>
  <c r="BZ608" i="5"/>
  <c r="BY608" i="5"/>
  <c r="BX608" i="5"/>
  <c r="BW608" i="5"/>
  <c r="BV608" i="5"/>
  <c r="BU608" i="5"/>
  <c r="BT608" i="5"/>
  <c r="BS608" i="5"/>
  <c r="BR608" i="5"/>
  <c r="BZ607" i="5"/>
  <c r="BY607" i="5"/>
  <c r="BX607" i="5"/>
  <c r="BW607" i="5"/>
  <c r="BV607" i="5"/>
  <c r="BU607" i="5"/>
  <c r="BT607" i="5"/>
  <c r="BS607" i="5"/>
  <c r="BR607" i="5"/>
  <c r="BZ606" i="5"/>
  <c r="BY606" i="5"/>
  <c r="BX606" i="5"/>
  <c r="BW606" i="5"/>
  <c r="BV606" i="5"/>
  <c r="BU606" i="5"/>
  <c r="BT606" i="5"/>
  <c r="BS606" i="5"/>
  <c r="BR606" i="5"/>
  <c r="BZ605" i="5"/>
  <c r="BY605" i="5"/>
  <c r="BX605" i="5"/>
  <c r="BW605" i="5"/>
  <c r="BV605" i="5"/>
  <c r="BU605" i="5"/>
  <c r="BT605" i="5"/>
  <c r="BS605" i="5"/>
  <c r="BR605" i="5"/>
  <c r="BZ604" i="5"/>
  <c r="BY604" i="5"/>
  <c r="BX604" i="5"/>
  <c r="BW604" i="5"/>
  <c r="BV604" i="5"/>
  <c r="BU604" i="5"/>
  <c r="BT604" i="5"/>
  <c r="BS604" i="5"/>
  <c r="BR604" i="5"/>
  <c r="BZ603" i="5"/>
  <c r="BY603" i="5"/>
  <c r="BX603" i="5"/>
  <c r="BW603" i="5"/>
  <c r="BV603" i="5"/>
  <c r="BU603" i="5"/>
  <c r="BT603" i="5"/>
  <c r="BS603" i="5"/>
  <c r="BR603" i="5"/>
  <c r="BZ602" i="5"/>
  <c r="BY602" i="5"/>
  <c r="BX602" i="5"/>
  <c r="BW602" i="5"/>
  <c r="BV602" i="5"/>
  <c r="BU602" i="5"/>
  <c r="BT602" i="5"/>
  <c r="BS602" i="5"/>
  <c r="BR602" i="5"/>
  <c r="BZ601" i="5"/>
  <c r="BY601" i="5"/>
  <c r="BX601" i="5"/>
  <c r="BW601" i="5"/>
  <c r="BV601" i="5"/>
  <c r="BU601" i="5"/>
  <c r="BT601" i="5"/>
  <c r="BS601" i="5"/>
  <c r="BR601" i="5"/>
  <c r="BZ600" i="5"/>
  <c r="BY600" i="5"/>
  <c r="BX600" i="5"/>
  <c r="BW600" i="5"/>
  <c r="BV600" i="5"/>
  <c r="BU600" i="5"/>
  <c r="BT600" i="5"/>
  <c r="BS600" i="5"/>
  <c r="BR600" i="5"/>
  <c r="BZ599" i="5"/>
  <c r="BY599" i="5"/>
  <c r="BX599" i="5"/>
  <c r="BW599" i="5"/>
  <c r="BV599" i="5"/>
  <c r="BU599" i="5"/>
  <c r="BT599" i="5"/>
  <c r="BS599" i="5"/>
  <c r="BR599" i="5"/>
  <c r="BZ598" i="5"/>
  <c r="BY598" i="5"/>
  <c r="BX598" i="5"/>
  <c r="BW598" i="5"/>
  <c r="BV598" i="5"/>
  <c r="BU598" i="5"/>
  <c r="BT598" i="5"/>
  <c r="BS598" i="5"/>
  <c r="BR598" i="5"/>
  <c r="BZ597" i="5"/>
  <c r="BY597" i="5"/>
  <c r="BX597" i="5"/>
  <c r="BW597" i="5"/>
  <c r="BV597" i="5"/>
  <c r="BU597" i="5"/>
  <c r="BT597" i="5"/>
  <c r="BS597" i="5"/>
  <c r="BR597" i="5"/>
  <c r="BZ596" i="5"/>
  <c r="BY596" i="5"/>
  <c r="BX596" i="5"/>
  <c r="BW596" i="5"/>
  <c r="BV596" i="5"/>
  <c r="BU596" i="5"/>
  <c r="BT596" i="5"/>
  <c r="BS596" i="5"/>
  <c r="BR596" i="5"/>
  <c r="BZ595" i="5"/>
  <c r="BY595" i="5"/>
  <c r="BX595" i="5"/>
  <c r="BW595" i="5"/>
  <c r="BV595" i="5"/>
  <c r="BU595" i="5"/>
  <c r="BT595" i="5"/>
  <c r="BS595" i="5"/>
  <c r="BR595" i="5"/>
  <c r="BZ594" i="5"/>
  <c r="BY594" i="5"/>
  <c r="BX594" i="5"/>
  <c r="BW594" i="5"/>
  <c r="BV594" i="5"/>
  <c r="BU594" i="5"/>
  <c r="BT594" i="5"/>
  <c r="BS594" i="5"/>
  <c r="BR594" i="5"/>
  <c r="BZ593" i="5"/>
  <c r="BY593" i="5"/>
  <c r="BX593" i="5"/>
  <c r="BW593" i="5"/>
  <c r="BV593" i="5"/>
  <c r="BU593" i="5"/>
  <c r="BT593" i="5"/>
  <c r="BS593" i="5"/>
  <c r="BR593" i="5"/>
  <c r="BZ592" i="5"/>
  <c r="BY592" i="5"/>
  <c r="BX592" i="5"/>
  <c r="BW592" i="5"/>
  <c r="BV592" i="5"/>
  <c r="BU592" i="5"/>
  <c r="BT592" i="5"/>
  <c r="BS592" i="5"/>
  <c r="BR592" i="5"/>
  <c r="BZ591" i="5"/>
  <c r="BY591" i="5"/>
  <c r="BX591" i="5"/>
  <c r="BW591" i="5"/>
  <c r="BV591" i="5"/>
  <c r="BU591" i="5"/>
  <c r="BT591" i="5"/>
  <c r="BS591" i="5"/>
  <c r="BR591" i="5"/>
  <c r="BZ590" i="5"/>
  <c r="BY590" i="5"/>
  <c r="BX590" i="5"/>
  <c r="BW590" i="5"/>
  <c r="BV590" i="5"/>
  <c r="BU590" i="5"/>
  <c r="BT590" i="5"/>
  <c r="BS590" i="5"/>
  <c r="BR590" i="5"/>
  <c r="BZ589" i="5"/>
  <c r="BY589" i="5"/>
  <c r="BX589" i="5"/>
  <c r="BW589" i="5"/>
  <c r="BV589" i="5"/>
  <c r="BU589" i="5"/>
  <c r="BT589" i="5"/>
  <c r="BS589" i="5"/>
  <c r="BR589" i="5"/>
  <c r="BZ588" i="5"/>
  <c r="BY588" i="5"/>
  <c r="BX588" i="5"/>
  <c r="BW588" i="5"/>
  <c r="BV588" i="5"/>
  <c r="BU588" i="5"/>
  <c r="BT588" i="5"/>
  <c r="BS588" i="5"/>
  <c r="BR588" i="5"/>
  <c r="BZ587" i="5"/>
  <c r="BY587" i="5"/>
  <c r="BX587" i="5"/>
  <c r="BW587" i="5"/>
  <c r="BV587" i="5"/>
  <c r="BU587" i="5"/>
  <c r="BT587" i="5"/>
  <c r="BS587" i="5"/>
  <c r="BR587" i="5"/>
  <c r="BZ586" i="5"/>
  <c r="BY586" i="5"/>
  <c r="BX586" i="5"/>
  <c r="BW586" i="5"/>
  <c r="BV586" i="5"/>
  <c r="BU586" i="5"/>
  <c r="BT586" i="5"/>
  <c r="BS586" i="5"/>
  <c r="BR586" i="5"/>
  <c r="BZ585" i="5"/>
  <c r="BY585" i="5"/>
  <c r="BX585" i="5"/>
  <c r="BW585" i="5"/>
  <c r="BV585" i="5"/>
  <c r="BU585" i="5"/>
  <c r="BT585" i="5"/>
  <c r="BS585" i="5"/>
  <c r="BR585" i="5"/>
  <c r="BZ584" i="5"/>
  <c r="BY584" i="5"/>
  <c r="BX584" i="5"/>
  <c r="BW584" i="5"/>
  <c r="BV584" i="5"/>
  <c r="BU584" i="5"/>
  <c r="BT584" i="5"/>
  <c r="BS584" i="5"/>
  <c r="BR584" i="5"/>
  <c r="BZ583" i="5"/>
  <c r="BY583" i="5"/>
  <c r="BX583" i="5"/>
  <c r="BW583" i="5"/>
  <c r="BV583" i="5"/>
  <c r="BU583" i="5"/>
  <c r="BT583" i="5"/>
  <c r="BS583" i="5"/>
  <c r="BR583" i="5"/>
  <c r="BZ582" i="5"/>
  <c r="BY582" i="5"/>
  <c r="BX582" i="5"/>
  <c r="BW582" i="5"/>
  <c r="BV582" i="5"/>
  <c r="BU582" i="5"/>
  <c r="BT582" i="5"/>
  <c r="BS582" i="5"/>
  <c r="BR582" i="5"/>
  <c r="BZ581" i="5"/>
  <c r="BY581" i="5"/>
  <c r="BX581" i="5"/>
  <c r="BW581" i="5"/>
  <c r="BV581" i="5"/>
  <c r="BU581" i="5"/>
  <c r="BT581" i="5"/>
  <c r="BS581" i="5"/>
  <c r="BR581" i="5"/>
  <c r="BZ580" i="5"/>
  <c r="BY580" i="5"/>
  <c r="BX580" i="5"/>
  <c r="BW580" i="5"/>
  <c r="BV580" i="5"/>
  <c r="BU580" i="5"/>
  <c r="BT580" i="5"/>
  <c r="BS580" i="5"/>
  <c r="BR580" i="5"/>
  <c r="BZ579" i="5"/>
  <c r="BY579" i="5"/>
  <c r="BX579" i="5"/>
  <c r="BW579" i="5"/>
  <c r="BV579" i="5"/>
  <c r="BU579" i="5"/>
  <c r="BT579" i="5"/>
  <c r="BS579" i="5"/>
  <c r="BR579" i="5"/>
  <c r="BZ578" i="5"/>
  <c r="BY578" i="5"/>
  <c r="BX578" i="5"/>
  <c r="BW578" i="5"/>
  <c r="BV578" i="5"/>
  <c r="BU578" i="5"/>
  <c r="BT578" i="5"/>
  <c r="BS578" i="5"/>
  <c r="BR578" i="5"/>
  <c r="BZ577" i="5"/>
  <c r="BY577" i="5"/>
  <c r="BX577" i="5"/>
  <c r="BW577" i="5"/>
  <c r="BV577" i="5"/>
  <c r="BU577" i="5"/>
  <c r="BT577" i="5"/>
  <c r="BS577" i="5"/>
  <c r="BR577" i="5"/>
  <c r="BZ576" i="5"/>
  <c r="BY576" i="5"/>
  <c r="BX576" i="5"/>
  <c r="BW576" i="5"/>
  <c r="BV576" i="5"/>
  <c r="BU576" i="5"/>
  <c r="BT576" i="5"/>
  <c r="BS576" i="5"/>
  <c r="BR576" i="5"/>
  <c r="BZ575" i="5"/>
  <c r="BY575" i="5"/>
  <c r="BX575" i="5"/>
  <c r="BW575" i="5"/>
  <c r="BV575" i="5"/>
  <c r="BU575" i="5"/>
  <c r="BT575" i="5"/>
  <c r="BS575" i="5"/>
  <c r="BR575" i="5"/>
  <c r="BZ574" i="5"/>
  <c r="BY574" i="5"/>
  <c r="BX574" i="5"/>
  <c r="BW574" i="5"/>
  <c r="BV574" i="5"/>
  <c r="BU574" i="5"/>
  <c r="BT574" i="5"/>
  <c r="BS574" i="5"/>
  <c r="BR574" i="5"/>
  <c r="BZ573" i="5"/>
  <c r="BY573" i="5"/>
  <c r="BX573" i="5"/>
  <c r="BW573" i="5"/>
  <c r="BV573" i="5"/>
  <c r="BU573" i="5"/>
  <c r="BT573" i="5"/>
  <c r="BS573" i="5"/>
  <c r="BR573" i="5"/>
  <c r="BZ572" i="5"/>
  <c r="BY572" i="5"/>
  <c r="BX572" i="5"/>
  <c r="BW572" i="5"/>
  <c r="BV572" i="5"/>
  <c r="BU572" i="5"/>
  <c r="BT572" i="5"/>
  <c r="BS572" i="5"/>
  <c r="BR572" i="5"/>
  <c r="BZ571" i="5"/>
  <c r="BY571" i="5"/>
  <c r="BX571" i="5"/>
  <c r="BW571" i="5"/>
  <c r="BV571" i="5"/>
  <c r="BU571" i="5"/>
  <c r="BT571" i="5"/>
  <c r="BS571" i="5"/>
  <c r="BR571" i="5"/>
  <c r="BZ570" i="5"/>
  <c r="BY570" i="5"/>
  <c r="BX570" i="5"/>
  <c r="BW570" i="5"/>
  <c r="BV570" i="5"/>
  <c r="BU570" i="5"/>
  <c r="BT570" i="5"/>
  <c r="BS570" i="5"/>
  <c r="BR570" i="5"/>
  <c r="BZ569" i="5"/>
  <c r="BY569" i="5"/>
  <c r="BX569" i="5"/>
  <c r="BW569" i="5"/>
  <c r="BV569" i="5"/>
  <c r="BU569" i="5"/>
  <c r="BT569" i="5"/>
  <c r="BS569" i="5"/>
  <c r="BR569" i="5"/>
  <c r="BZ568" i="5"/>
  <c r="BY568" i="5"/>
  <c r="BX568" i="5"/>
  <c r="BW568" i="5"/>
  <c r="BV568" i="5"/>
  <c r="BU568" i="5"/>
  <c r="BT568" i="5"/>
  <c r="BS568" i="5"/>
  <c r="BR568" i="5"/>
  <c r="BZ567" i="5"/>
  <c r="BY567" i="5"/>
  <c r="BX567" i="5"/>
  <c r="BW567" i="5"/>
  <c r="BV567" i="5"/>
  <c r="BU567" i="5"/>
  <c r="BT567" i="5"/>
  <c r="BS567" i="5"/>
  <c r="BR567" i="5"/>
  <c r="BZ566" i="5"/>
  <c r="BY566" i="5"/>
  <c r="BX566" i="5"/>
  <c r="BW566" i="5"/>
  <c r="BV566" i="5"/>
  <c r="BU566" i="5"/>
  <c r="BT566" i="5"/>
  <c r="BS566" i="5"/>
  <c r="BR566" i="5"/>
  <c r="BZ565" i="5"/>
  <c r="BY565" i="5"/>
  <c r="BX565" i="5"/>
  <c r="BW565" i="5"/>
  <c r="BV565" i="5"/>
  <c r="BU565" i="5"/>
  <c r="BT565" i="5"/>
  <c r="BS565" i="5"/>
  <c r="BR565" i="5"/>
  <c r="BZ564" i="5"/>
  <c r="BY564" i="5"/>
  <c r="BX564" i="5"/>
  <c r="BW564" i="5"/>
  <c r="BV564" i="5"/>
  <c r="BU564" i="5"/>
  <c r="BT564" i="5"/>
  <c r="BS564" i="5"/>
  <c r="BR564" i="5"/>
  <c r="BZ563" i="5"/>
  <c r="BY563" i="5"/>
  <c r="BX563" i="5"/>
  <c r="BW563" i="5"/>
  <c r="BV563" i="5"/>
  <c r="BU563" i="5"/>
  <c r="BT563" i="5"/>
  <c r="BS563" i="5"/>
  <c r="BR563" i="5"/>
  <c r="BZ562" i="5"/>
  <c r="BY562" i="5"/>
  <c r="BX562" i="5"/>
  <c r="BW562" i="5"/>
  <c r="BV562" i="5"/>
  <c r="BU562" i="5"/>
  <c r="BT562" i="5"/>
  <c r="BS562" i="5"/>
  <c r="BR562" i="5"/>
  <c r="BZ561" i="5"/>
  <c r="BY561" i="5"/>
  <c r="BX561" i="5"/>
  <c r="BW561" i="5"/>
  <c r="BV561" i="5"/>
  <c r="BU561" i="5"/>
  <c r="BT561" i="5"/>
  <c r="BS561" i="5"/>
  <c r="BR561" i="5"/>
  <c r="BZ560" i="5"/>
  <c r="BY560" i="5"/>
  <c r="BX560" i="5"/>
  <c r="BW560" i="5"/>
  <c r="BV560" i="5"/>
  <c r="BU560" i="5"/>
  <c r="BT560" i="5"/>
  <c r="BS560" i="5"/>
  <c r="BR560" i="5"/>
  <c r="BZ559" i="5"/>
  <c r="BY559" i="5"/>
  <c r="BX559" i="5"/>
  <c r="BW559" i="5"/>
  <c r="BV559" i="5"/>
  <c r="BU559" i="5"/>
  <c r="BT559" i="5"/>
  <c r="BS559" i="5"/>
  <c r="BR559" i="5"/>
  <c r="BZ558" i="5"/>
  <c r="BY558" i="5"/>
  <c r="BX558" i="5"/>
  <c r="BW558" i="5"/>
  <c r="BV558" i="5"/>
  <c r="BU558" i="5"/>
  <c r="BT558" i="5"/>
  <c r="BS558" i="5"/>
  <c r="BR558" i="5"/>
  <c r="BZ557" i="5"/>
  <c r="BY557" i="5"/>
  <c r="BX557" i="5"/>
  <c r="BW557" i="5"/>
  <c r="BV557" i="5"/>
  <c r="BU557" i="5"/>
  <c r="BT557" i="5"/>
  <c r="BS557" i="5"/>
  <c r="BR557" i="5"/>
  <c r="BZ556" i="5"/>
  <c r="BY556" i="5"/>
  <c r="BX556" i="5"/>
  <c r="BW556" i="5"/>
  <c r="BV556" i="5"/>
  <c r="BU556" i="5"/>
  <c r="BT556" i="5"/>
  <c r="BS556" i="5"/>
  <c r="BR556" i="5"/>
  <c r="BZ555" i="5"/>
  <c r="BY555" i="5"/>
  <c r="BX555" i="5"/>
  <c r="BW555" i="5"/>
  <c r="BV555" i="5"/>
  <c r="BU555" i="5"/>
  <c r="BT555" i="5"/>
  <c r="BS555" i="5"/>
  <c r="BR555" i="5"/>
  <c r="BZ554" i="5"/>
  <c r="BY554" i="5"/>
  <c r="BX554" i="5"/>
  <c r="BW554" i="5"/>
  <c r="BV554" i="5"/>
  <c r="BU554" i="5"/>
  <c r="BT554" i="5"/>
  <c r="BS554" i="5"/>
  <c r="BR554" i="5"/>
  <c r="BZ553" i="5"/>
  <c r="BY553" i="5"/>
  <c r="BX553" i="5"/>
  <c r="BW553" i="5"/>
  <c r="BV553" i="5"/>
  <c r="BU553" i="5"/>
  <c r="BT553" i="5"/>
  <c r="BS553" i="5"/>
  <c r="BR553" i="5"/>
  <c r="BZ552" i="5"/>
  <c r="BY552" i="5"/>
  <c r="BX552" i="5"/>
  <c r="BW552" i="5"/>
  <c r="BV552" i="5"/>
  <c r="BU552" i="5"/>
  <c r="BT552" i="5"/>
  <c r="BS552" i="5"/>
  <c r="BR552" i="5"/>
  <c r="BZ551" i="5"/>
  <c r="BY551" i="5"/>
  <c r="BX551" i="5"/>
  <c r="BW551" i="5"/>
  <c r="BV551" i="5"/>
  <c r="BU551" i="5"/>
  <c r="BT551" i="5"/>
  <c r="BS551" i="5"/>
  <c r="BR551" i="5"/>
  <c r="BZ550" i="5"/>
  <c r="BY550" i="5"/>
  <c r="BX550" i="5"/>
  <c r="BW550" i="5"/>
  <c r="BV550" i="5"/>
  <c r="BU550" i="5"/>
  <c r="BT550" i="5"/>
  <c r="BS550" i="5"/>
  <c r="BR550" i="5"/>
  <c r="BZ549" i="5"/>
  <c r="BY549" i="5"/>
  <c r="BX549" i="5"/>
  <c r="BW549" i="5"/>
  <c r="BV549" i="5"/>
  <c r="BU549" i="5"/>
  <c r="BT549" i="5"/>
  <c r="BS549" i="5"/>
  <c r="BR549" i="5"/>
  <c r="BZ548" i="5"/>
  <c r="BY548" i="5"/>
  <c r="BX548" i="5"/>
  <c r="BW548" i="5"/>
  <c r="BV548" i="5"/>
  <c r="BU548" i="5"/>
  <c r="BT548" i="5"/>
  <c r="BS548" i="5"/>
  <c r="BR548" i="5"/>
  <c r="BZ547" i="5"/>
  <c r="BY547" i="5"/>
  <c r="BX547" i="5"/>
  <c r="BW547" i="5"/>
  <c r="BV547" i="5"/>
  <c r="BU547" i="5"/>
  <c r="BT547" i="5"/>
  <c r="BS547" i="5"/>
  <c r="BR547" i="5"/>
  <c r="BZ546" i="5"/>
  <c r="BY546" i="5"/>
  <c r="BX546" i="5"/>
  <c r="BW546" i="5"/>
  <c r="BV546" i="5"/>
  <c r="BU546" i="5"/>
  <c r="BT546" i="5"/>
  <c r="BS546" i="5"/>
  <c r="BR546" i="5"/>
  <c r="BZ545" i="5"/>
  <c r="BY545" i="5"/>
  <c r="BX545" i="5"/>
  <c r="BW545" i="5"/>
  <c r="BV545" i="5"/>
  <c r="BU545" i="5"/>
  <c r="BT545" i="5"/>
  <c r="BS545" i="5"/>
  <c r="BR545" i="5"/>
  <c r="BZ544" i="5"/>
  <c r="BY544" i="5"/>
  <c r="BX544" i="5"/>
  <c r="BW544" i="5"/>
  <c r="BV544" i="5"/>
  <c r="BU544" i="5"/>
  <c r="BT544" i="5"/>
  <c r="BS544" i="5"/>
  <c r="BR544" i="5"/>
  <c r="BZ543" i="5"/>
  <c r="BY543" i="5"/>
  <c r="BX543" i="5"/>
  <c r="BW543" i="5"/>
  <c r="BV543" i="5"/>
  <c r="BU543" i="5"/>
  <c r="BT543" i="5"/>
  <c r="BS543" i="5"/>
  <c r="BR543" i="5"/>
  <c r="BZ542" i="5"/>
  <c r="BY542" i="5"/>
  <c r="BX542" i="5"/>
  <c r="BW542" i="5"/>
  <c r="BV542" i="5"/>
  <c r="BU542" i="5"/>
  <c r="BT542" i="5"/>
  <c r="BS542" i="5"/>
  <c r="BR542" i="5"/>
  <c r="BZ541" i="5"/>
  <c r="BY541" i="5"/>
  <c r="BX541" i="5"/>
  <c r="BW541" i="5"/>
  <c r="BV541" i="5"/>
  <c r="BU541" i="5"/>
  <c r="BT541" i="5"/>
  <c r="BS541" i="5"/>
  <c r="BR541" i="5"/>
  <c r="BZ540" i="5"/>
  <c r="BY540" i="5"/>
  <c r="BX540" i="5"/>
  <c r="BW540" i="5"/>
  <c r="BV540" i="5"/>
  <c r="BU540" i="5"/>
  <c r="BT540" i="5"/>
  <c r="BS540" i="5"/>
  <c r="BR540" i="5"/>
  <c r="BZ539" i="5"/>
  <c r="BY539" i="5"/>
  <c r="BX539" i="5"/>
  <c r="BW539" i="5"/>
  <c r="BV539" i="5"/>
  <c r="BU539" i="5"/>
  <c r="BT539" i="5"/>
  <c r="BS539" i="5"/>
  <c r="BR539" i="5"/>
  <c r="BZ538" i="5"/>
  <c r="BY538" i="5"/>
  <c r="BX538" i="5"/>
  <c r="BW538" i="5"/>
  <c r="BV538" i="5"/>
  <c r="BU538" i="5"/>
  <c r="BT538" i="5"/>
  <c r="BS538" i="5"/>
  <c r="BR538" i="5"/>
  <c r="BZ537" i="5"/>
  <c r="BY537" i="5"/>
  <c r="BX537" i="5"/>
  <c r="BW537" i="5"/>
  <c r="BV537" i="5"/>
  <c r="BU537" i="5"/>
  <c r="BT537" i="5"/>
  <c r="BS537" i="5"/>
  <c r="BR537" i="5"/>
  <c r="BZ536" i="5"/>
  <c r="BY536" i="5"/>
  <c r="BX536" i="5"/>
  <c r="BW536" i="5"/>
  <c r="BV536" i="5"/>
  <c r="BU536" i="5"/>
  <c r="BT536" i="5"/>
  <c r="BS536" i="5"/>
  <c r="BR536" i="5"/>
  <c r="BZ535" i="5"/>
  <c r="BY535" i="5"/>
  <c r="BX535" i="5"/>
  <c r="BW535" i="5"/>
  <c r="BV535" i="5"/>
  <c r="BU535" i="5"/>
  <c r="BT535" i="5"/>
  <c r="BS535" i="5"/>
  <c r="BR535" i="5"/>
  <c r="BZ534" i="5"/>
  <c r="BY534" i="5"/>
  <c r="BX534" i="5"/>
  <c r="BW534" i="5"/>
  <c r="BV534" i="5"/>
  <c r="BU534" i="5"/>
  <c r="BT534" i="5"/>
  <c r="BS534" i="5"/>
  <c r="BR534" i="5"/>
  <c r="BZ533" i="5"/>
  <c r="BY533" i="5"/>
  <c r="BX533" i="5"/>
  <c r="BW533" i="5"/>
  <c r="BV533" i="5"/>
  <c r="BU533" i="5"/>
  <c r="BT533" i="5"/>
  <c r="BS533" i="5"/>
  <c r="BR533" i="5"/>
  <c r="BZ532" i="5"/>
  <c r="BY532" i="5"/>
  <c r="BX532" i="5"/>
  <c r="BW532" i="5"/>
  <c r="BV532" i="5"/>
  <c r="BU532" i="5"/>
  <c r="BT532" i="5"/>
  <c r="BS532" i="5"/>
  <c r="BR532" i="5"/>
  <c r="BZ531" i="5"/>
  <c r="BY531" i="5"/>
  <c r="BX531" i="5"/>
  <c r="BW531" i="5"/>
  <c r="BV531" i="5"/>
  <c r="BU531" i="5"/>
  <c r="BT531" i="5"/>
  <c r="BS531" i="5"/>
  <c r="BR531" i="5"/>
  <c r="BZ530" i="5"/>
  <c r="BY530" i="5"/>
  <c r="BX530" i="5"/>
  <c r="BW530" i="5"/>
  <c r="BV530" i="5"/>
  <c r="BU530" i="5"/>
  <c r="BT530" i="5"/>
  <c r="BS530" i="5"/>
  <c r="BR530" i="5"/>
  <c r="BZ529" i="5"/>
  <c r="BY529" i="5"/>
  <c r="BX529" i="5"/>
  <c r="BW529" i="5"/>
  <c r="BV529" i="5"/>
  <c r="BU529" i="5"/>
  <c r="BT529" i="5"/>
  <c r="BS529" i="5"/>
  <c r="BR529" i="5"/>
  <c r="BZ528" i="5"/>
  <c r="BY528" i="5"/>
  <c r="BX528" i="5"/>
  <c r="BW528" i="5"/>
  <c r="BV528" i="5"/>
  <c r="BU528" i="5"/>
  <c r="BT528" i="5"/>
  <c r="BS528" i="5"/>
  <c r="BR528" i="5"/>
  <c r="BZ527" i="5"/>
  <c r="BY527" i="5"/>
  <c r="BX527" i="5"/>
  <c r="BW527" i="5"/>
  <c r="BV527" i="5"/>
  <c r="BU527" i="5"/>
  <c r="BT527" i="5"/>
  <c r="BS527" i="5"/>
  <c r="BR527" i="5"/>
  <c r="BZ526" i="5"/>
  <c r="BY526" i="5"/>
  <c r="BX526" i="5"/>
  <c r="BW526" i="5"/>
  <c r="BV526" i="5"/>
  <c r="BU526" i="5"/>
  <c r="BT526" i="5"/>
  <c r="BS526" i="5"/>
  <c r="BR526" i="5"/>
  <c r="BZ525" i="5"/>
  <c r="BY525" i="5"/>
  <c r="BX525" i="5"/>
  <c r="BW525" i="5"/>
  <c r="BV525" i="5"/>
  <c r="BU525" i="5"/>
  <c r="BT525" i="5"/>
  <c r="BS525" i="5"/>
  <c r="BR525" i="5"/>
  <c r="BZ524" i="5"/>
  <c r="BY524" i="5"/>
  <c r="BX524" i="5"/>
  <c r="BW524" i="5"/>
  <c r="BV524" i="5"/>
  <c r="BU524" i="5"/>
  <c r="BT524" i="5"/>
  <c r="BS524" i="5"/>
  <c r="BR524" i="5"/>
  <c r="BZ523" i="5"/>
  <c r="BY523" i="5"/>
  <c r="BX523" i="5"/>
  <c r="BW523" i="5"/>
  <c r="BV523" i="5"/>
  <c r="BU523" i="5"/>
  <c r="BT523" i="5"/>
  <c r="BS523" i="5"/>
  <c r="BR523" i="5"/>
  <c r="BZ522" i="5"/>
  <c r="BY522" i="5"/>
  <c r="BX522" i="5"/>
  <c r="BW522" i="5"/>
  <c r="BV522" i="5"/>
  <c r="BU522" i="5"/>
  <c r="BT522" i="5"/>
  <c r="BS522" i="5"/>
  <c r="BR522" i="5"/>
  <c r="BZ521" i="5"/>
  <c r="BY521" i="5"/>
  <c r="BX521" i="5"/>
  <c r="BW521" i="5"/>
  <c r="BV521" i="5"/>
  <c r="BU521" i="5"/>
  <c r="BT521" i="5"/>
  <c r="BS521" i="5"/>
  <c r="BR521" i="5"/>
  <c r="BZ520" i="5"/>
  <c r="BY520" i="5"/>
  <c r="BX520" i="5"/>
  <c r="BW520" i="5"/>
  <c r="BV520" i="5"/>
  <c r="BU520" i="5"/>
  <c r="BT520" i="5"/>
  <c r="BS520" i="5"/>
  <c r="BR520" i="5"/>
  <c r="BZ519" i="5"/>
  <c r="BY519" i="5"/>
  <c r="BX519" i="5"/>
  <c r="BW519" i="5"/>
  <c r="BV519" i="5"/>
  <c r="BU519" i="5"/>
  <c r="BT519" i="5"/>
  <c r="BS519" i="5"/>
  <c r="BR519" i="5"/>
  <c r="BZ518" i="5"/>
  <c r="BY518" i="5"/>
  <c r="BX518" i="5"/>
  <c r="BW518" i="5"/>
  <c r="BV518" i="5"/>
  <c r="BU518" i="5"/>
  <c r="BT518" i="5"/>
  <c r="BS518" i="5"/>
  <c r="BR518" i="5"/>
  <c r="BZ517" i="5"/>
  <c r="BY517" i="5"/>
  <c r="BX517" i="5"/>
  <c r="BW517" i="5"/>
  <c r="BV517" i="5"/>
  <c r="BU517" i="5"/>
  <c r="BT517" i="5"/>
  <c r="BS517" i="5"/>
  <c r="BR517" i="5"/>
  <c r="BZ516" i="5"/>
  <c r="BY516" i="5"/>
  <c r="BX516" i="5"/>
  <c r="BW516" i="5"/>
  <c r="BV516" i="5"/>
  <c r="BU516" i="5"/>
  <c r="BT516" i="5"/>
  <c r="BS516" i="5"/>
  <c r="BR516" i="5"/>
  <c r="BZ515" i="5"/>
  <c r="BY515" i="5"/>
  <c r="BX515" i="5"/>
  <c r="BW515" i="5"/>
  <c r="BV515" i="5"/>
  <c r="BU515" i="5"/>
  <c r="BT515" i="5"/>
  <c r="BS515" i="5"/>
  <c r="BR515" i="5"/>
  <c r="BZ514" i="5"/>
  <c r="BY514" i="5"/>
  <c r="BX514" i="5"/>
  <c r="BW514" i="5"/>
  <c r="BV514" i="5"/>
  <c r="BU514" i="5"/>
  <c r="BT514" i="5"/>
  <c r="BS514" i="5"/>
  <c r="BR514" i="5"/>
  <c r="BZ513" i="5"/>
  <c r="BY513" i="5"/>
  <c r="BX513" i="5"/>
  <c r="BW513" i="5"/>
  <c r="BV513" i="5"/>
  <c r="BU513" i="5"/>
  <c r="BT513" i="5"/>
  <c r="BS513" i="5"/>
  <c r="BR513" i="5"/>
  <c r="BZ512" i="5"/>
  <c r="BY512" i="5"/>
  <c r="BX512" i="5"/>
  <c r="BW512" i="5"/>
  <c r="BV512" i="5"/>
  <c r="BU512" i="5"/>
  <c r="BT512" i="5"/>
  <c r="BS512" i="5"/>
  <c r="BR512" i="5"/>
  <c r="BZ511" i="5"/>
  <c r="BY511" i="5"/>
  <c r="BX511" i="5"/>
  <c r="BW511" i="5"/>
  <c r="BV511" i="5"/>
  <c r="BU511" i="5"/>
  <c r="BT511" i="5"/>
  <c r="BS511" i="5"/>
  <c r="BR511" i="5"/>
  <c r="BZ510" i="5"/>
  <c r="BY510" i="5"/>
  <c r="BX510" i="5"/>
  <c r="BW510" i="5"/>
  <c r="BV510" i="5"/>
  <c r="BU510" i="5"/>
  <c r="BT510" i="5"/>
  <c r="BS510" i="5"/>
  <c r="BR510" i="5"/>
  <c r="BZ509" i="5"/>
  <c r="BY509" i="5"/>
  <c r="BX509" i="5"/>
  <c r="BW509" i="5"/>
  <c r="BV509" i="5"/>
  <c r="BU509" i="5"/>
  <c r="BT509" i="5"/>
  <c r="BS509" i="5"/>
  <c r="BR509" i="5"/>
  <c r="BZ508" i="5"/>
  <c r="BY508" i="5"/>
  <c r="BX508" i="5"/>
  <c r="BW508" i="5"/>
  <c r="BV508" i="5"/>
  <c r="BU508" i="5"/>
  <c r="BT508" i="5"/>
  <c r="BS508" i="5"/>
  <c r="BR508" i="5"/>
  <c r="BZ507" i="5"/>
  <c r="BY507" i="5"/>
  <c r="BX507" i="5"/>
  <c r="BW507" i="5"/>
  <c r="BV507" i="5"/>
  <c r="BU507" i="5"/>
  <c r="BT507" i="5"/>
  <c r="BS507" i="5"/>
  <c r="BR507" i="5"/>
  <c r="BZ506" i="5"/>
  <c r="BY506" i="5"/>
  <c r="BX506" i="5"/>
  <c r="BW506" i="5"/>
  <c r="BV506" i="5"/>
  <c r="BU506" i="5"/>
  <c r="BT506" i="5"/>
  <c r="BS506" i="5"/>
  <c r="BR506" i="5"/>
  <c r="BZ505" i="5"/>
  <c r="BY505" i="5"/>
  <c r="BX505" i="5"/>
  <c r="BW505" i="5"/>
  <c r="BV505" i="5"/>
  <c r="BU505" i="5"/>
  <c r="BT505" i="5"/>
  <c r="BS505" i="5"/>
  <c r="BR505" i="5"/>
  <c r="BZ504" i="5"/>
  <c r="BY504" i="5"/>
  <c r="BX504" i="5"/>
  <c r="BW504" i="5"/>
  <c r="BV504" i="5"/>
  <c r="BU504" i="5"/>
  <c r="BT504" i="5"/>
  <c r="BS504" i="5"/>
  <c r="BR504" i="5"/>
  <c r="BZ503" i="5"/>
  <c r="BY503" i="5"/>
  <c r="BX503" i="5"/>
  <c r="BW503" i="5"/>
  <c r="BV503" i="5"/>
  <c r="BU503" i="5"/>
  <c r="BT503" i="5"/>
  <c r="BS503" i="5"/>
  <c r="BR503" i="5"/>
  <c r="BZ502" i="5"/>
  <c r="BY502" i="5"/>
  <c r="BX502" i="5"/>
  <c r="BW502" i="5"/>
  <c r="BV502" i="5"/>
  <c r="BU502" i="5"/>
  <c r="BT502" i="5"/>
  <c r="BS502" i="5"/>
  <c r="BR502" i="5"/>
  <c r="BZ501" i="5"/>
  <c r="BY501" i="5"/>
  <c r="BX501" i="5"/>
  <c r="BW501" i="5"/>
  <c r="BV501" i="5"/>
  <c r="BU501" i="5"/>
  <c r="BT501" i="5"/>
  <c r="BS501" i="5"/>
  <c r="BR501" i="5"/>
  <c r="BZ500" i="5"/>
  <c r="BY500" i="5"/>
  <c r="BX500" i="5"/>
  <c r="BW500" i="5"/>
  <c r="BV500" i="5"/>
  <c r="BU500" i="5"/>
  <c r="BT500" i="5"/>
  <c r="BS500" i="5"/>
  <c r="BR500" i="5"/>
  <c r="BZ499" i="5"/>
  <c r="BY499" i="5"/>
  <c r="BX499" i="5"/>
  <c r="BW499" i="5"/>
  <c r="BV499" i="5"/>
  <c r="BU499" i="5"/>
  <c r="BT499" i="5"/>
  <c r="BS499" i="5"/>
  <c r="BR499" i="5"/>
  <c r="BZ498" i="5"/>
  <c r="BY498" i="5"/>
  <c r="BX498" i="5"/>
  <c r="BW498" i="5"/>
  <c r="BV498" i="5"/>
  <c r="BU498" i="5"/>
  <c r="BT498" i="5"/>
  <c r="BS498" i="5"/>
  <c r="BR498" i="5"/>
  <c r="BZ497" i="5"/>
  <c r="BY497" i="5"/>
  <c r="BX497" i="5"/>
  <c r="BW497" i="5"/>
  <c r="BV497" i="5"/>
  <c r="BU497" i="5"/>
  <c r="BT497" i="5"/>
  <c r="BS497" i="5"/>
  <c r="BR497" i="5"/>
  <c r="BZ496" i="5"/>
  <c r="BY496" i="5"/>
  <c r="BX496" i="5"/>
  <c r="BW496" i="5"/>
  <c r="BV496" i="5"/>
  <c r="BU496" i="5"/>
  <c r="BT496" i="5"/>
  <c r="BS496" i="5"/>
  <c r="BR496" i="5"/>
  <c r="BZ495" i="5"/>
  <c r="BY495" i="5"/>
  <c r="BX495" i="5"/>
  <c r="BW495" i="5"/>
  <c r="BV495" i="5"/>
  <c r="BU495" i="5"/>
  <c r="BT495" i="5"/>
  <c r="BS495" i="5"/>
  <c r="BR495" i="5"/>
  <c r="BZ494" i="5"/>
  <c r="BY494" i="5"/>
  <c r="BX494" i="5"/>
  <c r="BW494" i="5"/>
  <c r="BV494" i="5"/>
  <c r="BU494" i="5"/>
  <c r="BT494" i="5"/>
  <c r="BS494" i="5"/>
  <c r="BR494" i="5"/>
  <c r="BZ493" i="5"/>
  <c r="BY493" i="5"/>
  <c r="BX493" i="5"/>
  <c r="BW493" i="5"/>
  <c r="BV493" i="5"/>
  <c r="BU493" i="5"/>
  <c r="BT493" i="5"/>
  <c r="BS493" i="5"/>
  <c r="BR493" i="5"/>
  <c r="BZ492" i="5"/>
  <c r="BY492" i="5"/>
  <c r="BX492" i="5"/>
  <c r="BW492" i="5"/>
  <c r="BV492" i="5"/>
  <c r="BU492" i="5"/>
  <c r="BT492" i="5"/>
  <c r="BS492" i="5"/>
  <c r="BR492" i="5"/>
  <c r="BZ491" i="5"/>
  <c r="BY491" i="5"/>
  <c r="BX491" i="5"/>
  <c r="BW491" i="5"/>
  <c r="BV491" i="5"/>
  <c r="BU491" i="5"/>
  <c r="BT491" i="5"/>
  <c r="BS491" i="5"/>
  <c r="BR491" i="5"/>
  <c r="BZ490" i="5"/>
  <c r="BY490" i="5"/>
  <c r="BX490" i="5"/>
  <c r="BW490" i="5"/>
  <c r="BV490" i="5"/>
  <c r="BU490" i="5"/>
  <c r="BT490" i="5"/>
  <c r="BS490" i="5"/>
  <c r="BR490" i="5"/>
  <c r="BZ489" i="5"/>
  <c r="BY489" i="5"/>
  <c r="BX489" i="5"/>
  <c r="BW489" i="5"/>
  <c r="BV489" i="5"/>
  <c r="BU489" i="5"/>
  <c r="BT489" i="5"/>
  <c r="BS489" i="5"/>
  <c r="BR489" i="5"/>
  <c r="BZ488" i="5"/>
  <c r="BY488" i="5"/>
  <c r="BX488" i="5"/>
  <c r="BW488" i="5"/>
  <c r="BV488" i="5"/>
  <c r="BU488" i="5"/>
  <c r="BT488" i="5"/>
  <c r="BS488" i="5"/>
  <c r="BR488" i="5"/>
  <c r="BZ487" i="5"/>
  <c r="BY487" i="5"/>
  <c r="BX487" i="5"/>
  <c r="BW487" i="5"/>
  <c r="BV487" i="5"/>
  <c r="BU487" i="5"/>
  <c r="BT487" i="5"/>
  <c r="BS487" i="5"/>
  <c r="BR487" i="5"/>
  <c r="BZ486" i="5"/>
  <c r="BY486" i="5"/>
  <c r="BX486" i="5"/>
  <c r="BW486" i="5"/>
  <c r="BV486" i="5"/>
  <c r="BU486" i="5"/>
  <c r="BT486" i="5"/>
  <c r="BS486" i="5"/>
  <c r="BR486" i="5"/>
  <c r="BZ485" i="5"/>
  <c r="BY485" i="5"/>
  <c r="BX485" i="5"/>
  <c r="BW485" i="5"/>
  <c r="BV485" i="5"/>
  <c r="BU485" i="5"/>
  <c r="BT485" i="5"/>
  <c r="BS485" i="5"/>
  <c r="BR485" i="5"/>
  <c r="BZ484" i="5"/>
  <c r="BY484" i="5"/>
  <c r="BX484" i="5"/>
  <c r="BW484" i="5"/>
  <c r="BV484" i="5"/>
  <c r="BU484" i="5"/>
  <c r="BT484" i="5"/>
  <c r="BS484" i="5"/>
  <c r="BR484" i="5"/>
  <c r="BZ483" i="5"/>
  <c r="BY483" i="5"/>
  <c r="BX483" i="5"/>
  <c r="BW483" i="5"/>
  <c r="BV483" i="5"/>
  <c r="BU483" i="5"/>
  <c r="BT483" i="5"/>
  <c r="BS483" i="5"/>
  <c r="BR483" i="5"/>
  <c r="BZ482" i="5"/>
  <c r="BY482" i="5"/>
  <c r="BX482" i="5"/>
  <c r="BW482" i="5"/>
  <c r="BV482" i="5"/>
  <c r="BU482" i="5"/>
  <c r="BT482" i="5"/>
  <c r="BS482" i="5"/>
  <c r="BR482" i="5"/>
  <c r="BZ481" i="5"/>
  <c r="BY481" i="5"/>
  <c r="BX481" i="5"/>
  <c r="BW481" i="5"/>
  <c r="BV481" i="5"/>
  <c r="BU481" i="5"/>
  <c r="BT481" i="5"/>
  <c r="BS481" i="5"/>
  <c r="BR481" i="5"/>
  <c r="BZ480" i="5"/>
  <c r="BY480" i="5"/>
  <c r="BX480" i="5"/>
  <c r="BW480" i="5"/>
  <c r="BV480" i="5"/>
  <c r="BU480" i="5"/>
  <c r="BT480" i="5"/>
  <c r="BS480" i="5"/>
  <c r="BR480" i="5"/>
  <c r="BZ479" i="5"/>
  <c r="BY479" i="5"/>
  <c r="BX479" i="5"/>
  <c r="BW479" i="5"/>
  <c r="BV479" i="5"/>
  <c r="BU479" i="5"/>
  <c r="BT479" i="5"/>
  <c r="BS479" i="5"/>
  <c r="BR479" i="5"/>
  <c r="BZ478" i="5"/>
  <c r="BY478" i="5"/>
  <c r="BX478" i="5"/>
  <c r="BW478" i="5"/>
  <c r="BV478" i="5"/>
  <c r="BU478" i="5"/>
  <c r="BT478" i="5"/>
  <c r="BS478" i="5"/>
  <c r="BR478" i="5"/>
  <c r="BZ477" i="5"/>
  <c r="BY477" i="5"/>
  <c r="BX477" i="5"/>
  <c r="BW477" i="5"/>
  <c r="BV477" i="5"/>
  <c r="BU477" i="5"/>
  <c r="BT477" i="5"/>
  <c r="BS477" i="5"/>
  <c r="BR477" i="5"/>
  <c r="BZ476" i="5"/>
  <c r="BY476" i="5"/>
  <c r="BX476" i="5"/>
  <c r="BW476" i="5"/>
  <c r="BV476" i="5"/>
  <c r="BU476" i="5"/>
  <c r="BT476" i="5"/>
  <c r="BS476" i="5"/>
  <c r="BR476" i="5"/>
  <c r="BZ475" i="5"/>
  <c r="BY475" i="5"/>
  <c r="BX475" i="5"/>
  <c r="BW475" i="5"/>
  <c r="BV475" i="5"/>
  <c r="BU475" i="5"/>
  <c r="BT475" i="5"/>
  <c r="BS475" i="5"/>
  <c r="BR475" i="5"/>
  <c r="BZ474" i="5"/>
  <c r="BY474" i="5"/>
  <c r="BX474" i="5"/>
  <c r="BW474" i="5"/>
  <c r="BV474" i="5"/>
  <c r="BU474" i="5"/>
  <c r="BT474" i="5"/>
  <c r="BS474" i="5"/>
  <c r="BR474" i="5"/>
  <c r="BZ473" i="5"/>
  <c r="BY473" i="5"/>
  <c r="BX473" i="5"/>
  <c r="BW473" i="5"/>
  <c r="BV473" i="5"/>
  <c r="BU473" i="5"/>
  <c r="BT473" i="5"/>
  <c r="BS473" i="5"/>
  <c r="BR473" i="5"/>
  <c r="BZ472" i="5"/>
  <c r="BY472" i="5"/>
  <c r="BX472" i="5"/>
  <c r="BW472" i="5"/>
  <c r="BV472" i="5"/>
  <c r="BU472" i="5"/>
  <c r="BT472" i="5"/>
  <c r="BS472" i="5"/>
  <c r="BR472" i="5"/>
  <c r="BZ471" i="5"/>
  <c r="BY471" i="5"/>
  <c r="BX471" i="5"/>
  <c r="BW471" i="5"/>
  <c r="BV471" i="5"/>
  <c r="BU471" i="5"/>
  <c r="BT471" i="5"/>
  <c r="BS471" i="5"/>
  <c r="BR471" i="5"/>
  <c r="BZ470" i="5"/>
  <c r="BY470" i="5"/>
  <c r="BX470" i="5"/>
  <c r="BW470" i="5"/>
  <c r="BV470" i="5"/>
  <c r="BU470" i="5"/>
  <c r="BT470" i="5"/>
  <c r="BS470" i="5"/>
  <c r="BR470" i="5"/>
  <c r="BZ469" i="5"/>
  <c r="BY469" i="5"/>
  <c r="BX469" i="5"/>
  <c r="BW469" i="5"/>
  <c r="BV469" i="5"/>
  <c r="BU469" i="5"/>
  <c r="BT469" i="5"/>
  <c r="BS469" i="5"/>
  <c r="BR469" i="5"/>
  <c r="BZ468" i="5"/>
  <c r="BY468" i="5"/>
  <c r="BX468" i="5"/>
  <c r="BW468" i="5"/>
  <c r="BV468" i="5"/>
  <c r="BU468" i="5"/>
  <c r="BT468" i="5"/>
  <c r="BS468" i="5"/>
  <c r="BR468" i="5"/>
  <c r="BZ467" i="5"/>
  <c r="BY467" i="5"/>
  <c r="BX467" i="5"/>
  <c r="BW467" i="5"/>
  <c r="BV467" i="5"/>
  <c r="BU467" i="5"/>
  <c r="BT467" i="5"/>
  <c r="BS467" i="5"/>
  <c r="BR467" i="5"/>
  <c r="BZ466" i="5"/>
  <c r="BY466" i="5"/>
  <c r="BX466" i="5"/>
  <c r="BW466" i="5"/>
  <c r="BV466" i="5"/>
  <c r="BU466" i="5"/>
  <c r="BT466" i="5"/>
  <c r="BS466" i="5"/>
  <c r="BR466" i="5"/>
  <c r="BZ465" i="5"/>
  <c r="BY465" i="5"/>
  <c r="BX465" i="5"/>
  <c r="BW465" i="5"/>
  <c r="BV465" i="5"/>
  <c r="BU465" i="5"/>
  <c r="BT465" i="5"/>
  <c r="BS465" i="5"/>
  <c r="BR465" i="5"/>
  <c r="BZ464" i="5"/>
  <c r="BY464" i="5"/>
  <c r="BX464" i="5"/>
  <c r="BW464" i="5"/>
  <c r="BV464" i="5"/>
  <c r="BU464" i="5"/>
  <c r="BT464" i="5"/>
  <c r="BS464" i="5"/>
  <c r="BR464" i="5"/>
  <c r="BZ463" i="5"/>
  <c r="BY463" i="5"/>
  <c r="BX463" i="5"/>
  <c r="BW463" i="5"/>
  <c r="BV463" i="5"/>
  <c r="BU463" i="5"/>
  <c r="BT463" i="5"/>
  <c r="BS463" i="5"/>
  <c r="BR463" i="5"/>
  <c r="BZ462" i="5"/>
  <c r="BY462" i="5"/>
  <c r="BX462" i="5"/>
  <c r="BW462" i="5"/>
  <c r="BV462" i="5"/>
  <c r="BU462" i="5"/>
  <c r="BT462" i="5"/>
  <c r="BS462" i="5"/>
  <c r="BR462" i="5"/>
  <c r="BZ461" i="5"/>
  <c r="BY461" i="5"/>
  <c r="BX461" i="5"/>
  <c r="BW461" i="5"/>
  <c r="BV461" i="5"/>
  <c r="BU461" i="5"/>
  <c r="BT461" i="5"/>
  <c r="BS461" i="5"/>
  <c r="BR461" i="5"/>
  <c r="BZ460" i="5"/>
  <c r="BY460" i="5"/>
  <c r="BX460" i="5"/>
  <c r="BW460" i="5"/>
  <c r="BV460" i="5"/>
  <c r="BU460" i="5"/>
  <c r="BT460" i="5"/>
  <c r="BS460" i="5"/>
  <c r="BR460" i="5"/>
  <c r="BZ459" i="5"/>
  <c r="BY459" i="5"/>
  <c r="BX459" i="5"/>
  <c r="BW459" i="5"/>
  <c r="BV459" i="5"/>
  <c r="BU459" i="5"/>
  <c r="BT459" i="5"/>
  <c r="BS459" i="5"/>
  <c r="BR459" i="5"/>
  <c r="BZ458" i="5"/>
  <c r="BY458" i="5"/>
  <c r="BX458" i="5"/>
  <c r="BW458" i="5"/>
  <c r="BV458" i="5"/>
  <c r="BU458" i="5"/>
  <c r="BT458" i="5"/>
  <c r="BS458" i="5"/>
  <c r="BR458" i="5"/>
  <c r="BZ457" i="5"/>
  <c r="BY457" i="5"/>
  <c r="BX457" i="5"/>
  <c r="BW457" i="5"/>
  <c r="BV457" i="5"/>
  <c r="BU457" i="5"/>
  <c r="BT457" i="5"/>
  <c r="BS457" i="5"/>
  <c r="BR457" i="5"/>
  <c r="BZ456" i="5"/>
  <c r="BY456" i="5"/>
  <c r="BX456" i="5"/>
  <c r="BW456" i="5"/>
  <c r="BV456" i="5"/>
  <c r="BU456" i="5"/>
  <c r="BT456" i="5"/>
  <c r="BS456" i="5"/>
  <c r="BR456" i="5"/>
  <c r="BZ455" i="5"/>
  <c r="BY455" i="5"/>
  <c r="BX455" i="5"/>
  <c r="BW455" i="5"/>
  <c r="BV455" i="5"/>
  <c r="BU455" i="5"/>
  <c r="BT455" i="5"/>
  <c r="BS455" i="5"/>
  <c r="BR455" i="5"/>
  <c r="BZ454" i="5"/>
  <c r="BY454" i="5"/>
  <c r="BX454" i="5"/>
  <c r="BW454" i="5"/>
  <c r="BV454" i="5"/>
  <c r="BU454" i="5"/>
  <c r="BT454" i="5"/>
  <c r="BS454" i="5"/>
  <c r="BR454" i="5"/>
  <c r="BZ453" i="5"/>
  <c r="BY453" i="5"/>
  <c r="BX453" i="5"/>
  <c r="BW453" i="5"/>
  <c r="BV453" i="5"/>
  <c r="BU453" i="5"/>
  <c r="BT453" i="5"/>
  <c r="BS453" i="5"/>
  <c r="BR453" i="5"/>
  <c r="BZ452" i="5"/>
  <c r="BY452" i="5"/>
  <c r="BX452" i="5"/>
  <c r="BW452" i="5"/>
  <c r="BV452" i="5"/>
  <c r="BU452" i="5"/>
  <c r="BT452" i="5"/>
  <c r="BS452" i="5"/>
  <c r="BR452" i="5"/>
  <c r="BZ451" i="5"/>
  <c r="BY451" i="5"/>
  <c r="BX451" i="5"/>
  <c r="BW451" i="5"/>
  <c r="BV451" i="5"/>
  <c r="BU451" i="5"/>
  <c r="BT451" i="5"/>
  <c r="BS451" i="5"/>
  <c r="BR451" i="5"/>
  <c r="BZ450" i="5"/>
  <c r="BY450" i="5"/>
  <c r="BX450" i="5"/>
  <c r="BW450" i="5"/>
  <c r="BV450" i="5"/>
  <c r="BU450" i="5"/>
  <c r="BT450" i="5"/>
  <c r="BS450" i="5"/>
  <c r="BR450" i="5"/>
  <c r="BZ449" i="5"/>
  <c r="BY449" i="5"/>
  <c r="BX449" i="5"/>
  <c r="BW449" i="5"/>
  <c r="BV449" i="5"/>
  <c r="BU449" i="5"/>
  <c r="BT449" i="5"/>
  <c r="BS449" i="5"/>
  <c r="BR449" i="5"/>
  <c r="BZ448" i="5"/>
  <c r="BY448" i="5"/>
  <c r="BX448" i="5"/>
  <c r="BW448" i="5"/>
  <c r="BV448" i="5"/>
  <c r="BU448" i="5"/>
  <c r="BT448" i="5"/>
  <c r="BS448" i="5"/>
  <c r="BR448" i="5"/>
  <c r="BZ447" i="5"/>
  <c r="BY447" i="5"/>
  <c r="BX447" i="5"/>
  <c r="BW447" i="5"/>
  <c r="BV447" i="5"/>
  <c r="BU447" i="5"/>
  <c r="BT447" i="5"/>
  <c r="BS447" i="5"/>
  <c r="BR447" i="5"/>
  <c r="BZ446" i="5"/>
  <c r="BY446" i="5"/>
  <c r="BX446" i="5"/>
  <c r="BW446" i="5"/>
  <c r="BV446" i="5"/>
  <c r="BU446" i="5"/>
  <c r="BT446" i="5"/>
  <c r="BS446" i="5"/>
  <c r="BR446" i="5"/>
  <c r="BZ445" i="5"/>
  <c r="BY445" i="5"/>
  <c r="BX445" i="5"/>
  <c r="BW445" i="5"/>
  <c r="BV445" i="5"/>
  <c r="BU445" i="5"/>
  <c r="BT445" i="5"/>
  <c r="BS445" i="5"/>
  <c r="BR445" i="5"/>
  <c r="BZ444" i="5"/>
  <c r="BY444" i="5"/>
  <c r="BX444" i="5"/>
  <c r="BW444" i="5"/>
  <c r="BV444" i="5"/>
  <c r="BU444" i="5"/>
  <c r="BT444" i="5"/>
  <c r="BS444" i="5"/>
  <c r="BR444" i="5"/>
  <c r="BZ443" i="5"/>
  <c r="BY443" i="5"/>
  <c r="BX443" i="5"/>
  <c r="BW443" i="5"/>
  <c r="BV443" i="5"/>
  <c r="BU443" i="5"/>
  <c r="BT443" i="5"/>
  <c r="BS443" i="5"/>
  <c r="BR443" i="5"/>
  <c r="BZ442" i="5"/>
  <c r="BY442" i="5"/>
  <c r="BX442" i="5"/>
  <c r="BW442" i="5"/>
  <c r="BV442" i="5"/>
  <c r="BU442" i="5"/>
  <c r="BT442" i="5"/>
  <c r="BS442" i="5"/>
  <c r="BR442" i="5"/>
  <c r="BZ441" i="5"/>
  <c r="BY441" i="5"/>
  <c r="BX441" i="5"/>
  <c r="BW441" i="5"/>
  <c r="BV441" i="5"/>
  <c r="BU441" i="5"/>
  <c r="BT441" i="5"/>
  <c r="BS441" i="5"/>
  <c r="BR441" i="5"/>
  <c r="BZ440" i="5"/>
  <c r="BY440" i="5"/>
  <c r="BX440" i="5"/>
  <c r="BW440" i="5"/>
  <c r="BV440" i="5"/>
  <c r="BU440" i="5"/>
  <c r="BT440" i="5"/>
  <c r="BS440" i="5"/>
  <c r="BR440" i="5"/>
  <c r="BZ439" i="5"/>
  <c r="BY439" i="5"/>
  <c r="BX439" i="5"/>
  <c r="BW439" i="5"/>
  <c r="BV439" i="5"/>
  <c r="BU439" i="5"/>
  <c r="BT439" i="5"/>
  <c r="BS439" i="5"/>
  <c r="BR439" i="5"/>
  <c r="BZ438" i="5"/>
  <c r="BY438" i="5"/>
  <c r="BX438" i="5"/>
  <c r="BW438" i="5"/>
  <c r="BV438" i="5"/>
  <c r="BU438" i="5"/>
  <c r="BT438" i="5"/>
  <c r="BS438" i="5"/>
  <c r="BR438" i="5"/>
  <c r="BZ437" i="5"/>
  <c r="BY437" i="5"/>
  <c r="BX437" i="5"/>
  <c r="BW437" i="5"/>
  <c r="BV437" i="5"/>
  <c r="BU437" i="5"/>
  <c r="BT437" i="5"/>
  <c r="BS437" i="5"/>
  <c r="BR437" i="5"/>
  <c r="BZ436" i="5"/>
  <c r="BY436" i="5"/>
  <c r="BX436" i="5"/>
  <c r="BW436" i="5"/>
  <c r="BV436" i="5"/>
  <c r="BU436" i="5"/>
  <c r="BT436" i="5"/>
  <c r="BS436" i="5"/>
  <c r="BR436" i="5"/>
  <c r="BZ435" i="5"/>
  <c r="BY435" i="5"/>
  <c r="BX435" i="5"/>
  <c r="BW435" i="5"/>
  <c r="BV435" i="5"/>
  <c r="BU435" i="5"/>
  <c r="BT435" i="5"/>
  <c r="BS435" i="5"/>
  <c r="BR435" i="5"/>
  <c r="BZ434" i="5"/>
  <c r="BY434" i="5"/>
  <c r="BX434" i="5"/>
  <c r="BW434" i="5"/>
  <c r="BV434" i="5"/>
  <c r="BU434" i="5"/>
  <c r="BT434" i="5"/>
  <c r="BS434" i="5"/>
  <c r="BR434" i="5"/>
  <c r="BZ433" i="5"/>
  <c r="BY433" i="5"/>
  <c r="BX433" i="5"/>
  <c r="BW433" i="5"/>
  <c r="BV433" i="5"/>
  <c r="BU433" i="5"/>
  <c r="BT433" i="5"/>
  <c r="BS433" i="5"/>
  <c r="BR433" i="5"/>
  <c r="BZ432" i="5"/>
  <c r="BY432" i="5"/>
  <c r="BX432" i="5"/>
  <c r="BW432" i="5"/>
  <c r="BV432" i="5"/>
  <c r="BU432" i="5"/>
  <c r="BT432" i="5"/>
  <c r="BS432" i="5"/>
  <c r="BR432" i="5"/>
  <c r="BZ431" i="5"/>
  <c r="BY431" i="5"/>
  <c r="BX431" i="5"/>
  <c r="BW431" i="5"/>
  <c r="BV431" i="5"/>
  <c r="BU431" i="5"/>
  <c r="BT431" i="5"/>
  <c r="BS431" i="5"/>
  <c r="BR431" i="5"/>
  <c r="BZ430" i="5"/>
  <c r="BY430" i="5"/>
  <c r="BX430" i="5"/>
  <c r="BW430" i="5"/>
  <c r="BV430" i="5"/>
  <c r="BU430" i="5"/>
  <c r="BT430" i="5"/>
  <c r="BS430" i="5"/>
  <c r="BR430" i="5"/>
  <c r="BZ429" i="5"/>
  <c r="BY429" i="5"/>
  <c r="BX429" i="5"/>
  <c r="BW429" i="5"/>
  <c r="BV429" i="5"/>
  <c r="BU429" i="5"/>
  <c r="BT429" i="5"/>
  <c r="BS429" i="5"/>
  <c r="BR429" i="5"/>
  <c r="BZ428" i="5"/>
  <c r="BY428" i="5"/>
  <c r="BX428" i="5"/>
  <c r="BW428" i="5"/>
  <c r="BV428" i="5"/>
  <c r="BU428" i="5"/>
  <c r="BT428" i="5"/>
  <c r="BS428" i="5"/>
  <c r="BR428" i="5"/>
  <c r="BZ427" i="5"/>
  <c r="BY427" i="5"/>
  <c r="BX427" i="5"/>
  <c r="BW427" i="5"/>
  <c r="BV427" i="5"/>
  <c r="BU427" i="5"/>
  <c r="BT427" i="5"/>
  <c r="BS427" i="5"/>
  <c r="BR427" i="5"/>
  <c r="BZ426" i="5"/>
  <c r="BY426" i="5"/>
  <c r="BX426" i="5"/>
  <c r="BW426" i="5"/>
  <c r="BV426" i="5"/>
  <c r="BU426" i="5"/>
  <c r="BT426" i="5"/>
  <c r="BS426" i="5"/>
  <c r="BR426" i="5"/>
  <c r="BZ425" i="5"/>
  <c r="BY425" i="5"/>
  <c r="BX425" i="5"/>
  <c r="BW425" i="5"/>
  <c r="BV425" i="5"/>
  <c r="BU425" i="5"/>
  <c r="BT425" i="5"/>
  <c r="BS425" i="5"/>
  <c r="BR425" i="5"/>
  <c r="BZ424" i="5"/>
  <c r="BY424" i="5"/>
  <c r="BX424" i="5"/>
  <c r="BW424" i="5"/>
  <c r="BV424" i="5"/>
  <c r="BU424" i="5"/>
  <c r="BT424" i="5"/>
  <c r="BS424" i="5"/>
  <c r="BR424" i="5"/>
  <c r="BZ423" i="5"/>
  <c r="BY423" i="5"/>
  <c r="BX423" i="5"/>
  <c r="BW423" i="5"/>
  <c r="BV423" i="5"/>
  <c r="BU423" i="5"/>
  <c r="BT423" i="5"/>
  <c r="BS423" i="5"/>
  <c r="BR423" i="5"/>
  <c r="BZ422" i="5"/>
  <c r="BY422" i="5"/>
  <c r="BX422" i="5"/>
  <c r="BW422" i="5"/>
  <c r="BV422" i="5"/>
  <c r="BU422" i="5"/>
  <c r="BT422" i="5"/>
  <c r="BS422" i="5"/>
  <c r="BR422" i="5"/>
  <c r="BZ421" i="5"/>
  <c r="BY421" i="5"/>
  <c r="BX421" i="5"/>
  <c r="BW421" i="5"/>
  <c r="BV421" i="5"/>
  <c r="BU421" i="5"/>
  <c r="BT421" i="5"/>
  <c r="BS421" i="5"/>
  <c r="BR421" i="5"/>
  <c r="BZ420" i="5"/>
  <c r="BY420" i="5"/>
  <c r="BX420" i="5"/>
  <c r="BW420" i="5"/>
  <c r="BV420" i="5"/>
  <c r="BU420" i="5"/>
  <c r="BT420" i="5"/>
  <c r="BS420" i="5"/>
  <c r="BR420" i="5"/>
  <c r="BZ419" i="5"/>
  <c r="BY419" i="5"/>
  <c r="BX419" i="5"/>
  <c r="BW419" i="5"/>
  <c r="BV419" i="5"/>
  <c r="BU419" i="5"/>
  <c r="BT419" i="5"/>
  <c r="BS419" i="5"/>
  <c r="BR419" i="5"/>
  <c r="BZ418" i="5"/>
  <c r="BY418" i="5"/>
  <c r="BX418" i="5"/>
  <c r="BW418" i="5"/>
  <c r="BV418" i="5"/>
  <c r="BU418" i="5"/>
  <c r="BT418" i="5"/>
  <c r="BS418" i="5"/>
  <c r="BR418" i="5"/>
  <c r="BZ417" i="5"/>
  <c r="BY417" i="5"/>
  <c r="BX417" i="5"/>
  <c r="BW417" i="5"/>
  <c r="BV417" i="5"/>
  <c r="BU417" i="5"/>
  <c r="BT417" i="5"/>
  <c r="BS417" i="5"/>
  <c r="BR417" i="5"/>
  <c r="BZ416" i="5"/>
  <c r="BY416" i="5"/>
  <c r="BX416" i="5"/>
  <c r="BW416" i="5"/>
  <c r="BV416" i="5"/>
  <c r="BU416" i="5"/>
  <c r="BT416" i="5"/>
  <c r="BS416" i="5"/>
  <c r="BR416" i="5"/>
  <c r="BZ415" i="5"/>
  <c r="BY415" i="5"/>
  <c r="BX415" i="5"/>
  <c r="BW415" i="5"/>
  <c r="BV415" i="5"/>
  <c r="BU415" i="5"/>
  <c r="BT415" i="5"/>
  <c r="BS415" i="5"/>
  <c r="BR415" i="5"/>
  <c r="BZ414" i="5"/>
  <c r="BY414" i="5"/>
  <c r="BX414" i="5"/>
  <c r="BW414" i="5"/>
  <c r="BV414" i="5"/>
  <c r="BU414" i="5"/>
  <c r="BT414" i="5"/>
  <c r="BS414" i="5"/>
  <c r="BR414" i="5"/>
  <c r="BZ413" i="5"/>
  <c r="BY413" i="5"/>
  <c r="BX413" i="5"/>
  <c r="BW413" i="5"/>
  <c r="BV413" i="5"/>
  <c r="BU413" i="5"/>
  <c r="BT413" i="5"/>
  <c r="BS413" i="5"/>
  <c r="BR413" i="5"/>
  <c r="BZ412" i="5"/>
  <c r="BY412" i="5"/>
  <c r="BX412" i="5"/>
  <c r="BW412" i="5"/>
  <c r="BV412" i="5"/>
  <c r="BU412" i="5"/>
  <c r="BT412" i="5"/>
  <c r="BS412" i="5"/>
  <c r="BR412" i="5"/>
  <c r="BZ411" i="5"/>
  <c r="BY411" i="5"/>
  <c r="BX411" i="5"/>
  <c r="BW411" i="5"/>
  <c r="BV411" i="5"/>
  <c r="BU411" i="5"/>
  <c r="BT411" i="5"/>
  <c r="BS411" i="5"/>
  <c r="BR411" i="5"/>
  <c r="BZ410" i="5"/>
  <c r="BY410" i="5"/>
  <c r="BX410" i="5"/>
  <c r="BW410" i="5"/>
  <c r="BV410" i="5"/>
  <c r="BU410" i="5"/>
  <c r="BT410" i="5"/>
  <c r="BS410" i="5"/>
  <c r="BR410" i="5"/>
  <c r="BZ409" i="5"/>
  <c r="BY409" i="5"/>
  <c r="BX409" i="5"/>
  <c r="BW409" i="5"/>
  <c r="BV409" i="5"/>
  <c r="BU409" i="5"/>
  <c r="BT409" i="5"/>
  <c r="BS409" i="5"/>
  <c r="BR409" i="5"/>
  <c r="BZ408" i="5"/>
  <c r="BY408" i="5"/>
  <c r="BX408" i="5"/>
  <c r="BW408" i="5"/>
  <c r="BV408" i="5"/>
  <c r="BU408" i="5"/>
  <c r="BT408" i="5"/>
  <c r="BS408" i="5"/>
  <c r="BR408" i="5"/>
  <c r="BZ407" i="5"/>
  <c r="BY407" i="5"/>
  <c r="BX407" i="5"/>
  <c r="BW407" i="5"/>
  <c r="BV407" i="5"/>
  <c r="BU407" i="5"/>
  <c r="BT407" i="5"/>
  <c r="BS407" i="5"/>
  <c r="BR407" i="5"/>
  <c r="BZ406" i="5"/>
  <c r="BY406" i="5"/>
  <c r="BX406" i="5"/>
  <c r="BW406" i="5"/>
  <c r="BV406" i="5"/>
  <c r="BU406" i="5"/>
  <c r="BT406" i="5"/>
  <c r="BS406" i="5"/>
  <c r="BR406" i="5"/>
  <c r="BZ405" i="5"/>
  <c r="BY405" i="5"/>
  <c r="BX405" i="5"/>
  <c r="BW405" i="5"/>
  <c r="BV405" i="5"/>
  <c r="BU405" i="5"/>
  <c r="BT405" i="5"/>
  <c r="BS405" i="5"/>
  <c r="BR405" i="5"/>
  <c r="BZ404" i="5"/>
  <c r="BY404" i="5"/>
  <c r="BX404" i="5"/>
  <c r="BW404" i="5"/>
  <c r="BV404" i="5"/>
  <c r="BU404" i="5"/>
  <c r="BT404" i="5"/>
  <c r="BS404" i="5"/>
  <c r="BR404" i="5"/>
  <c r="BZ403" i="5"/>
  <c r="BY403" i="5"/>
  <c r="BX403" i="5"/>
  <c r="BW403" i="5"/>
  <c r="BV403" i="5"/>
  <c r="BU403" i="5"/>
  <c r="BT403" i="5"/>
  <c r="BS403" i="5"/>
  <c r="BR403" i="5"/>
  <c r="BZ402" i="5"/>
  <c r="BY402" i="5"/>
  <c r="BX402" i="5"/>
  <c r="BW402" i="5"/>
  <c r="BV402" i="5"/>
  <c r="BU402" i="5"/>
  <c r="BT402" i="5"/>
  <c r="BS402" i="5"/>
  <c r="BR402" i="5"/>
  <c r="BZ401" i="5"/>
  <c r="BY401" i="5"/>
  <c r="BX401" i="5"/>
  <c r="BW401" i="5"/>
  <c r="BV401" i="5"/>
  <c r="BU401" i="5"/>
  <c r="BT401" i="5"/>
  <c r="BS401" i="5"/>
  <c r="BR401" i="5"/>
  <c r="BZ400" i="5"/>
  <c r="BY400" i="5"/>
  <c r="BX400" i="5"/>
  <c r="BW400" i="5"/>
  <c r="BV400" i="5"/>
  <c r="BU400" i="5"/>
  <c r="BT400" i="5"/>
  <c r="BS400" i="5"/>
  <c r="BR400" i="5"/>
  <c r="BZ399" i="5"/>
  <c r="BY399" i="5"/>
  <c r="BX399" i="5"/>
  <c r="BW399" i="5"/>
  <c r="BV399" i="5"/>
  <c r="BU399" i="5"/>
  <c r="BT399" i="5"/>
  <c r="BS399" i="5"/>
  <c r="BR399" i="5"/>
  <c r="BZ398" i="5"/>
  <c r="BY398" i="5"/>
  <c r="BX398" i="5"/>
  <c r="BW398" i="5"/>
  <c r="BV398" i="5"/>
  <c r="BU398" i="5"/>
  <c r="BT398" i="5"/>
  <c r="BS398" i="5"/>
  <c r="BR398" i="5"/>
  <c r="BZ397" i="5"/>
  <c r="BY397" i="5"/>
  <c r="BX397" i="5"/>
  <c r="BW397" i="5"/>
  <c r="BV397" i="5"/>
  <c r="BU397" i="5"/>
  <c r="BT397" i="5"/>
  <c r="BS397" i="5"/>
  <c r="BR397" i="5"/>
  <c r="BZ396" i="5"/>
  <c r="BY396" i="5"/>
  <c r="BX396" i="5"/>
  <c r="BW396" i="5"/>
  <c r="BV396" i="5"/>
  <c r="BU396" i="5"/>
  <c r="BT396" i="5"/>
  <c r="BS396" i="5"/>
  <c r="BR396" i="5"/>
  <c r="BZ395" i="5"/>
  <c r="BY395" i="5"/>
  <c r="BX395" i="5"/>
  <c r="BW395" i="5"/>
  <c r="BV395" i="5"/>
  <c r="BU395" i="5"/>
  <c r="BT395" i="5"/>
  <c r="BS395" i="5"/>
  <c r="BR395" i="5"/>
  <c r="BZ394" i="5"/>
  <c r="BY394" i="5"/>
  <c r="BX394" i="5"/>
  <c r="BW394" i="5"/>
  <c r="BV394" i="5"/>
  <c r="BU394" i="5"/>
  <c r="BT394" i="5"/>
  <c r="BS394" i="5"/>
  <c r="BR394" i="5"/>
  <c r="BZ393" i="5"/>
  <c r="BY393" i="5"/>
  <c r="BX393" i="5"/>
  <c r="BW393" i="5"/>
  <c r="BV393" i="5"/>
  <c r="BU393" i="5"/>
  <c r="BT393" i="5"/>
  <c r="BS393" i="5"/>
  <c r="BR393" i="5"/>
  <c r="BZ392" i="5"/>
  <c r="BY392" i="5"/>
  <c r="BX392" i="5"/>
  <c r="BW392" i="5"/>
  <c r="BV392" i="5"/>
  <c r="BU392" i="5"/>
  <c r="BT392" i="5"/>
  <c r="BS392" i="5"/>
  <c r="BR392" i="5"/>
  <c r="BZ391" i="5"/>
  <c r="BY391" i="5"/>
  <c r="BX391" i="5"/>
  <c r="BW391" i="5"/>
  <c r="BV391" i="5"/>
  <c r="BU391" i="5"/>
  <c r="BT391" i="5"/>
  <c r="BS391" i="5"/>
  <c r="BR391" i="5"/>
  <c r="BZ390" i="5"/>
  <c r="BY390" i="5"/>
  <c r="BX390" i="5"/>
  <c r="BW390" i="5"/>
  <c r="BV390" i="5"/>
  <c r="BU390" i="5"/>
  <c r="BT390" i="5"/>
  <c r="BS390" i="5"/>
  <c r="BR390" i="5"/>
  <c r="BZ389" i="5"/>
  <c r="BY389" i="5"/>
  <c r="BX389" i="5"/>
  <c r="BW389" i="5"/>
  <c r="BV389" i="5"/>
  <c r="BU389" i="5"/>
  <c r="BT389" i="5"/>
  <c r="BS389" i="5"/>
  <c r="BR389" i="5"/>
  <c r="BZ388" i="5"/>
  <c r="BY388" i="5"/>
  <c r="BX388" i="5"/>
  <c r="BW388" i="5"/>
  <c r="BV388" i="5"/>
  <c r="BU388" i="5"/>
  <c r="BT388" i="5"/>
  <c r="BS388" i="5"/>
  <c r="BR388" i="5"/>
  <c r="BZ387" i="5"/>
  <c r="BY387" i="5"/>
  <c r="BX387" i="5"/>
  <c r="BW387" i="5"/>
  <c r="BV387" i="5"/>
  <c r="BU387" i="5"/>
  <c r="BT387" i="5"/>
  <c r="BS387" i="5"/>
  <c r="BR387" i="5"/>
  <c r="BZ386" i="5"/>
  <c r="BY386" i="5"/>
  <c r="BX386" i="5"/>
  <c r="BW386" i="5"/>
  <c r="BV386" i="5"/>
  <c r="BU386" i="5"/>
  <c r="BT386" i="5"/>
  <c r="BS386" i="5"/>
  <c r="BR386" i="5"/>
  <c r="BZ385" i="5"/>
  <c r="BY385" i="5"/>
  <c r="BX385" i="5"/>
  <c r="BW385" i="5"/>
  <c r="BV385" i="5"/>
  <c r="BU385" i="5"/>
  <c r="BT385" i="5"/>
  <c r="BS385" i="5"/>
  <c r="BR385" i="5"/>
  <c r="BZ384" i="5"/>
  <c r="BY384" i="5"/>
  <c r="BX384" i="5"/>
  <c r="BW384" i="5"/>
  <c r="BV384" i="5"/>
  <c r="BU384" i="5"/>
  <c r="BT384" i="5"/>
  <c r="BS384" i="5"/>
  <c r="BR384" i="5"/>
  <c r="BZ383" i="5"/>
  <c r="BY383" i="5"/>
  <c r="BX383" i="5"/>
  <c r="BW383" i="5"/>
  <c r="BV383" i="5"/>
  <c r="BU383" i="5"/>
  <c r="BT383" i="5"/>
  <c r="BS383" i="5"/>
  <c r="BR383" i="5"/>
  <c r="BZ382" i="5"/>
  <c r="BY382" i="5"/>
  <c r="BX382" i="5"/>
  <c r="BW382" i="5"/>
  <c r="BV382" i="5"/>
  <c r="BU382" i="5"/>
  <c r="BT382" i="5"/>
  <c r="BS382" i="5"/>
  <c r="BR382" i="5"/>
  <c r="BZ381" i="5"/>
  <c r="BY381" i="5"/>
  <c r="BX381" i="5"/>
  <c r="BW381" i="5"/>
  <c r="BV381" i="5"/>
  <c r="BU381" i="5"/>
  <c r="BT381" i="5"/>
  <c r="BS381" i="5"/>
  <c r="BR381" i="5"/>
  <c r="BZ380" i="5"/>
  <c r="BY380" i="5"/>
  <c r="BX380" i="5"/>
  <c r="BW380" i="5"/>
  <c r="BV380" i="5"/>
  <c r="BU380" i="5"/>
  <c r="BT380" i="5"/>
  <c r="BS380" i="5"/>
  <c r="BR380" i="5"/>
  <c r="BZ379" i="5"/>
  <c r="BY379" i="5"/>
  <c r="BX379" i="5"/>
  <c r="BW379" i="5"/>
  <c r="BV379" i="5"/>
  <c r="BU379" i="5"/>
  <c r="BT379" i="5"/>
  <c r="BS379" i="5"/>
  <c r="BR379" i="5"/>
  <c r="BZ378" i="5"/>
  <c r="BY378" i="5"/>
  <c r="BX378" i="5"/>
  <c r="BW378" i="5"/>
  <c r="BV378" i="5"/>
  <c r="BU378" i="5"/>
  <c r="BT378" i="5"/>
  <c r="BS378" i="5"/>
  <c r="BR378" i="5"/>
  <c r="BZ377" i="5"/>
  <c r="BY377" i="5"/>
  <c r="BX377" i="5"/>
  <c r="BW377" i="5"/>
  <c r="BV377" i="5"/>
  <c r="BU377" i="5"/>
  <c r="BT377" i="5"/>
  <c r="BS377" i="5"/>
  <c r="BR377" i="5"/>
  <c r="BZ376" i="5"/>
  <c r="BY376" i="5"/>
  <c r="BX376" i="5"/>
  <c r="BW376" i="5"/>
  <c r="BV376" i="5"/>
  <c r="BU376" i="5"/>
  <c r="BT376" i="5"/>
  <c r="BS376" i="5"/>
  <c r="BR376" i="5"/>
  <c r="BZ375" i="5"/>
  <c r="BY375" i="5"/>
  <c r="BX375" i="5"/>
  <c r="BW375" i="5"/>
  <c r="BV375" i="5"/>
  <c r="BU375" i="5"/>
  <c r="BT375" i="5"/>
  <c r="BS375" i="5"/>
  <c r="BR375" i="5"/>
  <c r="BZ374" i="5"/>
  <c r="BY374" i="5"/>
  <c r="BX374" i="5"/>
  <c r="BW374" i="5"/>
  <c r="BV374" i="5"/>
  <c r="BU374" i="5"/>
  <c r="BT374" i="5"/>
  <c r="BS374" i="5"/>
  <c r="BR374" i="5"/>
  <c r="BZ373" i="5"/>
  <c r="BY373" i="5"/>
  <c r="BX373" i="5"/>
  <c r="BW373" i="5"/>
  <c r="BV373" i="5"/>
  <c r="BU373" i="5"/>
  <c r="BT373" i="5"/>
  <c r="BS373" i="5"/>
  <c r="BR373" i="5"/>
  <c r="BZ372" i="5"/>
  <c r="BY372" i="5"/>
  <c r="BX372" i="5"/>
  <c r="BW372" i="5"/>
  <c r="BV372" i="5"/>
  <c r="BU372" i="5"/>
  <c r="BT372" i="5"/>
  <c r="BS372" i="5"/>
  <c r="BR372" i="5"/>
  <c r="BZ371" i="5"/>
  <c r="BY371" i="5"/>
  <c r="BX371" i="5"/>
  <c r="BW371" i="5"/>
  <c r="BV371" i="5"/>
  <c r="BU371" i="5"/>
  <c r="BT371" i="5"/>
  <c r="BS371" i="5"/>
  <c r="BR371" i="5"/>
  <c r="BZ370" i="5"/>
  <c r="BY370" i="5"/>
  <c r="BX370" i="5"/>
  <c r="BW370" i="5"/>
  <c r="BV370" i="5"/>
  <c r="BU370" i="5"/>
  <c r="BT370" i="5"/>
  <c r="BS370" i="5"/>
  <c r="BR370" i="5"/>
  <c r="BZ369" i="5"/>
  <c r="BY369" i="5"/>
  <c r="BX369" i="5"/>
  <c r="BW369" i="5"/>
  <c r="BV369" i="5"/>
  <c r="BU369" i="5"/>
  <c r="BT369" i="5"/>
  <c r="BS369" i="5"/>
  <c r="BR369" i="5"/>
  <c r="BZ368" i="5"/>
  <c r="BY368" i="5"/>
  <c r="BX368" i="5"/>
  <c r="BW368" i="5"/>
  <c r="BV368" i="5"/>
  <c r="BU368" i="5"/>
  <c r="BT368" i="5"/>
  <c r="BS368" i="5"/>
  <c r="BR368" i="5"/>
  <c r="BZ367" i="5"/>
  <c r="BY367" i="5"/>
  <c r="BX367" i="5"/>
  <c r="BW367" i="5"/>
  <c r="BV367" i="5"/>
  <c r="BU367" i="5"/>
  <c r="BT367" i="5"/>
  <c r="BS367" i="5"/>
  <c r="BR367" i="5"/>
  <c r="BZ366" i="5"/>
  <c r="BY366" i="5"/>
  <c r="BX366" i="5"/>
  <c r="BW366" i="5"/>
  <c r="BV366" i="5"/>
  <c r="BU366" i="5"/>
  <c r="BT366" i="5"/>
  <c r="BS366" i="5"/>
  <c r="BR366" i="5"/>
  <c r="BZ365" i="5"/>
  <c r="BY365" i="5"/>
  <c r="BX365" i="5"/>
  <c r="BW365" i="5"/>
  <c r="BV365" i="5"/>
  <c r="BU365" i="5"/>
  <c r="BT365" i="5"/>
  <c r="BS365" i="5"/>
  <c r="BR365" i="5"/>
  <c r="BZ364" i="5"/>
  <c r="BY364" i="5"/>
  <c r="BX364" i="5"/>
  <c r="BW364" i="5"/>
  <c r="BV364" i="5"/>
  <c r="BU364" i="5"/>
  <c r="BT364" i="5"/>
  <c r="BS364" i="5"/>
  <c r="BR364" i="5"/>
  <c r="BZ363" i="5"/>
  <c r="BY363" i="5"/>
  <c r="BX363" i="5"/>
  <c r="BW363" i="5"/>
  <c r="BV363" i="5"/>
  <c r="BU363" i="5"/>
  <c r="BT363" i="5"/>
  <c r="BS363" i="5"/>
  <c r="BR363" i="5"/>
  <c r="BZ362" i="5"/>
  <c r="BY362" i="5"/>
  <c r="BX362" i="5"/>
  <c r="BW362" i="5"/>
  <c r="BV362" i="5"/>
  <c r="BU362" i="5"/>
  <c r="BT362" i="5"/>
  <c r="BS362" i="5"/>
  <c r="BR362" i="5"/>
  <c r="BZ361" i="5"/>
  <c r="BY361" i="5"/>
  <c r="BX361" i="5"/>
  <c r="BW361" i="5"/>
  <c r="BV361" i="5"/>
  <c r="BU361" i="5"/>
  <c r="BT361" i="5"/>
  <c r="BS361" i="5"/>
  <c r="BR361" i="5"/>
  <c r="BZ360" i="5"/>
  <c r="BY360" i="5"/>
  <c r="BX360" i="5"/>
  <c r="BW360" i="5"/>
  <c r="BV360" i="5"/>
  <c r="BU360" i="5"/>
  <c r="BT360" i="5"/>
  <c r="BS360" i="5"/>
  <c r="BR360" i="5"/>
  <c r="BZ359" i="5"/>
  <c r="BY359" i="5"/>
  <c r="BX359" i="5"/>
  <c r="BW359" i="5"/>
  <c r="BV359" i="5"/>
  <c r="BU359" i="5"/>
  <c r="BT359" i="5"/>
  <c r="BS359" i="5"/>
  <c r="BR359" i="5"/>
  <c r="BZ358" i="5"/>
  <c r="BY358" i="5"/>
  <c r="BX358" i="5"/>
  <c r="BW358" i="5"/>
  <c r="BV358" i="5"/>
  <c r="BU358" i="5"/>
  <c r="BT358" i="5"/>
  <c r="BS358" i="5"/>
  <c r="BR358" i="5"/>
  <c r="BZ357" i="5"/>
  <c r="BY357" i="5"/>
  <c r="BX357" i="5"/>
  <c r="BW357" i="5"/>
  <c r="BV357" i="5"/>
  <c r="BU357" i="5"/>
  <c r="BT357" i="5"/>
  <c r="BS357" i="5"/>
  <c r="BR357" i="5"/>
  <c r="BZ356" i="5"/>
  <c r="BY356" i="5"/>
  <c r="BX356" i="5"/>
  <c r="BW356" i="5"/>
  <c r="BV356" i="5"/>
  <c r="BU356" i="5"/>
  <c r="BT356" i="5"/>
  <c r="BS356" i="5"/>
  <c r="BR356" i="5"/>
  <c r="BZ355" i="5"/>
  <c r="BY355" i="5"/>
  <c r="BX355" i="5"/>
  <c r="BW355" i="5"/>
  <c r="BV355" i="5"/>
  <c r="BU355" i="5"/>
  <c r="BT355" i="5"/>
  <c r="BS355" i="5"/>
  <c r="BR355" i="5"/>
  <c r="BZ354" i="5"/>
  <c r="BY354" i="5"/>
  <c r="BX354" i="5"/>
  <c r="BW354" i="5"/>
  <c r="BV354" i="5"/>
  <c r="BU354" i="5"/>
  <c r="BT354" i="5"/>
  <c r="BS354" i="5"/>
  <c r="BR354" i="5"/>
  <c r="BZ353" i="5"/>
  <c r="BY353" i="5"/>
  <c r="BX353" i="5"/>
  <c r="BW353" i="5"/>
  <c r="BV353" i="5"/>
  <c r="BU353" i="5"/>
  <c r="BT353" i="5"/>
  <c r="BS353" i="5"/>
  <c r="BR353" i="5"/>
  <c r="BZ352" i="5"/>
  <c r="BY352" i="5"/>
  <c r="BX352" i="5"/>
  <c r="BW352" i="5"/>
  <c r="BV352" i="5"/>
  <c r="BU352" i="5"/>
  <c r="BT352" i="5"/>
  <c r="BS352" i="5"/>
  <c r="BR352" i="5"/>
  <c r="BZ351" i="5"/>
  <c r="BY351" i="5"/>
  <c r="BX351" i="5"/>
  <c r="BW351" i="5"/>
  <c r="BV351" i="5"/>
  <c r="BU351" i="5"/>
  <c r="BT351" i="5"/>
  <c r="BS351" i="5"/>
  <c r="BR351" i="5"/>
  <c r="BZ350" i="5"/>
  <c r="BY350" i="5"/>
  <c r="BX350" i="5"/>
  <c r="BW350" i="5"/>
  <c r="BV350" i="5"/>
  <c r="BU350" i="5"/>
  <c r="BT350" i="5"/>
  <c r="BS350" i="5"/>
  <c r="BR350" i="5"/>
  <c r="BZ349" i="5"/>
  <c r="BY349" i="5"/>
  <c r="BX349" i="5"/>
  <c r="BW349" i="5"/>
  <c r="BV349" i="5"/>
  <c r="BU349" i="5"/>
  <c r="BT349" i="5"/>
  <c r="BS349" i="5"/>
  <c r="BR349" i="5"/>
  <c r="BZ348" i="5"/>
  <c r="BY348" i="5"/>
  <c r="BX348" i="5"/>
  <c r="BW348" i="5"/>
  <c r="BV348" i="5"/>
  <c r="BU348" i="5"/>
  <c r="BT348" i="5"/>
  <c r="BS348" i="5"/>
  <c r="BR348" i="5"/>
  <c r="BZ347" i="5"/>
  <c r="BY347" i="5"/>
  <c r="BX347" i="5"/>
  <c r="BW347" i="5"/>
  <c r="BV347" i="5"/>
  <c r="BU347" i="5"/>
  <c r="BT347" i="5"/>
  <c r="BS347" i="5"/>
  <c r="BR347" i="5"/>
  <c r="BZ346" i="5"/>
  <c r="BY346" i="5"/>
  <c r="BX346" i="5"/>
  <c r="BW346" i="5"/>
  <c r="BV346" i="5"/>
  <c r="BU346" i="5"/>
  <c r="BT346" i="5"/>
  <c r="BS346" i="5"/>
  <c r="BR346" i="5"/>
  <c r="BZ345" i="5"/>
  <c r="BY345" i="5"/>
  <c r="BX345" i="5"/>
  <c r="BW345" i="5"/>
  <c r="BV345" i="5"/>
  <c r="BU345" i="5"/>
  <c r="BT345" i="5"/>
  <c r="BS345" i="5"/>
  <c r="BR345" i="5"/>
  <c r="BZ344" i="5"/>
  <c r="BY344" i="5"/>
  <c r="BX344" i="5"/>
  <c r="BW344" i="5"/>
  <c r="BV344" i="5"/>
  <c r="BU344" i="5"/>
  <c r="BT344" i="5"/>
  <c r="BS344" i="5"/>
  <c r="BR344" i="5"/>
  <c r="BZ343" i="5"/>
  <c r="BY343" i="5"/>
  <c r="BX343" i="5"/>
  <c r="BW343" i="5"/>
  <c r="BV343" i="5"/>
  <c r="BU343" i="5"/>
  <c r="BT343" i="5"/>
  <c r="BS343" i="5"/>
  <c r="BR343" i="5"/>
  <c r="BZ342" i="5"/>
  <c r="BY342" i="5"/>
  <c r="BX342" i="5"/>
  <c r="BW342" i="5"/>
  <c r="BV342" i="5"/>
  <c r="BU342" i="5"/>
  <c r="BT342" i="5"/>
  <c r="BS342" i="5"/>
  <c r="BR342" i="5"/>
  <c r="BZ341" i="5"/>
  <c r="BY341" i="5"/>
  <c r="BX341" i="5"/>
  <c r="BW341" i="5"/>
  <c r="BV341" i="5"/>
  <c r="BU341" i="5"/>
  <c r="BT341" i="5"/>
  <c r="BS341" i="5"/>
  <c r="BR341" i="5"/>
  <c r="BZ340" i="5"/>
  <c r="BY340" i="5"/>
  <c r="BX340" i="5"/>
  <c r="BW340" i="5"/>
  <c r="BV340" i="5"/>
  <c r="BU340" i="5"/>
  <c r="BT340" i="5"/>
  <c r="BS340" i="5"/>
  <c r="BR340" i="5"/>
  <c r="BZ339" i="5"/>
  <c r="BY339" i="5"/>
  <c r="BX339" i="5"/>
  <c r="BW339" i="5"/>
  <c r="BV339" i="5"/>
  <c r="BU339" i="5"/>
  <c r="BT339" i="5"/>
  <c r="BS339" i="5"/>
  <c r="BR339" i="5"/>
  <c r="BZ338" i="5"/>
  <c r="BY338" i="5"/>
  <c r="BX338" i="5"/>
  <c r="BW338" i="5"/>
  <c r="BV338" i="5"/>
  <c r="BU338" i="5"/>
  <c r="BT338" i="5"/>
  <c r="BS338" i="5"/>
  <c r="BR338" i="5"/>
  <c r="BZ337" i="5"/>
  <c r="BY337" i="5"/>
  <c r="BX337" i="5"/>
  <c r="BW337" i="5"/>
  <c r="BV337" i="5"/>
  <c r="BU337" i="5"/>
  <c r="BT337" i="5"/>
  <c r="BS337" i="5"/>
  <c r="BR337" i="5"/>
  <c r="BZ336" i="5"/>
  <c r="BY336" i="5"/>
  <c r="BX336" i="5"/>
  <c r="BW336" i="5"/>
  <c r="BV336" i="5"/>
  <c r="BU336" i="5"/>
  <c r="BT336" i="5"/>
  <c r="BS336" i="5"/>
  <c r="BR336" i="5"/>
  <c r="BZ335" i="5"/>
  <c r="BY335" i="5"/>
  <c r="BX335" i="5"/>
  <c r="BW335" i="5"/>
  <c r="BV335" i="5"/>
  <c r="BU335" i="5"/>
  <c r="BT335" i="5"/>
  <c r="BS335" i="5"/>
  <c r="BR335" i="5"/>
  <c r="BZ334" i="5"/>
  <c r="BY334" i="5"/>
  <c r="BX334" i="5"/>
  <c r="BW334" i="5"/>
  <c r="BV334" i="5"/>
  <c r="BU334" i="5"/>
  <c r="BT334" i="5"/>
  <c r="BS334" i="5"/>
  <c r="BR334" i="5"/>
  <c r="BZ333" i="5"/>
  <c r="BY333" i="5"/>
  <c r="BX333" i="5"/>
  <c r="BW333" i="5"/>
  <c r="BV333" i="5"/>
  <c r="BU333" i="5"/>
  <c r="BT333" i="5"/>
  <c r="BS333" i="5"/>
  <c r="BR333" i="5"/>
  <c r="BZ332" i="5"/>
  <c r="BY332" i="5"/>
  <c r="BX332" i="5"/>
  <c r="BW332" i="5"/>
  <c r="BV332" i="5"/>
  <c r="BU332" i="5"/>
  <c r="BT332" i="5"/>
  <c r="BS332" i="5"/>
  <c r="BR332" i="5"/>
  <c r="BZ331" i="5"/>
  <c r="BY331" i="5"/>
  <c r="BX331" i="5"/>
  <c r="BW331" i="5"/>
  <c r="BV331" i="5"/>
  <c r="BU331" i="5"/>
  <c r="BT331" i="5"/>
  <c r="BS331" i="5"/>
  <c r="BR331" i="5"/>
  <c r="BZ330" i="5"/>
  <c r="BY330" i="5"/>
  <c r="BX330" i="5"/>
  <c r="BW330" i="5"/>
  <c r="BV330" i="5"/>
  <c r="BU330" i="5"/>
  <c r="BT330" i="5"/>
  <c r="BS330" i="5"/>
  <c r="BR330" i="5"/>
  <c r="BZ329" i="5"/>
  <c r="BY329" i="5"/>
  <c r="BX329" i="5"/>
  <c r="BW329" i="5"/>
  <c r="BV329" i="5"/>
  <c r="BU329" i="5"/>
  <c r="BT329" i="5"/>
  <c r="BS329" i="5"/>
  <c r="BR329" i="5"/>
  <c r="BZ328" i="5"/>
  <c r="BY328" i="5"/>
  <c r="BX328" i="5"/>
  <c r="BW328" i="5"/>
  <c r="BV328" i="5"/>
  <c r="BU328" i="5"/>
  <c r="BT328" i="5"/>
  <c r="BS328" i="5"/>
  <c r="BR328" i="5"/>
  <c r="BZ327" i="5"/>
  <c r="BY327" i="5"/>
  <c r="BX327" i="5"/>
  <c r="BW327" i="5"/>
  <c r="BV327" i="5"/>
  <c r="BU327" i="5"/>
  <c r="BT327" i="5"/>
  <c r="BS327" i="5"/>
  <c r="BR327" i="5"/>
  <c r="BZ326" i="5"/>
  <c r="BY326" i="5"/>
  <c r="BX326" i="5"/>
  <c r="BW326" i="5"/>
  <c r="BV326" i="5"/>
  <c r="BU326" i="5"/>
  <c r="BT326" i="5"/>
  <c r="BS326" i="5"/>
  <c r="BR326" i="5"/>
  <c r="BZ325" i="5"/>
  <c r="BY325" i="5"/>
  <c r="BX325" i="5"/>
  <c r="BW325" i="5"/>
  <c r="BV325" i="5"/>
  <c r="BU325" i="5"/>
  <c r="BT325" i="5"/>
  <c r="BS325" i="5"/>
  <c r="BR325" i="5"/>
  <c r="BZ324" i="5"/>
  <c r="BY324" i="5"/>
  <c r="BX324" i="5"/>
  <c r="BW324" i="5"/>
  <c r="BV324" i="5"/>
  <c r="BU324" i="5"/>
  <c r="BT324" i="5"/>
  <c r="BS324" i="5"/>
  <c r="BR324" i="5"/>
  <c r="BZ323" i="5"/>
  <c r="BY323" i="5"/>
  <c r="BX323" i="5"/>
  <c r="BW323" i="5"/>
  <c r="BV323" i="5"/>
  <c r="BU323" i="5"/>
  <c r="BT323" i="5"/>
  <c r="BS323" i="5"/>
  <c r="BR323" i="5"/>
  <c r="BZ322" i="5"/>
  <c r="BY322" i="5"/>
  <c r="BX322" i="5"/>
  <c r="BW322" i="5"/>
  <c r="BV322" i="5"/>
  <c r="BU322" i="5"/>
  <c r="BT322" i="5"/>
  <c r="BS322" i="5"/>
  <c r="BR322" i="5"/>
  <c r="BZ321" i="5"/>
  <c r="BY321" i="5"/>
  <c r="BX321" i="5"/>
  <c r="BW321" i="5"/>
  <c r="BV321" i="5"/>
  <c r="BU321" i="5"/>
  <c r="BT321" i="5"/>
  <c r="BS321" i="5"/>
  <c r="BR321" i="5"/>
  <c r="BZ320" i="5"/>
  <c r="BY320" i="5"/>
  <c r="BX320" i="5"/>
  <c r="BW320" i="5"/>
  <c r="BV320" i="5"/>
  <c r="BU320" i="5"/>
  <c r="BT320" i="5"/>
  <c r="BS320" i="5"/>
  <c r="BR320" i="5"/>
  <c r="BZ319" i="5"/>
  <c r="BY319" i="5"/>
  <c r="BX319" i="5"/>
  <c r="BW319" i="5"/>
  <c r="BV319" i="5"/>
  <c r="BU319" i="5"/>
  <c r="BT319" i="5"/>
  <c r="BS319" i="5"/>
  <c r="BR319" i="5"/>
  <c r="BZ318" i="5"/>
  <c r="BY318" i="5"/>
  <c r="BX318" i="5"/>
  <c r="BW318" i="5"/>
  <c r="BV318" i="5"/>
  <c r="BU318" i="5"/>
  <c r="BT318" i="5"/>
  <c r="BS318" i="5"/>
  <c r="BR318" i="5"/>
  <c r="BZ317" i="5"/>
  <c r="BY317" i="5"/>
  <c r="BX317" i="5"/>
  <c r="BW317" i="5"/>
  <c r="BV317" i="5"/>
  <c r="BU317" i="5"/>
  <c r="BT317" i="5"/>
  <c r="BS317" i="5"/>
  <c r="BR317" i="5"/>
  <c r="BZ316" i="5"/>
  <c r="BY316" i="5"/>
  <c r="BX316" i="5"/>
  <c r="BW316" i="5"/>
  <c r="BV316" i="5"/>
  <c r="BU316" i="5"/>
  <c r="BT316" i="5"/>
  <c r="BS316" i="5"/>
  <c r="BR316" i="5"/>
  <c r="BZ315" i="5"/>
  <c r="BY315" i="5"/>
  <c r="BX315" i="5"/>
  <c r="BW315" i="5"/>
  <c r="BV315" i="5"/>
  <c r="BU315" i="5"/>
  <c r="BT315" i="5"/>
  <c r="BS315" i="5"/>
  <c r="BR315" i="5"/>
  <c r="BZ314" i="5"/>
  <c r="BY314" i="5"/>
  <c r="BX314" i="5"/>
  <c r="BW314" i="5"/>
  <c r="BV314" i="5"/>
  <c r="BU314" i="5"/>
  <c r="BT314" i="5"/>
  <c r="BS314" i="5"/>
  <c r="BR314" i="5"/>
  <c r="BZ313" i="5"/>
  <c r="BY313" i="5"/>
  <c r="BX313" i="5"/>
  <c r="BW313" i="5"/>
  <c r="BV313" i="5"/>
  <c r="BU313" i="5"/>
  <c r="BT313" i="5"/>
  <c r="BS313" i="5"/>
  <c r="BR313" i="5"/>
  <c r="BZ312" i="5"/>
  <c r="BY312" i="5"/>
  <c r="BX312" i="5"/>
  <c r="BW312" i="5"/>
  <c r="BV312" i="5"/>
  <c r="BU312" i="5"/>
  <c r="BT312" i="5"/>
  <c r="BS312" i="5"/>
  <c r="BR312" i="5"/>
  <c r="BZ311" i="5"/>
  <c r="BY311" i="5"/>
  <c r="BX311" i="5"/>
  <c r="BW311" i="5"/>
  <c r="BV311" i="5"/>
  <c r="BU311" i="5"/>
  <c r="BT311" i="5"/>
  <c r="BS311" i="5"/>
  <c r="BR311" i="5"/>
  <c r="BZ310" i="5"/>
  <c r="BY310" i="5"/>
  <c r="BX310" i="5"/>
  <c r="BW310" i="5"/>
  <c r="BV310" i="5"/>
  <c r="BU310" i="5"/>
  <c r="BT310" i="5"/>
  <c r="BS310" i="5"/>
  <c r="BR310" i="5"/>
  <c r="BZ309" i="5"/>
  <c r="BY309" i="5"/>
  <c r="BX309" i="5"/>
  <c r="BW309" i="5"/>
  <c r="BV309" i="5"/>
  <c r="BU309" i="5"/>
  <c r="BT309" i="5"/>
  <c r="BS309" i="5"/>
  <c r="BR309" i="5"/>
  <c r="BZ308" i="5"/>
  <c r="BY308" i="5"/>
  <c r="BX308" i="5"/>
  <c r="BW308" i="5"/>
  <c r="BV308" i="5"/>
  <c r="BU308" i="5"/>
  <c r="BT308" i="5"/>
  <c r="BS308" i="5"/>
  <c r="BR308" i="5"/>
  <c r="BZ307" i="5"/>
  <c r="BY307" i="5"/>
  <c r="BX307" i="5"/>
  <c r="BW307" i="5"/>
  <c r="BV307" i="5"/>
  <c r="BU307" i="5"/>
  <c r="BT307" i="5"/>
  <c r="BS307" i="5"/>
  <c r="BR307" i="5"/>
  <c r="BZ306" i="5"/>
  <c r="BY306" i="5"/>
  <c r="BX306" i="5"/>
  <c r="BW306" i="5"/>
  <c r="BV306" i="5"/>
  <c r="BU306" i="5"/>
  <c r="BT306" i="5"/>
  <c r="BS306" i="5"/>
  <c r="BR306" i="5"/>
  <c r="BZ305" i="5"/>
  <c r="BY305" i="5"/>
  <c r="BX305" i="5"/>
  <c r="BW305" i="5"/>
  <c r="BV305" i="5"/>
  <c r="BU305" i="5"/>
  <c r="BT305" i="5"/>
  <c r="BS305" i="5"/>
  <c r="BR305" i="5"/>
  <c r="BZ304" i="5"/>
  <c r="BY304" i="5"/>
  <c r="BX304" i="5"/>
  <c r="BW304" i="5"/>
  <c r="BV304" i="5"/>
  <c r="BU304" i="5"/>
  <c r="BT304" i="5"/>
  <c r="BS304" i="5"/>
  <c r="BR304" i="5"/>
  <c r="BZ303" i="5"/>
  <c r="BY303" i="5"/>
  <c r="BX303" i="5"/>
  <c r="BW303" i="5"/>
  <c r="BV303" i="5"/>
  <c r="BU303" i="5"/>
  <c r="BT303" i="5"/>
  <c r="BS303" i="5"/>
  <c r="BR303" i="5"/>
  <c r="BZ302" i="5"/>
  <c r="BY302" i="5"/>
  <c r="BX302" i="5"/>
  <c r="BW302" i="5"/>
  <c r="BV302" i="5"/>
  <c r="BU302" i="5"/>
  <c r="BT302" i="5"/>
  <c r="BS302" i="5"/>
  <c r="BR302" i="5"/>
  <c r="BZ301" i="5"/>
  <c r="BY301" i="5"/>
  <c r="BX301" i="5"/>
  <c r="BW301" i="5"/>
  <c r="BV301" i="5"/>
  <c r="BU301" i="5"/>
  <c r="BT301" i="5"/>
  <c r="BS301" i="5"/>
  <c r="BR301" i="5"/>
  <c r="BZ300" i="5"/>
  <c r="BY300" i="5"/>
  <c r="BX300" i="5"/>
  <c r="BW300" i="5"/>
  <c r="BV300" i="5"/>
  <c r="BU300" i="5"/>
  <c r="BT300" i="5"/>
  <c r="BS300" i="5"/>
  <c r="BR300" i="5"/>
  <c r="BZ299" i="5"/>
  <c r="BY299" i="5"/>
  <c r="BX299" i="5"/>
  <c r="BW299" i="5"/>
  <c r="BV299" i="5"/>
  <c r="BU299" i="5"/>
  <c r="BT299" i="5"/>
  <c r="BS299" i="5"/>
  <c r="BR299" i="5"/>
  <c r="BZ298" i="5"/>
  <c r="BY298" i="5"/>
  <c r="BX298" i="5"/>
  <c r="BW298" i="5"/>
  <c r="BV298" i="5"/>
  <c r="BU298" i="5"/>
  <c r="BT298" i="5"/>
  <c r="BS298" i="5"/>
  <c r="BR298" i="5"/>
  <c r="BZ297" i="5"/>
  <c r="BY297" i="5"/>
  <c r="BX297" i="5"/>
  <c r="BW297" i="5"/>
  <c r="BV297" i="5"/>
  <c r="BU297" i="5"/>
  <c r="BT297" i="5"/>
  <c r="BS297" i="5"/>
  <c r="BR297" i="5"/>
  <c r="BZ296" i="5"/>
  <c r="BY296" i="5"/>
  <c r="BX296" i="5"/>
  <c r="BW296" i="5"/>
  <c r="BV296" i="5"/>
  <c r="BU296" i="5"/>
  <c r="BT296" i="5"/>
  <c r="BS296" i="5"/>
  <c r="BR296" i="5"/>
  <c r="BZ295" i="5"/>
  <c r="BY295" i="5"/>
  <c r="BX295" i="5"/>
  <c r="BW295" i="5"/>
  <c r="BV295" i="5"/>
  <c r="BU295" i="5"/>
  <c r="BT295" i="5"/>
  <c r="BS295" i="5"/>
  <c r="BR295" i="5"/>
  <c r="BZ294" i="5"/>
  <c r="BY294" i="5"/>
  <c r="BX294" i="5"/>
  <c r="BW294" i="5"/>
  <c r="BV294" i="5"/>
  <c r="BU294" i="5"/>
  <c r="BT294" i="5"/>
  <c r="BS294" i="5"/>
  <c r="BR294" i="5"/>
  <c r="BZ293" i="5"/>
  <c r="BY293" i="5"/>
  <c r="BX293" i="5"/>
  <c r="BW293" i="5"/>
  <c r="BV293" i="5"/>
  <c r="BU293" i="5"/>
  <c r="BT293" i="5"/>
  <c r="BS293" i="5"/>
  <c r="BR293" i="5"/>
  <c r="BZ292" i="5"/>
  <c r="BY292" i="5"/>
  <c r="BX292" i="5"/>
  <c r="BW292" i="5"/>
  <c r="BV292" i="5"/>
  <c r="BU292" i="5"/>
  <c r="BT292" i="5"/>
  <c r="BS292" i="5"/>
  <c r="BR292" i="5"/>
  <c r="BZ291" i="5"/>
  <c r="BY291" i="5"/>
  <c r="BX291" i="5"/>
  <c r="BW291" i="5"/>
  <c r="BV291" i="5"/>
  <c r="BU291" i="5"/>
  <c r="BT291" i="5"/>
  <c r="BS291" i="5"/>
  <c r="BR291" i="5"/>
  <c r="BZ290" i="5"/>
  <c r="BY290" i="5"/>
  <c r="BX290" i="5"/>
  <c r="BW290" i="5"/>
  <c r="BV290" i="5"/>
  <c r="BU290" i="5"/>
  <c r="BT290" i="5"/>
  <c r="BS290" i="5"/>
  <c r="BR290" i="5"/>
  <c r="BZ289" i="5"/>
  <c r="BY289" i="5"/>
  <c r="BX289" i="5"/>
  <c r="BW289" i="5"/>
  <c r="BV289" i="5"/>
  <c r="BU289" i="5"/>
  <c r="BT289" i="5"/>
  <c r="BS289" i="5"/>
  <c r="BR289" i="5"/>
  <c r="BZ288" i="5"/>
  <c r="BY288" i="5"/>
  <c r="BX288" i="5"/>
  <c r="BW288" i="5"/>
  <c r="BV288" i="5"/>
  <c r="BU288" i="5"/>
  <c r="BT288" i="5"/>
  <c r="BS288" i="5"/>
  <c r="BR288" i="5"/>
  <c r="BZ287" i="5"/>
  <c r="BY287" i="5"/>
  <c r="BX287" i="5"/>
  <c r="BW287" i="5"/>
  <c r="BV287" i="5"/>
  <c r="BU287" i="5"/>
  <c r="BT287" i="5"/>
  <c r="BS287" i="5"/>
  <c r="BR287" i="5"/>
  <c r="BZ286" i="5"/>
  <c r="BY286" i="5"/>
  <c r="BX286" i="5"/>
  <c r="BW286" i="5"/>
  <c r="BV286" i="5"/>
  <c r="BU286" i="5"/>
  <c r="BT286" i="5"/>
  <c r="BS286" i="5"/>
  <c r="BR286" i="5"/>
  <c r="BZ285" i="5"/>
  <c r="BY285" i="5"/>
  <c r="BX285" i="5"/>
  <c r="BW285" i="5"/>
  <c r="BV285" i="5"/>
  <c r="BU285" i="5"/>
  <c r="BT285" i="5"/>
  <c r="BS285" i="5"/>
  <c r="BR285" i="5"/>
  <c r="BZ284" i="5"/>
  <c r="BY284" i="5"/>
  <c r="BX284" i="5"/>
  <c r="BW284" i="5"/>
  <c r="BV284" i="5"/>
  <c r="BU284" i="5"/>
  <c r="BT284" i="5"/>
  <c r="BS284" i="5"/>
  <c r="BR284" i="5"/>
  <c r="BZ283" i="5"/>
  <c r="BY283" i="5"/>
  <c r="BX283" i="5"/>
  <c r="BW283" i="5"/>
  <c r="BV283" i="5"/>
  <c r="BU283" i="5"/>
  <c r="BT283" i="5"/>
  <c r="BS283" i="5"/>
  <c r="BR283" i="5"/>
  <c r="BZ282" i="5"/>
  <c r="BY282" i="5"/>
  <c r="BX282" i="5"/>
  <c r="BW282" i="5"/>
  <c r="BV282" i="5"/>
  <c r="BU282" i="5"/>
  <c r="BT282" i="5"/>
  <c r="BS282" i="5"/>
  <c r="BR282" i="5"/>
  <c r="BZ281" i="5"/>
  <c r="BY281" i="5"/>
  <c r="BX281" i="5"/>
  <c r="BW281" i="5"/>
  <c r="BV281" i="5"/>
  <c r="BU281" i="5"/>
  <c r="BT281" i="5"/>
  <c r="BS281" i="5"/>
  <c r="BR281" i="5"/>
  <c r="BZ280" i="5"/>
  <c r="BY280" i="5"/>
  <c r="BX280" i="5"/>
  <c r="BW280" i="5"/>
  <c r="BV280" i="5"/>
  <c r="BU280" i="5"/>
  <c r="BT280" i="5"/>
  <c r="BS280" i="5"/>
  <c r="BR280" i="5"/>
  <c r="BZ279" i="5"/>
  <c r="BY279" i="5"/>
  <c r="BX279" i="5"/>
  <c r="BW279" i="5"/>
  <c r="BV279" i="5"/>
  <c r="BU279" i="5"/>
  <c r="BT279" i="5"/>
  <c r="BS279" i="5"/>
  <c r="BR279" i="5"/>
  <c r="BZ278" i="5"/>
  <c r="BY278" i="5"/>
  <c r="BX278" i="5"/>
  <c r="BW278" i="5"/>
  <c r="BV278" i="5"/>
  <c r="BU278" i="5"/>
  <c r="BT278" i="5"/>
  <c r="BS278" i="5"/>
  <c r="BR278" i="5"/>
  <c r="BZ277" i="5"/>
  <c r="BY277" i="5"/>
  <c r="BX277" i="5"/>
  <c r="BW277" i="5"/>
  <c r="BV277" i="5"/>
  <c r="BU277" i="5"/>
  <c r="BT277" i="5"/>
  <c r="BS277" i="5"/>
  <c r="BR277" i="5"/>
  <c r="BZ276" i="5"/>
  <c r="BY276" i="5"/>
  <c r="BX276" i="5"/>
  <c r="BW276" i="5"/>
  <c r="BV276" i="5"/>
  <c r="BU276" i="5"/>
  <c r="BT276" i="5"/>
  <c r="BS276" i="5"/>
  <c r="BR276" i="5"/>
  <c r="BZ275" i="5"/>
  <c r="BY275" i="5"/>
  <c r="BX275" i="5"/>
  <c r="BW275" i="5"/>
  <c r="BV275" i="5"/>
  <c r="BU275" i="5"/>
  <c r="BT275" i="5"/>
  <c r="BS275" i="5"/>
  <c r="BR275" i="5"/>
  <c r="BZ274" i="5"/>
  <c r="BY274" i="5"/>
  <c r="BX274" i="5"/>
  <c r="BW274" i="5"/>
  <c r="BV274" i="5"/>
  <c r="BU274" i="5"/>
  <c r="BT274" i="5"/>
  <c r="BS274" i="5"/>
  <c r="BR274" i="5"/>
  <c r="BZ273" i="5"/>
  <c r="BY273" i="5"/>
  <c r="BX273" i="5"/>
  <c r="BW273" i="5"/>
  <c r="BV273" i="5"/>
  <c r="BU273" i="5"/>
  <c r="BT273" i="5"/>
  <c r="BS273" i="5"/>
  <c r="BR273" i="5"/>
  <c r="BZ272" i="5"/>
  <c r="BY272" i="5"/>
  <c r="BX272" i="5"/>
  <c r="BW272" i="5"/>
  <c r="BV272" i="5"/>
  <c r="BU272" i="5"/>
  <c r="BT272" i="5"/>
  <c r="BS272" i="5"/>
  <c r="BR272" i="5"/>
  <c r="BZ271" i="5"/>
  <c r="BY271" i="5"/>
  <c r="BX271" i="5"/>
  <c r="BW271" i="5"/>
  <c r="BV271" i="5"/>
  <c r="BU271" i="5"/>
  <c r="BT271" i="5"/>
  <c r="BS271" i="5"/>
  <c r="BR271" i="5"/>
  <c r="BZ270" i="5"/>
  <c r="BY270" i="5"/>
  <c r="BX270" i="5"/>
  <c r="BW270" i="5"/>
  <c r="BV270" i="5"/>
  <c r="BU270" i="5"/>
  <c r="BT270" i="5"/>
  <c r="BS270" i="5"/>
  <c r="BR270" i="5"/>
  <c r="BZ269" i="5"/>
  <c r="BY269" i="5"/>
  <c r="BX269" i="5"/>
  <c r="BW269" i="5"/>
  <c r="BV269" i="5"/>
  <c r="BU269" i="5"/>
  <c r="BT269" i="5"/>
  <c r="BS269" i="5"/>
  <c r="BR269" i="5"/>
  <c r="BZ268" i="5"/>
  <c r="BY268" i="5"/>
  <c r="BX268" i="5"/>
  <c r="BW268" i="5"/>
  <c r="BV268" i="5"/>
  <c r="BU268" i="5"/>
  <c r="BT268" i="5"/>
  <c r="BS268" i="5"/>
  <c r="BR268" i="5"/>
  <c r="BZ267" i="5"/>
  <c r="BY267" i="5"/>
  <c r="BX267" i="5"/>
  <c r="BW267" i="5"/>
  <c r="BV267" i="5"/>
  <c r="BU267" i="5"/>
  <c r="BT267" i="5"/>
  <c r="BS267" i="5"/>
  <c r="BR267" i="5"/>
  <c r="BZ266" i="5"/>
  <c r="BY266" i="5"/>
  <c r="BX266" i="5"/>
  <c r="BW266" i="5"/>
  <c r="BV266" i="5"/>
  <c r="BU266" i="5"/>
  <c r="BT266" i="5"/>
  <c r="BS266" i="5"/>
  <c r="BR266" i="5"/>
  <c r="BZ265" i="5"/>
  <c r="BY265" i="5"/>
  <c r="BX265" i="5"/>
  <c r="BW265" i="5"/>
  <c r="BV265" i="5"/>
  <c r="BU265" i="5"/>
  <c r="BT265" i="5"/>
  <c r="BS265" i="5"/>
  <c r="BR265" i="5"/>
  <c r="BZ264" i="5"/>
  <c r="BY264" i="5"/>
  <c r="BX264" i="5"/>
  <c r="BW264" i="5"/>
  <c r="BV264" i="5"/>
  <c r="BU264" i="5"/>
  <c r="BT264" i="5"/>
  <c r="BS264" i="5"/>
  <c r="BR264" i="5"/>
  <c r="BZ263" i="5"/>
  <c r="BY263" i="5"/>
  <c r="BX263" i="5"/>
  <c r="BW263" i="5"/>
  <c r="BV263" i="5"/>
  <c r="BU263" i="5"/>
  <c r="BT263" i="5"/>
  <c r="BS263" i="5"/>
  <c r="BR263" i="5"/>
  <c r="BZ262" i="5"/>
  <c r="BY262" i="5"/>
  <c r="BX262" i="5"/>
  <c r="BW262" i="5"/>
  <c r="BV262" i="5"/>
  <c r="BU262" i="5"/>
  <c r="BT262" i="5"/>
  <c r="BS262" i="5"/>
  <c r="BR262" i="5"/>
  <c r="BZ261" i="5"/>
  <c r="BY261" i="5"/>
  <c r="BX261" i="5"/>
  <c r="BW261" i="5"/>
  <c r="BV261" i="5"/>
  <c r="BU261" i="5"/>
  <c r="BT261" i="5"/>
  <c r="BS261" i="5"/>
  <c r="BR261" i="5"/>
  <c r="BZ260" i="5"/>
  <c r="BY260" i="5"/>
  <c r="BX260" i="5"/>
  <c r="BW260" i="5"/>
  <c r="BV260" i="5"/>
  <c r="BU260" i="5"/>
  <c r="BT260" i="5"/>
  <c r="BS260" i="5"/>
  <c r="BR260" i="5"/>
  <c r="BZ259" i="5"/>
  <c r="BY259" i="5"/>
  <c r="BX259" i="5"/>
  <c r="BW259" i="5"/>
  <c r="BV259" i="5"/>
  <c r="BU259" i="5"/>
  <c r="BT259" i="5"/>
  <c r="BS259" i="5"/>
  <c r="BR259" i="5"/>
  <c r="BZ258" i="5"/>
  <c r="BY258" i="5"/>
  <c r="BX258" i="5"/>
  <c r="BW258" i="5"/>
  <c r="BV258" i="5"/>
  <c r="BU258" i="5"/>
  <c r="BT258" i="5"/>
  <c r="BS258" i="5"/>
  <c r="BR258" i="5"/>
  <c r="BZ257" i="5"/>
  <c r="BY257" i="5"/>
  <c r="BX257" i="5"/>
  <c r="BW257" i="5"/>
  <c r="BV257" i="5"/>
  <c r="BU257" i="5"/>
  <c r="BT257" i="5"/>
  <c r="BS257" i="5"/>
  <c r="BR257" i="5"/>
  <c r="BZ256" i="5"/>
  <c r="BY256" i="5"/>
  <c r="BX256" i="5"/>
  <c r="BW256" i="5"/>
  <c r="BV256" i="5"/>
  <c r="BU256" i="5"/>
  <c r="BT256" i="5"/>
  <c r="BS256" i="5"/>
  <c r="BR256" i="5"/>
  <c r="BZ255" i="5"/>
  <c r="BY255" i="5"/>
  <c r="BX255" i="5"/>
  <c r="BW255" i="5"/>
  <c r="BV255" i="5"/>
  <c r="BU255" i="5"/>
  <c r="BT255" i="5"/>
  <c r="BS255" i="5"/>
  <c r="BR255" i="5"/>
  <c r="BZ254" i="5"/>
  <c r="BY254" i="5"/>
  <c r="BX254" i="5"/>
  <c r="BW254" i="5"/>
  <c r="BV254" i="5"/>
  <c r="BU254" i="5"/>
  <c r="BT254" i="5"/>
  <c r="BS254" i="5"/>
  <c r="BR254" i="5"/>
  <c r="BZ253" i="5"/>
  <c r="BY253" i="5"/>
  <c r="BX253" i="5"/>
  <c r="BW253" i="5"/>
  <c r="BV253" i="5"/>
  <c r="BU253" i="5"/>
  <c r="BT253" i="5"/>
  <c r="BS253" i="5"/>
  <c r="BR253" i="5"/>
  <c r="BZ252" i="5"/>
  <c r="BY252" i="5"/>
  <c r="BX252" i="5"/>
  <c r="BW252" i="5"/>
  <c r="BV252" i="5"/>
  <c r="BU252" i="5"/>
  <c r="BT252" i="5"/>
  <c r="BS252" i="5"/>
  <c r="BR252" i="5"/>
  <c r="BZ251" i="5"/>
  <c r="BY251" i="5"/>
  <c r="BX251" i="5"/>
  <c r="BW251" i="5"/>
  <c r="BV251" i="5"/>
  <c r="BU251" i="5"/>
  <c r="BT251" i="5"/>
  <c r="BS251" i="5"/>
  <c r="BR251" i="5"/>
  <c r="BZ250" i="5"/>
  <c r="BY250" i="5"/>
  <c r="BX250" i="5"/>
  <c r="BW250" i="5"/>
  <c r="BV250" i="5"/>
  <c r="BU250" i="5"/>
  <c r="BT250" i="5"/>
  <c r="BS250" i="5"/>
  <c r="BR250" i="5"/>
  <c r="BZ249" i="5"/>
  <c r="BY249" i="5"/>
  <c r="BX249" i="5"/>
  <c r="BW249" i="5"/>
  <c r="BV249" i="5"/>
  <c r="BU249" i="5"/>
  <c r="BT249" i="5"/>
  <c r="BS249" i="5"/>
  <c r="BR249" i="5"/>
  <c r="BZ248" i="5"/>
  <c r="BY248" i="5"/>
  <c r="BX248" i="5"/>
  <c r="BW248" i="5"/>
  <c r="BV248" i="5"/>
  <c r="BU248" i="5"/>
  <c r="BT248" i="5"/>
  <c r="BS248" i="5"/>
  <c r="BR248" i="5"/>
  <c r="BZ247" i="5"/>
  <c r="BY247" i="5"/>
  <c r="BX247" i="5"/>
  <c r="BW247" i="5"/>
  <c r="BV247" i="5"/>
  <c r="BU247" i="5"/>
  <c r="BT247" i="5"/>
  <c r="BS247" i="5"/>
  <c r="BR247" i="5"/>
  <c r="BZ246" i="5"/>
  <c r="BY246" i="5"/>
  <c r="BX246" i="5"/>
  <c r="BW246" i="5"/>
  <c r="BV246" i="5"/>
  <c r="BU246" i="5"/>
  <c r="BT246" i="5"/>
  <c r="BS246" i="5"/>
  <c r="BR246" i="5"/>
  <c r="BZ245" i="5"/>
  <c r="BY245" i="5"/>
  <c r="BX245" i="5"/>
  <c r="BW245" i="5"/>
  <c r="BV245" i="5"/>
  <c r="BU245" i="5"/>
  <c r="BT245" i="5"/>
  <c r="BS245" i="5"/>
  <c r="BR245" i="5"/>
  <c r="BZ244" i="5"/>
  <c r="BY244" i="5"/>
  <c r="BX244" i="5"/>
  <c r="BW244" i="5"/>
  <c r="BV244" i="5"/>
  <c r="BU244" i="5"/>
  <c r="BT244" i="5"/>
  <c r="BS244" i="5"/>
  <c r="BR244" i="5"/>
  <c r="BZ243" i="5"/>
  <c r="BY243" i="5"/>
  <c r="BX243" i="5"/>
  <c r="BW243" i="5"/>
  <c r="BV243" i="5"/>
  <c r="BU243" i="5"/>
  <c r="BT243" i="5"/>
  <c r="BS243" i="5"/>
  <c r="BR243" i="5"/>
  <c r="BZ242" i="5"/>
  <c r="BY242" i="5"/>
  <c r="BX242" i="5"/>
  <c r="BW242" i="5"/>
  <c r="BV242" i="5"/>
  <c r="BU242" i="5"/>
  <c r="BT242" i="5"/>
  <c r="BS242" i="5"/>
  <c r="BR242" i="5"/>
  <c r="BZ241" i="5"/>
  <c r="BY241" i="5"/>
  <c r="BX241" i="5"/>
  <c r="BW241" i="5"/>
  <c r="BV241" i="5"/>
  <c r="BU241" i="5"/>
  <c r="BT241" i="5"/>
  <c r="BS241" i="5"/>
  <c r="BR241" i="5"/>
  <c r="BZ240" i="5"/>
  <c r="BY240" i="5"/>
  <c r="BX240" i="5"/>
  <c r="BW240" i="5"/>
  <c r="BV240" i="5"/>
  <c r="BU240" i="5"/>
  <c r="BT240" i="5"/>
  <c r="BS240" i="5"/>
  <c r="BR240" i="5"/>
  <c r="BZ239" i="5"/>
  <c r="BY239" i="5"/>
  <c r="BX239" i="5"/>
  <c r="BW239" i="5"/>
  <c r="BV239" i="5"/>
  <c r="BU239" i="5"/>
  <c r="BT239" i="5"/>
  <c r="BS239" i="5"/>
  <c r="BR239" i="5"/>
  <c r="BZ238" i="5"/>
  <c r="BY238" i="5"/>
  <c r="BX238" i="5"/>
  <c r="BW238" i="5"/>
  <c r="BV238" i="5"/>
  <c r="BU238" i="5"/>
  <c r="BT238" i="5"/>
  <c r="BS238" i="5"/>
  <c r="BR238" i="5"/>
  <c r="BZ237" i="5"/>
  <c r="BY237" i="5"/>
  <c r="BX237" i="5"/>
  <c r="BW237" i="5"/>
  <c r="BV237" i="5"/>
  <c r="BU237" i="5"/>
  <c r="BT237" i="5"/>
  <c r="BS237" i="5"/>
  <c r="BR237" i="5"/>
  <c r="BZ236" i="5"/>
  <c r="BY236" i="5"/>
  <c r="BX236" i="5"/>
  <c r="BW236" i="5"/>
  <c r="BV236" i="5"/>
  <c r="BU236" i="5"/>
  <c r="BT236" i="5"/>
  <c r="BS236" i="5"/>
  <c r="BR236" i="5"/>
  <c r="BZ235" i="5"/>
  <c r="BY235" i="5"/>
  <c r="BX235" i="5"/>
  <c r="BW235" i="5"/>
  <c r="BV235" i="5"/>
  <c r="BU235" i="5"/>
  <c r="BT235" i="5"/>
  <c r="BS235" i="5"/>
  <c r="BR235" i="5"/>
  <c r="BZ234" i="5"/>
  <c r="BY234" i="5"/>
  <c r="BX234" i="5"/>
  <c r="BW234" i="5"/>
  <c r="BV234" i="5"/>
  <c r="BU234" i="5"/>
  <c r="BT234" i="5"/>
  <c r="BS234" i="5"/>
  <c r="BR234" i="5"/>
  <c r="BZ233" i="5"/>
  <c r="BY233" i="5"/>
  <c r="BX233" i="5"/>
  <c r="BW233" i="5"/>
  <c r="BV233" i="5"/>
  <c r="BU233" i="5"/>
  <c r="BT233" i="5"/>
  <c r="BS233" i="5"/>
  <c r="BR233" i="5"/>
  <c r="BZ232" i="5"/>
  <c r="BY232" i="5"/>
  <c r="BX232" i="5"/>
  <c r="BW232" i="5"/>
  <c r="BV232" i="5"/>
  <c r="BU232" i="5"/>
  <c r="BT232" i="5"/>
  <c r="BS232" i="5"/>
  <c r="BR232" i="5"/>
  <c r="BZ231" i="5"/>
  <c r="BY231" i="5"/>
  <c r="BX231" i="5"/>
  <c r="BW231" i="5"/>
  <c r="BV231" i="5"/>
  <c r="BU231" i="5"/>
  <c r="BT231" i="5"/>
  <c r="BS231" i="5"/>
  <c r="BR231" i="5"/>
  <c r="BZ230" i="5"/>
  <c r="BY230" i="5"/>
  <c r="BX230" i="5"/>
  <c r="BW230" i="5"/>
  <c r="BV230" i="5"/>
  <c r="BU230" i="5"/>
  <c r="BT230" i="5"/>
  <c r="BS230" i="5"/>
  <c r="BR230" i="5"/>
  <c r="BZ229" i="5"/>
  <c r="BY229" i="5"/>
  <c r="BX229" i="5"/>
  <c r="BW229" i="5"/>
  <c r="BV229" i="5"/>
  <c r="BU229" i="5"/>
  <c r="BT229" i="5"/>
  <c r="BS229" i="5"/>
  <c r="BR229" i="5"/>
  <c r="BZ228" i="5"/>
  <c r="BY228" i="5"/>
  <c r="BX228" i="5"/>
  <c r="BW228" i="5"/>
  <c r="BV228" i="5"/>
  <c r="BU228" i="5"/>
  <c r="BT228" i="5"/>
  <c r="BS228" i="5"/>
  <c r="BR228" i="5"/>
  <c r="BZ227" i="5"/>
  <c r="BY227" i="5"/>
  <c r="BX227" i="5"/>
  <c r="BW227" i="5"/>
  <c r="BV227" i="5"/>
  <c r="BU227" i="5"/>
  <c r="BT227" i="5"/>
  <c r="BS227" i="5"/>
  <c r="BR227" i="5"/>
  <c r="BZ226" i="5"/>
  <c r="BY226" i="5"/>
  <c r="BX226" i="5"/>
  <c r="BW226" i="5"/>
  <c r="BV226" i="5"/>
  <c r="BU226" i="5"/>
  <c r="BT226" i="5"/>
  <c r="BS226" i="5"/>
  <c r="BR226" i="5"/>
  <c r="BZ225" i="5"/>
  <c r="BY225" i="5"/>
  <c r="BX225" i="5"/>
  <c r="BW225" i="5"/>
  <c r="BV225" i="5"/>
  <c r="BU225" i="5"/>
  <c r="BT225" i="5"/>
  <c r="BS225" i="5"/>
  <c r="BR225" i="5"/>
  <c r="BZ224" i="5"/>
  <c r="BY224" i="5"/>
  <c r="BX224" i="5"/>
  <c r="BW224" i="5"/>
  <c r="BV224" i="5"/>
  <c r="BU224" i="5"/>
  <c r="BT224" i="5"/>
  <c r="BS224" i="5"/>
  <c r="BR224" i="5"/>
  <c r="BZ223" i="5"/>
  <c r="BY223" i="5"/>
  <c r="BX223" i="5"/>
  <c r="BW223" i="5"/>
  <c r="BV223" i="5"/>
  <c r="BU223" i="5"/>
  <c r="BT223" i="5"/>
  <c r="BS223" i="5"/>
  <c r="BR223" i="5"/>
  <c r="BZ222" i="5"/>
  <c r="BY222" i="5"/>
  <c r="BX222" i="5"/>
  <c r="BW222" i="5"/>
  <c r="BV222" i="5"/>
  <c r="BU222" i="5"/>
  <c r="BT222" i="5"/>
  <c r="BS222" i="5"/>
  <c r="BR222" i="5"/>
  <c r="BZ221" i="5"/>
  <c r="BY221" i="5"/>
  <c r="BX221" i="5"/>
  <c r="BW221" i="5"/>
  <c r="BV221" i="5"/>
  <c r="BU221" i="5"/>
  <c r="BT221" i="5"/>
  <c r="BS221" i="5"/>
  <c r="BR221" i="5"/>
  <c r="BZ220" i="5"/>
  <c r="BY220" i="5"/>
  <c r="BX220" i="5"/>
  <c r="BW220" i="5"/>
  <c r="BV220" i="5"/>
  <c r="BU220" i="5"/>
  <c r="BT220" i="5"/>
  <c r="BS220" i="5"/>
  <c r="BR220" i="5"/>
  <c r="BZ219" i="5"/>
  <c r="BY219" i="5"/>
  <c r="BX219" i="5"/>
  <c r="BW219" i="5"/>
  <c r="BV219" i="5"/>
  <c r="BU219" i="5"/>
  <c r="BT219" i="5"/>
  <c r="BS219" i="5"/>
  <c r="BR219" i="5"/>
  <c r="BZ218" i="5"/>
  <c r="BY218" i="5"/>
  <c r="BX218" i="5"/>
  <c r="BW218" i="5"/>
  <c r="BV218" i="5"/>
  <c r="BU218" i="5"/>
  <c r="BT218" i="5"/>
  <c r="BS218" i="5"/>
  <c r="BR218" i="5"/>
  <c r="BZ217" i="5"/>
  <c r="BY217" i="5"/>
  <c r="BX217" i="5"/>
  <c r="BW217" i="5"/>
  <c r="BV217" i="5"/>
  <c r="BU217" i="5"/>
  <c r="BT217" i="5"/>
  <c r="BS217" i="5"/>
  <c r="BR217" i="5"/>
  <c r="BZ216" i="5"/>
  <c r="BY216" i="5"/>
  <c r="BX216" i="5"/>
  <c r="BW216" i="5"/>
  <c r="BV216" i="5"/>
  <c r="BU216" i="5"/>
  <c r="BT216" i="5"/>
  <c r="BS216" i="5"/>
  <c r="BR216" i="5"/>
  <c r="BZ215" i="5"/>
  <c r="BY215" i="5"/>
  <c r="BX215" i="5"/>
  <c r="BW215" i="5"/>
  <c r="BV215" i="5"/>
  <c r="BU215" i="5"/>
  <c r="BT215" i="5"/>
  <c r="BS215" i="5"/>
  <c r="BR215" i="5"/>
  <c r="BZ214" i="5"/>
  <c r="BY214" i="5"/>
  <c r="BX214" i="5"/>
  <c r="BW214" i="5"/>
  <c r="BV214" i="5"/>
  <c r="BU214" i="5"/>
  <c r="BT214" i="5"/>
  <c r="BS214" i="5"/>
  <c r="BR214" i="5"/>
  <c r="BZ213" i="5"/>
  <c r="BY213" i="5"/>
  <c r="BX213" i="5"/>
  <c r="BW213" i="5"/>
  <c r="BV213" i="5"/>
  <c r="BU213" i="5"/>
  <c r="BT213" i="5"/>
  <c r="BS213" i="5"/>
  <c r="BR213" i="5"/>
  <c r="BZ212" i="5"/>
  <c r="BY212" i="5"/>
  <c r="BX212" i="5"/>
  <c r="BW212" i="5"/>
  <c r="BV212" i="5"/>
  <c r="BU212" i="5"/>
  <c r="BT212" i="5"/>
  <c r="BS212" i="5"/>
  <c r="BR212" i="5"/>
  <c r="BZ211" i="5"/>
  <c r="BY211" i="5"/>
  <c r="BX211" i="5"/>
  <c r="BW211" i="5"/>
  <c r="BV211" i="5"/>
  <c r="BU211" i="5"/>
  <c r="BT211" i="5"/>
  <c r="BS211" i="5"/>
  <c r="BR211" i="5"/>
  <c r="BZ210" i="5"/>
  <c r="BY210" i="5"/>
  <c r="BX210" i="5"/>
  <c r="BW210" i="5"/>
  <c r="BV210" i="5"/>
  <c r="BU210" i="5"/>
  <c r="BT210" i="5"/>
  <c r="BS210" i="5"/>
  <c r="BR210" i="5"/>
  <c r="BZ209" i="5"/>
  <c r="BY209" i="5"/>
  <c r="BX209" i="5"/>
  <c r="BW209" i="5"/>
  <c r="BV209" i="5"/>
  <c r="BU209" i="5"/>
  <c r="BT209" i="5"/>
  <c r="BS209" i="5"/>
  <c r="BR209" i="5"/>
  <c r="BZ208" i="5"/>
  <c r="BY208" i="5"/>
  <c r="BX208" i="5"/>
  <c r="BW208" i="5"/>
  <c r="BV208" i="5"/>
  <c r="BU208" i="5"/>
  <c r="BT208" i="5"/>
  <c r="BS208" i="5"/>
  <c r="BR208" i="5"/>
  <c r="BZ207" i="5"/>
  <c r="BY207" i="5"/>
  <c r="BX207" i="5"/>
  <c r="BW207" i="5"/>
  <c r="BV207" i="5"/>
  <c r="BU207" i="5"/>
  <c r="BT207" i="5"/>
  <c r="BS207" i="5"/>
  <c r="BR207" i="5"/>
  <c r="BZ206" i="5"/>
  <c r="BY206" i="5"/>
  <c r="BX206" i="5"/>
  <c r="BW206" i="5"/>
  <c r="BV206" i="5"/>
  <c r="BU206" i="5"/>
  <c r="BT206" i="5"/>
  <c r="BS206" i="5"/>
  <c r="BR206" i="5"/>
  <c r="BZ205" i="5"/>
  <c r="BY205" i="5"/>
  <c r="BX205" i="5"/>
  <c r="BW205" i="5"/>
  <c r="BV205" i="5"/>
  <c r="BU205" i="5"/>
  <c r="BT205" i="5"/>
  <c r="BS205" i="5"/>
  <c r="BR205" i="5"/>
  <c r="BZ204" i="5"/>
  <c r="BY204" i="5"/>
  <c r="BX204" i="5"/>
  <c r="BW204" i="5"/>
  <c r="BV204" i="5"/>
  <c r="BU204" i="5"/>
  <c r="BT204" i="5"/>
  <c r="BS204" i="5"/>
  <c r="BR204" i="5"/>
  <c r="BZ203" i="5"/>
  <c r="BY203" i="5"/>
  <c r="BX203" i="5"/>
  <c r="BW203" i="5"/>
  <c r="BV203" i="5"/>
  <c r="BU203" i="5"/>
  <c r="BT203" i="5"/>
  <c r="BS203" i="5"/>
  <c r="BR203" i="5"/>
  <c r="BZ202" i="5"/>
  <c r="BY202" i="5"/>
  <c r="BX202" i="5"/>
  <c r="BW202" i="5"/>
  <c r="BV202" i="5"/>
  <c r="BU202" i="5"/>
  <c r="BT202" i="5"/>
  <c r="BS202" i="5"/>
  <c r="BR202" i="5"/>
  <c r="BZ201" i="5"/>
  <c r="BY201" i="5"/>
  <c r="BX201" i="5"/>
  <c r="BW201" i="5"/>
  <c r="BV201" i="5"/>
  <c r="BU201" i="5"/>
  <c r="BT201" i="5"/>
  <c r="BS201" i="5"/>
  <c r="BR201" i="5"/>
  <c r="BZ200" i="5"/>
  <c r="BY200" i="5"/>
  <c r="BX200" i="5"/>
  <c r="BW200" i="5"/>
  <c r="BV200" i="5"/>
  <c r="BU200" i="5"/>
  <c r="BT200" i="5"/>
  <c r="BS200" i="5"/>
  <c r="BR200" i="5"/>
  <c r="BZ199" i="5"/>
  <c r="BY199" i="5"/>
  <c r="BX199" i="5"/>
  <c r="BW199" i="5"/>
  <c r="BV199" i="5"/>
  <c r="BU199" i="5"/>
  <c r="BT199" i="5"/>
  <c r="BS199" i="5"/>
  <c r="BR199" i="5"/>
  <c r="BZ198" i="5"/>
  <c r="BY198" i="5"/>
  <c r="BX198" i="5"/>
  <c r="BW198" i="5"/>
  <c r="BV198" i="5"/>
  <c r="BU198" i="5"/>
  <c r="BT198" i="5"/>
  <c r="BS198" i="5"/>
  <c r="BR198" i="5"/>
  <c r="BZ197" i="5"/>
  <c r="BY197" i="5"/>
  <c r="BX197" i="5"/>
  <c r="BW197" i="5"/>
  <c r="BV197" i="5"/>
  <c r="BU197" i="5"/>
  <c r="BT197" i="5"/>
  <c r="BS197" i="5"/>
  <c r="BR197" i="5"/>
  <c r="BZ196" i="5"/>
  <c r="BY196" i="5"/>
  <c r="BX196" i="5"/>
  <c r="BW196" i="5"/>
  <c r="BV196" i="5"/>
  <c r="BU196" i="5"/>
  <c r="BT196" i="5"/>
  <c r="BS196" i="5"/>
  <c r="BR196" i="5"/>
  <c r="BZ195" i="5"/>
  <c r="BY195" i="5"/>
  <c r="BX195" i="5"/>
  <c r="BW195" i="5"/>
  <c r="BV195" i="5"/>
  <c r="BU195" i="5"/>
  <c r="BT195" i="5"/>
  <c r="BS195" i="5"/>
  <c r="BR195" i="5"/>
  <c r="BZ194" i="5"/>
  <c r="BY194" i="5"/>
  <c r="BX194" i="5"/>
  <c r="BW194" i="5"/>
  <c r="BV194" i="5"/>
  <c r="BU194" i="5"/>
  <c r="BT194" i="5"/>
  <c r="BS194" i="5"/>
  <c r="BR194" i="5"/>
  <c r="BZ193" i="5"/>
  <c r="BY193" i="5"/>
  <c r="BX193" i="5"/>
  <c r="BW193" i="5"/>
  <c r="BV193" i="5"/>
  <c r="BU193" i="5"/>
  <c r="BT193" i="5"/>
  <c r="BS193" i="5"/>
  <c r="BR193" i="5"/>
  <c r="BZ192" i="5"/>
  <c r="BY192" i="5"/>
  <c r="BX192" i="5"/>
  <c r="BW192" i="5"/>
  <c r="BV192" i="5"/>
  <c r="BU192" i="5"/>
  <c r="BT192" i="5"/>
  <c r="BS192" i="5"/>
  <c r="BR192" i="5"/>
  <c r="BZ191" i="5"/>
  <c r="BY191" i="5"/>
  <c r="BX191" i="5"/>
  <c r="BW191" i="5"/>
  <c r="BV191" i="5"/>
  <c r="BU191" i="5"/>
  <c r="BT191" i="5"/>
  <c r="BS191" i="5"/>
  <c r="BR191" i="5"/>
  <c r="BZ190" i="5"/>
  <c r="BY190" i="5"/>
  <c r="BX190" i="5"/>
  <c r="BW190" i="5"/>
  <c r="BV190" i="5"/>
  <c r="BU190" i="5"/>
  <c r="BT190" i="5"/>
  <c r="BS190" i="5"/>
  <c r="BR190" i="5"/>
  <c r="BZ189" i="5"/>
  <c r="BY189" i="5"/>
  <c r="BX189" i="5"/>
  <c r="BW189" i="5"/>
  <c r="BV189" i="5"/>
  <c r="BU189" i="5"/>
  <c r="BT189" i="5"/>
  <c r="BS189" i="5"/>
  <c r="BR189" i="5"/>
  <c r="BZ188" i="5"/>
  <c r="BY188" i="5"/>
  <c r="BX188" i="5"/>
  <c r="BW188" i="5"/>
  <c r="BV188" i="5"/>
  <c r="BU188" i="5"/>
  <c r="BT188" i="5"/>
  <c r="BS188" i="5"/>
  <c r="BR188" i="5"/>
  <c r="BZ187" i="5"/>
  <c r="BY187" i="5"/>
  <c r="BX187" i="5"/>
  <c r="BW187" i="5"/>
  <c r="BV187" i="5"/>
  <c r="BU187" i="5"/>
  <c r="BT187" i="5"/>
  <c r="BS187" i="5"/>
  <c r="BR187" i="5"/>
  <c r="BZ186" i="5"/>
  <c r="BY186" i="5"/>
  <c r="BX186" i="5"/>
  <c r="BW186" i="5"/>
  <c r="BV186" i="5"/>
  <c r="BU186" i="5"/>
  <c r="BT186" i="5"/>
  <c r="BS186" i="5"/>
  <c r="BR186" i="5"/>
  <c r="BZ185" i="5"/>
  <c r="BY185" i="5"/>
  <c r="BX185" i="5"/>
  <c r="BW185" i="5"/>
  <c r="BV185" i="5"/>
  <c r="BU185" i="5"/>
  <c r="BT185" i="5"/>
  <c r="BS185" i="5"/>
  <c r="BR185" i="5"/>
  <c r="BZ184" i="5"/>
  <c r="BY184" i="5"/>
  <c r="BX184" i="5"/>
  <c r="BW184" i="5"/>
  <c r="BV184" i="5"/>
  <c r="BU184" i="5"/>
  <c r="BT184" i="5"/>
  <c r="BS184" i="5"/>
  <c r="BR184" i="5"/>
  <c r="BZ183" i="5"/>
  <c r="BY183" i="5"/>
  <c r="BX183" i="5"/>
  <c r="BW183" i="5"/>
  <c r="BV183" i="5"/>
  <c r="BU183" i="5"/>
  <c r="BT183" i="5"/>
  <c r="BS183" i="5"/>
  <c r="BR183" i="5"/>
  <c r="BZ182" i="5"/>
  <c r="BY182" i="5"/>
  <c r="BX182" i="5"/>
  <c r="BW182" i="5"/>
  <c r="BV182" i="5"/>
  <c r="BU182" i="5"/>
  <c r="BT182" i="5"/>
  <c r="BS182" i="5"/>
  <c r="BR182" i="5"/>
  <c r="BZ181" i="5"/>
  <c r="BY181" i="5"/>
  <c r="BX181" i="5"/>
  <c r="BW181" i="5"/>
  <c r="BV181" i="5"/>
  <c r="BU181" i="5"/>
  <c r="BT181" i="5"/>
  <c r="BS181" i="5"/>
  <c r="BR181" i="5"/>
  <c r="BZ180" i="5"/>
  <c r="BY180" i="5"/>
  <c r="BX180" i="5"/>
  <c r="BW180" i="5"/>
  <c r="BV180" i="5"/>
  <c r="BU180" i="5"/>
  <c r="BT180" i="5"/>
  <c r="BS180" i="5"/>
  <c r="BR180" i="5"/>
  <c r="BZ179" i="5"/>
  <c r="BY179" i="5"/>
  <c r="BX179" i="5"/>
  <c r="BW179" i="5"/>
  <c r="BV179" i="5"/>
  <c r="BU179" i="5"/>
  <c r="BT179" i="5"/>
  <c r="BS179" i="5"/>
  <c r="BR179" i="5"/>
  <c r="BZ178" i="5"/>
  <c r="BY178" i="5"/>
  <c r="BX178" i="5"/>
  <c r="BW178" i="5"/>
  <c r="BV178" i="5"/>
  <c r="BU178" i="5"/>
  <c r="BT178" i="5"/>
  <c r="BS178" i="5"/>
  <c r="BR178" i="5"/>
  <c r="BZ177" i="5"/>
  <c r="BY177" i="5"/>
  <c r="BX177" i="5"/>
  <c r="BW177" i="5"/>
  <c r="BV177" i="5"/>
  <c r="BU177" i="5"/>
  <c r="BT177" i="5"/>
  <c r="BS177" i="5"/>
  <c r="BR177" i="5"/>
  <c r="BZ176" i="5"/>
  <c r="BY176" i="5"/>
  <c r="BX176" i="5"/>
  <c r="BW176" i="5"/>
  <c r="BV176" i="5"/>
  <c r="BU176" i="5"/>
  <c r="BT176" i="5"/>
  <c r="BS176" i="5"/>
  <c r="BR176" i="5"/>
  <c r="BZ175" i="5"/>
  <c r="BY175" i="5"/>
  <c r="BX175" i="5"/>
  <c r="BW175" i="5"/>
  <c r="BV175" i="5"/>
  <c r="BU175" i="5"/>
  <c r="BT175" i="5"/>
  <c r="BS175" i="5"/>
  <c r="BR175" i="5"/>
  <c r="BZ174" i="5"/>
  <c r="BY174" i="5"/>
  <c r="BX174" i="5"/>
  <c r="BW174" i="5"/>
  <c r="BV174" i="5"/>
  <c r="BU174" i="5"/>
  <c r="BT174" i="5"/>
  <c r="BS174" i="5"/>
  <c r="BR174" i="5"/>
  <c r="BZ173" i="5"/>
  <c r="BY173" i="5"/>
  <c r="BX173" i="5"/>
  <c r="BW173" i="5"/>
  <c r="BV173" i="5"/>
  <c r="BU173" i="5"/>
  <c r="BT173" i="5"/>
  <c r="BS173" i="5"/>
  <c r="BR173" i="5"/>
  <c r="BZ172" i="5"/>
  <c r="BY172" i="5"/>
  <c r="BX172" i="5"/>
  <c r="BW172" i="5"/>
  <c r="BV172" i="5"/>
  <c r="BU172" i="5"/>
  <c r="BT172" i="5"/>
  <c r="BS172" i="5"/>
  <c r="BR172" i="5"/>
  <c r="BZ171" i="5"/>
  <c r="BY171" i="5"/>
  <c r="BX171" i="5"/>
  <c r="BW171" i="5"/>
  <c r="BV171" i="5"/>
  <c r="BU171" i="5"/>
  <c r="BT171" i="5"/>
  <c r="BS171" i="5"/>
  <c r="BR171" i="5"/>
  <c r="BZ170" i="5"/>
  <c r="BY170" i="5"/>
  <c r="BX170" i="5"/>
  <c r="BW170" i="5"/>
  <c r="BV170" i="5"/>
  <c r="BU170" i="5"/>
  <c r="BT170" i="5"/>
  <c r="BS170" i="5"/>
  <c r="BR170" i="5"/>
  <c r="BZ169" i="5"/>
  <c r="BY169" i="5"/>
  <c r="BX169" i="5"/>
  <c r="BW169" i="5"/>
  <c r="BV169" i="5"/>
  <c r="BU169" i="5"/>
  <c r="BT169" i="5"/>
  <c r="BS169" i="5"/>
  <c r="BR169" i="5"/>
  <c r="BZ168" i="5"/>
  <c r="BY168" i="5"/>
  <c r="BX168" i="5"/>
  <c r="BW168" i="5"/>
  <c r="BV168" i="5"/>
  <c r="BU168" i="5"/>
  <c r="BT168" i="5"/>
  <c r="BS168" i="5"/>
  <c r="BR168" i="5"/>
  <c r="BZ167" i="5"/>
  <c r="BY167" i="5"/>
  <c r="BX167" i="5"/>
  <c r="BW167" i="5"/>
  <c r="BV167" i="5"/>
  <c r="BU167" i="5"/>
  <c r="BT167" i="5"/>
  <c r="BS167" i="5"/>
  <c r="BR167" i="5"/>
  <c r="BZ166" i="5"/>
  <c r="BY166" i="5"/>
  <c r="BX166" i="5"/>
  <c r="BW166" i="5"/>
  <c r="BV166" i="5"/>
  <c r="BU166" i="5"/>
  <c r="BT166" i="5"/>
  <c r="BS166" i="5"/>
  <c r="BR166" i="5"/>
  <c r="BZ165" i="5"/>
  <c r="BY165" i="5"/>
  <c r="BX165" i="5"/>
  <c r="BW165" i="5"/>
  <c r="BV165" i="5"/>
  <c r="BU165" i="5"/>
  <c r="BT165" i="5"/>
  <c r="BS165" i="5"/>
  <c r="BR165" i="5"/>
  <c r="BZ164" i="5"/>
  <c r="BY164" i="5"/>
  <c r="BX164" i="5"/>
  <c r="BW164" i="5"/>
  <c r="BV164" i="5"/>
  <c r="BU164" i="5"/>
  <c r="BT164" i="5"/>
  <c r="BS164" i="5"/>
  <c r="BR164" i="5"/>
  <c r="BZ163" i="5"/>
  <c r="BY163" i="5"/>
  <c r="BX163" i="5"/>
  <c r="BW163" i="5"/>
  <c r="BV163" i="5"/>
  <c r="BU163" i="5"/>
  <c r="BT163" i="5"/>
  <c r="BS163" i="5"/>
  <c r="BR163" i="5"/>
  <c r="BZ162" i="5"/>
  <c r="BY162" i="5"/>
  <c r="BX162" i="5"/>
  <c r="BW162" i="5"/>
  <c r="BV162" i="5"/>
  <c r="BU162" i="5"/>
  <c r="BT162" i="5"/>
  <c r="BS162" i="5"/>
  <c r="BR162" i="5"/>
  <c r="BZ161" i="5"/>
  <c r="BY161" i="5"/>
  <c r="BX161" i="5"/>
  <c r="BW161" i="5"/>
  <c r="BV161" i="5"/>
  <c r="BU161" i="5"/>
  <c r="BT161" i="5"/>
  <c r="BS161" i="5"/>
  <c r="BR161" i="5"/>
  <c r="BZ160" i="5"/>
  <c r="BY160" i="5"/>
  <c r="BX160" i="5"/>
  <c r="BW160" i="5"/>
  <c r="BV160" i="5"/>
  <c r="BU160" i="5"/>
  <c r="BT160" i="5"/>
  <c r="BS160" i="5"/>
  <c r="BR160" i="5"/>
  <c r="BZ159" i="5"/>
  <c r="BY159" i="5"/>
  <c r="BX159" i="5"/>
  <c r="BW159" i="5"/>
  <c r="BV159" i="5"/>
  <c r="BU159" i="5"/>
  <c r="BT159" i="5"/>
  <c r="BS159" i="5"/>
  <c r="BR159" i="5"/>
  <c r="BZ158" i="5"/>
  <c r="BY158" i="5"/>
  <c r="BX158" i="5"/>
  <c r="BW158" i="5"/>
  <c r="BV158" i="5"/>
  <c r="BU158" i="5"/>
  <c r="BT158" i="5"/>
  <c r="BS158" i="5"/>
  <c r="BR158" i="5"/>
  <c r="BZ157" i="5"/>
  <c r="BY157" i="5"/>
  <c r="BX157" i="5"/>
  <c r="BW157" i="5"/>
  <c r="BV157" i="5"/>
  <c r="BU157" i="5"/>
  <c r="BT157" i="5"/>
  <c r="BS157" i="5"/>
  <c r="BR157" i="5"/>
  <c r="BZ156" i="5"/>
  <c r="BY156" i="5"/>
  <c r="BX156" i="5"/>
  <c r="BW156" i="5"/>
  <c r="BV156" i="5"/>
  <c r="BU156" i="5"/>
  <c r="BT156" i="5"/>
  <c r="BS156" i="5"/>
  <c r="BR156" i="5"/>
  <c r="BZ155" i="5"/>
  <c r="BY155" i="5"/>
  <c r="BX155" i="5"/>
  <c r="BW155" i="5"/>
  <c r="BV155" i="5"/>
  <c r="BU155" i="5"/>
  <c r="BT155" i="5"/>
  <c r="BS155" i="5"/>
  <c r="BR155" i="5"/>
  <c r="BZ154" i="5"/>
  <c r="BY154" i="5"/>
  <c r="BX154" i="5"/>
  <c r="BW154" i="5"/>
  <c r="BV154" i="5"/>
  <c r="BU154" i="5"/>
  <c r="BT154" i="5"/>
  <c r="BS154" i="5"/>
  <c r="BR154" i="5"/>
  <c r="BZ153" i="5"/>
  <c r="BY153" i="5"/>
  <c r="BX153" i="5"/>
  <c r="BW153" i="5"/>
  <c r="BV153" i="5"/>
  <c r="BU153" i="5"/>
  <c r="BT153" i="5"/>
  <c r="BS153" i="5"/>
  <c r="BR153" i="5"/>
  <c r="BZ152" i="5"/>
  <c r="BY152" i="5"/>
  <c r="BX152" i="5"/>
  <c r="BW152" i="5"/>
  <c r="BV152" i="5"/>
  <c r="BU152" i="5"/>
  <c r="BT152" i="5"/>
  <c r="BS152" i="5"/>
  <c r="BR152" i="5"/>
  <c r="BZ151" i="5"/>
  <c r="BY151" i="5"/>
  <c r="BX151" i="5"/>
  <c r="BW151" i="5"/>
  <c r="BV151" i="5"/>
  <c r="BU151" i="5"/>
  <c r="BT151" i="5"/>
  <c r="BS151" i="5"/>
  <c r="BR151" i="5"/>
  <c r="BZ150" i="5"/>
  <c r="BY150" i="5"/>
  <c r="BX150" i="5"/>
  <c r="BW150" i="5"/>
  <c r="BV150" i="5"/>
  <c r="BU150" i="5"/>
  <c r="BT150" i="5"/>
  <c r="BS150" i="5"/>
  <c r="BR150" i="5"/>
  <c r="BZ149" i="5"/>
  <c r="BY149" i="5"/>
  <c r="BX149" i="5"/>
  <c r="BW149" i="5"/>
  <c r="BV149" i="5"/>
  <c r="BU149" i="5"/>
  <c r="BT149" i="5"/>
  <c r="BS149" i="5"/>
  <c r="BR149" i="5"/>
  <c r="BZ148" i="5"/>
  <c r="BY148" i="5"/>
  <c r="BX148" i="5"/>
  <c r="BW148" i="5"/>
  <c r="BV148" i="5"/>
  <c r="BU148" i="5"/>
  <c r="BT148" i="5"/>
  <c r="BS148" i="5"/>
  <c r="BR148" i="5"/>
  <c r="BZ147" i="5"/>
  <c r="BY147" i="5"/>
  <c r="BX147" i="5"/>
  <c r="BW147" i="5"/>
  <c r="BV147" i="5"/>
  <c r="BU147" i="5"/>
  <c r="BT147" i="5"/>
  <c r="BS147" i="5"/>
  <c r="BR147" i="5"/>
  <c r="BZ146" i="5"/>
  <c r="BY146" i="5"/>
  <c r="BX146" i="5"/>
  <c r="BW146" i="5"/>
  <c r="BV146" i="5"/>
  <c r="BU146" i="5"/>
  <c r="BT146" i="5"/>
  <c r="BS146" i="5"/>
  <c r="BR146" i="5"/>
  <c r="BZ145" i="5"/>
  <c r="BY145" i="5"/>
  <c r="BX145" i="5"/>
  <c r="BW145" i="5"/>
  <c r="BV145" i="5"/>
  <c r="BU145" i="5"/>
  <c r="BT145" i="5"/>
  <c r="BS145" i="5"/>
  <c r="BR145" i="5"/>
  <c r="BZ144" i="5"/>
  <c r="BY144" i="5"/>
  <c r="BX144" i="5"/>
  <c r="BW144" i="5"/>
  <c r="BV144" i="5"/>
  <c r="BU144" i="5"/>
  <c r="BT144" i="5"/>
  <c r="BS144" i="5"/>
  <c r="BR144" i="5"/>
  <c r="BZ143" i="5"/>
  <c r="BY143" i="5"/>
  <c r="BX143" i="5"/>
  <c r="BW143" i="5"/>
  <c r="BV143" i="5"/>
  <c r="BU143" i="5"/>
  <c r="BT143" i="5"/>
  <c r="BS143" i="5"/>
  <c r="BR143" i="5"/>
  <c r="BZ142" i="5"/>
  <c r="BY142" i="5"/>
  <c r="BX142" i="5"/>
  <c r="BW142" i="5"/>
  <c r="BV142" i="5"/>
  <c r="BU142" i="5"/>
  <c r="BT142" i="5"/>
  <c r="BS142" i="5"/>
  <c r="BR142" i="5"/>
  <c r="BZ141" i="5"/>
  <c r="BY141" i="5"/>
  <c r="BX141" i="5"/>
  <c r="BW141" i="5"/>
  <c r="BV141" i="5"/>
  <c r="BU141" i="5"/>
  <c r="BT141" i="5"/>
  <c r="BS141" i="5"/>
  <c r="BR141" i="5"/>
  <c r="BZ140" i="5"/>
  <c r="BY140" i="5"/>
  <c r="BX140" i="5"/>
  <c r="BW140" i="5"/>
  <c r="BV140" i="5"/>
  <c r="BU140" i="5"/>
  <c r="BT140" i="5"/>
  <c r="BS140" i="5"/>
  <c r="BR140" i="5"/>
  <c r="BZ139" i="5"/>
  <c r="BY139" i="5"/>
  <c r="BX139" i="5"/>
  <c r="BW139" i="5"/>
  <c r="BV139" i="5"/>
  <c r="BU139" i="5"/>
  <c r="BT139" i="5"/>
  <c r="BS139" i="5"/>
  <c r="BR139" i="5"/>
  <c r="BZ138" i="5"/>
  <c r="BY138" i="5"/>
  <c r="BX138" i="5"/>
  <c r="BW138" i="5"/>
  <c r="BV138" i="5"/>
  <c r="BU138" i="5"/>
  <c r="BT138" i="5"/>
  <c r="BS138" i="5"/>
  <c r="BR138" i="5"/>
  <c r="BZ137" i="5"/>
  <c r="BY137" i="5"/>
  <c r="BX137" i="5"/>
  <c r="BW137" i="5"/>
  <c r="BV137" i="5"/>
  <c r="BU137" i="5"/>
  <c r="BT137" i="5"/>
  <c r="BS137" i="5"/>
  <c r="BR137" i="5"/>
  <c r="BZ136" i="5"/>
  <c r="BY136" i="5"/>
  <c r="BX136" i="5"/>
  <c r="BW136" i="5"/>
  <c r="BV136" i="5"/>
  <c r="BU136" i="5"/>
  <c r="BT136" i="5"/>
  <c r="BS136" i="5"/>
  <c r="BR136" i="5"/>
  <c r="BZ135" i="5"/>
  <c r="BY135" i="5"/>
  <c r="BX135" i="5"/>
  <c r="BW135" i="5"/>
  <c r="BV135" i="5"/>
  <c r="BU135" i="5"/>
  <c r="BT135" i="5"/>
  <c r="BS135" i="5"/>
  <c r="BR135" i="5"/>
  <c r="BZ134" i="5"/>
  <c r="BY134" i="5"/>
  <c r="BX134" i="5"/>
  <c r="BW134" i="5"/>
  <c r="BV134" i="5"/>
  <c r="BU134" i="5"/>
  <c r="BT134" i="5"/>
  <c r="BS134" i="5"/>
  <c r="BR134" i="5"/>
  <c r="BZ133" i="5"/>
  <c r="BY133" i="5"/>
  <c r="BX133" i="5"/>
  <c r="BW133" i="5"/>
  <c r="BV133" i="5"/>
  <c r="BU133" i="5"/>
  <c r="BT133" i="5"/>
  <c r="BS133" i="5"/>
  <c r="BR133" i="5"/>
  <c r="BZ132" i="5"/>
  <c r="BY132" i="5"/>
  <c r="BX132" i="5"/>
  <c r="BW132" i="5"/>
  <c r="BV132" i="5"/>
  <c r="BU132" i="5"/>
  <c r="BT132" i="5"/>
  <c r="BS132" i="5"/>
  <c r="BR132" i="5"/>
  <c r="BZ131" i="5"/>
  <c r="BY131" i="5"/>
  <c r="BX131" i="5"/>
  <c r="BW131" i="5"/>
  <c r="BV131" i="5"/>
  <c r="BU131" i="5"/>
  <c r="BT131" i="5"/>
  <c r="BS131" i="5"/>
  <c r="BR131" i="5"/>
  <c r="BZ130" i="5"/>
  <c r="BY130" i="5"/>
  <c r="BX130" i="5"/>
  <c r="BW130" i="5"/>
  <c r="BV130" i="5"/>
  <c r="BU130" i="5"/>
  <c r="BT130" i="5"/>
  <c r="BS130" i="5"/>
  <c r="BR130" i="5"/>
  <c r="BZ129" i="5"/>
  <c r="BY129" i="5"/>
  <c r="BX129" i="5"/>
  <c r="BW129" i="5"/>
  <c r="BV129" i="5"/>
  <c r="BU129" i="5"/>
  <c r="BT129" i="5"/>
  <c r="BS129" i="5"/>
  <c r="BR129" i="5"/>
  <c r="BZ128" i="5"/>
  <c r="BY128" i="5"/>
  <c r="BX128" i="5"/>
  <c r="BW128" i="5"/>
  <c r="BV128" i="5"/>
  <c r="BU128" i="5"/>
  <c r="BT128" i="5"/>
  <c r="BS128" i="5"/>
  <c r="BR128" i="5"/>
  <c r="BZ127" i="5"/>
  <c r="BY127" i="5"/>
  <c r="BX127" i="5"/>
  <c r="BW127" i="5"/>
  <c r="BV127" i="5"/>
  <c r="BU127" i="5"/>
  <c r="BT127" i="5"/>
  <c r="BS127" i="5"/>
  <c r="BR127" i="5"/>
  <c r="BZ126" i="5"/>
  <c r="BY126" i="5"/>
  <c r="BX126" i="5"/>
  <c r="BW126" i="5"/>
  <c r="BV126" i="5"/>
  <c r="BU126" i="5"/>
  <c r="BT126" i="5"/>
  <c r="BS126" i="5"/>
  <c r="BR126" i="5"/>
  <c r="BZ125" i="5"/>
  <c r="BY125" i="5"/>
  <c r="BX125" i="5"/>
  <c r="BW125" i="5"/>
  <c r="BV125" i="5"/>
  <c r="BU125" i="5"/>
  <c r="BT125" i="5"/>
  <c r="BS125" i="5"/>
  <c r="BR125" i="5"/>
  <c r="BZ124" i="5"/>
  <c r="BY124" i="5"/>
  <c r="BX124" i="5"/>
  <c r="BW124" i="5"/>
  <c r="BV124" i="5"/>
  <c r="BU124" i="5"/>
  <c r="BT124" i="5"/>
  <c r="BS124" i="5"/>
  <c r="BR124" i="5"/>
  <c r="BZ123" i="5"/>
  <c r="BY123" i="5"/>
  <c r="BX123" i="5"/>
  <c r="BW123" i="5"/>
  <c r="BV123" i="5"/>
  <c r="BU123" i="5"/>
  <c r="BT123" i="5"/>
  <c r="BS123" i="5"/>
  <c r="BR123" i="5"/>
  <c r="BZ122" i="5"/>
  <c r="BY122" i="5"/>
  <c r="BX122" i="5"/>
  <c r="BW122" i="5"/>
  <c r="BV122" i="5"/>
  <c r="BU122" i="5"/>
  <c r="BT122" i="5"/>
  <c r="BS122" i="5"/>
  <c r="BR122" i="5"/>
  <c r="BZ121" i="5"/>
  <c r="BY121" i="5"/>
  <c r="BX121" i="5"/>
  <c r="BW121" i="5"/>
  <c r="BV121" i="5"/>
  <c r="BU121" i="5"/>
  <c r="BT121" i="5"/>
  <c r="BS121" i="5"/>
  <c r="BR121" i="5"/>
  <c r="BZ120" i="5"/>
  <c r="BY120" i="5"/>
  <c r="BX120" i="5"/>
  <c r="BW120" i="5"/>
  <c r="BV120" i="5"/>
  <c r="BU120" i="5"/>
  <c r="BT120" i="5"/>
  <c r="BS120" i="5"/>
  <c r="BR120" i="5"/>
  <c r="BZ119" i="5"/>
  <c r="BY119" i="5"/>
  <c r="BX119" i="5"/>
  <c r="BW119" i="5"/>
  <c r="BV119" i="5"/>
  <c r="BU119" i="5"/>
  <c r="BT119" i="5"/>
  <c r="BS119" i="5"/>
  <c r="BR119" i="5"/>
  <c r="BZ118" i="5"/>
  <c r="BY118" i="5"/>
  <c r="BX118" i="5"/>
  <c r="BW118" i="5"/>
  <c r="BV118" i="5"/>
  <c r="BU118" i="5"/>
  <c r="BT118" i="5"/>
  <c r="BS118" i="5"/>
  <c r="BR118" i="5"/>
  <c r="BZ117" i="5"/>
  <c r="BY117" i="5"/>
  <c r="BX117" i="5"/>
  <c r="BW117" i="5"/>
  <c r="BV117" i="5"/>
  <c r="BU117" i="5"/>
  <c r="BT117" i="5"/>
  <c r="BS117" i="5"/>
  <c r="BR117" i="5"/>
  <c r="BZ116" i="5"/>
  <c r="BY116" i="5"/>
  <c r="BX116" i="5"/>
  <c r="BW116" i="5"/>
  <c r="BV116" i="5"/>
  <c r="BU116" i="5"/>
  <c r="BT116" i="5"/>
  <c r="BS116" i="5"/>
  <c r="BR116" i="5"/>
  <c r="BZ115" i="5"/>
  <c r="BY115" i="5"/>
  <c r="BX115" i="5"/>
  <c r="BW115" i="5"/>
  <c r="BV115" i="5"/>
  <c r="BU115" i="5"/>
  <c r="BT115" i="5"/>
  <c r="BS115" i="5"/>
  <c r="BR115" i="5"/>
  <c r="BZ114" i="5"/>
  <c r="BY114" i="5"/>
  <c r="BX114" i="5"/>
  <c r="BW114" i="5"/>
  <c r="BV114" i="5"/>
  <c r="BU114" i="5"/>
  <c r="BT114" i="5"/>
  <c r="BS114" i="5"/>
  <c r="BR114" i="5"/>
  <c r="BZ113" i="5"/>
  <c r="BY113" i="5"/>
  <c r="BX113" i="5"/>
  <c r="BW113" i="5"/>
  <c r="BV113" i="5"/>
  <c r="BU113" i="5"/>
  <c r="BT113" i="5"/>
  <c r="BS113" i="5"/>
  <c r="BR113" i="5"/>
  <c r="BZ112" i="5"/>
  <c r="BY112" i="5"/>
  <c r="BX112" i="5"/>
  <c r="BW112" i="5"/>
  <c r="BV112" i="5"/>
  <c r="BU112" i="5"/>
  <c r="BT112" i="5"/>
  <c r="BS112" i="5"/>
  <c r="BR112" i="5"/>
  <c r="BZ111" i="5"/>
  <c r="BY111" i="5"/>
  <c r="BX111" i="5"/>
  <c r="BW111" i="5"/>
  <c r="BV111" i="5"/>
  <c r="BU111" i="5"/>
  <c r="BT111" i="5"/>
  <c r="BS111" i="5"/>
  <c r="BR111" i="5"/>
  <c r="BZ110" i="5"/>
  <c r="BY110" i="5"/>
  <c r="BX110" i="5"/>
  <c r="BW110" i="5"/>
  <c r="BV110" i="5"/>
  <c r="BU110" i="5"/>
  <c r="BT110" i="5"/>
  <c r="BS110" i="5"/>
  <c r="BR110" i="5"/>
  <c r="BZ109" i="5"/>
  <c r="BY109" i="5"/>
  <c r="BX109" i="5"/>
  <c r="BW109" i="5"/>
  <c r="BV109" i="5"/>
  <c r="BU109" i="5"/>
  <c r="BT109" i="5"/>
  <c r="BS109" i="5"/>
  <c r="BR109" i="5"/>
  <c r="BZ108" i="5"/>
  <c r="BY108" i="5"/>
  <c r="BX108" i="5"/>
  <c r="BW108" i="5"/>
  <c r="BV108" i="5"/>
  <c r="BU108" i="5"/>
  <c r="BT108" i="5"/>
  <c r="BS108" i="5"/>
  <c r="BR108" i="5"/>
  <c r="BZ107" i="5"/>
  <c r="BY107" i="5"/>
  <c r="BX107" i="5"/>
  <c r="BW107" i="5"/>
  <c r="BV107" i="5"/>
  <c r="BU107" i="5"/>
  <c r="BT107" i="5"/>
  <c r="BS107" i="5"/>
  <c r="BR107" i="5"/>
  <c r="BZ106" i="5"/>
  <c r="BY106" i="5"/>
  <c r="BX106" i="5"/>
  <c r="BW106" i="5"/>
  <c r="BV106" i="5"/>
  <c r="BU106" i="5"/>
  <c r="BT106" i="5"/>
  <c r="BS106" i="5"/>
  <c r="BR106" i="5"/>
  <c r="BZ105" i="5"/>
  <c r="BY105" i="5"/>
  <c r="BX105" i="5"/>
  <c r="BW105" i="5"/>
  <c r="BV105" i="5"/>
  <c r="BU105" i="5"/>
  <c r="BT105" i="5"/>
  <c r="BS105" i="5"/>
  <c r="BR105" i="5"/>
  <c r="BZ104" i="5"/>
  <c r="BY104" i="5"/>
  <c r="BX104" i="5"/>
  <c r="BW104" i="5"/>
  <c r="BV104" i="5"/>
  <c r="BU104" i="5"/>
  <c r="BT104" i="5"/>
  <c r="BS104" i="5"/>
  <c r="BR104" i="5"/>
  <c r="BZ103" i="5"/>
  <c r="BY103" i="5"/>
  <c r="BX103" i="5"/>
  <c r="BW103" i="5"/>
  <c r="BV103" i="5"/>
  <c r="BU103" i="5"/>
  <c r="BT103" i="5"/>
  <c r="BS103" i="5"/>
  <c r="BR103" i="5"/>
  <c r="BZ102" i="5"/>
  <c r="BY102" i="5"/>
  <c r="BX102" i="5"/>
  <c r="BW102" i="5"/>
  <c r="BV102" i="5"/>
  <c r="BU102" i="5"/>
  <c r="BT102" i="5"/>
  <c r="BS102" i="5"/>
  <c r="BR102" i="5"/>
  <c r="BZ101" i="5"/>
  <c r="BY101" i="5"/>
  <c r="BX101" i="5"/>
  <c r="BW101" i="5"/>
  <c r="BV101" i="5"/>
  <c r="BU101" i="5"/>
  <c r="BT101" i="5"/>
  <c r="BS101" i="5"/>
  <c r="BR101" i="5"/>
  <c r="BZ100" i="5"/>
  <c r="BY100" i="5"/>
  <c r="BX100" i="5"/>
  <c r="BW100" i="5"/>
  <c r="BV100" i="5"/>
  <c r="BU100" i="5"/>
  <c r="BT100" i="5"/>
  <c r="BS100" i="5"/>
  <c r="BR100" i="5"/>
  <c r="BZ99" i="5"/>
  <c r="BY99" i="5"/>
  <c r="BX99" i="5"/>
  <c r="BW99" i="5"/>
  <c r="BV99" i="5"/>
  <c r="BU99" i="5"/>
  <c r="BT99" i="5"/>
  <c r="BS99" i="5"/>
  <c r="BR99" i="5"/>
  <c r="BZ98" i="5"/>
  <c r="BY98" i="5"/>
  <c r="BX98" i="5"/>
  <c r="BW98" i="5"/>
  <c r="BV98" i="5"/>
  <c r="BU98" i="5"/>
  <c r="BT98" i="5"/>
  <c r="BS98" i="5"/>
  <c r="BR98" i="5"/>
  <c r="BZ97" i="5"/>
  <c r="BY97" i="5"/>
  <c r="BX97" i="5"/>
  <c r="BW97" i="5"/>
  <c r="BV97" i="5"/>
  <c r="BU97" i="5"/>
  <c r="BT97" i="5"/>
  <c r="BS97" i="5"/>
  <c r="BR97" i="5"/>
  <c r="BZ96" i="5"/>
  <c r="BY96" i="5"/>
  <c r="BX96" i="5"/>
  <c r="BW96" i="5"/>
  <c r="BV96" i="5"/>
  <c r="BU96" i="5"/>
  <c r="BT96" i="5"/>
  <c r="BS96" i="5"/>
  <c r="BR96" i="5"/>
  <c r="BZ95" i="5"/>
  <c r="BY95" i="5"/>
  <c r="BX95" i="5"/>
  <c r="BW95" i="5"/>
  <c r="BV95" i="5"/>
  <c r="BU95" i="5"/>
  <c r="BT95" i="5"/>
  <c r="BS95" i="5"/>
  <c r="BR95" i="5"/>
  <c r="BZ94" i="5"/>
  <c r="BY94" i="5"/>
  <c r="BX94" i="5"/>
  <c r="BW94" i="5"/>
  <c r="BV94" i="5"/>
  <c r="BU94" i="5"/>
  <c r="BT94" i="5"/>
  <c r="BS94" i="5"/>
  <c r="BR94" i="5"/>
  <c r="BZ93" i="5"/>
  <c r="BY93" i="5"/>
  <c r="BX93" i="5"/>
  <c r="BW93" i="5"/>
  <c r="BV93" i="5"/>
  <c r="BU93" i="5"/>
  <c r="BT93" i="5"/>
  <c r="BS93" i="5"/>
  <c r="BR93" i="5"/>
  <c r="BZ92" i="5"/>
  <c r="BY92" i="5"/>
  <c r="BX92" i="5"/>
  <c r="BW92" i="5"/>
  <c r="BV92" i="5"/>
  <c r="BU92" i="5"/>
  <c r="BT92" i="5"/>
  <c r="BS92" i="5"/>
  <c r="BR92" i="5"/>
  <c r="BZ91" i="5"/>
  <c r="BY91" i="5"/>
  <c r="BX91" i="5"/>
  <c r="BW91" i="5"/>
  <c r="BV91" i="5"/>
  <c r="BU91" i="5"/>
  <c r="BT91" i="5"/>
  <c r="BS91" i="5"/>
  <c r="BR91" i="5"/>
  <c r="BZ90" i="5"/>
  <c r="BY90" i="5"/>
  <c r="BX90" i="5"/>
  <c r="BW90" i="5"/>
  <c r="BV90" i="5"/>
  <c r="BU90" i="5"/>
  <c r="BT90" i="5"/>
  <c r="BS90" i="5"/>
  <c r="BR90" i="5"/>
  <c r="BZ89" i="5"/>
  <c r="BY89" i="5"/>
  <c r="BX89" i="5"/>
  <c r="BW89" i="5"/>
  <c r="BV89" i="5"/>
  <c r="BU89" i="5"/>
  <c r="BT89" i="5"/>
  <c r="BS89" i="5"/>
  <c r="BR89" i="5"/>
  <c r="BZ88" i="5"/>
  <c r="BY88" i="5"/>
  <c r="BX88" i="5"/>
  <c r="BW88" i="5"/>
  <c r="BV88" i="5"/>
  <c r="BU88" i="5"/>
  <c r="BT88" i="5"/>
  <c r="BS88" i="5"/>
  <c r="BR88" i="5"/>
  <c r="BZ87" i="5"/>
  <c r="BY87" i="5"/>
  <c r="BX87" i="5"/>
  <c r="BW87" i="5"/>
  <c r="BV87" i="5"/>
  <c r="BU87" i="5"/>
  <c r="BT87" i="5"/>
  <c r="BS87" i="5"/>
  <c r="BR87" i="5"/>
  <c r="BZ86" i="5"/>
  <c r="BY86" i="5"/>
  <c r="BX86" i="5"/>
  <c r="BW86" i="5"/>
  <c r="BV86" i="5"/>
  <c r="BU86" i="5"/>
  <c r="BT86" i="5"/>
  <c r="BS86" i="5"/>
  <c r="BR86" i="5"/>
  <c r="BZ85" i="5"/>
  <c r="BY85" i="5"/>
  <c r="BX85" i="5"/>
  <c r="BW85" i="5"/>
  <c r="BV85" i="5"/>
  <c r="BU85" i="5"/>
  <c r="BT85" i="5"/>
  <c r="BS85" i="5"/>
  <c r="BR85" i="5"/>
  <c r="BZ84" i="5"/>
  <c r="BY84" i="5"/>
  <c r="BX84" i="5"/>
  <c r="BW84" i="5"/>
  <c r="BV84" i="5"/>
  <c r="BU84" i="5"/>
  <c r="BT84" i="5"/>
  <c r="BS84" i="5"/>
  <c r="BR84" i="5"/>
  <c r="BZ83" i="5"/>
  <c r="BY83" i="5"/>
  <c r="BX83" i="5"/>
  <c r="BW83" i="5"/>
  <c r="BV83" i="5"/>
  <c r="BU83" i="5"/>
  <c r="BT83" i="5"/>
  <c r="BS83" i="5"/>
  <c r="BR83" i="5"/>
  <c r="BZ82" i="5"/>
  <c r="BY82" i="5"/>
  <c r="BX82" i="5"/>
  <c r="BW82" i="5"/>
  <c r="BV82" i="5"/>
  <c r="BU82" i="5"/>
  <c r="BT82" i="5"/>
  <c r="BS82" i="5"/>
  <c r="BR82" i="5"/>
  <c r="BZ81" i="5"/>
  <c r="BY81" i="5"/>
  <c r="BX81" i="5"/>
  <c r="BW81" i="5"/>
  <c r="BV81" i="5"/>
  <c r="BU81" i="5"/>
  <c r="BT81" i="5"/>
  <c r="BS81" i="5"/>
  <c r="BR81" i="5"/>
  <c r="BZ80" i="5"/>
  <c r="BY80" i="5"/>
  <c r="BX80" i="5"/>
  <c r="BW80" i="5"/>
  <c r="BV80" i="5"/>
  <c r="BU80" i="5"/>
  <c r="BT80" i="5"/>
  <c r="BS80" i="5"/>
  <c r="BR80" i="5"/>
  <c r="BZ79" i="5"/>
  <c r="BY79" i="5"/>
  <c r="BX79" i="5"/>
  <c r="BW79" i="5"/>
  <c r="BV79" i="5"/>
  <c r="BU79" i="5"/>
  <c r="BT79" i="5"/>
  <c r="BS79" i="5"/>
  <c r="BR79" i="5"/>
  <c r="BZ78" i="5"/>
  <c r="BY78" i="5"/>
  <c r="BX78" i="5"/>
  <c r="BW78" i="5"/>
  <c r="BV78" i="5"/>
  <c r="BU78" i="5"/>
  <c r="BT78" i="5"/>
  <c r="BS78" i="5"/>
  <c r="BR78" i="5"/>
  <c r="BZ77" i="5"/>
  <c r="BY77" i="5"/>
  <c r="BX77" i="5"/>
  <c r="BW77" i="5"/>
  <c r="BV77" i="5"/>
  <c r="BU77" i="5"/>
  <c r="BT77" i="5"/>
  <c r="BS77" i="5"/>
  <c r="BR77" i="5"/>
  <c r="BZ76" i="5"/>
  <c r="BY76" i="5"/>
  <c r="BX76" i="5"/>
  <c r="BW76" i="5"/>
  <c r="BV76" i="5"/>
  <c r="BU76" i="5"/>
  <c r="BT76" i="5"/>
  <c r="BS76" i="5"/>
  <c r="BR76" i="5"/>
  <c r="BZ75" i="5"/>
  <c r="BY75" i="5"/>
  <c r="BX75" i="5"/>
  <c r="BW75" i="5"/>
  <c r="BV75" i="5"/>
  <c r="BU75" i="5"/>
  <c r="BT75" i="5"/>
  <c r="BS75" i="5"/>
  <c r="BR75" i="5"/>
  <c r="BZ74" i="5"/>
  <c r="BY74" i="5"/>
  <c r="BX74" i="5"/>
  <c r="BW74" i="5"/>
  <c r="BV74" i="5"/>
  <c r="BU74" i="5"/>
  <c r="BT74" i="5"/>
  <c r="BS74" i="5"/>
  <c r="BR74" i="5"/>
  <c r="BZ73" i="5"/>
  <c r="BY73" i="5"/>
  <c r="BX73" i="5"/>
  <c r="BW73" i="5"/>
  <c r="BV73" i="5"/>
  <c r="BU73" i="5"/>
  <c r="BT73" i="5"/>
  <c r="BS73" i="5"/>
  <c r="BR73" i="5"/>
  <c r="BZ72" i="5"/>
  <c r="BY72" i="5"/>
  <c r="BX72" i="5"/>
  <c r="BW72" i="5"/>
  <c r="BV72" i="5"/>
  <c r="BU72" i="5"/>
  <c r="BT72" i="5"/>
  <c r="BS72" i="5"/>
  <c r="BR72" i="5"/>
  <c r="BZ71" i="5"/>
  <c r="BY71" i="5"/>
  <c r="BX71" i="5"/>
  <c r="BW71" i="5"/>
  <c r="BV71" i="5"/>
  <c r="BU71" i="5"/>
  <c r="BT71" i="5"/>
  <c r="BS71" i="5"/>
  <c r="BR71" i="5"/>
  <c r="BZ70" i="5"/>
  <c r="BY70" i="5"/>
  <c r="BX70" i="5"/>
  <c r="BW70" i="5"/>
  <c r="BV70" i="5"/>
  <c r="BU70" i="5"/>
  <c r="BT70" i="5"/>
  <c r="BS70" i="5"/>
  <c r="BR70" i="5"/>
  <c r="BZ69" i="5"/>
  <c r="BY69" i="5"/>
  <c r="BX69" i="5"/>
  <c r="BW69" i="5"/>
  <c r="BV69" i="5"/>
  <c r="BU69" i="5"/>
  <c r="BT69" i="5"/>
  <c r="BS69" i="5"/>
  <c r="BR69" i="5"/>
  <c r="BZ68" i="5"/>
  <c r="BY68" i="5"/>
  <c r="BX68" i="5"/>
  <c r="BW68" i="5"/>
  <c r="BV68" i="5"/>
  <c r="BU68" i="5"/>
  <c r="BT68" i="5"/>
  <c r="BS68" i="5"/>
  <c r="BR68" i="5"/>
  <c r="BG68" i="5"/>
  <c r="BF68" i="5"/>
  <c r="BZ67" i="5"/>
  <c r="BY67" i="5"/>
  <c r="BX67" i="5"/>
  <c r="BW67" i="5"/>
  <c r="BV67" i="5"/>
  <c r="BU67" i="5"/>
  <c r="BT67" i="5"/>
  <c r="BS67" i="5"/>
  <c r="BR67" i="5"/>
  <c r="BG67" i="5"/>
  <c r="BF67" i="5"/>
  <c r="BZ66" i="5"/>
  <c r="BY66" i="5"/>
  <c r="BX66" i="5"/>
  <c r="BW66" i="5"/>
  <c r="BV66" i="5"/>
  <c r="BU66" i="5"/>
  <c r="BT66" i="5"/>
  <c r="BS66" i="5"/>
  <c r="BR66" i="5"/>
  <c r="BG66" i="5"/>
  <c r="BF66" i="5"/>
  <c r="BZ65" i="5"/>
  <c r="BY65" i="5"/>
  <c r="BX65" i="5"/>
  <c r="BW65" i="5"/>
  <c r="BV65" i="5"/>
  <c r="BU65" i="5"/>
  <c r="BT65" i="5"/>
  <c r="BS65" i="5"/>
  <c r="BR65" i="5"/>
  <c r="BG65" i="5"/>
  <c r="BF65" i="5"/>
  <c r="BZ64" i="5"/>
  <c r="BY64" i="5"/>
  <c r="BX64" i="5"/>
  <c r="BW64" i="5"/>
  <c r="BV64" i="5"/>
  <c r="BU64" i="5"/>
  <c r="BT64" i="5"/>
  <c r="BS64" i="5"/>
  <c r="BR64" i="5"/>
  <c r="BG64" i="5"/>
  <c r="BF64" i="5"/>
  <c r="BZ63" i="5"/>
  <c r="BY63" i="5"/>
  <c r="BX63" i="5"/>
  <c r="BW63" i="5"/>
  <c r="BV63" i="5"/>
  <c r="BU63" i="5"/>
  <c r="BT63" i="5"/>
  <c r="BS63" i="5"/>
  <c r="BR63" i="5"/>
  <c r="BG63" i="5"/>
  <c r="BF63" i="5"/>
  <c r="BZ62" i="5"/>
  <c r="BY62" i="5"/>
  <c r="BX62" i="5"/>
  <c r="BW62" i="5"/>
  <c r="BV62" i="5"/>
  <c r="BU62" i="5"/>
  <c r="BT62" i="5"/>
  <c r="BS62" i="5"/>
  <c r="BR62" i="5"/>
  <c r="BG62" i="5"/>
  <c r="BF62" i="5"/>
  <c r="BZ61" i="5"/>
  <c r="BY61" i="5"/>
  <c r="BX61" i="5"/>
  <c r="BW61" i="5"/>
  <c r="BV61" i="5"/>
  <c r="BU61" i="5"/>
  <c r="BT61" i="5"/>
  <c r="BS61" i="5"/>
  <c r="BR61" i="5"/>
  <c r="BG61" i="5"/>
  <c r="BF61" i="5"/>
  <c r="BZ60" i="5"/>
  <c r="BY60" i="5"/>
  <c r="BX60" i="5"/>
  <c r="BW60" i="5"/>
  <c r="BV60" i="5"/>
  <c r="BU60" i="5"/>
  <c r="BT60" i="5"/>
  <c r="BS60" i="5"/>
  <c r="BR60" i="5"/>
  <c r="BG60" i="5"/>
  <c r="BF60" i="5"/>
  <c r="BZ59" i="5"/>
  <c r="BY59" i="5"/>
  <c r="BX59" i="5"/>
  <c r="BW59" i="5"/>
  <c r="BV59" i="5"/>
  <c r="BU59" i="5"/>
  <c r="BT59" i="5"/>
  <c r="BS59" i="5"/>
  <c r="BR59" i="5"/>
  <c r="BG59" i="5"/>
  <c r="BF59" i="5"/>
  <c r="BZ58" i="5"/>
  <c r="BY58" i="5"/>
  <c r="BX58" i="5"/>
  <c r="BW58" i="5"/>
  <c r="BV58" i="5"/>
  <c r="BU58" i="5"/>
  <c r="BT58" i="5"/>
  <c r="BS58" i="5"/>
  <c r="BR58" i="5"/>
  <c r="BG58" i="5"/>
  <c r="BF58" i="5"/>
  <c r="BZ57" i="5"/>
  <c r="BY57" i="5"/>
  <c r="BX57" i="5"/>
  <c r="BW57" i="5"/>
  <c r="BV57" i="5"/>
  <c r="BU57" i="5"/>
  <c r="BT57" i="5"/>
  <c r="BS57" i="5"/>
  <c r="BR57" i="5"/>
  <c r="BG57" i="5"/>
  <c r="BF57" i="5"/>
  <c r="BZ56" i="5"/>
  <c r="BY56" i="5"/>
  <c r="BX56" i="5"/>
  <c r="BW56" i="5"/>
  <c r="BV56" i="5"/>
  <c r="BU56" i="5"/>
  <c r="BT56" i="5"/>
  <c r="BS56" i="5"/>
  <c r="BR56" i="5"/>
  <c r="BG56" i="5"/>
  <c r="BF56" i="5"/>
  <c r="BZ55" i="5"/>
  <c r="BY55" i="5"/>
  <c r="BX55" i="5"/>
  <c r="BW55" i="5"/>
  <c r="BV55" i="5"/>
  <c r="BU55" i="5"/>
  <c r="BT55" i="5"/>
  <c r="BS55" i="5"/>
  <c r="BR55" i="5"/>
  <c r="BG55" i="5"/>
  <c r="BF55" i="5"/>
  <c r="BZ54" i="5"/>
  <c r="BY54" i="5"/>
  <c r="BX54" i="5"/>
  <c r="BW54" i="5"/>
  <c r="BV54" i="5"/>
  <c r="BU54" i="5"/>
  <c r="BT54" i="5"/>
  <c r="BS54" i="5"/>
  <c r="BR54" i="5"/>
  <c r="BG54" i="5"/>
  <c r="BF54" i="5"/>
  <c r="BZ53" i="5"/>
  <c r="BY53" i="5"/>
  <c r="BX53" i="5"/>
  <c r="BW53" i="5"/>
  <c r="BV53" i="5"/>
  <c r="BU53" i="5"/>
  <c r="BT53" i="5"/>
  <c r="BS53" i="5"/>
  <c r="BR53" i="5"/>
  <c r="BG53" i="5"/>
  <c r="BF53" i="5"/>
  <c r="BZ52" i="5"/>
  <c r="BY52" i="5"/>
  <c r="BX52" i="5"/>
  <c r="BW52" i="5"/>
  <c r="BV52" i="5"/>
  <c r="BU52" i="5"/>
  <c r="BT52" i="5"/>
  <c r="BS52" i="5"/>
  <c r="BR52" i="5"/>
  <c r="BG52" i="5"/>
  <c r="BF52" i="5"/>
  <c r="BZ51" i="5"/>
  <c r="BY51" i="5"/>
  <c r="BX51" i="5"/>
  <c r="BW51" i="5"/>
  <c r="BV51" i="5"/>
  <c r="BU51" i="5"/>
  <c r="BT51" i="5"/>
  <c r="BS51" i="5"/>
  <c r="BR51" i="5"/>
  <c r="BG51" i="5"/>
  <c r="BF51" i="5"/>
  <c r="BZ50" i="5"/>
  <c r="BY50" i="5"/>
  <c r="BX50" i="5"/>
  <c r="BW50" i="5"/>
  <c r="BV50" i="5"/>
  <c r="BU50" i="5"/>
  <c r="BT50" i="5"/>
  <c r="BS50" i="5"/>
  <c r="BR50" i="5"/>
  <c r="BG50" i="5"/>
  <c r="BF50" i="5"/>
  <c r="BZ49" i="5"/>
  <c r="BY49" i="5"/>
  <c r="BX49" i="5"/>
  <c r="BW49" i="5"/>
  <c r="BV49" i="5"/>
  <c r="BU49" i="5"/>
  <c r="BT49" i="5"/>
  <c r="BS49" i="5"/>
  <c r="BR49" i="5"/>
  <c r="BG49" i="5"/>
  <c r="BF49" i="5"/>
  <c r="BZ48" i="5"/>
  <c r="BY48" i="5"/>
  <c r="BX48" i="5"/>
  <c r="BW48" i="5"/>
  <c r="BV48" i="5"/>
  <c r="BU48" i="5"/>
  <c r="BT48" i="5"/>
  <c r="BS48" i="5"/>
  <c r="BR48" i="5"/>
  <c r="BG48" i="5"/>
  <c r="BF48" i="5"/>
  <c r="BZ47" i="5"/>
  <c r="BY47" i="5"/>
  <c r="BX47" i="5"/>
  <c r="BW47" i="5"/>
  <c r="BV47" i="5"/>
  <c r="BU47" i="5"/>
  <c r="BT47" i="5"/>
  <c r="BS47" i="5"/>
  <c r="BR47" i="5"/>
  <c r="BG47" i="5"/>
  <c r="BF47" i="5"/>
  <c r="BZ46" i="5"/>
  <c r="BY46" i="5"/>
  <c r="BX46" i="5"/>
  <c r="BW46" i="5"/>
  <c r="BV46" i="5"/>
  <c r="BU46" i="5"/>
  <c r="BT46" i="5"/>
  <c r="BS46" i="5"/>
  <c r="BR46" i="5"/>
  <c r="BG46" i="5"/>
  <c r="BF46" i="5"/>
  <c r="BZ45" i="5"/>
  <c r="BY45" i="5"/>
  <c r="BX45" i="5"/>
  <c r="BW45" i="5"/>
  <c r="BV45" i="5"/>
  <c r="BU45" i="5"/>
  <c r="BT45" i="5"/>
  <c r="BS45" i="5"/>
  <c r="BR45" i="5"/>
  <c r="BG45" i="5"/>
  <c r="BF45" i="5"/>
  <c r="BZ44" i="5"/>
  <c r="BY44" i="5"/>
  <c r="BX44" i="5"/>
  <c r="BW44" i="5"/>
  <c r="BV44" i="5"/>
  <c r="BU44" i="5"/>
  <c r="BT44" i="5"/>
  <c r="BS44" i="5"/>
  <c r="BR44" i="5"/>
  <c r="BG44" i="5"/>
  <c r="BF44" i="5"/>
  <c r="BZ43" i="5"/>
  <c r="BY43" i="5"/>
  <c r="BX43" i="5"/>
  <c r="BW43" i="5"/>
  <c r="BV43" i="5"/>
  <c r="BU43" i="5"/>
  <c r="BT43" i="5"/>
  <c r="BS43" i="5"/>
  <c r="BR43" i="5"/>
  <c r="BG43" i="5"/>
  <c r="BF43" i="5"/>
  <c r="BZ42" i="5"/>
  <c r="BY42" i="5"/>
  <c r="BX42" i="5"/>
  <c r="BW42" i="5"/>
  <c r="BV42" i="5"/>
  <c r="BU42" i="5"/>
  <c r="BT42" i="5"/>
  <c r="BS42" i="5"/>
  <c r="BR42" i="5"/>
  <c r="BG42" i="5"/>
  <c r="BF42" i="5"/>
  <c r="BZ41" i="5"/>
  <c r="BY41" i="5"/>
  <c r="BX41" i="5"/>
  <c r="BW41" i="5"/>
  <c r="BV41" i="5"/>
  <c r="BU41" i="5"/>
  <c r="BT41" i="5"/>
  <c r="BS41" i="5"/>
  <c r="BR41" i="5"/>
  <c r="BG41" i="5"/>
  <c r="BF41" i="5"/>
  <c r="BZ40" i="5"/>
  <c r="BY40" i="5"/>
  <c r="BX40" i="5"/>
  <c r="BW40" i="5"/>
  <c r="BV40" i="5"/>
  <c r="BU40" i="5"/>
  <c r="BT40" i="5"/>
  <c r="BS40" i="5"/>
  <c r="BR40" i="5"/>
  <c r="BG40" i="5"/>
  <c r="BF40" i="5"/>
  <c r="BZ39" i="5"/>
  <c r="BY39" i="5"/>
  <c r="BX39" i="5"/>
  <c r="BW39" i="5"/>
  <c r="BV39" i="5"/>
  <c r="BU39" i="5"/>
  <c r="BT39" i="5"/>
  <c r="BS39" i="5"/>
  <c r="BR39" i="5"/>
  <c r="BG39" i="5"/>
  <c r="BF39" i="5"/>
  <c r="BZ38" i="5"/>
  <c r="BY38" i="5"/>
  <c r="BX38" i="5"/>
  <c r="BW38" i="5"/>
  <c r="BV38" i="5"/>
  <c r="BU38" i="5"/>
  <c r="BT38" i="5"/>
  <c r="BS38" i="5"/>
  <c r="BR38" i="5"/>
  <c r="BG38" i="5"/>
  <c r="BF38" i="5"/>
  <c r="BZ37" i="5"/>
  <c r="BY37" i="5"/>
  <c r="BX37" i="5"/>
  <c r="BW37" i="5"/>
  <c r="BV37" i="5"/>
  <c r="BU37" i="5"/>
  <c r="BT37" i="5"/>
  <c r="BS37" i="5"/>
  <c r="BR37" i="5"/>
  <c r="BG37" i="5"/>
  <c r="BF37" i="5"/>
  <c r="BZ36" i="5"/>
  <c r="BY36" i="5"/>
  <c r="BX36" i="5"/>
  <c r="BW36" i="5"/>
  <c r="BV36" i="5"/>
  <c r="BU36" i="5"/>
  <c r="BT36" i="5"/>
  <c r="BS36" i="5"/>
  <c r="BR36" i="5"/>
  <c r="BG36" i="5"/>
  <c r="BF36" i="5"/>
  <c r="BZ35" i="5"/>
  <c r="BY35" i="5"/>
  <c r="BX35" i="5"/>
  <c r="BW35" i="5"/>
  <c r="BV35" i="5"/>
  <c r="BU35" i="5"/>
  <c r="BT35" i="5"/>
  <c r="BS35" i="5"/>
  <c r="BR35" i="5"/>
  <c r="BG35" i="5"/>
  <c r="BF35" i="5"/>
  <c r="BZ34" i="5"/>
  <c r="BY34" i="5"/>
  <c r="BX34" i="5"/>
  <c r="BW34" i="5"/>
  <c r="BV34" i="5"/>
  <c r="BU34" i="5"/>
  <c r="BT34" i="5"/>
  <c r="BS34" i="5"/>
  <c r="BR34" i="5"/>
  <c r="BG34" i="5"/>
  <c r="BF34" i="5"/>
  <c r="BZ33" i="5"/>
  <c r="BY33" i="5"/>
  <c r="BX33" i="5"/>
  <c r="BW33" i="5"/>
  <c r="BV33" i="5"/>
  <c r="BU33" i="5"/>
  <c r="BT33" i="5"/>
  <c r="BS33" i="5"/>
  <c r="BR33" i="5"/>
  <c r="BF33" i="5"/>
  <c r="BZ32" i="5"/>
  <c r="BY32" i="5"/>
  <c r="BX32" i="5"/>
  <c r="BW32" i="5"/>
  <c r="BV32" i="5"/>
  <c r="BU32" i="5"/>
  <c r="BT32" i="5"/>
  <c r="BS32" i="5"/>
  <c r="BR32" i="5"/>
  <c r="BF32" i="5"/>
  <c r="BZ31" i="5"/>
  <c r="BY31" i="5"/>
  <c r="BX31" i="5"/>
  <c r="BW31" i="5"/>
  <c r="BV31" i="5"/>
  <c r="BU31" i="5"/>
  <c r="BT31" i="5"/>
  <c r="BS31" i="5"/>
  <c r="BR31" i="5"/>
  <c r="BF31" i="5"/>
  <c r="BZ28" i="5"/>
  <c r="BY28" i="5"/>
  <c r="BX28" i="5"/>
  <c r="BW28" i="5"/>
  <c r="BV28" i="5"/>
  <c r="BU28" i="5"/>
  <c r="BT28" i="5"/>
  <c r="BS28" i="5"/>
  <c r="BR28" i="5"/>
  <c r="BG28" i="5"/>
  <c r="BF28" i="5"/>
  <c r="BZ27" i="5"/>
  <c r="BY27" i="5"/>
  <c r="BX27" i="5"/>
  <c r="BW27" i="5"/>
  <c r="BV27" i="5"/>
  <c r="BU27" i="5"/>
  <c r="BT27" i="5"/>
  <c r="BS27" i="5"/>
  <c r="BR27" i="5"/>
  <c r="BG27" i="5"/>
  <c r="BF27" i="5"/>
  <c r="BZ26" i="5"/>
  <c r="BY26" i="5"/>
  <c r="BX26" i="5"/>
  <c r="BW26" i="5"/>
  <c r="BV26" i="5"/>
  <c r="BU26" i="5"/>
  <c r="BT26" i="5"/>
  <c r="BS26" i="5"/>
  <c r="BR26" i="5"/>
  <c r="BG26" i="5"/>
  <c r="BF26" i="5"/>
  <c r="BZ25" i="5"/>
  <c r="BY25" i="5"/>
  <c r="BX25" i="5"/>
  <c r="BW25" i="5"/>
  <c r="BV25" i="5"/>
  <c r="BU25" i="5"/>
  <c r="BT25" i="5"/>
  <c r="BS25" i="5"/>
  <c r="BR25" i="5"/>
  <c r="BG25" i="5"/>
  <c r="BF25" i="5"/>
  <c r="BZ24" i="5"/>
  <c r="BY24" i="5"/>
  <c r="BX24" i="5"/>
  <c r="BW24" i="5"/>
  <c r="BV24" i="5"/>
  <c r="BU24" i="5"/>
  <c r="BT24" i="5"/>
  <c r="BS24" i="5"/>
  <c r="BR24" i="5"/>
  <c r="BG24" i="5"/>
  <c r="BF24" i="5"/>
  <c r="BZ23" i="5"/>
  <c r="BY23" i="5"/>
  <c r="BX23" i="5"/>
  <c r="BW23" i="5"/>
  <c r="BV23" i="5"/>
  <c r="BU23" i="5"/>
  <c r="BT23" i="5"/>
  <c r="BS23" i="5"/>
  <c r="BR23" i="5"/>
  <c r="BG23" i="5"/>
  <c r="BF23" i="5"/>
  <c r="BZ22" i="5"/>
  <c r="BY22" i="5"/>
  <c r="BX22" i="5"/>
  <c r="BW22" i="5"/>
  <c r="BV22" i="5"/>
  <c r="BU22" i="5"/>
  <c r="BT22" i="5"/>
  <c r="BS22" i="5"/>
  <c r="BR22" i="5"/>
  <c r="BG22" i="5"/>
  <c r="BF22" i="5"/>
  <c r="BZ21" i="5"/>
  <c r="BY21" i="5"/>
  <c r="BX21" i="5"/>
  <c r="BW21" i="5"/>
  <c r="BV21" i="5"/>
  <c r="BU21" i="5"/>
  <c r="BT21" i="5"/>
  <c r="BS21" i="5"/>
  <c r="BR21" i="5"/>
  <c r="BG21" i="5"/>
  <c r="BF21" i="5"/>
  <c r="AG21" i="5"/>
  <c r="BZ20" i="5"/>
  <c r="BY20" i="5"/>
  <c r="BX20" i="5"/>
  <c r="BW20" i="5"/>
  <c r="BV20" i="5"/>
  <c r="BU20" i="5"/>
  <c r="BT20" i="5"/>
  <c r="BS20" i="5"/>
  <c r="BR20" i="5"/>
  <c r="BG20" i="5"/>
  <c r="BF20" i="5"/>
  <c r="BZ19" i="5"/>
  <c r="BY19" i="5"/>
  <c r="BX19" i="5"/>
  <c r="BW19" i="5"/>
  <c r="BV19" i="5"/>
  <c r="BU19" i="5"/>
  <c r="BT19" i="5"/>
  <c r="BS19" i="5"/>
  <c r="BR19" i="5"/>
  <c r="BG19" i="5"/>
  <c r="BF19" i="5"/>
  <c r="BZ18" i="5"/>
  <c r="BY18" i="5"/>
  <c r="BX18" i="5"/>
  <c r="BW18" i="5"/>
  <c r="BV18" i="5"/>
  <c r="BU18" i="5"/>
  <c r="BT18" i="5"/>
  <c r="BS18" i="5"/>
  <c r="BR18" i="5"/>
  <c r="BG18" i="5"/>
  <c r="BF18" i="5"/>
  <c r="BZ17" i="5"/>
  <c r="BY17" i="5"/>
  <c r="BX17" i="5"/>
  <c r="BW17" i="5"/>
  <c r="BV17" i="5"/>
  <c r="BU17" i="5"/>
  <c r="BT17" i="5"/>
  <c r="BS17" i="5"/>
  <c r="BR17" i="5"/>
  <c r="BG17" i="5"/>
  <c r="BF17" i="5"/>
  <c r="BZ16" i="5"/>
  <c r="BY16" i="5"/>
  <c r="BX16" i="5"/>
  <c r="BW16" i="5"/>
  <c r="BV16" i="5"/>
  <c r="BU16" i="5"/>
  <c r="BT16" i="5"/>
  <c r="BS16" i="5"/>
  <c r="BR16" i="5"/>
  <c r="BG16" i="5"/>
  <c r="BF16" i="5"/>
  <c r="BZ15" i="5"/>
  <c r="BY15" i="5"/>
  <c r="BX15" i="5"/>
  <c r="BW15" i="5"/>
  <c r="BV15" i="5"/>
  <c r="BU15" i="5"/>
  <c r="BT15" i="5"/>
  <c r="BS15" i="5"/>
  <c r="BR15" i="5"/>
  <c r="BG15" i="5"/>
  <c r="BF15" i="5"/>
  <c r="BZ14" i="5"/>
  <c r="BY14" i="5"/>
  <c r="BX14" i="5"/>
  <c r="BW14" i="5"/>
  <c r="BV14" i="5"/>
  <c r="BU14" i="5"/>
  <c r="BT14" i="5"/>
  <c r="BS14" i="5"/>
  <c r="BR14" i="5"/>
  <c r="BG14" i="5"/>
  <c r="BF14" i="5"/>
  <c r="BZ13" i="5"/>
  <c r="BY13" i="5"/>
  <c r="BX13" i="5"/>
  <c r="BW13" i="5"/>
  <c r="BV13" i="5"/>
  <c r="BU13" i="5"/>
  <c r="BT13" i="5"/>
  <c r="BS13" i="5"/>
  <c r="BR13" i="5"/>
  <c r="BG13" i="5"/>
  <c r="BF13" i="5"/>
  <c r="BZ12" i="5"/>
  <c r="BY12" i="5"/>
  <c r="BX12" i="5"/>
  <c r="BW12" i="5"/>
  <c r="BV12" i="5"/>
  <c r="BU12" i="5"/>
  <c r="BT12" i="5"/>
  <c r="BS12" i="5"/>
  <c r="BR12" i="5"/>
  <c r="BG12" i="5"/>
  <c r="BF12" i="5"/>
  <c r="BZ11" i="5"/>
  <c r="BY11" i="5"/>
  <c r="BX11" i="5"/>
  <c r="BW11" i="5"/>
  <c r="BV11" i="5"/>
  <c r="BU11" i="5"/>
  <c r="BT11" i="5"/>
  <c r="BS11" i="5"/>
  <c r="BR11" i="5"/>
  <c r="BG11" i="5"/>
  <c r="BF11" i="5"/>
  <c r="BZ10" i="5"/>
  <c r="BY10" i="5"/>
  <c r="BX10" i="5"/>
  <c r="BW10" i="5"/>
  <c r="BV10" i="5"/>
  <c r="BU10" i="5"/>
  <c r="BT10" i="5"/>
  <c r="BS10" i="5"/>
  <c r="BR10" i="5"/>
  <c r="BG10" i="5"/>
  <c r="BF10" i="5"/>
  <c r="BZ9" i="5"/>
  <c r="BY9" i="5"/>
  <c r="BX9" i="5"/>
  <c r="BW9" i="5"/>
  <c r="BV9" i="5"/>
  <c r="BU9" i="5"/>
  <c r="BT9" i="5"/>
  <c r="BS9" i="5"/>
  <c r="BR9" i="5"/>
  <c r="BG9" i="5"/>
  <c r="BF9" i="5"/>
  <c r="BZ8" i="5"/>
  <c r="BY8" i="5"/>
  <c r="BX8" i="5"/>
  <c r="BW8" i="5"/>
  <c r="BV8" i="5"/>
  <c r="BU8" i="5"/>
  <c r="BT8" i="5"/>
  <c r="BS8" i="5"/>
  <c r="BR8" i="5"/>
  <c r="BN8" i="5"/>
  <c r="BM8" i="5"/>
  <c r="BL8" i="5"/>
  <c r="BK8" i="5"/>
  <c r="BJ8" i="5"/>
  <c r="BI8" i="5"/>
  <c r="BH8" i="5"/>
  <c r="BG8" i="5"/>
  <c r="BF8" i="5"/>
  <c r="AG5" i="5"/>
  <c r="AW4" i="5"/>
  <c r="AW5" i="5"/>
  <c r="AT5" i="5"/>
  <c r="K7" i="5" l="1"/>
  <c r="G7" i="5"/>
  <c r="M7" i="5"/>
  <c r="H7" i="5"/>
  <c r="N7" i="5"/>
  <c r="AW7" i="1"/>
  <c r="AX7" i="1"/>
  <c r="AY7" i="1"/>
  <c r="AZ7" i="1"/>
  <c r="BA7" i="1"/>
  <c r="BB7" i="1"/>
  <c r="AW8" i="1"/>
  <c r="AX8" i="1"/>
  <c r="AY8" i="1"/>
  <c r="AZ8" i="1"/>
  <c r="BA8" i="1"/>
  <c r="BB8" i="1"/>
  <c r="AW9" i="1"/>
  <c r="AX9" i="1"/>
  <c r="AY9" i="1"/>
  <c r="AZ9" i="1"/>
  <c r="BA9" i="1"/>
  <c r="BB9" i="1"/>
  <c r="AW10" i="1"/>
  <c r="AX10" i="1"/>
  <c r="AY10" i="1"/>
  <c r="AZ10" i="1"/>
  <c r="BA10" i="1"/>
  <c r="BB10" i="1"/>
  <c r="AW11" i="1"/>
  <c r="AX11" i="1"/>
  <c r="AY11" i="1"/>
  <c r="AZ11" i="1"/>
  <c r="BA11" i="1"/>
  <c r="BB11" i="1"/>
  <c r="AW12" i="1"/>
  <c r="AX12" i="1"/>
  <c r="AY12" i="1"/>
  <c r="AZ12" i="1"/>
  <c r="BA12" i="1"/>
  <c r="BB12" i="1"/>
  <c r="AW13" i="1"/>
  <c r="AX13" i="1"/>
  <c r="AY13" i="1"/>
  <c r="AZ13" i="1"/>
  <c r="BA13" i="1"/>
  <c r="BB13" i="1"/>
  <c r="AW14" i="1"/>
  <c r="AX14" i="1"/>
  <c r="AY14" i="1"/>
  <c r="AZ14" i="1"/>
  <c r="BA14" i="1"/>
  <c r="BB14" i="1"/>
  <c r="AW15" i="1"/>
  <c r="AX15" i="1"/>
  <c r="AY15" i="1"/>
  <c r="AZ15" i="1"/>
  <c r="BA15" i="1"/>
  <c r="BB15" i="1"/>
  <c r="AW16" i="1"/>
  <c r="AX16" i="1"/>
  <c r="AY16" i="1"/>
  <c r="AZ16" i="1"/>
  <c r="BA16" i="1"/>
  <c r="BB16" i="1"/>
  <c r="AW17" i="1"/>
  <c r="AX17" i="1"/>
  <c r="AY17" i="1"/>
  <c r="AZ17" i="1"/>
  <c r="BA17" i="1"/>
  <c r="BB17" i="1"/>
  <c r="AW18" i="1"/>
  <c r="AX18" i="1"/>
  <c r="AY18" i="1"/>
  <c r="AZ18" i="1"/>
  <c r="BA18" i="1"/>
  <c r="BB18" i="1"/>
  <c r="AW19" i="1"/>
  <c r="AX19" i="1"/>
  <c r="AY19" i="1"/>
  <c r="AZ19" i="1"/>
  <c r="BA19" i="1"/>
  <c r="BB19" i="1"/>
  <c r="AW20" i="1"/>
  <c r="AX20" i="1"/>
  <c r="AY20" i="1"/>
  <c r="AZ20" i="1"/>
  <c r="BA20" i="1"/>
  <c r="BB20" i="1"/>
  <c r="AW21" i="1"/>
  <c r="AX21" i="1"/>
  <c r="AY21" i="1"/>
  <c r="AZ21" i="1"/>
  <c r="BA21" i="1"/>
  <c r="BB21" i="1"/>
  <c r="AW22" i="1"/>
  <c r="AX22" i="1"/>
  <c r="AY22" i="1"/>
  <c r="AZ22" i="1"/>
  <c r="BA22" i="1"/>
  <c r="BB22" i="1"/>
  <c r="AW23" i="1"/>
  <c r="AX23" i="1"/>
  <c r="AY23" i="1"/>
  <c r="AZ23" i="1"/>
  <c r="BA23" i="1"/>
  <c r="BB23" i="1"/>
  <c r="AW24" i="1"/>
  <c r="AX24" i="1"/>
  <c r="AY24" i="1"/>
  <c r="AZ24" i="1"/>
  <c r="BA24" i="1"/>
  <c r="BB24" i="1"/>
  <c r="AW25" i="1"/>
  <c r="AX25" i="1"/>
  <c r="AY25" i="1"/>
  <c r="AZ25" i="1"/>
  <c r="BA25" i="1"/>
  <c r="BB25" i="1"/>
  <c r="AW26" i="1"/>
  <c r="AX26" i="1"/>
  <c r="AY26" i="1"/>
  <c r="AZ26" i="1"/>
  <c r="BA26" i="1"/>
  <c r="BB26" i="1"/>
  <c r="AW27" i="1"/>
  <c r="AX27" i="1"/>
  <c r="AY27" i="1"/>
  <c r="AZ27" i="1"/>
  <c r="BA27" i="1"/>
  <c r="BB27" i="1"/>
  <c r="AW28" i="1"/>
  <c r="AX28" i="1"/>
  <c r="AY28" i="1"/>
  <c r="AZ28" i="1"/>
  <c r="BA28" i="1"/>
  <c r="BB28" i="1"/>
  <c r="AW29" i="1"/>
  <c r="AX29" i="1"/>
  <c r="AY29" i="1"/>
  <c r="AZ29" i="1"/>
  <c r="BA29" i="1"/>
  <c r="BB29" i="1"/>
  <c r="AW30" i="1"/>
  <c r="AX30" i="1"/>
  <c r="AY30" i="1"/>
  <c r="AZ30" i="1"/>
  <c r="BA30" i="1"/>
  <c r="BB30" i="1"/>
  <c r="AW31" i="1"/>
  <c r="AX31" i="1"/>
  <c r="AY31" i="1"/>
  <c r="AZ31" i="1"/>
  <c r="BA31" i="1"/>
  <c r="BB31" i="1"/>
  <c r="AW32" i="1"/>
  <c r="AX32" i="1"/>
  <c r="AY32" i="1"/>
  <c r="AZ32" i="1"/>
  <c r="BA32" i="1"/>
  <c r="BB32" i="1"/>
  <c r="AW33" i="1"/>
  <c r="AX33" i="1"/>
  <c r="AY33" i="1"/>
  <c r="AZ33" i="1"/>
  <c r="BA33" i="1"/>
  <c r="BB33" i="1"/>
  <c r="AW34" i="1"/>
  <c r="AX34" i="1"/>
  <c r="AY34" i="1"/>
  <c r="AZ34" i="1"/>
  <c r="BA34" i="1"/>
  <c r="BB34" i="1"/>
  <c r="AW35" i="1"/>
  <c r="AX35" i="1"/>
  <c r="AY35" i="1"/>
  <c r="AZ35" i="1"/>
  <c r="BA35" i="1"/>
  <c r="BB35" i="1"/>
  <c r="AW36" i="1"/>
  <c r="AX36" i="1"/>
  <c r="AY36" i="1"/>
  <c r="AZ36" i="1"/>
  <c r="BA36" i="1"/>
  <c r="BB36" i="1"/>
  <c r="AW37" i="1"/>
  <c r="AX37" i="1"/>
  <c r="AY37" i="1"/>
  <c r="AZ37" i="1"/>
  <c r="BA37" i="1"/>
  <c r="BB37" i="1"/>
  <c r="AW38" i="1"/>
  <c r="AX38" i="1"/>
  <c r="AY38" i="1"/>
  <c r="AZ38" i="1"/>
  <c r="BA38" i="1"/>
  <c r="BB38" i="1"/>
  <c r="AW39" i="1"/>
  <c r="AX39" i="1"/>
  <c r="AY39" i="1"/>
  <c r="AZ39" i="1"/>
  <c r="BA39" i="1"/>
  <c r="BB39" i="1"/>
  <c r="AW40" i="1"/>
  <c r="AX40" i="1"/>
  <c r="AY40" i="1"/>
  <c r="AZ40" i="1"/>
  <c r="BA40" i="1"/>
  <c r="BB40" i="1"/>
  <c r="AW41" i="1"/>
  <c r="AX41" i="1"/>
  <c r="AY41" i="1"/>
  <c r="AZ41" i="1"/>
  <c r="BA41" i="1"/>
  <c r="BB41" i="1"/>
  <c r="AW42" i="1"/>
  <c r="AX42" i="1"/>
  <c r="AY42" i="1"/>
  <c r="AZ42" i="1"/>
  <c r="BA42" i="1"/>
  <c r="BB42" i="1"/>
  <c r="AW43" i="1"/>
  <c r="AX43" i="1"/>
  <c r="AY43" i="1"/>
  <c r="AZ43" i="1"/>
  <c r="BA43" i="1"/>
  <c r="BB43" i="1"/>
  <c r="AW44" i="1"/>
  <c r="AX44" i="1"/>
  <c r="AY44" i="1"/>
  <c r="AZ44" i="1"/>
  <c r="BA44" i="1"/>
  <c r="BB44" i="1"/>
  <c r="AW45" i="1"/>
  <c r="AX45" i="1"/>
  <c r="AY45" i="1"/>
  <c r="AZ45" i="1"/>
  <c r="BA45" i="1"/>
  <c r="BB45" i="1"/>
  <c r="AW46" i="1"/>
  <c r="AX46" i="1"/>
  <c r="AY46" i="1"/>
  <c r="AZ46" i="1"/>
  <c r="BA46" i="1"/>
  <c r="BB46" i="1"/>
  <c r="AW47" i="1"/>
  <c r="AX47" i="1"/>
  <c r="AY47" i="1"/>
  <c r="AZ47" i="1"/>
  <c r="BA47" i="1"/>
  <c r="BB47" i="1"/>
  <c r="AW48" i="1"/>
  <c r="AX48" i="1"/>
  <c r="AY48" i="1"/>
  <c r="AZ48" i="1"/>
  <c r="BA48" i="1"/>
  <c r="BB48" i="1"/>
  <c r="AW49" i="1"/>
  <c r="AX49" i="1"/>
  <c r="AY49" i="1"/>
  <c r="AZ49" i="1"/>
  <c r="BA49" i="1"/>
  <c r="BB49" i="1"/>
  <c r="AW50" i="1"/>
  <c r="AX50" i="1"/>
  <c r="AY50" i="1"/>
  <c r="AZ50" i="1"/>
  <c r="BA50" i="1"/>
  <c r="BB50" i="1"/>
  <c r="AW51" i="1"/>
  <c r="AX51" i="1"/>
  <c r="AY51" i="1"/>
  <c r="AZ51" i="1"/>
  <c r="BA51" i="1"/>
  <c r="BB51" i="1"/>
  <c r="AW52" i="1"/>
  <c r="AX52" i="1"/>
  <c r="AY52" i="1"/>
  <c r="AZ52" i="1"/>
  <c r="BA52" i="1"/>
  <c r="BB52" i="1"/>
  <c r="AW53" i="1"/>
  <c r="AX53" i="1"/>
  <c r="AY53" i="1"/>
  <c r="AZ53" i="1"/>
  <c r="BA53" i="1"/>
  <c r="BB53" i="1"/>
  <c r="AW54" i="1"/>
  <c r="AX54" i="1"/>
  <c r="AY54" i="1"/>
  <c r="AZ54" i="1"/>
  <c r="BA54" i="1"/>
  <c r="BB54" i="1"/>
  <c r="AW55" i="1"/>
  <c r="AX55" i="1"/>
  <c r="AY55" i="1"/>
  <c r="AZ55" i="1"/>
  <c r="BA55" i="1"/>
  <c r="BB55" i="1"/>
  <c r="AW56" i="1"/>
  <c r="AX56" i="1"/>
  <c r="AY56" i="1"/>
  <c r="AZ56" i="1"/>
  <c r="BA56" i="1"/>
  <c r="BB56" i="1"/>
  <c r="AW57" i="1"/>
  <c r="AX57" i="1"/>
  <c r="AY57" i="1"/>
  <c r="AZ57" i="1"/>
  <c r="BA57" i="1"/>
  <c r="BB57" i="1"/>
  <c r="AW58" i="1"/>
  <c r="AX58" i="1"/>
  <c r="AY58" i="1"/>
  <c r="AZ58" i="1"/>
  <c r="BA58" i="1"/>
  <c r="BB58" i="1"/>
  <c r="AW59" i="1"/>
  <c r="AX59" i="1"/>
  <c r="AY59" i="1"/>
  <c r="AZ59" i="1"/>
  <c r="BA59" i="1"/>
  <c r="BB59" i="1"/>
  <c r="AW60" i="1"/>
  <c r="AX60" i="1"/>
  <c r="AY60" i="1"/>
  <c r="AZ60" i="1"/>
  <c r="BA60" i="1"/>
  <c r="BB60" i="1"/>
  <c r="AW61" i="1"/>
  <c r="AX61" i="1"/>
  <c r="AY61" i="1"/>
  <c r="AZ61" i="1"/>
  <c r="BA61" i="1"/>
  <c r="BB61" i="1"/>
  <c r="AW62" i="1"/>
  <c r="AX62" i="1"/>
  <c r="AY62" i="1"/>
  <c r="AZ62" i="1"/>
  <c r="BA62" i="1"/>
  <c r="BB62" i="1"/>
  <c r="AW63" i="1"/>
  <c r="AX63" i="1"/>
  <c r="AY63" i="1"/>
  <c r="AZ63" i="1"/>
  <c r="BA63" i="1"/>
  <c r="BB63" i="1"/>
  <c r="AW64" i="1"/>
  <c r="AX64" i="1"/>
  <c r="AY64" i="1"/>
  <c r="AZ64" i="1"/>
  <c r="BA64" i="1"/>
  <c r="BB64" i="1"/>
  <c r="AW6" i="1"/>
  <c r="AX6" i="1"/>
  <c r="AY6" i="1"/>
  <c r="AZ6" i="1"/>
  <c r="BA6" i="1"/>
  <c r="BB6" i="1"/>
  <c r="AV7"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 r="AV55" i="1"/>
  <c r="AV56" i="1"/>
  <c r="AV57" i="1"/>
  <c r="AV58" i="1"/>
  <c r="AV59" i="1"/>
  <c r="AV60" i="1"/>
  <c r="AV61" i="1"/>
  <c r="AV62" i="1"/>
  <c r="AV63" i="1"/>
  <c r="AV64" i="1"/>
  <c r="AV6" i="1"/>
  <c r="AT7" i="1"/>
  <c r="AU7" i="1"/>
  <c r="AT8" i="1"/>
  <c r="AU8" i="1"/>
  <c r="AT9" i="1"/>
  <c r="AU9" i="1"/>
  <c r="AT10" i="1"/>
  <c r="AU10" i="1"/>
  <c r="AT11" i="1"/>
  <c r="AU11" i="1"/>
  <c r="AT12" i="1"/>
  <c r="AU12" i="1"/>
  <c r="AT13" i="1"/>
  <c r="AU13" i="1"/>
  <c r="AT14" i="1"/>
  <c r="AU14" i="1"/>
  <c r="AT15" i="1"/>
  <c r="AU15" i="1"/>
  <c r="AT16" i="1"/>
  <c r="AU16" i="1"/>
  <c r="AT17" i="1"/>
  <c r="AU17" i="1"/>
  <c r="AT18" i="1"/>
  <c r="AU18" i="1"/>
  <c r="AT19" i="1"/>
  <c r="AU19" i="1"/>
  <c r="AT20" i="1"/>
  <c r="AU20" i="1"/>
  <c r="AT21" i="1"/>
  <c r="AU21" i="1"/>
  <c r="AT22" i="1"/>
  <c r="AU22" i="1"/>
  <c r="AT23" i="1"/>
  <c r="AU23" i="1"/>
  <c r="AT24" i="1"/>
  <c r="AU24" i="1"/>
  <c r="AT25" i="1"/>
  <c r="AU25" i="1"/>
  <c r="AT26" i="1"/>
  <c r="AU26" i="1"/>
  <c r="AT27" i="1"/>
  <c r="AU27" i="1"/>
  <c r="AT28" i="1"/>
  <c r="AU28" i="1"/>
  <c r="AT29" i="1"/>
  <c r="AU29" i="1"/>
  <c r="AT30" i="1"/>
  <c r="AU30" i="1"/>
  <c r="AT31" i="1"/>
  <c r="AU31" i="1"/>
  <c r="AT32" i="1"/>
  <c r="AU32" i="1"/>
  <c r="AT33" i="1"/>
  <c r="AU33" i="1"/>
  <c r="AT34" i="1"/>
  <c r="AU34" i="1"/>
  <c r="AT35" i="1"/>
  <c r="AU35" i="1"/>
  <c r="AT36" i="1"/>
  <c r="AU36" i="1"/>
  <c r="AT37" i="1"/>
  <c r="AU37" i="1"/>
  <c r="AT38" i="1"/>
  <c r="AU38" i="1"/>
  <c r="AT39" i="1"/>
  <c r="AU39" i="1"/>
  <c r="AT40" i="1"/>
  <c r="AU40" i="1"/>
  <c r="AT41" i="1"/>
  <c r="AU41" i="1"/>
  <c r="AT42" i="1"/>
  <c r="AU42" i="1"/>
  <c r="AT43" i="1"/>
  <c r="AU43" i="1"/>
  <c r="AT44" i="1"/>
  <c r="AU44" i="1"/>
  <c r="AT45" i="1"/>
  <c r="AU45" i="1"/>
  <c r="AT46" i="1"/>
  <c r="AU46" i="1"/>
  <c r="AT47" i="1"/>
  <c r="AU47" i="1"/>
  <c r="AT48" i="1"/>
  <c r="AU48" i="1"/>
  <c r="AT49" i="1"/>
  <c r="AU49" i="1"/>
  <c r="AT50" i="1"/>
  <c r="AU50" i="1"/>
  <c r="AT51" i="1"/>
  <c r="AU51" i="1"/>
  <c r="AT52" i="1"/>
  <c r="AU52" i="1"/>
  <c r="AT53" i="1"/>
  <c r="AU53" i="1"/>
  <c r="AT54" i="1"/>
  <c r="AU54" i="1"/>
  <c r="AT55" i="1"/>
  <c r="AU55" i="1"/>
  <c r="AT56" i="1"/>
  <c r="AU56" i="1"/>
  <c r="AT57" i="1"/>
  <c r="AU57" i="1"/>
  <c r="AT58" i="1"/>
  <c r="AU58" i="1"/>
  <c r="AT59" i="1"/>
  <c r="AU59" i="1"/>
  <c r="AT60" i="1"/>
  <c r="AU60" i="1"/>
  <c r="AT61" i="1"/>
  <c r="AU61" i="1"/>
  <c r="AT62" i="1"/>
  <c r="AU62" i="1"/>
  <c r="AT63" i="1"/>
  <c r="AU63" i="1"/>
  <c r="AT64" i="1"/>
  <c r="AU64" i="1"/>
  <c r="AT6" i="1"/>
  <c r="AU6" i="1"/>
  <c r="BG76" i="1"/>
  <c r="BG65" i="1"/>
  <c r="BG66" i="1"/>
  <c r="BG67" i="1"/>
  <c r="BG68" i="1"/>
  <c r="BG69" i="1"/>
  <c r="BG70" i="1"/>
  <c r="BG71" i="1"/>
  <c r="BG72" i="1"/>
  <c r="BG73" i="1"/>
  <c r="BG74" i="1"/>
  <c r="BG75" i="1"/>
  <c r="BN6" i="1"/>
  <c r="BN7" i="1"/>
  <c r="BN8" i="1"/>
  <c r="BN9" i="1"/>
  <c r="BN10" i="1"/>
  <c r="BN11" i="1"/>
  <c r="BN12" i="1"/>
  <c r="BN13" i="1"/>
  <c r="BN14" i="1"/>
  <c r="BN15" i="1"/>
  <c r="BN16" i="1"/>
  <c r="BN17" i="1"/>
  <c r="BN18" i="1"/>
  <c r="BN19" i="1"/>
  <c r="BN20" i="1"/>
  <c r="BN21" i="1"/>
  <c r="BN22" i="1"/>
  <c r="BN23" i="1"/>
  <c r="BN24" i="1"/>
  <c r="BN25" i="1"/>
  <c r="BN26" i="1"/>
  <c r="BN27" i="1"/>
  <c r="BN28" i="1"/>
  <c r="BN29" i="1"/>
  <c r="BN30" i="1"/>
  <c r="BN31" i="1"/>
  <c r="BN32" i="1"/>
  <c r="BN33" i="1"/>
  <c r="BN34" i="1"/>
  <c r="BN35" i="1"/>
  <c r="BN36" i="1"/>
  <c r="BN37" i="1"/>
  <c r="BN38" i="1"/>
  <c r="BN39" i="1"/>
  <c r="BN40" i="1"/>
  <c r="BN41" i="1"/>
  <c r="BN42" i="1"/>
  <c r="BN43" i="1"/>
  <c r="BN44" i="1"/>
  <c r="BN45" i="1"/>
  <c r="BN46" i="1"/>
  <c r="BN47" i="1"/>
  <c r="BN48" i="1"/>
  <c r="BN49" i="1"/>
  <c r="BN50" i="1"/>
  <c r="BN51" i="1"/>
  <c r="BN52" i="1"/>
  <c r="BN53" i="1"/>
  <c r="BN54" i="1"/>
  <c r="BN55" i="1"/>
  <c r="BN56" i="1"/>
  <c r="BN57" i="1"/>
  <c r="BN58" i="1"/>
  <c r="BN59" i="1"/>
  <c r="BN60" i="1"/>
  <c r="BN61" i="1"/>
  <c r="BN62" i="1"/>
  <c r="BN63" i="1"/>
  <c r="BN64" i="1"/>
  <c r="BM6" i="1"/>
  <c r="BM7" i="1"/>
  <c r="BM8" i="1"/>
  <c r="BM9" i="1"/>
  <c r="BM10" i="1"/>
  <c r="BM11" i="1"/>
  <c r="BM12" i="1"/>
  <c r="BM13" i="1"/>
  <c r="BM14" i="1"/>
  <c r="BM15" i="1"/>
  <c r="BM16" i="1"/>
  <c r="BM17" i="1"/>
  <c r="BM18" i="1"/>
  <c r="BM19" i="1"/>
  <c r="BM20" i="1"/>
  <c r="BM21" i="1"/>
  <c r="BM22" i="1"/>
  <c r="BM23" i="1"/>
  <c r="BM24" i="1"/>
  <c r="BM25" i="1"/>
  <c r="BM26" i="1"/>
  <c r="BM27" i="1"/>
  <c r="BM28" i="1"/>
  <c r="BM29" i="1"/>
  <c r="BM30" i="1"/>
  <c r="BM31" i="1"/>
  <c r="BM32" i="1"/>
  <c r="BM33" i="1"/>
  <c r="BM34" i="1"/>
  <c r="BM35" i="1"/>
  <c r="BM36" i="1"/>
  <c r="BM37" i="1"/>
  <c r="BM38" i="1"/>
  <c r="BM39" i="1"/>
  <c r="BM40" i="1"/>
  <c r="BM41" i="1"/>
  <c r="BM42" i="1"/>
  <c r="BM43" i="1"/>
  <c r="BM44" i="1"/>
  <c r="BM45" i="1"/>
  <c r="BM46" i="1"/>
  <c r="BM47" i="1"/>
  <c r="BM48" i="1"/>
  <c r="BM49" i="1"/>
  <c r="BM50" i="1"/>
  <c r="BM51" i="1"/>
  <c r="BM52" i="1"/>
  <c r="BM53" i="1"/>
  <c r="BM54" i="1"/>
  <c r="BM55" i="1"/>
  <c r="BM56" i="1"/>
  <c r="BM57" i="1"/>
  <c r="BM58" i="1"/>
  <c r="BM59" i="1"/>
  <c r="BM60" i="1"/>
  <c r="BM61" i="1"/>
  <c r="BM62" i="1"/>
  <c r="BM63" i="1"/>
  <c r="BM64" i="1"/>
  <c r="BL6" i="1"/>
  <c r="BL7" i="1"/>
  <c r="BL8" i="1"/>
  <c r="BL9" i="1"/>
  <c r="BL10" i="1"/>
  <c r="BL11" i="1"/>
  <c r="BL12" i="1"/>
  <c r="BL13" i="1"/>
  <c r="BL14" i="1"/>
  <c r="BL15" i="1"/>
  <c r="BL16" i="1"/>
  <c r="BL17" i="1"/>
  <c r="BL18" i="1"/>
  <c r="BL19" i="1"/>
  <c r="BL20" i="1"/>
  <c r="BL21" i="1"/>
  <c r="BL22" i="1"/>
  <c r="BL23" i="1"/>
  <c r="BL24" i="1"/>
  <c r="BL25" i="1"/>
  <c r="BL26" i="1"/>
  <c r="BL27" i="1"/>
  <c r="BL28" i="1"/>
  <c r="BL29" i="1"/>
  <c r="BL30" i="1"/>
  <c r="BL31" i="1"/>
  <c r="BL32" i="1"/>
  <c r="BL33" i="1"/>
  <c r="BL34" i="1"/>
  <c r="BL35" i="1"/>
  <c r="BL36" i="1"/>
  <c r="BL37" i="1"/>
  <c r="BL38" i="1"/>
  <c r="BL39" i="1"/>
  <c r="BL40" i="1"/>
  <c r="BL41" i="1"/>
  <c r="BL42" i="1"/>
  <c r="BL43" i="1"/>
  <c r="BL44" i="1"/>
  <c r="BL45" i="1"/>
  <c r="BL46" i="1"/>
  <c r="BL47" i="1"/>
  <c r="BL48" i="1"/>
  <c r="BL49" i="1"/>
  <c r="BL50" i="1"/>
  <c r="BL51" i="1"/>
  <c r="BL52" i="1"/>
  <c r="BL53" i="1"/>
  <c r="BL54" i="1"/>
  <c r="BL55" i="1"/>
  <c r="BL56" i="1"/>
  <c r="BL57" i="1"/>
  <c r="BL58" i="1"/>
  <c r="BL59" i="1"/>
  <c r="BL60" i="1"/>
  <c r="BL61" i="1"/>
  <c r="BL62" i="1"/>
  <c r="BL63" i="1"/>
  <c r="BL64" i="1"/>
  <c r="BK6" i="1"/>
  <c r="BK7" i="1"/>
  <c r="BK8" i="1"/>
  <c r="BK9" i="1"/>
  <c r="BK10" i="1"/>
  <c r="BK11" i="1"/>
  <c r="BK12" i="1"/>
  <c r="BK13" i="1"/>
  <c r="BK14" i="1"/>
  <c r="BK15" i="1"/>
  <c r="BK16" i="1"/>
  <c r="BK17" i="1"/>
  <c r="BK18" i="1"/>
  <c r="BK19" i="1"/>
  <c r="BK20" i="1"/>
  <c r="BK21" i="1"/>
  <c r="BK22" i="1"/>
  <c r="BK23" i="1"/>
  <c r="BK24" i="1"/>
  <c r="BK25" i="1"/>
  <c r="BK26" i="1"/>
  <c r="BK27" i="1"/>
  <c r="BK28" i="1"/>
  <c r="BK29" i="1"/>
  <c r="BK30" i="1"/>
  <c r="BK31" i="1"/>
  <c r="BK32" i="1"/>
  <c r="BK33" i="1"/>
  <c r="BK34" i="1"/>
  <c r="BK35" i="1"/>
  <c r="BK36" i="1"/>
  <c r="BK37" i="1"/>
  <c r="BK38" i="1"/>
  <c r="BK39" i="1"/>
  <c r="BK40" i="1"/>
  <c r="BK41" i="1"/>
  <c r="BK42" i="1"/>
  <c r="BK43" i="1"/>
  <c r="BK44" i="1"/>
  <c r="BK45" i="1"/>
  <c r="BK46" i="1"/>
  <c r="BK47" i="1"/>
  <c r="BK48" i="1"/>
  <c r="BK49" i="1"/>
  <c r="BK50" i="1"/>
  <c r="BK51" i="1"/>
  <c r="BK52" i="1"/>
  <c r="BK53" i="1"/>
  <c r="BK54" i="1"/>
  <c r="BK55" i="1"/>
  <c r="BK56" i="1"/>
  <c r="BK57" i="1"/>
  <c r="BK58" i="1"/>
  <c r="BK59" i="1"/>
  <c r="BK60" i="1"/>
  <c r="BK61" i="1"/>
  <c r="BK62" i="1"/>
  <c r="BK63" i="1"/>
  <c r="BK64" i="1"/>
  <c r="BJ6" i="1"/>
  <c r="BJ7" i="1"/>
  <c r="BJ8" i="1"/>
  <c r="BJ9" i="1"/>
  <c r="BJ10" i="1"/>
  <c r="BJ11" i="1"/>
  <c r="BJ12" i="1"/>
  <c r="BJ13" i="1"/>
  <c r="BJ14" i="1"/>
  <c r="BJ15" i="1"/>
  <c r="BJ16" i="1"/>
  <c r="BJ17" i="1"/>
  <c r="BJ18" i="1"/>
  <c r="BJ19" i="1"/>
  <c r="BJ20" i="1"/>
  <c r="BJ21" i="1"/>
  <c r="BJ22" i="1"/>
  <c r="BJ23" i="1"/>
  <c r="BJ24" i="1"/>
  <c r="BJ25" i="1"/>
  <c r="BJ26" i="1"/>
  <c r="BJ27" i="1"/>
  <c r="BJ28" i="1"/>
  <c r="BJ29" i="1"/>
  <c r="BJ30" i="1"/>
  <c r="BJ31" i="1"/>
  <c r="BJ32" i="1"/>
  <c r="BJ33" i="1"/>
  <c r="BJ34" i="1"/>
  <c r="BJ35" i="1"/>
  <c r="BJ36" i="1"/>
  <c r="BJ37" i="1"/>
  <c r="BJ38" i="1"/>
  <c r="BJ39" i="1"/>
  <c r="BJ40" i="1"/>
  <c r="BJ41" i="1"/>
  <c r="BJ42" i="1"/>
  <c r="BJ43" i="1"/>
  <c r="BJ44" i="1"/>
  <c r="BJ45" i="1"/>
  <c r="BJ46" i="1"/>
  <c r="BJ47" i="1"/>
  <c r="BJ48" i="1"/>
  <c r="BJ49" i="1"/>
  <c r="BJ50" i="1"/>
  <c r="BJ51" i="1"/>
  <c r="BJ52" i="1"/>
  <c r="BJ53" i="1"/>
  <c r="BJ54" i="1"/>
  <c r="BJ55" i="1"/>
  <c r="BJ56" i="1"/>
  <c r="BJ57" i="1"/>
  <c r="BJ58" i="1"/>
  <c r="BJ59" i="1"/>
  <c r="BJ60" i="1"/>
  <c r="BJ61" i="1"/>
  <c r="BJ62" i="1"/>
  <c r="BJ63" i="1"/>
  <c r="BJ64" i="1"/>
  <c r="BI6" i="1"/>
  <c r="BI7" i="1"/>
  <c r="BI8" i="1"/>
  <c r="BI9" i="1"/>
  <c r="BI10" i="1"/>
  <c r="BI11" i="1"/>
  <c r="BI12" i="1"/>
  <c r="BI13" i="1"/>
  <c r="BI14" i="1"/>
  <c r="BI15" i="1"/>
  <c r="BI16" i="1"/>
  <c r="BI17" i="1"/>
  <c r="BI18" i="1"/>
  <c r="BI19" i="1"/>
  <c r="BI20" i="1"/>
  <c r="BI21" i="1"/>
  <c r="BI22" i="1"/>
  <c r="BI23" i="1"/>
  <c r="BI24" i="1"/>
  <c r="BI25" i="1"/>
  <c r="BI26" i="1"/>
  <c r="BI27" i="1"/>
  <c r="BI28" i="1"/>
  <c r="BI29" i="1"/>
  <c r="BI30" i="1"/>
  <c r="BI31" i="1"/>
  <c r="BI32" i="1"/>
  <c r="BI33" i="1"/>
  <c r="BI34" i="1"/>
  <c r="BI35" i="1"/>
  <c r="BI36" i="1"/>
  <c r="BI37" i="1"/>
  <c r="BI38" i="1"/>
  <c r="BI39" i="1"/>
  <c r="BI40" i="1"/>
  <c r="BI41" i="1"/>
  <c r="BI42" i="1"/>
  <c r="BI43" i="1"/>
  <c r="BI44" i="1"/>
  <c r="BI45" i="1"/>
  <c r="BI46" i="1"/>
  <c r="BI47" i="1"/>
  <c r="BI48" i="1"/>
  <c r="BI49" i="1"/>
  <c r="BI50" i="1"/>
  <c r="BI51" i="1"/>
  <c r="BI52" i="1"/>
  <c r="BI53" i="1"/>
  <c r="BI54" i="1"/>
  <c r="BI55" i="1"/>
  <c r="BI56" i="1"/>
  <c r="BI57" i="1"/>
  <c r="BI58" i="1"/>
  <c r="BI59" i="1"/>
  <c r="BI60" i="1"/>
  <c r="BI61" i="1"/>
  <c r="BI62" i="1"/>
  <c r="BI63" i="1"/>
  <c r="BI64" i="1"/>
  <c r="BH6" i="1"/>
  <c r="BH7" i="1"/>
  <c r="BH8" i="1"/>
  <c r="BH9" i="1"/>
  <c r="BH10" i="1"/>
  <c r="BH11" i="1"/>
  <c r="BH12" i="1"/>
  <c r="BH13" i="1"/>
  <c r="BH14" i="1"/>
  <c r="BH15" i="1"/>
  <c r="BH16" i="1"/>
  <c r="BH17" i="1"/>
  <c r="BH18" i="1"/>
  <c r="BH19" i="1"/>
  <c r="BH20" i="1"/>
  <c r="BH21" i="1"/>
  <c r="BH22" i="1"/>
  <c r="BH23" i="1"/>
  <c r="BH24" i="1"/>
  <c r="BH25" i="1"/>
  <c r="BH26" i="1"/>
  <c r="BH27" i="1"/>
  <c r="BH28" i="1"/>
  <c r="BH29" i="1"/>
  <c r="BH30" i="1"/>
  <c r="BH31" i="1"/>
  <c r="BH32" i="1"/>
  <c r="BH33" i="1"/>
  <c r="BH34" i="1"/>
  <c r="BH35" i="1"/>
  <c r="BH36" i="1"/>
  <c r="BH37" i="1"/>
  <c r="BH38" i="1"/>
  <c r="BH39" i="1"/>
  <c r="BH40" i="1"/>
  <c r="BH41" i="1"/>
  <c r="BH42" i="1"/>
  <c r="BH43" i="1"/>
  <c r="BH44" i="1"/>
  <c r="BH45" i="1"/>
  <c r="BH46" i="1"/>
  <c r="BH47" i="1"/>
  <c r="BH48" i="1"/>
  <c r="BH49" i="1"/>
  <c r="BH50" i="1"/>
  <c r="BH51" i="1"/>
  <c r="BH52" i="1"/>
  <c r="BH53" i="1"/>
  <c r="BH54" i="1"/>
  <c r="BH55" i="1"/>
  <c r="BH56" i="1"/>
  <c r="BH57" i="1"/>
  <c r="BH58" i="1"/>
  <c r="BH59" i="1"/>
  <c r="BH60" i="1"/>
  <c r="BH61" i="1"/>
  <c r="BH62" i="1"/>
  <c r="BH63" i="1"/>
  <c r="BH64" i="1"/>
  <c r="BG6" i="1"/>
  <c r="BG7" i="1"/>
  <c r="BG8" i="1"/>
  <c r="BG9" i="1"/>
  <c r="BG10" i="1"/>
  <c r="BG11" i="1"/>
  <c r="BG12" i="1"/>
  <c r="BG13" i="1"/>
  <c r="BG14" i="1"/>
  <c r="BG15" i="1"/>
  <c r="BG16" i="1"/>
  <c r="BG17" i="1"/>
  <c r="BG18" i="1"/>
  <c r="BG19" i="1"/>
  <c r="BG20" i="1"/>
  <c r="BG21" i="1"/>
  <c r="BG22" i="1"/>
  <c r="BG23" i="1"/>
  <c r="BG24" i="1"/>
  <c r="BG25" i="1"/>
  <c r="BG26" i="1"/>
  <c r="BG27" i="1"/>
  <c r="BG28" i="1"/>
  <c r="BG29" i="1"/>
  <c r="BG30" i="1"/>
  <c r="BG31" i="1"/>
  <c r="BG32" i="1"/>
  <c r="BG33" i="1"/>
  <c r="BG34" i="1"/>
  <c r="BG35" i="1"/>
  <c r="BG36" i="1"/>
  <c r="BG37" i="1"/>
  <c r="BG38" i="1"/>
  <c r="BG39" i="1"/>
  <c r="BG40" i="1"/>
  <c r="BG41" i="1"/>
  <c r="BG42" i="1"/>
  <c r="BG43" i="1"/>
  <c r="BG44" i="1"/>
  <c r="BG45" i="1"/>
  <c r="BG46" i="1"/>
  <c r="BG47" i="1"/>
  <c r="BG48" i="1"/>
  <c r="BG49" i="1"/>
  <c r="BG50" i="1"/>
  <c r="BG51" i="1"/>
  <c r="BG52" i="1"/>
  <c r="BG53" i="1"/>
  <c r="BG54" i="1"/>
  <c r="BG55" i="1"/>
  <c r="BG56" i="1"/>
  <c r="BG57" i="1"/>
  <c r="BG58" i="1"/>
  <c r="BG59" i="1"/>
  <c r="BG60" i="1"/>
  <c r="BG61" i="1"/>
  <c r="BG62" i="1"/>
  <c r="BG63" i="1"/>
  <c r="BG64" i="1"/>
  <c r="BN65" i="1"/>
  <c r="BN66" i="1"/>
  <c r="BN67" i="1"/>
  <c r="BN68" i="1"/>
  <c r="BN69" i="1"/>
  <c r="BN70" i="1"/>
  <c r="BN71" i="1"/>
  <c r="BN72" i="1"/>
  <c r="BN73" i="1"/>
  <c r="BN74" i="1"/>
  <c r="BN75" i="1"/>
  <c r="BN76" i="1"/>
  <c r="BN77" i="1"/>
  <c r="BN78" i="1"/>
  <c r="BN79" i="1"/>
  <c r="BN80" i="1"/>
  <c r="BN81" i="1"/>
  <c r="BN82" i="1"/>
  <c r="BN83" i="1"/>
  <c r="BN84" i="1"/>
  <c r="BN85" i="1"/>
  <c r="BN86" i="1"/>
  <c r="BN87" i="1"/>
  <c r="BN88" i="1"/>
  <c r="BN89" i="1"/>
  <c r="BN90" i="1"/>
  <c r="BN91" i="1"/>
  <c r="BN92" i="1"/>
  <c r="BN93" i="1"/>
  <c r="BN94" i="1"/>
  <c r="BN95" i="1"/>
  <c r="BN96" i="1"/>
  <c r="BN97" i="1"/>
  <c r="BN98" i="1"/>
  <c r="BN99" i="1"/>
  <c r="BN100" i="1"/>
  <c r="BN101" i="1"/>
  <c r="BN102" i="1"/>
  <c r="BN103" i="1"/>
  <c r="BN104" i="1"/>
  <c r="BN105" i="1"/>
  <c r="BN106" i="1"/>
  <c r="BN107" i="1"/>
  <c r="BN108" i="1"/>
  <c r="BN109" i="1"/>
  <c r="BN110" i="1"/>
  <c r="BN111" i="1"/>
  <c r="BN112" i="1"/>
  <c r="BN113" i="1"/>
  <c r="BN114" i="1"/>
  <c r="BN115" i="1"/>
  <c r="BN116" i="1"/>
  <c r="BN117" i="1"/>
  <c r="BN118" i="1"/>
  <c r="BN119" i="1"/>
  <c r="BN120" i="1"/>
  <c r="BN121" i="1"/>
  <c r="BN122" i="1"/>
  <c r="BN123" i="1"/>
  <c r="BN124" i="1"/>
  <c r="BN125" i="1"/>
  <c r="BN126" i="1"/>
  <c r="BN127" i="1"/>
  <c r="BN128" i="1"/>
  <c r="BN129" i="1"/>
  <c r="BN130" i="1"/>
  <c r="BN131" i="1"/>
  <c r="BN132" i="1"/>
  <c r="BN133" i="1"/>
  <c r="BN134" i="1"/>
  <c r="BN135" i="1"/>
  <c r="BN136" i="1"/>
  <c r="BN137" i="1"/>
  <c r="BN138" i="1"/>
  <c r="BN139" i="1"/>
  <c r="BN140" i="1"/>
  <c r="BN141" i="1"/>
  <c r="BN142" i="1"/>
  <c r="BN143" i="1"/>
  <c r="BN144" i="1"/>
  <c r="BN145" i="1"/>
  <c r="BN146" i="1"/>
  <c r="BN147" i="1"/>
  <c r="BN148" i="1"/>
  <c r="BN149" i="1"/>
  <c r="BN150" i="1"/>
  <c r="BN151" i="1"/>
  <c r="BN152" i="1"/>
  <c r="BN153" i="1"/>
  <c r="BN154" i="1"/>
  <c r="BN155" i="1"/>
  <c r="BN156" i="1"/>
  <c r="BN157" i="1"/>
  <c r="BN158" i="1"/>
  <c r="BN159" i="1"/>
  <c r="BN160" i="1"/>
  <c r="BN161" i="1"/>
  <c r="BN162" i="1"/>
  <c r="BN163" i="1"/>
  <c r="BN164" i="1"/>
  <c r="BN165" i="1"/>
  <c r="BN166" i="1"/>
  <c r="BN167" i="1"/>
  <c r="BN168" i="1"/>
  <c r="BN169" i="1"/>
  <c r="BN170" i="1"/>
  <c r="BN171" i="1"/>
  <c r="BN172" i="1"/>
  <c r="BN173" i="1"/>
  <c r="BN174" i="1"/>
  <c r="BN175" i="1"/>
  <c r="BN176" i="1"/>
  <c r="BN177" i="1"/>
  <c r="BN178" i="1"/>
  <c r="BN179" i="1"/>
  <c r="BN180" i="1"/>
  <c r="BN181" i="1"/>
  <c r="BN182" i="1"/>
  <c r="BN183" i="1"/>
  <c r="BN184" i="1"/>
  <c r="BN185" i="1"/>
  <c r="BN186" i="1"/>
  <c r="BN187" i="1"/>
  <c r="BN188" i="1"/>
  <c r="BN189" i="1"/>
  <c r="BN190" i="1"/>
  <c r="BN191" i="1"/>
  <c r="BN192" i="1"/>
  <c r="BN193" i="1"/>
  <c r="BN194" i="1"/>
  <c r="BN195" i="1"/>
  <c r="BN196" i="1"/>
  <c r="BN197" i="1"/>
  <c r="BN198" i="1"/>
  <c r="BN199" i="1"/>
  <c r="BN200" i="1"/>
  <c r="BN201" i="1"/>
  <c r="BN202" i="1"/>
  <c r="BN203" i="1"/>
  <c r="BN204" i="1"/>
  <c r="BN205" i="1"/>
  <c r="BN206" i="1"/>
  <c r="BN207" i="1"/>
  <c r="BN208" i="1"/>
  <c r="BN209" i="1"/>
  <c r="BN210" i="1"/>
  <c r="BN211" i="1"/>
  <c r="BN212" i="1"/>
  <c r="BN213" i="1"/>
  <c r="BN214" i="1"/>
  <c r="BN215" i="1"/>
  <c r="BN216" i="1"/>
  <c r="BN217" i="1"/>
  <c r="BN218" i="1"/>
  <c r="BN219" i="1"/>
  <c r="BN220" i="1"/>
  <c r="BN221" i="1"/>
  <c r="BN222" i="1"/>
  <c r="BN223" i="1"/>
  <c r="BN224" i="1"/>
  <c r="BN225" i="1"/>
  <c r="BN226" i="1"/>
  <c r="BN227" i="1"/>
  <c r="BN228" i="1"/>
  <c r="BN229" i="1"/>
  <c r="BN230" i="1"/>
  <c r="BN231" i="1"/>
  <c r="BN232" i="1"/>
  <c r="BN233" i="1"/>
  <c r="BN234" i="1"/>
  <c r="BN235" i="1"/>
  <c r="BN236" i="1"/>
  <c r="BN237" i="1"/>
  <c r="BN238" i="1"/>
  <c r="BN239" i="1"/>
  <c r="BN240" i="1"/>
  <c r="BN241" i="1"/>
  <c r="BN242" i="1"/>
  <c r="BN243" i="1"/>
  <c r="BN244" i="1"/>
  <c r="BN245" i="1"/>
  <c r="BN246" i="1"/>
  <c r="BN247" i="1"/>
  <c r="BN248" i="1"/>
  <c r="BN249" i="1"/>
  <c r="BN250" i="1"/>
  <c r="BN251" i="1"/>
  <c r="BN252" i="1"/>
  <c r="BN253" i="1"/>
  <c r="BN254" i="1"/>
  <c r="BN255" i="1"/>
  <c r="BN256" i="1"/>
  <c r="BN257" i="1"/>
  <c r="BN258" i="1"/>
  <c r="BN259" i="1"/>
  <c r="BN260" i="1"/>
  <c r="BN261" i="1"/>
  <c r="BN262" i="1"/>
  <c r="BN263" i="1"/>
  <c r="BN264" i="1"/>
  <c r="BN265" i="1"/>
  <c r="BN266" i="1"/>
  <c r="BN267" i="1"/>
  <c r="BN268" i="1"/>
  <c r="BN269" i="1"/>
  <c r="BN270" i="1"/>
  <c r="BN271" i="1"/>
  <c r="BN272" i="1"/>
  <c r="BN273" i="1"/>
  <c r="BN274" i="1"/>
  <c r="BN275" i="1"/>
  <c r="BN276" i="1"/>
  <c r="BN277" i="1"/>
  <c r="BN278" i="1"/>
  <c r="BN279" i="1"/>
  <c r="BN280" i="1"/>
  <c r="BN281" i="1"/>
  <c r="BN282" i="1"/>
  <c r="BN283" i="1"/>
  <c r="BN284" i="1"/>
  <c r="BN285" i="1"/>
  <c r="BN286" i="1"/>
  <c r="BN287" i="1"/>
  <c r="BN288" i="1"/>
  <c r="BN289" i="1"/>
  <c r="BN290" i="1"/>
  <c r="BN291" i="1"/>
  <c r="BN292" i="1"/>
  <c r="BN293" i="1"/>
  <c r="BN294" i="1"/>
  <c r="BN295" i="1"/>
  <c r="BN296" i="1"/>
  <c r="BN297" i="1"/>
  <c r="BN298" i="1"/>
  <c r="BN299" i="1"/>
  <c r="BN300" i="1"/>
  <c r="BN301" i="1"/>
  <c r="BN302" i="1"/>
  <c r="BN303" i="1"/>
  <c r="BN304" i="1"/>
  <c r="BN305" i="1"/>
  <c r="BN306" i="1"/>
  <c r="BN307" i="1"/>
  <c r="BN308" i="1"/>
  <c r="BN309" i="1"/>
  <c r="BN310" i="1"/>
  <c r="BN311" i="1"/>
  <c r="BN312" i="1"/>
  <c r="BN313" i="1"/>
  <c r="BN314" i="1"/>
  <c r="BN315" i="1"/>
  <c r="BN316" i="1"/>
  <c r="BN317" i="1"/>
  <c r="BN318" i="1"/>
  <c r="BN319" i="1"/>
  <c r="BN320" i="1"/>
  <c r="BN321" i="1"/>
  <c r="BN322" i="1"/>
  <c r="BN323" i="1"/>
  <c r="BN324" i="1"/>
  <c r="BN325" i="1"/>
  <c r="BN326" i="1"/>
  <c r="BN327" i="1"/>
  <c r="BN328" i="1"/>
  <c r="BN329" i="1"/>
  <c r="BN330" i="1"/>
  <c r="BN331" i="1"/>
  <c r="BN332" i="1"/>
  <c r="BN333" i="1"/>
  <c r="BN334" i="1"/>
  <c r="BN335" i="1"/>
  <c r="BN336" i="1"/>
  <c r="BN337" i="1"/>
  <c r="BN338" i="1"/>
  <c r="BN339" i="1"/>
  <c r="BN340" i="1"/>
  <c r="BN341" i="1"/>
  <c r="BN342" i="1"/>
  <c r="BN343" i="1"/>
  <c r="BN344" i="1"/>
  <c r="BN345" i="1"/>
  <c r="BN346" i="1"/>
  <c r="BN347" i="1"/>
  <c r="BN348" i="1"/>
  <c r="BN349" i="1"/>
  <c r="BN350" i="1"/>
  <c r="BN351" i="1"/>
  <c r="BN352" i="1"/>
  <c r="BN353" i="1"/>
  <c r="BN354" i="1"/>
  <c r="BN355" i="1"/>
  <c r="BN356" i="1"/>
  <c r="BN357" i="1"/>
  <c r="BN358" i="1"/>
  <c r="BN359" i="1"/>
  <c r="BN360" i="1"/>
  <c r="BN361" i="1"/>
  <c r="BN362" i="1"/>
  <c r="BN363" i="1"/>
  <c r="BN364" i="1"/>
  <c r="BN365" i="1"/>
  <c r="BN366" i="1"/>
  <c r="BN367" i="1"/>
  <c r="BN368" i="1"/>
  <c r="BN369" i="1"/>
  <c r="BN370" i="1"/>
  <c r="BN371" i="1"/>
  <c r="BN372" i="1"/>
  <c r="BN373" i="1"/>
  <c r="BN374" i="1"/>
  <c r="BN375" i="1"/>
  <c r="BN376" i="1"/>
  <c r="BN377" i="1"/>
  <c r="BN378" i="1"/>
  <c r="BN379" i="1"/>
  <c r="BN380" i="1"/>
  <c r="BN381" i="1"/>
  <c r="BN382" i="1"/>
  <c r="BN383" i="1"/>
  <c r="BN384" i="1"/>
  <c r="BN385" i="1"/>
  <c r="BN386" i="1"/>
  <c r="BN387" i="1"/>
  <c r="BN388" i="1"/>
  <c r="BN389" i="1"/>
  <c r="BN390" i="1"/>
  <c r="BN391" i="1"/>
  <c r="BN392" i="1"/>
  <c r="BN393" i="1"/>
  <c r="BN394" i="1"/>
  <c r="BN395" i="1"/>
  <c r="BN396" i="1"/>
  <c r="BN397" i="1"/>
  <c r="BN398" i="1"/>
  <c r="BN399" i="1"/>
  <c r="BN400" i="1"/>
  <c r="BN401" i="1"/>
  <c r="BN402" i="1"/>
  <c r="BN403" i="1"/>
  <c r="BN404" i="1"/>
  <c r="BN405" i="1"/>
  <c r="BN406" i="1"/>
  <c r="BN407" i="1"/>
  <c r="BN408" i="1"/>
  <c r="BN409" i="1"/>
  <c r="BN410" i="1"/>
  <c r="BN411" i="1"/>
  <c r="BN412" i="1"/>
  <c r="BN413" i="1"/>
  <c r="BN414" i="1"/>
  <c r="BN415" i="1"/>
  <c r="BN416" i="1"/>
  <c r="BN417" i="1"/>
  <c r="BN418" i="1"/>
  <c r="BN419" i="1"/>
  <c r="BN420" i="1"/>
  <c r="BN421" i="1"/>
  <c r="BN422" i="1"/>
  <c r="BN423" i="1"/>
  <c r="BN424" i="1"/>
  <c r="BN425" i="1"/>
  <c r="BN426" i="1"/>
  <c r="BN427" i="1"/>
  <c r="BN428" i="1"/>
  <c r="BN429" i="1"/>
  <c r="BN430" i="1"/>
  <c r="BN431" i="1"/>
  <c r="BN432" i="1"/>
  <c r="BN433" i="1"/>
  <c r="BN434" i="1"/>
  <c r="BN435" i="1"/>
  <c r="BN436" i="1"/>
  <c r="BN437" i="1"/>
  <c r="BN438" i="1"/>
  <c r="BN439" i="1"/>
  <c r="BN440" i="1"/>
  <c r="BN441" i="1"/>
  <c r="BN442" i="1"/>
  <c r="BN443" i="1"/>
  <c r="BN444" i="1"/>
  <c r="BN445" i="1"/>
  <c r="BN446" i="1"/>
  <c r="BN447" i="1"/>
  <c r="BN448" i="1"/>
  <c r="BN449" i="1"/>
  <c r="BN450" i="1"/>
  <c r="BN451" i="1"/>
  <c r="BN452" i="1"/>
  <c r="BN453" i="1"/>
  <c r="BN454" i="1"/>
  <c r="BN455" i="1"/>
  <c r="BN456" i="1"/>
  <c r="BN457" i="1"/>
  <c r="BN458" i="1"/>
  <c r="BN459" i="1"/>
  <c r="BN460" i="1"/>
  <c r="BN461" i="1"/>
  <c r="BN462" i="1"/>
  <c r="BN463" i="1"/>
  <c r="BN464" i="1"/>
  <c r="BN465" i="1"/>
  <c r="BN466" i="1"/>
  <c r="BN467" i="1"/>
  <c r="BN468" i="1"/>
  <c r="BN469" i="1"/>
  <c r="BN470" i="1"/>
  <c r="BN471" i="1"/>
  <c r="BN472" i="1"/>
  <c r="BN473" i="1"/>
  <c r="BN474" i="1"/>
  <c r="BN475" i="1"/>
  <c r="BN476" i="1"/>
  <c r="BN477" i="1"/>
  <c r="BN478" i="1"/>
  <c r="BN479" i="1"/>
  <c r="BN480" i="1"/>
  <c r="BN481" i="1"/>
  <c r="BN482" i="1"/>
  <c r="BN483" i="1"/>
  <c r="BN484" i="1"/>
  <c r="BN485" i="1"/>
  <c r="BN486" i="1"/>
  <c r="BN487" i="1"/>
  <c r="BN488" i="1"/>
  <c r="BN489" i="1"/>
  <c r="BN490" i="1"/>
  <c r="BN491" i="1"/>
  <c r="BN492" i="1"/>
  <c r="BN493" i="1"/>
  <c r="BN494" i="1"/>
  <c r="BN495" i="1"/>
  <c r="BN496" i="1"/>
  <c r="BN497" i="1"/>
  <c r="BN498" i="1"/>
  <c r="BN499" i="1"/>
  <c r="BN500" i="1"/>
  <c r="BN501" i="1"/>
  <c r="BN502" i="1"/>
  <c r="BN503" i="1"/>
  <c r="BN504" i="1"/>
  <c r="BN505" i="1"/>
  <c r="BN506" i="1"/>
  <c r="BN507" i="1"/>
  <c r="BN508" i="1"/>
  <c r="BN509" i="1"/>
  <c r="BN510" i="1"/>
  <c r="BN511" i="1"/>
  <c r="BN512" i="1"/>
  <c r="BN513" i="1"/>
  <c r="BN514" i="1"/>
  <c r="BN515" i="1"/>
  <c r="BN516" i="1"/>
  <c r="BN517" i="1"/>
  <c r="BN518" i="1"/>
  <c r="BN519" i="1"/>
  <c r="BN520" i="1"/>
  <c r="BN521" i="1"/>
  <c r="BN522" i="1"/>
  <c r="BN523" i="1"/>
  <c r="BN524" i="1"/>
  <c r="BN525" i="1"/>
  <c r="BN526" i="1"/>
  <c r="BN527" i="1"/>
  <c r="BN528" i="1"/>
  <c r="BN529" i="1"/>
  <c r="BN530" i="1"/>
  <c r="BN531" i="1"/>
  <c r="BN532" i="1"/>
  <c r="BN533" i="1"/>
  <c r="BN534" i="1"/>
  <c r="BN535" i="1"/>
  <c r="BN536" i="1"/>
  <c r="BN537" i="1"/>
  <c r="BN538" i="1"/>
  <c r="BN539" i="1"/>
  <c r="BN540" i="1"/>
  <c r="BN541" i="1"/>
  <c r="BN542" i="1"/>
  <c r="BN543" i="1"/>
  <c r="BN544" i="1"/>
  <c r="BN545" i="1"/>
  <c r="BN546" i="1"/>
  <c r="BN547" i="1"/>
  <c r="BN548" i="1"/>
  <c r="BN549" i="1"/>
  <c r="BN550" i="1"/>
  <c r="BN551" i="1"/>
  <c r="BN552" i="1"/>
  <c r="BN553" i="1"/>
  <c r="BN554" i="1"/>
  <c r="BN555" i="1"/>
  <c r="BN556" i="1"/>
  <c r="BN557" i="1"/>
  <c r="BN558" i="1"/>
  <c r="BN559" i="1"/>
  <c r="BN560" i="1"/>
  <c r="BN561" i="1"/>
  <c r="BN562" i="1"/>
  <c r="BN563" i="1"/>
  <c r="BN564" i="1"/>
  <c r="BN565" i="1"/>
  <c r="BN566" i="1"/>
  <c r="BN567" i="1"/>
  <c r="BN568" i="1"/>
  <c r="BN569" i="1"/>
  <c r="BN570" i="1"/>
  <c r="BN571" i="1"/>
  <c r="BN572" i="1"/>
  <c r="BN573" i="1"/>
  <c r="BN574" i="1"/>
  <c r="BN575" i="1"/>
  <c r="BN576" i="1"/>
  <c r="BN577" i="1"/>
  <c r="BN578" i="1"/>
  <c r="BN579" i="1"/>
  <c r="BN580" i="1"/>
  <c r="BN581" i="1"/>
  <c r="BN582" i="1"/>
  <c r="BN583" i="1"/>
  <c r="BN584" i="1"/>
  <c r="BN585" i="1"/>
  <c r="BN586" i="1"/>
  <c r="BN587" i="1"/>
  <c r="BN588" i="1"/>
  <c r="BN589" i="1"/>
  <c r="BN590" i="1"/>
  <c r="BN591" i="1"/>
  <c r="BN592" i="1"/>
  <c r="BN593" i="1"/>
  <c r="BN594" i="1"/>
  <c r="BN595" i="1"/>
  <c r="BN596" i="1"/>
  <c r="BN597" i="1"/>
  <c r="BN598" i="1"/>
  <c r="BN599" i="1"/>
  <c r="BN600" i="1"/>
  <c r="BN601" i="1"/>
  <c r="BN602" i="1"/>
  <c r="BN603" i="1"/>
  <c r="BN604" i="1"/>
  <c r="BN605" i="1"/>
  <c r="BN606" i="1"/>
  <c r="BN607" i="1"/>
  <c r="BN608" i="1"/>
  <c r="BN609" i="1"/>
  <c r="BN610" i="1"/>
  <c r="BN611" i="1"/>
  <c r="BN612" i="1"/>
  <c r="BN613" i="1"/>
  <c r="BN614" i="1"/>
  <c r="BN615" i="1"/>
  <c r="BN616" i="1"/>
  <c r="BN617" i="1"/>
  <c r="BN618" i="1"/>
  <c r="BN619" i="1"/>
  <c r="BN620" i="1"/>
  <c r="BN621" i="1"/>
  <c r="BN622" i="1"/>
  <c r="BN623" i="1"/>
  <c r="BN624" i="1"/>
  <c r="BN625" i="1"/>
  <c r="BN626" i="1"/>
  <c r="BN627" i="1"/>
  <c r="BN628" i="1"/>
  <c r="BN629" i="1"/>
  <c r="BN630" i="1"/>
  <c r="BN631" i="1"/>
  <c r="BN632" i="1"/>
  <c r="BN633" i="1"/>
  <c r="BN634" i="1"/>
  <c r="BN635" i="1"/>
  <c r="BN636" i="1"/>
  <c r="BN637" i="1"/>
  <c r="BN638" i="1"/>
  <c r="BN639" i="1"/>
  <c r="BN640" i="1"/>
  <c r="BN641" i="1"/>
  <c r="BN642" i="1"/>
  <c r="BN643" i="1"/>
  <c r="BN644" i="1"/>
  <c r="BN645" i="1"/>
  <c r="BN646" i="1"/>
  <c r="BN647" i="1"/>
  <c r="BN648" i="1"/>
  <c r="BN649" i="1"/>
  <c r="BN650" i="1"/>
  <c r="BN651" i="1"/>
  <c r="BN652" i="1"/>
  <c r="BN653" i="1"/>
  <c r="BN654" i="1"/>
  <c r="BN655" i="1"/>
  <c r="BN656" i="1"/>
  <c r="BN657" i="1"/>
  <c r="BN658" i="1"/>
  <c r="BN659" i="1"/>
  <c r="BN660" i="1"/>
  <c r="BN661" i="1"/>
  <c r="BM65" i="1"/>
  <c r="BM66" i="1"/>
  <c r="BM67" i="1"/>
  <c r="BM68" i="1"/>
  <c r="BM69" i="1"/>
  <c r="BM70" i="1"/>
  <c r="BM71" i="1"/>
  <c r="BM72" i="1"/>
  <c r="BM73" i="1"/>
  <c r="BM74" i="1"/>
  <c r="BM75" i="1"/>
  <c r="BM76" i="1"/>
  <c r="BM77" i="1"/>
  <c r="BM78" i="1"/>
  <c r="BM79" i="1"/>
  <c r="BM80" i="1"/>
  <c r="BM81" i="1"/>
  <c r="BM82" i="1"/>
  <c r="BM83" i="1"/>
  <c r="BM84" i="1"/>
  <c r="BM85" i="1"/>
  <c r="BM86" i="1"/>
  <c r="BM87" i="1"/>
  <c r="BM88" i="1"/>
  <c r="BM89" i="1"/>
  <c r="BM90" i="1"/>
  <c r="BM91" i="1"/>
  <c r="BM92" i="1"/>
  <c r="BM93" i="1"/>
  <c r="BM94" i="1"/>
  <c r="BM95" i="1"/>
  <c r="BM96" i="1"/>
  <c r="BM97" i="1"/>
  <c r="BM98" i="1"/>
  <c r="BM99" i="1"/>
  <c r="BM100" i="1"/>
  <c r="BM101" i="1"/>
  <c r="BM102" i="1"/>
  <c r="BM103" i="1"/>
  <c r="BM104" i="1"/>
  <c r="BM105" i="1"/>
  <c r="BM106" i="1"/>
  <c r="BM107" i="1"/>
  <c r="BM108" i="1"/>
  <c r="BM109" i="1"/>
  <c r="BM110" i="1"/>
  <c r="BM111" i="1"/>
  <c r="BM112" i="1"/>
  <c r="BM113" i="1"/>
  <c r="BM114" i="1"/>
  <c r="BM115" i="1"/>
  <c r="BM116" i="1"/>
  <c r="BM117" i="1"/>
  <c r="BM118" i="1"/>
  <c r="BM119" i="1"/>
  <c r="BM120" i="1"/>
  <c r="BM121" i="1"/>
  <c r="BM122" i="1"/>
  <c r="BM123" i="1"/>
  <c r="BM124" i="1"/>
  <c r="BM125" i="1"/>
  <c r="BM126" i="1"/>
  <c r="BM127" i="1"/>
  <c r="BM128" i="1"/>
  <c r="BM129" i="1"/>
  <c r="BM130" i="1"/>
  <c r="BM131" i="1"/>
  <c r="BM132" i="1"/>
  <c r="BM133" i="1"/>
  <c r="BM134" i="1"/>
  <c r="BM135" i="1"/>
  <c r="BM136" i="1"/>
  <c r="BM137" i="1"/>
  <c r="BM138" i="1"/>
  <c r="BM139" i="1"/>
  <c r="BM140" i="1"/>
  <c r="BM141" i="1"/>
  <c r="BM142" i="1"/>
  <c r="BM143" i="1"/>
  <c r="BM144" i="1"/>
  <c r="BM145" i="1"/>
  <c r="BM146" i="1"/>
  <c r="BM147" i="1"/>
  <c r="BM148" i="1"/>
  <c r="BM149" i="1"/>
  <c r="BM150" i="1"/>
  <c r="BM151" i="1"/>
  <c r="BM152" i="1"/>
  <c r="BM153" i="1"/>
  <c r="BM154" i="1"/>
  <c r="BM155" i="1"/>
  <c r="BM156" i="1"/>
  <c r="BM157" i="1"/>
  <c r="BM158" i="1"/>
  <c r="BM159" i="1"/>
  <c r="BM160" i="1"/>
  <c r="BM161" i="1"/>
  <c r="BM162" i="1"/>
  <c r="BM163" i="1"/>
  <c r="BM164" i="1"/>
  <c r="BM165" i="1"/>
  <c r="BM166" i="1"/>
  <c r="BM167" i="1"/>
  <c r="BM168" i="1"/>
  <c r="BM169" i="1"/>
  <c r="BM170" i="1"/>
  <c r="BM171" i="1"/>
  <c r="BM172" i="1"/>
  <c r="BM173" i="1"/>
  <c r="BM174" i="1"/>
  <c r="BM175" i="1"/>
  <c r="BM176" i="1"/>
  <c r="BM177" i="1"/>
  <c r="BM178" i="1"/>
  <c r="BM179" i="1"/>
  <c r="BM180" i="1"/>
  <c r="BM181" i="1"/>
  <c r="BM182" i="1"/>
  <c r="BM183" i="1"/>
  <c r="BM184" i="1"/>
  <c r="BM185" i="1"/>
  <c r="BM186" i="1"/>
  <c r="BM187" i="1"/>
  <c r="BM188" i="1"/>
  <c r="BM189" i="1"/>
  <c r="BM190" i="1"/>
  <c r="BM191" i="1"/>
  <c r="BM192" i="1"/>
  <c r="BM193" i="1"/>
  <c r="BM194" i="1"/>
  <c r="BM195" i="1"/>
  <c r="BM196" i="1"/>
  <c r="BM197" i="1"/>
  <c r="BM198" i="1"/>
  <c r="BM199" i="1"/>
  <c r="BM200" i="1"/>
  <c r="BM201" i="1"/>
  <c r="BM202" i="1"/>
  <c r="BM203" i="1"/>
  <c r="BM204" i="1"/>
  <c r="BM205" i="1"/>
  <c r="BM206" i="1"/>
  <c r="BM207" i="1"/>
  <c r="BM208" i="1"/>
  <c r="BM209" i="1"/>
  <c r="BM210" i="1"/>
  <c r="BM211" i="1"/>
  <c r="BM212" i="1"/>
  <c r="BM213" i="1"/>
  <c r="BM214" i="1"/>
  <c r="BM215" i="1"/>
  <c r="BM216" i="1"/>
  <c r="BM217" i="1"/>
  <c r="BM218" i="1"/>
  <c r="BM219" i="1"/>
  <c r="BM220" i="1"/>
  <c r="BM221" i="1"/>
  <c r="BM222" i="1"/>
  <c r="BM223" i="1"/>
  <c r="BM224" i="1"/>
  <c r="BM225" i="1"/>
  <c r="BM226" i="1"/>
  <c r="BM227" i="1"/>
  <c r="BM228" i="1"/>
  <c r="BM229" i="1"/>
  <c r="BM230" i="1"/>
  <c r="BM231" i="1"/>
  <c r="BM232" i="1"/>
  <c r="BM233" i="1"/>
  <c r="BM234" i="1"/>
  <c r="BM235" i="1"/>
  <c r="BM236" i="1"/>
  <c r="BM237" i="1"/>
  <c r="BM238" i="1"/>
  <c r="BM239" i="1"/>
  <c r="BM240" i="1"/>
  <c r="BM241" i="1"/>
  <c r="BM242" i="1"/>
  <c r="BM243" i="1"/>
  <c r="BM244" i="1"/>
  <c r="BM245" i="1"/>
  <c r="BM246" i="1"/>
  <c r="BM247" i="1"/>
  <c r="BM248" i="1"/>
  <c r="BM249" i="1"/>
  <c r="BM250" i="1"/>
  <c r="BM251" i="1"/>
  <c r="BM252" i="1"/>
  <c r="BM253" i="1"/>
  <c r="BM254" i="1"/>
  <c r="BM255" i="1"/>
  <c r="BM256" i="1"/>
  <c r="BM257" i="1"/>
  <c r="BM258" i="1"/>
  <c r="BM259" i="1"/>
  <c r="BM260" i="1"/>
  <c r="BM261" i="1"/>
  <c r="BM262" i="1"/>
  <c r="BM263" i="1"/>
  <c r="BM264" i="1"/>
  <c r="BM265" i="1"/>
  <c r="BM266" i="1"/>
  <c r="BM267" i="1"/>
  <c r="BM268" i="1"/>
  <c r="BM269" i="1"/>
  <c r="BM270" i="1"/>
  <c r="BM271" i="1"/>
  <c r="BM272" i="1"/>
  <c r="BM273" i="1"/>
  <c r="BM274" i="1"/>
  <c r="BM275" i="1"/>
  <c r="BM276" i="1"/>
  <c r="BM277" i="1"/>
  <c r="BM278" i="1"/>
  <c r="BM279" i="1"/>
  <c r="BM280" i="1"/>
  <c r="BM281" i="1"/>
  <c r="BM282" i="1"/>
  <c r="BM283" i="1"/>
  <c r="BM284" i="1"/>
  <c r="BM285" i="1"/>
  <c r="BM286" i="1"/>
  <c r="BM287" i="1"/>
  <c r="BM288" i="1"/>
  <c r="BM289" i="1"/>
  <c r="BM290" i="1"/>
  <c r="BM291" i="1"/>
  <c r="BM292" i="1"/>
  <c r="BM293" i="1"/>
  <c r="BM294" i="1"/>
  <c r="BM295" i="1"/>
  <c r="BM296" i="1"/>
  <c r="BM297" i="1"/>
  <c r="BM298" i="1"/>
  <c r="BM299" i="1"/>
  <c r="BM300" i="1"/>
  <c r="BM301" i="1"/>
  <c r="BM302" i="1"/>
  <c r="BM303" i="1"/>
  <c r="BM304" i="1"/>
  <c r="BM305" i="1"/>
  <c r="BM306" i="1"/>
  <c r="BM307" i="1"/>
  <c r="BM308" i="1"/>
  <c r="BM309" i="1"/>
  <c r="BM310" i="1"/>
  <c r="BM311" i="1"/>
  <c r="BM312" i="1"/>
  <c r="BM313" i="1"/>
  <c r="BM314" i="1"/>
  <c r="BM315" i="1"/>
  <c r="BM316" i="1"/>
  <c r="BM317" i="1"/>
  <c r="BM318" i="1"/>
  <c r="BM319" i="1"/>
  <c r="BM320" i="1"/>
  <c r="BM321" i="1"/>
  <c r="BM322" i="1"/>
  <c r="BM323" i="1"/>
  <c r="BM324" i="1"/>
  <c r="BM325" i="1"/>
  <c r="BM326" i="1"/>
  <c r="BM327" i="1"/>
  <c r="BM328" i="1"/>
  <c r="BM329" i="1"/>
  <c r="BM330" i="1"/>
  <c r="BM331" i="1"/>
  <c r="BM332" i="1"/>
  <c r="BM333" i="1"/>
  <c r="BM334" i="1"/>
  <c r="BM335" i="1"/>
  <c r="BM336" i="1"/>
  <c r="BM337" i="1"/>
  <c r="BM338" i="1"/>
  <c r="BM339" i="1"/>
  <c r="BM340" i="1"/>
  <c r="BM341" i="1"/>
  <c r="BM342" i="1"/>
  <c r="BM343" i="1"/>
  <c r="BM344" i="1"/>
  <c r="BM345" i="1"/>
  <c r="BM346" i="1"/>
  <c r="BM347" i="1"/>
  <c r="BM348" i="1"/>
  <c r="BM349" i="1"/>
  <c r="BM350" i="1"/>
  <c r="BM351" i="1"/>
  <c r="BM352" i="1"/>
  <c r="BM353" i="1"/>
  <c r="BM354" i="1"/>
  <c r="BM355" i="1"/>
  <c r="BM356" i="1"/>
  <c r="BM357" i="1"/>
  <c r="BM358" i="1"/>
  <c r="BM359" i="1"/>
  <c r="BM360" i="1"/>
  <c r="BM361" i="1"/>
  <c r="BM362" i="1"/>
  <c r="BM363" i="1"/>
  <c r="BM364" i="1"/>
  <c r="BM365" i="1"/>
  <c r="BM366" i="1"/>
  <c r="BM367" i="1"/>
  <c r="BM368" i="1"/>
  <c r="BM369" i="1"/>
  <c r="BM370" i="1"/>
  <c r="BM371" i="1"/>
  <c r="BM372" i="1"/>
  <c r="BM373" i="1"/>
  <c r="BM374" i="1"/>
  <c r="BM375" i="1"/>
  <c r="BM376" i="1"/>
  <c r="BM377" i="1"/>
  <c r="BM378" i="1"/>
  <c r="BM379" i="1"/>
  <c r="BM380" i="1"/>
  <c r="BM381" i="1"/>
  <c r="BM382" i="1"/>
  <c r="BM383" i="1"/>
  <c r="BM384" i="1"/>
  <c r="BM385" i="1"/>
  <c r="BM386" i="1"/>
  <c r="BM387" i="1"/>
  <c r="BM388" i="1"/>
  <c r="BM389" i="1"/>
  <c r="BM390" i="1"/>
  <c r="BM391" i="1"/>
  <c r="BM392" i="1"/>
  <c r="BM393" i="1"/>
  <c r="BM394" i="1"/>
  <c r="BM395" i="1"/>
  <c r="BM396" i="1"/>
  <c r="BM397" i="1"/>
  <c r="BM398" i="1"/>
  <c r="BM399" i="1"/>
  <c r="BM400" i="1"/>
  <c r="BM401" i="1"/>
  <c r="BM402" i="1"/>
  <c r="BM403" i="1"/>
  <c r="BM404" i="1"/>
  <c r="BM405" i="1"/>
  <c r="BM406" i="1"/>
  <c r="BM407" i="1"/>
  <c r="BM408" i="1"/>
  <c r="BM409" i="1"/>
  <c r="BM410" i="1"/>
  <c r="BM411" i="1"/>
  <c r="BM412" i="1"/>
  <c r="BM413" i="1"/>
  <c r="BM414" i="1"/>
  <c r="BM415" i="1"/>
  <c r="BM416" i="1"/>
  <c r="BM417" i="1"/>
  <c r="BM418" i="1"/>
  <c r="BM419" i="1"/>
  <c r="BM420" i="1"/>
  <c r="BM421" i="1"/>
  <c r="BM422" i="1"/>
  <c r="BM423" i="1"/>
  <c r="BM424" i="1"/>
  <c r="BM425" i="1"/>
  <c r="BM426" i="1"/>
  <c r="BM427" i="1"/>
  <c r="BM428" i="1"/>
  <c r="BM429" i="1"/>
  <c r="BM430" i="1"/>
  <c r="BM431" i="1"/>
  <c r="BM432" i="1"/>
  <c r="BM433" i="1"/>
  <c r="BM434" i="1"/>
  <c r="BM435" i="1"/>
  <c r="BM436" i="1"/>
  <c r="BM437" i="1"/>
  <c r="BM438" i="1"/>
  <c r="BM439" i="1"/>
  <c r="BM440" i="1"/>
  <c r="BM441" i="1"/>
  <c r="BM442" i="1"/>
  <c r="BM443" i="1"/>
  <c r="BM444" i="1"/>
  <c r="BM445" i="1"/>
  <c r="BM446" i="1"/>
  <c r="BM447" i="1"/>
  <c r="BM448" i="1"/>
  <c r="BM449" i="1"/>
  <c r="BM450" i="1"/>
  <c r="BM451" i="1"/>
  <c r="BM452" i="1"/>
  <c r="BM453" i="1"/>
  <c r="BM454" i="1"/>
  <c r="BM455" i="1"/>
  <c r="BM456" i="1"/>
  <c r="BM457" i="1"/>
  <c r="BM458" i="1"/>
  <c r="BM459" i="1"/>
  <c r="BM460" i="1"/>
  <c r="BM461" i="1"/>
  <c r="BM462" i="1"/>
  <c r="BM463" i="1"/>
  <c r="BM464" i="1"/>
  <c r="BM465" i="1"/>
  <c r="BM466" i="1"/>
  <c r="BM467" i="1"/>
  <c r="BM468" i="1"/>
  <c r="BM469" i="1"/>
  <c r="BM470" i="1"/>
  <c r="BM471" i="1"/>
  <c r="BM472" i="1"/>
  <c r="BM473" i="1"/>
  <c r="BM474" i="1"/>
  <c r="BM475" i="1"/>
  <c r="BM476" i="1"/>
  <c r="BM477" i="1"/>
  <c r="BM478" i="1"/>
  <c r="BM479" i="1"/>
  <c r="BM480" i="1"/>
  <c r="BM481" i="1"/>
  <c r="BM482" i="1"/>
  <c r="BM483" i="1"/>
  <c r="BM484" i="1"/>
  <c r="BM485" i="1"/>
  <c r="BM486" i="1"/>
  <c r="BM487" i="1"/>
  <c r="BM488" i="1"/>
  <c r="BM489" i="1"/>
  <c r="BM490" i="1"/>
  <c r="BM491" i="1"/>
  <c r="BM492" i="1"/>
  <c r="BM493" i="1"/>
  <c r="BM494" i="1"/>
  <c r="BM495" i="1"/>
  <c r="BM496" i="1"/>
  <c r="BM497" i="1"/>
  <c r="BM498" i="1"/>
  <c r="BM499" i="1"/>
  <c r="BM500" i="1"/>
  <c r="BM501" i="1"/>
  <c r="BM502" i="1"/>
  <c r="BM503" i="1"/>
  <c r="BM504" i="1"/>
  <c r="BM505" i="1"/>
  <c r="BM506" i="1"/>
  <c r="BM507" i="1"/>
  <c r="BM508" i="1"/>
  <c r="BM509" i="1"/>
  <c r="BM510" i="1"/>
  <c r="BM511" i="1"/>
  <c r="BM512" i="1"/>
  <c r="BM513" i="1"/>
  <c r="BM514" i="1"/>
  <c r="BM515" i="1"/>
  <c r="BM516" i="1"/>
  <c r="BM517" i="1"/>
  <c r="BM518" i="1"/>
  <c r="BM519" i="1"/>
  <c r="BM520" i="1"/>
  <c r="BM521" i="1"/>
  <c r="BM522" i="1"/>
  <c r="BM523" i="1"/>
  <c r="BM524" i="1"/>
  <c r="BM525" i="1"/>
  <c r="BM526" i="1"/>
  <c r="BM527" i="1"/>
  <c r="BM528" i="1"/>
  <c r="BM529" i="1"/>
  <c r="BM530" i="1"/>
  <c r="BM531" i="1"/>
  <c r="BM532" i="1"/>
  <c r="BM533" i="1"/>
  <c r="BM534" i="1"/>
  <c r="BM535" i="1"/>
  <c r="BM536" i="1"/>
  <c r="BM537" i="1"/>
  <c r="BM538" i="1"/>
  <c r="BM539" i="1"/>
  <c r="BM540" i="1"/>
  <c r="BM541" i="1"/>
  <c r="BM542" i="1"/>
  <c r="BM543" i="1"/>
  <c r="BM544" i="1"/>
  <c r="BM545" i="1"/>
  <c r="BM546" i="1"/>
  <c r="BM547" i="1"/>
  <c r="BM548" i="1"/>
  <c r="BM549" i="1"/>
  <c r="BM550" i="1"/>
  <c r="BM551" i="1"/>
  <c r="BM552" i="1"/>
  <c r="BM553" i="1"/>
  <c r="BM554" i="1"/>
  <c r="BM555" i="1"/>
  <c r="BM556" i="1"/>
  <c r="BM557" i="1"/>
  <c r="BM558" i="1"/>
  <c r="BM559" i="1"/>
  <c r="BM560" i="1"/>
  <c r="BM561" i="1"/>
  <c r="BM562" i="1"/>
  <c r="BM563" i="1"/>
  <c r="BM564" i="1"/>
  <c r="BM565" i="1"/>
  <c r="BM566" i="1"/>
  <c r="BM567" i="1"/>
  <c r="BM568" i="1"/>
  <c r="BM569" i="1"/>
  <c r="BM570" i="1"/>
  <c r="BM571" i="1"/>
  <c r="BM572" i="1"/>
  <c r="BM573" i="1"/>
  <c r="BM574" i="1"/>
  <c r="BM575" i="1"/>
  <c r="BM576" i="1"/>
  <c r="BM577" i="1"/>
  <c r="BM578" i="1"/>
  <c r="BM579" i="1"/>
  <c r="BM580" i="1"/>
  <c r="BM581" i="1"/>
  <c r="BM582" i="1"/>
  <c r="BM583" i="1"/>
  <c r="BM584" i="1"/>
  <c r="BM585" i="1"/>
  <c r="BM586" i="1"/>
  <c r="BM587" i="1"/>
  <c r="BM588" i="1"/>
  <c r="BM589" i="1"/>
  <c r="BM590" i="1"/>
  <c r="BM591" i="1"/>
  <c r="BM592" i="1"/>
  <c r="BM593" i="1"/>
  <c r="BM594" i="1"/>
  <c r="BM595" i="1"/>
  <c r="BM596" i="1"/>
  <c r="BM597" i="1"/>
  <c r="BM598" i="1"/>
  <c r="BM599" i="1"/>
  <c r="BM600" i="1"/>
  <c r="BM601" i="1"/>
  <c r="BM602" i="1"/>
  <c r="BM603" i="1"/>
  <c r="BM604" i="1"/>
  <c r="BM605" i="1"/>
  <c r="BM606" i="1"/>
  <c r="BM607" i="1"/>
  <c r="BM608" i="1"/>
  <c r="BM609" i="1"/>
  <c r="BM610" i="1"/>
  <c r="BM611" i="1"/>
  <c r="BM612" i="1"/>
  <c r="BM613" i="1"/>
  <c r="BM614" i="1"/>
  <c r="BM615" i="1"/>
  <c r="BM616" i="1"/>
  <c r="BM617" i="1"/>
  <c r="BM618" i="1"/>
  <c r="BM619" i="1"/>
  <c r="BM620" i="1"/>
  <c r="BM621" i="1"/>
  <c r="BM622" i="1"/>
  <c r="BM623" i="1"/>
  <c r="BM624" i="1"/>
  <c r="BM625" i="1"/>
  <c r="BM626" i="1"/>
  <c r="BM627" i="1"/>
  <c r="BM628" i="1"/>
  <c r="BM629" i="1"/>
  <c r="BM630" i="1"/>
  <c r="BM631" i="1"/>
  <c r="BM632" i="1"/>
  <c r="BM633" i="1"/>
  <c r="BM634" i="1"/>
  <c r="BM635" i="1"/>
  <c r="BM636" i="1"/>
  <c r="BM637" i="1"/>
  <c r="BM638" i="1"/>
  <c r="BM639" i="1"/>
  <c r="BM640" i="1"/>
  <c r="BM641" i="1"/>
  <c r="BM642" i="1"/>
  <c r="BM643" i="1"/>
  <c r="BM644" i="1"/>
  <c r="BM645" i="1"/>
  <c r="BM646" i="1"/>
  <c r="BM647" i="1"/>
  <c r="BM648" i="1"/>
  <c r="BM649" i="1"/>
  <c r="BM650" i="1"/>
  <c r="BM651" i="1"/>
  <c r="BM652" i="1"/>
  <c r="BM653" i="1"/>
  <c r="BM654" i="1"/>
  <c r="BM655" i="1"/>
  <c r="BM656" i="1"/>
  <c r="BM657" i="1"/>
  <c r="BM658" i="1"/>
  <c r="BM659" i="1"/>
  <c r="BM660" i="1"/>
  <c r="BM661" i="1"/>
  <c r="BL65" i="1"/>
  <c r="BL66" i="1"/>
  <c r="BL67" i="1"/>
  <c r="BL68" i="1"/>
  <c r="BL69" i="1"/>
  <c r="BL70" i="1"/>
  <c r="BL71" i="1"/>
  <c r="BL72" i="1"/>
  <c r="BL73" i="1"/>
  <c r="BL74" i="1"/>
  <c r="BL75" i="1"/>
  <c r="BL76" i="1"/>
  <c r="BL77" i="1"/>
  <c r="BL78" i="1"/>
  <c r="BL79" i="1"/>
  <c r="BL80" i="1"/>
  <c r="BL81" i="1"/>
  <c r="BL82" i="1"/>
  <c r="BL83" i="1"/>
  <c r="BL84" i="1"/>
  <c r="BL85" i="1"/>
  <c r="BL86" i="1"/>
  <c r="BL87" i="1"/>
  <c r="BL88" i="1"/>
  <c r="BL89" i="1"/>
  <c r="BL90" i="1"/>
  <c r="BL91" i="1"/>
  <c r="BL92" i="1"/>
  <c r="BL93" i="1"/>
  <c r="BL94" i="1"/>
  <c r="BL95" i="1"/>
  <c r="BL96" i="1"/>
  <c r="BL97" i="1"/>
  <c r="BL98" i="1"/>
  <c r="BL99" i="1"/>
  <c r="BL100" i="1"/>
  <c r="BL101" i="1"/>
  <c r="BL102" i="1"/>
  <c r="BL103" i="1"/>
  <c r="BL104" i="1"/>
  <c r="BL105" i="1"/>
  <c r="BL106" i="1"/>
  <c r="BL107" i="1"/>
  <c r="BL108" i="1"/>
  <c r="BL109" i="1"/>
  <c r="BL110" i="1"/>
  <c r="BL111" i="1"/>
  <c r="BL112" i="1"/>
  <c r="BL113" i="1"/>
  <c r="BL114" i="1"/>
  <c r="BL115" i="1"/>
  <c r="BL116" i="1"/>
  <c r="BL117" i="1"/>
  <c r="BL118" i="1"/>
  <c r="BL119" i="1"/>
  <c r="BL120" i="1"/>
  <c r="BL121" i="1"/>
  <c r="BL122" i="1"/>
  <c r="BL123" i="1"/>
  <c r="BL124" i="1"/>
  <c r="BL125" i="1"/>
  <c r="BL126" i="1"/>
  <c r="BL127" i="1"/>
  <c r="BL128" i="1"/>
  <c r="BL129" i="1"/>
  <c r="BL130" i="1"/>
  <c r="BL131" i="1"/>
  <c r="BL132" i="1"/>
  <c r="BL133" i="1"/>
  <c r="BL134" i="1"/>
  <c r="BL135" i="1"/>
  <c r="BL136" i="1"/>
  <c r="BL137" i="1"/>
  <c r="BL138" i="1"/>
  <c r="BL139" i="1"/>
  <c r="BL140" i="1"/>
  <c r="BL141" i="1"/>
  <c r="BL142" i="1"/>
  <c r="BL143" i="1"/>
  <c r="BL144" i="1"/>
  <c r="BL145" i="1"/>
  <c r="BL146" i="1"/>
  <c r="BL147" i="1"/>
  <c r="BL148" i="1"/>
  <c r="BL149" i="1"/>
  <c r="BL150" i="1"/>
  <c r="BL151" i="1"/>
  <c r="BL152" i="1"/>
  <c r="BL153" i="1"/>
  <c r="BL154" i="1"/>
  <c r="BL155" i="1"/>
  <c r="BL156" i="1"/>
  <c r="BL157" i="1"/>
  <c r="BL158" i="1"/>
  <c r="BL159" i="1"/>
  <c r="BL160" i="1"/>
  <c r="BL161" i="1"/>
  <c r="BL162" i="1"/>
  <c r="BL163" i="1"/>
  <c r="BL164" i="1"/>
  <c r="BL165" i="1"/>
  <c r="BL166" i="1"/>
  <c r="BL167" i="1"/>
  <c r="BL168" i="1"/>
  <c r="BL169" i="1"/>
  <c r="BL170" i="1"/>
  <c r="BL171" i="1"/>
  <c r="BL172" i="1"/>
  <c r="BL173" i="1"/>
  <c r="BL174" i="1"/>
  <c r="BL175" i="1"/>
  <c r="BL176" i="1"/>
  <c r="BL177" i="1"/>
  <c r="BL178" i="1"/>
  <c r="BL179" i="1"/>
  <c r="BL180" i="1"/>
  <c r="BL181" i="1"/>
  <c r="BL182" i="1"/>
  <c r="BL183" i="1"/>
  <c r="BL184" i="1"/>
  <c r="BL185" i="1"/>
  <c r="BL186" i="1"/>
  <c r="BL187" i="1"/>
  <c r="BL188" i="1"/>
  <c r="BL189" i="1"/>
  <c r="BL190" i="1"/>
  <c r="BL191" i="1"/>
  <c r="BL192" i="1"/>
  <c r="BL193" i="1"/>
  <c r="BL194" i="1"/>
  <c r="BL195" i="1"/>
  <c r="BL196" i="1"/>
  <c r="BL197" i="1"/>
  <c r="BL198" i="1"/>
  <c r="BL199" i="1"/>
  <c r="BL200" i="1"/>
  <c r="BL201" i="1"/>
  <c r="BL202" i="1"/>
  <c r="BL203" i="1"/>
  <c r="BL204" i="1"/>
  <c r="BL205" i="1"/>
  <c r="BL206" i="1"/>
  <c r="BL207" i="1"/>
  <c r="BL208" i="1"/>
  <c r="BL209" i="1"/>
  <c r="BL210" i="1"/>
  <c r="BL211" i="1"/>
  <c r="BL212" i="1"/>
  <c r="BL213" i="1"/>
  <c r="BL214" i="1"/>
  <c r="BL215" i="1"/>
  <c r="BL216" i="1"/>
  <c r="BL217" i="1"/>
  <c r="BL218" i="1"/>
  <c r="BL219" i="1"/>
  <c r="BL220" i="1"/>
  <c r="BL221" i="1"/>
  <c r="BL222" i="1"/>
  <c r="BL223" i="1"/>
  <c r="BL224" i="1"/>
  <c r="BL225" i="1"/>
  <c r="BL226" i="1"/>
  <c r="BL227" i="1"/>
  <c r="BL228" i="1"/>
  <c r="BL229" i="1"/>
  <c r="BL230" i="1"/>
  <c r="BL231" i="1"/>
  <c r="BL232" i="1"/>
  <c r="BL233" i="1"/>
  <c r="BL234" i="1"/>
  <c r="BL235" i="1"/>
  <c r="BL236" i="1"/>
  <c r="BL237" i="1"/>
  <c r="BL238" i="1"/>
  <c r="BL239" i="1"/>
  <c r="BL240" i="1"/>
  <c r="BL241" i="1"/>
  <c r="BL242" i="1"/>
  <c r="BL243" i="1"/>
  <c r="BL244" i="1"/>
  <c r="BL245" i="1"/>
  <c r="BL246" i="1"/>
  <c r="BL247" i="1"/>
  <c r="BL248" i="1"/>
  <c r="BL249" i="1"/>
  <c r="BL250" i="1"/>
  <c r="BL251" i="1"/>
  <c r="BL252" i="1"/>
  <c r="BL253" i="1"/>
  <c r="BL254" i="1"/>
  <c r="BL255" i="1"/>
  <c r="BL256" i="1"/>
  <c r="BL257" i="1"/>
  <c r="BL258" i="1"/>
  <c r="BL259" i="1"/>
  <c r="BL260" i="1"/>
  <c r="BL261" i="1"/>
  <c r="BL262" i="1"/>
  <c r="BL263" i="1"/>
  <c r="BL264" i="1"/>
  <c r="BL265" i="1"/>
  <c r="BL266" i="1"/>
  <c r="BL267" i="1"/>
  <c r="BL268" i="1"/>
  <c r="BL269" i="1"/>
  <c r="BL270" i="1"/>
  <c r="BL271" i="1"/>
  <c r="BL272" i="1"/>
  <c r="BL273" i="1"/>
  <c r="BL274" i="1"/>
  <c r="BL275" i="1"/>
  <c r="BL276" i="1"/>
  <c r="BL277" i="1"/>
  <c r="BL278" i="1"/>
  <c r="BL279" i="1"/>
  <c r="BL280" i="1"/>
  <c r="BL281" i="1"/>
  <c r="BL282" i="1"/>
  <c r="BL283" i="1"/>
  <c r="BL284" i="1"/>
  <c r="BL285" i="1"/>
  <c r="BL286" i="1"/>
  <c r="BL287" i="1"/>
  <c r="BL288" i="1"/>
  <c r="BL289" i="1"/>
  <c r="BL290" i="1"/>
  <c r="BL291" i="1"/>
  <c r="BL292" i="1"/>
  <c r="BL293" i="1"/>
  <c r="BL294" i="1"/>
  <c r="BL295" i="1"/>
  <c r="BL296" i="1"/>
  <c r="BL297" i="1"/>
  <c r="BL298" i="1"/>
  <c r="BL299" i="1"/>
  <c r="BL300" i="1"/>
  <c r="BL301" i="1"/>
  <c r="BL302" i="1"/>
  <c r="BL303" i="1"/>
  <c r="BL304" i="1"/>
  <c r="BL305" i="1"/>
  <c r="BL306" i="1"/>
  <c r="BL307" i="1"/>
  <c r="BL308" i="1"/>
  <c r="BL309" i="1"/>
  <c r="BL310" i="1"/>
  <c r="BL311" i="1"/>
  <c r="BL312" i="1"/>
  <c r="BL313" i="1"/>
  <c r="BL314" i="1"/>
  <c r="BL315" i="1"/>
  <c r="BL316" i="1"/>
  <c r="BL317" i="1"/>
  <c r="BL318" i="1"/>
  <c r="BL319" i="1"/>
  <c r="BL320" i="1"/>
  <c r="BL321" i="1"/>
  <c r="BL322" i="1"/>
  <c r="BL323" i="1"/>
  <c r="BL324" i="1"/>
  <c r="BL325" i="1"/>
  <c r="BL326" i="1"/>
  <c r="BL327" i="1"/>
  <c r="BL328" i="1"/>
  <c r="BL329" i="1"/>
  <c r="BL330" i="1"/>
  <c r="BL331" i="1"/>
  <c r="BL332" i="1"/>
  <c r="BL333" i="1"/>
  <c r="BL334" i="1"/>
  <c r="BL335" i="1"/>
  <c r="BL336" i="1"/>
  <c r="BL337" i="1"/>
  <c r="BL338" i="1"/>
  <c r="BL339" i="1"/>
  <c r="BL340" i="1"/>
  <c r="BL341" i="1"/>
  <c r="BL342" i="1"/>
  <c r="BL343" i="1"/>
  <c r="BL344" i="1"/>
  <c r="BL345" i="1"/>
  <c r="BL346" i="1"/>
  <c r="BL347" i="1"/>
  <c r="BL348" i="1"/>
  <c r="BL349" i="1"/>
  <c r="BL350" i="1"/>
  <c r="BL351" i="1"/>
  <c r="BL352" i="1"/>
  <c r="BL353" i="1"/>
  <c r="BL354" i="1"/>
  <c r="BL355" i="1"/>
  <c r="BL356" i="1"/>
  <c r="BL357" i="1"/>
  <c r="BL358" i="1"/>
  <c r="BL359" i="1"/>
  <c r="BL360" i="1"/>
  <c r="BL361" i="1"/>
  <c r="BL362" i="1"/>
  <c r="BL363" i="1"/>
  <c r="BL364" i="1"/>
  <c r="BL365" i="1"/>
  <c r="BL366" i="1"/>
  <c r="BL367" i="1"/>
  <c r="BL368" i="1"/>
  <c r="BL369" i="1"/>
  <c r="BL370" i="1"/>
  <c r="BL371" i="1"/>
  <c r="BL372" i="1"/>
  <c r="BL373" i="1"/>
  <c r="BL374" i="1"/>
  <c r="BL375" i="1"/>
  <c r="BL376" i="1"/>
  <c r="BL377" i="1"/>
  <c r="BL378" i="1"/>
  <c r="BL379" i="1"/>
  <c r="BL380" i="1"/>
  <c r="BL381" i="1"/>
  <c r="BL382" i="1"/>
  <c r="BL383" i="1"/>
  <c r="BL384" i="1"/>
  <c r="BL385" i="1"/>
  <c r="BL386" i="1"/>
  <c r="BL387" i="1"/>
  <c r="BL388" i="1"/>
  <c r="BL389" i="1"/>
  <c r="BL390" i="1"/>
  <c r="BL391" i="1"/>
  <c r="BL392" i="1"/>
  <c r="BL393" i="1"/>
  <c r="BL394" i="1"/>
  <c r="BL395" i="1"/>
  <c r="BL396" i="1"/>
  <c r="BL397" i="1"/>
  <c r="BL398" i="1"/>
  <c r="BL399" i="1"/>
  <c r="BL400" i="1"/>
  <c r="BL401" i="1"/>
  <c r="BL402" i="1"/>
  <c r="BL403" i="1"/>
  <c r="BL404" i="1"/>
  <c r="BL405" i="1"/>
  <c r="BL406" i="1"/>
  <c r="BL407" i="1"/>
  <c r="BL408" i="1"/>
  <c r="BL409" i="1"/>
  <c r="BL410" i="1"/>
  <c r="BL411" i="1"/>
  <c r="BL412" i="1"/>
  <c r="BL413" i="1"/>
  <c r="BL414" i="1"/>
  <c r="BL415" i="1"/>
  <c r="BL416" i="1"/>
  <c r="BL417" i="1"/>
  <c r="BL418" i="1"/>
  <c r="BL419" i="1"/>
  <c r="BL420" i="1"/>
  <c r="BL421" i="1"/>
  <c r="BL422" i="1"/>
  <c r="BL423" i="1"/>
  <c r="BL424" i="1"/>
  <c r="BL425" i="1"/>
  <c r="BL426" i="1"/>
  <c r="BL427" i="1"/>
  <c r="BL428" i="1"/>
  <c r="BL429" i="1"/>
  <c r="BL430" i="1"/>
  <c r="BL431" i="1"/>
  <c r="BL432" i="1"/>
  <c r="BL433" i="1"/>
  <c r="BL434" i="1"/>
  <c r="BL435" i="1"/>
  <c r="BL436" i="1"/>
  <c r="BL437" i="1"/>
  <c r="BL438" i="1"/>
  <c r="BL439" i="1"/>
  <c r="BL440" i="1"/>
  <c r="BL441" i="1"/>
  <c r="BL442" i="1"/>
  <c r="BL443" i="1"/>
  <c r="BL444" i="1"/>
  <c r="BL445" i="1"/>
  <c r="BL446" i="1"/>
  <c r="BL447" i="1"/>
  <c r="BL448" i="1"/>
  <c r="BL449" i="1"/>
  <c r="BL450" i="1"/>
  <c r="BL451" i="1"/>
  <c r="BL452" i="1"/>
  <c r="BL453" i="1"/>
  <c r="BL454" i="1"/>
  <c r="BL455" i="1"/>
  <c r="BL456" i="1"/>
  <c r="BL457" i="1"/>
  <c r="BL458" i="1"/>
  <c r="BL459" i="1"/>
  <c r="BL460" i="1"/>
  <c r="BL461" i="1"/>
  <c r="BL462" i="1"/>
  <c r="BL463" i="1"/>
  <c r="BL464" i="1"/>
  <c r="BL465" i="1"/>
  <c r="BL466" i="1"/>
  <c r="BL467" i="1"/>
  <c r="BL468" i="1"/>
  <c r="BL469" i="1"/>
  <c r="BL470" i="1"/>
  <c r="BL471" i="1"/>
  <c r="BL472" i="1"/>
  <c r="BL473" i="1"/>
  <c r="BL474" i="1"/>
  <c r="BL475" i="1"/>
  <c r="BL476" i="1"/>
  <c r="BL477" i="1"/>
  <c r="BL478" i="1"/>
  <c r="BL479" i="1"/>
  <c r="BL480" i="1"/>
  <c r="BL481" i="1"/>
  <c r="BL482" i="1"/>
  <c r="BL483" i="1"/>
  <c r="BL484" i="1"/>
  <c r="BL485" i="1"/>
  <c r="BL486" i="1"/>
  <c r="BL487" i="1"/>
  <c r="BL488" i="1"/>
  <c r="BL489" i="1"/>
  <c r="BL490" i="1"/>
  <c r="BL491" i="1"/>
  <c r="BL492" i="1"/>
  <c r="BL493" i="1"/>
  <c r="BL494" i="1"/>
  <c r="BL495" i="1"/>
  <c r="BL496" i="1"/>
  <c r="BL497" i="1"/>
  <c r="BL498" i="1"/>
  <c r="BL499" i="1"/>
  <c r="BL500" i="1"/>
  <c r="BL501" i="1"/>
  <c r="BL502" i="1"/>
  <c r="BL503" i="1"/>
  <c r="BL504" i="1"/>
  <c r="BL505" i="1"/>
  <c r="BL506" i="1"/>
  <c r="BL507" i="1"/>
  <c r="BL508" i="1"/>
  <c r="BL509" i="1"/>
  <c r="BL510" i="1"/>
  <c r="BL511" i="1"/>
  <c r="BL512" i="1"/>
  <c r="BL513" i="1"/>
  <c r="BL514" i="1"/>
  <c r="BL515" i="1"/>
  <c r="BL516" i="1"/>
  <c r="BL517" i="1"/>
  <c r="BL518" i="1"/>
  <c r="BL519" i="1"/>
  <c r="BL520" i="1"/>
  <c r="BL521" i="1"/>
  <c r="BL522" i="1"/>
  <c r="BL523" i="1"/>
  <c r="BL524" i="1"/>
  <c r="BL525" i="1"/>
  <c r="BL526" i="1"/>
  <c r="BL527" i="1"/>
  <c r="BL528" i="1"/>
  <c r="BL529" i="1"/>
  <c r="BL530" i="1"/>
  <c r="BL531" i="1"/>
  <c r="BL532" i="1"/>
  <c r="BL533" i="1"/>
  <c r="BL534" i="1"/>
  <c r="BL535" i="1"/>
  <c r="BL536" i="1"/>
  <c r="BL537" i="1"/>
  <c r="BL538" i="1"/>
  <c r="BL539" i="1"/>
  <c r="BL540" i="1"/>
  <c r="BL541" i="1"/>
  <c r="BL542" i="1"/>
  <c r="BL543" i="1"/>
  <c r="BL544" i="1"/>
  <c r="BL545" i="1"/>
  <c r="BL546" i="1"/>
  <c r="BL547" i="1"/>
  <c r="BL548" i="1"/>
  <c r="BL549" i="1"/>
  <c r="BL550" i="1"/>
  <c r="BL551" i="1"/>
  <c r="BL552" i="1"/>
  <c r="BL553" i="1"/>
  <c r="BL554" i="1"/>
  <c r="BL555" i="1"/>
  <c r="BL556" i="1"/>
  <c r="BL557" i="1"/>
  <c r="BL558" i="1"/>
  <c r="BL559" i="1"/>
  <c r="BL560" i="1"/>
  <c r="BL561" i="1"/>
  <c r="BL562" i="1"/>
  <c r="BL563" i="1"/>
  <c r="BL564" i="1"/>
  <c r="BL565" i="1"/>
  <c r="BL566" i="1"/>
  <c r="BL567" i="1"/>
  <c r="BL568" i="1"/>
  <c r="BL569" i="1"/>
  <c r="BL570" i="1"/>
  <c r="BL571" i="1"/>
  <c r="BL572" i="1"/>
  <c r="BL573" i="1"/>
  <c r="BL574" i="1"/>
  <c r="BL575" i="1"/>
  <c r="BL576" i="1"/>
  <c r="BL577" i="1"/>
  <c r="BL578" i="1"/>
  <c r="BL579" i="1"/>
  <c r="BL580" i="1"/>
  <c r="BL581" i="1"/>
  <c r="BL582" i="1"/>
  <c r="BL583" i="1"/>
  <c r="BL584" i="1"/>
  <c r="BL585" i="1"/>
  <c r="BL586" i="1"/>
  <c r="BL587" i="1"/>
  <c r="BL588" i="1"/>
  <c r="BL589" i="1"/>
  <c r="BL590" i="1"/>
  <c r="BL591" i="1"/>
  <c r="BL592" i="1"/>
  <c r="BL593" i="1"/>
  <c r="BL594" i="1"/>
  <c r="BL595" i="1"/>
  <c r="BL596" i="1"/>
  <c r="BL597" i="1"/>
  <c r="BL598" i="1"/>
  <c r="BL599" i="1"/>
  <c r="BL600" i="1"/>
  <c r="BL601" i="1"/>
  <c r="BL602" i="1"/>
  <c r="BL603" i="1"/>
  <c r="BL604" i="1"/>
  <c r="BL605" i="1"/>
  <c r="BL606" i="1"/>
  <c r="BL607" i="1"/>
  <c r="BL608" i="1"/>
  <c r="BL609" i="1"/>
  <c r="BL610" i="1"/>
  <c r="BL611" i="1"/>
  <c r="BL612" i="1"/>
  <c r="BL613" i="1"/>
  <c r="BL614" i="1"/>
  <c r="BL615" i="1"/>
  <c r="BL616" i="1"/>
  <c r="BL617" i="1"/>
  <c r="BL618" i="1"/>
  <c r="BL619" i="1"/>
  <c r="BL620" i="1"/>
  <c r="BL621" i="1"/>
  <c r="BL622" i="1"/>
  <c r="BL623" i="1"/>
  <c r="BL624" i="1"/>
  <c r="BL625" i="1"/>
  <c r="BL626" i="1"/>
  <c r="BL627" i="1"/>
  <c r="BL628" i="1"/>
  <c r="BL629" i="1"/>
  <c r="BL630" i="1"/>
  <c r="BL631" i="1"/>
  <c r="BL632" i="1"/>
  <c r="BL633" i="1"/>
  <c r="BL634" i="1"/>
  <c r="BL635" i="1"/>
  <c r="BL636" i="1"/>
  <c r="BL637" i="1"/>
  <c r="BL638" i="1"/>
  <c r="BL639" i="1"/>
  <c r="BL640" i="1"/>
  <c r="BL641" i="1"/>
  <c r="BL642" i="1"/>
  <c r="BL643" i="1"/>
  <c r="BL644" i="1"/>
  <c r="BL645" i="1"/>
  <c r="BL646" i="1"/>
  <c r="BL647" i="1"/>
  <c r="BL648" i="1"/>
  <c r="BL649" i="1"/>
  <c r="BL650" i="1"/>
  <c r="BL651" i="1"/>
  <c r="BL652" i="1"/>
  <c r="BL653" i="1"/>
  <c r="BL654" i="1"/>
  <c r="BL655" i="1"/>
  <c r="BL656" i="1"/>
  <c r="BL657" i="1"/>
  <c r="BL658" i="1"/>
  <c r="BL659" i="1"/>
  <c r="BL660" i="1"/>
  <c r="BL661" i="1"/>
  <c r="BK65" i="1"/>
  <c r="BK66" i="1"/>
  <c r="BK67" i="1"/>
  <c r="BK68" i="1"/>
  <c r="BK69" i="1"/>
  <c r="BK70" i="1"/>
  <c r="BK71" i="1"/>
  <c r="BK72" i="1"/>
  <c r="BK73" i="1"/>
  <c r="BK74" i="1"/>
  <c r="BK75" i="1"/>
  <c r="BK76" i="1"/>
  <c r="BK77" i="1"/>
  <c r="BK78" i="1"/>
  <c r="BK79" i="1"/>
  <c r="BK80" i="1"/>
  <c r="BK81" i="1"/>
  <c r="BK82" i="1"/>
  <c r="BK83" i="1"/>
  <c r="BK84" i="1"/>
  <c r="BK85" i="1"/>
  <c r="BK86" i="1"/>
  <c r="BK87" i="1"/>
  <c r="BK88" i="1"/>
  <c r="BK89" i="1"/>
  <c r="BK90" i="1"/>
  <c r="BK91" i="1"/>
  <c r="BK92" i="1"/>
  <c r="BK93" i="1"/>
  <c r="BK94" i="1"/>
  <c r="BK95" i="1"/>
  <c r="BK96" i="1"/>
  <c r="BK97" i="1"/>
  <c r="BK98" i="1"/>
  <c r="BK99" i="1"/>
  <c r="BK100" i="1"/>
  <c r="BK101" i="1"/>
  <c r="BK102" i="1"/>
  <c r="BK103" i="1"/>
  <c r="BK104" i="1"/>
  <c r="BK105" i="1"/>
  <c r="BK106" i="1"/>
  <c r="BK107" i="1"/>
  <c r="BK108" i="1"/>
  <c r="BK109" i="1"/>
  <c r="BK110" i="1"/>
  <c r="BK111" i="1"/>
  <c r="BK112" i="1"/>
  <c r="BK113" i="1"/>
  <c r="BK114" i="1"/>
  <c r="BK115" i="1"/>
  <c r="BK116" i="1"/>
  <c r="BK117" i="1"/>
  <c r="BK118" i="1"/>
  <c r="BK119" i="1"/>
  <c r="BK120" i="1"/>
  <c r="BK121" i="1"/>
  <c r="BK122" i="1"/>
  <c r="BK123" i="1"/>
  <c r="BK124" i="1"/>
  <c r="BK125" i="1"/>
  <c r="BK126" i="1"/>
  <c r="BK127" i="1"/>
  <c r="BK128" i="1"/>
  <c r="BK129" i="1"/>
  <c r="BK130" i="1"/>
  <c r="BK131" i="1"/>
  <c r="BK132" i="1"/>
  <c r="BK133" i="1"/>
  <c r="BK134" i="1"/>
  <c r="BK135" i="1"/>
  <c r="BK136" i="1"/>
  <c r="BK137" i="1"/>
  <c r="BK138" i="1"/>
  <c r="BK139" i="1"/>
  <c r="BK140" i="1"/>
  <c r="BK141" i="1"/>
  <c r="BK142" i="1"/>
  <c r="BK143" i="1"/>
  <c r="BK144" i="1"/>
  <c r="BK145" i="1"/>
  <c r="BK146" i="1"/>
  <c r="BK147" i="1"/>
  <c r="BK148" i="1"/>
  <c r="BK149" i="1"/>
  <c r="BK150" i="1"/>
  <c r="BK151" i="1"/>
  <c r="BK152" i="1"/>
  <c r="BK153" i="1"/>
  <c r="BK154" i="1"/>
  <c r="BK155" i="1"/>
  <c r="BK156" i="1"/>
  <c r="BK157" i="1"/>
  <c r="BK158" i="1"/>
  <c r="BK159" i="1"/>
  <c r="BK160" i="1"/>
  <c r="BK161" i="1"/>
  <c r="BK162" i="1"/>
  <c r="BK163" i="1"/>
  <c r="BK164" i="1"/>
  <c r="BK165" i="1"/>
  <c r="BK166" i="1"/>
  <c r="BK167" i="1"/>
  <c r="BK168" i="1"/>
  <c r="BK169" i="1"/>
  <c r="BK170" i="1"/>
  <c r="BK171" i="1"/>
  <c r="BK172" i="1"/>
  <c r="BK173" i="1"/>
  <c r="BK174" i="1"/>
  <c r="BK175" i="1"/>
  <c r="BK176" i="1"/>
  <c r="BK177" i="1"/>
  <c r="BK178" i="1"/>
  <c r="BK179" i="1"/>
  <c r="BK180" i="1"/>
  <c r="BK181" i="1"/>
  <c r="BK182" i="1"/>
  <c r="BK183" i="1"/>
  <c r="BK184" i="1"/>
  <c r="BK185" i="1"/>
  <c r="BK186" i="1"/>
  <c r="BK187" i="1"/>
  <c r="BK188" i="1"/>
  <c r="BK189" i="1"/>
  <c r="BK190" i="1"/>
  <c r="BK191" i="1"/>
  <c r="BK192" i="1"/>
  <c r="BK193" i="1"/>
  <c r="BK194" i="1"/>
  <c r="BK195" i="1"/>
  <c r="BK196" i="1"/>
  <c r="BK197" i="1"/>
  <c r="BK198" i="1"/>
  <c r="BK199" i="1"/>
  <c r="BK200" i="1"/>
  <c r="BK201" i="1"/>
  <c r="BK202" i="1"/>
  <c r="BK203" i="1"/>
  <c r="BK204" i="1"/>
  <c r="BK205" i="1"/>
  <c r="BK206" i="1"/>
  <c r="BK207" i="1"/>
  <c r="BK208" i="1"/>
  <c r="BK209" i="1"/>
  <c r="BK210" i="1"/>
  <c r="BK211" i="1"/>
  <c r="BK212" i="1"/>
  <c r="BK213" i="1"/>
  <c r="BK214" i="1"/>
  <c r="BK215" i="1"/>
  <c r="BK216" i="1"/>
  <c r="BK217" i="1"/>
  <c r="BK218" i="1"/>
  <c r="BK219" i="1"/>
  <c r="BK220" i="1"/>
  <c r="BK221" i="1"/>
  <c r="BK222" i="1"/>
  <c r="BK223" i="1"/>
  <c r="BK224" i="1"/>
  <c r="BK225" i="1"/>
  <c r="BK226" i="1"/>
  <c r="BK227" i="1"/>
  <c r="BK228" i="1"/>
  <c r="BK229" i="1"/>
  <c r="BK230" i="1"/>
  <c r="BK231" i="1"/>
  <c r="BK232" i="1"/>
  <c r="BK233" i="1"/>
  <c r="BK234" i="1"/>
  <c r="BK235" i="1"/>
  <c r="BK236" i="1"/>
  <c r="BK237" i="1"/>
  <c r="BK238" i="1"/>
  <c r="BK239" i="1"/>
  <c r="BK240" i="1"/>
  <c r="BK241" i="1"/>
  <c r="BK242" i="1"/>
  <c r="BK243" i="1"/>
  <c r="BK244" i="1"/>
  <c r="BK245" i="1"/>
  <c r="BK246" i="1"/>
  <c r="BK247" i="1"/>
  <c r="BK248" i="1"/>
  <c r="BK249" i="1"/>
  <c r="BK250" i="1"/>
  <c r="BK251" i="1"/>
  <c r="BK252" i="1"/>
  <c r="BK253" i="1"/>
  <c r="BK254" i="1"/>
  <c r="BK255" i="1"/>
  <c r="BK256" i="1"/>
  <c r="BK257" i="1"/>
  <c r="BK258" i="1"/>
  <c r="BK259" i="1"/>
  <c r="BK260" i="1"/>
  <c r="BK261" i="1"/>
  <c r="BK262" i="1"/>
  <c r="BK263" i="1"/>
  <c r="BK264" i="1"/>
  <c r="BK265" i="1"/>
  <c r="BK266" i="1"/>
  <c r="BK267" i="1"/>
  <c r="BK268" i="1"/>
  <c r="BK269" i="1"/>
  <c r="BK270" i="1"/>
  <c r="BK271" i="1"/>
  <c r="BK272" i="1"/>
  <c r="BK273" i="1"/>
  <c r="BK274" i="1"/>
  <c r="BK275" i="1"/>
  <c r="BK276" i="1"/>
  <c r="BK277" i="1"/>
  <c r="BK278" i="1"/>
  <c r="BK279" i="1"/>
  <c r="BK280" i="1"/>
  <c r="BK281" i="1"/>
  <c r="BK282" i="1"/>
  <c r="BK283" i="1"/>
  <c r="BK284" i="1"/>
  <c r="BK285" i="1"/>
  <c r="BK286" i="1"/>
  <c r="BK287" i="1"/>
  <c r="BK288" i="1"/>
  <c r="BK289" i="1"/>
  <c r="BK290" i="1"/>
  <c r="BK291" i="1"/>
  <c r="BK292" i="1"/>
  <c r="BK293" i="1"/>
  <c r="BK294" i="1"/>
  <c r="BK295" i="1"/>
  <c r="BK296" i="1"/>
  <c r="BK297" i="1"/>
  <c r="BK298" i="1"/>
  <c r="BK299" i="1"/>
  <c r="BK300" i="1"/>
  <c r="BK301" i="1"/>
  <c r="BK302" i="1"/>
  <c r="BK303" i="1"/>
  <c r="BK304" i="1"/>
  <c r="BK305" i="1"/>
  <c r="BK306" i="1"/>
  <c r="BK307" i="1"/>
  <c r="BK308" i="1"/>
  <c r="BK309" i="1"/>
  <c r="BK310" i="1"/>
  <c r="BK311" i="1"/>
  <c r="BK312" i="1"/>
  <c r="BK313" i="1"/>
  <c r="BK314" i="1"/>
  <c r="BK315" i="1"/>
  <c r="BK316" i="1"/>
  <c r="BK317" i="1"/>
  <c r="BK318" i="1"/>
  <c r="BK319" i="1"/>
  <c r="BK320" i="1"/>
  <c r="BK321" i="1"/>
  <c r="BK322" i="1"/>
  <c r="BK323" i="1"/>
  <c r="BK324" i="1"/>
  <c r="BK325" i="1"/>
  <c r="BK326" i="1"/>
  <c r="BK327" i="1"/>
  <c r="BK328" i="1"/>
  <c r="BK329" i="1"/>
  <c r="BK330" i="1"/>
  <c r="BK331" i="1"/>
  <c r="BK332" i="1"/>
  <c r="BK333" i="1"/>
  <c r="BK334" i="1"/>
  <c r="BK335" i="1"/>
  <c r="BK336" i="1"/>
  <c r="BK337" i="1"/>
  <c r="BK338" i="1"/>
  <c r="BK339" i="1"/>
  <c r="BK340" i="1"/>
  <c r="BK341" i="1"/>
  <c r="BK342" i="1"/>
  <c r="BK343" i="1"/>
  <c r="BK344" i="1"/>
  <c r="BK345" i="1"/>
  <c r="BK346" i="1"/>
  <c r="BK347" i="1"/>
  <c r="BK348" i="1"/>
  <c r="BK349" i="1"/>
  <c r="BK350" i="1"/>
  <c r="BK351" i="1"/>
  <c r="BK352" i="1"/>
  <c r="BK353" i="1"/>
  <c r="BK354" i="1"/>
  <c r="BK355" i="1"/>
  <c r="BK356" i="1"/>
  <c r="BK357" i="1"/>
  <c r="BK358" i="1"/>
  <c r="BK359" i="1"/>
  <c r="BK360" i="1"/>
  <c r="BK361" i="1"/>
  <c r="BK362" i="1"/>
  <c r="BK363" i="1"/>
  <c r="BK364" i="1"/>
  <c r="BK365" i="1"/>
  <c r="BK366" i="1"/>
  <c r="BK367" i="1"/>
  <c r="BK368" i="1"/>
  <c r="BK369" i="1"/>
  <c r="BK370" i="1"/>
  <c r="BK371" i="1"/>
  <c r="BK372" i="1"/>
  <c r="BK373" i="1"/>
  <c r="BK374" i="1"/>
  <c r="BK375" i="1"/>
  <c r="BK376" i="1"/>
  <c r="BK377" i="1"/>
  <c r="BK378" i="1"/>
  <c r="BK379" i="1"/>
  <c r="BK380" i="1"/>
  <c r="BK381" i="1"/>
  <c r="BK382" i="1"/>
  <c r="BK383" i="1"/>
  <c r="BK384" i="1"/>
  <c r="BK385" i="1"/>
  <c r="BK386" i="1"/>
  <c r="BK387" i="1"/>
  <c r="BK388" i="1"/>
  <c r="BK389" i="1"/>
  <c r="BK390" i="1"/>
  <c r="BK391" i="1"/>
  <c r="BK392" i="1"/>
  <c r="BK393" i="1"/>
  <c r="BK394" i="1"/>
  <c r="BK395" i="1"/>
  <c r="BK396" i="1"/>
  <c r="BK397" i="1"/>
  <c r="BK398" i="1"/>
  <c r="BK399" i="1"/>
  <c r="BK400" i="1"/>
  <c r="BK401" i="1"/>
  <c r="BK402" i="1"/>
  <c r="BK403" i="1"/>
  <c r="BK404" i="1"/>
  <c r="BK405" i="1"/>
  <c r="BK406" i="1"/>
  <c r="BK407" i="1"/>
  <c r="BK408" i="1"/>
  <c r="BK409" i="1"/>
  <c r="BK410" i="1"/>
  <c r="BK411" i="1"/>
  <c r="BK412" i="1"/>
  <c r="BK413" i="1"/>
  <c r="BK414" i="1"/>
  <c r="BK415" i="1"/>
  <c r="BK416" i="1"/>
  <c r="BK417" i="1"/>
  <c r="BK418" i="1"/>
  <c r="BK419" i="1"/>
  <c r="BK420" i="1"/>
  <c r="BK421" i="1"/>
  <c r="BK422" i="1"/>
  <c r="BK423" i="1"/>
  <c r="BK424" i="1"/>
  <c r="BK425" i="1"/>
  <c r="BK426" i="1"/>
  <c r="BK427" i="1"/>
  <c r="BK428" i="1"/>
  <c r="BK429" i="1"/>
  <c r="BK430" i="1"/>
  <c r="BK431" i="1"/>
  <c r="BK432" i="1"/>
  <c r="BK433" i="1"/>
  <c r="BK434" i="1"/>
  <c r="BK435" i="1"/>
  <c r="BK436" i="1"/>
  <c r="BK437" i="1"/>
  <c r="BK438" i="1"/>
  <c r="BK439" i="1"/>
  <c r="BK440" i="1"/>
  <c r="BK441" i="1"/>
  <c r="BK442" i="1"/>
  <c r="BK443" i="1"/>
  <c r="BK444" i="1"/>
  <c r="BK445" i="1"/>
  <c r="BK446" i="1"/>
  <c r="BK447" i="1"/>
  <c r="BK448" i="1"/>
  <c r="BK449" i="1"/>
  <c r="BK450" i="1"/>
  <c r="BK451" i="1"/>
  <c r="BK452" i="1"/>
  <c r="BK453" i="1"/>
  <c r="BK454" i="1"/>
  <c r="BK455" i="1"/>
  <c r="BK456" i="1"/>
  <c r="BK457" i="1"/>
  <c r="BK458" i="1"/>
  <c r="BK459" i="1"/>
  <c r="BK460" i="1"/>
  <c r="BK461" i="1"/>
  <c r="BK462" i="1"/>
  <c r="BK463" i="1"/>
  <c r="BK464" i="1"/>
  <c r="BK465" i="1"/>
  <c r="BK466" i="1"/>
  <c r="BK467" i="1"/>
  <c r="BK468" i="1"/>
  <c r="BK469" i="1"/>
  <c r="BK470" i="1"/>
  <c r="BK471" i="1"/>
  <c r="BK472" i="1"/>
  <c r="BK473" i="1"/>
  <c r="BK474" i="1"/>
  <c r="BK475" i="1"/>
  <c r="BK476" i="1"/>
  <c r="BK477" i="1"/>
  <c r="BK478" i="1"/>
  <c r="BK479" i="1"/>
  <c r="BK480" i="1"/>
  <c r="BK481" i="1"/>
  <c r="BK482" i="1"/>
  <c r="BK483" i="1"/>
  <c r="BK484" i="1"/>
  <c r="BK485" i="1"/>
  <c r="BK486" i="1"/>
  <c r="BK487" i="1"/>
  <c r="BK488" i="1"/>
  <c r="BK489" i="1"/>
  <c r="BK490" i="1"/>
  <c r="BK491" i="1"/>
  <c r="BK492" i="1"/>
  <c r="BK493" i="1"/>
  <c r="BK494" i="1"/>
  <c r="BK495" i="1"/>
  <c r="BK496" i="1"/>
  <c r="BK497" i="1"/>
  <c r="BK498" i="1"/>
  <c r="BK499" i="1"/>
  <c r="BK500" i="1"/>
  <c r="BK501" i="1"/>
  <c r="BK502" i="1"/>
  <c r="BK503" i="1"/>
  <c r="BK504" i="1"/>
  <c r="BK505" i="1"/>
  <c r="BK506" i="1"/>
  <c r="BK507" i="1"/>
  <c r="BK508" i="1"/>
  <c r="BK509" i="1"/>
  <c r="BK510" i="1"/>
  <c r="BK511" i="1"/>
  <c r="BK512" i="1"/>
  <c r="BK513" i="1"/>
  <c r="BK514" i="1"/>
  <c r="BK515" i="1"/>
  <c r="BK516" i="1"/>
  <c r="BK517" i="1"/>
  <c r="BK518" i="1"/>
  <c r="BK519" i="1"/>
  <c r="BK520" i="1"/>
  <c r="BK521" i="1"/>
  <c r="BK522" i="1"/>
  <c r="BK523" i="1"/>
  <c r="BK524" i="1"/>
  <c r="BK525" i="1"/>
  <c r="BK526" i="1"/>
  <c r="BK527" i="1"/>
  <c r="BK528" i="1"/>
  <c r="BK529" i="1"/>
  <c r="BK530" i="1"/>
  <c r="BK531" i="1"/>
  <c r="BK532" i="1"/>
  <c r="BK533" i="1"/>
  <c r="BK534" i="1"/>
  <c r="BK535" i="1"/>
  <c r="BK536" i="1"/>
  <c r="BK537" i="1"/>
  <c r="BK538" i="1"/>
  <c r="BK539" i="1"/>
  <c r="BK540" i="1"/>
  <c r="BK541" i="1"/>
  <c r="BK542" i="1"/>
  <c r="BK543" i="1"/>
  <c r="BK544" i="1"/>
  <c r="BK545" i="1"/>
  <c r="BK546" i="1"/>
  <c r="BK547" i="1"/>
  <c r="BK548" i="1"/>
  <c r="BK549" i="1"/>
  <c r="BK550" i="1"/>
  <c r="BK551" i="1"/>
  <c r="BK552" i="1"/>
  <c r="BK553" i="1"/>
  <c r="BK554" i="1"/>
  <c r="BK555" i="1"/>
  <c r="BK556" i="1"/>
  <c r="BK557" i="1"/>
  <c r="BK558" i="1"/>
  <c r="BK559" i="1"/>
  <c r="BK560" i="1"/>
  <c r="BK561" i="1"/>
  <c r="BK562" i="1"/>
  <c r="BK563" i="1"/>
  <c r="BK564" i="1"/>
  <c r="BK565" i="1"/>
  <c r="BK566" i="1"/>
  <c r="BK567" i="1"/>
  <c r="BK568" i="1"/>
  <c r="BK569" i="1"/>
  <c r="BK570" i="1"/>
  <c r="BK571" i="1"/>
  <c r="BK572" i="1"/>
  <c r="BK573" i="1"/>
  <c r="BK574" i="1"/>
  <c r="BK575" i="1"/>
  <c r="BK576" i="1"/>
  <c r="BK577" i="1"/>
  <c r="BK578" i="1"/>
  <c r="BK579" i="1"/>
  <c r="BK580" i="1"/>
  <c r="BK581" i="1"/>
  <c r="BK582" i="1"/>
  <c r="BK583" i="1"/>
  <c r="BK584" i="1"/>
  <c r="BK585" i="1"/>
  <c r="BK586" i="1"/>
  <c r="BK587" i="1"/>
  <c r="BK588" i="1"/>
  <c r="BK589" i="1"/>
  <c r="BK590" i="1"/>
  <c r="BK591" i="1"/>
  <c r="BK592" i="1"/>
  <c r="BK593" i="1"/>
  <c r="BK594" i="1"/>
  <c r="BK595" i="1"/>
  <c r="BK596" i="1"/>
  <c r="BK597" i="1"/>
  <c r="BK598" i="1"/>
  <c r="BK599" i="1"/>
  <c r="BK600" i="1"/>
  <c r="BK601" i="1"/>
  <c r="BK602" i="1"/>
  <c r="BK603" i="1"/>
  <c r="BK604" i="1"/>
  <c r="BK605" i="1"/>
  <c r="BK606" i="1"/>
  <c r="BK607" i="1"/>
  <c r="BK608" i="1"/>
  <c r="BK609" i="1"/>
  <c r="BK610" i="1"/>
  <c r="BK611" i="1"/>
  <c r="BK612" i="1"/>
  <c r="BK613" i="1"/>
  <c r="BK614" i="1"/>
  <c r="BK615" i="1"/>
  <c r="BK616" i="1"/>
  <c r="BK617" i="1"/>
  <c r="BK618" i="1"/>
  <c r="BK619" i="1"/>
  <c r="BK620" i="1"/>
  <c r="BK621" i="1"/>
  <c r="BK622" i="1"/>
  <c r="BK623" i="1"/>
  <c r="BK624" i="1"/>
  <c r="BK625" i="1"/>
  <c r="BK626" i="1"/>
  <c r="BK627" i="1"/>
  <c r="BK628" i="1"/>
  <c r="BK629" i="1"/>
  <c r="BK630" i="1"/>
  <c r="BK631" i="1"/>
  <c r="BK632" i="1"/>
  <c r="BK633" i="1"/>
  <c r="BK634" i="1"/>
  <c r="BK635" i="1"/>
  <c r="BK636" i="1"/>
  <c r="BK637" i="1"/>
  <c r="BK638" i="1"/>
  <c r="BK639" i="1"/>
  <c r="BK640" i="1"/>
  <c r="BK641" i="1"/>
  <c r="BK642" i="1"/>
  <c r="BK643" i="1"/>
  <c r="BK644" i="1"/>
  <c r="BK645" i="1"/>
  <c r="BK646" i="1"/>
  <c r="BK647" i="1"/>
  <c r="BK648" i="1"/>
  <c r="BK649" i="1"/>
  <c r="BK650" i="1"/>
  <c r="BK651" i="1"/>
  <c r="BK652" i="1"/>
  <c r="BK653" i="1"/>
  <c r="BK654" i="1"/>
  <c r="BK655" i="1"/>
  <c r="BK656" i="1"/>
  <c r="BK657" i="1"/>
  <c r="BK658" i="1"/>
  <c r="BK659" i="1"/>
  <c r="BK660" i="1"/>
  <c r="BK661" i="1"/>
  <c r="BJ65" i="1"/>
  <c r="BJ66" i="1"/>
  <c r="BJ67" i="1"/>
  <c r="BJ68" i="1"/>
  <c r="BJ69" i="1"/>
  <c r="BJ70" i="1"/>
  <c r="BJ71" i="1"/>
  <c r="BJ72" i="1"/>
  <c r="BJ73" i="1"/>
  <c r="BJ74" i="1"/>
  <c r="BJ75" i="1"/>
  <c r="BJ76" i="1"/>
  <c r="BJ77" i="1"/>
  <c r="BJ78" i="1"/>
  <c r="BJ79" i="1"/>
  <c r="BJ80" i="1"/>
  <c r="BJ81" i="1"/>
  <c r="BJ82" i="1"/>
  <c r="BJ83" i="1"/>
  <c r="BJ84" i="1"/>
  <c r="BJ85" i="1"/>
  <c r="BJ86" i="1"/>
  <c r="BJ87" i="1"/>
  <c r="BJ88" i="1"/>
  <c r="BJ89" i="1"/>
  <c r="BJ90" i="1"/>
  <c r="BJ91" i="1"/>
  <c r="BJ92" i="1"/>
  <c r="BJ93" i="1"/>
  <c r="BJ94" i="1"/>
  <c r="BJ95" i="1"/>
  <c r="BJ96" i="1"/>
  <c r="BJ97" i="1"/>
  <c r="BJ98" i="1"/>
  <c r="BJ99" i="1"/>
  <c r="BJ100" i="1"/>
  <c r="BJ101" i="1"/>
  <c r="BJ102" i="1"/>
  <c r="BJ103" i="1"/>
  <c r="BJ104" i="1"/>
  <c r="BJ105" i="1"/>
  <c r="BJ106" i="1"/>
  <c r="BJ107" i="1"/>
  <c r="BJ108" i="1"/>
  <c r="BJ109" i="1"/>
  <c r="BJ110" i="1"/>
  <c r="BJ111" i="1"/>
  <c r="BJ112" i="1"/>
  <c r="BJ113" i="1"/>
  <c r="BJ114" i="1"/>
  <c r="BJ115" i="1"/>
  <c r="BJ116" i="1"/>
  <c r="BJ117" i="1"/>
  <c r="BJ118" i="1"/>
  <c r="BJ119" i="1"/>
  <c r="BJ120" i="1"/>
  <c r="BJ121" i="1"/>
  <c r="BJ122" i="1"/>
  <c r="BJ123" i="1"/>
  <c r="BJ124" i="1"/>
  <c r="BJ125" i="1"/>
  <c r="BJ126" i="1"/>
  <c r="BJ127" i="1"/>
  <c r="BJ128" i="1"/>
  <c r="BJ129" i="1"/>
  <c r="BJ130" i="1"/>
  <c r="BJ131" i="1"/>
  <c r="BJ132" i="1"/>
  <c r="BJ133" i="1"/>
  <c r="BJ134" i="1"/>
  <c r="BJ135" i="1"/>
  <c r="BJ136" i="1"/>
  <c r="BJ137" i="1"/>
  <c r="BJ138" i="1"/>
  <c r="BJ139" i="1"/>
  <c r="BJ140" i="1"/>
  <c r="BJ141" i="1"/>
  <c r="BJ142" i="1"/>
  <c r="BJ143" i="1"/>
  <c r="BJ144" i="1"/>
  <c r="BJ145" i="1"/>
  <c r="BJ146" i="1"/>
  <c r="BJ147" i="1"/>
  <c r="BJ148" i="1"/>
  <c r="BJ149" i="1"/>
  <c r="BJ150" i="1"/>
  <c r="BJ151" i="1"/>
  <c r="BJ152" i="1"/>
  <c r="BJ153" i="1"/>
  <c r="BJ154" i="1"/>
  <c r="BJ155" i="1"/>
  <c r="BJ156" i="1"/>
  <c r="BJ157" i="1"/>
  <c r="BJ158" i="1"/>
  <c r="BJ159" i="1"/>
  <c r="BJ160" i="1"/>
  <c r="BJ161" i="1"/>
  <c r="BJ162" i="1"/>
  <c r="BJ163" i="1"/>
  <c r="BJ164" i="1"/>
  <c r="BJ165" i="1"/>
  <c r="BJ166" i="1"/>
  <c r="BJ167" i="1"/>
  <c r="BJ168" i="1"/>
  <c r="BJ169" i="1"/>
  <c r="BJ170" i="1"/>
  <c r="BJ171" i="1"/>
  <c r="BJ172" i="1"/>
  <c r="BJ173" i="1"/>
  <c r="BJ174" i="1"/>
  <c r="BJ175" i="1"/>
  <c r="BJ176" i="1"/>
  <c r="BJ177" i="1"/>
  <c r="BJ178" i="1"/>
  <c r="BJ179" i="1"/>
  <c r="BJ180" i="1"/>
  <c r="BJ181" i="1"/>
  <c r="BJ182" i="1"/>
  <c r="BJ183" i="1"/>
  <c r="BJ184" i="1"/>
  <c r="BJ185" i="1"/>
  <c r="BJ186" i="1"/>
  <c r="BJ187" i="1"/>
  <c r="BJ188" i="1"/>
  <c r="BJ189" i="1"/>
  <c r="BJ190" i="1"/>
  <c r="BJ191" i="1"/>
  <c r="BJ192" i="1"/>
  <c r="BJ193" i="1"/>
  <c r="BJ194" i="1"/>
  <c r="BJ195" i="1"/>
  <c r="BJ196" i="1"/>
  <c r="BJ197" i="1"/>
  <c r="BJ198" i="1"/>
  <c r="BJ199" i="1"/>
  <c r="BJ200" i="1"/>
  <c r="BJ201" i="1"/>
  <c r="BJ202" i="1"/>
  <c r="BJ203" i="1"/>
  <c r="BJ204" i="1"/>
  <c r="BJ205" i="1"/>
  <c r="BJ206" i="1"/>
  <c r="BJ207" i="1"/>
  <c r="BJ208" i="1"/>
  <c r="BJ209" i="1"/>
  <c r="BJ210" i="1"/>
  <c r="BJ211" i="1"/>
  <c r="BJ212" i="1"/>
  <c r="BJ213" i="1"/>
  <c r="BJ214" i="1"/>
  <c r="BJ215" i="1"/>
  <c r="BJ216" i="1"/>
  <c r="BJ217" i="1"/>
  <c r="BJ218" i="1"/>
  <c r="BJ219" i="1"/>
  <c r="BJ220" i="1"/>
  <c r="BJ221" i="1"/>
  <c r="BJ222" i="1"/>
  <c r="BJ223" i="1"/>
  <c r="BJ224" i="1"/>
  <c r="BJ225" i="1"/>
  <c r="BJ226" i="1"/>
  <c r="BJ227" i="1"/>
  <c r="BJ228" i="1"/>
  <c r="BJ229" i="1"/>
  <c r="BJ230" i="1"/>
  <c r="BJ231" i="1"/>
  <c r="BJ232" i="1"/>
  <c r="BJ233" i="1"/>
  <c r="BJ234" i="1"/>
  <c r="BJ235" i="1"/>
  <c r="BJ236" i="1"/>
  <c r="BJ237" i="1"/>
  <c r="BJ238" i="1"/>
  <c r="BJ239" i="1"/>
  <c r="BJ240" i="1"/>
  <c r="BJ241" i="1"/>
  <c r="BJ242" i="1"/>
  <c r="BJ243" i="1"/>
  <c r="BJ244" i="1"/>
  <c r="BJ245" i="1"/>
  <c r="BJ246" i="1"/>
  <c r="BJ247" i="1"/>
  <c r="BJ248" i="1"/>
  <c r="BJ249" i="1"/>
  <c r="BJ250" i="1"/>
  <c r="BJ251" i="1"/>
  <c r="BJ252" i="1"/>
  <c r="BJ253" i="1"/>
  <c r="BJ254" i="1"/>
  <c r="BJ255" i="1"/>
  <c r="BJ256" i="1"/>
  <c r="BJ257" i="1"/>
  <c r="BJ258" i="1"/>
  <c r="BJ259" i="1"/>
  <c r="BJ260" i="1"/>
  <c r="BJ261" i="1"/>
  <c r="BJ262" i="1"/>
  <c r="BJ263" i="1"/>
  <c r="BJ264" i="1"/>
  <c r="BJ265" i="1"/>
  <c r="BJ266" i="1"/>
  <c r="BJ267" i="1"/>
  <c r="BJ268" i="1"/>
  <c r="BJ269" i="1"/>
  <c r="BJ270" i="1"/>
  <c r="BJ271" i="1"/>
  <c r="BJ272" i="1"/>
  <c r="BJ273" i="1"/>
  <c r="BJ274" i="1"/>
  <c r="BJ275" i="1"/>
  <c r="BJ276" i="1"/>
  <c r="BJ277" i="1"/>
  <c r="BJ278" i="1"/>
  <c r="BJ279" i="1"/>
  <c r="BJ280" i="1"/>
  <c r="BJ281" i="1"/>
  <c r="BJ282" i="1"/>
  <c r="BJ283" i="1"/>
  <c r="BJ284" i="1"/>
  <c r="BJ285" i="1"/>
  <c r="BJ286" i="1"/>
  <c r="BJ287" i="1"/>
  <c r="BJ288" i="1"/>
  <c r="BJ289" i="1"/>
  <c r="BJ290" i="1"/>
  <c r="BJ291" i="1"/>
  <c r="BJ292" i="1"/>
  <c r="BJ293" i="1"/>
  <c r="BJ294" i="1"/>
  <c r="BJ295" i="1"/>
  <c r="BJ296" i="1"/>
  <c r="BJ297" i="1"/>
  <c r="BJ298" i="1"/>
  <c r="BJ299" i="1"/>
  <c r="BJ300" i="1"/>
  <c r="BJ301" i="1"/>
  <c r="BJ302" i="1"/>
  <c r="BJ303" i="1"/>
  <c r="BJ304" i="1"/>
  <c r="BJ305" i="1"/>
  <c r="BJ306" i="1"/>
  <c r="BJ307" i="1"/>
  <c r="BJ308" i="1"/>
  <c r="BJ309" i="1"/>
  <c r="BJ310" i="1"/>
  <c r="BJ311" i="1"/>
  <c r="BJ312" i="1"/>
  <c r="BJ313" i="1"/>
  <c r="BJ314" i="1"/>
  <c r="BJ315" i="1"/>
  <c r="BJ316" i="1"/>
  <c r="BJ317" i="1"/>
  <c r="BJ318" i="1"/>
  <c r="BJ319" i="1"/>
  <c r="BJ320" i="1"/>
  <c r="BJ321" i="1"/>
  <c r="BJ322" i="1"/>
  <c r="BJ323" i="1"/>
  <c r="BJ324" i="1"/>
  <c r="BJ325" i="1"/>
  <c r="BJ326" i="1"/>
  <c r="BJ327" i="1"/>
  <c r="BJ328" i="1"/>
  <c r="BJ329" i="1"/>
  <c r="BJ330" i="1"/>
  <c r="BJ331" i="1"/>
  <c r="BJ332" i="1"/>
  <c r="BJ333" i="1"/>
  <c r="BJ334" i="1"/>
  <c r="BJ335" i="1"/>
  <c r="BJ336" i="1"/>
  <c r="BJ337" i="1"/>
  <c r="BJ338" i="1"/>
  <c r="BJ339" i="1"/>
  <c r="BJ340" i="1"/>
  <c r="BJ341" i="1"/>
  <c r="BJ342" i="1"/>
  <c r="BJ343" i="1"/>
  <c r="BJ344" i="1"/>
  <c r="BJ345" i="1"/>
  <c r="BJ346" i="1"/>
  <c r="BJ347" i="1"/>
  <c r="BJ348" i="1"/>
  <c r="BJ349" i="1"/>
  <c r="BJ350" i="1"/>
  <c r="BJ351" i="1"/>
  <c r="BJ352" i="1"/>
  <c r="BJ353" i="1"/>
  <c r="BJ354" i="1"/>
  <c r="BJ355" i="1"/>
  <c r="BJ356" i="1"/>
  <c r="BJ357" i="1"/>
  <c r="BJ358" i="1"/>
  <c r="BJ359" i="1"/>
  <c r="BJ360" i="1"/>
  <c r="BJ361" i="1"/>
  <c r="BJ362" i="1"/>
  <c r="BJ363" i="1"/>
  <c r="BJ364" i="1"/>
  <c r="BJ365" i="1"/>
  <c r="BJ366" i="1"/>
  <c r="BJ367" i="1"/>
  <c r="BJ368" i="1"/>
  <c r="BJ369" i="1"/>
  <c r="BJ370" i="1"/>
  <c r="BJ371" i="1"/>
  <c r="BJ372" i="1"/>
  <c r="BJ373" i="1"/>
  <c r="BJ374" i="1"/>
  <c r="BJ375" i="1"/>
  <c r="BJ376" i="1"/>
  <c r="BJ377" i="1"/>
  <c r="BJ378" i="1"/>
  <c r="BJ379" i="1"/>
  <c r="BJ380" i="1"/>
  <c r="BJ381" i="1"/>
  <c r="BJ382" i="1"/>
  <c r="BJ383" i="1"/>
  <c r="BJ384" i="1"/>
  <c r="BJ385" i="1"/>
  <c r="BJ386" i="1"/>
  <c r="BJ387" i="1"/>
  <c r="BJ388" i="1"/>
  <c r="BJ389" i="1"/>
  <c r="BJ390" i="1"/>
  <c r="BJ391" i="1"/>
  <c r="BJ392" i="1"/>
  <c r="BJ393" i="1"/>
  <c r="BJ394" i="1"/>
  <c r="BJ395" i="1"/>
  <c r="BJ396" i="1"/>
  <c r="BJ397" i="1"/>
  <c r="BJ398" i="1"/>
  <c r="BJ399" i="1"/>
  <c r="BJ400" i="1"/>
  <c r="BJ401" i="1"/>
  <c r="BJ402" i="1"/>
  <c r="BJ403" i="1"/>
  <c r="BJ404" i="1"/>
  <c r="BJ405" i="1"/>
  <c r="BJ406" i="1"/>
  <c r="BJ407" i="1"/>
  <c r="BJ408" i="1"/>
  <c r="BJ409" i="1"/>
  <c r="BJ410" i="1"/>
  <c r="BJ411" i="1"/>
  <c r="BJ412" i="1"/>
  <c r="BJ413" i="1"/>
  <c r="BJ414" i="1"/>
  <c r="BJ415" i="1"/>
  <c r="BJ416" i="1"/>
  <c r="BJ417" i="1"/>
  <c r="BJ418" i="1"/>
  <c r="BJ419" i="1"/>
  <c r="BJ420" i="1"/>
  <c r="BJ421" i="1"/>
  <c r="BJ422" i="1"/>
  <c r="BJ423" i="1"/>
  <c r="BJ424" i="1"/>
  <c r="BJ425" i="1"/>
  <c r="BJ426" i="1"/>
  <c r="BJ427" i="1"/>
  <c r="BJ428" i="1"/>
  <c r="BJ429" i="1"/>
  <c r="BJ430" i="1"/>
  <c r="BJ431" i="1"/>
  <c r="BJ432" i="1"/>
  <c r="BJ433" i="1"/>
  <c r="BJ434" i="1"/>
  <c r="BJ435" i="1"/>
  <c r="BJ436" i="1"/>
  <c r="BJ437" i="1"/>
  <c r="BJ438" i="1"/>
  <c r="BJ439" i="1"/>
  <c r="BJ440" i="1"/>
  <c r="BJ441" i="1"/>
  <c r="BJ442" i="1"/>
  <c r="BJ443" i="1"/>
  <c r="BJ444" i="1"/>
  <c r="BJ445" i="1"/>
  <c r="BJ446" i="1"/>
  <c r="BJ447" i="1"/>
  <c r="BJ448" i="1"/>
  <c r="BJ449" i="1"/>
  <c r="BJ450" i="1"/>
  <c r="BJ451" i="1"/>
  <c r="BJ452" i="1"/>
  <c r="BJ453" i="1"/>
  <c r="BJ454" i="1"/>
  <c r="BJ455" i="1"/>
  <c r="BJ456" i="1"/>
  <c r="BJ457" i="1"/>
  <c r="BJ458" i="1"/>
  <c r="BJ459" i="1"/>
  <c r="BJ460" i="1"/>
  <c r="BJ461" i="1"/>
  <c r="BJ462" i="1"/>
  <c r="BJ463" i="1"/>
  <c r="BJ464" i="1"/>
  <c r="BJ465" i="1"/>
  <c r="BJ466" i="1"/>
  <c r="BJ467" i="1"/>
  <c r="BJ468" i="1"/>
  <c r="BJ469" i="1"/>
  <c r="BJ470" i="1"/>
  <c r="BJ471" i="1"/>
  <c r="BJ472" i="1"/>
  <c r="BJ473" i="1"/>
  <c r="BJ474" i="1"/>
  <c r="BJ475" i="1"/>
  <c r="BJ476" i="1"/>
  <c r="BJ477" i="1"/>
  <c r="BJ478" i="1"/>
  <c r="BJ479" i="1"/>
  <c r="BJ480" i="1"/>
  <c r="BJ481" i="1"/>
  <c r="BJ482" i="1"/>
  <c r="BJ483" i="1"/>
  <c r="BJ484" i="1"/>
  <c r="BJ485" i="1"/>
  <c r="BJ486" i="1"/>
  <c r="BJ487" i="1"/>
  <c r="BJ488" i="1"/>
  <c r="BJ489" i="1"/>
  <c r="BJ490" i="1"/>
  <c r="BJ491" i="1"/>
  <c r="BJ492" i="1"/>
  <c r="BJ493" i="1"/>
  <c r="BJ494" i="1"/>
  <c r="BJ495" i="1"/>
  <c r="BJ496" i="1"/>
  <c r="BJ497" i="1"/>
  <c r="BJ498" i="1"/>
  <c r="BJ499" i="1"/>
  <c r="BJ500" i="1"/>
  <c r="BJ501" i="1"/>
  <c r="BJ502" i="1"/>
  <c r="BJ503" i="1"/>
  <c r="BJ504" i="1"/>
  <c r="BJ505" i="1"/>
  <c r="BJ506" i="1"/>
  <c r="BJ507" i="1"/>
  <c r="BJ508" i="1"/>
  <c r="BJ509" i="1"/>
  <c r="BJ510" i="1"/>
  <c r="BJ511" i="1"/>
  <c r="BJ512" i="1"/>
  <c r="BJ513" i="1"/>
  <c r="BJ514" i="1"/>
  <c r="BJ515" i="1"/>
  <c r="BJ516" i="1"/>
  <c r="BJ517" i="1"/>
  <c r="BJ518" i="1"/>
  <c r="BJ519" i="1"/>
  <c r="BJ520" i="1"/>
  <c r="BJ521" i="1"/>
  <c r="BJ522" i="1"/>
  <c r="BJ523" i="1"/>
  <c r="BJ524" i="1"/>
  <c r="BJ525" i="1"/>
  <c r="BJ526" i="1"/>
  <c r="BJ527" i="1"/>
  <c r="BJ528" i="1"/>
  <c r="BJ529" i="1"/>
  <c r="BJ530" i="1"/>
  <c r="BJ531" i="1"/>
  <c r="BJ532" i="1"/>
  <c r="BJ533" i="1"/>
  <c r="BJ534" i="1"/>
  <c r="BJ535" i="1"/>
  <c r="BJ536" i="1"/>
  <c r="BJ537" i="1"/>
  <c r="BJ538" i="1"/>
  <c r="BJ539" i="1"/>
  <c r="BJ540" i="1"/>
  <c r="BJ541" i="1"/>
  <c r="BJ542" i="1"/>
  <c r="BJ543" i="1"/>
  <c r="BJ544" i="1"/>
  <c r="BJ545" i="1"/>
  <c r="BJ546" i="1"/>
  <c r="BJ547" i="1"/>
  <c r="BJ548" i="1"/>
  <c r="BJ549" i="1"/>
  <c r="BJ550" i="1"/>
  <c r="BJ551" i="1"/>
  <c r="BJ552" i="1"/>
  <c r="BJ553" i="1"/>
  <c r="BJ554" i="1"/>
  <c r="BJ555" i="1"/>
  <c r="BJ556" i="1"/>
  <c r="BJ557" i="1"/>
  <c r="BJ558" i="1"/>
  <c r="BJ559" i="1"/>
  <c r="BJ560" i="1"/>
  <c r="BJ561" i="1"/>
  <c r="BJ562" i="1"/>
  <c r="BJ563" i="1"/>
  <c r="BJ564" i="1"/>
  <c r="BJ565" i="1"/>
  <c r="BJ566" i="1"/>
  <c r="BJ567" i="1"/>
  <c r="BJ568" i="1"/>
  <c r="BJ569" i="1"/>
  <c r="BJ570" i="1"/>
  <c r="BJ571" i="1"/>
  <c r="BJ572" i="1"/>
  <c r="BJ573" i="1"/>
  <c r="BJ574" i="1"/>
  <c r="BJ575" i="1"/>
  <c r="BJ576" i="1"/>
  <c r="BJ577" i="1"/>
  <c r="BJ578" i="1"/>
  <c r="BJ579" i="1"/>
  <c r="BJ580" i="1"/>
  <c r="BJ581" i="1"/>
  <c r="BJ582" i="1"/>
  <c r="BJ583" i="1"/>
  <c r="BJ584" i="1"/>
  <c r="BJ585" i="1"/>
  <c r="BJ586" i="1"/>
  <c r="BJ587" i="1"/>
  <c r="BJ588" i="1"/>
  <c r="BJ589" i="1"/>
  <c r="BJ590" i="1"/>
  <c r="BJ591" i="1"/>
  <c r="BJ592" i="1"/>
  <c r="BJ593" i="1"/>
  <c r="BJ594" i="1"/>
  <c r="BJ595" i="1"/>
  <c r="BJ596" i="1"/>
  <c r="BJ597" i="1"/>
  <c r="BJ598" i="1"/>
  <c r="BJ599" i="1"/>
  <c r="BJ600" i="1"/>
  <c r="BJ601" i="1"/>
  <c r="BJ602" i="1"/>
  <c r="BJ603" i="1"/>
  <c r="BJ604" i="1"/>
  <c r="BJ605" i="1"/>
  <c r="BJ606" i="1"/>
  <c r="BJ607" i="1"/>
  <c r="BJ608" i="1"/>
  <c r="BJ609" i="1"/>
  <c r="BJ610" i="1"/>
  <c r="BJ611" i="1"/>
  <c r="BJ612" i="1"/>
  <c r="BJ613" i="1"/>
  <c r="BJ614" i="1"/>
  <c r="BJ615" i="1"/>
  <c r="BJ616" i="1"/>
  <c r="BJ617" i="1"/>
  <c r="BJ618" i="1"/>
  <c r="BJ619" i="1"/>
  <c r="BJ620" i="1"/>
  <c r="BJ621" i="1"/>
  <c r="BJ622" i="1"/>
  <c r="BJ623" i="1"/>
  <c r="BJ624" i="1"/>
  <c r="BJ625" i="1"/>
  <c r="BJ626" i="1"/>
  <c r="BJ627" i="1"/>
  <c r="BJ628" i="1"/>
  <c r="BJ629" i="1"/>
  <c r="BJ630" i="1"/>
  <c r="BJ631" i="1"/>
  <c r="BJ632" i="1"/>
  <c r="BJ633" i="1"/>
  <c r="BJ634" i="1"/>
  <c r="BJ635" i="1"/>
  <c r="BJ636" i="1"/>
  <c r="BJ637" i="1"/>
  <c r="BJ638" i="1"/>
  <c r="BJ639" i="1"/>
  <c r="BJ640" i="1"/>
  <c r="BJ641" i="1"/>
  <c r="BJ642" i="1"/>
  <c r="BJ643" i="1"/>
  <c r="BJ644" i="1"/>
  <c r="BJ645" i="1"/>
  <c r="BJ646" i="1"/>
  <c r="BJ647" i="1"/>
  <c r="BJ648" i="1"/>
  <c r="BJ649" i="1"/>
  <c r="BJ650" i="1"/>
  <c r="BJ651" i="1"/>
  <c r="BJ652" i="1"/>
  <c r="BJ653" i="1"/>
  <c r="BJ654" i="1"/>
  <c r="BJ655" i="1"/>
  <c r="BJ656" i="1"/>
  <c r="BJ657" i="1"/>
  <c r="BJ658" i="1"/>
  <c r="BJ659" i="1"/>
  <c r="BJ660" i="1"/>
  <c r="BJ661" i="1"/>
  <c r="BI65" i="1"/>
  <c r="BI66" i="1"/>
  <c r="BI67" i="1"/>
  <c r="BI68" i="1"/>
  <c r="BI69" i="1"/>
  <c r="BI70" i="1"/>
  <c r="BI71" i="1"/>
  <c r="BI72" i="1"/>
  <c r="BI73" i="1"/>
  <c r="BI74" i="1"/>
  <c r="BI75" i="1"/>
  <c r="BI76" i="1"/>
  <c r="BI77" i="1"/>
  <c r="BI78" i="1"/>
  <c r="BI79" i="1"/>
  <c r="BI80" i="1"/>
  <c r="BI81" i="1"/>
  <c r="BI82" i="1"/>
  <c r="BI83" i="1"/>
  <c r="BI84" i="1"/>
  <c r="BI85" i="1"/>
  <c r="BI86" i="1"/>
  <c r="BI87" i="1"/>
  <c r="BI88" i="1"/>
  <c r="BI89" i="1"/>
  <c r="BI90" i="1"/>
  <c r="BI91" i="1"/>
  <c r="BI92" i="1"/>
  <c r="BI93" i="1"/>
  <c r="BI94" i="1"/>
  <c r="BI95" i="1"/>
  <c r="BI96" i="1"/>
  <c r="BI97" i="1"/>
  <c r="BI98" i="1"/>
  <c r="BI99" i="1"/>
  <c r="BI100" i="1"/>
  <c r="BI101" i="1"/>
  <c r="BI102" i="1"/>
  <c r="BI103" i="1"/>
  <c r="BI104" i="1"/>
  <c r="BI105" i="1"/>
  <c r="BI106" i="1"/>
  <c r="BI107" i="1"/>
  <c r="BI108" i="1"/>
  <c r="BI109" i="1"/>
  <c r="BI110" i="1"/>
  <c r="BI111" i="1"/>
  <c r="BI112" i="1"/>
  <c r="BI113" i="1"/>
  <c r="BI114" i="1"/>
  <c r="BI115" i="1"/>
  <c r="BI116" i="1"/>
  <c r="BI117" i="1"/>
  <c r="BI118" i="1"/>
  <c r="BI119" i="1"/>
  <c r="BI120" i="1"/>
  <c r="BI121" i="1"/>
  <c r="BI122" i="1"/>
  <c r="BI123" i="1"/>
  <c r="BI124" i="1"/>
  <c r="BI125" i="1"/>
  <c r="BI126" i="1"/>
  <c r="BI127" i="1"/>
  <c r="BI128" i="1"/>
  <c r="BI129" i="1"/>
  <c r="BI130" i="1"/>
  <c r="BI131" i="1"/>
  <c r="BI132" i="1"/>
  <c r="BI133" i="1"/>
  <c r="BI134" i="1"/>
  <c r="BI135" i="1"/>
  <c r="BI136" i="1"/>
  <c r="BI137" i="1"/>
  <c r="BI138" i="1"/>
  <c r="BI139" i="1"/>
  <c r="BI140" i="1"/>
  <c r="BI141" i="1"/>
  <c r="BI142" i="1"/>
  <c r="BI143" i="1"/>
  <c r="BI144" i="1"/>
  <c r="BI145" i="1"/>
  <c r="BI146" i="1"/>
  <c r="BI147" i="1"/>
  <c r="BI148" i="1"/>
  <c r="BI149" i="1"/>
  <c r="BI150" i="1"/>
  <c r="BI151" i="1"/>
  <c r="BI152" i="1"/>
  <c r="BI153" i="1"/>
  <c r="BI154" i="1"/>
  <c r="BI155" i="1"/>
  <c r="BI156" i="1"/>
  <c r="BI157" i="1"/>
  <c r="BI158" i="1"/>
  <c r="BI159" i="1"/>
  <c r="BI160" i="1"/>
  <c r="BI161" i="1"/>
  <c r="BI162" i="1"/>
  <c r="BI163" i="1"/>
  <c r="BI164" i="1"/>
  <c r="BI165" i="1"/>
  <c r="BI166" i="1"/>
  <c r="BI167" i="1"/>
  <c r="BI168" i="1"/>
  <c r="BI169" i="1"/>
  <c r="BI170" i="1"/>
  <c r="BI171" i="1"/>
  <c r="BI172" i="1"/>
  <c r="BI173" i="1"/>
  <c r="BI174" i="1"/>
  <c r="BI175" i="1"/>
  <c r="BI176" i="1"/>
  <c r="BI177" i="1"/>
  <c r="BI178" i="1"/>
  <c r="BI179" i="1"/>
  <c r="BI180" i="1"/>
  <c r="BI181" i="1"/>
  <c r="BI182" i="1"/>
  <c r="BI183" i="1"/>
  <c r="BI184" i="1"/>
  <c r="BI185" i="1"/>
  <c r="BI186" i="1"/>
  <c r="BI187" i="1"/>
  <c r="BI188" i="1"/>
  <c r="BI189" i="1"/>
  <c r="BI190" i="1"/>
  <c r="BI191" i="1"/>
  <c r="BI192" i="1"/>
  <c r="BI193" i="1"/>
  <c r="BI194" i="1"/>
  <c r="BI195" i="1"/>
  <c r="BI196" i="1"/>
  <c r="BI197" i="1"/>
  <c r="BI198" i="1"/>
  <c r="BI199" i="1"/>
  <c r="BI200" i="1"/>
  <c r="BI201" i="1"/>
  <c r="BI202" i="1"/>
  <c r="BI203" i="1"/>
  <c r="BI204" i="1"/>
  <c r="BI205" i="1"/>
  <c r="BI206" i="1"/>
  <c r="BI207" i="1"/>
  <c r="BI208" i="1"/>
  <c r="BI209" i="1"/>
  <c r="BI210" i="1"/>
  <c r="BI211" i="1"/>
  <c r="BI212" i="1"/>
  <c r="BI213" i="1"/>
  <c r="BI214" i="1"/>
  <c r="BI215" i="1"/>
  <c r="BI216" i="1"/>
  <c r="BI217" i="1"/>
  <c r="BI218" i="1"/>
  <c r="BI219" i="1"/>
  <c r="BI220" i="1"/>
  <c r="BI221" i="1"/>
  <c r="BI222" i="1"/>
  <c r="BI223" i="1"/>
  <c r="BI224" i="1"/>
  <c r="BI225" i="1"/>
  <c r="BI226" i="1"/>
  <c r="BI227" i="1"/>
  <c r="BI228" i="1"/>
  <c r="BI229" i="1"/>
  <c r="BI230" i="1"/>
  <c r="BI231" i="1"/>
  <c r="BI232" i="1"/>
  <c r="BI233" i="1"/>
  <c r="BI234" i="1"/>
  <c r="BI235" i="1"/>
  <c r="BI236" i="1"/>
  <c r="BI237" i="1"/>
  <c r="BI238" i="1"/>
  <c r="BI239" i="1"/>
  <c r="BI240" i="1"/>
  <c r="BI241" i="1"/>
  <c r="BI242" i="1"/>
  <c r="BI243" i="1"/>
  <c r="BI244" i="1"/>
  <c r="BI245" i="1"/>
  <c r="BI246" i="1"/>
  <c r="BI247" i="1"/>
  <c r="BI248" i="1"/>
  <c r="BI249" i="1"/>
  <c r="BI250" i="1"/>
  <c r="BI251" i="1"/>
  <c r="BI252" i="1"/>
  <c r="BI253" i="1"/>
  <c r="BI254" i="1"/>
  <c r="BI255" i="1"/>
  <c r="BI256" i="1"/>
  <c r="BI257" i="1"/>
  <c r="BI258" i="1"/>
  <c r="BI259" i="1"/>
  <c r="BI260" i="1"/>
  <c r="BI261" i="1"/>
  <c r="BI262" i="1"/>
  <c r="BI263" i="1"/>
  <c r="BI264" i="1"/>
  <c r="BI265" i="1"/>
  <c r="BI266" i="1"/>
  <c r="BI267" i="1"/>
  <c r="BI268" i="1"/>
  <c r="BI269" i="1"/>
  <c r="BI270" i="1"/>
  <c r="BI271" i="1"/>
  <c r="BI272" i="1"/>
  <c r="BI273" i="1"/>
  <c r="BI274" i="1"/>
  <c r="BI275" i="1"/>
  <c r="BI276" i="1"/>
  <c r="BI277" i="1"/>
  <c r="BI278" i="1"/>
  <c r="BI279" i="1"/>
  <c r="BI280" i="1"/>
  <c r="BI281" i="1"/>
  <c r="BI282" i="1"/>
  <c r="BI283" i="1"/>
  <c r="BI284" i="1"/>
  <c r="BI285" i="1"/>
  <c r="BI286" i="1"/>
  <c r="BI287" i="1"/>
  <c r="BI288" i="1"/>
  <c r="BI289" i="1"/>
  <c r="BI290" i="1"/>
  <c r="BI291" i="1"/>
  <c r="BI292" i="1"/>
  <c r="BI293" i="1"/>
  <c r="BI294" i="1"/>
  <c r="BI295" i="1"/>
  <c r="BI296" i="1"/>
  <c r="BI297" i="1"/>
  <c r="BI298" i="1"/>
  <c r="BI299" i="1"/>
  <c r="BI300" i="1"/>
  <c r="BI301" i="1"/>
  <c r="BI302" i="1"/>
  <c r="BI303" i="1"/>
  <c r="BI304" i="1"/>
  <c r="BI305" i="1"/>
  <c r="BI306" i="1"/>
  <c r="BI307" i="1"/>
  <c r="BI308" i="1"/>
  <c r="BI309" i="1"/>
  <c r="BI310" i="1"/>
  <c r="BI311" i="1"/>
  <c r="BI312" i="1"/>
  <c r="BI313" i="1"/>
  <c r="BI314" i="1"/>
  <c r="BI315" i="1"/>
  <c r="BI316" i="1"/>
  <c r="BI317" i="1"/>
  <c r="BI318" i="1"/>
  <c r="BI319" i="1"/>
  <c r="BI320" i="1"/>
  <c r="BI321" i="1"/>
  <c r="BI322" i="1"/>
  <c r="BI323" i="1"/>
  <c r="BI324" i="1"/>
  <c r="BI325" i="1"/>
  <c r="BI326" i="1"/>
  <c r="BI327" i="1"/>
  <c r="BI328" i="1"/>
  <c r="BI329" i="1"/>
  <c r="BI330" i="1"/>
  <c r="BI331" i="1"/>
  <c r="BI332" i="1"/>
  <c r="BI333" i="1"/>
  <c r="BI334" i="1"/>
  <c r="BI335" i="1"/>
  <c r="BI336" i="1"/>
  <c r="BI337" i="1"/>
  <c r="BI338" i="1"/>
  <c r="BI339" i="1"/>
  <c r="BI340" i="1"/>
  <c r="BI341" i="1"/>
  <c r="BI342" i="1"/>
  <c r="BI343" i="1"/>
  <c r="BI344" i="1"/>
  <c r="BI345" i="1"/>
  <c r="BI346" i="1"/>
  <c r="BI347" i="1"/>
  <c r="BI348" i="1"/>
  <c r="BI349" i="1"/>
  <c r="BI350" i="1"/>
  <c r="BI351" i="1"/>
  <c r="BI352" i="1"/>
  <c r="BI353" i="1"/>
  <c r="BI354" i="1"/>
  <c r="BI355" i="1"/>
  <c r="BI356" i="1"/>
  <c r="BI357" i="1"/>
  <c r="BI358" i="1"/>
  <c r="BI359" i="1"/>
  <c r="BI360" i="1"/>
  <c r="BI361" i="1"/>
  <c r="BI362" i="1"/>
  <c r="BI363" i="1"/>
  <c r="BI364" i="1"/>
  <c r="BI365" i="1"/>
  <c r="BI366" i="1"/>
  <c r="BI367" i="1"/>
  <c r="BI368" i="1"/>
  <c r="BI369" i="1"/>
  <c r="BI370" i="1"/>
  <c r="BI371" i="1"/>
  <c r="BI372" i="1"/>
  <c r="BI373" i="1"/>
  <c r="BI374" i="1"/>
  <c r="BI375" i="1"/>
  <c r="BI376" i="1"/>
  <c r="BI377" i="1"/>
  <c r="BI378" i="1"/>
  <c r="BI379" i="1"/>
  <c r="BI380" i="1"/>
  <c r="BI381" i="1"/>
  <c r="BI382" i="1"/>
  <c r="BI383" i="1"/>
  <c r="BI384" i="1"/>
  <c r="BI385" i="1"/>
  <c r="BI386" i="1"/>
  <c r="BI387" i="1"/>
  <c r="BI388" i="1"/>
  <c r="BI389" i="1"/>
  <c r="BI390" i="1"/>
  <c r="BI391" i="1"/>
  <c r="BI392" i="1"/>
  <c r="BI393" i="1"/>
  <c r="BI394" i="1"/>
  <c r="BI395" i="1"/>
  <c r="BI396" i="1"/>
  <c r="BI397" i="1"/>
  <c r="BI398" i="1"/>
  <c r="BI399" i="1"/>
  <c r="BI400" i="1"/>
  <c r="BI401" i="1"/>
  <c r="BI402" i="1"/>
  <c r="BI403" i="1"/>
  <c r="BI404" i="1"/>
  <c r="BI405" i="1"/>
  <c r="BI406" i="1"/>
  <c r="BI407" i="1"/>
  <c r="BI408" i="1"/>
  <c r="BI409" i="1"/>
  <c r="BI410" i="1"/>
  <c r="BI411" i="1"/>
  <c r="BI412" i="1"/>
  <c r="BI413" i="1"/>
  <c r="BI414" i="1"/>
  <c r="BI415" i="1"/>
  <c r="BI416" i="1"/>
  <c r="BI417" i="1"/>
  <c r="BI418" i="1"/>
  <c r="BI419" i="1"/>
  <c r="BI420" i="1"/>
  <c r="BI421" i="1"/>
  <c r="BI422" i="1"/>
  <c r="BI423" i="1"/>
  <c r="BI424" i="1"/>
  <c r="BI425" i="1"/>
  <c r="BI426" i="1"/>
  <c r="BI427" i="1"/>
  <c r="BI428" i="1"/>
  <c r="BI429" i="1"/>
  <c r="BI430" i="1"/>
  <c r="BI431" i="1"/>
  <c r="BI432" i="1"/>
  <c r="BI433" i="1"/>
  <c r="BI434" i="1"/>
  <c r="BI435" i="1"/>
  <c r="BI436" i="1"/>
  <c r="BI437" i="1"/>
  <c r="BI438" i="1"/>
  <c r="BI439" i="1"/>
  <c r="BI440" i="1"/>
  <c r="BI441" i="1"/>
  <c r="BI442" i="1"/>
  <c r="BI443" i="1"/>
  <c r="BI444" i="1"/>
  <c r="BI445" i="1"/>
  <c r="BI446" i="1"/>
  <c r="BI447" i="1"/>
  <c r="BI448" i="1"/>
  <c r="BI449" i="1"/>
  <c r="BI450" i="1"/>
  <c r="BI451" i="1"/>
  <c r="BI452" i="1"/>
  <c r="BI453" i="1"/>
  <c r="BI454" i="1"/>
  <c r="BI455" i="1"/>
  <c r="BI456" i="1"/>
  <c r="BI457" i="1"/>
  <c r="BI458" i="1"/>
  <c r="BI459" i="1"/>
  <c r="BI460" i="1"/>
  <c r="BI461" i="1"/>
  <c r="BI462" i="1"/>
  <c r="BI463" i="1"/>
  <c r="BI464" i="1"/>
  <c r="BI465" i="1"/>
  <c r="BI466" i="1"/>
  <c r="BI467" i="1"/>
  <c r="BI468" i="1"/>
  <c r="BI469" i="1"/>
  <c r="BI470" i="1"/>
  <c r="BI471" i="1"/>
  <c r="BI472" i="1"/>
  <c r="BI473" i="1"/>
  <c r="BI474" i="1"/>
  <c r="BI475" i="1"/>
  <c r="BI476" i="1"/>
  <c r="BI477" i="1"/>
  <c r="BI478" i="1"/>
  <c r="BI479" i="1"/>
  <c r="BI480" i="1"/>
  <c r="BI481" i="1"/>
  <c r="BI482" i="1"/>
  <c r="BI483" i="1"/>
  <c r="BI484" i="1"/>
  <c r="BI485" i="1"/>
  <c r="BI486" i="1"/>
  <c r="BI487" i="1"/>
  <c r="BI488" i="1"/>
  <c r="BI489" i="1"/>
  <c r="BI490" i="1"/>
  <c r="BI491" i="1"/>
  <c r="BI492" i="1"/>
  <c r="BI493" i="1"/>
  <c r="BI494" i="1"/>
  <c r="BI495" i="1"/>
  <c r="BI496" i="1"/>
  <c r="BI497" i="1"/>
  <c r="BI498" i="1"/>
  <c r="BI499" i="1"/>
  <c r="BI500" i="1"/>
  <c r="BI501" i="1"/>
  <c r="BI502" i="1"/>
  <c r="BI503" i="1"/>
  <c r="BI504" i="1"/>
  <c r="BI505" i="1"/>
  <c r="BI506" i="1"/>
  <c r="BI507" i="1"/>
  <c r="BI508" i="1"/>
  <c r="BI509" i="1"/>
  <c r="BI510" i="1"/>
  <c r="BI511" i="1"/>
  <c r="BI512" i="1"/>
  <c r="BI513" i="1"/>
  <c r="BI514" i="1"/>
  <c r="BI515" i="1"/>
  <c r="BI516" i="1"/>
  <c r="BI517" i="1"/>
  <c r="BI518" i="1"/>
  <c r="BI519" i="1"/>
  <c r="BI520" i="1"/>
  <c r="BI521" i="1"/>
  <c r="BI522" i="1"/>
  <c r="BI523" i="1"/>
  <c r="BI524" i="1"/>
  <c r="BI525" i="1"/>
  <c r="BI526" i="1"/>
  <c r="BI527" i="1"/>
  <c r="BI528" i="1"/>
  <c r="BI529" i="1"/>
  <c r="BI530" i="1"/>
  <c r="BI531" i="1"/>
  <c r="BI532" i="1"/>
  <c r="BI533" i="1"/>
  <c r="BI534" i="1"/>
  <c r="BI535" i="1"/>
  <c r="BI536" i="1"/>
  <c r="BI537" i="1"/>
  <c r="BI538" i="1"/>
  <c r="BI539" i="1"/>
  <c r="BI540" i="1"/>
  <c r="BI541" i="1"/>
  <c r="BI542" i="1"/>
  <c r="BI543" i="1"/>
  <c r="BI544" i="1"/>
  <c r="BI545" i="1"/>
  <c r="BI546" i="1"/>
  <c r="BI547" i="1"/>
  <c r="BI548" i="1"/>
  <c r="BI549" i="1"/>
  <c r="BI550" i="1"/>
  <c r="BI551" i="1"/>
  <c r="BI552" i="1"/>
  <c r="BI553" i="1"/>
  <c r="BI554" i="1"/>
  <c r="BI555" i="1"/>
  <c r="BI556" i="1"/>
  <c r="BI557" i="1"/>
  <c r="BI558" i="1"/>
  <c r="BI559" i="1"/>
  <c r="BI560" i="1"/>
  <c r="BI561" i="1"/>
  <c r="BI562" i="1"/>
  <c r="BI563" i="1"/>
  <c r="BI564" i="1"/>
  <c r="BI565" i="1"/>
  <c r="BI566" i="1"/>
  <c r="BI567" i="1"/>
  <c r="BI568" i="1"/>
  <c r="BI569" i="1"/>
  <c r="BI570" i="1"/>
  <c r="BI571" i="1"/>
  <c r="BI572" i="1"/>
  <c r="BI573" i="1"/>
  <c r="BI574" i="1"/>
  <c r="BI575" i="1"/>
  <c r="BI576" i="1"/>
  <c r="BI577" i="1"/>
  <c r="BI578" i="1"/>
  <c r="BI579" i="1"/>
  <c r="BI580" i="1"/>
  <c r="BI581" i="1"/>
  <c r="BI582" i="1"/>
  <c r="BI583" i="1"/>
  <c r="BI584" i="1"/>
  <c r="BI585" i="1"/>
  <c r="BI586" i="1"/>
  <c r="BI587" i="1"/>
  <c r="BI588" i="1"/>
  <c r="BI589" i="1"/>
  <c r="BI590" i="1"/>
  <c r="BI591" i="1"/>
  <c r="BI592" i="1"/>
  <c r="BI593" i="1"/>
  <c r="BI594" i="1"/>
  <c r="BI595" i="1"/>
  <c r="BI596" i="1"/>
  <c r="BI597" i="1"/>
  <c r="BI598" i="1"/>
  <c r="BI599" i="1"/>
  <c r="BI600" i="1"/>
  <c r="BI601" i="1"/>
  <c r="BI602" i="1"/>
  <c r="BI603" i="1"/>
  <c r="BI604" i="1"/>
  <c r="BI605" i="1"/>
  <c r="BI606" i="1"/>
  <c r="BI607" i="1"/>
  <c r="BI608" i="1"/>
  <c r="BI609" i="1"/>
  <c r="BI610" i="1"/>
  <c r="BI611" i="1"/>
  <c r="BI612" i="1"/>
  <c r="BI613" i="1"/>
  <c r="BI614" i="1"/>
  <c r="BI615" i="1"/>
  <c r="BI616" i="1"/>
  <c r="BI617" i="1"/>
  <c r="BI618" i="1"/>
  <c r="BI619" i="1"/>
  <c r="BI620" i="1"/>
  <c r="BI621" i="1"/>
  <c r="BI622" i="1"/>
  <c r="BI623" i="1"/>
  <c r="BI624" i="1"/>
  <c r="BI625" i="1"/>
  <c r="BI626" i="1"/>
  <c r="BI627" i="1"/>
  <c r="BI628" i="1"/>
  <c r="BI629" i="1"/>
  <c r="BI630" i="1"/>
  <c r="BI631" i="1"/>
  <c r="BI632" i="1"/>
  <c r="BI633" i="1"/>
  <c r="BI634" i="1"/>
  <c r="BI635" i="1"/>
  <c r="BI636" i="1"/>
  <c r="BI637" i="1"/>
  <c r="BI638" i="1"/>
  <c r="BI639" i="1"/>
  <c r="BI640" i="1"/>
  <c r="BI641" i="1"/>
  <c r="BI642" i="1"/>
  <c r="BI643" i="1"/>
  <c r="BI644" i="1"/>
  <c r="BI645" i="1"/>
  <c r="BI646" i="1"/>
  <c r="BI647" i="1"/>
  <c r="BI648" i="1"/>
  <c r="BI649" i="1"/>
  <c r="BI650" i="1"/>
  <c r="BI651" i="1"/>
  <c r="BI652" i="1"/>
  <c r="BI653" i="1"/>
  <c r="BI654" i="1"/>
  <c r="BI655" i="1"/>
  <c r="BI656" i="1"/>
  <c r="BI657" i="1"/>
  <c r="BI658" i="1"/>
  <c r="BI659" i="1"/>
  <c r="BI660" i="1"/>
  <c r="BI661" i="1"/>
  <c r="BH65" i="1"/>
  <c r="BH66" i="1"/>
  <c r="BH67" i="1"/>
  <c r="BH68" i="1"/>
  <c r="BH69" i="1"/>
  <c r="BH70" i="1"/>
  <c r="BH71" i="1"/>
  <c r="BH72" i="1"/>
  <c r="BH73" i="1"/>
  <c r="BH74" i="1"/>
  <c r="BH75" i="1"/>
  <c r="BH76" i="1"/>
  <c r="BH77" i="1"/>
  <c r="BH78" i="1"/>
  <c r="BH79" i="1"/>
  <c r="BH80" i="1"/>
  <c r="BH81" i="1"/>
  <c r="BH82" i="1"/>
  <c r="BH83" i="1"/>
  <c r="BH84" i="1"/>
  <c r="BH85" i="1"/>
  <c r="BH86" i="1"/>
  <c r="BH87" i="1"/>
  <c r="BH88" i="1"/>
  <c r="BH89" i="1"/>
  <c r="BH90" i="1"/>
  <c r="BH91" i="1"/>
  <c r="BH92" i="1"/>
  <c r="BH93" i="1"/>
  <c r="BH94" i="1"/>
  <c r="BH95" i="1"/>
  <c r="BH96" i="1"/>
  <c r="BH97" i="1"/>
  <c r="BH98" i="1"/>
  <c r="BH99" i="1"/>
  <c r="BH100" i="1"/>
  <c r="BH101" i="1"/>
  <c r="BH102" i="1"/>
  <c r="BH103" i="1"/>
  <c r="BH104" i="1"/>
  <c r="BH105" i="1"/>
  <c r="BH106" i="1"/>
  <c r="BH107" i="1"/>
  <c r="BH108" i="1"/>
  <c r="BH109" i="1"/>
  <c r="BH110" i="1"/>
  <c r="BH111" i="1"/>
  <c r="BH112" i="1"/>
  <c r="BH113" i="1"/>
  <c r="BH114" i="1"/>
  <c r="BH115" i="1"/>
  <c r="BH116" i="1"/>
  <c r="BH117" i="1"/>
  <c r="BH118" i="1"/>
  <c r="BH119" i="1"/>
  <c r="BH120" i="1"/>
  <c r="BH121" i="1"/>
  <c r="BH122" i="1"/>
  <c r="BH123" i="1"/>
  <c r="BH124" i="1"/>
  <c r="BH125" i="1"/>
  <c r="BH126" i="1"/>
  <c r="BH127" i="1"/>
  <c r="BH128" i="1"/>
  <c r="BH129" i="1"/>
  <c r="BH130" i="1"/>
  <c r="BH131" i="1"/>
  <c r="BH132" i="1"/>
  <c r="BH133" i="1"/>
  <c r="BH134" i="1"/>
  <c r="BH135" i="1"/>
  <c r="BH136" i="1"/>
  <c r="BH137" i="1"/>
  <c r="BH138" i="1"/>
  <c r="BH139" i="1"/>
  <c r="BH140" i="1"/>
  <c r="BH141" i="1"/>
  <c r="BH142" i="1"/>
  <c r="BH143" i="1"/>
  <c r="BH144" i="1"/>
  <c r="BH145" i="1"/>
  <c r="BH146" i="1"/>
  <c r="BH147" i="1"/>
  <c r="BH148" i="1"/>
  <c r="BH149" i="1"/>
  <c r="BH150" i="1"/>
  <c r="BH151" i="1"/>
  <c r="BH152" i="1"/>
  <c r="BH153" i="1"/>
  <c r="BH154" i="1"/>
  <c r="BH155" i="1"/>
  <c r="BH156" i="1"/>
  <c r="BH157" i="1"/>
  <c r="BH158" i="1"/>
  <c r="BH159" i="1"/>
  <c r="BH160" i="1"/>
  <c r="BH161" i="1"/>
  <c r="BH162" i="1"/>
  <c r="BH163" i="1"/>
  <c r="BH164" i="1"/>
  <c r="BH165" i="1"/>
  <c r="BH166" i="1"/>
  <c r="BH167" i="1"/>
  <c r="BH168" i="1"/>
  <c r="BH169" i="1"/>
  <c r="BH170" i="1"/>
  <c r="BH171" i="1"/>
  <c r="BH172" i="1"/>
  <c r="BH173" i="1"/>
  <c r="BH174" i="1"/>
  <c r="BH175" i="1"/>
  <c r="BH176" i="1"/>
  <c r="BH177" i="1"/>
  <c r="BH178" i="1"/>
  <c r="BH179" i="1"/>
  <c r="BH180" i="1"/>
  <c r="BH181" i="1"/>
  <c r="BH182" i="1"/>
  <c r="BH183" i="1"/>
  <c r="BH184" i="1"/>
  <c r="BH185" i="1"/>
  <c r="BH186" i="1"/>
  <c r="BH187" i="1"/>
  <c r="BH188" i="1"/>
  <c r="BH189" i="1"/>
  <c r="BH190" i="1"/>
  <c r="BH191" i="1"/>
  <c r="BH192" i="1"/>
  <c r="BH193" i="1"/>
  <c r="BH194" i="1"/>
  <c r="BH195" i="1"/>
  <c r="BH196" i="1"/>
  <c r="BH197" i="1"/>
  <c r="BH198" i="1"/>
  <c r="BH199" i="1"/>
  <c r="BH200" i="1"/>
  <c r="BH201" i="1"/>
  <c r="BH202" i="1"/>
  <c r="BH203" i="1"/>
  <c r="BH204" i="1"/>
  <c r="BH205" i="1"/>
  <c r="BH206" i="1"/>
  <c r="BH207" i="1"/>
  <c r="BH208" i="1"/>
  <c r="BH209" i="1"/>
  <c r="BH210" i="1"/>
  <c r="BH211" i="1"/>
  <c r="BH212" i="1"/>
  <c r="BH213" i="1"/>
  <c r="BH214" i="1"/>
  <c r="BH215" i="1"/>
  <c r="BH216" i="1"/>
  <c r="BH217" i="1"/>
  <c r="BH218" i="1"/>
  <c r="BH219" i="1"/>
  <c r="BH220" i="1"/>
  <c r="BH221" i="1"/>
  <c r="BH222" i="1"/>
  <c r="BH223" i="1"/>
  <c r="BH224" i="1"/>
  <c r="BH225" i="1"/>
  <c r="BH226" i="1"/>
  <c r="BH227" i="1"/>
  <c r="BH228" i="1"/>
  <c r="BH229" i="1"/>
  <c r="BH230" i="1"/>
  <c r="BH231" i="1"/>
  <c r="BH232" i="1"/>
  <c r="BH233" i="1"/>
  <c r="BH234" i="1"/>
  <c r="BH235" i="1"/>
  <c r="BH236" i="1"/>
  <c r="BH237" i="1"/>
  <c r="BH238" i="1"/>
  <c r="BH239" i="1"/>
  <c r="BH240" i="1"/>
  <c r="BH241" i="1"/>
  <c r="BH242" i="1"/>
  <c r="BH243" i="1"/>
  <c r="BH244" i="1"/>
  <c r="BH245" i="1"/>
  <c r="BH246" i="1"/>
  <c r="BH247" i="1"/>
  <c r="BH248" i="1"/>
  <c r="BH249" i="1"/>
  <c r="BH250" i="1"/>
  <c r="BH251" i="1"/>
  <c r="BH252" i="1"/>
  <c r="BH253" i="1"/>
  <c r="BH254" i="1"/>
  <c r="BH255" i="1"/>
  <c r="BH256" i="1"/>
  <c r="BH257" i="1"/>
  <c r="BH258" i="1"/>
  <c r="BH259" i="1"/>
  <c r="BH260" i="1"/>
  <c r="BH261" i="1"/>
  <c r="BH262" i="1"/>
  <c r="BH263" i="1"/>
  <c r="BH264" i="1"/>
  <c r="BH265" i="1"/>
  <c r="BH266" i="1"/>
  <c r="BH267" i="1"/>
  <c r="BH268" i="1"/>
  <c r="BH269" i="1"/>
  <c r="BH270" i="1"/>
  <c r="BH271" i="1"/>
  <c r="BH272" i="1"/>
  <c r="BH273" i="1"/>
  <c r="BH274" i="1"/>
  <c r="BH275" i="1"/>
  <c r="BH276" i="1"/>
  <c r="BH277" i="1"/>
  <c r="BH278" i="1"/>
  <c r="BH279" i="1"/>
  <c r="BH280" i="1"/>
  <c r="BH281" i="1"/>
  <c r="BH282" i="1"/>
  <c r="BH283" i="1"/>
  <c r="BH284" i="1"/>
  <c r="BH285" i="1"/>
  <c r="BH286" i="1"/>
  <c r="BH287" i="1"/>
  <c r="BH288" i="1"/>
  <c r="BH289" i="1"/>
  <c r="BH290" i="1"/>
  <c r="BH291" i="1"/>
  <c r="BH292" i="1"/>
  <c r="BH293" i="1"/>
  <c r="BH294" i="1"/>
  <c r="BH295" i="1"/>
  <c r="BH296" i="1"/>
  <c r="BH297" i="1"/>
  <c r="BH298" i="1"/>
  <c r="BH299" i="1"/>
  <c r="BH300" i="1"/>
  <c r="BH301" i="1"/>
  <c r="BH302" i="1"/>
  <c r="BH303" i="1"/>
  <c r="BH304" i="1"/>
  <c r="BH305" i="1"/>
  <c r="BH306" i="1"/>
  <c r="BH307" i="1"/>
  <c r="BH308" i="1"/>
  <c r="BH309" i="1"/>
  <c r="BH310" i="1"/>
  <c r="BH311" i="1"/>
  <c r="BH312" i="1"/>
  <c r="BH313" i="1"/>
  <c r="BH314" i="1"/>
  <c r="BH315" i="1"/>
  <c r="BH316" i="1"/>
  <c r="BH317" i="1"/>
  <c r="BH318" i="1"/>
  <c r="BH319" i="1"/>
  <c r="BH320" i="1"/>
  <c r="BH321" i="1"/>
  <c r="BH322" i="1"/>
  <c r="BH323" i="1"/>
  <c r="BH324" i="1"/>
  <c r="BH325" i="1"/>
  <c r="BH326" i="1"/>
  <c r="BH327" i="1"/>
  <c r="BH328" i="1"/>
  <c r="BH329" i="1"/>
  <c r="BH330" i="1"/>
  <c r="BH331" i="1"/>
  <c r="BH332" i="1"/>
  <c r="BH333" i="1"/>
  <c r="BH334" i="1"/>
  <c r="BH335" i="1"/>
  <c r="BH336" i="1"/>
  <c r="BH337" i="1"/>
  <c r="BH338" i="1"/>
  <c r="BH339" i="1"/>
  <c r="BH340" i="1"/>
  <c r="BH341" i="1"/>
  <c r="BH342" i="1"/>
  <c r="BH343" i="1"/>
  <c r="BH344" i="1"/>
  <c r="BH345" i="1"/>
  <c r="BH346" i="1"/>
  <c r="BH347" i="1"/>
  <c r="BH348" i="1"/>
  <c r="BH349" i="1"/>
  <c r="BH350" i="1"/>
  <c r="BH351" i="1"/>
  <c r="BH352" i="1"/>
  <c r="BH353" i="1"/>
  <c r="BH354" i="1"/>
  <c r="BH355" i="1"/>
  <c r="BH356" i="1"/>
  <c r="BH357" i="1"/>
  <c r="BH358" i="1"/>
  <c r="BH359" i="1"/>
  <c r="BH360" i="1"/>
  <c r="BH361" i="1"/>
  <c r="BH362" i="1"/>
  <c r="BH363" i="1"/>
  <c r="BH364" i="1"/>
  <c r="BH365" i="1"/>
  <c r="BH366" i="1"/>
  <c r="BH367" i="1"/>
  <c r="BH368" i="1"/>
  <c r="BH369" i="1"/>
  <c r="BH370" i="1"/>
  <c r="BH371" i="1"/>
  <c r="BH372" i="1"/>
  <c r="BH373" i="1"/>
  <c r="BH374" i="1"/>
  <c r="BH375" i="1"/>
  <c r="BH376" i="1"/>
  <c r="BH377" i="1"/>
  <c r="BH378" i="1"/>
  <c r="BH379" i="1"/>
  <c r="BH380" i="1"/>
  <c r="BH381" i="1"/>
  <c r="BH382" i="1"/>
  <c r="BH383" i="1"/>
  <c r="BH384" i="1"/>
  <c r="BH385" i="1"/>
  <c r="BH386" i="1"/>
  <c r="BH387" i="1"/>
  <c r="BH388" i="1"/>
  <c r="BH389" i="1"/>
  <c r="BH390" i="1"/>
  <c r="BH391" i="1"/>
  <c r="BH392" i="1"/>
  <c r="BH393" i="1"/>
  <c r="BH394" i="1"/>
  <c r="BH395" i="1"/>
  <c r="BH396" i="1"/>
  <c r="BH397" i="1"/>
  <c r="BH398" i="1"/>
  <c r="BH399" i="1"/>
  <c r="BH400" i="1"/>
  <c r="BH401" i="1"/>
  <c r="BH402" i="1"/>
  <c r="BH403" i="1"/>
  <c r="BH404" i="1"/>
  <c r="BH405" i="1"/>
  <c r="BH406" i="1"/>
  <c r="BH407" i="1"/>
  <c r="BH408" i="1"/>
  <c r="BH409" i="1"/>
  <c r="BH410" i="1"/>
  <c r="BH411" i="1"/>
  <c r="BH412" i="1"/>
  <c r="BH413" i="1"/>
  <c r="BH414" i="1"/>
  <c r="BH415" i="1"/>
  <c r="BH416" i="1"/>
  <c r="BH417" i="1"/>
  <c r="BH418" i="1"/>
  <c r="BH419" i="1"/>
  <c r="BH420" i="1"/>
  <c r="BH421" i="1"/>
  <c r="BH422" i="1"/>
  <c r="BH423" i="1"/>
  <c r="BH424" i="1"/>
  <c r="BH425" i="1"/>
  <c r="BH426" i="1"/>
  <c r="BH427" i="1"/>
  <c r="BH428" i="1"/>
  <c r="BH429" i="1"/>
  <c r="BH430" i="1"/>
  <c r="BH431" i="1"/>
  <c r="BH432" i="1"/>
  <c r="BH433" i="1"/>
  <c r="BH434" i="1"/>
  <c r="BH435" i="1"/>
  <c r="BH436" i="1"/>
  <c r="BH437" i="1"/>
  <c r="BH438" i="1"/>
  <c r="BH439" i="1"/>
  <c r="BH440" i="1"/>
  <c r="BH441" i="1"/>
  <c r="BH442" i="1"/>
  <c r="BH443" i="1"/>
  <c r="BH444" i="1"/>
  <c r="BH445" i="1"/>
  <c r="BH446" i="1"/>
  <c r="BH447" i="1"/>
  <c r="BH448" i="1"/>
  <c r="BH449" i="1"/>
  <c r="BH450" i="1"/>
  <c r="BH451" i="1"/>
  <c r="BH452" i="1"/>
  <c r="BH453" i="1"/>
  <c r="BH454" i="1"/>
  <c r="BH455" i="1"/>
  <c r="BH456" i="1"/>
  <c r="BH457" i="1"/>
  <c r="BH458" i="1"/>
  <c r="BH459" i="1"/>
  <c r="BH460" i="1"/>
  <c r="BH461" i="1"/>
  <c r="BH462" i="1"/>
  <c r="BH463" i="1"/>
  <c r="BH464" i="1"/>
  <c r="BH465" i="1"/>
  <c r="BH466" i="1"/>
  <c r="BH467" i="1"/>
  <c r="BH468" i="1"/>
  <c r="BH469" i="1"/>
  <c r="BH470" i="1"/>
  <c r="BH471" i="1"/>
  <c r="BH472" i="1"/>
  <c r="BH473" i="1"/>
  <c r="BH474" i="1"/>
  <c r="BH475" i="1"/>
  <c r="BH476" i="1"/>
  <c r="BH477" i="1"/>
  <c r="BH478" i="1"/>
  <c r="BH479" i="1"/>
  <c r="BH480" i="1"/>
  <c r="BH481" i="1"/>
  <c r="BH482" i="1"/>
  <c r="BH483" i="1"/>
  <c r="BH484" i="1"/>
  <c r="BH485" i="1"/>
  <c r="BH486" i="1"/>
  <c r="BH487" i="1"/>
  <c r="BH488" i="1"/>
  <c r="BH489" i="1"/>
  <c r="BH490" i="1"/>
  <c r="BH491" i="1"/>
  <c r="BH492" i="1"/>
  <c r="BH493" i="1"/>
  <c r="BH494" i="1"/>
  <c r="BH495" i="1"/>
  <c r="BH496" i="1"/>
  <c r="BH497" i="1"/>
  <c r="BH498" i="1"/>
  <c r="BH499" i="1"/>
  <c r="BH500" i="1"/>
  <c r="BH501" i="1"/>
  <c r="BH502" i="1"/>
  <c r="BH503" i="1"/>
  <c r="BH504" i="1"/>
  <c r="BH505" i="1"/>
  <c r="BH506" i="1"/>
  <c r="BH507" i="1"/>
  <c r="BH508" i="1"/>
  <c r="BH509" i="1"/>
  <c r="BH510" i="1"/>
  <c r="BH511" i="1"/>
  <c r="BH512" i="1"/>
  <c r="BH513" i="1"/>
  <c r="BH514" i="1"/>
  <c r="BH515" i="1"/>
  <c r="BH516" i="1"/>
  <c r="BH517" i="1"/>
  <c r="BH518" i="1"/>
  <c r="BH519" i="1"/>
  <c r="BH520" i="1"/>
  <c r="BH521" i="1"/>
  <c r="BH522" i="1"/>
  <c r="BH523" i="1"/>
  <c r="BH524" i="1"/>
  <c r="BH525" i="1"/>
  <c r="BH526" i="1"/>
  <c r="BH527" i="1"/>
  <c r="BH528" i="1"/>
  <c r="BH529" i="1"/>
  <c r="BH530" i="1"/>
  <c r="BH531" i="1"/>
  <c r="BH532" i="1"/>
  <c r="BH533" i="1"/>
  <c r="BH534" i="1"/>
  <c r="BH535" i="1"/>
  <c r="BH536" i="1"/>
  <c r="BH537" i="1"/>
  <c r="BH538" i="1"/>
  <c r="BH539" i="1"/>
  <c r="BH540" i="1"/>
  <c r="BH541" i="1"/>
  <c r="BH542" i="1"/>
  <c r="BH543" i="1"/>
  <c r="BH544" i="1"/>
  <c r="BH545" i="1"/>
  <c r="BH546" i="1"/>
  <c r="BH547" i="1"/>
  <c r="BH548" i="1"/>
  <c r="BH549" i="1"/>
  <c r="BH550" i="1"/>
  <c r="BH551" i="1"/>
  <c r="BH552" i="1"/>
  <c r="BH553" i="1"/>
  <c r="BH554" i="1"/>
  <c r="BH555" i="1"/>
  <c r="BH556" i="1"/>
  <c r="BH557" i="1"/>
  <c r="BH558" i="1"/>
  <c r="BH559" i="1"/>
  <c r="BH560" i="1"/>
  <c r="BH561" i="1"/>
  <c r="BH562" i="1"/>
  <c r="BH563" i="1"/>
  <c r="BH564" i="1"/>
  <c r="BH565" i="1"/>
  <c r="BH566" i="1"/>
  <c r="BH567" i="1"/>
  <c r="BH568" i="1"/>
  <c r="BH569" i="1"/>
  <c r="BH570" i="1"/>
  <c r="BH571" i="1"/>
  <c r="BH572" i="1"/>
  <c r="BH573" i="1"/>
  <c r="BH574" i="1"/>
  <c r="BH575" i="1"/>
  <c r="BH576" i="1"/>
  <c r="BH577" i="1"/>
  <c r="BH578" i="1"/>
  <c r="BH579" i="1"/>
  <c r="BH580" i="1"/>
  <c r="BH581" i="1"/>
  <c r="BH582" i="1"/>
  <c r="BH583" i="1"/>
  <c r="BH584" i="1"/>
  <c r="BH585" i="1"/>
  <c r="BH586" i="1"/>
  <c r="BH587" i="1"/>
  <c r="BH588" i="1"/>
  <c r="BH589" i="1"/>
  <c r="BH590" i="1"/>
  <c r="BH591" i="1"/>
  <c r="BH592" i="1"/>
  <c r="BH593" i="1"/>
  <c r="BH594" i="1"/>
  <c r="BH595" i="1"/>
  <c r="BH596" i="1"/>
  <c r="BH597" i="1"/>
  <c r="BH598" i="1"/>
  <c r="BH599" i="1"/>
  <c r="BH600" i="1"/>
  <c r="BH601" i="1"/>
  <c r="BH602" i="1"/>
  <c r="BH603" i="1"/>
  <c r="BH604" i="1"/>
  <c r="BH605" i="1"/>
  <c r="BH606" i="1"/>
  <c r="BH607" i="1"/>
  <c r="BH608" i="1"/>
  <c r="BH609" i="1"/>
  <c r="BH610" i="1"/>
  <c r="BH611" i="1"/>
  <c r="BH612" i="1"/>
  <c r="BH613" i="1"/>
  <c r="BH614" i="1"/>
  <c r="BH615" i="1"/>
  <c r="BH616" i="1"/>
  <c r="BH617" i="1"/>
  <c r="BH618" i="1"/>
  <c r="BH619" i="1"/>
  <c r="BH620" i="1"/>
  <c r="BH621" i="1"/>
  <c r="BH622" i="1"/>
  <c r="BH623" i="1"/>
  <c r="BH624" i="1"/>
  <c r="BH625" i="1"/>
  <c r="BH626" i="1"/>
  <c r="BH627" i="1"/>
  <c r="BH628" i="1"/>
  <c r="BH629" i="1"/>
  <c r="BH630" i="1"/>
  <c r="BH631" i="1"/>
  <c r="BH632" i="1"/>
  <c r="BH633" i="1"/>
  <c r="BH634" i="1"/>
  <c r="BH635" i="1"/>
  <c r="BH636" i="1"/>
  <c r="BH637" i="1"/>
  <c r="BH638" i="1"/>
  <c r="BH639" i="1"/>
  <c r="BH640" i="1"/>
  <c r="BH641" i="1"/>
  <c r="BH642" i="1"/>
  <c r="BH643" i="1"/>
  <c r="BH644" i="1"/>
  <c r="BH645" i="1"/>
  <c r="BH646" i="1"/>
  <c r="BH647" i="1"/>
  <c r="BH648" i="1"/>
  <c r="BH649" i="1"/>
  <c r="BH650" i="1"/>
  <c r="BH651" i="1"/>
  <c r="BH652" i="1"/>
  <c r="BH653" i="1"/>
  <c r="BH654" i="1"/>
  <c r="BH655" i="1"/>
  <c r="BH656" i="1"/>
  <c r="BH657" i="1"/>
  <c r="BH658" i="1"/>
  <c r="BH659" i="1"/>
  <c r="BH660" i="1"/>
  <c r="BH661" i="1"/>
  <c r="AL4" i="1" l="1"/>
  <c r="BG77" i="1"/>
  <c r="BG78" i="1"/>
  <c r="BG79" i="1"/>
  <c r="BG80" i="1"/>
  <c r="BG81" i="1"/>
  <c r="BG82" i="1"/>
  <c r="BG83" i="1"/>
  <c r="BG84" i="1"/>
  <c r="BG85" i="1"/>
  <c r="BG86" i="1"/>
  <c r="BG87" i="1"/>
  <c r="BG88" i="1"/>
  <c r="BG89" i="1"/>
  <c r="BG90" i="1"/>
  <c r="BG91" i="1"/>
  <c r="BG92" i="1"/>
  <c r="BG93" i="1"/>
  <c r="BG94" i="1"/>
  <c r="BG95" i="1"/>
  <c r="BG96" i="1"/>
  <c r="BG97" i="1"/>
  <c r="BG98" i="1"/>
  <c r="BG99" i="1"/>
  <c r="BG100" i="1"/>
  <c r="BG101" i="1"/>
  <c r="BG102" i="1"/>
  <c r="BG103" i="1"/>
  <c r="BG104" i="1"/>
  <c r="BG105" i="1"/>
  <c r="BG106" i="1"/>
  <c r="BG107" i="1"/>
  <c r="BG108" i="1"/>
  <c r="BG109" i="1"/>
  <c r="BG110" i="1"/>
  <c r="BG111" i="1"/>
  <c r="BG112" i="1"/>
  <c r="BG113" i="1"/>
  <c r="BG114" i="1"/>
  <c r="BG115" i="1"/>
  <c r="BG116" i="1"/>
  <c r="BG117" i="1"/>
  <c r="BG118" i="1"/>
  <c r="BG119" i="1"/>
  <c r="BG120" i="1"/>
  <c r="BG121" i="1"/>
  <c r="BG122" i="1"/>
  <c r="BG123" i="1"/>
  <c r="BG124" i="1"/>
  <c r="BG125" i="1"/>
  <c r="BG126" i="1"/>
  <c r="BG127" i="1"/>
  <c r="BG128" i="1"/>
  <c r="BG129" i="1"/>
  <c r="BG130" i="1"/>
  <c r="BG131" i="1"/>
  <c r="BG132" i="1"/>
  <c r="BG133" i="1"/>
  <c r="BG134" i="1"/>
  <c r="BG135" i="1"/>
  <c r="BG136" i="1"/>
  <c r="BG137" i="1"/>
  <c r="BG138" i="1"/>
  <c r="BG139" i="1"/>
  <c r="BG140" i="1"/>
  <c r="BG141" i="1"/>
  <c r="BG142" i="1"/>
  <c r="BG143" i="1"/>
  <c r="BG144" i="1"/>
  <c r="BG145" i="1"/>
  <c r="BG146" i="1"/>
  <c r="BG147" i="1"/>
  <c r="BG148" i="1"/>
  <c r="BG149" i="1"/>
  <c r="BG150" i="1"/>
  <c r="BG151" i="1"/>
  <c r="BG152" i="1"/>
  <c r="BG153" i="1"/>
  <c r="BG154" i="1"/>
  <c r="BG155" i="1"/>
  <c r="BG156" i="1"/>
  <c r="BG157" i="1"/>
  <c r="BG158" i="1"/>
  <c r="BG159" i="1"/>
  <c r="BG160" i="1"/>
  <c r="BG161" i="1"/>
  <c r="BG162" i="1"/>
  <c r="BG163" i="1"/>
  <c r="BG164" i="1"/>
  <c r="BG165" i="1"/>
  <c r="BG166" i="1"/>
  <c r="BG167" i="1"/>
  <c r="BG168" i="1"/>
  <c r="BG169" i="1"/>
  <c r="BG170" i="1"/>
  <c r="BG171" i="1"/>
  <c r="BG172" i="1"/>
  <c r="BG173" i="1"/>
  <c r="BG174" i="1"/>
  <c r="BG175" i="1"/>
  <c r="BG176" i="1"/>
  <c r="BG177" i="1"/>
  <c r="BG178" i="1"/>
  <c r="BG179" i="1"/>
  <c r="BG180" i="1"/>
  <c r="BG181" i="1"/>
  <c r="BG182" i="1"/>
  <c r="BG183" i="1"/>
  <c r="BG184" i="1"/>
  <c r="BG185" i="1"/>
  <c r="BG186" i="1"/>
  <c r="BG187" i="1"/>
  <c r="BG188" i="1"/>
  <c r="BG189" i="1"/>
  <c r="BG190" i="1"/>
  <c r="BG191" i="1"/>
  <c r="BG192" i="1"/>
  <c r="BG193" i="1"/>
  <c r="BG194" i="1"/>
  <c r="BG195" i="1"/>
  <c r="BG196" i="1"/>
  <c r="BG197" i="1"/>
  <c r="BG198" i="1"/>
  <c r="BG199" i="1"/>
  <c r="BG200" i="1"/>
  <c r="BG201" i="1"/>
  <c r="BG202" i="1"/>
  <c r="BG203" i="1"/>
  <c r="BG204" i="1"/>
  <c r="BG205" i="1"/>
  <c r="BG206" i="1"/>
  <c r="BG207" i="1"/>
  <c r="BG208" i="1"/>
  <c r="BG209" i="1"/>
  <c r="BG210" i="1"/>
  <c r="BG211" i="1"/>
  <c r="BG212" i="1"/>
  <c r="BG213" i="1"/>
  <c r="BG214" i="1"/>
  <c r="BG215" i="1"/>
  <c r="BG216" i="1"/>
  <c r="BG217" i="1"/>
  <c r="BG218" i="1"/>
  <c r="BG219" i="1"/>
  <c r="BG220" i="1"/>
  <c r="BG221" i="1"/>
  <c r="BG222" i="1"/>
  <c r="BG223" i="1"/>
  <c r="BG224" i="1"/>
  <c r="BG225" i="1"/>
  <c r="BG226" i="1"/>
  <c r="BG227" i="1"/>
  <c r="BG228" i="1"/>
  <c r="BG229" i="1"/>
  <c r="BG230" i="1"/>
  <c r="BG231" i="1"/>
  <c r="BG232" i="1"/>
  <c r="BG233" i="1"/>
  <c r="BG234" i="1"/>
  <c r="BG235" i="1"/>
  <c r="BG236" i="1"/>
  <c r="BG237" i="1"/>
  <c r="BG238" i="1"/>
  <c r="BG239" i="1"/>
  <c r="BG240" i="1"/>
  <c r="BG241" i="1"/>
  <c r="BG242" i="1"/>
  <c r="BG243" i="1"/>
  <c r="BG244" i="1"/>
  <c r="BG245" i="1"/>
  <c r="BG246" i="1"/>
  <c r="BG247" i="1"/>
  <c r="BG248" i="1"/>
  <c r="BG249" i="1"/>
  <c r="BG250" i="1"/>
  <c r="BG251" i="1"/>
  <c r="BG252" i="1"/>
  <c r="BG253" i="1"/>
  <c r="BG254" i="1"/>
  <c r="BG255" i="1"/>
  <c r="BG256" i="1"/>
  <c r="BG257" i="1"/>
  <c r="BG258" i="1"/>
  <c r="BG259" i="1"/>
  <c r="BG260" i="1"/>
  <c r="BG261" i="1"/>
  <c r="BG262" i="1"/>
  <c r="BG263" i="1"/>
  <c r="BG264" i="1"/>
  <c r="BG265" i="1"/>
  <c r="BG266" i="1"/>
  <c r="BG267" i="1"/>
  <c r="BG268" i="1"/>
  <c r="BG269" i="1"/>
  <c r="BG270" i="1"/>
  <c r="BG271" i="1"/>
  <c r="BG272" i="1"/>
  <c r="BG273" i="1"/>
  <c r="BG274" i="1"/>
  <c r="BG275" i="1"/>
  <c r="BG276" i="1"/>
  <c r="BG277" i="1"/>
  <c r="BG278" i="1"/>
  <c r="BG279" i="1"/>
  <c r="BG280" i="1"/>
  <c r="BG281" i="1"/>
  <c r="BG282" i="1"/>
  <c r="BG283" i="1"/>
  <c r="BG284" i="1"/>
  <c r="BG285" i="1"/>
  <c r="BG286" i="1"/>
  <c r="BG287" i="1"/>
  <c r="BG288" i="1"/>
  <c r="BG289" i="1"/>
  <c r="BG290" i="1"/>
  <c r="BG291" i="1"/>
  <c r="BG292" i="1"/>
  <c r="BG293" i="1"/>
  <c r="BG294" i="1"/>
  <c r="BG295" i="1"/>
  <c r="BG296" i="1"/>
  <c r="BG297" i="1"/>
  <c r="BG298" i="1"/>
  <c r="BG299" i="1"/>
  <c r="BG300" i="1"/>
  <c r="BG301" i="1"/>
  <c r="BG302" i="1"/>
  <c r="BG303" i="1"/>
  <c r="BG304" i="1"/>
  <c r="BG305" i="1"/>
  <c r="BG306" i="1"/>
  <c r="BG307" i="1"/>
  <c r="BG308" i="1"/>
  <c r="BG309" i="1"/>
  <c r="BG310" i="1"/>
  <c r="BG311" i="1"/>
  <c r="BG312" i="1"/>
  <c r="BG313" i="1"/>
  <c r="BG314" i="1"/>
  <c r="BG315" i="1"/>
  <c r="BG316" i="1"/>
  <c r="BG317" i="1"/>
  <c r="BG318" i="1"/>
  <c r="BG319" i="1"/>
  <c r="BG320" i="1"/>
  <c r="BG321" i="1"/>
  <c r="BG322" i="1"/>
  <c r="BG323" i="1"/>
  <c r="BG324" i="1"/>
  <c r="BG325" i="1"/>
  <c r="BG326" i="1"/>
  <c r="BG327" i="1"/>
  <c r="BG328" i="1"/>
  <c r="BG329" i="1"/>
  <c r="BG330" i="1"/>
  <c r="BG331" i="1"/>
  <c r="BG332" i="1"/>
  <c r="BG333" i="1"/>
  <c r="BG334" i="1"/>
  <c r="BG335" i="1"/>
  <c r="BG336" i="1"/>
  <c r="BG337" i="1"/>
  <c r="BG338" i="1"/>
  <c r="BG339" i="1"/>
  <c r="BG340" i="1"/>
  <c r="BG341" i="1"/>
  <c r="BG342" i="1"/>
  <c r="BG343" i="1"/>
  <c r="BG344" i="1"/>
  <c r="BG345" i="1"/>
  <c r="BG346" i="1"/>
  <c r="BG347" i="1"/>
  <c r="BG348" i="1"/>
  <c r="BG349" i="1"/>
  <c r="BG350" i="1"/>
  <c r="BG351" i="1"/>
  <c r="BG352" i="1"/>
  <c r="BG353" i="1"/>
  <c r="BG354" i="1"/>
  <c r="BG355" i="1"/>
  <c r="BG356" i="1"/>
  <c r="BG357" i="1"/>
  <c r="BG358" i="1"/>
  <c r="BG359" i="1"/>
  <c r="BG360" i="1"/>
  <c r="BG361" i="1"/>
  <c r="BG362" i="1"/>
  <c r="BG363" i="1"/>
  <c r="BG364" i="1"/>
  <c r="BG365" i="1"/>
  <c r="BG366" i="1"/>
  <c r="BG367" i="1"/>
  <c r="BG368" i="1"/>
  <c r="BG369" i="1"/>
  <c r="BG370" i="1"/>
  <c r="BG371" i="1"/>
  <c r="BG372" i="1"/>
  <c r="BG373" i="1"/>
  <c r="BG374" i="1"/>
  <c r="BG375" i="1"/>
  <c r="BG376" i="1"/>
  <c r="BG377" i="1"/>
  <c r="BG378" i="1"/>
  <c r="BG379" i="1"/>
  <c r="BG380" i="1"/>
  <c r="BG381" i="1"/>
  <c r="BG382" i="1"/>
  <c r="BG383" i="1"/>
  <c r="BG384" i="1"/>
  <c r="BG385" i="1"/>
  <c r="BG386" i="1"/>
  <c r="BG387" i="1"/>
  <c r="BG388" i="1"/>
  <c r="BG389" i="1"/>
  <c r="BG390" i="1"/>
  <c r="BG391" i="1"/>
  <c r="BG392" i="1"/>
  <c r="BG393" i="1"/>
  <c r="BG394" i="1"/>
  <c r="BG395" i="1"/>
  <c r="BG396" i="1"/>
  <c r="BG397" i="1"/>
  <c r="BG398" i="1"/>
  <c r="BG399" i="1"/>
  <c r="BG400" i="1"/>
  <c r="BG401" i="1"/>
  <c r="BG402" i="1"/>
  <c r="BG403" i="1"/>
  <c r="BG404" i="1"/>
  <c r="BG405" i="1"/>
  <c r="BG406" i="1"/>
  <c r="BG407" i="1"/>
  <c r="BG408" i="1"/>
  <c r="BG409" i="1"/>
  <c r="BG410" i="1"/>
  <c r="BG411" i="1"/>
  <c r="BG412" i="1"/>
  <c r="BG413" i="1"/>
  <c r="BG414" i="1"/>
  <c r="BG415" i="1"/>
  <c r="BG416" i="1"/>
  <c r="BG417" i="1"/>
  <c r="BG418" i="1"/>
  <c r="BG419" i="1"/>
  <c r="BG420" i="1"/>
  <c r="BG421" i="1"/>
  <c r="BG422" i="1"/>
  <c r="BG423" i="1"/>
  <c r="BG424" i="1"/>
  <c r="BG425" i="1"/>
  <c r="BG426" i="1"/>
  <c r="BG427" i="1"/>
  <c r="BG428" i="1"/>
  <c r="BG429" i="1"/>
  <c r="BG430" i="1"/>
  <c r="BG431" i="1"/>
  <c r="BG432" i="1"/>
  <c r="BG433" i="1"/>
  <c r="BG434" i="1"/>
  <c r="BG435" i="1"/>
  <c r="BG436" i="1"/>
  <c r="BG437" i="1"/>
  <c r="BG438" i="1"/>
  <c r="BG439" i="1"/>
  <c r="BG440" i="1"/>
  <c r="BG441" i="1"/>
  <c r="BG442" i="1"/>
  <c r="BG443" i="1"/>
  <c r="BG444" i="1"/>
  <c r="BG445" i="1"/>
  <c r="BG446" i="1"/>
  <c r="BG447" i="1"/>
  <c r="BG448" i="1"/>
  <c r="BG449" i="1"/>
  <c r="BG450" i="1"/>
  <c r="BG451" i="1"/>
  <c r="BG452" i="1"/>
  <c r="BG453" i="1"/>
  <c r="BG454" i="1"/>
  <c r="BG455" i="1"/>
  <c r="BG456" i="1"/>
  <c r="BG457" i="1"/>
  <c r="BG458" i="1"/>
  <c r="BG459" i="1"/>
  <c r="BG460" i="1"/>
  <c r="BG461" i="1"/>
  <c r="BG462" i="1"/>
  <c r="BG463" i="1"/>
  <c r="BG464" i="1"/>
  <c r="BG465" i="1"/>
  <c r="BG466" i="1"/>
  <c r="BG467" i="1"/>
  <c r="BG468" i="1"/>
  <c r="BG469" i="1"/>
  <c r="BG470" i="1"/>
  <c r="BG471" i="1"/>
  <c r="BG472" i="1"/>
  <c r="BG473" i="1"/>
  <c r="BG474" i="1"/>
  <c r="BG475" i="1"/>
  <c r="BG476" i="1"/>
  <c r="BG477" i="1"/>
  <c r="BG478" i="1"/>
  <c r="BG479" i="1"/>
  <c r="BG480" i="1"/>
  <c r="BG481" i="1"/>
  <c r="BG482" i="1"/>
  <c r="BG483" i="1"/>
  <c r="BG484" i="1"/>
  <c r="BG485" i="1"/>
  <c r="BG486" i="1"/>
  <c r="BG487" i="1"/>
  <c r="BG488" i="1"/>
  <c r="BG489" i="1"/>
  <c r="BG490" i="1"/>
  <c r="BG491" i="1"/>
  <c r="BG492" i="1"/>
  <c r="BG493" i="1"/>
  <c r="BG494" i="1"/>
  <c r="BG495" i="1"/>
  <c r="BG496" i="1"/>
  <c r="BG497" i="1"/>
  <c r="BG498" i="1"/>
  <c r="BG499" i="1"/>
  <c r="BG500" i="1"/>
  <c r="BG501" i="1"/>
  <c r="BG502" i="1"/>
  <c r="BG503" i="1"/>
  <c r="BG504" i="1"/>
  <c r="BG505" i="1"/>
  <c r="BG506" i="1"/>
  <c r="BG507" i="1"/>
  <c r="BG508" i="1"/>
  <c r="BG509" i="1"/>
  <c r="BG510" i="1"/>
  <c r="BG511" i="1"/>
  <c r="BG512" i="1"/>
  <c r="BG513" i="1"/>
  <c r="BG514" i="1"/>
  <c r="BG515" i="1"/>
  <c r="BG516" i="1"/>
  <c r="BG517" i="1"/>
  <c r="BG518" i="1"/>
  <c r="BG519" i="1"/>
  <c r="BG520" i="1"/>
  <c r="BG521" i="1"/>
  <c r="BG522" i="1"/>
  <c r="BG523" i="1"/>
  <c r="BG524" i="1"/>
  <c r="BG525" i="1"/>
  <c r="BG526" i="1"/>
  <c r="BG527" i="1"/>
  <c r="BG528" i="1"/>
  <c r="BG529" i="1"/>
  <c r="BG530" i="1"/>
  <c r="BG531" i="1"/>
  <c r="BG532" i="1"/>
  <c r="BG533" i="1"/>
  <c r="BG534" i="1"/>
  <c r="BG535" i="1"/>
  <c r="BG536" i="1"/>
  <c r="BG537" i="1"/>
  <c r="BG538" i="1"/>
  <c r="BG539" i="1"/>
  <c r="BG540" i="1"/>
  <c r="BG541" i="1"/>
  <c r="BG542" i="1"/>
  <c r="BG543" i="1"/>
  <c r="BG544" i="1"/>
  <c r="BG545" i="1"/>
  <c r="BG546" i="1"/>
  <c r="BG547" i="1"/>
  <c r="BG548" i="1"/>
  <c r="BG549" i="1"/>
  <c r="BG550" i="1"/>
  <c r="BG551" i="1"/>
  <c r="BG552" i="1"/>
  <c r="BG553" i="1"/>
  <c r="BG554" i="1"/>
  <c r="BG555" i="1"/>
  <c r="BG556" i="1"/>
  <c r="BG557" i="1"/>
  <c r="BG558" i="1"/>
  <c r="BG559" i="1"/>
  <c r="BG560" i="1"/>
  <c r="BG561" i="1"/>
  <c r="BG562" i="1"/>
  <c r="BG563" i="1"/>
  <c r="BG564" i="1"/>
  <c r="BG565" i="1"/>
  <c r="BG566" i="1"/>
  <c r="BG567" i="1"/>
  <c r="BG568" i="1"/>
  <c r="BG569" i="1"/>
  <c r="BG570" i="1"/>
  <c r="BG571" i="1"/>
  <c r="BG572" i="1"/>
  <c r="BG573" i="1"/>
  <c r="BG574" i="1"/>
  <c r="BG575" i="1"/>
  <c r="BG576" i="1"/>
  <c r="BG577" i="1"/>
  <c r="BG578" i="1"/>
  <c r="BG579" i="1"/>
  <c r="BG580" i="1"/>
  <c r="BG581" i="1"/>
  <c r="BG582" i="1"/>
  <c r="BG583" i="1"/>
  <c r="BG584" i="1"/>
  <c r="BG585" i="1"/>
  <c r="BG586" i="1"/>
  <c r="BG587" i="1"/>
  <c r="BG588" i="1"/>
  <c r="BG589" i="1"/>
  <c r="BG590" i="1"/>
  <c r="BG591" i="1"/>
  <c r="BG592" i="1"/>
  <c r="BG593" i="1"/>
  <c r="BG594" i="1"/>
  <c r="BG595" i="1"/>
  <c r="BG596" i="1"/>
  <c r="BG597" i="1"/>
  <c r="BG598" i="1"/>
  <c r="BG599" i="1"/>
  <c r="BG600" i="1"/>
  <c r="BG601" i="1"/>
  <c r="BG602" i="1"/>
  <c r="BG603" i="1"/>
  <c r="BG604" i="1"/>
  <c r="BG605" i="1"/>
  <c r="BG606" i="1"/>
  <c r="BG607" i="1"/>
  <c r="BG608" i="1"/>
  <c r="BG609" i="1"/>
  <c r="BG610" i="1"/>
  <c r="BG611" i="1"/>
  <c r="BG612" i="1"/>
  <c r="BG613" i="1"/>
  <c r="BG614" i="1"/>
  <c r="BG615" i="1"/>
  <c r="BG616" i="1"/>
  <c r="BG617" i="1"/>
  <c r="BG618" i="1"/>
  <c r="BG619" i="1"/>
  <c r="BG620" i="1"/>
  <c r="BG621" i="1"/>
  <c r="BG622" i="1"/>
  <c r="BG623" i="1"/>
  <c r="BG624" i="1"/>
  <c r="BG625" i="1"/>
  <c r="BG626" i="1"/>
  <c r="BG627" i="1"/>
  <c r="BG628" i="1"/>
  <c r="BG629" i="1"/>
  <c r="BG630" i="1"/>
  <c r="BG631" i="1"/>
  <c r="BG632" i="1"/>
  <c r="BG633" i="1"/>
  <c r="BG634" i="1"/>
  <c r="BG635" i="1"/>
  <c r="BG636" i="1"/>
  <c r="BG637" i="1"/>
  <c r="BG638" i="1"/>
  <c r="BG639" i="1"/>
  <c r="BG640" i="1"/>
  <c r="BG641" i="1"/>
  <c r="BG642" i="1"/>
  <c r="BG643" i="1"/>
  <c r="BG644" i="1"/>
  <c r="BG645" i="1"/>
  <c r="BG646" i="1"/>
  <c r="BG647" i="1"/>
  <c r="BG648" i="1"/>
  <c r="BG649" i="1"/>
  <c r="BG650" i="1"/>
  <c r="BG651" i="1"/>
  <c r="BG652" i="1"/>
  <c r="BG653" i="1"/>
  <c r="BG654" i="1"/>
  <c r="BG655" i="1"/>
  <c r="BG656" i="1"/>
  <c r="BG657" i="1"/>
  <c r="BG658" i="1"/>
  <c r="BG659" i="1"/>
  <c r="BG660" i="1"/>
  <c r="BG661" i="1"/>
  <c r="AS4" i="1"/>
  <c r="AR4" i="1"/>
  <c r="AQ4" i="1"/>
  <c r="AP4" i="1"/>
  <c r="AO4" i="1"/>
  <c r="AN4" i="1"/>
  <c r="AM4" i="1"/>
  <c r="W19" i="1" l="1"/>
  <c r="U19" i="1" s="1"/>
  <c r="BF7" i="1"/>
  <c r="BF8" i="1"/>
  <c r="BF9" i="1"/>
  <c r="BF10" i="1"/>
  <c r="BF11" i="1"/>
  <c r="BF12" i="1"/>
  <c r="BF13" i="1"/>
  <c r="BF14" i="1"/>
  <c r="BF15" i="1"/>
  <c r="BF16" i="1"/>
  <c r="BF17" i="1"/>
  <c r="BF18" i="1"/>
  <c r="BF19" i="1"/>
  <c r="BF20" i="1"/>
  <c r="BF21" i="1"/>
  <c r="BF22" i="1"/>
  <c r="BF23" i="1"/>
  <c r="BF24" i="1"/>
  <c r="BF25" i="1"/>
  <c r="BF26" i="1"/>
  <c r="BF27" i="1"/>
  <c r="BF28" i="1"/>
  <c r="BF29" i="1"/>
  <c r="BF30" i="1"/>
  <c r="BF31" i="1"/>
  <c r="BF32" i="1"/>
  <c r="BF33" i="1"/>
  <c r="BF34" i="1"/>
  <c r="BF35" i="1"/>
  <c r="BF36" i="1"/>
  <c r="BF37" i="1"/>
  <c r="BF38" i="1"/>
  <c r="BF39" i="1"/>
  <c r="BF40" i="1"/>
  <c r="BF41" i="1"/>
  <c r="BF42" i="1"/>
  <c r="BF43" i="1"/>
  <c r="BF44" i="1"/>
  <c r="BF45" i="1"/>
  <c r="BF46" i="1"/>
  <c r="BF47" i="1"/>
  <c r="BF48" i="1"/>
  <c r="BF49" i="1"/>
  <c r="BF50" i="1"/>
  <c r="BF51" i="1"/>
  <c r="BF52" i="1"/>
  <c r="BF53" i="1"/>
  <c r="BF54" i="1"/>
  <c r="BF55" i="1"/>
  <c r="BF56" i="1"/>
  <c r="BF57" i="1"/>
  <c r="BF58" i="1"/>
  <c r="BF59" i="1"/>
  <c r="BF60" i="1"/>
  <c r="BF61" i="1"/>
  <c r="BF62" i="1"/>
  <c r="BF63" i="1"/>
  <c r="BF64" i="1"/>
  <c r="BF65" i="1"/>
  <c r="BF66" i="1"/>
  <c r="BF67" i="1"/>
  <c r="BF68" i="1"/>
  <c r="BF69" i="1"/>
  <c r="BF70" i="1"/>
  <c r="BF71" i="1"/>
  <c r="BF72" i="1"/>
  <c r="BF73" i="1"/>
  <c r="BF74" i="1"/>
  <c r="BF75" i="1"/>
  <c r="BF76" i="1"/>
  <c r="BF77" i="1"/>
  <c r="BF78" i="1"/>
  <c r="BF79" i="1"/>
  <c r="BF80" i="1"/>
  <c r="BF81" i="1"/>
  <c r="BF82" i="1"/>
  <c r="BF83" i="1"/>
  <c r="BF84" i="1"/>
  <c r="BF85" i="1"/>
  <c r="BF86" i="1"/>
  <c r="BF87" i="1"/>
  <c r="BF88" i="1"/>
  <c r="BF89" i="1"/>
  <c r="BF90" i="1"/>
  <c r="BF91" i="1"/>
  <c r="BF92" i="1"/>
  <c r="BF93" i="1"/>
  <c r="BF94" i="1"/>
  <c r="BF95" i="1"/>
  <c r="BF96" i="1"/>
  <c r="BF97" i="1"/>
  <c r="BF98" i="1"/>
  <c r="BF99" i="1"/>
  <c r="BF100" i="1"/>
  <c r="BF101" i="1"/>
  <c r="BF102" i="1"/>
  <c r="BF103" i="1"/>
  <c r="BF104" i="1"/>
  <c r="BF105" i="1"/>
  <c r="BF106" i="1"/>
  <c r="BF107" i="1"/>
  <c r="BF108" i="1"/>
  <c r="BF109" i="1"/>
  <c r="BF110" i="1"/>
  <c r="BF111" i="1"/>
  <c r="BF112" i="1"/>
  <c r="BF113" i="1"/>
  <c r="BF114" i="1"/>
  <c r="BF115" i="1"/>
  <c r="BF116" i="1"/>
  <c r="BF117" i="1"/>
  <c r="BF118" i="1"/>
  <c r="BF119" i="1"/>
  <c r="BF120" i="1"/>
  <c r="BF121" i="1"/>
  <c r="BF122" i="1"/>
  <c r="BF123" i="1"/>
  <c r="BF124" i="1"/>
  <c r="BF125" i="1"/>
  <c r="BF126" i="1"/>
  <c r="BF127" i="1"/>
  <c r="BF128" i="1"/>
  <c r="BF129" i="1"/>
  <c r="BF130" i="1"/>
  <c r="BF131" i="1"/>
  <c r="BF132" i="1"/>
  <c r="BF133" i="1"/>
  <c r="BF134" i="1"/>
  <c r="BF135" i="1"/>
  <c r="BF136" i="1"/>
  <c r="BF137" i="1"/>
  <c r="BF138" i="1"/>
  <c r="BF139" i="1"/>
  <c r="BF140" i="1"/>
  <c r="BF141" i="1"/>
  <c r="BF142" i="1"/>
  <c r="BF143" i="1"/>
  <c r="BF144" i="1"/>
  <c r="BF145" i="1"/>
  <c r="BF146" i="1"/>
  <c r="BF147" i="1"/>
  <c r="BF148" i="1"/>
  <c r="BF149" i="1"/>
  <c r="BF150" i="1"/>
  <c r="BF151" i="1"/>
  <c r="BF152" i="1"/>
  <c r="BF153" i="1"/>
  <c r="BF154" i="1"/>
  <c r="BF155" i="1"/>
  <c r="BF156" i="1"/>
  <c r="BF157" i="1"/>
  <c r="BF158" i="1"/>
  <c r="BF159" i="1"/>
  <c r="BF160" i="1"/>
  <c r="BF161" i="1"/>
  <c r="BF162" i="1"/>
  <c r="BF163" i="1"/>
  <c r="BF164" i="1"/>
  <c r="BF165" i="1"/>
  <c r="BF166" i="1"/>
  <c r="BF167" i="1"/>
  <c r="BF168" i="1"/>
  <c r="BF169" i="1"/>
  <c r="BF170" i="1"/>
  <c r="BF171" i="1"/>
  <c r="BF172" i="1"/>
  <c r="BF173" i="1"/>
  <c r="BF174" i="1"/>
  <c r="BF175" i="1"/>
  <c r="BF176" i="1"/>
  <c r="BF177" i="1"/>
  <c r="BF178" i="1"/>
  <c r="BF179" i="1"/>
  <c r="BF180" i="1"/>
  <c r="BF181" i="1"/>
  <c r="BF182" i="1"/>
  <c r="BF183" i="1"/>
  <c r="BF184" i="1"/>
  <c r="BF185" i="1"/>
  <c r="BF186" i="1"/>
  <c r="BF187" i="1"/>
  <c r="BF188" i="1"/>
  <c r="BF189" i="1"/>
  <c r="BF190" i="1"/>
  <c r="BF191" i="1"/>
  <c r="BF192" i="1"/>
  <c r="BF193" i="1"/>
  <c r="BF194" i="1"/>
  <c r="BF195" i="1"/>
  <c r="BF196" i="1"/>
  <c r="BF197" i="1"/>
  <c r="BF198" i="1"/>
  <c r="BF199" i="1"/>
  <c r="BF200" i="1"/>
  <c r="BF201" i="1"/>
  <c r="BF202" i="1"/>
  <c r="BF203" i="1"/>
  <c r="BF204" i="1"/>
  <c r="BF205" i="1"/>
  <c r="BF206" i="1"/>
  <c r="BF207" i="1"/>
  <c r="BF208" i="1"/>
  <c r="BF209" i="1"/>
  <c r="BF210" i="1"/>
  <c r="BF211" i="1"/>
  <c r="BF212" i="1"/>
  <c r="BF213" i="1"/>
  <c r="BF214" i="1"/>
  <c r="BF215" i="1"/>
  <c r="BF216" i="1"/>
  <c r="BF217" i="1"/>
  <c r="BF218" i="1"/>
  <c r="BF219" i="1"/>
  <c r="BF220" i="1"/>
  <c r="BF221" i="1"/>
  <c r="BF222" i="1"/>
  <c r="BF223" i="1"/>
  <c r="BF224" i="1"/>
  <c r="BF225" i="1"/>
  <c r="BF226" i="1"/>
  <c r="BF227" i="1"/>
  <c r="BF228" i="1"/>
  <c r="BF229" i="1"/>
  <c r="BF230" i="1"/>
  <c r="BF231" i="1"/>
  <c r="BF232" i="1"/>
  <c r="BF233" i="1"/>
  <c r="BF234" i="1"/>
  <c r="BF235" i="1"/>
  <c r="BF236" i="1"/>
  <c r="BF237" i="1"/>
  <c r="BF238" i="1"/>
  <c r="BF239" i="1"/>
  <c r="BF240" i="1"/>
  <c r="BF241" i="1"/>
  <c r="BF242" i="1"/>
  <c r="BF243" i="1"/>
  <c r="BF244" i="1"/>
  <c r="BF245" i="1"/>
  <c r="BF246" i="1"/>
  <c r="BF247" i="1"/>
  <c r="BF248" i="1"/>
  <c r="BF249" i="1"/>
  <c r="BF250" i="1"/>
  <c r="BF251" i="1"/>
  <c r="BF252" i="1"/>
  <c r="BF253" i="1"/>
  <c r="BF254" i="1"/>
  <c r="BF255" i="1"/>
  <c r="BF256" i="1"/>
  <c r="BF257" i="1"/>
  <c r="BF258" i="1"/>
  <c r="BF259" i="1"/>
  <c r="BF260" i="1"/>
  <c r="BF261" i="1"/>
  <c r="BF262" i="1"/>
  <c r="BF263" i="1"/>
  <c r="BF264" i="1"/>
  <c r="BF265" i="1"/>
  <c r="BF266" i="1"/>
  <c r="BF267" i="1"/>
  <c r="BF268" i="1"/>
  <c r="BF269" i="1"/>
  <c r="BF270" i="1"/>
  <c r="BF271" i="1"/>
  <c r="BF272" i="1"/>
  <c r="BF273" i="1"/>
  <c r="BF274" i="1"/>
  <c r="BF275" i="1"/>
  <c r="BF276" i="1"/>
  <c r="BF277" i="1"/>
  <c r="BF278" i="1"/>
  <c r="BF279" i="1"/>
  <c r="BF280" i="1"/>
  <c r="BF281" i="1"/>
  <c r="BF282" i="1"/>
  <c r="BF283" i="1"/>
  <c r="BF284" i="1"/>
  <c r="BF285" i="1"/>
  <c r="BF286" i="1"/>
  <c r="BF287" i="1"/>
  <c r="BF288" i="1"/>
  <c r="BF289" i="1"/>
  <c r="BF290" i="1"/>
  <c r="BF291" i="1"/>
  <c r="BF292" i="1"/>
  <c r="BF293" i="1"/>
  <c r="BF294" i="1"/>
  <c r="BF295" i="1"/>
  <c r="BF296" i="1"/>
  <c r="BF297" i="1"/>
  <c r="BF298" i="1"/>
  <c r="BF299" i="1"/>
  <c r="BF300" i="1"/>
  <c r="BF301" i="1"/>
  <c r="BF302" i="1"/>
  <c r="BF303" i="1"/>
  <c r="BF304" i="1"/>
  <c r="BF305" i="1"/>
  <c r="BF306" i="1"/>
  <c r="BF307" i="1"/>
  <c r="BF308" i="1"/>
  <c r="BF309" i="1"/>
  <c r="BF310" i="1"/>
  <c r="BF311" i="1"/>
  <c r="BF312" i="1"/>
  <c r="BF313" i="1"/>
  <c r="BF314" i="1"/>
  <c r="BF315" i="1"/>
  <c r="BF316" i="1"/>
  <c r="BF317" i="1"/>
  <c r="BF318" i="1"/>
  <c r="BF319" i="1"/>
  <c r="BF320" i="1"/>
  <c r="BF321" i="1"/>
  <c r="BF322" i="1"/>
  <c r="BF323" i="1"/>
  <c r="BF324" i="1"/>
  <c r="BF325" i="1"/>
  <c r="BF326" i="1"/>
  <c r="BF327" i="1"/>
  <c r="BF328" i="1"/>
  <c r="BF329" i="1"/>
  <c r="BF330" i="1"/>
  <c r="BF331" i="1"/>
  <c r="BF332" i="1"/>
  <c r="BF333" i="1"/>
  <c r="BF334" i="1"/>
  <c r="BF335" i="1"/>
  <c r="BF336" i="1"/>
  <c r="BF337" i="1"/>
  <c r="BF338" i="1"/>
  <c r="BF339" i="1"/>
  <c r="BF340" i="1"/>
  <c r="BF341" i="1"/>
  <c r="BF342" i="1"/>
  <c r="BF343" i="1"/>
  <c r="BF344" i="1"/>
  <c r="BF345" i="1"/>
  <c r="BF346" i="1"/>
  <c r="BF347" i="1"/>
  <c r="BF348" i="1"/>
  <c r="BF349" i="1"/>
  <c r="BF350" i="1"/>
  <c r="BF351" i="1"/>
  <c r="BF352" i="1"/>
  <c r="BF353" i="1"/>
  <c r="BF354" i="1"/>
  <c r="BF355" i="1"/>
  <c r="BF356" i="1"/>
  <c r="BF357" i="1"/>
  <c r="BF358" i="1"/>
  <c r="BF359" i="1"/>
  <c r="BF360" i="1"/>
  <c r="BF361" i="1"/>
  <c r="BF362" i="1"/>
  <c r="BF363" i="1"/>
  <c r="BF364" i="1"/>
  <c r="BF365" i="1"/>
  <c r="BF366" i="1"/>
  <c r="BF367" i="1"/>
  <c r="BF368" i="1"/>
  <c r="BF369" i="1"/>
  <c r="BF370" i="1"/>
  <c r="BF371" i="1"/>
  <c r="BF372" i="1"/>
  <c r="BF373" i="1"/>
  <c r="BF374" i="1"/>
  <c r="BF375" i="1"/>
  <c r="BF376" i="1"/>
  <c r="BF377" i="1"/>
  <c r="BF378" i="1"/>
  <c r="BF379" i="1"/>
  <c r="BF380" i="1"/>
  <c r="BF381" i="1"/>
  <c r="BF382" i="1"/>
  <c r="BF383" i="1"/>
  <c r="BF384" i="1"/>
  <c r="BF385" i="1"/>
  <c r="BF386" i="1"/>
  <c r="BF387" i="1"/>
  <c r="BF388" i="1"/>
  <c r="BF389" i="1"/>
  <c r="BF390" i="1"/>
  <c r="BF391" i="1"/>
  <c r="BF392" i="1"/>
  <c r="BF393" i="1"/>
  <c r="BF394" i="1"/>
  <c r="BF395" i="1"/>
  <c r="BF396" i="1"/>
  <c r="BF397" i="1"/>
  <c r="BF398" i="1"/>
  <c r="BF399" i="1"/>
  <c r="BF400" i="1"/>
  <c r="BF401" i="1"/>
  <c r="BF402" i="1"/>
  <c r="BF403" i="1"/>
  <c r="BF404" i="1"/>
  <c r="BF405" i="1"/>
  <c r="BF406" i="1"/>
  <c r="BF407" i="1"/>
  <c r="BF408" i="1"/>
  <c r="BF409" i="1"/>
  <c r="BF410" i="1"/>
  <c r="BF411" i="1"/>
  <c r="BF412" i="1"/>
  <c r="BF413" i="1"/>
  <c r="BF414" i="1"/>
  <c r="BF415" i="1"/>
  <c r="BF416" i="1"/>
  <c r="BF417" i="1"/>
  <c r="BF418" i="1"/>
  <c r="BF419" i="1"/>
  <c r="BF420" i="1"/>
  <c r="BF421" i="1"/>
  <c r="BF422" i="1"/>
  <c r="BF423" i="1"/>
  <c r="BF424" i="1"/>
  <c r="BF425" i="1"/>
  <c r="BF426" i="1"/>
  <c r="BF427" i="1"/>
  <c r="BF428" i="1"/>
  <c r="BF429" i="1"/>
  <c r="BF430" i="1"/>
  <c r="BF431" i="1"/>
  <c r="BF432" i="1"/>
  <c r="BF433" i="1"/>
  <c r="BF434" i="1"/>
  <c r="BF435" i="1"/>
  <c r="BF436" i="1"/>
  <c r="BF437" i="1"/>
  <c r="BF438" i="1"/>
  <c r="BF439" i="1"/>
  <c r="BF440" i="1"/>
  <c r="BF441" i="1"/>
  <c r="BF442" i="1"/>
  <c r="BF443" i="1"/>
  <c r="BF444" i="1"/>
  <c r="BF445" i="1"/>
  <c r="BF446" i="1"/>
  <c r="BF447" i="1"/>
  <c r="BF448" i="1"/>
  <c r="BF449" i="1"/>
  <c r="BF450" i="1"/>
  <c r="BF451" i="1"/>
  <c r="BF452" i="1"/>
  <c r="BF453" i="1"/>
  <c r="BF454" i="1"/>
  <c r="BF455" i="1"/>
  <c r="BF456" i="1"/>
  <c r="BF457" i="1"/>
  <c r="BF458" i="1"/>
  <c r="BF459" i="1"/>
  <c r="BF460" i="1"/>
  <c r="BF461" i="1"/>
  <c r="BF462" i="1"/>
  <c r="BF463" i="1"/>
  <c r="BF464" i="1"/>
  <c r="BF465" i="1"/>
  <c r="BF466" i="1"/>
  <c r="BF467" i="1"/>
  <c r="BF468" i="1"/>
  <c r="BF469" i="1"/>
  <c r="BF470" i="1"/>
  <c r="BF471" i="1"/>
  <c r="BF472" i="1"/>
  <c r="BF473" i="1"/>
  <c r="BF474" i="1"/>
  <c r="BF475" i="1"/>
  <c r="BF476" i="1"/>
  <c r="BF477" i="1"/>
  <c r="BF478" i="1"/>
  <c r="BF479" i="1"/>
  <c r="BF480" i="1"/>
  <c r="BF481" i="1"/>
  <c r="BF482" i="1"/>
  <c r="BF483" i="1"/>
  <c r="BF484" i="1"/>
  <c r="BF485" i="1"/>
  <c r="BF486" i="1"/>
  <c r="BF487" i="1"/>
  <c r="BF488" i="1"/>
  <c r="BF489" i="1"/>
  <c r="BF490" i="1"/>
  <c r="BF491" i="1"/>
  <c r="BF492" i="1"/>
  <c r="BF493" i="1"/>
  <c r="BF494" i="1"/>
  <c r="BF495" i="1"/>
  <c r="BF496" i="1"/>
  <c r="BF497" i="1"/>
  <c r="BF498" i="1"/>
  <c r="BF499" i="1"/>
  <c r="BF500" i="1"/>
  <c r="BF501" i="1"/>
  <c r="BF502" i="1"/>
  <c r="BF503" i="1"/>
  <c r="BF504" i="1"/>
  <c r="BF505" i="1"/>
  <c r="BF506" i="1"/>
  <c r="BF507" i="1"/>
  <c r="BF508" i="1"/>
  <c r="BF509" i="1"/>
  <c r="BF510" i="1"/>
  <c r="BF511" i="1"/>
  <c r="BF512" i="1"/>
  <c r="BF513" i="1"/>
  <c r="BF514" i="1"/>
  <c r="BF515" i="1"/>
  <c r="BF516" i="1"/>
  <c r="BF517" i="1"/>
  <c r="BF518" i="1"/>
  <c r="BF519" i="1"/>
  <c r="BF520" i="1"/>
  <c r="BF521" i="1"/>
  <c r="BF522" i="1"/>
  <c r="BF523" i="1"/>
  <c r="BF524" i="1"/>
  <c r="BF525" i="1"/>
  <c r="BF526" i="1"/>
  <c r="BF527" i="1"/>
  <c r="BF528" i="1"/>
  <c r="BF529" i="1"/>
  <c r="BF530" i="1"/>
  <c r="BF531" i="1"/>
  <c r="BF532" i="1"/>
  <c r="BF533" i="1"/>
  <c r="BF534" i="1"/>
  <c r="BF535" i="1"/>
  <c r="BF536" i="1"/>
  <c r="BF537" i="1"/>
  <c r="BF538" i="1"/>
  <c r="BF539" i="1"/>
  <c r="BF540" i="1"/>
  <c r="BF541" i="1"/>
  <c r="BF542" i="1"/>
  <c r="BF543" i="1"/>
  <c r="BF544" i="1"/>
  <c r="BF545" i="1"/>
  <c r="BF546" i="1"/>
  <c r="BF547" i="1"/>
  <c r="BF548" i="1"/>
  <c r="BF549" i="1"/>
  <c r="BF550" i="1"/>
  <c r="BF551" i="1"/>
  <c r="BF552" i="1"/>
  <c r="BF553" i="1"/>
  <c r="BF554" i="1"/>
  <c r="BF555" i="1"/>
  <c r="BF556" i="1"/>
  <c r="BF557" i="1"/>
  <c r="BF558" i="1"/>
  <c r="BF559" i="1"/>
  <c r="BF560" i="1"/>
  <c r="BF561" i="1"/>
  <c r="BF562" i="1"/>
  <c r="BF563" i="1"/>
  <c r="BF564" i="1"/>
  <c r="BF565" i="1"/>
  <c r="BF566" i="1"/>
  <c r="BF567" i="1"/>
  <c r="BF568" i="1"/>
  <c r="BF569" i="1"/>
  <c r="BF570" i="1"/>
  <c r="BF571" i="1"/>
  <c r="BF572" i="1"/>
  <c r="BF573" i="1"/>
  <c r="BF574" i="1"/>
  <c r="BF575" i="1"/>
  <c r="BF576" i="1"/>
  <c r="BF577" i="1"/>
  <c r="BF578" i="1"/>
  <c r="BF579" i="1"/>
  <c r="BF580" i="1"/>
  <c r="BF581" i="1"/>
  <c r="BF582" i="1"/>
  <c r="BF583" i="1"/>
  <c r="BF584" i="1"/>
  <c r="BF585" i="1"/>
  <c r="BF586" i="1"/>
  <c r="BF587" i="1"/>
  <c r="BF588" i="1"/>
  <c r="BF589" i="1"/>
  <c r="BF590" i="1"/>
  <c r="BF591" i="1"/>
  <c r="BF592" i="1"/>
  <c r="BF593" i="1"/>
  <c r="BF594" i="1"/>
  <c r="BF595" i="1"/>
  <c r="BF596" i="1"/>
  <c r="BF597" i="1"/>
  <c r="BF598" i="1"/>
  <c r="BF599" i="1"/>
  <c r="BF600" i="1"/>
  <c r="BF601" i="1"/>
  <c r="BF602" i="1"/>
  <c r="BF603" i="1"/>
  <c r="BF604" i="1"/>
  <c r="BF605" i="1"/>
  <c r="BF606" i="1"/>
  <c r="BF607" i="1"/>
  <c r="BF608" i="1"/>
  <c r="BF609" i="1"/>
  <c r="BF610" i="1"/>
  <c r="BF611" i="1"/>
  <c r="BF612" i="1"/>
  <c r="BF613" i="1"/>
  <c r="BF614" i="1"/>
  <c r="BF615" i="1"/>
  <c r="BF616" i="1"/>
  <c r="BF617" i="1"/>
  <c r="BF618" i="1"/>
  <c r="BF619" i="1"/>
  <c r="BF620" i="1"/>
  <c r="BF621" i="1"/>
  <c r="BF622" i="1"/>
  <c r="BF623" i="1"/>
  <c r="BF624" i="1"/>
  <c r="BF625" i="1"/>
  <c r="BF626" i="1"/>
  <c r="BF627" i="1"/>
  <c r="BF628" i="1"/>
  <c r="BF629" i="1"/>
  <c r="BF630" i="1"/>
  <c r="BF631" i="1"/>
  <c r="BF632" i="1"/>
  <c r="BF633" i="1"/>
  <c r="BF634" i="1"/>
  <c r="BF635" i="1"/>
  <c r="BF636" i="1"/>
  <c r="BF637" i="1"/>
  <c r="BF638" i="1"/>
  <c r="BF639" i="1"/>
  <c r="BF640" i="1"/>
  <c r="BF641" i="1"/>
  <c r="BF642" i="1"/>
  <c r="BF643" i="1"/>
  <c r="BF644" i="1"/>
  <c r="BF645" i="1"/>
  <c r="BF646" i="1"/>
  <c r="BF647" i="1"/>
  <c r="BF648" i="1"/>
  <c r="BF649" i="1"/>
  <c r="BF650" i="1"/>
  <c r="BF651" i="1"/>
  <c r="BF652" i="1"/>
  <c r="BF653" i="1"/>
  <c r="BF654" i="1"/>
  <c r="BF655" i="1"/>
  <c r="BF656" i="1"/>
  <c r="BF657" i="1"/>
  <c r="BF658" i="1"/>
  <c r="BF659" i="1"/>
  <c r="BF660" i="1"/>
  <c r="BF661" i="1"/>
  <c r="BF6" i="1"/>
  <c r="BF4" i="1"/>
  <c r="AK2" i="1"/>
  <c r="AH2" i="1"/>
  <c r="AK3" i="1"/>
  <c r="N3" i="1" l="1"/>
  <c r="AI4" i="1"/>
  <c r="J29" i="1"/>
  <c r="I32" i="1"/>
  <c r="I9" i="1"/>
  <c r="J10" i="1"/>
  <c r="M29" i="1"/>
  <c r="J17" i="1"/>
  <c r="J19" i="1"/>
  <c r="K32" i="1"/>
  <c r="I13" i="1"/>
  <c r="J21" i="1"/>
  <c r="M30" i="1"/>
  <c r="J15" i="1"/>
  <c r="N30" i="1"/>
  <c r="I21" i="1"/>
  <c r="M31" i="1"/>
  <c r="M33" i="1"/>
  <c r="I17" i="1"/>
  <c r="I25" i="1"/>
  <c r="J33" i="1"/>
  <c r="J13" i="1"/>
  <c r="I15" i="1"/>
  <c r="I30" i="1"/>
  <c r="I33" i="1"/>
  <c r="I19" i="1"/>
  <c r="I12" i="1"/>
  <c r="G31" i="1"/>
  <c r="J34" i="1"/>
  <c r="J25" i="1"/>
  <c r="J24" i="1"/>
  <c r="J11" i="1"/>
  <c r="L31" i="1"/>
  <c r="G33" i="1"/>
  <c r="I8" i="1"/>
  <c r="I10" i="1"/>
  <c r="H33" i="1"/>
  <c r="J8" i="1"/>
  <c r="J23" i="1"/>
  <c r="K31" i="1"/>
  <c r="K33" i="1"/>
  <c r="I22" i="1"/>
  <c r="H31" i="1"/>
  <c r="G34" i="1"/>
  <c r="J9" i="1"/>
  <c r="I7" i="1"/>
  <c r="H30" i="1"/>
  <c r="I34" i="1"/>
  <c r="I18" i="1"/>
  <c r="N29" i="1"/>
  <c r="M32" i="1"/>
  <c r="L34" i="1"/>
  <c r="K34" i="1"/>
  <c r="J12" i="1"/>
  <c r="G29" i="1"/>
  <c r="L30" i="1"/>
  <c r="N34" i="1"/>
  <c r="J16" i="1"/>
  <c r="K30" i="1"/>
  <c r="M34" i="1"/>
  <c r="I14" i="1"/>
  <c r="K29" i="1"/>
  <c r="G30" i="1"/>
  <c r="I11" i="1"/>
  <c r="L29" i="1"/>
  <c r="G32" i="1"/>
  <c r="H34" i="1"/>
  <c r="J20" i="1"/>
  <c r="H29" i="1"/>
  <c r="L32" i="1"/>
  <c r="I24" i="1"/>
  <c r="J14" i="1"/>
  <c r="J30" i="1"/>
  <c r="H32" i="1"/>
  <c r="N32" i="1"/>
  <c r="J18" i="1"/>
  <c r="I16" i="1"/>
  <c r="I29" i="1"/>
  <c r="J32" i="1"/>
  <c r="I20" i="1"/>
  <c r="N31" i="1"/>
  <c r="J22" i="1"/>
  <c r="I31" i="1"/>
  <c r="L33" i="1"/>
  <c r="J7" i="1"/>
  <c r="J31" i="1"/>
  <c r="N33" i="1"/>
  <c r="I23" i="1"/>
  <c r="L5" i="1" l="1"/>
  <c r="G5" i="1"/>
  <c r="H5" i="1"/>
  <c r="N5" i="1"/>
  <c r="K5" i="1"/>
  <c r="W3" i="1"/>
  <c r="U3" i="1" s="1"/>
  <c r="K22" i="1"/>
  <c r="G13" i="1"/>
  <c r="G25" i="1"/>
  <c r="G14" i="1"/>
  <c r="N24" i="1"/>
  <c r="H10" i="1"/>
  <c r="H20" i="1"/>
  <c r="K20" i="1"/>
  <c r="G11" i="1"/>
  <c r="G23" i="1"/>
  <c r="K13" i="1"/>
  <c r="N15" i="1"/>
  <c r="L12" i="1"/>
  <c r="H21" i="1"/>
  <c r="N18" i="1"/>
  <c r="N13" i="1"/>
  <c r="H13" i="1"/>
  <c r="AH3" i="1"/>
  <c r="K9" i="1"/>
  <c r="L11" i="1"/>
  <c r="H15" i="1"/>
  <c r="L19" i="1"/>
  <c r="N10" i="1"/>
  <c r="G20" i="1"/>
  <c r="G24" i="1"/>
  <c r="L17" i="1"/>
  <c r="H14" i="1"/>
  <c r="H9" i="1"/>
  <c r="L16" i="1"/>
  <c r="K10" i="1"/>
  <c r="K14" i="1"/>
  <c r="N9" i="1"/>
  <c r="L8" i="1"/>
  <c r="L24" i="1"/>
  <c r="G17" i="1"/>
  <c r="N7" i="1"/>
  <c r="K23" i="1"/>
  <c r="L25" i="1"/>
  <c r="K16" i="1"/>
  <c r="N17" i="1"/>
  <c r="K15" i="1"/>
  <c r="N14" i="1"/>
  <c r="G22" i="1"/>
  <c r="G15" i="1"/>
  <c r="N22" i="1"/>
  <c r="N25" i="1"/>
  <c r="G19" i="1"/>
  <c r="H25" i="1"/>
  <c r="H18" i="1"/>
  <c r="N21" i="1"/>
  <c r="H7" i="1"/>
  <c r="L7" i="1"/>
  <c r="L21" i="1"/>
  <c r="H23" i="1"/>
  <c r="H16" i="1"/>
  <c r="K11" i="1"/>
  <c r="L13" i="1"/>
  <c r="N11" i="1"/>
  <c r="G10" i="1"/>
  <c r="N20" i="1"/>
  <c r="L10" i="1"/>
  <c r="N23" i="1"/>
  <c r="G8" i="1"/>
  <c r="L18" i="1"/>
  <c r="H12" i="1"/>
  <c r="L15" i="1"/>
  <c r="K17" i="1"/>
  <c r="G9" i="1"/>
  <c r="L22" i="1"/>
  <c r="K24" i="1"/>
  <c r="K19" i="1"/>
  <c r="H19" i="1"/>
  <c r="K25" i="1"/>
  <c r="L9" i="1"/>
  <c r="G12" i="1"/>
  <c r="H11" i="1"/>
  <c r="N19" i="1"/>
  <c r="H8" i="1"/>
  <c r="H24" i="1"/>
  <c r="N8" i="1"/>
  <c r="K8" i="1"/>
  <c r="G7" i="1"/>
  <c r="N16" i="1"/>
  <c r="K7" i="1"/>
  <c r="H17" i="1"/>
  <c r="K21" i="1"/>
  <c r="N12" i="1"/>
  <c r="K12" i="1"/>
  <c r="L20" i="1"/>
  <c r="G16" i="1"/>
  <c r="G21" i="1"/>
  <c r="L14" i="1"/>
  <c r="L23" i="1"/>
  <c r="G18" i="1"/>
  <c r="H22" i="1"/>
  <c r="K18" i="1"/>
  <c r="M5" i="1" l="1"/>
  <c r="M7" i="1"/>
  <c r="M21" i="1"/>
  <c r="M14" i="1"/>
  <c r="M9" i="1"/>
  <c r="M25" i="1"/>
  <c r="M10" i="1"/>
  <c r="M15" i="1"/>
  <c r="M13" i="1"/>
  <c r="M11" i="1"/>
  <c r="M18" i="1"/>
  <c r="M23" i="1"/>
  <c r="M16" i="1"/>
  <c r="M19" i="1"/>
  <c r="M12" i="1"/>
  <c r="M22" i="1"/>
  <c r="M24" i="1"/>
  <c r="M20" i="1"/>
  <c r="M17" i="1"/>
  <c r="M8" i="1"/>
</calcChain>
</file>

<file path=xl/sharedStrings.xml><?xml version="1.0" encoding="utf-8"?>
<sst xmlns="http://schemas.openxmlformats.org/spreadsheetml/2006/main" count="548" uniqueCount="199">
  <si>
    <t>001</t>
  </si>
  <si>
    <t>211</t>
  </si>
  <si>
    <t>801</t>
  </si>
  <si>
    <t>KOSPI</t>
    <phoneticPr fontId="1" type="noConversion"/>
  </si>
  <si>
    <t>KOSPI200</t>
    <phoneticPr fontId="1" type="noConversion"/>
  </si>
  <si>
    <t>KOSDAQ</t>
    <phoneticPr fontId="1" type="noConversion"/>
  </si>
  <si>
    <t>USDKRW</t>
    <phoneticPr fontId="1" type="noConversion"/>
  </si>
  <si>
    <t>Daily Report</t>
    <phoneticPr fontId="1" type="noConversion"/>
  </si>
  <si>
    <t>USDSP_SMBCC</t>
  </si>
  <si>
    <t>JPYKRW</t>
  </si>
  <si>
    <t>JPYKRW</t>
    <phoneticPr fontId="1" type="noConversion"/>
  </si>
  <si>
    <t>CNHKRW</t>
    <phoneticPr fontId="1" type="noConversion"/>
  </si>
  <si>
    <t>BONDKSDCAL11</t>
  </si>
  <si>
    <t>BONDKSDCAL12</t>
  </si>
  <si>
    <t>BONDKSDCAL13</t>
  </si>
  <si>
    <t>국고3Y</t>
    <phoneticPr fontId="1" type="noConversion"/>
  </si>
  <si>
    <t>국고5Y</t>
    <phoneticPr fontId="1" type="noConversion"/>
  </si>
  <si>
    <t>국고10Y</t>
    <phoneticPr fontId="1" type="noConversion"/>
  </si>
  <si>
    <t>DJI:DJI</t>
    <phoneticPr fontId="1" type="noConversion"/>
  </si>
  <si>
    <t>다우 산업</t>
    <phoneticPr fontId="1" type="noConversion"/>
  </si>
  <si>
    <t>SPI:SPX</t>
  </si>
  <si>
    <t>S&amp;P500</t>
    <phoneticPr fontId="1" type="noConversion"/>
  </si>
  <si>
    <t>NAS:IXIC</t>
  </si>
  <si>
    <t>나스닥</t>
    <phoneticPr fontId="1" type="noConversion"/>
  </si>
  <si>
    <t>NII:NI225</t>
  </si>
  <si>
    <t>US10Y</t>
  </si>
  <si>
    <t>미국채3Y</t>
    <phoneticPr fontId="1" type="noConversion"/>
  </si>
  <si>
    <t>미국채5Y</t>
    <phoneticPr fontId="1" type="noConversion"/>
  </si>
  <si>
    <t>미국채10Y</t>
    <phoneticPr fontId="1" type="noConversion"/>
  </si>
  <si>
    <t>US05Y</t>
    <phoneticPr fontId="1" type="noConversion"/>
  </si>
  <si>
    <t>US03Y</t>
    <phoneticPr fontId="1" type="noConversion"/>
  </si>
  <si>
    <t>SHS:000001</t>
  </si>
  <si>
    <t>Nikkei225</t>
    <phoneticPr fontId="1" type="noConversion"/>
  </si>
  <si>
    <t>Shanghai</t>
    <phoneticPr fontId="1" type="noConversion"/>
  </si>
  <si>
    <t>IDX</t>
    <phoneticPr fontId="1" type="noConversion"/>
  </si>
  <si>
    <t>FX</t>
    <phoneticPr fontId="1" type="noConversion"/>
  </si>
  <si>
    <t>IR</t>
    <phoneticPr fontId="1" type="noConversion"/>
  </si>
  <si>
    <t>FRN</t>
    <phoneticPr fontId="1" type="noConversion"/>
  </si>
  <si>
    <t>현재가</t>
    <phoneticPr fontId="1" type="noConversion"/>
  </si>
  <si>
    <t>대표수익률</t>
    <phoneticPr fontId="1" type="noConversion"/>
  </si>
  <si>
    <t>국내시장</t>
    <phoneticPr fontId="1" type="noConversion"/>
  </si>
  <si>
    <t>글로벌시장</t>
    <phoneticPr fontId="1" type="noConversion"/>
  </si>
  <si>
    <t>date</t>
    <phoneticPr fontId="1" type="noConversion"/>
  </si>
  <si>
    <t>시작일</t>
    <phoneticPr fontId="1" type="noConversion"/>
  </si>
  <si>
    <t>종료일</t>
    <phoneticPr fontId="1" type="noConversion"/>
  </si>
  <si>
    <t>KOSPI</t>
  </si>
  <si>
    <t>KOSPI200</t>
  </si>
  <si>
    <t>KOSDAQ</t>
  </si>
  <si>
    <t>USDKRW</t>
  </si>
  <si>
    <t>CNHKRW</t>
  </si>
  <si>
    <t>국고3Y</t>
  </si>
  <si>
    <t>국고5Y</t>
  </si>
  <si>
    <t>국고10Y</t>
  </si>
  <si>
    <t>다우 산업</t>
  </si>
  <si>
    <t>S&amp;P500</t>
  </si>
  <si>
    <t>나스닥</t>
  </si>
  <si>
    <t>Nikkei225</t>
  </si>
  <si>
    <t>Shanghai</t>
  </si>
  <si>
    <t>미국채3Y</t>
  </si>
  <si>
    <t>미국채5Y</t>
  </si>
  <si>
    <t>미국채10Y</t>
  </si>
  <si>
    <t>IDX</t>
  </si>
  <si>
    <t>FX</t>
  </si>
  <si>
    <t>IR</t>
  </si>
  <si>
    <t>FRN</t>
  </si>
  <si>
    <t>DJI:DJI</t>
  </si>
  <si>
    <t>US03Y</t>
  </si>
  <si>
    <t>US05Y</t>
  </si>
  <si>
    <t>인포맥스 엑셀 활용법</t>
    <phoneticPr fontId="1" type="noConversion"/>
  </si>
  <si>
    <t>Daily Report 만들기</t>
    <phoneticPr fontId="1" type="noConversion"/>
  </si>
  <si>
    <t>1.인포맥스 함수를 이용하여 데이터 불러오기</t>
    <phoneticPr fontId="1" type="noConversion"/>
  </si>
  <si>
    <t xml:space="preserve">  1)IMDP</t>
    <phoneticPr fontId="1" type="noConversion"/>
  </si>
  <si>
    <t xml:space="preserve">  2)IMDH</t>
    <phoneticPr fontId="1" type="noConversion"/>
  </si>
  <si>
    <t xml:space="preserve">   -특정일자 데이터 불러오기(스냅샷)</t>
    <phoneticPr fontId="1" type="noConversion"/>
  </si>
  <si>
    <t xml:space="preserve">   -실시간 데이터 연동하기(리얼타임)</t>
    <phoneticPr fontId="1" type="noConversion"/>
  </si>
  <si>
    <t xml:space="preserve">   -히스토리 데이터 자동 업데이트 하기(Auto Update)</t>
    <phoneticPr fontId="1" type="noConversion"/>
  </si>
  <si>
    <t>2.히스토리 데이터를 이용하여 차트 만들기</t>
    <phoneticPr fontId="1" type="noConversion"/>
  </si>
  <si>
    <t>3.콤보박스에 데이터 연결하기</t>
    <phoneticPr fontId="1" type="noConversion"/>
  </si>
  <si>
    <t>Market</t>
    <phoneticPr fontId="1" type="noConversion"/>
  </si>
  <si>
    <t>종목</t>
    <phoneticPr fontId="1" type="noConversion"/>
  </si>
  <si>
    <t>현재가</t>
  </si>
  <si>
    <t>현재가</t>
    <phoneticPr fontId="1" type="noConversion"/>
  </si>
  <si>
    <t>전일대비</t>
    <phoneticPr fontId="1" type="noConversion"/>
  </si>
  <si>
    <t>등락률</t>
    <phoneticPr fontId="1" type="noConversion"/>
  </si>
  <si>
    <t>전주대비</t>
    <phoneticPr fontId="1" type="noConversion"/>
  </si>
  <si>
    <t>전월대비</t>
    <phoneticPr fontId="1" type="noConversion"/>
  </si>
  <si>
    <t>일자</t>
    <phoneticPr fontId="1" type="noConversion"/>
  </si>
  <si>
    <t>대표수익률</t>
  </si>
  <si>
    <t>뉴욕종가</t>
    <phoneticPr fontId="1" type="noConversion"/>
  </si>
  <si>
    <t>종가</t>
    <phoneticPr fontId="1" type="noConversion"/>
  </si>
  <si>
    <t>전년대비</t>
    <phoneticPr fontId="1" type="noConversion"/>
  </si>
  <si>
    <t>KTB</t>
  </si>
  <si>
    <t>KTB</t>
    <phoneticPr fontId="1" type="noConversion"/>
  </si>
  <si>
    <t>LKTB</t>
  </si>
  <si>
    <t>LKTB</t>
    <phoneticPr fontId="1" type="noConversion"/>
  </si>
  <si>
    <t>FUT</t>
    <phoneticPr fontId="1" type="noConversion"/>
  </si>
  <si>
    <t>C65</t>
  </si>
  <si>
    <t>C65</t>
    <phoneticPr fontId="1" type="noConversion"/>
  </si>
  <si>
    <t>C67</t>
  </si>
  <si>
    <t>C67</t>
    <phoneticPr fontId="1" type="noConversion"/>
  </si>
  <si>
    <t>투자자</t>
    <phoneticPr fontId="1" type="noConversion"/>
  </si>
  <si>
    <t>채권시장</t>
    <phoneticPr fontId="1" type="noConversion"/>
  </si>
  <si>
    <t>IR</t>
    <phoneticPr fontId="1" type="noConversion"/>
  </si>
  <si>
    <t>BNDINV0000</t>
    <phoneticPr fontId="1" type="noConversion"/>
  </si>
  <si>
    <t>순매수금액</t>
  </si>
  <si>
    <t>순매수금액</t>
    <phoneticPr fontId="1" type="noConversion"/>
  </si>
  <si>
    <t xml:space="preserve"> 순매수거래량</t>
    <phoneticPr fontId="1" type="noConversion"/>
  </si>
  <si>
    <t>순매수(백만)</t>
    <phoneticPr fontId="1" type="noConversion"/>
  </si>
  <si>
    <t>전년말</t>
    <phoneticPr fontId="1" type="noConversion"/>
  </si>
  <si>
    <t>전월말</t>
    <phoneticPr fontId="1" type="noConversion"/>
  </si>
  <si>
    <t>외국인</t>
    <phoneticPr fontId="1" type="noConversion"/>
  </si>
  <si>
    <t>은행</t>
    <phoneticPr fontId="1" type="noConversion"/>
  </si>
  <si>
    <t>증권</t>
    <phoneticPr fontId="1" type="noConversion"/>
  </si>
  <si>
    <t>보험</t>
    <phoneticPr fontId="1" type="noConversion"/>
  </si>
  <si>
    <t>연기금</t>
    <phoneticPr fontId="1" type="noConversion"/>
  </si>
  <si>
    <t>투신</t>
    <phoneticPr fontId="1" type="noConversion"/>
  </si>
  <si>
    <t>종신금</t>
    <phoneticPr fontId="1" type="noConversion"/>
  </si>
  <si>
    <t>개인</t>
    <phoneticPr fontId="1" type="noConversion"/>
  </si>
  <si>
    <t>은행</t>
    <phoneticPr fontId="1" type="noConversion"/>
  </si>
  <si>
    <t>보험</t>
    <phoneticPr fontId="1" type="noConversion"/>
  </si>
  <si>
    <t>투신</t>
    <phoneticPr fontId="1" type="noConversion"/>
  </si>
  <si>
    <t>외국인합순매수금액</t>
    <phoneticPr fontId="1" type="noConversion"/>
  </si>
  <si>
    <t>증권/선물순매수금액</t>
    <phoneticPr fontId="1" type="noConversion"/>
  </si>
  <si>
    <t>은행순매수금액</t>
    <phoneticPr fontId="1" type="noConversion"/>
  </si>
  <si>
    <t>보험순매수금액</t>
    <phoneticPr fontId="1" type="noConversion"/>
  </si>
  <si>
    <t>투신순매수금액</t>
    <phoneticPr fontId="1" type="noConversion"/>
  </si>
  <si>
    <t>종신금</t>
    <phoneticPr fontId="1" type="noConversion"/>
  </si>
  <si>
    <t>종신금순매수금액</t>
    <phoneticPr fontId="1" type="noConversion"/>
  </si>
  <si>
    <t>연기금순매수금액</t>
    <phoneticPr fontId="1" type="noConversion"/>
  </si>
  <si>
    <t>개인순매수금액</t>
    <phoneticPr fontId="1" type="noConversion"/>
  </si>
  <si>
    <t>채권</t>
    <phoneticPr fontId="1" type="noConversion"/>
  </si>
  <si>
    <t>KOSPI</t>
    <phoneticPr fontId="1" type="noConversion"/>
  </si>
  <si>
    <t>KOSPI200</t>
    <phoneticPr fontId="1" type="noConversion"/>
  </si>
  <si>
    <t>KOSDAQ</t>
    <phoneticPr fontId="1" type="noConversion"/>
  </si>
  <si>
    <t>KTB</t>
    <phoneticPr fontId="1" type="noConversion"/>
  </si>
  <si>
    <t>LKTB</t>
    <phoneticPr fontId="1" type="noConversion"/>
  </si>
  <si>
    <t>외국인 순매수거래량</t>
    <phoneticPr fontId="1" type="noConversion"/>
  </si>
  <si>
    <t>증권사 순매수거래량</t>
    <phoneticPr fontId="1" type="noConversion"/>
  </si>
  <si>
    <t>은행 순매수거래량</t>
    <phoneticPr fontId="1" type="noConversion"/>
  </si>
  <si>
    <t>보험 순매수거래량</t>
    <phoneticPr fontId="1" type="noConversion"/>
  </si>
  <si>
    <t>투신 순매수거래량</t>
    <phoneticPr fontId="1" type="noConversion"/>
  </si>
  <si>
    <t>종금 순매수거래량</t>
    <phoneticPr fontId="1" type="noConversion"/>
  </si>
  <si>
    <t>개인 순매수거래량</t>
    <phoneticPr fontId="1" type="noConversion"/>
  </si>
  <si>
    <t>외국인</t>
    <phoneticPr fontId="1" type="noConversion"/>
  </si>
  <si>
    <t>증권</t>
    <phoneticPr fontId="1" type="noConversion"/>
  </si>
  <si>
    <t>연기금</t>
    <phoneticPr fontId="1" type="noConversion"/>
  </si>
  <si>
    <t>개인</t>
    <phoneticPr fontId="1" type="noConversion"/>
  </si>
  <si>
    <t>증권</t>
    <phoneticPr fontId="1" type="noConversion"/>
  </si>
  <si>
    <t>은행</t>
    <phoneticPr fontId="1" type="noConversion"/>
  </si>
  <si>
    <t>보험</t>
    <phoneticPr fontId="1" type="noConversion"/>
  </si>
  <si>
    <t>투신</t>
    <phoneticPr fontId="1" type="noConversion"/>
  </si>
  <si>
    <t>개인</t>
    <phoneticPr fontId="1" type="noConversion"/>
  </si>
  <si>
    <t>종금</t>
    <phoneticPr fontId="1" type="noConversion"/>
  </si>
  <si>
    <t>기금 순매수거래량</t>
    <phoneticPr fontId="1" type="noConversion"/>
  </si>
  <si>
    <t>연기금</t>
  </si>
  <si>
    <t>개인</t>
  </si>
  <si>
    <t>보험</t>
  </si>
  <si>
    <t>투신</t>
  </si>
  <si>
    <t>은행</t>
  </si>
  <si>
    <t>외국인</t>
  </si>
  <si>
    <t>종가</t>
    <phoneticPr fontId="1" type="noConversion"/>
  </si>
  <si>
    <t>INDEX 함수란?</t>
    <phoneticPr fontId="1" type="noConversion"/>
  </si>
  <si>
    <t>셀 범위나 데이터 배열에서 행 번호와 열 번호가 교차하는 곳에 있는 값을 반환해주는 함수</t>
    <phoneticPr fontId="1" type="noConversion"/>
  </si>
  <si>
    <t>연합인포맥스</t>
    <phoneticPr fontId="1" type="noConversion"/>
  </si>
  <si>
    <t>=INDEX(B10:H16,5,5)</t>
    <phoneticPr fontId="1" type="noConversion"/>
  </si>
  <si>
    <t>FRN</t>
    <phoneticPr fontId="1" type="noConversion"/>
  </si>
  <si>
    <t>미국채3Y</t>
    <phoneticPr fontId="1" type="noConversion"/>
  </si>
  <si>
    <t>히스토리:IMDH(시장구분,종목코드,항목명,시작일,종료일, 조회건수,[선택적인수]</t>
    <phoneticPr fontId="1" type="noConversion"/>
  </si>
  <si>
    <t>리얼:IMDP(시장구분,종목코드,항목명,[선택적인수])</t>
    <phoneticPr fontId="1" type="noConversion"/>
  </si>
  <si>
    <t>001</t>
    <phoneticPr fontId="1" type="noConversion"/>
  </si>
  <si>
    <t>211</t>
    <phoneticPr fontId="1" type="noConversion"/>
  </si>
  <si>
    <t>일자</t>
    <phoneticPr fontId="1" type="noConversion"/>
  </si>
  <si>
    <t>증권</t>
  </si>
  <si>
    <t>종신금</t>
  </si>
  <si>
    <t>순매수거래량</t>
    <phoneticPr fontId="1" type="noConversion"/>
  </si>
  <si>
    <t>구분</t>
    <phoneticPr fontId="1" type="noConversion"/>
  </si>
  <si>
    <t>외국인합순매수금액</t>
    <phoneticPr fontId="1" type="noConversion"/>
  </si>
  <si>
    <t>증권/선물순매수금액</t>
    <phoneticPr fontId="1" type="noConversion"/>
  </si>
  <si>
    <t>은행순매수금액</t>
    <phoneticPr fontId="1" type="noConversion"/>
  </si>
  <si>
    <t>보험순매수금액</t>
    <phoneticPr fontId="1" type="noConversion"/>
  </si>
  <si>
    <t>투신순매수금액</t>
    <phoneticPr fontId="1" type="noConversion"/>
  </si>
  <si>
    <t>종신금순매수금액</t>
    <phoneticPr fontId="1" type="noConversion"/>
  </si>
  <si>
    <t>연기금순매수금액</t>
    <phoneticPr fontId="1" type="noConversion"/>
  </si>
  <si>
    <t>개인순매수금액</t>
    <phoneticPr fontId="1" type="noConversion"/>
  </si>
  <si>
    <t>증권사 순매수거래량</t>
    <phoneticPr fontId="1" type="noConversion"/>
  </si>
  <si>
    <t>은행 순매수거래량</t>
    <phoneticPr fontId="1" type="noConversion"/>
  </si>
  <si>
    <t>보험 순매수거래량</t>
    <phoneticPr fontId="1" type="noConversion"/>
  </si>
  <si>
    <t>투신 순매수거래량</t>
    <phoneticPr fontId="1" type="noConversion"/>
  </si>
  <si>
    <t>종금 순매수거래량</t>
    <phoneticPr fontId="1" type="noConversion"/>
  </si>
  <si>
    <t>기금 순매수거래량</t>
    <phoneticPr fontId="1" type="noConversion"/>
  </si>
  <si>
    <t>개인 순매수거래량</t>
    <phoneticPr fontId="1" type="noConversion"/>
  </si>
  <si>
    <t>외국인 순매수거래량</t>
    <phoneticPr fontId="1" type="noConversion"/>
  </si>
  <si>
    <t>기준일</t>
    <phoneticPr fontId="1" type="noConversion"/>
  </si>
  <si>
    <t>전년말</t>
    <phoneticPr fontId="1" type="noConversion"/>
  </si>
  <si>
    <t>전월말</t>
    <phoneticPr fontId="1" type="noConversion"/>
  </si>
  <si>
    <t>전주</t>
    <phoneticPr fontId="1" type="noConversion"/>
  </si>
  <si>
    <t>DATE(YEAR(C2)-1,12,31)</t>
  </si>
  <si>
    <t>EOMONTH(C2,-1)</t>
    <phoneticPr fontId="1" type="noConversion"/>
  </si>
  <si>
    <t>C2-(WEEKDAY(C2,16))</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</si>
</sst>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1" formatCode="_-* #,##0_-;\-* #,##0_-;_-* &quot;-&quot;_-;_-@_-"/>
  </numFmts>
  <fonts count="30" x14ac:knownFonts="1">
    <font>
      <sz val="10"/>
      <color theme="1"/>
      <name val="맑은 고딕"/>
      <family val="2"/>
      <charset val="129"/>
      <scheme val="minor"/>
    </font>
    <font>
      <sz val="8"/>
      <name val="맑은 고딕"/>
      <family val="2"/>
      <charset val="129"/>
      <scheme val="minor"/>
    </font>
    <font>
      <b/>
      <i/>
      <u val="double"/>
      <sz val="24"/>
      <color theme="1"/>
      <name val="맑은 고딕"/>
      <family val="3"/>
      <charset val="129"/>
      <scheme val="minor"/>
    </font>
    <font>
      <sz val="24"/>
      <color theme="1"/>
      <name val="맑은 고딕"/>
      <family val="3"/>
      <charset val="129"/>
      <scheme val="minor"/>
    </font>
    <font>
      <b/>
      <sz val="10"/>
      <color theme="1"/>
      <name val="맑은 고딕"/>
      <family val="3"/>
      <charset val="129"/>
      <scheme val="minor"/>
    </font>
    <font>
      <sz val="10"/>
      <color theme="1"/>
      <name val="맑은 고딕"/>
      <family val="3"/>
      <charset val="129"/>
      <scheme val="minor"/>
    </font>
    <font>
      <b/>
      <sz val="10"/>
      <color theme="0"/>
      <name val="맑은 고딕"/>
      <family val="3"/>
      <charset val="129"/>
      <scheme val="minor"/>
    </font>
    <font>
      <b/>
      <sz val="14"/>
      <color theme="1"/>
      <name val="맑은 고딕"/>
      <family val="3"/>
      <charset val="129"/>
      <scheme val="minor"/>
    </font>
    <font>
      <b/>
      <sz val="20"/>
      <color theme="1"/>
      <name val="맑은 고딕"/>
      <family val="3"/>
      <charset val="129"/>
      <scheme val="minor"/>
    </font>
    <font>
      <sz val="10"/>
      <color theme="0" tint="-0.34998626667073579"/>
      <name val="맑은 고딕"/>
      <family val="3"/>
      <charset val="129"/>
      <scheme val="minor"/>
    </font>
    <font>
      <sz val="10"/>
      <color theme="1"/>
      <name val="맑은 고딕"/>
      <family val="2"/>
      <charset val="129"/>
      <scheme val="minor"/>
    </font>
    <font>
      <sz val="9"/>
      <color theme="1"/>
      <name val="맑은 고딕"/>
      <family val="2"/>
      <charset val="129"/>
      <scheme val="minor"/>
    </font>
    <font>
      <sz val="9"/>
      <color theme="1"/>
      <name val="맑은 고딕"/>
      <family val="3"/>
      <charset val="129"/>
      <scheme val="minor"/>
    </font>
    <font>
      <sz val="24"/>
      <color theme="0" tint="-4.9989318521683403E-2"/>
      <name val="맑은 고딕"/>
      <family val="3"/>
      <charset val="129"/>
      <scheme val="minor"/>
    </font>
    <font>
      <sz val="10"/>
      <color theme="0" tint="-4.9989318521683403E-2"/>
      <name val="맑은 고딕"/>
      <family val="3"/>
      <charset val="129"/>
      <scheme val="minor"/>
    </font>
    <font>
      <b/>
      <i/>
      <u/>
      <sz val="26"/>
      <color theme="1"/>
      <name val="맑은 고딕"/>
      <family val="3"/>
      <charset val="129"/>
      <scheme val="minor"/>
    </font>
    <font>
      <u/>
      <sz val="10"/>
      <color theme="1"/>
      <name val="맑은 고딕"/>
      <family val="2"/>
      <charset val="129"/>
      <scheme val="minor"/>
    </font>
    <font>
      <sz val="24"/>
      <name val="맑은 고딕"/>
      <family val="3"/>
      <charset val="129"/>
      <scheme val="minor"/>
    </font>
    <font>
      <sz val="10"/>
      <name val="맑은 고딕"/>
      <family val="3"/>
      <charset val="129"/>
      <scheme val="minor"/>
    </font>
    <font>
      <sz val="9"/>
      <color rgb="FF000000"/>
      <name val="굴림"/>
      <family val="3"/>
      <charset val="129"/>
    </font>
    <font>
      <sz val="24"/>
      <color rgb="FFFF0000"/>
      <name val="맑은 고딕"/>
      <family val="3"/>
      <charset val="129"/>
      <scheme val="minor"/>
    </font>
    <font>
      <sz val="10"/>
      <color rgb="FFFF0000"/>
      <name val="맑은 고딕"/>
      <family val="3"/>
      <charset val="129"/>
      <scheme val="minor"/>
    </font>
    <font>
      <b/>
      <sz val="48"/>
      <color theme="1"/>
      <name val="맑은 고딕"/>
      <family val="3"/>
      <charset val="129"/>
      <scheme val="minor"/>
    </font>
    <font>
      <sz val="6"/>
      <color theme="1"/>
      <name val="맑은 고딕"/>
      <family val="2"/>
      <charset val="129"/>
      <scheme val="minor"/>
    </font>
    <font>
      <b/>
      <sz val="22"/>
      <color theme="1"/>
      <name val="맑은 고딕"/>
      <family val="3"/>
      <charset val="129"/>
      <scheme val="minor"/>
    </font>
    <font>
      <sz val="14"/>
      <name val="맑은 고딕"/>
      <family val="3"/>
      <charset val="129"/>
      <scheme val="minor"/>
    </font>
    <font>
      <sz val="8"/>
      <name val="맑은 고딕"/>
      <family val="3"/>
      <charset val="129"/>
      <scheme val="minor"/>
    </font>
    <font>
      <sz val="9"/>
      <name val="맑은 고딕"/>
      <family val="3"/>
      <charset val="129"/>
      <scheme val="minor"/>
    </font>
    <font>
      <b/>
      <sz val="48"/>
      <color theme="0"/>
      <name val="맑은 고딕"/>
      <family val="3"/>
      <charset val="129"/>
      <scheme val="minor"/>
    </font>
    <font>
      <sz val="48"/>
      <color theme="1"/>
      <name val="맑은 고딕"/>
      <family val="3"/>
      <charset val="129"/>
      <scheme val="minor"/>
    </font>
  </fonts>
  <fills count="9">
    <fill>
      <patternFill patternType="none"/>
    </fill>
    <fill>
      <patternFill patternType="gray125"/>
    </fill>
    <fill>
      <patternFill patternType="solid">
        <fgColor theme="1" tint="0.499984740745262"/>
        <bgColor indexed="64"/>
      </patternFill>
    </fill>
    <fill>
      <patternFill patternType="solid">
        <fgColor rgb="FFFFFFCC"/>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FFFF00"/>
        <bgColor indexed="64"/>
      </patternFill>
    </fill>
    <fill>
      <patternFill patternType="solid">
        <fgColor rgb="FF0070C0"/>
        <bgColor indexed="64"/>
      </patternFill>
    </fill>
  </fills>
  <borders count="56">
    <border>
      <left/>
      <right/>
      <top/>
      <bottom/>
      <diagonal/>
    </border>
    <border>
      <left style="thin">
        <color auto="1"/>
      </left>
      <right style="thin">
        <color auto="1"/>
      </right>
      <top style="thin">
        <color auto="1"/>
      </top>
      <bottom style="thin">
        <color auto="1"/>
      </bottom>
      <diagonal/>
    </border>
    <border>
      <left/>
      <right/>
      <top style="medium">
        <color theme="4" tint="-0.24994659260841701"/>
      </top>
      <bottom style="medium">
        <color theme="4" tint="-0.24994659260841701"/>
      </bottom>
      <diagonal/>
    </border>
    <border>
      <left/>
      <right style="medium">
        <color theme="4" tint="-0.24994659260841701"/>
      </right>
      <top style="medium">
        <color theme="4" tint="-0.24994659260841701"/>
      </top>
      <bottom style="medium">
        <color theme="4" tint="-0.24994659260841701"/>
      </bottom>
      <diagonal/>
    </border>
    <border>
      <left/>
      <right/>
      <top style="medium">
        <color theme="4" tint="-0.24994659260841701"/>
      </top>
      <bottom style="hair">
        <color theme="4" tint="-0.24994659260841701"/>
      </bottom>
      <diagonal/>
    </border>
    <border>
      <left/>
      <right style="medium">
        <color theme="4" tint="-0.24994659260841701"/>
      </right>
      <top style="medium">
        <color theme="4" tint="-0.24994659260841701"/>
      </top>
      <bottom/>
      <diagonal/>
    </border>
    <border>
      <left/>
      <right style="medium">
        <color theme="4" tint="-0.24994659260841701"/>
      </right>
      <top/>
      <bottom/>
      <diagonal/>
    </border>
    <border>
      <left/>
      <right style="medium">
        <color theme="4" tint="-0.24994659260841701"/>
      </right>
      <top/>
      <bottom style="medium">
        <color theme="4" tint="-0.24994659260841701"/>
      </bottom>
      <diagonal/>
    </border>
    <border>
      <left style="medium">
        <color theme="4" tint="-0.24994659260841701"/>
      </left>
      <right style="hair">
        <color theme="4" tint="-0.24994659260841701"/>
      </right>
      <top style="medium">
        <color theme="4" tint="-0.24994659260841701"/>
      </top>
      <bottom style="medium">
        <color theme="4" tint="-0.24994659260841701"/>
      </bottom>
      <diagonal/>
    </border>
    <border>
      <left style="medium">
        <color theme="4" tint="-0.24994659260841701"/>
      </left>
      <right style="hair">
        <color theme="4" tint="-0.24994659260841701"/>
      </right>
      <top style="medium">
        <color theme="4" tint="-0.24994659260841701"/>
      </top>
      <bottom style="hair">
        <color theme="4" tint="-0.24994659260841701"/>
      </bottom>
      <diagonal/>
    </border>
    <border>
      <left style="medium">
        <color theme="4" tint="-0.24994659260841701"/>
      </left>
      <right style="hair">
        <color theme="4" tint="-0.24994659260841701"/>
      </right>
      <top style="hair">
        <color theme="4" tint="-0.24994659260841701"/>
      </top>
      <bottom style="hair">
        <color theme="4" tint="-0.24994659260841701"/>
      </bottom>
      <diagonal/>
    </border>
    <border>
      <left style="medium">
        <color theme="4" tint="-0.24994659260841701"/>
      </left>
      <right style="hair">
        <color theme="4" tint="-0.24994659260841701"/>
      </right>
      <top style="hair">
        <color theme="4" tint="-0.24994659260841701"/>
      </top>
      <bottom/>
      <diagonal/>
    </border>
    <border>
      <left style="medium">
        <color theme="4" tint="-0.24994659260841701"/>
      </left>
      <right style="hair">
        <color theme="4" tint="-0.24994659260841701"/>
      </right>
      <top style="hair">
        <color theme="4" tint="-0.24994659260841701"/>
      </top>
      <bottom style="medium">
        <color theme="4" tint="-0.24994659260841701"/>
      </bottom>
      <diagonal/>
    </border>
    <border>
      <left style="medium">
        <color theme="4" tint="-0.24994659260841701"/>
      </left>
      <right style="hair">
        <color theme="4" tint="-0.24994659260841701"/>
      </right>
      <top/>
      <bottom style="medium">
        <color theme="4" tint="-0.24994659260841701"/>
      </bottom>
      <diagonal/>
    </border>
    <border>
      <left style="medium">
        <color theme="4" tint="-0.24994659260841701"/>
      </left>
      <right style="hair">
        <color theme="4" tint="-0.24994659260841701"/>
      </right>
      <top style="medium">
        <color theme="4" tint="-0.24994659260841701"/>
      </top>
      <bottom style="hair">
        <color rgb="FF0070C0"/>
      </bottom>
      <diagonal/>
    </border>
    <border>
      <left style="medium">
        <color theme="4" tint="-0.24994659260841701"/>
      </left>
      <right style="hair">
        <color theme="4" tint="-0.24994659260841701"/>
      </right>
      <top style="hair">
        <color rgb="FF0070C0"/>
      </top>
      <bottom style="hair">
        <color rgb="FF0070C0"/>
      </bottom>
      <diagonal/>
    </border>
    <border>
      <left style="medium">
        <color theme="4" tint="-0.24994659260841701"/>
      </left>
      <right style="hair">
        <color theme="4" tint="-0.24994659260841701"/>
      </right>
      <top style="hair">
        <color rgb="FF0070C0"/>
      </top>
      <bottom style="medium">
        <color theme="4" tint="-0.24994659260841701"/>
      </bottom>
      <diagonal/>
    </border>
    <border>
      <left/>
      <right style="hair">
        <color theme="4" tint="-0.24994659260841701"/>
      </right>
      <top style="medium">
        <color theme="4" tint="-0.24994659260841701"/>
      </top>
      <bottom style="medium">
        <color theme="4" tint="-0.24994659260841701"/>
      </bottom>
      <diagonal/>
    </border>
    <border>
      <left style="hair">
        <color theme="4" tint="-0.24994659260841701"/>
      </left>
      <right style="hair">
        <color theme="4" tint="-0.24994659260841701"/>
      </right>
      <top style="medium">
        <color theme="4" tint="-0.24994659260841701"/>
      </top>
      <bottom style="medium">
        <color theme="4" tint="-0.24994659260841701"/>
      </bottom>
      <diagonal/>
    </border>
    <border>
      <left style="hair">
        <color theme="4" tint="-0.24994659260841701"/>
      </left>
      <right style="hair">
        <color theme="4" tint="-0.24994659260841701"/>
      </right>
      <top style="medium">
        <color theme="4" tint="-0.24994659260841701"/>
      </top>
      <bottom style="hair">
        <color theme="4" tint="-0.24994659260841701"/>
      </bottom>
      <diagonal/>
    </border>
    <border>
      <left style="hair">
        <color theme="4" tint="-0.24994659260841701"/>
      </left>
      <right style="hair">
        <color theme="4" tint="-0.24994659260841701"/>
      </right>
      <top style="hair">
        <color theme="4" tint="-0.24994659260841701"/>
      </top>
      <bottom style="hair">
        <color theme="4" tint="-0.24994659260841701"/>
      </bottom>
      <diagonal/>
    </border>
    <border>
      <left style="hair">
        <color theme="4" tint="-0.24994659260841701"/>
      </left>
      <right style="hair">
        <color theme="4" tint="-0.24994659260841701"/>
      </right>
      <top style="hair">
        <color theme="4" tint="-0.24994659260841701"/>
      </top>
      <bottom/>
      <diagonal/>
    </border>
    <border>
      <left style="hair">
        <color theme="4" tint="-0.24994659260841701"/>
      </left>
      <right style="hair">
        <color theme="4" tint="-0.24994659260841701"/>
      </right>
      <top style="hair">
        <color theme="4" tint="-0.24994659260841701"/>
      </top>
      <bottom style="medium">
        <color theme="4" tint="-0.24994659260841701"/>
      </bottom>
      <diagonal/>
    </border>
    <border>
      <left style="hair">
        <color theme="4" tint="-0.24994659260841701"/>
      </left>
      <right/>
      <top style="medium">
        <color theme="4" tint="-0.24994659260841701"/>
      </top>
      <bottom style="medium">
        <color theme="4" tint="-0.24994659260841701"/>
      </bottom>
      <diagonal/>
    </border>
    <border>
      <left style="hair">
        <color theme="4" tint="-0.24994659260841701"/>
      </left>
      <right/>
      <top style="medium">
        <color theme="4" tint="-0.24994659260841701"/>
      </top>
      <bottom style="hair">
        <color theme="4" tint="-0.24994659260841701"/>
      </bottom>
      <diagonal/>
    </border>
    <border>
      <left style="hair">
        <color theme="4" tint="-0.24994659260841701"/>
      </left>
      <right/>
      <top style="hair">
        <color theme="4" tint="-0.24994659260841701"/>
      </top>
      <bottom style="hair">
        <color theme="4" tint="-0.24994659260841701"/>
      </bottom>
      <diagonal/>
    </border>
    <border>
      <left style="hair">
        <color theme="4" tint="-0.24994659260841701"/>
      </left>
      <right/>
      <top style="hair">
        <color theme="4" tint="-0.24994659260841701"/>
      </top>
      <bottom/>
      <diagonal/>
    </border>
    <border>
      <left style="hair">
        <color theme="4" tint="-0.24994659260841701"/>
      </left>
      <right/>
      <top style="hair">
        <color theme="4" tint="-0.24994659260841701"/>
      </top>
      <bottom style="medium">
        <color theme="4" tint="-0.24994659260841701"/>
      </bottom>
      <diagonal/>
    </border>
    <border>
      <left style="hair">
        <color theme="4" tint="-0.24994659260841701"/>
      </left>
      <right style="hair">
        <color theme="4" tint="-0.24994659260841701"/>
      </right>
      <top style="medium">
        <color theme="4" tint="-0.24994659260841701"/>
      </top>
      <bottom style="hair">
        <color rgb="FF0070C0"/>
      </bottom>
      <diagonal/>
    </border>
    <border>
      <left style="hair">
        <color theme="4" tint="-0.24994659260841701"/>
      </left>
      <right/>
      <top style="medium">
        <color theme="4" tint="-0.24994659260841701"/>
      </top>
      <bottom style="hair">
        <color rgb="FF0070C0"/>
      </bottom>
      <diagonal/>
    </border>
    <border>
      <left style="hair">
        <color theme="4" tint="-0.24994659260841701"/>
      </left>
      <right style="hair">
        <color theme="4" tint="-0.24994659260841701"/>
      </right>
      <top style="hair">
        <color rgb="FF0070C0"/>
      </top>
      <bottom style="hair">
        <color rgb="FF0070C0"/>
      </bottom>
      <diagonal/>
    </border>
    <border>
      <left style="hair">
        <color theme="4" tint="-0.24994659260841701"/>
      </left>
      <right/>
      <top style="hair">
        <color rgb="FF0070C0"/>
      </top>
      <bottom style="hair">
        <color rgb="FF0070C0"/>
      </bottom>
      <diagonal/>
    </border>
    <border>
      <left style="hair">
        <color theme="4" tint="-0.24994659260841701"/>
      </left>
      <right style="hair">
        <color theme="4" tint="-0.24994659260841701"/>
      </right>
      <top style="hair">
        <color rgb="FF0070C0"/>
      </top>
      <bottom style="medium">
        <color theme="4" tint="-0.24994659260841701"/>
      </bottom>
      <diagonal/>
    </border>
    <border>
      <left style="hair">
        <color theme="4" tint="-0.24994659260841701"/>
      </left>
      <right/>
      <top style="hair">
        <color rgb="FF0070C0"/>
      </top>
      <bottom style="medium">
        <color theme="4" tint="-0.24994659260841701"/>
      </bottom>
      <diagonal/>
    </border>
    <border>
      <left/>
      <right style="hair">
        <color theme="4" tint="-0.24994659260841701"/>
      </right>
      <top style="hair">
        <color theme="4" tint="-0.24994659260841701"/>
      </top>
      <bottom style="hair">
        <color theme="4" tint="-0.24994659260841701"/>
      </bottom>
      <diagonal/>
    </border>
    <border>
      <left/>
      <right style="hair">
        <color theme="4" tint="-0.24994659260841701"/>
      </right>
      <top style="medium">
        <color theme="4" tint="-0.24994659260841701"/>
      </top>
      <bottom style="hair">
        <color theme="4" tint="-0.24994659260841701"/>
      </bottom>
      <diagonal/>
    </border>
    <border>
      <left/>
      <right style="hair">
        <color theme="4" tint="-0.24994659260841701"/>
      </right>
      <top style="hair">
        <color theme="4" tint="-0.24994659260841701"/>
      </top>
      <bottom style="medium">
        <color theme="4" tint="-0.24994659260841701"/>
      </bottom>
      <diagonal/>
    </border>
    <border>
      <left/>
      <right style="hair">
        <color theme="4" tint="-0.24994659260841701"/>
      </right>
      <top style="hair">
        <color theme="4" tint="-0.24994659260841701"/>
      </top>
      <bottom/>
      <diagonal/>
    </border>
    <border>
      <left style="medium">
        <color theme="4" tint="-0.24994659260841701"/>
      </left>
      <right style="hair">
        <color theme="4" tint="-0.24994659260841701"/>
      </right>
      <top/>
      <bottom style="hair">
        <color theme="4" tint="-0.24994659260841701"/>
      </bottom>
      <diagonal/>
    </border>
    <border>
      <left/>
      <right/>
      <top/>
      <bottom style="hair">
        <color theme="4" tint="-0.24994659260841701"/>
      </bottom>
      <diagonal/>
    </border>
    <border>
      <left style="hair">
        <color theme="4" tint="-0.24994659260841701"/>
      </left>
      <right style="hair">
        <color theme="4" tint="-0.24994659260841701"/>
      </right>
      <top/>
      <bottom style="hair">
        <color theme="4" tint="-0.24994659260841701"/>
      </bottom>
      <diagonal/>
    </border>
    <border>
      <left style="hair">
        <color theme="4" tint="-0.24994659260841701"/>
      </left>
      <right/>
      <top/>
      <bottom style="hair">
        <color theme="4" tint="-0.24994659260841701"/>
      </bottom>
      <diagonal/>
    </border>
    <border>
      <left/>
      <right/>
      <top style="hair">
        <color theme="4" tint="-0.24994659260841701"/>
      </top>
      <bottom style="hair">
        <color theme="4" tint="-0.24994659260841701"/>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s>
  <cellStyleXfs count="2">
    <xf numFmtId="0" fontId="0" fillId="0" borderId="0">
      <alignment vertical="center"/>
    </xf>
    <xf numFmtId="41" fontId="10" fillId="0" borderId="0" applyFont="0" applyFill="0" applyBorder="0" applyAlignment="0" applyProtection="0">
      <alignment vertical="center"/>
    </xf>
  </cellStyleXfs>
  <cellXfs count="183">
    <xf numFmtId="0" fontId="0" fillId="0" borderId="0" xfId="0">
      <alignment vertical="center"/>
    </xf>
    <xf numFmtId="49" fontId="0" fillId="0" borderId="0" xfId="0" applyNumberFormat="1">
      <alignment vertical="center"/>
    </xf>
    <xf numFmtId="0" fontId="3" fillId="0" borderId="0" xfId="0" applyFont="1">
      <alignment vertical="center"/>
    </xf>
    <xf numFmtId="0" fontId="2" fillId="0" borderId="0" xfId="0" applyFont="1" applyAlignment="1">
      <alignment horizontal="center" vertical="center"/>
    </xf>
    <xf numFmtId="14" fontId="5" fillId="3" borderId="1" xfId="0" applyNumberFormat="1" applyFont="1" applyFill="1" applyBorder="1" applyAlignment="1">
      <alignment horizontal="center" vertical="center"/>
    </xf>
    <xf numFmtId="14" fontId="0" fillId="3" borderId="1" xfId="0" applyNumberFormat="1" applyFill="1" applyBorder="1">
      <alignment vertical="center"/>
    </xf>
    <xf numFmtId="0" fontId="6" fillId="2" borderId="1" xfId="0" applyFont="1" applyFill="1" applyBorder="1" applyAlignment="1">
      <alignment horizontal="center" vertical="center"/>
    </xf>
    <xf numFmtId="0" fontId="4" fillId="0" borderId="0" xfId="0" applyFont="1">
      <alignment vertical="center"/>
    </xf>
    <xf numFmtId="0" fontId="7" fillId="0" borderId="0" xfId="0" applyFont="1">
      <alignment vertical="center"/>
    </xf>
    <xf numFmtId="0" fontId="8" fillId="0" borderId="0" xfId="0" applyFont="1">
      <alignment vertical="center"/>
    </xf>
    <xf numFmtId="0" fontId="0" fillId="0" borderId="0" xfId="0" applyNumberFormat="1" applyBorder="1">
      <alignment vertical="center"/>
    </xf>
    <xf numFmtId="0" fontId="0" fillId="0" borderId="0" xfId="0" applyBorder="1">
      <alignment vertical="center"/>
    </xf>
    <xf numFmtId="14" fontId="9" fillId="0" borderId="0" xfId="0" applyNumberFormat="1" applyFont="1" applyAlignment="1">
      <alignment horizontal="center" vertical="center"/>
    </xf>
    <xf numFmtId="14" fontId="9" fillId="0" borderId="0" xfId="0" applyNumberFormat="1" applyFont="1" applyBorder="1">
      <alignment vertical="center"/>
    </xf>
    <xf numFmtId="0" fontId="0" fillId="4" borderId="2" xfId="0" applyFill="1" applyBorder="1">
      <alignment vertical="center"/>
    </xf>
    <xf numFmtId="0" fontId="4" fillId="4" borderId="3" xfId="0" applyFont="1" applyFill="1" applyBorder="1" applyAlignment="1">
      <alignment horizontal="center" vertical="center"/>
    </xf>
    <xf numFmtId="0" fontId="4" fillId="4" borderId="8" xfId="0" applyFont="1" applyFill="1" applyBorder="1" applyAlignment="1">
      <alignment horizontal="center" vertical="center"/>
    </xf>
    <xf numFmtId="0" fontId="0" fillId="0" borderId="19" xfId="0" applyNumberFormat="1" applyBorder="1">
      <alignment vertical="center"/>
    </xf>
    <xf numFmtId="0" fontId="0" fillId="0" borderId="20" xfId="0" applyNumberFormat="1" applyBorder="1">
      <alignment vertical="center"/>
    </xf>
    <xf numFmtId="0" fontId="0" fillId="0" borderId="21" xfId="0" applyNumberFormat="1" applyBorder="1">
      <alignment vertical="center"/>
    </xf>
    <xf numFmtId="0" fontId="0" fillId="0" borderId="20" xfId="0" applyBorder="1">
      <alignment vertical="center"/>
    </xf>
    <xf numFmtId="0" fontId="0" fillId="0" borderId="22" xfId="0" applyBorder="1">
      <alignment vertical="center"/>
    </xf>
    <xf numFmtId="0" fontId="4" fillId="4" borderId="18" xfId="0" applyFont="1" applyFill="1" applyBorder="1" applyAlignment="1">
      <alignment horizontal="center" vertical="center"/>
    </xf>
    <xf numFmtId="0" fontId="4" fillId="4" borderId="23" xfId="0" applyFont="1" applyFill="1" applyBorder="1" applyAlignment="1">
      <alignment horizontal="center" vertical="center"/>
    </xf>
    <xf numFmtId="10" fontId="0" fillId="0" borderId="19" xfId="0" applyNumberFormat="1" applyBorder="1">
      <alignment vertical="center"/>
    </xf>
    <xf numFmtId="10" fontId="0" fillId="0" borderId="24" xfId="0" applyNumberFormat="1" applyBorder="1">
      <alignment vertical="center"/>
    </xf>
    <xf numFmtId="10" fontId="0" fillId="0" borderId="20" xfId="0" applyNumberFormat="1" applyBorder="1">
      <alignment vertical="center"/>
    </xf>
    <xf numFmtId="10" fontId="0" fillId="0" borderId="25" xfId="0" applyNumberFormat="1" applyBorder="1">
      <alignment vertical="center"/>
    </xf>
    <xf numFmtId="10" fontId="0" fillId="0" borderId="21" xfId="0" applyNumberFormat="1" applyBorder="1">
      <alignment vertical="center"/>
    </xf>
    <xf numFmtId="10" fontId="0" fillId="0" borderId="26" xfId="0" applyNumberFormat="1" applyBorder="1">
      <alignment vertical="center"/>
    </xf>
    <xf numFmtId="0" fontId="0" fillId="0" borderId="28" xfId="0" applyNumberFormat="1" applyBorder="1">
      <alignment vertical="center"/>
    </xf>
    <xf numFmtId="10" fontId="0" fillId="0" borderId="28" xfId="0" applyNumberFormat="1" applyBorder="1">
      <alignment vertical="center"/>
    </xf>
    <xf numFmtId="10" fontId="0" fillId="0" borderId="29" xfId="0" applyNumberFormat="1" applyBorder="1">
      <alignment vertical="center"/>
    </xf>
    <xf numFmtId="0" fontId="0" fillId="0" borderId="30" xfId="0" applyNumberFormat="1" applyBorder="1">
      <alignment vertical="center"/>
    </xf>
    <xf numFmtId="10" fontId="0" fillId="0" borderId="30" xfId="0" applyNumberFormat="1" applyBorder="1">
      <alignment vertical="center"/>
    </xf>
    <xf numFmtId="10" fontId="0" fillId="0" borderId="31" xfId="0" applyNumberFormat="1" applyBorder="1">
      <alignment vertical="center"/>
    </xf>
    <xf numFmtId="0" fontId="0" fillId="0" borderId="32" xfId="0" applyNumberFormat="1" applyBorder="1">
      <alignment vertical="center"/>
    </xf>
    <xf numFmtId="10" fontId="0" fillId="0" borderId="32" xfId="0" applyNumberFormat="1" applyBorder="1">
      <alignment vertical="center"/>
    </xf>
    <xf numFmtId="10" fontId="0" fillId="0" borderId="33" xfId="0" applyNumberFormat="1" applyBorder="1">
      <alignment vertical="center"/>
    </xf>
    <xf numFmtId="0" fontId="4" fillId="4" borderId="17" xfId="0" applyFont="1" applyFill="1" applyBorder="1" applyAlignment="1">
      <alignment horizontal="center" vertical="center"/>
    </xf>
    <xf numFmtId="49" fontId="4" fillId="4" borderId="18" xfId="0" applyNumberFormat="1" applyFont="1" applyFill="1" applyBorder="1" applyAlignment="1">
      <alignment horizontal="center" vertical="center"/>
    </xf>
    <xf numFmtId="0" fontId="4" fillId="4" borderId="18" xfId="0" applyFont="1" applyFill="1" applyBorder="1" applyAlignment="1">
      <alignment horizontal="center" vertical="center"/>
    </xf>
    <xf numFmtId="0" fontId="4" fillId="4" borderId="23" xfId="0" applyFont="1" applyFill="1" applyBorder="1" applyAlignment="1">
      <alignment horizontal="center" vertical="center"/>
    </xf>
    <xf numFmtId="41" fontId="0" fillId="0" borderId="0" xfId="0" applyNumberFormat="1">
      <alignment vertical="center"/>
    </xf>
    <xf numFmtId="10" fontId="0" fillId="0" borderId="22" xfId="0" applyNumberFormat="1" applyBorder="1">
      <alignment vertical="center"/>
    </xf>
    <xf numFmtId="10" fontId="0" fillId="0" borderId="27" xfId="0" applyNumberFormat="1" applyBorder="1">
      <alignment vertical="center"/>
    </xf>
    <xf numFmtId="0" fontId="0" fillId="0" borderId="35" xfId="0" applyNumberFormat="1" applyBorder="1">
      <alignment vertical="center"/>
    </xf>
    <xf numFmtId="0" fontId="0" fillId="0" borderId="34" xfId="0" applyNumberFormat="1" applyBorder="1">
      <alignment vertical="center"/>
    </xf>
    <xf numFmtId="0" fontId="0" fillId="0" borderId="37" xfId="0" applyNumberFormat="1" applyBorder="1">
      <alignment vertical="center"/>
    </xf>
    <xf numFmtId="0" fontId="0" fillId="0" borderId="34" xfId="0" applyBorder="1">
      <alignment vertical="center"/>
    </xf>
    <xf numFmtId="0" fontId="0" fillId="0" borderId="36" xfId="0" applyBorder="1">
      <alignment vertical="center"/>
    </xf>
    <xf numFmtId="49" fontId="0" fillId="0" borderId="20" xfId="0" applyNumberFormat="1" applyBorder="1" applyAlignment="1">
      <alignment horizontal="right" vertical="center"/>
    </xf>
    <xf numFmtId="49" fontId="0" fillId="0" borderId="21" xfId="0" applyNumberFormat="1" applyBorder="1" applyAlignment="1">
      <alignment horizontal="right" vertical="center"/>
    </xf>
    <xf numFmtId="49" fontId="0" fillId="0" borderId="20" xfId="0" applyNumberFormat="1" applyFill="1" applyBorder="1" applyAlignment="1">
      <alignment horizontal="right" vertical="center"/>
    </xf>
    <xf numFmtId="49" fontId="0" fillId="0" borderId="22" xfId="0" applyNumberFormat="1" applyFill="1" applyBorder="1" applyAlignment="1">
      <alignment horizontal="right" vertical="center"/>
    </xf>
    <xf numFmtId="49" fontId="0" fillId="0" borderId="28" xfId="0" applyNumberFormat="1" applyBorder="1" applyAlignment="1">
      <alignment horizontal="right" vertical="center"/>
    </xf>
    <xf numFmtId="49" fontId="0" fillId="0" borderId="30" xfId="0" applyNumberFormat="1" applyBorder="1" applyAlignment="1">
      <alignment horizontal="right" vertical="center"/>
    </xf>
    <xf numFmtId="49" fontId="0" fillId="0" borderId="32" xfId="0" applyNumberFormat="1" applyBorder="1" applyAlignment="1">
      <alignment horizontal="right" vertical="center"/>
    </xf>
    <xf numFmtId="41" fontId="11" fillId="0" borderId="24" xfId="1" applyFont="1" applyBorder="1" applyAlignment="1">
      <alignment horizontal="right" vertical="center"/>
    </xf>
    <xf numFmtId="41" fontId="0" fillId="0" borderId="19" xfId="1" applyFont="1" applyBorder="1" applyAlignment="1">
      <alignment vertical="center"/>
    </xf>
    <xf numFmtId="41" fontId="0" fillId="0" borderId="24" xfId="1" applyFont="1" applyBorder="1" applyAlignment="1">
      <alignment vertical="center"/>
    </xf>
    <xf numFmtId="41" fontId="11" fillId="0" borderId="25" xfId="1" applyFont="1" applyBorder="1" applyAlignment="1">
      <alignment horizontal="right" vertical="center"/>
    </xf>
    <xf numFmtId="41" fontId="0" fillId="0" borderId="20" xfId="1" applyFont="1" applyBorder="1" applyAlignment="1">
      <alignment vertical="center"/>
    </xf>
    <xf numFmtId="41" fontId="0" fillId="0" borderId="25" xfId="1" applyFont="1" applyBorder="1" applyAlignment="1">
      <alignment vertical="center"/>
    </xf>
    <xf numFmtId="41" fontId="12" fillId="0" borderId="25" xfId="1" applyFont="1" applyBorder="1" applyAlignment="1">
      <alignment horizontal="right" vertical="center"/>
    </xf>
    <xf numFmtId="41" fontId="12" fillId="0" borderId="27" xfId="1" applyFont="1" applyBorder="1" applyAlignment="1">
      <alignment horizontal="right" vertical="center"/>
    </xf>
    <xf numFmtId="41" fontId="0" fillId="0" borderId="22" xfId="1" applyFont="1" applyBorder="1" applyAlignment="1">
      <alignment vertical="center"/>
    </xf>
    <xf numFmtId="41" fontId="0" fillId="0" borderId="27" xfId="1" applyFont="1" applyBorder="1" applyAlignment="1">
      <alignment vertical="center"/>
    </xf>
    <xf numFmtId="0" fontId="13" fillId="0" borderId="0" xfId="0" applyFont="1">
      <alignment vertical="center"/>
    </xf>
    <xf numFmtId="0" fontId="14" fillId="0" borderId="0" xfId="0" applyFont="1">
      <alignment vertical="center"/>
    </xf>
    <xf numFmtId="0" fontId="16" fillId="0" borderId="0" xfId="0" applyFont="1">
      <alignment vertical="center"/>
    </xf>
    <xf numFmtId="0" fontId="17" fillId="0" borderId="0" xfId="0" applyFont="1">
      <alignment vertical="center"/>
    </xf>
    <xf numFmtId="0" fontId="18" fillId="0" borderId="0" xfId="0" applyFont="1">
      <alignment vertical="center"/>
    </xf>
    <xf numFmtId="0" fontId="18" fillId="0" borderId="0" xfId="0" applyFont="1" applyAlignment="1">
      <alignment horizontal="center" vertical="center"/>
    </xf>
    <xf numFmtId="14" fontId="18" fillId="0" borderId="0" xfId="0" applyNumberFormat="1" applyFont="1">
      <alignment vertical="center"/>
    </xf>
    <xf numFmtId="14" fontId="0" fillId="0" borderId="0" xfId="0" applyNumberFormat="1">
      <alignment vertical="center"/>
    </xf>
    <xf numFmtId="0" fontId="0" fillId="5" borderId="19" xfId="0" applyFill="1" applyBorder="1">
      <alignment vertical="center"/>
    </xf>
    <xf numFmtId="49" fontId="0" fillId="5" borderId="19" xfId="0" applyNumberFormat="1" applyFill="1" applyBorder="1">
      <alignment vertical="center"/>
    </xf>
    <xf numFmtId="49" fontId="0" fillId="5" borderId="24" xfId="0" applyNumberFormat="1" applyFill="1" applyBorder="1">
      <alignment vertical="center"/>
    </xf>
    <xf numFmtId="0" fontId="0" fillId="5" borderId="20" xfId="0" applyFill="1" applyBorder="1">
      <alignment vertical="center"/>
    </xf>
    <xf numFmtId="49" fontId="0" fillId="5" borderId="20" xfId="0" applyNumberFormat="1" applyFill="1" applyBorder="1">
      <alignment vertical="center"/>
    </xf>
    <xf numFmtId="49" fontId="0" fillId="5" borderId="25" xfId="0" applyNumberFormat="1" applyFill="1" applyBorder="1">
      <alignment vertical="center"/>
    </xf>
    <xf numFmtId="49" fontId="0" fillId="5" borderId="21" xfId="0" applyNumberFormat="1" applyFill="1" applyBorder="1">
      <alignment vertical="center"/>
    </xf>
    <xf numFmtId="49" fontId="0" fillId="5" borderId="26" xfId="0" applyNumberFormat="1" applyFill="1" applyBorder="1">
      <alignment vertical="center"/>
    </xf>
    <xf numFmtId="49" fontId="0" fillId="5" borderId="22" xfId="0" applyNumberFormat="1" applyFill="1" applyBorder="1">
      <alignment vertical="center"/>
    </xf>
    <xf numFmtId="49" fontId="0" fillId="5" borderId="27" xfId="0" applyNumberFormat="1" applyFill="1" applyBorder="1">
      <alignment vertical="center"/>
    </xf>
    <xf numFmtId="49" fontId="0" fillId="5" borderId="28" xfId="0" applyNumberFormat="1" applyFill="1" applyBorder="1">
      <alignment vertical="center"/>
    </xf>
    <xf numFmtId="49" fontId="0" fillId="5" borderId="30" xfId="0" applyNumberFormat="1" applyFill="1" applyBorder="1">
      <alignment vertical="center"/>
    </xf>
    <xf numFmtId="49" fontId="0" fillId="5" borderId="32" xfId="0" applyNumberFormat="1" applyFill="1" applyBorder="1">
      <alignment vertical="center"/>
    </xf>
    <xf numFmtId="0" fontId="4" fillId="5" borderId="18" xfId="0" applyFont="1" applyFill="1" applyBorder="1">
      <alignment vertical="center"/>
    </xf>
    <xf numFmtId="0" fontId="0" fillId="5" borderId="4" xfId="0" applyFill="1" applyBorder="1">
      <alignment vertical="center"/>
    </xf>
    <xf numFmtId="0" fontId="0" fillId="5" borderId="19" xfId="0" applyFill="1" applyBorder="1" applyAlignment="1">
      <alignment vertical="center"/>
    </xf>
    <xf numFmtId="0" fontId="11" fillId="5" borderId="19" xfId="0" applyFont="1" applyFill="1" applyBorder="1" applyAlignment="1">
      <alignment horizontal="center" vertical="center"/>
    </xf>
    <xf numFmtId="0" fontId="0" fillId="5" borderId="20" xfId="0" applyFill="1" applyBorder="1" applyAlignment="1">
      <alignment vertical="center"/>
    </xf>
    <xf numFmtId="0" fontId="11" fillId="5" borderId="20" xfId="0" applyFont="1" applyFill="1" applyBorder="1" applyAlignment="1">
      <alignment horizontal="center" vertical="center"/>
    </xf>
    <xf numFmtId="0" fontId="12" fillId="5" borderId="20" xfId="0" applyFont="1" applyFill="1" applyBorder="1" applyAlignment="1">
      <alignment horizontal="center" vertical="center"/>
    </xf>
    <xf numFmtId="0" fontId="0" fillId="5" borderId="22" xfId="0" applyFill="1" applyBorder="1" applyAlignment="1">
      <alignment vertical="center"/>
    </xf>
    <xf numFmtId="0" fontId="12" fillId="5" borderId="22" xfId="0" applyFont="1" applyFill="1" applyBorder="1" applyAlignment="1">
      <alignment horizontal="center" vertical="center"/>
    </xf>
    <xf numFmtId="0" fontId="0" fillId="0" borderId="20" xfId="0" applyNumberFormat="1" applyBorder="1" applyAlignment="1">
      <alignment horizontal="right" vertical="center"/>
    </xf>
    <xf numFmtId="0" fontId="20" fillId="0" borderId="0" xfId="0" applyFont="1">
      <alignment vertical="center"/>
    </xf>
    <xf numFmtId="0" fontId="21" fillId="0" borderId="0" xfId="0" applyFont="1">
      <alignment vertical="center"/>
    </xf>
    <xf numFmtId="0" fontId="4" fillId="0" borderId="9" xfId="0" applyFont="1" applyFill="1" applyBorder="1">
      <alignment vertical="center"/>
    </xf>
    <xf numFmtId="0" fontId="4" fillId="0" borderId="10" xfId="0" applyFont="1" applyFill="1" applyBorder="1">
      <alignment vertical="center"/>
    </xf>
    <xf numFmtId="49" fontId="4" fillId="0" borderId="10" xfId="0" applyNumberFormat="1" applyFont="1" applyFill="1" applyBorder="1">
      <alignment vertical="center"/>
    </xf>
    <xf numFmtId="49" fontId="4" fillId="0" borderId="11" xfId="0" applyNumberFormat="1" applyFont="1" applyFill="1" applyBorder="1">
      <alignment vertical="center"/>
    </xf>
    <xf numFmtId="49" fontId="4" fillId="0" borderId="12" xfId="0" applyNumberFormat="1" applyFont="1" applyFill="1" applyBorder="1">
      <alignment vertical="center"/>
    </xf>
    <xf numFmtId="49" fontId="4" fillId="0" borderId="14" xfId="0" applyNumberFormat="1" applyFont="1" applyFill="1" applyBorder="1">
      <alignment vertical="center"/>
    </xf>
    <xf numFmtId="49" fontId="4" fillId="0" borderId="15" xfId="0" applyNumberFormat="1" applyFont="1" applyFill="1" applyBorder="1">
      <alignment vertical="center"/>
    </xf>
    <xf numFmtId="49" fontId="4" fillId="0" borderId="16" xfId="0" applyNumberFormat="1" applyFont="1" applyFill="1" applyBorder="1">
      <alignment vertical="center"/>
    </xf>
    <xf numFmtId="49" fontId="4" fillId="0" borderId="8" xfId="0" applyNumberFormat="1" applyFont="1" applyFill="1" applyBorder="1" applyAlignment="1">
      <alignment horizontal="center" vertical="center"/>
    </xf>
    <xf numFmtId="0" fontId="4" fillId="0" borderId="13" xfId="0" applyFont="1" applyFill="1" applyBorder="1">
      <alignment vertical="center"/>
    </xf>
    <xf numFmtId="0" fontId="4" fillId="0" borderId="38" xfId="0" applyFont="1" applyFill="1" applyBorder="1">
      <alignment vertical="center"/>
    </xf>
    <xf numFmtId="0" fontId="0" fillId="5" borderId="39" xfId="0" applyFill="1" applyBorder="1">
      <alignment vertical="center"/>
    </xf>
    <xf numFmtId="0" fontId="0" fillId="5" borderId="40" xfId="0" applyFill="1" applyBorder="1" applyAlignment="1">
      <alignment vertical="center"/>
    </xf>
    <xf numFmtId="0" fontId="11" fillId="5" borderId="40" xfId="0" applyFont="1" applyFill="1" applyBorder="1" applyAlignment="1">
      <alignment horizontal="center" vertical="center"/>
    </xf>
    <xf numFmtId="41" fontId="11" fillId="0" borderId="41" xfId="1" applyFont="1" applyBorder="1" applyAlignment="1">
      <alignment horizontal="right" vertical="center"/>
    </xf>
    <xf numFmtId="41" fontId="0" fillId="0" borderId="40" xfId="1" applyFont="1" applyBorder="1" applyAlignment="1">
      <alignment vertical="center"/>
    </xf>
    <xf numFmtId="41" fontId="0" fillId="0" borderId="41" xfId="1" applyFont="1" applyBorder="1" applyAlignment="1">
      <alignment vertical="center"/>
    </xf>
    <xf numFmtId="49" fontId="4" fillId="0" borderId="9" xfId="0" applyNumberFormat="1" applyFont="1" applyFill="1" applyBorder="1" applyAlignment="1">
      <alignment horizontal="center" vertical="center"/>
    </xf>
    <xf numFmtId="0" fontId="4" fillId="5" borderId="4" xfId="0" applyFont="1" applyFill="1" applyBorder="1">
      <alignment vertical="center"/>
    </xf>
    <xf numFmtId="0" fontId="4" fillId="5" borderId="19" xfId="0" applyFont="1" applyFill="1" applyBorder="1">
      <alignment vertical="center"/>
    </xf>
    <xf numFmtId="49" fontId="4" fillId="0" borderId="10" xfId="0" applyNumberFormat="1" applyFont="1" applyFill="1" applyBorder="1" applyAlignment="1">
      <alignment horizontal="center" vertical="center"/>
    </xf>
    <xf numFmtId="0" fontId="4" fillId="5" borderId="42" xfId="0" applyFont="1" applyFill="1" applyBorder="1">
      <alignment vertical="center"/>
    </xf>
    <xf numFmtId="0" fontId="4" fillId="5" borderId="20" xfId="0" applyFont="1" applyFill="1" applyBorder="1">
      <alignment vertical="center"/>
    </xf>
    <xf numFmtId="0" fontId="4" fillId="6" borderId="24" xfId="0" applyFont="1" applyFill="1" applyBorder="1" applyAlignment="1">
      <alignment horizontal="center" vertical="center"/>
    </xf>
    <xf numFmtId="49" fontId="4" fillId="6" borderId="24" xfId="0" applyNumberFormat="1" applyFont="1" applyFill="1" applyBorder="1" applyAlignment="1">
      <alignment horizontal="center" vertical="center"/>
    </xf>
    <xf numFmtId="49" fontId="4" fillId="6" borderId="19" xfId="0" applyNumberFormat="1" applyFont="1" applyFill="1" applyBorder="1" applyAlignment="1">
      <alignment horizontal="center" vertical="center"/>
    </xf>
    <xf numFmtId="0" fontId="4" fillId="6" borderId="19" xfId="0" applyFont="1" applyFill="1" applyBorder="1" applyAlignment="1">
      <alignment horizontal="center" vertical="center"/>
    </xf>
    <xf numFmtId="0" fontId="4" fillId="6" borderId="25" xfId="0" applyFont="1" applyFill="1" applyBorder="1" applyAlignment="1">
      <alignment horizontal="center" vertical="center"/>
    </xf>
    <xf numFmtId="49" fontId="4" fillId="6" borderId="25" xfId="0" applyNumberFormat="1" applyFont="1" applyFill="1" applyBorder="1" applyAlignment="1">
      <alignment horizontal="center" vertical="center"/>
    </xf>
    <xf numFmtId="49" fontId="4" fillId="6" borderId="20" xfId="0" applyNumberFormat="1" applyFont="1" applyFill="1" applyBorder="1" applyAlignment="1">
      <alignment horizontal="center" vertical="center"/>
    </xf>
    <xf numFmtId="0" fontId="4" fillId="6" borderId="20" xfId="0" applyFont="1" applyFill="1" applyBorder="1" applyAlignment="1">
      <alignment horizontal="center" vertical="center"/>
    </xf>
    <xf numFmtId="41" fontId="21" fillId="0" borderId="0" xfId="0" applyNumberFormat="1" applyFont="1">
      <alignment vertical="center"/>
    </xf>
    <xf numFmtId="14" fontId="21" fillId="0" borderId="0" xfId="0" applyNumberFormat="1" applyFont="1">
      <alignment vertical="center"/>
    </xf>
    <xf numFmtId="0" fontId="22" fillId="0" borderId="0" xfId="0" applyFont="1">
      <alignment vertical="center"/>
    </xf>
    <xf numFmtId="0" fontId="0" fillId="0" borderId="0" xfId="0"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49" xfId="0" applyBorder="1" applyAlignment="1">
      <alignment horizontal="center" vertical="center"/>
    </xf>
    <xf numFmtId="0" fontId="0" fillId="0" borderId="50" xfId="0" applyBorder="1" applyAlignment="1">
      <alignment horizontal="center" vertical="center"/>
    </xf>
    <xf numFmtId="0" fontId="0" fillId="0" borderId="51" xfId="0" applyBorder="1" applyAlignment="1">
      <alignment horizontal="center" vertical="center"/>
    </xf>
    <xf numFmtId="0" fontId="22" fillId="0" borderId="0" xfId="0" quotePrefix="1" applyFont="1">
      <alignment vertical="center"/>
    </xf>
    <xf numFmtId="0" fontId="23" fillId="7" borderId="47" xfId="0" applyFont="1" applyFill="1" applyBorder="1" applyAlignment="1">
      <alignment horizontal="center" vertical="center"/>
    </xf>
    <xf numFmtId="0" fontId="24" fillId="0" borderId="0" xfId="0" applyFont="1">
      <alignment vertical="center"/>
    </xf>
    <xf numFmtId="49" fontId="2" fillId="0" borderId="0" xfId="0" applyNumberFormat="1" applyFont="1" applyAlignment="1">
      <alignment horizontal="center" vertical="center"/>
    </xf>
    <xf numFmtId="14" fontId="3" fillId="0" borderId="0" xfId="0" applyNumberFormat="1" applyFont="1">
      <alignment vertical="center"/>
    </xf>
    <xf numFmtId="14" fontId="13" fillId="0" borderId="0" xfId="0" applyNumberFormat="1" applyFont="1">
      <alignment vertical="center"/>
    </xf>
    <xf numFmtId="14" fontId="21" fillId="0" borderId="0" xfId="0" applyNumberFormat="1" applyFont="1" applyAlignment="1">
      <alignment horizontal="center" vertical="center"/>
    </xf>
    <xf numFmtId="14" fontId="20" fillId="0" borderId="0" xfId="0" applyNumberFormat="1" applyFont="1">
      <alignment vertical="center"/>
    </xf>
    <xf numFmtId="0" fontId="25" fillId="0" borderId="0" xfId="0" applyFont="1">
      <alignment vertical="center"/>
    </xf>
    <xf numFmtId="0" fontId="26" fillId="0" borderId="0" xfId="0" applyFont="1">
      <alignment vertical="center"/>
    </xf>
    <xf numFmtId="14" fontId="18" fillId="0" borderId="0" xfId="0" applyNumberFormat="1" applyFont="1" applyAlignment="1">
      <alignment horizontal="center" vertical="center"/>
    </xf>
    <xf numFmtId="14" fontId="27" fillId="0" borderId="0" xfId="0" applyNumberFormat="1" applyFont="1">
      <alignment vertical="center"/>
    </xf>
    <xf numFmtId="0" fontId="18" fillId="0" borderId="0" xfId="0" applyNumberFormat="1" applyFont="1" applyAlignment="1">
      <alignment horizontal="right" vertical="center"/>
    </xf>
    <xf numFmtId="49" fontId="18" fillId="0" borderId="0" xfId="0" applyNumberFormat="1" applyFont="1" applyAlignment="1">
      <alignment horizontal="right" vertical="center"/>
    </xf>
    <xf numFmtId="41" fontId="18" fillId="0" borderId="0" xfId="0" applyNumberFormat="1" applyFont="1">
      <alignment vertical="center"/>
    </xf>
    <xf numFmtId="0" fontId="18" fillId="0" borderId="52" xfId="0" applyFont="1" applyBorder="1">
      <alignment vertical="center"/>
    </xf>
    <xf numFmtId="0" fontId="18" fillId="0" borderId="52" xfId="0" applyFont="1" applyBorder="1" applyAlignment="1">
      <alignment horizontal="center" vertical="center"/>
    </xf>
    <xf numFmtId="41" fontId="18" fillId="0" borderId="52" xfId="0" applyNumberFormat="1" applyFont="1" applyBorder="1">
      <alignment vertical="center"/>
    </xf>
    <xf numFmtId="0" fontId="17" fillId="0" borderId="52" xfId="0" applyFont="1" applyBorder="1">
      <alignment vertical="center"/>
    </xf>
    <xf numFmtId="14" fontId="18" fillId="0" borderId="52" xfId="0" quotePrefix="1" applyNumberFormat="1" applyFont="1" applyBorder="1">
      <alignment vertical="center"/>
    </xf>
    <xf numFmtId="0" fontId="18" fillId="0" borderId="52" xfId="0" quotePrefix="1" applyFont="1" applyBorder="1">
      <alignment vertical="center"/>
    </xf>
    <xf numFmtId="0" fontId="18" fillId="0" borderId="52" xfId="0" applyFont="1" applyBorder="1" applyAlignment="1">
      <alignment horizontal="left" vertical="center"/>
    </xf>
    <xf numFmtId="0" fontId="18" fillId="0" borderId="53" xfId="0" applyFont="1" applyBorder="1">
      <alignment vertical="center"/>
    </xf>
    <xf numFmtId="0" fontId="18" fillId="0" borderId="54" xfId="0" applyFont="1" applyBorder="1">
      <alignment vertical="center"/>
    </xf>
    <xf numFmtId="0" fontId="18" fillId="0" borderId="55" xfId="0" applyFont="1" applyBorder="1">
      <alignment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14" fontId="0" fillId="0" borderId="0" xfId="0" applyNumberFormat="1" applyBorder="1">
      <alignment vertical="center"/>
    </xf>
    <xf numFmtId="0" fontId="28" fillId="2" borderId="1" xfId="0" applyFont="1" applyFill="1" applyBorder="1" applyAlignment="1">
      <alignment horizontal="center" vertical="center"/>
    </xf>
    <xf numFmtId="0" fontId="29" fillId="0" borderId="0" xfId="0" applyFont="1">
      <alignment vertical="center"/>
    </xf>
    <xf numFmtId="0" fontId="28" fillId="8" borderId="1" xfId="0" applyFont="1" applyFill="1" applyBorder="1">
      <alignment vertical="center"/>
    </xf>
    <xf numFmtId="14" fontId="22" fillId="0" borderId="1" xfId="0" applyNumberFormat="1" applyFont="1" applyBorder="1">
      <alignment vertical="center"/>
    </xf>
    <xf numFmtId="14" fontId="22" fillId="3" borderId="1" xfId="0" applyNumberFormat="1" applyFont="1" applyFill="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15" fillId="0" borderId="0" xfId="0" applyFont="1" applyAlignment="1">
      <alignment horizontal="left" vertical="center"/>
    </xf>
  </cellXfs>
  <cellStyles count="2">
    <cellStyle name="쉼표 [0]" xfId="1" builtinId="6"/>
    <cellStyle name="표준" xfId="0" builtinId="0"/>
  </cellStyles>
  <dxfs count="0"/>
  <tableStyles count="0" defaultTableStyle="TableStyleMedium2" defaultPivotStyle="PivotStyleLight16"/>
  <colors>
    <mruColors>
      <color rgb="FFFF6699"/>
      <color rgb="FF339966"/>
      <color rgb="FFFF6600"/>
      <color rgb="FF0066CC"/>
      <color rgb="FFFF0066"/>
      <color rgb="FF33CCFF"/>
      <color rgb="FFAC75D5"/>
      <color rgb="FF3366CC"/>
      <color rgb="FF3366FF"/>
      <color rgb="FFFFFFCC"/>
    </mruColors>
  </colors>
  <extLst>
    <ext xmlns:x14="http://schemas.microsoft.com/office/spreadsheetml/2009/9/main" uri="{EB79DEF2-80B8-43e5-95BD-54CBDDF9020C}">
      <x14:slicerStyles defaultSlicerStyle="SlicerStyleLight1"/>
    </ext>
  </extLst>
</styleSheet>
</file>

<file path=xl/volatileDependencies.xml><?xml version="1.0" encoding="utf-8"?>
<volTypes xmlns="http://schemas.openxmlformats.org/spreadsheetml/2006/main">
  <volType type="realTimeData">
    <main first="infomax.xlrtd">
      <tp>
        <v>12683950000</v>
        <stp/>
        <stp>P</stp>
        <stp>0</stp>
        <stp>FUT</stp>
        <stp>C65</stp>
        <stp>개인순매수금액</stp>
        <stp>44950</stp>
        <stp>fill=true</stp>
        <tr r="N32" s="1"/>
      </tp>
      <tp>
        <v>1501910000</v>
        <stp/>
        <stp>P</stp>
        <stp>0</stp>
        <stp>FUT</stp>
        <stp>C67</stp>
        <stp>개인순매수금액</stp>
        <stp>44950</stp>
        <stp>fill=true</stp>
        <tr r="N33" s="1"/>
      </tp>
      <tp>
        <v>27</v>
        <stp/>
        <stp>P</stp>
        <stp>0</stp>
        <stp>IDX</stp>
        <stp>801</stp>
        <stp>은행순매수금액</stp>
        <stp>44950</stp>
        <stp>fill=true</stp>
        <tr r="I31" s="1"/>
      </tp>
      <tp>
        <v>7145</v>
        <stp/>
        <stp>P</stp>
        <stp>0</stp>
        <stp>IDX</stp>
        <stp>001</stp>
        <stp>은행순매수금액</stp>
        <stp>44950</stp>
        <stp>fill=true</stp>
        <tr r="I29" s="1"/>
      </tp>
      <tp>
        <v>4587</v>
        <stp/>
        <stp>P</stp>
        <stp>0</stp>
        <stp>IDX</stp>
        <stp>211</stp>
        <stp>은행순매수금액</stp>
        <stp>44950</stp>
        <stp>fill=true</stp>
        <tr r="I30" s="1"/>
      </tp>
      <tp>
        <v>0</v>
        <stp/>
        <stp>H</stp>
        <stp>x1.KgOF</stp>
        <stp>61</stp>
        <stp>923502</stp>
        <tr r="AW5" s="5"/>
      </tp>
      <tp>
        <v>0</v>
        <stp/>
        <stp>H</stp>
        <stp>x2.KgOF</stp>
        <stp>62</stp>
        <stp>923502</stp>
        <tr r="AT5" s="5"/>
      </tp>
      <tp>
        <v>0</v>
        <stp/>
        <stp>H</stp>
        <stp>x3.KgOF</stp>
        <stp>63</stp>
        <stp>923502</stp>
        <tr r="AK3" s="1"/>
      </tp>
      <tp>
        <v>0</v>
        <stp/>
        <stp>H</stp>
        <stp>x4.KgOF</stp>
        <stp>64</stp>
        <stp>923502</stp>
        <tr r="AH3" s="1"/>
      </tp>
      <tp>
        <v>39326120000</v>
        <stp/>
        <stp>P</stp>
        <stp>0</stp>
        <stp>FUT</stp>
        <stp>C65</stp>
        <stp>투신순매수금액</stp>
        <stp>44950</stp>
        <stp>fill=true</stp>
        <tr r="K32" s="1"/>
      </tp>
      <tp>
        <v>13952250000</v>
        <stp/>
        <stp>P</stp>
        <stp>0</stp>
        <stp>FUT</stp>
        <stp>C67</stp>
        <stp>투신순매수금액</stp>
        <stp>44950</stp>
        <stp>fill=true</stp>
        <tr r="K33" s="1"/>
      </tp>
      <tp>
        <v>949.14</v>
        <stp/>
        <stp>P</stp>
        <stp>0</stp>
        <stp>FX</stp>
        <stp>JPYKRW</stp>
        <stp>뉴욕종가</stp>
        <stp>44950</stp>
        <stp>FILL=TRUE</stp>
        <tr r="I12" s="1"/>
      </tp>
      <tp>
        <v>-207390000</v>
        <stp/>
        <stp>P</stp>
        <stp>0</stp>
        <stp>FUT</stp>
        <stp>C67</stp>
        <stp>외국인합순매수금액</stp>
        <stp>44950</stp>
        <stp>fill=true</stp>
        <tr r="G33" s="1"/>
      </tp>
      <tp>
        <v>-262266580000</v>
        <stp/>
        <stp>P</stp>
        <stp>0</stp>
        <stp>FUT</stp>
        <stp>C65</stp>
        <stp>외국인합순매수금액</stp>
        <stp>44950</stp>
        <stp>fill=true</stp>
        <tr r="G32" s="1"/>
      </tp>
      <tp>
        <v>953.32</v>
        <stp/>
        <stp>P</stp>
        <stp>0</stp>
        <stp>FX</stp>
        <stp>JPYKRW</stp>
        <stp>뉴욕종가</stp>
        <stp>44946</stp>
        <stp>fill=true</stp>
        <tr r="L12" s="1"/>
        <tr r="L12" s="1"/>
      </tp>
      <tp>
        <v>963.26</v>
        <stp/>
        <stp>P</stp>
        <stp>0</stp>
        <stp>FX</stp>
        <stp>JPYKRW</stp>
        <stp>뉴욕종가</stp>
        <stp>44926</stp>
        <stp>fill=true</stp>
        <tr r="M12" s="1"/>
        <tr r="M12" s="1"/>
        <tr r="N12" s="1"/>
        <tr r="N12" s="1"/>
        <tr r="G12" s="1"/>
        <tr r="H12" s="1"/>
      </tp>
      <tp>
        <v>-154855330</v>
        <stp/>
        <stp>P</stp>
        <stp>0</stp>
        <stp>IR</stp>
        <stp>BNDINV0000</stp>
        <stp>보험 순매수거래량</stp>
        <stp>44950</stp>
        <stp>fill=true</stp>
        <tr r="J34" s="1"/>
      </tp>
      <tp>
        <v>139072756</v>
        <stp/>
        <stp>P</stp>
        <stp>0</stp>
        <stp>IR</stp>
        <stp>BNDINV0000</stp>
        <stp>개인 순매수거래량</stp>
        <stp>44950</stp>
        <stp>fill=true</stp>
        <tr r="N34" s="1"/>
      </tp>
      <tp>
        <v>349875832</v>
        <stp/>
        <stp>P</stp>
        <stp>0</stp>
        <stp>IR</stp>
        <stp>BNDINV0000</stp>
        <stp>기금 순매수거래량</stp>
        <stp>44950</stp>
        <stp>fill=true</stp>
        <tr r="M34" s="1"/>
      </tp>
      <tp>
        <v>431835330</v>
        <stp/>
        <stp>P</stp>
        <stp>0</stp>
        <stp>IR</stp>
        <stp>BNDINV0000</stp>
        <stp>투신 순매수거래량</stp>
        <stp>44950</stp>
        <stp>fill=true</stp>
        <tr r="K34" s="1"/>
      </tp>
      <tp>
        <v>490500000</v>
        <stp/>
        <stp>P</stp>
        <stp>0</stp>
        <stp>IR</stp>
        <stp>BNDINV0000</stp>
        <stp>종금 순매수거래량</stp>
        <stp>44950</stp>
        <stp>fill=true</stp>
        <tr r="L34" s="1"/>
      </tp>
      <tp>
        <v>554099695</v>
        <stp/>
        <stp>P</stp>
        <stp>0</stp>
        <stp>IR</stp>
        <stp>BNDINV0000</stp>
        <stp>은행 순매수거래량</stp>
        <stp>44950</stp>
        <stp>fill=true</stp>
        <tr r="I34" s="1"/>
      </tp>
      <tp>
        <v>945.29</v>
        <stp/>
        <stp>P</stp>
        <stp>0</stp>
        <stp>FX</stp>
        <stp>JPYKRW</stp>
        <stp>뉴욕종가</stp>
        <stp>44949</stp>
        <stp>fill=true</stp>
        <tr r="K12" s="1"/>
        <tr r="K12" s="1"/>
      </tp>
      <tp>
        <v>181393</v>
        <stp/>
        <stp>P</stp>
        <stp>0</stp>
        <stp>IDX</stp>
        <stp>211</stp>
        <stp>외국인합순매수금액</stp>
        <stp>44950</stp>
        <stp>fill=true</stp>
        <tr r="G30" s="1"/>
      </tp>
      <tp>
        <v>230834</v>
        <stp/>
        <stp>P</stp>
        <stp>0</stp>
        <stp>IDX</stp>
        <stp>001</stp>
        <stp>외국인합순매수금액</stp>
        <stp>44950</stp>
        <stp>fill=true</stp>
        <tr r="G29" s="1"/>
      </tp>
      <tp>
        <v>3303</v>
        <stp/>
        <stp>P</stp>
        <stp>0</stp>
        <stp>IDX</stp>
        <stp>801</stp>
        <stp>외국인합순매수금액</stp>
        <stp>44950</stp>
        <stp>fill=true</stp>
        <tr r="G31" s="1"/>
      </tp>
      <tp>
        <v>208997560000</v>
        <stp/>
        <stp>P</stp>
        <stp>0</stp>
        <stp>FUT</stp>
        <stp>C65</stp>
        <stp>연기금순매수금액</stp>
        <stp>44950</stp>
        <stp>fill=true</stp>
        <tr r="M32" s="1"/>
      </tp>
      <tp>
        <v>17059190000</v>
        <stp/>
        <stp>P</stp>
        <stp>0</stp>
        <stp>FUT</stp>
        <stp>C67</stp>
        <stp>연기금순매수금액</stp>
        <stp>44950</stp>
        <stp>fill=true</stp>
        <tr r="M33" s="1"/>
      </tp>
      <tp>
        <v>6159</v>
        <stp/>
        <stp>P</stp>
        <stp>0</stp>
        <stp>IDX</stp>
        <stp>211</stp>
        <stp>투신순매수금액</stp>
        <stp>44950</stp>
        <stp>fill=true</stp>
        <tr r="K30" s="1"/>
      </tp>
      <tp>
        <v>5361</v>
        <stp/>
        <stp>P</stp>
        <stp>0</stp>
        <stp>IDX</stp>
        <stp>001</stp>
        <stp>투신순매수금액</stp>
        <stp>44950</stp>
        <stp>fill=true</stp>
        <tr r="K29" s="1"/>
      </tp>
      <tp>
        <v>-313542950000</v>
        <stp/>
        <stp>P</stp>
        <stp>0</stp>
        <stp>FUT</stp>
        <stp>C65</stp>
        <stp>은행순매수금액</stp>
        <stp>44950</stp>
        <stp>fill=true</stp>
        <tr r="I32" s="1"/>
      </tp>
      <tp>
        <v>40010770000</v>
        <stp/>
        <stp>P</stp>
        <stp>0</stp>
        <stp>FUT</stp>
        <stp>C67</stp>
        <stp>은행순매수금액</stp>
        <stp>44950</stp>
        <stp>fill=true</stp>
        <tr r="I33" s="1"/>
      </tp>
      <tp>
        <v>9863</v>
        <stp/>
        <stp>P</stp>
        <stp>0</stp>
        <stp>IDX</stp>
        <stp>801</stp>
        <stp>투신순매수금액</stp>
        <stp>44950</stp>
        <stp>fill=true</stp>
        <tr r="K31" s="1"/>
      </tp>
      <tp>
        <v>-20313</v>
        <stp/>
        <stp>P</stp>
        <stp>0</stp>
        <stp>IDX</stp>
        <stp>211</stp>
        <stp>연기금순매수금액</stp>
        <stp>44950</stp>
        <stp>fill=true</stp>
        <tr r="M30" s="1"/>
      </tp>
      <tp>
        <v>-18699</v>
        <stp/>
        <stp>P</stp>
        <stp>0</stp>
        <stp>IDX</stp>
        <stp>001</stp>
        <stp>연기금순매수금액</stp>
        <stp>44950</stp>
        <stp>fill=true</stp>
        <tr r="M29" s="1"/>
      </tp>
      <tp>
        <v>-3005</v>
        <stp/>
        <stp>P</stp>
        <stp>0</stp>
        <stp>IDX</stp>
        <stp>801</stp>
        <stp>연기금순매수금액</stp>
        <stp>44950</stp>
        <stp>fill=true</stp>
        <tr r="M31" s="1"/>
      </tp>
      <tp>
        <v>-191118</v>
        <stp/>
        <stp>P</stp>
        <stp>0</stp>
        <stp>IDX</stp>
        <stp>211</stp>
        <stp>개인순매수금액</stp>
        <stp>44950</stp>
        <stp>fill=true</stp>
        <tr r="N30" s="1"/>
      </tp>
      <tp>
        <v>-246516</v>
        <stp/>
        <stp>P</stp>
        <stp>0</stp>
        <stp>IDX</stp>
        <stp>001</stp>
        <stp>개인순매수금액</stp>
        <stp>44950</stp>
        <stp>fill=true</stp>
        <tr r="N29" s="1"/>
      </tp>
      <tp>
        <v>-35881</v>
        <stp/>
        <stp>P</stp>
        <stp>0</stp>
        <stp>IDX</stp>
        <stp>801</stp>
        <stp>개인순매수금액</stp>
        <stp>44950</stp>
        <stp>fill=true</stp>
        <tr r="N31" s="1"/>
      </tp>
      <tp>
        <v>3.85</v>
        <stp/>
        <stp>P</stp>
        <stp>0</stp>
        <stp>FX</stp>
        <stp>JPYKRW</stp>
        <stp>뉴욕전일대비</stp>
        <stp>44950</stp>
        <stp>FILL=TRUE</stp>
        <tr r="J12" s="1"/>
      </tp>
      <tp>
        <v>11364.41</v>
        <stp/>
        <stp>P</stp>
        <stp>0</stp>
        <stp>FRN</stp>
        <stp>NAS:IXIC</stp>
        <stp>현재가</stp>
        <stp>44949</stp>
        <stp>fill=true</stp>
        <tr r="K20" s="1"/>
        <tr r="K20" s="1"/>
      </tp>
      <tp>
        <v>11334.27</v>
        <stp/>
        <stp>P</stp>
        <stp>0</stp>
        <stp>FRN</stp>
        <stp>NAS:IXIC</stp>
        <stp>현재가</stp>
        <stp>44950</stp>
        <stp>FILL=TRUE</stp>
        <tr r="I20" s="1"/>
      </tp>
      <tp>
        <v>11140.43</v>
        <stp/>
        <stp>P</stp>
        <stp>0</stp>
        <stp>FRN</stp>
        <stp>NAS:IXIC</stp>
        <stp>현재가</stp>
        <stp>44946</stp>
        <stp>fill=true</stp>
        <tr r="L20" s="1"/>
        <tr r="L20" s="1"/>
      </tp>
      <tp>
        <v>10466.48</v>
        <stp/>
        <stp>P</stp>
        <stp>0</stp>
        <stp>FRN</stp>
        <stp>NAS:IXIC</stp>
        <stp>현재가</stp>
        <stp>44926</stp>
        <stp>fill=true</stp>
        <tr r="M20" s="1"/>
        <tr r="M20" s="1"/>
        <tr r="N20" s="1"/>
        <tr r="N20" s="1"/>
        <tr r="G20" s="1"/>
        <tr r="H20" s="1"/>
      </tp>
      <tp>
        <v>1757</v>
        <stp/>
        <stp>P</stp>
        <stp>0</stp>
        <stp>IDX</stp>
        <stp>211</stp>
        <stp>종신금순매수금액</stp>
        <stp>44950</stp>
        <stp>fill=true</stp>
        <tr r="L30" s="1"/>
      </tp>
      <tp>
        <v>-1221</v>
        <stp/>
        <stp>P</stp>
        <stp>0</stp>
        <stp>IDX</stp>
        <stp>801</stp>
        <stp>종신금순매수금액</stp>
        <stp>44950</stp>
        <stp>fill=true</stp>
        <tr r="L31" s="1"/>
      </tp>
      <tp>
        <v>2314</v>
        <stp/>
        <stp>P</stp>
        <stp>0</stp>
        <stp>IDX</stp>
        <stp>001</stp>
        <stp>종신금순매수금액</stp>
        <stp>44950</stp>
        <stp>fill=true</stp>
        <tr r="L29" s="1"/>
      </tp>
      <tp>
        <v>6302</v>
        <stp/>
        <stp>P</stp>
        <stp>0</stp>
        <stp>IDX</stp>
        <stp>801</stp>
        <stp>보험순매수금액</stp>
        <stp>44950</stp>
        <stp>fill=true</stp>
        <tr r="J31" s="1"/>
      </tp>
      <tp>
        <v>75510400000</v>
        <stp/>
        <stp>P</stp>
        <stp>0</stp>
        <stp>FUT</stp>
        <stp>C65</stp>
        <stp>종신금순매수금액</stp>
        <stp>44950</stp>
        <stp>fill=true</stp>
        <tr r="L32" s="1"/>
      </tp>
      <tp>
        <v>-26913200000</v>
        <stp/>
        <stp>P</stp>
        <stp>0</stp>
        <stp>FUT</stp>
        <stp>C67</stp>
        <stp>종신금순매수금액</stp>
        <stp>44950</stp>
        <stp>fill=true</stp>
        <tr r="L33" s="1"/>
      </tp>
      <tp>
        <v>-19391</v>
        <stp/>
        <stp>P</stp>
        <stp>0</stp>
        <stp>IDX</stp>
        <stp>211</stp>
        <stp>증권/선물순매수금액</stp>
        <stp>44950</stp>
        <stp>fill=true</stp>
        <tr r="H30" s="1"/>
      </tp>
      <tp>
        <v>-14319</v>
        <stp/>
        <stp>P</stp>
        <stp>0</stp>
        <stp>IDX</stp>
        <stp>001</stp>
        <stp>증권/선물순매수금액</stp>
        <stp>44950</stp>
        <stp>fill=true</stp>
        <tr r="H29" s="1"/>
      </tp>
      <tp>
        <v>29411</v>
        <stp/>
        <stp>P</stp>
        <stp>0</stp>
        <stp>IDX</stp>
        <stp>801</stp>
        <stp>증권/선물순매수금액</stp>
        <stp>44950</stp>
        <stp>fill=true</stp>
        <tr r="H31" s="1"/>
      </tp>
      <tp>
        <v>-60997070000</v>
        <stp/>
        <stp>P</stp>
        <stp>0</stp>
        <stp>FUT</stp>
        <stp>C67</stp>
        <stp>증권/선물순매수금액</stp>
        <stp>44950</stp>
        <stp>fill=true</stp>
        <tr r="H33" s="1"/>
      </tp>
      <tp>
        <v>242444070000</v>
        <stp/>
        <stp>P</stp>
        <stp>0</stp>
        <stp>FUT</stp>
        <stp>C65</stp>
        <stp>증권/선물순매수금액</stp>
        <stp>44950</stp>
        <stp>fill=true</stp>
        <tr r="H32" s="1"/>
      </tp>
      <tp>
        <v>5611</v>
        <stp/>
        <stp>P</stp>
        <stp>0</stp>
        <stp>IDX</stp>
        <stp>001</stp>
        <stp>보험순매수금액</stp>
        <stp>44950</stp>
        <stp>fill=true</stp>
        <tr r="J29" s="1"/>
      </tp>
      <tp>
        <v>104.4</v>
        <stp/>
        <stp>P</stp>
        <stp>0</stp>
        <stp>FRN</stp>
        <stp>DJI:DJI</stp>
        <stp>전일대비</stp>
        <stp>44950</stp>
        <stp>FILL=TRUE</stp>
        <tr r="J18" s="1"/>
      </tp>
      <tp>
        <v>-2.86</v>
        <stp/>
        <stp>P</stp>
        <stp>0</stp>
        <stp>FRN</stp>
        <stp>SPI:SPX</stp>
        <stp>전일대비</stp>
        <stp>44950</stp>
        <stp>FILL=TRUE</stp>
        <tr r="J19" s="1"/>
      </tp>
      <tp>
        <v>6438</v>
        <stp/>
        <stp>P</stp>
        <stp>0</stp>
        <stp>IDX</stp>
        <stp>211</stp>
        <stp>보험순매수금액</stp>
        <stp>44950</stp>
        <stp>fill=true</stp>
        <tr r="J30" s="1"/>
      </tp>
      <tp>
        <v>3.8494999999999999</v>
        <stp/>
        <stp>P</stp>
        <stp>0</stp>
        <stp>IR</stp>
        <stp>US03Y</stp>
        <stp>종가</stp>
        <stp>44950</stp>
        <stp>FILL=TRUE</stp>
        <tr r="I23" s="1"/>
      </tp>
      <tp>
        <v>3.5783</v>
        <stp/>
        <stp>P</stp>
        <stp>0</stp>
        <stp>IR</stp>
        <stp>US05Y</stp>
        <stp>종가</stp>
        <stp>44950</stp>
        <stp>FILL=TRUE</stp>
        <tr r="I24" s="1"/>
      </tp>
      <tp>
        <v>3.4601000000000002</v>
        <stp/>
        <stp>P</stp>
        <stp>0</stp>
        <stp>IR</stp>
        <stp>US10Y</stp>
        <stp>종가</stp>
        <stp>44950</stp>
        <stp>FILL=TRUE</stp>
        <tr r="I25" s="1"/>
      </tp>
      <tp>
        <v>4.2385000000000002</v>
        <stp/>
        <stp>P</stp>
        <stp>0</stp>
        <stp>IR</stp>
        <stp>US03Y</stp>
        <stp>종가</stp>
        <stp>44926</stp>
        <stp>fill=true</stp>
        <tr r="M23" s="1"/>
        <tr r="M23" s="1"/>
        <tr r="N23" s="1"/>
        <tr r="N23" s="1"/>
        <tr r="H23" s="1"/>
        <tr r="G23" s="1"/>
      </tp>
      <tp>
        <v>3.83</v>
        <stp/>
        <stp>P</stp>
        <stp>0</stp>
        <stp>IR</stp>
        <stp>US03Y</stp>
        <stp>종가</stp>
        <stp>44946</stp>
        <stp>fill=true</stp>
        <tr r="L23" s="1"/>
        <tr r="L23" s="1"/>
      </tp>
      <tp>
        <v>4.0056000000000003</v>
        <stp/>
        <stp>P</stp>
        <stp>0</stp>
        <stp>IR</stp>
        <stp>US05Y</stp>
        <stp>종가</stp>
        <stp>44926</stp>
        <stp>fill=true</stp>
        <tr r="M24" s="1"/>
        <tr r="M24" s="1"/>
        <tr r="H24" s="1"/>
        <tr r="G24" s="1"/>
        <tr r="N24" s="1"/>
        <tr r="N24" s="1"/>
      </tp>
      <tp>
        <v>3.5613999999999999</v>
        <stp/>
        <stp>P</stp>
        <stp>0</stp>
        <stp>IR</stp>
        <stp>US05Y</stp>
        <stp>종가</stp>
        <stp>44946</stp>
        <stp>fill=true</stp>
        <tr r="L24" s="1"/>
        <tr r="L24" s="1"/>
      </tp>
      <tp>
        <v>3.8795000000000002</v>
        <stp/>
        <stp>P</stp>
        <stp>0</stp>
        <stp>IR</stp>
        <stp>US10Y</stp>
        <stp>종가</stp>
        <stp>44926</stp>
        <stp>fill=true</stp>
        <tr r="M25" s="1"/>
        <tr r="M25" s="1"/>
        <tr r="H25" s="1"/>
        <tr r="N25" s="1"/>
        <tr r="N25" s="1"/>
        <tr r="G25" s="1"/>
      </tp>
      <tp>
        <v>3.4796</v>
        <stp/>
        <stp>P</stp>
        <stp>0</stp>
        <stp>IR</stp>
        <stp>US10Y</stp>
        <stp>종가</stp>
        <stp>44946</stp>
        <stp>fill=true</stp>
        <tr r="L25" s="1"/>
        <tr r="L25" s="1"/>
      </tp>
      <tp>
        <v>3.33</v>
        <stp/>
        <stp>P</stp>
        <stp>0</stp>
        <stp>IR</stp>
        <stp>BONDKSDCAL11</stp>
        <stp>대표수익률</stp>
        <stp>44949</stp>
        <stp>fill=true</stp>
        <tr r="K13" s="1"/>
        <tr r="K13" s="1"/>
      </tp>
      <tp>
        <v>7.1999999999999995E-2</v>
        <stp/>
        <stp>P</stp>
        <stp>0</stp>
        <stp>IR</stp>
        <stp>BONDKSDCAL12</stp>
        <stp>전일대비</stp>
        <stp>44950</stp>
        <stp>FILL=TRUE</stp>
        <tr r="J14" s="1"/>
      </tp>
      <tp>
        <v>5.7000000000000002E-2</v>
        <stp/>
        <stp>P</stp>
        <stp>0</stp>
        <stp>IR</stp>
        <stp>BONDKSDCAL13</stp>
        <stp>전일대비</stp>
        <stp>44950</stp>
        <stp>FILL=TRUE</stp>
        <tr r="J15" s="1"/>
      </tp>
      <tp>
        <v>8.2000000000000003E-2</v>
        <stp/>
        <stp>P</stp>
        <stp>0</stp>
        <stp>IR</stp>
        <stp>BONDKSDCAL11</stp>
        <stp>전일대비</stp>
        <stp>44950</stp>
        <stp>FILL=TRUE</stp>
        <tr r="J13" s="1"/>
      </tp>
      <tp>
        <v>3.2949999999999999</v>
        <stp/>
        <stp>P</stp>
        <stp>0</stp>
        <stp>IR</stp>
        <stp>BONDKSDCAL12</stp>
        <stp>대표수익률</stp>
        <stp>44949</stp>
        <stp>fill=true</stp>
        <tr r="K14" s="1"/>
        <tr r="K14" s="1"/>
      </tp>
      <tp>
        <v>3.2789999999999999</v>
        <stp/>
        <stp>P</stp>
        <stp>0</stp>
        <stp>IR</stp>
        <stp>BONDKSDCAL13</stp>
        <stp>대표수익률</stp>
        <stp>44949</stp>
        <stp>fill=true</stp>
        <tr r="K15" s="1"/>
        <tr r="K15" s="1"/>
      </tp>
      <tp>
        <v>3.2789999999999999</v>
        <stp/>
        <stp>P</stp>
        <stp>0</stp>
        <stp>IR</stp>
        <stp>BONDKSDCAL13</stp>
        <stp>대표수익률</stp>
        <stp>44946</stp>
        <stp>fill=true</stp>
        <tr r="L15" s="1"/>
        <tr r="L15" s="1"/>
      </tp>
      <tp>
        <v>3.73</v>
        <stp/>
        <stp>P</stp>
        <stp>0</stp>
        <stp>IR</stp>
        <stp>BONDKSDCAL13</stp>
        <stp>대표수익률</stp>
        <stp>44926</stp>
        <stp>fill=true</stp>
        <tr r="M15" s="1"/>
        <tr r="M15" s="1"/>
        <tr r="G15" s="1"/>
        <tr r="H15" s="1"/>
        <tr r="N15" s="1"/>
        <tr r="N15" s="1"/>
      </tp>
      <tp>
        <v>24.53</v>
        <stp/>
        <stp>P</stp>
        <stp>0</stp>
        <stp>FRN</stp>
        <stp>SHS:000001</stp>
        <stp>전일대비</stp>
        <stp>44950</stp>
        <stp>FILL=TRUE</stp>
        <tr r="J22" s="1"/>
      </tp>
      <tp>
        <v>3.2949999999999999</v>
        <stp/>
        <stp>P</stp>
        <stp>0</stp>
        <stp>IR</stp>
        <stp>BONDKSDCAL12</stp>
        <stp>대표수익률</stp>
        <stp>44946</stp>
        <stp>fill=true</stp>
        <tr r="L14" s="1"/>
        <tr r="L14" s="1"/>
      </tp>
      <tp>
        <v>3.7429999999999999</v>
        <stp/>
        <stp>P</stp>
        <stp>0</stp>
        <stp>IR</stp>
        <stp>BONDKSDCAL12</stp>
        <stp>대표수익률</stp>
        <stp>44926</stp>
        <stp>fill=true</stp>
        <tr r="M14" s="1"/>
        <tr r="M14" s="1"/>
        <tr r="N14" s="1"/>
        <tr r="N14" s="1"/>
        <tr r="H14" s="1"/>
        <tr r="G14" s="1"/>
      </tp>
      <tp>
        <v>3.33</v>
        <stp/>
        <stp>P</stp>
        <stp>0</stp>
        <stp>IR</stp>
        <stp>BONDKSDCAL11</stp>
        <stp>대표수익률</stp>
        <stp>44946</stp>
        <stp>fill=true</stp>
        <tr r="L13" s="1"/>
        <tr r="L13" s="1"/>
      </tp>
      <tp>
        <v>3.722</v>
        <stp/>
        <stp>P</stp>
        <stp>0</stp>
        <stp>IR</stp>
        <stp>BONDKSDCAL11</stp>
        <stp>대표수익률</stp>
        <stp>44926</stp>
        <stp>fill=true</stp>
        <tr r="M13" s="1"/>
        <tr r="M13" s="1"/>
        <tr r="H13" s="1"/>
        <tr r="N13" s="1"/>
        <tr r="N13" s="1"/>
        <tr r="G13" s="1"/>
      </tp>
      <tp>
        <v>3.8860000000000001</v>
        <stp/>
        <stp>P</stp>
        <stp>0</stp>
        <stp>IR</stp>
        <stp>US03Y</stp>
        <stp>종가</stp>
        <stp>44949</stp>
        <stp>fill=true</stp>
        <tr r="K23" s="1"/>
        <tr r="K23" s="1"/>
      </tp>
      <tp>
        <v>3.62</v>
        <stp/>
        <stp>P</stp>
        <stp>0</stp>
        <stp>IR</stp>
        <stp>US05Y</stp>
        <stp>종가</stp>
        <stp>44949</stp>
        <stp>fill=true</stp>
        <tr r="K24" s="1"/>
        <tr r="K24" s="1"/>
      </tp>
      <tp>
        <v>3.5209000000000001</v>
        <stp/>
        <stp>P</stp>
        <stp>0</stp>
        <stp>IR</stp>
        <stp>US10Y</stp>
        <stp>종가</stp>
        <stp>44949</stp>
        <stp>fill=true</stp>
        <tr r="K25" s="1"/>
        <tr r="K25" s="1"/>
      </tp>
      <tp>
        <v>3.33</v>
        <stp/>
        <stp>P</stp>
        <stp>0</stp>
        <stp>IR</stp>
        <stp>BONDKSDCAL11</stp>
        <stp>대표수익률</stp>
        <stp>44950</stp>
        <stp>FILL=TRUE</stp>
        <tr r="I13" s="1"/>
      </tp>
      <tp>
        <v>3.2789999999999999</v>
        <stp/>
        <stp>P</stp>
        <stp>0</stp>
        <stp>IR</stp>
        <stp>BONDKSDCAL13</stp>
        <stp>대표수익률</stp>
        <stp>44950</stp>
        <stp>FILL=TRUE</stp>
        <tr r="I15" s="1"/>
      </tp>
      <tp>
        <v>3.2949999999999999</v>
        <stp/>
        <stp>P</stp>
        <stp>0</stp>
        <stp>IR</stp>
        <stp>BONDKSDCAL12</stp>
        <stp>대표수익률</stp>
        <stp>44950</stp>
        <stp>FILL=TRUE</stp>
        <tr r="I14" s="1"/>
      </tp>
      <tp>
        <v>-0.21</v>
        <stp/>
        <stp>P</stp>
        <stp>0</stp>
        <stp>FUT</stp>
        <stp>C65</stp>
        <stp>전일대비</stp>
        <stp>44950</stp>
        <stp>FILL=TRUE</stp>
        <tr r="J16" s="1"/>
      </tp>
      <tp>
        <v>-0.45</v>
        <stp/>
        <stp>P</stp>
        <stp>0</stp>
        <stp>FUT</stp>
        <stp>C67</stp>
        <stp>전일대비</stp>
        <stp>44950</stp>
        <stp>FILL=TRUE</stp>
        <tr r="J17" s="1"/>
      </tp>
      <tp>
        <v>-3.6499999999999998E-2</v>
        <stp/>
        <stp>P</stp>
        <stp>0</stp>
        <stp>IR</stp>
        <stp>US03Y</stp>
        <stp>전일대비</stp>
        <stp>44950</stp>
        <stp>FILL=TRUE</stp>
        <tr r="J23" s="1"/>
      </tp>
      <tp>
        <v>3089.26</v>
        <stp/>
        <stp>P</stp>
        <stp>0</stp>
        <stp>FRN</stp>
        <stp>SHS:000001</stp>
        <stp>현재가</stp>
        <stp>44926</stp>
        <stp>fill=true</stp>
        <tr r="M22" s="1"/>
        <tr r="M22" s="1"/>
        <tr r="H22" s="1"/>
        <tr r="N22" s="1"/>
        <tr r="N22" s="1"/>
        <tr r="G22" s="1"/>
      </tp>
      <tp>
        <v>3264.81</v>
        <stp/>
        <stp>P</stp>
        <stp>0</stp>
        <stp>FRN</stp>
        <stp>SHS:000001</stp>
        <stp>현재가</stp>
        <stp>44946</stp>
        <stp>fill=true</stp>
        <tr r="L22" s="1"/>
        <tr r="L22" s="1"/>
      </tp>
      <tp>
        <v>103.45</v>
        <stp/>
        <stp>P</stp>
        <stp>0</stp>
        <stp>FUT</stp>
        <stp>C65</stp>
        <stp>현재가</stp>
        <stp>44926</stp>
        <stp>fill=true</stp>
        <tr r="M16" s="1"/>
        <tr r="M16" s="1"/>
        <tr r="G16" s="1"/>
        <tr r="N16" s="1"/>
        <tr r="N16" s="1"/>
        <tr r="H16" s="1"/>
      </tp>
      <tp>
        <v>104.85</v>
        <stp/>
        <stp>P</stp>
        <stp>0</stp>
        <stp>FUT</stp>
        <stp>C65</stp>
        <stp>현재가</stp>
        <stp>44946</stp>
        <stp>fill=true</stp>
        <tr r="L16" s="1"/>
        <tr r="L16" s="1"/>
      </tp>
      <tp>
        <v>109.95</v>
        <stp/>
        <stp>P</stp>
        <stp>0</stp>
        <stp>FUT</stp>
        <stp>C67</stp>
        <stp>현재가</stp>
        <stp>44926</stp>
        <stp>fill=true</stp>
        <tr r="M17" s="1"/>
        <tr r="M17" s="1"/>
        <tr r="H17" s="1"/>
        <tr r="N17" s="1"/>
        <tr r="N17" s="1"/>
        <tr r="G17" s="1"/>
      </tp>
      <tp>
        <v>114.45</v>
        <stp/>
        <stp>P</stp>
        <stp>0</stp>
        <stp>FUT</stp>
        <stp>C67</stp>
        <stp>현재가</stp>
        <stp>44946</stp>
        <stp>fill=true</stp>
        <tr r="L17" s="1"/>
        <tr r="L17" s="1"/>
      </tp>
      <tp>
        <v>-6.08E-2</v>
        <stp/>
        <stp>P</stp>
        <stp>0</stp>
        <stp>IR</stp>
        <stp>US10Y</stp>
        <stp>전일대비</stp>
        <stp>44950</stp>
        <stp>FILL=TRUE</stp>
        <tr r="J25" s="1"/>
      </tp>
      <tp>
        <v>104.85</v>
        <stp/>
        <stp>P</stp>
        <stp>0</stp>
        <stp>FUT</stp>
        <stp>C65</stp>
        <stp>현재가</stp>
        <stp>44950</stp>
        <stp>FILL=TRUE</stp>
        <tr r="I16" s="1"/>
      </tp>
      <tp>
        <v>114.45</v>
        <stp/>
        <stp>P</stp>
        <stp>0</stp>
        <stp>FUT</stp>
        <stp>C67</stp>
        <stp>현재가</stp>
        <stp>44950</stp>
        <stp>FILL=TRUE</stp>
        <tr r="I17" s="1"/>
      </tp>
      <tp>
        <v>3.4</v>
        <stp/>
        <stp>P</stp>
        <stp>0</stp>
        <stp>FX</stp>
        <stp>USDSP_SMBCC</stp>
        <stp>전일대비</stp>
        <stp>44950</stp>
        <stp>FILL=TRUE</stp>
        <tr r="J11" s="1"/>
        <tr r="J10" s="1"/>
      </tp>
      <tp>
        <v>26906.04</v>
        <stp/>
        <stp>P</stp>
        <stp>0</stp>
        <stp>FRN</stp>
        <stp>NII:NI225</stp>
        <stp>현재가</stp>
        <stp>44949</stp>
        <stp>fill=true</stp>
        <tr r="K21" s="1"/>
        <tr r="K21" s="1"/>
      </tp>
      <tp>
        <v>-4.1700000000000001E-2</v>
        <stp/>
        <stp>P</stp>
        <stp>0</stp>
        <stp>IR</stp>
        <stp>US05Y</stp>
        <stp>전일대비</stp>
        <stp>44950</stp>
        <stp>FILL=TRUE</stp>
        <tr r="J24" s="1"/>
      </tp>
      <tp>
        <v>3264.81</v>
        <stp/>
        <stp>P</stp>
        <stp>0</stp>
        <stp>FRN</stp>
        <stp>SHS:000001</stp>
        <stp>현재가</stp>
        <stp>44950</stp>
        <stp>FILL=TRUE</stp>
        <tr r="I22" s="1"/>
      </tp>
      <tp>
        <v>5.08</v>
        <stp/>
        <stp>P</stp>
        <stp>0</stp>
        <stp>IDX</stp>
        <stp>801</stp>
        <stp>전일대비</stp>
        <stp>44950</stp>
        <stp>FILL=TRUE</stp>
        <tr r="J9" s="1"/>
      </tp>
      <tp>
        <v>14.92</v>
        <stp/>
        <stp>P</stp>
        <stp>0</stp>
        <stp>IDX</stp>
        <stp>001</stp>
        <stp>전일대비</stp>
        <stp>44950</stp>
        <stp>FILL=TRUE</stp>
        <tr r="J7" s="1"/>
      </tp>
      <tp>
        <v>26553.53</v>
        <stp/>
        <stp>P</stp>
        <stp>0</stp>
        <stp>FRN</stp>
        <stp>NII:NI225</stp>
        <stp>현재가</stp>
        <stp>44946</stp>
        <stp>fill=true</stp>
        <tr r="L21" s="1"/>
        <tr r="L21" s="1"/>
      </tp>
      <tp>
        <v>26094.5</v>
        <stp/>
        <stp>P</stp>
        <stp>0</stp>
        <stp>FRN</stp>
        <stp>NII:NI225</stp>
        <stp>현재가</stp>
        <stp>44926</stp>
        <stp>fill=true</stp>
        <tr r="M21" s="1"/>
        <tr r="M21" s="1"/>
        <tr r="G21" s="1"/>
        <tr r="N21" s="1"/>
        <tr r="N21" s="1"/>
        <tr r="H21" s="1"/>
      </tp>
      <tp>
        <v>1.77</v>
        <stp/>
        <stp>P</stp>
        <stp>0</stp>
        <stp>IDX</stp>
        <stp>211</stp>
        <stp>전일대비</stp>
        <stp>44950</stp>
        <stp>FILL=TRUE</stp>
        <tr r="J8" s="1"/>
      </tp>
      <tp>
        <v>393.15</v>
        <stp/>
        <stp>P</stp>
        <stp>0</stp>
        <stp>FRN</stp>
        <stp>NII:NI225</stp>
        <stp>전일대비</stp>
        <stp>44950</stp>
        <stp>FILL=TRUE</stp>
        <tr r="J21" s="1"/>
      </tp>
      <tp>
        <v>104.85</v>
        <stp/>
        <stp>P</stp>
        <stp>0</stp>
        <stp>FUT</stp>
        <stp>C65</stp>
        <stp>현재가</stp>
        <stp>44949</stp>
        <stp>fill=true</stp>
        <tr r="K16" s="1"/>
        <tr r="K16" s="1"/>
      </tp>
      <tp>
        <v>114.45</v>
        <stp/>
        <stp>P</stp>
        <stp>0</stp>
        <stp>FUT</stp>
        <stp>C67</stp>
        <stp>현재가</stp>
        <stp>44949</stp>
        <stp>fill=true</stp>
        <tr r="K17" s="1"/>
        <tr r="K17" s="1"/>
      </tp>
      <tp>
        <v>3264.81</v>
        <stp/>
        <stp>P</stp>
        <stp>0</stp>
        <stp>FRN</stp>
        <stp>SHS:000001</stp>
        <stp>현재가</stp>
        <stp>44949</stp>
        <stp>fill=true</stp>
        <tr r="K22" s="1"/>
        <tr r="K22" s="1"/>
      </tp>
      <tp>
        <v>27299.19</v>
        <stp/>
        <stp>P</stp>
        <stp>0</stp>
        <stp>FRN</stp>
        <stp>NII:NI225</stp>
        <stp>현재가</stp>
        <stp>44950</stp>
        <stp>FILL=TRUE</stp>
        <tr r="I21" s="1"/>
      </tp>
      <tp>
        <v>717.97</v>
        <stp/>
        <stp>P</stp>
        <stp>0</stp>
        <stp>IDX</stp>
        <stp>801</stp>
        <stp>현재가</stp>
        <stp>44950</stp>
        <stp>FILL=TRUE</stp>
        <tr r="I9" s="1"/>
      </tp>
      <tp>
        <v>2395.2600000000002</v>
        <stp/>
        <stp>P</stp>
        <stp>0</stp>
        <stp>IDX</stp>
        <stp>001</stp>
        <stp>현재가</stp>
        <stp>44949</stp>
        <stp>fill=true</stp>
        <tr r="K7" s="1"/>
        <tr r="K7" s="1"/>
      </tp>
      <tp>
        <v>315.58</v>
        <stp/>
        <stp>P</stp>
        <stp>0</stp>
        <stp>IDX</stp>
        <stp>211</stp>
        <stp>현재가</stp>
        <stp>44949</stp>
        <stp>fill=true</stp>
        <tr r="K8" s="1"/>
        <tr r="K8" s="1"/>
      </tp>
      <tp>
        <v>6000000</v>
        <stp/>
        <stp>P</stp>
        <stp>0</stp>
        <stp>IR</stp>
        <stp>BNDINV0000</stp>
        <stp>증권사 순매수거래량</stp>
        <stp>44950</stp>
        <stp>fill=true</stp>
        <tr r="H34" s="1"/>
      </tp>
      <tp>
        <v>679.29</v>
        <stp/>
        <stp>P</stp>
        <stp>0</stp>
        <stp>IDX</stp>
        <stp>801</stp>
        <stp>현재가</stp>
        <stp>44926</stp>
        <stp>fill=true</stp>
        <tr r="M9" s="1"/>
        <tr r="M9" s="1"/>
        <tr r="G9" s="1"/>
        <tr r="N9" s="1"/>
        <tr r="N9" s="1"/>
        <tr r="H9" s="1"/>
      </tp>
      <tp>
        <v>717.97</v>
        <stp/>
        <stp>P</stp>
        <stp>0</stp>
        <stp>IDX</stp>
        <stp>801</stp>
        <stp>현재가</stp>
        <stp>44946</stp>
        <stp>fill=true</stp>
        <tr r="L9" s="1"/>
        <tr r="L9" s="1"/>
      </tp>
      <tp>
        <v>2395.2600000000002</v>
        <stp/>
        <stp>P</stp>
        <stp>0</stp>
        <stp>IDX</stp>
        <stp>001</stp>
        <stp>현재가</stp>
        <stp>44950</stp>
        <stp>FILL=TRUE</stp>
        <tr r="I7" s="1"/>
      </tp>
      <tp>
        <v>717.97</v>
        <stp/>
        <stp>P</stp>
        <stp>0</stp>
        <stp>IDX</stp>
        <stp>801</stp>
        <stp>현재가</stp>
        <stp>44949</stp>
        <stp>fill=true</stp>
        <tr r="K9" s="1"/>
        <tr r="K9" s="1"/>
      </tp>
      <tp>
        <v>315.58</v>
        <stp/>
        <stp>P</stp>
        <stp>0</stp>
        <stp>IDX</stp>
        <stp>211</stp>
        <stp>현재가</stp>
        <stp>44950</stp>
        <stp>FILL=TRUE</stp>
        <tr r="I8" s="1"/>
      </tp>
      <tp>
        <v>291.10000000000002</v>
        <stp/>
        <stp>P</stp>
        <stp>0</stp>
        <stp>IDX</stp>
        <stp>211</stp>
        <stp>현재가</stp>
        <stp>44926</stp>
        <stp>fill=true</stp>
        <tr r="M8" s="1"/>
        <tr r="M8" s="1"/>
        <tr r="N8" s="1"/>
        <tr r="N8" s="1"/>
        <tr r="H8" s="1"/>
        <tr r="G8" s="1"/>
      </tp>
      <tp>
        <v>315.58</v>
        <stp/>
        <stp>P</stp>
        <stp>0</stp>
        <stp>IDX</stp>
        <stp>211</stp>
        <stp>현재가</stp>
        <stp>44946</stp>
        <stp>fill=true</stp>
        <tr r="L8" s="1"/>
        <tr r="L8" s="1"/>
      </tp>
      <tp>
        <v>-28835562</v>
        <stp/>
        <stp>P</stp>
        <stp>0</stp>
        <stp>IR</stp>
        <stp>BNDINV0000</stp>
        <stp>외국인 순매수거래량</stp>
        <stp>44950</stp>
        <stp>fill=true</stp>
        <tr r="G34" s="1"/>
      </tp>
      <tp>
        <v>2236.4</v>
        <stp/>
        <stp>P</stp>
        <stp>0</stp>
        <stp>IDX</stp>
        <stp>001</stp>
        <stp>현재가</stp>
        <stp>44926</stp>
        <stp>fill=true</stp>
        <tr r="M7" s="1"/>
        <tr r="M7" s="1"/>
        <tr r="G7" s="1"/>
        <tr r="H7" s="1"/>
        <tr r="N7" s="1"/>
        <tr r="N7" s="1"/>
      </tp>
      <tp>
        <v>2395.2600000000002</v>
        <stp/>
        <stp>P</stp>
        <stp>0</stp>
        <stp>IDX</stp>
        <stp>001</stp>
        <stp>현재가</stp>
        <stp>44946</stp>
        <stp>fill=true</stp>
        <tr r="L7" s="1"/>
        <tr r="L7" s="1"/>
      </tp>
      <tp>
        <v>-30.14</v>
        <stp/>
        <stp>P</stp>
        <stp>0</stp>
        <stp>FRN</stp>
        <stp>NAS:IXIC</stp>
        <stp>전일대비</stp>
        <stp>44950</stp>
        <stp>FILL=TRUE</stp>
        <tr r="J20" s="1"/>
      </tp>
      <tp>
        <v>-1789910000</v>
        <stp/>
        <stp>P</stp>
        <stp>0</stp>
        <stp>FUT</stp>
        <stp>C65</stp>
        <stp>보험순매수금액</stp>
        <stp>44950</stp>
        <stp>fill=true</stp>
        <tr r="J32" s="1"/>
      </tp>
      <tp>
        <v>-790140000</v>
        <stp/>
        <stp>P</stp>
        <stp>0</stp>
        <stp>FUT</stp>
        <stp>C67</stp>
        <stp>보험순매수금액</stp>
        <stp>44950</stp>
        <stp>fill=true</stp>
        <tr r="J33" s="1"/>
      </tp>
      <tp>
        <v>1235.5</v>
        <stp/>
        <stp>P</stp>
        <stp>0</stp>
        <stp>FX</stp>
        <stp>USDSP_SMBCC</stp>
        <stp>현재가</stp>
        <stp>44950</stp>
        <stp>FILL=TRUE</stp>
        <tr r="I11" s="1"/>
        <tr r="I10" s="1"/>
      </tp>
      <tp>
        <v>3972.61</v>
        <stp/>
        <stp>P</stp>
        <stp>0</stp>
        <stp>FRN</stp>
        <stp>SPI:SPX</stp>
        <stp>현재가</stp>
        <stp>44946</stp>
        <stp>fill=true</stp>
        <tr r="L19" s="1"/>
        <tr r="L19" s="1"/>
      </tp>
      <tp>
        <v>3839.5</v>
        <stp/>
        <stp>P</stp>
        <stp>0</stp>
        <stp>FRN</stp>
        <stp>SPI:SPX</stp>
        <stp>현재가</stp>
        <stp>44926</stp>
        <stp>fill=true</stp>
        <tr r="M19" s="1"/>
        <tr r="M19" s="1"/>
        <tr r="N19" s="1"/>
        <tr r="N19" s="1"/>
        <tr r="H19" s="1"/>
        <tr r="G19" s="1"/>
      </tp>
      <tp>
        <v>33375.49</v>
        <stp/>
        <stp>P</stp>
        <stp>0</stp>
        <stp>FRN</stp>
        <stp>DJI:DJI</stp>
        <stp>현재가</stp>
        <stp>44946</stp>
        <stp>fill=true</stp>
        <tr r="L18" s="1"/>
        <tr r="L18" s="1"/>
      </tp>
      <tp>
        <v>33147.25</v>
        <stp/>
        <stp>P</stp>
        <stp>0</stp>
        <stp>FRN</stp>
        <stp>DJI:DJI</stp>
        <stp>현재가</stp>
        <stp>44926</stp>
        <stp>fill=true</stp>
        <tr r="M18" s="1"/>
        <tr r="M18" s="1"/>
        <tr r="G18" s="1"/>
        <tr r="H18" s="1"/>
        <tr r="N18" s="1"/>
        <tr r="N18" s="1"/>
      </tp>
      <tp>
        <v>1264.5</v>
        <stp/>
        <stp>P</stp>
        <stp>0</stp>
        <stp>FX</stp>
        <stp>USDSP_SMBCC</stp>
        <stp>현재가</stp>
        <stp>44926</stp>
        <stp>fill=true</stp>
        <tr r="M11" s="1"/>
        <tr r="M11" s="1"/>
        <tr r="M10" s="1"/>
        <tr r="M10" s="1"/>
        <tr r="H11" s="1"/>
        <tr r="G10" s="1"/>
        <tr r="N11" s="1"/>
        <tr r="N11" s="1"/>
        <tr r="N10" s="1"/>
        <tr r="N10" s="1"/>
        <tr r="G11" s="1"/>
        <tr r="H10" s="1"/>
      </tp>
      <tp>
        <v>1235.5</v>
        <stp/>
        <stp>P</stp>
        <stp>0</stp>
        <stp>FX</stp>
        <stp>USDSP_SMBCC</stp>
        <stp>현재가</stp>
        <stp>44946</stp>
        <stp>fill=true</stp>
        <tr r="L10" s="1"/>
        <tr r="L10" s="1"/>
        <tr r="L11" s="1"/>
        <tr r="L11" s="1"/>
      </tp>
      <tp>
        <v>4016.95</v>
        <stp/>
        <stp>P</stp>
        <stp>0</stp>
        <stp>FRN</stp>
        <stp>SPI:SPX</stp>
        <stp>현재가</stp>
        <stp>44950</stp>
        <stp>FILL=TRUE</stp>
        <tr r="I19" s="1"/>
      </tp>
      <tp>
        <v>33733.96</v>
        <stp/>
        <stp>P</stp>
        <stp>0</stp>
        <stp>FRN</stp>
        <stp>DJI:DJI</stp>
        <stp>현재가</stp>
        <stp>44950</stp>
        <stp>FILL=TRUE</stp>
        <tr r="I18" s="1"/>
      </tp>
      <tp>
        <v>1235.5</v>
        <stp/>
        <stp>P</stp>
        <stp>0</stp>
        <stp>FX</stp>
        <stp>USDSP_SMBCC</stp>
        <stp>현재가</stp>
        <stp>44949</stp>
        <stp>fill=true</stp>
        <tr r="K11" s="1"/>
        <tr r="K11" s="1"/>
        <tr r="K10" s="1"/>
        <tr r="K10" s="1"/>
      </tp>
      <tp>
        <v>4019.81</v>
        <stp/>
        <stp>P</stp>
        <stp>0</stp>
        <stp>FRN</stp>
        <stp>SPI:SPX</stp>
        <stp>현재가</stp>
        <stp>44949</stp>
        <stp>fill=true</stp>
        <tr r="K19" s="1"/>
        <tr r="K19" s="1"/>
      </tp>
      <tp>
        <v>33629.56</v>
        <stp/>
        <stp>P</stp>
        <stp>0</stp>
        <stp>FRN</stp>
        <stp>DJI:DJI</stp>
        <stp>현재가</stp>
        <stp>44949</stp>
        <stp>fill=true</stp>
        <tr r="K18" s="1"/>
        <tr r="K18" s="1"/>
      </tp>
    </main>
  </volType>
</volType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volatileDependencies" Target="volatileDependencies.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xPr>
        <a:bodyPr/>
        <a:lstStyle/>
        <a:p>
          <a:pPr>
            <a:defRPr sz="1200" b="1"/>
          </a:pPr>
          <a:endParaRPr lang="ko-KR"/>
        </a:p>
      </c:txPr>
    </c:title>
    <c:autoTitleDeleted val="0"/>
    <c:plotArea>
      <c:layout/>
      <c:lineChart>
        <c:grouping val="standard"/>
        <c:varyColors val="0"/>
        <c:ser>
          <c:idx val="0"/>
          <c:order val="0"/>
          <c:tx>
            <c:strRef>
              <c:f>'Daily Report'!$AH$3</c:f>
              <c:strCache>
                <c:ptCount val="1"/>
                <c:pt idx="0">
                  <c:v>KOSPI</c:v>
                </c:pt>
              </c:strCache>
            </c:strRef>
          </c:tx>
          <c:spPr>
            <a:ln>
              <a:solidFill>
                <a:srgbClr val="339966"/>
              </a:solidFill>
            </a:ln>
          </c:spPr>
          <c:marker>
            <c:symbol val="none"/>
          </c:marker>
          <c:cat>
            <c:numRef>
              <c:f>'Daily Report'!$AH$6:$AH$250</c:f>
              <c:numCache>
                <c:formatCode>m/d/yyyy</c:formatCode>
                <c:ptCount val="245"/>
                <c:pt idx="0">
                  <c:v>44946</c:v>
                </c:pt>
                <c:pt idx="1">
                  <c:v>44945</c:v>
                </c:pt>
                <c:pt idx="2">
                  <c:v>44944</c:v>
                </c:pt>
                <c:pt idx="3">
                  <c:v>44943</c:v>
                </c:pt>
                <c:pt idx="4">
                  <c:v>44942</c:v>
                </c:pt>
                <c:pt idx="5">
                  <c:v>44939</c:v>
                </c:pt>
                <c:pt idx="6">
                  <c:v>44938</c:v>
                </c:pt>
                <c:pt idx="7">
                  <c:v>44937</c:v>
                </c:pt>
                <c:pt idx="8">
                  <c:v>44936</c:v>
                </c:pt>
                <c:pt idx="9">
                  <c:v>44935</c:v>
                </c:pt>
                <c:pt idx="10">
                  <c:v>44932</c:v>
                </c:pt>
                <c:pt idx="11">
                  <c:v>44931</c:v>
                </c:pt>
                <c:pt idx="12">
                  <c:v>44930</c:v>
                </c:pt>
                <c:pt idx="13">
                  <c:v>44929</c:v>
                </c:pt>
                <c:pt idx="14">
                  <c:v>44928</c:v>
                </c:pt>
                <c:pt idx="15">
                  <c:v>44924</c:v>
                </c:pt>
                <c:pt idx="16">
                  <c:v>44923</c:v>
                </c:pt>
                <c:pt idx="17">
                  <c:v>44922</c:v>
                </c:pt>
                <c:pt idx="18">
                  <c:v>44921</c:v>
                </c:pt>
                <c:pt idx="19">
                  <c:v>44918</c:v>
                </c:pt>
                <c:pt idx="20">
                  <c:v>44917</c:v>
                </c:pt>
                <c:pt idx="21">
                  <c:v>44916</c:v>
                </c:pt>
                <c:pt idx="22">
                  <c:v>44915</c:v>
                </c:pt>
                <c:pt idx="23">
                  <c:v>44914</c:v>
                </c:pt>
                <c:pt idx="24">
                  <c:v>44911</c:v>
                </c:pt>
                <c:pt idx="25">
                  <c:v>44910</c:v>
                </c:pt>
                <c:pt idx="26">
                  <c:v>44909</c:v>
                </c:pt>
                <c:pt idx="27">
                  <c:v>44908</c:v>
                </c:pt>
                <c:pt idx="28">
                  <c:v>44907</c:v>
                </c:pt>
                <c:pt idx="29">
                  <c:v>44904</c:v>
                </c:pt>
                <c:pt idx="30">
                  <c:v>44903</c:v>
                </c:pt>
                <c:pt idx="31">
                  <c:v>44902</c:v>
                </c:pt>
                <c:pt idx="32">
                  <c:v>44901</c:v>
                </c:pt>
                <c:pt idx="33">
                  <c:v>44900</c:v>
                </c:pt>
                <c:pt idx="34">
                  <c:v>44897</c:v>
                </c:pt>
                <c:pt idx="35">
                  <c:v>44896</c:v>
                </c:pt>
                <c:pt idx="36">
                  <c:v>44895</c:v>
                </c:pt>
                <c:pt idx="37">
                  <c:v>44894</c:v>
                </c:pt>
                <c:pt idx="38">
                  <c:v>44893</c:v>
                </c:pt>
                <c:pt idx="39">
                  <c:v>44890</c:v>
                </c:pt>
                <c:pt idx="40">
                  <c:v>44889</c:v>
                </c:pt>
                <c:pt idx="41">
                  <c:v>44888</c:v>
                </c:pt>
                <c:pt idx="42">
                  <c:v>44887</c:v>
                </c:pt>
                <c:pt idx="43">
                  <c:v>44886</c:v>
                </c:pt>
                <c:pt idx="44">
                  <c:v>44883</c:v>
                </c:pt>
                <c:pt idx="45">
                  <c:v>44882</c:v>
                </c:pt>
                <c:pt idx="46">
                  <c:v>44881</c:v>
                </c:pt>
                <c:pt idx="47">
                  <c:v>44880</c:v>
                </c:pt>
                <c:pt idx="48">
                  <c:v>44879</c:v>
                </c:pt>
                <c:pt idx="49">
                  <c:v>44876</c:v>
                </c:pt>
                <c:pt idx="50">
                  <c:v>44875</c:v>
                </c:pt>
                <c:pt idx="51">
                  <c:v>44874</c:v>
                </c:pt>
                <c:pt idx="52">
                  <c:v>44873</c:v>
                </c:pt>
                <c:pt idx="53">
                  <c:v>44872</c:v>
                </c:pt>
                <c:pt idx="54">
                  <c:v>44869</c:v>
                </c:pt>
                <c:pt idx="55">
                  <c:v>44868</c:v>
                </c:pt>
                <c:pt idx="56">
                  <c:v>44867</c:v>
                </c:pt>
                <c:pt idx="57">
                  <c:v>44866</c:v>
                </c:pt>
                <c:pt idx="58">
                  <c:v>44865</c:v>
                </c:pt>
                <c:pt idx="59">
                  <c:v>44862</c:v>
                </c:pt>
                <c:pt idx="60">
                  <c:v>44861</c:v>
                </c:pt>
                <c:pt idx="61">
                  <c:v>44860</c:v>
                </c:pt>
                <c:pt idx="62">
                  <c:v>44859</c:v>
                </c:pt>
                <c:pt idx="63">
                  <c:v>44858</c:v>
                </c:pt>
                <c:pt idx="64">
                  <c:v>44855</c:v>
                </c:pt>
                <c:pt idx="65">
                  <c:v>44854</c:v>
                </c:pt>
                <c:pt idx="66">
                  <c:v>44853</c:v>
                </c:pt>
                <c:pt idx="67">
                  <c:v>44852</c:v>
                </c:pt>
                <c:pt idx="68">
                  <c:v>44851</c:v>
                </c:pt>
                <c:pt idx="69">
                  <c:v>44848</c:v>
                </c:pt>
                <c:pt idx="70">
                  <c:v>44847</c:v>
                </c:pt>
                <c:pt idx="71">
                  <c:v>44846</c:v>
                </c:pt>
                <c:pt idx="72">
                  <c:v>44845</c:v>
                </c:pt>
                <c:pt idx="73">
                  <c:v>44841</c:v>
                </c:pt>
                <c:pt idx="74">
                  <c:v>44840</c:v>
                </c:pt>
                <c:pt idx="75">
                  <c:v>44839</c:v>
                </c:pt>
                <c:pt idx="76">
                  <c:v>44838</c:v>
                </c:pt>
                <c:pt idx="77">
                  <c:v>44834</c:v>
                </c:pt>
                <c:pt idx="78">
                  <c:v>44833</c:v>
                </c:pt>
                <c:pt idx="79">
                  <c:v>44832</c:v>
                </c:pt>
                <c:pt idx="80">
                  <c:v>44831</c:v>
                </c:pt>
                <c:pt idx="81">
                  <c:v>44830</c:v>
                </c:pt>
                <c:pt idx="82">
                  <c:v>44827</c:v>
                </c:pt>
                <c:pt idx="83">
                  <c:v>44826</c:v>
                </c:pt>
                <c:pt idx="84">
                  <c:v>44825</c:v>
                </c:pt>
                <c:pt idx="85">
                  <c:v>44824</c:v>
                </c:pt>
                <c:pt idx="86">
                  <c:v>44823</c:v>
                </c:pt>
                <c:pt idx="87">
                  <c:v>44820</c:v>
                </c:pt>
                <c:pt idx="88">
                  <c:v>44819</c:v>
                </c:pt>
                <c:pt idx="89">
                  <c:v>44818</c:v>
                </c:pt>
                <c:pt idx="90">
                  <c:v>44817</c:v>
                </c:pt>
                <c:pt idx="91">
                  <c:v>44812</c:v>
                </c:pt>
                <c:pt idx="92">
                  <c:v>44811</c:v>
                </c:pt>
                <c:pt idx="93">
                  <c:v>44810</c:v>
                </c:pt>
                <c:pt idx="94">
                  <c:v>44809</c:v>
                </c:pt>
                <c:pt idx="95">
                  <c:v>44806</c:v>
                </c:pt>
                <c:pt idx="96">
                  <c:v>44805</c:v>
                </c:pt>
                <c:pt idx="97">
                  <c:v>44804</c:v>
                </c:pt>
                <c:pt idx="98">
                  <c:v>44803</c:v>
                </c:pt>
                <c:pt idx="99">
                  <c:v>44802</c:v>
                </c:pt>
                <c:pt idx="100">
                  <c:v>44799</c:v>
                </c:pt>
                <c:pt idx="101">
                  <c:v>44798</c:v>
                </c:pt>
                <c:pt idx="102">
                  <c:v>44797</c:v>
                </c:pt>
                <c:pt idx="103">
                  <c:v>44796</c:v>
                </c:pt>
                <c:pt idx="104">
                  <c:v>44795</c:v>
                </c:pt>
                <c:pt idx="105">
                  <c:v>44792</c:v>
                </c:pt>
                <c:pt idx="106">
                  <c:v>44791</c:v>
                </c:pt>
                <c:pt idx="107">
                  <c:v>44790</c:v>
                </c:pt>
                <c:pt idx="108">
                  <c:v>44789</c:v>
                </c:pt>
                <c:pt idx="109">
                  <c:v>44785</c:v>
                </c:pt>
                <c:pt idx="110">
                  <c:v>44784</c:v>
                </c:pt>
                <c:pt idx="111">
                  <c:v>44783</c:v>
                </c:pt>
                <c:pt idx="112">
                  <c:v>44782</c:v>
                </c:pt>
                <c:pt idx="113">
                  <c:v>44781</c:v>
                </c:pt>
                <c:pt idx="114">
                  <c:v>44778</c:v>
                </c:pt>
                <c:pt idx="115">
                  <c:v>44777</c:v>
                </c:pt>
                <c:pt idx="116">
                  <c:v>44776</c:v>
                </c:pt>
                <c:pt idx="117">
                  <c:v>44775</c:v>
                </c:pt>
                <c:pt idx="118">
                  <c:v>44774</c:v>
                </c:pt>
                <c:pt idx="119">
                  <c:v>44771</c:v>
                </c:pt>
                <c:pt idx="120">
                  <c:v>44770</c:v>
                </c:pt>
                <c:pt idx="121">
                  <c:v>44769</c:v>
                </c:pt>
                <c:pt idx="122">
                  <c:v>44768</c:v>
                </c:pt>
                <c:pt idx="123">
                  <c:v>44767</c:v>
                </c:pt>
                <c:pt idx="124">
                  <c:v>44764</c:v>
                </c:pt>
                <c:pt idx="125">
                  <c:v>44763</c:v>
                </c:pt>
                <c:pt idx="126">
                  <c:v>44762</c:v>
                </c:pt>
                <c:pt idx="127">
                  <c:v>44761</c:v>
                </c:pt>
                <c:pt idx="128">
                  <c:v>44760</c:v>
                </c:pt>
                <c:pt idx="129">
                  <c:v>44757</c:v>
                </c:pt>
                <c:pt idx="130">
                  <c:v>44756</c:v>
                </c:pt>
                <c:pt idx="131">
                  <c:v>44755</c:v>
                </c:pt>
                <c:pt idx="132">
                  <c:v>44754</c:v>
                </c:pt>
                <c:pt idx="133">
                  <c:v>44753</c:v>
                </c:pt>
                <c:pt idx="134">
                  <c:v>44750</c:v>
                </c:pt>
                <c:pt idx="135">
                  <c:v>44749</c:v>
                </c:pt>
                <c:pt idx="136">
                  <c:v>44748</c:v>
                </c:pt>
                <c:pt idx="137">
                  <c:v>44747</c:v>
                </c:pt>
                <c:pt idx="138">
                  <c:v>44746</c:v>
                </c:pt>
                <c:pt idx="139">
                  <c:v>44743</c:v>
                </c:pt>
                <c:pt idx="140">
                  <c:v>44742</c:v>
                </c:pt>
                <c:pt idx="141">
                  <c:v>44741</c:v>
                </c:pt>
                <c:pt idx="142">
                  <c:v>44740</c:v>
                </c:pt>
                <c:pt idx="143">
                  <c:v>44739</c:v>
                </c:pt>
                <c:pt idx="144">
                  <c:v>44736</c:v>
                </c:pt>
                <c:pt idx="145">
                  <c:v>44735</c:v>
                </c:pt>
                <c:pt idx="146">
                  <c:v>44734</c:v>
                </c:pt>
                <c:pt idx="147">
                  <c:v>44733</c:v>
                </c:pt>
                <c:pt idx="148">
                  <c:v>44732</c:v>
                </c:pt>
                <c:pt idx="149">
                  <c:v>44729</c:v>
                </c:pt>
                <c:pt idx="150">
                  <c:v>44728</c:v>
                </c:pt>
                <c:pt idx="151">
                  <c:v>44727</c:v>
                </c:pt>
                <c:pt idx="152">
                  <c:v>44726</c:v>
                </c:pt>
                <c:pt idx="153">
                  <c:v>44725</c:v>
                </c:pt>
                <c:pt idx="154">
                  <c:v>44722</c:v>
                </c:pt>
                <c:pt idx="155">
                  <c:v>44721</c:v>
                </c:pt>
                <c:pt idx="156">
                  <c:v>44720</c:v>
                </c:pt>
                <c:pt idx="157">
                  <c:v>44719</c:v>
                </c:pt>
                <c:pt idx="158">
                  <c:v>44715</c:v>
                </c:pt>
                <c:pt idx="159">
                  <c:v>44714</c:v>
                </c:pt>
                <c:pt idx="160">
                  <c:v>44712</c:v>
                </c:pt>
                <c:pt idx="161">
                  <c:v>44711</c:v>
                </c:pt>
                <c:pt idx="162">
                  <c:v>44708</c:v>
                </c:pt>
                <c:pt idx="163">
                  <c:v>44707</c:v>
                </c:pt>
                <c:pt idx="164">
                  <c:v>44706</c:v>
                </c:pt>
                <c:pt idx="165">
                  <c:v>44705</c:v>
                </c:pt>
                <c:pt idx="166">
                  <c:v>44704</c:v>
                </c:pt>
                <c:pt idx="167">
                  <c:v>44701</c:v>
                </c:pt>
                <c:pt idx="168">
                  <c:v>44700</c:v>
                </c:pt>
                <c:pt idx="169">
                  <c:v>44699</c:v>
                </c:pt>
                <c:pt idx="170">
                  <c:v>44698</c:v>
                </c:pt>
                <c:pt idx="171">
                  <c:v>44697</c:v>
                </c:pt>
                <c:pt idx="172">
                  <c:v>44694</c:v>
                </c:pt>
                <c:pt idx="173">
                  <c:v>44693</c:v>
                </c:pt>
                <c:pt idx="174">
                  <c:v>44692</c:v>
                </c:pt>
                <c:pt idx="175">
                  <c:v>44691</c:v>
                </c:pt>
                <c:pt idx="176">
                  <c:v>44690</c:v>
                </c:pt>
                <c:pt idx="177">
                  <c:v>44687</c:v>
                </c:pt>
                <c:pt idx="178">
                  <c:v>44685</c:v>
                </c:pt>
                <c:pt idx="179">
                  <c:v>44684</c:v>
                </c:pt>
                <c:pt idx="180">
                  <c:v>44683</c:v>
                </c:pt>
                <c:pt idx="181">
                  <c:v>44680</c:v>
                </c:pt>
                <c:pt idx="182">
                  <c:v>44679</c:v>
                </c:pt>
                <c:pt idx="183">
                  <c:v>44678</c:v>
                </c:pt>
                <c:pt idx="184">
                  <c:v>44677</c:v>
                </c:pt>
                <c:pt idx="185">
                  <c:v>44676</c:v>
                </c:pt>
                <c:pt idx="186">
                  <c:v>44673</c:v>
                </c:pt>
                <c:pt idx="187">
                  <c:v>44672</c:v>
                </c:pt>
                <c:pt idx="188">
                  <c:v>44671</c:v>
                </c:pt>
                <c:pt idx="189">
                  <c:v>44670</c:v>
                </c:pt>
                <c:pt idx="190">
                  <c:v>44669</c:v>
                </c:pt>
                <c:pt idx="191">
                  <c:v>44666</c:v>
                </c:pt>
                <c:pt idx="192">
                  <c:v>44665</c:v>
                </c:pt>
                <c:pt idx="193">
                  <c:v>44664</c:v>
                </c:pt>
                <c:pt idx="194">
                  <c:v>44663</c:v>
                </c:pt>
                <c:pt idx="195">
                  <c:v>44662</c:v>
                </c:pt>
                <c:pt idx="196">
                  <c:v>44659</c:v>
                </c:pt>
                <c:pt idx="197">
                  <c:v>44658</c:v>
                </c:pt>
                <c:pt idx="198">
                  <c:v>44657</c:v>
                </c:pt>
                <c:pt idx="199">
                  <c:v>44656</c:v>
                </c:pt>
                <c:pt idx="200">
                  <c:v>44655</c:v>
                </c:pt>
                <c:pt idx="201">
                  <c:v>44652</c:v>
                </c:pt>
                <c:pt idx="202">
                  <c:v>44651</c:v>
                </c:pt>
                <c:pt idx="203">
                  <c:v>44650</c:v>
                </c:pt>
                <c:pt idx="204">
                  <c:v>44649</c:v>
                </c:pt>
                <c:pt idx="205">
                  <c:v>44648</c:v>
                </c:pt>
                <c:pt idx="206">
                  <c:v>44645</c:v>
                </c:pt>
                <c:pt idx="207">
                  <c:v>44644</c:v>
                </c:pt>
                <c:pt idx="208">
                  <c:v>44643</c:v>
                </c:pt>
                <c:pt idx="209">
                  <c:v>44642</c:v>
                </c:pt>
                <c:pt idx="210">
                  <c:v>44641</c:v>
                </c:pt>
                <c:pt idx="211">
                  <c:v>44638</c:v>
                </c:pt>
                <c:pt idx="212">
                  <c:v>44637</c:v>
                </c:pt>
                <c:pt idx="213">
                  <c:v>44636</c:v>
                </c:pt>
                <c:pt idx="214">
                  <c:v>44635</c:v>
                </c:pt>
                <c:pt idx="215">
                  <c:v>44634</c:v>
                </c:pt>
                <c:pt idx="216">
                  <c:v>44631</c:v>
                </c:pt>
                <c:pt idx="217">
                  <c:v>44630</c:v>
                </c:pt>
                <c:pt idx="218">
                  <c:v>44628</c:v>
                </c:pt>
                <c:pt idx="219">
                  <c:v>44627</c:v>
                </c:pt>
                <c:pt idx="220">
                  <c:v>44624</c:v>
                </c:pt>
                <c:pt idx="221">
                  <c:v>44623</c:v>
                </c:pt>
                <c:pt idx="222">
                  <c:v>44622</c:v>
                </c:pt>
                <c:pt idx="223">
                  <c:v>44620</c:v>
                </c:pt>
                <c:pt idx="224">
                  <c:v>44617</c:v>
                </c:pt>
                <c:pt idx="225">
                  <c:v>44616</c:v>
                </c:pt>
                <c:pt idx="226">
                  <c:v>44615</c:v>
                </c:pt>
                <c:pt idx="227">
                  <c:v>44614</c:v>
                </c:pt>
                <c:pt idx="228">
                  <c:v>44613</c:v>
                </c:pt>
                <c:pt idx="229">
                  <c:v>44610</c:v>
                </c:pt>
                <c:pt idx="230">
                  <c:v>44609</c:v>
                </c:pt>
                <c:pt idx="231">
                  <c:v>44608</c:v>
                </c:pt>
                <c:pt idx="232">
                  <c:v>44607</c:v>
                </c:pt>
                <c:pt idx="233">
                  <c:v>44606</c:v>
                </c:pt>
                <c:pt idx="234">
                  <c:v>44603</c:v>
                </c:pt>
                <c:pt idx="235">
                  <c:v>44602</c:v>
                </c:pt>
                <c:pt idx="236">
                  <c:v>44601</c:v>
                </c:pt>
                <c:pt idx="237">
                  <c:v>44600</c:v>
                </c:pt>
                <c:pt idx="238">
                  <c:v>44599</c:v>
                </c:pt>
                <c:pt idx="239">
                  <c:v>44596</c:v>
                </c:pt>
                <c:pt idx="240">
                  <c:v>44595</c:v>
                </c:pt>
                <c:pt idx="241">
                  <c:v>44589</c:v>
                </c:pt>
                <c:pt idx="242">
                  <c:v>44588</c:v>
                </c:pt>
                <c:pt idx="243">
                  <c:v>44587</c:v>
                </c:pt>
                <c:pt idx="244">
                  <c:v>44586</c:v>
                </c:pt>
              </c:numCache>
            </c:numRef>
          </c:cat>
          <c:val>
            <c:numRef>
              <c:f>'Daily Report'!$AI$6:$AI$250</c:f>
              <c:numCache>
                <c:formatCode>General</c:formatCode>
                <c:ptCount val="245"/>
                <c:pt idx="0">
                  <c:v>2395.2600000000002</c:v>
                </c:pt>
                <c:pt idx="1">
                  <c:v>2380.34</c:v>
                </c:pt>
                <c:pt idx="2">
                  <c:v>2368.3200000000002</c:v>
                </c:pt>
                <c:pt idx="3">
                  <c:v>2379.39</c:v>
                </c:pt>
                <c:pt idx="4">
                  <c:v>2399.86</c:v>
                </c:pt>
                <c:pt idx="5">
                  <c:v>2386.09</c:v>
                </c:pt>
                <c:pt idx="6">
                  <c:v>2365.1</c:v>
                </c:pt>
                <c:pt idx="7">
                  <c:v>2359.5300000000002</c:v>
                </c:pt>
                <c:pt idx="8">
                  <c:v>2351.31</c:v>
                </c:pt>
                <c:pt idx="9">
                  <c:v>2350.19</c:v>
                </c:pt>
                <c:pt idx="10">
                  <c:v>2289.9699999999998</c:v>
                </c:pt>
                <c:pt idx="11">
                  <c:v>2264.65</c:v>
                </c:pt>
                <c:pt idx="12">
                  <c:v>2255.98</c:v>
                </c:pt>
                <c:pt idx="13">
                  <c:v>2218.6799999999998</c:v>
                </c:pt>
                <c:pt idx="14">
                  <c:v>2225.67</c:v>
                </c:pt>
                <c:pt idx="15">
                  <c:v>2236.4</c:v>
                </c:pt>
                <c:pt idx="16">
                  <c:v>2280.4499999999998</c:v>
                </c:pt>
                <c:pt idx="17">
                  <c:v>2332.79</c:v>
                </c:pt>
                <c:pt idx="18">
                  <c:v>2317.14</c:v>
                </c:pt>
                <c:pt idx="19">
                  <c:v>2313.69</c:v>
                </c:pt>
                <c:pt idx="20">
                  <c:v>2356.73</c:v>
                </c:pt>
                <c:pt idx="21">
                  <c:v>2328.9499999999998</c:v>
                </c:pt>
                <c:pt idx="22">
                  <c:v>2333.29</c:v>
                </c:pt>
                <c:pt idx="23">
                  <c:v>2352.17</c:v>
                </c:pt>
                <c:pt idx="24">
                  <c:v>2360.02</c:v>
                </c:pt>
                <c:pt idx="25">
                  <c:v>2360.9699999999998</c:v>
                </c:pt>
                <c:pt idx="26">
                  <c:v>2399.25</c:v>
                </c:pt>
                <c:pt idx="27">
                  <c:v>2372.4</c:v>
                </c:pt>
                <c:pt idx="28">
                  <c:v>2373.02</c:v>
                </c:pt>
                <c:pt idx="29">
                  <c:v>2389.04</c:v>
                </c:pt>
                <c:pt idx="30">
                  <c:v>2371.08</c:v>
                </c:pt>
                <c:pt idx="31">
                  <c:v>2382.81</c:v>
                </c:pt>
                <c:pt idx="32">
                  <c:v>2393.16</c:v>
                </c:pt>
                <c:pt idx="33">
                  <c:v>2419.3200000000002</c:v>
                </c:pt>
                <c:pt idx="34">
                  <c:v>2434.33</c:v>
                </c:pt>
                <c:pt idx="35">
                  <c:v>2479.84</c:v>
                </c:pt>
                <c:pt idx="36">
                  <c:v>2472.5300000000002</c:v>
                </c:pt>
                <c:pt idx="37">
                  <c:v>2433.39</c:v>
                </c:pt>
                <c:pt idx="38">
                  <c:v>2408.27</c:v>
                </c:pt>
                <c:pt idx="39">
                  <c:v>2437.86</c:v>
                </c:pt>
                <c:pt idx="40">
                  <c:v>2441.33</c:v>
                </c:pt>
                <c:pt idx="41">
                  <c:v>2418.0100000000002</c:v>
                </c:pt>
                <c:pt idx="42">
                  <c:v>2405.27</c:v>
                </c:pt>
                <c:pt idx="43">
                  <c:v>2419.5</c:v>
                </c:pt>
                <c:pt idx="44">
                  <c:v>2444.48</c:v>
                </c:pt>
                <c:pt idx="45">
                  <c:v>2442.9</c:v>
                </c:pt>
                <c:pt idx="46">
                  <c:v>2477.4499999999998</c:v>
                </c:pt>
                <c:pt idx="47">
                  <c:v>2480.33</c:v>
                </c:pt>
                <c:pt idx="48">
                  <c:v>2474.65</c:v>
                </c:pt>
                <c:pt idx="49">
                  <c:v>2483.16</c:v>
                </c:pt>
                <c:pt idx="50">
                  <c:v>2402.23</c:v>
                </c:pt>
                <c:pt idx="51">
                  <c:v>2424.41</c:v>
                </c:pt>
                <c:pt idx="52">
                  <c:v>2399.04</c:v>
                </c:pt>
                <c:pt idx="53">
                  <c:v>2371.79</c:v>
                </c:pt>
                <c:pt idx="54">
                  <c:v>2348.4299999999998</c:v>
                </c:pt>
                <c:pt idx="55">
                  <c:v>2329.17</c:v>
                </c:pt>
                <c:pt idx="56">
                  <c:v>2336.87</c:v>
                </c:pt>
                <c:pt idx="57">
                  <c:v>2335.2199999999998</c:v>
                </c:pt>
                <c:pt idx="58">
                  <c:v>2293.61</c:v>
                </c:pt>
                <c:pt idx="59">
                  <c:v>2268.4</c:v>
                </c:pt>
                <c:pt idx="60">
                  <c:v>2288.7800000000002</c:v>
                </c:pt>
                <c:pt idx="61">
                  <c:v>2249.56</c:v>
                </c:pt>
                <c:pt idx="62">
                  <c:v>2235.0700000000002</c:v>
                </c:pt>
                <c:pt idx="63">
                  <c:v>2236.16</c:v>
                </c:pt>
                <c:pt idx="64">
                  <c:v>2213.12</c:v>
                </c:pt>
                <c:pt idx="65">
                  <c:v>2218.09</c:v>
                </c:pt>
                <c:pt idx="66">
                  <c:v>2237.44</c:v>
                </c:pt>
                <c:pt idx="67">
                  <c:v>2249.9499999999998</c:v>
                </c:pt>
                <c:pt idx="68">
                  <c:v>2219.71</c:v>
                </c:pt>
                <c:pt idx="69">
                  <c:v>2212.5500000000002</c:v>
                </c:pt>
                <c:pt idx="70">
                  <c:v>2162.87</c:v>
                </c:pt>
                <c:pt idx="71">
                  <c:v>2202.4699999999998</c:v>
                </c:pt>
                <c:pt idx="72">
                  <c:v>2192.0700000000002</c:v>
                </c:pt>
                <c:pt idx="73">
                  <c:v>2232.84</c:v>
                </c:pt>
                <c:pt idx="74">
                  <c:v>2237.86</c:v>
                </c:pt>
                <c:pt idx="75">
                  <c:v>2215.2199999999998</c:v>
                </c:pt>
                <c:pt idx="76">
                  <c:v>2209.38</c:v>
                </c:pt>
                <c:pt idx="77">
                  <c:v>2155.4899999999998</c:v>
                </c:pt>
                <c:pt idx="78">
                  <c:v>2170.9299999999998</c:v>
                </c:pt>
                <c:pt idx="79">
                  <c:v>2169.29</c:v>
                </c:pt>
                <c:pt idx="80">
                  <c:v>2223.86</c:v>
                </c:pt>
                <c:pt idx="81">
                  <c:v>2220.94</c:v>
                </c:pt>
                <c:pt idx="82">
                  <c:v>2290</c:v>
                </c:pt>
                <c:pt idx="83">
                  <c:v>2332.31</c:v>
                </c:pt>
                <c:pt idx="84">
                  <c:v>2347.21</c:v>
                </c:pt>
                <c:pt idx="85">
                  <c:v>2367.85</c:v>
                </c:pt>
                <c:pt idx="86">
                  <c:v>2355.66</c:v>
                </c:pt>
                <c:pt idx="87">
                  <c:v>2382.7800000000002</c:v>
                </c:pt>
                <c:pt idx="88">
                  <c:v>2401.83</c:v>
                </c:pt>
                <c:pt idx="89">
                  <c:v>2411.42</c:v>
                </c:pt>
                <c:pt idx="90">
                  <c:v>2449.54</c:v>
                </c:pt>
                <c:pt idx="91">
                  <c:v>2384.2800000000002</c:v>
                </c:pt>
                <c:pt idx="92">
                  <c:v>2376.46</c:v>
                </c:pt>
                <c:pt idx="93">
                  <c:v>2410.02</c:v>
                </c:pt>
                <c:pt idx="94">
                  <c:v>2403.6799999999998</c:v>
                </c:pt>
                <c:pt idx="95">
                  <c:v>2409.41</c:v>
                </c:pt>
                <c:pt idx="96">
                  <c:v>2415.61</c:v>
                </c:pt>
                <c:pt idx="97">
                  <c:v>2472.0500000000002</c:v>
                </c:pt>
                <c:pt idx="98">
                  <c:v>2450.9299999999998</c:v>
                </c:pt>
                <c:pt idx="99">
                  <c:v>2426.89</c:v>
                </c:pt>
                <c:pt idx="100">
                  <c:v>2481.0300000000002</c:v>
                </c:pt>
                <c:pt idx="101">
                  <c:v>2477.2600000000002</c:v>
                </c:pt>
                <c:pt idx="102">
                  <c:v>2447.4499999999998</c:v>
                </c:pt>
                <c:pt idx="103">
                  <c:v>2435.34</c:v>
                </c:pt>
                <c:pt idx="104">
                  <c:v>2462.5</c:v>
                </c:pt>
                <c:pt idx="105">
                  <c:v>2492.69</c:v>
                </c:pt>
                <c:pt idx="106">
                  <c:v>2508.0500000000002</c:v>
                </c:pt>
                <c:pt idx="107">
                  <c:v>2516.4699999999998</c:v>
                </c:pt>
                <c:pt idx="108">
                  <c:v>2533.52</c:v>
                </c:pt>
                <c:pt idx="109">
                  <c:v>2527.94</c:v>
                </c:pt>
                <c:pt idx="110">
                  <c:v>2523.7800000000002</c:v>
                </c:pt>
                <c:pt idx="111">
                  <c:v>2480.88</c:v>
                </c:pt>
                <c:pt idx="112">
                  <c:v>2503.46</c:v>
                </c:pt>
                <c:pt idx="113">
                  <c:v>2493.1</c:v>
                </c:pt>
                <c:pt idx="114">
                  <c:v>2490.8000000000002</c:v>
                </c:pt>
                <c:pt idx="115">
                  <c:v>2473.11</c:v>
                </c:pt>
                <c:pt idx="116">
                  <c:v>2461.4499999999998</c:v>
                </c:pt>
                <c:pt idx="117">
                  <c:v>2439.62</c:v>
                </c:pt>
                <c:pt idx="118">
                  <c:v>2452.25</c:v>
                </c:pt>
                <c:pt idx="119">
                  <c:v>2451.5</c:v>
                </c:pt>
                <c:pt idx="120">
                  <c:v>2435.27</c:v>
                </c:pt>
                <c:pt idx="121">
                  <c:v>2415.5300000000002</c:v>
                </c:pt>
                <c:pt idx="122">
                  <c:v>2412.96</c:v>
                </c:pt>
                <c:pt idx="123">
                  <c:v>2403.69</c:v>
                </c:pt>
                <c:pt idx="124">
                  <c:v>2393.14</c:v>
                </c:pt>
                <c:pt idx="125">
                  <c:v>2409.16</c:v>
                </c:pt>
                <c:pt idx="126">
                  <c:v>2386.85</c:v>
                </c:pt>
                <c:pt idx="127">
                  <c:v>2370.9699999999998</c:v>
                </c:pt>
                <c:pt idx="128">
                  <c:v>2375.25</c:v>
                </c:pt>
                <c:pt idx="129">
                  <c:v>2330.98</c:v>
                </c:pt>
                <c:pt idx="130">
                  <c:v>2322.3200000000002</c:v>
                </c:pt>
                <c:pt idx="131">
                  <c:v>2328.61</c:v>
                </c:pt>
                <c:pt idx="132">
                  <c:v>2317.7600000000002</c:v>
                </c:pt>
                <c:pt idx="133">
                  <c:v>2340.27</c:v>
                </c:pt>
                <c:pt idx="134">
                  <c:v>2350.61</c:v>
                </c:pt>
                <c:pt idx="135">
                  <c:v>2334.27</c:v>
                </c:pt>
                <c:pt idx="136">
                  <c:v>2292.0100000000002</c:v>
                </c:pt>
                <c:pt idx="137">
                  <c:v>2341.7800000000002</c:v>
                </c:pt>
                <c:pt idx="138">
                  <c:v>2300.34</c:v>
                </c:pt>
                <c:pt idx="139">
                  <c:v>2305.42</c:v>
                </c:pt>
                <c:pt idx="140">
                  <c:v>2332.64</c:v>
                </c:pt>
                <c:pt idx="141">
                  <c:v>2377.9899999999998</c:v>
                </c:pt>
                <c:pt idx="142">
                  <c:v>2422.09</c:v>
                </c:pt>
                <c:pt idx="143">
                  <c:v>2401.92</c:v>
                </c:pt>
                <c:pt idx="144">
                  <c:v>2366.6</c:v>
                </c:pt>
                <c:pt idx="145">
                  <c:v>2314.3200000000002</c:v>
                </c:pt>
                <c:pt idx="146">
                  <c:v>2342.81</c:v>
                </c:pt>
                <c:pt idx="147">
                  <c:v>2408.9299999999998</c:v>
                </c:pt>
                <c:pt idx="148">
                  <c:v>2391.0300000000002</c:v>
                </c:pt>
                <c:pt idx="149">
                  <c:v>2440.9299999999998</c:v>
                </c:pt>
                <c:pt idx="150">
                  <c:v>2451.41</c:v>
                </c:pt>
                <c:pt idx="151">
                  <c:v>2447.38</c:v>
                </c:pt>
                <c:pt idx="152">
                  <c:v>2492.9699999999998</c:v>
                </c:pt>
                <c:pt idx="153">
                  <c:v>2504.5100000000002</c:v>
                </c:pt>
                <c:pt idx="154">
                  <c:v>2595.87</c:v>
                </c:pt>
                <c:pt idx="155">
                  <c:v>2625.44</c:v>
                </c:pt>
                <c:pt idx="156">
                  <c:v>2626.15</c:v>
                </c:pt>
                <c:pt idx="157">
                  <c:v>2626.34</c:v>
                </c:pt>
                <c:pt idx="158">
                  <c:v>2670.65</c:v>
                </c:pt>
                <c:pt idx="159">
                  <c:v>2658.99</c:v>
                </c:pt>
                <c:pt idx="160">
                  <c:v>2685.9</c:v>
                </c:pt>
                <c:pt idx="161">
                  <c:v>2669.66</c:v>
                </c:pt>
                <c:pt idx="162">
                  <c:v>2638.05</c:v>
                </c:pt>
                <c:pt idx="163">
                  <c:v>2612.4499999999998</c:v>
                </c:pt>
                <c:pt idx="164">
                  <c:v>2617.2199999999998</c:v>
                </c:pt>
                <c:pt idx="165">
                  <c:v>2605.87</c:v>
                </c:pt>
                <c:pt idx="166">
                  <c:v>2647.38</c:v>
                </c:pt>
                <c:pt idx="167">
                  <c:v>2639.29</c:v>
                </c:pt>
                <c:pt idx="168">
                  <c:v>2592.34</c:v>
                </c:pt>
                <c:pt idx="169">
                  <c:v>2625.98</c:v>
                </c:pt>
                <c:pt idx="170">
                  <c:v>2620.44</c:v>
                </c:pt>
                <c:pt idx="171">
                  <c:v>2596.58</c:v>
                </c:pt>
                <c:pt idx="172">
                  <c:v>2604.2399999999998</c:v>
                </c:pt>
                <c:pt idx="173">
                  <c:v>2550.08</c:v>
                </c:pt>
                <c:pt idx="174">
                  <c:v>2592.27</c:v>
                </c:pt>
                <c:pt idx="175">
                  <c:v>2596.56</c:v>
                </c:pt>
                <c:pt idx="176">
                  <c:v>2610.81</c:v>
                </c:pt>
                <c:pt idx="177">
                  <c:v>2644.51</c:v>
                </c:pt>
                <c:pt idx="178">
                  <c:v>2677.57</c:v>
                </c:pt>
                <c:pt idx="179">
                  <c:v>2680.46</c:v>
                </c:pt>
                <c:pt idx="180">
                  <c:v>2687.45</c:v>
                </c:pt>
                <c:pt idx="181">
                  <c:v>2695.05</c:v>
                </c:pt>
                <c:pt idx="182">
                  <c:v>2667.49</c:v>
                </c:pt>
                <c:pt idx="183">
                  <c:v>2639.06</c:v>
                </c:pt>
                <c:pt idx="184">
                  <c:v>2668.31</c:v>
                </c:pt>
                <c:pt idx="185">
                  <c:v>2657.13</c:v>
                </c:pt>
                <c:pt idx="186">
                  <c:v>2704.71</c:v>
                </c:pt>
                <c:pt idx="187">
                  <c:v>2728.21</c:v>
                </c:pt>
                <c:pt idx="188">
                  <c:v>2718.69</c:v>
                </c:pt>
                <c:pt idx="189">
                  <c:v>2718.89</c:v>
                </c:pt>
                <c:pt idx="190">
                  <c:v>2693.21</c:v>
                </c:pt>
                <c:pt idx="191">
                  <c:v>2696.06</c:v>
                </c:pt>
                <c:pt idx="192">
                  <c:v>2716.71</c:v>
                </c:pt>
                <c:pt idx="193">
                  <c:v>2716.49</c:v>
                </c:pt>
                <c:pt idx="194">
                  <c:v>2666.76</c:v>
                </c:pt>
                <c:pt idx="195">
                  <c:v>2693.1</c:v>
                </c:pt>
                <c:pt idx="196">
                  <c:v>2700.39</c:v>
                </c:pt>
                <c:pt idx="197">
                  <c:v>2695.86</c:v>
                </c:pt>
                <c:pt idx="198">
                  <c:v>2735.03</c:v>
                </c:pt>
                <c:pt idx="199">
                  <c:v>2759.2</c:v>
                </c:pt>
                <c:pt idx="200">
                  <c:v>2757.9</c:v>
                </c:pt>
                <c:pt idx="201">
                  <c:v>2739.85</c:v>
                </c:pt>
                <c:pt idx="202">
                  <c:v>2757.65</c:v>
                </c:pt>
                <c:pt idx="203">
                  <c:v>2746.74</c:v>
                </c:pt>
                <c:pt idx="204">
                  <c:v>2741.07</c:v>
                </c:pt>
                <c:pt idx="205">
                  <c:v>2729.56</c:v>
                </c:pt>
                <c:pt idx="206">
                  <c:v>2729.98</c:v>
                </c:pt>
                <c:pt idx="207">
                  <c:v>2729.66</c:v>
                </c:pt>
                <c:pt idx="208">
                  <c:v>2735.05</c:v>
                </c:pt>
                <c:pt idx="209">
                  <c:v>2710</c:v>
                </c:pt>
                <c:pt idx="210">
                  <c:v>2686.05</c:v>
                </c:pt>
                <c:pt idx="211">
                  <c:v>2707.02</c:v>
                </c:pt>
                <c:pt idx="212">
                  <c:v>2694.51</c:v>
                </c:pt>
                <c:pt idx="213">
                  <c:v>2659.23</c:v>
                </c:pt>
                <c:pt idx="214">
                  <c:v>2621.53</c:v>
                </c:pt>
                <c:pt idx="215">
                  <c:v>2645.65</c:v>
                </c:pt>
                <c:pt idx="216">
                  <c:v>2661.28</c:v>
                </c:pt>
                <c:pt idx="217">
                  <c:v>2680.32</c:v>
                </c:pt>
                <c:pt idx="218">
                  <c:v>2622.4</c:v>
                </c:pt>
                <c:pt idx="219">
                  <c:v>2651.31</c:v>
                </c:pt>
                <c:pt idx="220">
                  <c:v>2713.43</c:v>
                </c:pt>
                <c:pt idx="221">
                  <c:v>2747.08</c:v>
                </c:pt>
                <c:pt idx="222">
                  <c:v>2703.52</c:v>
                </c:pt>
                <c:pt idx="223">
                  <c:v>2699.18</c:v>
                </c:pt>
                <c:pt idx="224">
                  <c:v>2676.76</c:v>
                </c:pt>
                <c:pt idx="225">
                  <c:v>2648.8</c:v>
                </c:pt>
                <c:pt idx="226">
                  <c:v>2719.53</c:v>
                </c:pt>
                <c:pt idx="227">
                  <c:v>2706.79</c:v>
                </c:pt>
                <c:pt idx="228">
                  <c:v>2743.8</c:v>
                </c:pt>
                <c:pt idx="229">
                  <c:v>2744.52</c:v>
                </c:pt>
                <c:pt idx="230">
                  <c:v>2744.09</c:v>
                </c:pt>
                <c:pt idx="231">
                  <c:v>2729.68</c:v>
                </c:pt>
                <c:pt idx="232">
                  <c:v>2676.54</c:v>
                </c:pt>
                <c:pt idx="233">
                  <c:v>2704.48</c:v>
                </c:pt>
                <c:pt idx="234">
                  <c:v>2747.71</c:v>
                </c:pt>
                <c:pt idx="235">
                  <c:v>2771.93</c:v>
                </c:pt>
                <c:pt idx="236">
                  <c:v>2768.85</c:v>
                </c:pt>
                <c:pt idx="237">
                  <c:v>2746.47</c:v>
                </c:pt>
                <c:pt idx="238">
                  <c:v>2745.06</c:v>
                </c:pt>
                <c:pt idx="239">
                  <c:v>2750.26</c:v>
                </c:pt>
                <c:pt idx="240">
                  <c:v>2707.82</c:v>
                </c:pt>
                <c:pt idx="241">
                  <c:v>2663.34</c:v>
                </c:pt>
                <c:pt idx="242">
                  <c:v>2614.4899999999998</c:v>
                </c:pt>
                <c:pt idx="243">
                  <c:v>2709.24</c:v>
                </c:pt>
                <c:pt idx="244">
                  <c:v>2720.39</c:v>
                </c:pt>
              </c:numCache>
            </c:numRef>
          </c:val>
          <c:smooth val="0"/>
        </c:ser>
        <c:dLbls>
          <c:showLegendKey val="0"/>
          <c:showVal val="0"/>
          <c:showCatName val="0"/>
          <c:showSerName val="0"/>
          <c:showPercent val="0"/>
          <c:showBubbleSize val="0"/>
        </c:dLbls>
        <c:marker val="1"/>
        <c:smooth val="0"/>
        <c:axId val="153241088"/>
        <c:axId val="153242624"/>
      </c:lineChart>
      <c:dateAx>
        <c:axId val="153241088"/>
        <c:scaling>
          <c:orientation val="minMax"/>
        </c:scaling>
        <c:delete val="0"/>
        <c:axPos val="b"/>
        <c:numFmt formatCode="m/d/yyyy" sourceLinked="1"/>
        <c:majorTickMark val="out"/>
        <c:minorTickMark val="none"/>
        <c:tickLblPos val="nextTo"/>
        <c:txPr>
          <a:bodyPr/>
          <a:lstStyle/>
          <a:p>
            <a:pPr>
              <a:defRPr sz="800"/>
            </a:pPr>
            <a:endParaRPr lang="ko-KR"/>
          </a:p>
        </c:txPr>
        <c:crossAx val="153242624"/>
        <c:crosses val="autoZero"/>
        <c:auto val="1"/>
        <c:lblOffset val="100"/>
        <c:baseTimeUnit val="days"/>
        <c:majorUnit val="2"/>
        <c:majorTimeUnit val="months"/>
        <c:minorUnit val="3"/>
        <c:minorTimeUnit val="months"/>
      </c:dateAx>
      <c:valAx>
        <c:axId val="153242624"/>
        <c:scaling>
          <c:orientation val="minMax"/>
        </c:scaling>
        <c:delete val="0"/>
        <c:axPos val="l"/>
        <c:numFmt formatCode="General" sourceLinked="1"/>
        <c:majorTickMark val="out"/>
        <c:minorTickMark val="none"/>
        <c:tickLblPos val="nextTo"/>
        <c:txPr>
          <a:bodyPr/>
          <a:lstStyle/>
          <a:p>
            <a:pPr>
              <a:defRPr sz="800"/>
            </a:pPr>
            <a:endParaRPr lang="ko-KR"/>
          </a:p>
        </c:txPr>
        <c:crossAx val="153241088"/>
        <c:crosses val="autoZero"/>
        <c:crossBetween val="between"/>
      </c:valAx>
    </c:plotArea>
    <c:plotVisOnly val="0"/>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'Daily Report'!$BG$661:$BH$661</c:f>
              <c:strCache>
                <c:ptCount val="1"/>
                <c:pt idx="0">
                  <c:v>416862 3573033</c:v>
                </c:pt>
              </c:strCache>
            </c:strRef>
          </c:tx>
          <c:marker>
            <c:symbol val="none"/>
          </c:marker>
          <c:cat>
            <c:multiLvlStrRef>
              <c:f>'Daily Report'!$BI$4:$BI$660</c:f>
            </c:multiLvlStrRef>
          </c:cat>
          <c:val>
            <c:numRef>
              <c:f>'Daily Report'!$BI$661</c:f>
            </c:numRef>
          </c:val>
          <c:smooth val="0"/>
        </c:ser>
        <c:dLbls>
          <c:showLegendKey val="0"/>
          <c:showVal val="0"/>
          <c:showCatName val="0"/>
          <c:showSerName val="0"/>
          <c:showPercent val="0"/>
          <c:showBubbleSize val="0"/>
        </c:dLbls>
        <c:marker val="1"/>
        <c:smooth val="0"/>
        <c:axId val="153266816"/>
        <c:axId val="153272704"/>
      </c:lineChart>
      <c:catAx>
        <c:axId val="153266816"/>
        <c:scaling>
          <c:orientation val="minMax"/>
        </c:scaling>
        <c:delete val="0"/>
        <c:axPos val="b"/>
        <c:majorTickMark val="out"/>
        <c:minorTickMark val="none"/>
        <c:tickLblPos val="nextTo"/>
        <c:crossAx val="153272704"/>
        <c:crosses val="autoZero"/>
        <c:auto val="1"/>
        <c:lblAlgn val="ctr"/>
        <c:lblOffset val="100"/>
        <c:noMultiLvlLbl val="0"/>
      </c:catAx>
      <c:valAx>
        <c:axId val="153272704"/>
        <c:scaling>
          <c:orientation val="minMax"/>
        </c:scaling>
        <c:delete val="0"/>
        <c:axPos val="l"/>
        <c:majorGridlines/>
        <c:numFmt formatCode="General" sourceLinked="1"/>
        <c:majorTickMark val="out"/>
        <c:minorTickMark val="none"/>
        <c:tickLblPos val="nextTo"/>
        <c:crossAx val="15326681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'Daily Report'!$BI$4:$BI$660</c:f>
              <c:strCache>
                <c:ptCount val="1"/>
                <c:pt idx="0">
                  <c:v>일자 2596915 2611234 2786094 2852765 3017624 2831398 2671936 3089388 2880092 2653493 2262704 2288128 2670441 2860099 3213692 3380361 3946469 4715171 3772774 3299505 3022219 2019221 1869011 1835102 1748479 2033124 2331415 2132211 2096440 2072047 1682515 1474</c:v>
                </c:pt>
              </c:strCache>
            </c:strRef>
          </c:tx>
          <c:marker>
            <c:symbol val="none"/>
          </c:marker>
          <c:cat>
            <c:multiLvlStrRef>
              <c:f>'Daily Report'!$BF$661:$BH$661</c:f>
            </c:multiLvlStrRef>
          </c:cat>
          <c:val>
            <c:numRef>
              <c:f>'Daily Report'!$BI$661</c:f>
            </c:numRef>
          </c:val>
          <c:smooth val="0"/>
        </c:ser>
        <c:dLbls>
          <c:showLegendKey val="0"/>
          <c:showVal val="0"/>
          <c:showCatName val="0"/>
          <c:showSerName val="0"/>
          <c:showPercent val="0"/>
          <c:showBubbleSize val="0"/>
        </c:dLbls>
        <c:marker val="1"/>
        <c:smooth val="0"/>
        <c:axId val="154419584"/>
        <c:axId val="154421120"/>
      </c:lineChart>
      <c:catAx>
        <c:axId val="154419584"/>
        <c:scaling>
          <c:orientation val="minMax"/>
        </c:scaling>
        <c:delete val="0"/>
        <c:axPos val="b"/>
        <c:majorTickMark val="out"/>
        <c:minorTickMark val="none"/>
        <c:tickLblPos val="nextTo"/>
        <c:crossAx val="154421120"/>
        <c:crosses val="autoZero"/>
        <c:auto val="1"/>
        <c:lblAlgn val="ctr"/>
        <c:lblOffset val="100"/>
        <c:noMultiLvlLbl val="0"/>
      </c:catAx>
      <c:valAx>
        <c:axId val="154421120"/>
        <c:scaling>
          <c:orientation val="minMax"/>
        </c:scaling>
        <c:delete val="0"/>
        <c:axPos val="l"/>
        <c:majorGridlines/>
        <c:numFmt formatCode="General" sourceLinked="1"/>
        <c:majorTickMark val="out"/>
        <c:minorTickMark val="none"/>
        <c:tickLblPos val="nextTo"/>
        <c:crossAx val="15441958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ko-KR" altLang="en-US" sz="1100"/>
              <a:t>투자자 순매수</a:t>
            </a:r>
          </a:p>
        </c:rich>
      </c:tx>
      <c:layout/>
      <c:overlay val="1"/>
    </c:title>
    <c:autoTitleDeleted val="0"/>
    <c:plotArea>
      <c:layout>
        <c:manualLayout>
          <c:layoutTarget val="inner"/>
          <c:xMode val="edge"/>
          <c:yMode val="edge"/>
          <c:x val="0.11329011683525889"/>
          <c:y val="6.6675978189976129E-2"/>
          <c:w val="0.8512580101332734"/>
          <c:h val="0.59408654193455179"/>
        </c:manualLayout>
      </c:layout>
      <c:lineChart>
        <c:grouping val="standard"/>
        <c:varyColors val="0"/>
        <c:ser>
          <c:idx val="0"/>
          <c:order val="0"/>
          <c:tx>
            <c:strRef>
              <c:f>'Daily Report'!$AU$4</c:f>
              <c:strCache>
                <c:ptCount val="1"/>
                <c:pt idx="0">
                  <c:v>외국인</c:v>
                </c:pt>
              </c:strCache>
            </c:strRef>
          </c:tx>
          <c:spPr>
            <a:ln w="19050">
              <a:solidFill>
                <a:srgbClr val="0066CC"/>
              </a:solidFill>
            </a:ln>
          </c:spPr>
          <c:marker>
            <c:symbol val="none"/>
          </c:marker>
          <c:cat>
            <c:numRef>
              <c:f>'Daily Report'!$AK$5:$AK$64</c:f>
              <c:numCache>
                <c:formatCode>m/d/yyyy</c:formatCode>
                <c:ptCount val="60"/>
                <c:pt idx="0">
                  <c:v>44951</c:v>
                </c:pt>
                <c:pt idx="1">
                  <c:v>44946</c:v>
                </c:pt>
                <c:pt idx="2">
                  <c:v>44945</c:v>
                </c:pt>
                <c:pt idx="3">
                  <c:v>44944</c:v>
                </c:pt>
                <c:pt idx="4">
                  <c:v>44943</c:v>
                </c:pt>
                <c:pt idx="5">
                  <c:v>44942</c:v>
                </c:pt>
                <c:pt idx="6">
                  <c:v>44939</c:v>
                </c:pt>
                <c:pt idx="7">
                  <c:v>44938</c:v>
                </c:pt>
                <c:pt idx="8">
                  <c:v>44937</c:v>
                </c:pt>
                <c:pt idx="9">
                  <c:v>44936</c:v>
                </c:pt>
                <c:pt idx="10">
                  <c:v>44935</c:v>
                </c:pt>
                <c:pt idx="11">
                  <c:v>44932</c:v>
                </c:pt>
                <c:pt idx="12">
                  <c:v>44931</c:v>
                </c:pt>
                <c:pt idx="13">
                  <c:v>44930</c:v>
                </c:pt>
                <c:pt idx="14">
                  <c:v>44929</c:v>
                </c:pt>
                <c:pt idx="15">
                  <c:v>44928</c:v>
                </c:pt>
                <c:pt idx="16">
                  <c:v>44924</c:v>
                </c:pt>
                <c:pt idx="17">
                  <c:v>44923</c:v>
                </c:pt>
                <c:pt idx="18">
                  <c:v>44922</c:v>
                </c:pt>
                <c:pt idx="19">
                  <c:v>44921</c:v>
                </c:pt>
                <c:pt idx="20">
                  <c:v>44918</c:v>
                </c:pt>
                <c:pt idx="21">
                  <c:v>44917</c:v>
                </c:pt>
                <c:pt idx="22">
                  <c:v>44916</c:v>
                </c:pt>
                <c:pt idx="23">
                  <c:v>44915</c:v>
                </c:pt>
                <c:pt idx="24">
                  <c:v>44914</c:v>
                </c:pt>
                <c:pt idx="25">
                  <c:v>44911</c:v>
                </c:pt>
                <c:pt idx="26">
                  <c:v>44910</c:v>
                </c:pt>
                <c:pt idx="27">
                  <c:v>44909</c:v>
                </c:pt>
                <c:pt idx="28">
                  <c:v>44908</c:v>
                </c:pt>
                <c:pt idx="29">
                  <c:v>44907</c:v>
                </c:pt>
                <c:pt idx="30">
                  <c:v>44904</c:v>
                </c:pt>
                <c:pt idx="31">
                  <c:v>44903</c:v>
                </c:pt>
                <c:pt idx="32">
                  <c:v>44902</c:v>
                </c:pt>
                <c:pt idx="33">
                  <c:v>44901</c:v>
                </c:pt>
                <c:pt idx="34">
                  <c:v>44900</c:v>
                </c:pt>
                <c:pt idx="35">
                  <c:v>44897</c:v>
                </c:pt>
                <c:pt idx="36">
                  <c:v>44896</c:v>
                </c:pt>
                <c:pt idx="37">
                  <c:v>44895</c:v>
                </c:pt>
                <c:pt idx="38">
                  <c:v>44894</c:v>
                </c:pt>
                <c:pt idx="39">
                  <c:v>44893</c:v>
                </c:pt>
                <c:pt idx="40">
                  <c:v>44890</c:v>
                </c:pt>
                <c:pt idx="41">
                  <c:v>44889</c:v>
                </c:pt>
                <c:pt idx="42">
                  <c:v>44888</c:v>
                </c:pt>
                <c:pt idx="43">
                  <c:v>44887</c:v>
                </c:pt>
                <c:pt idx="44">
                  <c:v>44886</c:v>
                </c:pt>
                <c:pt idx="45">
                  <c:v>44883</c:v>
                </c:pt>
                <c:pt idx="46">
                  <c:v>44882</c:v>
                </c:pt>
                <c:pt idx="47">
                  <c:v>44881</c:v>
                </c:pt>
                <c:pt idx="48">
                  <c:v>44880</c:v>
                </c:pt>
                <c:pt idx="49">
                  <c:v>44879</c:v>
                </c:pt>
                <c:pt idx="50">
                  <c:v>44876</c:v>
                </c:pt>
                <c:pt idx="51">
                  <c:v>44875</c:v>
                </c:pt>
                <c:pt idx="52">
                  <c:v>44874</c:v>
                </c:pt>
                <c:pt idx="53">
                  <c:v>44873</c:v>
                </c:pt>
                <c:pt idx="54">
                  <c:v>44872</c:v>
                </c:pt>
                <c:pt idx="55">
                  <c:v>44869</c:v>
                </c:pt>
                <c:pt idx="56">
                  <c:v>44868</c:v>
                </c:pt>
                <c:pt idx="57">
                  <c:v>44867</c:v>
                </c:pt>
                <c:pt idx="58">
                  <c:v>44866</c:v>
                </c:pt>
                <c:pt idx="59">
                  <c:v>44865</c:v>
                </c:pt>
              </c:numCache>
            </c:numRef>
          </c:cat>
          <c:val>
            <c:numRef>
              <c:f>'Daily Report'!$AU$5:$AU$64</c:f>
              <c:numCache>
                <c:formatCode>General</c:formatCode>
                <c:ptCount val="60"/>
                <c:pt idx="1">
                  <c:v>230834</c:v>
                </c:pt>
                <c:pt idx="2">
                  <c:v>570305</c:v>
                </c:pt>
                <c:pt idx="3">
                  <c:v>72844</c:v>
                </c:pt>
                <c:pt idx="4">
                  <c:v>177097</c:v>
                </c:pt>
                <c:pt idx="5">
                  <c:v>287875</c:v>
                </c:pt>
                <c:pt idx="6">
                  <c:v>568167</c:v>
                </c:pt>
                <c:pt idx="7">
                  <c:v>484324</c:v>
                </c:pt>
                <c:pt idx="8">
                  <c:v>33623</c:v>
                </c:pt>
                <c:pt idx="9">
                  <c:v>-2229</c:v>
                </c:pt>
                <c:pt idx="10">
                  <c:v>651748</c:v>
                </c:pt>
                <c:pt idx="11">
                  <c:v>314060</c:v>
                </c:pt>
                <c:pt idx="12">
                  <c:v>503160</c:v>
                </c:pt>
                <c:pt idx="13">
                  <c:v>260666</c:v>
                </c:pt>
                <c:pt idx="14">
                  <c:v>91761</c:v>
                </c:pt>
                <c:pt idx="15">
                  <c:v>6601</c:v>
                </c:pt>
                <c:pt idx="16">
                  <c:v>-140280</c:v>
                </c:pt>
                <c:pt idx="17">
                  <c:v>-303408</c:v>
                </c:pt>
                <c:pt idx="18">
                  <c:v>48276</c:v>
                </c:pt>
                <c:pt idx="19">
                  <c:v>-40576</c:v>
                </c:pt>
                <c:pt idx="20">
                  <c:v>-69635</c:v>
                </c:pt>
                <c:pt idx="21">
                  <c:v>-5702</c:v>
                </c:pt>
                <c:pt idx="22">
                  <c:v>-103302</c:v>
                </c:pt>
                <c:pt idx="23">
                  <c:v>-104468</c:v>
                </c:pt>
                <c:pt idx="24">
                  <c:v>-24134</c:v>
                </c:pt>
                <c:pt idx="25">
                  <c:v>292220</c:v>
                </c:pt>
                <c:pt idx="26">
                  <c:v>-56186</c:v>
                </c:pt>
                <c:pt idx="27">
                  <c:v>231782</c:v>
                </c:pt>
                <c:pt idx="28">
                  <c:v>-111780</c:v>
                </c:pt>
                <c:pt idx="29">
                  <c:v>17103</c:v>
                </c:pt>
                <c:pt idx="30">
                  <c:v>99500</c:v>
                </c:pt>
                <c:pt idx="31">
                  <c:v>-476145</c:v>
                </c:pt>
                <c:pt idx="32">
                  <c:v>-196153</c:v>
                </c:pt>
                <c:pt idx="33">
                  <c:v>-96803</c:v>
                </c:pt>
                <c:pt idx="34">
                  <c:v>-293118</c:v>
                </c:pt>
                <c:pt idx="35">
                  <c:v>-403398</c:v>
                </c:pt>
                <c:pt idx="36">
                  <c:v>32557</c:v>
                </c:pt>
                <c:pt idx="37">
                  <c:v>1128604</c:v>
                </c:pt>
                <c:pt idx="38">
                  <c:v>60107</c:v>
                </c:pt>
                <c:pt idx="39">
                  <c:v>-122562</c:v>
                </c:pt>
                <c:pt idx="40">
                  <c:v>313052</c:v>
                </c:pt>
                <c:pt idx="41">
                  <c:v>126297</c:v>
                </c:pt>
                <c:pt idx="42">
                  <c:v>90288</c:v>
                </c:pt>
                <c:pt idx="43">
                  <c:v>15747</c:v>
                </c:pt>
                <c:pt idx="44">
                  <c:v>-164942</c:v>
                </c:pt>
                <c:pt idx="45">
                  <c:v>199529</c:v>
                </c:pt>
                <c:pt idx="46">
                  <c:v>-382029</c:v>
                </c:pt>
                <c:pt idx="47">
                  <c:v>88400</c:v>
                </c:pt>
                <c:pt idx="48">
                  <c:v>-235609</c:v>
                </c:pt>
                <c:pt idx="49">
                  <c:v>143156</c:v>
                </c:pt>
                <c:pt idx="50">
                  <c:v>700349</c:v>
                </c:pt>
                <c:pt idx="51">
                  <c:v>-108199</c:v>
                </c:pt>
                <c:pt idx="52">
                  <c:v>414668</c:v>
                </c:pt>
                <c:pt idx="53">
                  <c:v>278067</c:v>
                </c:pt>
                <c:pt idx="54">
                  <c:v>111968</c:v>
                </c:pt>
                <c:pt idx="55">
                  <c:v>42045</c:v>
                </c:pt>
                <c:pt idx="56">
                  <c:v>173497</c:v>
                </c:pt>
                <c:pt idx="57">
                  <c:v>524088</c:v>
                </c:pt>
                <c:pt idx="58">
                  <c:v>492385</c:v>
                </c:pt>
                <c:pt idx="59">
                  <c:v>230291</c:v>
                </c:pt>
              </c:numCache>
            </c:numRef>
          </c:val>
          <c:smooth val="0"/>
        </c:ser>
        <c:ser>
          <c:idx val="1"/>
          <c:order val="1"/>
          <c:tx>
            <c:strRef>
              <c:f>'Daily Report'!$AV$4</c:f>
              <c:strCache>
                <c:ptCount val="1"/>
                <c:pt idx="0">
                  <c:v>증권</c:v>
                </c:pt>
              </c:strCache>
            </c:strRef>
          </c:tx>
          <c:spPr>
            <a:ln w="19050">
              <a:solidFill>
                <a:srgbClr val="339966"/>
              </a:solidFill>
            </a:ln>
          </c:spPr>
          <c:marker>
            <c:symbol val="none"/>
          </c:marker>
          <c:cat>
            <c:numRef>
              <c:f>'Daily Report'!$AK$5:$AK$64</c:f>
              <c:numCache>
                <c:formatCode>m/d/yyyy</c:formatCode>
                <c:ptCount val="60"/>
                <c:pt idx="0">
                  <c:v>44951</c:v>
                </c:pt>
                <c:pt idx="1">
                  <c:v>44946</c:v>
                </c:pt>
                <c:pt idx="2">
                  <c:v>44945</c:v>
                </c:pt>
                <c:pt idx="3">
                  <c:v>44944</c:v>
                </c:pt>
                <c:pt idx="4">
                  <c:v>44943</c:v>
                </c:pt>
                <c:pt idx="5">
                  <c:v>44942</c:v>
                </c:pt>
                <c:pt idx="6">
                  <c:v>44939</c:v>
                </c:pt>
                <c:pt idx="7">
                  <c:v>44938</c:v>
                </c:pt>
                <c:pt idx="8">
                  <c:v>44937</c:v>
                </c:pt>
                <c:pt idx="9">
                  <c:v>44936</c:v>
                </c:pt>
                <c:pt idx="10">
                  <c:v>44935</c:v>
                </c:pt>
                <c:pt idx="11">
                  <c:v>44932</c:v>
                </c:pt>
                <c:pt idx="12">
                  <c:v>44931</c:v>
                </c:pt>
                <c:pt idx="13">
                  <c:v>44930</c:v>
                </c:pt>
                <c:pt idx="14">
                  <c:v>44929</c:v>
                </c:pt>
                <c:pt idx="15">
                  <c:v>44928</c:v>
                </c:pt>
                <c:pt idx="16">
                  <c:v>44924</c:v>
                </c:pt>
                <c:pt idx="17">
                  <c:v>44923</c:v>
                </c:pt>
                <c:pt idx="18">
                  <c:v>44922</c:v>
                </c:pt>
                <c:pt idx="19">
                  <c:v>44921</c:v>
                </c:pt>
                <c:pt idx="20">
                  <c:v>44918</c:v>
                </c:pt>
                <c:pt idx="21">
                  <c:v>44917</c:v>
                </c:pt>
                <c:pt idx="22">
                  <c:v>44916</c:v>
                </c:pt>
                <c:pt idx="23">
                  <c:v>44915</c:v>
                </c:pt>
                <c:pt idx="24">
                  <c:v>44914</c:v>
                </c:pt>
                <c:pt idx="25">
                  <c:v>44911</c:v>
                </c:pt>
                <c:pt idx="26">
                  <c:v>44910</c:v>
                </c:pt>
                <c:pt idx="27">
                  <c:v>44909</c:v>
                </c:pt>
                <c:pt idx="28">
                  <c:v>44908</c:v>
                </c:pt>
                <c:pt idx="29">
                  <c:v>44907</c:v>
                </c:pt>
                <c:pt idx="30">
                  <c:v>44904</c:v>
                </c:pt>
                <c:pt idx="31">
                  <c:v>44903</c:v>
                </c:pt>
                <c:pt idx="32">
                  <c:v>44902</c:v>
                </c:pt>
                <c:pt idx="33">
                  <c:v>44901</c:v>
                </c:pt>
                <c:pt idx="34">
                  <c:v>44900</c:v>
                </c:pt>
                <c:pt idx="35">
                  <c:v>44897</c:v>
                </c:pt>
                <c:pt idx="36">
                  <c:v>44896</c:v>
                </c:pt>
                <c:pt idx="37">
                  <c:v>44895</c:v>
                </c:pt>
                <c:pt idx="38">
                  <c:v>44894</c:v>
                </c:pt>
                <c:pt idx="39">
                  <c:v>44893</c:v>
                </c:pt>
                <c:pt idx="40">
                  <c:v>44890</c:v>
                </c:pt>
                <c:pt idx="41">
                  <c:v>44889</c:v>
                </c:pt>
                <c:pt idx="42">
                  <c:v>44888</c:v>
                </c:pt>
                <c:pt idx="43">
                  <c:v>44887</c:v>
                </c:pt>
                <c:pt idx="44">
                  <c:v>44886</c:v>
                </c:pt>
                <c:pt idx="45">
                  <c:v>44883</c:v>
                </c:pt>
                <c:pt idx="46">
                  <c:v>44882</c:v>
                </c:pt>
                <c:pt idx="47">
                  <c:v>44881</c:v>
                </c:pt>
                <c:pt idx="48">
                  <c:v>44880</c:v>
                </c:pt>
                <c:pt idx="49">
                  <c:v>44879</c:v>
                </c:pt>
                <c:pt idx="50">
                  <c:v>44876</c:v>
                </c:pt>
                <c:pt idx="51">
                  <c:v>44875</c:v>
                </c:pt>
                <c:pt idx="52">
                  <c:v>44874</c:v>
                </c:pt>
                <c:pt idx="53">
                  <c:v>44873</c:v>
                </c:pt>
                <c:pt idx="54">
                  <c:v>44872</c:v>
                </c:pt>
                <c:pt idx="55">
                  <c:v>44869</c:v>
                </c:pt>
                <c:pt idx="56">
                  <c:v>44868</c:v>
                </c:pt>
                <c:pt idx="57">
                  <c:v>44867</c:v>
                </c:pt>
                <c:pt idx="58">
                  <c:v>44866</c:v>
                </c:pt>
                <c:pt idx="59">
                  <c:v>44865</c:v>
                </c:pt>
              </c:numCache>
            </c:numRef>
          </c:cat>
          <c:val>
            <c:numRef>
              <c:f>'Daily Report'!$AV$5:$AV$64</c:f>
              <c:numCache>
                <c:formatCode>General</c:formatCode>
                <c:ptCount val="60"/>
                <c:pt idx="1">
                  <c:v>-14319</c:v>
                </c:pt>
                <c:pt idx="2">
                  <c:v>-174860</c:v>
                </c:pt>
                <c:pt idx="3">
                  <c:v>-66671</c:v>
                </c:pt>
                <c:pt idx="4">
                  <c:v>-164859</c:v>
                </c:pt>
                <c:pt idx="5">
                  <c:v>186226</c:v>
                </c:pt>
                <c:pt idx="6">
                  <c:v>159462</c:v>
                </c:pt>
                <c:pt idx="7">
                  <c:v>-417452</c:v>
                </c:pt>
                <c:pt idx="8">
                  <c:v>209296</c:v>
                </c:pt>
                <c:pt idx="9">
                  <c:v>226599</c:v>
                </c:pt>
                <c:pt idx="10">
                  <c:v>390789</c:v>
                </c:pt>
                <c:pt idx="11">
                  <c:v>-25424</c:v>
                </c:pt>
                <c:pt idx="12">
                  <c:v>-382313</c:v>
                </c:pt>
                <c:pt idx="13">
                  <c:v>-189658</c:v>
                </c:pt>
                <c:pt idx="14">
                  <c:v>-353593</c:v>
                </c:pt>
                <c:pt idx="15">
                  <c:v>-166669</c:v>
                </c:pt>
                <c:pt idx="16">
                  <c:v>-566108</c:v>
                </c:pt>
                <c:pt idx="17">
                  <c:v>-768702</c:v>
                </c:pt>
                <c:pt idx="18">
                  <c:v>942397</c:v>
                </c:pt>
                <c:pt idx="19">
                  <c:v>473269</c:v>
                </c:pt>
                <c:pt idx="20">
                  <c:v>277286</c:v>
                </c:pt>
                <c:pt idx="21">
                  <c:v>1002998</c:v>
                </c:pt>
                <c:pt idx="22">
                  <c:v>150210</c:v>
                </c:pt>
                <c:pt idx="23">
                  <c:v>33909</c:v>
                </c:pt>
                <c:pt idx="24">
                  <c:v>86623</c:v>
                </c:pt>
                <c:pt idx="25">
                  <c:v>-284645</c:v>
                </c:pt>
                <c:pt idx="26">
                  <c:v>-298291</c:v>
                </c:pt>
                <c:pt idx="27">
                  <c:v>199204</c:v>
                </c:pt>
                <c:pt idx="28">
                  <c:v>35771</c:v>
                </c:pt>
                <c:pt idx="29">
                  <c:v>24393</c:v>
                </c:pt>
                <c:pt idx="30">
                  <c:v>389532</c:v>
                </c:pt>
                <c:pt idx="31">
                  <c:v>207809</c:v>
                </c:pt>
                <c:pt idx="32">
                  <c:v>130417</c:v>
                </c:pt>
                <c:pt idx="33">
                  <c:v>-111572</c:v>
                </c:pt>
                <c:pt idx="34">
                  <c:v>113227</c:v>
                </c:pt>
                <c:pt idx="35">
                  <c:v>-332597</c:v>
                </c:pt>
                <c:pt idx="36">
                  <c:v>252225</c:v>
                </c:pt>
                <c:pt idx="37">
                  <c:v>-586221</c:v>
                </c:pt>
                <c:pt idx="38">
                  <c:v>186132</c:v>
                </c:pt>
                <c:pt idx="39">
                  <c:v>-118995</c:v>
                </c:pt>
                <c:pt idx="40">
                  <c:v>-3866</c:v>
                </c:pt>
                <c:pt idx="41">
                  <c:v>-11525</c:v>
                </c:pt>
                <c:pt idx="42">
                  <c:v>81827</c:v>
                </c:pt>
                <c:pt idx="43">
                  <c:v>102793</c:v>
                </c:pt>
                <c:pt idx="44">
                  <c:v>280078</c:v>
                </c:pt>
                <c:pt idx="45">
                  <c:v>-6658</c:v>
                </c:pt>
                <c:pt idx="46">
                  <c:v>22703</c:v>
                </c:pt>
                <c:pt idx="47">
                  <c:v>69714</c:v>
                </c:pt>
                <c:pt idx="48">
                  <c:v>225899</c:v>
                </c:pt>
                <c:pt idx="49">
                  <c:v>16794</c:v>
                </c:pt>
                <c:pt idx="50">
                  <c:v>842837</c:v>
                </c:pt>
                <c:pt idx="51">
                  <c:v>4442</c:v>
                </c:pt>
                <c:pt idx="52">
                  <c:v>398511</c:v>
                </c:pt>
                <c:pt idx="53">
                  <c:v>490165</c:v>
                </c:pt>
                <c:pt idx="54">
                  <c:v>253985</c:v>
                </c:pt>
                <c:pt idx="55">
                  <c:v>89163</c:v>
                </c:pt>
                <c:pt idx="56">
                  <c:v>-685574</c:v>
                </c:pt>
                <c:pt idx="57">
                  <c:v>-354068</c:v>
                </c:pt>
                <c:pt idx="58">
                  <c:v>135394</c:v>
                </c:pt>
                <c:pt idx="59">
                  <c:v>-10524</c:v>
                </c:pt>
              </c:numCache>
            </c:numRef>
          </c:val>
          <c:smooth val="0"/>
        </c:ser>
        <c:ser>
          <c:idx val="2"/>
          <c:order val="2"/>
          <c:tx>
            <c:strRef>
              <c:f>'Daily Report'!$AW$4</c:f>
              <c:strCache>
                <c:ptCount val="1"/>
                <c:pt idx="0">
                  <c:v>은행</c:v>
                </c:pt>
              </c:strCache>
            </c:strRef>
          </c:tx>
          <c:spPr>
            <a:ln w="19050">
              <a:solidFill>
                <a:srgbClr val="FF6600"/>
              </a:solidFill>
            </a:ln>
          </c:spPr>
          <c:marker>
            <c:symbol val="none"/>
          </c:marker>
          <c:cat>
            <c:numRef>
              <c:f>'Daily Report'!$AK$5:$AK$64</c:f>
              <c:numCache>
                <c:formatCode>m/d/yyyy</c:formatCode>
                <c:ptCount val="60"/>
                <c:pt idx="0">
                  <c:v>44951</c:v>
                </c:pt>
                <c:pt idx="1">
                  <c:v>44946</c:v>
                </c:pt>
                <c:pt idx="2">
                  <c:v>44945</c:v>
                </c:pt>
                <c:pt idx="3">
                  <c:v>44944</c:v>
                </c:pt>
                <c:pt idx="4">
                  <c:v>44943</c:v>
                </c:pt>
                <c:pt idx="5">
                  <c:v>44942</c:v>
                </c:pt>
                <c:pt idx="6">
                  <c:v>44939</c:v>
                </c:pt>
                <c:pt idx="7">
                  <c:v>44938</c:v>
                </c:pt>
                <c:pt idx="8">
                  <c:v>44937</c:v>
                </c:pt>
                <c:pt idx="9">
                  <c:v>44936</c:v>
                </c:pt>
                <c:pt idx="10">
                  <c:v>44935</c:v>
                </c:pt>
                <c:pt idx="11">
                  <c:v>44932</c:v>
                </c:pt>
                <c:pt idx="12">
                  <c:v>44931</c:v>
                </c:pt>
                <c:pt idx="13">
                  <c:v>44930</c:v>
                </c:pt>
                <c:pt idx="14">
                  <c:v>44929</c:v>
                </c:pt>
                <c:pt idx="15">
                  <c:v>44928</c:v>
                </c:pt>
                <c:pt idx="16">
                  <c:v>44924</c:v>
                </c:pt>
                <c:pt idx="17">
                  <c:v>44923</c:v>
                </c:pt>
                <c:pt idx="18">
                  <c:v>44922</c:v>
                </c:pt>
                <c:pt idx="19">
                  <c:v>44921</c:v>
                </c:pt>
                <c:pt idx="20">
                  <c:v>44918</c:v>
                </c:pt>
                <c:pt idx="21">
                  <c:v>44917</c:v>
                </c:pt>
                <c:pt idx="22">
                  <c:v>44916</c:v>
                </c:pt>
                <c:pt idx="23">
                  <c:v>44915</c:v>
                </c:pt>
                <c:pt idx="24">
                  <c:v>44914</c:v>
                </c:pt>
                <c:pt idx="25">
                  <c:v>44911</c:v>
                </c:pt>
                <c:pt idx="26">
                  <c:v>44910</c:v>
                </c:pt>
                <c:pt idx="27">
                  <c:v>44909</c:v>
                </c:pt>
                <c:pt idx="28">
                  <c:v>44908</c:v>
                </c:pt>
                <c:pt idx="29">
                  <c:v>44907</c:v>
                </c:pt>
                <c:pt idx="30">
                  <c:v>44904</c:v>
                </c:pt>
                <c:pt idx="31">
                  <c:v>44903</c:v>
                </c:pt>
                <c:pt idx="32">
                  <c:v>44902</c:v>
                </c:pt>
                <c:pt idx="33">
                  <c:v>44901</c:v>
                </c:pt>
                <c:pt idx="34">
                  <c:v>44900</c:v>
                </c:pt>
                <c:pt idx="35">
                  <c:v>44897</c:v>
                </c:pt>
                <c:pt idx="36">
                  <c:v>44896</c:v>
                </c:pt>
                <c:pt idx="37">
                  <c:v>44895</c:v>
                </c:pt>
                <c:pt idx="38">
                  <c:v>44894</c:v>
                </c:pt>
                <c:pt idx="39">
                  <c:v>44893</c:v>
                </c:pt>
                <c:pt idx="40">
                  <c:v>44890</c:v>
                </c:pt>
                <c:pt idx="41">
                  <c:v>44889</c:v>
                </c:pt>
                <c:pt idx="42">
                  <c:v>44888</c:v>
                </c:pt>
                <c:pt idx="43">
                  <c:v>44887</c:v>
                </c:pt>
                <c:pt idx="44">
                  <c:v>44886</c:v>
                </c:pt>
                <c:pt idx="45">
                  <c:v>44883</c:v>
                </c:pt>
                <c:pt idx="46">
                  <c:v>44882</c:v>
                </c:pt>
                <c:pt idx="47">
                  <c:v>44881</c:v>
                </c:pt>
                <c:pt idx="48">
                  <c:v>44880</c:v>
                </c:pt>
                <c:pt idx="49">
                  <c:v>44879</c:v>
                </c:pt>
                <c:pt idx="50">
                  <c:v>44876</c:v>
                </c:pt>
                <c:pt idx="51">
                  <c:v>44875</c:v>
                </c:pt>
                <c:pt idx="52">
                  <c:v>44874</c:v>
                </c:pt>
                <c:pt idx="53">
                  <c:v>44873</c:v>
                </c:pt>
                <c:pt idx="54">
                  <c:v>44872</c:v>
                </c:pt>
                <c:pt idx="55">
                  <c:v>44869</c:v>
                </c:pt>
                <c:pt idx="56">
                  <c:v>44868</c:v>
                </c:pt>
                <c:pt idx="57">
                  <c:v>44867</c:v>
                </c:pt>
                <c:pt idx="58">
                  <c:v>44866</c:v>
                </c:pt>
                <c:pt idx="59">
                  <c:v>44865</c:v>
                </c:pt>
              </c:numCache>
            </c:numRef>
          </c:cat>
          <c:val>
            <c:numRef>
              <c:f>'Daily Report'!$AW$5:$AW$64</c:f>
              <c:numCache>
                <c:formatCode>General</c:formatCode>
                <c:ptCount val="60"/>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smooth val="0"/>
        </c:ser>
        <c:ser>
          <c:idx val="3"/>
          <c:order val="3"/>
          <c:tx>
            <c:strRef>
              <c:f>'Daily Report'!$AX$4</c:f>
              <c:strCache>
                <c:ptCount val="1"/>
                <c:pt idx="0">
                  <c:v>보험</c:v>
                </c:pt>
              </c:strCache>
            </c:strRef>
          </c:tx>
          <c:spPr>
            <a:ln w="22225">
              <a:solidFill>
                <a:srgbClr val="FF6600"/>
              </a:solidFill>
            </a:ln>
          </c:spPr>
          <c:marker>
            <c:symbol val="none"/>
          </c:marker>
          <c:cat>
            <c:numRef>
              <c:f>'Daily Report'!$AK$5:$AK$64</c:f>
              <c:numCache>
                <c:formatCode>m/d/yyyy</c:formatCode>
                <c:ptCount val="60"/>
                <c:pt idx="0">
                  <c:v>44951</c:v>
                </c:pt>
                <c:pt idx="1">
                  <c:v>44946</c:v>
                </c:pt>
                <c:pt idx="2">
                  <c:v>44945</c:v>
                </c:pt>
                <c:pt idx="3">
                  <c:v>44944</c:v>
                </c:pt>
                <c:pt idx="4">
                  <c:v>44943</c:v>
                </c:pt>
                <c:pt idx="5">
                  <c:v>44942</c:v>
                </c:pt>
                <c:pt idx="6">
                  <c:v>44939</c:v>
                </c:pt>
                <c:pt idx="7">
                  <c:v>44938</c:v>
                </c:pt>
                <c:pt idx="8">
                  <c:v>44937</c:v>
                </c:pt>
                <c:pt idx="9">
                  <c:v>44936</c:v>
                </c:pt>
                <c:pt idx="10">
                  <c:v>44935</c:v>
                </c:pt>
                <c:pt idx="11">
                  <c:v>44932</c:v>
                </c:pt>
                <c:pt idx="12">
                  <c:v>44931</c:v>
                </c:pt>
                <c:pt idx="13">
                  <c:v>44930</c:v>
                </c:pt>
                <c:pt idx="14">
                  <c:v>44929</c:v>
                </c:pt>
                <c:pt idx="15">
                  <c:v>44928</c:v>
                </c:pt>
                <c:pt idx="16">
                  <c:v>44924</c:v>
                </c:pt>
                <c:pt idx="17">
                  <c:v>44923</c:v>
                </c:pt>
                <c:pt idx="18">
                  <c:v>44922</c:v>
                </c:pt>
                <c:pt idx="19">
                  <c:v>44921</c:v>
                </c:pt>
                <c:pt idx="20">
                  <c:v>44918</c:v>
                </c:pt>
                <c:pt idx="21">
                  <c:v>44917</c:v>
                </c:pt>
                <c:pt idx="22">
                  <c:v>44916</c:v>
                </c:pt>
                <c:pt idx="23">
                  <c:v>44915</c:v>
                </c:pt>
                <c:pt idx="24">
                  <c:v>44914</c:v>
                </c:pt>
                <c:pt idx="25">
                  <c:v>44911</c:v>
                </c:pt>
                <c:pt idx="26">
                  <c:v>44910</c:v>
                </c:pt>
                <c:pt idx="27">
                  <c:v>44909</c:v>
                </c:pt>
                <c:pt idx="28">
                  <c:v>44908</c:v>
                </c:pt>
                <c:pt idx="29">
                  <c:v>44907</c:v>
                </c:pt>
                <c:pt idx="30">
                  <c:v>44904</c:v>
                </c:pt>
                <c:pt idx="31">
                  <c:v>44903</c:v>
                </c:pt>
                <c:pt idx="32">
                  <c:v>44902</c:v>
                </c:pt>
                <c:pt idx="33">
                  <c:v>44901</c:v>
                </c:pt>
                <c:pt idx="34">
                  <c:v>44900</c:v>
                </c:pt>
                <c:pt idx="35">
                  <c:v>44897</c:v>
                </c:pt>
                <c:pt idx="36">
                  <c:v>44896</c:v>
                </c:pt>
                <c:pt idx="37">
                  <c:v>44895</c:v>
                </c:pt>
                <c:pt idx="38">
                  <c:v>44894</c:v>
                </c:pt>
                <c:pt idx="39">
                  <c:v>44893</c:v>
                </c:pt>
                <c:pt idx="40">
                  <c:v>44890</c:v>
                </c:pt>
                <c:pt idx="41">
                  <c:v>44889</c:v>
                </c:pt>
                <c:pt idx="42">
                  <c:v>44888</c:v>
                </c:pt>
                <c:pt idx="43">
                  <c:v>44887</c:v>
                </c:pt>
                <c:pt idx="44">
                  <c:v>44886</c:v>
                </c:pt>
                <c:pt idx="45">
                  <c:v>44883</c:v>
                </c:pt>
                <c:pt idx="46">
                  <c:v>44882</c:v>
                </c:pt>
                <c:pt idx="47">
                  <c:v>44881</c:v>
                </c:pt>
                <c:pt idx="48">
                  <c:v>44880</c:v>
                </c:pt>
                <c:pt idx="49">
                  <c:v>44879</c:v>
                </c:pt>
                <c:pt idx="50">
                  <c:v>44876</c:v>
                </c:pt>
                <c:pt idx="51">
                  <c:v>44875</c:v>
                </c:pt>
                <c:pt idx="52">
                  <c:v>44874</c:v>
                </c:pt>
                <c:pt idx="53">
                  <c:v>44873</c:v>
                </c:pt>
                <c:pt idx="54">
                  <c:v>44872</c:v>
                </c:pt>
                <c:pt idx="55">
                  <c:v>44869</c:v>
                </c:pt>
                <c:pt idx="56">
                  <c:v>44868</c:v>
                </c:pt>
                <c:pt idx="57">
                  <c:v>44867</c:v>
                </c:pt>
                <c:pt idx="58">
                  <c:v>44866</c:v>
                </c:pt>
                <c:pt idx="59">
                  <c:v>44865</c:v>
                </c:pt>
              </c:numCache>
            </c:numRef>
          </c:cat>
          <c:val>
            <c:numRef>
              <c:f>'Daily Report'!$AX$5:$AX$64</c:f>
              <c:numCache>
                <c:formatCode>General</c:formatCode>
                <c:ptCount val="60"/>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smooth val="0"/>
        </c:ser>
        <c:ser>
          <c:idx val="4"/>
          <c:order val="4"/>
          <c:tx>
            <c:strRef>
              <c:f>'Daily Report'!$AY$4</c:f>
              <c:strCache>
                <c:ptCount val="1"/>
                <c:pt idx="0">
                  <c:v>투신</c:v>
                </c:pt>
              </c:strCache>
            </c:strRef>
          </c:tx>
          <c:spPr>
            <a:ln w="19050">
              <a:solidFill>
                <a:schemeClr val="accent5">
                  <a:lumMod val="75000"/>
                </a:schemeClr>
              </a:solidFill>
            </a:ln>
          </c:spPr>
          <c:marker>
            <c:symbol val="none"/>
          </c:marker>
          <c:cat>
            <c:numRef>
              <c:f>'Daily Report'!$AK$5:$AK$64</c:f>
              <c:numCache>
                <c:formatCode>m/d/yyyy</c:formatCode>
                <c:ptCount val="60"/>
                <c:pt idx="0">
                  <c:v>44951</c:v>
                </c:pt>
                <c:pt idx="1">
                  <c:v>44946</c:v>
                </c:pt>
                <c:pt idx="2">
                  <c:v>44945</c:v>
                </c:pt>
                <c:pt idx="3">
                  <c:v>44944</c:v>
                </c:pt>
                <c:pt idx="4">
                  <c:v>44943</c:v>
                </c:pt>
                <c:pt idx="5">
                  <c:v>44942</c:v>
                </c:pt>
                <c:pt idx="6">
                  <c:v>44939</c:v>
                </c:pt>
                <c:pt idx="7">
                  <c:v>44938</c:v>
                </c:pt>
                <c:pt idx="8">
                  <c:v>44937</c:v>
                </c:pt>
                <c:pt idx="9">
                  <c:v>44936</c:v>
                </c:pt>
                <c:pt idx="10">
                  <c:v>44935</c:v>
                </c:pt>
                <c:pt idx="11">
                  <c:v>44932</c:v>
                </c:pt>
                <c:pt idx="12">
                  <c:v>44931</c:v>
                </c:pt>
                <c:pt idx="13">
                  <c:v>44930</c:v>
                </c:pt>
                <c:pt idx="14">
                  <c:v>44929</c:v>
                </c:pt>
                <c:pt idx="15">
                  <c:v>44928</c:v>
                </c:pt>
                <c:pt idx="16">
                  <c:v>44924</c:v>
                </c:pt>
                <c:pt idx="17">
                  <c:v>44923</c:v>
                </c:pt>
                <c:pt idx="18">
                  <c:v>44922</c:v>
                </c:pt>
                <c:pt idx="19">
                  <c:v>44921</c:v>
                </c:pt>
                <c:pt idx="20">
                  <c:v>44918</c:v>
                </c:pt>
                <c:pt idx="21">
                  <c:v>44917</c:v>
                </c:pt>
                <c:pt idx="22">
                  <c:v>44916</c:v>
                </c:pt>
                <c:pt idx="23">
                  <c:v>44915</c:v>
                </c:pt>
                <c:pt idx="24">
                  <c:v>44914</c:v>
                </c:pt>
                <c:pt idx="25">
                  <c:v>44911</c:v>
                </c:pt>
                <c:pt idx="26">
                  <c:v>44910</c:v>
                </c:pt>
                <c:pt idx="27">
                  <c:v>44909</c:v>
                </c:pt>
                <c:pt idx="28">
                  <c:v>44908</c:v>
                </c:pt>
                <c:pt idx="29">
                  <c:v>44907</c:v>
                </c:pt>
                <c:pt idx="30">
                  <c:v>44904</c:v>
                </c:pt>
                <c:pt idx="31">
                  <c:v>44903</c:v>
                </c:pt>
                <c:pt idx="32">
                  <c:v>44902</c:v>
                </c:pt>
                <c:pt idx="33">
                  <c:v>44901</c:v>
                </c:pt>
                <c:pt idx="34">
                  <c:v>44900</c:v>
                </c:pt>
                <c:pt idx="35">
                  <c:v>44897</c:v>
                </c:pt>
                <c:pt idx="36">
                  <c:v>44896</c:v>
                </c:pt>
                <c:pt idx="37">
                  <c:v>44895</c:v>
                </c:pt>
                <c:pt idx="38">
                  <c:v>44894</c:v>
                </c:pt>
                <c:pt idx="39">
                  <c:v>44893</c:v>
                </c:pt>
                <c:pt idx="40">
                  <c:v>44890</c:v>
                </c:pt>
                <c:pt idx="41">
                  <c:v>44889</c:v>
                </c:pt>
                <c:pt idx="42">
                  <c:v>44888</c:v>
                </c:pt>
                <c:pt idx="43">
                  <c:v>44887</c:v>
                </c:pt>
                <c:pt idx="44">
                  <c:v>44886</c:v>
                </c:pt>
                <c:pt idx="45">
                  <c:v>44883</c:v>
                </c:pt>
                <c:pt idx="46">
                  <c:v>44882</c:v>
                </c:pt>
                <c:pt idx="47">
                  <c:v>44881</c:v>
                </c:pt>
                <c:pt idx="48">
                  <c:v>44880</c:v>
                </c:pt>
                <c:pt idx="49">
                  <c:v>44879</c:v>
                </c:pt>
                <c:pt idx="50">
                  <c:v>44876</c:v>
                </c:pt>
                <c:pt idx="51">
                  <c:v>44875</c:v>
                </c:pt>
                <c:pt idx="52">
                  <c:v>44874</c:v>
                </c:pt>
                <c:pt idx="53">
                  <c:v>44873</c:v>
                </c:pt>
                <c:pt idx="54">
                  <c:v>44872</c:v>
                </c:pt>
                <c:pt idx="55">
                  <c:v>44869</c:v>
                </c:pt>
                <c:pt idx="56">
                  <c:v>44868</c:v>
                </c:pt>
                <c:pt idx="57">
                  <c:v>44867</c:v>
                </c:pt>
                <c:pt idx="58">
                  <c:v>44866</c:v>
                </c:pt>
                <c:pt idx="59">
                  <c:v>44865</c:v>
                </c:pt>
              </c:numCache>
            </c:numRef>
          </c:cat>
          <c:val>
            <c:numRef>
              <c:f>'Daily Report'!$AY$5:$AY$64</c:f>
              <c:numCache>
                <c:formatCode>General</c:formatCode>
                <c:ptCount val="60"/>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smooth val="0"/>
        </c:ser>
        <c:ser>
          <c:idx val="5"/>
          <c:order val="5"/>
          <c:tx>
            <c:strRef>
              <c:f>'Daily Report'!$AZ$4</c:f>
              <c:strCache>
                <c:ptCount val="1"/>
                <c:pt idx="0">
                  <c:v>종금</c:v>
                </c:pt>
              </c:strCache>
            </c:strRef>
          </c:tx>
          <c:spPr>
            <a:ln w="19050">
              <a:solidFill>
                <a:srgbClr val="FF0066"/>
              </a:solidFill>
            </a:ln>
          </c:spPr>
          <c:marker>
            <c:symbol val="none"/>
          </c:marker>
          <c:cat>
            <c:numRef>
              <c:f>'Daily Report'!$AK$5:$AK$64</c:f>
              <c:numCache>
                <c:formatCode>m/d/yyyy</c:formatCode>
                <c:ptCount val="60"/>
                <c:pt idx="0">
                  <c:v>44951</c:v>
                </c:pt>
                <c:pt idx="1">
                  <c:v>44946</c:v>
                </c:pt>
                <c:pt idx="2">
                  <c:v>44945</c:v>
                </c:pt>
                <c:pt idx="3">
                  <c:v>44944</c:v>
                </c:pt>
                <c:pt idx="4">
                  <c:v>44943</c:v>
                </c:pt>
                <c:pt idx="5">
                  <c:v>44942</c:v>
                </c:pt>
                <c:pt idx="6">
                  <c:v>44939</c:v>
                </c:pt>
                <c:pt idx="7">
                  <c:v>44938</c:v>
                </c:pt>
                <c:pt idx="8">
                  <c:v>44937</c:v>
                </c:pt>
                <c:pt idx="9">
                  <c:v>44936</c:v>
                </c:pt>
                <c:pt idx="10">
                  <c:v>44935</c:v>
                </c:pt>
                <c:pt idx="11">
                  <c:v>44932</c:v>
                </c:pt>
                <c:pt idx="12">
                  <c:v>44931</c:v>
                </c:pt>
                <c:pt idx="13">
                  <c:v>44930</c:v>
                </c:pt>
                <c:pt idx="14">
                  <c:v>44929</c:v>
                </c:pt>
                <c:pt idx="15">
                  <c:v>44928</c:v>
                </c:pt>
                <c:pt idx="16">
                  <c:v>44924</c:v>
                </c:pt>
                <c:pt idx="17">
                  <c:v>44923</c:v>
                </c:pt>
                <c:pt idx="18">
                  <c:v>44922</c:v>
                </c:pt>
                <c:pt idx="19">
                  <c:v>44921</c:v>
                </c:pt>
                <c:pt idx="20">
                  <c:v>44918</c:v>
                </c:pt>
                <c:pt idx="21">
                  <c:v>44917</c:v>
                </c:pt>
                <c:pt idx="22">
                  <c:v>44916</c:v>
                </c:pt>
                <c:pt idx="23">
                  <c:v>44915</c:v>
                </c:pt>
                <c:pt idx="24">
                  <c:v>44914</c:v>
                </c:pt>
                <c:pt idx="25">
                  <c:v>44911</c:v>
                </c:pt>
                <c:pt idx="26">
                  <c:v>44910</c:v>
                </c:pt>
                <c:pt idx="27">
                  <c:v>44909</c:v>
                </c:pt>
                <c:pt idx="28">
                  <c:v>44908</c:v>
                </c:pt>
                <c:pt idx="29">
                  <c:v>44907</c:v>
                </c:pt>
                <c:pt idx="30">
                  <c:v>44904</c:v>
                </c:pt>
                <c:pt idx="31">
                  <c:v>44903</c:v>
                </c:pt>
                <c:pt idx="32">
                  <c:v>44902</c:v>
                </c:pt>
                <c:pt idx="33">
                  <c:v>44901</c:v>
                </c:pt>
                <c:pt idx="34">
                  <c:v>44900</c:v>
                </c:pt>
                <c:pt idx="35">
                  <c:v>44897</c:v>
                </c:pt>
                <c:pt idx="36">
                  <c:v>44896</c:v>
                </c:pt>
                <c:pt idx="37">
                  <c:v>44895</c:v>
                </c:pt>
                <c:pt idx="38">
                  <c:v>44894</c:v>
                </c:pt>
                <c:pt idx="39">
                  <c:v>44893</c:v>
                </c:pt>
                <c:pt idx="40">
                  <c:v>44890</c:v>
                </c:pt>
                <c:pt idx="41">
                  <c:v>44889</c:v>
                </c:pt>
                <c:pt idx="42">
                  <c:v>44888</c:v>
                </c:pt>
                <c:pt idx="43">
                  <c:v>44887</c:v>
                </c:pt>
                <c:pt idx="44">
                  <c:v>44886</c:v>
                </c:pt>
                <c:pt idx="45">
                  <c:v>44883</c:v>
                </c:pt>
                <c:pt idx="46">
                  <c:v>44882</c:v>
                </c:pt>
                <c:pt idx="47">
                  <c:v>44881</c:v>
                </c:pt>
                <c:pt idx="48">
                  <c:v>44880</c:v>
                </c:pt>
                <c:pt idx="49">
                  <c:v>44879</c:v>
                </c:pt>
                <c:pt idx="50">
                  <c:v>44876</c:v>
                </c:pt>
                <c:pt idx="51">
                  <c:v>44875</c:v>
                </c:pt>
                <c:pt idx="52">
                  <c:v>44874</c:v>
                </c:pt>
                <c:pt idx="53">
                  <c:v>44873</c:v>
                </c:pt>
                <c:pt idx="54">
                  <c:v>44872</c:v>
                </c:pt>
                <c:pt idx="55">
                  <c:v>44869</c:v>
                </c:pt>
                <c:pt idx="56">
                  <c:v>44868</c:v>
                </c:pt>
                <c:pt idx="57">
                  <c:v>44867</c:v>
                </c:pt>
                <c:pt idx="58">
                  <c:v>44866</c:v>
                </c:pt>
                <c:pt idx="59">
                  <c:v>44865</c:v>
                </c:pt>
              </c:numCache>
            </c:numRef>
          </c:cat>
          <c:val>
            <c:numRef>
              <c:f>'Daily Report'!$AZ$5:$AZ$64</c:f>
              <c:numCache>
                <c:formatCode>General</c:formatCode>
                <c:ptCount val="60"/>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smooth val="0"/>
        </c:ser>
        <c:ser>
          <c:idx val="6"/>
          <c:order val="6"/>
          <c:tx>
            <c:strRef>
              <c:f>'Daily Report'!$BA$4</c:f>
              <c:strCache>
                <c:ptCount val="1"/>
                <c:pt idx="0">
                  <c:v>연기금</c:v>
                </c:pt>
              </c:strCache>
            </c:strRef>
          </c:tx>
          <c:spPr>
            <a:ln w="19050">
              <a:solidFill>
                <a:schemeClr val="tx2">
                  <a:lumMod val="40000"/>
                  <a:lumOff val="60000"/>
                </a:schemeClr>
              </a:solidFill>
            </a:ln>
          </c:spPr>
          <c:marker>
            <c:symbol val="none"/>
          </c:marker>
          <c:cat>
            <c:numRef>
              <c:f>'Daily Report'!$AK$5:$AK$64</c:f>
              <c:numCache>
                <c:formatCode>m/d/yyyy</c:formatCode>
                <c:ptCount val="60"/>
                <c:pt idx="0">
                  <c:v>44951</c:v>
                </c:pt>
                <c:pt idx="1">
                  <c:v>44946</c:v>
                </c:pt>
                <c:pt idx="2">
                  <c:v>44945</c:v>
                </c:pt>
                <c:pt idx="3">
                  <c:v>44944</c:v>
                </c:pt>
                <c:pt idx="4">
                  <c:v>44943</c:v>
                </c:pt>
                <c:pt idx="5">
                  <c:v>44942</c:v>
                </c:pt>
                <c:pt idx="6">
                  <c:v>44939</c:v>
                </c:pt>
                <c:pt idx="7">
                  <c:v>44938</c:v>
                </c:pt>
                <c:pt idx="8">
                  <c:v>44937</c:v>
                </c:pt>
                <c:pt idx="9">
                  <c:v>44936</c:v>
                </c:pt>
                <c:pt idx="10">
                  <c:v>44935</c:v>
                </c:pt>
                <c:pt idx="11">
                  <c:v>44932</c:v>
                </c:pt>
                <c:pt idx="12">
                  <c:v>44931</c:v>
                </c:pt>
                <c:pt idx="13">
                  <c:v>44930</c:v>
                </c:pt>
                <c:pt idx="14">
                  <c:v>44929</c:v>
                </c:pt>
                <c:pt idx="15">
                  <c:v>44928</c:v>
                </c:pt>
                <c:pt idx="16">
                  <c:v>44924</c:v>
                </c:pt>
                <c:pt idx="17">
                  <c:v>44923</c:v>
                </c:pt>
                <c:pt idx="18">
                  <c:v>44922</c:v>
                </c:pt>
                <c:pt idx="19">
                  <c:v>44921</c:v>
                </c:pt>
                <c:pt idx="20">
                  <c:v>44918</c:v>
                </c:pt>
                <c:pt idx="21">
                  <c:v>44917</c:v>
                </c:pt>
                <c:pt idx="22">
                  <c:v>44916</c:v>
                </c:pt>
                <c:pt idx="23">
                  <c:v>44915</c:v>
                </c:pt>
                <c:pt idx="24">
                  <c:v>44914</c:v>
                </c:pt>
                <c:pt idx="25">
                  <c:v>44911</c:v>
                </c:pt>
                <c:pt idx="26">
                  <c:v>44910</c:v>
                </c:pt>
                <c:pt idx="27">
                  <c:v>44909</c:v>
                </c:pt>
                <c:pt idx="28">
                  <c:v>44908</c:v>
                </c:pt>
                <c:pt idx="29">
                  <c:v>44907</c:v>
                </c:pt>
                <c:pt idx="30">
                  <c:v>44904</c:v>
                </c:pt>
                <c:pt idx="31">
                  <c:v>44903</c:v>
                </c:pt>
                <c:pt idx="32">
                  <c:v>44902</c:v>
                </c:pt>
                <c:pt idx="33">
                  <c:v>44901</c:v>
                </c:pt>
                <c:pt idx="34">
                  <c:v>44900</c:v>
                </c:pt>
                <c:pt idx="35">
                  <c:v>44897</c:v>
                </c:pt>
                <c:pt idx="36">
                  <c:v>44896</c:v>
                </c:pt>
                <c:pt idx="37">
                  <c:v>44895</c:v>
                </c:pt>
                <c:pt idx="38">
                  <c:v>44894</c:v>
                </c:pt>
                <c:pt idx="39">
                  <c:v>44893</c:v>
                </c:pt>
                <c:pt idx="40">
                  <c:v>44890</c:v>
                </c:pt>
                <c:pt idx="41">
                  <c:v>44889</c:v>
                </c:pt>
                <c:pt idx="42">
                  <c:v>44888</c:v>
                </c:pt>
                <c:pt idx="43">
                  <c:v>44887</c:v>
                </c:pt>
                <c:pt idx="44">
                  <c:v>44886</c:v>
                </c:pt>
                <c:pt idx="45">
                  <c:v>44883</c:v>
                </c:pt>
                <c:pt idx="46">
                  <c:v>44882</c:v>
                </c:pt>
                <c:pt idx="47">
                  <c:v>44881</c:v>
                </c:pt>
                <c:pt idx="48">
                  <c:v>44880</c:v>
                </c:pt>
                <c:pt idx="49">
                  <c:v>44879</c:v>
                </c:pt>
                <c:pt idx="50">
                  <c:v>44876</c:v>
                </c:pt>
                <c:pt idx="51">
                  <c:v>44875</c:v>
                </c:pt>
                <c:pt idx="52">
                  <c:v>44874</c:v>
                </c:pt>
                <c:pt idx="53">
                  <c:v>44873</c:v>
                </c:pt>
                <c:pt idx="54">
                  <c:v>44872</c:v>
                </c:pt>
                <c:pt idx="55">
                  <c:v>44869</c:v>
                </c:pt>
                <c:pt idx="56">
                  <c:v>44868</c:v>
                </c:pt>
                <c:pt idx="57">
                  <c:v>44867</c:v>
                </c:pt>
                <c:pt idx="58">
                  <c:v>44866</c:v>
                </c:pt>
                <c:pt idx="59">
                  <c:v>44865</c:v>
                </c:pt>
              </c:numCache>
            </c:numRef>
          </c:cat>
          <c:val>
            <c:numRef>
              <c:f>'Daily Report'!$BA$5:$BA$64</c:f>
              <c:numCache>
                <c:formatCode>General</c:formatCode>
                <c:ptCount val="60"/>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smooth val="0"/>
        </c:ser>
        <c:ser>
          <c:idx val="7"/>
          <c:order val="7"/>
          <c:tx>
            <c:strRef>
              <c:f>'Daily Report'!$BB$4</c:f>
              <c:strCache>
                <c:ptCount val="1"/>
                <c:pt idx="0">
                  <c:v>개인</c:v>
                </c:pt>
              </c:strCache>
            </c:strRef>
          </c:tx>
          <c:spPr>
            <a:ln w="19050">
              <a:solidFill>
                <a:schemeClr val="bg1">
                  <a:lumMod val="50000"/>
                </a:schemeClr>
              </a:solidFill>
            </a:ln>
          </c:spPr>
          <c:marker>
            <c:symbol val="none"/>
          </c:marker>
          <c:cat>
            <c:numRef>
              <c:f>'Daily Report'!$AK$5:$AK$64</c:f>
              <c:numCache>
                <c:formatCode>m/d/yyyy</c:formatCode>
                <c:ptCount val="60"/>
                <c:pt idx="0">
                  <c:v>44951</c:v>
                </c:pt>
                <c:pt idx="1">
                  <c:v>44946</c:v>
                </c:pt>
                <c:pt idx="2">
                  <c:v>44945</c:v>
                </c:pt>
                <c:pt idx="3">
                  <c:v>44944</c:v>
                </c:pt>
                <c:pt idx="4">
                  <c:v>44943</c:v>
                </c:pt>
                <c:pt idx="5">
                  <c:v>44942</c:v>
                </c:pt>
                <c:pt idx="6">
                  <c:v>44939</c:v>
                </c:pt>
                <c:pt idx="7">
                  <c:v>44938</c:v>
                </c:pt>
                <c:pt idx="8">
                  <c:v>44937</c:v>
                </c:pt>
                <c:pt idx="9">
                  <c:v>44936</c:v>
                </c:pt>
                <c:pt idx="10">
                  <c:v>44935</c:v>
                </c:pt>
                <c:pt idx="11">
                  <c:v>44932</c:v>
                </c:pt>
                <c:pt idx="12">
                  <c:v>44931</c:v>
                </c:pt>
                <c:pt idx="13">
                  <c:v>44930</c:v>
                </c:pt>
                <c:pt idx="14">
                  <c:v>44929</c:v>
                </c:pt>
                <c:pt idx="15">
                  <c:v>44928</c:v>
                </c:pt>
                <c:pt idx="16">
                  <c:v>44924</c:v>
                </c:pt>
                <c:pt idx="17">
                  <c:v>44923</c:v>
                </c:pt>
                <c:pt idx="18">
                  <c:v>44922</c:v>
                </c:pt>
                <c:pt idx="19">
                  <c:v>44921</c:v>
                </c:pt>
                <c:pt idx="20">
                  <c:v>44918</c:v>
                </c:pt>
                <c:pt idx="21">
                  <c:v>44917</c:v>
                </c:pt>
                <c:pt idx="22">
                  <c:v>44916</c:v>
                </c:pt>
                <c:pt idx="23">
                  <c:v>44915</c:v>
                </c:pt>
                <c:pt idx="24">
                  <c:v>44914</c:v>
                </c:pt>
                <c:pt idx="25">
                  <c:v>44911</c:v>
                </c:pt>
                <c:pt idx="26">
                  <c:v>44910</c:v>
                </c:pt>
                <c:pt idx="27">
                  <c:v>44909</c:v>
                </c:pt>
                <c:pt idx="28">
                  <c:v>44908</c:v>
                </c:pt>
                <c:pt idx="29">
                  <c:v>44907</c:v>
                </c:pt>
                <c:pt idx="30">
                  <c:v>44904</c:v>
                </c:pt>
                <c:pt idx="31">
                  <c:v>44903</c:v>
                </c:pt>
                <c:pt idx="32">
                  <c:v>44902</c:v>
                </c:pt>
                <c:pt idx="33">
                  <c:v>44901</c:v>
                </c:pt>
                <c:pt idx="34">
                  <c:v>44900</c:v>
                </c:pt>
                <c:pt idx="35">
                  <c:v>44897</c:v>
                </c:pt>
                <c:pt idx="36">
                  <c:v>44896</c:v>
                </c:pt>
                <c:pt idx="37">
                  <c:v>44895</c:v>
                </c:pt>
                <c:pt idx="38">
                  <c:v>44894</c:v>
                </c:pt>
                <c:pt idx="39">
                  <c:v>44893</c:v>
                </c:pt>
                <c:pt idx="40">
                  <c:v>44890</c:v>
                </c:pt>
                <c:pt idx="41">
                  <c:v>44889</c:v>
                </c:pt>
                <c:pt idx="42">
                  <c:v>44888</c:v>
                </c:pt>
                <c:pt idx="43">
                  <c:v>44887</c:v>
                </c:pt>
                <c:pt idx="44">
                  <c:v>44886</c:v>
                </c:pt>
                <c:pt idx="45">
                  <c:v>44883</c:v>
                </c:pt>
                <c:pt idx="46">
                  <c:v>44882</c:v>
                </c:pt>
                <c:pt idx="47">
                  <c:v>44881</c:v>
                </c:pt>
                <c:pt idx="48">
                  <c:v>44880</c:v>
                </c:pt>
                <c:pt idx="49">
                  <c:v>44879</c:v>
                </c:pt>
                <c:pt idx="50">
                  <c:v>44876</c:v>
                </c:pt>
                <c:pt idx="51">
                  <c:v>44875</c:v>
                </c:pt>
                <c:pt idx="52">
                  <c:v>44874</c:v>
                </c:pt>
                <c:pt idx="53">
                  <c:v>44873</c:v>
                </c:pt>
                <c:pt idx="54">
                  <c:v>44872</c:v>
                </c:pt>
                <c:pt idx="55">
                  <c:v>44869</c:v>
                </c:pt>
                <c:pt idx="56">
                  <c:v>44868</c:v>
                </c:pt>
                <c:pt idx="57">
                  <c:v>44867</c:v>
                </c:pt>
                <c:pt idx="58">
                  <c:v>44866</c:v>
                </c:pt>
                <c:pt idx="59">
                  <c:v>44865</c:v>
                </c:pt>
              </c:numCache>
            </c:numRef>
          </c:cat>
          <c:val>
            <c:numRef>
              <c:f>'Daily Report'!$BB$5:$BB$64</c:f>
              <c:numCache>
                <c:formatCode>General</c:formatCode>
                <c:ptCount val="60"/>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smooth val="0"/>
        </c:ser>
        <c:dLbls>
          <c:showLegendKey val="0"/>
          <c:showVal val="0"/>
          <c:showCatName val="0"/>
          <c:showSerName val="0"/>
          <c:showPercent val="0"/>
          <c:showBubbleSize val="0"/>
        </c:dLbls>
        <c:marker val="1"/>
        <c:smooth val="0"/>
        <c:axId val="155296896"/>
        <c:axId val="155298432"/>
      </c:lineChart>
      <c:dateAx>
        <c:axId val="155296896"/>
        <c:scaling>
          <c:orientation val="minMax"/>
        </c:scaling>
        <c:delete val="0"/>
        <c:axPos val="b"/>
        <c:numFmt formatCode="m/d/yyyy" sourceLinked="1"/>
        <c:majorTickMark val="out"/>
        <c:minorTickMark val="none"/>
        <c:tickLblPos val="low"/>
        <c:txPr>
          <a:bodyPr/>
          <a:lstStyle/>
          <a:p>
            <a:pPr>
              <a:defRPr sz="800"/>
            </a:pPr>
            <a:endParaRPr lang="ko-KR"/>
          </a:p>
        </c:txPr>
        <c:crossAx val="155298432"/>
        <c:crosses val="autoZero"/>
        <c:auto val="1"/>
        <c:lblOffset val="100"/>
        <c:baseTimeUnit val="days"/>
        <c:majorUnit val="1"/>
        <c:majorTimeUnit val="months"/>
      </c:dateAx>
      <c:valAx>
        <c:axId val="155298432"/>
        <c:scaling>
          <c:orientation val="minMax"/>
        </c:scaling>
        <c:delete val="0"/>
        <c:axPos val="l"/>
        <c:numFmt formatCode="General" sourceLinked="1"/>
        <c:majorTickMark val="out"/>
        <c:minorTickMark val="none"/>
        <c:tickLblPos val="nextTo"/>
        <c:txPr>
          <a:bodyPr/>
          <a:lstStyle/>
          <a:p>
            <a:pPr>
              <a:defRPr sz="800"/>
            </a:pPr>
            <a:endParaRPr lang="ko-KR"/>
          </a:p>
        </c:txPr>
        <c:crossAx val="155296896"/>
        <c:crosses val="autoZero"/>
        <c:crossBetween val="between"/>
      </c:valAx>
    </c:plotArea>
    <c:legend>
      <c:legendPos val="b"/>
      <c:layout/>
      <c:overlay val="0"/>
      <c:txPr>
        <a:bodyPr/>
        <a:lstStyle/>
        <a:p>
          <a:pPr>
            <a:defRPr sz="800"/>
          </a:pPr>
          <a:endParaRPr lang="ko-KR"/>
        </a:p>
      </c:txPr>
    </c:legend>
    <c:plotVisOnly val="0"/>
    <c:dispBlanksAs val="gap"/>
    <c:showDLblsOverMax val="0"/>
  </c:chart>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a:pPr>
          <a:endParaRPr lang="ko-KR"/>
        </a:p>
      </c:txPr>
    </c:title>
    <c:autoTitleDeleted val="0"/>
    <c:plotArea>
      <c:layout/>
      <c:lineChart>
        <c:grouping val="standard"/>
        <c:varyColors val="0"/>
        <c:ser>
          <c:idx val="0"/>
          <c:order val="0"/>
          <c:tx>
            <c:strRef>
              <c:f>연습!$AT$5</c:f>
              <c:strCache>
                <c:ptCount val="1"/>
                <c:pt idx="0">
                  <c:v>KOSPI</c:v>
                </c:pt>
              </c:strCache>
            </c:strRef>
          </c:tx>
          <c:spPr>
            <a:ln>
              <a:solidFill>
                <a:srgbClr val="339966"/>
              </a:solidFill>
            </a:ln>
          </c:spPr>
          <c:marker>
            <c:symbol val="none"/>
          </c:marker>
          <c:cat>
            <c:numRef>
              <c:f>연습!$AT$7:$AT$253</c:f>
              <c:numCache>
                <c:formatCode>m/d/yyyy</c:formatCode>
                <c:ptCount val="247"/>
                <c:pt idx="0">
                  <c:v>44946</c:v>
                </c:pt>
                <c:pt idx="1">
                  <c:v>44945</c:v>
                </c:pt>
                <c:pt idx="2">
                  <c:v>44944</c:v>
                </c:pt>
                <c:pt idx="3">
                  <c:v>44943</c:v>
                </c:pt>
                <c:pt idx="4">
                  <c:v>44942</c:v>
                </c:pt>
                <c:pt idx="5">
                  <c:v>44939</c:v>
                </c:pt>
                <c:pt idx="6">
                  <c:v>44938</c:v>
                </c:pt>
                <c:pt idx="7">
                  <c:v>44937</c:v>
                </c:pt>
                <c:pt idx="8">
                  <c:v>44936</c:v>
                </c:pt>
                <c:pt idx="9">
                  <c:v>44935</c:v>
                </c:pt>
                <c:pt idx="10">
                  <c:v>44932</c:v>
                </c:pt>
                <c:pt idx="11">
                  <c:v>44931</c:v>
                </c:pt>
                <c:pt idx="12">
                  <c:v>44930</c:v>
                </c:pt>
                <c:pt idx="13">
                  <c:v>44929</c:v>
                </c:pt>
                <c:pt idx="14">
                  <c:v>44928</c:v>
                </c:pt>
                <c:pt idx="15">
                  <c:v>44924</c:v>
                </c:pt>
                <c:pt idx="16">
                  <c:v>44923</c:v>
                </c:pt>
                <c:pt idx="17">
                  <c:v>44922</c:v>
                </c:pt>
                <c:pt idx="18">
                  <c:v>44921</c:v>
                </c:pt>
                <c:pt idx="19">
                  <c:v>44918</c:v>
                </c:pt>
                <c:pt idx="20">
                  <c:v>44917</c:v>
                </c:pt>
                <c:pt idx="21">
                  <c:v>44916</c:v>
                </c:pt>
                <c:pt idx="22">
                  <c:v>44915</c:v>
                </c:pt>
                <c:pt idx="23">
                  <c:v>44914</c:v>
                </c:pt>
                <c:pt idx="24">
                  <c:v>44911</c:v>
                </c:pt>
                <c:pt idx="25">
                  <c:v>44910</c:v>
                </c:pt>
                <c:pt idx="26">
                  <c:v>44909</c:v>
                </c:pt>
                <c:pt idx="27">
                  <c:v>44908</c:v>
                </c:pt>
                <c:pt idx="28">
                  <c:v>44907</c:v>
                </c:pt>
                <c:pt idx="29">
                  <c:v>44904</c:v>
                </c:pt>
                <c:pt idx="30">
                  <c:v>44903</c:v>
                </c:pt>
                <c:pt idx="31">
                  <c:v>44902</c:v>
                </c:pt>
                <c:pt idx="32">
                  <c:v>44901</c:v>
                </c:pt>
                <c:pt idx="33">
                  <c:v>44900</c:v>
                </c:pt>
                <c:pt idx="34">
                  <c:v>44897</c:v>
                </c:pt>
                <c:pt idx="35">
                  <c:v>44896</c:v>
                </c:pt>
                <c:pt idx="36">
                  <c:v>44895</c:v>
                </c:pt>
                <c:pt idx="37">
                  <c:v>44894</c:v>
                </c:pt>
                <c:pt idx="38">
                  <c:v>44893</c:v>
                </c:pt>
                <c:pt idx="39">
                  <c:v>44890</c:v>
                </c:pt>
                <c:pt idx="40">
                  <c:v>44889</c:v>
                </c:pt>
                <c:pt idx="41">
                  <c:v>44888</c:v>
                </c:pt>
                <c:pt idx="42">
                  <c:v>44887</c:v>
                </c:pt>
                <c:pt idx="43">
                  <c:v>44886</c:v>
                </c:pt>
                <c:pt idx="44">
                  <c:v>44883</c:v>
                </c:pt>
                <c:pt idx="45">
                  <c:v>44882</c:v>
                </c:pt>
                <c:pt idx="46">
                  <c:v>44881</c:v>
                </c:pt>
                <c:pt idx="47">
                  <c:v>44880</c:v>
                </c:pt>
                <c:pt idx="48">
                  <c:v>44879</c:v>
                </c:pt>
                <c:pt idx="49">
                  <c:v>44876</c:v>
                </c:pt>
                <c:pt idx="50">
                  <c:v>44875</c:v>
                </c:pt>
                <c:pt idx="51">
                  <c:v>44874</c:v>
                </c:pt>
                <c:pt idx="52">
                  <c:v>44873</c:v>
                </c:pt>
                <c:pt idx="53">
                  <c:v>44872</c:v>
                </c:pt>
                <c:pt idx="54">
                  <c:v>44869</c:v>
                </c:pt>
                <c:pt idx="55">
                  <c:v>44868</c:v>
                </c:pt>
                <c:pt idx="56">
                  <c:v>44867</c:v>
                </c:pt>
                <c:pt idx="57">
                  <c:v>44866</c:v>
                </c:pt>
                <c:pt idx="58">
                  <c:v>44865</c:v>
                </c:pt>
                <c:pt idx="59">
                  <c:v>44862</c:v>
                </c:pt>
                <c:pt idx="60">
                  <c:v>44861</c:v>
                </c:pt>
                <c:pt idx="61">
                  <c:v>44860</c:v>
                </c:pt>
                <c:pt idx="62">
                  <c:v>44859</c:v>
                </c:pt>
                <c:pt idx="63">
                  <c:v>44858</c:v>
                </c:pt>
                <c:pt idx="64">
                  <c:v>44855</c:v>
                </c:pt>
                <c:pt idx="65">
                  <c:v>44854</c:v>
                </c:pt>
                <c:pt idx="66">
                  <c:v>44853</c:v>
                </c:pt>
                <c:pt idx="67">
                  <c:v>44852</c:v>
                </c:pt>
                <c:pt idx="68">
                  <c:v>44851</c:v>
                </c:pt>
                <c:pt idx="69">
                  <c:v>44848</c:v>
                </c:pt>
                <c:pt idx="70">
                  <c:v>44847</c:v>
                </c:pt>
                <c:pt idx="71">
                  <c:v>44846</c:v>
                </c:pt>
                <c:pt idx="72">
                  <c:v>44845</c:v>
                </c:pt>
                <c:pt idx="73">
                  <c:v>44841</c:v>
                </c:pt>
                <c:pt idx="74">
                  <c:v>44840</c:v>
                </c:pt>
                <c:pt idx="75">
                  <c:v>44839</c:v>
                </c:pt>
                <c:pt idx="76">
                  <c:v>44838</c:v>
                </c:pt>
                <c:pt idx="77">
                  <c:v>44834</c:v>
                </c:pt>
                <c:pt idx="78">
                  <c:v>44833</c:v>
                </c:pt>
                <c:pt idx="79">
                  <c:v>44832</c:v>
                </c:pt>
                <c:pt idx="80">
                  <c:v>44831</c:v>
                </c:pt>
                <c:pt idx="81">
                  <c:v>44830</c:v>
                </c:pt>
                <c:pt idx="82">
                  <c:v>44827</c:v>
                </c:pt>
                <c:pt idx="83">
                  <c:v>44826</c:v>
                </c:pt>
                <c:pt idx="84">
                  <c:v>44825</c:v>
                </c:pt>
                <c:pt idx="85">
                  <c:v>44824</c:v>
                </c:pt>
                <c:pt idx="86">
                  <c:v>44823</c:v>
                </c:pt>
                <c:pt idx="87">
                  <c:v>44820</c:v>
                </c:pt>
                <c:pt idx="88">
                  <c:v>44819</c:v>
                </c:pt>
                <c:pt idx="89">
                  <c:v>44818</c:v>
                </c:pt>
                <c:pt idx="90">
                  <c:v>44817</c:v>
                </c:pt>
                <c:pt idx="91">
                  <c:v>44812</c:v>
                </c:pt>
                <c:pt idx="92">
                  <c:v>44811</c:v>
                </c:pt>
                <c:pt idx="93">
                  <c:v>44810</c:v>
                </c:pt>
                <c:pt idx="94">
                  <c:v>44809</c:v>
                </c:pt>
                <c:pt idx="95">
                  <c:v>44806</c:v>
                </c:pt>
                <c:pt idx="96">
                  <c:v>44805</c:v>
                </c:pt>
                <c:pt idx="97">
                  <c:v>44804</c:v>
                </c:pt>
                <c:pt idx="98">
                  <c:v>44803</c:v>
                </c:pt>
                <c:pt idx="99">
                  <c:v>44802</c:v>
                </c:pt>
                <c:pt idx="100">
                  <c:v>44799</c:v>
                </c:pt>
                <c:pt idx="101">
                  <c:v>44798</c:v>
                </c:pt>
                <c:pt idx="102">
                  <c:v>44797</c:v>
                </c:pt>
                <c:pt idx="103">
                  <c:v>44796</c:v>
                </c:pt>
                <c:pt idx="104">
                  <c:v>44795</c:v>
                </c:pt>
                <c:pt idx="105">
                  <c:v>44792</c:v>
                </c:pt>
                <c:pt idx="106">
                  <c:v>44791</c:v>
                </c:pt>
                <c:pt idx="107">
                  <c:v>44790</c:v>
                </c:pt>
                <c:pt idx="108">
                  <c:v>44789</c:v>
                </c:pt>
                <c:pt idx="109">
                  <c:v>44785</c:v>
                </c:pt>
                <c:pt idx="110">
                  <c:v>44784</c:v>
                </c:pt>
                <c:pt idx="111">
                  <c:v>44783</c:v>
                </c:pt>
                <c:pt idx="112">
                  <c:v>44782</c:v>
                </c:pt>
                <c:pt idx="113">
                  <c:v>44781</c:v>
                </c:pt>
                <c:pt idx="114">
                  <c:v>44778</c:v>
                </c:pt>
                <c:pt idx="115">
                  <c:v>44777</c:v>
                </c:pt>
                <c:pt idx="116">
                  <c:v>44776</c:v>
                </c:pt>
                <c:pt idx="117">
                  <c:v>44775</c:v>
                </c:pt>
                <c:pt idx="118">
                  <c:v>44774</c:v>
                </c:pt>
                <c:pt idx="119">
                  <c:v>44771</c:v>
                </c:pt>
                <c:pt idx="120">
                  <c:v>44770</c:v>
                </c:pt>
                <c:pt idx="121">
                  <c:v>44769</c:v>
                </c:pt>
                <c:pt idx="122">
                  <c:v>44768</c:v>
                </c:pt>
                <c:pt idx="123">
                  <c:v>44767</c:v>
                </c:pt>
                <c:pt idx="124">
                  <c:v>44764</c:v>
                </c:pt>
                <c:pt idx="125">
                  <c:v>44763</c:v>
                </c:pt>
                <c:pt idx="126">
                  <c:v>44762</c:v>
                </c:pt>
                <c:pt idx="127">
                  <c:v>44761</c:v>
                </c:pt>
                <c:pt idx="128">
                  <c:v>44760</c:v>
                </c:pt>
                <c:pt idx="129">
                  <c:v>44757</c:v>
                </c:pt>
                <c:pt idx="130">
                  <c:v>44756</c:v>
                </c:pt>
                <c:pt idx="131">
                  <c:v>44755</c:v>
                </c:pt>
                <c:pt idx="132">
                  <c:v>44754</c:v>
                </c:pt>
                <c:pt idx="133">
                  <c:v>44753</c:v>
                </c:pt>
                <c:pt idx="134">
                  <c:v>44750</c:v>
                </c:pt>
                <c:pt idx="135">
                  <c:v>44749</c:v>
                </c:pt>
                <c:pt idx="136">
                  <c:v>44748</c:v>
                </c:pt>
                <c:pt idx="137">
                  <c:v>44747</c:v>
                </c:pt>
                <c:pt idx="138">
                  <c:v>44746</c:v>
                </c:pt>
                <c:pt idx="139">
                  <c:v>44743</c:v>
                </c:pt>
                <c:pt idx="140">
                  <c:v>44742</c:v>
                </c:pt>
                <c:pt idx="141">
                  <c:v>44741</c:v>
                </c:pt>
                <c:pt idx="142">
                  <c:v>44740</c:v>
                </c:pt>
                <c:pt idx="143">
                  <c:v>44739</c:v>
                </c:pt>
                <c:pt idx="144">
                  <c:v>44736</c:v>
                </c:pt>
                <c:pt idx="145">
                  <c:v>44735</c:v>
                </c:pt>
                <c:pt idx="146">
                  <c:v>44734</c:v>
                </c:pt>
                <c:pt idx="147">
                  <c:v>44733</c:v>
                </c:pt>
                <c:pt idx="148">
                  <c:v>44732</c:v>
                </c:pt>
                <c:pt idx="149">
                  <c:v>44729</c:v>
                </c:pt>
                <c:pt idx="150">
                  <c:v>44728</c:v>
                </c:pt>
                <c:pt idx="151">
                  <c:v>44727</c:v>
                </c:pt>
                <c:pt idx="152">
                  <c:v>44726</c:v>
                </c:pt>
                <c:pt idx="153">
                  <c:v>44725</c:v>
                </c:pt>
                <c:pt idx="154">
                  <c:v>44722</c:v>
                </c:pt>
                <c:pt idx="155">
                  <c:v>44721</c:v>
                </c:pt>
                <c:pt idx="156">
                  <c:v>44720</c:v>
                </c:pt>
                <c:pt idx="157">
                  <c:v>44719</c:v>
                </c:pt>
                <c:pt idx="158">
                  <c:v>44715</c:v>
                </c:pt>
                <c:pt idx="159">
                  <c:v>44714</c:v>
                </c:pt>
                <c:pt idx="160">
                  <c:v>44712</c:v>
                </c:pt>
                <c:pt idx="161">
                  <c:v>44711</c:v>
                </c:pt>
                <c:pt idx="162">
                  <c:v>44708</c:v>
                </c:pt>
                <c:pt idx="163">
                  <c:v>44707</c:v>
                </c:pt>
                <c:pt idx="164">
                  <c:v>44706</c:v>
                </c:pt>
                <c:pt idx="165">
                  <c:v>44705</c:v>
                </c:pt>
                <c:pt idx="166">
                  <c:v>44704</c:v>
                </c:pt>
                <c:pt idx="167">
                  <c:v>44701</c:v>
                </c:pt>
                <c:pt idx="168">
                  <c:v>44700</c:v>
                </c:pt>
                <c:pt idx="169">
                  <c:v>44699</c:v>
                </c:pt>
                <c:pt idx="170">
                  <c:v>44698</c:v>
                </c:pt>
                <c:pt idx="171">
                  <c:v>44697</c:v>
                </c:pt>
                <c:pt idx="172">
                  <c:v>44694</c:v>
                </c:pt>
                <c:pt idx="173">
                  <c:v>44693</c:v>
                </c:pt>
                <c:pt idx="174">
                  <c:v>44692</c:v>
                </c:pt>
                <c:pt idx="175">
                  <c:v>44691</c:v>
                </c:pt>
                <c:pt idx="176">
                  <c:v>44690</c:v>
                </c:pt>
                <c:pt idx="177">
                  <c:v>44687</c:v>
                </c:pt>
                <c:pt idx="178">
                  <c:v>44685</c:v>
                </c:pt>
                <c:pt idx="179">
                  <c:v>44684</c:v>
                </c:pt>
                <c:pt idx="180">
                  <c:v>44683</c:v>
                </c:pt>
                <c:pt idx="181">
                  <c:v>44680</c:v>
                </c:pt>
                <c:pt idx="182">
                  <c:v>44679</c:v>
                </c:pt>
                <c:pt idx="183">
                  <c:v>44678</c:v>
                </c:pt>
                <c:pt idx="184">
                  <c:v>44677</c:v>
                </c:pt>
                <c:pt idx="185">
                  <c:v>44676</c:v>
                </c:pt>
                <c:pt idx="186">
                  <c:v>44673</c:v>
                </c:pt>
                <c:pt idx="187">
                  <c:v>44672</c:v>
                </c:pt>
                <c:pt idx="188">
                  <c:v>44671</c:v>
                </c:pt>
                <c:pt idx="189">
                  <c:v>44670</c:v>
                </c:pt>
                <c:pt idx="190">
                  <c:v>44669</c:v>
                </c:pt>
                <c:pt idx="191">
                  <c:v>44666</c:v>
                </c:pt>
                <c:pt idx="192">
                  <c:v>44665</c:v>
                </c:pt>
                <c:pt idx="193">
                  <c:v>44664</c:v>
                </c:pt>
                <c:pt idx="194">
                  <c:v>44663</c:v>
                </c:pt>
                <c:pt idx="195">
                  <c:v>44662</c:v>
                </c:pt>
                <c:pt idx="196">
                  <c:v>44659</c:v>
                </c:pt>
                <c:pt idx="197">
                  <c:v>44658</c:v>
                </c:pt>
                <c:pt idx="198">
                  <c:v>44657</c:v>
                </c:pt>
                <c:pt idx="199">
                  <c:v>44656</c:v>
                </c:pt>
                <c:pt idx="200">
                  <c:v>44655</c:v>
                </c:pt>
                <c:pt idx="201">
                  <c:v>44652</c:v>
                </c:pt>
                <c:pt idx="202">
                  <c:v>44651</c:v>
                </c:pt>
                <c:pt idx="203">
                  <c:v>44650</c:v>
                </c:pt>
                <c:pt idx="204">
                  <c:v>44649</c:v>
                </c:pt>
                <c:pt idx="205">
                  <c:v>44648</c:v>
                </c:pt>
                <c:pt idx="206">
                  <c:v>44645</c:v>
                </c:pt>
                <c:pt idx="207">
                  <c:v>44644</c:v>
                </c:pt>
                <c:pt idx="208">
                  <c:v>44643</c:v>
                </c:pt>
                <c:pt idx="209">
                  <c:v>44642</c:v>
                </c:pt>
                <c:pt idx="210">
                  <c:v>44641</c:v>
                </c:pt>
                <c:pt idx="211">
                  <c:v>44638</c:v>
                </c:pt>
                <c:pt idx="212">
                  <c:v>44637</c:v>
                </c:pt>
                <c:pt idx="213">
                  <c:v>44636</c:v>
                </c:pt>
                <c:pt idx="214">
                  <c:v>44635</c:v>
                </c:pt>
                <c:pt idx="215">
                  <c:v>44634</c:v>
                </c:pt>
                <c:pt idx="216">
                  <c:v>44631</c:v>
                </c:pt>
                <c:pt idx="217">
                  <c:v>44630</c:v>
                </c:pt>
                <c:pt idx="218">
                  <c:v>44628</c:v>
                </c:pt>
                <c:pt idx="219">
                  <c:v>44627</c:v>
                </c:pt>
                <c:pt idx="220">
                  <c:v>44624</c:v>
                </c:pt>
                <c:pt idx="221">
                  <c:v>44623</c:v>
                </c:pt>
                <c:pt idx="222">
                  <c:v>44622</c:v>
                </c:pt>
                <c:pt idx="223">
                  <c:v>44620</c:v>
                </c:pt>
                <c:pt idx="224">
                  <c:v>44617</c:v>
                </c:pt>
                <c:pt idx="225">
                  <c:v>44616</c:v>
                </c:pt>
                <c:pt idx="226">
                  <c:v>44615</c:v>
                </c:pt>
                <c:pt idx="227">
                  <c:v>44614</c:v>
                </c:pt>
                <c:pt idx="228">
                  <c:v>44613</c:v>
                </c:pt>
                <c:pt idx="229">
                  <c:v>44610</c:v>
                </c:pt>
                <c:pt idx="230">
                  <c:v>44609</c:v>
                </c:pt>
                <c:pt idx="231">
                  <c:v>44608</c:v>
                </c:pt>
                <c:pt idx="232">
                  <c:v>44607</c:v>
                </c:pt>
                <c:pt idx="233">
                  <c:v>44606</c:v>
                </c:pt>
                <c:pt idx="234">
                  <c:v>44603</c:v>
                </c:pt>
                <c:pt idx="235">
                  <c:v>44602</c:v>
                </c:pt>
                <c:pt idx="236">
                  <c:v>44601</c:v>
                </c:pt>
                <c:pt idx="237">
                  <c:v>44600</c:v>
                </c:pt>
                <c:pt idx="238">
                  <c:v>44599</c:v>
                </c:pt>
                <c:pt idx="239">
                  <c:v>44596</c:v>
                </c:pt>
                <c:pt idx="240">
                  <c:v>44595</c:v>
                </c:pt>
                <c:pt idx="241">
                  <c:v>44589</c:v>
                </c:pt>
                <c:pt idx="242">
                  <c:v>44588</c:v>
                </c:pt>
                <c:pt idx="243">
                  <c:v>44587</c:v>
                </c:pt>
                <c:pt idx="244">
                  <c:v>44586</c:v>
                </c:pt>
                <c:pt idx="245">
                  <c:v>44585</c:v>
                </c:pt>
              </c:numCache>
            </c:numRef>
          </c:cat>
          <c:val>
            <c:numRef>
              <c:f>연습!$AU$7:$AU$253</c:f>
              <c:numCache>
                <c:formatCode>General</c:formatCode>
                <c:ptCount val="247"/>
                <c:pt idx="0" formatCode="@">
                  <c:v>2395.2600000000002</c:v>
                </c:pt>
                <c:pt idx="1">
                  <c:v>2380.34</c:v>
                </c:pt>
                <c:pt idx="2">
                  <c:v>2368.3200000000002</c:v>
                </c:pt>
                <c:pt idx="3">
                  <c:v>2379.39</c:v>
                </c:pt>
                <c:pt idx="4">
                  <c:v>2399.86</c:v>
                </c:pt>
                <c:pt idx="5">
                  <c:v>2386.09</c:v>
                </c:pt>
                <c:pt idx="6">
                  <c:v>2365.1</c:v>
                </c:pt>
                <c:pt idx="7">
                  <c:v>2359.5300000000002</c:v>
                </c:pt>
                <c:pt idx="8">
                  <c:v>2351.31</c:v>
                </c:pt>
                <c:pt idx="9">
                  <c:v>2350.19</c:v>
                </c:pt>
                <c:pt idx="10">
                  <c:v>2289.9699999999998</c:v>
                </c:pt>
                <c:pt idx="11">
                  <c:v>2264.65</c:v>
                </c:pt>
                <c:pt idx="12">
                  <c:v>2255.98</c:v>
                </c:pt>
                <c:pt idx="13">
                  <c:v>2218.6799999999998</c:v>
                </c:pt>
                <c:pt idx="14">
                  <c:v>2225.67</c:v>
                </c:pt>
                <c:pt idx="15">
                  <c:v>2236.4</c:v>
                </c:pt>
                <c:pt idx="16">
                  <c:v>2280.4499999999998</c:v>
                </c:pt>
                <c:pt idx="17">
                  <c:v>2332.79</c:v>
                </c:pt>
                <c:pt idx="18">
                  <c:v>2317.14</c:v>
                </c:pt>
                <c:pt idx="19">
                  <c:v>2313.69</c:v>
                </c:pt>
                <c:pt idx="20">
                  <c:v>2356.73</c:v>
                </c:pt>
                <c:pt idx="21">
                  <c:v>2328.9499999999998</c:v>
                </c:pt>
                <c:pt idx="22">
                  <c:v>2333.29</c:v>
                </c:pt>
                <c:pt idx="23">
                  <c:v>2352.17</c:v>
                </c:pt>
                <c:pt idx="24">
                  <c:v>2360.02</c:v>
                </c:pt>
                <c:pt idx="25">
                  <c:v>2360.9699999999998</c:v>
                </c:pt>
                <c:pt idx="26">
                  <c:v>2399.25</c:v>
                </c:pt>
                <c:pt idx="27">
                  <c:v>2372.4</c:v>
                </c:pt>
                <c:pt idx="28">
                  <c:v>2373.02</c:v>
                </c:pt>
                <c:pt idx="29">
                  <c:v>2389.04</c:v>
                </c:pt>
                <c:pt idx="30">
                  <c:v>2371.08</c:v>
                </c:pt>
                <c:pt idx="31">
                  <c:v>2382.81</c:v>
                </c:pt>
                <c:pt idx="32">
                  <c:v>2393.16</c:v>
                </c:pt>
                <c:pt idx="33">
                  <c:v>2419.3200000000002</c:v>
                </c:pt>
                <c:pt idx="34">
                  <c:v>2434.33</c:v>
                </c:pt>
                <c:pt idx="35">
                  <c:v>2479.84</c:v>
                </c:pt>
                <c:pt idx="36">
                  <c:v>2472.5300000000002</c:v>
                </c:pt>
                <c:pt idx="37">
                  <c:v>2433.39</c:v>
                </c:pt>
                <c:pt idx="38">
                  <c:v>2408.27</c:v>
                </c:pt>
                <c:pt idx="39">
                  <c:v>2437.86</c:v>
                </c:pt>
                <c:pt idx="40">
                  <c:v>2441.33</c:v>
                </c:pt>
                <c:pt idx="41">
                  <c:v>2418.0100000000002</c:v>
                </c:pt>
                <c:pt idx="42">
                  <c:v>2405.27</c:v>
                </c:pt>
                <c:pt idx="43">
                  <c:v>2419.5</c:v>
                </c:pt>
                <c:pt idx="44">
                  <c:v>2444.48</c:v>
                </c:pt>
                <c:pt idx="45">
                  <c:v>2442.9</c:v>
                </c:pt>
                <c:pt idx="46">
                  <c:v>2477.4499999999998</c:v>
                </c:pt>
                <c:pt idx="47">
                  <c:v>2480.33</c:v>
                </c:pt>
                <c:pt idx="48">
                  <c:v>2474.65</c:v>
                </c:pt>
                <c:pt idx="49">
                  <c:v>2483.16</c:v>
                </c:pt>
                <c:pt idx="50">
                  <c:v>2402.23</c:v>
                </c:pt>
                <c:pt idx="51">
                  <c:v>2424.41</c:v>
                </c:pt>
                <c:pt idx="52">
                  <c:v>2399.04</c:v>
                </c:pt>
                <c:pt idx="53">
                  <c:v>2371.79</c:v>
                </c:pt>
                <c:pt idx="54">
                  <c:v>2348.4299999999998</c:v>
                </c:pt>
                <c:pt idx="55">
                  <c:v>2329.17</c:v>
                </c:pt>
                <c:pt idx="56">
                  <c:v>2336.87</c:v>
                </c:pt>
                <c:pt idx="57">
                  <c:v>2335.2199999999998</c:v>
                </c:pt>
                <c:pt idx="58">
                  <c:v>2293.61</c:v>
                </c:pt>
                <c:pt idx="59">
                  <c:v>2268.4</c:v>
                </c:pt>
                <c:pt idx="60">
                  <c:v>2288.7800000000002</c:v>
                </c:pt>
                <c:pt idx="61">
                  <c:v>2249.56</c:v>
                </c:pt>
                <c:pt idx="62">
                  <c:v>2235.0700000000002</c:v>
                </c:pt>
                <c:pt idx="63">
                  <c:v>2236.16</c:v>
                </c:pt>
                <c:pt idx="64">
                  <c:v>2213.12</c:v>
                </c:pt>
                <c:pt idx="65">
                  <c:v>2218.09</c:v>
                </c:pt>
                <c:pt idx="66">
                  <c:v>2237.44</c:v>
                </c:pt>
                <c:pt idx="67">
                  <c:v>2249.9499999999998</c:v>
                </c:pt>
                <c:pt idx="68">
                  <c:v>2219.71</c:v>
                </c:pt>
                <c:pt idx="69">
                  <c:v>2212.5500000000002</c:v>
                </c:pt>
                <c:pt idx="70">
                  <c:v>2162.87</c:v>
                </c:pt>
                <c:pt idx="71">
                  <c:v>2202.4699999999998</c:v>
                </c:pt>
                <c:pt idx="72">
                  <c:v>2192.0700000000002</c:v>
                </c:pt>
                <c:pt idx="73">
                  <c:v>2232.84</c:v>
                </c:pt>
                <c:pt idx="74">
                  <c:v>2237.86</c:v>
                </c:pt>
                <c:pt idx="75">
                  <c:v>2215.2199999999998</c:v>
                </c:pt>
                <c:pt idx="76">
                  <c:v>2209.38</c:v>
                </c:pt>
                <c:pt idx="77">
                  <c:v>2155.4899999999998</c:v>
                </c:pt>
                <c:pt idx="78">
                  <c:v>2170.9299999999998</c:v>
                </c:pt>
                <c:pt idx="79">
                  <c:v>2169.29</c:v>
                </c:pt>
                <c:pt idx="80">
                  <c:v>2223.86</c:v>
                </c:pt>
                <c:pt idx="81">
                  <c:v>2220.94</c:v>
                </c:pt>
                <c:pt idx="82">
                  <c:v>2290</c:v>
                </c:pt>
                <c:pt idx="83">
                  <c:v>2332.31</c:v>
                </c:pt>
                <c:pt idx="84">
                  <c:v>2347.21</c:v>
                </c:pt>
                <c:pt idx="85">
                  <c:v>2367.85</c:v>
                </c:pt>
                <c:pt idx="86">
                  <c:v>2355.66</c:v>
                </c:pt>
                <c:pt idx="87">
                  <c:v>2382.7800000000002</c:v>
                </c:pt>
                <c:pt idx="88">
                  <c:v>2401.83</c:v>
                </c:pt>
                <c:pt idx="89">
                  <c:v>2411.42</c:v>
                </c:pt>
                <c:pt idx="90">
                  <c:v>2449.54</c:v>
                </c:pt>
                <c:pt idx="91">
                  <c:v>2384.2800000000002</c:v>
                </c:pt>
                <c:pt idx="92">
                  <c:v>2376.46</c:v>
                </c:pt>
                <c:pt idx="93">
                  <c:v>2410.02</c:v>
                </c:pt>
                <c:pt idx="94">
                  <c:v>2403.6799999999998</c:v>
                </c:pt>
                <c:pt idx="95">
                  <c:v>2409.41</c:v>
                </c:pt>
                <c:pt idx="96">
                  <c:v>2415.61</c:v>
                </c:pt>
                <c:pt idx="97">
                  <c:v>2472.0500000000002</c:v>
                </c:pt>
                <c:pt idx="98">
                  <c:v>2450.9299999999998</c:v>
                </c:pt>
                <c:pt idx="99">
                  <c:v>2426.89</c:v>
                </c:pt>
                <c:pt idx="100">
                  <c:v>2481.0300000000002</c:v>
                </c:pt>
                <c:pt idx="101">
                  <c:v>2477.2600000000002</c:v>
                </c:pt>
                <c:pt idx="102">
                  <c:v>2447.4499999999998</c:v>
                </c:pt>
                <c:pt idx="103">
                  <c:v>2435.34</c:v>
                </c:pt>
                <c:pt idx="104">
                  <c:v>2462.5</c:v>
                </c:pt>
                <c:pt idx="105">
                  <c:v>2492.69</c:v>
                </c:pt>
                <c:pt idx="106">
                  <c:v>2508.0500000000002</c:v>
                </c:pt>
                <c:pt idx="107">
                  <c:v>2516.4699999999998</c:v>
                </c:pt>
                <c:pt idx="108">
                  <c:v>2533.52</c:v>
                </c:pt>
                <c:pt idx="109">
                  <c:v>2527.94</c:v>
                </c:pt>
                <c:pt idx="110">
                  <c:v>2523.7800000000002</c:v>
                </c:pt>
                <c:pt idx="111">
                  <c:v>2480.88</c:v>
                </c:pt>
                <c:pt idx="112">
                  <c:v>2503.46</c:v>
                </c:pt>
                <c:pt idx="113">
                  <c:v>2493.1</c:v>
                </c:pt>
                <c:pt idx="114">
                  <c:v>2490.8000000000002</c:v>
                </c:pt>
                <c:pt idx="115">
                  <c:v>2473.11</c:v>
                </c:pt>
                <c:pt idx="116">
                  <c:v>2461.4499999999998</c:v>
                </c:pt>
                <c:pt idx="117">
                  <c:v>2439.62</c:v>
                </c:pt>
                <c:pt idx="118">
                  <c:v>2452.25</c:v>
                </c:pt>
                <c:pt idx="119">
                  <c:v>2451.5</c:v>
                </c:pt>
                <c:pt idx="120">
                  <c:v>2435.27</c:v>
                </c:pt>
                <c:pt idx="121">
                  <c:v>2415.5300000000002</c:v>
                </c:pt>
                <c:pt idx="122">
                  <c:v>2412.96</c:v>
                </c:pt>
                <c:pt idx="123">
                  <c:v>2403.69</c:v>
                </c:pt>
                <c:pt idx="124">
                  <c:v>2393.14</c:v>
                </c:pt>
                <c:pt idx="125">
                  <c:v>2409.16</c:v>
                </c:pt>
                <c:pt idx="126">
                  <c:v>2386.85</c:v>
                </c:pt>
                <c:pt idx="127">
                  <c:v>2370.9699999999998</c:v>
                </c:pt>
                <c:pt idx="128">
                  <c:v>2375.25</c:v>
                </c:pt>
                <c:pt idx="129">
                  <c:v>2330.98</c:v>
                </c:pt>
                <c:pt idx="130">
                  <c:v>2322.3200000000002</c:v>
                </c:pt>
                <c:pt idx="131">
                  <c:v>2328.61</c:v>
                </c:pt>
                <c:pt idx="132">
                  <c:v>2317.7600000000002</c:v>
                </c:pt>
                <c:pt idx="133">
                  <c:v>2340.27</c:v>
                </c:pt>
                <c:pt idx="134">
                  <c:v>2350.61</c:v>
                </c:pt>
                <c:pt idx="135">
                  <c:v>2334.27</c:v>
                </c:pt>
                <c:pt idx="136">
                  <c:v>2292.0100000000002</c:v>
                </c:pt>
                <c:pt idx="137">
                  <c:v>2341.7800000000002</c:v>
                </c:pt>
                <c:pt idx="138">
                  <c:v>2300.34</c:v>
                </c:pt>
                <c:pt idx="139">
                  <c:v>2305.42</c:v>
                </c:pt>
                <c:pt idx="140">
                  <c:v>2332.64</c:v>
                </c:pt>
                <c:pt idx="141">
                  <c:v>2377.9899999999998</c:v>
                </c:pt>
                <c:pt idx="142">
                  <c:v>2422.09</c:v>
                </c:pt>
                <c:pt idx="143">
                  <c:v>2401.92</c:v>
                </c:pt>
                <c:pt idx="144">
                  <c:v>2366.6</c:v>
                </c:pt>
                <c:pt idx="145">
                  <c:v>2314.3200000000002</c:v>
                </c:pt>
                <c:pt idx="146">
                  <c:v>2342.81</c:v>
                </c:pt>
                <c:pt idx="147">
                  <c:v>2408.9299999999998</c:v>
                </c:pt>
                <c:pt idx="148">
                  <c:v>2391.0300000000002</c:v>
                </c:pt>
                <c:pt idx="149">
                  <c:v>2440.9299999999998</c:v>
                </c:pt>
                <c:pt idx="150">
                  <c:v>2451.41</c:v>
                </c:pt>
                <c:pt idx="151">
                  <c:v>2447.38</c:v>
                </c:pt>
                <c:pt idx="152">
                  <c:v>2492.9699999999998</c:v>
                </c:pt>
                <c:pt idx="153">
                  <c:v>2504.5100000000002</c:v>
                </c:pt>
                <c:pt idx="154">
                  <c:v>2595.87</c:v>
                </c:pt>
                <c:pt idx="155">
                  <c:v>2625.44</c:v>
                </c:pt>
                <c:pt idx="156">
                  <c:v>2626.15</c:v>
                </c:pt>
                <c:pt idx="157">
                  <c:v>2626.34</c:v>
                </c:pt>
                <c:pt idx="158">
                  <c:v>2670.65</c:v>
                </c:pt>
                <c:pt idx="159">
                  <c:v>2658.99</c:v>
                </c:pt>
                <c:pt idx="160">
                  <c:v>2685.9</c:v>
                </c:pt>
                <c:pt idx="161">
                  <c:v>2669.66</c:v>
                </c:pt>
                <c:pt idx="162">
                  <c:v>2638.05</c:v>
                </c:pt>
                <c:pt idx="163">
                  <c:v>2612.4499999999998</c:v>
                </c:pt>
                <c:pt idx="164">
                  <c:v>2617.2199999999998</c:v>
                </c:pt>
                <c:pt idx="165">
                  <c:v>2605.87</c:v>
                </c:pt>
                <c:pt idx="166">
                  <c:v>2647.38</c:v>
                </c:pt>
                <c:pt idx="167">
                  <c:v>2639.29</c:v>
                </c:pt>
                <c:pt idx="168">
                  <c:v>2592.34</c:v>
                </c:pt>
                <c:pt idx="169">
                  <c:v>2625.98</c:v>
                </c:pt>
                <c:pt idx="170">
                  <c:v>2620.44</c:v>
                </c:pt>
                <c:pt idx="171">
                  <c:v>2596.58</c:v>
                </c:pt>
                <c:pt idx="172">
                  <c:v>2604.2399999999998</c:v>
                </c:pt>
                <c:pt idx="173">
                  <c:v>2550.08</c:v>
                </c:pt>
                <c:pt idx="174">
                  <c:v>2592.27</c:v>
                </c:pt>
                <c:pt idx="175">
                  <c:v>2596.56</c:v>
                </c:pt>
                <c:pt idx="176">
                  <c:v>2610.81</c:v>
                </c:pt>
                <c:pt idx="177">
                  <c:v>2644.51</c:v>
                </c:pt>
                <c:pt idx="178">
                  <c:v>2677.57</c:v>
                </c:pt>
                <c:pt idx="179">
                  <c:v>2680.46</c:v>
                </c:pt>
                <c:pt idx="180">
                  <c:v>2687.45</c:v>
                </c:pt>
                <c:pt idx="181">
                  <c:v>2695.05</c:v>
                </c:pt>
                <c:pt idx="182">
                  <c:v>2667.49</c:v>
                </c:pt>
                <c:pt idx="183">
                  <c:v>2639.06</c:v>
                </c:pt>
                <c:pt idx="184">
                  <c:v>2668.31</c:v>
                </c:pt>
                <c:pt idx="185">
                  <c:v>2657.13</c:v>
                </c:pt>
                <c:pt idx="186">
                  <c:v>2704.71</c:v>
                </c:pt>
                <c:pt idx="187">
                  <c:v>2728.21</c:v>
                </c:pt>
                <c:pt idx="188">
                  <c:v>2718.69</c:v>
                </c:pt>
                <c:pt idx="189">
                  <c:v>2718.89</c:v>
                </c:pt>
                <c:pt idx="190">
                  <c:v>2693.21</c:v>
                </c:pt>
                <c:pt idx="191">
                  <c:v>2696.06</c:v>
                </c:pt>
                <c:pt idx="192">
                  <c:v>2716.71</c:v>
                </c:pt>
                <c:pt idx="193">
                  <c:v>2716.49</c:v>
                </c:pt>
                <c:pt idx="194">
                  <c:v>2666.76</c:v>
                </c:pt>
                <c:pt idx="195">
                  <c:v>2693.1</c:v>
                </c:pt>
                <c:pt idx="196">
                  <c:v>2700.39</c:v>
                </c:pt>
                <c:pt idx="197">
                  <c:v>2695.86</c:v>
                </c:pt>
                <c:pt idx="198">
                  <c:v>2735.03</c:v>
                </c:pt>
                <c:pt idx="199">
                  <c:v>2759.2</c:v>
                </c:pt>
                <c:pt idx="200">
                  <c:v>2757.9</c:v>
                </c:pt>
                <c:pt idx="201">
                  <c:v>2739.85</c:v>
                </c:pt>
                <c:pt idx="202">
                  <c:v>2757.65</c:v>
                </c:pt>
                <c:pt idx="203">
                  <c:v>2746.74</c:v>
                </c:pt>
                <c:pt idx="204">
                  <c:v>2741.07</c:v>
                </c:pt>
                <c:pt idx="205">
                  <c:v>2729.56</c:v>
                </c:pt>
                <c:pt idx="206">
                  <c:v>2729.98</c:v>
                </c:pt>
                <c:pt idx="207">
                  <c:v>2729.66</c:v>
                </c:pt>
                <c:pt idx="208">
                  <c:v>2735.05</c:v>
                </c:pt>
                <c:pt idx="209">
                  <c:v>2710</c:v>
                </c:pt>
                <c:pt idx="210">
                  <c:v>2686.05</c:v>
                </c:pt>
                <c:pt idx="211">
                  <c:v>2707.02</c:v>
                </c:pt>
                <c:pt idx="212">
                  <c:v>2694.51</c:v>
                </c:pt>
                <c:pt idx="213">
                  <c:v>2659.23</c:v>
                </c:pt>
                <c:pt idx="214">
                  <c:v>2621.53</c:v>
                </c:pt>
                <c:pt idx="215">
                  <c:v>2645.65</c:v>
                </c:pt>
                <c:pt idx="216">
                  <c:v>2661.28</c:v>
                </c:pt>
                <c:pt idx="217">
                  <c:v>2680.32</c:v>
                </c:pt>
                <c:pt idx="218">
                  <c:v>2622.4</c:v>
                </c:pt>
                <c:pt idx="219">
                  <c:v>2651.31</c:v>
                </c:pt>
                <c:pt idx="220">
                  <c:v>2713.43</c:v>
                </c:pt>
                <c:pt idx="221">
                  <c:v>2747.08</c:v>
                </c:pt>
                <c:pt idx="222">
                  <c:v>2703.52</c:v>
                </c:pt>
                <c:pt idx="223">
                  <c:v>2699.18</c:v>
                </c:pt>
                <c:pt idx="224">
                  <c:v>2676.76</c:v>
                </c:pt>
                <c:pt idx="225">
                  <c:v>2648.8</c:v>
                </c:pt>
                <c:pt idx="226">
                  <c:v>2719.53</c:v>
                </c:pt>
                <c:pt idx="227">
                  <c:v>2706.79</c:v>
                </c:pt>
                <c:pt idx="228">
                  <c:v>2743.8</c:v>
                </c:pt>
                <c:pt idx="229">
                  <c:v>2744.52</c:v>
                </c:pt>
                <c:pt idx="230">
                  <c:v>2744.09</c:v>
                </c:pt>
                <c:pt idx="231">
                  <c:v>2729.68</c:v>
                </c:pt>
                <c:pt idx="232">
                  <c:v>2676.54</c:v>
                </c:pt>
                <c:pt idx="233">
                  <c:v>2704.48</c:v>
                </c:pt>
                <c:pt idx="234">
                  <c:v>2747.71</c:v>
                </c:pt>
                <c:pt idx="235">
                  <c:v>2771.93</c:v>
                </c:pt>
                <c:pt idx="236">
                  <c:v>2768.85</c:v>
                </c:pt>
                <c:pt idx="237">
                  <c:v>2746.47</c:v>
                </c:pt>
                <c:pt idx="238">
                  <c:v>2745.06</c:v>
                </c:pt>
                <c:pt idx="239">
                  <c:v>2750.26</c:v>
                </c:pt>
                <c:pt idx="240">
                  <c:v>2707.82</c:v>
                </c:pt>
                <c:pt idx="241">
                  <c:v>2663.34</c:v>
                </c:pt>
                <c:pt idx="242">
                  <c:v>2614.4899999999998</c:v>
                </c:pt>
                <c:pt idx="243">
                  <c:v>2709.24</c:v>
                </c:pt>
                <c:pt idx="244">
                  <c:v>2720.39</c:v>
                </c:pt>
                <c:pt idx="245">
                  <c:v>2792</c:v>
                </c:pt>
              </c:numCache>
            </c:numRef>
          </c:val>
          <c:smooth val="0"/>
        </c:ser>
        <c:dLbls>
          <c:showLegendKey val="0"/>
          <c:showVal val="0"/>
          <c:showCatName val="0"/>
          <c:showSerName val="0"/>
          <c:showPercent val="0"/>
          <c:showBubbleSize val="0"/>
        </c:dLbls>
        <c:marker val="1"/>
        <c:smooth val="0"/>
        <c:axId val="154017152"/>
        <c:axId val="154031232"/>
      </c:lineChart>
      <c:dateAx>
        <c:axId val="154017152"/>
        <c:scaling>
          <c:orientation val="minMax"/>
        </c:scaling>
        <c:delete val="0"/>
        <c:axPos val="b"/>
        <c:numFmt formatCode="m/d/yyyy" sourceLinked="1"/>
        <c:majorTickMark val="out"/>
        <c:minorTickMark val="none"/>
        <c:tickLblPos val="nextTo"/>
        <c:txPr>
          <a:bodyPr/>
          <a:lstStyle/>
          <a:p>
            <a:pPr>
              <a:defRPr sz="800"/>
            </a:pPr>
            <a:endParaRPr lang="ko-KR"/>
          </a:p>
        </c:txPr>
        <c:crossAx val="154031232"/>
        <c:crosses val="autoZero"/>
        <c:auto val="1"/>
        <c:lblOffset val="100"/>
        <c:baseTimeUnit val="days"/>
        <c:majorUnit val="2"/>
        <c:majorTimeUnit val="months"/>
        <c:minorUnit val="3"/>
        <c:minorTimeUnit val="months"/>
      </c:dateAx>
      <c:valAx>
        <c:axId val="154031232"/>
        <c:scaling>
          <c:orientation val="minMax"/>
        </c:scaling>
        <c:delete val="0"/>
        <c:axPos val="l"/>
        <c:numFmt formatCode="@" sourceLinked="1"/>
        <c:majorTickMark val="out"/>
        <c:minorTickMark val="none"/>
        <c:tickLblPos val="nextTo"/>
        <c:txPr>
          <a:bodyPr/>
          <a:lstStyle/>
          <a:p>
            <a:pPr>
              <a:defRPr sz="800"/>
            </a:pPr>
            <a:endParaRPr lang="ko-KR"/>
          </a:p>
        </c:txPr>
        <c:crossAx val="154017152"/>
        <c:crosses val="autoZero"/>
        <c:crossBetween val="between"/>
      </c:valAx>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ko-KR" altLang="en-US" sz="1100"/>
              <a:t>투자자 순매수</a:t>
            </a:r>
          </a:p>
        </c:rich>
      </c:tx>
      <c:overlay val="1"/>
    </c:title>
    <c:autoTitleDeleted val="0"/>
    <c:plotArea>
      <c:layout>
        <c:manualLayout>
          <c:layoutTarget val="inner"/>
          <c:xMode val="edge"/>
          <c:yMode val="edge"/>
          <c:x val="0.11329011683525889"/>
          <c:y val="6.6675978189976129E-2"/>
          <c:w val="0.8512580101332734"/>
          <c:h val="0.59408654193455179"/>
        </c:manualLayout>
      </c:layout>
      <c:lineChart>
        <c:grouping val="standard"/>
        <c:varyColors val="0"/>
        <c:ser>
          <c:idx val="0"/>
          <c:order val="0"/>
          <c:tx>
            <c:strRef>
              <c:f>연습!$BG$6</c:f>
              <c:strCache>
                <c:ptCount val="1"/>
                <c:pt idx="0">
                  <c:v>외국인</c:v>
                </c:pt>
              </c:strCache>
            </c:strRef>
          </c:tx>
          <c:spPr>
            <a:ln w="19050">
              <a:solidFill>
                <a:srgbClr val="0066CC"/>
              </a:solidFill>
            </a:ln>
          </c:spPr>
          <c:marker>
            <c:symbol val="none"/>
          </c:marker>
          <c:cat>
            <c:numRef>
              <c:f>연습!$AW$7:$BF$68</c:f>
              <c:numCache>
                <c:formatCode>m/d/yyyy</c:formatCode>
                <c:ptCount val="62"/>
                <c:pt idx="0">
                  <c:v>44946</c:v>
                </c:pt>
                <c:pt idx="1">
                  <c:v>44945</c:v>
                </c:pt>
                <c:pt idx="2">
                  <c:v>44944</c:v>
                </c:pt>
                <c:pt idx="3">
                  <c:v>44943</c:v>
                </c:pt>
                <c:pt idx="4">
                  <c:v>44942</c:v>
                </c:pt>
                <c:pt idx="5">
                  <c:v>44939</c:v>
                </c:pt>
                <c:pt idx="6">
                  <c:v>44938</c:v>
                </c:pt>
                <c:pt idx="7">
                  <c:v>44937</c:v>
                </c:pt>
                <c:pt idx="8">
                  <c:v>44936</c:v>
                </c:pt>
                <c:pt idx="9">
                  <c:v>44935</c:v>
                </c:pt>
                <c:pt idx="10">
                  <c:v>44932</c:v>
                </c:pt>
                <c:pt idx="11">
                  <c:v>44931</c:v>
                </c:pt>
                <c:pt idx="12">
                  <c:v>44930</c:v>
                </c:pt>
                <c:pt idx="13">
                  <c:v>44929</c:v>
                </c:pt>
                <c:pt idx="14">
                  <c:v>44928</c:v>
                </c:pt>
                <c:pt idx="15">
                  <c:v>44924</c:v>
                </c:pt>
                <c:pt idx="16">
                  <c:v>44923</c:v>
                </c:pt>
                <c:pt idx="17">
                  <c:v>44922</c:v>
                </c:pt>
                <c:pt idx="18">
                  <c:v>44921</c:v>
                </c:pt>
                <c:pt idx="19">
                  <c:v>44918</c:v>
                </c:pt>
                <c:pt idx="20">
                  <c:v>44917</c:v>
                </c:pt>
                <c:pt idx="21">
                  <c:v>44916</c:v>
                </c:pt>
                <c:pt idx="22">
                  <c:v>44915</c:v>
                </c:pt>
                <c:pt idx="23">
                  <c:v>44914</c:v>
                </c:pt>
                <c:pt idx="24">
                  <c:v>44911</c:v>
                </c:pt>
                <c:pt idx="25">
                  <c:v>44910</c:v>
                </c:pt>
                <c:pt idx="26">
                  <c:v>44909</c:v>
                </c:pt>
                <c:pt idx="27">
                  <c:v>44908</c:v>
                </c:pt>
                <c:pt idx="28">
                  <c:v>44907</c:v>
                </c:pt>
                <c:pt idx="29">
                  <c:v>44904</c:v>
                </c:pt>
                <c:pt idx="30">
                  <c:v>44903</c:v>
                </c:pt>
                <c:pt idx="31">
                  <c:v>44902</c:v>
                </c:pt>
                <c:pt idx="32">
                  <c:v>44901</c:v>
                </c:pt>
                <c:pt idx="33">
                  <c:v>44900</c:v>
                </c:pt>
                <c:pt idx="34">
                  <c:v>44897</c:v>
                </c:pt>
                <c:pt idx="35">
                  <c:v>44896</c:v>
                </c:pt>
                <c:pt idx="36">
                  <c:v>44895</c:v>
                </c:pt>
                <c:pt idx="37">
                  <c:v>44894</c:v>
                </c:pt>
                <c:pt idx="38">
                  <c:v>44893</c:v>
                </c:pt>
                <c:pt idx="39">
                  <c:v>44890</c:v>
                </c:pt>
                <c:pt idx="40">
                  <c:v>44889</c:v>
                </c:pt>
                <c:pt idx="41">
                  <c:v>44888</c:v>
                </c:pt>
                <c:pt idx="42">
                  <c:v>44887</c:v>
                </c:pt>
                <c:pt idx="43">
                  <c:v>44886</c:v>
                </c:pt>
                <c:pt idx="44">
                  <c:v>44883</c:v>
                </c:pt>
                <c:pt idx="45">
                  <c:v>44882</c:v>
                </c:pt>
                <c:pt idx="46">
                  <c:v>44881</c:v>
                </c:pt>
                <c:pt idx="47">
                  <c:v>44880</c:v>
                </c:pt>
                <c:pt idx="48">
                  <c:v>44879</c:v>
                </c:pt>
                <c:pt idx="49">
                  <c:v>44876</c:v>
                </c:pt>
                <c:pt idx="50">
                  <c:v>44875</c:v>
                </c:pt>
                <c:pt idx="51">
                  <c:v>44874</c:v>
                </c:pt>
                <c:pt idx="52">
                  <c:v>44873</c:v>
                </c:pt>
                <c:pt idx="53">
                  <c:v>44872</c:v>
                </c:pt>
                <c:pt idx="54">
                  <c:v>44869</c:v>
                </c:pt>
                <c:pt idx="55">
                  <c:v>44868</c:v>
                </c:pt>
                <c:pt idx="56">
                  <c:v>44867</c:v>
                </c:pt>
                <c:pt idx="57">
                  <c:v>44866</c:v>
                </c:pt>
                <c:pt idx="58">
                  <c:v>44865</c:v>
                </c:pt>
                <c:pt idx="59">
                  <c:v>44862</c:v>
                </c:pt>
                <c:pt idx="60">
                  <c:v>44861</c:v>
                </c:pt>
                <c:pt idx="61">
                  <c:v>44860</c:v>
                </c:pt>
              </c:numCache>
            </c:numRef>
          </c:cat>
          <c:val>
            <c:numRef>
              <c:f>연습!$BG$7:$BG$68</c:f>
              <c:numCache>
                <c:formatCode>General</c:formatCode>
                <c:ptCount val="62"/>
                <c:pt idx="0">
                  <c:v>230834</c:v>
                </c:pt>
                <c:pt idx="1">
                  <c:v>570305</c:v>
                </c:pt>
                <c:pt idx="2">
                  <c:v>72844</c:v>
                </c:pt>
                <c:pt idx="3">
                  <c:v>177097</c:v>
                </c:pt>
                <c:pt idx="4">
                  <c:v>287875</c:v>
                </c:pt>
                <c:pt idx="5">
                  <c:v>568167</c:v>
                </c:pt>
                <c:pt idx="6">
                  <c:v>484324</c:v>
                </c:pt>
                <c:pt idx="7">
                  <c:v>33623</c:v>
                </c:pt>
                <c:pt idx="8">
                  <c:v>-2229</c:v>
                </c:pt>
                <c:pt idx="9">
                  <c:v>651748</c:v>
                </c:pt>
                <c:pt idx="10">
                  <c:v>314060</c:v>
                </c:pt>
                <c:pt idx="11">
                  <c:v>503160</c:v>
                </c:pt>
                <c:pt idx="12">
                  <c:v>260666</c:v>
                </c:pt>
                <c:pt idx="13">
                  <c:v>91761</c:v>
                </c:pt>
                <c:pt idx="14">
                  <c:v>6601</c:v>
                </c:pt>
                <c:pt idx="15">
                  <c:v>-140280</c:v>
                </c:pt>
                <c:pt idx="16">
                  <c:v>-303408</c:v>
                </c:pt>
                <c:pt idx="17">
                  <c:v>48276</c:v>
                </c:pt>
                <c:pt idx="18">
                  <c:v>-40576</c:v>
                </c:pt>
                <c:pt idx="19">
                  <c:v>-69635</c:v>
                </c:pt>
                <c:pt idx="20">
                  <c:v>-5702</c:v>
                </c:pt>
                <c:pt idx="21">
                  <c:v>-103302</c:v>
                </c:pt>
                <c:pt idx="22">
                  <c:v>-104468</c:v>
                </c:pt>
                <c:pt idx="23">
                  <c:v>-24134</c:v>
                </c:pt>
                <c:pt idx="24">
                  <c:v>292220</c:v>
                </c:pt>
                <c:pt idx="25">
                  <c:v>-56186</c:v>
                </c:pt>
                <c:pt idx="26">
                  <c:v>231782</c:v>
                </c:pt>
                <c:pt idx="27">
                  <c:v>-111780</c:v>
                </c:pt>
                <c:pt idx="28">
                  <c:v>17103</c:v>
                </c:pt>
                <c:pt idx="29">
                  <c:v>99500</c:v>
                </c:pt>
                <c:pt idx="30">
                  <c:v>-476145</c:v>
                </c:pt>
                <c:pt idx="31">
                  <c:v>-196153</c:v>
                </c:pt>
                <c:pt idx="32">
                  <c:v>-96803</c:v>
                </c:pt>
                <c:pt idx="33">
                  <c:v>-293118</c:v>
                </c:pt>
                <c:pt idx="34">
                  <c:v>-403398</c:v>
                </c:pt>
                <c:pt idx="35">
                  <c:v>32557</c:v>
                </c:pt>
                <c:pt idx="36">
                  <c:v>1128604</c:v>
                </c:pt>
                <c:pt idx="37">
                  <c:v>60107</c:v>
                </c:pt>
                <c:pt idx="38">
                  <c:v>-122562</c:v>
                </c:pt>
                <c:pt idx="39">
                  <c:v>313052</c:v>
                </c:pt>
                <c:pt idx="40">
                  <c:v>126297</c:v>
                </c:pt>
                <c:pt idx="41">
                  <c:v>90288</c:v>
                </c:pt>
                <c:pt idx="42">
                  <c:v>15747</c:v>
                </c:pt>
                <c:pt idx="43">
                  <c:v>-164942</c:v>
                </c:pt>
                <c:pt idx="44">
                  <c:v>199529</c:v>
                </c:pt>
                <c:pt idx="45">
                  <c:v>-382029</c:v>
                </c:pt>
                <c:pt idx="46">
                  <c:v>88400</c:v>
                </c:pt>
                <c:pt idx="47">
                  <c:v>-235609</c:v>
                </c:pt>
                <c:pt idx="48">
                  <c:v>143156</c:v>
                </c:pt>
                <c:pt idx="49">
                  <c:v>700349</c:v>
                </c:pt>
                <c:pt idx="50">
                  <c:v>-108199</c:v>
                </c:pt>
                <c:pt idx="51">
                  <c:v>414668</c:v>
                </c:pt>
                <c:pt idx="52">
                  <c:v>278067</c:v>
                </c:pt>
                <c:pt idx="53">
                  <c:v>111968</c:v>
                </c:pt>
                <c:pt idx="54">
                  <c:v>42045</c:v>
                </c:pt>
                <c:pt idx="55">
                  <c:v>173497</c:v>
                </c:pt>
                <c:pt idx="56">
                  <c:v>524088</c:v>
                </c:pt>
                <c:pt idx="57">
                  <c:v>492385</c:v>
                </c:pt>
                <c:pt idx="58">
                  <c:v>230291</c:v>
                </c:pt>
                <c:pt idx="59">
                  <c:v>-192115</c:v>
                </c:pt>
                <c:pt idx="60">
                  <c:v>378686</c:v>
                </c:pt>
                <c:pt idx="61">
                  <c:v>600311</c:v>
                </c:pt>
              </c:numCache>
            </c:numRef>
          </c:val>
          <c:smooth val="0"/>
        </c:ser>
        <c:ser>
          <c:idx val="1"/>
          <c:order val="1"/>
          <c:tx>
            <c:strRef>
              <c:f>연습!$BH$6</c:f>
              <c:strCache>
                <c:ptCount val="1"/>
                <c:pt idx="0">
                  <c:v>증권</c:v>
                </c:pt>
              </c:strCache>
            </c:strRef>
          </c:tx>
          <c:spPr>
            <a:ln w="19050">
              <a:solidFill>
                <a:srgbClr val="FF6600"/>
              </a:solidFill>
            </a:ln>
          </c:spPr>
          <c:marker>
            <c:symbol val="none"/>
          </c:marker>
          <c:cat>
            <c:numRef>
              <c:f>연습!$AW$7:$BF$68</c:f>
              <c:numCache>
                <c:formatCode>m/d/yyyy</c:formatCode>
                <c:ptCount val="62"/>
                <c:pt idx="0">
                  <c:v>44946</c:v>
                </c:pt>
                <c:pt idx="1">
                  <c:v>44945</c:v>
                </c:pt>
                <c:pt idx="2">
                  <c:v>44944</c:v>
                </c:pt>
                <c:pt idx="3">
                  <c:v>44943</c:v>
                </c:pt>
                <c:pt idx="4">
                  <c:v>44942</c:v>
                </c:pt>
                <c:pt idx="5">
                  <c:v>44939</c:v>
                </c:pt>
                <c:pt idx="6">
                  <c:v>44938</c:v>
                </c:pt>
                <c:pt idx="7">
                  <c:v>44937</c:v>
                </c:pt>
                <c:pt idx="8">
                  <c:v>44936</c:v>
                </c:pt>
                <c:pt idx="9">
                  <c:v>44935</c:v>
                </c:pt>
                <c:pt idx="10">
                  <c:v>44932</c:v>
                </c:pt>
                <c:pt idx="11">
                  <c:v>44931</c:v>
                </c:pt>
                <c:pt idx="12">
                  <c:v>44930</c:v>
                </c:pt>
                <c:pt idx="13">
                  <c:v>44929</c:v>
                </c:pt>
                <c:pt idx="14">
                  <c:v>44928</c:v>
                </c:pt>
                <c:pt idx="15">
                  <c:v>44924</c:v>
                </c:pt>
                <c:pt idx="16">
                  <c:v>44923</c:v>
                </c:pt>
                <c:pt idx="17">
                  <c:v>44922</c:v>
                </c:pt>
                <c:pt idx="18">
                  <c:v>44921</c:v>
                </c:pt>
                <c:pt idx="19">
                  <c:v>44918</c:v>
                </c:pt>
                <c:pt idx="20">
                  <c:v>44917</c:v>
                </c:pt>
                <c:pt idx="21">
                  <c:v>44916</c:v>
                </c:pt>
                <c:pt idx="22">
                  <c:v>44915</c:v>
                </c:pt>
                <c:pt idx="23">
                  <c:v>44914</c:v>
                </c:pt>
                <c:pt idx="24">
                  <c:v>44911</c:v>
                </c:pt>
                <c:pt idx="25">
                  <c:v>44910</c:v>
                </c:pt>
                <c:pt idx="26">
                  <c:v>44909</c:v>
                </c:pt>
                <c:pt idx="27">
                  <c:v>44908</c:v>
                </c:pt>
                <c:pt idx="28">
                  <c:v>44907</c:v>
                </c:pt>
                <c:pt idx="29">
                  <c:v>44904</c:v>
                </c:pt>
                <c:pt idx="30">
                  <c:v>44903</c:v>
                </c:pt>
                <c:pt idx="31">
                  <c:v>44902</c:v>
                </c:pt>
                <c:pt idx="32">
                  <c:v>44901</c:v>
                </c:pt>
                <c:pt idx="33">
                  <c:v>44900</c:v>
                </c:pt>
                <c:pt idx="34">
                  <c:v>44897</c:v>
                </c:pt>
                <c:pt idx="35">
                  <c:v>44896</c:v>
                </c:pt>
                <c:pt idx="36">
                  <c:v>44895</c:v>
                </c:pt>
                <c:pt idx="37">
                  <c:v>44894</c:v>
                </c:pt>
                <c:pt idx="38">
                  <c:v>44893</c:v>
                </c:pt>
                <c:pt idx="39">
                  <c:v>44890</c:v>
                </c:pt>
                <c:pt idx="40">
                  <c:v>44889</c:v>
                </c:pt>
                <c:pt idx="41">
                  <c:v>44888</c:v>
                </c:pt>
                <c:pt idx="42">
                  <c:v>44887</c:v>
                </c:pt>
                <c:pt idx="43">
                  <c:v>44886</c:v>
                </c:pt>
                <c:pt idx="44">
                  <c:v>44883</c:v>
                </c:pt>
                <c:pt idx="45">
                  <c:v>44882</c:v>
                </c:pt>
                <c:pt idx="46">
                  <c:v>44881</c:v>
                </c:pt>
                <c:pt idx="47">
                  <c:v>44880</c:v>
                </c:pt>
                <c:pt idx="48">
                  <c:v>44879</c:v>
                </c:pt>
                <c:pt idx="49">
                  <c:v>44876</c:v>
                </c:pt>
                <c:pt idx="50">
                  <c:v>44875</c:v>
                </c:pt>
                <c:pt idx="51">
                  <c:v>44874</c:v>
                </c:pt>
                <c:pt idx="52">
                  <c:v>44873</c:v>
                </c:pt>
                <c:pt idx="53">
                  <c:v>44872</c:v>
                </c:pt>
                <c:pt idx="54">
                  <c:v>44869</c:v>
                </c:pt>
                <c:pt idx="55">
                  <c:v>44868</c:v>
                </c:pt>
                <c:pt idx="56">
                  <c:v>44867</c:v>
                </c:pt>
                <c:pt idx="57">
                  <c:v>44866</c:v>
                </c:pt>
                <c:pt idx="58">
                  <c:v>44865</c:v>
                </c:pt>
                <c:pt idx="59">
                  <c:v>44862</c:v>
                </c:pt>
                <c:pt idx="60">
                  <c:v>44861</c:v>
                </c:pt>
                <c:pt idx="61">
                  <c:v>44860</c:v>
                </c:pt>
              </c:numCache>
            </c:numRef>
          </c:cat>
          <c:val>
            <c:numRef>
              <c:f>연습!$BH$7:$BH$68</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smooth val="0"/>
        </c:ser>
        <c:ser>
          <c:idx val="2"/>
          <c:order val="2"/>
          <c:tx>
            <c:strRef>
              <c:f>연습!$BI$6</c:f>
              <c:strCache>
                <c:ptCount val="1"/>
                <c:pt idx="0">
                  <c:v>은행</c:v>
                </c:pt>
              </c:strCache>
            </c:strRef>
          </c:tx>
          <c:spPr>
            <a:ln w="19050"/>
          </c:spPr>
          <c:marker>
            <c:symbol val="none"/>
          </c:marker>
          <c:cat>
            <c:numRef>
              <c:f>연습!$AW$7:$BF$68</c:f>
              <c:numCache>
                <c:formatCode>m/d/yyyy</c:formatCode>
                <c:ptCount val="62"/>
                <c:pt idx="0">
                  <c:v>44946</c:v>
                </c:pt>
                <c:pt idx="1">
                  <c:v>44945</c:v>
                </c:pt>
                <c:pt idx="2">
                  <c:v>44944</c:v>
                </c:pt>
                <c:pt idx="3">
                  <c:v>44943</c:v>
                </c:pt>
                <c:pt idx="4">
                  <c:v>44942</c:v>
                </c:pt>
                <c:pt idx="5">
                  <c:v>44939</c:v>
                </c:pt>
                <c:pt idx="6">
                  <c:v>44938</c:v>
                </c:pt>
                <c:pt idx="7">
                  <c:v>44937</c:v>
                </c:pt>
                <c:pt idx="8">
                  <c:v>44936</c:v>
                </c:pt>
                <c:pt idx="9">
                  <c:v>44935</c:v>
                </c:pt>
                <c:pt idx="10">
                  <c:v>44932</c:v>
                </c:pt>
                <c:pt idx="11">
                  <c:v>44931</c:v>
                </c:pt>
                <c:pt idx="12">
                  <c:v>44930</c:v>
                </c:pt>
                <c:pt idx="13">
                  <c:v>44929</c:v>
                </c:pt>
                <c:pt idx="14">
                  <c:v>44928</c:v>
                </c:pt>
                <c:pt idx="15">
                  <c:v>44924</c:v>
                </c:pt>
                <c:pt idx="16">
                  <c:v>44923</c:v>
                </c:pt>
                <c:pt idx="17">
                  <c:v>44922</c:v>
                </c:pt>
                <c:pt idx="18">
                  <c:v>44921</c:v>
                </c:pt>
                <c:pt idx="19">
                  <c:v>44918</c:v>
                </c:pt>
                <c:pt idx="20">
                  <c:v>44917</c:v>
                </c:pt>
                <c:pt idx="21">
                  <c:v>44916</c:v>
                </c:pt>
                <c:pt idx="22">
                  <c:v>44915</c:v>
                </c:pt>
                <c:pt idx="23">
                  <c:v>44914</c:v>
                </c:pt>
                <c:pt idx="24">
                  <c:v>44911</c:v>
                </c:pt>
                <c:pt idx="25">
                  <c:v>44910</c:v>
                </c:pt>
                <c:pt idx="26">
                  <c:v>44909</c:v>
                </c:pt>
                <c:pt idx="27">
                  <c:v>44908</c:v>
                </c:pt>
                <c:pt idx="28">
                  <c:v>44907</c:v>
                </c:pt>
                <c:pt idx="29">
                  <c:v>44904</c:v>
                </c:pt>
                <c:pt idx="30">
                  <c:v>44903</c:v>
                </c:pt>
                <c:pt idx="31">
                  <c:v>44902</c:v>
                </c:pt>
                <c:pt idx="32">
                  <c:v>44901</c:v>
                </c:pt>
                <c:pt idx="33">
                  <c:v>44900</c:v>
                </c:pt>
                <c:pt idx="34">
                  <c:v>44897</c:v>
                </c:pt>
                <c:pt idx="35">
                  <c:v>44896</c:v>
                </c:pt>
                <c:pt idx="36">
                  <c:v>44895</c:v>
                </c:pt>
                <c:pt idx="37">
                  <c:v>44894</c:v>
                </c:pt>
                <c:pt idx="38">
                  <c:v>44893</c:v>
                </c:pt>
                <c:pt idx="39">
                  <c:v>44890</c:v>
                </c:pt>
                <c:pt idx="40">
                  <c:v>44889</c:v>
                </c:pt>
                <c:pt idx="41">
                  <c:v>44888</c:v>
                </c:pt>
                <c:pt idx="42">
                  <c:v>44887</c:v>
                </c:pt>
                <c:pt idx="43">
                  <c:v>44886</c:v>
                </c:pt>
                <c:pt idx="44">
                  <c:v>44883</c:v>
                </c:pt>
                <c:pt idx="45">
                  <c:v>44882</c:v>
                </c:pt>
                <c:pt idx="46">
                  <c:v>44881</c:v>
                </c:pt>
                <c:pt idx="47">
                  <c:v>44880</c:v>
                </c:pt>
                <c:pt idx="48">
                  <c:v>44879</c:v>
                </c:pt>
                <c:pt idx="49">
                  <c:v>44876</c:v>
                </c:pt>
                <c:pt idx="50">
                  <c:v>44875</c:v>
                </c:pt>
                <c:pt idx="51">
                  <c:v>44874</c:v>
                </c:pt>
                <c:pt idx="52">
                  <c:v>44873</c:v>
                </c:pt>
                <c:pt idx="53">
                  <c:v>44872</c:v>
                </c:pt>
                <c:pt idx="54">
                  <c:v>44869</c:v>
                </c:pt>
                <c:pt idx="55">
                  <c:v>44868</c:v>
                </c:pt>
                <c:pt idx="56">
                  <c:v>44867</c:v>
                </c:pt>
                <c:pt idx="57">
                  <c:v>44866</c:v>
                </c:pt>
                <c:pt idx="58">
                  <c:v>44865</c:v>
                </c:pt>
                <c:pt idx="59">
                  <c:v>44862</c:v>
                </c:pt>
                <c:pt idx="60">
                  <c:v>44861</c:v>
                </c:pt>
                <c:pt idx="61">
                  <c:v>44860</c:v>
                </c:pt>
              </c:numCache>
            </c:numRef>
          </c:cat>
          <c:val>
            <c:numRef>
              <c:f>연습!$BI$7:$BI$68</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smooth val="0"/>
        </c:ser>
        <c:ser>
          <c:idx val="3"/>
          <c:order val="3"/>
          <c:tx>
            <c:strRef>
              <c:f>연습!$BJ$6</c:f>
              <c:strCache>
                <c:ptCount val="1"/>
                <c:pt idx="0">
                  <c:v>보험</c:v>
                </c:pt>
              </c:strCache>
            </c:strRef>
          </c:tx>
          <c:spPr>
            <a:ln w="19050">
              <a:solidFill>
                <a:srgbClr val="7030A0"/>
              </a:solidFill>
            </a:ln>
          </c:spPr>
          <c:marker>
            <c:symbol val="none"/>
          </c:marker>
          <c:cat>
            <c:numRef>
              <c:f>연습!$AW$7:$BF$68</c:f>
              <c:numCache>
                <c:formatCode>m/d/yyyy</c:formatCode>
                <c:ptCount val="62"/>
                <c:pt idx="0">
                  <c:v>44946</c:v>
                </c:pt>
                <c:pt idx="1">
                  <c:v>44945</c:v>
                </c:pt>
                <c:pt idx="2">
                  <c:v>44944</c:v>
                </c:pt>
                <c:pt idx="3">
                  <c:v>44943</c:v>
                </c:pt>
                <c:pt idx="4">
                  <c:v>44942</c:v>
                </c:pt>
                <c:pt idx="5">
                  <c:v>44939</c:v>
                </c:pt>
                <c:pt idx="6">
                  <c:v>44938</c:v>
                </c:pt>
                <c:pt idx="7">
                  <c:v>44937</c:v>
                </c:pt>
                <c:pt idx="8">
                  <c:v>44936</c:v>
                </c:pt>
                <c:pt idx="9">
                  <c:v>44935</c:v>
                </c:pt>
                <c:pt idx="10">
                  <c:v>44932</c:v>
                </c:pt>
                <c:pt idx="11">
                  <c:v>44931</c:v>
                </c:pt>
                <c:pt idx="12">
                  <c:v>44930</c:v>
                </c:pt>
                <c:pt idx="13">
                  <c:v>44929</c:v>
                </c:pt>
                <c:pt idx="14">
                  <c:v>44928</c:v>
                </c:pt>
                <c:pt idx="15">
                  <c:v>44924</c:v>
                </c:pt>
                <c:pt idx="16">
                  <c:v>44923</c:v>
                </c:pt>
                <c:pt idx="17">
                  <c:v>44922</c:v>
                </c:pt>
                <c:pt idx="18">
                  <c:v>44921</c:v>
                </c:pt>
                <c:pt idx="19">
                  <c:v>44918</c:v>
                </c:pt>
                <c:pt idx="20">
                  <c:v>44917</c:v>
                </c:pt>
                <c:pt idx="21">
                  <c:v>44916</c:v>
                </c:pt>
                <c:pt idx="22">
                  <c:v>44915</c:v>
                </c:pt>
                <c:pt idx="23">
                  <c:v>44914</c:v>
                </c:pt>
                <c:pt idx="24">
                  <c:v>44911</c:v>
                </c:pt>
                <c:pt idx="25">
                  <c:v>44910</c:v>
                </c:pt>
                <c:pt idx="26">
                  <c:v>44909</c:v>
                </c:pt>
                <c:pt idx="27">
                  <c:v>44908</c:v>
                </c:pt>
                <c:pt idx="28">
                  <c:v>44907</c:v>
                </c:pt>
                <c:pt idx="29">
                  <c:v>44904</c:v>
                </c:pt>
                <c:pt idx="30">
                  <c:v>44903</c:v>
                </c:pt>
                <c:pt idx="31">
                  <c:v>44902</c:v>
                </c:pt>
                <c:pt idx="32">
                  <c:v>44901</c:v>
                </c:pt>
                <c:pt idx="33">
                  <c:v>44900</c:v>
                </c:pt>
                <c:pt idx="34">
                  <c:v>44897</c:v>
                </c:pt>
                <c:pt idx="35">
                  <c:v>44896</c:v>
                </c:pt>
                <c:pt idx="36">
                  <c:v>44895</c:v>
                </c:pt>
                <c:pt idx="37">
                  <c:v>44894</c:v>
                </c:pt>
                <c:pt idx="38">
                  <c:v>44893</c:v>
                </c:pt>
                <c:pt idx="39">
                  <c:v>44890</c:v>
                </c:pt>
                <c:pt idx="40">
                  <c:v>44889</c:v>
                </c:pt>
                <c:pt idx="41">
                  <c:v>44888</c:v>
                </c:pt>
                <c:pt idx="42">
                  <c:v>44887</c:v>
                </c:pt>
                <c:pt idx="43">
                  <c:v>44886</c:v>
                </c:pt>
                <c:pt idx="44">
                  <c:v>44883</c:v>
                </c:pt>
                <c:pt idx="45">
                  <c:v>44882</c:v>
                </c:pt>
                <c:pt idx="46">
                  <c:v>44881</c:v>
                </c:pt>
                <c:pt idx="47">
                  <c:v>44880</c:v>
                </c:pt>
                <c:pt idx="48">
                  <c:v>44879</c:v>
                </c:pt>
                <c:pt idx="49">
                  <c:v>44876</c:v>
                </c:pt>
                <c:pt idx="50">
                  <c:v>44875</c:v>
                </c:pt>
                <c:pt idx="51">
                  <c:v>44874</c:v>
                </c:pt>
                <c:pt idx="52">
                  <c:v>44873</c:v>
                </c:pt>
                <c:pt idx="53">
                  <c:v>44872</c:v>
                </c:pt>
                <c:pt idx="54">
                  <c:v>44869</c:v>
                </c:pt>
                <c:pt idx="55">
                  <c:v>44868</c:v>
                </c:pt>
                <c:pt idx="56">
                  <c:v>44867</c:v>
                </c:pt>
                <c:pt idx="57">
                  <c:v>44866</c:v>
                </c:pt>
                <c:pt idx="58">
                  <c:v>44865</c:v>
                </c:pt>
                <c:pt idx="59">
                  <c:v>44862</c:v>
                </c:pt>
                <c:pt idx="60">
                  <c:v>44861</c:v>
                </c:pt>
                <c:pt idx="61">
                  <c:v>44860</c:v>
                </c:pt>
              </c:numCache>
            </c:numRef>
          </c:cat>
          <c:val>
            <c:numRef>
              <c:f>연습!$BJ$7:$BJ$68</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smooth val="0"/>
        </c:ser>
        <c:ser>
          <c:idx val="4"/>
          <c:order val="4"/>
          <c:tx>
            <c:strRef>
              <c:f>연습!$BK$6</c:f>
              <c:strCache>
                <c:ptCount val="1"/>
                <c:pt idx="0">
                  <c:v>투신</c:v>
                </c:pt>
              </c:strCache>
            </c:strRef>
          </c:tx>
          <c:spPr>
            <a:ln w="19050">
              <a:solidFill>
                <a:srgbClr val="339966"/>
              </a:solidFill>
            </a:ln>
          </c:spPr>
          <c:marker>
            <c:symbol val="none"/>
          </c:marker>
          <c:cat>
            <c:numRef>
              <c:f>연습!$AW$7:$BF$68</c:f>
              <c:numCache>
                <c:formatCode>m/d/yyyy</c:formatCode>
                <c:ptCount val="62"/>
                <c:pt idx="0">
                  <c:v>44946</c:v>
                </c:pt>
                <c:pt idx="1">
                  <c:v>44945</c:v>
                </c:pt>
                <c:pt idx="2">
                  <c:v>44944</c:v>
                </c:pt>
                <c:pt idx="3">
                  <c:v>44943</c:v>
                </c:pt>
                <c:pt idx="4">
                  <c:v>44942</c:v>
                </c:pt>
                <c:pt idx="5">
                  <c:v>44939</c:v>
                </c:pt>
                <c:pt idx="6">
                  <c:v>44938</c:v>
                </c:pt>
                <c:pt idx="7">
                  <c:v>44937</c:v>
                </c:pt>
                <c:pt idx="8">
                  <c:v>44936</c:v>
                </c:pt>
                <c:pt idx="9">
                  <c:v>44935</c:v>
                </c:pt>
                <c:pt idx="10">
                  <c:v>44932</c:v>
                </c:pt>
                <c:pt idx="11">
                  <c:v>44931</c:v>
                </c:pt>
                <c:pt idx="12">
                  <c:v>44930</c:v>
                </c:pt>
                <c:pt idx="13">
                  <c:v>44929</c:v>
                </c:pt>
                <c:pt idx="14">
                  <c:v>44928</c:v>
                </c:pt>
                <c:pt idx="15">
                  <c:v>44924</c:v>
                </c:pt>
                <c:pt idx="16">
                  <c:v>44923</c:v>
                </c:pt>
                <c:pt idx="17">
                  <c:v>44922</c:v>
                </c:pt>
                <c:pt idx="18">
                  <c:v>44921</c:v>
                </c:pt>
                <c:pt idx="19">
                  <c:v>44918</c:v>
                </c:pt>
                <c:pt idx="20">
                  <c:v>44917</c:v>
                </c:pt>
                <c:pt idx="21">
                  <c:v>44916</c:v>
                </c:pt>
                <c:pt idx="22">
                  <c:v>44915</c:v>
                </c:pt>
                <c:pt idx="23">
                  <c:v>44914</c:v>
                </c:pt>
                <c:pt idx="24">
                  <c:v>44911</c:v>
                </c:pt>
                <c:pt idx="25">
                  <c:v>44910</c:v>
                </c:pt>
                <c:pt idx="26">
                  <c:v>44909</c:v>
                </c:pt>
                <c:pt idx="27">
                  <c:v>44908</c:v>
                </c:pt>
                <c:pt idx="28">
                  <c:v>44907</c:v>
                </c:pt>
                <c:pt idx="29">
                  <c:v>44904</c:v>
                </c:pt>
                <c:pt idx="30">
                  <c:v>44903</c:v>
                </c:pt>
                <c:pt idx="31">
                  <c:v>44902</c:v>
                </c:pt>
                <c:pt idx="32">
                  <c:v>44901</c:v>
                </c:pt>
                <c:pt idx="33">
                  <c:v>44900</c:v>
                </c:pt>
                <c:pt idx="34">
                  <c:v>44897</c:v>
                </c:pt>
                <c:pt idx="35">
                  <c:v>44896</c:v>
                </c:pt>
                <c:pt idx="36">
                  <c:v>44895</c:v>
                </c:pt>
                <c:pt idx="37">
                  <c:v>44894</c:v>
                </c:pt>
                <c:pt idx="38">
                  <c:v>44893</c:v>
                </c:pt>
                <c:pt idx="39">
                  <c:v>44890</c:v>
                </c:pt>
                <c:pt idx="40">
                  <c:v>44889</c:v>
                </c:pt>
                <c:pt idx="41">
                  <c:v>44888</c:v>
                </c:pt>
                <c:pt idx="42">
                  <c:v>44887</c:v>
                </c:pt>
                <c:pt idx="43">
                  <c:v>44886</c:v>
                </c:pt>
                <c:pt idx="44">
                  <c:v>44883</c:v>
                </c:pt>
                <c:pt idx="45">
                  <c:v>44882</c:v>
                </c:pt>
                <c:pt idx="46">
                  <c:v>44881</c:v>
                </c:pt>
                <c:pt idx="47">
                  <c:v>44880</c:v>
                </c:pt>
                <c:pt idx="48">
                  <c:v>44879</c:v>
                </c:pt>
                <c:pt idx="49">
                  <c:v>44876</c:v>
                </c:pt>
                <c:pt idx="50">
                  <c:v>44875</c:v>
                </c:pt>
                <c:pt idx="51">
                  <c:v>44874</c:v>
                </c:pt>
                <c:pt idx="52">
                  <c:v>44873</c:v>
                </c:pt>
                <c:pt idx="53">
                  <c:v>44872</c:v>
                </c:pt>
                <c:pt idx="54">
                  <c:v>44869</c:v>
                </c:pt>
                <c:pt idx="55">
                  <c:v>44868</c:v>
                </c:pt>
                <c:pt idx="56">
                  <c:v>44867</c:v>
                </c:pt>
                <c:pt idx="57">
                  <c:v>44866</c:v>
                </c:pt>
                <c:pt idx="58">
                  <c:v>44865</c:v>
                </c:pt>
                <c:pt idx="59">
                  <c:v>44862</c:v>
                </c:pt>
                <c:pt idx="60">
                  <c:v>44861</c:v>
                </c:pt>
                <c:pt idx="61">
                  <c:v>44860</c:v>
                </c:pt>
              </c:numCache>
            </c:numRef>
          </c:cat>
          <c:val>
            <c:numRef>
              <c:f>연습!$BK$7:$BK$68</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smooth val="0"/>
        </c:ser>
        <c:ser>
          <c:idx val="5"/>
          <c:order val="5"/>
          <c:tx>
            <c:strRef>
              <c:f>연습!$BL$6</c:f>
              <c:strCache>
                <c:ptCount val="1"/>
                <c:pt idx="0">
                  <c:v>종신금</c:v>
                </c:pt>
              </c:strCache>
            </c:strRef>
          </c:tx>
          <c:spPr>
            <a:ln w="19050">
              <a:solidFill>
                <a:srgbClr val="FF6699"/>
              </a:solidFill>
            </a:ln>
          </c:spPr>
          <c:marker>
            <c:symbol val="none"/>
          </c:marker>
          <c:cat>
            <c:numRef>
              <c:f>연습!$AW$7:$BF$68</c:f>
              <c:numCache>
                <c:formatCode>m/d/yyyy</c:formatCode>
                <c:ptCount val="62"/>
                <c:pt idx="0">
                  <c:v>44946</c:v>
                </c:pt>
                <c:pt idx="1">
                  <c:v>44945</c:v>
                </c:pt>
                <c:pt idx="2">
                  <c:v>44944</c:v>
                </c:pt>
                <c:pt idx="3">
                  <c:v>44943</c:v>
                </c:pt>
                <c:pt idx="4">
                  <c:v>44942</c:v>
                </c:pt>
                <c:pt idx="5">
                  <c:v>44939</c:v>
                </c:pt>
                <c:pt idx="6">
                  <c:v>44938</c:v>
                </c:pt>
                <c:pt idx="7">
                  <c:v>44937</c:v>
                </c:pt>
                <c:pt idx="8">
                  <c:v>44936</c:v>
                </c:pt>
                <c:pt idx="9">
                  <c:v>44935</c:v>
                </c:pt>
                <c:pt idx="10">
                  <c:v>44932</c:v>
                </c:pt>
                <c:pt idx="11">
                  <c:v>44931</c:v>
                </c:pt>
                <c:pt idx="12">
                  <c:v>44930</c:v>
                </c:pt>
                <c:pt idx="13">
                  <c:v>44929</c:v>
                </c:pt>
                <c:pt idx="14">
                  <c:v>44928</c:v>
                </c:pt>
                <c:pt idx="15">
                  <c:v>44924</c:v>
                </c:pt>
                <c:pt idx="16">
                  <c:v>44923</c:v>
                </c:pt>
                <c:pt idx="17">
                  <c:v>44922</c:v>
                </c:pt>
                <c:pt idx="18">
                  <c:v>44921</c:v>
                </c:pt>
                <c:pt idx="19">
                  <c:v>44918</c:v>
                </c:pt>
                <c:pt idx="20">
                  <c:v>44917</c:v>
                </c:pt>
                <c:pt idx="21">
                  <c:v>44916</c:v>
                </c:pt>
                <c:pt idx="22">
                  <c:v>44915</c:v>
                </c:pt>
                <c:pt idx="23">
                  <c:v>44914</c:v>
                </c:pt>
                <c:pt idx="24">
                  <c:v>44911</c:v>
                </c:pt>
                <c:pt idx="25">
                  <c:v>44910</c:v>
                </c:pt>
                <c:pt idx="26">
                  <c:v>44909</c:v>
                </c:pt>
                <c:pt idx="27">
                  <c:v>44908</c:v>
                </c:pt>
                <c:pt idx="28">
                  <c:v>44907</c:v>
                </c:pt>
                <c:pt idx="29">
                  <c:v>44904</c:v>
                </c:pt>
                <c:pt idx="30">
                  <c:v>44903</c:v>
                </c:pt>
                <c:pt idx="31">
                  <c:v>44902</c:v>
                </c:pt>
                <c:pt idx="32">
                  <c:v>44901</c:v>
                </c:pt>
                <c:pt idx="33">
                  <c:v>44900</c:v>
                </c:pt>
                <c:pt idx="34">
                  <c:v>44897</c:v>
                </c:pt>
                <c:pt idx="35">
                  <c:v>44896</c:v>
                </c:pt>
                <c:pt idx="36">
                  <c:v>44895</c:v>
                </c:pt>
                <c:pt idx="37">
                  <c:v>44894</c:v>
                </c:pt>
                <c:pt idx="38">
                  <c:v>44893</c:v>
                </c:pt>
                <c:pt idx="39">
                  <c:v>44890</c:v>
                </c:pt>
                <c:pt idx="40">
                  <c:v>44889</c:v>
                </c:pt>
                <c:pt idx="41">
                  <c:v>44888</c:v>
                </c:pt>
                <c:pt idx="42">
                  <c:v>44887</c:v>
                </c:pt>
                <c:pt idx="43">
                  <c:v>44886</c:v>
                </c:pt>
                <c:pt idx="44">
                  <c:v>44883</c:v>
                </c:pt>
                <c:pt idx="45">
                  <c:v>44882</c:v>
                </c:pt>
                <c:pt idx="46">
                  <c:v>44881</c:v>
                </c:pt>
                <c:pt idx="47">
                  <c:v>44880</c:v>
                </c:pt>
                <c:pt idx="48">
                  <c:v>44879</c:v>
                </c:pt>
                <c:pt idx="49">
                  <c:v>44876</c:v>
                </c:pt>
                <c:pt idx="50">
                  <c:v>44875</c:v>
                </c:pt>
                <c:pt idx="51">
                  <c:v>44874</c:v>
                </c:pt>
                <c:pt idx="52">
                  <c:v>44873</c:v>
                </c:pt>
                <c:pt idx="53">
                  <c:v>44872</c:v>
                </c:pt>
                <c:pt idx="54">
                  <c:v>44869</c:v>
                </c:pt>
                <c:pt idx="55">
                  <c:v>44868</c:v>
                </c:pt>
                <c:pt idx="56">
                  <c:v>44867</c:v>
                </c:pt>
                <c:pt idx="57">
                  <c:v>44866</c:v>
                </c:pt>
                <c:pt idx="58">
                  <c:v>44865</c:v>
                </c:pt>
                <c:pt idx="59">
                  <c:v>44862</c:v>
                </c:pt>
                <c:pt idx="60">
                  <c:v>44861</c:v>
                </c:pt>
                <c:pt idx="61">
                  <c:v>44860</c:v>
                </c:pt>
              </c:numCache>
            </c:numRef>
          </c:cat>
          <c:val>
            <c:numRef>
              <c:f>연습!$BL$7:$BL$68</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smooth val="0"/>
        </c:ser>
        <c:ser>
          <c:idx val="6"/>
          <c:order val="6"/>
          <c:tx>
            <c:strRef>
              <c:f>연습!$BM$6</c:f>
              <c:strCache>
                <c:ptCount val="1"/>
                <c:pt idx="0">
                  <c:v>연기금</c:v>
                </c:pt>
              </c:strCache>
            </c:strRef>
          </c:tx>
          <c:spPr>
            <a:ln w="19050"/>
          </c:spPr>
          <c:marker>
            <c:symbol val="none"/>
          </c:marker>
          <c:cat>
            <c:numRef>
              <c:f>연습!$AW$7:$BF$68</c:f>
              <c:numCache>
                <c:formatCode>m/d/yyyy</c:formatCode>
                <c:ptCount val="62"/>
                <c:pt idx="0">
                  <c:v>44946</c:v>
                </c:pt>
                <c:pt idx="1">
                  <c:v>44945</c:v>
                </c:pt>
                <c:pt idx="2">
                  <c:v>44944</c:v>
                </c:pt>
                <c:pt idx="3">
                  <c:v>44943</c:v>
                </c:pt>
                <c:pt idx="4">
                  <c:v>44942</c:v>
                </c:pt>
                <c:pt idx="5">
                  <c:v>44939</c:v>
                </c:pt>
                <c:pt idx="6">
                  <c:v>44938</c:v>
                </c:pt>
                <c:pt idx="7">
                  <c:v>44937</c:v>
                </c:pt>
                <c:pt idx="8">
                  <c:v>44936</c:v>
                </c:pt>
                <c:pt idx="9">
                  <c:v>44935</c:v>
                </c:pt>
                <c:pt idx="10">
                  <c:v>44932</c:v>
                </c:pt>
                <c:pt idx="11">
                  <c:v>44931</c:v>
                </c:pt>
                <c:pt idx="12">
                  <c:v>44930</c:v>
                </c:pt>
                <c:pt idx="13">
                  <c:v>44929</c:v>
                </c:pt>
                <c:pt idx="14">
                  <c:v>44928</c:v>
                </c:pt>
                <c:pt idx="15">
                  <c:v>44924</c:v>
                </c:pt>
                <c:pt idx="16">
                  <c:v>44923</c:v>
                </c:pt>
                <c:pt idx="17">
                  <c:v>44922</c:v>
                </c:pt>
                <c:pt idx="18">
                  <c:v>44921</c:v>
                </c:pt>
                <c:pt idx="19">
                  <c:v>44918</c:v>
                </c:pt>
                <c:pt idx="20">
                  <c:v>44917</c:v>
                </c:pt>
                <c:pt idx="21">
                  <c:v>44916</c:v>
                </c:pt>
                <c:pt idx="22">
                  <c:v>44915</c:v>
                </c:pt>
                <c:pt idx="23">
                  <c:v>44914</c:v>
                </c:pt>
                <c:pt idx="24">
                  <c:v>44911</c:v>
                </c:pt>
                <c:pt idx="25">
                  <c:v>44910</c:v>
                </c:pt>
                <c:pt idx="26">
                  <c:v>44909</c:v>
                </c:pt>
                <c:pt idx="27">
                  <c:v>44908</c:v>
                </c:pt>
                <c:pt idx="28">
                  <c:v>44907</c:v>
                </c:pt>
                <c:pt idx="29">
                  <c:v>44904</c:v>
                </c:pt>
                <c:pt idx="30">
                  <c:v>44903</c:v>
                </c:pt>
                <c:pt idx="31">
                  <c:v>44902</c:v>
                </c:pt>
                <c:pt idx="32">
                  <c:v>44901</c:v>
                </c:pt>
                <c:pt idx="33">
                  <c:v>44900</c:v>
                </c:pt>
                <c:pt idx="34">
                  <c:v>44897</c:v>
                </c:pt>
                <c:pt idx="35">
                  <c:v>44896</c:v>
                </c:pt>
                <c:pt idx="36">
                  <c:v>44895</c:v>
                </c:pt>
                <c:pt idx="37">
                  <c:v>44894</c:v>
                </c:pt>
                <c:pt idx="38">
                  <c:v>44893</c:v>
                </c:pt>
                <c:pt idx="39">
                  <c:v>44890</c:v>
                </c:pt>
                <c:pt idx="40">
                  <c:v>44889</c:v>
                </c:pt>
                <c:pt idx="41">
                  <c:v>44888</c:v>
                </c:pt>
                <c:pt idx="42">
                  <c:v>44887</c:v>
                </c:pt>
                <c:pt idx="43">
                  <c:v>44886</c:v>
                </c:pt>
                <c:pt idx="44">
                  <c:v>44883</c:v>
                </c:pt>
                <c:pt idx="45">
                  <c:v>44882</c:v>
                </c:pt>
                <c:pt idx="46">
                  <c:v>44881</c:v>
                </c:pt>
                <c:pt idx="47">
                  <c:v>44880</c:v>
                </c:pt>
                <c:pt idx="48">
                  <c:v>44879</c:v>
                </c:pt>
                <c:pt idx="49">
                  <c:v>44876</c:v>
                </c:pt>
                <c:pt idx="50">
                  <c:v>44875</c:v>
                </c:pt>
                <c:pt idx="51">
                  <c:v>44874</c:v>
                </c:pt>
                <c:pt idx="52">
                  <c:v>44873</c:v>
                </c:pt>
                <c:pt idx="53">
                  <c:v>44872</c:v>
                </c:pt>
                <c:pt idx="54">
                  <c:v>44869</c:v>
                </c:pt>
                <c:pt idx="55">
                  <c:v>44868</c:v>
                </c:pt>
                <c:pt idx="56">
                  <c:v>44867</c:v>
                </c:pt>
                <c:pt idx="57">
                  <c:v>44866</c:v>
                </c:pt>
                <c:pt idx="58">
                  <c:v>44865</c:v>
                </c:pt>
                <c:pt idx="59">
                  <c:v>44862</c:v>
                </c:pt>
                <c:pt idx="60">
                  <c:v>44861</c:v>
                </c:pt>
                <c:pt idx="61">
                  <c:v>44860</c:v>
                </c:pt>
              </c:numCache>
            </c:numRef>
          </c:cat>
          <c:val>
            <c:numRef>
              <c:f>연습!$BM$7:$BM$68</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smooth val="0"/>
        </c:ser>
        <c:ser>
          <c:idx val="7"/>
          <c:order val="7"/>
          <c:tx>
            <c:strRef>
              <c:f>연습!$BN$6</c:f>
              <c:strCache>
                <c:ptCount val="1"/>
                <c:pt idx="0">
                  <c:v>개인</c:v>
                </c:pt>
              </c:strCache>
            </c:strRef>
          </c:tx>
          <c:spPr>
            <a:ln w="19050">
              <a:solidFill>
                <a:schemeClr val="bg1">
                  <a:lumMod val="50000"/>
                </a:schemeClr>
              </a:solidFill>
            </a:ln>
          </c:spPr>
          <c:marker>
            <c:symbol val="none"/>
          </c:marker>
          <c:cat>
            <c:numRef>
              <c:f>연습!$AW$7:$BF$68</c:f>
              <c:numCache>
                <c:formatCode>m/d/yyyy</c:formatCode>
                <c:ptCount val="62"/>
                <c:pt idx="0">
                  <c:v>44946</c:v>
                </c:pt>
                <c:pt idx="1">
                  <c:v>44945</c:v>
                </c:pt>
                <c:pt idx="2">
                  <c:v>44944</c:v>
                </c:pt>
                <c:pt idx="3">
                  <c:v>44943</c:v>
                </c:pt>
                <c:pt idx="4">
                  <c:v>44942</c:v>
                </c:pt>
                <c:pt idx="5">
                  <c:v>44939</c:v>
                </c:pt>
                <c:pt idx="6">
                  <c:v>44938</c:v>
                </c:pt>
                <c:pt idx="7">
                  <c:v>44937</c:v>
                </c:pt>
                <c:pt idx="8">
                  <c:v>44936</c:v>
                </c:pt>
                <c:pt idx="9">
                  <c:v>44935</c:v>
                </c:pt>
                <c:pt idx="10">
                  <c:v>44932</c:v>
                </c:pt>
                <c:pt idx="11">
                  <c:v>44931</c:v>
                </c:pt>
                <c:pt idx="12">
                  <c:v>44930</c:v>
                </c:pt>
                <c:pt idx="13">
                  <c:v>44929</c:v>
                </c:pt>
                <c:pt idx="14">
                  <c:v>44928</c:v>
                </c:pt>
                <c:pt idx="15">
                  <c:v>44924</c:v>
                </c:pt>
                <c:pt idx="16">
                  <c:v>44923</c:v>
                </c:pt>
                <c:pt idx="17">
                  <c:v>44922</c:v>
                </c:pt>
                <c:pt idx="18">
                  <c:v>44921</c:v>
                </c:pt>
                <c:pt idx="19">
                  <c:v>44918</c:v>
                </c:pt>
                <c:pt idx="20">
                  <c:v>44917</c:v>
                </c:pt>
                <c:pt idx="21">
                  <c:v>44916</c:v>
                </c:pt>
                <c:pt idx="22">
                  <c:v>44915</c:v>
                </c:pt>
                <c:pt idx="23">
                  <c:v>44914</c:v>
                </c:pt>
                <c:pt idx="24">
                  <c:v>44911</c:v>
                </c:pt>
                <c:pt idx="25">
                  <c:v>44910</c:v>
                </c:pt>
                <c:pt idx="26">
                  <c:v>44909</c:v>
                </c:pt>
                <c:pt idx="27">
                  <c:v>44908</c:v>
                </c:pt>
                <c:pt idx="28">
                  <c:v>44907</c:v>
                </c:pt>
                <c:pt idx="29">
                  <c:v>44904</c:v>
                </c:pt>
                <c:pt idx="30">
                  <c:v>44903</c:v>
                </c:pt>
                <c:pt idx="31">
                  <c:v>44902</c:v>
                </c:pt>
                <c:pt idx="32">
                  <c:v>44901</c:v>
                </c:pt>
                <c:pt idx="33">
                  <c:v>44900</c:v>
                </c:pt>
                <c:pt idx="34">
                  <c:v>44897</c:v>
                </c:pt>
                <c:pt idx="35">
                  <c:v>44896</c:v>
                </c:pt>
                <c:pt idx="36">
                  <c:v>44895</c:v>
                </c:pt>
                <c:pt idx="37">
                  <c:v>44894</c:v>
                </c:pt>
                <c:pt idx="38">
                  <c:v>44893</c:v>
                </c:pt>
                <c:pt idx="39">
                  <c:v>44890</c:v>
                </c:pt>
                <c:pt idx="40">
                  <c:v>44889</c:v>
                </c:pt>
                <c:pt idx="41">
                  <c:v>44888</c:v>
                </c:pt>
                <c:pt idx="42">
                  <c:v>44887</c:v>
                </c:pt>
                <c:pt idx="43">
                  <c:v>44886</c:v>
                </c:pt>
                <c:pt idx="44">
                  <c:v>44883</c:v>
                </c:pt>
                <c:pt idx="45">
                  <c:v>44882</c:v>
                </c:pt>
                <c:pt idx="46">
                  <c:v>44881</c:v>
                </c:pt>
                <c:pt idx="47">
                  <c:v>44880</c:v>
                </c:pt>
                <c:pt idx="48">
                  <c:v>44879</c:v>
                </c:pt>
                <c:pt idx="49">
                  <c:v>44876</c:v>
                </c:pt>
                <c:pt idx="50">
                  <c:v>44875</c:v>
                </c:pt>
                <c:pt idx="51">
                  <c:v>44874</c:v>
                </c:pt>
                <c:pt idx="52">
                  <c:v>44873</c:v>
                </c:pt>
                <c:pt idx="53">
                  <c:v>44872</c:v>
                </c:pt>
                <c:pt idx="54">
                  <c:v>44869</c:v>
                </c:pt>
                <c:pt idx="55">
                  <c:v>44868</c:v>
                </c:pt>
                <c:pt idx="56">
                  <c:v>44867</c:v>
                </c:pt>
                <c:pt idx="57">
                  <c:v>44866</c:v>
                </c:pt>
                <c:pt idx="58">
                  <c:v>44865</c:v>
                </c:pt>
                <c:pt idx="59">
                  <c:v>44862</c:v>
                </c:pt>
                <c:pt idx="60">
                  <c:v>44861</c:v>
                </c:pt>
                <c:pt idx="61">
                  <c:v>44860</c:v>
                </c:pt>
              </c:numCache>
            </c:numRef>
          </c:cat>
          <c:val>
            <c:numRef>
              <c:f>연습!$BN$7:$BN$68</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smooth val="0"/>
        </c:ser>
        <c:dLbls>
          <c:showLegendKey val="0"/>
          <c:showVal val="0"/>
          <c:showCatName val="0"/>
          <c:showSerName val="0"/>
          <c:showPercent val="0"/>
          <c:showBubbleSize val="0"/>
        </c:dLbls>
        <c:marker val="1"/>
        <c:smooth val="0"/>
        <c:axId val="235698432"/>
        <c:axId val="235712512"/>
      </c:lineChart>
      <c:dateAx>
        <c:axId val="235698432"/>
        <c:scaling>
          <c:orientation val="minMax"/>
        </c:scaling>
        <c:delete val="0"/>
        <c:axPos val="b"/>
        <c:numFmt formatCode="m/d/yyyy" sourceLinked="1"/>
        <c:majorTickMark val="out"/>
        <c:minorTickMark val="none"/>
        <c:tickLblPos val="low"/>
        <c:txPr>
          <a:bodyPr/>
          <a:lstStyle/>
          <a:p>
            <a:pPr>
              <a:defRPr sz="800"/>
            </a:pPr>
            <a:endParaRPr lang="ko-KR"/>
          </a:p>
        </c:txPr>
        <c:crossAx val="235712512"/>
        <c:crosses val="autoZero"/>
        <c:auto val="1"/>
        <c:lblOffset val="100"/>
        <c:baseTimeUnit val="days"/>
        <c:majorUnit val="1"/>
        <c:majorTimeUnit val="months"/>
      </c:dateAx>
      <c:valAx>
        <c:axId val="235712512"/>
        <c:scaling>
          <c:orientation val="minMax"/>
        </c:scaling>
        <c:delete val="0"/>
        <c:axPos val="l"/>
        <c:numFmt formatCode="General" sourceLinked="1"/>
        <c:majorTickMark val="out"/>
        <c:minorTickMark val="none"/>
        <c:tickLblPos val="nextTo"/>
        <c:txPr>
          <a:bodyPr/>
          <a:lstStyle/>
          <a:p>
            <a:pPr>
              <a:defRPr sz="800"/>
            </a:pPr>
            <a:endParaRPr lang="ko-KR"/>
          </a:p>
        </c:txPr>
        <c:crossAx val="235698432"/>
        <c:crosses val="autoZero"/>
        <c:crossBetween val="between"/>
      </c:valAx>
    </c:plotArea>
    <c:legend>
      <c:legendPos val="b"/>
      <c:overlay val="0"/>
      <c:txPr>
        <a:bodyPr/>
        <a:lstStyle/>
        <a:p>
          <a:pPr>
            <a:defRPr sz="800"/>
          </a:pPr>
          <a:endParaRPr lang="ko-KR"/>
        </a:p>
      </c:txPr>
    </c:legend>
    <c:plotVisOnly val="1"/>
    <c:dispBlanksAs val="gap"/>
    <c:showDLblsOverMax val="0"/>
  </c:chart>
  <c:printSettings>
    <c:headerFooter/>
    <c:pageMargins b="0.75" l="0.7" r="0.7" t="0.75" header="0.3" footer="0.3"/>
    <c:pageSetup orientation="portrait"/>
  </c:printSettings>
</c:chartSpace>
</file>

<file path=xl/ctrlProps/ctrlProp1.xml><?xml version="1.0" encoding="utf-8"?>
<formControlPr xmlns="http://schemas.microsoft.com/office/spreadsheetml/2009/9/main" objectType="Drop" dropStyle="combo" dx="15" fmlaLink="$AB$3" fmlaRange="$AA$4:$AA$20" val="0"/>
</file>

<file path=xl/ctrlProps/ctrlProp2.xml><?xml version="1.0" encoding="utf-8"?>
<formControlPr xmlns="http://schemas.microsoft.com/office/spreadsheetml/2009/9/main" objectType="Drop" dropStyle="combo" dx="15" fmlaLink="$AB$22" fmlaRange="$AA$23:$AA$28" val="0"/>
</file>

<file path=xl/ctrlProps/ctrlProp3.xml><?xml version="1.0" encoding="utf-8"?>
<formControlPr xmlns="http://schemas.microsoft.com/office/spreadsheetml/2009/9/main" objectType="CheckBox" checked="Checked" fmlaLink="$AU$3" lockText="1"/>
</file>

<file path=xl/ctrlProps/ctrlProp4.xml><?xml version="1.0" encoding="utf-8"?>
<formControlPr xmlns="http://schemas.microsoft.com/office/spreadsheetml/2009/9/main" objectType="CheckBox" checked="Checked" fmlaLink="$AV$3" lockText="1"/>
</file>

<file path=xl/ctrlProps/ctrlProp5.xml><?xml version="1.0" encoding="utf-8"?>
<formControlPr xmlns="http://schemas.microsoft.com/office/spreadsheetml/2009/9/main" objectType="CheckBox" fmlaLink="$AW$3" lockText="1"/>
</file>

<file path=xl/ctrlProps/ctrlProp6.xml><?xml version="1.0" encoding="utf-8"?>
<formControlPr xmlns="http://schemas.microsoft.com/office/spreadsheetml/2009/9/main" objectType="CheckBox" fmlaLink="$AX$3" lockText="1"/>
</file>

<file path=xl/ctrlProps/ctrlProp7.xml><?xml version="1.0" encoding="utf-8"?>
<formControlPr xmlns="http://schemas.microsoft.com/office/spreadsheetml/2009/9/main" objectType="CheckBox" fmlaLink="$AY$3" lockText="1"/>
</file>

<file path=xl/ctrlProps/ctrlProp8.xml><?xml version="1.0" encoding="utf-8"?>
<formControlPr xmlns="http://schemas.microsoft.com/office/spreadsheetml/2009/9/main" objectType="CheckBox" fmlaLink="$AZ$3" lockText="1"/>
</file>

<file path=xl/ctrlProps/ctrlProp9.xml><?xml version="1.0" encoding="utf-8"?>
<formControlPr xmlns="http://schemas.microsoft.com/office/spreadsheetml/2009/9/main" objectType="CheckBox" fmlaLink="$BA$3" lockText="1"/>
</file>

<file path=xl/ctrlProps/ctrlProp10.xml><?xml version="1.0" encoding="utf-8"?>
<formControlPr xmlns="http://schemas.microsoft.com/office/spreadsheetml/2009/9/main" objectType="CheckBox" fmlaLink="$BB$3" lockText="1"/>
</file>

<file path=xl/ctrlProps/ctrlProp11.xml><?xml version="1.0" encoding="utf-8"?>
<formControlPr xmlns="http://schemas.microsoft.com/office/spreadsheetml/2009/9/main" objectType="Drop" dropStyle="combo" dx="15" fmlaLink="$AN$5" fmlaRange="$AM$6:$AM$22" val="0"/>
</file>

<file path=xl/ctrlProps/ctrlProp12.xml><?xml version="1.0" encoding="utf-8"?>
<formControlPr xmlns="http://schemas.microsoft.com/office/spreadsheetml/2009/9/main" objectType="Drop" dropStyle="combo" dx="15" fmlaLink="$AL$24" fmlaRange="$AL$25:$AL$30" val="0"/>
</file>

<file path=xl/ctrlProps/ctrlProp13.xml><?xml version="1.0" encoding="utf-8"?>
<formControlPr xmlns="http://schemas.microsoft.com/office/spreadsheetml/2009/9/main" objectType="CheckBox" checked="Checked" fmlaLink="$BG$5" lockText="1"/>
</file>

<file path=xl/ctrlProps/ctrlProp14.xml><?xml version="1.0" encoding="utf-8"?>
<formControlPr xmlns="http://schemas.microsoft.com/office/spreadsheetml/2009/9/main" objectType="CheckBox" fmlaLink="$BH$5" lockText="1"/>
</file>

<file path=xl/ctrlProps/ctrlProp15.xml><?xml version="1.0" encoding="utf-8"?>
<formControlPr xmlns="http://schemas.microsoft.com/office/spreadsheetml/2009/9/main" objectType="CheckBox" fmlaLink="$BI$5" lockText="1"/>
</file>

<file path=xl/ctrlProps/ctrlProp16.xml><?xml version="1.0" encoding="utf-8"?>
<formControlPr xmlns="http://schemas.microsoft.com/office/spreadsheetml/2009/9/main" objectType="CheckBox" fmlaLink="$BJ$5" lockText="1"/>
</file>

<file path=xl/ctrlProps/ctrlProp17.xml><?xml version="1.0" encoding="utf-8"?>
<formControlPr xmlns="http://schemas.microsoft.com/office/spreadsheetml/2009/9/main" objectType="CheckBox" fmlaLink="$BK$5" lockText="1"/>
</file>

<file path=xl/ctrlProps/ctrlProp18.xml><?xml version="1.0" encoding="utf-8"?>
<formControlPr xmlns="http://schemas.microsoft.com/office/spreadsheetml/2009/9/main" objectType="CheckBox" fmlaLink="$BL$5" lockText="1"/>
</file>

<file path=xl/ctrlProps/ctrlProp19.xml><?xml version="1.0" encoding="utf-8"?>
<formControlPr xmlns="http://schemas.microsoft.com/office/spreadsheetml/2009/9/main" objectType="CheckBox" fmlaLink="$BM$5" lockText="1"/>
</file>

<file path=xl/ctrlProps/ctrlProp20.xml><?xml version="1.0" encoding="utf-8"?>
<formControlPr xmlns="http://schemas.microsoft.com/office/spreadsheetml/2009/9/main" objectType="CheckBox" fmlaLink="$BN$5" lockText="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76200</xdr:colOff>
          <xdr:row>1</xdr:row>
          <xdr:rowOff>438150</xdr:rowOff>
        </xdr:from>
        <xdr:to>
          <xdr:col>16</xdr:col>
          <xdr:colOff>304800</xdr:colOff>
          <xdr:row>3</xdr:row>
          <xdr:rowOff>9525</xdr:rowOff>
        </xdr:to>
        <xdr:sp macro="" textlink="">
          <xdr:nvSpPr>
            <xdr:cNvPr id="1026" name="Drop Down 2" hidden="1">
              <a:extLst>
                <a:ext uri="{63B3BB69-23CF-44E3-9099-C40C66FF867C}">
                  <a14:compatExt spid="_x0000_s1026"/>
                </a:ext>
              </a:extLst>
            </xdr:cNvPr>
            <xdr:cNvSpPr/>
          </xdr:nvSpPr>
          <xdr:spPr>
            <a:xfrm>
              <a:off x="0" y="0"/>
              <a:ext cx="0" cy="0"/>
            </a:xfrm>
            <a:prstGeom prst="rect">
              <a:avLst/>
            </a:prstGeom>
          </xdr:spPr>
        </xdr:sp>
        <xdr:clientData/>
      </xdr:twoCellAnchor>
    </mc:Choice>
    <mc:Fallback/>
  </mc:AlternateContent>
  <xdr:twoCellAnchor>
    <xdr:from>
      <xdr:col>15</xdr:col>
      <xdr:colOff>57149</xdr:colOff>
      <xdr:row>3</xdr:row>
      <xdr:rowOff>123825</xdr:rowOff>
    </xdr:from>
    <xdr:to>
      <xdr:col>23</xdr:col>
      <xdr:colOff>28575</xdr:colOff>
      <xdr:row>17</xdr:row>
      <xdr:rowOff>76200</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481012</xdr:colOff>
      <xdr:row>632</xdr:row>
      <xdr:rowOff>42862</xdr:rowOff>
    </xdr:from>
    <xdr:to>
      <xdr:col>37</xdr:col>
      <xdr:colOff>433387</xdr:colOff>
      <xdr:row>648</xdr:row>
      <xdr:rowOff>42862</xdr:rowOff>
    </xdr:to>
    <xdr:graphicFrame macro="">
      <xdr:nvGraphicFramePr>
        <xdr:cNvPr id="4" name="차트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481012</xdr:colOff>
      <xdr:row>632</xdr:row>
      <xdr:rowOff>42862</xdr:rowOff>
    </xdr:from>
    <xdr:to>
      <xdr:col>37</xdr:col>
      <xdr:colOff>433387</xdr:colOff>
      <xdr:row>648</xdr:row>
      <xdr:rowOff>42862</xdr:rowOff>
    </xdr:to>
    <xdr:graphicFrame macro="">
      <xdr:nvGraphicFramePr>
        <xdr:cNvPr id="7" name="차트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15</xdr:col>
          <xdr:colOff>66675</xdr:colOff>
          <xdr:row>18</xdr:row>
          <xdr:rowOff>38100</xdr:rowOff>
        </xdr:from>
        <xdr:to>
          <xdr:col>16</xdr:col>
          <xdr:colOff>295275</xdr:colOff>
          <xdr:row>19</xdr:row>
          <xdr:rowOff>66675</xdr:rowOff>
        </xdr:to>
        <xdr:sp macro="" textlink="">
          <xdr:nvSpPr>
            <xdr:cNvPr id="1027" name="Drop Down 3" hidden="1">
              <a:extLst>
                <a:ext uri="{63B3BB69-23CF-44E3-9099-C40C66FF867C}">
                  <a14:compatExt spid="_x0000_s10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76200</xdr:colOff>
          <xdr:row>19</xdr:row>
          <xdr:rowOff>85725</xdr:rowOff>
        </xdr:from>
        <xdr:to>
          <xdr:col>22</xdr:col>
          <xdr:colOff>723900</xdr:colOff>
          <xdr:row>20</xdr:row>
          <xdr:rowOff>114300</xdr:rowOff>
        </xdr:to>
        <xdr:grpSp>
          <xdr:nvGrpSpPr>
            <xdr:cNvPr id="3" name="그룹 2"/>
            <xdr:cNvGrpSpPr/>
          </xdr:nvGrpSpPr>
          <xdr:grpSpPr>
            <a:xfrm>
              <a:off x="10706100" y="3609975"/>
              <a:ext cx="5191125" cy="200025"/>
              <a:chOff x="8496300" y="3705225"/>
              <a:chExt cx="5191125" cy="200025"/>
            </a:xfrm>
          </xdr:grpSpPr>
          <xdr:sp macro="" textlink="">
            <xdr:nvSpPr>
              <xdr:cNvPr id="1029" name="Check Box 5" hidden="1">
                <a:extLst>
                  <a:ext uri="{63B3BB69-23CF-44E3-9099-C40C66FF867C}">
                    <a14:compatExt spid="_x0000_s1029"/>
                  </a:ext>
                </a:extLst>
              </xdr:cNvPr>
              <xdr:cNvSpPr/>
            </xdr:nvSpPr>
            <xdr:spPr>
              <a:xfrm>
                <a:off x="8496300" y="3714750"/>
                <a:ext cx="666750" cy="190500"/>
              </a:xfrm>
              <a:prstGeom prst="rect">
                <a:avLst/>
              </a:prstGeom>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외국인</a:t>
                </a:r>
              </a:p>
            </xdr:txBody>
          </xdr:sp>
          <xdr:sp macro="" textlink="">
            <xdr:nvSpPr>
              <xdr:cNvPr id="1030" name="Check Box 6" hidden="1">
                <a:extLst>
                  <a:ext uri="{63B3BB69-23CF-44E3-9099-C40C66FF867C}">
                    <a14:compatExt spid="_x0000_s1030"/>
                  </a:ext>
                </a:extLst>
              </xdr:cNvPr>
              <xdr:cNvSpPr/>
            </xdr:nvSpPr>
            <xdr:spPr>
              <a:xfrm>
                <a:off x="9248775" y="3714750"/>
                <a:ext cx="666750" cy="190500"/>
              </a:xfrm>
              <a:prstGeom prst="rect">
                <a:avLst/>
              </a:prstGeom>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증권</a:t>
                </a:r>
              </a:p>
            </xdr:txBody>
          </xdr:sp>
          <xdr:sp macro="" textlink="">
            <xdr:nvSpPr>
              <xdr:cNvPr id="1031" name="Check Box 7" hidden="1">
                <a:extLst>
                  <a:ext uri="{63B3BB69-23CF-44E3-9099-C40C66FF867C}">
                    <a14:compatExt spid="_x0000_s1031"/>
                  </a:ext>
                </a:extLst>
              </xdr:cNvPr>
              <xdr:cNvSpPr/>
            </xdr:nvSpPr>
            <xdr:spPr>
              <a:xfrm>
                <a:off x="9801225" y="3714750"/>
                <a:ext cx="666750" cy="190500"/>
              </a:xfrm>
              <a:prstGeom prst="rect">
                <a:avLst/>
              </a:prstGeom>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은행</a:t>
                </a:r>
              </a:p>
            </xdr:txBody>
          </xdr:sp>
          <xdr:sp macro="" textlink="">
            <xdr:nvSpPr>
              <xdr:cNvPr id="1032" name="Check Box 8" hidden="1">
                <a:extLst>
                  <a:ext uri="{63B3BB69-23CF-44E3-9099-C40C66FF867C}">
                    <a14:compatExt spid="_x0000_s1032"/>
                  </a:ext>
                </a:extLst>
              </xdr:cNvPr>
              <xdr:cNvSpPr/>
            </xdr:nvSpPr>
            <xdr:spPr>
              <a:xfrm>
                <a:off x="10439400" y="3705225"/>
                <a:ext cx="666750" cy="190500"/>
              </a:xfrm>
              <a:prstGeom prst="rect">
                <a:avLst/>
              </a:prstGeom>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보험</a:t>
                </a:r>
              </a:p>
            </xdr:txBody>
          </xdr:sp>
          <xdr:sp macro="" textlink="">
            <xdr:nvSpPr>
              <xdr:cNvPr id="1033" name="Check Box 9" hidden="1">
                <a:extLst>
                  <a:ext uri="{63B3BB69-23CF-44E3-9099-C40C66FF867C}">
                    <a14:compatExt spid="_x0000_s1033"/>
                  </a:ext>
                </a:extLst>
              </xdr:cNvPr>
              <xdr:cNvSpPr/>
            </xdr:nvSpPr>
            <xdr:spPr>
              <a:xfrm>
                <a:off x="11049000" y="3705225"/>
                <a:ext cx="666750" cy="190500"/>
              </a:xfrm>
              <a:prstGeom prst="rect">
                <a:avLst/>
              </a:prstGeom>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투신</a:t>
                </a:r>
              </a:p>
            </xdr:txBody>
          </xdr:sp>
          <xdr:sp macro="" textlink="">
            <xdr:nvSpPr>
              <xdr:cNvPr id="1034" name="Check Box 10" hidden="1">
                <a:extLst>
                  <a:ext uri="{63B3BB69-23CF-44E3-9099-C40C66FF867C}">
                    <a14:compatExt spid="_x0000_s1034"/>
                  </a:ext>
                </a:extLst>
              </xdr:cNvPr>
              <xdr:cNvSpPr/>
            </xdr:nvSpPr>
            <xdr:spPr>
              <a:xfrm>
                <a:off x="11658600" y="3705225"/>
                <a:ext cx="666750" cy="190500"/>
              </a:xfrm>
              <a:prstGeom prst="rect">
                <a:avLst/>
              </a:prstGeom>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종금</a:t>
                </a:r>
              </a:p>
            </xdr:txBody>
          </xdr:sp>
          <xdr:sp macro="" textlink="">
            <xdr:nvSpPr>
              <xdr:cNvPr id="1035" name="Check Box 11" hidden="1">
                <a:extLst>
                  <a:ext uri="{63B3BB69-23CF-44E3-9099-C40C66FF867C}">
                    <a14:compatExt spid="_x0000_s1035"/>
                  </a:ext>
                </a:extLst>
              </xdr:cNvPr>
              <xdr:cNvSpPr/>
            </xdr:nvSpPr>
            <xdr:spPr>
              <a:xfrm>
                <a:off x="12277725" y="3714750"/>
                <a:ext cx="666750" cy="190500"/>
              </a:xfrm>
              <a:prstGeom prst="rect">
                <a:avLst/>
              </a:prstGeom>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연기금</a:t>
                </a:r>
              </a:p>
            </xdr:txBody>
          </xdr:sp>
          <xdr:sp macro="" textlink="">
            <xdr:nvSpPr>
              <xdr:cNvPr id="1036" name="Check Box 12" hidden="1">
                <a:extLst>
                  <a:ext uri="{63B3BB69-23CF-44E3-9099-C40C66FF867C}">
                    <a14:compatExt spid="_x0000_s1036"/>
                  </a:ext>
                </a:extLst>
              </xdr:cNvPr>
              <xdr:cNvSpPr/>
            </xdr:nvSpPr>
            <xdr:spPr>
              <a:xfrm>
                <a:off x="13020675" y="3705225"/>
                <a:ext cx="666750" cy="190500"/>
              </a:xfrm>
              <a:prstGeom prst="rect">
                <a:avLst/>
              </a:prstGeom>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개인</a:t>
                </a:r>
              </a:p>
            </xdr:txBody>
          </xdr:sp>
        </xdr:grpSp>
        <xdr:clientData/>
      </xdr:twoCellAnchor>
    </mc:Choice>
    <mc:Fallback/>
  </mc:AlternateContent>
  <xdr:twoCellAnchor>
    <xdr:from>
      <xdr:col>15</xdr:col>
      <xdr:colOff>80962</xdr:colOff>
      <xdr:row>21</xdr:row>
      <xdr:rowOff>19051</xdr:rowOff>
    </xdr:from>
    <xdr:to>
      <xdr:col>23</xdr:col>
      <xdr:colOff>28575</xdr:colOff>
      <xdr:row>34</xdr:row>
      <xdr:rowOff>0</xdr:rowOff>
    </xdr:to>
    <xdr:graphicFrame macro="">
      <xdr:nvGraphicFramePr>
        <xdr:cNvPr id="11" name="차트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27</xdr:col>
          <xdr:colOff>85725</xdr:colOff>
          <xdr:row>3</xdr:row>
          <xdr:rowOff>438150</xdr:rowOff>
        </xdr:from>
        <xdr:to>
          <xdr:col>28</xdr:col>
          <xdr:colOff>314325</xdr:colOff>
          <xdr:row>5</xdr:row>
          <xdr:rowOff>9525</xdr:rowOff>
        </xdr:to>
        <xdr:sp macro="" textlink="">
          <xdr:nvSpPr>
            <xdr:cNvPr id="2049" name="Drop Down 1" hidden="1">
              <a:extLst>
                <a:ext uri="{63B3BB69-23CF-44E3-9099-C40C66FF867C}">
                  <a14:compatExt spid="_x0000_s2049"/>
                </a:ext>
              </a:extLst>
            </xdr:cNvPr>
            <xdr:cNvSpPr/>
          </xdr:nvSpPr>
          <xdr:spPr>
            <a:xfrm>
              <a:off x="0" y="0"/>
              <a:ext cx="0" cy="0"/>
            </a:xfrm>
            <a:prstGeom prst="rect">
              <a:avLst/>
            </a:prstGeom>
          </xdr:spPr>
        </xdr:sp>
        <xdr:clientData/>
      </xdr:twoCellAnchor>
    </mc:Choice>
    <mc:Fallback/>
  </mc:AlternateContent>
  <xdr:twoCellAnchor>
    <xdr:from>
      <xdr:col>27</xdr:col>
      <xdr:colOff>76200</xdr:colOff>
      <xdr:row>7</xdr:row>
      <xdr:rowOff>28575</xdr:rowOff>
    </xdr:from>
    <xdr:to>
      <xdr:col>35</xdr:col>
      <xdr:colOff>47626</xdr:colOff>
      <xdr:row>19</xdr:row>
      <xdr:rowOff>104775</xdr:rowOff>
    </xdr:to>
    <xdr:graphicFrame macro="">
      <xdr:nvGraphicFramePr>
        <xdr:cNvPr id="3" name="차트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95250</xdr:colOff>
      <xdr:row>23</xdr:row>
      <xdr:rowOff>0</xdr:rowOff>
    </xdr:from>
    <xdr:to>
      <xdr:col>35</xdr:col>
      <xdr:colOff>42863</xdr:colOff>
      <xdr:row>36</xdr:row>
      <xdr:rowOff>0</xdr:rowOff>
    </xdr:to>
    <xdr:graphicFrame macro="">
      <xdr:nvGraphicFramePr>
        <xdr:cNvPr id="4" name="차트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27</xdr:col>
          <xdr:colOff>76200</xdr:colOff>
          <xdr:row>20</xdr:row>
          <xdr:rowOff>28575</xdr:rowOff>
        </xdr:from>
        <xdr:to>
          <xdr:col>28</xdr:col>
          <xdr:colOff>304800</xdr:colOff>
          <xdr:row>21</xdr:row>
          <xdr:rowOff>57150</xdr:rowOff>
        </xdr:to>
        <xdr:sp macro="" textlink="">
          <xdr:nvSpPr>
            <xdr:cNvPr id="2050" name="Drop Down 2" hidden="1">
              <a:extLst>
                <a:ext uri="{63B3BB69-23CF-44E3-9099-C40C66FF867C}">
                  <a14:compatExt spid="_x0000_s20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27</xdr:col>
          <xdr:colOff>57150</xdr:colOff>
          <xdr:row>21</xdr:row>
          <xdr:rowOff>104775</xdr:rowOff>
        </xdr:from>
        <xdr:to>
          <xdr:col>34</xdr:col>
          <xdr:colOff>704850</xdr:colOff>
          <xdr:row>22</xdr:row>
          <xdr:rowOff>133350</xdr:rowOff>
        </xdr:to>
        <xdr:grpSp>
          <xdr:nvGrpSpPr>
            <xdr:cNvPr id="6" name="그룹 5"/>
            <xdr:cNvGrpSpPr/>
          </xdr:nvGrpSpPr>
          <xdr:grpSpPr>
            <a:xfrm>
              <a:off x="16592550" y="5343525"/>
              <a:ext cx="5191125" cy="200025"/>
              <a:chOff x="8496300" y="3705225"/>
              <a:chExt cx="5191125" cy="200025"/>
            </a:xfrm>
          </xdr:grpSpPr>
          <xdr:sp macro="" textlink="">
            <xdr:nvSpPr>
              <xdr:cNvPr id="2051" name="Check Box 3" hidden="1">
                <a:extLst>
                  <a:ext uri="{63B3BB69-23CF-44E3-9099-C40C66FF867C}">
                    <a14:compatExt spid="_x0000_s2051"/>
                  </a:ext>
                </a:extLst>
              </xdr:cNvPr>
              <xdr:cNvSpPr/>
            </xdr:nvSpPr>
            <xdr:spPr>
              <a:xfrm>
                <a:off x="8496300" y="3714750"/>
                <a:ext cx="666750" cy="190500"/>
              </a:xfrm>
              <a:prstGeom prst="rect">
                <a:avLst/>
              </a:prstGeom>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외국인</a:t>
                </a:r>
              </a:p>
            </xdr:txBody>
          </xdr:sp>
          <xdr:sp macro="" textlink="">
            <xdr:nvSpPr>
              <xdr:cNvPr id="2052" name="Check Box 4" hidden="1">
                <a:extLst>
                  <a:ext uri="{63B3BB69-23CF-44E3-9099-C40C66FF867C}">
                    <a14:compatExt spid="_x0000_s2052"/>
                  </a:ext>
                </a:extLst>
              </xdr:cNvPr>
              <xdr:cNvSpPr/>
            </xdr:nvSpPr>
            <xdr:spPr>
              <a:xfrm>
                <a:off x="9248775" y="3714750"/>
                <a:ext cx="666750" cy="190500"/>
              </a:xfrm>
              <a:prstGeom prst="rect">
                <a:avLst/>
              </a:prstGeom>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증권</a:t>
                </a:r>
              </a:p>
            </xdr:txBody>
          </xdr:sp>
          <xdr:sp macro="" textlink="">
            <xdr:nvSpPr>
              <xdr:cNvPr id="2053" name="Check Box 5" hidden="1">
                <a:extLst>
                  <a:ext uri="{63B3BB69-23CF-44E3-9099-C40C66FF867C}">
                    <a14:compatExt spid="_x0000_s2053"/>
                  </a:ext>
                </a:extLst>
              </xdr:cNvPr>
              <xdr:cNvSpPr/>
            </xdr:nvSpPr>
            <xdr:spPr>
              <a:xfrm>
                <a:off x="9801225" y="3714750"/>
                <a:ext cx="666750" cy="190500"/>
              </a:xfrm>
              <a:prstGeom prst="rect">
                <a:avLst/>
              </a:prstGeom>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은행</a:t>
                </a:r>
              </a:p>
            </xdr:txBody>
          </xdr:sp>
          <xdr:sp macro="" textlink="">
            <xdr:nvSpPr>
              <xdr:cNvPr id="2054" name="Check Box 6" hidden="1">
                <a:extLst>
                  <a:ext uri="{63B3BB69-23CF-44E3-9099-C40C66FF867C}">
                    <a14:compatExt spid="_x0000_s2054"/>
                  </a:ext>
                </a:extLst>
              </xdr:cNvPr>
              <xdr:cNvSpPr/>
            </xdr:nvSpPr>
            <xdr:spPr>
              <a:xfrm>
                <a:off x="10439400" y="3705225"/>
                <a:ext cx="666750" cy="190500"/>
              </a:xfrm>
              <a:prstGeom prst="rect">
                <a:avLst/>
              </a:prstGeom>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보험</a:t>
                </a:r>
              </a:p>
            </xdr:txBody>
          </xdr:sp>
          <xdr:sp macro="" textlink="">
            <xdr:nvSpPr>
              <xdr:cNvPr id="2055" name="Check Box 7" hidden="1">
                <a:extLst>
                  <a:ext uri="{63B3BB69-23CF-44E3-9099-C40C66FF867C}">
                    <a14:compatExt spid="_x0000_s2055"/>
                  </a:ext>
                </a:extLst>
              </xdr:cNvPr>
              <xdr:cNvSpPr/>
            </xdr:nvSpPr>
            <xdr:spPr>
              <a:xfrm>
                <a:off x="11049000" y="3705225"/>
                <a:ext cx="666750" cy="190500"/>
              </a:xfrm>
              <a:prstGeom prst="rect">
                <a:avLst/>
              </a:prstGeom>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투신</a:t>
                </a:r>
              </a:p>
            </xdr:txBody>
          </xdr:sp>
          <xdr:sp macro="" textlink="">
            <xdr:nvSpPr>
              <xdr:cNvPr id="2056" name="Check Box 8" hidden="1">
                <a:extLst>
                  <a:ext uri="{63B3BB69-23CF-44E3-9099-C40C66FF867C}">
                    <a14:compatExt spid="_x0000_s2056"/>
                  </a:ext>
                </a:extLst>
              </xdr:cNvPr>
              <xdr:cNvSpPr/>
            </xdr:nvSpPr>
            <xdr:spPr>
              <a:xfrm>
                <a:off x="11658600" y="3705225"/>
                <a:ext cx="666750" cy="190500"/>
              </a:xfrm>
              <a:prstGeom prst="rect">
                <a:avLst/>
              </a:prstGeom>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종금</a:t>
                </a:r>
              </a:p>
            </xdr:txBody>
          </xdr:sp>
          <xdr:sp macro="" textlink="">
            <xdr:nvSpPr>
              <xdr:cNvPr id="2057" name="Check Box 9" hidden="1">
                <a:extLst>
                  <a:ext uri="{63B3BB69-23CF-44E3-9099-C40C66FF867C}">
                    <a14:compatExt spid="_x0000_s2057"/>
                  </a:ext>
                </a:extLst>
              </xdr:cNvPr>
              <xdr:cNvSpPr/>
            </xdr:nvSpPr>
            <xdr:spPr>
              <a:xfrm>
                <a:off x="12277725" y="3714750"/>
                <a:ext cx="666750" cy="190500"/>
              </a:xfrm>
              <a:prstGeom prst="rect">
                <a:avLst/>
              </a:prstGeom>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연기금</a:t>
                </a:r>
              </a:p>
            </xdr:txBody>
          </xdr:sp>
          <xdr:sp macro="" textlink="">
            <xdr:nvSpPr>
              <xdr:cNvPr id="2058" name="Check Box 10" hidden="1">
                <a:extLst>
                  <a:ext uri="{63B3BB69-23CF-44E3-9099-C40C66FF867C}">
                    <a14:compatExt spid="_x0000_s2058"/>
                  </a:ext>
                </a:extLst>
              </xdr:cNvPr>
              <xdr:cNvSpPr/>
            </xdr:nvSpPr>
            <xdr:spPr>
              <a:xfrm>
                <a:off x="13020675" y="3705225"/>
                <a:ext cx="666750" cy="190500"/>
              </a:xfrm>
              <a:prstGeom prst="rect">
                <a:avLst/>
              </a:prstGeom>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개인</a:t>
                </a:r>
              </a:p>
            </xdr:txBody>
          </xdr:sp>
        </xdr:grpSp>
        <xdr:clientData/>
      </xdr:twoCellAnchor>
    </mc:Choice>
    <mc:Fallback/>
  </mc:AlternateContent>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5.xml"/><Relationship Id="rId13" Type="http://schemas.openxmlformats.org/officeDocument/2006/relationships/ctrlProp" Target="../ctrlProps/ctrlProp20.xml"/><Relationship Id="rId3" Type="http://schemas.openxmlformats.org/officeDocument/2006/relationships/vmlDrawing" Target="../drawings/vmlDrawing2.vml"/><Relationship Id="rId7" Type="http://schemas.openxmlformats.org/officeDocument/2006/relationships/ctrlProp" Target="../ctrlProps/ctrlProp14.xml"/><Relationship Id="rId12" Type="http://schemas.openxmlformats.org/officeDocument/2006/relationships/ctrlProp" Target="../ctrlProps/ctrlProp1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3.xml"/><Relationship Id="rId11" Type="http://schemas.openxmlformats.org/officeDocument/2006/relationships/ctrlProp" Target="../ctrlProps/ctrlProp18.xml"/><Relationship Id="rId5" Type="http://schemas.openxmlformats.org/officeDocument/2006/relationships/ctrlProp" Target="../ctrlProps/ctrlProp12.xml"/><Relationship Id="rId10" Type="http://schemas.openxmlformats.org/officeDocument/2006/relationships/ctrlProp" Target="../ctrlProps/ctrlProp17.xml"/><Relationship Id="rId4" Type="http://schemas.openxmlformats.org/officeDocument/2006/relationships/ctrlProp" Target="../ctrlProps/ctrlProp11.xml"/><Relationship Id="rId9" Type="http://schemas.openxmlformats.org/officeDocument/2006/relationships/ctrlProp" Target="../ctrlProps/ctrlProp16.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3:B17"/>
  <sheetViews>
    <sheetView showGridLines="0" tabSelected="1" workbookViewId="0"/>
  </sheetViews>
  <sheetFormatPr defaultRowHeight="13.5" x14ac:dyDescent="0.25"/>
  <cols>
    <col min="1" max="1" width="2.140625" customWidth="1"/>
  </cols>
  <sheetData>
    <row r="3" spans="2:2" ht="31.5" x14ac:dyDescent="0.25">
      <c r="B3" s="9" t="s">
        <v>68</v>
      </c>
    </row>
    <row r="5" spans="2:2" ht="20.25" x14ac:dyDescent="0.25">
      <c r="B5" s="8" t="s">
        <v>69</v>
      </c>
    </row>
    <row r="7" spans="2:2" x14ac:dyDescent="0.25">
      <c r="B7" s="7"/>
    </row>
    <row r="8" spans="2:2" x14ac:dyDescent="0.25">
      <c r="B8" s="7" t="s">
        <v>70</v>
      </c>
    </row>
    <row r="9" spans="2:2" x14ac:dyDescent="0.25">
      <c r="B9" s="7" t="s">
        <v>71</v>
      </c>
    </row>
    <row r="10" spans="2:2" x14ac:dyDescent="0.25">
      <c r="B10" s="7" t="s">
        <v>74</v>
      </c>
    </row>
    <row r="11" spans="2:2" x14ac:dyDescent="0.25">
      <c r="B11" s="7" t="s">
        <v>73</v>
      </c>
    </row>
    <row r="12" spans="2:2" x14ac:dyDescent="0.25">
      <c r="B12" s="7" t="s">
        <v>72</v>
      </c>
    </row>
    <row r="13" spans="2:2" x14ac:dyDescent="0.25">
      <c r="B13" s="7" t="s">
        <v>75</v>
      </c>
    </row>
    <row r="14" spans="2:2" x14ac:dyDescent="0.25">
      <c r="B14" s="7"/>
    </row>
    <row r="15" spans="2:2" x14ac:dyDescent="0.25">
      <c r="B15" s="7" t="s">
        <v>76</v>
      </c>
    </row>
    <row r="16" spans="2:2" x14ac:dyDescent="0.25">
      <c r="B16" s="7"/>
    </row>
    <row r="17" spans="2:2" x14ac:dyDescent="0.25">
      <c r="B17" s="7" t="s">
        <v>77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BN10003"/>
  <sheetViews>
    <sheetView showGridLines="0" zoomScaleNormal="100" workbookViewId="0"/>
  </sheetViews>
  <sheetFormatPr defaultRowHeight="13.5" x14ac:dyDescent="0.25"/>
  <cols>
    <col min="1" max="1" width="1.85546875" customWidth="1"/>
    <col min="2" max="2" width="18.42578125" customWidth="1"/>
    <col min="3" max="3" width="13.7109375" customWidth="1"/>
    <col min="4" max="4" width="5.140625" customWidth="1"/>
    <col min="5" max="5" width="16.85546875" customWidth="1"/>
    <col min="6" max="8" width="11.140625" customWidth="1"/>
    <col min="9" max="9" width="12.140625" customWidth="1"/>
    <col min="10" max="10" width="11.28515625" bestFit="1" customWidth="1"/>
    <col min="11" max="12" width="11.28515625" customWidth="1"/>
    <col min="13" max="13" width="11.28515625" bestFit="1" customWidth="1"/>
    <col min="14" max="14" width="11.28515625" customWidth="1"/>
    <col min="15" max="15" width="1.42578125" customWidth="1"/>
    <col min="16" max="16" width="11.140625" bestFit="1" customWidth="1"/>
    <col min="21" max="21" width="11.28515625" bestFit="1" customWidth="1"/>
    <col min="23" max="23" width="11.28515625" bestFit="1" customWidth="1"/>
    <col min="25" max="25" width="9.140625" hidden="1" customWidth="1"/>
    <col min="26" max="26" width="9.28515625" hidden="1" customWidth="1"/>
    <col min="27" max="27" width="9.140625" hidden="1" customWidth="1"/>
    <col min="28" max="28" width="9.28515625" hidden="1" customWidth="1"/>
    <col min="29" max="32" width="9.140625" hidden="1" customWidth="1"/>
    <col min="33" max="33" width="0" hidden="1" customWidth="1"/>
    <col min="34" max="34" width="12.28515625" hidden="1" customWidth="1"/>
    <col min="35" max="35" width="9.28515625" hidden="1" customWidth="1"/>
    <col min="36" max="36" width="0" hidden="1" customWidth="1"/>
    <col min="37" max="37" width="11.42578125" hidden="1" customWidth="1"/>
    <col min="38" max="38" width="17.7109375" hidden="1" customWidth="1"/>
    <col min="39" max="42" width="9.28515625" hidden="1" customWidth="1"/>
    <col min="43" max="43" width="9" hidden="1" customWidth="1"/>
    <col min="44" max="44" width="16.28515625" hidden="1" customWidth="1"/>
    <col min="45" max="45" width="9" hidden="1" customWidth="1"/>
    <col min="46" max="46" width="12.85546875" hidden="1" customWidth="1"/>
    <col min="47" max="56" width="9.28515625" hidden="1" customWidth="1"/>
    <col min="57" max="57" width="0" hidden="1" customWidth="1"/>
    <col min="58" max="58" width="11.42578125" hidden="1" customWidth="1"/>
    <col min="59" max="59" width="12.7109375" hidden="1" customWidth="1"/>
    <col min="60" max="60" width="9.42578125" hidden="1" customWidth="1"/>
    <col min="61" max="66" width="11.140625" hidden="1" customWidth="1"/>
  </cols>
  <sheetData>
    <row r="1" spans="1:66" ht="9.75" customHeight="1" x14ac:dyDescent="0.25">
      <c r="A1" s="2"/>
    </row>
    <row r="2" spans="1:66" ht="35.25" customHeight="1" x14ac:dyDescent="0.25">
      <c r="A2" s="2"/>
      <c r="B2" s="182" t="s">
        <v>7</v>
      </c>
      <c r="C2" s="182"/>
      <c r="D2" s="182"/>
      <c r="E2" s="182"/>
      <c r="F2" s="182"/>
      <c r="G2" s="182"/>
      <c r="H2" s="182"/>
      <c r="I2" s="182"/>
      <c r="J2" s="182"/>
      <c r="K2" s="182"/>
      <c r="L2" s="182"/>
      <c r="M2" s="182"/>
      <c r="N2" s="182"/>
      <c r="O2" s="182"/>
      <c r="P2" s="182"/>
      <c r="Q2" s="182"/>
      <c r="R2" s="182"/>
      <c r="S2" s="182"/>
      <c r="T2" s="182"/>
      <c r="U2" s="182"/>
      <c r="V2" s="182"/>
      <c r="W2" s="182"/>
      <c r="AH2" t="str">
        <f>INDEX($AC$4:$AC$20,$AB$3,1)</f>
        <v>001</v>
      </c>
      <c r="AK2" t="str">
        <f>INDEX($AC$4:$AC$20,$AB$3,1)</f>
        <v>001</v>
      </c>
    </row>
    <row r="3" spans="1:66" ht="14.25" customHeight="1" x14ac:dyDescent="0.25">
      <c r="A3" s="2"/>
      <c r="B3" s="3"/>
      <c r="C3" s="3"/>
      <c r="D3" s="3"/>
      <c r="E3" s="3"/>
      <c r="F3" s="3"/>
      <c r="G3" s="3"/>
      <c r="H3" s="3"/>
      <c r="I3" s="3"/>
      <c r="J3" s="3"/>
      <c r="K3" s="3"/>
      <c r="L3" s="2"/>
      <c r="M3" s="6" t="s">
        <v>42</v>
      </c>
      <c r="N3" s="4">
        <f ca="1">WORKDAY(TODAY(),-1)</f>
        <v>44950</v>
      </c>
      <c r="O3" s="3"/>
      <c r="P3" s="2"/>
      <c r="Q3" s="2"/>
      <c r="R3" s="2"/>
      <c r="S3" s="2"/>
      <c r="T3" s="6" t="s">
        <v>43</v>
      </c>
      <c r="U3" s="5">
        <f ca="1">W3-365</f>
        <v>44586</v>
      </c>
      <c r="V3" s="6" t="s">
        <v>44</v>
      </c>
      <c r="W3" s="5">
        <f ca="1">TODAY()</f>
        <v>44951</v>
      </c>
      <c r="AB3">
        <v>1</v>
      </c>
      <c r="AH3" t="str">
        <f ca="1">_xll.IMDH(INDEX(AB4:$AB$20,$AB$3,1),INDEX($AC$4:$AC$20,$AB$3,1),$AH$4:$AI$4,$U$3,$W$3,9999,"Per=일,sort=D,real=false,Bizday=0,Quote=종가,Pos=20,Orient=V,Title="&amp;INDEX($AA$4:$AA$20,$AB$3,1)&amp;",DtFmt=1,TmFmt=1,unit=true")</f>
        <v>KOSPI</v>
      </c>
      <c r="AK3" t="str">
        <f ca="1">_xll.IMDH(INDEX($AB23:AB$28,$AB$22,1),INDEX($AC$23:$AC$28,$AB$22,1),$AK$4:$AS$5,$U$19,$W$19,9999,"Per=일,sort=D,real=false,Bizday=0,Quote=종가,Pos=20,Orient=V,Title="&amp;INDEX($AA$23:$AA$28,$AB$22,1)&amp;",DtFmt=1,TmFmt=1,unit=true")</f>
        <v>KOSPI</v>
      </c>
      <c r="AU3" t="b">
        <v>1</v>
      </c>
      <c r="AV3" t="b">
        <v>1</v>
      </c>
      <c r="AW3" t="b">
        <v>0</v>
      </c>
      <c r="AX3" t="b">
        <v>0</v>
      </c>
      <c r="AY3" t="b">
        <v>0</v>
      </c>
      <c r="AZ3" t="b">
        <v>0</v>
      </c>
      <c r="BA3" t="b">
        <v>0</v>
      </c>
      <c r="BB3" t="b">
        <v>0</v>
      </c>
    </row>
    <row r="4" spans="1:66" ht="6.75" customHeight="1" x14ac:dyDescent="0.25">
      <c r="A4" s="2"/>
      <c r="B4" s="3"/>
      <c r="C4" s="3"/>
      <c r="D4" s="3"/>
      <c r="E4" s="3"/>
      <c r="F4" s="3"/>
      <c r="G4" s="3"/>
      <c r="H4" s="3"/>
      <c r="I4" s="2"/>
      <c r="J4" s="2"/>
      <c r="K4" s="2"/>
      <c r="L4" s="2"/>
      <c r="M4" s="2"/>
      <c r="N4" s="2"/>
      <c r="O4" s="2"/>
      <c r="P4" s="2"/>
      <c r="Q4" s="2"/>
      <c r="R4" s="2"/>
      <c r="S4" s="2"/>
      <c r="T4" s="2"/>
      <c r="U4" s="2"/>
      <c r="V4" s="2"/>
      <c r="W4" s="2"/>
      <c r="Z4">
        <v>1</v>
      </c>
      <c r="AA4" t="s">
        <v>45</v>
      </c>
      <c r="AB4" t="s">
        <v>61</v>
      </c>
      <c r="AC4" t="s">
        <v>0</v>
      </c>
      <c r="AD4" t="s">
        <v>80</v>
      </c>
      <c r="AH4" t="s">
        <v>86</v>
      </c>
      <c r="AI4" t="str">
        <f>INDEX(AD4:AD20,AB3,1)</f>
        <v>현재가</v>
      </c>
      <c r="AK4" t="s">
        <v>86</v>
      </c>
      <c r="AL4" t="str">
        <f>INDEX($Z$41:$AF$48,1,$AB$22)</f>
        <v>외국인합순매수금액</v>
      </c>
      <c r="AM4" t="str">
        <f>INDEX($Z$41:$AF$48,2,$AB$22)</f>
        <v>증권/선물순매수금액</v>
      </c>
      <c r="AN4" t="str">
        <f>INDEX($Z$41:$AF$48,3,$AB$22)</f>
        <v>은행순매수금액</v>
      </c>
      <c r="AO4" t="str">
        <f>INDEX($Z$41:$AF$48,4,$AB$22)</f>
        <v>보험순매수금액</v>
      </c>
      <c r="AP4" t="str">
        <f>INDEX($Z$41:$AF$48,5,$AB$22)</f>
        <v>투신순매수금액</v>
      </c>
      <c r="AQ4" t="str">
        <f>INDEX($Z$41:$AF$48,6,$AB$22)</f>
        <v>종신금순매수금액</v>
      </c>
      <c r="AR4" t="str">
        <f>INDEX($Z$41:$AF$48,7,$AB$22)</f>
        <v>연기금순매수금액</v>
      </c>
      <c r="AS4" t="str">
        <f>INDEX($Z$41:$AF$48,8,$AB$22)</f>
        <v>개인순매수금액</v>
      </c>
      <c r="AU4" t="s">
        <v>143</v>
      </c>
      <c r="AV4" t="s">
        <v>147</v>
      </c>
      <c r="AW4" t="s">
        <v>148</v>
      </c>
      <c r="AX4" t="s">
        <v>149</v>
      </c>
      <c r="AY4" t="s">
        <v>150</v>
      </c>
      <c r="AZ4" t="s">
        <v>152</v>
      </c>
      <c r="BA4" t="s">
        <v>114</v>
      </c>
      <c r="BB4" t="s">
        <v>151</v>
      </c>
      <c r="BF4" t="str">
        <f>AK4</f>
        <v>일자</v>
      </c>
    </row>
    <row r="5" spans="1:66" ht="21" customHeight="1" thickBot="1" x14ac:dyDescent="0.3">
      <c r="B5" s="3"/>
      <c r="C5" s="3"/>
      <c r="D5" s="3"/>
      <c r="E5" s="3"/>
      <c r="F5" s="2"/>
      <c r="G5" s="12">
        <f ca="1">DATE(YEAR(N3)-1,12,31)</f>
        <v>44926</v>
      </c>
      <c r="H5" s="12">
        <f ca="1">EOMONTH(N3,-1)</f>
        <v>44926</v>
      </c>
      <c r="I5" s="2"/>
      <c r="J5" s="3"/>
      <c r="K5" s="12">
        <f ca="1">N3-1</f>
        <v>44949</v>
      </c>
      <c r="L5" s="13">
        <f ca="1">N3-(WEEKDAY(TODAY(),1))</f>
        <v>44946</v>
      </c>
      <c r="M5" s="12">
        <f ca="1">EOMONTH(N3,-1)</f>
        <v>44926</v>
      </c>
      <c r="N5" s="12">
        <f ca="1">DATE(YEAR(N3)-1,12,31)</f>
        <v>44926</v>
      </c>
      <c r="O5" s="3"/>
      <c r="P5" s="2"/>
      <c r="Q5" s="2"/>
      <c r="R5" s="2"/>
      <c r="S5" s="2"/>
      <c r="T5" s="2"/>
      <c r="U5" s="2"/>
      <c r="V5" s="2"/>
      <c r="W5" s="2"/>
      <c r="Z5">
        <v>2</v>
      </c>
      <c r="AA5" t="s">
        <v>46</v>
      </c>
      <c r="AB5" t="s">
        <v>61</v>
      </c>
      <c r="AC5" t="s">
        <v>1</v>
      </c>
      <c r="AD5" t="s">
        <v>80</v>
      </c>
      <c r="AH5" s="75">
        <v>44951</v>
      </c>
      <c r="AI5">
        <v>2427.6</v>
      </c>
      <c r="AK5" s="75">
        <v>44951</v>
      </c>
      <c r="AL5">
        <v>420463</v>
      </c>
      <c r="AM5">
        <v>67046</v>
      </c>
      <c r="AN5">
        <v>-2746</v>
      </c>
      <c r="AO5">
        <v>2985</v>
      </c>
      <c r="AP5">
        <v>10694</v>
      </c>
      <c r="AQ5">
        <v>328</v>
      </c>
      <c r="AR5">
        <v>59305</v>
      </c>
      <c r="AS5">
        <v>-585320</v>
      </c>
    </row>
    <row r="6" spans="1:66" ht="14.25" thickBot="1" x14ac:dyDescent="0.3">
      <c r="B6" s="15" t="s">
        <v>78</v>
      </c>
      <c r="C6" s="16" t="s">
        <v>79</v>
      </c>
      <c r="D6" s="14"/>
      <c r="E6" s="14"/>
      <c r="F6" s="14"/>
      <c r="G6" s="41" t="s">
        <v>108</v>
      </c>
      <c r="H6" s="41" t="s">
        <v>109</v>
      </c>
      <c r="I6" s="39" t="s">
        <v>81</v>
      </c>
      <c r="J6" s="22" t="s">
        <v>82</v>
      </c>
      <c r="K6" s="22" t="s">
        <v>83</v>
      </c>
      <c r="L6" s="22" t="s">
        <v>84</v>
      </c>
      <c r="M6" s="22" t="s">
        <v>85</v>
      </c>
      <c r="N6" s="23" t="s">
        <v>90</v>
      </c>
      <c r="O6" s="11"/>
      <c r="Z6">
        <v>3</v>
      </c>
      <c r="AA6" t="s">
        <v>47</v>
      </c>
      <c r="AB6" t="s">
        <v>61</v>
      </c>
      <c r="AC6" t="s">
        <v>2</v>
      </c>
      <c r="AD6" t="s">
        <v>80</v>
      </c>
      <c r="AH6" s="75">
        <v>44946</v>
      </c>
      <c r="AI6">
        <v>2395.2600000000002</v>
      </c>
      <c r="AK6" s="75">
        <v>44946</v>
      </c>
      <c r="AL6">
        <v>230834</v>
      </c>
      <c r="AM6">
        <v>-14319</v>
      </c>
      <c r="AN6">
        <v>7145</v>
      </c>
      <c r="AO6">
        <v>5611</v>
      </c>
      <c r="AP6">
        <v>5361</v>
      </c>
      <c r="AQ6">
        <v>2314</v>
      </c>
      <c r="AR6">
        <v>-18699</v>
      </c>
      <c r="AS6">
        <v>-246516</v>
      </c>
      <c r="AT6">
        <f>AK6</f>
        <v>44946</v>
      </c>
      <c r="AU6">
        <f>IF(AU$3=TRUE,AL6,"")</f>
        <v>230834</v>
      </c>
      <c r="AV6">
        <f>IF(AV$3=TRUE,AM6,"")</f>
        <v>-14319</v>
      </c>
      <c r="AW6" t="str">
        <f t="shared" ref="AW6:BB6" si="0">IF(AW$3=TRUE,AN6,"")</f>
        <v/>
      </c>
      <c r="AX6" t="str">
        <f t="shared" si="0"/>
        <v/>
      </c>
      <c r="AY6" t="str">
        <f t="shared" si="0"/>
        <v/>
      </c>
      <c r="AZ6" t="str">
        <f t="shared" si="0"/>
        <v/>
      </c>
      <c r="BA6" t="str">
        <f t="shared" si="0"/>
        <v/>
      </c>
      <c r="BB6" t="str">
        <f t="shared" si="0"/>
        <v/>
      </c>
      <c r="BF6" s="75">
        <f>IF(AK6="","",AK6)</f>
        <v>44946</v>
      </c>
      <c r="BG6">
        <f>IF($AU$3=TRUE,IF(AL6="","",SUM(AL6:$AL$64)),"")</f>
        <v>6666383</v>
      </c>
      <c r="BH6">
        <f>IF($AV$3=TRUE,IF(AM6="","",SUM($AM6:AM$64)),"")</f>
        <v>2596915</v>
      </c>
      <c r="BI6" t="str">
        <f>IF($AW$3=TRUE,IF(AN6="","",SUM($AN6:AN$64)),"")</f>
        <v/>
      </c>
      <c r="BJ6" t="str">
        <f>IF($AX$3=TRUE,IF(AO6="","",SUM($AO6:AO$64)),"")</f>
        <v/>
      </c>
      <c r="BK6" t="str">
        <f>IF($AY$3=TRUE,IF(AP6="","",SUM($AP6:AP$64)),"")</f>
        <v/>
      </c>
      <c r="BL6" t="str">
        <f>IF($AZ$3=TRUE,IF(AQ6="","",SUM($AQ6:AQ$64)),"")</f>
        <v/>
      </c>
      <c r="BM6" t="str">
        <f>IF($BA$3=TRUE,IF(AR6="","",SUM($AR6:AR$64)),"")</f>
        <v/>
      </c>
      <c r="BN6" t="str">
        <f>IF($BB$3=TRUE,IF(AS6="","",SUM($AS6:AS$64)),"")</f>
        <v/>
      </c>
    </row>
    <row r="7" spans="1:66" x14ac:dyDescent="0.25">
      <c r="B7" s="179" t="s">
        <v>40</v>
      </c>
      <c r="C7" s="101" t="s">
        <v>3</v>
      </c>
      <c r="D7" s="76" t="s">
        <v>34</v>
      </c>
      <c r="E7" s="77" t="s">
        <v>0</v>
      </c>
      <c r="F7" s="78" t="s">
        <v>38</v>
      </c>
      <c r="G7" s="17">
        <f ca="1">_xll.IMDP($D7,$E7,$F7,$G$5,"fill=true")</f>
        <v>2236.4</v>
      </c>
      <c r="H7" s="17">
        <f ca="1">_xll.IMDP($D7,$E7,$F7,$H$5,"fill=true")</f>
        <v>2236.4</v>
      </c>
      <c r="I7" s="46">
        <f ca="1">_xll.IMDP($D7,$E7,$F7,$N$3,"FILL=TRUE")</f>
        <v>2395.2600000000002</v>
      </c>
      <c r="J7" s="17">
        <f ca="1">_xll.IMDP($D7,$E7,"전일대비",$N$3,"FILL=TRUE")</f>
        <v>14.92</v>
      </c>
      <c r="K7" s="24">
        <f ca="1">($I7-_xll.IMDP($D7,$E7,$F7,K$5,"fill=true"))/_xll.IMDP($D7,$E7,$F7,K$5,"fill=true")</f>
        <v>0</v>
      </c>
      <c r="L7" s="24">
        <f ca="1">($I7-_xll.IMDP($D7,$E7,$F7,L$5,"fill=true"))/_xll.IMDP($D7,$E7,$F7,L$5,"fill=true")</f>
        <v>0</v>
      </c>
      <c r="M7" s="24">
        <f ca="1">($I7-_xll.IMDP($D7,$E7,$F7,M$5,"fill=true"))/_xll.IMDP($D7,$E7,$F7,M$5,"fill=true")</f>
        <v>7.1033804328384964E-2</v>
      </c>
      <c r="N7" s="25">
        <f ca="1">($I7-_xll.IMDP($D7,$E7,$F7,N$5,"fill=true"))/_xll.IMDP($D7,$E7,$F7,N$5,"fill=true")</f>
        <v>7.1033804328384964E-2</v>
      </c>
      <c r="O7" s="10"/>
      <c r="Z7">
        <v>4</v>
      </c>
      <c r="AA7" t="s">
        <v>48</v>
      </c>
      <c r="AB7" t="s">
        <v>62</v>
      </c>
      <c r="AC7" t="s">
        <v>8</v>
      </c>
      <c r="AD7" t="s">
        <v>80</v>
      </c>
      <c r="AH7" s="75">
        <v>44945</v>
      </c>
      <c r="AI7">
        <v>2380.34</v>
      </c>
      <c r="AK7" s="75">
        <v>44945</v>
      </c>
      <c r="AL7">
        <v>570305</v>
      </c>
      <c r="AM7">
        <v>-174860</v>
      </c>
      <c r="AN7">
        <v>-707</v>
      </c>
      <c r="AO7">
        <v>-13209</v>
      </c>
      <c r="AP7">
        <v>-10880</v>
      </c>
      <c r="AQ7">
        <v>-424</v>
      </c>
      <c r="AR7">
        <v>-80966</v>
      </c>
      <c r="AS7">
        <v>-260223</v>
      </c>
      <c r="AT7">
        <f t="shared" ref="AT7:AT64" si="1">AK7</f>
        <v>44945</v>
      </c>
      <c r="AU7">
        <f t="shared" ref="AU7:AU64" si="2">IF(AU$3=TRUE,AL7,"")</f>
        <v>570305</v>
      </c>
      <c r="AV7">
        <f t="shared" ref="AV7:AV64" si="3">IF(AV$3=TRUE,AM7,"")</f>
        <v>-174860</v>
      </c>
      <c r="AW7" t="str">
        <f t="shared" ref="AW7:AW64" si="4">IF(AW$3=TRUE,AN7,"")</f>
        <v/>
      </c>
      <c r="AX7" t="str">
        <f t="shared" ref="AX7:AX64" si="5">IF(AX$3=TRUE,AO7,"")</f>
        <v/>
      </c>
      <c r="AY7" t="str">
        <f t="shared" ref="AY7:AY64" si="6">IF(AY$3=TRUE,AP7,"")</f>
        <v/>
      </c>
      <c r="AZ7" t="str">
        <f t="shared" ref="AZ7:AZ64" si="7">IF(AZ$3=TRUE,AQ7,"")</f>
        <v/>
      </c>
      <c r="BA7" t="str">
        <f t="shared" ref="BA7:BA64" si="8">IF(BA$3=TRUE,AR7,"")</f>
        <v/>
      </c>
      <c r="BB7" t="str">
        <f t="shared" ref="BB7:BB64" si="9">IF(BB$3=TRUE,AS7,"")</f>
        <v/>
      </c>
      <c r="BF7" s="75">
        <f t="shared" ref="BF7:BF70" si="10">IF(AK7="","",AK7)</f>
        <v>44945</v>
      </c>
      <c r="BG7">
        <f>IF($AU$3=TRUE,IF(AL7="","",SUM(AL7:$AL$64)),"")</f>
        <v>6435549</v>
      </c>
      <c r="BH7">
        <f>IF($AV$3=TRUE,IF(AM7="","",SUM($AM7:AM$64)),"")</f>
        <v>2611234</v>
      </c>
      <c r="BI7" t="str">
        <f>IF($AW$3=TRUE,IF(AN7="","",SUM($AN7:AN$64)),"")</f>
        <v/>
      </c>
      <c r="BJ7" t="str">
        <f>IF($AX$3=TRUE,IF(AO7="","",SUM($AO7:AO$64)),"")</f>
        <v/>
      </c>
      <c r="BK7" t="str">
        <f>IF($AY$3=TRUE,IF(AP7="","",SUM($AP7:AP$64)),"")</f>
        <v/>
      </c>
      <c r="BL7" t="str">
        <f>IF($AZ$3=TRUE,IF(AQ7="","",SUM($AQ7:AQ$64)),"")</f>
        <v/>
      </c>
      <c r="BM7" t="str">
        <f>IF($BA$3=TRUE,IF(AR7="","",SUM($AR7:AR$64)),"")</f>
        <v/>
      </c>
      <c r="BN7" t="str">
        <f>IF($BB$3=TRUE,IF(AS7="","",SUM($AS7:AS$64)),"")</f>
        <v/>
      </c>
    </row>
    <row r="8" spans="1:66" x14ac:dyDescent="0.25">
      <c r="B8" s="180"/>
      <c r="C8" s="102" t="s">
        <v>4</v>
      </c>
      <c r="D8" s="79" t="s">
        <v>34</v>
      </c>
      <c r="E8" s="80" t="s">
        <v>1</v>
      </c>
      <c r="F8" s="81" t="s">
        <v>38</v>
      </c>
      <c r="G8" s="51">
        <f ca="1">_xll.IMDP($D8,$E8,$F8,$G$5,"fill=true")</f>
        <v>291.10000000000002</v>
      </c>
      <c r="H8" s="51">
        <f ca="1">_xll.IMDP($D8,$E8,$F8,$H$5,"fill=true")</f>
        <v>291.10000000000002</v>
      </c>
      <c r="I8" s="47">
        <f ca="1">_xll.IMDP($D8,$E8,$F8,$N$3,"FILL=TRUE")</f>
        <v>315.58</v>
      </c>
      <c r="J8" s="18">
        <f ca="1">_xll.IMDP($D8,$E8,"전일대비",$N$3,"FILL=TRUE")</f>
        <v>1.77</v>
      </c>
      <c r="K8" s="26">
        <f ca="1">($I8-_xll.IMDP($D8,$E8,$F8,K$5,"fill=true"))/_xll.IMDP($D8,$E8,$F8,K$5,"fill=true")</f>
        <v>0</v>
      </c>
      <c r="L8" s="26">
        <f ca="1">($I8-_xll.IMDP($D8,$E8,$F8,L$5,"fill=true"))/_xll.IMDP($D8,$E8,$F8,L$5,"fill=true")</f>
        <v>0</v>
      </c>
      <c r="M8" s="26">
        <f ca="1">($I8-_xll.IMDP($D8,$E8,$F8,M$5,"fill=true"))/_xll.IMDP($D8,$E8,$F8,M$5,"fill=true")</f>
        <v>8.409481277911357E-2</v>
      </c>
      <c r="N8" s="27">
        <f ca="1">($I8-_xll.IMDP($D8,$E8,$F8,N$5,"fill=true"))/_xll.IMDP($D8,$E8,$F8,N$5,"fill=true")</f>
        <v>8.409481277911357E-2</v>
      </c>
      <c r="O8" s="10"/>
      <c r="Z8">
        <v>5</v>
      </c>
      <c r="AA8" t="s">
        <v>49</v>
      </c>
      <c r="AB8" t="s">
        <v>62</v>
      </c>
      <c r="AC8" t="s">
        <v>8</v>
      </c>
      <c r="AD8" t="s">
        <v>80</v>
      </c>
      <c r="AH8" s="75">
        <v>44944</v>
      </c>
      <c r="AI8">
        <v>2368.3200000000002</v>
      </c>
      <c r="AK8" s="75">
        <v>44944</v>
      </c>
      <c r="AL8">
        <v>72844</v>
      </c>
      <c r="AM8">
        <v>-66671</v>
      </c>
      <c r="AN8">
        <v>669</v>
      </c>
      <c r="AO8">
        <v>-19252</v>
      </c>
      <c r="AP8">
        <v>-52748</v>
      </c>
      <c r="AQ8">
        <v>-8324</v>
      </c>
      <c r="AR8">
        <v>-36943</v>
      </c>
      <c r="AS8">
        <v>148970</v>
      </c>
      <c r="AT8">
        <f t="shared" si="1"/>
        <v>44944</v>
      </c>
      <c r="AU8">
        <f t="shared" si="2"/>
        <v>72844</v>
      </c>
      <c r="AV8">
        <f t="shared" si="3"/>
        <v>-66671</v>
      </c>
      <c r="AW8" t="str">
        <f t="shared" si="4"/>
        <v/>
      </c>
      <c r="AX8" t="str">
        <f t="shared" si="5"/>
        <v/>
      </c>
      <c r="AY8" t="str">
        <f t="shared" si="6"/>
        <v/>
      </c>
      <c r="AZ8" t="str">
        <f t="shared" si="7"/>
        <v/>
      </c>
      <c r="BA8" t="str">
        <f t="shared" si="8"/>
        <v/>
      </c>
      <c r="BB8" t="str">
        <f t="shared" si="9"/>
        <v/>
      </c>
      <c r="BF8" s="75">
        <f t="shared" si="10"/>
        <v>44944</v>
      </c>
      <c r="BG8">
        <f>IF($AU$3=TRUE,IF(AL8="","",SUM(AL8:$AL$64)),"")</f>
        <v>5865244</v>
      </c>
      <c r="BH8">
        <f>IF($AV$3=TRUE,IF(AM8="","",SUM($AM8:AM$64)),"")</f>
        <v>2786094</v>
      </c>
      <c r="BI8" t="str">
        <f>IF($AW$3=TRUE,IF(AN8="","",SUM($AN8:AN$64)),"")</f>
        <v/>
      </c>
      <c r="BJ8" t="str">
        <f>IF($AX$3=TRUE,IF(AO8="","",SUM($AO8:AO$64)),"")</f>
        <v/>
      </c>
      <c r="BK8" t="str">
        <f>IF($AY$3=TRUE,IF(AP8="","",SUM($AP8:AP$64)),"")</f>
        <v/>
      </c>
      <c r="BL8" t="str">
        <f>IF($AZ$3=TRUE,IF(AQ8="","",SUM($AQ8:AQ$64)),"")</f>
        <v/>
      </c>
      <c r="BM8" t="str">
        <f>IF($BA$3=TRUE,IF(AR8="","",SUM($AR8:AR$64)),"")</f>
        <v/>
      </c>
      <c r="BN8" t="str">
        <f>IF($BB$3=TRUE,IF(AS8="","",SUM($AS8:AS$64)),"")</f>
        <v/>
      </c>
    </row>
    <row r="9" spans="1:66" x14ac:dyDescent="0.25">
      <c r="B9" s="180"/>
      <c r="C9" s="102" t="s">
        <v>5</v>
      </c>
      <c r="D9" s="79" t="s">
        <v>34</v>
      </c>
      <c r="E9" s="80" t="s">
        <v>2</v>
      </c>
      <c r="F9" s="81" t="s">
        <v>38</v>
      </c>
      <c r="G9" s="51">
        <f ca="1">_xll.IMDP($D9,$E9,$F9,$G$5,"fill=true")</f>
        <v>679.29</v>
      </c>
      <c r="H9" s="51">
        <f ca="1">_xll.IMDP($D9,$E9,$F9,$H$5,"fill=true")</f>
        <v>679.29</v>
      </c>
      <c r="I9" s="47">
        <f ca="1">_xll.IMDP($D9,$E9,$F9,$N$3,"FILL=TRUE")</f>
        <v>717.97</v>
      </c>
      <c r="J9" s="18">
        <f ca="1">_xll.IMDP($D9,$E9,"전일대비",$N$3,"FILL=TRUE")</f>
        <v>5.08</v>
      </c>
      <c r="K9" s="26">
        <f ca="1">($I9-_xll.IMDP($D9,$E9,$F9,K$5,"fill=true"))/_xll.IMDP($D9,$E9,$F9,K$5,"fill=true")</f>
        <v>0</v>
      </c>
      <c r="L9" s="26">
        <f ca="1">($I9-_xll.IMDP($D9,$E9,$F9,L$5,"fill=true"))/_xll.IMDP($D9,$E9,$F9,L$5,"fill=true")</f>
        <v>0</v>
      </c>
      <c r="M9" s="26">
        <f ca="1">($I9-_xll.IMDP($D9,$E9,$F9,M$5,"fill=true"))/_xll.IMDP($D9,$E9,$F9,M$5,"fill=true")</f>
        <v>5.6941806886602282E-2</v>
      </c>
      <c r="N9" s="27">
        <f ca="1">($I9-_xll.IMDP($D9,$E9,$F9,N$5,"fill=true"))/_xll.IMDP($D9,$E9,$F9,N$5,"fill=true")</f>
        <v>5.6941806886602282E-2</v>
      </c>
      <c r="O9" s="10"/>
      <c r="Z9">
        <v>6</v>
      </c>
      <c r="AA9" t="s">
        <v>9</v>
      </c>
      <c r="AB9" t="s">
        <v>62</v>
      </c>
      <c r="AC9" t="s">
        <v>9</v>
      </c>
      <c r="AD9" t="s">
        <v>80</v>
      </c>
      <c r="AH9" s="75">
        <v>44943</v>
      </c>
      <c r="AI9">
        <v>2379.39</v>
      </c>
      <c r="AK9" s="75">
        <v>44943</v>
      </c>
      <c r="AL9">
        <v>177097</v>
      </c>
      <c r="AM9">
        <v>-164859</v>
      </c>
      <c r="AN9">
        <v>-1152</v>
      </c>
      <c r="AO9">
        <v>-25375</v>
      </c>
      <c r="AP9">
        <v>-7530</v>
      </c>
      <c r="AQ9">
        <v>1472</v>
      </c>
      <c r="AR9">
        <v>-53370</v>
      </c>
      <c r="AS9">
        <v>128211</v>
      </c>
      <c r="AT9">
        <f t="shared" si="1"/>
        <v>44943</v>
      </c>
      <c r="AU9">
        <f t="shared" si="2"/>
        <v>177097</v>
      </c>
      <c r="AV9">
        <f t="shared" si="3"/>
        <v>-164859</v>
      </c>
      <c r="AW9" t="str">
        <f t="shared" si="4"/>
        <v/>
      </c>
      <c r="AX9" t="str">
        <f t="shared" si="5"/>
        <v/>
      </c>
      <c r="AY9" t="str">
        <f t="shared" si="6"/>
        <v/>
      </c>
      <c r="AZ9" t="str">
        <f t="shared" si="7"/>
        <v/>
      </c>
      <c r="BA9" t="str">
        <f t="shared" si="8"/>
        <v/>
      </c>
      <c r="BB9" t="str">
        <f t="shared" si="9"/>
        <v/>
      </c>
      <c r="BF9" s="75">
        <f t="shared" si="10"/>
        <v>44943</v>
      </c>
      <c r="BG9">
        <f>IF($AU$3=TRUE,IF(AL9="","",SUM(AL9:$AL$64)),"")</f>
        <v>5792400</v>
      </c>
      <c r="BH9">
        <f>IF($AV$3=TRUE,IF(AM9="","",SUM($AM9:AM$64)),"")</f>
        <v>2852765</v>
      </c>
      <c r="BI9" t="str">
        <f>IF($AW$3=TRUE,IF(AN9="","",SUM($AN9:AN$64)),"")</f>
        <v/>
      </c>
      <c r="BJ9" t="str">
        <f>IF($AX$3=TRUE,IF(AO9="","",SUM($AO9:AO$64)),"")</f>
        <v/>
      </c>
      <c r="BK9" t="str">
        <f>IF($AY$3=TRUE,IF(AP9="","",SUM($AP9:AP$64)),"")</f>
        <v/>
      </c>
      <c r="BL9" t="str">
        <f>IF($AZ$3=TRUE,IF(AQ9="","",SUM($AQ9:AQ$64)),"")</f>
        <v/>
      </c>
      <c r="BM9" t="str">
        <f>IF($BA$3=TRUE,IF(AR9="","",SUM($AR9:AR$64)),"")</f>
        <v/>
      </c>
      <c r="BN9" t="str">
        <f>IF($BB$3=TRUE,IF(AS9="","",SUM($AS9:AS$64)),"")</f>
        <v/>
      </c>
    </row>
    <row r="10" spans="1:66" x14ac:dyDescent="0.25">
      <c r="B10" s="180"/>
      <c r="C10" s="103" t="s">
        <v>6</v>
      </c>
      <c r="D10" s="80" t="s">
        <v>35</v>
      </c>
      <c r="E10" s="80" t="s">
        <v>8</v>
      </c>
      <c r="F10" s="81" t="s">
        <v>38</v>
      </c>
      <c r="G10" s="51">
        <f ca="1">_xll.IMDP($D10,$E10,$F10,$G$5,"fill=true")</f>
        <v>1264.5</v>
      </c>
      <c r="H10" s="51">
        <f ca="1">_xll.IMDP($D10,$E10,$F10,$H$5,"fill=true")</f>
        <v>1264.5</v>
      </c>
      <c r="I10" s="47">
        <f ca="1">_xll.IMDP($D10,$E10,$F10,$N$3,"FILL=TRUE")</f>
        <v>1235.5</v>
      </c>
      <c r="J10" s="18">
        <f ca="1">_xll.IMDP($D10,$E10,"전일대비",$N$3,"FILL=TRUE")</f>
        <v>3.4</v>
      </c>
      <c r="K10" s="26">
        <f ca="1">($I10-_xll.IMDP($D10,$E10,$F10,K$5,"fill=true"))/_xll.IMDP($D10,$E10,$F10,K$5,"fill=true")</f>
        <v>0</v>
      </c>
      <c r="L10" s="26">
        <f ca="1">($I10-_xll.IMDP($D10,$E10,$F10,L$5,"fill=true"))/_xll.IMDP($D10,$E10,$F10,L$5,"fill=true")</f>
        <v>0</v>
      </c>
      <c r="M10" s="26">
        <f ca="1">($I10-_xll.IMDP($D10,$E10,$F10,M$5,"fill=true"))/_xll.IMDP($D10,$E10,$F10,M$5,"fill=true")</f>
        <v>-2.2933965994464216E-2</v>
      </c>
      <c r="N10" s="27">
        <f ca="1">($I10-_xll.IMDP($D10,$E10,$F10,N$5,"fill=true"))/_xll.IMDP($D10,$E10,$F10,N$5,"fill=true")</f>
        <v>-2.2933965994464216E-2</v>
      </c>
      <c r="O10" s="10"/>
      <c r="Z10">
        <v>7</v>
      </c>
      <c r="AA10" t="s">
        <v>50</v>
      </c>
      <c r="AB10" t="s">
        <v>63</v>
      </c>
      <c r="AC10" t="s">
        <v>12</v>
      </c>
      <c r="AD10" t="s">
        <v>87</v>
      </c>
      <c r="AH10" s="75">
        <v>44942</v>
      </c>
      <c r="AI10">
        <v>2399.86</v>
      </c>
      <c r="AK10" s="75">
        <v>44942</v>
      </c>
      <c r="AL10">
        <v>287875</v>
      </c>
      <c r="AM10">
        <v>186226</v>
      </c>
      <c r="AN10">
        <v>-2331</v>
      </c>
      <c r="AO10">
        <v>12508</v>
      </c>
      <c r="AP10">
        <v>15197</v>
      </c>
      <c r="AQ10">
        <v>-4284</v>
      </c>
      <c r="AR10">
        <v>-552</v>
      </c>
      <c r="AS10">
        <v>-490636</v>
      </c>
      <c r="AT10">
        <f t="shared" si="1"/>
        <v>44942</v>
      </c>
      <c r="AU10">
        <f t="shared" si="2"/>
        <v>287875</v>
      </c>
      <c r="AV10">
        <f t="shared" si="3"/>
        <v>186226</v>
      </c>
      <c r="AW10" t="str">
        <f t="shared" si="4"/>
        <v/>
      </c>
      <c r="AX10" t="str">
        <f t="shared" si="5"/>
        <v/>
      </c>
      <c r="AY10" t="str">
        <f t="shared" si="6"/>
        <v/>
      </c>
      <c r="AZ10" t="str">
        <f t="shared" si="7"/>
        <v/>
      </c>
      <c r="BA10" t="str">
        <f t="shared" si="8"/>
        <v/>
      </c>
      <c r="BB10" t="str">
        <f t="shared" si="9"/>
        <v/>
      </c>
      <c r="BF10" s="75">
        <f t="shared" si="10"/>
        <v>44942</v>
      </c>
      <c r="BG10">
        <f>IF($AU$3=TRUE,IF(AL10="","",SUM(AL10:$AL$64)),"")</f>
        <v>5615303</v>
      </c>
      <c r="BH10">
        <f>IF($AV$3=TRUE,IF(AM10="","",SUM($AM10:AM$64)),"")</f>
        <v>3017624</v>
      </c>
      <c r="BI10" t="str">
        <f>IF($AW$3=TRUE,IF(AN10="","",SUM($AN10:AN$64)),"")</f>
        <v/>
      </c>
      <c r="BJ10" t="str">
        <f>IF($AX$3=TRUE,IF(AO10="","",SUM($AO10:AO$64)),"")</f>
        <v/>
      </c>
      <c r="BK10" t="str">
        <f>IF($AY$3=TRUE,IF(AP10="","",SUM($AP10:AP$64)),"")</f>
        <v/>
      </c>
      <c r="BL10" t="str">
        <f>IF($AZ$3=TRUE,IF(AQ10="","",SUM($AQ10:AQ$64)),"")</f>
        <v/>
      </c>
      <c r="BM10" t="str">
        <f>IF($BA$3=TRUE,IF(AR10="","",SUM($AR10:AR$64)),"")</f>
        <v/>
      </c>
      <c r="BN10" t="str">
        <f>IF($BB$3=TRUE,IF(AS10="","",SUM($AS10:AS$64)),"")</f>
        <v/>
      </c>
    </row>
    <row r="11" spans="1:66" x14ac:dyDescent="0.25">
      <c r="B11" s="180"/>
      <c r="C11" s="103" t="s">
        <v>11</v>
      </c>
      <c r="D11" s="80" t="s">
        <v>35</v>
      </c>
      <c r="E11" s="80" t="s">
        <v>8</v>
      </c>
      <c r="F11" s="81" t="s">
        <v>38</v>
      </c>
      <c r="G11" s="51">
        <f ca="1">_xll.IMDP($D11,$E11,$F11,$G$5,"fill=true")</f>
        <v>1264.5</v>
      </c>
      <c r="H11" s="51">
        <f ca="1">_xll.IMDP($D11,$E11,$F11,$H$5,"fill=true")</f>
        <v>1264.5</v>
      </c>
      <c r="I11" s="47">
        <f ca="1">_xll.IMDP($D11,$E11,$F11,$N$3,"FILL=TRUE")</f>
        <v>1235.5</v>
      </c>
      <c r="J11" s="18">
        <f ca="1">_xll.IMDP($D11,$E11,"전일대비",$N$3,"FILL=TRUE")</f>
        <v>3.4</v>
      </c>
      <c r="K11" s="26">
        <f ca="1">($I11-_xll.IMDP($D11,$E11,$F11,K$5,"fill=true"))/_xll.IMDP($D11,$E11,$F11,K$5,"fill=true")</f>
        <v>0</v>
      </c>
      <c r="L11" s="26">
        <f ca="1">($I11-_xll.IMDP($D11,$E11,$F11,L$5,"fill=true"))/_xll.IMDP($D11,$E11,$F11,L$5,"fill=true")</f>
        <v>0</v>
      </c>
      <c r="M11" s="26">
        <f ca="1">($I11-_xll.IMDP($D11,$E11,$F11,M$5,"fill=true"))/_xll.IMDP($D11,$E11,$F11,M$5,"fill=true")</f>
        <v>-2.2933965994464216E-2</v>
      </c>
      <c r="N11" s="27">
        <f ca="1">($I11-_xll.IMDP($D11,$E11,$F11,N$5,"fill=true"))/_xll.IMDP($D11,$E11,$F11,N$5,"fill=true")</f>
        <v>-2.2933965994464216E-2</v>
      </c>
      <c r="O11" s="10"/>
      <c r="Z11">
        <v>8</v>
      </c>
      <c r="AA11" t="s">
        <v>51</v>
      </c>
      <c r="AB11" t="s">
        <v>63</v>
      </c>
      <c r="AC11" t="s">
        <v>13</v>
      </c>
      <c r="AD11" t="s">
        <v>87</v>
      </c>
      <c r="AH11" s="75">
        <v>44939</v>
      </c>
      <c r="AI11">
        <v>2386.09</v>
      </c>
      <c r="AK11" s="75">
        <v>44939</v>
      </c>
      <c r="AL11">
        <v>568167</v>
      </c>
      <c r="AM11">
        <v>159462</v>
      </c>
      <c r="AN11">
        <v>749</v>
      </c>
      <c r="AO11">
        <v>5104</v>
      </c>
      <c r="AP11">
        <v>22933</v>
      </c>
      <c r="AQ11">
        <v>-1086</v>
      </c>
      <c r="AR11">
        <v>30440</v>
      </c>
      <c r="AS11">
        <v>-777380</v>
      </c>
      <c r="AT11">
        <f t="shared" si="1"/>
        <v>44939</v>
      </c>
      <c r="AU11">
        <f t="shared" si="2"/>
        <v>568167</v>
      </c>
      <c r="AV11">
        <f t="shared" si="3"/>
        <v>159462</v>
      </c>
      <c r="AW11" t="str">
        <f t="shared" si="4"/>
        <v/>
      </c>
      <c r="AX11" t="str">
        <f t="shared" si="5"/>
        <v/>
      </c>
      <c r="AY11" t="str">
        <f t="shared" si="6"/>
        <v/>
      </c>
      <c r="AZ11" t="str">
        <f t="shared" si="7"/>
        <v/>
      </c>
      <c r="BA11" t="str">
        <f t="shared" si="8"/>
        <v/>
      </c>
      <c r="BB11" t="str">
        <f t="shared" si="9"/>
        <v/>
      </c>
      <c r="BF11" s="75">
        <f t="shared" si="10"/>
        <v>44939</v>
      </c>
      <c r="BG11">
        <f>IF($AU$3=TRUE,IF(AL11="","",SUM(AL11:$AL$64)),"")</f>
        <v>5327428</v>
      </c>
      <c r="BH11">
        <f>IF($AV$3=TRUE,IF(AM11="","",SUM($AM11:AM$64)),"")</f>
        <v>2831398</v>
      </c>
      <c r="BI11" t="str">
        <f>IF($AW$3=TRUE,IF(AN11="","",SUM($AN11:AN$64)),"")</f>
        <v/>
      </c>
      <c r="BJ11" t="str">
        <f>IF($AX$3=TRUE,IF(AO11="","",SUM($AO11:AO$64)),"")</f>
        <v/>
      </c>
      <c r="BK11" t="str">
        <f>IF($AY$3=TRUE,IF(AP11="","",SUM($AP11:AP$64)),"")</f>
        <v/>
      </c>
      <c r="BL11" t="str">
        <f>IF($AZ$3=TRUE,IF(AQ11="","",SUM($AQ11:AQ$64)),"")</f>
        <v/>
      </c>
      <c r="BM11" t="str">
        <f>IF($BA$3=TRUE,IF(AR11="","",SUM($AR11:AR$64)),"")</f>
        <v/>
      </c>
      <c r="BN11" t="str">
        <f>IF($BB$3=TRUE,IF(AS11="","",SUM($AS11:AS$64)),"")</f>
        <v/>
      </c>
    </row>
    <row r="12" spans="1:66" x14ac:dyDescent="0.25">
      <c r="B12" s="180"/>
      <c r="C12" s="103" t="s">
        <v>10</v>
      </c>
      <c r="D12" s="80" t="s">
        <v>35</v>
      </c>
      <c r="E12" s="80" t="s">
        <v>9</v>
      </c>
      <c r="F12" s="81" t="s">
        <v>88</v>
      </c>
      <c r="G12" s="51">
        <f ca="1">_xll.IMDP($D12,$E12,$F12,$G$5,"fill=true")</f>
        <v>963.26</v>
      </c>
      <c r="H12" s="98">
        <f ca="1">_xll.IMDP($D12,$E12,$F12,$H$5,"fill=true")</f>
        <v>963.26</v>
      </c>
      <c r="I12" s="47">
        <f ca="1">_xll.IMDP($D12,$E12,$F12,$N$3,"FILL=TRUE")</f>
        <v>949.14</v>
      </c>
      <c r="J12" s="18">
        <f ca="1">_xll.IMDP($D12,$E12,"뉴욕전일대비",$N$3,"FILL=TRUE")</f>
        <v>3.85</v>
      </c>
      <c r="K12" s="26">
        <f ca="1">($I12-_xll.IMDP($D12,$E12,$F12,K$5,"fill=true"))/_xll.IMDP($D12,$E12,$F12,K$5,"fill=true")</f>
        <v>4.0728242126754997E-3</v>
      </c>
      <c r="L12" s="26">
        <f ca="1">($I12-_xll.IMDP($D12,$E12,$F12,L$5,"fill=true"))/_xll.IMDP($D12,$E12,$F12,L$5,"fill=true")</f>
        <v>-4.3846767087652241E-3</v>
      </c>
      <c r="M12" s="26">
        <f ca="1">($I12-_xll.IMDP($D12,$E12,$F12,M$5,"fill=true"))/_xll.IMDP($D12,$E12,$F12,M$5,"fill=true")</f>
        <v>-1.4658555322550511E-2</v>
      </c>
      <c r="N12" s="27">
        <f ca="1">($I12-_xll.IMDP($D12,$E12,$F12,N$5,"fill=true"))/_xll.IMDP($D12,$E12,$F12,N$5,"fill=true")</f>
        <v>-1.4658555322550511E-2</v>
      </c>
      <c r="O12" s="10"/>
      <c r="Z12">
        <v>9</v>
      </c>
      <c r="AA12" t="s">
        <v>52</v>
      </c>
      <c r="AB12" t="s">
        <v>63</v>
      </c>
      <c r="AC12" t="s">
        <v>14</v>
      </c>
      <c r="AD12" t="s">
        <v>87</v>
      </c>
      <c r="AH12" s="75">
        <v>44938</v>
      </c>
      <c r="AI12">
        <v>2365.1</v>
      </c>
      <c r="AK12" s="75">
        <v>44938</v>
      </c>
      <c r="AL12">
        <v>484324</v>
      </c>
      <c r="AM12">
        <v>-417452</v>
      </c>
      <c r="AN12">
        <v>-5169</v>
      </c>
      <c r="AO12">
        <v>10979</v>
      </c>
      <c r="AP12">
        <v>30053</v>
      </c>
      <c r="AQ12">
        <v>2051</v>
      </c>
      <c r="AR12">
        <v>-59584</v>
      </c>
      <c r="AS12">
        <v>-48896</v>
      </c>
      <c r="AT12">
        <f t="shared" si="1"/>
        <v>44938</v>
      </c>
      <c r="AU12">
        <f t="shared" si="2"/>
        <v>484324</v>
      </c>
      <c r="AV12">
        <f t="shared" si="3"/>
        <v>-417452</v>
      </c>
      <c r="AW12" t="str">
        <f t="shared" si="4"/>
        <v/>
      </c>
      <c r="AX12" t="str">
        <f t="shared" si="5"/>
        <v/>
      </c>
      <c r="AY12" t="str">
        <f t="shared" si="6"/>
        <v/>
      </c>
      <c r="AZ12" t="str">
        <f t="shared" si="7"/>
        <v/>
      </c>
      <c r="BA12" t="str">
        <f t="shared" si="8"/>
        <v/>
      </c>
      <c r="BB12" t="str">
        <f t="shared" si="9"/>
        <v/>
      </c>
      <c r="BF12" s="75">
        <f t="shared" si="10"/>
        <v>44938</v>
      </c>
      <c r="BG12">
        <f>IF($AU$3=TRUE,IF(AL12="","",SUM(AL12:$AL$64)),"")</f>
        <v>4759261</v>
      </c>
      <c r="BH12">
        <f>IF($AV$3=TRUE,IF(AM12="","",SUM($AM12:AM$64)),"")</f>
        <v>2671936</v>
      </c>
      <c r="BI12" t="str">
        <f>IF($AW$3=TRUE,IF(AN12="","",SUM($AN12:AN$64)),"")</f>
        <v/>
      </c>
      <c r="BJ12" t="str">
        <f>IF($AX$3=TRUE,IF(AO12="","",SUM($AO12:AO$64)),"")</f>
        <v/>
      </c>
      <c r="BK12" t="str">
        <f>IF($AY$3=TRUE,IF(AP12="","",SUM($AP12:AP$64)),"")</f>
        <v/>
      </c>
      <c r="BL12" t="str">
        <f>IF($AZ$3=TRUE,IF(AQ12="","",SUM($AQ12:AQ$64)),"")</f>
        <v/>
      </c>
      <c r="BM12" t="str">
        <f>IF($BA$3=TRUE,IF(AR12="","",SUM($AR12:AR$64)),"")</f>
        <v/>
      </c>
      <c r="BN12" t="str">
        <f>IF($BB$3=TRUE,IF(AS12="","",SUM($AS12:AS$64)),"")</f>
        <v/>
      </c>
    </row>
    <row r="13" spans="1:66" x14ac:dyDescent="0.25">
      <c r="B13" s="180"/>
      <c r="C13" s="103" t="s">
        <v>15</v>
      </c>
      <c r="D13" s="80" t="s">
        <v>36</v>
      </c>
      <c r="E13" s="80" t="s">
        <v>12</v>
      </c>
      <c r="F13" s="81" t="s">
        <v>39</v>
      </c>
      <c r="G13" s="51">
        <f ca="1">_xll.IMDP($D13,$E13,$F13,$G$5,"fill=true")</f>
        <v>3.722</v>
      </c>
      <c r="H13" s="51">
        <f ca="1">_xll.IMDP($D13,$E13,$F13,$H$5,"fill=true")</f>
        <v>3.722</v>
      </c>
      <c r="I13" s="47">
        <f ca="1">_xll.IMDP($D13,$E13,$F13,$N$3,"FILL=TRUE")</f>
        <v>3.33</v>
      </c>
      <c r="J13" s="18">
        <f ca="1">_xll.IMDP($D13,$E13,"전일대비",$N$3,"FILL=TRUE")</f>
        <v>8.2000000000000003E-2</v>
      </c>
      <c r="K13" s="26">
        <f ca="1">($I13-_xll.IMDP($D13,$E13,$F13,K$5,"fill=true"))/_xll.IMDP($D13,$E13,$F13,K$5,"fill=true")</f>
        <v>0</v>
      </c>
      <c r="L13" s="26">
        <f ca="1">($I13-_xll.IMDP($D13,$E13,$F13,L$5,"fill=true"))/_xll.IMDP($D13,$E13,$F13,L$5,"fill=true")</f>
        <v>0</v>
      </c>
      <c r="M13" s="26">
        <f ca="1">($I13-_xll.IMDP($D13,$E13,$F13,M$5,"fill=true"))/_xll.IMDP($D13,$E13,$F13,M$5,"fill=true")</f>
        <v>-0.10531972058033313</v>
      </c>
      <c r="N13" s="27">
        <f ca="1">($I13-_xll.IMDP($D13,$E13,$F13,N$5,"fill=true"))/_xll.IMDP($D13,$E13,$F13,N$5,"fill=true")</f>
        <v>-0.10531972058033313</v>
      </c>
      <c r="O13" s="10"/>
      <c r="Z13">
        <v>10</v>
      </c>
      <c r="AA13" t="s">
        <v>53</v>
      </c>
      <c r="AB13" t="s">
        <v>64</v>
      </c>
      <c r="AC13" t="s">
        <v>65</v>
      </c>
      <c r="AD13" t="s">
        <v>80</v>
      </c>
      <c r="AH13" s="75">
        <v>44937</v>
      </c>
      <c r="AI13">
        <v>2359.5300000000002</v>
      </c>
      <c r="AK13" s="75">
        <v>44937</v>
      </c>
      <c r="AL13">
        <v>33623</v>
      </c>
      <c r="AM13">
        <v>209296</v>
      </c>
      <c r="AN13">
        <v>-1215</v>
      </c>
      <c r="AO13">
        <v>-5469</v>
      </c>
      <c r="AP13">
        <v>13945</v>
      </c>
      <c r="AQ13">
        <v>2416</v>
      </c>
      <c r="AR13">
        <v>888</v>
      </c>
      <c r="AS13">
        <v>-206390</v>
      </c>
      <c r="AT13">
        <f t="shared" si="1"/>
        <v>44937</v>
      </c>
      <c r="AU13">
        <f t="shared" si="2"/>
        <v>33623</v>
      </c>
      <c r="AV13">
        <f t="shared" si="3"/>
        <v>209296</v>
      </c>
      <c r="AW13" t="str">
        <f t="shared" si="4"/>
        <v/>
      </c>
      <c r="AX13" t="str">
        <f t="shared" si="5"/>
        <v/>
      </c>
      <c r="AY13" t="str">
        <f t="shared" si="6"/>
        <v/>
      </c>
      <c r="AZ13" t="str">
        <f t="shared" si="7"/>
        <v/>
      </c>
      <c r="BA13" t="str">
        <f t="shared" si="8"/>
        <v/>
      </c>
      <c r="BB13" t="str">
        <f t="shared" si="9"/>
        <v/>
      </c>
      <c r="BF13" s="75">
        <f t="shared" si="10"/>
        <v>44937</v>
      </c>
      <c r="BG13">
        <f>IF($AU$3=TRUE,IF(AL13="","",SUM(AL13:$AL$64)),"")</f>
        <v>4274937</v>
      </c>
      <c r="BH13">
        <f>IF($AV$3=TRUE,IF(AM13="","",SUM($AM13:AM$64)),"")</f>
        <v>3089388</v>
      </c>
      <c r="BI13" t="str">
        <f>IF($AW$3=TRUE,IF(AN13="","",SUM($AN13:AN$64)),"")</f>
        <v/>
      </c>
      <c r="BJ13" t="str">
        <f>IF($AX$3=TRUE,IF(AO13="","",SUM($AO13:AO$64)),"")</f>
        <v/>
      </c>
      <c r="BK13" t="str">
        <f>IF($AY$3=TRUE,IF(AP13="","",SUM($AP13:AP$64)),"")</f>
        <v/>
      </c>
      <c r="BL13" t="str">
        <f>IF($AZ$3=TRUE,IF(AQ13="","",SUM($AQ13:AQ$64)),"")</f>
        <v/>
      </c>
      <c r="BM13" t="str">
        <f>IF($BA$3=TRUE,IF(AR13="","",SUM($AR13:AR$64)),"")</f>
        <v/>
      </c>
      <c r="BN13" t="str">
        <f>IF($BB$3=TRUE,IF(AS13="","",SUM($AS13:AS$64)),"")</f>
        <v/>
      </c>
    </row>
    <row r="14" spans="1:66" x14ac:dyDescent="0.25">
      <c r="B14" s="180"/>
      <c r="C14" s="103" t="s">
        <v>16</v>
      </c>
      <c r="D14" s="80" t="s">
        <v>36</v>
      </c>
      <c r="E14" s="80" t="s">
        <v>13</v>
      </c>
      <c r="F14" s="81" t="s">
        <v>39</v>
      </c>
      <c r="G14" s="51">
        <f ca="1">_xll.IMDP($D14,$E14,$F14,$G$5,"fill=true")</f>
        <v>3.7429999999999999</v>
      </c>
      <c r="H14" s="51">
        <f ca="1">_xll.IMDP($D14,$E14,$F14,$H$5,"fill=true")</f>
        <v>3.7429999999999999</v>
      </c>
      <c r="I14" s="47">
        <f ca="1">_xll.IMDP($D14,$E14,$F14,$N$3,"FILL=TRUE")</f>
        <v>3.2949999999999999</v>
      </c>
      <c r="J14" s="18">
        <f ca="1">_xll.IMDP($D14,$E14,"전일대비",$N$3,"FILL=TRUE")</f>
        <v>7.1999999999999995E-2</v>
      </c>
      <c r="K14" s="26">
        <f ca="1">($I14-_xll.IMDP($D14,$E14,$F14,K$5,"fill=true"))/_xll.IMDP($D14,$E14,$F14,K$5,"fill=true")</f>
        <v>0</v>
      </c>
      <c r="L14" s="26">
        <f ca="1">($I14-_xll.IMDP($D14,$E14,$F14,L$5,"fill=true"))/_xll.IMDP($D14,$E14,$F14,L$5,"fill=true")</f>
        <v>0</v>
      </c>
      <c r="M14" s="26">
        <f ca="1">($I14-_xll.IMDP($D14,$E14,$F14,M$5,"fill=true"))/_xll.IMDP($D14,$E14,$F14,M$5,"fill=true")</f>
        <v>-0.11969008816457387</v>
      </c>
      <c r="N14" s="27">
        <f ca="1">($I14-_xll.IMDP($D14,$E14,$F14,N$5,"fill=true"))/_xll.IMDP($D14,$E14,$F14,N$5,"fill=true")</f>
        <v>-0.11969008816457387</v>
      </c>
      <c r="O14" s="10"/>
      <c r="Z14">
        <v>11</v>
      </c>
      <c r="AA14" t="s">
        <v>54</v>
      </c>
      <c r="AB14" t="s">
        <v>64</v>
      </c>
      <c r="AC14" t="s">
        <v>20</v>
      </c>
      <c r="AD14" t="s">
        <v>80</v>
      </c>
      <c r="AH14" s="75">
        <v>44936</v>
      </c>
      <c r="AI14">
        <v>2351.31</v>
      </c>
      <c r="AK14" s="75">
        <v>44936</v>
      </c>
      <c r="AL14">
        <v>-2229</v>
      </c>
      <c r="AM14">
        <v>226599</v>
      </c>
      <c r="AN14">
        <v>5970</v>
      </c>
      <c r="AO14">
        <v>23269</v>
      </c>
      <c r="AP14">
        <v>36569</v>
      </c>
      <c r="AQ14">
        <v>-417</v>
      </c>
      <c r="AR14">
        <v>1707</v>
      </c>
      <c r="AS14">
        <v>-298768</v>
      </c>
      <c r="AT14">
        <f t="shared" si="1"/>
        <v>44936</v>
      </c>
      <c r="AU14">
        <f t="shared" si="2"/>
        <v>-2229</v>
      </c>
      <c r="AV14">
        <f t="shared" si="3"/>
        <v>226599</v>
      </c>
      <c r="AW14" t="str">
        <f t="shared" si="4"/>
        <v/>
      </c>
      <c r="AX14" t="str">
        <f t="shared" si="5"/>
        <v/>
      </c>
      <c r="AY14" t="str">
        <f t="shared" si="6"/>
        <v/>
      </c>
      <c r="AZ14" t="str">
        <f t="shared" si="7"/>
        <v/>
      </c>
      <c r="BA14" t="str">
        <f t="shared" si="8"/>
        <v/>
      </c>
      <c r="BB14" t="str">
        <f t="shared" si="9"/>
        <v/>
      </c>
      <c r="BF14" s="75">
        <f t="shared" si="10"/>
        <v>44936</v>
      </c>
      <c r="BG14">
        <f>IF($AU$3=TRUE,IF(AL14="","",SUM(AL14:$AL$64)),"")</f>
        <v>4241314</v>
      </c>
      <c r="BH14">
        <f>IF($AV$3=TRUE,IF(AM14="","",SUM($AM14:AM$64)),"")</f>
        <v>2880092</v>
      </c>
      <c r="BI14" t="str">
        <f>IF($AW$3=TRUE,IF(AN14="","",SUM($AN14:AN$64)),"")</f>
        <v/>
      </c>
      <c r="BJ14" t="str">
        <f>IF($AX$3=TRUE,IF(AO14="","",SUM($AO14:AO$64)),"")</f>
        <v/>
      </c>
      <c r="BK14" t="str">
        <f>IF($AY$3=TRUE,IF(AP14="","",SUM($AP14:AP$64)),"")</f>
        <v/>
      </c>
      <c r="BL14" t="str">
        <f>IF($AZ$3=TRUE,IF(AQ14="","",SUM($AQ14:AQ$64)),"")</f>
        <v/>
      </c>
      <c r="BM14" t="str">
        <f>IF($BA$3=TRUE,IF(AR14="","",SUM($AR14:AR$64)),"")</f>
        <v/>
      </c>
      <c r="BN14" t="str">
        <f>IF($BB$3=TRUE,IF(AS14="","",SUM($AS14:AS$64)),"")</f>
        <v/>
      </c>
    </row>
    <row r="15" spans="1:66" x14ac:dyDescent="0.25">
      <c r="B15" s="180"/>
      <c r="C15" s="104" t="s">
        <v>17</v>
      </c>
      <c r="D15" s="82" t="s">
        <v>36</v>
      </c>
      <c r="E15" s="82" t="s">
        <v>14</v>
      </c>
      <c r="F15" s="83" t="s">
        <v>39</v>
      </c>
      <c r="G15" s="52">
        <f ca="1">_xll.IMDP($D15,$E15,$F15,$G$5,"fill=true")</f>
        <v>3.73</v>
      </c>
      <c r="H15" s="52">
        <f ca="1">_xll.IMDP($D15,$E15,$F15,$H$5,"fill=true")</f>
        <v>3.73</v>
      </c>
      <c r="I15" s="48">
        <f ca="1">_xll.IMDP($D15,$E15,$F15,$N$3,"FILL=TRUE")</f>
        <v>3.2789999999999999</v>
      </c>
      <c r="J15" s="19">
        <f ca="1">_xll.IMDP($D15,$E15,"전일대비",$N$3,"FILL=TRUE")</f>
        <v>5.7000000000000002E-2</v>
      </c>
      <c r="K15" s="28">
        <f ca="1">($I15-_xll.IMDP($D15,$E15,$F15,K$5,"fill=true"))/_xll.IMDP($D15,$E15,$F15,K$5,"fill=true")</f>
        <v>0</v>
      </c>
      <c r="L15" s="28">
        <f ca="1">($I15-_xll.IMDP($D15,$E15,$F15,L$5,"fill=true"))/_xll.IMDP($D15,$E15,$F15,L$5,"fill=true")</f>
        <v>0</v>
      </c>
      <c r="M15" s="28">
        <f ca="1">($I15-_xll.IMDP($D15,$E15,$F15,M$5,"fill=true"))/_xll.IMDP($D15,$E15,$F15,M$5,"fill=true")</f>
        <v>-0.12091152815013406</v>
      </c>
      <c r="N15" s="29">
        <f ca="1">($I15-_xll.IMDP($D15,$E15,$F15,N$5,"fill=true"))/_xll.IMDP($D15,$E15,$F15,N$5,"fill=true")</f>
        <v>-0.12091152815013406</v>
      </c>
      <c r="O15" s="10"/>
      <c r="Z15">
        <v>12</v>
      </c>
      <c r="AA15" t="s">
        <v>55</v>
      </c>
      <c r="AB15" t="s">
        <v>64</v>
      </c>
      <c r="AC15" t="s">
        <v>22</v>
      </c>
      <c r="AD15" t="s">
        <v>80</v>
      </c>
      <c r="AH15" s="75">
        <v>44935</v>
      </c>
      <c r="AI15">
        <v>2350.19</v>
      </c>
      <c r="AK15" s="75">
        <v>44935</v>
      </c>
      <c r="AL15">
        <v>651748</v>
      </c>
      <c r="AM15">
        <v>390789</v>
      </c>
      <c r="AN15">
        <v>5545</v>
      </c>
      <c r="AO15">
        <v>135027</v>
      </c>
      <c r="AP15">
        <v>86465</v>
      </c>
      <c r="AQ15">
        <v>12100</v>
      </c>
      <c r="AR15">
        <v>47349</v>
      </c>
      <c r="AS15">
        <v>-1395183</v>
      </c>
      <c r="AT15">
        <f t="shared" si="1"/>
        <v>44935</v>
      </c>
      <c r="AU15">
        <f t="shared" si="2"/>
        <v>651748</v>
      </c>
      <c r="AV15">
        <f t="shared" si="3"/>
        <v>390789</v>
      </c>
      <c r="AW15" t="str">
        <f t="shared" si="4"/>
        <v/>
      </c>
      <c r="AX15" t="str">
        <f t="shared" si="5"/>
        <v/>
      </c>
      <c r="AY15" t="str">
        <f t="shared" si="6"/>
        <v/>
      </c>
      <c r="AZ15" t="str">
        <f t="shared" si="7"/>
        <v/>
      </c>
      <c r="BA15" t="str">
        <f t="shared" si="8"/>
        <v/>
      </c>
      <c r="BB15" t="str">
        <f t="shared" si="9"/>
        <v/>
      </c>
      <c r="BF15" s="75">
        <f t="shared" si="10"/>
        <v>44935</v>
      </c>
      <c r="BG15">
        <f>IF($AU$3=TRUE,IF(AL15="","",SUM(AL15:$AL$64)),"")</f>
        <v>4243543</v>
      </c>
      <c r="BH15">
        <f>IF($AV$3=TRUE,IF(AM15="","",SUM($AM15:AM$64)),"")</f>
        <v>2653493</v>
      </c>
      <c r="BI15" t="str">
        <f>IF($AW$3=TRUE,IF(AN15="","",SUM($AN15:AN$64)),"")</f>
        <v/>
      </c>
      <c r="BJ15" t="str">
        <f>IF($AX$3=TRUE,IF(AO15="","",SUM($AO15:AO$64)),"")</f>
        <v/>
      </c>
      <c r="BK15" t="str">
        <f>IF($AY$3=TRUE,IF(AP15="","",SUM($AP15:AP$64)),"")</f>
        <v/>
      </c>
      <c r="BL15" t="str">
        <f>IF($AZ$3=TRUE,IF(AQ15="","",SUM($AQ15:AQ$64)),"")</f>
        <v/>
      </c>
      <c r="BM15" t="str">
        <f>IF($BA$3=TRUE,IF(AR15="","",SUM($AR15:AR$64)),"")</f>
        <v/>
      </c>
      <c r="BN15" t="str">
        <f>IF($BB$3=TRUE,IF(AS15="","",SUM($AS15:AS$64)),"")</f>
        <v/>
      </c>
    </row>
    <row r="16" spans="1:66" x14ac:dyDescent="0.25">
      <c r="B16" s="180"/>
      <c r="C16" s="103" t="s">
        <v>92</v>
      </c>
      <c r="D16" s="80" t="s">
        <v>95</v>
      </c>
      <c r="E16" s="80" t="s">
        <v>97</v>
      </c>
      <c r="F16" s="81" t="s">
        <v>81</v>
      </c>
      <c r="G16" s="53">
        <f ca="1">_xll.IMDP($D16,$E16,$F16,$G$5,"fill=true")</f>
        <v>103.45</v>
      </c>
      <c r="H16" s="53">
        <f ca="1">_xll.IMDP($D16,$E16,$F16,$H$5,"fill=true")</f>
        <v>103.45</v>
      </c>
      <c r="I16" s="49">
        <f ca="1">_xll.IMDP($D16,$E16,$F16,$N$3,"FILL=TRUE")</f>
        <v>104.85</v>
      </c>
      <c r="J16" s="20">
        <f ca="1">_xll.IMDP($D16,$E16,"전일대비",$N$3,"FILL=TRUE")</f>
        <v>-0.21</v>
      </c>
      <c r="K16" s="26">
        <f ca="1">($I16-_xll.IMDP($D16,$E16,$F16,K$5,"fill=true"))/_xll.IMDP($D16,$E16,$F16,K$5,"fill=true")</f>
        <v>0</v>
      </c>
      <c r="L16" s="26">
        <f ca="1">($I16-_xll.IMDP($D16,$E16,$F16,L$5,"fill=true"))/_xll.IMDP($D16,$E16,$F16,L$5,"fill=true")</f>
        <v>0</v>
      </c>
      <c r="M16" s="26">
        <f ca="1">($I16-_xll.IMDP($D16,$E16,$F16,M$5,"fill=true"))/_xll.IMDP($D16,$E16,$F16,M$5,"fill=true")</f>
        <v>1.3533107781536892E-2</v>
      </c>
      <c r="N16" s="27">
        <f ca="1">($I16-_xll.IMDP($D16,$E16,$F16,N$5,"fill=true"))/_xll.IMDP($D16,$E16,$F16,N$5,"fill=true")</f>
        <v>1.3533107781536892E-2</v>
      </c>
      <c r="O16" s="10"/>
      <c r="Z16">
        <v>13</v>
      </c>
      <c r="AA16" t="s">
        <v>56</v>
      </c>
      <c r="AB16" t="s">
        <v>64</v>
      </c>
      <c r="AC16" t="s">
        <v>24</v>
      </c>
      <c r="AD16" t="s">
        <v>80</v>
      </c>
      <c r="AH16" s="75">
        <v>44932</v>
      </c>
      <c r="AI16">
        <v>2289.9699999999998</v>
      </c>
      <c r="AK16" s="75">
        <v>44932</v>
      </c>
      <c r="AL16">
        <v>314060</v>
      </c>
      <c r="AM16">
        <v>-25424</v>
      </c>
      <c r="AN16">
        <v>-2176</v>
      </c>
      <c r="AO16">
        <v>57293</v>
      </c>
      <c r="AP16">
        <v>76575</v>
      </c>
      <c r="AQ16">
        <v>1039</v>
      </c>
      <c r="AR16">
        <v>88457</v>
      </c>
      <c r="AS16">
        <v>-564022</v>
      </c>
      <c r="AT16">
        <f t="shared" si="1"/>
        <v>44932</v>
      </c>
      <c r="AU16">
        <f t="shared" si="2"/>
        <v>314060</v>
      </c>
      <c r="AV16">
        <f t="shared" si="3"/>
        <v>-25424</v>
      </c>
      <c r="AW16" t="str">
        <f t="shared" si="4"/>
        <v/>
      </c>
      <c r="AX16" t="str">
        <f t="shared" si="5"/>
        <v/>
      </c>
      <c r="AY16" t="str">
        <f t="shared" si="6"/>
        <v/>
      </c>
      <c r="AZ16" t="str">
        <f t="shared" si="7"/>
        <v/>
      </c>
      <c r="BA16" t="str">
        <f t="shared" si="8"/>
        <v/>
      </c>
      <c r="BB16" t="str">
        <f t="shared" si="9"/>
        <v/>
      </c>
      <c r="BF16" s="75">
        <f t="shared" si="10"/>
        <v>44932</v>
      </c>
      <c r="BG16">
        <f>IF($AU$3=TRUE,IF(AL16="","",SUM(AL16:$AL$64)),"")</f>
        <v>3591795</v>
      </c>
      <c r="BH16">
        <f>IF($AV$3=TRUE,IF(AM16="","",SUM($AM16:AM$64)),"")</f>
        <v>2262704</v>
      </c>
      <c r="BI16" t="str">
        <f>IF($AW$3=TRUE,IF(AN16="","",SUM($AN16:AN$64)),"")</f>
        <v/>
      </c>
      <c r="BJ16" t="str">
        <f>IF($AX$3=TRUE,IF(AO16="","",SUM($AO16:AO$64)),"")</f>
        <v/>
      </c>
      <c r="BK16" t="str">
        <f>IF($AY$3=TRUE,IF(AP16="","",SUM($AP16:AP$64)),"")</f>
        <v/>
      </c>
      <c r="BL16" t="str">
        <f>IF($AZ$3=TRUE,IF(AQ16="","",SUM($AQ16:AQ$64)),"")</f>
        <v/>
      </c>
      <c r="BM16" t="str">
        <f>IF($BA$3=TRUE,IF(AR16="","",SUM($AR16:AR$64)),"")</f>
        <v/>
      </c>
      <c r="BN16" t="str">
        <f>IF($BB$3=TRUE,IF(AS16="","",SUM($AS16:AS$64)),"")</f>
        <v/>
      </c>
    </row>
    <row r="17" spans="2:66" ht="14.25" thickBot="1" x14ac:dyDescent="0.3">
      <c r="B17" s="181"/>
      <c r="C17" s="105" t="s">
        <v>94</v>
      </c>
      <c r="D17" s="84" t="s">
        <v>95</v>
      </c>
      <c r="E17" s="84" t="s">
        <v>99</v>
      </c>
      <c r="F17" s="85" t="s">
        <v>81</v>
      </c>
      <c r="G17" s="54">
        <f ca="1">_xll.IMDP($D17,$E17,$F17,$G$5,"fill=true")</f>
        <v>109.95</v>
      </c>
      <c r="H17" s="54">
        <f ca="1">_xll.IMDP($D17,$E17,$F17,$H$5,"fill=true")</f>
        <v>109.95</v>
      </c>
      <c r="I17" s="50">
        <f ca="1">_xll.IMDP($D17,$E17,$F17,$N$3,"FILL=TRUE")</f>
        <v>114.45</v>
      </c>
      <c r="J17" s="21">
        <f ca="1">_xll.IMDP($D17,$E17,"전일대비",$N$3,"FILL=TRUE")</f>
        <v>-0.45</v>
      </c>
      <c r="K17" s="44">
        <f ca="1">($I17-_xll.IMDP($D17,$E17,$F17,K$5,"fill=true"))/_xll.IMDP($D17,$E17,$F17,K$5,"fill=true")</f>
        <v>0</v>
      </c>
      <c r="L17" s="44">
        <f ca="1">($I17-_xll.IMDP($D17,$E17,$F17,L$5,"fill=true"))/_xll.IMDP($D17,$E17,$F17,L$5,"fill=true")</f>
        <v>0</v>
      </c>
      <c r="M17" s="44">
        <f ca="1">($I17-_xll.IMDP($D17,$E17,$F17,M$5,"fill=true"))/_xll.IMDP($D17,$E17,$F17,M$5,"fill=true")</f>
        <v>4.0927694406548427E-2</v>
      </c>
      <c r="N17" s="45">
        <f ca="1">($I17-_xll.IMDP($D17,$E17,$F17,N$5,"fill=true"))/_xll.IMDP($D17,$E17,$F17,N$5,"fill=true")</f>
        <v>4.0927694406548427E-2</v>
      </c>
      <c r="O17" s="10"/>
      <c r="Z17">
        <v>14</v>
      </c>
      <c r="AA17" t="s">
        <v>57</v>
      </c>
      <c r="AB17" t="s">
        <v>64</v>
      </c>
      <c r="AC17" t="s">
        <v>31</v>
      </c>
      <c r="AD17" t="s">
        <v>80</v>
      </c>
      <c r="AH17" s="75">
        <v>44931</v>
      </c>
      <c r="AI17">
        <v>2264.65</v>
      </c>
      <c r="AK17" s="75">
        <v>44931</v>
      </c>
      <c r="AL17">
        <v>503160</v>
      </c>
      <c r="AM17">
        <v>-382313</v>
      </c>
      <c r="AN17">
        <v>-699</v>
      </c>
      <c r="AO17">
        <v>663</v>
      </c>
      <c r="AP17">
        <v>21569</v>
      </c>
      <c r="AQ17">
        <v>121</v>
      </c>
      <c r="AR17">
        <v>41987</v>
      </c>
      <c r="AS17">
        <v>-164545</v>
      </c>
      <c r="AT17">
        <f t="shared" si="1"/>
        <v>44931</v>
      </c>
      <c r="AU17">
        <f t="shared" si="2"/>
        <v>503160</v>
      </c>
      <c r="AV17">
        <f t="shared" si="3"/>
        <v>-382313</v>
      </c>
      <c r="AW17" t="str">
        <f t="shared" si="4"/>
        <v/>
      </c>
      <c r="AX17" t="str">
        <f t="shared" si="5"/>
        <v/>
      </c>
      <c r="AY17" t="str">
        <f t="shared" si="6"/>
        <v/>
      </c>
      <c r="AZ17" t="str">
        <f t="shared" si="7"/>
        <v/>
      </c>
      <c r="BA17" t="str">
        <f t="shared" si="8"/>
        <v/>
      </c>
      <c r="BB17" t="str">
        <f t="shared" si="9"/>
        <v/>
      </c>
      <c r="BF17" s="75">
        <f t="shared" si="10"/>
        <v>44931</v>
      </c>
      <c r="BG17">
        <f>IF($AU$3=TRUE,IF(AL17="","",SUM(AL17:$AL$64)),"")</f>
        <v>3277735</v>
      </c>
      <c r="BH17">
        <f>IF($AV$3=TRUE,IF(AM17="","",SUM($AM17:AM$64)),"")</f>
        <v>2288128</v>
      </c>
      <c r="BI17" t="str">
        <f>IF($AW$3=TRUE,IF(AN17="","",SUM($AN17:AN$64)),"")</f>
        <v/>
      </c>
      <c r="BJ17" t="str">
        <f>IF($AX$3=TRUE,IF(AO17="","",SUM($AO17:AO$64)),"")</f>
        <v/>
      </c>
      <c r="BK17" t="str">
        <f>IF($AY$3=TRUE,IF(AP17="","",SUM($AP17:AP$64)),"")</f>
        <v/>
      </c>
      <c r="BL17" t="str">
        <f>IF($AZ$3=TRUE,IF(AQ17="","",SUM($AQ17:AQ$64)),"")</f>
        <v/>
      </c>
      <c r="BM17" t="str">
        <f>IF($BA$3=TRUE,IF(AR17="","",SUM($AR17:AR$64)),"")</f>
        <v/>
      </c>
      <c r="BN17" t="str">
        <f>IF($BB$3=TRUE,IF(AS17="","",SUM($AS17:AS$64)),"")</f>
        <v/>
      </c>
    </row>
    <row r="18" spans="2:66" x14ac:dyDescent="0.25">
      <c r="B18" s="179" t="s">
        <v>41</v>
      </c>
      <c r="C18" s="106" t="s">
        <v>19</v>
      </c>
      <c r="D18" s="86" t="s">
        <v>37</v>
      </c>
      <c r="E18" s="86" t="s">
        <v>18</v>
      </c>
      <c r="F18" s="86" t="s">
        <v>38</v>
      </c>
      <c r="G18" s="55">
        <f ca="1">_xll.IMDP($D18,$E18,$F18,$G$5,"fill=true")</f>
        <v>33147.25</v>
      </c>
      <c r="H18" s="55">
        <f ca="1">_xll.IMDP($D18,$E18,$F18,$H$5,"fill=true")</f>
        <v>33147.25</v>
      </c>
      <c r="I18" s="30">
        <f ca="1">_xll.IMDP($D18,$E18,$F18,$N$3,"FILL=TRUE")</f>
        <v>33733.96</v>
      </c>
      <c r="J18" s="30">
        <f ca="1">_xll.IMDP($D18,$E18,"전일대비",$N$3,"FILL=TRUE")</f>
        <v>104.4</v>
      </c>
      <c r="K18" s="31">
        <f ca="1">($I18-_xll.IMDP($D18,$E18,$F18,K$5,"fill=true"))/_xll.IMDP($D18,$E18,$F18,K$5,"fill=true")</f>
        <v>3.1044117139802443E-3</v>
      </c>
      <c r="L18" s="31">
        <f ca="1">($I18-_xll.IMDP($D18,$E18,$F18,L$5,"fill=true"))/_xll.IMDP($D18,$E18,$F18,L$5,"fill=true")</f>
        <v>1.0740516468821917E-2</v>
      </c>
      <c r="M18" s="31">
        <f ca="1">($I18-_xll.IMDP($D18,$E18,$F18,M$5,"fill=true"))/_xll.IMDP($D18,$E18,$F18,M$5,"fill=true")</f>
        <v>1.7700110868925752E-2</v>
      </c>
      <c r="N18" s="32">
        <f ca="1">($I18-_xll.IMDP($D18,$E18,$F18,N$5,"fill=true"))/_xll.IMDP($D18,$E18,$F18,N$5,"fill=true")</f>
        <v>1.7700110868925752E-2</v>
      </c>
      <c r="O18" s="10"/>
      <c r="Z18">
        <v>15</v>
      </c>
      <c r="AA18" t="s">
        <v>58</v>
      </c>
      <c r="AB18" t="s">
        <v>63</v>
      </c>
      <c r="AC18" t="s">
        <v>66</v>
      </c>
      <c r="AD18" t="s">
        <v>160</v>
      </c>
      <c r="AH18" s="75">
        <v>44930</v>
      </c>
      <c r="AI18">
        <v>2255.98</v>
      </c>
      <c r="AK18" s="75">
        <v>44930</v>
      </c>
      <c r="AL18">
        <v>260666</v>
      </c>
      <c r="AM18">
        <v>-189658</v>
      </c>
      <c r="AN18">
        <v>-2578</v>
      </c>
      <c r="AO18">
        <v>-1753</v>
      </c>
      <c r="AP18">
        <v>122391</v>
      </c>
      <c r="AQ18">
        <v>11086</v>
      </c>
      <c r="AR18">
        <v>39545</v>
      </c>
      <c r="AS18">
        <v>-295934</v>
      </c>
      <c r="AT18">
        <f t="shared" si="1"/>
        <v>44930</v>
      </c>
      <c r="AU18">
        <f t="shared" si="2"/>
        <v>260666</v>
      </c>
      <c r="AV18">
        <f t="shared" si="3"/>
        <v>-189658</v>
      </c>
      <c r="AW18" t="str">
        <f t="shared" si="4"/>
        <v/>
      </c>
      <c r="AX18" t="str">
        <f t="shared" si="5"/>
        <v/>
      </c>
      <c r="AY18" t="str">
        <f t="shared" si="6"/>
        <v/>
      </c>
      <c r="AZ18" t="str">
        <f t="shared" si="7"/>
        <v/>
      </c>
      <c r="BA18" t="str">
        <f t="shared" si="8"/>
        <v/>
      </c>
      <c r="BB18" t="str">
        <f t="shared" si="9"/>
        <v/>
      </c>
      <c r="BF18" s="75">
        <f t="shared" si="10"/>
        <v>44930</v>
      </c>
      <c r="BG18">
        <f>IF($AU$3=TRUE,IF(AL18="","",SUM(AL18:$AL$64)),"")</f>
        <v>2774575</v>
      </c>
      <c r="BH18">
        <f>IF($AV$3=TRUE,IF(AM18="","",SUM($AM18:AM$64)),"")</f>
        <v>2670441</v>
      </c>
      <c r="BI18" t="str">
        <f>IF($AW$3=TRUE,IF(AN18="","",SUM($AN18:AN$64)),"")</f>
        <v/>
      </c>
      <c r="BJ18" t="str">
        <f>IF($AX$3=TRUE,IF(AO18="","",SUM($AO18:AO$64)),"")</f>
        <v/>
      </c>
      <c r="BK18" t="str">
        <f>IF($AY$3=TRUE,IF(AP18="","",SUM($AP18:AP$64)),"")</f>
        <v/>
      </c>
      <c r="BL18" t="str">
        <f>IF($AZ$3=TRUE,IF(AQ18="","",SUM($AQ18:AQ$64)),"")</f>
        <v/>
      </c>
      <c r="BM18" t="str">
        <f>IF($BA$3=TRUE,IF(AR18="","",SUM($AR18:AR$64)),"")</f>
        <v/>
      </c>
      <c r="BN18" t="str">
        <f>IF($BB$3=TRUE,IF(AS18="","",SUM($AS18:AS$64)),"")</f>
        <v/>
      </c>
    </row>
    <row r="19" spans="2:66" x14ac:dyDescent="0.25">
      <c r="B19" s="180"/>
      <c r="C19" s="107" t="s">
        <v>21</v>
      </c>
      <c r="D19" s="87" t="s">
        <v>37</v>
      </c>
      <c r="E19" s="87" t="s">
        <v>20</v>
      </c>
      <c r="F19" s="87" t="s">
        <v>38</v>
      </c>
      <c r="G19" s="56">
        <f ca="1">_xll.IMDP($D19,$E19,$F19,$G$5,"fill=true")</f>
        <v>3839.5</v>
      </c>
      <c r="H19" s="56">
        <f ca="1">_xll.IMDP($D19,$E19,$F19,$H$5,"fill=true")</f>
        <v>3839.5</v>
      </c>
      <c r="I19" s="33">
        <f ca="1">_xll.IMDP($D19,$E19,$F19,$N$3,"FILL=TRUE")</f>
        <v>4016.95</v>
      </c>
      <c r="J19" s="33">
        <f ca="1">_xll.IMDP($D19,$E19,"전일대비",$N$3,"FILL=TRUE")</f>
        <v>-2.86</v>
      </c>
      <c r="K19" s="34">
        <f ca="1">($I19-_xll.IMDP($D19,$E19,$F19,K$5,"fill=true"))/_xll.IMDP($D19,$E19,$F19,K$5,"fill=true")</f>
        <v>-7.1147641306433074E-4</v>
      </c>
      <c r="L19" s="34">
        <f ca="1">($I19-_xll.IMDP($D19,$E19,$F19,L$5,"fill=true"))/_xll.IMDP($D19,$E19,$F19,L$5,"fill=true")</f>
        <v>1.1161427877390353E-2</v>
      </c>
      <c r="M19" s="34">
        <f ca="1">($I19-_xll.IMDP($D19,$E19,$F19,M$5,"fill=true"))/_xll.IMDP($D19,$E19,$F19,M$5,"fill=true")</f>
        <v>4.6216955332725566E-2</v>
      </c>
      <c r="N19" s="35">
        <f ca="1">($I19-_xll.IMDP($D19,$E19,$F19,N$5,"fill=true"))/_xll.IMDP($D19,$E19,$F19,N$5,"fill=true")</f>
        <v>4.6216955332725566E-2</v>
      </c>
      <c r="O19" s="10"/>
      <c r="T19" s="6" t="s">
        <v>43</v>
      </c>
      <c r="U19" s="5">
        <f ca="1">W19-90</f>
        <v>44861</v>
      </c>
      <c r="V19" s="6" t="s">
        <v>44</v>
      </c>
      <c r="W19" s="5">
        <f ca="1">TODAY()</f>
        <v>44951</v>
      </c>
      <c r="Z19">
        <v>16</v>
      </c>
      <c r="AA19" t="s">
        <v>59</v>
      </c>
      <c r="AB19" t="s">
        <v>63</v>
      </c>
      <c r="AC19" t="s">
        <v>67</v>
      </c>
      <c r="AD19" t="s">
        <v>160</v>
      </c>
      <c r="AH19" s="75">
        <v>44929</v>
      </c>
      <c r="AI19">
        <v>2218.6799999999998</v>
      </c>
      <c r="AK19" s="75">
        <v>44929</v>
      </c>
      <c r="AL19">
        <v>91761</v>
      </c>
      <c r="AM19">
        <v>-353593</v>
      </c>
      <c r="AN19">
        <v>25</v>
      </c>
      <c r="AO19">
        <v>8215</v>
      </c>
      <c r="AP19">
        <v>-1798</v>
      </c>
      <c r="AQ19">
        <v>9945</v>
      </c>
      <c r="AR19">
        <v>6457</v>
      </c>
      <c r="AS19">
        <v>274820</v>
      </c>
      <c r="AT19">
        <f t="shared" si="1"/>
        <v>44929</v>
      </c>
      <c r="AU19">
        <f t="shared" si="2"/>
        <v>91761</v>
      </c>
      <c r="AV19">
        <f t="shared" si="3"/>
        <v>-353593</v>
      </c>
      <c r="AW19" t="str">
        <f t="shared" si="4"/>
        <v/>
      </c>
      <c r="AX19" t="str">
        <f t="shared" si="5"/>
        <v/>
      </c>
      <c r="AY19" t="str">
        <f t="shared" si="6"/>
        <v/>
      </c>
      <c r="AZ19" t="str">
        <f t="shared" si="7"/>
        <v/>
      </c>
      <c r="BA19" t="str">
        <f t="shared" si="8"/>
        <v/>
      </c>
      <c r="BB19" t="str">
        <f t="shared" si="9"/>
        <v/>
      </c>
      <c r="BF19" s="75">
        <f t="shared" si="10"/>
        <v>44929</v>
      </c>
      <c r="BG19">
        <f>IF($AU$3=TRUE,IF(AL19="","",SUM(AL19:$AL$64)),"")</f>
        <v>2513909</v>
      </c>
      <c r="BH19">
        <f>IF($AV$3=TRUE,IF(AM19="","",SUM($AM19:AM$64)),"")</f>
        <v>2860099</v>
      </c>
      <c r="BI19" t="str">
        <f>IF($AW$3=TRUE,IF(AN19="","",SUM($AN19:AN$64)),"")</f>
        <v/>
      </c>
      <c r="BJ19" t="str">
        <f>IF($AX$3=TRUE,IF(AO19="","",SUM($AO19:AO$64)),"")</f>
        <v/>
      </c>
      <c r="BK19" t="str">
        <f>IF($AY$3=TRUE,IF(AP19="","",SUM($AP19:AP$64)),"")</f>
        <v/>
      </c>
      <c r="BL19" t="str">
        <f>IF($AZ$3=TRUE,IF(AQ19="","",SUM($AQ19:AQ$64)),"")</f>
        <v/>
      </c>
      <c r="BM19" t="str">
        <f>IF($BA$3=TRUE,IF(AR19="","",SUM($AR19:AR$64)),"")</f>
        <v/>
      </c>
      <c r="BN19" t="str">
        <f>IF($BB$3=TRUE,IF(AS19="","",SUM($AS19:AS$64)),"")</f>
        <v/>
      </c>
    </row>
    <row r="20" spans="2:66" x14ac:dyDescent="0.25">
      <c r="B20" s="180"/>
      <c r="C20" s="107" t="s">
        <v>23</v>
      </c>
      <c r="D20" s="87" t="s">
        <v>37</v>
      </c>
      <c r="E20" s="87" t="s">
        <v>22</v>
      </c>
      <c r="F20" s="87" t="s">
        <v>38</v>
      </c>
      <c r="G20" s="56">
        <f ca="1">_xll.IMDP($D20,$E20,$F20,$G$5,"fill=true")</f>
        <v>10466.48</v>
      </c>
      <c r="H20" s="56">
        <f ca="1">_xll.IMDP($D20,$E20,$F20,$H$5,"fill=true")</f>
        <v>10466.48</v>
      </c>
      <c r="I20" s="33">
        <f ca="1">_xll.IMDP($D20,$E20,$F20,$N$3,"FILL=TRUE")</f>
        <v>11334.27</v>
      </c>
      <c r="J20" s="33">
        <f ca="1">_xll.IMDP($D20,$E20,"전일대비",$N$3,"FILL=TRUE")</f>
        <v>-30.14</v>
      </c>
      <c r="K20" s="34">
        <f ca="1">($I20-_xll.IMDP($D20,$E20,$F20,K$5,"fill=true"))/_xll.IMDP($D20,$E20,$F20,K$5,"fill=true")</f>
        <v>-2.6521394423467139E-3</v>
      </c>
      <c r="L20" s="34">
        <f ca="1">($I20-_xll.IMDP($D20,$E20,$F20,L$5,"fill=true"))/_xll.IMDP($D20,$E20,$F20,L$5,"fill=true")</f>
        <v>1.7399687444739579E-2</v>
      </c>
      <c r="M20" s="34">
        <f ca="1">($I20-_xll.IMDP($D20,$E20,$F20,M$5,"fill=true"))/_xll.IMDP($D20,$E20,$F20,M$5,"fill=true")</f>
        <v>8.2911351285245932E-2</v>
      </c>
      <c r="N20" s="35">
        <f ca="1">($I20-_xll.IMDP($D20,$E20,$F20,N$5,"fill=true"))/_xll.IMDP($D20,$E20,$F20,N$5,"fill=true")</f>
        <v>8.2911351285245932E-2</v>
      </c>
      <c r="O20" s="10"/>
      <c r="Z20">
        <v>17</v>
      </c>
      <c r="AA20" t="s">
        <v>60</v>
      </c>
      <c r="AB20" t="s">
        <v>63</v>
      </c>
      <c r="AC20" t="s">
        <v>25</v>
      </c>
      <c r="AD20" t="s">
        <v>160</v>
      </c>
      <c r="AH20" s="75">
        <v>44928</v>
      </c>
      <c r="AI20">
        <v>2225.67</v>
      </c>
      <c r="AK20" s="75">
        <v>44928</v>
      </c>
      <c r="AL20">
        <v>6601</v>
      </c>
      <c r="AM20">
        <v>-166669</v>
      </c>
      <c r="AN20">
        <v>-766</v>
      </c>
      <c r="AO20">
        <v>-48618</v>
      </c>
      <c r="AP20">
        <v>13170</v>
      </c>
      <c r="AQ20">
        <v>798</v>
      </c>
      <c r="AR20">
        <v>-23713</v>
      </c>
      <c r="AS20">
        <v>222970</v>
      </c>
      <c r="AT20">
        <f t="shared" si="1"/>
        <v>44928</v>
      </c>
      <c r="AU20">
        <f t="shared" si="2"/>
        <v>6601</v>
      </c>
      <c r="AV20">
        <f t="shared" si="3"/>
        <v>-166669</v>
      </c>
      <c r="AW20" t="str">
        <f t="shared" si="4"/>
        <v/>
      </c>
      <c r="AX20" t="str">
        <f t="shared" si="5"/>
        <v/>
      </c>
      <c r="AY20" t="str">
        <f t="shared" si="6"/>
        <v/>
      </c>
      <c r="AZ20" t="str">
        <f t="shared" si="7"/>
        <v/>
      </c>
      <c r="BA20" t="str">
        <f t="shared" si="8"/>
        <v/>
      </c>
      <c r="BB20" t="str">
        <f t="shared" si="9"/>
        <v/>
      </c>
      <c r="BF20" s="75">
        <f t="shared" si="10"/>
        <v>44928</v>
      </c>
      <c r="BG20">
        <f>IF($AU$3=TRUE,IF(AL20="","",SUM(AL20:$AL$64)),"")</f>
        <v>2422148</v>
      </c>
      <c r="BH20">
        <f>IF($AV$3=TRUE,IF(AM20="","",SUM($AM20:AM$64)),"")</f>
        <v>3213692</v>
      </c>
      <c r="BI20" t="str">
        <f>IF($AW$3=TRUE,IF(AN20="","",SUM($AN20:AN$64)),"")</f>
        <v/>
      </c>
      <c r="BJ20" t="str">
        <f>IF($AX$3=TRUE,IF(AO20="","",SUM($AO20:AO$64)),"")</f>
        <v/>
      </c>
      <c r="BK20" t="str">
        <f>IF($AY$3=TRUE,IF(AP20="","",SUM($AP20:AP$64)),"")</f>
        <v/>
      </c>
      <c r="BL20" t="str">
        <f>IF($AZ$3=TRUE,IF(AQ20="","",SUM($AQ20:AQ$64)),"")</f>
        <v/>
      </c>
      <c r="BM20" t="str">
        <f>IF($BA$3=TRUE,IF(AR20="","",SUM($AR20:AR$64)),"")</f>
        <v/>
      </c>
      <c r="BN20" t="str">
        <f>IF($BB$3=TRUE,IF(AS20="","",SUM($AS20:AS$64)),"")</f>
        <v/>
      </c>
    </row>
    <row r="21" spans="2:66" x14ac:dyDescent="0.25">
      <c r="B21" s="180"/>
      <c r="C21" s="107" t="s">
        <v>32</v>
      </c>
      <c r="D21" s="87" t="s">
        <v>37</v>
      </c>
      <c r="E21" s="87" t="s">
        <v>24</v>
      </c>
      <c r="F21" s="87" t="s">
        <v>38</v>
      </c>
      <c r="G21" s="56">
        <f ca="1">_xll.IMDP($D21,$E21,$F21,$G$5,"fill=true")</f>
        <v>26094.5</v>
      </c>
      <c r="H21" s="56">
        <f ca="1">_xll.IMDP($D21,$E21,$F21,$H$5,"fill=true")</f>
        <v>26094.5</v>
      </c>
      <c r="I21" s="33">
        <f ca="1">_xll.IMDP($D21,$E21,$F21,$N$3,"FILL=TRUE")</f>
        <v>27299.19</v>
      </c>
      <c r="J21" s="33">
        <f ca="1">_xll.IMDP($D21,$E21,"전일대비",$N$3,"FILL=TRUE")</f>
        <v>393.15</v>
      </c>
      <c r="K21" s="34">
        <f ca="1">($I21-_xll.IMDP($D21,$E21,$F21,K$5,"fill=true"))/_xll.IMDP($D21,$E21,$F21,K$5,"fill=true")</f>
        <v>1.4611960734466975E-2</v>
      </c>
      <c r="L21" s="34">
        <f ca="1">($I21-_xll.IMDP($D21,$E21,$F21,L$5,"fill=true"))/_xll.IMDP($D21,$E21,$F21,L$5,"fill=true")</f>
        <v>2.808138880216679E-2</v>
      </c>
      <c r="M21" s="34">
        <f ca="1">($I21-_xll.IMDP($D21,$E21,$F21,M$5,"fill=true"))/_xll.IMDP($D21,$E21,$F21,M$5,"fill=true")</f>
        <v>4.6166433539634739E-2</v>
      </c>
      <c r="N21" s="35">
        <f ca="1">($I21-_xll.IMDP($D21,$E21,$F21,N$5,"fill=true"))/_xll.IMDP($D21,$E21,$F21,N$5,"fill=true")</f>
        <v>4.6166433539634739E-2</v>
      </c>
      <c r="O21" s="10"/>
      <c r="AH21" s="75">
        <v>44924</v>
      </c>
      <c r="AI21">
        <v>2236.4</v>
      </c>
      <c r="AK21" s="75">
        <v>44924</v>
      </c>
      <c r="AL21">
        <v>-140280</v>
      </c>
      <c r="AM21">
        <v>-566108</v>
      </c>
      <c r="AN21">
        <v>5999</v>
      </c>
      <c r="AO21">
        <v>-4431</v>
      </c>
      <c r="AP21">
        <v>14269</v>
      </c>
      <c r="AQ21">
        <v>7756</v>
      </c>
      <c r="AR21">
        <v>-1006</v>
      </c>
      <c r="AS21">
        <v>670970</v>
      </c>
      <c r="AT21">
        <f t="shared" si="1"/>
        <v>44924</v>
      </c>
      <c r="AU21">
        <f t="shared" si="2"/>
        <v>-140280</v>
      </c>
      <c r="AV21">
        <f t="shared" si="3"/>
        <v>-566108</v>
      </c>
      <c r="AW21" t="str">
        <f t="shared" si="4"/>
        <v/>
      </c>
      <c r="AX21" t="str">
        <f t="shared" si="5"/>
        <v/>
      </c>
      <c r="AY21" t="str">
        <f t="shared" si="6"/>
        <v/>
      </c>
      <c r="AZ21" t="str">
        <f t="shared" si="7"/>
        <v/>
      </c>
      <c r="BA21" t="str">
        <f t="shared" si="8"/>
        <v/>
      </c>
      <c r="BB21" t="str">
        <f t="shared" si="9"/>
        <v/>
      </c>
      <c r="BF21" s="75">
        <f t="shared" si="10"/>
        <v>44924</v>
      </c>
      <c r="BG21">
        <f>IF($AU$3=TRUE,IF(AL21="","",SUM(AL21:$AL$64)),"")</f>
        <v>2415547</v>
      </c>
      <c r="BH21">
        <f>IF($AV$3=TRUE,IF(AM21="","",SUM($AM21:AM$64)),"")</f>
        <v>3380361</v>
      </c>
      <c r="BI21" t="str">
        <f>IF($AW$3=TRUE,IF(AN21="","",SUM($AN21:AN$64)),"")</f>
        <v/>
      </c>
      <c r="BJ21" t="str">
        <f>IF($AX$3=TRUE,IF(AO21="","",SUM($AO21:AO$64)),"")</f>
        <v/>
      </c>
      <c r="BK21" t="str">
        <f>IF($AY$3=TRUE,IF(AP21="","",SUM($AP21:AP$64)),"")</f>
        <v/>
      </c>
      <c r="BL21" t="str">
        <f>IF($AZ$3=TRUE,IF(AQ21="","",SUM($AQ21:AQ$64)),"")</f>
        <v/>
      </c>
      <c r="BM21" t="str">
        <f>IF($BA$3=TRUE,IF(AR21="","",SUM($AR21:AR$64)),"")</f>
        <v/>
      </c>
      <c r="BN21" t="str">
        <f>IF($BB$3=TRUE,IF(AS21="","",SUM($AS21:AS$64)),"")</f>
        <v/>
      </c>
    </row>
    <row r="22" spans="2:66" x14ac:dyDescent="0.25">
      <c r="B22" s="180"/>
      <c r="C22" s="107" t="s">
        <v>33</v>
      </c>
      <c r="D22" s="87" t="s">
        <v>37</v>
      </c>
      <c r="E22" s="87" t="s">
        <v>31</v>
      </c>
      <c r="F22" s="87" t="s">
        <v>38</v>
      </c>
      <c r="G22" s="56">
        <f ca="1">_xll.IMDP($D22,$E22,$F22,$G$5,"fill=true")</f>
        <v>3089.26</v>
      </c>
      <c r="H22" s="56">
        <f ca="1">_xll.IMDP($D22,$E22,$F22,$H$5,"fill=true")</f>
        <v>3089.26</v>
      </c>
      <c r="I22" s="33">
        <f ca="1">_xll.IMDP($D22,$E22,$F22,$N$3,"FILL=TRUE")</f>
        <v>3264.81</v>
      </c>
      <c r="J22" s="33">
        <f ca="1">_xll.IMDP($D22,$E22,"전일대비",$N$3,"FILL=TRUE")</f>
        <v>24.53</v>
      </c>
      <c r="K22" s="34">
        <f ca="1">($I22-_xll.IMDP($D22,$E22,$F22,K$5,"fill=true"))/_xll.IMDP($D22,$E22,$F22,K$5,"fill=true")</f>
        <v>0</v>
      </c>
      <c r="L22" s="34">
        <f ca="1">($I22-_xll.IMDP($D22,$E22,$F22,L$5,"fill=true"))/_xll.IMDP($D22,$E22,$F22,L$5,"fill=true")</f>
        <v>0</v>
      </c>
      <c r="M22" s="34">
        <f ca="1">($I22-_xll.IMDP($D22,$E22,$F22,M$5,"fill=true"))/_xll.IMDP($D22,$E22,$F22,M$5,"fill=true")</f>
        <v>5.6825906527776783E-2</v>
      </c>
      <c r="N22" s="35">
        <f ca="1">($I22-_xll.IMDP($D22,$E22,$F22,N$5,"fill=true"))/_xll.IMDP($D22,$E22,$F22,N$5,"fill=true")</f>
        <v>5.6825906527776783E-2</v>
      </c>
      <c r="O22" s="10"/>
      <c r="AB22">
        <v>1</v>
      </c>
      <c r="AH22" s="75">
        <v>44923</v>
      </c>
      <c r="AI22">
        <v>2280.4499999999998</v>
      </c>
      <c r="AK22" s="75">
        <v>44923</v>
      </c>
      <c r="AL22">
        <v>-303408</v>
      </c>
      <c r="AM22">
        <v>-768702</v>
      </c>
      <c r="AN22">
        <v>-9179</v>
      </c>
      <c r="AO22">
        <v>-13731</v>
      </c>
      <c r="AP22">
        <v>56865</v>
      </c>
      <c r="AQ22">
        <v>8014</v>
      </c>
      <c r="AR22">
        <v>-624</v>
      </c>
      <c r="AS22">
        <v>1077391</v>
      </c>
      <c r="AT22">
        <f t="shared" si="1"/>
        <v>44923</v>
      </c>
      <c r="AU22">
        <f t="shared" si="2"/>
        <v>-303408</v>
      </c>
      <c r="AV22">
        <f t="shared" si="3"/>
        <v>-768702</v>
      </c>
      <c r="AW22" t="str">
        <f t="shared" si="4"/>
        <v/>
      </c>
      <c r="AX22" t="str">
        <f t="shared" si="5"/>
        <v/>
      </c>
      <c r="AY22" t="str">
        <f t="shared" si="6"/>
        <v/>
      </c>
      <c r="AZ22" t="str">
        <f t="shared" si="7"/>
        <v/>
      </c>
      <c r="BA22" t="str">
        <f t="shared" si="8"/>
        <v/>
      </c>
      <c r="BB22" t="str">
        <f t="shared" si="9"/>
        <v/>
      </c>
      <c r="BF22" s="75">
        <f t="shared" si="10"/>
        <v>44923</v>
      </c>
      <c r="BG22">
        <f>IF($AU$3=TRUE,IF(AL22="","",SUM(AL22:$AL$64)),"")</f>
        <v>2555827</v>
      </c>
      <c r="BH22">
        <f>IF($AV$3=TRUE,IF(AM22="","",SUM($AM22:AM$64)),"")</f>
        <v>3946469</v>
      </c>
      <c r="BI22" t="str">
        <f>IF($AW$3=TRUE,IF(AN22="","",SUM($AN22:AN$64)),"")</f>
        <v/>
      </c>
      <c r="BJ22" t="str">
        <f>IF($AX$3=TRUE,IF(AO22="","",SUM($AO22:AO$64)),"")</f>
        <v/>
      </c>
      <c r="BK22" t="str">
        <f>IF($AY$3=TRUE,IF(AP22="","",SUM($AP22:AP$64)),"")</f>
        <v/>
      </c>
      <c r="BL22" t="str">
        <f>IF($AZ$3=TRUE,IF(AQ22="","",SUM($AQ22:AQ$64)),"")</f>
        <v/>
      </c>
      <c r="BM22" t="str">
        <f>IF($BA$3=TRUE,IF(AR22="","",SUM($AR22:AR$64)),"")</f>
        <v/>
      </c>
      <c r="BN22" t="str">
        <f>IF($BB$3=TRUE,IF(AS22="","",SUM($AS22:AS$64)),"")</f>
        <v/>
      </c>
    </row>
    <row r="23" spans="2:66" x14ac:dyDescent="0.25">
      <c r="B23" s="180"/>
      <c r="C23" s="107" t="s">
        <v>26</v>
      </c>
      <c r="D23" s="87" t="s">
        <v>36</v>
      </c>
      <c r="E23" s="87" t="s">
        <v>30</v>
      </c>
      <c r="F23" s="87" t="s">
        <v>89</v>
      </c>
      <c r="G23" s="56">
        <f ca="1">_xll.IMDP($D23,$E23,$F23,$G$5,"fill=true")</f>
        <v>4.2385000000000002</v>
      </c>
      <c r="H23" s="56">
        <f ca="1">_xll.IMDP($D23,$E23,$F23,$H$5,"fill=true")</f>
        <v>4.2385000000000002</v>
      </c>
      <c r="I23" s="33">
        <f ca="1">_xll.IMDP($D23,$E23,$F23,$N$3,"FILL=TRUE")</f>
        <v>3.8494999999999999</v>
      </c>
      <c r="J23" s="33">
        <f ca="1">_xll.IMDP($D23,$E23,"전일대비",$N$3,"FILL=TRUE")</f>
        <v>-3.6499999999999998E-2</v>
      </c>
      <c r="K23" s="34">
        <f ca="1">($I23-_xll.IMDP($D23,$E23,$F23,K$5,"fill=true"))/_xll.IMDP($D23,$E23,$F23,K$5,"fill=true")</f>
        <v>-9.3926917138446205E-3</v>
      </c>
      <c r="L23" s="34">
        <f ca="1">($I23-_xll.IMDP($D23,$E23,$F23,L$5,"fill=true"))/_xll.IMDP($D23,$E23,$F23,L$5,"fill=true")</f>
        <v>5.0913838120104048E-3</v>
      </c>
      <c r="M23" s="34">
        <f ca="1">($I23-_xll.IMDP($D23,$E23,$F23,M$5,"fill=true"))/_xll.IMDP($D23,$E23,$F23,M$5,"fill=true")</f>
        <v>-9.1777751563053026E-2</v>
      </c>
      <c r="N23" s="35">
        <f ca="1">($I23-_xll.IMDP($D23,$E23,$F23,N$5,"fill=true"))/_xll.IMDP($D23,$E23,$F23,N$5,"fill=true")</f>
        <v>-9.1777751563053026E-2</v>
      </c>
      <c r="O23" s="10"/>
      <c r="AA23" t="s">
        <v>45</v>
      </c>
      <c r="AB23" t="s">
        <v>34</v>
      </c>
      <c r="AC23" t="s">
        <v>0</v>
      </c>
      <c r="AD23" t="s">
        <v>105</v>
      </c>
      <c r="AH23" s="75">
        <v>44922</v>
      </c>
      <c r="AI23">
        <v>2332.79</v>
      </c>
      <c r="AK23" s="75">
        <v>44922</v>
      </c>
      <c r="AL23">
        <v>48276</v>
      </c>
      <c r="AM23">
        <v>942397</v>
      </c>
      <c r="AN23">
        <v>-964</v>
      </c>
      <c r="AO23">
        <v>42147</v>
      </c>
      <c r="AP23">
        <v>60738</v>
      </c>
      <c r="AQ23">
        <v>-5974</v>
      </c>
      <c r="AR23">
        <v>-66863</v>
      </c>
      <c r="AS23">
        <v>-1133118</v>
      </c>
      <c r="AT23">
        <f t="shared" si="1"/>
        <v>44922</v>
      </c>
      <c r="AU23">
        <f t="shared" si="2"/>
        <v>48276</v>
      </c>
      <c r="AV23">
        <f t="shared" si="3"/>
        <v>942397</v>
      </c>
      <c r="AW23" t="str">
        <f t="shared" si="4"/>
        <v/>
      </c>
      <c r="AX23" t="str">
        <f t="shared" si="5"/>
        <v/>
      </c>
      <c r="AY23" t="str">
        <f t="shared" si="6"/>
        <v/>
      </c>
      <c r="AZ23" t="str">
        <f t="shared" si="7"/>
        <v/>
      </c>
      <c r="BA23" t="str">
        <f t="shared" si="8"/>
        <v/>
      </c>
      <c r="BB23" t="str">
        <f t="shared" si="9"/>
        <v/>
      </c>
      <c r="BF23" s="75">
        <f t="shared" si="10"/>
        <v>44922</v>
      </c>
      <c r="BG23">
        <f>IF($AU$3=TRUE,IF(AL23="","",SUM(AL23:$AL$64)),"")</f>
        <v>2859235</v>
      </c>
      <c r="BH23">
        <f>IF($AV$3=TRUE,IF(AM23="","",SUM($AM23:AM$64)),"")</f>
        <v>4715171</v>
      </c>
      <c r="BI23" t="str">
        <f>IF($AW$3=TRUE,IF(AN23="","",SUM($AN23:AN$64)),"")</f>
        <v/>
      </c>
      <c r="BJ23" t="str">
        <f>IF($AX$3=TRUE,IF(AO23="","",SUM($AO23:AO$64)),"")</f>
        <v/>
      </c>
      <c r="BK23" t="str">
        <f>IF($AY$3=TRUE,IF(AP23="","",SUM($AP23:AP$64)),"")</f>
        <v/>
      </c>
      <c r="BL23" t="str">
        <f>IF($AZ$3=TRUE,IF(AQ23="","",SUM($AQ23:AQ$64)),"")</f>
        <v/>
      </c>
      <c r="BM23" t="str">
        <f>IF($BA$3=TRUE,IF(AR23="","",SUM($AR23:AR$64)),"")</f>
        <v/>
      </c>
      <c r="BN23" t="str">
        <f>IF($BB$3=TRUE,IF(AS23="","",SUM($AS23:AS$64)),"")</f>
        <v/>
      </c>
    </row>
    <row r="24" spans="2:66" x14ac:dyDescent="0.25">
      <c r="B24" s="180"/>
      <c r="C24" s="107" t="s">
        <v>27</v>
      </c>
      <c r="D24" s="87" t="s">
        <v>36</v>
      </c>
      <c r="E24" s="87" t="s">
        <v>29</v>
      </c>
      <c r="F24" s="87" t="s">
        <v>89</v>
      </c>
      <c r="G24" s="56">
        <f ca="1">_xll.IMDP($D24,$E24,$F24,$G$5,"fill=true")</f>
        <v>4.0056000000000003</v>
      </c>
      <c r="H24" s="56">
        <f ca="1">_xll.IMDP($D24,$E24,$F24,$H$5,"fill=true")</f>
        <v>4.0056000000000003</v>
      </c>
      <c r="I24" s="33">
        <f ca="1">_xll.IMDP($D24,$E24,$F24,$N$3,"FILL=TRUE")</f>
        <v>3.5783</v>
      </c>
      <c r="J24" s="33">
        <f ca="1">_xll.IMDP($D24,$E24,"전일대비",$N$3,"FILL=TRUE")</f>
        <v>-4.1700000000000001E-2</v>
      </c>
      <c r="K24" s="34">
        <f ca="1">($I24-_xll.IMDP($D24,$E24,$F24,K$5,"fill=true"))/_xll.IMDP($D24,$E24,$F24,K$5,"fill=true")</f>
        <v>-1.1519337016574606E-2</v>
      </c>
      <c r="L24" s="34">
        <f ca="1">($I24-_xll.IMDP($D24,$E24,$F24,L$5,"fill=true"))/_xll.IMDP($D24,$E24,$F24,L$5,"fill=true")</f>
        <v>4.7453248722412918E-3</v>
      </c>
      <c r="M24" s="34">
        <f ca="1">($I24-_xll.IMDP($D24,$E24,$F24,M$5,"fill=true"))/_xll.IMDP($D24,$E24,$F24,M$5,"fill=true")</f>
        <v>-0.10667565408428206</v>
      </c>
      <c r="N24" s="35">
        <f ca="1">($I24-_xll.IMDP($D24,$E24,$F24,N$5,"fill=true"))/_xll.IMDP($D24,$E24,$F24,N$5,"fill=true")</f>
        <v>-0.10667565408428206</v>
      </c>
      <c r="AA24" t="s">
        <v>46</v>
      </c>
      <c r="AB24" t="s">
        <v>61</v>
      </c>
      <c r="AC24" t="s">
        <v>1</v>
      </c>
      <c r="AD24" t="s">
        <v>104</v>
      </c>
      <c r="AH24" s="75">
        <v>44921</v>
      </c>
      <c r="AI24">
        <v>2317.14</v>
      </c>
      <c r="AK24" s="75">
        <v>44921</v>
      </c>
      <c r="AL24">
        <v>-40576</v>
      </c>
      <c r="AM24">
        <v>473269</v>
      </c>
      <c r="AN24">
        <v>4980</v>
      </c>
      <c r="AO24">
        <v>90187</v>
      </c>
      <c r="AP24">
        <v>26484</v>
      </c>
      <c r="AQ24">
        <v>2692</v>
      </c>
      <c r="AR24">
        <v>-17765</v>
      </c>
      <c r="AS24">
        <v>-614136</v>
      </c>
      <c r="AT24">
        <f t="shared" si="1"/>
        <v>44921</v>
      </c>
      <c r="AU24">
        <f t="shared" si="2"/>
        <v>-40576</v>
      </c>
      <c r="AV24">
        <f t="shared" si="3"/>
        <v>473269</v>
      </c>
      <c r="AW24" t="str">
        <f t="shared" si="4"/>
        <v/>
      </c>
      <c r="AX24" t="str">
        <f t="shared" si="5"/>
        <v/>
      </c>
      <c r="AY24" t="str">
        <f t="shared" si="6"/>
        <v/>
      </c>
      <c r="AZ24" t="str">
        <f t="shared" si="7"/>
        <v/>
      </c>
      <c r="BA24" t="str">
        <f t="shared" si="8"/>
        <v/>
      </c>
      <c r="BB24" t="str">
        <f t="shared" si="9"/>
        <v/>
      </c>
      <c r="BF24" s="75">
        <f t="shared" si="10"/>
        <v>44921</v>
      </c>
      <c r="BG24">
        <f>IF($AU$3=TRUE,IF(AL24="","",SUM(AL24:$AL$64)),"")</f>
        <v>2810959</v>
      </c>
      <c r="BH24">
        <f>IF($AV$3=TRUE,IF(AM24="","",SUM($AM24:AM$64)),"")</f>
        <v>3772774</v>
      </c>
      <c r="BI24" t="str">
        <f>IF($AW$3=TRUE,IF(AN24="","",SUM($AN24:AN$64)),"")</f>
        <v/>
      </c>
      <c r="BJ24" t="str">
        <f>IF($AX$3=TRUE,IF(AO24="","",SUM($AO24:AO$64)),"")</f>
        <v/>
      </c>
      <c r="BK24" t="str">
        <f>IF($AY$3=TRUE,IF(AP24="","",SUM($AP24:AP$64)),"")</f>
        <v/>
      </c>
      <c r="BL24" t="str">
        <f>IF($AZ$3=TRUE,IF(AQ24="","",SUM($AQ24:AQ$64)),"")</f>
        <v/>
      </c>
      <c r="BM24" t="str">
        <f>IF($BA$3=TRUE,IF(AR24="","",SUM($AR24:AR$64)),"")</f>
        <v/>
      </c>
      <c r="BN24" t="str">
        <f>IF($BB$3=TRUE,IF(AS24="","",SUM($AS24:AS$64)),"")</f>
        <v/>
      </c>
    </row>
    <row r="25" spans="2:66" ht="14.25" thickBot="1" x14ac:dyDescent="0.3">
      <c r="B25" s="181"/>
      <c r="C25" s="108" t="s">
        <v>28</v>
      </c>
      <c r="D25" s="88" t="s">
        <v>36</v>
      </c>
      <c r="E25" s="88" t="s">
        <v>25</v>
      </c>
      <c r="F25" s="88" t="s">
        <v>89</v>
      </c>
      <c r="G25" s="57">
        <f ca="1">_xll.IMDP($D25,$E25,$F25,$G$5,"fill=true")</f>
        <v>3.8795000000000002</v>
      </c>
      <c r="H25" s="57">
        <f ca="1">_xll.IMDP($D25,$E25,$F25,$H$5,"fill=true")</f>
        <v>3.8795000000000002</v>
      </c>
      <c r="I25" s="36">
        <f ca="1">_xll.IMDP($D25,$E25,$F25,$N$3,"FILL=TRUE")</f>
        <v>3.4601000000000002</v>
      </c>
      <c r="J25" s="36">
        <f ca="1">_xll.IMDP($D25,$E25,"전일대비",$N$3,"FILL=TRUE")</f>
        <v>-6.08E-2</v>
      </c>
      <c r="K25" s="37">
        <f ca="1">($I25-_xll.IMDP($D25,$E25,$F25,K$5,"fill=true"))/_xll.IMDP($D25,$E25,$F25,K$5,"fill=true")</f>
        <v>-1.7268312079297896E-2</v>
      </c>
      <c r="L25" s="37">
        <f ca="1">($I25-_xll.IMDP($D25,$E25,$F25,L$5,"fill=true"))/_xll.IMDP($D25,$E25,$F25,L$5,"fill=true")</f>
        <v>-5.6040924244165563E-3</v>
      </c>
      <c r="M25" s="37">
        <f ca="1">($I25-_xll.IMDP($D25,$E25,$F25,M$5,"fill=true"))/_xll.IMDP($D25,$E25,$F25,M$5,"fill=true")</f>
        <v>-0.10810671478283283</v>
      </c>
      <c r="N25" s="38">
        <f ca="1">($I25-_xll.IMDP($D25,$E25,$F25,N$5,"fill=true"))/_xll.IMDP($D25,$E25,$F25,N$5,"fill=true")</f>
        <v>-0.10810671478283283</v>
      </c>
      <c r="AA25" t="s">
        <v>47</v>
      </c>
      <c r="AB25" t="s">
        <v>61</v>
      </c>
      <c r="AC25" t="s">
        <v>2</v>
      </c>
      <c r="AD25" t="s">
        <v>104</v>
      </c>
      <c r="AH25" s="75">
        <v>44918</v>
      </c>
      <c r="AI25">
        <v>2313.69</v>
      </c>
      <c r="AK25" s="75">
        <v>44918</v>
      </c>
      <c r="AL25">
        <v>-69635</v>
      </c>
      <c r="AM25">
        <v>277286</v>
      </c>
      <c r="AN25">
        <v>2828</v>
      </c>
      <c r="AO25">
        <v>-1098</v>
      </c>
      <c r="AP25">
        <v>2888</v>
      </c>
      <c r="AQ25">
        <v>-2710</v>
      </c>
      <c r="AR25">
        <v>20398</v>
      </c>
      <c r="AS25">
        <v>-185001</v>
      </c>
      <c r="AT25">
        <f t="shared" si="1"/>
        <v>44918</v>
      </c>
      <c r="AU25">
        <f t="shared" si="2"/>
        <v>-69635</v>
      </c>
      <c r="AV25">
        <f t="shared" si="3"/>
        <v>277286</v>
      </c>
      <c r="AW25" t="str">
        <f t="shared" si="4"/>
        <v/>
      </c>
      <c r="AX25" t="str">
        <f t="shared" si="5"/>
        <v/>
      </c>
      <c r="AY25" t="str">
        <f t="shared" si="6"/>
        <v/>
      </c>
      <c r="AZ25" t="str">
        <f t="shared" si="7"/>
        <v/>
      </c>
      <c r="BA25" t="str">
        <f t="shared" si="8"/>
        <v/>
      </c>
      <c r="BB25" t="str">
        <f t="shared" si="9"/>
        <v/>
      </c>
      <c r="BF25" s="75">
        <f t="shared" si="10"/>
        <v>44918</v>
      </c>
      <c r="BG25">
        <f>IF($AU$3=TRUE,IF(AL25="","",SUM(AL25:$AL$64)),"")</f>
        <v>2851535</v>
      </c>
      <c r="BH25">
        <f>IF($AV$3=TRUE,IF(AM25="","",SUM($AM25:AM$64)),"")</f>
        <v>3299505</v>
      </c>
      <c r="BI25" t="str">
        <f>IF($AW$3=TRUE,IF(AN25="","",SUM($AN25:AN$64)),"")</f>
        <v/>
      </c>
      <c r="BJ25" t="str">
        <f>IF($AX$3=TRUE,IF(AO25="","",SUM($AO25:AO$64)),"")</f>
        <v/>
      </c>
      <c r="BK25" t="str">
        <f>IF($AY$3=TRUE,IF(AP25="","",SUM($AP25:AP$64)),"")</f>
        <v/>
      </c>
      <c r="BL25" t="str">
        <f>IF($AZ$3=TRUE,IF(AQ25="","",SUM($AQ25:AQ$64)),"")</f>
        <v/>
      </c>
      <c r="BM25" t="str">
        <f>IF($BA$3=TRUE,IF(AR25="","",SUM($AR25:AR$64)),"")</f>
        <v/>
      </c>
      <c r="BN25" t="str">
        <f>IF($BB$3=TRUE,IF(AS25="","",SUM($AS25:AS$64)),"")</f>
        <v/>
      </c>
    </row>
    <row r="26" spans="2:66" ht="18" customHeight="1" thickBot="1" x14ac:dyDescent="0.3">
      <c r="B26" s="170" t="s">
        <v>100</v>
      </c>
      <c r="C26" s="109" t="s">
        <v>107</v>
      </c>
      <c r="D26" s="89"/>
      <c r="E26" s="89"/>
      <c r="F26" s="89"/>
      <c r="G26" s="41" t="s">
        <v>110</v>
      </c>
      <c r="H26" s="41" t="s">
        <v>112</v>
      </c>
      <c r="I26" s="40" t="s">
        <v>111</v>
      </c>
      <c r="J26" s="40" t="s">
        <v>113</v>
      </c>
      <c r="K26" s="41" t="s">
        <v>115</v>
      </c>
      <c r="L26" s="41" t="s">
        <v>116</v>
      </c>
      <c r="M26" s="41" t="s">
        <v>114</v>
      </c>
      <c r="N26" s="42" t="s">
        <v>117</v>
      </c>
      <c r="O26" s="1"/>
      <c r="AA26" t="s">
        <v>91</v>
      </c>
      <c r="AB26" t="s">
        <v>95</v>
      </c>
      <c r="AC26" t="s">
        <v>96</v>
      </c>
      <c r="AD26" t="s">
        <v>104</v>
      </c>
      <c r="AH26" s="75">
        <v>44917</v>
      </c>
      <c r="AI26">
        <v>2356.73</v>
      </c>
      <c r="AK26" s="75">
        <v>44917</v>
      </c>
      <c r="AL26">
        <v>-5702</v>
      </c>
      <c r="AM26">
        <v>1002998</v>
      </c>
      <c r="AN26">
        <v>965</v>
      </c>
      <c r="AO26">
        <v>-12216</v>
      </c>
      <c r="AP26">
        <v>79589</v>
      </c>
      <c r="AQ26">
        <v>-504005</v>
      </c>
      <c r="AR26">
        <v>7019</v>
      </c>
      <c r="AS26">
        <v>-565979</v>
      </c>
      <c r="AT26">
        <f t="shared" si="1"/>
        <v>44917</v>
      </c>
      <c r="AU26">
        <f t="shared" si="2"/>
        <v>-5702</v>
      </c>
      <c r="AV26">
        <f t="shared" si="3"/>
        <v>1002998</v>
      </c>
      <c r="AW26" t="str">
        <f t="shared" si="4"/>
        <v/>
      </c>
      <c r="AX26" t="str">
        <f t="shared" si="5"/>
        <v/>
      </c>
      <c r="AY26" t="str">
        <f t="shared" si="6"/>
        <v/>
      </c>
      <c r="AZ26" t="str">
        <f t="shared" si="7"/>
        <v/>
      </c>
      <c r="BA26" t="str">
        <f t="shared" si="8"/>
        <v/>
      </c>
      <c r="BB26" t="str">
        <f t="shared" si="9"/>
        <v/>
      </c>
      <c r="BF26" s="75">
        <f t="shared" si="10"/>
        <v>44917</v>
      </c>
      <c r="BG26">
        <f>IF($AU$3=TRUE,IF(AL26="","",SUM(AL26:$AL$64)),"")</f>
        <v>2921170</v>
      </c>
      <c r="BH26">
        <f>IF($AV$3=TRUE,IF(AM26="","",SUM($AM26:AM$64)),"")</f>
        <v>3022219</v>
      </c>
      <c r="BI26" t="str">
        <f>IF($AW$3=TRUE,IF(AN26="","",SUM($AN26:AN$64)),"")</f>
        <v/>
      </c>
      <c r="BJ26" t="str">
        <f>IF($AX$3=TRUE,IF(AO26="","",SUM($AO26:AO$64)),"")</f>
        <v/>
      </c>
      <c r="BK26" t="str">
        <f>IF($AY$3=TRUE,IF(AP26="","",SUM($AP26:AP$64)),"")</f>
        <v/>
      </c>
      <c r="BL26" t="str">
        <f>IF($AZ$3=TRUE,IF(AQ26="","",SUM($AQ26:AQ$64)),"")</f>
        <v/>
      </c>
      <c r="BM26" t="str">
        <f>IF($BA$3=TRUE,IF(AR26="","",SUM($AR26:AR$64)),"")</f>
        <v/>
      </c>
      <c r="BN26" t="str">
        <f>IF($BB$3=TRUE,IF(AS26="","",SUM($AS26:AS$64)),"")</f>
        <v/>
      </c>
    </row>
    <row r="27" spans="2:66" ht="18" hidden="1" customHeight="1" x14ac:dyDescent="0.25">
      <c r="G27" t="s">
        <v>176</v>
      </c>
      <c r="H27" t="s">
        <v>177</v>
      </c>
      <c r="I27" t="s">
        <v>178</v>
      </c>
      <c r="J27" t="s">
        <v>179</v>
      </c>
      <c r="K27" t="s">
        <v>180</v>
      </c>
      <c r="L27" t="s">
        <v>181</v>
      </c>
      <c r="M27" t="s">
        <v>182</v>
      </c>
      <c r="N27" t="s">
        <v>183</v>
      </c>
      <c r="AA27" t="s">
        <v>93</v>
      </c>
      <c r="AB27" t="s">
        <v>95</v>
      </c>
      <c r="AC27" t="s">
        <v>98</v>
      </c>
      <c r="AD27" t="s">
        <v>104</v>
      </c>
      <c r="AH27" s="75">
        <v>44916</v>
      </c>
      <c r="AI27">
        <v>2328.9499999999998</v>
      </c>
      <c r="AK27" s="75">
        <v>44916</v>
      </c>
      <c r="AL27">
        <v>-103302</v>
      </c>
      <c r="AM27">
        <v>150210</v>
      </c>
      <c r="AN27">
        <v>3380</v>
      </c>
      <c r="AO27">
        <v>-2085</v>
      </c>
      <c r="AP27">
        <v>5930</v>
      </c>
      <c r="AQ27">
        <v>-50</v>
      </c>
      <c r="AR27">
        <v>-4930</v>
      </c>
      <c r="AS27">
        <v>-89186</v>
      </c>
      <c r="AT27">
        <f t="shared" si="1"/>
        <v>44916</v>
      </c>
      <c r="AU27">
        <f t="shared" si="2"/>
        <v>-103302</v>
      </c>
      <c r="AV27">
        <f t="shared" si="3"/>
        <v>150210</v>
      </c>
      <c r="AW27" t="str">
        <f t="shared" si="4"/>
        <v/>
      </c>
      <c r="AX27" t="str">
        <f t="shared" si="5"/>
        <v/>
      </c>
      <c r="AY27" t="str">
        <f t="shared" si="6"/>
        <v/>
      </c>
      <c r="AZ27" t="str">
        <f t="shared" si="7"/>
        <v/>
      </c>
      <c r="BA27" t="str">
        <f t="shared" si="8"/>
        <v/>
      </c>
      <c r="BB27" t="str">
        <f t="shared" si="9"/>
        <v/>
      </c>
      <c r="BF27" s="75">
        <f t="shared" si="10"/>
        <v>44916</v>
      </c>
      <c r="BG27">
        <f>IF($AU$3=TRUE,IF(AL27="","",SUM(AL27:$AL$64)),"")</f>
        <v>2926872</v>
      </c>
      <c r="BH27">
        <f>IF($AV$3=TRUE,IF(AM27="","",SUM($AM27:AM$64)),"")</f>
        <v>2019221</v>
      </c>
      <c r="BI27" t="str">
        <f>IF($AW$3=TRUE,IF(AN27="","",SUM($AN27:AN$64)),"")</f>
        <v/>
      </c>
      <c r="BJ27" t="str">
        <f>IF($AX$3=TRUE,IF(AO27="","",SUM($AO27:AO$64)),"")</f>
        <v/>
      </c>
      <c r="BK27" t="str">
        <f>IF($AY$3=TRUE,IF(AP27="","",SUM($AP27:AP$64)),"")</f>
        <v/>
      </c>
      <c r="BL27" t="str">
        <f>IF($AZ$3=TRUE,IF(AQ27="","",SUM($AQ27:AQ$64)),"")</f>
        <v/>
      </c>
      <c r="BM27" t="str">
        <f>IF($BA$3=TRUE,IF(AR27="","",SUM($AR27:AR$64)),"")</f>
        <v/>
      </c>
      <c r="BN27" t="str">
        <f>IF($BB$3=TRUE,IF(AS27="","",SUM($AS27:AS$64)),"")</f>
        <v/>
      </c>
    </row>
    <row r="28" spans="2:66" ht="18" hidden="1" customHeight="1" thickBot="1" x14ac:dyDescent="0.3">
      <c r="G28" t="s">
        <v>191</v>
      </c>
      <c r="H28" t="s">
        <v>184</v>
      </c>
      <c r="I28" t="s">
        <v>185</v>
      </c>
      <c r="J28" t="s">
        <v>186</v>
      </c>
      <c r="K28" t="s">
        <v>187</v>
      </c>
      <c r="L28" t="s">
        <v>188</v>
      </c>
      <c r="M28" t="s">
        <v>189</v>
      </c>
      <c r="N28" t="s">
        <v>190</v>
      </c>
      <c r="AA28" t="s">
        <v>101</v>
      </c>
      <c r="AB28" t="s">
        <v>36</v>
      </c>
      <c r="AC28" t="s">
        <v>103</v>
      </c>
      <c r="AD28" t="s">
        <v>106</v>
      </c>
      <c r="AH28" s="75">
        <v>44915</v>
      </c>
      <c r="AI28">
        <v>2333.29</v>
      </c>
      <c r="AK28" s="75">
        <v>44915</v>
      </c>
      <c r="AL28">
        <v>-104468</v>
      </c>
      <c r="AM28">
        <v>33909</v>
      </c>
      <c r="AN28">
        <v>-516</v>
      </c>
      <c r="AO28">
        <v>-11594</v>
      </c>
      <c r="AP28">
        <v>-10257</v>
      </c>
      <c r="AQ28">
        <v>-929</v>
      </c>
      <c r="AR28">
        <v>-31076</v>
      </c>
      <c r="AS28">
        <v>103480</v>
      </c>
      <c r="AT28">
        <f t="shared" si="1"/>
        <v>44915</v>
      </c>
      <c r="AU28">
        <f t="shared" si="2"/>
        <v>-104468</v>
      </c>
      <c r="AV28">
        <f t="shared" si="3"/>
        <v>33909</v>
      </c>
      <c r="AW28" t="str">
        <f t="shared" si="4"/>
        <v/>
      </c>
      <c r="AX28" t="str">
        <f t="shared" si="5"/>
        <v/>
      </c>
      <c r="AY28" t="str">
        <f t="shared" si="6"/>
        <v/>
      </c>
      <c r="AZ28" t="str">
        <f t="shared" si="7"/>
        <v/>
      </c>
      <c r="BA28" t="str">
        <f t="shared" si="8"/>
        <v/>
      </c>
      <c r="BB28" t="str">
        <f t="shared" si="9"/>
        <v/>
      </c>
      <c r="BF28" s="75">
        <f t="shared" si="10"/>
        <v>44915</v>
      </c>
      <c r="BG28">
        <f>IF($AU$3=TRUE,IF(AL28="","",SUM(AL28:$AL$64)),"")</f>
        <v>3030174</v>
      </c>
      <c r="BH28">
        <f>IF($AV$3=TRUE,IF(AM28="","",SUM($AM28:AM$64)),"")</f>
        <v>1869011</v>
      </c>
      <c r="BI28" t="str">
        <f>IF($AW$3=TRUE,IF(AN28="","",SUM($AN28:AN$64)),"")</f>
        <v/>
      </c>
      <c r="BJ28" t="str">
        <f>IF($AX$3=TRUE,IF(AO28="","",SUM($AO28:AO$64)),"")</f>
        <v/>
      </c>
      <c r="BK28" t="str">
        <f>IF($AY$3=TRUE,IF(AP28="","",SUM($AP28:AP$64)),"")</f>
        <v/>
      </c>
      <c r="BL28" t="str">
        <f>IF($AZ$3=TRUE,IF(AQ28="","",SUM($AQ28:AQ$64)),"")</f>
        <v/>
      </c>
      <c r="BM28" t="str">
        <f>IF($BA$3=TRUE,IF(AR28="","",SUM($AR28:AR$64)),"")</f>
        <v/>
      </c>
      <c r="BN28" t="str">
        <f>IF($BB$3=TRUE,IF(AS28="","",SUM($AS28:AS$64)),"")</f>
        <v/>
      </c>
    </row>
    <row r="29" spans="2:66" x14ac:dyDescent="0.25">
      <c r="B29" s="171"/>
      <c r="C29" s="101" t="s">
        <v>45</v>
      </c>
      <c r="D29" s="90" t="s">
        <v>34</v>
      </c>
      <c r="E29" s="91" t="s">
        <v>0</v>
      </c>
      <c r="F29" s="92" t="s">
        <v>105</v>
      </c>
      <c r="G29" s="58">
        <f ca="1">_xll.IMDP($D29,$E29,G$27,$N$3,"fill=true")</f>
        <v>230834</v>
      </c>
      <c r="H29" s="58">
        <f ca="1">_xll.IMDP($D29,$E29,H$27,$N$3,"fill=true")</f>
        <v>-14319</v>
      </c>
      <c r="I29" s="58">
        <f ca="1">_xll.IMDP($D29,$E29,I$27,$N$3,"fill=true")</f>
        <v>7145</v>
      </c>
      <c r="J29" s="59">
        <f ca="1">_xll.IMDP($D29,$E29,J$27,$N$3,"fill=true")</f>
        <v>5611</v>
      </c>
      <c r="K29" s="59">
        <f ca="1">_xll.IMDP($D29,$E29,K$27,$N$3,"fill=true")</f>
        <v>5361</v>
      </c>
      <c r="L29" s="59">
        <f ca="1">_xll.IMDP($D29,$E29,L$27,$N$3,"fill=true")</f>
        <v>2314</v>
      </c>
      <c r="M29" s="59">
        <f ca="1">_xll.IMDP($D29,$E29,M$27,$N$3,"fill=true")</f>
        <v>-18699</v>
      </c>
      <c r="N29" s="60">
        <f ca="1">_xll.IMDP($D29,$E29,N$27,$N$3,"fill=true")</f>
        <v>-246516</v>
      </c>
      <c r="AH29" s="75">
        <v>44914</v>
      </c>
      <c r="AI29">
        <v>2352.17</v>
      </c>
      <c r="AK29" s="75">
        <v>44914</v>
      </c>
      <c r="AL29">
        <v>-24134</v>
      </c>
      <c r="AM29">
        <v>86623</v>
      </c>
      <c r="AN29">
        <v>-189</v>
      </c>
      <c r="AO29">
        <v>-14020</v>
      </c>
      <c r="AP29">
        <v>-9265</v>
      </c>
      <c r="AQ29">
        <v>233</v>
      </c>
      <c r="AR29">
        <v>-7252</v>
      </c>
      <c r="AS29">
        <v>-17651</v>
      </c>
      <c r="AT29">
        <f t="shared" si="1"/>
        <v>44914</v>
      </c>
      <c r="AU29">
        <f t="shared" si="2"/>
        <v>-24134</v>
      </c>
      <c r="AV29">
        <f t="shared" si="3"/>
        <v>86623</v>
      </c>
      <c r="AW29" t="str">
        <f t="shared" si="4"/>
        <v/>
      </c>
      <c r="AX29" t="str">
        <f t="shared" si="5"/>
        <v/>
      </c>
      <c r="AY29" t="str">
        <f t="shared" si="6"/>
        <v/>
      </c>
      <c r="AZ29" t="str">
        <f t="shared" si="7"/>
        <v/>
      </c>
      <c r="BA29" t="str">
        <f t="shared" si="8"/>
        <v/>
      </c>
      <c r="BB29" t="str">
        <f t="shared" si="9"/>
        <v/>
      </c>
      <c r="BF29" s="75">
        <f t="shared" si="10"/>
        <v>44914</v>
      </c>
      <c r="BG29">
        <f>IF($AU$3=TRUE,IF(AL29="","",SUM(AL29:$AL$64)),"")</f>
        <v>3134642</v>
      </c>
      <c r="BH29">
        <f>IF($AV$3=TRUE,IF(AM29="","",SUM($AM29:AM$64)),"")</f>
        <v>1835102</v>
      </c>
      <c r="BI29" t="str">
        <f>IF($AW$3=TRUE,IF(AN29="","",SUM($AN29:AN$64)),"")</f>
        <v/>
      </c>
      <c r="BJ29" t="str">
        <f>IF($AX$3=TRUE,IF(AO29="","",SUM($AO29:AO$64)),"")</f>
        <v/>
      </c>
      <c r="BK29" t="str">
        <f>IF($AY$3=TRUE,IF(AP29="","",SUM($AP29:AP$64)),"")</f>
        <v/>
      </c>
      <c r="BL29" t="str">
        <f>IF($AZ$3=TRUE,IF(AQ29="","",SUM($AQ29:AQ$64)),"")</f>
        <v/>
      </c>
      <c r="BM29" t="str">
        <f>IF($BA$3=TRUE,IF(AR29="","",SUM($AR29:AR$64)),"")</f>
        <v/>
      </c>
      <c r="BN29" t="str">
        <f>IF($BB$3=TRUE,IF(AS29="","",SUM($AS29:AS$64)),"")</f>
        <v/>
      </c>
    </row>
    <row r="30" spans="2:66" x14ac:dyDescent="0.25">
      <c r="B30" s="171"/>
      <c r="C30" s="102" t="s">
        <v>46</v>
      </c>
      <c r="D30" s="93" t="s">
        <v>61</v>
      </c>
      <c r="E30" s="93" t="s">
        <v>1</v>
      </c>
      <c r="F30" s="94" t="s">
        <v>104</v>
      </c>
      <c r="G30" s="61">
        <f ca="1">_xll.IMDP($D30,$E30,G$27,$N$3,"fill=true")</f>
        <v>181393</v>
      </c>
      <c r="H30" s="61">
        <f ca="1">_xll.IMDP($D30,$E30,H$27,$N$3,"fill=true")</f>
        <v>-19391</v>
      </c>
      <c r="I30" s="62">
        <f ca="1">_xll.IMDP($D30,$E30,I$27,$N$3,"fill=true")</f>
        <v>4587</v>
      </c>
      <c r="J30" s="62">
        <f ca="1">_xll.IMDP($D30,$E30,J$27,$N$3,"fill=true")</f>
        <v>6438</v>
      </c>
      <c r="K30" s="62">
        <f ca="1">_xll.IMDP($D30,$E30,K$27,$N$3,"fill=true")</f>
        <v>6159</v>
      </c>
      <c r="L30" s="62">
        <f ca="1">_xll.IMDP($D30,$E30,L$27,$N$3,"fill=true")</f>
        <v>1757</v>
      </c>
      <c r="M30" s="62">
        <f ca="1">_xll.IMDP($D30,$E30,M$27,$N$3,"fill=true")</f>
        <v>-20313</v>
      </c>
      <c r="N30" s="63">
        <f ca="1">_xll.IMDP($D30,$E30,N$27,$N$3,"fill=true")</f>
        <v>-191118</v>
      </c>
      <c r="AH30" s="75">
        <v>44911</v>
      </c>
      <c r="AI30">
        <v>2360.02</v>
      </c>
      <c r="AK30" s="75">
        <v>44911</v>
      </c>
      <c r="AL30">
        <v>292220</v>
      </c>
      <c r="AM30">
        <v>-284645</v>
      </c>
      <c r="AN30">
        <v>-8708</v>
      </c>
      <c r="AO30">
        <v>-10251</v>
      </c>
      <c r="AP30">
        <v>-29030</v>
      </c>
      <c r="AQ30">
        <v>1699</v>
      </c>
      <c r="AR30">
        <v>701</v>
      </c>
      <c r="AS30">
        <v>26264</v>
      </c>
      <c r="AT30">
        <f t="shared" si="1"/>
        <v>44911</v>
      </c>
      <c r="AU30">
        <f t="shared" si="2"/>
        <v>292220</v>
      </c>
      <c r="AV30">
        <f t="shared" si="3"/>
        <v>-284645</v>
      </c>
      <c r="AW30" t="str">
        <f t="shared" si="4"/>
        <v/>
      </c>
      <c r="AX30" t="str">
        <f t="shared" si="5"/>
        <v/>
      </c>
      <c r="AY30" t="str">
        <f t="shared" si="6"/>
        <v/>
      </c>
      <c r="AZ30" t="str">
        <f t="shared" si="7"/>
        <v/>
      </c>
      <c r="BA30" t="str">
        <f t="shared" si="8"/>
        <v/>
      </c>
      <c r="BB30" t="str">
        <f t="shared" si="9"/>
        <v/>
      </c>
      <c r="BF30" s="75">
        <f t="shared" si="10"/>
        <v>44911</v>
      </c>
      <c r="BG30">
        <f>IF($AU$3=TRUE,IF(AL30="","",SUM(AL30:$AL$64)),"")</f>
        <v>3158776</v>
      </c>
      <c r="BH30">
        <f>IF($AV$3=TRUE,IF(AM30="","",SUM($AM30:AM$64)),"")</f>
        <v>1748479</v>
      </c>
      <c r="BI30" t="str">
        <f>IF($AW$3=TRUE,IF(AN30="","",SUM($AN30:AN$64)),"")</f>
        <v/>
      </c>
      <c r="BJ30" t="str">
        <f>IF($AX$3=TRUE,IF(AO30="","",SUM($AO30:AO$64)),"")</f>
        <v/>
      </c>
      <c r="BK30" t="str">
        <f>IF($AY$3=TRUE,IF(AP30="","",SUM($AP30:AP$64)),"")</f>
        <v/>
      </c>
      <c r="BL30" t="str">
        <f>IF($AZ$3=TRUE,IF(AQ30="","",SUM($AQ30:AQ$64)),"")</f>
        <v/>
      </c>
      <c r="BM30" t="str">
        <f>IF($BA$3=TRUE,IF(AR30="","",SUM($AR30:AR$64)),"")</f>
        <v/>
      </c>
      <c r="BN30" t="str">
        <f>IF($BB$3=TRUE,IF(AS30="","",SUM($AS30:AS$64)),"")</f>
        <v/>
      </c>
    </row>
    <row r="31" spans="2:66" x14ac:dyDescent="0.25">
      <c r="C31" s="102" t="s">
        <v>47</v>
      </c>
      <c r="D31" s="93" t="s">
        <v>61</v>
      </c>
      <c r="E31" s="93" t="s">
        <v>2</v>
      </c>
      <c r="F31" s="95" t="s">
        <v>104</v>
      </c>
      <c r="G31" s="64">
        <f ca="1">_xll.IMDP($D31,$E31,G$27,$N$3,"fill=true")</f>
        <v>3303</v>
      </c>
      <c r="H31" s="64">
        <f ca="1">_xll.IMDP($D31,$E31,H$27,$N$3,"fill=true")</f>
        <v>29411</v>
      </c>
      <c r="I31" s="62">
        <f ca="1">_xll.IMDP($D31,$E31,I$27,$N$3,"fill=true")</f>
        <v>27</v>
      </c>
      <c r="J31" s="62">
        <f ca="1">_xll.IMDP($D31,$E31,J$27,$N$3,"fill=true")</f>
        <v>6302</v>
      </c>
      <c r="K31" s="62">
        <f ca="1">_xll.IMDP($D31,$E31,K$27,$N$3,"fill=true")</f>
        <v>9863</v>
      </c>
      <c r="L31" s="62">
        <f ca="1">_xll.IMDP($D31,$E31,L$27,$N$3,"fill=true")</f>
        <v>-1221</v>
      </c>
      <c r="M31" s="62">
        <f ca="1">_xll.IMDP($D31,$E31,M$27,$N$3,"fill=true")</f>
        <v>-3005</v>
      </c>
      <c r="N31" s="63">
        <f ca="1">_xll.IMDP($D31,$E31,N$27,$N$3,"fill=true")</f>
        <v>-35881</v>
      </c>
      <c r="AH31" s="75">
        <v>44910</v>
      </c>
      <c r="AI31">
        <v>2360.9699999999998</v>
      </c>
      <c r="AK31" s="75">
        <v>44910</v>
      </c>
      <c r="AL31">
        <v>-56186</v>
      </c>
      <c r="AM31">
        <v>-298291</v>
      </c>
      <c r="AN31">
        <v>1555</v>
      </c>
      <c r="AO31">
        <v>-31040</v>
      </c>
      <c r="AP31">
        <v>-8719</v>
      </c>
      <c r="AQ31">
        <v>1577</v>
      </c>
      <c r="AR31">
        <v>-32841</v>
      </c>
      <c r="AS31">
        <v>457838</v>
      </c>
      <c r="AT31">
        <f t="shared" si="1"/>
        <v>44910</v>
      </c>
      <c r="AU31">
        <f t="shared" si="2"/>
        <v>-56186</v>
      </c>
      <c r="AV31">
        <f t="shared" si="3"/>
        <v>-298291</v>
      </c>
      <c r="AW31" t="str">
        <f t="shared" si="4"/>
        <v/>
      </c>
      <c r="AX31" t="str">
        <f t="shared" si="5"/>
        <v/>
      </c>
      <c r="AY31" t="str">
        <f t="shared" si="6"/>
        <v/>
      </c>
      <c r="AZ31" t="str">
        <f t="shared" si="7"/>
        <v/>
      </c>
      <c r="BA31" t="str">
        <f t="shared" si="8"/>
        <v/>
      </c>
      <c r="BB31" t="str">
        <f t="shared" si="9"/>
        <v/>
      </c>
      <c r="BF31" s="75">
        <f t="shared" si="10"/>
        <v>44910</v>
      </c>
      <c r="BG31">
        <f>IF($AU$3=TRUE,IF(AL31="","",SUM(AL31:$AL$64)),"")</f>
        <v>2866556</v>
      </c>
      <c r="BH31">
        <f>IF($AV$3=TRUE,IF(AM31="","",SUM($AM31:AM$64)),"")</f>
        <v>2033124</v>
      </c>
      <c r="BI31" t="str">
        <f>IF($AW$3=TRUE,IF(AN31="","",SUM($AN31:AN$64)),"")</f>
        <v/>
      </c>
      <c r="BJ31" t="str">
        <f>IF($AX$3=TRUE,IF(AO31="","",SUM($AO31:AO$64)),"")</f>
        <v/>
      </c>
      <c r="BK31" t="str">
        <f>IF($AY$3=TRUE,IF(AP31="","",SUM($AP31:AP$64)),"")</f>
        <v/>
      </c>
      <c r="BL31" t="str">
        <f>IF($AZ$3=TRUE,IF(AQ31="","",SUM($AQ31:AQ$64)),"")</f>
        <v/>
      </c>
      <c r="BM31" t="str">
        <f>IF($BA$3=TRUE,IF(AR31="","",SUM($AR31:AR$64)),"")</f>
        <v/>
      </c>
      <c r="BN31" t="str">
        <f>IF($BB$3=TRUE,IF(AS31="","",SUM($AS31:AS$64)),"")</f>
        <v/>
      </c>
    </row>
    <row r="32" spans="2:66" x14ac:dyDescent="0.25">
      <c r="C32" s="102" t="s">
        <v>91</v>
      </c>
      <c r="D32" s="93" t="s">
        <v>95</v>
      </c>
      <c r="E32" s="93" t="s">
        <v>96</v>
      </c>
      <c r="F32" s="95" t="s">
        <v>104</v>
      </c>
      <c r="G32" s="64">
        <f ca="1">_xll.IMDP($D32,$E32,G$27,$N$3,"fill=true")/1000000</f>
        <v>-262266.58</v>
      </c>
      <c r="H32" s="64">
        <f ca="1">_xll.IMDP($D32,$E32,H$27,$N$3,"fill=true")/1000000</f>
        <v>242444.07</v>
      </c>
      <c r="I32" s="64">
        <f ca="1">_xll.IMDP($D32,$E32,I$27,$N$3,"fill=true")/1000000</f>
        <v>-313542.95</v>
      </c>
      <c r="J32" s="62">
        <f ca="1">_xll.IMDP($D32,$E32,J$27,$N$3,"fill=true")/1000000</f>
        <v>-1789.91</v>
      </c>
      <c r="K32" s="62">
        <f ca="1">_xll.IMDP($D32,$E32,K$27,$N$3,"fill=true")/1000000</f>
        <v>39326.120000000003</v>
      </c>
      <c r="L32" s="62">
        <f ca="1">_xll.IMDP($D32,$E32,L$27,$N$3,"fill=true")/1000000</f>
        <v>75510.399999999994</v>
      </c>
      <c r="M32" s="62">
        <f ca="1">_xll.IMDP($D32,$E32,M$27,$N$3,"fill=true")/1000000</f>
        <v>208997.56</v>
      </c>
      <c r="N32" s="63">
        <f ca="1">_xll.IMDP($D32,$E32,N$27,$N$3,"fill=true")/1000000</f>
        <v>12683.95</v>
      </c>
      <c r="AH32" s="75">
        <v>44909</v>
      </c>
      <c r="AI32">
        <v>2399.25</v>
      </c>
      <c r="AK32" s="75">
        <v>44909</v>
      </c>
      <c r="AL32">
        <v>231782</v>
      </c>
      <c r="AM32">
        <v>199204</v>
      </c>
      <c r="AN32">
        <v>-2413</v>
      </c>
      <c r="AO32">
        <v>-4630</v>
      </c>
      <c r="AP32">
        <v>8908</v>
      </c>
      <c r="AQ32">
        <v>1533</v>
      </c>
      <c r="AR32">
        <v>2849</v>
      </c>
      <c r="AS32">
        <v>-452214</v>
      </c>
      <c r="AT32">
        <f t="shared" si="1"/>
        <v>44909</v>
      </c>
      <c r="AU32">
        <f t="shared" si="2"/>
        <v>231782</v>
      </c>
      <c r="AV32">
        <f t="shared" si="3"/>
        <v>199204</v>
      </c>
      <c r="AW32" t="str">
        <f t="shared" si="4"/>
        <v/>
      </c>
      <c r="AX32" t="str">
        <f t="shared" si="5"/>
        <v/>
      </c>
      <c r="AY32" t="str">
        <f t="shared" si="6"/>
        <v/>
      </c>
      <c r="AZ32" t="str">
        <f t="shared" si="7"/>
        <v/>
      </c>
      <c r="BA32" t="str">
        <f t="shared" si="8"/>
        <v/>
      </c>
      <c r="BB32" t="str">
        <f t="shared" si="9"/>
        <v/>
      </c>
      <c r="BF32" s="75">
        <f t="shared" si="10"/>
        <v>44909</v>
      </c>
      <c r="BG32">
        <f>IF($AU$3=TRUE,IF(AL32="","",SUM(AL32:$AL$64)),"")</f>
        <v>2922742</v>
      </c>
      <c r="BH32">
        <f>IF($AV$3=TRUE,IF(AM32="","",SUM($AM32:AM$64)),"")</f>
        <v>2331415</v>
      </c>
      <c r="BI32" t="str">
        <f>IF($AW$3=TRUE,IF(AN32="","",SUM($AN32:AN$64)),"")</f>
        <v/>
      </c>
      <c r="BJ32" t="str">
        <f>IF($AX$3=TRUE,IF(AO32="","",SUM($AO32:AO$64)),"")</f>
        <v/>
      </c>
      <c r="BK32" t="str">
        <f>IF($AY$3=TRUE,IF(AP32="","",SUM($AP32:AP$64)),"")</f>
        <v/>
      </c>
      <c r="BL32" t="str">
        <f>IF($AZ$3=TRUE,IF(AQ32="","",SUM($AQ32:AQ$64)),"")</f>
        <v/>
      </c>
      <c r="BM32" t="str">
        <f>IF($BA$3=TRUE,IF(AR32="","",SUM($AR32:AR$64)),"")</f>
        <v/>
      </c>
      <c r="BN32" t="str">
        <f>IF($BB$3=TRUE,IF(AS32="","",SUM($AS32:AS$64)),"")</f>
        <v/>
      </c>
    </row>
    <row r="33" spans="2:66" x14ac:dyDescent="0.25">
      <c r="B33" s="171"/>
      <c r="C33" s="102" t="s">
        <v>93</v>
      </c>
      <c r="D33" s="93" t="s">
        <v>95</v>
      </c>
      <c r="E33" s="93" t="s">
        <v>98</v>
      </c>
      <c r="F33" s="95" t="s">
        <v>104</v>
      </c>
      <c r="G33" s="64">
        <f ca="1">_xll.IMDP($D33,$E33,G$27,$N$3,"fill=true")/1000000</f>
        <v>-207.39</v>
      </c>
      <c r="H33" s="64">
        <f ca="1">_xll.IMDP($D33,$E33,H$27,$N$3,"fill=true")/1000000</f>
        <v>-60997.07</v>
      </c>
      <c r="I33" s="64">
        <f ca="1">_xll.IMDP($D33,$E33,I$27,$N$3,"fill=true")/1000000</f>
        <v>40010.769999999997</v>
      </c>
      <c r="J33" s="62">
        <f ca="1">_xll.IMDP($D33,$E33,J$27,$N$3,"fill=true")/1000000</f>
        <v>-790.14</v>
      </c>
      <c r="K33" s="62">
        <f ca="1">_xll.IMDP($D33,$E33,K$27,$N$3,"fill=true")/1000000</f>
        <v>13952.25</v>
      </c>
      <c r="L33" s="62">
        <f ca="1">_xll.IMDP($D33,$E33,L$27,$N$3,"fill=true")/1000000</f>
        <v>-26913.200000000001</v>
      </c>
      <c r="M33" s="62">
        <f ca="1">_xll.IMDP($D33,$E33,M$27,$N$3,"fill=true")/1000000</f>
        <v>17059.189999999999</v>
      </c>
      <c r="N33" s="63">
        <f ca="1">_xll.IMDP($D33,$E33,N$27,$N$3,"fill=true")/1000000</f>
        <v>1501.91</v>
      </c>
      <c r="AH33" s="75">
        <v>44908</v>
      </c>
      <c r="AI33">
        <v>2372.4</v>
      </c>
      <c r="AK33" s="75">
        <v>44908</v>
      </c>
      <c r="AL33">
        <v>-111780</v>
      </c>
      <c r="AM33">
        <v>35771</v>
      </c>
      <c r="AN33">
        <v>-152</v>
      </c>
      <c r="AO33">
        <v>-10623</v>
      </c>
      <c r="AP33">
        <v>18275</v>
      </c>
      <c r="AQ33">
        <v>-835</v>
      </c>
      <c r="AR33">
        <v>-4857</v>
      </c>
      <c r="AS33">
        <v>34875</v>
      </c>
      <c r="AT33">
        <f t="shared" si="1"/>
        <v>44908</v>
      </c>
      <c r="AU33">
        <f t="shared" si="2"/>
        <v>-111780</v>
      </c>
      <c r="AV33">
        <f t="shared" si="3"/>
        <v>35771</v>
      </c>
      <c r="AW33" t="str">
        <f t="shared" si="4"/>
        <v/>
      </c>
      <c r="AX33" t="str">
        <f t="shared" si="5"/>
        <v/>
      </c>
      <c r="AY33" t="str">
        <f t="shared" si="6"/>
        <v/>
      </c>
      <c r="AZ33" t="str">
        <f t="shared" si="7"/>
        <v/>
      </c>
      <c r="BA33" t="str">
        <f t="shared" si="8"/>
        <v/>
      </c>
      <c r="BB33" t="str">
        <f t="shared" si="9"/>
        <v/>
      </c>
      <c r="BF33" s="75">
        <f t="shared" si="10"/>
        <v>44908</v>
      </c>
      <c r="BG33">
        <f>IF($AU$3=TRUE,IF(AL33="","",SUM(AL33:$AL$64)),"")</f>
        <v>2690960</v>
      </c>
      <c r="BH33">
        <f>IF($AV$3=TRUE,IF(AM33="","",SUM($AM33:AM$64)),"")</f>
        <v>2132211</v>
      </c>
      <c r="BI33" t="str">
        <f>IF($AW$3=TRUE,IF(AN33="","",SUM($AN33:AN$64)),"")</f>
        <v/>
      </c>
      <c r="BJ33" t="str">
        <f>IF($AX$3=TRUE,IF(AO33="","",SUM($AO33:AO$64)),"")</f>
        <v/>
      </c>
      <c r="BK33" t="str">
        <f>IF($AY$3=TRUE,IF(AP33="","",SUM($AP33:AP$64)),"")</f>
        <v/>
      </c>
      <c r="BL33" t="str">
        <f>IF($AZ$3=TRUE,IF(AQ33="","",SUM($AQ33:AQ$64)),"")</f>
        <v/>
      </c>
      <c r="BM33" t="str">
        <f>IF($BA$3=TRUE,IF(AR33="","",SUM($AR33:AR$64)),"")</f>
        <v/>
      </c>
      <c r="BN33" t="str">
        <f>IF($BB$3=TRUE,IF(AS33="","",SUM($AS33:AS$64)),"")</f>
        <v/>
      </c>
    </row>
    <row r="34" spans="2:66" ht="14.25" thickBot="1" x14ac:dyDescent="0.3">
      <c r="B34" s="172"/>
      <c r="C34" s="110" t="s">
        <v>101</v>
      </c>
      <c r="D34" s="96" t="s">
        <v>102</v>
      </c>
      <c r="E34" s="96" t="s">
        <v>103</v>
      </c>
      <c r="F34" s="97" t="s">
        <v>106</v>
      </c>
      <c r="G34" s="65">
        <f ca="1">_xll.IMDP($D34,$E34,G$28,$N$3,"fill=true")/1000</f>
        <v>-28835.562000000002</v>
      </c>
      <c r="H34" s="65">
        <f ca="1">_xll.IMDP($D34,$E34,H$28,$N$3,"fill=true")/1000</f>
        <v>6000</v>
      </c>
      <c r="I34" s="66">
        <f ca="1">_xll.IMDP($D34,$E34,I$28,$N$3,"fill=true")/1000</f>
        <v>554099.69499999995</v>
      </c>
      <c r="J34" s="66">
        <f ca="1">_xll.IMDP($D34,$E34,J$28,$N$3,"fill=true")/1000</f>
        <v>-154855.32999999999</v>
      </c>
      <c r="K34" s="66">
        <f ca="1">_xll.IMDP($D34,$E34,K$28,$N$3,"fill=true")/1000</f>
        <v>431835.33</v>
      </c>
      <c r="L34" s="66">
        <f ca="1">_xll.IMDP($D34,$E34,L$28,$N$3,"fill=true")/1000</f>
        <v>490500</v>
      </c>
      <c r="M34" s="66">
        <f ca="1">_xll.IMDP($D34,$E34,M$28,$N$3,"fill=true")/1000</f>
        <v>349875.83199999999</v>
      </c>
      <c r="N34" s="67">
        <f ca="1">_xll.IMDP($D34,$E34,N$28,$N$3,"fill=true")/1000</f>
        <v>139072.75599999999</v>
      </c>
      <c r="AH34" s="75">
        <v>44907</v>
      </c>
      <c r="AI34">
        <v>2373.02</v>
      </c>
      <c r="AK34" s="75">
        <v>44907</v>
      </c>
      <c r="AL34">
        <v>17103</v>
      </c>
      <c r="AM34">
        <v>24393</v>
      </c>
      <c r="AN34">
        <v>-1380</v>
      </c>
      <c r="AO34">
        <v>-9891</v>
      </c>
      <c r="AP34">
        <v>2756</v>
      </c>
      <c r="AQ34">
        <v>-71</v>
      </c>
      <c r="AR34">
        <v>-13375</v>
      </c>
      <c r="AS34">
        <v>-39</v>
      </c>
      <c r="AT34">
        <f t="shared" si="1"/>
        <v>44907</v>
      </c>
      <c r="AU34">
        <f t="shared" si="2"/>
        <v>17103</v>
      </c>
      <c r="AV34">
        <f t="shared" si="3"/>
        <v>24393</v>
      </c>
      <c r="AW34" t="str">
        <f t="shared" si="4"/>
        <v/>
      </c>
      <c r="AX34" t="str">
        <f t="shared" si="5"/>
        <v/>
      </c>
      <c r="AY34" t="str">
        <f t="shared" si="6"/>
        <v/>
      </c>
      <c r="AZ34" t="str">
        <f t="shared" si="7"/>
        <v/>
      </c>
      <c r="BA34" t="str">
        <f t="shared" si="8"/>
        <v/>
      </c>
      <c r="BB34" t="str">
        <f t="shared" si="9"/>
        <v/>
      </c>
      <c r="BF34" s="75">
        <f t="shared" si="10"/>
        <v>44907</v>
      </c>
      <c r="BG34">
        <f>IF($AU$3=TRUE,IF(AL34="","",SUM(AL34:$AL$64)),"")</f>
        <v>2802740</v>
      </c>
      <c r="BH34">
        <f>IF($AV$3=TRUE,IF(AM34="","",SUM($AM34:AM$64)),"")</f>
        <v>2096440</v>
      </c>
      <c r="BI34" t="str">
        <f>IF($AW$3=TRUE,IF(AN34="","",SUM($AN34:AN$64)),"")</f>
        <v/>
      </c>
      <c r="BJ34" t="str">
        <f>IF($AX$3=TRUE,IF(AO34="","",SUM($AO34:AO$64)),"")</f>
        <v/>
      </c>
      <c r="BK34" t="str">
        <f>IF($AY$3=TRUE,IF(AP34="","",SUM($AP34:AP$64)),"")</f>
        <v/>
      </c>
      <c r="BL34" t="str">
        <f>IF($AZ$3=TRUE,IF(AQ34="","",SUM($AQ34:AQ$64)),"")</f>
        <v/>
      </c>
      <c r="BM34" t="str">
        <f>IF($BA$3=TRUE,IF(AR34="","",SUM($AR34:AR$64)),"")</f>
        <v/>
      </c>
      <c r="BN34" t="str">
        <f>IF($BB$3=TRUE,IF(AS34="","",SUM($AS34:AS$64)),"")</f>
        <v/>
      </c>
    </row>
    <row r="35" spans="2:66" x14ac:dyDescent="0.25">
      <c r="B35" s="70"/>
      <c r="AH35" s="75">
        <v>44904</v>
      </c>
      <c r="AI35">
        <v>2389.04</v>
      </c>
      <c r="AK35" s="75">
        <v>44904</v>
      </c>
      <c r="AL35">
        <v>99500</v>
      </c>
      <c r="AM35">
        <v>389532</v>
      </c>
      <c r="AN35">
        <v>-269</v>
      </c>
      <c r="AO35">
        <v>-10380</v>
      </c>
      <c r="AP35">
        <v>-11711</v>
      </c>
      <c r="AQ35">
        <v>-42</v>
      </c>
      <c r="AR35">
        <v>22275</v>
      </c>
      <c r="AS35">
        <v>-509641</v>
      </c>
      <c r="AT35">
        <f t="shared" si="1"/>
        <v>44904</v>
      </c>
      <c r="AU35">
        <f t="shared" si="2"/>
        <v>99500</v>
      </c>
      <c r="AV35">
        <f t="shared" si="3"/>
        <v>389532</v>
      </c>
      <c r="AW35" t="str">
        <f t="shared" si="4"/>
        <v/>
      </c>
      <c r="AX35" t="str">
        <f t="shared" si="5"/>
        <v/>
      </c>
      <c r="AY35" t="str">
        <f t="shared" si="6"/>
        <v/>
      </c>
      <c r="AZ35" t="str">
        <f t="shared" si="7"/>
        <v/>
      </c>
      <c r="BA35" t="str">
        <f t="shared" si="8"/>
        <v/>
      </c>
      <c r="BB35" t="str">
        <f t="shared" si="9"/>
        <v/>
      </c>
      <c r="BF35" s="75">
        <f t="shared" si="10"/>
        <v>44904</v>
      </c>
      <c r="BG35">
        <f>IF($AU$3=TRUE,IF(AL35="","",SUM(AL35:$AL$64)),"")</f>
        <v>2785637</v>
      </c>
      <c r="BH35">
        <f>IF($AV$3=TRUE,IF(AM35="","",SUM($AM35:AM$64)),"")</f>
        <v>2072047</v>
      </c>
      <c r="BI35" t="str">
        <f>IF($AW$3=TRUE,IF(AN35="","",SUM($AN35:AN$64)),"")</f>
        <v/>
      </c>
      <c r="BJ35" t="str">
        <f>IF($AX$3=TRUE,IF(AO35="","",SUM($AO35:AO$64)),"")</f>
        <v/>
      </c>
      <c r="BK35" t="str">
        <f>IF($AY$3=TRUE,IF(AP35="","",SUM($AP35:AP$64)),"")</f>
        <v/>
      </c>
      <c r="BL35" t="str">
        <f>IF($AZ$3=TRUE,IF(AQ35="","",SUM($AQ35:AQ$64)),"")</f>
        <v/>
      </c>
      <c r="BM35" t="str">
        <f>IF($BA$3=TRUE,IF(AR35="","",SUM($AR35:AR$64)),"")</f>
        <v/>
      </c>
      <c r="BN35" t="str">
        <f>IF($BB$3=TRUE,IF(AS35="","",SUM($AS35:AS$64)),"")</f>
        <v/>
      </c>
    </row>
    <row r="36" spans="2:66" x14ac:dyDescent="0.25">
      <c r="B36" s="43"/>
      <c r="C36" s="43"/>
      <c r="D36" s="43"/>
      <c r="E36" s="43"/>
      <c r="F36" s="43"/>
      <c r="N36" s="43"/>
      <c r="O36" s="43"/>
      <c r="P36" s="43"/>
      <c r="AH36" s="75">
        <v>44903</v>
      </c>
      <c r="AI36">
        <v>2371.08</v>
      </c>
      <c r="AK36" s="75">
        <v>44903</v>
      </c>
      <c r="AL36">
        <v>-476145</v>
      </c>
      <c r="AM36">
        <v>207809</v>
      </c>
      <c r="AN36">
        <v>-5031</v>
      </c>
      <c r="AO36">
        <v>61452</v>
      </c>
      <c r="AP36">
        <v>61787</v>
      </c>
      <c r="AQ36">
        <v>4172</v>
      </c>
      <c r="AR36">
        <v>-70779</v>
      </c>
      <c r="AS36">
        <v>206384</v>
      </c>
      <c r="AT36">
        <f t="shared" si="1"/>
        <v>44903</v>
      </c>
      <c r="AU36">
        <f t="shared" si="2"/>
        <v>-476145</v>
      </c>
      <c r="AV36">
        <f t="shared" si="3"/>
        <v>207809</v>
      </c>
      <c r="AW36" t="str">
        <f t="shared" si="4"/>
        <v/>
      </c>
      <c r="AX36" t="str">
        <f t="shared" si="5"/>
        <v/>
      </c>
      <c r="AY36" t="str">
        <f t="shared" si="6"/>
        <v/>
      </c>
      <c r="AZ36" t="str">
        <f t="shared" si="7"/>
        <v/>
      </c>
      <c r="BA36" t="str">
        <f t="shared" si="8"/>
        <v/>
      </c>
      <c r="BB36" t="str">
        <f t="shared" si="9"/>
        <v/>
      </c>
      <c r="BF36" s="75">
        <f t="shared" si="10"/>
        <v>44903</v>
      </c>
      <c r="BG36">
        <f>IF($AU$3=TRUE,IF(AL36="","",SUM(AL36:$AL$64)),"")</f>
        <v>2686137</v>
      </c>
      <c r="BH36">
        <f>IF($AV$3=TRUE,IF(AM36="","",SUM($AM36:AM$64)),"")</f>
        <v>1682515</v>
      </c>
      <c r="BI36" t="str">
        <f>IF($AW$3=TRUE,IF(AN36="","",SUM($AN36:AN$64)),"")</f>
        <v/>
      </c>
      <c r="BJ36" t="str">
        <f>IF($AX$3=TRUE,IF(AO36="","",SUM($AO36:AO$64)),"")</f>
        <v/>
      </c>
      <c r="BK36" t="str">
        <f>IF($AY$3=TRUE,IF(AP36="","",SUM($AP36:AP$64)),"")</f>
        <v/>
      </c>
      <c r="BL36" t="str">
        <f>IF($AZ$3=TRUE,IF(AQ36="","",SUM($AQ36:AQ$64)),"")</f>
        <v/>
      </c>
      <c r="BM36" t="str">
        <f>IF($BA$3=TRUE,IF(AR36="","",SUM($AR36:AR$64)),"")</f>
        <v/>
      </c>
      <c r="BN36" t="str">
        <f>IF($BB$3=TRUE,IF(AS36="","",SUM($AS36:AS$64)),"")</f>
        <v/>
      </c>
    </row>
    <row r="37" spans="2:66" x14ac:dyDescent="0.25">
      <c r="B37" s="43"/>
      <c r="C37" s="43"/>
      <c r="D37" s="43"/>
      <c r="E37" s="43"/>
      <c r="F37" s="43"/>
      <c r="N37" s="43"/>
      <c r="O37" s="43"/>
      <c r="P37" s="43"/>
      <c r="AH37" s="75">
        <v>44902</v>
      </c>
      <c r="AI37">
        <v>2382.81</v>
      </c>
      <c r="AK37" s="75">
        <v>44902</v>
      </c>
      <c r="AL37">
        <v>-196153</v>
      </c>
      <c r="AM37">
        <v>130417</v>
      </c>
      <c r="AN37">
        <v>2001</v>
      </c>
      <c r="AO37">
        <v>-4957</v>
      </c>
      <c r="AP37">
        <v>-12347</v>
      </c>
      <c r="AQ37">
        <v>4175</v>
      </c>
      <c r="AR37">
        <v>-25820</v>
      </c>
      <c r="AS37">
        <v>181436</v>
      </c>
      <c r="AT37">
        <f t="shared" si="1"/>
        <v>44902</v>
      </c>
      <c r="AU37">
        <f t="shared" si="2"/>
        <v>-196153</v>
      </c>
      <c r="AV37">
        <f t="shared" si="3"/>
        <v>130417</v>
      </c>
      <c r="AW37" t="str">
        <f t="shared" si="4"/>
        <v/>
      </c>
      <c r="AX37" t="str">
        <f t="shared" si="5"/>
        <v/>
      </c>
      <c r="AY37" t="str">
        <f t="shared" si="6"/>
        <v/>
      </c>
      <c r="AZ37" t="str">
        <f t="shared" si="7"/>
        <v/>
      </c>
      <c r="BA37" t="str">
        <f t="shared" si="8"/>
        <v/>
      </c>
      <c r="BB37" t="str">
        <f t="shared" si="9"/>
        <v/>
      </c>
      <c r="BF37" s="75">
        <f t="shared" si="10"/>
        <v>44902</v>
      </c>
      <c r="BG37">
        <f>IF($AU$3=TRUE,IF(AL37="","",SUM(AL37:$AL$64)),"")</f>
        <v>3162282</v>
      </c>
      <c r="BH37">
        <f>IF($AV$3=TRUE,IF(AM37="","",SUM($AM37:AM$64)),"")</f>
        <v>1474706</v>
      </c>
      <c r="BI37" t="str">
        <f>IF($AW$3=TRUE,IF(AN37="","",SUM($AN37:AN$64)),"")</f>
        <v/>
      </c>
      <c r="BJ37" t="str">
        <f>IF($AX$3=TRUE,IF(AO37="","",SUM($AO37:AO$64)),"")</f>
        <v/>
      </c>
      <c r="BK37" t="str">
        <f>IF($AY$3=TRUE,IF(AP37="","",SUM($AP37:AP$64)),"")</f>
        <v/>
      </c>
      <c r="BL37" t="str">
        <f>IF($AZ$3=TRUE,IF(AQ37="","",SUM($AQ37:AQ$64)),"")</f>
        <v/>
      </c>
      <c r="BM37" t="str">
        <f>IF($BA$3=TRUE,IF(AR37="","",SUM($AR37:AR$64)),"")</f>
        <v/>
      </c>
      <c r="BN37" t="str">
        <f>IF($BB$3=TRUE,IF(AS37="","",SUM($AS37:AS$64)),"")</f>
        <v/>
      </c>
    </row>
    <row r="38" spans="2:66" x14ac:dyDescent="0.25">
      <c r="B38" s="43"/>
      <c r="C38" s="43"/>
      <c r="D38" s="43"/>
      <c r="E38" s="43"/>
      <c r="F38" s="43"/>
      <c r="N38" s="43"/>
      <c r="O38" s="43"/>
      <c r="P38" s="43"/>
      <c r="AH38" s="75">
        <v>44901</v>
      </c>
      <c r="AI38">
        <v>2393.16</v>
      </c>
      <c r="AK38" s="75">
        <v>44901</v>
      </c>
      <c r="AL38">
        <v>-96803</v>
      </c>
      <c r="AM38">
        <v>-111572</v>
      </c>
      <c r="AN38">
        <v>-4728</v>
      </c>
      <c r="AO38">
        <v>-14144</v>
      </c>
      <c r="AP38">
        <v>-39289</v>
      </c>
      <c r="AQ38">
        <v>-5932</v>
      </c>
      <c r="AR38">
        <v>-54027</v>
      </c>
      <c r="AS38">
        <v>381059</v>
      </c>
      <c r="AT38">
        <f t="shared" si="1"/>
        <v>44901</v>
      </c>
      <c r="AU38">
        <f t="shared" si="2"/>
        <v>-96803</v>
      </c>
      <c r="AV38">
        <f t="shared" si="3"/>
        <v>-111572</v>
      </c>
      <c r="AW38" t="str">
        <f t="shared" si="4"/>
        <v/>
      </c>
      <c r="AX38" t="str">
        <f t="shared" si="5"/>
        <v/>
      </c>
      <c r="AY38" t="str">
        <f t="shared" si="6"/>
        <v/>
      </c>
      <c r="AZ38" t="str">
        <f t="shared" si="7"/>
        <v/>
      </c>
      <c r="BA38" t="str">
        <f t="shared" si="8"/>
        <v/>
      </c>
      <c r="BB38" t="str">
        <f t="shared" si="9"/>
        <v/>
      </c>
      <c r="BF38" s="75">
        <f t="shared" si="10"/>
        <v>44901</v>
      </c>
      <c r="BG38">
        <f>IF($AU$3=TRUE,IF(AL38="","",SUM(AL38:$AL$64)),"")</f>
        <v>3358435</v>
      </c>
      <c r="BH38">
        <f>IF($AV$3=TRUE,IF(AM38="","",SUM($AM38:AM$64)),"")</f>
        <v>1344289</v>
      </c>
      <c r="BI38" t="str">
        <f>IF($AW$3=TRUE,IF(AN38="","",SUM($AN38:AN$64)),"")</f>
        <v/>
      </c>
      <c r="BJ38" t="str">
        <f>IF($AX$3=TRUE,IF(AO38="","",SUM($AO38:AO$64)),"")</f>
        <v/>
      </c>
      <c r="BK38" t="str">
        <f>IF($AY$3=TRUE,IF(AP38="","",SUM($AP38:AP$64)),"")</f>
        <v/>
      </c>
      <c r="BL38" t="str">
        <f>IF($AZ$3=TRUE,IF(AQ38="","",SUM($AQ38:AQ$64)),"")</f>
        <v/>
      </c>
      <c r="BM38" t="str">
        <f>IF($BA$3=TRUE,IF(AR38="","",SUM($AR38:AR$64)),"")</f>
        <v/>
      </c>
      <c r="BN38" t="str">
        <f>IF($BB$3=TRUE,IF(AS38="","",SUM($AS38:AS$64)),"")</f>
        <v/>
      </c>
    </row>
    <row r="39" spans="2:66" x14ac:dyDescent="0.25">
      <c r="B39" s="43"/>
      <c r="C39" s="43"/>
      <c r="D39" s="43"/>
      <c r="E39" s="43"/>
      <c r="F39" s="43"/>
      <c r="N39" s="43"/>
      <c r="O39" s="43"/>
      <c r="P39" s="43"/>
      <c r="AH39" s="75">
        <v>44900</v>
      </c>
      <c r="AI39">
        <v>2419.3200000000002</v>
      </c>
      <c r="AK39" s="75">
        <v>44900</v>
      </c>
      <c r="AL39">
        <v>-293118</v>
      </c>
      <c r="AM39">
        <v>113227</v>
      </c>
      <c r="AN39">
        <v>811</v>
      </c>
      <c r="AO39">
        <v>-11958</v>
      </c>
      <c r="AP39">
        <v>-28897</v>
      </c>
      <c r="AQ39">
        <v>5512</v>
      </c>
      <c r="AR39">
        <v>-2312</v>
      </c>
      <c r="AS39">
        <v>302194</v>
      </c>
      <c r="AT39">
        <f t="shared" si="1"/>
        <v>44900</v>
      </c>
      <c r="AU39">
        <f t="shared" si="2"/>
        <v>-293118</v>
      </c>
      <c r="AV39">
        <f t="shared" si="3"/>
        <v>113227</v>
      </c>
      <c r="AW39" t="str">
        <f t="shared" si="4"/>
        <v/>
      </c>
      <c r="AX39" t="str">
        <f t="shared" si="5"/>
        <v/>
      </c>
      <c r="AY39" t="str">
        <f t="shared" si="6"/>
        <v/>
      </c>
      <c r="AZ39" t="str">
        <f t="shared" si="7"/>
        <v/>
      </c>
      <c r="BA39" t="str">
        <f t="shared" si="8"/>
        <v/>
      </c>
      <c r="BB39" t="str">
        <f t="shared" si="9"/>
        <v/>
      </c>
      <c r="BF39" s="75">
        <f t="shared" si="10"/>
        <v>44900</v>
      </c>
      <c r="BG39">
        <f>IF($AU$3=TRUE,IF(AL39="","",SUM(AL39:$AL$64)),"")</f>
        <v>3455238</v>
      </c>
      <c r="BH39">
        <f>IF($AV$3=TRUE,IF(AM39="","",SUM($AM39:AM$64)),"")</f>
        <v>1455861</v>
      </c>
      <c r="BI39" t="str">
        <f>IF($AW$3=TRUE,IF(AN39="","",SUM($AN39:AN$64)),"")</f>
        <v/>
      </c>
      <c r="BJ39" t="str">
        <f>IF($AX$3=TRUE,IF(AO39="","",SUM($AO39:AO$64)),"")</f>
        <v/>
      </c>
      <c r="BK39" t="str">
        <f>IF($AY$3=TRUE,IF(AP39="","",SUM($AP39:AP$64)),"")</f>
        <v/>
      </c>
      <c r="BL39" t="str">
        <f>IF($AZ$3=TRUE,IF(AQ39="","",SUM($AQ39:AQ$64)),"")</f>
        <v/>
      </c>
      <c r="BM39" t="str">
        <f>IF($BA$3=TRUE,IF(AR39="","",SUM($AR39:AR$64)),"")</f>
        <v/>
      </c>
      <c r="BN39" t="str">
        <f>IF($BB$3=TRUE,IF(AS39="","",SUM($AS39:AS$64)),"")</f>
        <v/>
      </c>
    </row>
    <row r="40" spans="2:66" x14ac:dyDescent="0.25">
      <c r="B40" s="43"/>
      <c r="C40" s="43"/>
      <c r="D40" s="43"/>
      <c r="E40" s="43"/>
      <c r="F40" s="43"/>
      <c r="N40" s="43"/>
      <c r="O40" s="43"/>
      <c r="P40" s="43"/>
      <c r="Z40" t="s">
        <v>131</v>
      </c>
      <c r="AA40" t="s">
        <v>132</v>
      </c>
      <c r="AB40" t="s">
        <v>133</v>
      </c>
      <c r="AC40" t="s">
        <v>134</v>
      </c>
      <c r="AD40" t="s">
        <v>135</v>
      </c>
      <c r="AE40" t="s">
        <v>130</v>
      </c>
      <c r="AH40" s="75">
        <v>44897</v>
      </c>
      <c r="AI40">
        <v>2434.33</v>
      </c>
      <c r="AK40" s="75">
        <v>44897</v>
      </c>
      <c r="AL40">
        <v>-403398</v>
      </c>
      <c r="AM40">
        <v>-332597</v>
      </c>
      <c r="AN40">
        <v>1441</v>
      </c>
      <c r="AO40">
        <v>-22242</v>
      </c>
      <c r="AP40">
        <v>-32513</v>
      </c>
      <c r="AQ40">
        <v>-4527</v>
      </c>
      <c r="AR40">
        <v>-41186</v>
      </c>
      <c r="AS40">
        <v>909541</v>
      </c>
      <c r="AT40">
        <f t="shared" si="1"/>
        <v>44897</v>
      </c>
      <c r="AU40">
        <f t="shared" si="2"/>
        <v>-403398</v>
      </c>
      <c r="AV40">
        <f t="shared" si="3"/>
        <v>-332597</v>
      </c>
      <c r="AW40" t="str">
        <f t="shared" si="4"/>
        <v/>
      </c>
      <c r="AX40" t="str">
        <f t="shared" si="5"/>
        <v/>
      </c>
      <c r="AY40" t="str">
        <f t="shared" si="6"/>
        <v/>
      </c>
      <c r="AZ40" t="str">
        <f t="shared" si="7"/>
        <v/>
      </c>
      <c r="BA40" t="str">
        <f t="shared" si="8"/>
        <v/>
      </c>
      <c r="BB40" t="str">
        <f t="shared" si="9"/>
        <v/>
      </c>
      <c r="BF40" s="75">
        <f t="shared" si="10"/>
        <v>44897</v>
      </c>
      <c r="BG40">
        <f>IF($AU$3=TRUE,IF(AL40="","",SUM(AL40:$AL$64)),"")</f>
        <v>3748356</v>
      </c>
      <c r="BH40">
        <f>IF($AV$3=TRUE,IF(AM40="","",SUM($AM40:AM$64)),"")</f>
        <v>1342634</v>
      </c>
      <c r="BI40" t="str">
        <f>IF($AW$3=TRUE,IF(AN40="","",SUM($AN40:AN$64)),"")</f>
        <v/>
      </c>
      <c r="BJ40" t="str">
        <f>IF($AX$3=TRUE,IF(AO40="","",SUM($AO40:AO$64)),"")</f>
        <v/>
      </c>
      <c r="BK40" t="str">
        <f>IF($AY$3=TRUE,IF(AP40="","",SUM($AP40:AP$64)),"")</f>
        <v/>
      </c>
      <c r="BL40" t="str">
        <f>IF($AZ$3=TRUE,IF(AQ40="","",SUM($AQ40:AQ$64)),"")</f>
        <v/>
      </c>
      <c r="BM40" t="str">
        <f>IF($BA$3=TRUE,IF(AR40="","",SUM($AR40:AR$64)),"")</f>
        <v/>
      </c>
      <c r="BN40" t="str">
        <f>IF($BB$3=TRUE,IF(AS40="","",SUM($AS40:AS$64)),"")</f>
        <v/>
      </c>
    </row>
    <row r="41" spans="2:66" x14ac:dyDescent="0.25">
      <c r="B41" s="43"/>
      <c r="C41" s="43"/>
      <c r="D41" s="43"/>
      <c r="E41" s="43"/>
      <c r="F41" s="43"/>
      <c r="N41" s="43"/>
      <c r="O41" s="43"/>
      <c r="P41" s="43"/>
      <c r="Y41" t="s">
        <v>143</v>
      </c>
      <c r="Z41" t="s">
        <v>121</v>
      </c>
      <c r="AA41" t="s">
        <v>121</v>
      </c>
      <c r="AB41" t="s">
        <v>121</v>
      </c>
      <c r="AC41" t="s">
        <v>121</v>
      </c>
      <c r="AD41" t="s">
        <v>121</v>
      </c>
      <c r="AE41" t="s">
        <v>136</v>
      </c>
      <c r="AH41" s="75">
        <v>44896</v>
      </c>
      <c r="AI41">
        <v>2479.84</v>
      </c>
      <c r="AK41" s="75">
        <v>44896</v>
      </c>
      <c r="AL41">
        <v>32557</v>
      </c>
      <c r="AM41">
        <v>252225</v>
      </c>
      <c r="AN41">
        <v>-2366</v>
      </c>
      <c r="AO41">
        <v>-1618</v>
      </c>
      <c r="AP41">
        <v>4082</v>
      </c>
      <c r="AQ41">
        <v>-2221</v>
      </c>
      <c r="AR41">
        <v>-18757</v>
      </c>
      <c r="AS41">
        <v>-279288</v>
      </c>
      <c r="AT41">
        <f t="shared" si="1"/>
        <v>44896</v>
      </c>
      <c r="AU41">
        <f t="shared" si="2"/>
        <v>32557</v>
      </c>
      <c r="AV41">
        <f t="shared" si="3"/>
        <v>252225</v>
      </c>
      <c r="AW41" t="str">
        <f t="shared" si="4"/>
        <v/>
      </c>
      <c r="AX41" t="str">
        <f t="shared" si="5"/>
        <v/>
      </c>
      <c r="AY41" t="str">
        <f t="shared" si="6"/>
        <v/>
      </c>
      <c r="AZ41" t="str">
        <f t="shared" si="7"/>
        <v/>
      </c>
      <c r="BA41" t="str">
        <f t="shared" si="8"/>
        <v/>
      </c>
      <c r="BB41" t="str">
        <f t="shared" si="9"/>
        <v/>
      </c>
      <c r="BF41" s="75">
        <f t="shared" si="10"/>
        <v>44896</v>
      </c>
      <c r="BG41">
        <f>IF($AU$3=TRUE,IF(AL41="","",SUM(AL41:$AL$64)),"")</f>
        <v>4151754</v>
      </c>
      <c r="BH41">
        <f>IF($AV$3=TRUE,IF(AM41="","",SUM($AM41:AM$64)),"")</f>
        <v>1675231</v>
      </c>
      <c r="BI41" t="str">
        <f>IF($AW$3=TRUE,IF(AN41="","",SUM($AN41:AN$64)),"")</f>
        <v/>
      </c>
      <c r="BJ41" t="str">
        <f>IF($AX$3=TRUE,IF(AO41="","",SUM($AO41:AO$64)),"")</f>
        <v/>
      </c>
      <c r="BK41" t="str">
        <f>IF($AY$3=TRUE,IF(AP41="","",SUM($AP41:AP$64)),"")</f>
        <v/>
      </c>
      <c r="BL41" t="str">
        <f>IF($AZ$3=TRUE,IF(AQ41="","",SUM($AQ41:AQ$64)),"")</f>
        <v/>
      </c>
      <c r="BM41" t="str">
        <f>IF($BA$3=TRUE,IF(AR41="","",SUM($AR41:AR$64)),"")</f>
        <v/>
      </c>
      <c r="BN41" t="str">
        <f>IF($BB$3=TRUE,IF(AS41="","",SUM($AS41:AS$64)),"")</f>
        <v/>
      </c>
    </row>
    <row r="42" spans="2:66" x14ac:dyDescent="0.25">
      <c r="B42" s="43"/>
      <c r="C42" s="43"/>
      <c r="D42" s="43"/>
      <c r="E42" s="43"/>
      <c r="F42" s="43"/>
      <c r="N42" s="43"/>
      <c r="O42" s="43"/>
      <c r="P42" s="43"/>
      <c r="Y42" t="s">
        <v>144</v>
      </c>
      <c r="Z42" t="s">
        <v>122</v>
      </c>
      <c r="AA42" t="s">
        <v>122</v>
      </c>
      <c r="AB42" t="s">
        <v>122</v>
      </c>
      <c r="AC42" t="s">
        <v>122</v>
      </c>
      <c r="AD42" t="s">
        <v>122</v>
      </c>
      <c r="AE42" t="s">
        <v>137</v>
      </c>
      <c r="AH42" s="75">
        <v>44895</v>
      </c>
      <c r="AI42">
        <v>2472.5300000000002</v>
      </c>
      <c r="AK42" s="75">
        <v>44895</v>
      </c>
      <c r="AL42">
        <v>1128604</v>
      </c>
      <c r="AM42">
        <v>-586221</v>
      </c>
      <c r="AN42">
        <v>-634</v>
      </c>
      <c r="AO42">
        <v>10187</v>
      </c>
      <c r="AP42">
        <v>29643</v>
      </c>
      <c r="AQ42">
        <v>-1217</v>
      </c>
      <c r="AR42">
        <v>-2248</v>
      </c>
      <c r="AS42">
        <v>-610036</v>
      </c>
      <c r="AT42">
        <f t="shared" si="1"/>
        <v>44895</v>
      </c>
      <c r="AU42">
        <f t="shared" si="2"/>
        <v>1128604</v>
      </c>
      <c r="AV42">
        <f t="shared" si="3"/>
        <v>-586221</v>
      </c>
      <c r="AW42" t="str">
        <f t="shared" si="4"/>
        <v/>
      </c>
      <c r="AX42" t="str">
        <f t="shared" si="5"/>
        <v/>
      </c>
      <c r="AY42" t="str">
        <f t="shared" si="6"/>
        <v/>
      </c>
      <c r="AZ42" t="str">
        <f t="shared" si="7"/>
        <v/>
      </c>
      <c r="BA42" t="str">
        <f t="shared" si="8"/>
        <v/>
      </c>
      <c r="BB42" t="str">
        <f t="shared" si="9"/>
        <v/>
      </c>
      <c r="BF42" s="75">
        <f t="shared" si="10"/>
        <v>44895</v>
      </c>
      <c r="BG42">
        <f>IF($AU$3=TRUE,IF(AL42="","",SUM(AL42:$AL$64)),"")</f>
        <v>4119197</v>
      </c>
      <c r="BH42">
        <f>IF($AV$3=TRUE,IF(AM42="","",SUM($AM42:AM$64)),"")</f>
        <v>1423006</v>
      </c>
      <c r="BI42" t="str">
        <f>IF($AW$3=TRUE,IF(AN42="","",SUM($AN42:AN$64)),"")</f>
        <v/>
      </c>
      <c r="BJ42" t="str">
        <f>IF($AX$3=TRUE,IF(AO42="","",SUM($AO42:AO$64)),"")</f>
        <v/>
      </c>
      <c r="BK42" t="str">
        <f>IF($AY$3=TRUE,IF(AP42="","",SUM($AP42:AP$64)),"")</f>
        <v/>
      </c>
      <c r="BL42" t="str">
        <f>IF($AZ$3=TRUE,IF(AQ42="","",SUM($AQ42:AQ$64)),"")</f>
        <v/>
      </c>
      <c r="BM42" t="str">
        <f>IF($BA$3=TRUE,IF(AR42="","",SUM($AR42:AR$64)),"")</f>
        <v/>
      </c>
      <c r="BN42" t="str">
        <f>IF($BB$3=TRUE,IF(AS42="","",SUM($AS42:AS$64)),"")</f>
        <v/>
      </c>
    </row>
    <row r="43" spans="2:66" x14ac:dyDescent="0.25">
      <c r="B43" s="43"/>
      <c r="C43" s="43"/>
      <c r="D43" s="43"/>
      <c r="E43" s="43"/>
      <c r="F43" s="43"/>
      <c r="N43" s="43"/>
      <c r="O43" s="43"/>
      <c r="P43" s="43"/>
      <c r="Y43" t="s">
        <v>118</v>
      </c>
      <c r="Z43" t="s">
        <v>123</v>
      </c>
      <c r="AA43" t="s">
        <v>123</v>
      </c>
      <c r="AB43" t="s">
        <v>123</v>
      </c>
      <c r="AC43" t="s">
        <v>123</v>
      </c>
      <c r="AD43" t="s">
        <v>123</v>
      </c>
      <c r="AE43" t="s">
        <v>138</v>
      </c>
      <c r="AH43" s="75">
        <v>44894</v>
      </c>
      <c r="AI43">
        <v>2433.39</v>
      </c>
      <c r="AK43" s="75">
        <v>44894</v>
      </c>
      <c r="AL43">
        <v>60107</v>
      </c>
      <c r="AM43">
        <v>186132</v>
      </c>
      <c r="AN43">
        <v>183</v>
      </c>
      <c r="AO43">
        <v>10596</v>
      </c>
      <c r="AP43">
        <v>25530</v>
      </c>
      <c r="AQ43">
        <v>-1771</v>
      </c>
      <c r="AR43">
        <v>61976</v>
      </c>
      <c r="AS43">
        <v>-390917</v>
      </c>
      <c r="AT43">
        <f t="shared" si="1"/>
        <v>44894</v>
      </c>
      <c r="AU43">
        <f t="shared" si="2"/>
        <v>60107</v>
      </c>
      <c r="AV43">
        <f t="shared" si="3"/>
        <v>186132</v>
      </c>
      <c r="AW43" t="str">
        <f t="shared" si="4"/>
        <v/>
      </c>
      <c r="AX43" t="str">
        <f t="shared" si="5"/>
        <v/>
      </c>
      <c r="AY43" t="str">
        <f t="shared" si="6"/>
        <v/>
      </c>
      <c r="AZ43" t="str">
        <f t="shared" si="7"/>
        <v/>
      </c>
      <c r="BA43" t="str">
        <f t="shared" si="8"/>
        <v/>
      </c>
      <c r="BB43" t="str">
        <f t="shared" si="9"/>
        <v/>
      </c>
      <c r="BF43" s="75">
        <f t="shared" si="10"/>
        <v>44894</v>
      </c>
      <c r="BG43">
        <f>IF($AU$3=TRUE,IF(AL43="","",SUM(AL43:$AL$64)),"")</f>
        <v>2990593</v>
      </c>
      <c r="BH43">
        <f>IF($AV$3=TRUE,IF(AM43="","",SUM($AM43:AM$64)),"")</f>
        <v>2009227</v>
      </c>
      <c r="BI43" t="str">
        <f>IF($AW$3=TRUE,IF(AN43="","",SUM($AN43:AN$64)),"")</f>
        <v/>
      </c>
      <c r="BJ43" t="str">
        <f>IF($AX$3=TRUE,IF(AO43="","",SUM($AO43:AO$64)),"")</f>
        <v/>
      </c>
      <c r="BK43" t="str">
        <f>IF($AY$3=TRUE,IF(AP43="","",SUM($AP43:AP$64)),"")</f>
        <v/>
      </c>
      <c r="BL43" t="str">
        <f>IF($AZ$3=TRUE,IF(AQ43="","",SUM($AQ43:AQ$64)),"")</f>
        <v/>
      </c>
      <c r="BM43" t="str">
        <f>IF($BA$3=TRUE,IF(AR43="","",SUM($AR43:AR$64)),"")</f>
        <v/>
      </c>
      <c r="BN43" t="str">
        <f>IF($BB$3=TRUE,IF(AS43="","",SUM($AS43:AS$64)),"")</f>
        <v/>
      </c>
    </row>
    <row r="44" spans="2:66" x14ac:dyDescent="0.25">
      <c r="B44" s="43"/>
      <c r="C44" s="43"/>
      <c r="D44" s="43"/>
      <c r="E44" s="43"/>
      <c r="F44" s="43"/>
      <c r="N44" s="43"/>
      <c r="O44" s="43"/>
      <c r="P44" s="43"/>
      <c r="Y44" t="s">
        <v>119</v>
      </c>
      <c r="Z44" t="s">
        <v>124</v>
      </c>
      <c r="AA44" t="s">
        <v>124</v>
      </c>
      <c r="AB44" t="s">
        <v>124</v>
      </c>
      <c r="AC44" t="s">
        <v>124</v>
      </c>
      <c r="AD44" t="s">
        <v>124</v>
      </c>
      <c r="AE44" t="s">
        <v>139</v>
      </c>
      <c r="AH44" s="75">
        <v>44893</v>
      </c>
      <c r="AI44">
        <v>2408.27</v>
      </c>
      <c r="AK44" s="75">
        <v>44893</v>
      </c>
      <c r="AL44">
        <v>-122562</v>
      </c>
      <c r="AM44">
        <v>-118995</v>
      </c>
      <c r="AN44">
        <v>18</v>
      </c>
      <c r="AO44">
        <v>-14172</v>
      </c>
      <c r="AP44">
        <v>-38458</v>
      </c>
      <c r="AQ44">
        <v>1710</v>
      </c>
      <c r="AR44">
        <v>-67050</v>
      </c>
      <c r="AS44">
        <v>353372</v>
      </c>
      <c r="AT44">
        <f t="shared" si="1"/>
        <v>44893</v>
      </c>
      <c r="AU44">
        <f t="shared" si="2"/>
        <v>-122562</v>
      </c>
      <c r="AV44">
        <f t="shared" si="3"/>
        <v>-118995</v>
      </c>
      <c r="AW44" t="str">
        <f t="shared" si="4"/>
        <v/>
      </c>
      <c r="AX44" t="str">
        <f t="shared" si="5"/>
        <v/>
      </c>
      <c r="AY44" t="str">
        <f t="shared" si="6"/>
        <v/>
      </c>
      <c r="AZ44" t="str">
        <f t="shared" si="7"/>
        <v/>
      </c>
      <c r="BA44" t="str">
        <f t="shared" si="8"/>
        <v/>
      </c>
      <c r="BB44" t="str">
        <f t="shared" si="9"/>
        <v/>
      </c>
      <c r="BF44" s="75">
        <f t="shared" si="10"/>
        <v>44893</v>
      </c>
      <c r="BG44">
        <f>IF($AU$3=TRUE,IF(AL44="","",SUM(AL44:$AL$64)),"")</f>
        <v>2930486</v>
      </c>
      <c r="BH44">
        <f>IF($AV$3=TRUE,IF(AM44="","",SUM($AM44:AM$64)),"")</f>
        <v>1823095</v>
      </c>
      <c r="BI44" t="str">
        <f>IF($AW$3=TRUE,IF(AN44="","",SUM($AN44:AN$64)),"")</f>
        <v/>
      </c>
      <c r="BJ44" t="str">
        <f>IF($AX$3=TRUE,IF(AO44="","",SUM($AO44:AO$64)),"")</f>
        <v/>
      </c>
      <c r="BK44" t="str">
        <f>IF($AY$3=TRUE,IF(AP44="","",SUM($AP44:AP$64)),"")</f>
        <v/>
      </c>
      <c r="BL44" t="str">
        <f>IF($AZ$3=TRUE,IF(AQ44="","",SUM($AQ44:AQ$64)),"")</f>
        <v/>
      </c>
      <c r="BM44" t="str">
        <f>IF($BA$3=TRUE,IF(AR44="","",SUM($AR44:AR$64)),"")</f>
        <v/>
      </c>
      <c r="BN44" t="str">
        <f>IF($BB$3=TRUE,IF(AS44="","",SUM($AS44:AS$64)),"")</f>
        <v/>
      </c>
    </row>
    <row r="45" spans="2:66" x14ac:dyDescent="0.25">
      <c r="F45" s="43"/>
      <c r="G45" s="43"/>
      <c r="H45" s="43"/>
      <c r="I45" s="43"/>
      <c r="J45" s="43"/>
      <c r="K45" s="43"/>
      <c r="L45" s="43"/>
      <c r="M45" s="43"/>
      <c r="S45" s="1"/>
      <c r="Y45" t="s">
        <v>120</v>
      </c>
      <c r="Z45" t="s">
        <v>125</v>
      </c>
      <c r="AA45" t="s">
        <v>125</v>
      </c>
      <c r="AB45" t="s">
        <v>125</v>
      </c>
      <c r="AC45" t="s">
        <v>125</v>
      </c>
      <c r="AD45" t="s">
        <v>125</v>
      </c>
      <c r="AE45" t="s">
        <v>140</v>
      </c>
      <c r="AH45" s="75">
        <v>44890</v>
      </c>
      <c r="AI45">
        <v>2437.86</v>
      </c>
      <c r="AK45" s="75">
        <v>44890</v>
      </c>
      <c r="AL45">
        <v>313052</v>
      </c>
      <c r="AM45">
        <v>-3866</v>
      </c>
      <c r="AN45">
        <v>653</v>
      </c>
      <c r="AO45">
        <v>1555</v>
      </c>
      <c r="AP45">
        <v>7450</v>
      </c>
      <c r="AQ45">
        <v>-1334</v>
      </c>
      <c r="AR45">
        <v>-5032</v>
      </c>
      <c r="AS45">
        <v>-115888</v>
      </c>
      <c r="AT45">
        <f t="shared" si="1"/>
        <v>44890</v>
      </c>
      <c r="AU45">
        <f t="shared" si="2"/>
        <v>313052</v>
      </c>
      <c r="AV45">
        <f t="shared" si="3"/>
        <v>-3866</v>
      </c>
      <c r="AW45" t="str">
        <f t="shared" si="4"/>
        <v/>
      </c>
      <c r="AX45" t="str">
        <f t="shared" si="5"/>
        <v/>
      </c>
      <c r="AY45" t="str">
        <f t="shared" si="6"/>
        <v/>
      </c>
      <c r="AZ45" t="str">
        <f t="shared" si="7"/>
        <v/>
      </c>
      <c r="BA45" t="str">
        <f t="shared" si="8"/>
        <v/>
      </c>
      <c r="BB45" t="str">
        <f t="shared" si="9"/>
        <v/>
      </c>
      <c r="BF45" s="75">
        <f t="shared" si="10"/>
        <v>44890</v>
      </c>
      <c r="BG45">
        <f>IF($AU$3=TRUE,IF(AL45="","",SUM(AL45:$AL$64)),"")</f>
        <v>3053048</v>
      </c>
      <c r="BH45">
        <f>IF($AV$3=TRUE,IF(AM45="","",SUM($AM45:AM$64)),"")</f>
        <v>1942090</v>
      </c>
      <c r="BI45" t="str">
        <f>IF($AW$3=TRUE,IF(AN45="","",SUM($AN45:AN$64)),"")</f>
        <v/>
      </c>
      <c r="BJ45" t="str">
        <f>IF($AX$3=TRUE,IF(AO45="","",SUM($AO45:AO$64)),"")</f>
        <v/>
      </c>
      <c r="BK45" t="str">
        <f>IF($AY$3=TRUE,IF(AP45="","",SUM($AP45:AP$64)),"")</f>
        <v/>
      </c>
      <c r="BL45" t="str">
        <f>IF($AZ$3=TRUE,IF(AQ45="","",SUM($AQ45:AQ$64)),"")</f>
        <v/>
      </c>
      <c r="BM45" t="str">
        <f>IF($BA$3=TRUE,IF(AR45="","",SUM($AR45:AR$64)),"")</f>
        <v/>
      </c>
      <c r="BN45" t="str">
        <f>IF($BB$3=TRUE,IF(AS45="","",SUM($AS45:AS$64)),"")</f>
        <v/>
      </c>
    </row>
    <row r="46" spans="2:66" x14ac:dyDescent="0.25">
      <c r="F46" s="43"/>
      <c r="G46" s="43"/>
      <c r="H46" s="43"/>
      <c r="I46" s="43"/>
      <c r="J46" s="43"/>
      <c r="K46" s="43"/>
      <c r="L46" s="43"/>
      <c r="M46" s="43"/>
      <c r="Y46" t="s">
        <v>126</v>
      </c>
      <c r="Z46" t="s">
        <v>127</v>
      </c>
      <c r="AA46" t="s">
        <v>127</v>
      </c>
      <c r="AB46" t="s">
        <v>127</v>
      </c>
      <c r="AC46" t="s">
        <v>127</v>
      </c>
      <c r="AD46" t="s">
        <v>127</v>
      </c>
      <c r="AE46" t="s">
        <v>141</v>
      </c>
      <c r="AH46" s="75">
        <v>44889</v>
      </c>
      <c r="AI46">
        <v>2441.33</v>
      </c>
      <c r="AK46" s="75">
        <v>44889</v>
      </c>
      <c r="AL46">
        <v>126297</v>
      </c>
      <c r="AM46">
        <v>-11525</v>
      </c>
      <c r="AN46">
        <v>3451</v>
      </c>
      <c r="AO46">
        <v>-4706</v>
      </c>
      <c r="AP46">
        <v>34575</v>
      </c>
      <c r="AQ46">
        <v>-265</v>
      </c>
      <c r="AR46">
        <v>11434</v>
      </c>
      <c r="AS46">
        <v>-217792</v>
      </c>
      <c r="AT46">
        <f t="shared" si="1"/>
        <v>44889</v>
      </c>
      <c r="AU46">
        <f t="shared" si="2"/>
        <v>126297</v>
      </c>
      <c r="AV46">
        <f t="shared" si="3"/>
        <v>-11525</v>
      </c>
      <c r="AW46" t="str">
        <f t="shared" si="4"/>
        <v/>
      </c>
      <c r="AX46" t="str">
        <f t="shared" si="5"/>
        <v/>
      </c>
      <c r="AY46" t="str">
        <f t="shared" si="6"/>
        <v/>
      </c>
      <c r="AZ46" t="str">
        <f t="shared" si="7"/>
        <v/>
      </c>
      <c r="BA46" t="str">
        <f t="shared" si="8"/>
        <v/>
      </c>
      <c r="BB46" t="str">
        <f t="shared" si="9"/>
        <v/>
      </c>
      <c r="BF46" s="75">
        <f t="shared" si="10"/>
        <v>44889</v>
      </c>
      <c r="BG46">
        <f>IF($AU$3=TRUE,IF(AL46="","",SUM(AL46:$AL$64)),"")</f>
        <v>2739996</v>
      </c>
      <c r="BH46">
        <f>IF($AV$3=TRUE,IF(AM46="","",SUM($AM46:AM$64)),"")</f>
        <v>1945956</v>
      </c>
      <c r="BI46" t="str">
        <f>IF($AW$3=TRUE,IF(AN46="","",SUM($AN46:AN$64)),"")</f>
        <v/>
      </c>
      <c r="BJ46" t="str">
        <f>IF($AX$3=TRUE,IF(AO46="","",SUM($AO46:AO$64)),"")</f>
        <v/>
      </c>
      <c r="BK46" t="str">
        <f>IF($AY$3=TRUE,IF(AP46="","",SUM($AP46:AP$64)),"")</f>
        <v/>
      </c>
      <c r="BL46" t="str">
        <f>IF($AZ$3=TRUE,IF(AQ46="","",SUM($AQ46:AQ$64)),"")</f>
        <v/>
      </c>
      <c r="BM46" t="str">
        <f>IF($BA$3=TRUE,IF(AR46="","",SUM($AR46:AR$64)),"")</f>
        <v/>
      </c>
      <c r="BN46" t="str">
        <f>IF($BB$3=TRUE,IF(AS46="","",SUM($AS46:AS$64)),"")</f>
        <v/>
      </c>
    </row>
    <row r="47" spans="2:66" x14ac:dyDescent="0.25">
      <c r="F47" s="43"/>
      <c r="G47" s="43"/>
      <c r="H47" s="43"/>
      <c r="I47" s="43"/>
      <c r="J47" s="43"/>
      <c r="K47" s="43"/>
      <c r="L47" s="43"/>
      <c r="M47" s="43"/>
      <c r="Y47" t="s">
        <v>145</v>
      </c>
      <c r="Z47" t="s">
        <v>128</v>
      </c>
      <c r="AA47" t="s">
        <v>128</v>
      </c>
      <c r="AB47" t="s">
        <v>128</v>
      </c>
      <c r="AC47" t="s">
        <v>128</v>
      </c>
      <c r="AD47" t="s">
        <v>128</v>
      </c>
      <c r="AE47" t="s">
        <v>153</v>
      </c>
      <c r="AH47" s="75">
        <v>44888</v>
      </c>
      <c r="AI47">
        <v>2418.0100000000002</v>
      </c>
      <c r="AK47" s="75">
        <v>44888</v>
      </c>
      <c r="AL47">
        <v>90288</v>
      </c>
      <c r="AM47">
        <v>81827</v>
      </c>
      <c r="AN47">
        <v>-7478</v>
      </c>
      <c r="AO47">
        <v>-4418</v>
      </c>
      <c r="AP47">
        <v>-2978</v>
      </c>
      <c r="AQ47">
        <v>-638</v>
      </c>
      <c r="AR47">
        <v>-71926</v>
      </c>
      <c r="AS47">
        <v>-96726</v>
      </c>
      <c r="AT47">
        <f t="shared" si="1"/>
        <v>44888</v>
      </c>
      <c r="AU47">
        <f t="shared" si="2"/>
        <v>90288</v>
      </c>
      <c r="AV47">
        <f t="shared" si="3"/>
        <v>81827</v>
      </c>
      <c r="AW47" t="str">
        <f t="shared" si="4"/>
        <v/>
      </c>
      <c r="AX47" t="str">
        <f t="shared" si="5"/>
        <v/>
      </c>
      <c r="AY47" t="str">
        <f t="shared" si="6"/>
        <v/>
      </c>
      <c r="AZ47" t="str">
        <f t="shared" si="7"/>
        <v/>
      </c>
      <c r="BA47" t="str">
        <f t="shared" si="8"/>
        <v/>
      </c>
      <c r="BB47" t="str">
        <f t="shared" si="9"/>
        <v/>
      </c>
      <c r="BF47" s="75">
        <f t="shared" si="10"/>
        <v>44888</v>
      </c>
      <c r="BG47">
        <f>IF($AU$3=TRUE,IF(AL47="","",SUM(AL47:$AL$64)),"")</f>
        <v>2613699</v>
      </c>
      <c r="BH47">
        <f>IF($AV$3=TRUE,IF(AM47="","",SUM($AM47:AM$64)),"")</f>
        <v>1957481</v>
      </c>
      <c r="BI47" t="str">
        <f>IF($AW$3=TRUE,IF(AN47="","",SUM($AN47:AN$64)),"")</f>
        <v/>
      </c>
      <c r="BJ47" t="str">
        <f>IF($AX$3=TRUE,IF(AO47="","",SUM($AO47:AO$64)),"")</f>
        <v/>
      </c>
      <c r="BK47" t="str">
        <f>IF($AY$3=TRUE,IF(AP47="","",SUM($AP47:AP$64)),"")</f>
        <v/>
      </c>
      <c r="BL47" t="str">
        <f>IF($AZ$3=TRUE,IF(AQ47="","",SUM($AQ47:AQ$64)),"")</f>
        <v/>
      </c>
      <c r="BM47" t="str">
        <f>IF($BA$3=TRUE,IF(AR47="","",SUM($AR47:AR$64)),"")</f>
        <v/>
      </c>
      <c r="BN47" t="str">
        <f>IF($BB$3=TRUE,IF(AS47="","",SUM($AS47:AS$64)),"")</f>
        <v/>
      </c>
    </row>
    <row r="48" spans="2:66" x14ac:dyDescent="0.25">
      <c r="F48" s="43"/>
      <c r="G48" s="43"/>
      <c r="H48" s="43"/>
      <c r="I48" s="43"/>
      <c r="J48" s="43"/>
      <c r="K48" s="43"/>
      <c r="L48" s="43"/>
      <c r="M48" s="43"/>
      <c r="N48" s="43"/>
      <c r="Y48" t="s">
        <v>146</v>
      </c>
      <c r="Z48" t="s">
        <v>129</v>
      </c>
      <c r="AA48" t="s">
        <v>129</v>
      </c>
      <c r="AB48" t="s">
        <v>129</v>
      </c>
      <c r="AC48" t="s">
        <v>129</v>
      </c>
      <c r="AD48" t="s">
        <v>129</v>
      </c>
      <c r="AE48" t="s">
        <v>142</v>
      </c>
      <c r="AH48" s="75">
        <v>44887</v>
      </c>
      <c r="AI48">
        <v>2405.27</v>
      </c>
      <c r="AK48" s="75">
        <v>44887</v>
      </c>
      <c r="AL48">
        <v>15747</v>
      </c>
      <c r="AM48">
        <v>102793</v>
      </c>
      <c r="AN48">
        <v>1894</v>
      </c>
      <c r="AO48">
        <v>-5757</v>
      </c>
      <c r="AP48">
        <v>17028</v>
      </c>
      <c r="AQ48">
        <v>-10928</v>
      </c>
      <c r="AR48">
        <v>-61190</v>
      </c>
      <c r="AS48">
        <v>-24199</v>
      </c>
      <c r="AT48">
        <f t="shared" si="1"/>
        <v>44887</v>
      </c>
      <c r="AU48">
        <f t="shared" si="2"/>
        <v>15747</v>
      </c>
      <c r="AV48">
        <f t="shared" si="3"/>
        <v>102793</v>
      </c>
      <c r="AW48" t="str">
        <f t="shared" si="4"/>
        <v/>
      </c>
      <c r="AX48" t="str">
        <f t="shared" si="5"/>
        <v/>
      </c>
      <c r="AY48" t="str">
        <f t="shared" si="6"/>
        <v/>
      </c>
      <c r="AZ48" t="str">
        <f t="shared" si="7"/>
        <v/>
      </c>
      <c r="BA48" t="str">
        <f t="shared" si="8"/>
        <v/>
      </c>
      <c r="BB48" t="str">
        <f t="shared" si="9"/>
        <v/>
      </c>
      <c r="BF48" s="75">
        <f t="shared" si="10"/>
        <v>44887</v>
      </c>
      <c r="BG48">
        <f>IF($AU$3=TRUE,IF(AL48="","",SUM(AL48:$AL$64)),"")</f>
        <v>2523411</v>
      </c>
      <c r="BH48">
        <f>IF($AV$3=TRUE,IF(AM48="","",SUM($AM48:AM$64)),"")</f>
        <v>1875654</v>
      </c>
      <c r="BI48" t="str">
        <f>IF($AW$3=TRUE,IF(AN48="","",SUM($AN48:AN$64)),"")</f>
        <v/>
      </c>
      <c r="BJ48" t="str">
        <f>IF($AX$3=TRUE,IF(AO48="","",SUM($AO48:AO$64)),"")</f>
        <v/>
      </c>
      <c r="BK48" t="str">
        <f>IF($AY$3=TRUE,IF(AP48="","",SUM($AP48:AP$64)),"")</f>
        <v/>
      </c>
      <c r="BL48" t="str">
        <f>IF($AZ$3=TRUE,IF(AQ48="","",SUM($AQ48:AQ$64)),"")</f>
        <v/>
      </c>
      <c r="BM48" t="str">
        <f>IF($BA$3=TRUE,IF(AR48="","",SUM($AR48:AR$64)),"")</f>
        <v/>
      </c>
      <c r="BN48" t="str">
        <f>IF($BB$3=TRUE,IF(AS48="","",SUM($AS48:AS$64)),"")</f>
        <v/>
      </c>
    </row>
    <row r="49" spans="2:66" x14ac:dyDescent="0.25">
      <c r="B49" s="7"/>
      <c r="F49" s="43"/>
      <c r="G49" s="43"/>
      <c r="H49" s="43"/>
      <c r="I49" s="43"/>
      <c r="J49" s="43"/>
      <c r="K49" s="43"/>
      <c r="L49" s="43"/>
      <c r="M49" s="43"/>
      <c r="N49" s="43"/>
      <c r="P49" s="43"/>
      <c r="AH49" s="75">
        <v>44886</v>
      </c>
      <c r="AI49">
        <v>2419.5</v>
      </c>
      <c r="AK49" s="75">
        <v>44886</v>
      </c>
      <c r="AL49">
        <v>-164942</v>
      </c>
      <c r="AM49">
        <v>280078</v>
      </c>
      <c r="AN49">
        <v>119</v>
      </c>
      <c r="AO49">
        <v>-4239</v>
      </c>
      <c r="AP49">
        <v>-18371</v>
      </c>
      <c r="AQ49">
        <v>-805</v>
      </c>
      <c r="AR49">
        <v>-54440</v>
      </c>
      <c r="AS49">
        <v>66295</v>
      </c>
      <c r="AT49">
        <f t="shared" si="1"/>
        <v>44886</v>
      </c>
      <c r="AU49">
        <f t="shared" si="2"/>
        <v>-164942</v>
      </c>
      <c r="AV49">
        <f t="shared" si="3"/>
        <v>280078</v>
      </c>
      <c r="AW49" t="str">
        <f t="shared" si="4"/>
        <v/>
      </c>
      <c r="AX49" t="str">
        <f t="shared" si="5"/>
        <v/>
      </c>
      <c r="AY49" t="str">
        <f t="shared" si="6"/>
        <v/>
      </c>
      <c r="AZ49" t="str">
        <f t="shared" si="7"/>
        <v/>
      </c>
      <c r="BA49" t="str">
        <f t="shared" si="8"/>
        <v/>
      </c>
      <c r="BB49" t="str">
        <f t="shared" si="9"/>
        <v/>
      </c>
      <c r="BF49" s="75">
        <f t="shared" si="10"/>
        <v>44886</v>
      </c>
      <c r="BG49">
        <f>IF($AU$3=TRUE,IF(AL49="","",SUM(AL49:$AL$64)),"")</f>
        <v>2507664</v>
      </c>
      <c r="BH49">
        <f>IF($AV$3=TRUE,IF(AM49="","",SUM($AM49:AM$64)),"")</f>
        <v>1772861</v>
      </c>
      <c r="BI49" t="str">
        <f>IF($AW$3=TRUE,IF(AN49="","",SUM($AN49:AN$64)),"")</f>
        <v/>
      </c>
      <c r="BJ49" t="str">
        <f>IF($AX$3=TRUE,IF(AO49="","",SUM($AO49:AO$64)),"")</f>
        <v/>
      </c>
      <c r="BK49" t="str">
        <f>IF($AY$3=TRUE,IF(AP49="","",SUM($AP49:AP$64)),"")</f>
        <v/>
      </c>
      <c r="BL49" t="str">
        <f>IF($AZ$3=TRUE,IF(AQ49="","",SUM($AQ49:AQ$64)),"")</f>
        <v/>
      </c>
      <c r="BM49" t="str">
        <f>IF($BA$3=TRUE,IF(AR49="","",SUM($AR49:AR$64)),"")</f>
        <v/>
      </c>
      <c r="BN49" t="str">
        <f>IF($BB$3=TRUE,IF(AS49="","",SUM($AS49:AS$64)),"")</f>
        <v/>
      </c>
    </row>
    <row r="50" spans="2:66" x14ac:dyDescent="0.25">
      <c r="B50" s="7"/>
      <c r="F50" s="43"/>
      <c r="G50" s="43"/>
      <c r="H50" s="43"/>
      <c r="I50" s="43"/>
      <c r="J50" s="43"/>
      <c r="K50" s="43"/>
      <c r="L50" s="43"/>
      <c r="M50" s="43"/>
      <c r="AH50" s="75">
        <v>44883</v>
      </c>
      <c r="AI50">
        <v>2444.48</v>
      </c>
      <c r="AK50" s="75">
        <v>44883</v>
      </c>
      <c r="AL50">
        <v>199529</v>
      </c>
      <c r="AM50">
        <v>-6658</v>
      </c>
      <c r="AN50">
        <v>1276</v>
      </c>
      <c r="AO50">
        <v>-13950</v>
      </c>
      <c r="AP50">
        <v>46905</v>
      </c>
      <c r="AQ50">
        <v>2381</v>
      </c>
      <c r="AR50">
        <v>-57105</v>
      </c>
      <c r="AS50">
        <v>-150259</v>
      </c>
      <c r="AT50">
        <f t="shared" si="1"/>
        <v>44883</v>
      </c>
      <c r="AU50">
        <f t="shared" si="2"/>
        <v>199529</v>
      </c>
      <c r="AV50">
        <f t="shared" si="3"/>
        <v>-6658</v>
      </c>
      <c r="AW50" t="str">
        <f t="shared" si="4"/>
        <v/>
      </c>
      <c r="AX50" t="str">
        <f t="shared" si="5"/>
        <v/>
      </c>
      <c r="AY50" t="str">
        <f t="shared" si="6"/>
        <v/>
      </c>
      <c r="AZ50" t="str">
        <f t="shared" si="7"/>
        <v/>
      </c>
      <c r="BA50" t="str">
        <f t="shared" si="8"/>
        <v/>
      </c>
      <c r="BB50" t="str">
        <f t="shared" si="9"/>
        <v/>
      </c>
      <c r="BF50" s="75">
        <f t="shared" si="10"/>
        <v>44883</v>
      </c>
      <c r="BG50">
        <f>IF($AU$3=TRUE,IF(AL50="","",SUM(AL50:$AL$64)),"")</f>
        <v>2672606</v>
      </c>
      <c r="BH50">
        <f>IF($AV$3=TRUE,IF(AM50="","",SUM($AM50:AM$64)),"")</f>
        <v>1492783</v>
      </c>
      <c r="BI50" t="str">
        <f>IF($AW$3=TRUE,IF(AN50="","",SUM($AN50:AN$64)),"")</f>
        <v/>
      </c>
      <c r="BJ50" t="str">
        <f>IF($AX$3=TRUE,IF(AO50="","",SUM($AO50:AO$64)),"")</f>
        <v/>
      </c>
      <c r="BK50" t="str">
        <f>IF($AY$3=TRUE,IF(AP50="","",SUM($AP50:AP$64)),"")</f>
        <v/>
      </c>
      <c r="BL50" t="str">
        <f>IF($AZ$3=TRUE,IF(AQ50="","",SUM($AQ50:AQ$64)),"")</f>
        <v/>
      </c>
      <c r="BM50" t="str">
        <f>IF($BA$3=TRUE,IF(AR50="","",SUM($AR50:AR$64)),"")</f>
        <v/>
      </c>
      <c r="BN50" t="str">
        <f>IF($BB$3=TRUE,IF(AS50="","",SUM($AS50:AS$64)),"")</f>
        <v/>
      </c>
    </row>
    <row r="51" spans="2:66" x14ac:dyDescent="0.25">
      <c r="B51" s="7"/>
      <c r="F51" s="43"/>
      <c r="G51" s="43"/>
      <c r="H51" s="43"/>
      <c r="I51" s="43"/>
      <c r="J51" s="43"/>
      <c r="K51" s="43"/>
      <c r="L51" s="43"/>
      <c r="M51" s="43"/>
      <c r="AH51" s="75">
        <v>44882</v>
      </c>
      <c r="AI51">
        <v>2442.9</v>
      </c>
      <c r="AK51" s="75">
        <v>44882</v>
      </c>
      <c r="AL51">
        <v>-382029</v>
      </c>
      <c r="AM51">
        <v>22703</v>
      </c>
      <c r="AN51">
        <v>-72</v>
      </c>
      <c r="AO51">
        <v>-22131</v>
      </c>
      <c r="AP51">
        <v>-13244</v>
      </c>
      <c r="AQ51">
        <v>-1775</v>
      </c>
      <c r="AR51">
        <v>-49874</v>
      </c>
      <c r="AS51">
        <v>487911</v>
      </c>
      <c r="AT51">
        <f t="shared" si="1"/>
        <v>44882</v>
      </c>
      <c r="AU51">
        <f t="shared" si="2"/>
        <v>-382029</v>
      </c>
      <c r="AV51">
        <f t="shared" si="3"/>
        <v>22703</v>
      </c>
      <c r="AW51" t="str">
        <f t="shared" si="4"/>
        <v/>
      </c>
      <c r="AX51" t="str">
        <f t="shared" si="5"/>
        <v/>
      </c>
      <c r="AY51" t="str">
        <f t="shared" si="6"/>
        <v/>
      </c>
      <c r="AZ51" t="str">
        <f t="shared" si="7"/>
        <v/>
      </c>
      <c r="BA51" t="str">
        <f t="shared" si="8"/>
        <v/>
      </c>
      <c r="BB51" t="str">
        <f t="shared" si="9"/>
        <v/>
      </c>
      <c r="BF51" s="75">
        <f t="shared" si="10"/>
        <v>44882</v>
      </c>
      <c r="BG51">
        <f>IF($AU$3=TRUE,IF(AL51="","",SUM(AL51:$AL$64)),"")</f>
        <v>2473077</v>
      </c>
      <c r="BH51">
        <f>IF($AV$3=TRUE,IF(AM51="","",SUM($AM51:AM$64)),"")</f>
        <v>1499441</v>
      </c>
      <c r="BI51" t="str">
        <f>IF($AW$3=TRUE,IF(AN51="","",SUM($AN51:AN$64)),"")</f>
        <v/>
      </c>
      <c r="BJ51" t="str">
        <f>IF($AX$3=TRUE,IF(AO51="","",SUM($AO51:AO$64)),"")</f>
        <v/>
      </c>
      <c r="BK51" t="str">
        <f>IF($AY$3=TRUE,IF(AP51="","",SUM($AP51:AP$64)),"")</f>
        <v/>
      </c>
      <c r="BL51" t="str">
        <f>IF($AZ$3=TRUE,IF(AQ51="","",SUM($AQ51:AQ$64)),"")</f>
        <v/>
      </c>
      <c r="BM51" t="str">
        <f>IF($BA$3=TRUE,IF(AR51="","",SUM($AR51:AR$64)),"")</f>
        <v/>
      </c>
      <c r="BN51" t="str">
        <f>IF($BB$3=TRUE,IF(AS51="","",SUM($AS51:AS$64)),"")</f>
        <v/>
      </c>
    </row>
    <row r="52" spans="2:66" x14ac:dyDescent="0.25">
      <c r="B52" s="7"/>
      <c r="F52" s="43"/>
      <c r="G52" s="43"/>
      <c r="H52" s="43"/>
      <c r="I52" s="43"/>
      <c r="J52" s="43"/>
      <c r="K52" s="43"/>
      <c r="L52" s="43"/>
      <c r="M52" s="43"/>
      <c r="AH52" s="75">
        <v>44881</v>
      </c>
      <c r="AI52">
        <v>2477.4499999999998</v>
      </c>
      <c r="AK52" s="75">
        <v>44881</v>
      </c>
      <c r="AL52">
        <v>88400</v>
      </c>
      <c r="AM52">
        <v>69714</v>
      </c>
      <c r="AN52">
        <v>-1237</v>
      </c>
      <c r="AO52">
        <v>-3848</v>
      </c>
      <c r="AP52">
        <v>-85304</v>
      </c>
      <c r="AQ52">
        <v>-3589</v>
      </c>
      <c r="AR52">
        <v>-122575</v>
      </c>
      <c r="AS52">
        <v>178235</v>
      </c>
      <c r="AT52">
        <f t="shared" si="1"/>
        <v>44881</v>
      </c>
      <c r="AU52">
        <f t="shared" si="2"/>
        <v>88400</v>
      </c>
      <c r="AV52">
        <f t="shared" si="3"/>
        <v>69714</v>
      </c>
      <c r="AW52" t="str">
        <f t="shared" si="4"/>
        <v/>
      </c>
      <c r="AX52" t="str">
        <f t="shared" si="5"/>
        <v/>
      </c>
      <c r="AY52" t="str">
        <f t="shared" si="6"/>
        <v/>
      </c>
      <c r="AZ52" t="str">
        <f t="shared" si="7"/>
        <v/>
      </c>
      <c r="BA52" t="str">
        <f t="shared" si="8"/>
        <v/>
      </c>
      <c r="BB52" t="str">
        <f t="shared" si="9"/>
        <v/>
      </c>
      <c r="BF52" s="75">
        <f t="shared" si="10"/>
        <v>44881</v>
      </c>
      <c r="BG52">
        <f>IF($AU$3=TRUE,IF(AL52="","",SUM(AL52:$AL$64)),"")</f>
        <v>2855106</v>
      </c>
      <c r="BH52">
        <f>IF($AV$3=TRUE,IF(AM52="","",SUM($AM52:AM$64)),"")</f>
        <v>1476738</v>
      </c>
      <c r="BI52" t="str">
        <f>IF($AW$3=TRUE,IF(AN52="","",SUM($AN52:AN$64)),"")</f>
        <v/>
      </c>
      <c r="BJ52" t="str">
        <f>IF($AX$3=TRUE,IF(AO52="","",SUM($AO52:AO$64)),"")</f>
        <v/>
      </c>
      <c r="BK52" t="str">
        <f>IF($AY$3=TRUE,IF(AP52="","",SUM($AP52:AP$64)),"")</f>
        <v/>
      </c>
      <c r="BL52" t="str">
        <f>IF($AZ$3=TRUE,IF(AQ52="","",SUM($AQ52:AQ$64)),"")</f>
        <v/>
      </c>
      <c r="BM52" t="str">
        <f>IF($BA$3=TRUE,IF(AR52="","",SUM($AR52:AR$64)),"")</f>
        <v/>
      </c>
      <c r="BN52" t="str">
        <f>IF($BB$3=TRUE,IF(AS52="","",SUM($AS52:AS$64)),"")</f>
        <v/>
      </c>
    </row>
    <row r="53" spans="2:66" x14ac:dyDescent="0.25">
      <c r="B53" s="7"/>
      <c r="F53" s="43"/>
      <c r="G53" s="43"/>
      <c r="H53" s="43"/>
      <c r="I53" s="43"/>
      <c r="J53" s="43"/>
      <c r="K53" s="43"/>
      <c r="L53" s="43"/>
      <c r="M53" s="43"/>
      <c r="N53" s="43"/>
      <c r="AH53" s="75">
        <v>44880</v>
      </c>
      <c r="AI53">
        <v>2480.33</v>
      </c>
      <c r="AK53" s="75">
        <v>44880</v>
      </c>
      <c r="AL53">
        <v>-235609</v>
      </c>
      <c r="AM53">
        <v>225899</v>
      </c>
      <c r="AN53">
        <v>1028</v>
      </c>
      <c r="AO53">
        <v>-6155</v>
      </c>
      <c r="AP53">
        <v>-105625</v>
      </c>
      <c r="AQ53">
        <v>-12486</v>
      </c>
      <c r="AR53">
        <v>-76850</v>
      </c>
      <c r="AS53">
        <v>325806</v>
      </c>
      <c r="AT53">
        <f t="shared" si="1"/>
        <v>44880</v>
      </c>
      <c r="AU53">
        <f t="shared" si="2"/>
        <v>-235609</v>
      </c>
      <c r="AV53">
        <f t="shared" si="3"/>
        <v>225899</v>
      </c>
      <c r="AW53" t="str">
        <f t="shared" si="4"/>
        <v/>
      </c>
      <c r="AX53" t="str">
        <f t="shared" si="5"/>
        <v/>
      </c>
      <c r="AY53" t="str">
        <f t="shared" si="6"/>
        <v/>
      </c>
      <c r="AZ53" t="str">
        <f t="shared" si="7"/>
        <v/>
      </c>
      <c r="BA53" t="str">
        <f t="shared" si="8"/>
        <v/>
      </c>
      <c r="BB53" t="str">
        <f t="shared" si="9"/>
        <v/>
      </c>
      <c r="BF53" s="75">
        <f t="shared" si="10"/>
        <v>44880</v>
      </c>
      <c r="BG53">
        <f>IF($AU$3=TRUE,IF(AL53="","",SUM(AL53:$AL$64)),"")</f>
        <v>2766706</v>
      </c>
      <c r="BH53">
        <f>IF($AV$3=TRUE,IF(AM53="","",SUM($AM53:AM$64)),"")</f>
        <v>1407024</v>
      </c>
      <c r="BI53" t="str">
        <f>IF($AW$3=TRUE,IF(AN53="","",SUM($AN53:AN$64)),"")</f>
        <v/>
      </c>
      <c r="BJ53" t="str">
        <f>IF($AX$3=TRUE,IF(AO53="","",SUM($AO53:AO$64)),"")</f>
        <v/>
      </c>
      <c r="BK53" t="str">
        <f>IF($AY$3=TRUE,IF(AP53="","",SUM($AP53:AP$64)),"")</f>
        <v/>
      </c>
      <c r="BL53" t="str">
        <f>IF($AZ$3=TRUE,IF(AQ53="","",SUM($AQ53:AQ$64)),"")</f>
        <v/>
      </c>
      <c r="BM53" t="str">
        <f>IF($BA$3=TRUE,IF(AR53="","",SUM($AR53:AR$64)),"")</f>
        <v/>
      </c>
      <c r="BN53" t="str">
        <f>IF($BB$3=TRUE,IF(AS53="","",SUM($AS53:AS$64)),"")</f>
        <v/>
      </c>
    </row>
    <row r="54" spans="2:66" x14ac:dyDescent="0.25">
      <c r="B54" s="7"/>
      <c r="F54" s="43"/>
      <c r="G54" s="43"/>
      <c r="H54" s="43"/>
      <c r="I54" s="43"/>
      <c r="J54" s="43"/>
      <c r="K54" s="43"/>
      <c r="L54" s="43"/>
      <c r="M54" s="43"/>
      <c r="AH54" s="75">
        <v>44879</v>
      </c>
      <c r="AI54">
        <v>2474.65</v>
      </c>
      <c r="AK54" s="75">
        <v>44879</v>
      </c>
      <c r="AL54">
        <v>143156</v>
      </c>
      <c r="AM54">
        <v>16794</v>
      </c>
      <c r="AN54">
        <v>165</v>
      </c>
      <c r="AO54">
        <v>-15979</v>
      </c>
      <c r="AP54">
        <v>-37630</v>
      </c>
      <c r="AQ54">
        <v>3345</v>
      </c>
      <c r="AR54">
        <v>-65716</v>
      </c>
      <c r="AS54">
        <v>19449</v>
      </c>
      <c r="AT54">
        <f t="shared" si="1"/>
        <v>44879</v>
      </c>
      <c r="AU54">
        <f t="shared" si="2"/>
        <v>143156</v>
      </c>
      <c r="AV54">
        <f t="shared" si="3"/>
        <v>16794</v>
      </c>
      <c r="AW54" t="str">
        <f t="shared" si="4"/>
        <v/>
      </c>
      <c r="AX54" t="str">
        <f t="shared" si="5"/>
        <v/>
      </c>
      <c r="AY54" t="str">
        <f t="shared" si="6"/>
        <v/>
      </c>
      <c r="AZ54" t="str">
        <f t="shared" si="7"/>
        <v/>
      </c>
      <c r="BA54" t="str">
        <f t="shared" si="8"/>
        <v/>
      </c>
      <c r="BB54" t="str">
        <f t="shared" si="9"/>
        <v/>
      </c>
      <c r="BF54" s="75">
        <f t="shared" si="10"/>
        <v>44879</v>
      </c>
      <c r="BG54">
        <f>IF($AU$3=TRUE,IF(AL54="","",SUM(AL54:$AL$64)),"")</f>
        <v>3002315</v>
      </c>
      <c r="BH54">
        <f>IF($AV$3=TRUE,IF(AM54="","",SUM($AM54:AM$64)),"")</f>
        <v>1181125</v>
      </c>
      <c r="BI54" t="str">
        <f>IF($AW$3=TRUE,IF(AN54="","",SUM($AN54:AN$64)),"")</f>
        <v/>
      </c>
      <c r="BJ54" t="str">
        <f>IF($AX$3=TRUE,IF(AO54="","",SUM($AO54:AO$64)),"")</f>
        <v/>
      </c>
      <c r="BK54" t="str">
        <f>IF($AY$3=TRUE,IF(AP54="","",SUM($AP54:AP$64)),"")</f>
        <v/>
      </c>
      <c r="BL54" t="str">
        <f>IF($AZ$3=TRUE,IF(AQ54="","",SUM($AQ54:AQ$64)),"")</f>
        <v/>
      </c>
      <c r="BM54" t="str">
        <f>IF($BA$3=TRUE,IF(AR54="","",SUM($AR54:AR$64)),"")</f>
        <v/>
      </c>
      <c r="BN54" t="str">
        <f>IF($BB$3=TRUE,IF(AS54="","",SUM($AS54:AS$64)),"")</f>
        <v/>
      </c>
    </row>
    <row r="55" spans="2:66" x14ac:dyDescent="0.25">
      <c r="B55" s="7"/>
      <c r="F55" s="43"/>
      <c r="G55" s="43"/>
      <c r="H55" s="43"/>
      <c r="I55" s="43"/>
      <c r="J55" s="43"/>
      <c r="K55" s="43"/>
      <c r="L55" s="43"/>
      <c r="M55" s="43"/>
      <c r="AH55" s="75">
        <v>44876</v>
      </c>
      <c r="AI55">
        <v>2483.16</v>
      </c>
      <c r="AK55" s="75">
        <v>44876</v>
      </c>
      <c r="AL55">
        <v>700349</v>
      </c>
      <c r="AM55">
        <v>842837</v>
      </c>
      <c r="AN55">
        <v>-1331</v>
      </c>
      <c r="AO55">
        <v>15183</v>
      </c>
      <c r="AP55">
        <v>51688</v>
      </c>
      <c r="AQ55">
        <v>-1617</v>
      </c>
      <c r="AR55">
        <v>6365</v>
      </c>
      <c r="AS55">
        <v>-1673170</v>
      </c>
      <c r="AT55">
        <f t="shared" si="1"/>
        <v>44876</v>
      </c>
      <c r="AU55">
        <f t="shared" si="2"/>
        <v>700349</v>
      </c>
      <c r="AV55">
        <f t="shared" si="3"/>
        <v>842837</v>
      </c>
      <c r="AW55" t="str">
        <f t="shared" si="4"/>
        <v/>
      </c>
      <c r="AX55" t="str">
        <f t="shared" si="5"/>
        <v/>
      </c>
      <c r="AY55" t="str">
        <f t="shared" si="6"/>
        <v/>
      </c>
      <c r="AZ55" t="str">
        <f t="shared" si="7"/>
        <v/>
      </c>
      <c r="BA55" t="str">
        <f t="shared" si="8"/>
        <v/>
      </c>
      <c r="BB55" t="str">
        <f t="shared" si="9"/>
        <v/>
      </c>
      <c r="BF55" s="75">
        <f t="shared" si="10"/>
        <v>44876</v>
      </c>
      <c r="BG55">
        <f>IF($AU$3=TRUE,IF(AL55="","",SUM(AL55:$AL$64)),"")</f>
        <v>2859159</v>
      </c>
      <c r="BH55">
        <f>IF($AV$3=TRUE,IF(AM55="","",SUM($AM55:AM$64)),"")</f>
        <v>1164331</v>
      </c>
      <c r="BI55" t="str">
        <f>IF($AW$3=TRUE,IF(AN55="","",SUM($AN55:AN$64)),"")</f>
        <v/>
      </c>
      <c r="BJ55" t="str">
        <f>IF($AX$3=TRUE,IF(AO55="","",SUM($AO55:AO$64)),"")</f>
        <v/>
      </c>
      <c r="BK55" t="str">
        <f>IF($AY$3=TRUE,IF(AP55="","",SUM($AP55:AP$64)),"")</f>
        <v/>
      </c>
      <c r="BL55" t="str">
        <f>IF($AZ$3=TRUE,IF(AQ55="","",SUM($AQ55:AQ$64)),"")</f>
        <v/>
      </c>
      <c r="BM55" t="str">
        <f>IF($BA$3=TRUE,IF(AR55="","",SUM($AR55:AR$64)),"")</f>
        <v/>
      </c>
      <c r="BN55" t="str">
        <f>IF($BB$3=TRUE,IF(AS55="","",SUM($AS55:AS$64)),"")</f>
        <v/>
      </c>
    </row>
    <row r="56" spans="2:66" x14ac:dyDescent="0.25">
      <c r="F56" s="43"/>
      <c r="G56" s="43"/>
      <c r="H56" s="43"/>
      <c r="I56" s="43"/>
      <c r="J56" s="43"/>
      <c r="K56" s="43"/>
      <c r="L56" s="43"/>
      <c r="M56" s="43"/>
      <c r="AH56" s="75">
        <v>44875</v>
      </c>
      <c r="AI56">
        <v>2402.23</v>
      </c>
      <c r="AK56" s="75">
        <v>44875</v>
      </c>
      <c r="AL56">
        <v>-108199</v>
      </c>
      <c r="AM56">
        <v>4442</v>
      </c>
      <c r="AN56">
        <v>-1049</v>
      </c>
      <c r="AO56">
        <v>-12066</v>
      </c>
      <c r="AP56">
        <v>-28008</v>
      </c>
      <c r="AQ56">
        <v>3125</v>
      </c>
      <c r="AR56">
        <v>-55406</v>
      </c>
      <c r="AS56">
        <v>239380</v>
      </c>
      <c r="AT56">
        <f t="shared" si="1"/>
        <v>44875</v>
      </c>
      <c r="AU56">
        <f t="shared" si="2"/>
        <v>-108199</v>
      </c>
      <c r="AV56">
        <f t="shared" si="3"/>
        <v>4442</v>
      </c>
      <c r="AW56" t="str">
        <f t="shared" si="4"/>
        <v/>
      </c>
      <c r="AX56" t="str">
        <f t="shared" si="5"/>
        <v/>
      </c>
      <c r="AY56" t="str">
        <f t="shared" si="6"/>
        <v/>
      </c>
      <c r="AZ56" t="str">
        <f t="shared" si="7"/>
        <v/>
      </c>
      <c r="BA56" t="str">
        <f t="shared" si="8"/>
        <v/>
      </c>
      <c r="BB56" t="str">
        <f t="shared" si="9"/>
        <v/>
      </c>
      <c r="BF56" s="75">
        <f t="shared" si="10"/>
        <v>44875</v>
      </c>
      <c r="BG56">
        <f>IF($AU$3=TRUE,IF(AL56="","",SUM(AL56:$AL$64)),"")</f>
        <v>2158810</v>
      </c>
      <c r="BH56">
        <f>IF($AV$3=TRUE,IF(AM56="","",SUM($AM56:AM$64)),"")</f>
        <v>321494</v>
      </c>
      <c r="BI56" t="str">
        <f>IF($AW$3=TRUE,IF(AN56="","",SUM($AN56:AN$64)),"")</f>
        <v/>
      </c>
      <c r="BJ56" t="str">
        <f>IF($AX$3=TRUE,IF(AO56="","",SUM($AO56:AO$64)),"")</f>
        <v/>
      </c>
      <c r="BK56" t="str">
        <f>IF($AY$3=TRUE,IF(AP56="","",SUM($AP56:AP$64)),"")</f>
        <v/>
      </c>
      <c r="BL56" t="str">
        <f>IF($AZ$3=TRUE,IF(AQ56="","",SUM($AQ56:AQ$64)),"")</f>
        <v/>
      </c>
      <c r="BM56" t="str">
        <f>IF($BA$3=TRUE,IF(AR56="","",SUM($AR56:AR$64)),"")</f>
        <v/>
      </c>
      <c r="BN56" t="str">
        <f>IF($BB$3=TRUE,IF(AS56="","",SUM($AS56:AS$64)),"")</f>
        <v/>
      </c>
    </row>
    <row r="57" spans="2:66" x14ac:dyDescent="0.25">
      <c r="F57" s="43"/>
      <c r="G57" s="43"/>
      <c r="H57" s="43"/>
      <c r="I57" s="43"/>
      <c r="J57" s="43"/>
      <c r="K57" s="43"/>
      <c r="L57" s="43"/>
      <c r="M57" s="43"/>
      <c r="AH57" s="75">
        <v>44874</v>
      </c>
      <c r="AI57">
        <v>2424.41</v>
      </c>
      <c r="AK57" s="75">
        <v>44874</v>
      </c>
      <c r="AL57">
        <v>414668</v>
      </c>
      <c r="AM57">
        <v>398511</v>
      </c>
      <c r="AN57">
        <v>-8794</v>
      </c>
      <c r="AO57">
        <v>-8524</v>
      </c>
      <c r="AP57">
        <v>-101</v>
      </c>
      <c r="AQ57">
        <v>9339</v>
      </c>
      <c r="AR57">
        <v>-10604</v>
      </c>
      <c r="AS57">
        <v>-776952</v>
      </c>
      <c r="AT57">
        <f t="shared" si="1"/>
        <v>44874</v>
      </c>
      <c r="AU57">
        <f t="shared" si="2"/>
        <v>414668</v>
      </c>
      <c r="AV57">
        <f t="shared" si="3"/>
        <v>398511</v>
      </c>
      <c r="AW57" t="str">
        <f t="shared" si="4"/>
        <v/>
      </c>
      <c r="AX57" t="str">
        <f t="shared" si="5"/>
        <v/>
      </c>
      <c r="AY57" t="str">
        <f t="shared" si="6"/>
        <v/>
      </c>
      <c r="AZ57" t="str">
        <f t="shared" si="7"/>
        <v/>
      </c>
      <c r="BA57" t="str">
        <f t="shared" si="8"/>
        <v/>
      </c>
      <c r="BB57" t="str">
        <f t="shared" si="9"/>
        <v/>
      </c>
      <c r="BF57" s="75">
        <f t="shared" si="10"/>
        <v>44874</v>
      </c>
      <c r="BG57">
        <f>IF($AU$3=TRUE,IF(AL57="","",SUM(AL57:$AL$64)),"")</f>
        <v>2267009</v>
      </c>
      <c r="BH57">
        <f>IF($AV$3=TRUE,IF(AM57="","",SUM($AM57:AM$64)),"")</f>
        <v>317052</v>
      </c>
      <c r="BI57" t="str">
        <f>IF($AW$3=TRUE,IF(AN57="","",SUM($AN57:AN$64)),"")</f>
        <v/>
      </c>
      <c r="BJ57" t="str">
        <f>IF($AX$3=TRUE,IF(AO57="","",SUM($AO57:AO$64)),"")</f>
        <v/>
      </c>
      <c r="BK57" t="str">
        <f>IF($AY$3=TRUE,IF(AP57="","",SUM($AP57:AP$64)),"")</f>
        <v/>
      </c>
      <c r="BL57" t="str">
        <f>IF($AZ$3=TRUE,IF(AQ57="","",SUM($AQ57:AQ$64)),"")</f>
        <v/>
      </c>
      <c r="BM57" t="str">
        <f>IF($BA$3=TRUE,IF(AR57="","",SUM($AR57:AR$64)),"")</f>
        <v/>
      </c>
      <c r="BN57" t="str">
        <f>IF($BB$3=TRUE,IF(AS57="","",SUM($AS57:AS$64)),"")</f>
        <v/>
      </c>
    </row>
    <row r="58" spans="2:66" x14ac:dyDescent="0.25">
      <c r="F58" s="43"/>
      <c r="G58" s="43"/>
      <c r="H58" s="43"/>
      <c r="I58" s="43"/>
      <c r="J58" s="43"/>
      <c r="K58" s="43"/>
      <c r="L58" s="43"/>
      <c r="M58" s="43"/>
      <c r="AH58" s="75">
        <v>44873</v>
      </c>
      <c r="AI58">
        <v>2399.04</v>
      </c>
      <c r="AK58" s="75">
        <v>44873</v>
      </c>
      <c r="AL58">
        <v>278067</v>
      </c>
      <c r="AM58">
        <v>490165</v>
      </c>
      <c r="AN58">
        <v>-2078</v>
      </c>
      <c r="AO58">
        <v>5743</v>
      </c>
      <c r="AP58">
        <v>-4490</v>
      </c>
      <c r="AQ58">
        <v>2350</v>
      </c>
      <c r="AR58">
        <v>-10201</v>
      </c>
      <c r="AS58">
        <v>-723862</v>
      </c>
      <c r="AT58">
        <f t="shared" si="1"/>
        <v>44873</v>
      </c>
      <c r="AU58">
        <f t="shared" si="2"/>
        <v>278067</v>
      </c>
      <c r="AV58">
        <f t="shared" si="3"/>
        <v>490165</v>
      </c>
      <c r="AW58" t="str">
        <f t="shared" si="4"/>
        <v/>
      </c>
      <c r="AX58" t="str">
        <f t="shared" si="5"/>
        <v/>
      </c>
      <c r="AY58" t="str">
        <f t="shared" si="6"/>
        <v/>
      </c>
      <c r="AZ58" t="str">
        <f t="shared" si="7"/>
        <v/>
      </c>
      <c r="BA58" t="str">
        <f t="shared" si="8"/>
        <v/>
      </c>
      <c r="BB58" t="str">
        <f t="shared" si="9"/>
        <v/>
      </c>
      <c r="BF58" s="75">
        <f t="shared" si="10"/>
        <v>44873</v>
      </c>
      <c r="BG58">
        <f>IF($AU$3=TRUE,IF(AL58="","",SUM(AL58:$AL$64)),"")</f>
        <v>1852341</v>
      </c>
      <c r="BH58">
        <f>IF($AV$3=TRUE,IF(AM58="","",SUM($AM58:AM$64)),"")</f>
        <v>-81459</v>
      </c>
      <c r="BI58" t="str">
        <f>IF($AW$3=TRUE,IF(AN58="","",SUM($AN58:AN$64)),"")</f>
        <v/>
      </c>
      <c r="BJ58" t="str">
        <f>IF($AX$3=TRUE,IF(AO58="","",SUM($AO58:AO$64)),"")</f>
        <v/>
      </c>
      <c r="BK58" t="str">
        <f>IF($AY$3=TRUE,IF(AP58="","",SUM($AP58:AP$64)),"")</f>
        <v/>
      </c>
      <c r="BL58" t="str">
        <f>IF($AZ$3=TRUE,IF(AQ58="","",SUM($AQ58:AQ$64)),"")</f>
        <v/>
      </c>
      <c r="BM58" t="str">
        <f>IF($BA$3=TRUE,IF(AR58="","",SUM($AR58:AR$64)),"")</f>
        <v/>
      </c>
      <c r="BN58" t="str">
        <f>IF($BB$3=TRUE,IF(AS58="","",SUM($AS58:AS$64)),"")</f>
        <v/>
      </c>
    </row>
    <row r="59" spans="2:66" x14ac:dyDescent="0.25">
      <c r="F59" s="43"/>
      <c r="G59" s="43"/>
      <c r="H59" s="43"/>
      <c r="I59" s="43"/>
      <c r="J59" s="43"/>
      <c r="K59" s="43"/>
      <c r="L59" s="43"/>
      <c r="M59" s="43"/>
      <c r="AH59" s="75">
        <v>44872</v>
      </c>
      <c r="AI59">
        <v>2371.79</v>
      </c>
      <c r="AK59" s="75">
        <v>44872</v>
      </c>
      <c r="AL59">
        <v>111968</v>
      </c>
      <c r="AM59">
        <v>253985</v>
      </c>
      <c r="AN59">
        <v>-1639</v>
      </c>
      <c r="AO59">
        <v>-5563</v>
      </c>
      <c r="AP59">
        <v>50840</v>
      </c>
      <c r="AQ59">
        <v>6028</v>
      </c>
      <c r="AR59">
        <v>-56973</v>
      </c>
      <c r="AS59">
        <v>-404992</v>
      </c>
      <c r="AT59">
        <f t="shared" si="1"/>
        <v>44872</v>
      </c>
      <c r="AU59">
        <f t="shared" si="2"/>
        <v>111968</v>
      </c>
      <c r="AV59">
        <f t="shared" si="3"/>
        <v>253985</v>
      </c>
      <c r="AW59" t="str">
        <f t="shared" si="4"/>
        <v/>
      </c>
      <c r="AX59" t="str">
        <f t="shared" si="5"/>
        <v/>
      </c>
      <c r="AY59" t="str">
        <f t="shared" si="6"/>
        <v/>
      </c>
      <c r="AZ59" t="str">
        <f t="shared" si="7"/>
        <v/>
      </c>
      <c r="BA59" t="str">
        <f t="shared" si="8"/>
        <v/>
      </c>
      <c r="BB59" t="str">
        <f t="shared" si="9"/>
        <v/>
      </c>
      <c r="BF59" s="75">
        <f t="shared" si="10"/>
        <v>44872</v>
      </c>
      <c r="BG59">
        <f>IF($AU$3=TRUE,IF(AL59="","",SUM(AL59:$AL$64)),"")</f>
        <v>1574274</v>
      </c>
      <c r="BH59">
        <f>IF($AV$3=TRUE,IF(AM59="","",SUM($AM59:AM$64)),"")</f>
        <v>-571624</v>
      </c>
      <c r="BI59" t="str">
        <f>IF($AW$3=TRUE,IF(AN59="","",SUM($AN59:AN$64)),"")</f>
        <v/>
      </c>
      <c r="BJ59" t="str">
        <f>IF($AX$3=TRUE,IF(AO59="","",SUM($AO59:AO$64)),"")</f>
        <v/>
      </c>
      <c r="BK59" t="str">
        <f>IF($AY$3=TRUE,IF(AP59="","",SUM($AP59:AP$64)),"")</f>
        <v/>
      </c>
      <c r="BL59" t="str">
        <f>IF($AZ$3=TRUE,IF(AQ59="","",SUM($AQ59:AQ$64)),"")</f>
        <v/>
      </c>
      <c r="BM59" t="str">
        <f>IF($BA$3=TRUE,IF(AR59="","",SUM($AR59:AR$64)),"")</f>
        <v/>
      </c>
      <c r="BN59" t="str">
        <f>IF($BB$3=TRUE,IF(AS59="","",SUM($AS59:AS$64)),"")</f>
        <v/>
      </c>
    </row>
    <row r="60" spans="2:66" x14ac:dyDescent="0.25">
      <c r="AH60" s="75">
        <v>44869</v>
      </c>
      <c r="AI60">
        <v>2348.4299999999998</v>
      </c>
      <c r="AK60" s="75">
        <v>44869</v>
      </c>
      <c r="AL60">
        <v>42045</v>
      </c>
      <c r="AM60">
        <v>89163</v>
      </c>
      <c r="AN60">
        <v>1842</v>
      </c>
      <c r="AO60">
        <v>4885</v>
      </c>
      <c r="AP60">
        <v>29910</v>
      </c>
      <c r="AQ60">
        <v>4505</v>
      </c>
      <c r="AR60">
        <v>-35224</v>
      </c>
      <c r="AS60">
        <v>-145786</v>
      </c>
      <c r="AT60">
        <f t="shared" si="1"/>
        <v>44869</v>
      </c>
      <c r="AU60">
        <f t="shared" si="2"/>
        <v>42045</v>
      </c>
      <c r="AV60">
        <f t="shared" si="3"/>
        <v>89163</v>
      </c>
      <c r="AW60" t="str">
        <f t="shared" si="4"/>
        <v/>
      </c>
      <c r="AX60" t="str">
        <f t="shared" si="5"/>
        <v/>
      </c>
      <c r="AY60" t="str">
        <f t="shared" si="6"/>
        <v/>
      </c>
      <c r="AZ60" t="str">
        <f t="shared" si="7"/>
        <v/>
      </c>
      <c r="BA60" t="str">
        <f t="shared" si="8"/>
        <v/>
      </c>
      <c r="BB60" t="str">
        <f t="shared" si="9"/>
        <v/>
      </c>
      <c r="BF60" s="75">
        <f t="shared" si="10"/>
        <v>44869</v>
      </c>
      <c r="BG60">
        <f>IF($AU$3=TRUE,IF(AL60="","",SUM(AL60:$AL$64)),"")</f>
        <v>1462306</v>
      </c>
      <c r="BH60">
        <f>IF($AV$3=TRUE,IF(AM60="","",SUM($AM60:AM$64)),"")</f>
        <v>-825609</v>
      </c>
      <c r="BI60" t="str">
        <f>IF($AW$3=TRUE,IF(AN60="","",SUM($AN60:AN$64)),"")</f>
        <v/>
      </c>
      <c r="BJ60" t="str">
        <f>IF($AX$3=TRUE,IF(AO60="","",SUM($AO60:AO$64)),"")</f>
        <v/>
      </c>
      <c r="BK60" t="str">
        <f>IF($AY$3=TRUE,IF(AP60="","",SUM($AP60:AP$64)),"")</f>
        <v/>
      </c>
      <c r="BL60" t="str">
        <f>IF($AZ$3=TRUE,IF(AQ60="","",SUM($AQ60:AQ$64)),"")</f>
        <v/>
      </c>
      <c r="BM60" t="str">
        <f>IF($BA$3=TRUE,IF(AR60="","",SUM($AR60:AR$64)),"")</f>
        <v/>
      </c>
      <c r="BN60" t="str">
        <f>IF($BB$3=TRUE,IF(AS60="","",SUM($AS60:AS$64)),"")</f>
        <v/>
      </c>
    </row>
    <row r="61" spans="2:66" x14ac:dyDescent="0.25">
      <c r="AH61" s="75">
        <v>44868</v>
      </c>
      <c r="AI61">
        <v>2329.17</v>
      </c>
      <c r="AK61" s="75">
        <v>44868</v>
      </c>
      <c r="AL61">
        <v>173497</v>
      </c>
      <c r="AM61">
        <v>-685574</v>
      </c>
      <c r="AN61">
        <v>-314</v>
      </c>
      <c r="AO61">
        <v>19452</v>
      </c>
      <c r="AP61">
        <v>31813</v>
      </c>
      <c r="AQ61">
        <v>4636</v>
      </c>
      <c r="AR61">
        <v>81730</v>
      </c>
      <c r="AS61">
        <v>387539</v>
      </c>
      <c r="AT61">
        <f t="shared" si="1"/>
        <v>44868</v>
      </c>
      <c r="AU61">
        <f t="shared" si="2"/>
        <v>173497</v>
      </c>
      <c r="AV61">
        <f t="shared" si="3"/>
        <v>-685574</v>
      </c>
      <c r="AW61" t="str">
        <f t="shared" si="4"/>
        <v/>
      </c>
      <c r="AX61" t="str">
        <f t="shared" si="5"/>
        <v/>
      </c>
      <c r="AY61" t="str">
        <f t="shared" si="6"/>
        <v/>
      </c>
      <c r="AZ61" t="str">
        <f t="shared" si="7"/>
        <v/>
      </c>
      <c r="BA61" t="str">
        <f t="shared" si="8"/>
        <v/>
      </c>
      <c r="BB61" t="str">
        <f t="shared" si="9"/>
        <v/>
      </c>
      <c r="BF61" s="75">
        <f t="shared" si="10"/>
        <v>44868</v>
      </c>
      <c r="BG61">
        <f>IF($AU$3=TRUE,IF(AL61="","",SUM(AL61:$AL$64)),"")</f>
        <v>1420261</v>
      </c>
      <c r="BH61">
        <f>IF($AV$3=TRUE,IF(AM61="","",SUM($AM61:AM$64)),"")</f>
        <v>-914772</v>
      </c>
      <c r="BI61" t="str">
        <f>IF($AW$3=TRUE,IF(AN61="","",SUM($AN61:AN$64)),"")</f>
        <v/>
      </c>
      <c r="BJ61" t="str">
        <f>IF($AX$3=TRUE,IF(AO61="","",SUM($AO61:AO$64)),"")</f>
        <v/>
      </c>
      <c r="BK61" t="str">
        <f>IF($AY$3=TRUE,IF(AP61="","",SUM($AP61:AP$64)),"")</f>
        <v/>
      </c>
      <c r="BL61" t="str">
        <f>IF($AZ$3=TRUE,IF(AQ61="","",SUM($AQ61:AQ$64)),"")</f>
        <v/>
      </c>
      <c r="BM61" t="str">
        <f>IF($BA$3=TRUE,IF(AR61="","",SUM($AR61:AR$64)),"")</f>
        <v/>
      </c>
      <c r="BN61" t="str">
        <f>IF($BB$3=TRUE,IF(AS61="","",SUM($AS61:AS$64)),"")</f>
        <v/>
      </c>
    </row>
    <row r="62" spans="2:66" x14ac:dyDescent="0.25">
      <c r="AH62" s="75">
        <v>44867</v>
      </c>
      <c r="AI62">
        <v>2336.87</v>
      </c>
      <c r="AK62" s="75">
        <v>44867</v>
      </c>
      <c r="AL62">
        <v>524088</v>
      </c>
      <c r="AM62">
        <v>-354068</v>
      </c>
      <c r="AN62">
        <v>-933</v>
      </c>
      <c r="AO62">
        <v>4216</v>
      </c>
      <c r="AP62">
        <v>24272</v>
      </c>
      <c r="AQ62">
        <v>5250</v>
      </c>
      <c r="AR62">
        <v>-23487</v>
      </c>
      <c r="AS62">
        <v>-181762</v>
      </c>
      <c r="AT62">
        <f t="shared" si="1"/>
        <v>44867</v>
      </c>
      <c r="AU62">
        <f t="shared" si="2"/>
        <v>524088</v>
      </c>
      <c r="AV62">
        <f t="shared" si="3"/>
        <v>-354068</v>
      </c>
      <c r="AW62" t="str">
        <f t="shared" si="4"/>
        <v/>
      </c>
      <c r="AX62" t="str">
        <f t="shared" si="5"/>
        <v/>
      </c>
      <c r="AY62" t="str">
        <f t="shared" si="6"/>
        <v/>
      </c>
      <c r="AZ62" t="str">
        <f t="shared" si="7"/>
        <v/>
      </c>
      <c r="BA62" t="str">
        <f t="shared" si="8"/>
        <v/>
      </c>
      <c r="BB62" t="str">
        <f t="shared" si="9"/>
        <v/>
      </c>
      <c r="BF62" s="75">
        <f t="shared" si="10"/>
        <v>44867</v>
      </c>
      <c r="BG62">
        <f>IF($AU$3=TRUE,IF(AL62="","",SUM(AL62:$AL$64)),"")</f>
        <v>1246764</v>
      </c>
      <c r="BH62">
        <f>IF($AV$3=TRUE,IF(AM62="","",SUM($AM62:AM$64)),"")</f>
        <v>-229198</v>
      </c>
      <c r="BI62" t="str">
        <f>IF($AW$3=TRUE,IF(AN62="","",SUM($AN62:AN$64)),"")</f>
        <v/>
      </c>
      <c r="BJ62" t="str">
        <f>IF($AX$3=TRUE,IF(AO62="","",SUM($AO62:AO$64)),"")</f>
        <v/>
      </c>
      <c r="BK62" t="str">
        <f>IF($AY$3=TRUE,IF(AP62="","",SUM($AP62:AP$64)),"")</f>
        <v/>
      </c>
      <c r="BL62" t="str">
        <f>IF($AZ$3=TRUE,IF(AQ62="","",SUM($AQ62:AQ$64)),"")</f>
        <v/>
      </c>
      <c r="BM62" t="str">
        <f>IF($BA$3=TRUE,IF(AR62="","",SUM($AR62:AR$64)),"")</f>
        <v/>
      </c>
      <c r="BN62" t="str">
        <f>IF($BB$3=TRUE,IF(AS62="","",SUM($AS62:AS$64)),"")</f>
        <v/>
      </c>
    </row>
    <row r="63" spans="2:66" x14ac:dyDescent="0.25">
      <c r="AH63" s="75">
        <v>44866</v>
      </c>
      <c r="AI63">
        <v>2335.2199999999998</v>
      </c>
      <c r="AK63" s="75">
        <v>44866</v>
      </c>
      <c r="AL63">
        <v>492385</v>
      </c>
      <c r="AM63">
        <v>135394</v>
      </c>
      <c r="AN63">
        <v>1462</v>
      </c>
      <c r="AO63">
        <v>-2036</v>
      </c>
      <c r="AP63">
        <v>32168</v>
      </c>
      <c r="AQ63">
        <v>5299</v>
      </c>
      <c r="AR63">
        <v>5348</v>
      </c>
      <c r="AS63">
        <v>-723357</v>
      </c>
      <c r="AT63">
        <f t="shared" si="1"/>
        <v>44866</v>
      </c>
      <c r="AU63">
        <f t="shared" si="2"/>
        <v>492385</v>
      </c>
      <c r="AV63">
        <f t="shared" si="3"/>
        <v>135394</v>
      </c>
      <c r="AW63" t="str">
        <f t="shared" si="4"/>
        <v/>
      </c>
      <c r="AX63" t="str">
        <f t="shared" si="5"/>
        <v/>
      </c>
      <c r="AY63" t="str">
        <f t="shared" si="6"/>
        <v/>
      </c>
      <c r="AZ63" t="str">
        <f t="shared" si="7"/>
        <v/>
      </c>
      <c r="BA63" t="str">
        <f t="shared" si="8"/>
        <v/>
      </c>
      <c r="BB63" t="str">
        <f t="shared" si="9"/>
        <v/>
      </c>
      <c r="BF63" s="75">
        <f t="shared" si="10"/>
        <v>44866</v>
      </c>
      <c r="BG63">
        <f>IF($AU$3=TRUE,IF(AL63="","",SUM(AL63:$AL$64)),"")</f>
        <v>722676</v>
      </c>
      <c r="BH63">
        <f>IF($AV$3=TRUE,IF(AM63="","",SUM($AM63:AM$64)),"")</f>
        <v>124870</v>
      </c>
      <c r="BI63" t="str">
        <f>IF($AW$3=TRUE,IF(AN63="","",SUM($AN63:AN$64)),"")</f>
        <v/>
      </c>
      <c r="BJ63" t="str">
        <f>IF($AX$3=TRUE,IF(AO63="","",SUM($AO63:AO$64)),"")</f>
        <v/>
      </c>
      <c r="BK63" t="str">
        <f>IF($AY$3=TRUE,IF(AP63="","",SUM($AP63:AP$64)),"")</f>
        <v/>
      </c>
      <c r="BL63" t="str">
        <f>IF($AZ$3=TRUE,IF(AQ63="","",SUM($AQ63:AQ$64)),"")</f>
        <v/>
      </c>
      <c r="BM63" t="str">
        <f>IF($BA$3=TRUE,IF(AR63="","",SUM($AR63:AR$64)),"")</f>
        <v/>
      </c>
      <c r="BN63" t="str">
        <f>IF($BB$3=TRUE,IF(AS63="","",SUM($AS63:AS$64)),"")</f>
        <v/>
      </c>
    </row>
    <row r="64" spans="2:66" x14ac:dyDescent="0.25">
      <c r="AH64" s="75">
        <v>44865</v>
      </c>
      <c r="AI64">
        <v>2293.61</v>
      </c>
      <c r="AK64" s="75">
        <v>44865</v>
      </c>
      <c r="AL64">
        <v>230291</v>
      </c>
      <c r="AM64">
        <v>-10524</v>
      </c>
      <c r="AN64">
        <v>-2812</v>
      </c>
      <c r="AO64">
        <v>23029</v>
      </c>
      <c r="AP64">
        <v>5759</v>
      </c>
      <c r="AQ64">
        <v>4482</v>
      </c>
      <c r="AR64">
        <v>-44487</v>
      </c>
      <c r="AS64">
        <v>-205782</v>
      </c>
      <c r="AT64">
        <f t="shared" si="1"/>
        <v>44865</v>
      </c>
      <c r="AU64">
        <f t="shared" si="2"/>
        <v>230291</v>
      </c>
      <c r="AV64">
        <f t="shared" si="3"/>
        <v>-10524</v>
      </c>
      <c r="AW64" t="str">
        <f t="shared" si="4"/>
        <v/>
      </c>
      <c r="AX64" t="str">
        <f t="shared" si="5"/>
        <v/>
      </c>
      <c r="AY64" t="str">
        <f t="shared" si="6"/>
        <v/>
      </c>
      <c r="AZ64" t="str">
        <f t="shared" si="7"/>
        <v/>
      </c>
      <c r="BA64" t="str">
        <f t="shared" si="8"/>
        <v/>
      </c>
      <c r="BB64" t="str">
        <f t="shared" si="9"/>
        <v/>
      </c>
      <c r="BF64" s="75">
        <f t="shared" si="10"/>
        <v>44865</v>
      </c>
      <c r="BG64">
        <f>IF($AU$3=TRUE,IF(AL64="","",SUM(AL64:$AL$64)),"")</f>
        <v>230291</v>
      </c>
      <c r="BH64">
        <f>IF($AV$3=TRUE,IF(AM64="","",SUM($AM$64:AM64)),"")</f>
        <v>-10524</v>
      </c>
      <c r="BI64" t="str">
        <f>IF($AW$3=TRUE,IF(AN64="","",SUM($AN$64:AN64)),"")</f>
        <v/>
      </c>
      <c r="BJ64" t="str">
        <f>IF($AX$3=TRUE,IF(AO64="","",SUM($AO$64:AO64)),"")</f>
        <v/>
      </c>
      <c r="BK64" t="str">
        <f>IF($AY$3=TRUE,IF(AP64="","",SUM($AP$64:AP64)),"")</f>
        <v/>
      </c>
      <c r="BL64" t="str">
        <f>IF($AZ$3=TRUE,IF(AQ64="","",SUM($AQ$64:AQ64)),"")</f>
        <v/>
      </c>
      <c r="BM64" t="str">
        <f>IF($BA$3=TRUE,IF(AR64="","",SUM($AR$64:AR64)),"")</f>
        <v/>
      </c>
      <c r="BN64" t="str">
        <f>IF($BB$3=TRUE,IF(AS64="","",SUM($AS$64:AS64)),"")</f>
        <v/>
      </c>
    </row>
    <row r="65" spans="34:66" x14ac:dyDescent="0.25">
      <c r="AH65" s="75">
        <v>44862</v>
      </c>
      <c r="AI65">
        <v>2268.4</v>
      </c>
      <c r="AK65" s="75">
        <v>44862</v>
      </c>
      <c r="AL65">
        <v>-192115</v>
      </c>
      <c r="AM65">
        <v>426048</v>
      </c>
      <c r="AN65">
        <v>2530</v>
      </c>
      <c r="AO65">
        <v>14585</v>
      </c>
      <c r="AP65">
        <v>-52831</v>
      </c>
      <c r="AQ65">
        <v>-2835</v>
      </c>
      <c r="AR65">
        <v>-58486</v>
      </c>
      <c r="AS65">
        <v>-67948</v>
      </c>
      <c r="BF65" s="75">
        <f t="shared" si="10"/>
        <v>44862</v>
      </c>
      <c r="BG65">
        <f>IF($AU$3=TRUE,IF(AL65="","",SUM(AL$64:$AL65)),"")</f>
        <v>38176</v>
      </c>
      <c r="BH65">
        <f>IF($AV$3=TRUE,IF(AM65="","",SUM($AM$6:AM65)),"")</f>
        <v>3022963</v>
      </c>
      <c r="BI65" t="str">
        <f>IF($AW$3=TRUE,IF(AN65="","",SUM($AN$6:AN65)),"")</f>
        <v/>
      </c>
      <c r="BJ65" t="str">
        <f>IF($AX$3=TRUE,IF(AO65="","",SUM($AO$6:AO65)),"")</f>
        <v/>
      </c>
      <c r="BK65" t="str">
        <f>IF($AY$3=TRUE,IF(AP65="","",SUM($AP$6:AP65)),"")</f>
        <v/>
      </c>
      <c r="BL65" t="str">
        <f>IF($AZ$3=TRUE,IF(AQ65="","",SUM($AQ$6:AQ65)),"")</f>
        <v/>
      </c>
      <c r="BM65" t="str">
        <f>IF($BA$3=TRUE,IF(AR65="","",SUM($AR$6:AR65)),"")</f>
        <v/>
      </c>
      <c r="BN65" t="str">
        <f>IF($BB$3=TRUE,IF(AS65="","",SUM($AS$6:AS65)),"")</f>
        <v/>
      </c>
    </row>
    <row r="66" spans="34:66" x14ac:dyDescent="0.25">
      <c r="AH66" s="75">
        <v>44861</v>
      </c>
      <c r="AI66">
        <v>2288.7800000000002</v>
      </c>
      <c r="AK66" s="75">
        <v>44861</v>
      </c>
      <c r="AL66">
        <v>378686</v>
      </c>
      <c r="AM66">
        <v>550070</v>
      </c>
      <c r="AN66">
        <v>1036</v>
      </c>
      <c r="AO66">
        <v>9513</v>
      </c>
      <c r="AP66">
        <v>18689</v>
      </c>
      <c r="AQ66">
        <v>4032</v>
      </c>
      <c r="AR66">
        <v>-52390</v>
      </c>
      <c r="AS66">
        <v>-903796</v>
      </c>
      <c r="BF66" s="75">
        <f t="shared" si="10"/>
        <v>44861</v>
      </c>
      <c r="BG66">
        <f>IF($AU$3=TRUE,IF(AL66="","",SUM(AL$64:$AL66)),"")</f>
        <v>416862</v>
      </c>
      <c r="BH66">
        <f>IF($AV$3=TRUE,IF(AM66="","",SUM($AM$6:AM66)),"")</f>
        <v>3573033</v>
      </c>
      <c r="BI66" t="str">
        <f>IF($AW$3=TRUE,IF(AN66="","",SUM($AN$6:AN66)),"")</f>
        <v/>
      </c>
      <c r="BJ66" t="str">
        <f>IF($AX$3=TRUE,IF(AO66="","",SUM($AO$6:AO66)),"")</f>
        <v/>
      </c>
      <c r="BK66" t="str">
        <f>IF($AY$3=TRUE,IF(AP66="","",SUM($AP$6:AP66)),"")</f>
        <v/>
      </c>
      <c r="BL66" t="str">
        <f>IF($AZ$3=TRUE,IF(AQ66="","",SUM($AQ$6:AQ66)),"")</f>
        <v/>
      </c>
      <c r="BM66" t="str">
        <f>IF($BA$3=TRUE,IF(AR66="","",SUM($AR$6:AR66)),"")</f>
        <v/>
      </c>
      <c r="BN66" t="str">
        <f>IF($BB$3=TRUE,IF(AS66="","",SUM($AS$6:AS66)),"")</f>
        <v/>
      </c>
    </row>
    <row r="67" spans="34:66" x14ac:dyDescent="0.25">
      <c r="AH67" s="75">
        <v>44860</v>
      </c>
      <c r="AI67">
        <v>2249.56</v>
      </c>
      <c r="AK67" s="75"/>
      <c r="BF67" s="75" t="str">
        <f t="shared" si="10"/>
        <v/>
      </c>
      <c r="BG67" t="str">
        <f>IF($AU$3=TRUE,IF(AL67="","",SUM(AL$64:$AL67)),"")</f>
        <v/>
      </c>
      <c r="BH67" t="str">
        <f>IF($AV$3=TRUE,IF(AM67="","",SUM($AM$6:AM67)),"")</f>
        <v/>
      </c>
      <c r="BI67" t="str">
        <f>IF($AW$3=TRUE,IF(AN67="","",SUM($AN$6:AN67)),"")</f>
        <v/>
      </c>
      <c r="BJ67" t="str">
        <f>IF($AX$3=TRUE,IF(AO67="","",SUM($AO$6:AO67)),"")</f>
        <v/>
      </c>
      <c r="BK67" t="str">
        <f>IF($AY$3=TRUE,IF(AP67="","",SUM($AP$6:AP67)),"")</f>
        <v/>
      </c>
      <c r="BL67" t="str">
        <f>IF($AZ$3=TRUE,IF(AQ67="","",SUM($AQ$6:AQ67)),"")</f>
        <v/>
      </c>
      <c r="BM67" t="str">
        <f>IF($BA$3=TRUE,IF(AR67="","",SUM($AR$6:AR67)),"")</f>
        <v/>
      </c>
      <c r="BN67" t="str">
        <f>IF($BB$3=TRUE,IF(AS67="","",SUM($AS$6:AS67)),"")</f>
        <v/>
      </c>
    </row>
    <row r="68" spans="34:66" x14ac:dyDescent="0.25">
      <c r="AH68" s="75">
        <v>44859</v>
      </c>
      <c r="AI68">
        <v>2235.0700000000002</v>
      </c>
      <c r="AK68" s="75"/>
      <c r="BF68" s="75" t="str">
        <f t="shared" si="10"/>
        <v/>
      </c>
      <c r="BG68" t="str">
        <f>IF($AU$3=TRUE,IF(AL68="","",SUM(AL$64:$AL68)),"")</f>
        <v/>
      </c>
      <c r="BH68" t="str">
        <f>IF($AV$3=TRUE,IF(AM68="","",SUM($AM$6:AM68)),"")</f>
        <v/>
      </c>
      <c r="BI68" t="str">
        <f>IF($AW$3=TRUE,IF(AN68="","",SUM($AN$6:AN68)),"")</f>
        <v/>
      </c>
      <c r="BJ68" t="str">
        <f>IF($AX$3=TRUE,IF(AO68="","",SUM($AO$6:AO68)),"")</f>
        <v/>
      </c>
      <c r="BK68" t="str">
        <f>IF($AY$3=TRUE,IF(AP68="","",SUM($AP$6:AP68)),"")</f>
        <v/>
      </c>
      <c r="BL68" t="str">
        <f>IF($AZ$3=TRUE,IF(AQ68="","",SUM($AQ$6:AQ68)),"")</f>
        <v/>
      </c>
      <c r="BM68" t="str">
        <f>IF($BA$3=TRUE,IF(AR68="","",SUM($AR$6:AR68)),"")</f>
        <v/>
      </c>
      <c r="BN68" t="str">
        <f>IF($BB$3=TRUE,IF(AS68="","",SUM($AS$6:AS68)),"")</f>
        <v/>
      </c>
    </row>
    <row r="69" spans="34:66" x14ac:dyDescent="0.25">
      <c r="AH69" s="75">
        <v>44858</v>
      </c>
      <c r="AI69">
        <v>2236.16</v>
      </c>
      <c r="AK69" s="75"/>
      <c r="BF69" s="75" t="str">
        <f t="shared" si="10"/>
        <v/>
      </c>
      <c r="BG69" t="str">
        <f>IF($AU$3=TRUE,IF(AL69="","",SUM(AL$64:$AL69)),"")</f>
        <v/>
      </c>
      <c r="BH69" t="str">
        <f>IF($AV$3=TRUE,IF(AM69="","",SUM($AM$6:AM69)),"")</f>
        <v/>
      </c>
      <c r="BI69" t="str">
        <f>IF($AW$3=TRUE,IF(AN69="","",SUM($AN$6:AN69)),"")</f>
        <v/>
      </c>
      <c r="BJ69" t="str">
        <f>IF($AX$3=TRUE,IF(AO69="","",SUM($AO$6:AO69)),"")</f>
        <v/>
      </c>
      <c r="BK69" t="str">
        <f>IF($AY$3=TRUE,IF(AP69="","",SUM($AP$6:AP69)),"")</f>
        <v/>
      </c>
      <c r="BL69" t="str">
        <f>IF($AZ$3=TRUE,IF(AQ69="","",SUM($AQ$6:AQ69)),"")</f>
        <v/>
      </c>
      <c r="BM69" t="str">
        <f>IF($BA$3=TRUE,IF(AR69="","",SUM($AR$6:AR69)),"")</f>
        <v/>
      </c>
      <c r="BN69" t="str">
        <f>IF($BB$3=TRUE,IF(AS69="","",SUM($AS$6:AS69)),"")</f>
        <v/>
      </c>
    </row>
    <row r="70" spans="34:66" x14ac:dyDescent="0.25">
      <c r="AH70" s="75">
        <v>44855</v>
      </c>
      <c r="AI70">
        <v>2213.12</v>
      </c>
      <c r="AK70" s="75"/>
      <c r="BF70" s="75" t="str">
        <f t="shared" si="10"/>
        <v/>
      </c>
      <c r="BG70" t="str">
        <f>IF($AU$3=TRUE,IF(AL70="","",SUM(AL$64:$AL70)),"")</f>
        <v/>
      </c>
      <c r="BH70" t="str">
        <f>IF($AV$3=TRUE,IF(AM70="","",SUM($AM$6:AM70)),"")</f>
        <v/>
      </c>
      <c r="BI70" t="str">
        <f>IF($AW$3=TRUE,IF(AN70="","",SUM($AN$6:AN70)),"")</f>
        <v/>
      </c>
      <c r="BJ70" t="str">
        <f>IF($AX$3=TRUE,IF(AO70="","",SUM($AO$6:AO70)),"")</f>
        <v/>
      </c>
      <c r="BK70" t="str">
        <f>IF($AY$3=TRUE,IF(AP70="","",SUM($AP$6:AP70)),"")</f>
        <v/>
      </c>
      <c r="BL70" t="str">
        <f>IF($AZ$3=TRUE,IF(AQ70="","",SUM($AQ$6:AQ70)),"")</f>
        <v/>
      </c>
      <c r="BM70" t="str">
        <f>IF($BA$3=TRUE,IF(AR70="","",SUM($AR$6:AR70)),"")</f>
        <v/>
      </c>
      <c r="BN70" t="str">
        <f>IF($BB$3=TRUE,IF(AS70="","",SUM($AS$6:AS70)),"")</f>
        <v/>
      </c>
    </row>
    <row r="71" spans="34:66" x14ac:dyDescent="0.25">
      <c r="AH71" s="75">
        <v>44854</v>
      </c>
      <c r="AI71">
        <v>2218.09</v>
      </c>
      <c r="AK71" s="75"/>
      <c r="BF71" s="75" t="str">
        <f t="shared" ref="BF71:BF134" si="11">IF(AK71="","",AK71)</f>
        <v/>
      </c>
      <c r="BG71" t="str">
        <f>IF($AU$3=TRUE,IF(AL71="","",SUM(AL$64:$AL71)),"")</f>
        <v/>
      </c>
      <c r="BH71" t="str">
        <f>IF($AV$3=TRUE,IF(AM71="","",SUM($AM$6:AM71)),"")</f>
        <v/>
      </c>
      <c r="BI71" t="str">
        <f>IF($AW$3=TRUE,IF(AN71="","",SUM($AN$6:AN71)),"")</f>
        <v/>
      </c>
      <c r="BJ71" t="str">
        <f>IF($AX$3=TRUE,IF(AO71="","",SUM($AO$6:AO71)),"")</f>
        <v/>
      </c>
      <c r="BK71" t="str">
        <f>IF($AY$3=TRUE,IF(AP71="","",SUM($AP$6:AP71)),"")</f>
        <v/>
      </c>
      <c r="BL71" t="str">
        <f>IF($AZ$3=TRUE,IF(AQ71="","",SUM($AQ$6:AQ71)),"")</f>
        <v/>
      </c>
      <c r="BM71" t="str">
        <f>IF($BA$3=TRUE,IF(AR71="","",SUM($AR$6:AR71)),"")</f>
        <v/>
      </c>
      <c r="BN71" t="str">
        <f>IF($BB$3=TRUE,IF(AS71="","",SUM($AS$6:AS71)),"")</f>
        <v/>
      </c>
    </row>
    <row r="72" spans="34:66" x14ac:dyDescent="0.25">
      <c r="AH72" s="75">
        <v>44853</v>
      </c>
      <c r="AI72">
        <v>2237.44</v>
      </c>
      <c r="AK72" s="75"/>
      <c r="BF72" s="75" t="str">
        <f t="shared" si="11"/>
        <v/>
      </c>
      <c r="BG72" t="str">
        <f>IF($AU$3=TRUE,IF(AL72="","",SUM(AL$64:$AL72)),"")</f>
        <v/>
      </c>
      <c r="BH72" t="str">
        <f>IF($AV$3=TRUE,IF(AM72="","",SUM($AM$6:AM72)),"")</f>
        <v/>
      </c>
      <c r="BI72" t="str">
        <f>IF($AW$3=TRUE,IF(AN72="","",SUM($AN$6:AN72)),"")</f>
        <v/>
      </c>
      <c r="BJ72" t="str">
        <f>IF($AX$3=TRUE,IF(AO72="","",SUM($AO$6:AO72)),"")</f>
        <v/>
      </c>
      <c r="BK72" t="str">
        <f>IF($AY$3=TRUE,IF(AP72="","",SUM($AP$6:AP72)),"")</f>
        <v/>
      </c>
      <c r="BL72" t="str">
        <f>IF($AZ$3=TRUE,IF(AQ72="","",SUM($AQ$6:AQ72)),"")</f>
        <v/>
      </c>
      <c r="BM72" t="str">
        <f>IF($BA$3=TRUE,IF(AR72="","",SUM($AR$6:AR72)),"")</f>
        <v/>
      </c>
      <c r="BN72" t="str">
        <f>IF($BB$3=TRUE,IF(AS72="","",SUM($AS$6:AS72)),"")</f>
        <v/>
      </c>
    </row>
    <row r="73" spans="34:66" x14ac:dyDescent="0.25">
      <c r="AH73" s="75">
        <v>44852</v>
      </c>
      <c r="AI73">
        <v>2249.9499999999998</v>
      </c>
      <c r="AK73" s="75"/>
      <c r="BF73" s="75" t="str">
        <f t="shared" si="11"/>
        <v/>
      </c>
      <c r="BG73" t="str">
        <f>IF($AU$3=TRUE,IF(AL73="","",SUM(AL$64:$AL73)),"")</f>
        <v/>
      </c>
      <c r="BH73" t="str">
        <f>IF($AV$3=TRUE,IF(AM73="","",SUM($AM$6:AM73)),"")</f>
        <v/>
      </c>
      <c r="BI73" t="str">
        <f>IF($AW$3=TRUE,IF(AN73="","",SUM($AN$6:AN73)),"")</f>
        <v/>
      </c>
      <c r="BJ73" t="str">
        <f>IF($AX$3=TRUE,IF(AO73="","",SUM($AO$6:AO73)),"")</f>
        <v/>
      </c>
      <c r="BK73" t="str">
        <f>IF($AY$3=TRUE,IF(AP73="","",SUM($AP$6:AP73)),"")</f>
        <v/>
      </c>
      <c r="BL73" t="str">
        <f>IF($AZ$3=TRUE,IF(AQ73="","",SUM($AQ$6:AQ73)),"")</f>
        <v/>
      </c>
      <c r="BM73" t="str">
        <f>IF($BA$3=TRUE,IF(AR73="","",SUM($AR$6:AR73)),"")</f>
        <v/>
      </c>
      <c r="BN73" t="str">
        <f>IF($BB$3=TRUE,IF(AS73="","",SUM($AS$6:AS73)),"")</f>
        <v/>
      </c>
    </row>
    <row r="74" spans="34:66" x14ac:dyDescent="0.25">
      <c r="AH74" s="75">
        <v>44851</v>
      </c>
      <c r="AI74">
        <v>2219.71</v>
      </c>
      <c r="AK74" s="75"/>
      <c r="BF74" s="75" t="str">
        <f t="shared" si="11"/>
        <v/>
      </c>
      <c r="BG74" t="str">
        <f>IF($AU$3=TRUE,IF(AL74="","",SUM(AL$64:$AL74)),"")</f>
        <v/>
      </c>
      <c r="BH74" t="str">
        <f>IF($AV$3=TRUE,IF(AM74="","",SUM($AM$6:AM74)),"")</f>
        <v/>
      </c>
      <c r="BI74" t="str">
        <f>IF($AW$3=TRUE,IF(AN74="","",SUM($AN$6:AN74)),"")</f>
        <v/>
      </c>
      <c r="BJ74" t="str">
        <f>IF($AX$3=TRUE,IF(AO74="","",SUM($AO$6:AO74)),"")</f>
        <v/>
      </c>
      <c r="BK74" t="str">
        <f>IF($AY$3=TRUE,IF(AP74="","",SUM($AP$6:AP74)),"")</f>
        <v/>
      </c>
      <c r="BL74" t="str">
        <f>IF($AZ$3=TRUE,IF(AQ74="","",SUM($AQ$6:AQ74)),"")</f>
        <v/>
      </c>
      <c r="BM74" t="str">
        <f>IF($BA$3=TRUE,IF(AR74="","",SUM($AR$6:AR74)),"")</f>
        <v/>
      </c>
      <c r="BN74" t="str">
        <f>IF($BB$3=TRUE,IF(AS74="","",SUM($AS$6:AS74)),"")</f>
        <v/>
      </c>
    </row>
    <row r="75" spans="34:66" x14ac:dyDescent="0.25">
      <c r="AH75" s="75">
        <v>44848</v>
      </c>
      <c r="AI75">
        <v>2212.5500000000002</v>
      </c>
      <c r="AK75" s="75"/>
      <c r="BF75" s="75" t="str">
        <f t="shared" si="11"/>
        <v/>
      </c>
      <c r="BG75" t="str">
        <f>IF($AU$3=TRUE,IF(AL75="","",SUM(AL$64:$AL75)),"")</f>
        <v/>
      </c>
      <c r="BH75" t="str">
        <f>IF($AV$3=TRUE,IF(AM75="","",SUM($AM$6:AM75)),"")</f>
        <v/>
      </c>
      <c r="BI75" t="str">
        <f>IF($AW$3=TRUE,IF(AN75="","",SUM($AN$6:AN75)),"")</f>
        <v/>
      </c>
      <c r="BJ75" t="str">
        <f>IF($AX$3=TRUE,IF(AO75="","",SUM($AO$6:AO75)),"")</f>
        <v/>
      </c>
      <c r="BK75" t="str">
        <f>IF($AY$3=TRUE,IF(AP75="","",SUM($AP$6:AP75)),"")</f>
        <v/>
      </c>
      <c r="BL75" t="str">
        <f>IF($AZ$3=TRUE,IF(AQ75="","",SUM($AQ$6:AQ75)),"")</f>
        <v/>
      </c>
      <c r="BM75" t="str">
        <f>IF($BA$3=TRUE,IF(AR75="","",SUM($AR$6:AR75)),"")</f>
        <v/>
      </c>
      <c r="BN75" t="str">
        <f>IF($BB$3=TRUE,IF(AS75="","",SUM($AS$6:AS75)),"")</f>
        <v/>
      </c>
    </row>
    <row r="76" spans="34:66" x14ac:dyDescent="0.25">
      <c r="AH76" s="75">
        <v>44847</v>
      </c>
      <c r="AI76">
        <v>2162.87</v>
      </c>
      <c r="AK76" s="75"/>
      <c r="BF76" s="75" t="str">
        <f t="shared" si="11"/>
        <v/>
      </c>
      <c r="BG76" t="str">
        <f>IF($AU$3=TRUE,IF(AL76="","",SUM(AL$64:$AL76)),"")</f>
        <v/>
      </c>
      <c r="BH76" t="str">
        <f>IF($AV$3=TRUE,IF(AM76="","",SUM($AM$6:AM76)),"")</f>
        <v/>
      </c>
      <c r="BI76" t="str">
        <f>IF($AW$3=TRUE,IF(AN76="","",SUM($AN$6:AN76)),"")</f>
        <v/>
      </c>
      <c r="BJ76" t="str">
        <f>IF($AX$3=TRUE,IF(AO76="","",SUM($AO$6:AO76)),"")</f>
        <v/>
      </c>
      <c r="BK76" t="str">
        <f>IF($AY$3=TRUE,IF(AP76="","",SUM($AP$6:AP76)),"")</f>
        <v/>
      </c>
      <c r="BL76" t="str">
        <f>IF($AZ$3=TRUE,IF(AQ76="","",SUM($AQ$6:AQ76)),"")</f>
        <v/>
      </c>
      <c r="BM76" t="str">
        <f>IF($BA$3=TRUE,IF(AR76="","",SUM($AR$6:AR76)),"")</f>
        <v/>
      </c>
      <c r="BN76" t="str">
        <f>IF($BB$3=TRUE,IF(AS76="","",SUM($AS$6:AS76)),"")</f>
        <v/>
      </c>
    </row>
    <row r="77" spans="34:66" x14ac:dyDescent="0.25">
      <c r="AH77" s="75">
        <v>44846</v>
      </c>
      <c r="AI77">
        <v>2202.4699999999998</v>
      </c>
      <c r="AK77" s="75"/>
      <c r="BF77" s="75" t="str">
        <f t="shared" si="11"/>
        <v/>
      </c>
      <c r="BG77" t="str">
        <f>IF($AU$3=TRUE,IF(AL77="","",SUM($AL$6:AL77)),"")</f>
        <v/>
      </c>
      <c r="BH77" t="str">
        <f>IF($AV$3=TRUE,IF(AM77="","",SUM($AM$6:AM77)),"")</f>
        <v/>
      </c>
      <c r="BI77" t="str">
        <f>IF($AW$3=TRUE,IF(AN77="","",SUM($AN$6:AN77)),"")</f>
        <v/>
      </c>
      <c r="BJ77" t="str">
        <f>IF($AX$3=TRUE,IF(AO77="","",SUM($AO$6:AO77)),"")</f>
        <v/>
      </c>
      <c r="BK77" t="str">
        <f>IF($AY$3=TRUE,IF(AP77="","",SUM($AP$6:AP77)),"")</f>
        <v/>
      </c>
      <c r="BL77" t="str">
        <f>IF($AZ$3=TRUE,IF(AQ77="","",SUM($AQ$6:AQ77)),"")</f>
        <v/>
      </c>
      <c r="BM77" t="str">
        <f>IF($BA$3=TRUE,IF(AR77="","",SUM($AR$6:AR77)),"")</f>
        <v/>
      </c>
      <c r="BN77" t="str">
        <f>IF($BB$3=TRUE,IF(AS77="","",SUM($AS$6:AS77)),"")</f>
        <v/>
      </c>
    </row>
    <row r="78" spans="34:66" x14ac:dyDescent="0.25">
      <c r="AH78" s="75">
        <v>44845</v>
      </c>
      <c r="AI78">
        <v>2192.0700000000002</v>
      </c>
      <c r="AK78" s="75"/>
      <c r="BF78" s="75" t="str">
        <f t="shared" si="11"/>
        <v/>
      </c>
      <c r="BG78" t="str">
        <f>IF($AU$3=TRUE,IF(AL78="","",SUM($AL$6:AL78)),"")</f>
        <v/>
      </c>
      <c r="BH78" t="str">
        <f>IF($AV$3=TRUE,IF(AM78="","",SUM($AM$6:AM78)),"")</f>
        <v/>
      </c>
      <c r="BI78" t="str">
        <f>IF($AW$3=TRUE,IF(AN78="","",SUM($AN$6:AN78)),"")</f>
        <v/>
      </c>
      <c r="BJ78" t="str">
        <f>IF($AX$3=TRUE,IF(AO78="","",SUM($AO$6:AO78)),"")</f>
        <v/>
      </c>
      <c r="BK78" t="str">
        <f>IF($AY$3=TRUE,IF(AP78="","",SUM($AP$6:AP78)),"")</f>
        <v/>
      </c>
      <c r="BL78" t="str">
        <f>IF($AZ$3=TRUE,IF(AQ78="","",SUM($AQ$6:AQ78)),"")</f>
        <v/>
      </c>
      <c r="BM78" t="str">
        <f>IF($BA$3=TRUE,IF(AR78="","",SUM($AR$6:AR78)),"")</f>
        <v/>
      </c>
      <c r="BN78" t="str">
        <f>IF($BB$3=TRUE,IF(AS78="","",SUM($AS$6:AS78)),"")</f>
        <v/>
      </c>
    </row>
    <row r="79" spans="34:66" x14ac:dyDescent="0.25">
      <c r="AH79" s="75">
        <v>44841</v>
      </c>
      <c r="AI79">
        <v>2232.84</v>
      </c>
      <c r="AK79" s="75"/>
      <c r="BF79" s="75" t="str">
        <f t="shared" si="11"/>
        <v/>
      </c>
      <c r="BG79" t="str">
        <f>IF($AU$3=TRUE,IF(AL79="","",SUM($AL$6:AL79)),"")</f>
        <v/>
      </c>
      <c r="BH79" t="str">
        <f>IF($AV$3=TRUE,IF(AM79="","",SUM($AM$6:AM79)),"")</f>
        <v/>
      </c>
      <c r="BI79" t="str">
        <f>IF($AW$3=TRUE,IF(AN79="","",SUM($AN$6:AN79)),"")</f>
        <v/>
      </c>
      <c r="BJ79" t="str">
        <f>IF($AX$3=TRUE,IF(AO79="","",SUM($AO$6:AO79)),"")</f>
        <v/>
      </c>
      <c r="BK79" t="str">
        <f>IF($AY$3=TRUE,IF(AP79="","",SUM($AP$6:AP79)),"")</f>
        <v/>
      </c>
      <c r="BL79" t="str">
        <f>IF($AZ$3=TRUE,IF(AQ79="","",SUM($AQ$6:AQ79)),"")</f>
        <v/>
      </c>
      <c r="BM79" t="str">
        <f>IF($BA$3=TRUE,IF(AR79="","",SUM($AR$6:AR79)),"")</f>
        <v/>
      </c>
      <c r="BN79" t="str">
        <f>IF($BB$3=TRUE,IF(AS79="","",SUM($AS$6:AS79)),"")</f>
        <v/>
      </c>
    </row>
    <row r="80" spans="34:66" x14ac:dyDescent="0.25">
      <c r="AH80" s="75">
        <v>44840</v>
      </c>
      <c r="AI80">
        <v>2237.86</v>
      </c>
      <c r="AK80" s="75"/>
      <c r="BF80" s="75" t="str">
        <f t="shared" si="11"/>
        <v/>
      </c>
      <c r="BG80" t="str">
        <f>IF($AU$3=TRUE,IF(AL80="","",SUM($AL$6:AL80)),"")</f>
        <v/>
      </c>
      <c r="BH80" t="str">
        <f>IF($AV$3=TRUE,IF(AM80="","",SUM($AM$6:AM80)),"")</f>
        <v/>
      </c>
      <c r="BI80" t="str">
        <f>IF($AW$3=TRUE,IF(AN80="","",SUM($AN$6:AN80)),"")</f>
        <v/>
      </c>
      <c r="BJ80" t="str">
        <f>IF($AX$3=TRUE,IF(AO80="","",SUM($AO$6:AO80)),"")</f>
        <v/>
      </c>
      <c r="BK80" t="str">
        <f>IF($AY$3=TRUE,IF(AP80="","",SUM($AP$6:AP80)),"")</f>
        <v/>
      </c>
      <c r="BL80" t="str">
        <f>IF($AZ$3=TRUE,IF(AQ80="","",SUM($AQ$6:AQ80)),"")</f>
        <v/>
      </c>
      <c r="BM80" t="str">
        <f>IF($BA$3=TRUE,IF(AR80="","",SUM($AR$6:AR80)),"")</f>
        <v/>
      </c>
      <c r="BN80" t="str">
        <f>IF($BB$3=TRUE,IF(AS80="","",SUM($AS$6:AS80)),"")</f>
        <v/>
      </c>
    </row>
    <row r="81" spans="34:66" x14ac:dyDescent="0.25">
      <c r="AH81" s="75">
        <v>44839</v>
      </c>
      <c r="AI81">
        <v>2215.2199999999998</v>
      </c>
      <c r="AK81" s="75"/>
      <c r="BF81" s="75" t="str">
        <f t="shared" si="11"/>
        <v/>
      </c>
      <c r="BG81" t="str">
        <f>IF($AU$3=TRUE,IF(AL81="","",SUM($AL$6:AL81)),"")</f>
        <v/>
      </c>
      <c r="BH81" t="str">
        <f>IF($AV$3=TRUE,IF(AM81="","",SUM($AM$6:AM81)),"")</f>
        <v/>
      </c>
      <c r="BI81" t="str">
        <f>IF($AW$3=TRUE,IF(AN81="","",SUM($AN$6:AN81)),"")</f>
        <v/>
      </c>
      <c r="BJ81" t="str">
        <f>IF($AX$3=TRUE,IF(AO81="","",SUM($AO$6:AO81)),"")</f>
        <v/>
      </c>
      <c r="BK81" t="str">
        <f>IF($AY$3=TRUE,IF(AP81="","",SUM($AP$6:AP81)),"")</f>
        <v/>
      </c>
      <c r="BL81" t="str">
        <f>IF($AZ$3=TRUE,IF(AQ81="","",SUM($AQ$6:AQ81)),"")</f>
        <v/>
      </c>
      <c r="BM81" t="str">
        <f>IF($BA$3=TRUE,IF(AR81="","",SUM($AR$6:AR81)),"")</f>
        <v/>
      </c>
      <c r="BN81" t="str">
        <f>IF($BB$3=TRUE,IF(AS81="","",SUM($AS$6:AS81)),"")</f>
        <v/>
      </c>
    </row>
    <row r="82" spans="34:66" x14ac:dyDescent="0.25">
      <c r="AH82" s="75">
        <v>44838</v>
      </c>
      <c r="AI82">
        <v>2209.38</v>
      </c>
      <c r="AK82" s="75"/>
      <c r="BF82" s="75" t="str">
        <f t="shared" si="11"/>
        <v/>
      </c>
      <c r="BG82" t="str">
        <f>IF($AU$3=TRUE,IF(AL82="","",SUM($AL$6:AL82)),"")</f>
        <v/>
      </c>
      <c r="BH82" t="str">
        <f>IF($AV$3=TRUE,IF(AM82="","",SUM($AM$6:AM82)),"")</f>
        <v/>
      </c>
      <c r="BI82" t="str">
        <f>IF($AW$3=TRUE,IF(AN82="","",SUM($AN$6:AN82)),"")</f>
        <v/>
      </c>
      <c r="BJ82" t="str">
        <f>IF($AX$3=TRUE,IF(AO82="","",SUM($AO$6:AO82)),"")</f>
        <v/>
      </c>
      <c r="BK82" t="str">
        <f>IF($AY$3=TRUE,IF(AP82="","",SUM($AP$6:AP82)),"")</f>
        <v/>
      </c>
      <c r="BL82" t="str">
        <f>IF($AZ$3=TRUE,IF(AQ82="","",SUM($AQ$6:AQ82)),"")</f>
        <v/>
      </c>
      <c r="BM82" t="str">
        <f>IF($BA$3=TRUE,IF(AR82="","",SUM($AR$6:AR82)),"")</f>
        <v/>
      </c>
      <c r="BN82" t="str">
        <f>IF($BB$3=TRUE,IF(AS82="","",SUM($AS$6:AS82)),"")</f>
        <v/>
      </c>
    </row>
    <row r="83" spans="34:66" x14ac:dyDescent="0.25">
      <c r="AH83" s="75">
        <v>44834</v>
      </c>
      <c r="AI83">
        <v>2155.4899999999998</v>
      </c>
      <c r="AK83" s="75"/>
      <c r="BF83" s="75" t="str">
        <f t="shared" si="11"/>
        <v/>
      </c>
      <c r="BG83" t="str">
        <f>IF($AU$3=TRUE,IF(AL83="","",SUM($AL$6:AL83)),"")</f>
        <v/>
      </c>
      <c r="BH83" t="str">
        <f>IF($AV$3=TRUE,IF(AM83="","",SUM($AM$6:AM83)),"")</f>
        <v/>
      </c>
      <c r="BI83" t="str">
        <f>IF($AW$3=TRUE,IF(AN83="","",SUM($AN$6:AN83)),"")</f>
        <v/>
      </c>
      <c r="BJ83" t="str">
        <f>IF($AX$3=TRUE,IF(AO83="","",SUM($AO$6:AO83)),"")</f>
        <v/>
      </c>
      <c r="BK83" t="str">
        <f>IF($AY$3=TRUE,IF(AP83="","",SUM($AP$6:AP83)),"")</f>
        <v/>
      </c>
      <c r="BL83" t="str">
        <f>IF($AZ$3=TRUE,IF(AQ83="","",SUM($AQ$6:AQ83)),"")</f>
        <v/>
      </c>
      <c r="BM83" t="str">
        <f>IF($BA$3=TRUE,IF(AR83="","",SUM($AR$6:AR83)),"")</f>
        <v/>
      </c>
      <c r="BN83" t="str">
        <f>IF($BB$3=TRUE,IF(AS83="","",SUM($AS$6:AS83)),"")</f>
        <v/>
      </c>
    </row>
    <row r="84" spans="34:66" x14ac:dyDescent="0.25">
      <c r="AH84" s="75">
        <v>44833</v>
      </c>
      <c r="AI84">
        <v>2170.9299999999998</v>
      </c>
      <c r="AK84" s="75"/>
      <c r="BF84" s="75" t="str">
        <f t="shared" si="11"/>
        <v/>
      </c>
      <c r="BG84" t="str">
        <f>IF($AU$3=TRUE,IF(AL84="","",SUM($AL$6:AL84)),"")</f>
        <v/>
      </c>
      <c r="BH84" t="str">
        <f>IF($AV$3=TRUE,IF(AM84="","",SUM($AM$6:AM84)),"")</f>
        <v/>
      </c>
      <c r="BI84" t="str">
        <f>IF($AW$3=TRUE,IF(AN84="","",SUM($AN$6:AN84)),"")</f>
        <v/>
      </c>
      <c r="BJ84" t="str">
        <f>IF($AX$3=TRUE,IF(AO84="","",SUM($AO$6:AO84)),"")</f>
        <v/>
      </c>
      <c r="BK84" t="str">
        <f>IF($AY$3=TRUE,IF(AP84="","",SUM($AP$6:AP84)),"")</f>
        <v/>
      </c>
      <c r="BL84" t="str">
        <f>IF($AZ$3=TRUE,IF(AQ84="","",SUM($AQ$6:AQ84)),"")</f>
        <v/>
      </c>
      <c r="BM84" t="str">
        <f>IF($BA$3=TRUE,IF(AR84="","",SUM($AR$6:AR84)),"")</f>
        <v/>
      </c>
      <c r="BN84" t="str">
        <f>IF($BB$3=TRUE,IF(AS84="","",SUM($AS$6:AS84)),"")</f>
        <v/>
      </c>
    </row>
    <row r="85" spans="34:66" x14ac:dyDescent="0.25">
      <c r="AH85" s="75">
        <v>44832</v>
      </c>
      <c r="AI85">
        <v>2169.29</v>
      </c>
      <c r="AK85" s="75"/>
      <c r="BF85" s="75" t="str">
        <f t="shared" si="11"/>
        <v/>
      </c>
      <c r="BG85" t="str">
        <f>IF($AU$3=TRUE,IF(AL85="","",SUM($AL$6:AL85)),"")</f>
        <v/>
      </c>
      <c r="BH85" t="str">
        <f>IF($AV$3=TRUE,IF(AM85="","",SUM($AM$6:AM85)),"")</f>
        <v/>
      </c>
      <c r="BI85" t="str">
        <f>IF($AW$3=TRUE,IF(AN85="","",SUM($AN$6:AN85)),"")</f>
        <v/>
      </c>
      <c r="BJ85" t="str">
        <f>IF($AX$3=TRUE,IF(AO85="","",SUM($AO$6:AO85)),"")</f>
        <v/>
      </c>
      <c r="BK85" t="str">
        <f>IF($AY$3=TRUE,IF(AP85="","",SUM($AP$6:AP85)),"")</f>
        <v/>
      </c>
      <c r="BL85" t="str">
        <f>IF($AZ$3=TRUE,IF(AQ85="","",SUM($AQ$6:AQ85)),"")</f>
        <v/>
      </c>
      <c r="BM85" t="str">
        <f>IF($BA$3=TRUE,IF(AR85="","",SUM($AR$6:AR85)),"")</f>
        <v/>
      </c>
      <c r="BN85" t="str">
        <f>IF($BB$3=TRUE,IF(AS85="","",SUM($AS$6:AS85)),"")</f>
        <v/>
      </c>
    </row>
    <row r="86" spans="34:66" x14ac:dyDescent="0.25">
      <c r="AH86" s="75">
        <v>44831</v>
      </c>
      <c r="AI86">
        <v>2223.86</v>
      </c>
      <c r="AK86" s="75"/>
      <c r="BF86" s="75" t="str">
        <f t="shared" si="11"/>
        <v/>
      </c>
      <c r="BG86" t="str">
        <f>IF($AU$3=TRUE,IF(AL86="","",SUM($AL$6:AL86)),"")</f>
        <v/>
      </c>
      <c r="BH86" t="str">
        <f>IF($AV$3=TRUE,IF(AM86="","",SUM($AM$6:AM86)),"")</f>
        <v/>
      </c>
      <c r="BI86" t="str">
        <f>IF($AW$3=TRUE,IF(AN86="","",SUM($AN$6:AN86)),"")</f>
        <v/>
      </c>
      <c r="BJ86" t="str">
        <f>IF($AX$3=TRUE,IF(AO86="","",SUM($AO$6:AO86)),"")</f>
        <v/>
      </c>
      <c r="BK86" t="str">
        <f>IF($AY$3=TRUE,IF(AP86="","",SUM($AP$6:AP86)),"")</f>
        <v/>
      </c>
      <c r="BL86" t="str">
        <f>IF($AZ$3=TRUE,IF(AQ86="","",SUM($AQ$6:AQ86)),"")</f>
        <v/>
      </c>
      <c r="BM86" t="str">
        <f>IF($BA$3=TRUE,IF(AR86="","",SUM($AR$6:AR86)),"")</f>
        <v/>
      </c>
      <c r="BN86" t="str">
        <f>IF($BB$3=TRUE,IF(AS86="","",SUM($AS$6:AS86)),"")</f>
        <v/>
      </c>
    </row>
    <row r="87" spans="34:66" x14ac:dyDescent="0.25">
      <c r="AH87" s="75">
        <v>44830</v>
      </c>
      <c r="AI87">
        <v>2220.94</v>
      </c>
      <c r="AK87" s="75"/>
      <c r="BF87" s="75" t="str">
        <f t="shared" si="11"/>
        <v/>
      </c>
      <c r="BG87" t="str">
        <f>IF($AU$3=TRUE,IF(AL87="","",SUM($AL$6:AL87)),"")</f>
        <v/>
      </c>
      <c r="BH87" t="str">
        <f>IF($AV$3=TRUE,IF(AM87="","",SUM($AM$6:AM87)),"")</f>
        <v/>
      </c>
      <c r="BI87" t="str">
        <f>IF($AW$3=TRUE,IF(AN87="","",SUM($AN$6:AN87)),"")</f>
        <v/>
      </c>
      <c r="BJ87" t="str">
        <f>IF($AX$3=TRUE,IF(AO87="","",SUM($AO$6:AO87)),"")</f>
        <v/>
      </c>
      <c r="BK87" t="str">
        <f>IF($AY$3=TRUE,IF(AP87="","",SUM($AP$6:AP87)),"")</f>
        <v/>
      </c>
      <c r="BL87" t="str">
        <f>IF($AZ$3=TRUE,IF(AQ87="","",SUM($AQ$6:AQ87)),"")</f>
        <v/>
      </c>
      <c r="BM87" t="str">
        <f>IF($BA$3=TRUE,IF(AR87="","",SUM($AR$6:AR87)),"")</f>
        <v/>
      </c>
      <c r="BN87" t="str">
        <f>IF($BB$3=TRUE,IF(AS87="","",SUM($AS$6:AS87)),"")</f>
        <v/>
      </c>
    </row>
    <row r="88" spans="34:66" x14ac:dyDescent="0.25">
      <c r="AH88" s="75">
        <v>44827</v>
      </c>
      <c r="AI88">
        <v>2290</v>
      </c>
      <c r="AK88" s="75"/>
      <c r="BF88" s="75" t="str">
        <f t="shared" si="11"/>
        <v/>
      </c>
      <c r="BG88" t="str">
        <f>IF($AU$3=TRUE,IF(AL88="","",SUM($AL$6:AL88)),"")</f>
        <v/>
      </c>
      <c r="BH88" t="str">
        <f>IF($AV$3=TRUE,IF(AM88="","",SUM($AM$6:AM88)),"")</f>
        <v/>
      </c>
      <c r="BI88" t="str">
        <f>IF($AW$3=TRUE,IF(AN88="","",SUM($AN$6:AN88)),"")</f>
        <v/>
      </c>
      <c r="BJ88" t="str">
        <f>IF($AX$3=TRUE,IF(AO88="","",SUM($AO$6:AO88)),"")</f>
        <v/>
      </c>
      <c r="BK88" t="str">
        <f>IF($AY$3=TRUE,IF(AP88="","",SUM($AP$6:AP88)),"")</f>
        <v/>
      </c>
      <c r="BL88" t="str">
        <f>IF($AZ$3=TRUE,IF(AQ88="","",SUM($AQ$6:AQ88)),"")</f>
        <v/>
      </c>
      <c r="BM88" t="str">
        <f>IF($BA$3=TRUE,IF(AR88="","",SUM($AR$6:AR88)),"")</f>
        <v/>
      </c>
      <c r="BN88" t="str">
        <f>IF($BB$3=TRUE,IF(AS88="","",SUM($AS$6:AS88)),"")</f>
        <v/>
      </c>
    </row>
    <row r="89" spans="34:66" x14ac:dyDescent="0.25">
      <c r="AH89" s="75">
        <v>44826</v>
      </c>
      <c r="AI89">
        <v>2332.31</v>
      </c>
      <c r="AK89" s="75"/>
      <c r="BF89" s="75" t="str">
        <f t="shared" si="11"/>
        <v/>
      </c>
      <c r="BG89" t="str">
        <f>IF($AU$3=TRUE,IF(AL89="","",SUM($AL$6:AL89)),"")</f>
        <v/>
      </c>
      <c r="BH89" t="str">
        <f>IF($AV$3=TRUE,IF(AM89="","",SUM($AM$6:AM89)),"")</f>
        <v/>
      </c>
      <c r="BI89" t="str">
        <f>IF($AW$3=TRUE,IF(AN89="","",SUM($AN$6:AN89)),"")</f>
        <v/>
      </c>
      <c r="BJ89" t="str">
        <f>IF($AX$3=TRUE,IF(AO89="","",SUM($AO$6:AO89)),"")</f>
        <v/>
      </c>
      <c r="BK89" t="str">
        <f>IF($AY$3=TRUE,IF(AP89="","",SUM($AP$6:AP89)),"")</f>
        <v/>
      </c>
      <c r="BL89" t="str">
        <f>IF($AZ$3=TRUE,IF(AQ89="","",SUM($AQ$6:AQ89)),"")</f>
        <v/>
      </c>
      <c r="BM89" t="str">
        <f>IF($BA$3=TRUE,IF(AR89="","",SUM($AR$6:AR89)),"")</f>
        <v/>
      </c>
      <c r="BN89" t="str">
        <f>IF($BB$3=TRUE,IF(AS89="","",SUM($AS$6:AS89)),"")</f>
        <v/>
      </c>
    </row>
    <row r="90" spans="34:66" x14ac:dyDescent="0.25">
      <c r="AH90" s="75">
        <v>44825</v>
      </c>
      <c r="AI90">
        <v>2347.21</v>
      </c>
      <c r="AK90" s="75"/>
      <c r="BF90" s="75" t="str">
        <f t="shared" si="11"/>
        <v/>
      </c>
      <c r="BG90" t="str">
        <f>IF($AU$3=TRUE,IF(AL90="","",SUM($AL$6:AL90)),"")</f>
        <v/>
      </c>
      <c r="BH90" t="str">
        <f>IF($AV$3=TRUE,IF(AM90="","",SUM($AM$6:AM90)),"")</f>
        <v/>
      </c>
      <c r="BI90" t="str">
        <f>IF($AW$3=TRUE,IF(AN90="","",SUM($AN$6:AN90)),"")</f>
        <v/>
      </c>
      <c r="BJ90" t="str">
        <f>IF($AX$3=TRUE,IF(AO90="","",SUM($AO$6:AO90)),"")</f>
        <v/>
      </c>
      <c r="BK90" t="str">
        <f>IF($AY$3=TRUE,IF(AP90="","",SUM($AP$6:AP90)),"")</f>
        <v/>
      </c>
      <c r="BL90" t="str">
        <f>IF($AZ$3=TRUE,IF(AQ90="","",SUM($AQ$6:AQ90)),"")</f>
        <v/>
      </c>
      <c r="BM90" t="str">
        <f>IF($BA$3=TRUE,IF(AR90="","",SUM($AR$6:AR90)),"")</f>
        <v/>
      </c>
      <c r="BN90" t="str">
        <f>IF($BB$3=TRUE,IF(AS90="","",SUM($AS$6:AS90)),"")</f>
        <v/>
      </c>
    </row>
    <row r="91" spans="34:66" x14ac:dyDescent="0.25">
      <c r="AH91" s="75">
        <v>44824</v>
      </c>
      <c r="AI91">
        <v>2367.85</v>
      </c>
      <c r="AK91" s="75"/>
      <c r="BF91" s="75" t="str">
        <f t="shared" si="11"/>
        <v/>
      </c>
      <c r="BG91" t="str">
        <f>IF($AU$3=TRUE,IF(AL91="","",SUM($AL$6:AL91)),"")</f>
        <v/>
      </c>
      <c r="BH91" t="str">
        <f>IF($AV$3=TRUE,IF(AM91="","",SUM($AM$6:AM91)),"")</f>
        <v/>
      </c>
      <c r="BI91" t="str">
        <f>IF($AW$3=TRUE,IF(AN91="","",SUM($AN$6:AN91)),"")</f>
        <v/>
      </c>
      <c r="BJ91" t="str">
        <f>IF($AX$3=TRUE,IF(AO91="","",SUM($AO$6:AO91)),"")</f>
        <v/>
      </c>
      <c r="BK91" t="str">
        <f>IF($AY$3=TRUE,IF(AP91="","",SUM($AP$6:AP91)),"")</f>
        <v/>
      </c>
      <c r="BL91" t="str">
        <f>IF($AZ$3=TRUE,IF(AQ91="","",SUM($AQ$6:AQ91)),"")</f>
        <v/>
      </c>
      <c r="BM91" t="str">
        <f>IF($BA$3=TRUE,IF(AR91="","",SUM($AR$6:AR91)),"")</f>
        <v/>
      </c>
      <c r="BN91" t="str">
        <f>IF($BB$3=TRUE,IF(AS91="","",SUM($AS$6:AS91)),"")</f>
        <v/>
      </c>
    </row>
    <row r="92" spans="34:66" x14ac:dyDescent="0.25">
      <c r="AH92" s="75">
        <v>44823</v>
      </c>
      <c r="AI92">
        <v>2355.66</v>
      </c>
      <c r="AK92" s="75"/>
      <c r="BF92" s="75" t="str">
        <f t="shared" si="11"/>
        <v/>
      </c>
      <c r="BG92" t="str">
        <f>IF($AU$3=TRUE,IF(AL92="","",SUM($AL$6:AL92)),"")</f>
        <v/>
      </c>
      <c r="BH92" t="str">
        <f>IF($AV$3=TRUE,IF(AM92="","",SUM($AM$6:AM92)),"")</f>
        <v/>
      </c>
      <c r="BI92" t="str">
        <f>IF($AW$3=TRUE,IF(AN92="","",SUM($AN$6:AN92)),"")</f>
        <v/>
      </c>
      <c r="BJ92" t="str">
        <f>IF($AX$3=TRUE,IF(AO92="","",SUM($AO$6:AO92)),"")</f>
        <v/>
      </c>
      <c r="BK92" t="str">
        <f>IF($AY$3=TRUE,IF(AP92="","",SUM($AP$6:AP92)),"")</f>
        <v/>
      </c>
      <c r="BL92" t="str">
        <f>IF($AZ$3=TRUE,IF(AQ92="","",SUM($AQ$6:AQ92)),"")</f>
        <v/>
      </c>
      <c r="BM92" t="str">
        <f>IF($BA$3=TRUE,IF(AR92="","",SUM($AR$6:AR92)),"")</f>
        <v/>
      </c>
      <c r="BN92" t="str">
        <f>IF($BB$3=TRUE,IF(AS92="","",SUM($AS$6:AS92)),"")</f>
        <v/>
      </c>
    </row>
    <row r="93" spans="34:66" x14ac:dyDescent="0.25">
      <c r="AH93" s="75">
        <v>44820</v>
      </c>
      <c r="AI93">
        <v>2382.7800000000002</v>
      </c>
      <c r="AK93" s="75"/>
      <c r="BF93" s="75" t="str">
        <f t="shared" si="11"/>
        <v/>
      </c>
      <c r="BG93" t="str">
        <f>IF($AU$3=TRUE,IF(AL93="","",SUM($AL$6:AL93)),"")</f>
        <v/>
      </c>
      <c r="BH93" t="str">
        <f>IF($AV$3=TRUE,IF(AM93="","",SUM($AM$6:AM93)),"")</f>
        <v/>
      </c>
      <c r="BI93" t="str">
        <f>IF($AW$3=TRUE,IF(AN93="","",SUM($AN$6:AN93)),"")</f>
        <v/>
      </c>
      <c r="BJ93" t="str">
        <f>IF($AX$3=TRUE,IF(AO93="","",SUM($AO$6:AO93)),"")</f>
        <v/>
      </c>
      <c r="BK93" t="str">
        <f>IF($AY$3=TRUE,IF(AP93="","",SUM($AP$6:AP93)),"")</f>
        <v/>
      </c>
      <c r="BL93" t="str">
        <f>IF($AZ$3=TRUE,IF(AQ93="","",SUM($AQ$6:AQ93)),"")</f>
        <v/>
      </c>
      <c r="BM93" t="str">
        <f>IF($BA$3=TRUE,IF(AR93="","",SUM($AR$6:AR93)),"")</f>
        <v/>
      </c>
      <c r="BN93" t="str">
        <f>IF($BB$3=TRUE,IF(AS93="","",SUM($AS$6:AS93)),"")</f>
        <v/>
      </c>
    </row>
    <row r="94" spans="34:66" x14ac:dyDescent="0.25">
      <c r="AH94" s="75">
        <v>44819</v>
      </c>
      <c r="AI94">
        <v>2401.83</v>
      </c>
      <c r="AK94" s="75"/>
      <c r="BF94" s="75" t="str">
        <f t="shared" si="11"/>
        <v/>
      </c>
      <c r="BG94" t="str">
        <f>IF($AU$3=TRUE,IF(AL94="","",SUM($AL$6:AL94)),"")</f>
        <v/>
      </c>
      <c r="BH94" t="str">
        <f>IF($AV$3=TRUE,IF(AM94="","",SUM($AM$6:AM94)),"")</f>
        <v/>
      </c>
      <c r="BI94" t="str">
        <f>IF($AW$3=TRUE,IF(AN94="","",SUM($AN$6:AN94)),"")</f>
        <v/>
      </c>
      <c r="BJ94" t="str">
        <f>IF($AX$3=TRUE,IF(AO94="","",SUM($AO$6:AO94)),"")</f>
        <v/>
      </c>
      <c r="BK94" t="str">
        <f>IF($AY$3=TRUE,IF(AP94="","",SUM($AP$6:AP94)),"")</f>
        <v/>
      </c>
      <c r="BL94" t="str">
        <f>IF($AZ$3=TRUE,IF(AQ94="","",SUM($AQ$6:AQ94)),"")</f>
        <v/>
      </c>
      <c r="BM94" t="str">
        <f>IF($BA$3=TRUE,IF(AR94="","",SUM($AR$6:AR94)),"")</f>
        <v/>
      </c>
      <c r="BN94" t="str">
        <f>IF($BB$3=TRUE,IF(AS94="","",SUM($AS$6:AS94)),"")</f>
        <v/>
      </c>
    </row>
    <row r="95" spans="34:66" x14ac:dyDescent="0.25">
      <c r="AH95" s="75">
        <v>44818</v>
      </c>
      <c r="AI95">
        <v>2411.42</v>
      </c>
      <c r="AK95" s="75"/>
      <c r="BF95" s="75" t="str">
        <f t="shared" si="11"/>
        <v/>
      </c>
      <c r="BG95" t="str">
        <f>IF($AU$3=TRUE,IF(AL95="","",SUM($AL$6:AL95)),"")</f>
        <v/>
      </c>
      <c r="BH95" t="str">
        <f>IF($AV$3=TRUE,IF(AM95="","",SUM($AM$6:AM95)),"")</f>
        <v/>
      </c>
      <c r="BI95" t="str">
        <f>IF($AW$3=TRUE,IF(AN95="","",SUM($AN$6:AN95)),"")</f>
        <v/>
      </c>
      <c r="BJ95" t="str">
        <f>IF($AX$3=TRUE,IF(AO95="","",SUM($AO$6:AO95)),"")</f>
        <v/>
      </c>
      <c r="BK95" t="str">
        <f>IF($AY$3=TRUE,IF(AP95="","",SUM($AP$6:AP95)),"")</f>
        <v/>
      </c>
      <c r="BL95" t="str">
        <f>IF($AZ$3=TRUE,IF(AQ95="","",SUM($AQ$6:AQ95)),"")</f>
        <v/>
      </c>
      <c r="BM95" t="str">
        <f>IF($BA$3=TRUE,IF(AR95="","",SUM($AR$6:AR95)),"")</f>
        <v/>
      </c>
      <c r="BN95" t="str">
        <f>IF($BB$3=TRUE,IF(AS95="","",SUM($AS$6:AS95)),"")</f>
        <v/>
      </c>
    </row>
    <row r="96" spans="34:66" x14ac:dyDescent="0.25">
      <c r="AH96" s="75">
        <v>44817</v>
      </c>
      <c r="AI96">
        <v>2449.54</v>
      </c>
      <c r="AK96" s="75"/>
      <c r="BF96" s="75" t="str">
        <f t="shared" si="11"/>
        <v/>
      </c>
      <c r="BG96" t="str">
        <f>IF($AU$3=TRUE,IF(AL96="","",SUM($AL$6:AL96)),"")</f>
        <v/>
      </c>
      <c r="BH96" t="str">
        <f>IF($AV$3=TRUE,IF(AM96="","",SUM($AM$6:AM96)),"")</f>
        <v/>
      </c>
      <c r="BI96" t="str">
        <f>IF($AW$3=TRUE,IF(AN96="","",SUM($AN$6:AN96)),"")</f>
        <v/>
      </c>
      <c r="BJ96" t="str">
        <f>IF($AX$3=TRUE,IF(AO96="","",SUM($AO$6:AO96)),"")</f>
        <v/>
      </c>
      <c r="BK96" t="str">
        <f>IF($AY$3=TRUE,IF(AP96="","",SUM($AP$6:AP96)),"")</f>
        <v/>
      </c>
      <c r="BL96" t="str">
        <f>IF($AZ$3=TRUE,IF(AQ96="","",SUM($AQ$6:AQ96)),"")</f>
        <v/>
      </c>
      <c r="BM96" t="str">
        <f>IF($BA$3=TRUE,IF(AR96="","",SUM($AR$6:AR96)),"")</f>
        <v/>
      </c>
      <c r="BN96" t="str">
        <f>IF($BB$3=TRUE,IF(AS96="","",SUM($AS$6:AS96)),"")</f>
        <v/>
      </c>
    </row>
    <row r="97" spans="34:66" x14ac:dyDescent="0.25">
      <c r="AH97" s="75">
        <v>44812</v>
      </c>
      <c r="AI97">
        <v>2384.2800000000002</v>
      </c>
      <c r="AK97" s="75"/>
      <c r="BF97" s="75" t="str">
        <f t="shared" si="11"/>
        <v/>
      </c>
      <c r="BG97" t="str">
        <f>IF($AU$3=TRUE,IF(AL97="","",SUM($AL$6:AL97)),"")</f>
        <v/>
      </c>
      <c r="BH97" t="str">
        <f>IF($AV$3=TRUE,IF(AM97="","",SUM($AM$6:AM97)),"")</f>
        <v/>
      </c>
      <c r="BI97" t="str">
        <f>IF($AW$3=TRUE,IF(AN97="","",SUM($AN$6:AN97)),"")</f>
        <v/>
      </c>
      <c r="BJ97" t="str">
        <f>IF($AX$3=TRUE,IF(AO97="","",SUM($AO$6:AO97)),"")</f>
        <v/>
      </c>
      <c r="BK97" t="str">
        <f>IF($AY$3=TRUE,IF(AP97="","",SUM($AP$6:AP97)),"")</f>
        <v/>
      </c>
      <c r="BL97" t="str">
        <f>IF($AZ$3=TRUE,IF(AQ97="","",SUM($AQ$6:AQ97)),"")</f>
        <v/>
      </c>
      <c r="BM97" t="str">
        <f>IF($BA$3=TRUE,IF(AR97="","",SUM($AR$6:AR97)),"")</f>
        <v/>
      </c>
      <c r="BN97" t="str">
        <f>IF($BB$3=TRUE,IF(AS97="","",SUM($AS$6:AS97)),"")</f>
        <v/>
      </c>
    </row>
    <row r="98" spans="34:66" x14ac:dyDescent="0.25">
      <c r="AH98" s="75">
        <v>44811</v>
      </c>
      <c r="AI98">
        <v>2376.46</v>
      </c>
      <c r="AK98" s="75"/>
      <c r="BF98" s="75" t="str">
        <f t="shared" si="11"/>
        <v/>
      </c>
      <c r="BG98" t="str">
        <f>IF($AU$3=TRUE,IF(AL98="","",SUM($AL$6:AL98)),"")</f>
        <v/>
      </c>
      <c r="BH98" t="str">
        <f>IF($AV$3=TRUE,IF(AM98="","",SUM($AM$6:AM98)),"")</f>
        <v/>
      </c>
      <c r="BI98" t="str">
        <f>IF($AW$3=TRUE,IF(AN98="","",SUM($AN$6:AN98)),"")</f>
        <v/>
      </c>
      <c r="BJ98" t="str">
        <f>IF($AX$3=TRUE,IF(AO98="","",SUM($AO$6:AO98)),"")</f>
        <v/>
      </c>
      <c r="BK98" t="str">
        <f>IF($AY$3=TRUE,IF(AP98="","",SUM($AP$6:AP98)),"")</f>
        <v/>
      </c>
      <c r="BL98" t="str">
        <f>IF($AZ$3=TRUE,IF(AQ98="","",SUM($AQ$6:AQ98)),"")</f>
        <v/>
      </c>
      <c r="BM98" t="str">
        <f>IF($BA$3=TRUE,IF(AR98="","",SUM($AR$6:AR98)),"")</f>
        <v/>
      </c>
      <c r="BN98" t="str">
        <f>IF($BB$3=TRUE,IF(AS98="","",SUM($AS$6:AS98)),"")</f>
        <v/>
      </c>
    </row>
    <row r="99" spans="34:66" x14ac:dyDescent="0.25">
      <c r="AH99" s="75">
        <v>44810</v>
      </c>
      <c r="AI99">
        <v>2410.02</v>
      </c>
      <c r="AK99" s="75"/>
      <c r="BF99" s="75" t="str">
        <f t="shared" si="11"/>
        <v/>
      </c>
      <c r="BG99" t="str">
        <f>IF($AU$3=TRUE,IF(AL99="","",SUM($AL$6:AL99)),"")</f>
        <v/>
      </c>
      <c r="BH99" t="str">
        <f>IF($AV$3=TRUE,IF(AM99="","",SUM($AM$6:AM99)),"")</f>
        <v/>
      </c>
      <c r="BI99" t="str">
        <f>IF($AW$3=TRUE,IF(AN99="","",SUM($AN$6:AN99)),"")</f>
        <v/>
      </c>
      <c r="BJ99" t="str">
        <f>IF($AX$3=TRUE,IF(AO99="","",SUM($AO$6:AO99)),"")</f>
        <v/>
      </c>
      <c r="BK99" t="str">
        <f>IF($AY$3=TRUE,IF(AP99="","",SUM($AP$6:AP99)),"")</f>
        <v/>
      </c>
      <c r="BL99" t="str">
        <f>IF($AZ$3=TRUE,IF(AQ99="","",SUM($AQ$6:AQ99)),"")</f>
        <v/>
      </c>
      <c r="BM99" t="str">
        <f>IF($BA$3=TRUE,IF(AR99="","",SUM($AR$6:AR99)),"")</f>
        <v/>
      </c>
      <c r="BN99" t="str">
        <f>IF($BB$3=TRUE,IF(AS99="","",SUM($AS$6:AS99)),"")</f>
        <v/>
      </c>
    </row>
    <row r="100" spans="34:66" x14ac:dyDescent="0.25">
      <c r="AH100" s="75">
        <v>44809</v>
      </c>
      <c r="AI100">
        <v>2403.6799999999998</v>
      </c>
      <c r="AK100" s="75"/>
      <c r="BF100" s="75" t="str">
        <f t="shared" si="11"/>
        <v/>
      </c>
      <c r="BG100" t="str">
        <f>IF($AU$3=TRUE,IF(AL100="","",SUM($AL$6:AL100)),"")</f>
        <v/>
      </c>
      <c r="BH100" t="str">
        <f>IF($AV$3=TRUE,IF(AM100="","",SUM($AM$6:AM100)),"")</f>
        <v/>
      </c>
      <c r="BI100" t="str">
        <f>IF($AW$3=TRUE,IF(AN100="","",SUM($AN$6:AN100)),"")</f>
        <v/>
      </c>
      <c r="BJ100" t="str">
        <f>IF($AX$3=TRUE,IF(AO100="","",SUM($AO$6:AO100)),"")</f>
        <v/>
      </c>
      <c r="BK100" t="str">
        <f>IF($AY$3=TRUE,IF(AP100="","",SUM($AP$6:AP100)),"")</f>
        <v/>
      </c>
      <c r="BL100" t="str">
        <f>IF($AZ$3=TRUE,IF(AQ100="","",SUM($AQ$6:AQ100)),"")</f>
        <v/>
      </c>
      <c r="BM100" t="str">
        <f>IF($BA$3=TRUE,IF(AR100="","",SUM($AR$6:AR100)),"")</f>
        <v/>
      </c>
      <c r="BN100" t="str">
        <f>IF($BB$3=TRUE,IF(AS100="","",SUM($AS$6:AS100)),"")</f>
        <v/>
      </c>
    </row>
    <row r="101" spans="34:66" x14ac:dyDescent="0.25">
      <c r="AH101" s="75">
        <v>44806</v>
      </c>
      <c r="AI101">
        <v>2409.41</v>
      </c>
      <c r="AK101" s="75"/>
      <c r="BF101" s="75" t="str">
        <f t="shared" si="11"/>
        <v/>
      </c>
      <c r="BG101" t="str">
        <f>IF($AU$3=TRUE,IF(AL101="","",SUM($AL$6:AL101)),"")</f>
        <v/>
      </c>
      <c r="BH101" t="str">
        <f>IF($AV$3=TRUE,IF(AM101="","",SUM($AM$6:AM101)),"")</f>
        <v/>
      </c>
      <c r="BI101" t="str">
        <f>IF($AW$3=TRUE,IF(AN101="","",SUM($AN$6:AN101)),"")</f>
        <v/>
      </c>
      <c r="BJ101" t="str">
        <f>IF($AX$3=TRUE,IF(AO101="","",SUM($AO$6:AO101)),"")</f>
        <v/>
      </c>
      <c r="BK101" t="str">
        <f>IF($AY$3=TRUE,IF(AP101="","",SUM($AP$6:AP101)),"")</f>
        <v/>
      </c>
      <c r="BL101" t="str">
        <f>IF($AZ$3=TRUE,IF(AQ101="","",SUM($AQ$6:AQ101)),"")</f>
        <v/>
      </c>
      <c r="BM101" t="str">
        <f>IF($BA$3=TRUE,IF(AR101="","",SUM($AR$6:AR101)),"")</f>
        <v/>
      </c>
      <c r="BN101" t="str">
        <f>IF($BB$3=TRUE,IF(AS101="","",SUM($AS$6:AS101)),"")</f>
        <v/>
      </c>
    </row>
    <row r="102" spans="34:66" x14ac:dyDescent="0.25">
      <c r="AH102" s="75">
        <v>44805</v>
      </c>
      <c r="AI102">
        <v>2415.61</v>
      </c>
      <c r="AK102" s="75"/>
      <c r="BF102" s="75" t="str">
        <f t="shared" si="11"/>
        <v/>
      </c>
      <c r="BG102" t="str">
        <f>IF($AU$3=TRUE,IF(AL102="","",SUM($AL$6:AL102)),"")</f>
        <v/>
      </c>
      <c r="BH102" t="str">
        <f>IF($AV$3=TRUE,IF(AM102="","",SUM($AM$6:AM102)),"")</f>
        <v/>
      </c>
      <c r="BI102" t="str">
        <f>IF($AW$3=TRUE,IF(AN102="","",SUM($AN$6:AN102)),"")</f>
        <v/>
      </c>
      <c r="BJ102" t="str">
        <f>IF($AX$3=TRUE,IF(AO102="","",SUM($AO$6:AO102)),"")</f>
        <v/>
      </c>
      <c r="BK102" t="str">
        <f>IF($AY$3=TRUE,IF(AP102="","",SUM($AP$6:AP102)),"")</f>
        <v/>
      </c>
      <c r="BL102" t="str">
        <f>IF($AZ$3=TRUE,IF(AQ102="","",SUM($AQ$6:AQ102)),"")</f>
        <v/>
      </c>
      <c r="BM102" t="str">
        <f>IF($BA$3=TRUE,IF(AR102="","",SUM($AR$6:AR102)),"")</f>
        <v/>
      </c>
      <c r="BN102" t="str">
        <f>IF($BB$3=TRUE,IF(AS102="","",SUM($AS$6:AS102)),"")</f>
        <v/>
      </c>
    </row>
    <row r="103" spans="34:66" x14ac:dyDescent="0.25">
      <c r="AH103" s="75">
        <v>44804</v>
      </c>
      <c r="AI103">
        <v>2472.0500000000002</v>
      </c>
      <c r="AK103" s="75"/>
      <c r="BF103" s="75" t="str">
        <f t="shared" si="11"/>
        <v/>
      </c>
      <c r="BG103" t="str">
        <f>IF($AU$3=TRUE,IF(AL103="","",SUM($AL$6:AL103)),"")</f>
        <v/>
      </c>
      <c r="BH103" t="str">
        <f>IF($AV$3=TRUE,IF(AM103="","",SUM($AM$6:AM103)),"")</f>
        <v/>
      </c>
      <c r="BI103" t="str">
        <f>IF($AW$3=TRUE,IF(AN103="","",SUM($AN$6:AN103)),"")</f>
        <v/>
      </c>
      <c r="BJ103" t="str">
        <f>IF($AX$3=TRUE,IF(AO103="","",SUM($AO$6:AO103)),"")</f>
        <v/>
      </c>
      <c r="BK103" t="str">
        <f>IF($AY$3=TRUE,IF(AP103="","",SUM($AP$6:AP103)),"")</f>
        <v/>
      </c>
      <c r="BL103" t="str">
        <f>IF($AZ$3=TRUE,IF(AQ103="","",SUM($AQ$6:AQ103)),"")</f>
        <v/>
      </c>
      <c r="BM103" t="str">
        <f>IF($BA$3=TRUE,IF(AR103="","",SUM($AR$6:AR103)),"")</f>
        <v/>
      </c>
      <c r="BN103" t="str">
        <f>IF($BB$3=TRUE,IF(AS103="","",SUM($AS$6:AS103)),"")</f>
        <v/>
      </c>
    </row>
    <row r="104" spans="34:66" x14ac:dyDescent="0.25">
      <c r="AH104" s="75">
        <v>44803</v>
      </c>
      <c r="AI104">
        <v>2450.9299999999998</v>
      </c>
      <c r="AK104" s="75"/>
      <c r="BF104" s="75" t="str">
        <f t="shared" si="11"/>
        <v/>
      </c>
      <c r="BG104" t="str">
        <f>IF($AU$3=TRUE,IF(AL104="","",SUM($AL$6:AL104)),"")</f>
        <v/>
      </c>
      <c r="BH104" t="str">
        <f>IF($AV$3=TRUE,IF(AM104="","",SUM($AM$6:AM104)),"")</f>
        <v/>
      </c>
      <c r="BI104" t="str">
        <f>IF($AW$3=TRUE,IF(AN104="","",SUM($AN$6:AN104)),"")</f>
        <v/>
      </c>
      <c r="BJ104" t="str">
        <f>IF($AX$3=TRUE,IF(AO104="","",SUM($AO$6:AO104)),"")</f>
        <v/>
      </c>
      <c r="BK104" t="str">
        <f>IF($AY$3=TRUE,IF(AP104="","",SUM($AP$6:AP104)),"")</f>
        <v/>
      </c>
      <c r="BL104" t="str">
        <f>IF($AZ$3=TRUE,IF(AQ104="","",SUM($AQ$6:AQ104)),"")</f>
        <v/>
      </c>
      <c r="BM104" t="str">
        <f>IF($BA$3=TRUE,IF(AR104="","",SUM($AR$6:AR104)),"")</f>
        <v/>
      </c>
      <c r="BN104" t="str">
        <f>IF($BB$3=TRUE,IF(AS104="","",SUM($AS$6:AS104)),"")</f>
        <v/>
      </c>
    </row>
    <row r="105" spans="34:66" x14ac:dyDescent="0.25">
      <c r="AH105" s="75">
        <v>44802</v>
      </c>
      <c r="AI105">
        <v>2426.89</v>
      </c>
      <c r="AK105" s="75"/>
      <c r="BF105" s="75" t="str">
        <f t="shared" si="11"/>
        <v/>
      </c>
      <c r="BG105" t="str">
        <f>IF($AU$3=TRUE,IF(AL105="","",SUM($AL$6:AL105)),"")</f>
        <v/>
      </c>
      <c r="BH105" t="str">
        <f>IF($AV$3=TRUE,IF(AM105="","",SUM($AM$6:AM105)),"")</f>
        <v/>
      </c>
      <c r="BI105" t="str">
        <f>IF($AW$3=TRUE,IF(AN105="","",SUM($AN$6:AN105)),"")</f>
        <v/>
      </c>
      <c r="BJ105" t="str">
        <f>IF($AX$3=TRUE,IF(AO105="","",SUM($AO$6:AO105)),"")</f>
        <v/>
      </c>
      <c r="BK105" t="str">
        <f>IF($AY$3=TRUE,IF(AP105="","",SUM($AP$6:AP105)),"")</f>
        <v/>
      </c>
      <c r="BL105" t="str">
        <f>IF($AZ$3=TRUE,IF(AQ105="","",SUM($AQ$6:AQ105)),"")</f>
        <v/>
      </c>
      <c r="BM105" t="str">
        <f>IF($BA$3=TRUE,IF(AR105="","",SUM($AR$6:AR105)),"")</f>
        <v/>
      </c>
      <c r="BN105" t="str">
        <f>IF($BB$3=TRUE,IF(AS105="","",SUM($AS$6:AS105)),"")</f>
        <v/>
      </c>
    </row>
    <row r="106" spans="34:66" x14ac:dyDescent="0.25">
      <c r="AH106" s="75">
        <v>44799</v>
      </c>
      <c r="AI106">
        <v>2481.0300000000002</v>
      </c>
      <c r="AK106" s="75"/>
      <c r="BF106" s="75" t="str">
        <f t="shared" si="11"/>
        <v/>
      </c>
      <c r="BG106" t="str">
        <f>IF($AU$3=TRUE,IF(AL106="","",SUM($AL$6:AL106)),"")</f>
        <v/>
      </c>
      <c r="BH106" t="str">
        <f>IF($AV$3=TRUE,IF(AM106="","",SUM($AM$6:AM106)),"")</f>
        <v/>
      </c>
      <c r="BI106" t="str">
        <f>IF($AW$3=TRUE,IF(AN106="","",SUM($AN$6:AN106)),"")</f>
        <v/>
      </c>
      <c r="BJ106" t="str">
        <f>IF($AX$3=TRUE,IF(AO106="","",SUM($AO$6:AO106)),"")</f>
        <v/>
      </c>
      <c r="BK106" t="str">
        <f>IF($AY$3=TRUE,IF(AP106="","",SUM($AP$6:AP106)),"")</f>
        <v/>
      </c>
      <c r="BL106" t="str">
        <f>IF($AZ$3=TRUE,IF(AQ106="","",SUM($AQ$6:AQ106)),"")</f>
        <v/>
      </c>
      <c r="BM106" t="str">
        <f>IF($BA$3=TRUE,IF(AR106="","",SUM($AR$6:AR106)),"")</f>
        <v/>
      </c>
      <c r="BN106" t="str">
        <f>IF($BB$3=TRUE,IF(AS106="","",SUM($AS$6:AS106)),"")</f>
        <v/>
      </c>
    </row>
    <row r="107" spans="34:66" x14ac:dyDescent="0.25">
      <c r="AH107" s="75">
        <v>44798</v>
      </c>
      <c r="AI107">
        <v>2477.2600000000002</v>
      </c>
      <c r="AK107" s="75"/>
      <c r="BF107" s="75" t="str">
        <f t="shared" si="11"/>
        <v/>
      </c>
      <c r="BG107" t="str">
        <f>IF($AU$3=TRUE,IF(AL107="","",SUM($AL$6:AL107)),"")</f>
        <v/>
      </c>
      <c r="BH107" t="str">
        <f>IF($AV$3=TRUE,IF(AM107="","",SUM($AM$6:AM107)),"")</f>
        <v/>
      </c>
      <c r="BI107" t="str">
        <f>IF($AW$3=TRUE,IF(AN107="","",SUM($AN$6:AN107)),"")</f>
        <v/>
      </c>
      <c r="BJ107" t="str">
        <f>IF($AX$3=TRUE,IF(AO107="","",SUM($AO$6:AO107)),"")</f>
        <v/>
      </c>
      <c r="BK107" t="str">
        <f>IF($AY$3=TRUE,IF(AP107="","",SUM($AP$6:AP107)),"")</f>
        <v/>
      </c>
      <c r="BL107" t="str">
        <f>IF($AZ$3=TRUE,IF(AQ107="","",SUM($AQ$6:AQ107)),"")</f>
        <v/>
      </c>
      <c r="BM107" t="str">
        <f>IF($BA$3=TRUE,IF(AR107="","",SUM($AR$6:AR107)),"")</f>
        <v/>
      </c>
      <c r="BN107" t="str">
        <f>IF($BB$3=TRUE,IF(AS107="","",SUM($AS$6:AS107)),"")</f>
        <v/>
      </c>
    </row>
    <row r="108" spans="34:66" x14ac:dyDescent="0.25">
      <c r="AH108" s="75">
        <v>44797</v>
      </c>
      <c r="AI108">
        <v>2447.4499999999998</v>
      </c>
      <c r="AK108" s="75"/>
      <c r="BF108" s="75" t="str">
        <f t="shared" si="11"/>
        <v/>
      </c>
      <c r="BG108" t="str">
        <f>IF($AU$3=TRUE,IF(AL108="","",SUM($AL$6:AL108)),"")</f>
        <v/>
      </c>
      <c r="BH108" t="str">
        <f>IF($AV$3=TRUE,IF(AM108="","",SUM($AM$6:AM108)),"")</f>
        <v/>
      </c>
      <c r="BI108" t="str">
        <f>IF($AW$3=TRUE,IF(AN108="","",SUM($AN$6:AN108)),"")</f>
        <v/>
      </c>
      <c r="BJ108" t="str">
        <f>IF($AX$3=TRUE,IF(AO108="","",SUM($AO$6:AO108)),"")</f>
        <v/>
      </c>
      <c r="BK108" t="str">
        <f>IF($AY$3=TRUE,IF(AP108="","",SUM($AP$6:AP108)),"")</f>
        <v/>
      </c>
      <c r="BL108" t="str">
        <f>IF($AZ$3=TRUE,IF(AQ108="","",SUM($AQ$6:AQ108)),"")</f>
        <v/>
      </c>
      <c r="BM108" t="str">
        <f>IF($BA$3=TRUE,IF(AR108="","",SUM($AR$6:AR108)),"")</f>
        <v/>
      </c>
      <c r="BN108" t="str">
        <f>IF($BB$3=TRUE,IF(AS108="","",SUM($AS$6:AS108)),"")</f>
        <v/>
      </c>
    </row>
    <row r="109" spans="34:66" x14ac:dyDescent="0.25">
      <c r="AH109" s="75">
        <v>44796</v>
      </c>
      <c r="AI109">
        <v>2435.34</v>
      </c>
      <c r="AK109" s="75"/>
      <c r="BF109" s="75" t="str">
        <f t="shared" si="11"/>
        <v/>
      </c>
      <c r="BG109" t="str">
        <f>IF($AU$3=TRUE,IF(AL109="","",SUM($AL$6:AL109)),"")</f>
        <v/>
      </c>
      <c r="BH109" t="str">
        <f>IF($AV$3=TRUE,IF(AM109="","",SUM($AM$6:AM109)),"")</f>
        <v/>
      </c>
      <c r="BI109" t="str">
        <f>IF($AW$3=TRUE,IF(AN109="","",SUM($AN$6:AN109)),"")</f>
        <v/>
      </c>
      <c r="BJ109" t="str">
        <f>IF($AX$3=TRUE,IF(AO109="","",SUM($AO$6:AO109)),"")</f>
        <v/>
      </c>
      <c r="BK109" t="str">
        <f>IF($AY$3=TRUE,IF(AP109="","",SUM($AP$6:AP109)),"")</f>
        <v/>
      </c>
      <c r="BL109" t="str">
        <f>IF($AZ$3=TRUE,IF(AQ109="","",SUM($AQ$6:AQ109)),"")</f>
        <v/>
      </c>
      <c r="BM109" t="str">
        <f>IF($BA$3=TRUE,IF(AR109="","",SUM($AR$6:AR109)),"")</f>
        <v/>
      </c>
      <c r="BN109" t="str">
        <f>IF($BB$3=TRUE,IF(AS109="","",SUM($AS$6:AS109)),"")</f>
        <v/>
      </c>
    </row>
    <row r="110" spans="34:66" x14ac:dyDescent="0.25">
      <c r="AH110" s="75">
        <v>44795</v>
      </c>
      <c r="AI110">
        <v>2462.5</v>
      </c>
      <c r="AK110" s="75"/>
      <c r="BF110" s="75" t="str">
        <f t="shared" si="11"/>
        <v/>
      </c>
      <c r="BG110" t="str">
        <f>IF($AU$3=TRUE,IF(AL110="","",SUM($AL$6:AL110)),"")</f>
        <v/>
      </c>
      <c r="BH110" t="str">
        <f>IF($AV$3=TRUE,IF(AM110="","",SUM($AM$6:AM110)),"")</f>
        <v/>
      </c>
      <c r="BI110" t="str">
        <f>IF($AW$3=TRUE,IF(AN110="","",SUM($AN$6:AN110)),"")</f>
        <v/>
      </c>
      <c r="BJ110" t="str">
        <f>IF($AX$3=TRUE,IF(AO110="","",SUM($AO$6:AO110)),"")</f>
        <v/>
      </c>
      <c r="BK110" t="str">
        <f>IF($AY$3=TRUE,IF(AP110="","",SUM($AP$6:AP110)),"")</f>
        <v/>
      </c>
      <c r="BL110" t="str">
        <f>IF($AZ$3=TRUE,IF(AQ110="","",SUM($AQ$6:AQ110)),"")</f>
        <v/>
      </c>
      <c r="BM110" t="str">
        <f>IF($BA$3=TRUE,IF(AR110="","",SUM($AR$6:AR110)),"")</f>
        <v/>
      </c>
      <c r="BN110" t="str">
        <f>IF($BB$3=TRUE,IF(AS110="","",SUM($AS$6:AS110)),"")</f>
        <v/>
      </c>
    </row>
    <row r="111" spans="34:66" x14ac:dyDescent="0.25">
      <c r="AH111" s="75">
        <v>44792</v>
      </c>
      <c r="AI111">
        <v>2492.69</v>
      </c>
      <c r="AK111" s="75"/>
      <c r="BF111" s="75" t="str">
        <f t="shared" si="11"/>
        <v/>
      </c>
      <c r="BG111" t="str">
        <f>IF($AU$3=TRUE,IF(AL111="","",SUM($AL$6:AL111)),"")</f>
        <v/>
      </c>
      <c r="BH111" t="str">
        <f>IF($AV$3=TRUE,IF(AM111="","",SUM($AM$6:AM111)),"")</f>
        <v/>
      </c>
      <c r="BI111" t="str">
        <f>IF($AW$3=TRUE,IF(AN111="","",SUM($AN$6:AN111)),"")</f>
        <v/>
      </c>
      <c r="BJ111" t="str">
        <f>IF($AX$3=TRUE,IF(AO111="","",SUM($AO$6:AO111)),"")</f>
        <v/>
      </c>
      <c r="BK111" t="str">
        <f>IF($AY$3=TRUE,IF(AP111="","",SUM($AP$6:AP111)),"")</f>
        <v/>
      </c>
      <c r="BL111" t="str">
        <f>IF($AZ$3=TRUE,IF(AQ111="","",SUM($AQ$6:AQ111)),"")</f>
        <v/>
      </c>
      <c r="BM111" t="str">
        <f>IF($BA$3=TRUE,IF(AR111="","",SUM($AR$6:AR111)),"")</f>
        <v/>
      </c>
      <c r="BN111" t="str">
        <f>IF($BB$3=TRUE,IF(AS111="","",SUM($AS$6:AS111)),"")</f>
        <v/>
      </c>
    </row>
    <row r="112" spans="34:66" x14ac:dyDescent="0.25">
      <c r="AH112" s="75">
        <v>44791</v>
      </c>
      <c r="AI112">
        <v>2508.0500000000002</v>
      </c>
      <c r="AK112" s="75"/>
      <c r="BF112" s="75" t="str">
        <f t="shared" si="11"/>
        <v/>
      </c>
      <c r="BG112" t="str">
        <f>IF($AU$3=TRUE,IF(AL112="","",SUM($AL$6:AL112)),"")</f>
        <v/>
      </c>
      <c r="BH112" t="str">
        <f>IF($AV$3=TRUE,IF(AM112="","",SUM($AM$6:AM112)),"")</f>
        <v/>
      </c>
      <c r="BI112" t="str">
        <f>IF($AW$3=TRUE,IF(AN112="","",SUM($AN$6:AN112)),"")</f>
        <v/>
      </c>
      <c r="BJ112" t="str">
        <f>IF($AX$3=TRUE,IF(AO112="","",SUM($AO$6:AO112)),"")</f>
        <v/>
      </c>
      <c r="BK112" t="str">
        <f>IF($AY$3=TRUE,IF(AP112="","",SUM($AP$6:AP112)),"")</f>
        <v/>
      </c>
      <c r="BL112" t="str">
        <f>IF($AZ$3=TRUE,IF(AQ112="","",SUM($AQ$6:AQ112)),"")</f>
        <v/>
      </c>
      <c r="BM112" t="str">
        <f>IF($BA$3=TRUE,IF(AR112="","",SUM($AR$6:AR112)),"")</f>
        <v/>
      </c>
      <c r="BN112" t="str">
        <f>IF($BB$3=TRUE,IF(AS112="","",SUM($AS$6:AS112)),"")</f>
        <v/>
      </c>
    </row>
    <row r="113" spans="34:66" x14ac:dyDescent="0.25">
      <c r="AH113" s="75">
        <v>44790</v>
      </c>
      <c r="AI113">
        <v>2516.4699999999998</v>
      </c>
      <c r="AK113" s="75"/>
      <c r="BF113" s="75" t="str">
        <f t="shared" si="11"/>
        <v/>
      </c>
      <c r="BG113" t="str">
        <f>IF($AU$3=TRUE,IF(AL113="","",SUM($AL$6:AL113)),"")</f>
        <v/>
      </c>
      <c r="BH113" t="str">
        <f>IF($AV$3=TRUE,IF(AM113="","",SUM($AM$6:AM113)),"")</f>
        <v/>
      </c>
      <c r="BI113" t="str">
        <f>IF($AW$3=TRUE,IF(AN113="","",SUM($AN$6:AN113)),"")</f>
        <v/>
      </c>
      <c r="BJ113" t="str">
        <f>IF($AX$3=TRUE,IF(AO113="","",SUM($AO$6:AO113)),"")</f>
        <v/>
      </c>
      <c r="BK113" t="str">
        <f>IF($AY$3=TRUE,IF(AP113="","",SUM($AP$6:AP113)),"")</f>
        <v/>
      </c>
      <c r="BL113" t="str">
        <f>IF($AZ$3=TRUE,IF(AQ113="","",SUM($AQ$6:AQ113)),"")</f>
        <v/>
      </c>
      <c r="BM113" t="str">
        <f>IF($BA$3=TRUE,IF(AR113="","",SUM($AR$6:AR113)),"")</f>
        <v/>
      </c>
      <c r="BN113" t="str">
        <f>IF($BB$3=TRUE,IF(AS113="","",SUM($AS$6:AS113)),"")</f>
        <v/>
      </c>
    </row>
    <row r="114" spans="34:66" x14ac:dyDescent="0.25">
      <c r="AH114" s="75">
        <v>44789</v>
      </c>
      <c r="AI114">
        <v>2533.52</v>
      </c>
      <c r="AK114" s="75"/>
      <c r="BF114" s="75" t="str">
        <f t="shared" si="11"/>
        <v/>
      </c>
      <c r="BG114" t="str">
        <f>IF($AU$3=TRUE,IF(AL114="","",SUM($AL$6:AL114)),"")</f>
        <v/>
      </c>
      <c r="BH114" t="str">
        <f>IF($AV$3=TRUE,IF(AM114="","",SUM($AM$6:AM114)),"")</f>
        <v/>
      </c>
      <c r="BI114" t="str">
        <f>IF($AW$3=TRUE,IF(AN114="","",SUM($AN$6:AN114)),"")</f>
        <v/>
      </c>
      <c r="BJ114" t="str">
        <f>IF($AX$3=TRUE,IF(AO114="","",SUM($AO$6:AO114)),"")</f>
        <v/>
      </c>
      <c r="BK114" t="str">
        <f>IF($AY$3=TRUE,IF(AP114="","",SUM($AP$6:AP114)),"")</f>
        <v/>
      </c>
      <c r="BL114" t="str">
        <f>IF($AZ$3=TRUE,IF(AQ114="","",SUM($AQ$6:AQ114)),"")</f>
        <v/>
      </c>
      <c r="BM114" t="str">
        <f>IF($BA$3=TRUE,IF(AR114="","",SUM($AR$6:AR114)),"")</f>
        <v/>
      </c>
      <c r="BN114" t="str">
        <f>IF($BB$3=TRUE,IF(AS114="","",SUM($AS$6:AS114)),"")</f>
        <v/>
      </c>
    </row>
    <row r="115" spans="34:66" x14ac:dyDescent="0.25">
      <c r="AH115" s="75">
        <v>44785</v>
      </c>
      <c r="AI115">
        <v>2527.94</v>
      </c>
      <c r="AK115" s="75"/>
      <c r="BF115" s="75" t="str">
        <f t="shared" si="11"/>
        <v/>
      </c>
      <c r="BG115" t="str">
        <f>IF($AU$3=TRUE,IF(AL115="","",SUM($AL$6:AL115)),"")</f>
        <v/>
      </c>
      <c r="BH115" t="str">
        <f>IF($AV$3=TRUE,IF(AM115="","",SUM($AM$6:AM115)),"")</f>
        <v/>
      </c>
      <c r="BI115" t="str">
        <f>IF($AW$3=TRUE,IF(AN115="","",SUM($AN$6:AN115)),"")</f>
        <v/>
      </c>
      <c r="BJ115" t="str">
        <f>IF($AX$3=TRUE,IF(AO115="","",SUM($AO$6:AO115)),"")</f>
        <v/>
      </c>
      <c r="BK115" t="str">
        <f>IF($AY$3=TRUE,IF(AP115="","",SUM($AP$6:AP115)),"")</f>
        <v/>
      </c>
      <c r="BL115" t="str">
        <f>IF($AZ$3=TRUE,IF(AQ115="","",SUM($AQ$6:AQ115)),"")</f>
        <v/>
      </c>
      <c r="BM115" t="str">
        <f>IF($BA$3=TRUE,IF(AR115="","",SUM($AR$6:AR115)),"")</f>
        <v/>
      </c>
      <c r="BN115" t="str">
        <f>IF($BB$3=TRUE,IF(AS115="","",SUM($AS$6:AS115)),"")</f>
        <v/>
      </c>
    </row>
    <row r="116" spans="34:66" x14ac:dyDescent="0.25">
      <c r="AH116" s="75">
        <v>44784</v>
      </c>
      <c r="AI116">
        <v>2523.7800000000002</v>
      </c>
      <c r="AK116" s="75"/>
      <c r="BF116" s="75" t="str">
        <f t="shared" si="11"/>
        <v/>
      </c>
      <c r="BG116" t="str">
        <f>IF($AU$3=TRUE,IF(AL116="","",SUM($AL$6:AL116)),"")</f>
        <v/>
      </c>
      <c r="BH116" t="str">
        <f>IF($AV$3=TRUE,IF(AM116="","",SUM($AM$6:AM116)),"")</f>
        <v/>
      </c>
      <c r="BI116" t="str">
        <f>IF($AW$3=TRUE,IF(AN116="","",SUM($AN$6:AN116)),"")</f>
        <v/>
      </c>
      <c r="BJ116" t="str">
        <f>IF($AX$3=TRUE,IF(AO116="","",SUM($AO$6:AO116)),"")</f>
        <v/>
      </c>
      <c r="BK116" t="str">
        <f>IF($AY$3=TRUE,IF(AP116="","",SUM($AP$6:AP116)),"")</f>
        <v/>
      </c>
      <c r="BL116" t="str">
        <f>IF($AZ$3=TRUE,IF(AQ116="","",SUM($AQ$6:AQ116)),"")</f>
        <v/>
      </c>
      <c r="BM116" t="str">
        <f>IF($BA$3=TRUE,IF(AR116="","",SUM($AR$6:AR116)),"")</f>
        <v/>
      </c>
      <c r="BN116" t="str">
        <f>IF($BB$3=TRUE,IF(AS116="","",SUM($AS$6:AS116)),"")</f>
        <v/>
      </c>
    </row>
    <row r="117" spans="34:66" x14ac:dyDescent="0.25">
      <c r="AH117" s="75">
        <v>44783</v>
      </c>
      <c r="AI117">
        <v>2480.88</v>
      </c>
      <c r="AK117" s="75"/>
      <c r="BF117" s="75" t="str">
        <f t="shared" si="11"/>
        <v/>
      </c>
      <c r="BG117" t="str">
        <f>IF($AU$3=TRUE,IF(AL117="","",SUM($AL$6:AL117)),"")</f>
        <v/>
      </c>
      <c r="BH117" t="str">
        <f>IF($AV$3=TRUE,IF(AM117="","",SUM($AM$6:AM117)),"")</f>
        <v/>
      </c>
      <c r="BI117" t="str">
        <f>IF($AW$3=TRUE,IF(AN117="","",SUM($AN$6:AN117)),"")</f>
        <v/>
      </c>
      <c r="BJ117" t="str">
        <f>IF($AX$3=TRUE,IF(AO117="","",SUM($AO$6:AO117)),"")</f>
        <v/>
      </c>
      <c r="BK117" t="str">
        <f>IF($AY$3=TRUE,IF(AP117="","",SUM($AP$6:AP117)),"")</f>
        <v/>
      </c>
      <c r="BL117" t="str">
        <f>IF($AZ$3=TRUE,IF(AQ117="","",SUM($AQ$6:AQ117)),"")</f>
        <v/>
      </c>
      <c r="BM117" t="str">
        <f>IF($BA$3=TRUE,IF(AR117="","",SUM($AR$6:AR117)),"")</f>
        <v/>
      </c>
      <c r="BN117" t="str">
        <f>IF($BB$3=TRUE,IF(AS117="","",SUM($AS$6:AS117)),"")</f>
        <v/>
      </c>
    </row>
    <row r="118" spans="34:66" x14ac:dyDescent="0.25">
      <c r="AH118" s="75">
        <v>44782</v>
      </c>
      <c r="AI118">
        <v>2503.46</v>
      </c>
      <c r="AK118" s="75"/>
      <c r="BF118" s="75" t="str">
        <f t="shared" si="11"/>
        <v/>
      </c>
      <c r="BG118" t="str">
        <f>IF($AU$3=TRUE,IF(AL118="","",SUM($AL$6:AL118)),"")</f>
        <v/>
      </c>
      <c r="BH118" t="str">
        <f>IF($AV$3=TRUE,IF(AM118="","",SUM($AM$6:AM118)),"")</f>
        <v/>
      </c>
      <c r="BI118" t="str">
        <f>IF($AW$3=TRUE,IF(AN118="","",SUM($AN$6:AN118)),"")</f>
        <v/>
      </c>
      <c r="BJ118" t="str">
        <f>IF($AX$3=TRUE,IF(AO118="","",SUM($AO$6:AO118)),"")</f>
        <v/>
      </c>
      <c r="BK118" t="str">
        <f>IF($AY$3=TRUE,IF(AP118="","",SUM($AP$6:AP118)),"")</f>
        <v/>
      </c>
      <c r="BL118" t="str">
        <f>IF($AZ$3=TRUE,IF(AQ118="","",SUM($AQ$6:AQ118)),"")</f>
        <v/>
      </c>
      <c r="BM118" t="str">
        <f>IF($BA$3=TRUE,IF(AR118="","",SUM($AR$6:AR118)),"")</f>
        <v/>
      </c>
      <c r="BN118" t="str">
        <f>IF($BB$3=TRUE,IF(AS118="","",SUM($AS$6:AS118)),"")</f>
        <v/>
      </c>
    </row>
    <row r="119" spans="34:66" x14ac:dyDescent="0.25">
      <c r="AH119" s="75">
        <v>44781</v>
      </c>
      <c r="AI119">
        <v>2493.1</v>
      </c>
      <c r="AK119" s="75"/>
      <c r="BF119" s="75" t="str">
        <f t="shared" si="11"/>
        <v/>
      </c>
      <c r="BG119" t="str">
        <f>IF($AU$3=TRUE,IF(AL119="","",SUM($AL$6:AL119)),"")</f>
        <v/>
      </c>
      <c r="BH119" t="str">
        <f>IF($AV$3=TRUE,IF(AM119="","",SUM($AM$6:AM119)),"")</f>
        <v/>
      </c>
      <c r="BI119" t="str">
        <f>IF($AW$3=TRUE,IF(AN119="","",SUM($AN$6:AN119)),"")</f>
        <v/>
      </c>
      <c r="BJ119" t="str">
        <f>IF($AX$3=TRUE,IF(AO119="","",SUM($AO$6:AO119)),"")</f>
        <v/>
      </c>
      <c r="BK119" t="str">
        <f>IF($AY$3=TRUE,IF(AP119="","",SUM($AP$6:AP119)),"")</f>
        <v/>
      </c>
      <c r="BL119" t="str">
        <f>IF($AZ$3=TRUE,IF(AQ119="","",SUM($AQ$6:AQ119)),"")</f>
        <v/>
      </c>
      <c r="BM119" t="str">
        <f>IF($BA$3=TRUE,IF(AR119="","",SUM($AR$6:AR119)),"")</f>
        <v/>
      </c>
      <c r="BN119" t="str">
        <f>IF($BB$3=TRUE,IF(AS119="","",SUM($AS$6:AS119)),"")</f>
        <v/>
      </c>
    </row>
    <row r="120" spans="34:66" x14ac:dyDescent="0.25">
      <c r="AH120" s="75">
        <v>44778</v>
      </c>
      <c r="AI120">
        <v>2490.8000000000002</v>
      </c>
      <c r="AK120" s="75"/>
      <c r="BF120" s="75" t="str">
        <f t="shared" si="11"/>
        <v/>
      </c>
      <c r="BG120" t="str">
        <f>IF($AU$3=TRUE,IF(AL120="","",SUM($AL$6:AL120)),"")</f>
        <v/>
      </c>
      <c r="BH120" t="str">
        <f>IF($AV$3=TRUE,IF(AM120="","",SUM($AM$6:AM120)),"")</f>
        <v/>
      </c>
      <c r="BI120" t="str">
        <f>IF($AW$3=TRUE,IF(AN120="","",SUM($AN$6:AN120)),"")</f>
        <v/>
      </c>
      <c r="BJ120" t="str">
        <f>IF($AX$3=TRUE,IF(AO120="","",SUM($AO$6:AO120)),"")</f>
        <v/>
      </c>
      <c r="BK120" t="str">
        <f>IF($AY$3=TRUE,IF(AP120="","",SUM($AP$6:AP120)),"")</f>
        <v/>
      </c>
      <c r="BL120" t="str">
        <f>IF($AZ$3=TRUE,IF(AQ120="","",SUM($AQ$6:AQ120)),"")</f>
        <v/>
      </c>
      <c r="BM120" t="str">
        <f>IF($BA$3=TRUE,IF(AR120="","",SUM($AR$6:AR120)),"")</f>
        <v/>
      </c>
      <c r="BN120" t="str">
        <f>IF($BB$3=TRUE,IF(AS120="","",SUM($AS$6:AS120)),"")</f>
        <v/>
      </c>
    </row>
    <row r="121" spans="34:66" x14ac:dyDescent="0.25">
      <c r="AH121" s="75">
        <v>44777</v>
      </c>
      <c r="AI121">
        <v>2473.11</v>
      </c>
      <c r="AK121" s="75"/>
      <c r="BF121" s="75" t="str">
        <f t="shared" si="11"/>
        <v/>
      </c>
      <c r="BG121" t="str">
        <f>IF($AU$3=TRUE,IF(AL121="","",SUM($AL$6:AL121)),"")</f>
        <v/>
      </c>
      <c r="BH121" t="str">
        <f>IF($AV$3=TRUE,IF(AM121="","",SUM($AM$6:AM121)),"")</f>
        <v/>
      </c>
      <c r="BI121" t="str">
        <f>IF($AW$3=TRUE,IF(AN121="","",SUM($AN$6:AN121)),"")</f>
        <v/>
      </c>
      <c r="BJ121" t="str">
        <f>IF($AX$3=TRUE,IF(AO121="","",SUM($AO$6:AO121)),"")</f>
        <v/>
      </c>
      <c r="BK121" t="str">
        <f>IF($AY$3=TRUE,IF(AP121="","",SUM($AP$6:AP121)),"")</f>
        <v/>
      </c>
      <c r="BL121" t="str">
        <f>IF($AZ$3=TRUE,IF(AQ121="","",SUM($AQ$6:AQ121)),"")</f>
        <v/>
      </c>
      <c r="BM121" t="str">
        <f>IF($BA$3=TRUE,IF(AR121="","",SUM($AR$6:AR121)),"")</f>
        <v/>
      </c>
      <c r="BN121" t="str">
        <f>IF($BB$3=TRUE,IF(AS121="","",SUM($AS$6:AS121)),"")</f>
        <v/>
      </c>
    </row>
    <row r="122" spans="34:66" x14ac:dyDescent="0.25">
      <c r="AH122" s="75">
        <v>44776</v>
      </c>
      <c r="AI122">
        <v>2461.4499999999998</v>
      </c>
      <c r="AK122" s="75"/>
      <c r="BF122" s="75" t="str">
        <f t="shared" si="11"/>
        <v/>
      </c>
      <c r="BG122" t="str">
        <f>IF($AU$3=TRUE,IF(AL122="","",SUM($AL$6:AL122)),"")</f>
        <v/>
      </c>
      <c r="BH122" t="str">
        <f>IF($AV$3=TRUE,IF(AM122="","",SUM($AM$6:AM122)),"")</f>
        <v/>
      </c>
      <c r="BI122" t="str">
        <f>IF($AW$3=TRUE,IF(AN122="","",SUM($AN$6:AN122)),"")</f>
        <v/>
      </c>
      <c r="BJ122" t="str">
        <f>IF($AX$3=TRUE,IF(AO122="","",SUM($AO$6:AO122)),"")</f>
        <v/>
      </c>
      <c r="BK122" t="str">
        <f>IF($AY$3=TRUE,IF(AP122="","",SUM($AP$6:AP122)),"")</f>
        <v/>
      </c>
      <c r="BL122" t="str">
        <f>IF($AZ$3=TRUE,IF(AQ122="","",SUM($AQ$6:AQ122)),"")</f>
        <v/>
      </c>
      <c r="BM122" t="str">
        <f>IF($BA$3=TRUE,IF(AR122="","",SUM($AR$6:AR122)),"")</f>
        <v/>
      </c>
      <c r="BN122" t="str">
        <f>IF($BB$3=TRUE,IF(AS122="","",SUM($AS$6:AS122)),"")</f>
        <v/>
      </c>
    </row>
    <row r="123" spans="34:66" x14ac:dyDescent="0.25">
      <c r="AH123" s="75">
        <v>44775</v>
      </c>
      <c r="AI123">
        <v>2439.62</v>
      </c>
      <c r="AK123" s="75"/>
      <c r="BF123" s="75" t="str">
        <f t="shared" si="11"/>
        <v/>
      </c>
      <c r="BG123" t="str">
        <f>IF($AU$3=TRUE,IF(AL123="","",SUM($AL$6:AL123)),"")</f>
        <v/>
      </c>
      <c r="BH123" t="str">
        <f>IF($AV$3=TRUE,IF(AM123="","",SUM($AM$6:AM123)),"")</f>
        <v/>
      </c>
      <c r="BI123" t="str">
        <f>IF($AW$3=TRUE,IF(AN123="","",SUM($AN$6:AN123)),"")</f>
        <v/>
      </c>
      <c r="BJ123" t="str">
        <f>IF($AX$3=TRUE,IF(AO123="","",SUM($AO$6:AO123)),"")</f>
        <v/>
      </c>
      <c r="BK123" t="str">
        <f>IF($AY$3=TRUE,IF(AP123="","",SUM($AP$6:AP123)),"")</f>
        <v/>
      </c>
      <c r="BL123" t="str">
        <f>IF($AZ$3=TRUE,IF(AQ123="","",SUM($AQ$6:AQ123)),"")</f>
        <v/>
      </c>
      <c r="BM123" t="str">
        <f>IF($BA$3=TRUE,IF(AR123="","",SUM($AR$6:AR123)),"")</f>
        <v/>
      </c>
      <c r="BN123" t="str">
        <f>IF($BB$3=TRUE,IF(AS123="","",SUM($AS$6:AS123)),"")</f>
        <v/>
      </c>
    </row>
    <row r="124" spans="34:66" x14ac:dyDescent="0.25">
      <c r="AH124" s="75">
        <v>44774</v>
      </c>
      <c r="AI124">
        <v>2452.25</v>
      </c>
      <c r="AK124" s="75"/>
      <c r="BF124" s="75" t="str">
        <f t="shared" si="11"/>
        <v/>
      </c>
      <c r="BG124" t="str">
        <f>IF($AU$3=TRUE,IF(AL124="","",SUM($AL$6:AL124)),"")</f>
        <v/>
      </c>
      <c r="BH124" t="str">
        <f>IF($AV$3=TRUE,IF(AM124="","",SUM($AM$6:AM124)),"")</f>
        <v/>
      </c>
      <c r="BI124" t="str">
        <f>IF($AW$3=TRUE,IF(AN124="","",SUM($AN$6:AN124)),"")</f>
        <v/>
      </c>
      <c r="BJ124" t="str">
        <f>IF($AX$3=TRUE,IF(AO124="","",SUM($AO$6:AO124)),"")</f>
        <v/>
      </c>
      <c r="BK124" t="str">
        <f>IF($AY$3=TRUE,IF(AP124="","",SUM($AP$6:AP124)),"")</f>
        <v/>
      </c>
      <c r="BL124" t="str">
        <f>IF($AZ$3=TRUE,IF(AQ124="","",SUM($AQ$6:AQ124)),"")</f>
        <v/>
      </c>
      <c r="BM124" t="str">
        <f>IF($BA$3=TRUE,IF(AR124="","",SUM($AR$6:AR124)),"")</f>
        <v/>
      </c>
      <c r="BN124" t="str">
        <f>IF($BB$3=TRUE,IF(AS124="","",SUM($AS$6:AS124)),"")</f>
        <v/>
      </c>
    </row>
    <row r="125" spans="34:66" x14ac:dyDescent="0.25">
      <c r="AH125" s="75">
        <v>44771</v>
      </c>
      <c r="AI125">
        <v>2451.5</v>
      </c>
      <c r="AK125" s="75"/>
      <c r="BF125" s="75" t="str">
        <f t="shared" si="11"/>
        <v/>
      </c>
      <c r="BG125" t="str">
        <f>IF($AU$3=TRUE,IF(AL125="","",SUM($AL$6:AL125)),"")</f>
        <v/>
      </c>
      <c r="BH125" t="str">
        <f>IF($AV$3=TRUE,IF(AM125="","",SUM($AM$6:AM125)),"")</f>
        <v/>
      </c>
      <c r="BI125" t="str">
        <f>IF($AW$3=TRUE,IF(AN125="","",SUM($AN$6:AN125)),"")</f>
        <v/>
      </c>
      <c r="BJ125" t="str">
        <f>IF($AX$3=TRUE,IF(AO125="","",SUM($AO$6:AO125)),"")</f>
        <v/>
      </c>
      <c r="BK125" t="str">
        <f>IF($AY$3=TRUE,IF(AP125="","",SUM($AP$6:AP125)),"")</f>
        <v/>
      </c>
      <c r="BL125" t="str">
        <f>IF($AZ$3=TRUE,IF(AQ125="","",SUM($AQ$6:AQ125)),"")</f>
        <v/>
      </c>
      <c r="BM125" t="str">
        <f>IF($BA$3=TRUE,IF(AR125="","",SUM($AR$6:AR125)),"")</f>
        <v/>
      </c>
      <c r="BN125" t="str">
        <f>IF($BB$3=TRUE,IF(AS125="","",SUM($AS$6:AS125)),"")</f>
        <v/>
      </c>
    </row>
    <row r="126" spans="34:66" x14ac:dyDescent="0.25">
      <c r="AH126" s="75">
        <v>44770</v>
      </c>
      <c r="AI126">
        <v>2435.27</v>
      </c>
      <c r="AK126" s="75"/>
      <c r="BF126" s="75" t="str">
        <f t="shared" si="11"/>
        <v/>
      </c>
      <c r="BG126" t="str">
        <f>IF($AU$3=TRUE,IF(AL126="","",SUM($AL$6:AL126)),"")</f>
        <v/>
      </c>
      <c r="BH126" t="str">
        <f>IF($AV$3=TRUE,IF(AM126="","",SUM($AM$6:AM126)),"")</f>
        <v/>
      </c>
      <c r="BI126" t="str">
        <f>IF($AW$3=TRUE,IF(AN126="","",SUM($AN$6:AN126)),"")</f>
        <v/>
      </c>
      <c r="BJ126" t="str">
        <f>IF($AX$3=TRUE,IF(AO126="","",SUM($AO$6:AO126)),"")</f>
        <v/>
      </c>
      <c r="BK126" t="str">
        <f>IF($AY$3=TRUE,IF(AP126="","",SUM($AP$6:AP126)),"")</f>
        <v/>
      </c>
      <c r="BL126" t="str">
        <f>IF($AZ$3=TRUE,IF(AQ126="","",SUM($AQ$6:AQ126)),"")</f>
        <v/>
      </c>
      <c r="BM126" t="str">
        <f>IF($BA$3=TRUE,IF(AR126="","",SUM($AR$6:AR126)),"")</f>
        <v/>
      </c>
      <c r="BN126" t="str">
        <f>IF($BB$3=TRUE,IF(AS126="","",SUM($AS$6:AS126)),"")</f>
        <v/>
      </c>
    </row>
    <row r="127" spans="34:66" x14ac:dyDescent="0.25">
      <c r="AH127" s="75">
        <v>44769</v>
      </c>
      <c r="AI127">
        <v>2415.5300000000002</v>
      </c>
      <c r="AK127" s="75"/>
      <c r="BF127" s="75" t="str">
        <f t="shared" si="11"/>
        <v/>
      </c>
      <c r="BG127" t="str">
        <f>IF($AU$3=TRUE,IF(AL127="","",SUM($AL$6:AL127)),"")</f>
        <v/>
      </c>
      <c r="BH127" t="str">
        <f>IF($AV$3=TRUE,IF(AM127="","",SUM($AM$6:AM127)),"")</f>
        <v/>
      </c>
      <c r="BI127" t="str">
        <f>IF($AW$3=TRUE,IF(AN127="","",SUM($AN$6:AN127)),"")</f>
        <v/>
      </c>
      <c r="BJ127" t="str">
        <f>IF($AX$3=TRUE,IF(AO127="","",SUM($AO$6:AO127)),"")</f>
        <v/>
      </c>
      <c r="BK127" t="str">
        <f>IF($AY$3=TRUE,IF(AP127="","",SUM($AP$6:AP127)),"")</f>
        <v/>
      </c>
      <c r="BL127" t="str">
        <f>IF($AZ$3=TRUE,IF(AQ127="","",SUM($AQ$6:AQ127)),"")</f>
        <v/>
      </c>
      <c r="BM127" t="str">
        <f>IF($BA$3=TRUE,IF(AR127="","",SUM($AR$6:AR127)),"")</f>
        <v/>
      </c>
      <c r="BN127" t="str">
        <f>IF($BB$3=TRUE,IF(AS127="","",SUM($AS$6:AS127)),"")</f>
        <v/>
      </c>
    </row>
    <row r="128" spans="34:66" x14ac:dyDescent="0.25">
      <c r="AH128" s="75">
        <v>44768</v>
      </c>
      <c r="AI128">
        <v>2412.96</v>
      </c>
      <c r="AK128" s="75"/>
      <c r="BF128" s="75" t="str">
        <f t="shared" si="11"/>
        <v/>
      </c>
      <c r="BG128" t="str">
        <f>IF($AU$3=TRUE,IF(AL128="","",SUM($AL$6:AL128)),"")</f>
        <v/>
      </c>
      <c r="BH128" t="str">
        <f>IF($AV$3=TRUE,IF(AM128="","",SUM($AM$6:AM128)),"")</f>
        <v/>
      </c>
      <c r="BI128" t="str">
        <f>IF($AW$3=TRUE,IF(AN128="","",SUM($AN$6:AN128)),"")</f>
        <v/>
      </c>
      <c r="BJ128" t="str">
        <f>IF($AX$3=TRUE,IF(AO128="","",SUM($AO$6:AO128)),"")</f>
        <v/>
      </c>
      <c r="BK128" t="str">
        <f>IF($AY$3=TRUE,IF(AP128="","",SUM($AP$6:AP128)),"")</f>
        <v/>
      </c>
      <c r="BL128" t="str">
        <f>IF($AZ$3=TRUE,IF(AQ128="","",SUM($AQ$6:AQ128)),"")</f>
        <v/>
      </c>
      <c r="BM128" t="str">
        <f>IF($BA$3=TRUE,IF(AR128="","",SUM($AR$6:AR128)),"")</f>
        <v/>
      </c>
      <c r="BN128" t="str">
        <f>IF($BB$3=TRUE,IF(AS128="","",SUM($AS$6:AS128)),"")</f>
        <v/>
      </c>
    </row>
    <row r="129" spans="34:66" x14ac:dyDescent="0.25">
      <c r="AH129" s="75">
        <v>44767</v>
      </c>
      <c r="AI129">
        <v>2403.69</v>
      </c>
      <c r="AK129" s="75"/>
      <c r="BF129" s="75" t="str">
        <f t="shared" si="11"/>
        <v/>
      </c>
      <c r="BG129" t="str">
        <f>IF($AU$3=TRUE,IF(AL129="","",SUM($AL$6:AL129)),"")</f>
        <v/>
      </c>
      <c r="BH129" t="str">
        <f>IF($AV$3=TRUE,IF(AM129="","",SUM($AM$6:AM129)),"")</f>
        <v/>
      </c>
      <c r="BI129" t="str">
        <f>IF($AW$3=TRUE,IF(AN129="","",SUM($AN$6:AN129)),"")</f>
        <v/>
      </c>
      <c r="BJ129" t="str">
        <f>IF($AX$3=TRUE,IF(AO129="","",SUM($AO$6:AO129)),"")</f>
        <v/>
      </c>
      <c r="BK129" t="str">
        <f>IF($AY$3=TRUE,IF(AP129="","",SUM($AP$6:AP129)),"")</f>
        <v/>
      </c>
      <c r="BL129" t="str">
        <f>IF($AZ$3=TRUE,IF(AQ129="","",SUM($AQ$6:AQ129)),"")</f>
        <v/>
      </c>
      <c r="BM129" t="str">
        <f>IF($BA$3=TRUE,IF(AR129="","",SUM($AR$6:AR129)),"")</f>
        <v/>
      </c>
      <c r="BN129" t="str">
        <f>IF($BB$3=TRUE,IF(AS129="","",SUM($AS$6:AS129)),"")</f>
        <v/>
      </c>
    </row>
    <row r="130" spans="34:66" x14ac:dyDescent="0.25">
      <c r="AH130" s="75">
        <v>44764</v>
      </c>
      <c r="AI130">
        <v>2393.14</v>
      </c>
      <c r="AK130" s="75"/>
      <c r="BF130" s="75" t="str">
        <f t="shared" si="11"/>
        <v/>
      </c>
      <c r="BG130" t="str">
        <f>IF($AU$3=TRUE,IF(AL130="","",SUM($AL$6:AL130)),"")</f>
        <v/>
      </c>
      <c r="BH130" t="str">
        <f>IF($AV$3=TRUE,IF(AM130="","",SUM($AM$6:AM130)),"")</f>
        <v/>
      </c>
      <c r="BI130" t="str">
        <f>IF($AW$3=TRUE,IF(AN130="","",SUM($AN$6:AN130)),"")</f>
        <v/>
      </c>
      <c r="BJ130" t="str">
        <f>IF($AX$3=TRUE,IF(AO130="","",SUM($AO$6:AO130)),"")</f>
        <v/>
      </c>
      <c r="BK130" t="str">
        <f>IF($AY$3=TRUE,IF(AP130="","",SUM($AP$6:AP130)),"")</f>
        <v/>
      </c>
      <c r="BL130" t="str">
        <f>IF($AZ$3=TRUE,IF(AQ130="","",SUM($AQ$6:AQ130)),"")</f>
        <v/>
      </c>
      <c r="BM130" t="str">
        <f>IF($BA$3=TRUE,IF(AR130="","",SUM($AR$6:AR130)),"")</f>
        <v/>
      </c>
      <c r="BN130" t="str">
        <f>IF($BB$3=TRUE,IF(AS130="","",SUM($AS$6:AS130)),"")</f>
        <v/>
      </c>
    </row>
    <row r="131" spans="34:66" x14ac:dyDescent="0.25">
      <c r="AH131" s="75">
        <v>44763</v>
      </c>
      <c r="AI131">
        <v>2409.16</v>
      </c>
      <c r="AK131" s="75"/>
      <c r="BF131" s="75" t="str">
        <f t="shared" si="11"/>
        <v/>
      </c>
      <c r="BG131" t="str">
        <f>IF($AU$3=TRUE,IF(AL131="","",SUM($AL$6:AL131)),"")</f>
        <v/>
      </c>
      <c r="BH131" t="str">
        <f>IF($AV$3=TRUE,IF(AM131="","",SUM($AM$6:AM131)),"")</f>
        <v/>
      </c>
      <c r="BI131" t="str">
        <f>IF($AW$3=TRUE,IF(AN131="","",SUM($AN$6:AN131)),"")</f>
        <v/>
      </c>
      <c r="BJ131" t="str">
        <f>IF($AX$3=TRUE,IF(AO131="","",SUM($AO$6:AO131)),"")</f>
        <v/>
      </c>
      <c r="BK131" t="str">
        <f>IF($AY$3=TRUE,IF(AP131="","",SUM($AP$6:AP131)),"")</f>
        <v/>
      </c>
      <c r="BL131" t="str">
        <f>IF($AZ$3=TRUE,IF(AQ131="","",SUM($AQ$6:AQ131)),"")</f>
        <v/>
      </c>
      <c r="BM131" t="str">
        <f>IF($BA$3=TRUE,IF(AR131="","",SUM($AR$6:AR131)),"")</f>
        <v/>
      </c>
      <c r="BN131" t="str">
        <f>IF($BB$3=TRUE,IF(AS131="","",SUM($AS$6:AS131)),"")</f>
        <v/>
      </c>
    </row>
    <row r="132" spans="34:66" x14ac:dyDescent="0.25">
      <c r="AH132" s="75">
        <v>44762</v>
      </c>
      <c r="AI132">
        <v>2386.85</v>
      </c>
      <c r="AK132" s="75"/>
      <c r="BF132" s="75" t="str">
        <f t="shared" si="11"/>
        <v/>
      </c>
      <c r="BG132" t="str">
        <f>IF($AU$3=TRUE,IF(AL132="","",SUM($AL$6:AL132)),"")</f>
        <v/>
      </c>
      <c r="BH132" t="str">
        <f>IF($AV$3=TRUE,IF(AM132="","",SUM($AM$6:AM132)),"")</f>
        <v/>
      </c>
      <c r="BI132" t="str">
        <f>IF($AW$3=TRUE,IF(AN132="","",SUM($AN$6:AN132)),"")</f>
        <v/>
      </c>
      <c r="BJ132" t="str">
        <f>IF($AX$3=TRUE,IF(AO132="","",SUM($AO$6:AO132)),"")</f>
        <v/>
      </c>
      <c r="BK132" t="str">
        <f>IF($AY$3=TRUE,IF(AP132="","",SUM($AP$6:AP132)),"")</f>
        <v/>
      </c>
      <c r="BL132" t="str">
        <f>IF($AZ$3=TRUE,IF(AQ132="","",SUM($AQ$6:AQ132)),"")</f>
        <v/>
      </c>
      <c r="BM132" t="str">
        <f>IF($BA$3=TRUE,IF(AR132="","",SUM($AR$6:AR132)),"")</f>
        <v/>
      </c>
      <c r="BN132" t="str">
        <f>IF($BB$3=TRUE,IF(AS132="","",SUM($AS$6:AS132)),"")</f>
        <v/>
      </c>
    </row>
    <row r="133" spans="34:66" x14ac:dyDescent="0.25">
      <c r="AH133" s="75">
        <v>44761</v>
      </c>
      <c r="AI133">
        <v>2370.9699999999998</v>
      </c>
      <c r="AK133" s="75"/>
      <c r="BF133" s="75" t="str">
        <f t="shared" si="11"/>
        <v/>
      </c>
      <c r="BG133" t="str">
        <f>IF($AU$3=TRUE,IF(AL133="","",SUM($AL$6:AL133)),"")</f>
        <v/>
      </c>
      <c r="BH133" t="str">
        <f>IF($AV$3=TRUE,IF(AM133="","",SUM($AM$6:AM133)),"")</f>
        <v/>
      </c>
      <c r="BI133" t="str">
        <f>IF($AW$3=TRUE,IF(AN133="","",SUM($AN$6:AN133)),"")</f>
        <v/>
      </c>
      <c r="BJ133" t="str">
        <f>IF($AX$3=TRUE,IF(AO133="","",SUM($AO$6:AO133)),"")</f>
        <v/>
      </c>
      <c r="BK133" t="str">
        <f>IF($AY$3=TRUE,IF(AP133="","",SUM($AP$6:AP133)),"")</f>
        <v/>
      </c>
      <c r="BL133" t="str">
        <f>IF($AZ$3=TRUE,IF(AQ133="","",SUM($AQ$6:AQ133)),"")</f>
        <v/>
      </c>
      <c r="BM133" t="str">
        <f>IF($BA$3=TRUE,IF(AR133="","",SUM($AR$6:AR133)),"")</f>
        <v/>
      </c>
      <c r="BN133" t="str">
        <f>IF($BB$3=TRUE,IF(AS133="","",SUM($AS$6:AS133)),"")</f>
        <v/>
      </c>
    </row>
    <row r="134" spans="34:66" x14ac:dyDescent="0.25">
      <c r="AH134" s="75">
        <v>44760</v>
      </c>
      <c r="AI134">
        <v>2375.25</v>
      </c>
      <c r="AK134" s="75"/>
      <c r="BF134" s="75" t="str">
        <f t="shared" si="11"/>
        <v/>
      </c>
      <c r="BG134" t="str">
        <f>IF($AU$3=TRUE,IF(AL134="","",SUM($AL$6:AL134)),"")</f>
        <v/>
      </c>
      <c r="BH134" t="str">
        <f>IF($AV$3=TRUE,IF(AM134="","",SUM($AM$6:AM134)),"")</f>
        <v/>
      </c>
      <c r="BI134" t="str">
        <f>IF($AW$3=TRUE,IF(AN134="","",SUM($AN$6:AN134)),"")</f>
        <v/>
      </c>
      <c r="BJ134" t="str">
        <f>IF($AX$3=TRUE,IF(AO134="","",SUM($AO$6:AO134)),"")</f>
        <v/>
      </c>
      <c r="BK134" t="str">
        <f>IF($AY$3=TRUE,IF(AP134="","",SUM($AP$6:AP134)),"")</f>
        <v/>
      </c>
      <c r="BL134" t="str">
        <f>IF($AZ$3=TRUE,IF(AQ134="","",SUM($AQ$6:AQ134)),"")</f>
        <v/>
      </c>
      <c r="BM134" t="str">
        <f>IF($BA$3=TRUE,IF(AR134="","",SUM($AR$6:AR134)),"")</f>
        <v/>
      </c>
      <c r="BN134" t="str">
        <f>IF($BB$3=TRUE,IF(AS134="","",SUM($AS$6:AS134)),"")</f>
        <v/>
      </c>
    </row>
    <row r="135" spans="34:66" x14ac:dyDescent="0.25">
      <c r="AH135" s="75">
        <v>44757</v>
      </c>
      <c r="AI135">
        <v>2330.98</v>
      </c>
      <c r="AK135" s="75"/>
      <c r="BF135" s="75" t="str">
        <f t="shared" ref="BF135:BF198" si="12">IF(AK135="","",AK135)</f>
        <v/>
      </c>
      <c r="BG135" t="str">
        <f>IF($AU$3=TRUE,IF(AL135="","",SUM($AL$6:AL135)),"")</f>
        <v/>
      </c>
      <c r="BH135" t="str">
        <f>IF($AV$3=TRUE,IF(AM135="","",SUM($AM$6:AM135)),"")</f>
        <v/>
      </c>
      <c r="BI135" t="str">
        <f>IF($AW$3=TRUE,IF(AN135="","",SUM($AN$6:AN135)),"")</f>
        <v/>
      </c>
      <c r="BJ135" t="str">
        <f>IF($AX$3=TRUE,IF(AO135="","",SUM($AO$6:AO135)),"")</f>
        <v/>
      </c>
      <c r="BK135" t="str">
        <f>IF($AY$3=TRUE,IF(AP135="","",SUM($AP$6:AP135)),"")</f>
        <v/>
      </c>
      <c r="BL135" t="str">
        <f>IF($AZ$3=TRUE,IF(AQ135="","",SUM($AQ$6:AQ135)),"")</f>
        <v/>
      </c>
      <c r="BM135" t="str">
        <f>IF($BA$3=TRUE,IF(AR135="","",SUM($AR$6:AR135)),"")</f>
        <v/>
      </c>
      <c r="BN135" t="str">
        <f>IF($BB$3=TRUE,IF(AS135="","",SUM($AS$6:AS135)),"")</f>
        <v/>
      </c>
    </row>
    <row r="136" spans="34:66" x14ac:dyDescent="0.25">
      <c r="AH136" s="75">
        <v>44756</v>
      </c>
      <c r="AI136">
        <v>2322.3200000000002</v>
      </c>
      <c r="AK136" s="75"/>
      <c r="BF136" s="75" t="str">
        <f t="shared" si="12"/>
        <v/>
      </c>
      <c r="BG136" t="str">
        <f>IF($AU$3=TRUE,IF(AL136="","",SUM($AL$6:AL136)),"")</f>
        <v/>
      </c>
      <c r="BH136" t="str">
        <f>IF($AV$3=TRUE,IF(AM136="","",SUM($AM$6:AM136)),"")</f>
        <v/>
      </c>
      <c r="BI136" t="str">
        <f>IF($AW$3=TRUE,IF(AN136="","",SUM($AN$6:AN136)),"")</f>
        <v/>
      </c>
      <c r="BJ136" t="str">
        <f>IF($AX$3=TRUE,IF(AO136="","",SUM($AO$6:AO136)),"")</f>
        <v/>
      </c>
      <c r="BK136" t="str">
        <f>IF($AY$3=TRUE,IF(AP136="","",SUM($AP$6:AP136)),"")</f>
        <v/>
      </c>
      <c r="BL136" t="str">
        <f>IF($AZ$3=TRUE,IF(AQ136="","",SUM($AQ$6:AQ136)),"")</f>
        <v/>
      </c>
      <c r="BM136" t="str">
        <f>IF($BA$3=TRUE,IF(AR136="","",SUM($AR$6:AR136)),"")</f>
        <v/>
      </c>
      <c r="BN136" t="str">
        <f>IF($BB$3=TRUE,IF(AS136="","",SUM($AS$6:AS136)),"")</f>
        <v/>
      </c>
    </row>
    <row r="137" spans="34:66" x14ac:dyDescent="0.25">
      <c r="AH137" s="75">
        <v>44755</v>
      </c>
      <c r="AI137">
        <v>2328.61</v>
      </c>
      <c r="AK137" s="75"/>
      <c r="BF137" s="75" t="str">
        <f t="shared" si="12"/>
        <v/>
      </c>
      <c r="BG137" t="str">
        <f>IF($AU$3=TRUE,IF(AL137="","",SUM($AL$6:AL137)),"")</f>
        <v/>
      </c>
      <c r="BH137" t="str">
        <f>IF($AV$3=TRUE,IF(AM137="","",SUM($AM$6:AM137)),"")</f>
        <v/>
      </c>
      <c r="BI137" t="str">
        <f>IF($AW$3=TRUE,IF(AN137="","",SUM($AN$6:AN137)),"")</f>
        <v/>
      </c>
      <c r="BJ137" t="str">
        <f>IF($AX$3=TRUE,IF(AO137="","",SUM($AO$6:AO137)),"")</f>
        <v/>
      </c>
      <c r="BK137" t="str">
        <f>IF($AY$3=TRUE,IF(AP137="","",SUM($AP$6:AP137)),"")</f>
        <v/>
      </c>
      <c r="BL137" t="str">
        <f>IF($AZ$3=TRUE,IF(AQ137="","",SUM($AQ$6:AQ137)),"")</f>
        <v/>
      </c>
      <c r="BM137" t="str">
        <f>IF($BA$3=TRUE,IF(AR137="","",SUM($AR$6:AR137)),"")</f>
        <v/>
      </c>
      <c r="BN137" t="str">
        <f>IF($BB$3=TRUE,IF(AS137="","",SUM($AS$6:AS137)),"")</f>
        <v/>
      </c>
    </row>
    <row r="138" spans="34:66" x14ac:dyDescent="0.25">
      <c r="AH138" s="75">
        <v>44754</v>
      </c>
      <c r="AI138">
        <v>2317.7600000000002</v>
      </c>
      <c r="AK138" s="75"/>
      <c r="BF138" s="75" t="str">
        <f t="shared" si="12"/>
        <v/>
      </c>
      <c r="BG138" t="str">
        <f>IF($AU$3=TRUE,IF(AL138="","",SUM($AL$6:AL138)),"")</f>
        <v/>
      </c>
      <c r="BH138" t="str">
        <f>IF($AV$3=TRUE,IF(AM138="","",SUM($AM$6:AM138)),"")</f>
        <v/>
      </c>
      <c r="BI138" t="str">
        <f>IF($AW$3=TRUE,IF(AN138="","",SUM($AN$6:AN138)),"")</f>
        <v/>
      </c>
      <c r="BJ138" t="str">
        <f>IF($AX$3=TRUE,IF(AO138="","",SUM($AO$6:AO138)),"")</f>
        <v/>
      </c>
      <c r="BK138" t="str">
        <f>IF($AY$3=TRUE,IF(AP138="","",SUM($AP$6:AP138)),"")</f>
        <v/>
      </c>
      <c r="BL138" t="str">
        <f>IF($AZ$3=TRUE,IF(AQ138="","",SUM($AQ$6:AQ138)),"")</f>
        <v/>
      </c>
      <c r="BM138" t="str">
        <f>IF($BA$3=TRUE,IF(AR138="","",SUM($AR$6:AR138)),"")</f>
        <v/>
      </c>
      <c r="BN138" t="str">
        <f>IF($BB$3=TRUE,IF(AS138="","",SUM($AS$6:AS138)),"")</f>
        <v/>
      </c>
    </row>
    <row r="139" spans="34:66" x14ac:dyDescent="0.25">
      <c r="AH139" s="75">
        <v>44753</v>
      </c>
      <c r="AI139">
        <v>2340.27</v>
      </c>
      <c r="AK139" s="75"/>
      <c r="BF139" s="75" t="str">
        <f t="shared" si="12"/>
        <v/>
      </c>
      <c r="BG139" t="str">
        <f>IF($AU$3=TRUE,IF(AL139="","",SUM($AL$6:AL139)),"")</f>
        <v/>
      </c>
      <c r="BH139" t="str">
        <f>IF($AV$3=TRUE,IF(AM139="","",SUM($AM$6:AM139)),"")</f>
        <v/>
      </c>
      <c r="BI139" t="str">
        <f>IF($AW$3=TRUE,IF(AN139="","",SUM($AN$6:AN139)),"")</f>
        <v/>
      </c>
      <c r="BJ139" t="str">
        <f>IF($AX$3=TRUE,IF(AO139="","",SUM($AO$6:AO139)),"")</f>
        <v/>
      </c>
      <c r="BK139" t="str">
        <f>IF($AY$3=TRUE,IF(AP139="","",SUM($AP$6:AP139)),"")</f>
        <v/>
      </c>
      <c r="BL139" t="str">
        <f>IF($AZ$3=TRUE,IF(AQ139="","",SUM($AQ$6:AQ139)),"")</f>
        <v/>
      </c>
      <c r="BM139" t="str">
        <f>IF($BA$3=TRUE,IF(AR139="","",SUM($AR$6:AR139)),"")</f>
        <v/>
      </c>
      <c r="BN139" t="str">
        <f>IF($BB$3=TRUE,IF(AS139="","",SUM($AS$6:AS139)),"")</f>
        <v/>
      </c>
    </row>
    <row r="140" spans="34:66" x14ac:dyDescent="0.25">
      <c r="AH140" s="75">
        <v>44750</v>
      </c>
      <c r="AI140">
        <v>2350.61</v>
      </c>
      <c r="AK140" s="75"/>
      <c r="BF140" s="75" t="str">
        <f t="shared" si="12"/>
        <v/>
      </c>
      <c r="BG140" t="str">
        <f>IF($AU$3=TRUE,IF(AL140="","",SUM($AL$6:AL140)),"")</f>
        <v/>
      </c>
      <c r="BH140" t="str">
        <f>IF($AV$3=TRUE,IF(AM140="","",SUM($AM$6:AM140)),"")</f>
        <v/>
      </c>
      <c r="BI140" t="str">
        <f>IF($AW$3=TRUE,IF(AN140="","",SUM($AN$6:AN140)),"")</f>
        <v/>
      </c>
      <c r="BJ140" t="str">
        <f>IF($AX$3=TRUE,IF(AO140="","",SUM($AO$6:AO140)),"")</f>
        <v/>
      </c>
      <c r="BK140" t="str">
        <f>IF($AY$3=TRUE,IF(AP140="","",SUM($AP$6:AP140)),"")</f>
        <v/>
      </c>
      <c r="BL140" t="str">
        <f>IF($AZ$3=TRUE,IF(AQ140="","",SUM($AQ$6:AQ140)),"")</f>
        <v/>
      </c>
      <c r="BM140" t="str">
        <f>IF($BA$3=TRUE,IF(AR140="","",SUM($AR$6:AR140)),"")</f>
        <v/>
      </c>
      <c r="BN140" t="str">
        <f>IF($BB$3=TRUE,IF(AS140="","",SUM($AS$6:AS140)),"")</f>
        <v/>
      </c>
    </row>
    <row r="141" spans="34:66" x14ac:dyDescent="0.25">
      <c r="AH141" s="75">
        <v>44749</v>
      </c>
      <c r="AI141">
        <v>2334.27</v>
      </c>
      <c r="AK141" s="75"/>
      <c r="BF141" s="75" t="str">
        <f t="shared" si="12"/>
        <v/>
      </c>
      <c r="BG141" t="str">
        <f>IF($AU$3=TRUE,IF(AL141="","",SUM($AL$6:AL141)),"")</f>
        <v/>
      </c>
      <c r="BH141" t="str">
        <f>IF($AV$3=TRUE,IF(AM141="","",SUM($AM$6:AM141)),"")</f>
        <v/>
      </c>
      <c r="BI141" t="str">
        <f>IF($AW$3=TRUE,IF(AN141="","",SUM($AN$6:AN141)),"")</f>
        <v/>
      </c>
      <c r="BJ141" t="str">
        <f>IF($AX$3=TRUE,IF(AO141="","",SUM($AO$6:AO141)),"")</f>
        <v/>
      </c>
      <c r="BK141" t="str">
        <f>IF($AY$3=TRUE,IF(AP141="","",SUM($AP$6:AP141)),"")</f>
        <v/>
      </c>
      <c r="BL141" t="str">
        <f>IF($AZ$3=TRUE,IF(AQ141="","",SUM($AQ$6:AQ141)),"")</f>
        <v/>
      </c>
      <c r="BM141" t="str">
        <f>IF($BA$3=TRUE,IF(AR141="","",SUM($AR$6:AR141)),"")</f>
        <v/>
      </c>
      <c r="BN141" t="str">
        <f>IF($BB$3=TRUE,IF(AS141="","",SUM($AS$6:AS141)),"")</f>
        <v/>
      </c>
    </row>
    <row r="142" spans="34:66" x14ac:dyDescent="0.25">
      <c r="AH142" s="75">
        <v>44748</v>
      </c>
      <c r="AI142">
        <v>2292.0100000000002</v>
      </c>
      <c r="AK142" s="75"/>
      <c r="BF142" s="75" t="str">
        <f t="shared" si="12"/>
        <v/>
      </c>
      <c r="BG142" t="str">
        <f>IF($AU$3=TRUE,IF(AL142="","",SUM($AL$6:AL142)),"")</f>
        <v/>
      </c>
      <c r="BH142" t="str">
        <f>IF($AV$3=TRUE,IF(AM142="","",SUM($AM$6:AM142)),"")</f>
        <v/>
      </c>
      <c r="BI142" t="str">
        <f>IF($AW$3=TRUE,IF(AN142="","",SUM($AN$6:AN142)),"")</f>
        <v/>
      </c>
      <c r="BJ142" t="str">
        <f>IF($AX$3=TRUE,IF(AO142="","",SUM($AO$6:AO142)),"")</f>
        <v/>
      </c>
      <c r="BK142" t="str">
        <f>IF($AY$3=TRUE,IF(AP142="","",SUM($AP$6:AP142)),"")</f>
        <v/>
      </c>
      <c r="BL142" t="str">
        <f>IF($AZ$3=TRUE,IF(AQ142="","",SUM($AQ$6:AQ142)),"")</f>
        <v/>
      </c>
      <c r="BM142" t="str">
        <f>IF($BA$3=TRUE,IF(AR142="","",SUM($AR$6:AR142)),"")</f>
        <v/>
      </c>
      <c r="BN142" t="str">
        <f>IF($BB$3=TRUE,IF(AS142="","",SUM($AS$6:AS142)),"")</f>
        <v/>
      </c>
    </row>
    <row r="143" spans="34:66" x14ac:dyDescent="0.25">
      <c r="AH143" s="75">
        <v>44747</v>
      </c>
      <c r="AI143">
        <v>2341.7800000000002</v>
      </c>
      <c r="AK143" s="75"/>
      <c r="BF143" s="75" t="str">
        <f t="shared" si="12"/>
        <v/>
      </c>
      <c r="BG143" t="str">
        <f>IF($AU$3=TRUE,IF(AL143="","",SUM($AL$6:AL143)),"")</f>
        <v/>
      </c>
      <c r="BH143" t="str">
        <f>IF($AV$3=TRUE,IF(AM143="","",SUM($AM$6:AM143)),"")</f>
        <v/>
      </c>
      <c r="BI143" t="str">
        <f>IF($AW$3=TRUE,IF(AN143="","",SUM($AN$6:AN143)),"")</f>
        <v/>
      </c>
      <c r="BJ143" t="str">
        <f>IF($AX$3=TRUE,IF(AO143="","",SUM($AO$6:AO143)),"")</f>
        <v/>
      </c>
      <c r="BK143" t="str">
        <f>IF($AY$3=TRUE,IF(AP143="","",SUM($AP$6:AP143)),"")</f>
        <v/>
      </c>
      <c r="BL143" t="str">
        <f>IF($AZ$3=TRUE,IF(AQ143="","",SUM($AQ$6:AQ143)),"")</f>
        <v/>
      </c>
      <c r="BM143" t="str">
        <f>IF($BA$3=TRUE,IF(AR143="","",SUM($AR$6:AR143)),"")</f>
        <v/>
      </c>
      <c r="BN143" t="str">
        <f>IF($BB$3=TRUE,IF(AS143="","",SUM($AS$6:AS143)),"")</f>
        <v/>
      </c>
    </row>
    <row r="144" spans="34:66" x14ac:dyDescent="0.25">
      <c r="AH144" s="75">
        <v>44746</v>
      </c>
      <c r="AI144">
        <v>2300.34</v>
      </c>
      <c r="AK144" s="75"/>
      <c r="BF144" s="75" t="str">
        <f t="shared" si="12"/>
        <v/>
      </c>
      <c r="BG144" t="str">
        <f>IF($AU$3=TRUE,IF(AL144="","",SUM($AL$6:AL144)),"")</f>
        <v/>
      </c>
      <c r="BH144" t="str">
        <f>IF($AV$3=TRUE,IF(AM144="","",SUM($AM$6:AM144)),"")</f>
        <v/>
      </c>
      <c r="BI144" t="str">
        <f>IF($AW$3=TRUE,IF(AN144="","",SUM($AN$6:AN144)),"")</f>
        <v/>
      </c>
      <c r="BJ144" t="str">
        <f>IF($AX$3=TRUE,IF(AO144="","",SUM($AO$6:AO144)),"")</f>
        <v/>
      </c>
      <c r="BK144" t="str">
        <f>IF($AY$3=TRUE,IF(AP144="","",SUM($AP$6:AP144)),"")</f>
        <v/>
      </c>
      <c r="BL144" t="str">
        <f>IF($AZ$3=TRUE,IF(AQ144="","",SUM($AQ$6:AQ144)),"")</f>
        <v/>
      </c>
      <c r="BM144" t="str">
        <f>IF($BA$3=TRUE,IF(AR144="","",SUM($AR$6:AR144)),"")</f>
        <v/>
      </c>
      <c r="BN144" t="str">
        <f>IF($BB$3=TRUE,IF(AS144="","",SUM($AS$6:AS144)),"")</f>
        <v/>
      </c>
    </row>
    <row r="145" spans="34:66" x14ac:dyDescent="0.25">
      <c r="AH145" s="75">
        <v>44743</v>
      </c>
      <c r="AI145">
        <v>2305.42</v>
      </c>
      <c r="AK145" s="75"/>
      <c r="BF145" s="75" t="str">
        <f t="shared" si="12"/>
        <v/>
      </c>
      <c r="BG145" t="str">
        <f>IF($AU$3=TRUE,IF(AL145="","",SUM($AL$6:AL145)),"")</f>
        <v/>
      </c>
      <c r="BH145" t="str">
        <f>IF($AV$3=TRUE,IF(AM145="","",SUM($AM$6:AM145)),"")</f>
        <v/>
      </c>
      <c r="BI145" t="str">
        <f>IF($AW$3=TRUE,IF(AN145="","",SUM($AN$6:AN145)),"")</f>
        <v/>
      </c>
      <c r="BJ145" t="str">
        <f>IF($AX$3=TRUE,IF(AO145="","",SUM($AO$6:AO145)),"")</f>
        <v/>
      </c>
      <c r="BK145" t="str">
        <f>IF($AY$3=TRUE,IF(AP145="","",SUM($AP$6:AP145)),"")</f>
        <v/>
      </c>
      <c r="BL145" t="str">
        <f>IF($AZ$3=TRUE,IF(AQ145="","",SUM($AQ$6:AQ145)),"")</f>
        <v/>
      </c>
      <c r="BM145" t="str">
        <f>IF($BA$3=TRUE,IF(AR145="","",SUM($AR$6:AR145)),"")</f>
        <v/>
      </c>
      <c r="BN145" t="str">
        <f>IF($BB$3=TRUE,IF(AS145="","",SUM($AS$6:AS145)),"")</f>
        <v/>
      </c>
    </row>
    <row r="146" spans="34:66" x14ac:dyDescent="0.25">
      <c r="AH146" s="75">
        <v>44742</v>
      </c>
      <c r="AI146">
        <v>2332.64</v>
      </c>
      <c r="AK146" s="75"/>
      <c r="BF146" s="75" t="str">
        <f t="shared" si="12"/>
        <v/>
      </c>
      <c r="BG146" t="str">
        <f>IF($AU$3=TRUE,IF(AL146="","",SUM($AL$6:AL146)),"")</f>
        <v/>
      </c>
      <c r="BH146" t="str">
        <f>IF($AV$3=TRUE,IF(AM146="","",SUM($AM$6:AM146)),"")</f>
        <v/>
      </c>
      <c r="BI146" t="str">
        <f>IF($AW$3=TRUE,IF(AN146="","",SUM($AN$6:AN146)),"")</f>
        <v/>
      </c>
      <c r="BJ146" t="str">
        <f>IF($AX$3=TRUE,IF(AO146="","",SUM($AO$6:AO146)),"")</f>
        <v/>
      </c>
      <c r="BK146" t="str">
        <f>IF($AY$3=TRUE,IF(AP146="","",SUM($AP$6:AP146)),"")</f>
        <v/>
      </c>
      <c r="BL146" t="str">
        <f>IF($AZ$3=TRUE,IF(AQ146="","",SUM($AQ$6:AQ146)),"")</f>
        <v/>
      </c>
      <c r="BM146" t="str">
        <f>IF($BA$3=TRUE,IF(AR146="","",SUM($AR$6:AR146)),"")</f>
        <v/>
      </c>
      <c r="BN146" t="str">
        <f>IF($BB$3=TRUE,IF(AS146="","",SUM($AS$6:AS146)),"")</f>
        <v/>
      </c>
    </row>
    <row r="147" spans="34:66" x14ac:dyDescent="0.25">
      <c r="AH147" s="75">
        <v>44741</v>
      </c>
      <c r="AI147">
        <v>2377.9899999999998</v>
      </c>
      <c r="AK147" s="75"/>
      <c r="BF147" s="75" t="str">
        <f t="shared" si="12"/>
        <v/>
      </c>
      <c r="BG147" t="str">
        <f>IF($AU$3=TRUE,IF(AL147="","",SUM($AL$6:AL147)),"")</f>
        <v/>
      </c>
      <c r="BH147" t="str">
        <f>IF($AV$3=TRUE,IF(AM147="","",SUM($AM$6:AM147)),"")</f>
        <v/>
      </c>
      <c r="BI147" t="str">
        <f>IF($AW$3=TRUE,IF(AN147="","",SUM($AN$6:AN147)),"")</f>
        <v/>
      </c>
      <c r="BJ147" t="str">
        <f>IF($AX$3=TRUE,IF(AO147="","",SUM($AO$6:AO147)),"")</f>
        <v/>
      </c>
      <c r="BK147" t="str">
        <f>IF($AY$3=TRUE,IF(AP147="","",SUM($AP$6:AP147)),"")</f>
        <v/>
      </c>
      <c r="BL147" t="str">
        <f>IF($AZ$3=TRUE,IF(AQ147="","",SUM($AQ$6:AQ147)),"")</f>
        <v/>
      </c>
      <c r="BM147" t="str">
        <f>IF($BA$3=TRUE,IF(AR147="","",SUM($AR$6:AR147)),"")</f>
        <v/>
      </c>
      <c r="BN147" t="str">
        <f>IF($BB$3=TRUE,IF(AS147="","",SUM($AS$6:AS147)),"")</f>
        <v/>
      </c>
    </row>
    <row r="148" spans="34:66" x14ac:dyDescent="0.25">
      <c r="AH148" s="75">
        <v>44740</v>
      </c>
      <c r="AI148">
        <v>2422.09</v>
      </c>
      <c r="AK148" s="75"/>
      <c r="BF148" s="75" t="str">
        <f t="shared" si="12"/>
        <v/>
      </c>
      <c r="BG148" t="str">
        <f>IF($AU$3=TRUE,IF(AL148="","",SUM($AL$6:AL148)),"")</f>
        <v/>
      </c>
      <c r="BH148" t="str">
        <f>IF($AV$3=TRUE,IF(AM148="","",SUM($AM$6:AM148)),"")</f>
        <v/>
      </c>
      <c r="BI148" t="str">
        <f>IF($AW$3=TRUE,IF(AN148="","",SUM($AN$6:AN148)),"")</f>
        <v/>
      </c>
      <c r="BJ148" t="str">
        <f>IF($AX$3=TRUE,IF(AO148="","",SUM($AO$6:AO148)),"")</f>
        <v/>
      </c>
      <c r="BK148" t="str">
        <f>IF($AY$3=TRUE,IF(AP148="","",SUM($AP$6:AP148)),"")</f>
        <v/>
      </c>
      <c r="BL148" t="str">
        <f>IF($AZ$3=TRUE,IF(AQ148="","",SUM($AQ$6:AQ148)),"")</f>
        <v/>
      </c>
      <c r="BM148" t="str">
        <f>IF($BA$3=TRUE,IF(AR148="","",SUM($AR$6:AR148)),"")</f>
        <v/>
      </c>
      <c r="BN148" t="str">
        <f>IF($BB$3=TRUE,IF(AS148="","",SUM($AS$6:AS148)),"")</f>
        <v/>
      </c>
    </row>
    <row r="149" spans="34:66" x14ac:dyDescent="0.25">
      <c r="AH149" s="75">
        <v>44739</v>
      </c>
      <c r="AI149">
        <v>2401.92</v>
      </c>
      <c r="AK149" s="75"/>
      <c r="BF149" s="75" t="str">
        <f t="shared" si="12"/>
        <v/>
      </c>
      <c r="BG149" t="str">
        <f>IF($AU$3=TRUE,IF(AL149="","",SUM($AL$6:AL149)),"")</f>
        <v/>
      </c>
      <c r="BH149" t="str">
        <f>IF($AV$3=TRUE,IF(AM149="","",SUM($AM$6:AM149)),"")</f>
        <v/>
      </c>
      <c r="BI149" t="str">
        <f>IF($AW$3=TRUE,IF(AN149="","",SUM($AN$6:AN149)),"")</f>
        <v/>
      </c>
      <c r="BJ149" t="str">
        <f>IF($AX$3=TRUE,IF(AO149="","",SUM($AO$6:AO149)),"")</f>
        <v/>
      </c>
      <c r="BK149" t="str">
        <f>IF($AY$3=TRUE,IF(AP149="","",SUM($AP$6:AP149)),"")</f>
        <v/>
      </c>
      <c r="BL149" t="str">
        <f>IF($AZ$3=TRUE,IF(AQ149="","",SUM($AQ$6:AQ149)),"")</f>
        <v/>
      </c>
      <c r="BM149" t="str">
        <f>IF($BA$3=TRUE,IF(AR149="","",SUM($AR$6:AR149)),"")</f>
        <v/>
      </c>
      <c r="BN149" t="str">
        <f>IF($BB$3=TRUE,IF(AS149="","",SUM($AS$6:AS149)),"")</f>
        <v/>
      </c>
    </row>
    <row r="150" spans="34:66" x14ac:dyDescent="0.25">
      <c r="AH150" s="75">
        <v>44736</v>
      </c>
      <c r="AI150">
        <v>2366.6</v>
      </c>
      <c r="AK150" s="75"/>
      <c r="BF150" s="75" t="str">
        <f t="shared" si="12"/>
        <v/>
      </c>
      <c r="BG150" t="str">
        <f>IF($AU$3=TRUE,IF(AL150="","",SUM($AL$6:AL150)),"")</f>
        <v/>
      </c>
      <c r="BH150" t="str">
        <f>IF($AV$3=TRUE,IF(AM150="","",SUM($AM$6:AM150)),"")</f>
        <v/>
      </c>
      <c r="BI150" t="str">
        <f>IF($AW$3=TRUE,IF(AN150="","",SUM($AN$6:AN150)),"")</f>
        <v/>
      </c>
      <c r="BJ150" t="str">
        <f>IF($AX$3=TRUE,IF(AO150="","",SUM($AO$6:AO150)),"")</f>
        <v/>
      </c>
      <c r="BK150" t="str">
        <f>IF($AY$3=TRUE,IF(AP150="","",SUM($AP$6:AP150)),"")</f>
        <v/>
      </c>
      <c r="BL150" t="str">
        <f>IF($AZ$3=TRUE,IF(AQ150="","",SUM($AQ$6:AQ150)),"")</f>
        <v/>
      </c>
      <c r="BM150" t="str">
        <f>IF($BA$3=TRUE,IF(AR150="","",SUM($AR$6:AR150)),"")</f>
        <v/>
      </c>
      <c r="BN150" t="str">
        <f>IF($BB$3=TRUE,IF(AS150="","",SUM($AS$6:AS150)),"")</f>
        <v/>
      </c>
    </row>
    <row r="151" spans="34:66" x14ac:dyDescent="0.25">
      <c r="AH151" s="75">
        <v>44735</v>
      </c>
      <c r="AI151">
        <v>2314.3200000000002</v>
      </c>
      <c r="AK151" s="75"/>
      <c r="BF151" s="75" t="str">
        <f t="shared" si="12"/>
        <v/>
      </c>
      <c r="BG151" t="str">
        <f>IF($AU$3=TRUE,IF(AL151="","",SUM($AL$6:AL151)),"")</f>
        <v/>
      </c>
      <c r="BH151" t="str">
        <f>IF($AV$3=TRUE,IF(AM151="","",SUM($AM$6:AM151)),"")</f>
        <v/>
      </c>
      <c r="BI151" t="str">
        <f>IF($AW$3=TRUE,IF(AN151="","",SUM($AN$6:AN151)),"")</f>
        <v/>
      </c>
      <c r="BJ151" t="str">
        <f>IF($AX$3=TRUE,IF(AO151="","",SUM($AO$6:AO151)),"")</f>
        <v/>
      </c>
      <c r="BK151" t="str">
        <f>IF($AY$3=TRUE,IF(AP151="","",SUM($AP$6:AP151)),"")</f>
        <v/>
      </c>
      <c r="BL151" t="str">
        <f>IF($AZ$3=TRUE,IF(AQ151="","",SUM($AQ$6:AQ151)),"")</f>
        <v/>
      </c>
      <c r="BM151" t="str">
        <f>IF($BA$3=TRUE,IF(AR151="","",SUM($AR$6:AR151)),"")</f>
        <v/>
      </c>
      <c r="BN151" t="str">
        <f>IF($BB$3=TRUE,IF(AS151="","",SUM($AS$6:AS151)),"")</f>
        <v/>
      </c>
    </row>
    <row r="152" spans="34:66" x14ac:dyDescent="0.25">
      <c r="AH152" s="75">
        <v>44734</v>
      </c>
      <c r="AI152">
        <v>2342.81</v>
      </c>
      <c r="AK152" s="75"/>
      <c r="BF152" s="75" t="str">
        <f t="shared" si="12"/>
        <v/>
      </c>
      <c r="BG152" t="str">
        <f>IF($AU$3=TRUE,IF(AL152="","",SUM($AL$6:AL152)),"")</f>
        <v/>
      </c>
      <c r="BH152" t="str">
        <f>IF($AV$3=TRUE,IF(AM152="","",SUM($AM$6:AM152)),"")</f>
        <v/>
      </c>
      <c r="BI152" t="str">
        <f>IF($AW$3=TRUE,IF(AN152="","",SUM($AN$6:AN152)),"")</f>
        <v/>
      </c>
      <c r="BJ152" t="str">
        <f>IF($AX$3=TRUE,IF(AO152="","",SUM($AO$6:AO152)),"")</f>
        <v/>
      </c>
      <c r="BK152" t="str">
        <f>IF($AY$3=TRUE,IF(AP152="","",SUM($AP$6:AP152)),"")</f>
        <v/>
      </c>
      <c r="BL152" t="str">
        <f>IF($AZ$3=TRUE,IF(AQ152="","",SUM($AQ$6:AQ152)),"")</f>
        <v/>
      </c>
      <c r="BM152" t="str">
        <f>IF($BA$3=TRUE,IF(AR152="","",SUM($AR$6:AR152)),"")</f>
        <v/>
      </c>
      <c r="BN152" t="str">
        <f>IF($BB$3=TRUE,IF(AS152="","",SUM($AS$6:AS152)),"")</f>
        <v/>
      </c>
    </row>
    <row r="153" spans="34:66" x14ac:dyDescent="0.25">
      <c r="AH153" s="75">
        <v>44733</v>
      </c>
      <c r="AI153">
        <v>2408.9299999999998</v>
      </c>
      <c r="AK153" s="75"/>
      <c r="BF153" s="75" t="str">
        <f t="shared" si="12"/>
        <v/>
      </c>
      <c r="BG153" t="str">
        <f>IF($AU$3=TRUE,IF(AL153="","",SUM($AL$6:AL153)),"")</f>
        <v/>
      </c>
      <c r="BH153" t="str">
        <f>IF($AV$3=TRUE,IF(AM153="","",SUM($AM$6:AM153)),"")</f>
        <v/>
      </c>
      <c r="BI153" t="str">
        <f>IF($AW$3=TRUE,IF(AN153="","",SUM($AN$6:AN153)),"")</f>
        <v/>
      </c>
      <c r="BJ153" t="str">
        <f>IF($AX$3=TRUE,IF(AO153="","",SUM($AO$6:AO153)),"")</f>
        <v/>
      </c>
      <c r="BK153" t="str">
        <f>IF($AY$3=TRUE,IF(AP153="","",SUM($AP$6:AP153)),"")</f>
        <v/>
      </c>
      <c r="BL153" t="str">
        <f>IF($AZ$3=TRUE,IF(AQ153="","",SUM($AQ$6:AQ153)),"")</f>
        <v/>
      </c>
      <c r="BM153" t="str">
        <f>IF($BA$3=TRUE,IF(AR153="","",SUM($AR$6:AR153)),"")</f>
        <v/>
      </c>
      <c r="BN153" t="str">
        <f>IF($BB$3=TRUE,IF(AS153="","",SUM($AS$6:AS153)),"")</f>
        <v/>
      </c>
    </row>
    <row r="154" spans="34:66" x14ac:dyDescent="0.25">
      <c r="AH154" s="75">
        <v>44732</v>
      </c>
      <c r="AI154">
        <v>2391.0300000000002</v>
      </c>
      <c r="AK154" s="75"/>
      <c r="BF154" s="75" t="str">
        <f t="shared" si="12"/>
        <v/>
      </c>
      <c r="BG154" t="str">
        <f>IF($AU$3=TRUE,IF(AL154="","",SUM($AL$6:AL154)),"")</f>
        <v/>
      </c>
      <c r="BH154" t="str">
        <f>IF($AV$3=TRUE,IF(AM154="","",SUM($AM$6:AM154)),"")</f>
        <v/>
      </c>
      <c r="BI154" t="str">
        <f>IF($AW$3=TRUE,IF(AN154="","",SUM($AN$6:AN154)),"")</f>
        <v/>
      </c>
      <c r="BJ154" t="str">
        <f>IF($AX$3=TRUE,IF(AO154="","",SUM($AO$6:AO154)),"")</f>
        <v/>
      </c>
      <c r="BK154" t="str">
        <f>IF($AY$3=TRUE,IF(AP154="","",SUM($AP$6:AP154)),"")</f>
        <v/>
      </c>
      <c r="BL154" t="str">
        <f>IF($AZ$3=TRUE,IF(AQ154="","",SUM($AQ$6:AQ154)),"")</f>
        <v/>
      </c>
      <c r="BM154" t="str">
        <f>IF($BA$3=TRUE,IF(AR154="","",SUM($AR$6:AR154)),"")</f>
        <v/>
      </c>
      <c r="BN154" t="str">
        <f>IF($BB$3=TRUE,IF(AS154="","",SUM($AS$6:AS154)),"")</f>
        <v/>
      </c>
    </row>
    <row r="155" spans="34:66" x14ac:dyDescent="0.25">
      <c r="AH155" s="75">
        <v>44729</v>
      </c>
      <c r="AI155">
        <v>2440.9299999999998</v>
      </c>
      <c r="AK155" s="75"/>
      <c r="BF155" s="75" t="str">
        <f t="shared" si="12"/>
        <v/>
      </c>
      <c r="BG155" t="str">
        <f>IF($AU$3=TRUE,IF(AL155="","",SUM($AL$6:AL155)),"")</f>
        <v/>
      </c>
      <c r="BH155" t="str">
        <f>IF($AV$3=TRUE,IF(AM155="","",SUM($AM$6:AM155)),"")</f>
        <v/>
      </c>
      <c r="BI155" t="str">
        <f>IF($AW$3=TRUE,IF(AN155="","",SUM($AN$6:AN155)),"")</f>
        <v/>
      </c>
      <c r="BJ155" t="str">
        <f>IF($AX$3=TRUE,IF(AO155="","",SUM($AO$6:AO155)),"")</f>
        <v/>
      </c>
      <c r="BK155" t="str">
        <f>IF($AY$3=TRUE,IF(AP155="","",SUM($AP$6:AP155)),"")</f>
        <v/>
      </c>
      <c r="BL155" t="str">
        <f>IF($AZ$3=TRUE,IF(AQ155="","",SUM($AQ$6:AQ155)),"")</f>
        <v/>
      </c>
      <c r="BM155" t="str">
        <f>IF($BA$3=TRUE,IF(AR155="","",SUM($AR$6:AR155)),"")</f>
        <v/>
      </c>
      <c r="BN155" t="str">
        <f>IF($BB$3=TRUE,IF(AS155="","",SUM($AS$6:AS155)),"")</f>
        <v/>
      </c>
    </row>
    <row r="156" spans="34:66" x14ac:dyDescent="0.25">
      <c r="AH156" s="75">
        <v>44728</v>
      </c>
      <c r="AI156">
        <v>2451.41</v>
      </c>
      <c r="AK156" s="75"/>
      <c r="BF156" s="75" t="str">
        <f t="shared" si="12"/>
        <v/>
      </c>
      <c r="BG156" t="str">
        <f>IF($AU$3=TRUE,IF(AL156="","",SUM($AL$6:AL156)),"")</f>
        <v/>
      </c>
      <c r="BH156" t="str">
        <f>IF($AV$3=TRUE,IF(AM156="","",SUM($AM$6:AM156)),"")</f>
        <v/>
      </c>
      <c r="BI156" t="str">
        <f>IF($AW$3=TRUE,IF(AN156="","",SUM($AN$6:AN156)),"")</f>
        <v/>
      </c>
      <c r="BJ156" t="str">
        <f>IF($AX$3=TRUE,IF(AO156="","",SUM($AO$6:AO156)),"")</f>
        <v/>
      </c>
      <c r="BK156" t="str">
        <f>IF($AY$3=TRUE,IF(AP156="","",SUM($AP$6:AP156)),"")</f>
        <v/>
      </c>
      <c r="BL156" t="str">
        <f>IF($AZ$3=TRUE,IF(AQ156="","",SUM($AQ$6:AQ156)),"")</f>
        <v/>
      </c>
      <c r="BM156" t="str">
        <f>IF($BA$3=TRUE,IF(AR156="","",SUM($AR$6:AR156)),"")</f>
        <v/>
      </c>
      <c r="BN156" t="str">
        <f>IF($BB$3=TRUE,IF(AS156="","",SUM($AS$6:AS156)),"")</f>
        <v/>
      </c>
    </row>
    <row r="157" spans="34:66" x14ac:dyDescent="0.25">
      <c r="AH157" s="75">
        <v>44727</v>
      </c>
      <c r="AI157">
        <v>2447.38</v>
      </c>
      <c r="AK157" s="75"/>
      <c r="BF157" s="75" t="str">
        <f t="shared" si="12"/>
        <v/>
      </c>
      <c r="BG157" t="str">
        <f>IF($AU$3=TRUE,IF(AL157="","",SUM($AL$6:AL157)),"")</f>
        <v/>
      </c>
      <c r="BH157" t="str">
        <f>IF($AV$3=TRUE,IF(AM157="","",SUM($AM$6:AM157)),"")</f>
        <v/>
      </c>
      <c r="BI157" t="str">
        <f>IF($AW$3=TRUE,IF(AN157="","",SUM($AN$6:AN157)),"")</f>
        <v/>
      </c>
      <c r="BJ157" t="str">
        <f>IF($AX$3=TRUE,IF(AO157="","",SUM($AO$6:AO157)),"")</f>
        <v/>
      </c>
      <c r="BK157" t="str">
        <f>IF($AY$3=TRUE,IF(AP157="","",SUM($AP$6:AP157)),"")</f>
        <v/>
      </c>
      <c r="BL157" t="str">
        <f>IF($AZ$3=TRUE,IF(AQ157="","",SUM($AQ$6:AQ157)),"")</f>
        <v/>
      </c>
      <c r="BM157" t="str">
        <f>IF($BA$3=TRUE,IF(AR157="","",SUM($AR$6:AR157)),"")</f>
        <v/>
      </c>
      <c r="BN157" t="str">
        <f>IF($BB$3=TRUE,IF(AS157="","",SUM($AS$6:AS157)),"")</f>
        <v/>
      </c>
    </row>
    <row r="158" spans="34:66" x14ac:dyDescent="0.25">
      <c r="AH158" s="75">
        <v>44726</v>
      </c>
      <c r="AI158">
        <v>2492.9699999999998</v>
      </c>
      <c r="AK158" s="75"/>
      <c r="BF158" s="75" t="str">
        <f t="shared" si="12"/>
        <v/>
      </c>
      <c r="BG158" t="str">
        <f>IF($AU$3=TRUE,IF(AL158="","",SUM($AL$6:AL158)),"")</f>
        <v/>
      </c>
      <c r="BH158" t="str">
        <f>IF($AV$3=TRUE,IF(AM158="","",SUM($AM$6:AM158)),"")</f>
        <v/>
      </c>
      <c r="BI158" t="str">
        <f>IF($AW$3=TRUE,IF(AN158="","",SUM($AN$6:AN158)),"")</f>
        <v/>
      </c>
      <c r="BJ158" t="str">
        <f>IF($AX$3=TRUE,IF(AO158="","",SUM($AO$6:AO158)),"")</f>
        <v/>
      </c>
      <c r="BK158" t="str">
        <f>IF($AY$3=TRUE,IF(AP158="","",SUM($AP$6:AP158)),"")</f>
        <v/>
      </c>
      <c r="BL158" t="str">
        <f>IF($AZ$3=TRUE,IF(AQ158="","",SUM($AQ$6:AQ158)),"")</f>
        <v/>
      </c>
      <c r="BM158" t="str">
        <f>IF($BA$3=TRUE,IF(AR158="","",SUM($AR$6:AR158)),"")</f>
        <v/>
      </c>
      <c r="BN158" t="str">
        <f>IF($BB$3=TRUE,IF(AS158="","",SUM($AS$6:AS158)),"")</f>
        <v/>
      </c>
    </row>
    <row r="159" spans="34:66" x14ac:dyDescent="0.25">
      <c r="AH159" s="75">
        <v>44725</v>
      </c>
      <c r="AI159">
        <v>2504.5100000000002</v>
      </c>
      <c r="AK159" s="75"/>
      <c r="BF159" s="75" t="str">
        <f t="shared" si="12"/>
        <v/>
      </c>
      <c r="BG159" t="str">
        <f>IF($AU$3=TRUE,IF(AL159="","",SUM($AL$6:AL159)),"")</f>
        <v/>
      </c>
      <c r="BH159" t="str">
        <f>IF($AV$3=TRUE,IF(AM159="","",SUM($AM$6:AM159)),"")</f>
        <v/>
      </c>
      <c r="BI159" t="str">
        <f>IF($AW$3=TRUE,IF(AN159="","",SUM($AN$6:AN159)),"")</f>
        <v/>
      </c>
      <c r="BJ159" t="str">
        <f>IF($AX$3=TRUE,IF(AO159="","",SUM($AO$6:AO159)),"")</f>
        <v/>
      </c>
      <c r="BK159" t="str">
        <f>IF($AY$3=TRUE,IF(AP159="","",SUM($AP$6:AP159)),"")</f>
        <v/>
      </c>
      <c r="BL159" t="str">
        <f>IF($AZ$3=TRUE,IF(AQ159="","",SUM($AQ$6:AQ159)),"")</f>
        <v/>
      </c>
      <c r="BM159" t="str">
        <f>IF($BA$3=TRUE,IF(AR159="","",SUM($AR$6:AR159)),"")</f>
        <v/>
      </c>
      <c r="BN159" t="str">
        <f>IF($BB$3=TRUE,IF(AS159="","",SUM($AS$6:AS159)),"")</f>
        <v/>
      </c>
    </row>
    <row r="160" spans="34:66" x14ac:dyDescent="0.25">
      <c r="AH160" s="75">
        <v>44722</v>
      </c>
      <c r="AI160">
        <v>2595.87</v>
      </c>
      <c r="AK160" s="75"/>
      <c r="BF160" s="75" t="str">
        <f t="shared" si="12"/>
        <v/>
      </c>
      <c r="BG160" t="str">
        <f>IF($AU$3=TRUE,IF(AL160="","",SUM($AL$6:AL160)),"")</f>
        <v/>
      </c>
      <c r="BH160" t="str">
        <f>IF($AV$3=TRUE,IF(AM160="","",SUM($AM$6:AM160)),"")</f>
        <v/>
      </c>
      <c r="BI160" t="str">
        <f>IF($AW$3=TRUE,IF(AN160="","",SUM($AN$6:AN160)),"")</f>
        <v/>
      </c>
      <c r="BJ160" t="str">
        <f>IF($AX$3=TRUE,IF(AO160="","",SUM($AO$6:AO160)),"")</f>
        <v/>
      </c>
      <c r="BK160" t="str">
        <f>IF($AY$3=TRUE,IF(AP160="","",SUM($AP$6:AP160)),"")</f>
        <v/>
      </c>
      <c r="BL160" t="str">
        <f>IF($AZ$3=TRUE,IF(AQ160="","",SUM($AQ$6:AQ160)),"")</f>
        <v/>
      </c>
      <c r="BM160" t="str">
        <f>IF($BA$3=TRUE,IF(AR160="","",SUM($AR$6:AR160)),"")</f>
        <v/>
      </c>
      <c r="BN160" t="str">
        <f>IF($BB$3=TRUE,IF(AS160="","",SUM($AS$6:AS160)),"")</f>
        <v/>
      </c>
    </row>
    <row r="161" spans="34:66" x14ac:dyDescent="0.25">
      <c r="AH161" s="75">
        <v>44721</v>
      </c>
      <c r="AI161">
        <v>2625.44</v>
      </c>
      <c r="AK161" s="75"/>
      <c r="BF161" s="75" t="str">
        <f t="shared" si="12"/>
        <v/>
      </c>
      <c r="BG161" t="str">
        <f>IF($AU$3=TRUE,IF(AL161="","",SUM($AL$6:AL161)),"")</f>
        <v/>
      </c>
      <c r="BH161" t="str">
        <f>IF($AV$3=TRUE,IF(AM161="","",SUM($AM$6:AM161)),"")</f>
        <v/>
      </c>
      <c r="BI161" t="str">
        <f>IF($AW$3=TRUE,IF(AN161="","",SUM($AN$6:AN161)),"")</f>
        <v/>
      </c>
      <c r="BJ161" t="str">
        <f>IF($AX$3=TRUE,IF(AO161="","",SUM($AO$6:AO161)),"")</f>
        <v/>
      </c>
      <c r="BK161" t="str">
        <f>IF($AY$3=TRUE,IF(AP161="","",SUM($AP$6:AP161)),"")</f>
        <v/>
      </c>
      <c r="BL161" t="str">
        <f>IF($AZ$3=TRUE,IF(AQ161="","",SUM($AQ$6:AQ161)),"")</f>
        <v/>
      </c>
      <c r="BM161" t="str">
        <f>IF($BA$3=TRUE,IF(AR161="","",SUM($AR$6:AR161)),"")</f>
        <v/>
      </c>
      <c r="BN161" t="str">
        <f>IF($BB$3=TRUE,IF(AS161="","",SUM($AS$6:AS161)),"")</f>
        <v/>
      </c>
    </row>
    <row r="162" spans="34:66" x14ac:dyDescent="0.25">
      <c r="AH162" s="75">
        <v>44720</v>
      </c>
      <c r="AI162">
        <v>2626.15</v>
      </c>
      <c r="AK162" s="75"/>
      <c r="BF162" s="75" t="str">
        <f t="shared" si="12"/>
        <v/>
      </c>
      <c r="BG162" t="str">
        <f>IF($AU$3=TRUE,IF(AL162="","",SUM($AL$6:AL162)),"")</f>
        <v/>
      </c>
      <c r="BH162" t="str">
        <f>IF($AV$3=TRUE,IF(AM162="","",SUM($AM$6:AM162)),"")</f>
        <v/>
      </c>
      <c r="BI162" t="str">
        <f>IF($AW$3=TRUE,IF(AN162="","",SUM($AN$6:AN162)),"")</f>
        <v/>
      </c>
      <c r="BJ162" t="str">
        <f>IF($AX$3=TRUE,IF(AO162="","",SUM($AO$6:AO162)),"")</f>
        <v/>
      </c>
      <c r="BK162" t="str">
        <f>IF($AY$3=TRUE,IF(AP162="","",SUM($AP$6:AP162)),"")</f>
        <v/>
      </c>
      <c r="BL162" t="str">
        <f>IF($AZ$3=TRUE,IF(AQ162="","",SUM($AQ$6:AQ162)),"")</f>
        <v/>
      </c>
      <c r="BM162" t="str">
        <f>IF($BA$3=TRUE,IF(AR162="","",SUM($AR$6:AR162)),"")</f>
        <v/>
      </c>
      <c r="BN162" t="str">
        <f>IF($BB$3=TRUE,IF(AS162="","",SUM($AS$6:AS162)),"")</f>
        <v/>
      </c>
    </row>
    <row r="163" spans="34:66" x14ac:dyDescent="0.25">
      <c r="AH163" s="75">
        <v>44719</v>
      </c>
      <c r="AI163">
        <v>2626.34</v>
      </c>
      <c r="AK163" s="75"/>
      <c r="BF163" s="75" t="str">
        <f t="shared" si="12"/>
        <v/>
      </c>
      <c r="BG163" t="str">
        <f>IF($AU$3=TRUE,IF(AL163="","",SUM($AL$6:AL163)),"")</f>
        <v/>
      </c>
      <c r="BH163" t="str">
        <f>IF($AV$3=TRUE,IF(AM163="","",SUM($AM$6:AM163)),"")</f>
        <v/>
      </c>
      <c r="BI163" t="str">
        <f>IF($AW$3=TRUE,IF(AN163="","",SUM($AN$6:AN163)),"")</f>
        <v/>
      </c>
      <c r="BJ163" t="str">
        <f>IF($AX$3=TRUE,IF(AO163="","",SUM($AO$6:AO163)),"")</f>
        <v/>
      </c>
      <c r="BK163" t="str">
        <f>IF($AY$3=TRUE,IF(AP163="","",SUM($AP$6:AP163)),"")</f>
        <v/>
      </c>
      <c r="BL163" t="str">
        <f>IF($AZ$3=TRUE,IF(AQ163="","",SUM($AQ$6:AQ163)),"")</f>
        <v/>
      </c>
      <c r="BM163" t="str">
        <f>IF($BA$3=TRUE,IF(AR163="","",SUM($AR$6:AR163)),"")</f>
        <v/>
      </c>
      <c r="BN163" t="str">
        <f>IF($BB$3=TRUE,IF(AS163="","",SUM($AS$6:AS163)),"")</f>
        <v/>
      </c>
    </row>
    <row r="164" spans="34:66" x14ac:dyDescent="0.25">
      <c r="AH164" s="75">
        <v>44715</v>
      </c>
      <c r="AI164">
        <v>2670.65</v>
      </c>
      <c r="AK164" s="75"/>
      <c r="BF164" s="75" t="str">
        <f t="shared" si="12"/>
        <v/>
      </c>
      <c r="BG164" t="str">
        <f>IF($AU$3=TRUE,IF(AL164="","",SUM($AL$6:AL164)),"")</f>
        <v/>
      </c>
      <c r="BH164" t="str">
        <f>IF($AV$3=TRUE,IF(AM164="","",SUM($AM$6:AM164)),"")</f>
        <v/>
      </c>
      <c r="BI164" t="str">
        <f>IF($AW$3=TRUE,IF(AN164="","",SUM($AN$6:AN164)),"")</f>
        <v/>
      </c>
      <c r="BJ164" t="str">
        <f>IF($AX$3=TRUE,IF(AO164="","",SUM($AO$6:AO164)),"")</f>
        <v/>
      </c>
      <c r="BK164" t="str">
        <f>IF($AY$3=TRUE,IF(AP164="","",SUM($AP$6:AP164)),"")</f>
        <v/>
      </c>
      <c r="BL164" t="str">
        <f>IF($AZ$3=TRUE,IF(AQ164="","",SUM($AQ$6:AQ164)),"")</f>
        <v/>
      </c>
      <c r="BM164" t="str">
        <f>IF($BA$3=TRUE,IF(AR164="","",SUM($AR$6:AR164)),"")</f>
        <v/>
      </c>
      <c r="BN164" t="str">
        <f>IF($BB$3=TRUE,IF(AS164="","",SUM($AS$6:AS164)),"")</f>
        <v/>
      </c>
    </row>
    <row r="165" spans="34:66" x14ac:dyDescent="0.25">
      <c r="AH165" s="75">
        <v>44714</v>
      </c>
      <c r="AI165">
        <v>2658.99</v>
      </c>
      <c r="AK165" s="75"/>
      <c r="BF165" s="75" t="str">
        <f t="shared" si="12"/>
        <v/>
      </c>
      <c r="BG165" t="str">
        <f>IF($AU$3=TRUE,IF(AL165="","",SUM($AL$6:AL165)),"")</f>
        <v/>
      </c>
      <c r="BH165" t="str">
        <f>IF($AV$3=TRUE,IF(AM165="","",SUM($AM$6:AM165)),"")</f>
        <v/>
      </c>
      <c r="BI165" t="str">
        <f>IF($AW$3=TRUE,IF(AN165="","",SUM($AN$6:AN165)),"")</f>
        <v/>
      </c>
      <c r="BJ165" t="str">
        <f>IF($AX$3=TRUE,IF(AO165="","",SUM($AO$6:AO165)),"")</f>
        <v/>
      </c>
      <c r="BK165" t="str">
        <f>IF($AY$3=TRUE,IF(AP165="","",SUM($AP$6:AP165)),"")</f>
        <v/>
      </c>
      <c r="BL165" t="str">
        <f>IF($AZ$3=TRUE,IF(AQ165="","",SUM($AQ$6:AQ165)),"")</f>
        <v/>
      </c>
      <c r="BM165" t="str">
        <f>IF($BA$3=TRUE,IF(AR165="","",SUM($AR$6:AR165)),"")</f>
        <v/>
      </c>
      <c r="BN165" t="str">
        <f>IF($BB$3=TRUE,IF(AS165="","",SUM($AS$6:AS165)),"")</f>
        <v/>
      </c>
    </row>
    <row r="166" spans="34:66" x14ac:dyDescent="0.25">
      <c r="AH166" s="75">
        <v>44712</v>
      </c>
      <c r="AI166">
        <v>2685.9</v>
      </c>
      <c r="AK166" s="75"/>
      <c r="BF166" s="75" t="str">
        <f t="shared" si="12"/>
        <v/>
      </c>
      <c r="BG166" t="str">
        <f>IF($AU$3=TRUE,IF(AL166="","",SUM($AL$6:AL166)),"")</f>
        <v/>
      </c>
      <c r="BH166" t="str">
        <f>IF($AV$3=TRUE,IF(AM166="","",SUM($AM$6:AM166)),"")</f>
        <v/>
      </c>
      <c r="BI166" t="str">
        <f>IF($AW$3=TRUE,IF(AN166="","",SUM($AN$6:AN166)),"")</f>
        <v/>
      </c>
      <c r="BJ166" t="str">
        <f>IF($AX$3=TRUE,IF(AO166="","",SUM($AO$6:AO166)),"")</f>
        <v/>
      </c>
      <c r="BK166" t="str">
        <f>IF($AY$3=TRUE,IF(AP166="","",SUM($AP$6:AP166)),"")</f>
        <v/>
      </c>
      <c r="BL166" t="str">
        <f>IF($AZ$3=TRUE,IF(AQ166="","",SUM($AQ$6:AQ166)),"")</f>
        <v/>
      </c>
      <c r="BM166" t="str">
        <f>IF($BA$3=TRUE,IF(AR166="","",SUM($AR$6:AR166)),"")</f>
        <v/>
      </c>
      <c r="BN166" t="str">
        <f>IF($BB$3=TRUE,IF(AS166="","",SUM($AS$6:AS166)),"")</f>
        <v/>
      </c>
    </row>
    <row r="167" spans="34:66" x14ac:dyDescent="0.25">
      <c r="AH167" s="75">
        <v>44711</v>
      </c>
      <c r="AI167">
        <v>2669.66</v>
      </c>
      <c r="AK167" s="75"/>
      <c r="BF167" s="75" t="str">
        <f t="shared" si="12"/>
        <v/>
      </c>
      <c r="BG167" t="str">
        <f>IF($AU$3=TRUE,IF(AL167="","",SUM($AL$6:AL167)),"")</f>
        <v/>
      </c>
      <c r="BH167" t="str">
        <f>IF($AV$3=TRUE,IF(AM167="","",SUM($AM$6:AM167)),"")</f>
        <v/>
      </c>
      <c r="BI167" t="str">
        <f>IF($AW$3=TRUE,IF(AN167="","",SUM($AN$6:AN167)),"")</f>
        <v/>
      </c>
      <c r="BJ167" t="str">
        <f>IF($AX$3=TRUE,IF(AO167="","",SUM($AO$6:AO167)),"")</f>
        <v/>
      </c>
      <c r="BK167" t="str">
        <f>IF($AY$3=TRUE,IF(AP167="","",SUM($AP$6:AP167)),"")</f>
        <v/>
      </c>
      <c r="BL167" t="str">
        <f>IF($AZ$3=TRUE,IF(AQ167="","",SUM($AQ$6:AQ167)),"")</f>
        <v/>
      </c>
      <c r="BM167" t="str">
        <f>IF($BA$3=TRUE,IF(AR167="","",SUM($AR$6:AR167)),"")</f>
        <v/>
      </c>
      <c r="BN167" t="str">
        <f>IF($BB$3=TRUE,IF(AS167="","",SUM($AS$6:AS167)),"")</f>
        <v/>
      </c>
    </row>
    <row r="168" spans="34:66" x14ac:dyDescent="0.25">
      <c r="AH168" s="75">
        <v>44708</v>
      </c>
      <c r="AI168">
        <v>2638.05</v>
      </c>
      <c r="AK168" s="75"/>
      <c r="BF168" s="75" t="str">
        <f t="shared" si="12"/>
        <v/>
      </c>
      <c r="BG168" t="str">
        <f>IF($AU$3=TRUE,IF(AL168="","",SUM($AL$6:AL168)),"")</f>
        <v/>
      </c>
      <c r="BH168" t="str">
        <f>IF($AV$3=TRUE,IF(AM168="","",SUM($AM$6:AM168)),"")</f>
        <v/>
      </c>
      <c r="BI168" t="str">
        <f>IF($AW$3=TRUE,IF(AN168="","",SUM($AN$6:AN168)),"")</f>
        <v/>
      </c>
      <c r="BJ168" t="str">
        <f>IF($AX$3=TRUE,IF(AO168="","",SUM($AO$6:AO168)),"")</f>
        <v/>
      </c>
      <c r="BK168" t="str">
        <f>IF($AY$3=TRUE,IF(AP168="","",SUM($AP$6:AP168)),"")</f>
        <v/>
      </c>
      <c r="BL168" t="str">
        <f>IF($AZ$3=TRUE,IF(AQ168="","",SUM($AQ$6:AQ168)),"")</f>
        <v/>
      </c>
      <c r="BM168" t="str">
        <f>IF($BA$3=TRUE,IF(AR168="","",SUM($AR$6:AR168)),"")</f>
        <v/>
      </c>
      <c r="BN168" t="str">
        <f>IF($BB$3=TRUE,IF(AS168="","",SUM($AS$6:AS168)),"")</f>
        <v/>
      </c>
    </row>
    <row r="169" spans="34:66" x14ac:dyDescent="0.25">
      <c r="AH169" s="75">
        <v>44707</v>
      </c>
      <c r="AI169">
        <v>2612.4499999999998</v>
      </c>
      <c r="AK169" s="75"/>
      <c r="BF169" s="75" t="str">
        <f t="shared" si="12"/>
        <v/>
      </c>
      <c r="BG169" t="str">
        <f>IF($AU$3=TRUE,IF(AL169="","",SUM($AL$6:AL169)),"")</f>
        <v/>
      </c>
      <c r="BH169" t="str">
        <f>IF($AV$3=TRUE,IF(AM169="","",SUM($AM$6:AM169)),"")</f>
        <v/>
      </c>
      <c r="BI169" t="str">
        <f>IF($AW$3=TRUE,IF(AN169="","",SUM($AN$6:AN169)),"")</f>
        <v/>
      </c>
      <c r="BJ169" t="str">
        <f>IF($AX$3=TRUE,IF(AO169="","",SUM($AO$6:AO169)),"")</f>
        <v/>
      </c>
      <c r="BK169" t="str">
        <f>IF($AY$3=TRUE,IF(AP169="","",SUM($AP$6:AP169)),"")</f>
        <v/>
      </c>
      <c r="BL169" t="str">
        <f>IF($AZ$3=TRUE,IF(AQ169="","",SUM($AQ$6:AQ169)),"")</f>
        <v/>
      </c>
      <c r="BM169" t="str">
        <f>IF($BA$3=TRUE,IF(AR169="","",SUM($AR$6:AR169)),"")</f>
        <v/>
      </c>
      <c r="BN169" t="str">
        <f>IF($BB$3=TRUE,IF(AS169="","",SUM($AS$6:AS169)),"")</f>
        <v/>
      </c>
    </row>
    <row r="170" spans="34:66" x14ac:dyDescent="0.25">
      <c r="AH170" s="75">
        <v>44706</v>
      </c>
      <c r="AI170">
        <v>2617.2199999999998</v>
      </c>
      <c r="AK170" s="75"/>
      <c r="BF170" s="75" t="str">
        <f t="shared" si="12"/>
        <v/>
      </c>
      <c r="BG170" t="str">
        <f>IF($AU$3=TRUE,IF(AL170="","",SUM($AL$6:AL170)),"")</f>
        <v/>
      </c>
      <c r="BH170" t="str">
        <f>IF($AV$3=TRUE,IF(AM170="","",SUM($AM$6:AM170)),"")</f>
        <v/>
      </c>
      <c r="BI170" t="str">
        <f>IF($AW$3=TRUE,IF(AN170="","",SUM($AN$6:AN170)),"")</f>
        <v/>
      </c>
      <c r="BJ170" t="str">
        <f>IF($AX$3=TRUE,IF(AO170="","",SUM($AO$6:AO170)),"")</f>
        <v/>
      </c>
      <c r="BK170" t="str">
        <f>IF($AY$3=TRUE,IF(AP170="","",SUM($AP$6:AP170)),"")</f>
        <v/>
      </c>
      <c r="BL170" t="str">
        <f>IF($AZ$3=TRUE,IF(AQ170="","",SUM($AQ$6:AQ170)),"")</f>
        <v/>
      </c>
      <c r="BM170" t="str">
        <f>IF($BA$3=TRUE,IF(AR170="","",SUM($AR$6:AR170)),"")</f>
        <v/>
      </c>
      <c r="BN170" t="str">
        <f>IF($BB$3=TRUE,IF(AS170="","",SUM($AS$6:AS170)),"")</f>
        <v/>
      </c>
    </row>
    <row r="171" spans="34:66" x14ac:dyDescent="0.25">
      <c r="AH171" s="75">
        <v>44705</v>
      </c>
      <c r="AI171">
        <v>2605.87</v>
      </c>
      <c r="AK171" s="75"/>
      <c r="BF171" s="75" t="str">
        <f t="shared" si="12"/>
        <v/>
      </c>
      <c r="BG171" t="str">
        <f>IF($AU$3=TRUE,IF(AL171="","",SUM($AL$6:AL171)),"")</f>
        <v/>
      </c>
      <c r="BH171" t="str">
        <f>IF($AV$3=TRUE,IF(AM171="","",SUM($AM$6:AM171)),"")</f>
        <v/>
      </c>
      <c r="BI171" t="str">
        <f>IF($AW$3=TRUE,IF(AN171="","",SUM($AN$6:AN171)),"")</f>
        <v/>
      </c>
      <c r="BJ171" t="str">
        <f>IF($AX$3=TRUE,IF(AO171="","",SUM($AO$6:AO171)),"")</f>
        <v/>
      </c>
      <c r="BK171" t="str">
        <f>IF($AY$3=TRUE,IF(AP171="","",SUM($AP$6:AP171)),"")</f>
        <v/>
      </c>
      <c r="BL171" t="str">
        <f>IF($AZ$3=TRUE,IF(AQ171="","",SUM($AQ$6:AQ171)),"")</f>
        <v/>
      </c>
      <c r="BM171" t="str">
        <f>IF($BA$3=TRUE,IF(AR171="","",SUM($AR$6:AR171)),"")</f>
        <v/>
      </c>
      <c r="BN171" t="str">
        <f>IF($BB$3=TRUE,IF(AS171="","",SUM($AS$6:AS171)),"")</f>
        <v/>
      </c>
    </row>
    <row r="172" spans="34:66" x14ac:dyDescent="0.25">
      <c r="AH172" s="75">
        <v>44704</v>
      </c>
      <c r="AI172">
        <v>2647.38</v>
      </c>
      <c r="AK172" s="75"/>
      <c r="BF172" s="75" t="str">
        <f t="shared" si="12"/>
        <v/>
      </c>
      <c r="BG172" t="str">
        <f>IF($AU$3=TRUE,IF(AL172="","",SUM($AL$6:AL172)),"")</f>
        <v/>
      </c>
      <c r="BH172" t="str">
        <f>IF($AV$3=TRUE,IF(AM172="","",SUM($AM$6:AM172)),"")</f>
        <v/>
      </c>
      <c r="BI172" t="str">
        <f>IF($AW$3=TRUE,IF(AN172="","",SUM($AN$6:AN172)),"")</f>
        <v/>
      </c>
      <c r="BJ172" t="str">
        <f>IF($AX$3=TRUE,IF(AO172="","",SUM($AO$6:AO172)),"")</f>
        <v/>
      </c>
      <c r="BK172" t="str">
        <f>IF($AY$3=TRUE,IF(AP172="","",SUM($AP$6:AP172)),"")</f>
        <v/>
      </c>
      <c r="BL172" t="str">
        <f>IF($AZ$3=TRUE,IF(AQ172="","",SUM($AQ$6:AQ172)),"")</f>
        <v/>
      </c>
      <c r="BM172" t="str">
        <f>IF($BA$3=TRUE,IF(AR172="","",SUM($AR$6:AR172)),"")</f>
        <v/>
      </c>
      <c r="BN172" t="str">
        <f>IF($BB$3=TRUE,IF(AS172="","",SUM($AS$6:AS172)),"")</f>
        <v/>
      </c>
    </row>
    <row r="173" spans="34:66" x14ac:dyDescent="0.25">
      <c r="AH173" s="75">
        <v>44701</v>
      </c>
      <c r="AI173">
        <v>2639.29</v>
      </c>
      <c r="AK173" s="75"/>
      <c r="BF173" s="75" t="str">
        <f t="shared" si="12"/>
        <v/>
      </c>
      <c r="BG173" t="str">
        <f>IF($AU$3=TRUE,IF(AL173="","",SUM($AL$6:AL173)),"")</f>
        <v/>
      </c>
      <c r="BH173" t="str">
        <f>IF($AV$3=TRUE,IF(AM173="","",SUM($AM$6:AM173)),"")</f>
        <v/>
      </c>
      <c r="BI173" t="str">
        <f>IF($AW$3=TRUE,IF(AN173="","",SUM($AN$6:AN173)),"")</f>
        <v/>
      </c>
      <c r="BJ173" t="str">
        <f>IF($AX$3=TRUE,IF(AO173="","",SUM($AO$6:AO173)),"")</f>
        <v/>
      </c>
      <c r="BK173" t="str">
        <f>IF($AY$3=TRUE,IF(AP173="","",SUM($AP$6:AP173)),"")</f>
        <v/>
      </c>
      <c r="BL173" t="str">
        <f>IF($AZ$3=TRUE,IF(AQ173="","",SUM($AQ$6:AQ173)),"")</f>
        <v/>
      </c>
      <c r="BM173" t="str">
        <f>IF($BA$3=TRUE,IF(AR173="","",SUM($AR$6:AR173)),"")</f>
        <v/>
      </c>
      <c r="BN173" t="str">
        <f>IF($BB$3=TRUE,IF(AS173="","",SUM($AS$6:AS173)),"")</f>
        <v/>
      </c>
    </row>
    <row r="174" spans="34:66" x14ac:dyDescent="0.25">
      <c r="AH174" s="75">
        <v>44700</v>
      </c>
      <c r="AI174">
        <v>2592.34</v>
      </c>
      <c r="AK174" s="75"/>
      <c r="BF174" s="75" t="str">
        <f t="shared" si="12"/>
        <v/>
      </c>
      <c r="BG174" t="str">
        <f>IF($AU$3=TRUE,IF(AL174="","",SUM($AL$6:AL174)),"")</f>
        <v/>
      </c>
      <c r="BH174" t="str">
        <f>IF($AV$3=TRUE,IF(AM174="","",SUM($AM$6:AM174)),"")</f>
        <v/>
      </c>
      <c r="BI174" t="str">
        <f>IF($AW$3=TRUE,IF(AN174="","",SUM($AN$6:AN174)),"")</f>
        <v/>
      </c>
      <c r="BJ174" t="str">
        <f>IF($AX$3=TRUE,IF(AO174="","",SUM($AO$6:AO174)),"")</f>
        <v/>
      </c>
      <c r="BK174" t="str">
        <f>IF($AY$3=TRUE,IF(AP174="","",SUM($AP$6:AP174)),"")</f>
        <v/>
      </c>
      <c r="BL174" t="str">
        <f>IF($AZ$3=TRUE,IF(AQ174="","",SUM($AQ$6:AQ174)),"")</f>
        <v/>
      </c>
      <c r="BM174" t="str">
        <f>IF($BA$3=TRUE,IF(AR174="","",SUM($AR$6:AR174)),"")</f>
        <v/>
      </c>
      <c r="BN174" t="str">
        <f>IF($BB$3=TRUE,IF(AS174="","",SUM($AS$6:AS174)),"")</f>
        <v/>
      </c>
    </row>
    <row r="175" spans="34:66" x14ac:dyDescent="0.25">
      <c r="AH175" s="75">
        <v>44699</v>
      </c>
      <c r="AI175">
        <v>2625.98</v>
      </c>
      <c r="AK175" s="75"/>
      <c r="BF175" s="75" t="str">
        <f t="shared" si="12"/>
        <v/>
      </c>
      <c r="BG175" t="str">
        <f>IF($AU$3=TRUE,IF(AL175="","",SUM($AL$6:AL175)),"")</f>
        <v/>
      </c>
      <c r="BH175" t="str">
        <f>IF($AV$3=TRUE,IF(AM175="","",SUM($AM$6:AM175)),"")</f>
        <v/>
      </c>
      <c r="BI175" t="str">
        <f>IF($AW$3=TRUE,IF(AN175="","",SUM($AN$6:AN175)),"")</f>
        <v/>
      </c>
      <c r="BJ175" t="str">
        <f>IF($AX$3=TRUE,IF(AO175="","",SUM($AO$6:AO175)),"")</f>
        <v/>
      </c>
      <c r="BK175" t="str">
        <f>IF($AY$3=TRUE,IF(AP175="","",SUM($AP$6:AP175)),"")</f>
        <v/>
      </c>
      <c r="BL175" t="str">
        <f>IF($AZ$3=TRUE,IF(AQ175="","",SUM($AQ$6:AQ175)),"")</f>
        <v/>
      </c>
      <c r="BM175" t="str">
        <f>IF($BA$3=TRUE,IF(AR175="","",SUM($AR$6:AR175)),"")</f>
        <v/>
      </c>
      <c r="BN175" t="str">
        <f>IF($BB$3=TRUE,IF(AS175="","",SUM($AS$6:AS175)),"")</f>
        <v/>
      </c>
    </row>
    <row r="176" spans="34:66" x14ac:dyDescent="0.25">
      <c r="AH176" s="75">
        <v>44698</v>
      </c>
      <c r="AI176">
        <v>2620.44</v>
      </c>
      <c r="AK176" s="75"/>
      <c r="BF176" s="75" t="str">
        <f t="shared" si="12"/>
        <v/>
      </c>
      <c r="BG176" t="str">
        <f>IF($AU$3=TRUE,IF(AL176="","",SUM($AL$6:AL176)),"")</f>
        <v/>
      </c>
      <c r="BH176" t="str">
        <f>IF($AV$3=TRUE,IF(AM176="","",SUM($AM$6:AM176)),"")</f>
        <v/>
      </c>
      <c r="BI176" t="str">
        <f>IF($AW$3=TRUE,IF(AN176="","",SUM($AN$6:AN176)),"")</f>
        <v/>
      </c>
      <c r="BJ176" t="str">
        <f>IF($AX$3=TRUE,IF(AO176="","",SUM($AO$6:AO176)),"")</f>
        <v/>
      </c>
      <c r="BK176" t="str">
        <f>IF($AY$3=TRUE,IF(AP176="","",SUM($AP$6:AP176)),"")</f>
        <v/>
      </c>
      <c r="BL176" t="str">
        <f>IF($AZ$3=TRUE,IF(AQ176="","",SUM($AQ$6:AQ176)),"")</f>
        <v/>
      </c>
      <c r="BM176" t="str">
        <f>IF($BA$3=TRUE,IF(AR176="","",SUM($AR$6:AR176)),"")</f>
        <v/>
      </c>
      <c r="BN176" t="str">
        <f>IF($BB$3=TRUE,IF(AS176="","",SUM($AS$6:AS176)),"")</f>
        <v/>
      </c>
    </row>
    <row r="177" spans="34:66" x14ac:dyDescent="0.25">
      <c r="AH177" s="75">
        <v>44697</v>
      </c>
      <c r="AI177">
        <v>2596.58</v>
      </c>
      <c r="AK177" s="75"/>
      <c r="BF177" s="75" t="str">
        <f t="shared" si="12"/>
        <v/>
      </c>
      <c r="BG177" t="str">
        <f>IF($AU$3=TRUE,IF(AL177="","",SUM($AL$6:AL177)),"")</f>
        <v/>
      </c>
      <c r="BH177" t="str">
        <f>IF($AV$3=TRUE,IF(AM177="","",SUM($AM$6:AM177)),"")</f>
        <v/>
      </c>
      <c r="BI177" t="str">
        <f>IF($AW$3=TRUE,IF(AN177="","",SUM($AN$6:AN177)),"")</f>
        <v/>
      </c>
      <c r="BJ177" t="str">
        <f>IF($AX$3=TRUE,IF(AO177="","",SUM($AO$6:AO177)),"")</f>
        <v/>
      </c>
      <c r="BK177" t="str">
        <f>IF($AY$3=TRUE,IF(AP177="","",SUM($AP$6:AP177)),"")</f>
        <v/>
      </c>
      <c r="BL177" t="str">
        <f>IF($AZ$3=TRUE,IF(AQ177="","",SUM($AQ$6:AQ177)),"")</f>
        <v/>
      </c>
      <c r="BM177" t="str">
        <f>IF($BA$3=TRUE,IF(AR177="","",SUM($AR$6:AR177)),"")</f>
        <v/>
      </c>
      <c r="BN177" t="str">
        <f>IF($BB$3=TRUE,IF(AS177="","",SUM($AS$6:AS177)),"")</f>
        <v/>
      </c>
    </row>
    <row r="178" spans="34:66" x14ac:dyDescent="0.25">
      <c r="AH178" s="75">
        <v>44694</v>
      </c>
      <c r="AI178">
        <v>2604.2399999999998</v>
      </c>
      <c r="AK178" s="75"/>
      <c r="BF178" s="75" t="str">
        <f t="shared" si="12"/>
        <v/>
      </c>
      <c r="BG178" t="str">
        <f>IF($AU$3=TRUE,IF(AL178="","",SUM($AL$6:AL178)),"")</f>
        <v/>
      </c>
      <c r="BH178" t="str">
        <f>IF($AV$3=TRUE,IF(AM178="","",SUM($AM$6:AM178)),"")</f>
        <v/>
      </c>
      <c r="BI178" t="str">
        <f>IF($AW$3=TRUE,IF(AN178="","",SUM($AN$6:AN178)),"")</f>
        <v/>
      </c>
      <c r="BJ178" t="str">
        <f>IF($AX$3=TRUE,IF(AO178="","",SUM($AO$6:AO178)),"")</f>
        <v/>
      </c>
      <c r="BK178" t="str">
        <f>IF($AY$3=TRUE,IF(AP178="","",SUM($AP$6:AP178)),"")</f>
        <v/>
      </c>
      <c r="BL178" t="str">
        <f>IF($AZ$3=TRUE,IF(AQ178="","",SUM($AQ$6:AQ178)),"")</f>
        <v/>
      </c>
      <c r="BM178" t="str">
        <f>IF($BA$3=TRUE,IF(AR178="","",SUM($AR$6:AR178)),"")</f>
        <v/>
      </c>
      <c r="BN178" t="str">
        <f>IF($BB$3=TRUE,IF(AS178="","",SUM($AS$6:AS178)),"")</f>
        <v/>
      </c>
    </row>
    <row r="179" spans="34:66" x14ac:dyDescent="0.25">
      <c r="AH179" s="75">
        <v>44693</v>
      </c>
      <c r="AI179">
        <v>2550.08</v>
      </c>
      <c r="AK179" s="75"/>
      <c r="BF179" s="75" t="str">
        <f t="shared" si="12"/>
        <v/>
      </c>
      <c r="BG179" t="str">
        <f>IF($AU$3=TRUE,IF(AL179="","",SUM($AL$6:AL179)),"")</f>
        <v/>
      </c>
      <c r="BH179" t="str">
        <f>IF($AV$3=TRUE,IF(AM179="","",SUM($AM$6:AM179)),"")</f>
        <v/>
      </c>
      <c r="BI179" t="str">
        <f>IF($AW$3=TRUE,IF(AN179="","",SUM($AN$6:AN179)),"")</f>
        <v/>
      </c>
      <c r="BJ179" t="str">
        <f>IF($AX$3=TRUE,IF(AO179="","",SUM($AO$6:AO179)),"")</f>
        <v/>
      </c>
      <c r="BK179" t="str">
        <f>IF($AY$3=TRUE,IF(AP179="","",SUM($AP$6:AP179)),"")</f>
        <v/>
      </c>
      <c r="BL179" t="str">
        <f>IF($AZ$3=TRUE,IF(AQ179="","",SUM($AQ$6:AQ179)),"")</f>
        <v/>
      </c>
      <c r="BM179" t="str">
        <f>IF($BA$3=TRUE,IF(AR179="","",SUM($AR$6:AR179)),"")</f>
        <v/>
      </c>
      <c r="BN179" t="str">
        <f>IF($BB$3=TRUE,IF(AS179="","",SUM($AS$6:AS179)),"")</f>
        <v/>
      </c>
    </row>
    <row r="180" spans="34:66" x14ac:dyDescent="0.25">
      <c r="AH180" s="75">
        <v>44692</v>
      </c>
      <c r="AI180">
        <v>2592.27</v>
      </c>
      <c r="AK180" s="75"/>
      <c r="BF180" s="75" t="str">
        <f t="shared" si="12"/>
        <v/>
      </c>
      <c r="BG180" t="str">
        <f>IF($AU$3=TRUE,IF(AL180="","",SUM($AL$6:AL180)),"")</f>
        <v/>
      </c>
      <c r="BH180" t="str">
        <f>IF($AV$3=TRUE,IF(AM180="","",SUM($AM$6:AM180)),"")</f>
        <v/>
      </c>
      <c r="BI180" t="str">
        <f>IF($AW$3=TRUE,IF(AN180="","",SUM($AN$6:AN180)),"")</f>
        <v/>
      </c>
      <c r="BJ180" t="str">
        <f>IF($AX$3=TRUE,IF(AO180="","",SUM($AO$6:AO180)),"")</f>
        <v/>
      </c>
      <c r="BK180" t="str">
        <f>IF($AY$3=TRUE,IF(AP180="","",SUM($AP$6:AP180)),"")</f>
        <v/>
      </c>
      <c r="BL180" t="str">
        <f>IF($AZ$3=TRUE,IF(AQ180="","",SUM($AQ$6:AQ180)),"")</f>
        <v/>
      </c>
      <c r="BM180" t="str">
        <f>IF($BA$3=TRUE,IF(AR180="","",SUM($AR$6:AR180)),"")</f>
        <v/>
      </c>
      <c r="BN180" t="str">
        <f>IF($BB$3=TRUE,IF(AS180="","",SUM($AS$6:AS180)),"")</f>
        <v/>
      </c>
    </row>
    <row r="181" spans="34:66" x14ac:dyDescent="0.25">
      <c r="AH181" s="75">
        <v>44691</v>
      </c>
      <c r="AI181">
        <v>2596.56</v>
      </c>
      <c r="AK181" s="75"/>
      <c r="BF181" s="75" t="str">
        <f t="shared" si="12"/>
        <v/>
      </c>
      <c r="BG181" t="str">
        <f>IF($AU$3=TRUE,IF(AL181="","",SUM($AL$6:AL181)),"")</f>
        <v/>
      </c>
      <c r="BH181" t="str">
        <f>IF($AV$3=TRUE,IF(AM181="","",SUM($AM$6:AM181)),"")</f>
        <v/>
      </c>
      <c r="BI181" t="str">
        <f>IF($AW$3=TRUE,IF(AN181="","",SUM($AN$6:AN181)),"")</f>
        <v/>
      </c>
      <c r="BJ181" t="str">
        <f>IF($AX$3=TRUE,IF(AO181="","",SUM($AO$6:AO181)),"")</f>
        <v/>
      </c>
      <c r="BK181" t="str">
        <f>IF($AY$3=TRUE,IF(AP181="","",SUM($AP$6:AP181)),"")</f>
        <v/>
      </c>
      <c r="BL181" t="str">
        <f>IF($AZ$3=TRUE,IF(AQ181="","",SUM($AQ$6:AQ181)),"")</f>
        <v/>
      </c>
      <c r="BM181" t="str">
        <f>IF($BA$3=TRUE,IF(AR181="","",SUM($AR$6:AR181)),"")</f>
        <v/>
      </c>
      <c r="BN181" t="str">
        <f>IF($BB$3=TRUE,IF(AS181="","",SUM($AS$6:AS181)),"")</f>
        <v/>
      </c>
    </row>
    <row r="182" spans="34:66" x14ac:dyDescent="0.25">
      <c r="AH182" s="75">
        <v>44690</v>
      </c>
      <c r="AI182">
        <v>2610.81</v>
      </c>
      <c r="AK182" s="75"/>
      <c r="BF182" s="75" t="str">
        <f t="shared" si="12"/>
        <v/>
      </c>
      <c r="BG182" t="str">
        <f>IF($AU$3=TRUE,IF(AL182="","",SUM($AL$6:AL182)),"")</f>
        <v/>
      </c>
      <c r="BH182" t="str">
        <f>IF($AV$3=TRUE,IF(AM182="","",SUM($AM$6:AM182)),"")</f>
        <v/>
      </c>
      <c r="BI182" t="str">
        <f>IF($AW$3=TRUE,IF(AN182="","",SUM($AN$6:AN182)),"")</f>
        <v/>
      </c>
      <c r="BJ182" t="str">
        <f>IF($AX$3=TRUE,IF(AO182="","",SUM($AO$6:AO182)),"")</f>
        <v/>
      </c>
      <c r="BK182" t="str">
        <f>IF($AY$3=TRUE,IF(AP182="","",SUM($AP$6:AP182)),"")</f>
        <v/>
      </c>
      <c r="BL182" t="str">
        <f>IF($AZ$3=TRUE,IF(AQ182="","",SUM($AQ$6:AQ182)),"")</f>
        <v/>
      </c>
      <c r="BM182" t="str">
        <f>IF($BA$3=TRUE,IF(AR182="","",SUM($AR$6:AR182)),"")</f>
        <v/>
      </c>
      <c r="BN182" t="str">
        <f>IF($BB$3=TRUE,IF(AS182="","",SUM($AS$6:AS182)),"")</f>
        <v/>
      </c>
    </row>
    <row r="183" spans="34:66" x14ac:dyDescent="0.25">
      <c r="AH183" s="75">
        <v>44687</v>
      </c>
      <c r="AI183">
        <v>2644.51</v>
      </c>
      <c r="AK183" s="75"/>
      <c r="BF183" s="75" t="str">
        <f t="shared" si="12"/>
        <v/>
      </c>
      <c r="BG183" t="str">
        <f>IF($AU$3=TRUE,IF(AL183="","",SUM($AL$6:AL183)),"")</f>
        <v/>
      </c>
      <c r="BH183" t="str">
        <f>IF($AV$3=TRUE,IF(AM183="","",SUM($AM$6:AM183)),"")</f>
        <v/>
      </c>
      <c r="BI183" t="str">
        <f>IF($AW$3=TRUE,IF(AN183="","",SUM($AN$6:AN183)),"")</f>
        <v/>
      </c>
      <c r="BJ183" t="str">
        <f>IF($AX$3=TRUE,IF(AO183="","",SUM($AO$6:AO183)),"")</f>
        <v/>
      </c>
      <c r="BK183" t="str">
        <f>IF($AY$3=TRUE,IF(AP183="","",SUM($AP$6:AP183)),"")</f>
        <v/>
      </c>
      <c r="BL183" t="str">
        <f>IF($AZ$3=TRUE,IF(AQ183="","",SUM($AQ$6:AQ183)),"")</f>
        <v/>
      </c>
      <c r="BM183" t="str">
        <f>IF($BA$3=TRUE,IF(AR183="","",SUM($AR$6:AR183)),"")</f>
        <v/>
      </c>
      <c r="BN183" t="str">
        <f>IF($BB$3=TRUE,IF(AS183="","",SUM($AS$6:AS183)),"")</f>
        <v/>
      </c>
    </row>
    <row r="184" spans="34:66" x14ac:dyDescent="0.25">
      <c r="AH184" s="75">
        <v>44685</v>
      </c>
      <c r="AI184">
        <v>2677.57</v>
      </c>
      <c r="AK184" s="75"/>
      <c r="BF184" s="75" t="str">
        <f t="shared" si="12"/>
        <v/>
      </c>
      <c r="BG184" t="str">
        <f>IF($AU$3=TRUE,IF(AL184="","",SUM($AL$6:AL184)),"")</f>
        <v/>
      </c>
      <c r="BH184" t="str">
        <f>IF($AV$3=TRUE,IF(AM184="","",SUM($AM$6:AM184)),"")</f>
        <v/>
      </c>
      <c r="BI184" t="str">
        <f>IF($AW$3=TRUE,IF(AN184="","",SUM($AN$6:AN184)),"")</f>
        <v/>
      </c>
      <c r="BJ184" t="str">
        <f>IF($AX$3=TRUE,IF(AO184="","",SUM($AO$6:AO184)),"")</f>
        <v/>
      </c>
      <c r="BK184" t="str">
        <f>IF($AY$3=TRUE,IF(AP184="","",SUM($AP$6:AP184)),"")</f>
        <v/>
      </c>
      <c r="BL184" t="str">
        <f>IF($AZ$3=TRUE,IF(AQ184="","",SUM($AQ$6:AQ184)),"")</f>
        <v/>
      </c>
      <c r="BM184" t="str">
        <f>IF($BA$3=TRUE,IF(AR184="","",SUM($AR$6:AR184)),"")</f>
        <v/>
      </c>
      <c r="BN184" t="str">
        <f>IF($BB$3=TRUE,IF(AS184="","",SUM($AS$6:AS184)),"")</f>
        <v/>
      </c>
    </row>
    <row r="185" spans="34:66" x14ac:dyDescent="0.25">
      <c r="AH185" s="75">
        <v>44684</v>
      </c>
      <c r="AI185">
        <v>2680.46</v>
      </c>
      <c r="AK185" s="75"/>
      <c r="BF185" s="75" t="str">
        <f t="shared" si="12"/>
        <v/>
      </c>
      <c r="BG185" t="str">
        <f>IF($AU$3=TRUE,IF(AL185="","",SUM($AL$6:AL185)),"")</f>
        <v/>
      </c>
      <c r="BH185" t="str">
        <f>IF($AV$3=TRUE,IF(AM185="","",SUM($AM$6:AM185)),"")</f>
        <v/>
      </c>
      <c r="BI185" t="str">
        <f>IF($AW$3=TRUE,IF(AN185="","",SUM($AN$6:AN185)),"")</f>
        <v/>
      </c>
      <c r="BJ185" t="str">
        <f>IF($AX$3=TRUE,IF(AO185="","",SUM($AO$6:AO185)),"")</f>
        <v/>
      </c>
      <c r="BK185" t="str">
        <f>IF($AY$3=TRUE,IF(AP185="","",SUM($AP$6:AP185)),"")</f>
        <v/>
      </c>
      <c r="BL185" t="str">
        <f>IF($AZ$3=TRUE,IF(AQ185="","",SUM($AQ$6:AQ185)),"")</f>
        <v/>
      </c>
      <c r="BM185" t="str">
        <f>IF($BA$3=TRUE,IF(AR185="","",SUM($AR$6:AR185)),"")</f>
        <v/>
      </c>
      <c r="BN185" t="str">
        <f>IF($BB$3=TRUE,IF(AS185="","",SUM($AS$6:AS185)),"")</f>
        <v/>
      </c>
    </row>
    <row r="186" spans="34:66" x14ac:dyDescent="0.25">
      <c r="AH186" s="75">
        <v>44683</v>
      </c>
      <c r="AI186">
        <v>2687.45</v>
      </c>
      <c r="AK186" s="75"/>
      <c r="BF186" s="75" t="str">
        <f t="shared" si="12"/>
        <v/>
      </c>
      <c r="BG186" t="str">
        <f>IF($AU$3=TRUE,IF(AL186="","",SUM($AL$6:AL186)),"")</f>
        <v/>
      </c>
      <c r="BH186" t="str">
        <f>IF($AV$3=TRUE,IF(AM186="","",SUM($AM$6:AM186)),"")</f>
        <v/>
      </c>
      <c r="BI186" t="str">
        <f>IF($AW$3=TRUE,IF(AN186="","",SUM($AN$6:AN186)),"")</f>
        <v/>
      </c>
      <c r="BJ186" t="str">
        <f>IF($AX$3=TRUE,IF(AO186="","",SUM($AO$6:AO186)),"")</f>
        <v/>
      </c>
      <c r="BK186" t="str">
        <f>IF($AY$3=TRUE,IF(AP186="","",SUM($AP$6:AP186)),"")</f>
        <v/>
      </c>
      <c r="BL186" t="str">
        <f>IF($AZ$3=TRUE,IF(AQ186="","",SUM($AQ$6:AQ186)),"")</f>
        <v/>
      </c>
      <c r="BM186" t="str">
        <f>IF($BA$3=TRUE,IF(AR186="","",SUM($AR$6:AR186)),"")</f>
        <v/>
      </c>
      <c r="BN186" t="str">
        <f>IF($BB$3=TRUE,IF(AS186="","",SUM($AS$6:AS186)),"")</f>
        <v/>
      </c>
    </row>
    <row r="187" spans="34:66" x14ac:dyDescent="0.25">
      <c r="AH187" s="75">
        <v>44680</v>
      </c>
      <c r="AI187">
        <v>2695.05</v>
      </c>
      <c r="AK187" s="75"/>
      <c r="BF187" s="75" t="str">
        <f t="shared" si="12"/>
        <v/>
      </c>
      <c r="BG187" t="str">
        <f>IF($AU$3=TRUE,IF(AL187="","",SUM($AL$6:AL187)),"")</f>
        <v/>
      </c>
      <c r="BH187" t="str">
        <f>IF($AV$3=TRUE,IF(AM187="","",SUM($AM$6:AM187)),"")</f>
        <v/>
      </c>
      <c r="BI187" t="str">
        <f>IF($AW$3=TRUE,IF(AN187="","",SUM($AN$6:AN187)),"")</f>
        <v/>
      </c>
      <c r="BJ187" t="str">
        <f>IF($AX$3=TRUE,IF(AO187="","",SUM($AO$6:AO187)),"")</f>
        <v/>
      </c>
      <c r="BK187" t="str">
        <f>IF($AY$3=TRUE,IF(AP187="","",SUM($AP$6:AP187)),"")</f>
        <v/>
      </c>
      <c r="BL187" t="str">
        <f>IF($AZ$3=TRUE,IF(AQ187="","",SUM($AQ$6:AQ187)),"")</f>
        <v/>
      </c>
      <c r="BM187" t="str">
        <f>IF($BA$3=TRUE,IF(AR187="","",SUM($AR$6:AR187)),"")</f>
        <v/>
      </c>
      <c r="BN187" t="str">
        <f>IF($BB$3=TRUE,IF(AS187="","",SUM($AS$6:AS187)),"")</f>
        <v/>
      </c>
    </row>
    <row r="188" spans="34:66" x14ac:dyDescent="0.25">
      <c r="AH188" s="75">
        <v>44679</v>
      </c>
      <c r="AI188">
        <v>2667.49</v>
      </c>
      <c r="AK188" s="75"/>
      <c r="BF188" s="75" t="str">
        <f t="shared" si="12"/>
        <v/>
      </c>
      <c r="BG188" t="str">
        <f>IF($AU$3=TRUE,IF(AL188="","",SUM($AL$6:AL188)),"")</f>
        <v/>
      </c>
      <c r="BH188" t="str">
        <f>IF($AV$3=TRUE,IF(AM188="","",SUM($AM$6:AM188)),"")</f>
        <v/>
      </c>
      <c r="BI188" t="str">
        <f>IF($AW$3=TRUE,IF(AN188="","",SUM($AN$6:AN188)),"")</f>
        <v/>
      </c>
      <c r="BJ188" t="str">
        <f>IF($AX$3=TRUE,IF(AO188="","",SUM($AO$6:AO188)),"")</f>
        <v/>
      </c>
      <c r="BK188" t="str">
        <f>IF($AY$3=TRUE,IF(AP188="","",SUM($AP$6:AP188)),"")</f>
        <v/>
      </c>
      <c r="BL188" t="str">
        <f>IF($AZ$3=TRUE,IF(AQ188="","",SUM($AQ$6:AQ188)),"")</f>
        <v/>
      </c>
      <c r="BM188" t="str">
        <f>IF($BA$3=TRUE,IF(AR188="","",SUM($AR$6:AR188)),"")</f>
        <v/>
      </c>
      <c r="BN188" t="str">
        <f>IF($BB$3=TRUE,IF(AS188="","",SUM($AS$6:AS188)),"")</f>
        <v/>
      </c>
    </row>
    <row r="189" spans="34:66" x14ac:dyDescent="0.25">
      <c r="AH189" s="75">
        <v>44678</v>
      </c>
      <c r="AI189">
        <v>2639.06</v>
      </c>
      <c r="AK189" s="75"/>
      <c r="BF189" s="75" t="str">
        <f t="shared" si="12"/>
        <v/>
      </c>
      <c r="BG189" t="str">
        <f>IF($AU$3=TRUE,IF(AL189="","",SUM($AL$6:AL189)),"")</f>
        <v/>
      </c>
      <c r="BH189" t="str">
        <f>IF($AV$3=TRUE,IF(AM189="","",SUM($AM$6:AM189)),"")</f>
        <v/>
      </c>
      <c r="BI189" t="str">
        <f>IF($AW$3=TRUE,IF(AN189="","",SUM($AN$6:AN189)),"")</f>
        <v/>
      </c>
      <c r="BJ189" t="str">
        <f>IF($AX$3=TRUE,IF(AO189="","",SUM($AO$6:AO189)),"")</f>
        <v/>
      </c>
      <c r="BK189" t="str">
        <f>IF($AY$3=TRUE,IF(AP189="","",SUM($AP$6:AP189)),"")</f>
        <v/>
      </c>
      <c r="BL189" t="str">
        <f>IF($AZ$3=TRUE,IF(AQ189="","",SUM($AQ$6:AQ189)),"")</f>
        <v/>
      </c>
      <c r="BM189" t="str">
        <f>IF($BA$3=TRUE,IF(AR189="","",SUM($AR$6:AR189)),"")</f>
        <v/>
      </c>
      <c r="BN189" t="str">
        <f>IF($BB$3=TRUE,IF(AS189="","",SUM($AS$6:AS189)),"")</f>
        <v/>
      </c>
    </row>
    <row r="190" spans="34:66" x14ac:dyDescent="0.25">
      <c r="AH190" s="75">
        <v>44677</v>
      </c>
      <c r="AI190">
        <v>2668.31</v>
      </c>
      <c r="AK190" s="75"/>
      <c r="BF190" s="75" t="str">
        <f t="shared" si="12"/>
        <v/>
      </c>
      <c r="BG190" t="str">
        <f>IF($AU$3=TRUE,IF(AL190="","",SUM($AL$6:AL190)),"")</f>
        <v/>
      </c>
      <c r="BH190" t="str">
        <f>IF($AV$3=TRUE,IF(AM190="","",SUM($AM$6:AM190)),"")</f>
        <v/>
      </c>
      <c r="BI190" t="str">
        <f>IF($AW$3=TRUE,IF(AN190="","",SUM($AN$6:AN190)),"")</f>
        <v/>
      </c>
      <c r="BJ190" t="str">
        <f>IF($AX$3=TRUE,IF(AO190="","",SUM($AO$6:AO190)),"")</f>
        <v/>
      </c>
      <c r="BK190" t="str">
        <f>IF($AY$3=TRUE,IF(AP190="","",SUM($AP$6:AP190)),"")</f>
        <v/>
      </c>
      <c r="BL190" t="str">
        <f>IF($AZ$3=TRUE,IF(AQ190="","",SUM($AQ$6:AQ190)),"")</f>
        <v/>
      </c>
      <c r="BM190" t="str">
        <f>IF($BA$3=TRUE,IF(AR190="","",SUM($AR$6:AR190)),"")</f>
        <v/>
      </c>
      <c r="BN190" t="str">
        <f>IF($BB$3=TRUE,IF(AS190="","",SUM($AS$6:AS190)),"")</f>
        <v/>
      </c>
    </row>
    <row r="191" spans="34:66" x14ac:dyDescent="0.25">
      <c r="AH191" s="75">
        <v>44676</v>
      </c>
      <c r="AI191">
        <v>2657.13</v>
      </c>
      <c r="AK191" s="75"/>
      <c r="BF191" s="75" t="str">
        <f t="shared" si="12"/>
        <v/>
      </c>
      <c r="BG191" t="str">
        <f>IF($AU$3=TRUE,IF(AL191="","",SUM($AL$6:AL191)),"")</f>
        <v/>
      </c>
      <c r="BH191" t="str">
        <f>IF($AV$3=TRUE,IF(AM191="","",SUM($AM$6:AM191)),"")</f>
        <v/>
      </c>
      <c r="BI191" t="str">
        <f>IF($AW$3=TRUE,IF(AN191="","",SUM($AN$6:AN191)),"")</f>
        <v/>
      </c>
      <c r="BJ191" t="str">
        <f>IF($AX$3=TRUE,IF(AO191="","",SUM($AO$6:AO191)),"")</f>
        <v/>
      </c>
      <c r="BK191" t="str">
        <f>IF($AY$3=TRUE,IF(AP191="","",SUM($AP$6:AP191)),"")</f>
        <v/>
      </c>
      <c r="BL191" t="str">
        <f>IF($AZ$3=TRUE,IF(AQ191="","",SUM($AQ$6:AQ191)),"")</f>
        <v/>
      </c>
      <c r="BM191" t="str">
        <f>IF($BA$3=TRUE,IF(AR191="","",SUM($AR$6:AR191)),"")</f>
        <v/>
      </c>
      <c r="BN191" t="str">
        <f>IF($BB$3=TRUE,IF(AS191="","",SUM($AS$6:AS191)),"")</f>
        <v/>
      </c>
    </row>
    <row r="192" spans="34:66" x14ac:dyDescent="0.25">
      <c r="AH192" s="75">
        <v>44673</v>
      </c>
      <c r="AI192">
        <v>2704.71</v>
      </c>
      <c r="AK192" s="75"/>
      <c r="BF192" s="75" t="str">
        <f t="shared" si="12"/>
        <v/>
      </c>
      <c r="BG192" t="str">
        <f>IF($AU$3=TRUE,IF(AL192="","",SUM($AL$6:AL192)),"")</f>
        <v/>
      </c>
      <c r="BH192" t="str">
        <f>IF($AV$3=TRUE,IF(AM192="","",SUM($AM$6:AM192)),"")</f>
        <v/>
      </c>
      <c r="BI192" t="str">
        <f>IF($AW$3=TRUE,IF(AN192="","",SUM($AN$6:AN192)),"")</f>
        <v/>
      </c>
      <c r="BJ192" t="str">
        <f>IF($AX$3=TRUE,IF(AO192="","",SUM($AO$6:AO192)),"")</f>
        <v/>
      </c>
      <c r="BK192" t="str">
        <f>IF($AY$3=TRUE,IF(AP192="","",SUM($AP$6:AP192)),"")</f>
        <v/>
      </c>
      <c r="BL192" t="str">
        <f>IF($AZ$3=TRUE,IF(AQ192="","",SUM($AQ$6:AQ192)),"")</f>
        <v/>
      </c>
      <c r="BM192" t="str">
        <f>IF($BA$3=TRUE,IF(AR192="","",SUM($AR$6:AR192)),"")</f>
        <v/>
      </c>
      <c r="BN192" t="str">
        <f>IF($BB$3=TRUE,IF(AS192="","",SUM($AS$6:AS192)),"")</f>
        <v/>
      </c>
    </row>
    <row r="193" spans="34:66" x14ac:dyDescent="0.25">
      <c r="AH193" s="75">
        <v>44672</v>
      </c>
      <c r="AI193">
        <v>2728.21</v>
      </c>
      <c r="AK193" s="75"/>
      <c r="BF193" s="75" t="str">
        <f t="shared" si="12"/>
        <v/>
      </c>
      <c r="BG193" t="str">
        <f>IF($AU$3=TRUE,IF(AL193="","",SUM($AL$6:AL193)),"")</f>
        <v/>
      </c>
      <c r="BH193" t="str">
        <f>IF($AV$3=TRUE,IF(AM193="","",SUM($AM$6:AM193)),"")</f>
        <v/>
      </c>
      <c r="BI193" t="str">
        <f>IF($AW$3=TRUE,IF(AN193="","",SUM($AN$6:AN193)),"")</f>
        <v/>
      </c>
      <c r="BJ193" t="str">
        <f>IF($AX$3=TRUE,IF(AO193="","",SUM($AO$6:AO193)),"")</f>
        <v/>
      </c>
      <c r="BK193" t="str">
        <f>IF($AY$3=TRUE,IF(AP193="","",SUM($AP$6:AP193)),"")</f>
        <v/>
      </c>
      <c r="BL193" t="str">
        <f>IF($AZ$3=TRUE,IF(AQ193="","",SUM($AQ$6:AQ193)),"")</f>
        <v/>
      </c>
      <c r="BM193" t="str">
        <f>IF($BA$3=TRUE,IF(AR193="","",SUM($AR$6:AR193)),"")</f>
        <v/>
      </c>
      <c r="BN193" t="str">
        <f>IF($BB$3=TRUE,IF(AS193="","",SUM($AS$6:AS193)),"")</f>
        <v/>
      </c>
    </row>
    <row r="194" spans="34:66" x14ac:dyDescent="0.25">
      <c r="AH194" s="75">
        <v>44671</v>
      </c>
      <c r="AI194">
        <v>2718.69</v>
      </c>
      <c r="AK194" s="75"/>
      <c r="BF194" s="75" t="str">
        <f t="shared" si="12"/>
        <v/>
      </c>
      <c r="BG194" t="str">
        <f>IF($AU$3=TRUE,IF(AL194="","",SUM($AL$6:AL194)),"")</f>
        <v/>
      </c>
      <c r="BH194" t="str">
        <f>IF($AV$3=TRUE,IF(AM194="","",SUM($AM$6:AM194)),"")</f>
        <v/>
      </c>
      <c r="BI194" t="str">
        <f>IF($AW$3=TRUE,IF(AN194="","",SUM($AN$6:AN194)),"")</f>
        <v/>
      </c>
      <c r="BJ194" t="str">
        <f>IF($AX$3=TRUE,IF(AO194="","",SUM($AO$6:AO194)),"")</f>
        <v/>
      </c>
      <c r="BK194" t="str">
        <f>IF($AY$3=TRUE,IF(AP194="","",SUM($AP$6:AP194)),"")</f>
        <v/>
      </c>
      <c r="BL194" t="str">
        <f>IF($AZ$3=TRUE,IF(AQ194="","",SUM($AQ$6:AQ194)),"")</f>
        <v/>
      </c>
      <c r="BM194" t="str">
        <f>IF($BA$3=TRUE,IF(AR194="","",SUM($AR$6:AR194)),"")</f>
        <v/>
      </c>
      <c r="BN194" t="str">
        <f>IF($BB$3=TRUE,IF(AS194="","",SUM($AS$6:AS194)),"")</f>
        <v/>
      </c>
    </row>
    <row r="195" spans="34:66" x14ac:dyDescent="0.25">
      <c r="AH195" s="75">
        <v>44670</v>
      </c>
      <c r="AI195">
        <v>2718.89</v>
      </c>
      <c r="AK195" s="75"/>
      <c r="BF195" s="75" t="str">
        <f t="shared" si="12"/>
        <v/>
      </c>
      <c r="BG195" t="str">
        <f>IF($AU$3=TRUE,IF(AL195="","",SUM($AL$6:AL195)),"")</f>
        <v/>
      </c>
      <c r="BH195" t="str">
        <f>IF($AV$3=TRUE,IF(AM195="","",SUM($AM$6:AM195)),"")</f>
        <v/>
      </c>
      <c r="BI195" t="str">
        <f>IF($AW$3=TRUE,IF(AN195="","",SUM($AN$6:AN195)),"")</f>
        <v/>
      </c>
      <c r="BJ195" t="str">
        <f>IF($AX$3=TRUE,IF(AO195="","",SUM($AO$6:AO195)),"")</f>
        <v/>
      </c>
      <c r="BK195" t="str">
        <f>IF($AY$3=TRUE,IF(AP195="","",SUM($AP$6:AP195)),"")</f>
        <v/>
      </c>
      <c r="BL195" t="str">
        <f>IF($AZ$3=TRUE,IF(AQ195="","",SUM($AQ$6:AQ195)),"")</f>
        <v/>
      </c>
      <c r="BM195" t="str">
        <f>IF($BA$3=TRUE,IF(AR195="","",SUM($AR$6:AR195)),"")</f>
        <v/>
      </c>
      <c r="BN195" t="str">
        <f>IF($BB$3=TRUE,IF(AS195="","",SUM($AS$6:AS195)),"")</f>
        <v/>
      </c>
    </row>
    <row r="196" spans="34:66" x14ac:dyDescent="0.25">
      <c r="AH196" s="75">
        <v>44669</v>
      </c>
      <c r="AI196">
        <v>2693.21</v>
      </c>
      <c r="AK196" s="75"/>
      <c r="BF196" s="75" t="str">
        <f t="shared" si="12"/>
        <v/>
      </c>
      <c r="BG196" t="str">
        <f>IF($AU$3=TRUE,IF(AL196="","",SUM($AL$6:AL196)),"")</f>
        <v/>
      </c>
      <c r="BH196" t="str">
        <f>IF($AV$3=TRUE,IF(AM196="","",SUM($AM$6:AM196)),"")</f>
        <v/>
      </c>
      <c r="BI196" t="str">
        <f>IF($AW$3=TRUE,IF(AN196="","",SUM($AN$6:AN196)),"")</f>
        <v/>
      </c>
      <c r="BJ196" t="str">
        <f>IF($AX$3=TRUE,IF(AO196="","",SUM($AO$6:AO196)),"")</f>
        <v/>
      </c>
      <c r="BK196" t="str">
        <f>IF($AY$3=TRUE,IF(AP196="","",SUM($AP$6:AP196)),"")</f>
        <v/>
      </c>
      <c r="BL196" t="str">
        <f>IF($AZ$3=TRUE,IF(AQ196="","",SUM($AQ$6:AQ196)),"")</f>
        <v/>
      </c>
      <c r="BM196" t="str">
        <f>IF($BA$3=TRUE,IF(AR196="","",SUM($AR$6:AR196)),"")</f>
        <v/>
      </c>
      <c r="BN196" t="str">
        <f>IF($BB$3=TRUE,IF(AS196="","",SUM($AS$6:AS196)),"")</f>
        <v/>
      </c>
    </row>
    <row r="197" spans="34:66" x14ac:dyDescent="0.25">
      <c r="AH197" s="75">
        <v>44666</v>
      </c>
      <c r="AI197">
        <v>2696.06</v>
      </c>
      <c r="AK197" s="75"/>
      <c r="BF197" s="75" t="str">
        <f t="shared" si="12"/>
        <v/>
      </c>
      <c r="BG197" t="str">
        <f>IF($AU$3=TRUE,IF(AL197="","",SUM($AL$6:AL197)),"")</f>
        <v/>
      </c>
      <c r="BH197" t="str">
        <f>IF($AV$3=TRUE,IF(AM197="","",SUM($AM$6:AM197)),"")</f>
        <v/>
      </c>
      <c r="BI197" t="str">
        <f>IF($AW$3=TRUE,IF(AN197="","",SUM($AN$6:AN197)),"")</f>
        <v/>
      </c>
      <c r="BJ197" t="str">
        <f>IF($AX$3=TRUE,IF(AO197="","",SUM($AO$6:AO197)),"")</f>
        <v/>
      </c>
      <c r="BK197" t="str">
        <f>IF($AY$3=TRUE,IF(AP197="","",SUM($AP$6:AP197)),"")</f>
        <v/>
      </c>
      <c r="BL197" t="str">
        <f>IF($AZ$3=TRUE,IF(AQ197="","",SUM($AQ$6:AQ197)),"")</f>
        <v/>
      </c>
      <c r="BM197" t="str">
        <f>IF($BA$3=TRUE,IF(AR197="","",SUM($AR$6:AR197)),"")</f>
        <v/>
      </c>
      <c r="BN197" t="str">
        <f>IF($BB$3=TRUE,IF(AS197="","",SUM($AS$6:AS197)),"")</f>
        <v/>
      </c>
    </row>
    <row r="198" spans="34:66" x14ac:dyDescent="0.25">
      <c r="AH198" s="75">
        <v>44665</v>
      </c>
      <c r="AI198">
        <v>2716.71</v>
      </c>
      <c r="AK198" s="75"/>
      <c r="BF198" s="75" t="str">
        <f t="shared" si="12"/>
        <v/>
      </c>
      <c r="BG198" t="str">
        <f>IF($AU$3=TRUE,IF(AL198="","",SUM($AL$6:AL198)),"")</f>
        <v/>
      </c>
      <c r="BH198" t="str">
        <f>IF($AV$3=TRUE,IF(AM198="","",SUM($AM$6:AM198)),"")</f>
        <v/>
      </c>
      <c r="BI198" t="str">
        <f>IF($AW$3=TRUE,IF(AN198="","",SUM($AN$6:AN198)),"")</f>
        <v/>
      </c>
      <c r="BJ198" t="str">
        <f>IF($AX$3=TRUE,IF(AO198="","",SUM($AO$6:AO198)),"")</f>
        <v/>
      </c>
      <c r="BK198" t="str">
        <f>IF($AY$3=TRUE,IF(AP198="","",SUM($AP$6:AP198)),"")</f>
        <v/>
      </c>
      <c r="BL198" t="str">
        <f>IF($AZ$3=TRUE,IF(AQ198="","",SUM($AQ$6:AQ198)),"")</f>
        <v/>
      </c>
      <c r="BM198" t="str">
        <f>IF($BA$3=TRUE,IF(AR198="","",SUM($AR$6:AR198)),"")</f>
        <v/>
      </c>
      <c r="BN198" t="str">
        <f>IF($BB$3=TRUE,IF(AS198="","",SUM($AS$6:AS198)),"")</f>
        <v/>
      </c>
    </row>
    <row r="199" spans="34:66" x14ac:dyDescent="0.25">
      <c r="AH199" s="75">
        <v>44664</v>
      </c>
      <c r="AI199">
        <v>2716.49</v>
      </c>
      <c r="AK199" s="75"/>
      <c r="BF199" s="75" t="str">
        <f t="shared" ref="BF199:BF262" si="13">IF(AK199="","",AK199)</f>
        <v/>
      </c>
      <c r="BG199" t="str">
        <f>IF($AU$3=TRUE,IF(AL199="","",SUM($AL$6:AL199)),"")</f>
        <v/>
      </c>
      <c r="BH199" t="str">
        <f>IF($AV$3=TRUE,IF(AM199="","",SUM($AM$6:AM199)),"")</f>
        <v/>
      </c>
      <c r="BI199" t="str">
        <f>IF($AW$3=TRUE,IF(AN199="","",SUM($AN$6:AN199)),"")</f>
        <v/>
      </c>
      <c r="BJ199" t="str">
        <f>IF($AX$3=TRUE,IF(AO199="","",SUM($AO$6:AO199)),"")</f>
        <v/>
      </c>
      <c r="BK199" t="str">
        <f>IF($AY$3=TRUE,IF(AP199="","",SUM($AP$6:AP199)),"")</f>
        <v/>
      </c>
      <c r="BL199" t="str">
        <f>IF($AZ$3=TRUE,IF(AQ199="","",SUM($AQ$6:AQ199)),"")</f>
        <v/>
      </c>
      <c r="BM199" t="str">
        <f>IF($BA$3=TRUE,IF(AR199="","",SUM($AR$6:AR199)),"")</f>
        <v/>
      </c>
      <c r="BN199" t="str">
        <f>IF($BB$3=TRUE,IF(AS199="","",SUM($AS$6:AS199)),"")</f>
        <v/>
      </c>
    </row>
    <row r="200" spans="34:66" x14ac:dyDescent="0.25">
      <c r="AH200" s="75">
        <v>44663</v>
      </c>
      <c r="AI200">
        <v>2666.76</v>
      </c>
      <c r="AK200" s="75"/>
      <c r="BF200" s="75" t="str">
        <f t="shared" si="13"/>
        <v/>
      </c>
      <c r="BG200" t="str">
        <f>IF($AU$3=TRUE,IF(AL200="","",SUM($AL$6:AL200)),"")</f>
        <v/>
      </c>
      <c r="BH200" t="str">
        <f>IF($AV$3=TRUE,IF(AM200="","",SUM($AM$6:AM200)),"")</f>
        <v/>
      </c>
      <c r="BI200" t="str">
        <f>IF($AW$3=TRUE,IF(AN200="","",SUM($AN$6:AN200)),"")</f>
        <v/>
      </c>
      <c r="BJ200" t="str">
        <f>IF($AX$3=TRUE,IF(AO200="","",SUM($AO$6:AO200)),"")</f>
        <v/>
      </c>
      <c r="BK200" t="str">
        <f>IF($AY$3=TRUE,IF(AP200="","",SUM($AP$6:AP200)),"")</f>
        <v/>
      </c>
      <c r="BL200" t="str">
        <f>IF($AZ$3=TRUE,IF(AQ200="","",SUM($AQ$6:AQ200)),"")</f>
        <v/>
      </c>
      <c r="BM200" t="str">
        <f>IF($BA$3=TRUE,IF(AR200="","",SUM($AR$6:AR200)),"")</f>
        <v/>
      </c>
      <c r="BN200" t="str">
        <f>IF($BB$3=TRUE,IF(AS200="","",SUM($AS$6:AS200)),"")</f>
        <v/>
      </c>
    </row>
    <row r="201" spans="34:66" x14ac:dyDescent="0.25">
      <c r="AH201" s="75">
        <v>44662</v>
      </c>
      <c r="AI201">
        <v>2693.1</v>
      </c>
      <c r="AK201" s="75"/>
      <c r="BF201" s="75" t="str">
        <f t="shared" si="13"/>
        <v/>
      </c>
      <c r="BG201" t="str">
        <f>IF($AU$3=TRUE,IF(AL201="","",SUM($AL$6:AL201)),"")</f>
        <v/>
      </c>
      <c r="BH201" t="str">
        <f>IF($AV$3=TRUE,IF(AM201="","",SUM($AM$6:AM201)),"")</f>
        <v/>
      </c>
      <c r="BI201" t="str">
        <f>IF($AW$3=TRUE,IF(AN201="","",SUM($AN$6:AN201)),"")</f>
        <v/>
      </c>
      <c r="BJ201" t="str">
        <f>IF($AX$3=TRUE,IF(AO201="","",SUM($AO$6:AO201)),"")</f>
        <v/>
      </c>
      <c r="BK201" t="str">
        <f>IF($AY$3=TRUE,IF(AP201="","",SUM($AP$6:AP201)),"")</f>
        <v/>
      </c>
      <c r="BL201" t="str">
        <f>IF($AZ$3=TRUE,IF(AQ201="","",SUM($AQ$6:AQ201)),"")</f>
        <v/>
      </c>
      <c r="BM201" t="str">
        <f>IF($BA$3=TRUE,IF(AR201="","",SUM($AR$6:AR201)),"")</f>
        <v/>
      </c>
      <c r="BN201" t="str">
        <f>IF($BB$3=TRUE,IF(AS201="","",SUM($AS$6:AS201)),"")</f>
        <v/>
      </c>
    </row>
    <row r="202" spans="34:66" x14ac:dyDescent="0.25">
      <c r="AH202" s="75">
        <v>44659</v>
      </c>
      <c r="AI202">
        <v>2700.39</v>
      </c>
      <c r="AK202" s="75"/>
      <c r="BF202" s="75" t="str">
        <f t="shared" si="13"/>
        <v/>
      </c>
      <c r="BG202" t="str">
        <f>IF($AU$3=TRUE,IF(AL202="","",SUM($AL$6:AL202)),"")</f>
        <v/>
      </c>
      <c r="BH202" t="str">
        <f>IF($AV$3=TRUE,IF(AM202="","",SUM($AM$6:AM202)),"")</f>
        <v/>
      </c>
      <c r="BI202" t="str">
        <f>IF($AW$3=TRUE,IF(AN202="","",SUM($AN$6:AN202)),"")</f>
        <v/>
      </c>
      <c r="BJ202" t="str">
        <f>IF($AX$3=TRUE,IF(AO202="","",SUM($AO$6:AO202)),"")</f>
        <v/>
      </c>
      <c r="BK202" t="str">
        <f>IF($AY$3=TRUE,IF(AP202="","",SUM($AP$6:AP202)),"")</f>
        <v/>
      </c>
      <c r="BL202" t="str">
        <f>IF($AZ$3=TRUE,IF(AQ202="","",SUM($AQ$6:AQ202)),"")</f>
        <v/>
      </c>
      <c r="BM202" t="str">
        <f>IF($BA$3=TRUE,IF(AR202="","",SUM($AR$6:AR202)),"")</f>
        <v/>
      </c>
      <c r="BN202" t="str">
        <f>IF($BB$3=TRUE,IF(AS202="","",SUM($AS$6:AS202)),"")</f>
        <v/>
      </c>
    </row>
    <row r="203" spans="34:66" x14ac:dyDescent="0.25">
      <c r="AH203" s="75">
        <v>44658</v>
      </c>
      <c r="AI203">
        <v>2695.86</v>
      </c>
      <c r="AK203" s="75"/>
      <c r="BF203" s="75" t="str">
        <f t="shared" si="13"/>
        <v/>
      </c>
      <c r="BG203" t="str">
        <f>IF($AU$3=TRUE,IF(AL203="","",SUM($AL$6:AL203)),"")</f>
        <v/>
      </c>
      <c r="BH203" t="str">
        <f>IF($AV$3=TRUE,IF(AM203="","",SUM($AM$6:AM203)),"")</f>
        <v/>
      </c>
      <c r="BI203" t="str">
        <f>IF($AW$3=TRUE,IF(AN203="","",SUM($AN$6:AN203)),"")</f>
        <v/>
      </c>
      <c r="BJ203" t="str">
        <f>IF($AX$3=TRUE,IF(AO203="","",SUM($AO$6:AO203)),"")</f>
        <v/>
      </c>
      <c r="BK203" t="str">
        <f>IF($AY$3=TRUE,IF(AP203="","",SUM($AP$6:AP203)),"")</f>
        <v/>
      </c>
      <c r="BL203" t="str">
        <f>IF($AZ$3=TRUE,IF(AQ203="","",SUM($AQ$6:AQ203)),"")</f>
        <v/>
      </c>
      <c r="BM203" t="str">
        <f>IF($BA$3=TRUE,IF(AR203="","",SUM($AR$6:AR203)),"")</f>
        <v/>
      </c>
      <c r="BN203" t="str">
        <f>IF($BB$3=TRUE,IF(AS203="","",SUM($AS$6:AS203)),"")</f>
        <v/>
      </c>
    </row>
    <row r="204" spans="34:66" x14ac:dyDescent="0.25">
      <c r="AH204" s="75">
        <v>44657</v>
      </c>
      <c r="AI204">
        <v>2735.03</v>
      </c>
      <c r="AK204" s="75"/>
      <c r="BF204" s="75" t="str">
        <f t="shared" si="13"/>
        <v/>
      </c>
      <c r="BG204" t="str">
        <f>IF($AU$3=TRUE,IF(AL204="","",SUM($AL$6:AL204)),"")</f>
        <v/>
      </c>
      <c r="BH204" t="str">
        <f>IF($AV$3=TRUE,IF(AM204="","",SUM($AM$6:AM204)),"")</f>
        <v/>
      </c>
      <c r="BI204" t="str">
        <f>IF($AW$3=TRUE,IF(AN204="","",SUM($AN$6:AN204)),"")</f>
        <v/>
      </c>
      <c r="BJ204" t="str">
        <f>IF($AX$3=TRUE,IF(AO204="","",SUM($AO$6:AO204)),"")</f>
        <v/>
      </c>
      <c r="BK204" t="str">
        <f>IF($AY$3=TRUE,IF(AP204="","",SUM($AP$6:AP204)),"")</f>
        <v/>
      </c>
      <c r="BL204" t="str">
        <f>IF($AZ$3=TRUE,IF(AQ204="","",SUM($AQ$6:AQ204)),"")</f>
        <v/>
      </c>
      <c r="BM204" t="str">
        <f>IF($BA$3=TRUE,IF(AR204="","",SUM($AR$6:AR204)),"")</f>
        <v/>
      </c>
      <c r="BN204" t="str">
        <f>IF($BB$3=TRUE,IF(AS204="","",SUM($AS$6:AS204)),"")</f>
        <v/>
      </c>
    </row>
    <row r="205" spans="34:66" x14ac:dyDescent="0.25">
      <c r="AH205" s="75">
        <v>44656</v>
      </c>
      <c r="AI205">
        <v>2759.2</v>
      </c>
      <c r="AK205" s="75"/>
      <c r="BF205" s="75" t="str">
        <f t="shared" si="13"/>
        <v/>
      </c>
      <c r="BG205" t="str">
        <f>IF($AU$3=TRUE,IF(AL205="","",SUM($AL$6:AL205)),"")</f>
        <v/>
      </c>
      <c r="BH205" t="str">
        <f>IF($AV$3=TRUE,IF(AM205="","",SUM($AM$6:AM205)),"")</f>
        <v/>
      </c>
      <c r="BI205" t="str">
        <f>IF($AW$3=TRUE,IF(AN205="","",SUM($AN$6:AN205)),"")</f>
        <v/>
      </c>
      <c r="BJ205" t="str">
        <f>IF($AX$3=TRUE,IF(AO205="","",SUM($AO$6:AO205)),"")</f>
        <v/>
      </c>
      <c r="BK205" t="str">
        <f>IF($AY$3=TRUE,IF(AP205="","",SUM($AP$6:AP205)),"")</f>
        <v/>
      </c>
      <c r="BL205" t="str">
        <f>IF($AZ$3=TRUE,IF(AQ205="","",SUM($AQ$6:AQ205)),"")</f>
        <v/>
      </c>
      <c r="BM205" t="str">
        <f>IF($BA$3=TRUE,IF(AR205="","",SUM($AR$6:AR205)),"")</f>
        <v/>
      </c>
      <c r="BN205" t="str">
        <f>IF($BB$3=TRUE,IF(AS205="","",SUM($AS$6:AS205)),"")</f>
        <v/>
      </c>
    </row>
    <row r="206" spans="34:66" x14ac:dyDescent="0.25">
      <c r="AH206" s="75">
        <v>44655</v>
      </c>
      <c r="AI206">
        <v>2757.9</v>
      </c>
      <c r="AK206" s="75"/>
      <c r="BF206" s="75" t="str">
        <f t="shared" si="13"/>
        <v/>
      </c>
      <c r="BG206" t="str">
        <f>IF($AU$3=TRUE,IF(AL206="","",SUM($AL$6:AL206)),"")</f>
        <v/>
      </c>
      <c r="BH206" t="str">
        <f>IF($AV$3=TRUE,IF(AM206="","",SUM($AM$6:AM206)),"")</f>
        <v/>
      </c>
      <c r="BI206" t="str">
        <f>IF($AW$3=TRUE,IF(AN206="","",SUM($AN$6:AN206)),"")</f>
        <v/>
      </c>
      <c r="BJ206" t="str">
        <f>IF($AX$3=TRUE,IF(AO206="","",SUM($AO$6:AO206)),"")</f>
        <v/>
      </c>
      <c r="BK206" t="str">
        <f>IF($AY$3=TRUE,IF(AP206="","",SUM($AP$6:AP206)),"")</f>
        <v/>
      </c>
      <c r="BL206" t="str">
        <f>IF($AZ$3=TRUE,IF(AQ206="","",SUM($AQ$6:AQ206)),"")</f>
        <v/>
      </c>
      <c r="BM206" t="str">
        <f>IF($BA$3=TRUE,IF(AR206="","",SUM($AR$6:AR206)),"")</f>
        <v/>
      </c>
      <c r="BN206" t="str">
        <f>IF($BB$3=TRUE,IF(AS206="","",SUM($AS$6:AS206)),"")</f>
        <v/>
      </c>
    </row>
    <row r="207" spans="34:66" x14ac:dyDescent="0.25">
      <c r="AH207" s="75">
        <v>44652</v>
      </c>
      <c r="AI207">
        <v>2739.85</v>
      </c>
      <c r="AK207" s="75"/>
      <c r="BF207" s="75" t="str">
        <f t="shared" si="13"/>
        <v/>
      </c>
      <c r="BG207" t="str">
        <f>IF($AU$3=TRUE,IF(AL207="","",SUM($AL$6:AL207)),"")</f>
        <v/>
      </c>
      <c r="BH207" t="str">
        <f>IF($AV$3=TRUE,IF(AM207="","",SUM($AM$6:AM207)),"")</f>
        <v/>
      </c>
      <c r="BI207" t="str">
        <f>IF($AW$3=TRUE,IF(AN207="","",SUM($AN$6:AN207)),"")</f>
        <v/>
      </c>
      <c r="BJ207" t="str">
        <f>IF($AX$3=TRUE,IF(AO207="","",SUM($AO$6:AO207)),"")</f>
        <v/>
      </c>
      <c r="BK207" t="str">
        <f>IF($AY$3=TRUE,IF(AP207="","",SUM($AP$6:AP207)),"")</f>
        <v/>
      </c>
      <c r="BL207" t="str">
        <f>IF($AZ$3=TRUE,IF(AQ207="","",SUM($AQ$6:AQ207)),"")</f>
        <v/>
      </c>
      <c r="BM207" t="str">
        <f>IF($BA$3=TRUE,IF(AR207="","",SUM($AR$6:AR207)),"")</f>
        <v/>
      </c>
      <c r="BN207" t="str">
        <f>IF($BB$3=TRUE,IF(AS207="","",SUM($AS$6:AS207)),"")</f>
        <v/>
      </c>
    </row>
    <row r="208" spans="34:66" x14ac:dyDescent="0.25">
      <c r="AH208" s="75">
        <v>44651</v>
      </c>
      <c r="AI208">
        <v>2757.65</v>
      </c>
      <c r="AK208" s="75"/>
      <c r="BF208" s="75" t="str">
        <f t="shared" si="13"/>
        <v/>
      </c>
      <c r="BG208" t="str">
        <f>IF($AU$3=TRUE,IF(AL208="","",SUM($AL$6:AL208)),"")</f>
        <v/>
      </c>
      <c r="BH208" t="str">
        <f>IF($AV$3=TRUE,IF(AM208="","",SUM($AM$6:AM208)),"")</f>
        <v/>
      </c>
      <c r="BI208" t="str">
        <f>IF($AW$3=TRUE,IF(AN208="","",SUM($AN$6:AN208)),"")</f>
        <v/>
      </c>
      <c r="BJ208" t="str">
        <f>IF($AX$3=TRUE,IF(AO208="","",SUM($AO$6:AO208)),"")</f>
        <v/>
      </c>
      <c r="BK208" t="str">
        <f>IF($AY$3=TRUE,IF(AP208="","",SUM($AP$6:AP208)),"")</f>
        <v/>
      </c>
      <c r="BL208" t="str">
        <f>IF($AZ$3=TRUE,IF(AQ208="","",SUM($AQ$6:AQ208)),"")</f>
        <v/>
      </c>
      <c r="BM208" t="str">
        <f>IF($BA$3=TRUE,IF(AR208="","",SUM($AR$6:AR208)),"")</f>
        <v/>
      </c>
      <c r="BN208" t="str">
        <f>IF($BB$3=TRUE,IF(AS208="","",SUM($AS$6:AS208)),"")</f>
        <v/>
      </c>
    </row>
    <row r="209" spans="34:66" x14ac:dyDescent="0.25">
      <c r="AH209" s="75">
        <v>44650</v>
      </c>
      <c r="AI209">
        <v>2746.74</v>
      </c>
      <c r="AK209" s="75"/>
      <c r="BF209" s="75" t="str">
        <f t="shared" si="13"/>
        <v/>
      </c>
      <c r="BG209" t="str">
        <f>IF($AU$3=TRUE,IF(AL209="","",SUM($AL$6:AL209)),"")</f>
        <v/>
      </c>
      <c r="BH209" t="str">
        <f>IF($AV$3=TRUE,IF(AM209="","",SUM($AM$6:AM209)),"")</f>
        <v/>
      </c>
      <c r="BI209" t="str">
        <f>IF($AW$3=TRUE,IF(AN209="","",SUM($AN$6:AN209)),"")</f>
        <v/>
      </c>
      <c r="BJ209" t="str">
        <f>IF($AX$3=TRUE,IF(AO209="","",SUM($AO$6:AO209)),"")</f>
        <v/>
      </c>
      <c r="BK209" t="str">
        <f>IF($AY$3=TRUE,IF(AP209="","",SUM($AP$6:AP209)),"")</f>
        <v/>
      </c>
      <c r="BL209" t="str">
        <f>IF($AZ$3=TRUE,IF(AQ209="","",SUM($AQ$6:AQ209)),"")</f>
        <v/>
      </c>
      <c r="BM209" t="str">
        <f>IF($BA$3=TRUE,IF(AR209="","",SUM($AR$6:AR209)),"")</f>
        <v/>
      </c>
      <c r="BN209" t="str">
        <f>IF($BB$3=TRUE,IF(AS209="","",SUM($AS$6:AS209)),"")</f>
        <v/>
      </c>
    </row>
    <row r="210" spans="34:66" x14ac:dyDescent="0.25">
      <c r="AH210" s="75">
        <v>44649</v>
      </c>
      <c r="AI210">
        <v>2741.07</v>
      </c>
      <c r="AK210" s="75"/>
      <c r="BF210" s="75" t="str">
        <f t="shared" si="13"/>
        <v/>
      </c>
      <c r="BG210" t="str">
        <f>IF($AU$3=TRUE,IF(AL210="","",SUM($AL$6:AL210)),"")</f>
        <v/>
      </c>
      <c r="BH210" t="str">
        <f>IF($AV$3=TRUE,IF(AM210="","",SUM($AM$6:AM210)),"")</f>
        <v/>
      </c>
      <c r="BI210" t="str">
        <f>IF($AW$3=TRUE,IF(AN210="","",SUM($AN$6:AN210)),"")</f>
        <v/>
      </c>
      <c r="BJ210" t="str">
        <f>IF($AX$3=TRUE,IF(AO210="","",SUM($AO$6:AO210)),"")</f>
        <v/>
      </c>
      <c r="BK210" t="str">
        <f>IF($AY$3=TRUE,IF(AP210="","",SUM($AP$6:AP210)),"")</f>
        <v/>
      </c>
      <c r="BL210" t="str">
        <f>IF($AZ$3=TRUE,IF(AQ210="","",SUM($AQ$6:AQ210)),"")</f>
        <v/>
      </c>
      <c r="BM210" t="str">
        <f>IF($BA$3=TRUE,IF(AR210="","",SUM($AR$6:AR210)),"")</f>
        <v/>
      </c>
      <c r="BN210" t="str">
        <f>IF($BB$3=TRUE,IF(AS210="","",SUM($AS$6:AS210)),"")</f>
        <v/>
      </c>
    </row>
    <row r="211" spans="34:66" x14ac:dyDescent="0.25">
      <c r="AH211" s="75">
        <v>44648</v>
      </c>
      <c r="AI211">
        <v>2729.56</v>
      </c>
      <c r="AK211" s="75"/>
      <c r="BF211" s="75" t="str">
        <f t="shared" si="13"/>
        <v/>
      </c>
      <c r="BG211" t="str">
        <f>IF($AU$3=TRUE,IF(AL211="","",SUM($AL$6:AL211)),"")</f>
        <v/>
      </c>
      <c r="BH211" t="str">
        <f>IF($AV$3=TRUE,IF(AM211="","",SUM($AM$6:AM211)),"")</f>
        <v/>
      </c>
      <c r="BI211" t="str">
        <f>IF($AW$3=TRUE,IF(AN211="","",SUM($AN$6:AN211)),"")</f>
        <v/>
      </c>
      <c r="BJ211" t="str">
        <f>IF($AX$3=TRUE,IF(AO211="","",SUM($AO$6:AO211)),"")</f>
        <v/>
      </c>
      <c r="BK211" t="str">
        <f>IF($AY$3=TRUE,IF(AP211="","",SUM($AP$6:AP211)),"")</f>
        <v/>
      </c>
      <c r="BL211" t="str">
        <f>IF($AZ$3=TRUE,IF(AQ211="","",SUM($AQ$6:AQ211)),"")</f>
        <v/>
      </c>
      <c r="BM211" t="str">
        <f>IF($BA$3=TRUE,IF(AR211="","",SUM($AR$6:AR211)),"")</f>
        <v/>
      </c>
      <c r="BN211" t="str">
        <f>IF($BB$3=TRUE,IF(AS211="","",SUM($AS$6:AS211)),"")</f>
        <v/>
      </c>
    </row>
    <row r="212" spans="34:66" x14ac:dyDescent="0.25">
      <c r="AH212" s="75">
        <v>44645</v>
      </c>
      <c r="AI212">
        <v>2729.98</v>
      </c>
      <c r="AK212" s="75"/>
      <c r="BF212" s="75" t="str">
        <f t="shared" si="13"/>
        <v/>
      </c>
      <c r="BG212" t="str">
        <f>IF($AU$3=TRUE,IF(AL212="","",SUM($AL$6:AL212)),"")</f>
        <v/>
      </c>
      <c r="BH212" t="str">
        <f>IF($AV$3=TRUE,IF(AM212="","",SUM($AM$6:AM212)),"")</f>
        <v/>
      </c>
      <c r="BI212" t="str">
        <f>IF($AW$3=TRUE,IF(AN212="","",SUM($AN$6:AN212)),"")</f>
        <v/>
      </c>
      <c r="BJ212" t="str">
        <f>IF($AX$3=TRUE,IF(AO212="","",SUM($AO$6:AO212)),"")</f>
        <v/>
      </c>
      <c r="BK212" t="str">
        <f>IF($AY$3=TRUE,IF(AP212="","",SUM($AP$6:AP212)),"")</f>
        <v/>
      </c>
      <c r="BL212" t="str">
        <f>IF($AZ$3=TRUE,IF(AQ212="","",SUM($AQ$6:AQ212)),"")</f>
        <v/>
      </c>
      <c r="BM212" t="str">
        <f>IF($BA$3=TRUE,IF(AR212="","",SUM($AR$6:AR212)),"")</f>
        <v/>
      </c>
      <c r="BN212" t="str">
        <f>IF($BB$3=TRUE,IF(AS212="","",SUM($AS$6:AS212)),"")</f>
        <v/>
      </c>
    </row>
    <row r="213" spans="34:66" x14ac:dyDescent="0.25">
      <c r="AH213" s="75">
        <v>44644</v>
      </c>
      <c r="AI213">
        <v>2729.66</v>
      </c>
      <c r="AK213" s="75"/>
      <c r="BF213" s="75" t="str">
        <f t="shared" si="13"/>
        <v/>
      </c>
      <c r="BG213" t="str">
        <f>IF($AU$3=TRUE,IF(AL213="","",SUM($AL$6:AL213)),"")</f>
        <v/>
      </c>
      <c r="BH213" t="str">
        <f>IF($AV$3=TRUE,IF(AM213="","",SUM($AM$6:AM213)),"")</f>
        <v/>
      </c>
      <c r="BI213" t="str">
        <f>IF($AW$3=TRUE,IF(AN213="","",SUM($AN$6:AN213)),"")</f>
        <v/>
      </c>
      <c r="BJ213" t="str">
        <f>IF($AX$3=TRUE,IF(AO213="","",SUM($AO$6:AO213)),"")</f>
        <v/>
      </c>
      <c r="BK213" t="str">
        <f>IF($AY$3=TRUE,IF(AP213="","",SUM($AP$6:AP213)),"")</f>
        <v/>
      </c>
      <c r="BL213" t="str">
        <f>IF($AZ$3=TRUE,IF(AQ213="","",SUM($AQ$6:AQ213)),"")</f>
        <v/>
      </c>
      <c r="BM213" t="str">
        <f>IF($BA$3=TRUE,IF(AR213="","",SUM($AR$6:AR213)),"")</f>
        <v/>
      </c>
      <c r="BN213" t="str">
        <f>IF($BB$3=TRUE,IF(AS213="","",SUM($AS$6:AS213)),"")</f>
        <v/>
      </c>
    </row>
    <row r="214" spans="34:66" x14ac:dyDescent="0.25">
      <c r="AH214" s="75">
        <v>44643</v>
      </c>
      <c r="AI214">
        <v>2735.05</v>
      </c>
      <c r="AK214" s="75"/>
      <c r="BF214" s="75" t="str">
        <f t="shared" si="13"/>
        <v/>
      </c>
      <c r="BG214" t="str">
        <f>IF($AU$3=TRUE,IF(AL214="","",SUM($AL$6:AL214)),"")</f>
        <v/>
      </c>
      <c r="BH214" t="str">
        <f>IF($AV$3=TRUE,IF(AM214="","",SUM($AM$6:AM214)),"")</f>
        <v/>
      </c>
      <c r="BI214" t="str">
        <f>IF($AW$3=TRUE,IF(AN214="","",SUM($AN$6:AN214)),"")</f>
        <v/>
      </c>
      <c r="BJ214" t="str">
        <f>IF($AX$3=TRUE,IF(AO214="","",SUM($AO$6:AO214)),"")</f>
        <v/>
      </c>
      <c r="BK214" t="str">
        <f>IF($AY$3=TRUE,IF(AP214="","",SUM($AP$6:AP214)),"")</f>
        <v/>
      </c>
      <c r="BL214" t="str">
        <f>IF($AZ$3=TRUE,IF(AQ214="","",SUM($AQ$6:AQ214)),"")</f>
        <v/>
      </c>
      <c r="BM214" t="str">
        <f>IF($BA$3=TRUE,IF(AR214="","",SUM($AR$6:AR214)),"")</f>
        <v/>
      </c>
      <c r="BN214" t="str">
        <f>IF($BB$3=TRUE,IF(AS214="","",SUM($AS$6:AS214)),"")</f>
        <v/>
      </c>
    </row>
    <row r="215" spans="34:66" x14ac:dyDescent="0.25">
      <c r="AH215" s="75">
        <v>44642</v>
      </c>
      <c r="AI215">
        <v>2710</v>
      </c>
      <c r="AK215" s="75"/>
      <c r="BF215" s="75" t="str">
        <f t="shared" si="13"/>
        <v/>
      </c>
      <c r="BG215" t="str">
        <f>IF($AU$3=TRUE,IF(AL215="","",SUM($AL$6:AL215)),"")</f>
        <v/>
      </c>
      <c r="BH215" t="str">
        <f>IF($AV$3=TRUE,IF(AM215="","",SUM($AM$6:AM215)),"")</f>
        <v/>
      </c>
      <c r="BI215" t="str">
        <f>IF($AW$3=TRUE,IF(AN215="","",SUM($AN$6:AN215)),"")</f>
        <v/>
      </c>
      <c r="BJ215" t="str">
        <f>IF($AX$3=TRUE,IF(AO215="","",SUM($AO$6:AO215)),"")</f>
        <v/>
      </c>
      <c r="BK215" t="str">
        <f>IF($AY$3=TRUE,IF(AP215="","",SUM($AP$6:AP215)),"")</f>
        <v/>
      </c>
      <c r="BL215" t="str">
        <f>IF($AZ$3=TRUE,IF(AQ215="","",SUM($AQ$6:AQ215)),"")</f>
        <v/>
      </c>
      <c r="BM215" t="str">
        <f>IF($BA$3=TRUE,IF(AR215="","",SUM($AR$6:AR215)),"")</f>
        <v/>
      </c>
      <c r="BN215" t="str">
        <f>IF($BB$3=TRUE,IF(AS215="","",SUM($AS$6:AS215)),"")</f>
        <v/>
      </c>
    </row>
    <row r="216" spans="34:66" x14ac:dyDescent="0.25">
      <c r="AH216" s="75">
        <v>44641</v>
      </c>
      <c r="AI216">
        <v>2686.05</v>
      </c>
      <c r="AK216" s="75"/>
      <c r="BF216" s="75" t="str">
        <f t="shared" si="13"/>
        <v/>
      </c>
      <c r="BG216" t="str">
        <f>IF($AU$3=TRUE,IF(AL216="","",SUM($AL$6:AL216)),"")</f>
        <v/>
      </c>
      <c r="BH216" t="str">
        <f>IF($AV$3=TRUE,IF(AM216="","",SUM($AM$6:AM216)),"")</f>
        <v/>
      </c>
      <c r="BI216" t="str">
        <f>IF($AW$3=TRUE,IF(AN216="","",SUM($AN$6:AN216)),"")</f>
        <v/>
      </c>
      <c r="BJ216" t="str">
        <f>IF($AX$3=TRUE,IF(AO216="","",SUM($AO$6:AO216)),"")</f>
        <v/>
      </c>
      <c r="BK216" t="str">
        <f>IF($AY$3=TRUE,IF(AP216="","",SUM($AP$6:AP216)),"")</f>
        <v/>
      </c>
      <c r="BL216" t="str">
        <f>IF($AZ$3=TRUE,IF(AQ216="","",SUM($AQ$6:AQ216)),"")</f>
        <v/>
      </c>
      <c r="BM216" t="str">
        <f>IF($BA$3=TRUE,IF(AR216="","",SUM($AR$6:AR216)),"")</f>
        <v/>
      </c>
      <c r="BN216" t="str">
        <f>IF($BB$3=TRUE,IF(AS216="","",SUM($AS$6:AS216)),"")</f>
        <v/>
      </c>
    </row>
    <row r="217" spans="34:66" x14ac:dyDescent="0.25">
      <c r="AH217" s="75">
        <v>44638</v>
      </c>
      <c r="AI217">
        <v>2707.02</v>
      </c>
      <c r="AK217" s="75"/>
      <c r="BF217" s="75" t="str">
        <f t="shared" si="13"/>
        <v/>
      </c>
      <c r="BG217" t="str">
        <f>IF($AU$3=TRUE,IF(AL217="","",SUM($AL$6:AL217)),"")</f>
        <v/>
      </c>
      <c r="BH217" t="str">
        <f>IF($AV$3=TRUE,IF(AM217="","",SUM($AM$6:AM217)),"")</f>
        <v/>
      </c>
      <c r="BI217" t="str">
        <f>IF($AW$3=TRUE,IF(AN217="","",SUM($AN$6:AN217)),"")</f>
        <v/>
      </c>
      <c r="BJ217" t="str">
        <f>IF($AX$3=TRUE,IF(AO217="","",SUM($AO$6:AO217)),"")</f>
        <v/>
      </c>
      <c r="BK217" t="str">
        <f>IF($AY$3=TRUE,IF(AP217="","",SUM($AP$6:AP217)),"")</f>
        <v/>
      </c>
      <c r="BL217" t="str">
        <f>IF($AZ$3=TRUE,IF(AQ217="","",SUM($AQ$6:AQ217)),"")</f>
        <v/>
      </c>
      <c r="BM217" t="str">
        <f>IF($BA$3=TRUE,IF(AR217="","",SUM($AR$6:AR217)),"")</f>
        <v/>
      </c>
      <c r="BN217" t="str">
        <f>IF($BB$3=TRUE,IF(AS217="","",SUM($AS$6:AS217)),"")</f>
        <v/>
      </c>
    </row>
    <row r="218" spans="34:66" x14ac:dyDescent="0.25">
      <c r="AH218" s="75">
        <v>44637</v>
      </c>
      <c r="AI218">
        <v>2694.51</v>
      </c>
      <c r="AK218" s="75"/>
      <c r="BF218" s="75" t="str">
        <f t="shared" si="13"/>
        <v/>
      </c>
      <c r="BG218" t="str">
        <f>IF($AU$3=TRUE,IF(AL218="","",SUM($AL$6:AL218)),"")</f>
        <v/>
      </c>
      <c r="BH218" t="str">
        <f>IF($AV$3=TRUE,IF(AM218="","",SUM($AM$6:AM218)),"")</f>
        <v/>
      </c>
      <c r="BI218" t="str">
        <f>IF($AW$3=TRUE,IF(AN218="","",SUM($AN$6:AN218)),"")</f>
        <v/>
      </c>
      <c r="BJ218" t="str">
        <f>IF($AX$3=TRUE,IF(AO218="","",SUM($AO$6:AO218)),"")</f>
        <v/>
      </c>
      <c r="BK218" t="str">
        <f>IF($AY$3=TRUE,IF(AP218="","",SUM($AP$6:AP218)),"")</f>
        <v/>
      </c>
      <c r="BL218" t="str">
        <f>IF($AZ$3=TRUE,IF(AQ218="","",SUM($AQ$6:AQ218)),"")</f>
        <v/>
      </c>
      <c r="BM218" t="str">
        <f>IF($BA$3=TRUE,IF(AR218="","",SUM($AR$6:AR218)),"")</f>
        <v/>
      </c>
      <c r="BN218" t="str">
        <f>IF($BB$3=TRUE,IF(AS218="","",SUM($AS$6:AS218)),"")</f>
        <v/>
      </c>
    </row>
    <row r="219" spans="34:66" x14ac:dyDescent="0.25">
      <c r="AH219" s="75">
        <v>44636</v>
      </c>
      <c r="AI219">
        <v>2659.23</v>
      </c>
      <c r="AK219" s="75"/>
      <c r="BF219" s="75" t="str">
        <f t="shared" si="13"/>
        <v/>
      </c>
      <c r="BG219" t="str">
        <f>IF($AU$3=TRUE,IF(AL219="","",SUM($AL$6:AL219)),"")</f>
        <v/>
      </c>
      <c r="BH219" t="str">
        <f>IF($AV$3=TRUE,IF(AM219="","",SUM($AM$6:AM219)),"")</f>
        <v/>
      </c>
      <c r="BI219" t="str">
        <f>IF($AW$3=TRUE,IF(AN219="","",SUM($AN$6:AN219)),"")</f>
        <v/>
      </c>
      <c r="BJ219" t="str">
        <f>IF($AX$3=TRUE,IF(AO219="","",SUM($AO$6:AO219)),"")</f>
        <v/>
      </c>
      <c r="BK219" t="str">
        <f>IF($AY$3=TRUE,IF(AP219="","",SUM($AP$6:AP219)),"")</f>
        <v/>
      </c>
      <c r="BL219" t="str">
        <f>IF($AZ$3=TRUE,IF(AQ219="","",SUM($AQ$6:AQ219)),"")</f>
        <v/>
      </c>
      <c r="BM219" t="str">
        <f>IF($BA$3=TRUE,IF(AR219="","",SUM($AR$6:AR219)),"")</f>
        <v/>
      </c>
      <c r="BN219" t="str">
        <f>IF($BB$3=TRUE,IF(AS219="","",SUM($AS$6:AS219)),"")</f>
        <v/>
      </c>
    </row>
    <row r="220" spans="34:66" x14ac:dyDescent="0.25">
      <c r="AH220" s="75">
        <v>44635</v>
      </c>
      <c r="AI220">
        <v>2621.53</v>
      </c>
      <c r="AK220" s="75"/>
      <c r="BF220" s="75" t="str">
        <f t="shared" si="13"/>
        <v/>
      </c>
      <c r="BG220" t="str">
        <f>IF($AU$3=TRUE,IF(AL220="","",SUM($AL$6:AL220)),"")</f>
        <v/>
      </c>
      <c r="BH220" t="str">
        <f>IF($AV$3=TRUE,IF(AM220="","",SUM($AM$6:AM220)),"")</f>
        <v/>
      </c>
      <c r="BI220" t="str">
        <f>IF($AW$3=TRUE,IF(AN220="","",SUM($AN$6:AN220)),"")</f>
        <v/>
      </c>
      <c r="BJ220" t="str">
        <f>IF($AX$3=TRUE,IF(AO220="","",SUM($AO$6:AO220)),"")</f>
        <v/>
      </c>
      <c r="BK220" t="str">
        <f>IF($AY$3=TRUE,IF(AP220="","",SUM($AP$6:AP220)),"")</f>
        <v/>
      </c>
      <c r="BL220" t="str">
        <f>IF($AZ$3=TRUE,IF(AQ220="","",SUM($AQ$6:AQ220)),"")</f>
        <v/>
      </c>
      <c r="BM220" t="str">
        <f>IF($BA$3=TRUE,IF(AR220="","",SUM($AR$6:AR220)),"")</f>
        <v/>
      </c>
      <c r="BN220" t="str">
        <f>IF($BB$3=TRUE,IF(AS220="","",SUM($AS$6:AS220)),"")</f>
        <v/>
      </c>
    </row>
    <row r="221" spans="34:66" x14ac:dyDescent="0.25">
      <c r="AH221" s="75">
        <v>44634</v>
      </c>
      <c r="AI221">
        <v>2645.65</v>
      </c>
      <c r="AK221" s="75"/>
      <c r="BF221" s="75" t="str">
        <f t="shared" si="13"/>
        <v/>
      </c>
      <c r="BG221" t="str">
        <f>IF($AU$3=TRUE,IF(AL221="","",SUM($AL$6:AL221)),"")</f>
        <v/>
      </c>
      <c r="BH221" t="str">
        <f>IF($AV$3=TRUE,IF(AM221="","",SUM($AM$6:AM221)),"")</f>
        <v/>
      </c>
      <c r="BI221" t="str">
        <f>IF($AW$3=TRUE,IF(AN221="","",SUM($AN$6:AN221)),"")</f>
        <v/>
      </c>
      <c r="BJ221" t="str">
        <f>IF($AX$3=TRUE,IF(AO221="","",SUM($AO$6:AO221)),"")</f>
        <v/>
      </c>
      <c r="BK221" t="str">
        <f>IF($AY$3=TRUE,IF(AP221="","",SUM($AP$6:AP221)),"")</f>
        <v/>
      </c>
      <c r="BL221" t="str">
        <f>IF($AZ$3=TRUE,IF(AQ221="","",SUM($AQ$6:AQ221)),"")</f>
        <v/>
      </c>
      <c r="BM221" t="str">
        <f>IF($BA$3=TRUE,IF(AR221="","",SUM($AR$6:AR221)),"")</f>
        <v/>
      </c>
      <c r="BN221" t="str">
        <f>IF($BB$3=TRUE,IF(AS221="","",SUM($AS$6:AS221)),"")</f>
        <v/>
      </c>
    </row>
    <row r="222" spans="34:66" x14ac:dyDescent="0.25">
      <c r="AH222" s="75">
        <v>44631</v>
      </c>
      <c r="AI222">
        <v>2661.28</v>
      </c>
      <c r="AK222" s="75"/>
      <c r="BF222" s="75" t="str">
        <f t="shared" si="13"/>
        <v/>
      </c>
      <c r="BG222" t="str">
        <f>IF($AU$3=TRUE,IF(AL222="","",SUM($AL$6:AL222)),"")</f>
        <v/>
      </c>
      <c r="BH222" t="str">
        <f>IF($AV$3=TRUE,IF(AM222="","",SUM($AM$6:AM222)),"")</f>
        <v/>
      </c>
      <c r="BI222" t="str">
        <f>IF($AW$3=TRUE,IF(AN222="","",SUM($AN$6:AN222)),"")</f>
        <v/>
      </c>
      <c r="BJ222" t="str">
        <f>IF($AX$3=TRUE,IF(AO222="","",SUM($AO$6:AO222)),"")</f>
        <v/>
      </c>
      <c r="BK222" t="str">
        <f>IF($AY$3=TRUE,IF(AP222="","",SUM($AP$6:AP222)),"")</f>
        <v/>
      </c>
      <c r="BL222" t="str">
        <f>IF($AZ$3=TRUE,IF(AQ222="","",SUM($AQ$6:AQ222)),"")</f>
        <v/>
      </c>
      <c r="BM222" t="str">
        <f>IF($BA$3=TRUE,IF(AR222="","",SUM($AR$6:AR222)),"")</f>
        <v/>
      </c>
      <c r="BN222" t="str">
        <f>IF($BB$3=TRUE,IF(AS222="","",SUM($AS$6:AS222)),"")</f>
        <v/>
      </c>
    </row>
    <row r="223" spans="34:66" x14ac:dyDescent="0.25">
      <c r="AH223" s="75">
        <v>44630</v>
      </c>
      <c r="AI223">
        <v>2680.32</v>
      </c>
      <c r="AK223" s="75"/>
      <c r="BF223" s="75" t="str">
        <f t="shared" si="13"/>
        <v/>
      </c>
      <c r="BG223" t="str">
        <f>IF($AU$3=TRUE,IF(AL223="","",SUM($AL$6:AL223)),"")</f>
        <v/>
      </c>
      <c r="BH223" t="str">
        <f>IF($AV$3=TRUE,IF(AM223="","",SUM($AM$6:AM223)),"")</f>
        <v/>
      </c>
      <c r="BI223" t="str">
        <f>IF($AW$3=TRUE,IF(AN223="","",SUM($AN$6:AN223)),"")</f>
        <v/>
      </c>
      <c r="BJ223" t="str">
        <f>IF($AX$3=TRUE,IF(AO223="","",SUM($AO$6:AO223)),"")</f>
        <v/>
      </c>
      <c r="BK223" t="str">
        <f>IF($AY$3=TRUE,IF(AP223="","",SUM($AP$6:AP223)),"")</f>
        <v/>
      </c>
      <c r="BL223" t="str">
        <f>IF($AZ$3=TRUE,IF(AQ223="","",SUM($AQ$6:AQ223)),"")</f>
        <v/>
      </c>
      <c r="BM223" t="str">
        <f>IF($BA$3=TRUE,IF(AR223="","",SUM($AR$6:AR223)),"")</f>
        <v/>
      </c>
      <c r="BN223" t="str">
        <f>IF($BB$3=TRUE,IF(AS223="","",SUM($AS$6:AS223)),"")</f>
        <v/>
      </c>
    </row>
    <row r="224" spans="34:66" x14ac:dyDescent="0.25">
      <c r="AH224" s="75">
        <v>44628</v>
      </c>
      <c r="AI224">
        <v>2622.4</v>
      </c>
      <c r="AK224" s="75"/>
      <c r="BF224" s="75" t="str">
        <f t="shared" si="13"/>
        <v/>
      </c>
      <c r="BG224" t="str">
        <f>IF($AU$3=TRUE,IF(AL224="","",SUM($AL$6:AL224)),"")</f>
        <v/>
      </c>
      <c r="BH224" t="str">
        <f>IF($AV$3=TRUE,IF(AM224="","",SUM($AM$6:AM224)),"")</f>
        <v/>
      </c>
      <c r="BI224" t="str">
        <f>IF($AW$3=TRUE,IF(AN224="","",SUM($AN$6:AN224)),"")</f>
        <v/>
      </c>
      <c r="BJ224" t="str">
        <f>IF($AX$3=TRUE,IF(AO224="","",SUM($AO$6:AO224)),"")</f>
        <v/>
      </c>
      <c r="BK224" t="str">
        <f>IF($AY$3=TRUE,IF(AP224="","",SUM($AP$6:AP224)),"")</f>
        <v/>
      </c>
      <c r="BL224" t="str">
        <f>IF($AZ$3=TRUE,IF(AQ224="","",SUM($AQ$6:AQ224)),"")</f>
        <v/>
      </c>
      <c r="BM224" t="str">
        <f>IF($BA$3=TRUE,IF(AR224="","",SUM($AR$6:AR224)),"")</f>
        <v/>
      </c>
      <c r="BN224" t="str">
        <f>IF($BB$3=TRUE,IF(AS224="","",SUM($AS$6:AS224)),"")</f>
        <v/>
      </c>
    </row>
    <row r="225" spans="34:66" x14ac:dyDescent="0.25">
      <c r="AH225" s="75">
        <v>44627</v>
      </c>
      <c r="AI225">
        <v>2651.31</v>
      </c>
      <c r="AK225" s="75"/>
      <c r="BF225" s="75" t="str">
        <f t="shared" si="13"/>
        <v/>
      </c>
      <c r="BG225" t="str">
        <f>IF($AU$3=TRUE,IF(AL225="","",SUM($AL$6:AL225)),"")</f>
        <v/>
      </c>
      <c r="BH225" t="str">
        <f>IF($AV$3=TRUE,IF(AM225="","",SUM($AM$6:AM225)),"")</f>
        <v/>
      </c>
      <c r="BI225" t="str">
        <f>IF($AW$3=TRUE,IF(AN225="","",SUM($AN$6:AN225)),"")</f>
        <v/>
      </c>
      <c r="BJ225" t="str">
        <f>IF($AX$3=TRUE,IF(AO225="","",SUM($AO$6:AO225)),"")</f>
        <v/>
      </c>
      <c r="BK225" t="str">
        <f>IF($AY$3=TRUE,IF(AP225="","",SUM($AP$6:AP225)),"")</f>
        <v/>
      </c>
      <c r="BL225" t="str">
        <f>IF($AZ$3=TRUE,IF(AQ225="","",SUM($AQ$6:AQ225)),"")</f>
        <v/>
      </c>
      <c r="BM225" t="str">
        <f>IF($BA$3=TRUE,IF(AR225="","",SUM($AR$6:AR225)),"")</f>
        <v/>
      </c>
      <c r="BN225" t="str">
        <f>IF($BB$3=TRUE,IF(AS225="","",SUM($AS$6:AS225)),"")</f>
        <v/>
      </c>
    </row>
    <row r="226" spans="34:66" x14ac:dyDescent="0.25">
      <c r="AH226" s="75">
        <v>44624</v>
      </c>
      <c r="AI226">
        <v>2713.43</v>
      </c>
      <c r="AK226" s="75"/>
      <c r="BF226" s="75" t="str">
        <f t="shared" si="13"/>
        <v/>
      </c>
      <c r="BG226" t="str">
        <f>IF($AU$3=TRUE,IF(AL226="","",SUM($AL$6:AL226)),"")</f>
        <v/>
      </c>
      <c r="BH226" t="str">
        <f>IF($AV$3=TRUE,IF(AM226="","",SUM($AM$6:AM226)),"")</f>
        <v/>
      </c>
      <c r="BI226" t="str">
        <f>IF($AW$3=TRUE,IF(AN226="","",SUM($AN$6:AN226)),"")</f>
        <v/>
      </c>
      <c r="BJ226" t="str">
        <f>IF($AX$3=TRUE,IF(AO226="","",SUM($AO$6:AO226)),"")</f>
        <v/>
      </c>
      <c r="BK226" t="str">
        <f>IF($AY$3=TRUE,IF(AP226="","",SUM($AP$6:AP226)),"")</f>
        <v/>
      </c>
      <c r="BL226" t="str">
        <f>IF($AZ$3=TRUE,IF(AQ226="","",SUM($AQ$6:AQ226)),"")</f>
        <v/>
      </c>
      <c r="BM226" t="str">
        <f>IF($BA$3=TRUE,IF(AR226="","",SUM($AR$6:AR226)),"")</f>
        <v/>
      </c>
      <c r="BN226" t="str">
        <f>IF($BB$3=TRUE,IF(AS226="","",SUM($AS$6:AS226)),"")</f>
        <v/>
      </c>
    </row>
    <row r="227" spans="34:66" x14ac:dyDescent="0.25">
      <c r="AH227" s="75">
        <v>44623</v>
      </c>
      <c r="AI227">
        <v>2747.08</v>
      </c>
      <c r="AK227" s="75"/>
      <c r="BF227" s="75" t="str">
        <f t="shared" si="13"/>
        <v/>
      </c>
      <c r="BG227" t="str">
        <f>IF($AU$3=TRUE,IF(AL227="","",SUM($AL$6:AL227)),"")</f>
        <v/>
      </c>
      <c r="BH227" t="str">
        <f>IF($AV$3=TRUE,IF(AM227="","",SUM($AM$6:AM227)),"")</f>
        <v/>
      </c>
      <c r="BI227" t="str">
        <f>IF($AW$3=TRUE,IF(AN227="","",SUM($AN$6:AN227)),"")</f>
        <v/>
      </c>
      <c r="BJ227" t="str">
        <f>IF($AX$3=TRUE,IF(AO227="","",SUM($AO$6:AO227)),"")</f>
        <v/>
      </c>
      <c r="BK227" t="str">
        <f>IF($AY$3=TRUE,IF(AP227="","",SUM($AP$6:AP227)),"")</f>
        <v/>
      </c>
      <c r="BL227" t="str">
        <f>IF($AZ$3=TRUE,IF(AQ227="","",SUM($AQ$6:AQ227)),"")</f>
        <v/>
      </c>
      <c r="BM227" t="str">
        <f>IF($BA$3=TRUE,IF(AR227="","",SUM($AR$6:AR227)),"")</f>
        <v/>
      </c>
      <c r="BN227" t="str">
        <f>IF($BB$3=TRUE,IF(AS227="","",SUM($AS$6:AS227)),"")</f>
        <v/>
      </c>
    </row>
    <row r="228" spans="34:66" x14ac:dyDescent="0.25">
      <c r="AH228" s="75">
        <v>44622</v>
      </c>
      <c r="AI228">
        <v>2703.52</v>
      </c>
      <c r="AK228" s="75"/>
      <c r="BF228" s="75" t="str">
        <f t="shared" si="13"/>
        <v/>
      </c>
      <c r="BG228" t="str">
        <f>IF($AU$3=TRUE,IF(AL228="","",SUM($AL$6:AL228)),"")</f>
        <v/>
      </c>
      <c r="BH228" t="str">
        <f>IF($AV$3=TRUE,IF(AM228="","",SUM($AM$6:AM228)),"")</f>
        <v/>
      </c>
      <c r="BI228" t="str">
        <f>IF($AW$3=TRUE,IF(AN228="","",SUM($AN$6:AN228)),"")</f>
        <v/>
      </c>
      <c r="BJ228" t="str">
        <f>IF($AX$3=TRUE,IF(AO228="","",SUM($AO$6:AO228)),"")</f>
        <v/>
      </c>
      <c r="BK228" t="str">
        <f>IF($AY$3=TRUE,IF(AP228="","",SUM($AP$6:AP228)),"")</f>
        <v/>
      </c>
      <c r="BL228" t="str">
        <f>IF($AZ$3=TRUE,IF(AQ228="","",SUM($AQ$6:AQ228)),"")</f>
        <v/>
      </c>
      <c r="BM228" t="str">
        <f>IF($BA$3=TRUE,IF(AR228="","",SUM($AR$6:AR228)),"")</f>
        <v/>
      </c>
      <c r="BN228" t="str">
        <f>IF($BB$3=TRUE,IF(AS228="","",SUM($AS$6:AS228)),"")</f>
        <v/>
      </c>
    </row>
    <row r="229" spans="34:66" x14ac:dyDescent="0.25">
      <c r="AH229" s="75">
        <v>44620</v>
      </c>
      <c r="AI229">
        <v>2699.18</v>
      </c>
      <c r="AK229" s="75"/>
      <c r="BF229" s="75" t="str">
        <f t="shared" si="13"/>
        <v/>
      </c>
      <c r="BG229" t="str">
        <f>IF($AU$3=TRUE,IF(AL229="","",SUM($AL$6:AL229)),"")</f>
        <v/>
      </c>
      <c r="BH229" t="str">
        <f>IF($AV$3=TRUE,IF(AM229="","",SUM($AM$6:AM229)),"")</f>
        <v/>
      </c>
      <c r="BI229" t="str">
        <f>IF($AW$3=TRUE,IF(AN229="","",SUM($AN$6:AN229)),"")</f>
        <v/>
      </c>
      <c r="BJ229" t="str">
        <f>IF($AX$3=TRUE,IF(AO229="","",SUM($AO$6:AO229)),"")</f>
        <v/>
      </c>
      <c r="BK229" t="str">
        <f>IF($AY$3=TRUE,IF(AP229="","",SUM($AP$6:AP229)),"")</f>
        <v/>
      </c>
      <c r="BL229" t="str">
        <f>IF($AZ$3=TRUE,IF(AQ229="","",SUM($AQ$6:AQ229)),"")</f>
        <v/>
      </c>
      <c r="BM229" t="str">
        <f>IF($BA$3=TRUE,IF(AR229="","",SUM($AR$6:AR229)),"")</f>
        <v/>
      </c>
      <c r="BN229" t="str">
        <f>IF($BB$3=TRUE,IF(AS229="","",SUM($AS$6:AS229)),"")</f>
        <v/>
      </c>
    </row>
    <row r="230" spans="34:66" x14ac:dyDescent="0.25">
      <c r="AH230" s="75">
        <v>44617</v>
      </c>
      <c r="AI230">
        <v>2676.76</v>
      </c>
      <c r="AK230" s="75"/>
      <c r="BF230" s="75" t="str">
        <f t="shared" si="13"/>
        <v/>
      </c>
      <c r="BG230" t="str">
        <f>IF($AU$3=TRUE,IF(AL230="","",SUM($AL$6:AL230)),"")</f>
        <v/>
      </c>
      <c r="BH230" t="str">
        <f>IF($AV$3=TRUE,IF(AM230="","",SUM($AM$6:AM230)),"")</f>
        <v/>
      </c>
      <c r="BI230" t="str">
        <f>IF($AW$3=TRUE,IF(AN230="","",SUM($AN$6:AN230)),"")</f>
        <v/>
      </c>
      <c r="BJ230" t="str">
        <f>IF($AX$3=TRUE,IF(AO230="","",SUM($AO$6:AO230)),"")</f>
        <v/>
      </c>
      <c r="BK230" t="str">
        <f>IF($AY$3=TRUE,IF(AP230="","",SUM($AP$6:AP230)),"")</f>
        <v/>
      </c>
      <c r="BL230" t="str">
        <f>IF($AZ$3=TRUE,IF(AQ230="","",SUM($AQ$6:AQ230)),"")</f>
        <v/>
      </c>
      <c r="BM230" t="str">
        <f>IF($BA$3=TRUE,IF(AR230="","",SUM($AR$6:AR230)),"")</f>
        <v/>
      </c>
      <c r="BN230" t="str">
        <f>IF($BB$3=TRUE,IF(AS230="","",SUM($AS$6:AS230)),"")</f>
        <v/>
      </c>
    </row>
    <row r="231" spans="34:66" x14ac:dyDescent="0.25">
      <c r="AH231" s="75">
        <v>44616</v>
      </c>
      <c r="AI231">
        <v>2648.8</v>
      </c>
      <c r="AK231" s="75"/>
      <c r="BF231" s="75" t="str">
        <f t="shared" si="13"/>
        <v/>
      </c>
      <c r="BG231" t="str">
        <f>IF($AU$3=TRUE,IF(AL231="","",SUM($AL$6:AL231)),"")</f>
        <v/>
      </c>
      <c r="BH231" t="str">
        <f>IF($AV$3=TRUE,IF(AM231="","",SUM($AM$6:AM231)),"")</f>
        <v/>
      </c>
      <c r="BI231" t="str">
        <f>IF($AW$3=TRUE,IF(AN231="","",SUM($AN$6:AN231)),"")</f>
        <v/>
      </c>
      <c r="BJ231" t="str">
        <f>IF($AX$3=TRUE,IF(AO231="","",SUM($AO$6:AO231)),"")</f>
        <v/>
      </c>
      <c r="BK231" t="str">
        <f>IF($AY$3=TRUE,IF(AP231="","",SUM($AP$6:AP231)),"")</f>
        <v/>
      </c>
      <c r="BL231" t="str">
        <f>IF($AZ$3=TRUE,IF(AQ231="","",SUM($AQ$6:AQ231)),"")</f>
        <v/>
      </c>
      <c r="BM231" t="str">
        <f>IF($BA$3=TRUE,IF(AR231="","",SUM($AR$6:AR231)),"")</f>
        <v/>
      </c>
      <c r="BN231" t="str">
        <f>IF($BB$3=TRUE,IF(AS231="","",SUM($AS$6:AS231)),"")</f>
        <v/>
      </c>
    </row>
    <row r="232" spans="34:66" x14ac:dyDescent="0.25">
      <c r="AH232" s="75">
        <v>44615</v>
      </c>
      <c r="AI232">
        <v>2719.53</v>
      </c>
      <c r="AK232" s="75"/>
      <c r="BF232" s="75" t="str">
        <f t="shared" si="13"/>
        <v/>
      </c>
      <c r="BG232" t="str">
        <f>IF($AU$3=TRUE,IF(AL232="","",SUM($AL$6:AL232)),"")</f>
        <v/>
      </c>
      <c r="BH232" t="str">
        <f>IF($AV$3=TRUE,IF(AM232="","",SUM($AM$6:AM232)),"")</f>
        <v/>
      </c>
      <c r="BI232" t="str">
        <f>IF($AW$3=TRUE,IF(AN232="","",SUM($AN$6:AN232)),"")</f>
        <v/>
      </c>
      <c r="BJ232" t="str">
        <f>IF($AX$3=TRUE,IF(AO232="","",SUM($AO$6:AO232)),"")</f>
        <v/>
      </c>
      <c r="BK232" t="str">
        <f>IF($AY$3=TRUE,IF(AP232="","",SUM($AP$6:AP232)),"")</f>
        <v/>
      </c>
      <c r="BL232" t="str">
        <f>IF($AZ$3=TRUE,IF(AQ232="","",SUM($AQ$6:AQ232)),"")</f>
        <v/>
      </c>
      <c r="BM232" t="str">
        <f>IF($BA$3=TRUE,IF(AR232="","",SUM($AR$6:AR232)),"")</f>
        <v/>
      </c>
      <c r="BN232" t="str">
        <f>IF($BB$3=TRUE,IF(AS232="","",SUM($AS$6:AS232)),"")</f>
        <v/>
      </c>
    </row>
    <row r="233" spans="34:66" x14ac:dyDescent="0.25">
      <c r="AH233" s="75">
        <v>44614</v>
      </c>
      <c r="AI233">
        <v>2706.79</v>
      </c>
      <c r="AK233" s="75"/>
      <c r="BF233" s="75" t="str">
        <f t="shared" si="13"/>
        <v/>
      </c>
      <c r="BG233" t="str">
        <f>IF($AU$3=TRUE,IF(AL233="","",SUM($AL$6:AL233)),"")</f>
        <v/>
      </c>
      <c r="BH233" t="str">
        <f>IF($AV$3=TRUE,IF(AM233="","",SUM($AM$6:AM233)),"")</f>
        <v/>
      </c>
      <c r="BI233" t="str">
        <f>IF($AW$3=TRUE,IF(AN233="","",SUM($AN$6:AN233)),"")</f>
        <v/>
      </c>
      <c r="BJ233" t="str">
        <f>IF($AX$3=TRUE,IF(AO233="","",SUM($AO$6:AO233)),"")</f>
        <v/>
      </c>
      <c r="BK233" t="str">
        <f>IF($AY$3=TRUE,IF(AP233="","",SUM($AP$6:AP233)),"")</f>
        <v/>
      </c>
      <c r="BL233" t="str">
        <f>IF($AZ$3=TRUE,IF(AQ233="","",SUM($AQ$6:AQ233)),"")</f>
        <v/>
      </c>
      <c r="BM233" t="str">
        <f>IF($BA$3=TRUE,IF(AR233="","",SUM($AR$6:AR233)),"")</f>
        <v/>
      </c>
      <c r="BN233" t="str">
        <f>IF($BB$3=TRUE,IF(AS233="","",SUM($AS$6:AS233)),"")</f>
        <v/>
      </c>
    </row>
    <row r="234" spans="34:66" x14ac:dyDescent="0.25">
      <c r="AH234" s="75">
        <v>44613</v>
      </c>
      <c r="AI234">
        <v>2743.8</v>
      </c>
      <c r="AK234" s="75"/>
      <c r="BF234" s="75" t="str">
        <f t="shared" si="13"/>
        <v/>
      </c>
      <c r="BG234" t="str">
        <f>IF($AU$3=TRUE,IF(AL234="","",SUM($AL$6:AL234)),"")</f>
        <v/>
      </c>
      <c r="BH234" t="str">
        <f>IF($AV$3=TRUE,IF(AM234="","",SUM($AM$6:AM234)),"")</f>
        <v/>
      </c>
      <c r="BI234" t="str">
        <f>IF($AW$3=TRUE,IF(AN234="","",SUM($AN$6:AN234)),"")</f>
        <v/>
      </c>
      <c r="BJ234" t="str">
        <f>IF($AX$3=TRUE,IF(AO234="","",SUM($AO$6:AO234)),"")</f>
        <v/>
      </c>
      <c r="BK234" t="str">
        <f>IF($AY$3=TRUE,IF(AP234="","",SUM($AP$6:AP234)),"")</f>
        <v/>
      </c>
      <c r="BL234" t="str">
        <f>IF($AZ$3=TRUE,IF(AQ234="","",SUM($AQ$6:AQ234)),"")</f>
        <v/>
      </c>
      <c r="BM234" t="str">
        <f>IF($BA$3=TRUE,IF(AR234="","",SUM($AR$6:AR234)),"")</f>
        <v/>
      </c>
      <c r="BN234" t="str">
        <f>IF($BB$3=TRUE,IF(AS234="","",SUM($AS$6:AS234)),"")</f>
        <v/>
      </c>
    </row>
    <row r="235" spans="34:66" x14ac:dyDescent="0.25">
      <c r="AH235" s="75">
        <v>44610</v>
      </c>
      <c r="AI235">
        <v>2744.52</v>
      </c>
      <c r="AK235" s="75"/>
      <c r="BF235" s="75" t="str">
        <f t="shared" si="13"/>
        <v/>
      </c>
      <c r="BG235" t="str">
        <f>IF($AU$3=TRUE,IF(AL235="","",SUM($AL$6:AL235)),"")</f>
        <v/>
      </c>
      <c r="BH235" t="str">
        <f>IF($AV$3=TRUE,IF(AM235="","",SUM($AM$6:AM235)),"")</f>
        <v/>
      </c>
      <c r="BI235" t="str">
        <f>IF($AW$3=TRUE,IF(AN235="","",SUM($AN$6:AN235)),"")</f>
        <v/>
      </c>
      <c r="BJ235" t="str">
        <f>IF($AX$3=TRUE,IF(AO235="","",SUM($AO$6:AO235)),"")</f>
        <v/>
      </c>
      <c r="BK235" t="str">
        <f>IF($AY$3=TRUE,IF(AP235="","",SUM($AP$6:AP235)),"")</f>
        <v/>
      </c>
      <c r="BL235" t="str">
        <f>IF($AZ$3=TRUE,IF(AQ235="","",SUM($AQ$6:AQ235)),"")</f>
        <v/>
      </c>
      <c r="BM235" t="str">
        <f>IF($BA$3=TRUE,IF(AR235="","",SUM($AR$6:AR235)),"")</f>
        <v/>
      </c>
      <c r="BN235" t="str">
        <f>IF($BB$3=TRUE,IF(AS235="","",SUM($AS$6:AS235)),"")</f>
        <v/>
      </c>
    </row>
    <row r="236" spans="34:66" x14ac:dyDescent="0.25">
      <c r="AH236" s="75">
        <v>44609</v>
      </c>
      <c r="AI236">
        <v>2744.09</v>
      </c>
      <c r="AK236" s="75"/>
      <c r="BF236" s="75" t="str">
        <f t="shared" si="13"/>
        <v/>
      </c>
      <c r="BG236" t="str">
        <f>IF($AU$3=TRUE,IF(AL236="","",SUM($AL$6:AL236)),"")</f>
        <v/>
      </c>
      <c r="BH236" t="str">
        <f>IF($AV$3=TRUE,IF(AM236="","",SUM($AM$6:AM236)),"")</f>
        <v/>
      </c>
      <c r="BI236" t="str">
        <f>IF($AW$3=TRUE,IF(AN236="","",SUM($AN$6:AN236)),"")</f>
        <v/>
      </c>
      <c r="BJ236" t="str">
        <f>IF($AX$3=TRUE,IF(AO236="","",SUM($AO$6:AO236)),"")</f>
        <v/>
      </c>
      <c r="BK236" t="str">
        <f>IF($AY$3=TRUE,IF(AP236="","",SUM($AP$6:AP236)),"")</f>
        <v/>
      </c>
      <c r="BL236" t="str">
        <f>IF($AZ$3=TRUE,IF(AQ236="","",SUM($AQ$6:AQ236)),"")</f>
        <v/>
      </c>
      <c r="BM236" t="str">
        <f>IF($BA$3=TRUE,IF(AR236="","",SUM($AR$6:AR236)),"")</f>
        <v/>
      </c>
      <c r="BN236" t="str">
        <f>IF($BB$3=TRUE,IF(AS236="","",SUM($AS$6:AS236)),"")</f>
        <v/>
      </c>
    </row>
    <row r="237" spans="34:66" x14ac:dyDescent="0.25">
      <c r="AH237" s="75">
        <v>44608</v>
      </c>
      <c r="AI237">
        <v>2729.68</v>
      </c>
      <c r="AK237" s="75"/>
      <c r="BF237" s="75" t="str">
        <f t="shared" si="13"/>
        <v/>
      </c>
      <c r="BG237" t="str">
        <f>IF($AU$3=TRUE,IF(AL237="","",SUM($AL$6:AL237)),"")</f>
        <v/>
      </c>
      <c r="BH237" t="str">
        <f>IF($AV$3=TRUE,IF(AM237="","",SUM($AM$6:AM237)),"")</f>
        <v/>
      </c>
      <c r="BI237" t="str">
        <f>IF($AW$3=TRUE,IF(AN237="","",SUM($AN$6:AN237)),"")</f>
        <v/>
      </c>
      <c r="BJ237" t="str">
        <f>IF($AX$3=TRUE,IF(AO237="","",SUM($AO$6:AO237)),"")</f>
        <v/>
      </c>
      <c r="BK237" t="str">
        <f>IF($AY$3=TRUE,IF(AP237="","",SUM($AP$6:AP237)),"")</f>
        <v/>
      </c>
      <c r="BL237" t="str">
        <f>IF($AZ$3=TRUE,IF(AQ237="","",SUM($AQ$6:AQ237)),"")</f>
        <v/>
      </c>
      <c r="BM237" t="str">
        <f>IF($BA$3=TRUE,IF(AR237="","",SUM($AR$6:AR237)),"")</f>
        <v/>
      </c>
      <c r="BN237" t="str">
        <f>IF($BB$3=TRUE,IF(AS237="","",SUM($AS$6:AS237)),"")</f>
        <v/>
      </c>
    </row>
    <row r="238" spans="34:66" x14ac:dyDescent="0.25">
      <c r="AH238" s="75">
        <v>44607</v>
      </c>
      <c r="AI238">
        <v>2676.54</v>
      </c>
      <c r="AK238" s="75"/>
      <c r="BF238" s="75" t="str">
        <f t="shared" si="13"/>
        <v/>
      </c>
      <c r="BG238" t="str">
        <f>IF($AU$3=TRUE,IF(AL238="","",SUM($AL$6:AL238)),"")</f>
        <v/>
      </c>
      <c r="BH238" t="str">
        <f>IF($AV$3=TRUE,IF(AM238="","",SUM($AM$6:AM238)),"")</f>
        <v/>
      </c>
      <c r="BI238" t="str">
        <f>IF($AW$3=TRUE,IF(AN238="","",SUM($AN$6:AN238)),"")</f>
        <v/>
      </c>
      <c r="BJ238" t="str">
        <f>IF($AX$3=TRUE,IF(AO238="","",SUM($AO$6:AO238)),"")</f>
        <v/>
      </c>
      <c r="BK238" t="str">
        <f>IF($AY$3=TRUE,IF(AP238="","",SUM($AP$6:AP238)),"")</f>
        <v/>
      </c>
      <c r="BL238" t="str">
        <f>IF($AZ$3=TRUE,IF(AQ238="","",SUM($AQ$6:AQ238)),"")</f>
        <v/>
      </c>
      <c r="BM238" t="str">
        <f>IF($BA$3=TRUE,IF(AR238="","",SUM($AR$6:AR238)),"")</f>
        <v/>
      </c>
      <c r="BN238" t="str">
        <f>IF($BB$3=TRUE,IF(AS238="","",SUM($AS$6:AS238)),"")</f>
        <v/>
      </c>
    </row>
    <row r="239" spans="34:66" x14ac:dyDescent="0.25">
      <c r="AH239" s="75">
        <v>44606</v>
      </c>
      <c r="AI239">
        <v>2704.48</v>
      </c>
      <c r="AK239" s="75"/>
      <c r="BF239" s="75" t="str">
        <f t="shared" si="13"/>
        <v/>
      </c>
      <c r="BG239" t="str">
        <f>IF($AU$3=TRUE,IF(AL239="","",SUM($AL$6:AL239)),"")</f>
        <v/>
      </c>
      <c r="BH239" t="str">
        <f>IF($AV$3=TRUE,IF(AM239="","",SUM($AM$6:AM239)),"")</f>
        <v/>
      </c>
      <c r="BI239" t="str">
        <f>IF($AW$3=TRUE,IF(AN239="","",SUM($AN$6:AN239)),"")</f>
        <v/>
      </c>
      <c r="BJ239" t="str">
        <f>IF($AX$3=TRUE,IF(AO239="","",SUM($AO$6:AO239)),"")</f>
        <v/>
      </c>
      <c r="BK239" t="str">
        <f>IF($AY$3=TRUE,IF(AP239="","",SUM($AP$6:AP239)),"")</f>
        <v/>
      </c>
      <c r="BL239" t="str">
        <f>IF($AZ$3=TRUE,IF(AQ239="","",SUM($AQ$6:AQ239)),"")</f>
        <v/>
      </c>
      <c r="BM239" t="str">
        <f>IF($BA$3=TRUE,IF(AR239="","",SUM($AR$6:AR239)),"")</f>
        <v/>
      </c>
      <c r="BN239" t="str">
        <f>IF($BB$3=TRUE,IF(AS239="","",SUM($AS$6:AS239)),"")</f>
        <v/>
      </c>
    </row>
    <row r="240" spans="34:66" x14ac:dyDescent="0.25">
      <c r="AH240" s="75">
        <v>44603</v>
      </c>
      <c r="AI240">
        <v>2747.71</v>
      </c>
      <c r="AK240" s="75"/>
      <c r="BF240" s="75" t="str">
        <f t="shared" si="13"/>
        <v/>
      </c>
      <c r="BG240" t="str">
        <f>IF($AU$3=TRUE,IF(AL240="","",SUM($AL$6:AL240)),"")</f>
        <v/>
      </c>
      <c r="BH240" t="str">
        <f>IF($AV$3=TRUE,IF(AM240="","",SUM($AM$6:AM240)),"")</f>
        <v/>
      </c>
      <c r="BI240" t="str">
        <f>IF($AW$3=TRUE,IF(AN240="","",SUM($AN$6:AN240)),"")</f>
        <v/>
      </c>
      <c r="BJ240" t="str">
        <f>IF($AX$3=TRUE,IF(AO240="","",SUM($AO$6:AO240)),"")</f>
        <v/>
      </c>
      <c r="BK240" t="str">
        <f>IF($AY$3=TRUE,IF(AP240="","",SUM($AP$6:AP240)),"")</f>
        <v/>
      </c>
      <c r="BL240" t="str">
        <f>IF($AZ$3=TRUE,IF(AQ240="","",SUM($AQ$6:AQ240)),"")</f>
        <v/>
      </c>
      <c r="BM240" t="str">
        <f>IF($BA$3=TRUE,IF(AR240="","",SUM($AR$6:AR240)),"")</f>
        <v/>
      </c>
      <c r="BN240" t="str">
        <f>IF($BB$3=TRUE,IF(AS240="","",SUM($AS$6:AS240)),"")</f>
        <v/>
      </c>
    </row>
    <row r="241" spans="34:66" x14ac:dyDescent="0.25">
      <c r="AH241" s="75">
        <v>44602</v>
      </c>
      <c r="AI241">
        <v>2771.93</v>
      </c>
      <c r="AK241" s="75"/>
      <c r="BF241" s="75" t="str">
        <f t="shared" si="13"/>
        <v/>
      </c>
      <c r="BG241" t="str">
        <f>IF($AU$3=TRUE,IF(AL241="","",SUM($AL$6:AL241)),"")</f>
        <v/>
      </c>
      <c r="BH241" t="str">
        <f>IF($AV$3=TRUE,IF(AM241="","",SUM($AM$6:AM241)),"")</f>
        <v/>
      </c>
      <c r="BI241" t="str">
        <f>IF($AW$3=TRUE,IF(AN241="","",SUM($AN$6:AN241)),"")</f>
        <v/>
      </c>
      <c r="BJ241" t="str">
        <f>IF($AX$3=TRUE,IF(AO241="","",SUM($AO$6:AO241)),"")</f>
        <v/>
      </c>
      <c r="BK241" t="str">
        <f>IF($AY$3=TRUE,IF(AP241="","",SUM($AP$6:AP241)),"")</f>
        <v/>
      </c>
      <c r="BL241" t="str">
        <f>IF($AZ$3=TRUE,IF(AQ241="","",SUM($AQ$6:AQ241)),"")</f>
        <v/>
      </c>
      <c r="BM241" t="str">
        <f>IF($BA$3=TRUE,IF(AR241="","",SUM($AR$6:AR241)),"")</f>
        <v/>
      </c>
      <c r="BN241" t="str">
        <f>IF($BB$3=TRUE,IF(AS241="","",SUM($AS$6:AS241)),"")</f>
        <v/>
      </c>
    </row>
    <row r="242" spans="34:66" x14ac:dyDescent="0.25">
      <c r="AH242" s="75">
        <v>44601</v>
      </c>
      <c r="AI242">
        <v>2768.85</v>
      </c>
      <c r="AK242" s="75"/>
      <c r="BF242" s="75" t="str">
        <f t="shared" si="13"/>
        <v/>
      </c>
      <c r="BG242" t="str">
        <f>IF($AU$3=TRUE,IF(AL242="","",SUM($AL$6:AL242)),"")</f>
        <v/>
      </c>
      <c r="BH242" t="str">
        <f>IF($AV$3=TRUE,IF(AM242="","",SUM($AM$6:AM242)),"")</f>
        <v/>
      </c>
      <c r="BI242" t="str">
        <f>IF($AW$3=TRUE,IF(AN242="","",SUM($AN$6:AN242)),"")</f>
        <v/>
      </c>
      <c r="BJ242" t="str">
        <f>IF($AX$3=TRUE,IF(AO242="","",SUM($AO$6:AO242)),"")</f>
        <v/>
      </c>
      <c r="BK242" t="str">
        <f>IF($AY$3=TRUE,IF(AP242="","",SUM($AP$6:AP242)),"")</f>
        <v/>
      </c>
      <c r="BL242" t="str">
        <f>IF($AZ$3=TRUE,IF(AQ242="","",SUM($AQ$6:AQ242)),"")</f>
        <v/>
      </c>
      <c r="BM242" t="str">
        <f>IF($BA$3=TRUE,IF(AR242="","",SUM($AR$6:AR242)),"")</f>
        <v/>
      </c>
      <c r="BN242" t="str">
        <f>IF($BB$3=TRUE,IF(AS242="","",SUM($AS$6:AS242)),"")</f>
        <v/>
      </c>
    </row>
    <row r="243" spans="34:66" x14ac:dyDescent="0.25">
      <c r="AH243" s="75">
        <v>44600</v>
      </c>
      <c r="AI243">
        <v>2746.47</v>
      </c>
      <c r="AK243" s="75"/>
      <c r="BF243" s="75" t="str">
        <f t="shared" si="13"/>
        <v/>
      </c>
      <c r="BG243" t="str">
        <f>IF($AU$3=TRUE,IF(AL243="","",SUM($AL$6:AL243)),"")</f>
        <v/>
      </c>
      <c r="BH243" t="str">
        <f>IF($AV$3=TRUE,IF(AM243="","",SUM($AM$6:AM243)),"")</f>
        <v/>
      </c>
      <c r="BI243" t="str">
        <f>IF($AW$3=TRUE,IF(AN243="","",SUM($AN$6:AN243)),"")</f>
        <v/>
      </c>
      <c r="BJ243" t="str">
        <f>IF($AX$3=TRUE,IF(AO243="","",SUM($AO$6:AO243)),"")</f>
        <v/>
      </c>
      <c r="BK243" t="str">
        <f>IF($AY$3=TRUE,IF(AP243="","",SUM($AP$6:AP243)),"")</f>
        <v/>
      </c>
      <c r="BL243" t="str">
        <f>IF($AZ$3=TRUE,IF(AQ243="","",SUM($AQ$6:AQ243)),"")</f>
        <v/>
      </c>
      <c r="BM243" t="str">
        <f>IF($BA$3=TRUE,IF(AR243="","",SUM($AR$6:AR243)),"")</f>
        <v/>
      </c>
      <c r="BN243" t="str">
        <f>IF($BB$3=TRUE,IF(AS243="","",SUM($AS$6:AS243)),"")</f>
        <v/>
      </c>
    </row>
    <row r="244" spans="34:66" x14ac:dyDescent="0.25">
      <c r="AH244" s="75">
        <v>44599</v>
      </c>
      <c r="AI244">
        <v>2745.06</v>
      </c>
      <c r="AK244" s="75"/>
      <c r="BF244" s="75" t="str">
        <f t="shared" si="13"/>
        <v/>
      </c>
      <c r="BG244" t="str">
        <f>IF($AU$3=TRUE,IF(AL244="","",SUM($AL$6:AL244)),"")</f>
        <v/>
      </c>
      <c r="BH244" t="str">
        <f>IF($AV$3=TRUE,IF(AM244="","",SUM($AM$6:AM244)),"")</f>
        <v/>
      </c>
      <c r="BI244" t="str">
        <f>IF($AW$3=TRUE,IF(AN244="","",SUM($AN$6:AN244)),"")</f>
        <v/>
      </c>
      <c r="BJ244" t="str">
        <f>IF($AX$3=TRUE,IF(AO244="","",SUM($AO$6:AO244)),"")</f>
        <v/>
      </c>
      <c r="BK244" t="str">
        <f>IF($AY$3=TRUE,IF(AP244="","",SUM($AP$6:AP244)),"")</f>
        <v/>
      </c>
      <c r="BL244" t="str">
        <f>IF($AZ$3=TRUE,IF(AQ244="","",SUM($AQ$6:AQ244)),"")</f>
        <v/>
      </c>
      <c r="BM244" t="str">
        <f>IF($BA$3=TRUE,IF(AR244="","",SUM($AR$6:AR244)),"")</f>
        <v/>
      </c>
      <c r="BN244" t="str">
        <f>IF($BB$3=TRUE,IF(AS244="","",SUM($AS$6:AS244)),"")</f>
        <v/>
      </c>
    </row>
    <row r="245" spans="34:66" x14ac:dyDescent="0.25">
      <c r="AH245" s="75">
        <v>44596</v>
      </c>
      <c r="AI245">
        <v>2750.26</v>
      </c>
      <c r="AK245" s="75"/>
      <c r="BF245" s="75" t="str">
        <f t="shared" si="13"/>
        <v/>
      </c>
      <c r="BG245" t="str">
        <f>IF($AU$3=TRUE,IF(AL245="","",SUM($AL$6:AL245)),"")</f>
        <v/>
      </c>
      <c r="BH245" t="str">
        <f>IF($AV$3=TRUE,IF(AM245="","",SUM($AM$6:AM245)),"")</f>
        <v/>
      </c>
      <c r="BI245" t="str">
        <f>IF($AW$3=TRUE,IF(AN245="","",SUM($AN$6:AN245)),"")</f>
        <v/>
      </c>
      <c r="BJ245" t="str">
        <f>IF($AX$3=TRUE,IF(AO245="","",SUM($AO$6:AO245)),"")</f>
        <v/>
      </c>
      <c r="BK245" t="str">
        <f>IF($AY$3=TRUE,IF(AP245="","",SUM($AP$6:AP245)),"")</f>
        <v/>
      </c>
      <c r="BL245" t="str">
        <f>IF($AZ$3=TRUE,IF(AQ245="","",SUM($AQ$6:AQ245)),"")</f>
        <v/>
      </c>
      <c r="BM245" t="str">
        <f>IF($BA$3=TRUE,IF(AR245="","",SUM($AR$6:AR245)),"")</f>
        <v/>
      </c>
      <c r="BN245" t="str">
        <f>IF($BB$3=TRUE,IF(AS245="","",SUM($AS$6:AS245)),"")</f>
        <v/>
      </c>
    </row>
    <row r="246" spans="34:66" x14ac:dyDescent="0.25">
      <c r="AH246" s="75">
        <v>44595</v>
      </c>
      <c r="AI246">
        <v>2707.82</v>
      </c>
      <c r="AK246" s="75"/>
      <c r="BF246" s="75" t="str">
        <f t="shared" si="13"/>
        <v/>
      </c>
      <c r="BG246" t="str">
        <f>IF($AU$3=TRUE,IF(AL246="","",SUM($AL$6:AL246)),"")</f>
        <v/>
      </c>
      <c r="BH246" t="str">
        <f>IF($AV$3=TRUE,IF(AM246="","",SUM($AM$6:AM246)),"")</f>
        <v/>
      </c>
      <c r="BI246" t="str">
        <f>IF($AW$3=TRUE,IF(AN246="","",SUM($AN$6:AN246)),"")</f>
        <v/>
      </c>
      <c r="BJ246" t="str">
        <f>IF($AX$3=TRUE,IF(AO246="","",SUM($AO$6:AO246)),"")</f>
        <v/>
      </c>
      <c r="BK246" t="str">
        <f>IF($AY$3=TRUE,IF(AP246="","",SUM($AP$6:AP246)),"")</f>
        <v/>
      </c>
      <c r="BL246" t="str">
        <f>IF($AZ$3=TRUE,IF(AQ246="","",SUM($AQ$6:AQ246)),"")</f>
        <v/>
      </c>
      <c r="BM246" t="str">
        <f>IF($BA$3=TRUE,IF(AR246="","",SUM($AR$6:AR246)),"")</f>
        <v/>
      </c>
      <c r="BN246" t="str">
        <f>IF($BB$3=TRUE,IF(AS246="","",SUM($AS$6:AS246)),"")</f>
        <v/>
      </c>
    </row>
    <row r="247" spans="34:66" x14ac:dyDescent="0.25">
      <c r="AH247" s="75">
        <v>44589</v>
      </c>
      <c r="AI247">
        <v>2663.34</v>
      </c>
      <c r="AK247" s="75"/>
      <c r="BF247" s="75" t="str">
        <f t="shared" si="13"/>
        <v/>
      </c>
      <c r="BG247" t="str">
        <f>IF($AU$3=TRUE,IF(AL247="","",SUM($AL$6:AL247)),"")</f>
        <v/>
      </c>
      <c r="BH247" t="str">
        <f>IF($AV$3=TRUE,IF(AM247="","",SUM($AM$6:AM247)),"")</f>
        <v/>
      </c>
      <c r="BI247" t="str">
        <f>IF($AW$3=TRUE,IF(AN247="","",SUM($AN$6:AN247)),"")</f>
        <v/>
      </c>
      <c r="BJ247" t="str">
        <f>IF($AX$3=TRUE,IF(AO247="","",SUM($AO$6:AO247)),"")</f>
        <v/>
      </c>
      <c r="BK247" t="str">
        <f>IF($AY$3=TRUE,IF(AP247="","",SUM($AP$6:AP247)),"")</f>
        <v/>
      </c>
      <c r="BL247" t="str">
        <f>IF($AZ$3=TRUE,IF(AQ247="","",SUM($AQ$6:AQ247)),"")</f>
        <v/>
      </c>
      <c r="BM247" t="str">
        <f>IF($BA$3=TRUE,IF(AR247="","",SUM($AR$6:AR247)),"")</f>
        <v/>
      </c>
      <c r="BN247" t="str">
        <f>IF($BB$3=TRUE,IF(AS247="","",SUM($AS$6:AS247)),"")</f>
        <v/>
      </c>
    </row>
    <row r="248" spans="34:66" x14ac:dyDescent="0.25">
      <c r="AH248" s="75">
        <v>44588</v>
      </c>
      <c r="AI248">
        <v>2614.4899999999998</v>
      </c>
      <c r="AK248" s="75"/>
      <c r="BF248" s="75" t="str">
        <f t="shared" si="13"/>
        <v/>
      </c>
      <c r="BG248" t="str">
        <f>IF($AU$3=TRUE,IF(AL248="","",SUM($AL$6:AL248)),"")</f>
        <v/>
      </c>
      <c r="BH248" t="str">
        <f>IF($AV$3=TRUE,IF(AM248="","",SUM($AM$6:AM248)),"")</f>
        <v/>
      </c>
      <c r="BI248" t="str">
        <f>IF($AW$3=TRUE,IF(AN248="","",SUM($AN$6:AN248)),"")</f>
        <v/>
      </c>
      <c r="BJ248" t="str">
        <f>IF($AX$3=TRUE,IF(AO248="","",SUM($AO$6:AO248)),"")</f>
        <v/>
      </c>
      <c r="BK248" t="str">
        <f>IF($AY$3=TRUE,IF(AP248="","",SUM($AP$6:AP248)),"")</f>
        <v/>
      </c>
      <c r="BL248" t="str">
        <f>IF($AZ$3=TRUE,IF(AQ248="","",SUM($AQ$6:AQ248)),"")</f>
        <v/>
      </c>
      <c r="BM248" t="str">
        <f>IF($BA$3=TRUE,IF(AR248="","",SUM($AR$6:AR248)),"")</f>
        <v/>
      </c>
      <c r="BN248" t="str">
        <f>IF($BB$3=TRUE,IF(AS248="","",SUM($AS$6:AS248)),"")</f>
        <v/>
      </c>
    </row>
    <row r="249" spans="34:66" x14ac:dyDescent="0.25">
      <c r="AH249" s="75">
        <v>44587</v>
      </c>
      <c r="AI249">
        <v>2709.24</v>
      </c>
      <c r="AK249" s="75"/>
      <c r="BF249" s="75" t="str">
        <f t="shared" si="13"/>
        <v/>
      </c>
      <c r="BG249" t="str">
        <f>IF($AU$3=TRUE,IF(AL249="","",SUM($AL$6:AL249)),"")</f>
        <v/>
      </c>
      <c r="BH249" t="str">
        <f>IF($AV$3=TRUE,IF(AM249="","",SUM($AM$6:AM249)),"")</f>
        <v/>
      </c>
      <c r="BI249" t="str">
        <f>IF($AW$3=TRUE,IF(AN249="","",SUM($AN$6:AN249)),"")</f>
        <v/>
      </c>
      <c r="BJ249" t="str">
        <f>IF($AX$3=TRUE,IF(AO249="","",SUM($AO$6:AO249)),"")</f>
        <v/>
      </c>
      <c r="BK249" t="str">
        <f>IF($AY$3=TRUE,IF(AP249="","",SUM($AP$6:AP249)),"")</f>
        <v/>
      </c>
      <c r="BL249" t="str">
        <f>IF($AZ$3=TRUE,IF(AQ249="","",SUM($AQ$6:AQ249)),"")</f>
        <v/>
      </c>
      <c r="BM249" t="str">
        <f>IF($BA$3=TRUE,IF(AR249="","",SUM($AR$6:AR249)),"")</f>
        <v/>
      </c>
      <c r="BN249" t="str">
        <f>IF($BB$3=TRUE,IF(AS249="","",SUM($AS$6:AS249)),"")</f>
        <v/>
      </c>
    </row>
    <row r="250" spans="34:66" x14ac:dyDescent="0.25">
      <c r="AH250" s="75">
        <v>44586</v>
      </c>
      <c r="AI250">
        <v>2720.39</v>
      </c>
      <c r="AK250" s="75"/>
      <c r="BF250" s="75" t="str">
        <f t="shared" si="13"/>
        <v/>
      </c>
      <c r="BG250" t="str">
        <f>IF($AU$3=TRUE,IF(AL250="","",SUM($AL$6:AL250)),"")</f>
        <v/>
      </c>
      <c r="BH250" t="str">
        <f>IF($AV$3=TRUE,IF(AM250="","",SUM($AM$6:AM250)),"")</f>
        <v/>
      </c>
      <c r="BI250" t="str">
        <f>IF($AW$3=TRUE,IF(AN250="","",SUM($AN$6:AN250)),"")</f>
        <v/>
      </c>
      <c r="BJ250" t="str">
        <f>IF($AX$3=TRUE,IF(AO250="","",SUM($AO$6:AO250)),"")</f>
        <v/>
      </c>
      <c r="BK250" t="str">
        <f>IF($AY$3=TRUE,IF(AP250="","",SUM($AP$6:AP250)),"")</f>
        <v/>
      </c>
      <c r="BL250" t="str">
        <f>IF($AZ$3=TRUE,IF(AQ250="","",SUM($AQ$6:AQ250)),"")</f>
        <v/>
      </c>
      <c r="BM250" t="str">
        <f>IF($BA$3=TRUE,IF(AR250="","",SUM($AR$6:AR250)),"")</f>
        <v/>
      </c>
      <c r="BN250" t="str">
        <f>IF($BB$3=TRUE,IF(AS250="","",SUM($AS$6:AS250)),"")</f>
        <v/>
      </c>
    </row>
    <row r="251" spans="34:66" x14ac:dyDescent="0.25">
      <c r="AH251" s="75"/>
      <c r="AK251" s="75"/>
      <c r="BF251" s="75" t="str">
        <f t="shared" si="13"/>
        <v/>
      </c>
      <c r="BG251" t="str">
        <f>IF($AU$3=TRUE,IF(AL251="","",SUM($AL$6:AL251)),"")</f>
        <v/>
      </c>
      <c r="BH251" t="str">
        <f>IF($AV$3=TRUE,IF(AM251="","",SUM($AM$6:AM251)),"")</f>
        <v/>
      </c>
      <c r="BI251" t="str">
        <f>IF($AW$3=TRUE,IF(AN251="","",SUM($AN$6:AN251)),"")</f>
        <v/>
      </c>
      <c r="BJ251" t="str">
        <f>IF($AX$3=TRUE,IF(AO251="","",SUM($AO$6:AO251)),"")</f>
        <v/>
      </c>
      <c r="BK251" t="str">
        <f>IF($AY$3=TRUE,IF(AP251="","",SUM($AP$6:AP251)),"")</f>
        <v/>
      </c>
      <c r="BL251" t="str">
        <f>IF($AZ$3=TRUE,IF(AQ251="","",SUM($AQ$6:AQ251)),"")</f>
        <v/>
      </c>
      <c r="BM251" t="str">
        <f>IF($BA$3=TRUE,IF(AR251="","",SUM($AR$6:AR251)),"")</f>
        <v/>
      </c>
      <c r="BN251" t="str">
        <f>IF($BB$3=TRUE,IF(AS251="","",SUM($AS$6:AS251)),"")</f>
        <v/>
      </c>
    </row>
    <row r="252" spans="34:66" x14ac:dyDescent="0.25">
      <c r="AH252" s="75"/>
      <c r="AK252" s="75"/>
      <c r="BF252" s="75" t="str">
        <f t="shared" si="13"/>
        <v/>
      </c>
      <c r="BG252" t="str">
        <f>IF($AU$3=TRUE,IF(AL252="","",SUM($AL$6:AL252)),"")</f>
        <v/>
      </c>
      <c r="BH252" t="str">
        <f>IF($AV$3=TRUE,IF(AM252="","",SUM($AM$6:AM252)),"")</f>
        <v/>
      </c>
      <c r="BI252" t="str">
        <f>IF($AW$3=TRUE,IF(AN252="","",SUM($AN$6:AN252)),"")</f>
        <v/>
      </c>
      <c r="BJ252" t="str">
        <f>IF($AX$3=TRUE,IF(AO252="","",SUM($AO$6:AO252)),"")</f>
        <v/>
      </c>
      <c r="BK252" t="str">
        <f>IF($AY$3=TRUE,IF(AP252="","",SUM($AP$6:AP252)),"")</f>
        <v/>
      </c>
      <c r="BL252" t="str">
        <f>IF($AZ$3=TRUE,IF(AQ252="","",SUM($AQ$6:AQ252)),"")</f>
        <v/>
      </c>
      <c r="BM252" t="str">
        <f>IF($BA$3=TRUE,IF(AR252="","",SUM($AR$6:AR252)),"")</f>
        <v/>
      </c>
      <c r="BN252" t="str">
        <f>IF($BB$3=TRUE,IF(AS252="","",SUM($AS$6:AS252)),"")</f>
        <v/>
      </c>
    </row>
    <row r="253" spans="34:66" x14ac:dyDescent="0.25">
      <c r="AH253" s="75"/>
      <c r="AK253" s="75"/>
      <c r="BF253" s="75" t="str">
        <f t="shared" si="13"/>
        <v/>
      </c>
      <c r="BG253" t="str">
        <f>IF($AU$3=TRUE,IF(AL253="","",SUM($AL$6:AL253)),"")</f>
        <v/>
      </c>
      <c r="BH253" t="str">
        <f>IF($AV$3=TRUE,IF(AM253="","",SUM($AM$6:AM253)),"")</f>
        <v/>
      </c>
      <c r="BI253" t="str">
        <f>IF($AW$3=TRUE,IF(AN253="","",SUM($AN$6:AN253)),"")</f>
        <v/>
      </c>
      <c r="BJ253" t="str">
        <f>IF($AX$3=TRUE,IF(AO253="","",SUM($AO$6:AO253)),"")</f>
        <v/>
      </c>
      <c r="BK253" t="str">
        <f>IF($AY$3=TRUE,IF(AP253="","",SUM($AP$6:AP253)),"")</f>
        <v/>
      </c>
      <c r="BL253" t="str">
        <f>IF($AZ$3=TRUE,IF(AQ253="","",SUM($AQ$6:AQ253)),"")</f>
        <v/>
      </c>
      <c r="BM253" t="str">
        <f>IF($BA$3=TRUE,IF(AR253="","",SUM($AR$6:AR253)),"")</f>
        <v/>
      </c>
      <c r="BN253" t="str">
        <f>IF($BB$3=TRUE,IF(AS253="","",SUM($AS$6:AS253)),"")</f>
        <v/>
      </c>
    </row>
    <row r="254" spans="34:66" x14ac:dyDescent="0.25">
      <c r="AH254" s="75"/>
      <c r="AK254" s="75"/>
      <c r="BF254" s="75" t="str">
        <f t="shared" si="13"/>
        <v/>
      </c>
      <c r="BG254" t="str">
        <f>IF($AU$3=TRUE,IF(AL254="","",SUM($AL$6:AL254)),"")</f>
        <v/>
      </c>
      <c r="BH254" t="str">
        <f>IF($AV$3=TRUE,IF(AM254="","",SUM($AM$6:AM254)),"")</f>
        <v/>
      </c>
      <c r="BI254" t="str">
        <f>IF($AW$3=TRUE,IF(AN254="","",SUM($AN$6:AN254)),"")</f>
        <v/>
      </c>
      <c r="BJ254" t="str">
        <f>IF($AX$3=TRUE,IF(AO254="","",SUM($AO$6:AO254)),"")</f>
        <v/>
      </c>
      <c r="BK254" t="str">
        <f>IF($AY$3=TRUE,IF(AP254="","",SUM($AP$6:AP254)),"")</f>
        <v/>
      </c>
      <c r="BL254" t="str">
        <f>IF($AZ$3=TRUE,IF(AQ254="","",SUM($AQ$6:AQ254)),"")</f>
        <v/>
      </c>
      <c r="BM254" t="str">
        <f>IF($BA$3=TRUE,IF(AR254="","",SUM($AR$6:AR254)),"")</f>
        <v/>
      </c>
      <c r="BN254" t="str">
        <f>IF($BB$3=TRUE,IF(AS254="","",SUM($AS$6:AS254)),"")</f>
        <v/>
      </c>
    </row>
    <row r="255" spans="34:66" x14ac:dyDescent="0.25">
      <c r="AH255" s="75"/>
      <c r="AK255" s="75"/>
      <c r="BF255" s="75" t="str">
        <f t="shared" si="13"/>
        <v/>
      </c>
      <c r="BG255" t="str">
        <f>IF($AU$3=TRUE,IF(AL255="","",SUM($AL$6:AL255)),"")</f>
        <v/>
      </c>
      <c r="BH255" t="str">
        <f>IF($AV$3=TRUE,IF(AM255="","",SUM($AM$6:AM255)),"")</f>
        <v/>
      </c>
      <c r="BI255" t="str">
        <f>IF($AW$3=TRUE,IF(AN255="","",SUM($AN$6:AN255)),"")</f>
        <v/>
      </c>
      <c r="BJ255" t="str">
        <f>IF($AX$3=TRUE,IF(AO255="","",SUM($AO$6:AO255)),"")</f>
        <v/>
      </c>
      <c r="BK255" t="str">
        <f>IF($AY$3=TRUE,IF(AP255="","",SUM($AP$6:AP255)),"")</f>
        <v/>
      </c>
      <c r="BL255" t="str">
        <f>IF($AZ$3=TRUE,IF(AQ255="","",SUM($AQ$6:AQ255)),"")</f>
        <v/>
      </c>
      <c r="BM255" t="str">
        <f>IF($BA$3=TRUE,IF(AR255="","",SUM($AR$6:AR255)),"")</f>
        <v/>
      </c>
      <c r="BN255" t="str">
        <f>IF($BB$3=TRUE,IF(AS255="","",SUM($AS$6:AS255)),"")</f>
        <v/>
      </c>
    </row>
    <row r="256" spans="34:66" x14ac:dyDescent="0.25">
      <c r="AH256" s="75"/>
      <c r="AK256" s="75"/>
      <c r="BF256" s="75" t="str">
        <f t="shared" si="13"/>
        <v/>
      </c>
      <c r="BG256" t="str">
        <f>IF($AU$3=TRUE,IF(AL256="","",SUM($AL$6:AL256)),"")</f>
        <v/>
      </c>
      <c r="BH256" t="str">
        <f>IF($AV$3=TRUE,IF(AM256="","",SUM($AM$6:AM256)),"")</f>
        <v/>
      </c>
      <c r="BI256" t="str">
        <f>IF($AW$3=TRUE,IF(AN256="","",SUM($AN$6:AN256)),"")</f>
        <v/>
      </c>
      <c r="BJ256" t="str">
        <f>IF($AX$3=TRUE,IF(AO256="","",SUM($AO$6:AO256)),"")</f>
        <v/>
      </c>
      <c r="BK256" t="str">
        <f>IF($AY$3=TRUE,IF(AP256="","",SUM($AP$6:AP256)),"")</f>
        <v/>
      </c>
      <c r="BL256" t="str">
        <f>IF($AZ$3=TRUE,IF(AQ256="","",SUM($AQ$6:AQ256)),"")</f>
        <v/>
      </c>
      <c r="BM256" t="str">
        <f>IF($BA$3=TRUE,IF(AR256="","",SUM($AR$6:AR256)),"")</f>
        <v/>
      </c>
      <c r="BN256" t="str">
        <f>IF($BB$3=TRUE,IF(AS256="","",SUM($AS$6:AS256)),"")</f>
        <v/>
      </c>
    </row>
    <row r="257" spans="34:66" x14ac:dyDescent="0.25">
      <c r="AH257" s="75"/>
      <c r="AK257" s="75"/>
      <c r="BF257" s="75" t="str">
        <f t="shared" si="13"/>
        <v/>
      </c>
      <c r="BG257" t="str">
        <f>IF($AU$3=TRUE,IF(AL257="","",SUM($AL$6:AL257)),"")</f>
        <v/>
      </c>
      <c r="BH257" t="str">
        <f>IF($AV$3=TRUE,IF(AM257="","",SUM($AM$6:AM257)),"")</f>
        <v/>
      </c>
      <c r="BI257" t="str">
        <f>IF($AW$3=TRUE,IF(AN257="","",SUM($AN$6:AN257)),"")</f>
        <v/>
      </c>
      <c r="BJ257" t="str">
        <f>IF($AX$3=TRUE,IF(AO257="","",SUM($AO$6:AO257)),"")</f>
        <v/>
      </c>
      <c r="BK257" t="str">
        <f>IF($AY$3=TRUE,IF(AP257="","",SUM($AP$6:AP257)),"")</f>
        <v/>
      </c>
      <c r="BL257" t="str">
        <f>IF($AZ$3=TRUE,IF(AQ257="","",SUM($AQ$6:AQ257)),"")</f>
        <v/>
      </c>
      <c r="BM257" t="str">
        <f>IF($BA$3=TRUE,IF(AR257="","",SUM($AR$6:AR257)),"")</f>
        <v/>
      </c>
      <c r="BN257" t="str">
        <f>IF($BB$3=TRUE,IF(AS257="","",SUM($AS$6:AS257)),"")</f>
        <v/>
      </c>
    </row>
    <row r="258" spans="34:66" x14ac:dyDescent="0.25">
      <c r="AH258" s="75"/>
      <c r="AK258" s="75"/>
      <c r="BF258" s="75" t="str">
        <f t="shared" si="13"/>
        <v/>
      </c>
      <c r="BG258" t="str">
        <f>IF($AU$3=TRUE,IF(AL258="","",SUM($AL$6:AL258)),"")</f>
        <v/>
      </c>
      <c r="BH258" t="str">
        <f>IF($AV$3=TRUE,IF(AM258="","",SUM($AM$6:AM258)),"")</f>
        <v/>
      </c>
      <c r="BI258" t="str">
        <f>IF($AW$3=TRUE,IF(AN258="","",SUM($AN$6:AN258)),"")</f>
        <v/>
      </c>
      <c r="BJ258" t="str">
        <f>IF($AX$3=TRUE,IF(AO258="","",SUM($AO$6:AO258)),"")</f>
        <v/>
      </c>
      <c r="BK258" t="str">
        <f>IF($AY$3=TRUE,IF(AP258="","",SUM($AP$6:AP258)),"")</f>
        <v/>
      </c>
      <c r="BL258" t="str">
        <f>IF($AZ$3=TRUE,IF(AQ258="","",SUM($AQ$6:AQ258)),"")</f>
        <v/>
      </c>
      <c r="BM258" t="str">
        <f>IF($BA$3=TRUE,IF(AR258="","",SUM($AR$6:AR258)),"")</f>
        <v/>
      </c>
      <c r="BN258" t="str">
        <f>IF($BB$3=TRUE,IF(AS258="","",SUM($AS$6:AS258)),"")</f>
        <v/>
      </c>
    </row>
    <row r="259" spans="34:66" x14ac:dyDescent="0.25">
      <c r="AH259" s="75"/>
      <c r="AK259" s="75"/>
      <c r="BF259" s="75" t="str">
        <f t="shared" si="13"/>
        <v/>
      </c>
      <c r="BG259" t="str">
        <f>IF($AU$3=TRUE,IF(AL259="","",SUM($AL$6:AL259)),"")</f>
        <v/>
      </c>
      <c r="BH259" t="str">
        <f>IF($AV$3=TRUE,IF(AM259="","",SUM($AM$6:AM259)),"")</f>
        <v/>
      </c>
      <c r="BI259" t="str">
        <f>IF($AW$3=TRUE,IF(AN259="","",SUM($AN$6:AN259)),"")</f>
        <v/>
      </c>
      <c r="BJ259" t="str">
        <f>IF($AX$3=TRUE,IF(AO259="","",SUM($AO$6:AO259)),"")</f>
        <v/>
      </c>
      <c r="BK259" t="str">
        <f>IF($AY$3=TRUE,IF(AP259="","",SUM($AP$6:AP259)),"")</f>
        <v/>
      </c>
      <c r="BL259" t="str">
        <f>IF($AZ$3=TRUE,IF(AQ259="","",SUM($AQ$6:AQ259)),"")</f>
        <v/>
      </c>
      <c r="BM259" t="str">
        <f>IF($BA$3=TRUE,IF(AR259="","",SUM($AR$6:AR259)),"")</f>
        <v/>
      </c>
      <c r="BN259" t="str">
        <f>IF($BB$3=TRUE,IF(AS259="","",SUM($AS$6:AS259)),"")</f>
        <v/>
      </c>
    </row>
    <row r="260" spans="34:66" x14ac:dyDescent="0.25">
      <c r="AH260" s="75"/>
      <c r="AK260" s="75"/>
      <c r="BF260" s="75" t="str">
        <f t="shared" si="13"/>
        <v/>
      </c>
      <c r="BG260" t="str">
        <f>IF($AU$3=TRUE,IF(AL260="","",SUM($AL$6:AL260)),"")</f>
        <v/>
      </c>
      <c r="BH260" t="str">
        <f>IF($AV$3=TRUE,IF(AM260="","",SUM($AM$6:AM260)),"")</f>
        <v/>
      </c>
      <c r="BI260" t="str">
        <f>IF($AW$3=TRUE,IF(AN260="","",SUM($AN$6:AN260)),"")</f>
        <v/>
      </c>
      <c r="BJ260" t="str">
        <f>IF($AX$3=TRUE,IF(AO260="","",SUM($AO$6:AO260)),"")</f>
        <v/>
      </c>
      <c r="BK260" t="str">
        <f>IF($AY$3=TRUE,IF(AP260="","",SUM($AP$6:AP260)),"")</f>
        <v/>
      </c>
      <c r="BL260" t="str">
        <f>IF($AZ$3=TRUE,IF(AQ260="","",SUM($AQ$6:AQ260)),"")</f>
        <v/>
      </c>
      <c r="BM260" t="str">
        <f>IF($BA$3=TRUE,IF(AR260="","",SUM($AR$6:AR260)),"")</f>
        <v/>
      </c>
      <c r="BN260" t="str">
        <f>IF($BB$3=TRUE,IF(AS260="","",SUM($AS$6:AS260)),"")</f>
        <v/>
      </c>
    </row>
    <row r="261" spans="34:66" x14ac:dyDescent="0.25">
      <c r="AH261" s="75"/>
      <c r="AK261" s="75"/>
      <c r="BF261" s="75" t="str">
        <f t="shared" si="13"/>
        <v/>
      </c>
      <c r="BG261" t="str">
        <f>IF($AU$3=TRUE,IF(AL261="","",SUM($AL$6:AL261)),"")</f>
        <v/>
      </c>
      <c r="BH261" t="str">
        <f>IF($AV$3=TRUE,IF(AM261="","",SUM($AM$6:AM261)),"")</f>
        <v/>
      </c>
      <c r="BI261" t="str">
        <f>IF($AW$3=TRUE,IF(AN261="","",SUM($AN$6:AN261)),"")</f>
        <v/>
      </c>
      <c r="BJ261" t="str">
        <f>IF($AX$3=TRUE,IF(AO261="","",SUM($AO$6:AO261)),"")</f>
        <v/>
      </c>
      <c r="BK261" t="str">
        <f>IF($AY$3=TRUE,IF(AP261="","",SUM($AP$6:AP261)),"")</f>
        <v/>
      </c>
      <c r="BL261" t="str">
        <f>IF($AZ$3=TRUE,IF(AQ261="","",SUM($AQ$6:AQ261)),"")</f>
        <v/>
      </c>
      <c r="BM261" t="str">
        <f>IF($BA$3=TRUE,IF(AR261="","",SUM($AR$6:AR261)),"")</f>
        <v/>
      </c>
      <c r="BN261" t="str">
        <f>IF($BB$3=TRUE,IF(AS261="","",SUM($AS$6:AS261)),"")</f>
        <v/>
      </c>
    </row>
    <row r="262" spans="34:66" x14ac:dyDescent="0.25">
      <c r="AH262" s="75"/>
      <c r="AK262" s="75"/>
      <c r="BF262" s="75" t="str">
        <f t="shared" si="13"/>
        <v/>
      </c>
      <c r="BG262" t="str">
        <f>IF($AU$3=TRUE,IF(AL262="","",SUM($AL$6:AL262)),"")</f>
        <v/>
      </c>
      <c r="BH262" t="str">
        <f>IF($AV$3=TRUE,IF(AM262="","",SUM($AM$6:AM262)),"")</f>
        <v/>
      </c>
      <c r="BI262" t="str">
        <f>IF($AW$3=TRUE,IF(AN262="","",SUM($AN$6:AN262)),"")</f>
        <v/>
      </c>
      <c r="BJ262" t="str">
        <f>IF($AX$3=TRUE,IF(AO262="","",SUM($AO$6:AO262)),"")</f>
        <v/>
      </c>
      <c r="BK262" t="str">
        <f>IF($AY$3=TRUE,IF(AP262="","",SUM($AP$6:AP262)),"")</f>
        <v/>
      </c>
      <c r="BL262" t="str">
        <f>IF($AZ$3=TRUE,IF(AQ262="","",SUM($AQ$6:AQ262)),"")</f>
        <v/>
      </c>
      <c r="BM262" t="str">
        <f>IF($BA$3=TRUE,IF(AR262="","",SUM($AR$6:AR262)),"")</f>
        <v/>
      </c>
      <c r="BN262" t="str">
        <f>IF($BB$3=TRUE,IF(AS262="","",SUM($AS$6:AS262)),"")</f>
        <v/>
      </c>
    </row>
    <row r="263" spans="34:66" x14ac:dyDescent="0.25">
      <c r="AH263" s="75"/>
      <c r="AK263" s="75"/>
      <c r="BF263" s="75" t="str">
        <f t="shared" ref="BF263:BF326" si="14">IF(AK263="","",AK263)</f>
        <v/>
      </c>
      <c r="BG263" t="str">
        <f>IF($AU$3=TRUE,IF(AL263="","",SUM($AL$6:AL263)),"")</f>
        <v/>
      </c>
      <c r="BH263" t="str">
        <f>IF($AV$3=TRUE,IF(AM263="","",SUM($AM$6:AM263)),"")</f>
        <v/>
      </c>
      <c r="BI263" t="str">
        <f>IF($AW$3=TRUE,IF(AN263="","",SUM($AN$6:AN263)),"")</f>
        <v/>
      </c>
      <c r="BJ263" t="str">
        <f>IF($AX$3=TRUE,IF(AO263="","",SUM($AO$6:AO263)),"")</f>
        <v/>
      </c>
      <c r="BK263" t="str">
        <f>IF($AY$3=TRUE,IF(AP263="","",SUM($AP$6:AP263)),"")</f>
        <v/>
      </c>
      <c r="BL263" t="str">
        <f>IF($AZ$3=TRUE,IF(AQ263="","",SUM($AQ$6:AQ263)),"")</f>
        <v/>
      </c>
      <c r="BM263" t="str">
        <f>IF($BA$3=TRUE,IF(AR263="","",SUM($AR$6:AR263)),"")</f>
        <v/>
      </c>
      <c r="BN263" t="str">
        <f>IF($BB$3=TRUE,IF(AS263="","",SUM($AS$6:AS263)),"")</f>
        <v/>
      </c>
    </row>
    <row r="264" spans="34:66" x14ac:dyDescent="0.25">
      <c r="AH264" s="75"/>
      <c r="AK264" s="75"/>
      <c r="BF264" s="75" t="str">
        <f t="shared" si="14"/>
        <v/>
      </c>
      <c r="BG264" t="str">
        <f>IF($AU$3=TRUE,IF(AL264="","",SUM($AL$6:AL264)),"")</f>
        <v/>
      </c>
      <c r="BH264" t="str">
        <f>IF($AV$3=TRUE,IF(AM264="","",SUM($AM$6:AM264)),"")</f>
        <v/>
      </c>
      <c r="BI264" t="str">
        <f>IF($AW$3=TRUE,IF(AN264="","",SUM($AN$6:AN264)),"")</f>
        <v/>
      </c>
      <c r="BJ264" t="str">
        <f>IF($AX$3=TRUE,IF(AO264="","",SUM($AO$6:AO264)),"")</f>
        <v/>
      </c>
      <c r="BK264" t="str">
        <f>IF($AY$3=TRUE,IF(AP264="","",SUM($AP$6:AP264)),"")</f>
        <v/>
      </c>
      <c r="BL264" t="str">
        <f>IF($AZ$3=TRUE,IF(AQ264="","",SUM($AQ$6:AQ264)),"")</f>
        <v/>
      </c>
      <c r="BM264" t="str">
        <f>IF($BA$3=TRUE,IF(AR264="","",SUM($AR$6:AR264)),"")</f>
        <v/>
      </c>
      <c r="BN264" t="str">
        <f>IF($BB$3=TRUE,IF(AS264="","",SUM($AS$6:AS264)),"")</f>
        <v/>
      </c>
    </row>
    <row r="265" spans="34:66" x14ac:dyDescent="0.25">
      <c r="AH265" s="75"/>
      <c r="AK265" s="75"/>
      <c r="BF265" s="75" t="str">
        <f t="shared" si="14"/>
        <v/>
      </c>
      <c r="BG265" t="str">
        <f>IF($AU$3=TRUE,IF(AL265="","",SUM($AL$6:AL265)),"")</f>
        <v/>
      </c>
      <c r="BH265" t="str">
        <f>IF($AV$3=TRUE,IF(AM265="","",SUM($AM$6:AM265)),"")</f>
        <v/>
      </c>
      <c r="BI265" t="str">
        <f>IF($AW$3=TRUE,IF(AN265="","",SUM($AN$6:AN265)),"")</f>
        <v/>
      </c>
      <c r="BJ265" t="str">
        <f>IF($AX$3=TRUE,IF(AO265="","",SUM($AO$6:AO265)),"")</f>
        <v/>
      </c>
      <c r="BK265" t="str">
        <f>IF($AY$3=TRUE,IF(AP265="","",SUM($AP$6:AP265)),"")</f>
        <v/>
      </c>
      <c r="BL265" t="str">
        <f>IF($AZ$3=TRUE,IF(AQ265="","",SUM($AQ$6:AQ265)),"")</f>
        <v/>
      </c>
      <c r="BM265" t="str">
        <f>IF($BA$3=TRUE,IF(AR265="","",SUM($AR$6:AR265)),"")</f>
        <v/>
      </c>
      <c r="BN265" t="str">
        <f>IF($BB$3=TRUE,IF(AS265="","",SUM($AS$6:AS265)),"")</f>
        <v/>
      </c>
    </row>
    <row r="266" spans="34:66" x14ac:dyDescent="0.25">
      <c r="AH266" s="75"/>
      <c r="AK266" s="75"/>
      <c r="BF266" s="75" t="str">
        <f t="shared" si="14"/>
        <v/>
      </c>
      <c r="BG266" t="str">
        <f>IF($AU$3=TRUE,IF(AL266="","",SUM($AL$6:AL266)),"")</f>
        <v/>
      </c>
      <c r="BH266" t="str">
        <f>IF($AV$3=TRUE,IF(AM266="","",SUM($AM$6:AM266)),"")</f>
        <v/>
      </c>
      <c r="BI266" t="str">
        <f>IF($AW$3=TRUE,IF(AN266="","",SUM($AN$6:AN266)),"")</f>
        <v/>
      </c>
      <c r="BJ266" t="str">
        <f>IF($AX$3=TRUE,IF(AO266="","",SUM($AO$6:AO266)),"")</f>
        <v/>
      </c>
      <c r="BK266" t="str">
        <f>IF($AY$3=TRUE,IF(AP266="","",SUM($AP$6:AP266)),"")</f>
        <v/>
      </c>
      <c r="BL266" t="str">
        <f>IF($AZ$3=TRUE,IF(AQ266="","",SUM($AQ$6:AQ266)),"")</f>
        <v/>
      </c>
      <c r="BM266" t="str">
        <f>IF($BA$3=TRUE,IF(AR266="","",SUM($AR$6:AR266)),"")</f>
        <v/>
      </c>
      <c r="BN266" t="str">
        <f>IF($BB$3=TRUE,IF(AS266="","",SUM($AS$6:AS266)),"")</f>
        <v/>
      </c>
    </row>
    <row r="267" spans="34:66" x14ac:dyDescent="0.25">
      <c r="AH267" s="75"/>
      <c r="AK267" s="75"/>
      <c r="BF267" s="75" t="str">
        <f t="shared" si="14"/>
        <v/>
      </c>
      <c r="BG267" t="str">
        <f>IF($AU$3=TRUE,IF(AL267="","",SUM($AL$6:AL267)),"")</f>
        <v/>
      </c>
      <c r="BH267" t="str">
        <f>IF($AV$3=TRUE,IF(AM267="","",SUM($AM$6:AM267)),"")</f>
        <v/>
      </c>
      <c r="BI267" t="str">
        <f>IF($AW$3=TRUE,IF(AN267="","",SUM($AN$6:AN267)),"")</f>
        <v/>
      </c>
      <c r="BJ267" t="str">
        <f>IF($AX$3=TRUE,IF(AO267="","",SUM($AO$6:AO267)),"")</f>
        <v/>
      </c>
      <c r="BK267" t="str">
        <f>IF($AY$3=TRUE,IF(AP267="","",SUM($AP$6:AP267)),"")</f>
        <v/>
      </c>
      <c r="BL267" t="str">
        <f>IF($AZ$3=TRUE,IF(AQ267="","",SUM($AQ$6:AQ267)),"")</f>
        <v/>
      </c>
      <c r="BM267" t="str">
        <f>IF($BA$3=TRUE,IF(AR267="","",SUM($AR$6:AR267)),"")</f>
        <v/>
      </c>
      <c r="BN267" t="str">
        <f>IF($BB$3=TRUE,IF(AS267="","",SUM($AS$6:AS267)),"")</f>
        <v/>
      </c>
    </row>
    <row r="268" spans="34:66" x14ac:dyDescent="0.25">
      <c r="AH268" s="75"/>
      <c r="AK268" s="75"/>
      <c r="BF268" s="75" t="str">
        <f t="shared" si="14"/>
        <v/>
      </c>
      <c r="BG268" t="str">
        <f>IF($AU$3=TRUE,IF(AL268="","",SUM($AL$6:AL268)),"")</f>
        <v/>
      </c>
      <c r="BH268" t="str">
        <f>IF($AV$3=TRUE,IF(AM268="","",SUM($AM$6:AM268)),"")</f>
        <v/>
      </c>
      <c r="BI268" t="str">
        <f>IF($AW$3=TRUE,IF(AN268="","",SUM($AN$6:AN268)),"")</f>
        <v/>
      </c>
      <c r="BJ268" t="str">
        <f>IF($AX$3=TRUE,IF(AO268="","",SUM($AO$6:AO268)),"")</f>
        <v/>
      </c>
      <c r="BK268" t="str">
        <f>IF($AY$3=TRUE,IF(AP268="","",SUM($AP$6:AP268)),"")</f>
        <v/>
      </c>
      <c r="BL268" t="str">
        <f>IF($AZ$3=TRUE,IF(AQ268="","",SUM($AQ$6:AQ268)),"")</f>
        <v/>
      </c>
      <c r="BM268" t="str">
        <f>IF($BA$3=TRUE,IF(AR268="","",SUM($AR$6:AR268)),"")</f>
        <v/>
      </c>
      <c r="BN268" t="str">
        <f>IF($BB$3=TRUE,IF(AS268="","",SUM($AS$6:AS268)),"")</f>
        <v/>
      </c>
    </row>
    <row r="269" spans="34:66" x14ac:dyDescent="0.25">
      <c r="AH269" s="75"/>
      <c r="AK269" s="75"/>
      <c r="BF269" s="75" t="str">
        <f t="shared" si="14"/>
        <v/>
      </c>
      <c r="BG269" t="str">
        <f>IF($AU$3=TRUE,IF(AL269="","",SUM($AL$6:AL269)),"")</f>
        <v/>
      </c>
      <c r="BH269" t="str">
        <f>IF($AV$3=TRUE,IF(AM269="","",SUM($AM$6:AM269)),"")</f>
        <v/>
      </c>
      <c r="BI269" t="str">
        <f>IF($AW$3=TRUE,IF(AN269="","",SUM($AN$6:AN269)),"")</f>
        <v/>
      </c>
      <c r="BJ269" t="str">
        <f>IF($AX$3=TRUE,IF(AO269="","",SUM($AO$6:AO269)),"")</f>
        <v/>
      </c>
      <c r="BK269" t="str">
        <f>IF($AY$3=TRUE,IF(AP269="","",SUM($AP$6:AP269)),"")</f>
        <v/>
      </c>
      <c r="BL269" t="str">
        <f>IF($AZ$3=TRUE,IF(AQ269="","",SUM($AQ$6:AQ269)),"")</f>
        <v/>
      </c>
      <c r="BM269" t="str">
        <f>IF($BA$3=TRUE,IF(AR269="","",SUM($AR$6:AR269)),"")</f>
        <v/>
      </c>
      <c r="BN269" t="str">
        <f>IF($BB$3=TRUE,IF(AS269="","",SUM($AS$6:AS269)),"")</f>
        <v/>
      </c>
    </row>
    <row r="270" spans="34:66" x14ac:dyDescent="0.25">
      <c r="AH270" s="75"/>
      <c r="AK270" s="75"/>
      <c r="BF270" s="75" t="str">
        <f t="shared" si="14"/>
        <v/>
      </c>
      <c r="BG270" t="str">
        <f>IF($AU$3=TRUE,IF(AL270="","",SUM($AL$6:AL270)),"")</f>
        <v/>
      </c>
      <c r="BH270" t="str">
        <f>IF($AV$3=TRUE,IF(AM270="","",SUM($AM$6:AM270)),"")</f>
        <v/>
      </c>
      <c r="BI270" t="str">
        <f>IF($AW$3=TRUE,IF(AN270="","",SUM($AN$6:AN270)),"")</f>
        <v/>
      </c>
      <c r="BJ270" t="str">
        <f>IF($AX$3=TRUE,IF(AO270="","",SUM($AO$6:AO270)),"")</f>
        <v/>
      </c>
      <c r="BK270" t="str">
        <f>IF($AY$3=TRUE,IF(AP270="","",SUM($AP$6:AP270)),"")</f>
        <v/>
      </c>
      <c r="BL270" t="str">
        <f>IF($AZ$3=TRUE,IF(AQ270="","",SUM($AQ$6:AQ270)),"")</f>
        <v/>
      </c>
      <c r="BM270" t="str">
        <f>IF($BA$3=TRUE,IF(AR270="","",SUM($AR$6:AR270)),"")</f>
        <v/>
      </c>
      <c r="BN270" t="str">
        <f>IF($BB$3=TRUE,IF(AS270="","",SUM($AS$6:AS270)),"")</f>
        <v/>
      </c>
    </row>
    <row r="271" spans="34:66" x14ac:dyDescent="0.25">
      <c r="AH271" s="75"/>
      <c r="AK271" s="75"/>
      <c r="BF271" s="75" t="str">
        <f t="shared" si="14"/>
        <v/>
      </c>
      <c r="BG271" t="str">
        <f>IF($AU$3=TRUE,IF(AL271="","",SUM($AL$6:AL271)),"")</f>
        <v/>
      </c>
      <c r="BH271" t="str">
        <f>IF($AV$3=TRUE,IF(AM271="","",SUM($AM$6:AM271)),"")</f>
        <v/>
      </c>
      <c r="BI271" t="str">
        <f>IF($AW$3=TRUE,IF(AN271="","",SUM($AN$6:AN271)),"")</f>
        <v/>
      </c>
      <c r="BJ271" t="str">
        <f>IF($AX$3=TRUE,IF(AO271="","",SUM($AO$6:AO271)),"")</f>
        <v/>
      </c>
      <c r="BK271" t="str">
        <f>IF($AY$3=TRUE,IF(AP271="","",SUM($AP$6:AP271)),"")</f>
        <v/>
      </c>
      <c r="BL271" t="str">
        <f>IF($AZ$3=TRUE,IF(AQ271="","",SUM($AQ$6:AQ271)),"")</f>
        <v/>
      </c>
      <c r="BM271" t="str">
        <f>IF($BA$3=TRUE,IF(AR271="","",SUM($AR$6:AR271)),"")</f>
        <v/>
      </c>
      <c r="BN271" t="str">
        <f>IF($BB$3=TRUE,IF(AS271="","",SUM($AS$6:AS271)),"")</f>
        <v/>
      </c>
    </row>
    <row r="272" spans="34:66" x14ac:dyDescent="0.25">
      <c r="AH272" s="75"/>
      <c r="AK272" s="75"/>
      <c r="BF272" s="75" t="str">
        <f t="shared" si="14"/>
        <v/>
      </c>
      <c r="BG272" t="str">
        <f>IF($AU$3=TRUE,IF(AL272="","",SUM($AL$6:AL272)),"")</f>
        <v/>
      </c>
      <c r="BH272" t="str">
        <f>IF($AV$3=TRUE,IF(AM272="","",SUM($AM$6:AM272)),"")</f>
        <v/>
      </c>
      <c r="BI272" t="str">
        <f>IF($AW$3=TRUE,IF(AN272="","",SUM($AN$6:AN272)),"")</f>
        <v/>
      </c>
      <c r="BJ272" t="str">
        <f>IF($AX$3=TRUE,IF(AO272="","",SUM($AO$6:AO272)),"")</f>
        <v/>
      </c>
      <c r="BK272" t="str">
        <f>IF($AY$3=TRUE,IF(AP272="","",SUM($AP$6:AP272)),"")</f>
        <v/>
      </c>
      <c r="BL272" t="str">
        <f>IF($AZ$3=TRUE,IF(AQ272="","",SUM($AQ$6:AQ272)),"")</f>
        <v/>
      </c>
      <c r="BM272" t="str">
        <f>IF($BA$3=TRUE,IF(AR272="","",SUM($AR$6:AR272)),"")</f>
        <v/>
      </c>
      <c r="BN272" t="str">
        <f>IF($BB$3=TRUE,IF(AS272="","",SUM($AS$6:AS272)),"")</f>
        <v/>
      </c>
    </row>
    <row r="273" spans="34:66" x14ac:dyDescent="0.25">
      <c r="AH273" s="75"/>
      <c r="AK273" s="75"/>
      <c r="BF273" s="75" t="str">
        <f t="shared" si="14"/>
        <v/>
      </c>
      <c r="BG273" t="str">
        <f>IF($AU$3=TRUE,IF(AL273="","",SUM($AL$6:AL273)),"")</f>
        <v/>
      </c>
      <c r="BH273" t="str">
        <f>IF($AV$3=TRUE,IF(AM273="","",SUM($AM$6:AM273)),"")</f>
        <v/>
      </c>
      <c r="BI273" t="str">
        <f>IF($AW$3=TRUE,IF(AN273="","",SUM($AN$6:AN273)),"")</f>
        <v/>
      </c>
      <c r="BJ273" t="str">
        <f>IF($AX$3=TRUE,IF(AO273="","",SUM($AO$6:AO273)),"")</f>
        <v/>
      </c>
      <c r="BK273" t="str">
        <f>IF($AY$3=TRUE,IF(AP273="","",SUM($AP$6:AP273)),"")</f>
        <v/>
      </c>
      <c r="BL273" t="str">
        <f>IF($AZ$3=TRUE,IF(AQ273="","",SUM($AQ$6:AQ273)),"")</f>
        <v/>
      </c>
      <c r="BM273" t="str">
        <f>IF($BA$3=TRUE,IF(AR273="","",SUM($AR$6:AR273)),"")</f>
        <v/>
      </c>
      <c r="BN273" t="str">
        <f>IF($BB$3=TRUE,IF(AS273="","",SUM($AS$6:AS273)),"")</f>
        <v/>
      </c>
    </row>
    <row r="274" spans="34:66" x14ac:dyDescent="0.25">
      <c r="AH274" s="75"/>
      <c r="AK274" s="75"/>
      <c r="BF274" s="75" t="str">
        <f t="shared" si="14"/>
        <v/>
      </c>
      <c r="BG274" t="str">
        <f>IF($AU$3=TRUE,IF(AL274="","",SUM($AL$6:AL274)),"")</f>
        <v/>
      </c>
      <c r="BH274" t="str">
        <f>IF($AV$3=TRUE,IF(AM274="","",SUM($AM$6:AM274)),"")</f>
        <v/>
      </c>
      <c r="BI274" t="str">
        <f>IF($AW$3=TRUE,IF(AN274="","",SUM($AN$6:AN274)),"")</f>
        <v/>
      </c>
      <c r="BJ274" t="str">
        <f>IF($AX$3=TRUE,IF(AO274="","",SUM($AO$6:AO274)),"")</f>
        <v/>
      </c>
      <c r="BK274" t="str">
        <f>IF($AY$3=TRUE,IF(AP274="","",SUM($AP$6:AP274)),"")</f>
        <v/>
      </c>
      <c r="BL274" t="str">
        <f>IF($AZ$3=TRUE,IF(AQ274="","",SUM($AQ$6:AQ274)),"")</f>
        <v/>
      </c>
      <c r="BM274" t="str">
        <f>IF($BA$3=TRUE,IF(AR274="","",SUM($AR$6:AR274)),"")</f>
        <v/>
      </c>
      <c r="BN274" t="str">
        <f>IF($BB$3=TRUE,IF(AS274="","",SUM($AS$6:AS274)),"")</f>
        <v/>
      </c>
    </row>
    <row r="275" spans="34:66" x14ac:dyDescent="0.25">
      <c r="AH275" s="75"/>
      <c r="AK275" s="75"/>
      <c r="BF275" s="75" t="str">
        <f t="shared" si="14"/>
        <v/>
      </c>
      <c r="BG275" t="str">
        <f>IF($AU$3=TRUE,IF(AL275="","",SUM($AL$6:AL275)),"")</f>
        <v/>
      </c>
      <c r="BH275" t="str">
        <f>IF($AV$3=TRUE,IF(AM275="","",SUM($AM$6:AM275)),"")</f>
        <v/>
      </c>
      <c r="BI275" t="str">
        <f>IF($AW$3=TRUE,IF(AN275="","",SUM($AN$6:AN275)),"")</f>
        <v/>
      </c>
      <c r="BJ275" t="str">
        <f>IF($AX$3=TRUE,IF(AO275="","",SUM($AO$6:AO275)),"")</f>
        <v/>
      </c>
      <c r="BK275" t="str">
        <f>IF($AY$3=TRUE,IF(AP275="","",SUM($AP$6:AP275)),"")</f>
        <v/>
      </c>
      <c r="BL275" t="str">
        <f>IF($AZ$3=TRUE,IF(AQ275="","",SUM($AQ$6:AQ275)),"")</f>
        <v/>
      </c>
      <c r="BM275" t="str">
        <f>IF($BA$3=TRUE,IF(AR275="","",SUM($AR$6:AR275)),"")</f>
        <v/>
      </c>
      <c r="BN275" t="str">
        <f>IF($BB$3=TRUE,IF(AS275="","",SUM($AS$6:AS275)),"")</f>
        <v/>
      </c>
    </row>
    <row r="276" spans="34:66" x14ac:dyDescent="0.25">
      <c r="AH276" s="75"/>
      <c r="AK276" s="75"/>
      <c r="BF276" s="75" t="str">
        <f t="shared" si="14"/>
        <v/>
      </c>
      <c r="BG276" t="str">
        <f>IF($AU$3=TRUE,IF(AL276="","",SUM($AL$6:AL276)),"")</f>
        <v/>
      </c>
      <c r="BH276" t="str">
        <f>IF($AV$3=TRUE,IF(AM276="","",SUM($AM$6:AM276)),"")</f>
        <v/>
      </c>
      <c r="BI276" t="str">
        <f>IF($AW$3=TRUE,IF(AN276="","",SUM($AN$6:AN276)),"")</f>
        <v/>
      </c>
      <c r="BJ276" t="str">
        <f>IF($AX$3=TRUE,IF(AO276="","",SUM($AO$6:AO276)),"")</f>
        <v/>
      </c>
      <c r="BK276" t="str">
        <f>IF($AY$3=TRUE,IF(AP276="","",SUM($AP$6:AP276)),"")</f>
        <v/>
      </c>
      <c r="BL276" t="str">
        <f>IF($AZ$3=TRUE,IF(AQ276="","",SUM($AQ$6:AQ276)),"")</f>
        <v/>
      </c>
      <c r="BM276" t="str">
        <f>IF($BA$3=TRUE,IF(AR276="","",SUM($AR$6:AR276)),"")</f>
        <v/>
      </c>
      <c r="BN276" t="str">
        <f>IF($BB$3=TRUE,IF(AS276="","",SUM($AS$6:AS276)),"")</f>
        <v/>
      </c>
    </row>
    <row r="277" spans="34:66" x14ac:dyDescent="0.25">
      <c r="AH277" s="75"/>
      <c r="AK277" s="75"/>
      <c r="BF277" s="75" t="str">
        <f t="shared" si="14"/>
        <v/>
      </c>
      <c r="BG277" t="str">
        <f>IF($AU$3=TRUE,IF(AL277="","",SUM($AL$6:AL277)),"")</f>
        <v/>
      </c>
      <c r="BH277" t="str">
        <f>IF($AV$3=TRUE,IF(AM277="","",SUM($AM$6:AM277)),"")</f>
        <v/>
      </c>
      <c r="BI277" t="str">
        <f>IF($AW$3=TRUE,IF(AN277="","",SUM($AN$6:AN277)),"")</f>
        <v/>
      </c>
      <c r="BJ277" t="str">
        <f>IF($AX$3=TRUE,IF(AO277="","",SUM($AO$6:AO277)),"")</f>
        <v/>
      </c>
      <c r="BK277" t="str">
        <f>IF($AY$3=TRUE,IF(AP277="","",SUM($AP$6:AP277)),"")</f>
        <v/>
      </c>
      <c r="BL277" t="str">
        <f>IF($AZ$3=TRUE,IF(AQ277="","",SUM($AQ$6:AQ277)),"")</f>
        <v/>
      </c>
      <c r="BM277" t="str">
        <f>IF($BA$3=TRUE,IF(AR277="","",SUM($AR$6:AR277)),"")</f>
        <v/>
      </c>
      <c r="BN277" t="str">
        <f>IF($BB$3=TRUE,IF(AS277="","",SUM($AS$6:AS277)),"")</f>
        <v/>
      </c>
    </row>
    <row r="278" spans="34:66" x14ac:dyDescent="0.25">
      <c r="AH278" s="75"/>
      <c r="AK278" s="75"/>
      <c r="BF278" s="75" t="str">
        <f t="shared" si="14"/>
        <v/>
      </c>
      <c r="BG278" t="str">
        <f>IF($AU$3=TRUE,IF(AL278="","",SUM($AL$6:AL278)),"")</f>
        <v/>
      </c>
      <c r="BH278" t="str">
        <f>IF($AV$3=TRUE,IF(AM278="","",SUM($AM$6:AM278)),"")</f>
        <v/>
      </c>
      <c r="BI278" t="str">
        <f>IF($AW$3=TRUE,IF(AN278="","",SUM($AN$6:AN278)),"")</f>
        <v/>
      </c>
      <c r="BJ278" t="str">
        <f>IF($AX$3=TRUE,IF(AO278="","",SUM($AO$6:AO278)),"")</f>
        <v/>
      </c>
      <c r="BK278" t="str">
        <f>IF($AY$3=TRUE,IF(AP278="","",SUM($AP$6:AP278)),"")</f>
        <v/>
      </c>
      <c r="BL278" t="str">
        <f>IF($AZ$3=TRUE,IF(AQ278="","",SUM($AQ$6:AQ278)),"")</f>
        <v/>
      </c>
      <c r="BM278" t="str">
        <f>IF($BA$3=TRUE,IF(AR278="","",SUM($AR$6:AR278)),"")</f>
        <v/>
      </c>
      <c r="BN278" t="str">
        <f>IF($BB$3=TRUE,IF(AS278="","",SUM($AS$6:AS278)),"")</f>
        <v/>
      </c>
    </row>
    <row r="279" spans="34:66" x14ac:dyDescent="0.25">
      <c r="AH279" s="75"/>
      <c r="AK279" s="75"/>
      <c r="BF279" s="75" t="str">
        <f t="shared" si="14"/>
        <v/>
      </c>
      <c r="BG279" t="str">
        <f>IF($AU$3=TRUE,IF(AL279="","",SUM($AL$6:AL279)),"")</f>
        <v/>
      </c>
      <c r="BH279" t="str">
        <f>IF($AV$3=TRUE,IF(AM279="","",SUM($AM$6:AM279)),"")</f>
        <v/>
      </c>
      <c r="BI279" t="str">
        <f>IF($AW$3=TRUE,IF(AN279="","",SUM($AN$6:AN279)),"")</f>
        <v/>
      </c>
      <c r="BJ279" t="str">
        <f>IF($AX$3=TRUE,IF(AO279="","",SUM($AO$6:AO279)),"")</f>
        <v/>
      </c>
      <c r="BK279" t="str">
        <f>IF($AY$3=TRUE,IF(AP279="","",SUM($AP$6:AP279)),"")</f>
        <v/>
      </c>
      <c r="BL279" t="str">
        <f>IF($AZ$3=TRUE,IF(AQ279="","",SUM($AQ$6:AQ279)),"")</f>
        <v/>
      </c>
      <c r="BM279" t="str">
        <f>IF($BA$3=TRUE,IF(AR279="","",SUM($AR$6:AR279)),"")</f>
        <v/>
      </c>
      <c r="BN279" t="str">
        <f>IF($BB$3=TRUE,IF(AS279="","",SUM($AS$6:AS279)),"")</f>
        <v/>
      </c>
    </row>
    <row r="280" spans="34:66" x14ac:dyDescent="0.25">
      <c r="AH280" s="75"/>
      <c r="AK280" s="75"/>
      <c r="BF280" s="75" t="str">
        <f t="shared" si="14"/>
        <v/>
      </c>
      <c r="BG280" t="str">
        <f>IF($AU$3=TRUE,IF(AL280="","",SUM($AL$6:AL280)),"")</f>
        <v/>
      </c>
      <c r="BH280" t="str">
        <f>IF($AV$3=TRUE,IF(AM280="","",SUM($AM$6:AM280)),"")</f>
        <v/>
      </c>
      <c r="BI280" t="str">
        <f>IF($AW$3=TRUE,IF(AN280="","",SUM($AN$6:AN280)),"")</f>
        <v/>
      </c>
      <c r="BJ280" t="str">
        <f>IF($AX$3=TRUE,IF(AO280="","",SUM($AO$6:AO280)),"")</f>
        <v/>
      </c>
      <c r="BK280" t="str">
        <f>IF($AY$3=TRUE,IF(AP280="","",SUM($AP$6:AP280)),"")</f>
        <v/>
      </c>
      <c r="BL280" t="str">
        <f>IF($AZ$3=TRUE,IF(AQ280="","",SUM($AQ$6:AQ280)),"")</f>
        <v/>
      </c>
      <c r="BM280" t="str">
        <f>IF($BA$3=TRUE,IF(AR280="","",SUM($AR$6:AR280)),"")</f>
        <v/>
      </c>
      <c r="BN280" t="str">
        <f>IF($BB$3=TRUE,IF(AS280="","",SUM($AS$6:AS280)),"")</f>
        <v/>
      </c>
    </row>
    <row r="281" spans="34:66" x14ac:dyDescent="0.25">
      <c r="AH281" s="75"/>
      <c r="AK281" s="75"/>
      <c r="BF281" s="75" t="str">
        <f t="shared" si="14"/>
        <v/>
      </c>
      <c r="BG281" t="str">
        <f>IF($AU$3=TRUE,IF(AL281="","",SUM($AL$6:AL281)),"")</f>
        <v/>
      </c>
      <c r="BH281" t="str">
        <f>IF($AV$3=TRUE,IF(AM281="","",SUM($AM$6:AM281)),"")</f>
        <v/>
      </c>
      <c r="BI281" t="str">
        <f>IF($AW$3=TRUE,IF(AN281="","",SUM($AN$6:AN281)),"")</f>
        <v/>
      </c>
      <c r="BJ281" t="str">
        <f>IF($AX$3=TRUE,IF(AO281="","",SUM($AO$6:AO281)),"")</f>
        <v/>
      </c>
      <c r="BK281" t="str">
        <f>IF($AY$3=TRUE,IF(AP281="","",SUM($AP$6:AP281)),"")</f>
        <v/>
      </c>
      <c r="BL281" t="str">
        <f>IF($AZ$3=TRUE,IF(AQ281="","",SUM($AQ$6:AQ281)),"")</f>
        <v/>
      </c>
      <c r="BM281" t="str">
        <f>IF($BA$3=TRUE,IF(AR281="","",SUM($AR$6:AR281)),"")</f>
        <v/>
      </c>
      <c r="BN281" t="str">
        <f>IF($BB$3=TRUE,IF(AS281="","",SUM($AS$6:AS281)),"")</f>
        <v/>
      </c>
    </row>
    <row r="282" spans="34:66" x14ac:dyDescent="0.25">
      <c r="AH282" s="75"/>
      <c r="AK282" s="75"/>
      <c r="BF282" s="75" t="str">
        <f t="shared" si="14"/>
        <v/>
      </c>
      <c r="BG282" t="str">
        <f>IF($AU$3=TRUE,IF(AL282="","",SUM($AL$6:AL282)),"")</f>
        <v/>
      </c>
      <c r="BH282" t="str">
        <f>IF($AV$3=TRUE,IF(AM282="","",SUM($AM$6:AM282)),"")</f>
        <v/>
      </c>
      <c r="BI282" t="str">
        <f>IF($AW$3=TRUE,IF(AN282="","",SUM($AN$6:AN282)),"")</f>
        <v/>
      </c>
      <c r="BJ282" t="str">
        <f>IF($AX$3=TRUE,IF(AO282="","",SUM($AO$6:AO282)),"")</f>
        <v/>
      </c>
      <c r="BK282" t="str">
        <f>IF($AY$3=TRUE,IF(AP282="","",SUM($AP$6:AP282)),"")</f>
        <v/>
      </c>
      <c r="BL282" t="str">
        <f>IF($AZ$3=TRUE,IF(AQ282="","",SUM($AQ$6:AQ282)),"")</f>
        <v/>
      </c>
      <c r="BM282" t="str">
        <f>IF($BA$3=TRUE,IF(AR282="","",SUM($AR$6:AR282)),"")</f>
        <v/>
      </c>
      <c r="BN282" t="str">
        <f>IF($BB$3=TRUE,IF(AS282="","",SUM($AS$6:AS282)),"")</f>
        <v/>
      </c>
    </row>
    <row r="283" spans="34:66" x14ac:dyDescent="0.25">
      <c r="AH283" s="75"/>
      <c r="AK283" s="75"/>
      <c r="BF283" s="75" t="str">
        <f t="shared" si="14"/>
        <v/>
      </c>
      <c r="BG283" t="str">
        <f>IF($AU$3=TRUE,IF(AL283="","",SUM($AL$6:AL283)),"")</f>
        <v/>
      </c>
      <c r="BH283" t="str">
        <f>IF($AV$3=TRUE,IF(AM283="","",SUM($AM$6:AM283)),"")</f>
        <v/>
      </c>
      <c r="BI283" t="str">
        <f>IF($AW$3=TRUE,IF(AN283="","",SUM($AN$6:AN283)),"")</f>
        <v/>
      </c>
      <c r="BJ283" t="str">
        <f>IF($AX$3=TRUE,IF(AO283="","",SUM($AO$6:AO283)),"")</f>
        <v/>
      </c>
      <c r="BK283" t="str">
        <f>IF($AY$3=TRUE,IF(AP283="","",SUM($AP$6:AP283)),"")</f>
        <v/>
      </c>
      <c r="BL283" t="str">
        <f>IF($AZ$3=TRUE,IF(AQ283="","",SUM($AQ$6:AQ283)),"")</f>
        <v/>
      </c>
      <c r="BM283" t="str">
        <f>IF($BA$3=TRUE,IF(AR283="","",SUM($AR$6:AR283)),"")</f>
        <v/>
      </c>
      <c r="BN283" t="str">
        <f>IF($BB$3=TRUE,IF(AS283="","",SUM($AS$6:AS283)),"")</f>
        <v/>
      </c>
    </row>
    <row r="284" spans="34:66" x14ac:dyDescent="0.25">
      <c r="AH284" s="75"/>
      <c r="AK284" s="75"/>
      <c r="BF284" s="75" t="str">
        <f t="shared" si="14"/>
        <v/>
      </c>
      <c r="BG284" t="str">
        <f>IF($AU$3=TRUE,IF(AL284="","",SUM($AL$6:AL284)),"")</f>
        <v/>
      </c>
      <c r="BH284" t="str">
        <f>IF($AV$3=TRUE,IF(AM284="","",SUM($AM$6:AM284)),"")</f>
        <v/>
      </c>
      <c r="BI284" t="str">
        <f>IF($AW$3=TRUE,IF(AN284="","",SUM($AN$6:AN284)),"")</f>
        <v/>
      </c>
      <c r="BJ284" t="str">
        <f>IF($AX$3=TRUE,IF(AO284="","",SUM($AO$6:AO284)),"")</f>
        <v/>
      </c>
      <c r="BK284" t="str">
        <f>IF($AY$3=TRUE,IF(AP284="","",SUM($AP$6:AP284)),"")</f>
        <v/>
      </c>
      <c r="BL284" t="str">
        <f>IF($AZ$3=TRUE,IF(AQ284="","",SUM($AQ$6:AQ284)),"")</f>
        <v/>
      </c>
      <c r="BM284" t="str">
        <f>IF($BA$3=TRUE,IF(AR284="","",SUM($AR$6:AR284)),"")</f>
        <v/>
      </c>
      <c r="BN284" t="str">
        <f>IF($BB$3=TRUE,IF(AS284="","",SUM($AS$6:AS284)),"")</f>
        <v/>
      </c>
    </row>
    <row r="285" spans="34:66" x14ac:dyDescent="0.25">
      <c r="AH285" s="75"/>
      <c r="AK285" s="75"/>
      <c r="BF285" s="75" t="str">
        <f t="shared" si="14"/>
        <v/>
      </c>
      <c r="BG285" t="str">
        <f>IF($AU$3=TRUE,IF(AL285="","",SUM($AL$6:AL285)),"")</f>
        <v/>
      </c>
      <c r="BH285" t="str">
        <f>IF($AV$3=TRUE,IF(AM285="","",SUM($AM$6:AM285)),"")</f>
        <v/>
      </c>
      <c r="BI285" t="str">
        <f>IF($AW$3=TRUE,IF(AN285="","",SUM($AN$6:AN285)),"")</f>
        <v/>
      </c>
      <c r="BJ285" t="str">
        <f>IF($AX$3=TRUE,IF(AO285="","",SUM($AO$6:AO285)),"")</f>
        <v/>
      </c>
      <c r="BK285" t="str">
        <f>IF($AY$3=TRUE,IF(AP285="","",SUM($AP$6:AP285)),"")</f>
        <v/>
      </c>
      <c r="BL285" t="str">
        <f>IF($AZ$3=TRUE,IF(AQ285="","",SUM($AQ$6:AQ285)),"")</f>
        <v/>
      </c>
      <c r="BM285" t="str">
        <f>IF($BA$3=TRUE,IF(AR285="","",SUM($AR$6:AR285)),"")</f>
        <v/>
      </c>
      <c r="BN285" t="str">
        <f>IF($BB$3=TRUE,IF(AS285="","",SUM($AS$6:AS285)),"")</f>
        <v/>
      </c>
    </row>
    <row r="286" spans="34:66" x14ac:dyDescent="0.25">
      <c r="AH286" s="75"/>
      <c r="AK286" s="75"/>
      <c r="BF286" s="75" t="str">
        <f t="shared" si="14"/>
        <v/>
      </c>
      <c r="BG286" t="str">
        <f>IF($AU$3=TRUE,IF(AL286="","",SUM($AL$6:AL286)),"")</f>
        <v/>
      </c>
      <c r="BH286" t="str">
        <f>IF($AV$3=TRUE,IF(AM286="","",SUM($AM$6:AM286)),"")</f>
        <v/>
      </c>
      <c r="BI286" t="str">
        <f>IF($AW$3=TRUE,IF(AN286="","",SUM($AN$6:AN286)),"")</f>
        <v/>
      </c>
      <c r="BJ286" t="str">
        <f>IF($AX$3=TRUE,IF(AO286="","",SUM($AO$6:AO286)),"")</f>
        <v/>
      </c>
      <c r="BK286" t="str">
        <f>IF($AY$3=TRUE,IF(AP286="","",SUM($AP$6:AP286)),"")</f>
        <v/>
      </c>
      <c r="BL286" t="str">
        <f>IF($AZ$3=TRUE,IF(AQ286="","",SUM($AQ$6:AQ286)),"")</f>
        <v/>
      </c>
      <c r="BM286" t="str">
        <f>IF($BA$3=TRUE,IF(AR286="","",SUM($AR$6:AR286)),"")</f>
        <v/>
      </c>
      <c r="BN286" t="str">
        <f>IF($BB$3=TRUE,IF(AS286="","",SUM($AS$6:AS286)),"")</f>
        <v/>
      </c>
    </row>
    <row r="287" spans="34:66" x14ac:dyDescent="0.25">
      <c r="AH287" s="75"/>
      <c r="AK287" s="75"/>
      <c r="BF287" s="75" t="str">
        <f t="shared" si="14"/>
        <v/>
      </c>
      <c r="BG287" t="str">
        <f>IF($AU$3=TRUE,IF(AL287="","",SUM($AL$6:AL287)),"")</f>
        <v/>
      </c>
      <c r="BH287" t="str">
        <f>IF($AV$3=TRUE,IF(AM287="","",SUM($AM$6:AM287)),"")</f>
        <v/>
      </c>
      <c r="BI287" t="str">
        <f>IF($AW$3=TRUE,IF(AN287="","",SUM($AN$6:AN287)),"")</f>
        <v/>
      </c>
      <c r="BJ287" t="str">
        <f>IF($AX$3=TRUE,IF(AO287="","",SUM($AO$6:AO287)),"")</f>
        <v/>
      </c>
      <c r="BK287" t="str">
        <f>IF($AY$3=TRUE,IF(AP287="","",SUM($AP$6:AP287)),"")</f>
        <v/>
      </c>
      <c r="BL287" t="str">
        <f>IF($AZ$3=TRUE,IF(AQ287="","",SUM($AQ$6:AQ287)),"")</f>
        <v/>
      </c>
      <c r="BM287" t="str">
        <f>IF($BA$3=TRUE,IF(AR287="","",SUM($AR$6:AR287)),"")</f>
        <v/>
      </c>
      <c r="BN287" t="str">
        <f>IF($BB$3=TRUE,IF(AS287="","",SUM($AS$6:AS287)),"")</f>
        <v/>
      </c>
    </row>
    <row r="288" spans="34:66" x14ac:dyDescent="0.25">
      <c r="AH288" s="75"/>
      <c r="AK288" s="75"/>
      <c r="BF288" s="75" t="str">
        <f t="shared" si="14"/>
        <v/>
      </c>
      <c r="BG288" t="str">
        <f>IF($AU$3=TRUE,IF(AL288="","",SUM($AL$6:AL288)),"")</f>
        <v/>
      </c>
      <c r="BH288" t="str">
        <f>IF($AV$3=TRUE,IF(AM288="","",SUM($AM$6:AM288)),"")</f>
        <v/>
      </c>
      <c r="BI288" t="str">
        <f>IF($AW$3=TRUE,IF(AN288="","",SUM($AN$6:AN288)),"")</f>
        <v/>
      </c>
      <c r="BJ288" t="str">
        <f>IF($AX$3=TRUE,IF(AO288="","",SUM($AO$6:AO288)),"")</f>
        <v/>
      </c>
      <c r="BK288" t="str">
        <f>IF($AY$3=TRUE,IF(AP288="","",SUM($AP$6:AP288)),"")</f>
        <v/>
      </c>
      <c r="BL288" t="str">
        <f>IF($AZ$3=TRUE,IF(AQ288="","",SUM($AQ$6:AQ288)),"")</f>
        <v/>
      </c>
      <c r="BM288" t="str">
        <f>IF($BA$3=TRUE,IF(AR288="","",SUM($AR$6:AR288)),"")</f>
        <v/>
      </c>
      <c r="BN288" t="str">
        <f>IF($BB$3=TRUE,IF(AS288="","",SUM($AS$6:AS288)),"")</f>
        <v/>
      </c>
    </row>
    <row r="289" spans="34:66" x14ac:dyDescent="0.25">
      <c r="AH289" s="75"/>
      <c r="AK289" s="75"/>
      <c r="BF289" s="75" t="str">
        <f t="shared" si="14"/>
        <v/>
      </c>
      <c r="BG289" t="str">
        <f>IF($AU$3=TRUE,IF(AL289="","",SUM($AL$6:AL289)),"")</f>
        <v/>
      </c>
      <c r="BH289" t="str">
        <f>IF($AV$3=TRUE,IF(AM289="","",SUM($AM$6:AM289)),"")</f>
        <v/>
      </c>
      <c r="BI289" t="str">
        <f>IF($AW$3=TRUE,IF(AN289="","",SUM($AN$6:AN289)),"")</f>
        <v/>
      </c>
      <c r="BJ289" t="str">
        <f>IF($AX$3=TRUE,IF(AO289="","",SUM($AO$6:AO289)),"")</f>
        <v/>
      </c>
      <c r="BK289" t="str">
        <f>IF($AY$3=TRUE,IF(AP289="","",SUM($AP$6:AP289)),"")</f>
        <v/>
      </c>
      <c r="BL289" t="str">
        <f>IF($AZ$3=TRUE,IF(AQ289="","",SUM($AQ$6:AQ289)),"")</f>
        <v/>
      </c>
      <c r="BM289" t="str">
        <f>IF($BA$3=TRUE,IF(AR289="","",SUM($AR$6:AR289)),"")</f>
        <v/>
      </c>
      <c r="BN289" t="str">
        <f>IF($BB$3=TRUE,IF(AS289="","",SUM($AS$6:AS289)),"")</f>
        <v/>
      </c>
    </row>
    <row r="290" spans="34:66" x14ac:dyDescent="0.25">
      <c r="AH290" s="75"/>
      <c r="AK290" s="75"/>
      <c r="BF290" s="75" t="str">
        <f t="shared" si="14"/>
        <v/>
      </c>
      <c r="BG290" t="str">
        <f>IF($AU$3=TRUE,IF(AL290="","",SUM($AL$6:AL290)),"")</f>
        <v/>
      </c>
      <c r="BH290" t="str">
        <f>IF($AV$3=TRUE,IF(AM290="","",SUM($AM$6:AM290)),"")</f>
        <v/>
      </c>
      <c r="BI290" t="str">
        <f>IF($AW$3=TRUE,IF(AN290="","",SUM($AN$6:AN290)),"")</f>
        <v/>
      </c>
      <c r="BJ290" t="str">
        <f>IF($AX$3=TRUE,IF(AO290="","",SUM($AO$6:AO290)),"")</f>
        <v/>
      </c>
      <c r="BK290" t="str">
        <f>IF($AY$3=TRUE,IF(AP290="","",SUM($AP$6:AP290)),"")</f>
        <v/>
      </c>
      <c r="BL290" t="str">
        <f>IF($AZ$3=TRUE,IF(AQ290="","",SUM($AQ$6:AQ290)),"")</f>
        <v/>
      </c>
      <c r="BM290" t="str">
        <f>IF($BA$3=TRUE,IF(AR290="","",SUM($AR$6:AR290)),"")</f>
        <v/>
      </c>
      <c r="BN290" t="str">
        <f>IF($BB$3=TRUE,IF(AS290="","",SUM($AS$6:AS290)),"")</f>
        <v/>
      </c>
    </row>
    <row r="291" spans="34:66" x14ac:dyDescent="0.25">
      <c r="AH291" s="75"/>
      <c r="AK291" s="75"/>
      <c r="BF291" s="75" t="str">
        <f t="shared" si="14"/>
        <v/>
      </c>
      <c r="BG291" t="str">
        <f>IF($AU$3=TRUE,IF(AL291="","",SUM($AL$6:AL291)),"")</f>
        <v/>
      </c>
      <c r="BH291" t="str">
        <f>IF($AV$3=TRUE,IF(AM291="","",SUM($AM$6:AM291)),"")</f>
        <v/>
      </c>
      <c r="BI291" t="str">
        <f>IF($AW$3=TRUE,IF(AN291="","",SUM($AN$6:AN291)),"")</f>
        <v/>
      </c>
      <c r="BJ291" t="str">
        <f>IF($AX$3=TRUE,IF(AO291="","",SUM($AO$6:AO291)),"")</f>
        <v/>
      </c>
      <c r="BK291" t="str">
        <f>IF($AY$3=TRUE,IF(AP291="","",SUM($AP$6:AP291)),"")</f>
        <v/>
      </c>
      <c r="BL291" t="str">
        <f>IF($AZ$3=TRUE,IF(AQ291="","",SUM($AQ$6:AQ291)),"")</f>
        <v/>
      </c>
      <c r="BM291" t="str">
        <f>IF($BA$3=TRUE,IF(AR291="","",SUM($AR$6:AR291)),"")</f>
        <v/>
      </c>
      <c r="BN291" t="str">
        <f>IF($BB$3=TRUE,IF(AS291="","",SUM($AS$6:AS291)),"")</f>
        <v/>
      </c>
    </row>
    <row r="292" spans="34:66" x14ac:dyDescent="0.25">
      <c r="AH292" s="75"/>
      <c r="AK292" s="75"/>
      <c r="BF292" s="75" t="str">
        <f t="shared" si="14"/>
        <v/>
      </c>
      <c r="BG292" t="str">
        <f>IF($AU$3=TRUE,IF(AL292="","",SUM($AL$6:AL292)),"")</f>
        <v/>
      </c>
      <c r="BH292" t="str">
        <f>IF($AV$3=TRUE,IF(AM292="","",SUM($AM$6:AM292)),"")</f>
        <v/>
      </c>
      <c r="BI292" t="str">
        <f>IF($AW$3=TRUE,IF(AN292="","",SUM($AN$6:AN292)),"")</f>
        <v/>
      </c>
      <c r="BJ292" t="str">
        <f>IF($AX$3=TRUE,IF(AO292="","",SUM($AO$6:AO292)),"")</f>
        <v/>
      </c>
      <c r="BK292" t="str">
        <f>IF($AY$3=TRUE,IF(AP292="","",SUM($AP$6:AP292)),"")</f>
        <v/>
      </c>
      <c r="BL292" t="str">
        <f>IF($AZ$3=TRUE,IF(AQ292="","",SUM($AQ$6:AQ292)),"")</f>
        <v/>
      </c>
      <c r="BM292" t="str">
        <f>IF($BA$3=TRUE,IF(AR292="","",SUM($AR$6:AR292)),"")</f>
        <v/>
      </c>
      <c r="BN292" t="str">
        <f>IF($BB$3=TRUE,IF(AS292="","",SUM($AS$6:AS292)),"")</f>
        <v/>
      </c>
    </row>
    <row r="293" spans="34:66" x14ac:dyDescent="0.25">
      <c r="AH293" s="75"/>
      <c r="AK293" s="75"/>
      <c r="BF293" s="75" t="str">
        <f t="shared" si="14"/>
        <v/>
      </c>
      <c r="BG293" t="str">
        <f>IF($AU$3=TRUE,IF(AL293="","",SUM($AL$6:AL293)),"")</f>
        <v/>
      </c>
      <c r="BH293" t="str">
        <f>IF($AV$3=TRUE,IF(AM293="","",SUM($AM$6:AM293)),"")</f>
        <v/>
      </c>
      <c r="BI293" t="str">
        <f>IF($AW$3=TRUE,IF(AN293="","",SUM($AN$6:AN293)),"")</f>
        <v/>
      </c>
      <c r="BJ293" t="str">
        <f>IF($AX$3=TRUE,IF(AO293="","",SUM($AO$6:AO293)),"")</f>
        <v/>
      </c>
      <c r="BK293" t="str">
        <f>IF($AY$3=TRUE,IF(AP293="","",SUM($AP$6:AP293)),"")</f>
        <v/>
      </c>
      <c r="BL293" t="str">
        <f>IF($AZ$3=TRUE,IF(AQ293="","",SUM($AQ$6:AQ293)),"")</f>
        <v/>
      </c>
      <c r="BM293" t="str">
        <f>IF($BA$3=TRUE,IF(AR293="","",SUM($AR$6:AR293)),"")</f>
        <v/>
      </c>
      <c r="BN293" t="str">
        <f>IF($BB$3=TRUE,IF(AS293="","",SUM($AS$6:AS293)),"")</f>
        <v/>
      </c>
    </row>
    <row r="294" spans="34:66" x14ac:dyDescent="0.25">
      <c r="AH294" s="75"/>
      <c r="AK294" s="75"/>
      <c r="BF294" s="75" t="str">
        <f t="shared" si="14"/>
        <v/>
      </c>
      <c r="BG294" t="str">
        <f>IF($AU$3=TRUE,IF(AL294="","",SUM($AL$6:AL294)),"")</f>
        <v/>
      </c>
      <c r="BH294" t="str">
        <f>IF($AV$3=TRUE,IF(AM294="","",SUM($AM$6:AM294)),"")</f>
        <v/>
      </c>
      <c r="BI294" t="str">
        <f>IF($AW$3=TRUE,IF(AN294="","",SUM($AN$6:AN294)),"")</f>
        <v/>
      </c>
      <c r="BJ294" t="str">
        <f>IF($AX$3=TRUE,IF(AO294="","",SUM($AO$6:AO294)),"")</f>
        <v/>
      </c>
      <c r="BK294" t="str">
        <f>IF($AY$3=TRUE,IF(AP294="","",SUM($AP$6:AP294)),"")</f>
        <v/>
      </c>
      <c r="BL294" t="str">
        <f>IF($AZ$3=TRUE,IF(AQ294="","",SUM($AQ$6:AQ294)),"")</f>
        <v/>
      </c>
      <c r="BM294" t="str">
        <f>IF($BA$3=TRUE,IF(AR294="","",SUM($AR$6:AR294)),"")</f>
        <v/>
      </c>
      <c r="BN294" t="str">
        <f>IF($BB$3=TRUE,IF(AS294="","",SUM($AS$6:AS294)),"")</f>
        <v/>
      </c>
    </row>
    <row r="295" spans="34:66" x14ac:dyDescent="0.25">
      <c r="AH295" s="75"/>
      <c r="AK295" s="75"/>
      <c r="BF295" s="75" t="str">
        <f t="shared" si="14"/>
        <v/>
      </c>
      <c r="BG295" t="str">
        <f>IF($AU$3=TRUE,IF(AL295="","",SUM($AL$6:AL295)),"")</f>
        <v/>
      </c>
      <c r="BH295" t="str">
        <f>IF($AV$3=TRUE,IF(AM295="","",SUM($AM$6:AM295)),"")</f>
        <v/>
      </c>
      <c r="BI295" t="str">
        <f>IF($AW$3=TRUE,IF(AN295="","",SUM($AN$6:AN295)),"")</f>
        <v/>
      </c>
      <c r="BJ295" t="str">
        <f>IF($AX$3=TRUE,IF(AO295="","",SUM($AO$6:AO295)),"")</f>
        <v/>
      </c>
      <c r="BK295" t="str">
        <f>IF($AY$3=TRUE,IF(AP295="","",SUM($AP$6:AP295)),"")</f>
        <v/>
      </c>
      <c r="BL295" t="str">
        <f>IF($AZ$3=TRUE,IF(AQ295="","",SUM($AQ$6:AQ295)),"")</f>
        <v/>
      </c>
      <c r="BM295" t="str">
        <f>IF($BA$3=TRUE,IF(AR295="","",SUM($AR$6:AR295)),"")</f>
        <v/>
      </c>
      <c r="BN295" t="str">
        <f>IF($BB$3=TRUE,IF(AS295="","",SUM($AS$6:AS295)),"")</f>
        <v/>
      </c>
    </row>
    <row r="296" spans="34:66" x14ac:dyDescent="0.25">
      <c r="AH296" s="75"/>
      <c r="AK296" s="75"/>
      <c r="BF296" s="75" t="str">
        <f t="shared" si="14"/>
        <v/>
      </c>
      <c r="BG296" t="str">
        <f>IF($AU$3=TRUE,IF(AL296="","",SUM($AL$6:AL296)),"")</f>
        <v/>
      </c>
      <c r="BH296" t="str">
        <f>IF($AV$3=TRUE,IF(AM296="","",SUM($AM$6:AM296)),"")</f>
        <v/>
      </c>
      <c r="BI296" t="str">
        <f>IF($AW$3=TRUE,IF(AN296="","",SUM($AN$6:AN296)),"")</f>
        <v/>
      </c>
      <c r="BJ296" t="str">
        <f>IF($AX$3=TRUE,IF(AO296="","",SUM($AO$6:AO296)),"")</f>
        <v/>
      </c>
      <c r="BK296" t="str">
        <f>IF($AY$3=TRUE,IF(AP296="","",SUM($AP$6:AP296)),"")</f>
        <v/>
      </c>
      <c r="BL296" t="str">
        <f>IF($AZ$3=TRUE,IF(AQ296="","",SUM($AQ$6:AQ296)),"")</f>
        <v/>
      </c>
      <c r="BM296" t="str">
        <f>IF($BA$3=TRUE,IF(AR296="","",SUM($AR$6:AR296)),"")</f>
        <v/>
      </c>
      <c r="BN296" t="str">
        <f>IF($BB$3=TRUE,IF(AS296="","",SUM($AS$6:AS296)),"")</f>
        <v/>
      </c>
    </row>
    <row r="297" spans="34:66" x14ac:dyDescent="0.25">
      <c r="AH297" s="75"/>
      <c r="AK297" s="75"/>
      <c r="BF297" s="75" t="str">
        <f t="shared" si="14"/>
        <v/>
      </c>
      <c r="BG297" t="str">
        <f>IF($AU$3=TRUE,IF(AL297="","",SUM($AL$6:AL297)),"")</f>
        <v/>
      </c>
      <c r="BH297" t="str">
        <f>IF($AV$3=TRUE,IF(AM297="","",SUM($AM$6:AM297)),"")</f>
        <v/>
      </c>
      <c r="BI297" t="str">
        <f>IF($AW$3=TRUE,IF(AN297="","",SUM($AN$6:AN297)),"")</f>
        <v/>
      </c>
      <c r="BJ297" t="str">
        <f>IF($AX$3=TRUE,IF(AO297="","",SUM($AO$6:AO297)),"")</f>
        <v/>
      </c>
      <c r="BK297" t="str">
        <f>IF($AY$3=TRUE,IF(AP297="","",SUM($AP$6:AP297)),"")</f>
        <v/>
      </c>
      <c r="BL297" t="str">
        <f>IF($AZ$3=TRUE,IF(AQ297="","",SUM($AQ$6:AQ297)),"")</f>
        <v/>
      </c>
      <c r="BM297" t="str">
        <f>IF($BA$3=TRUE,IF(AR297="","",SUM($AR$6:AR297)),"")</f>
        <v/>
      </c>
      <c r="BN297" t="str">
        <f>IF($BB$3=TRUE,IF(AS297="","",SUM($AS$6:AS297)),"")</f>
        <v/>
      </c>
    </row>
    <row r="298" spans="34:66" x14ac:dyDescent="0.25">
      <c r="AH298" s="75"/>
      <c r="AK298" s="75"/>
      <c r="BF298" s="75" t="str">
        <f t="shared" si="14"/>
        <v/>
      </c>
      <c r="BG298" t="str">
        <f>IF($AU$3=TRUE,IF(AL298="","",SUM($AL$6:AL298)),"")</f>
        <v/>
      </c>
      <c r="BH298" t="str">
        <f>IF($AV$3=TRUE,IF(AM298="","",SUM($AM$6:AM298)),"")</f>
        <v/>
      </c>
      <c r="BI298" t="str">
        <f>IF($AW$3=TRUE,IF(AN298="","",SUM($AN$6:AN298)),"")</f>
        <v/>
      </c>
      <c r="BJ298" t="str">
        <f>IF($AX$3=TRUE,IF(AO298="","",SUM($AO$6:AO298)),"")</f>
        <v/>
      </c>
      <c r="BK298" t="str">
        <f>IF($AY$3=TRUE,IF(AP298="","",SUM($AP$6:AP298)),"")</f>
        <v/>
      </c>
      <c r="BL298" t="str">
        <f>IF($AZ$3=TRUE,IF(AQ298="","",SUM($AQ$6:AQ298)),"")</f>
        <v/>
      </c>
      <c r="BM298" t="str">
        <f>IF($BA$3=TRUE,IF(AR298="","",SUM($AR$6:AR298)),"")</f>
        <v/>
      </c>
      <c r="BN298" t="str">
        <f>IF($BB$3=TRUE,IF(AS298="","",SUM($AS$6:AS298)),"")</f>
        <v/>
      </c>
    </row>
    <row r="299" spans="34:66" x14ac:dyDescent="0.25">
      <c r="AH299" s="75"/>
      <c r="AK299" s="75"/>
      <c r="BF299" s="75" t="str">
        <f t="shared" si="14"/>
        <v/>
      </c>
      <c r="BG299" t="str">
        <f>IF($AU$3=TRUE,IF(AL299="","",SUM($AL$6:AL299)),"")</f>
        <v/>
      </c>
      <c r="BH299" t="str">
        <f>IF($AV$3=TRUE,IF(AM299="","",SUM($AM$6:AM299)),"")</f>
        <v/>
      </c>
      <c r="BI299" t="str">
        <f>IF($AW$3=TRUE,IF(AN299="","",SUM($AN$6:AN299)),"")</f>
        <v/>
      </c>
      <c r="BJ299" t="str">
        <f>IF($AX$3=TRUE,IF(AO299="","",SUM($AO$6:AO299)),"")</f>
        <v/>
      </c>
      <c r="BK299" t="str">
        <f>IF($AY$3=TRUE,IF(AP299="","",SUM($AP$6:AP299)),"")</f>
        <v/>
      </c>
      <c r="BL299" t="str">
        <f>IF($AZ$3=TRUE,IF(AQ299="","",SUM($AQ$6:AQ299)),"")</f>
        <v/>
      </c>
      <c r="BM299" t="str">
        <f>IF($BA$3=TRUE,IF(AR299="","",SUM($AR$6:AR299)),"")</f>
        <v/>
      </c>
      <c r="BN299" t="str">
        <f>IF($BB$3=TRUE,IF(AS299="","",SUM($AS$6:AS299)),"")</f>
        <v/>
      </c>
    </row>
    <row r="300" spans="34:66" x14ac:dyDescent="0.25">
      <c r="AH300" s="75"/>
      <c r="AK300" s="75"/>
      <c r="BF300" s="75" t="str">
        <f t="shared" si="14"/>
        <v/>
      </c>
      <c r="BG300" t="str">
        <f>IF($AU$3=TRUE,IF(AL300="","",SUM($AL$6:AL300)),"")</f>
        <v/>
      </c>
      <c r="BH300" t="str">
        <f>IF($AV$3=TRUE,IF(AM300="","",SUM($AM$6:AM300)),"")</f>
        <v/>
      </c>
      <c r="BI300" t="str">
        <f>IF($AW$3=TRUE,IF(AN300="","",SUM($AN$6:AN300)),"")</f>
        <v/>
      </c>
      <c r="BJ300" t="str">
        <f>IF($AX$3=TRUE,IF(AO300="","",SUM($AO$6:AO300)),"")</f>
        <v/>
      </c>
      <c r="BK300" t="str">
        <f>IF($AY$3=TRUE,IF(AP300="","",SUM($AP$6:AP300)),"")</f>
        <v/>
      </c>
      <c r="BL300" t="str">
        <f>IF($AZ$3=TRUE,IF(AQ300="","",SUM($AQ$6:AQ300)),"")</f>
        <v/>
      </c>
      <c r="BM300" t="str">
        <f>IF($BA$3=TRUE,IF(AR300="","",SUM($AR$6:AR300)),"")</f>
        <v/>
      </c>
      <c r="BN300" t="str">
        <f>IF($BB$3=TRUE,IF(AS300="","",SUM($AS$6:AS300)),"")</f>
        <v/>
      </c>
    </row>
    <row r="301" spans="34:66" x14ac:dyDescent="0.25">
      <c r="AH301" s="75"/>
      <c r="AK301" s="75"/>
      <c r="BF301" s="75" t="str">
        <f t="shared" si="14"/>
        <v/>
      </c>
      <c r="BG301" t="str">
        <f>IF($AU$3=TRUE,IF(AL301="","",SUM($AL$6:AL301)),"")</f>
        <v/>
      </c>
      <c r="BH301" t="str">
        <f>IF($AV$3=TRUE,IF(AM301="","",SUM($AM$6:AM301)),"")</f>
        <v/>
      </c>
      <c r="BI301" t="str">
        <f>IF($AW$3=TRUE,IF(AN301="","",SUM($AN$6:AN301)),"")</f>
        <v/>
      </c>
      <c r="BJ301" t="str">
        <f>IF($AX$3=TRUE,IF(AO301="","",SUM($AO$6:AO301)),"")</f>
        <v/>
      </c>
      <c r="BK301" t="str">
        <f>IF($AY$3=TRUE,IF(AP301="","",SUM($AP$6:AP301)),"")</f>
        <v/>
      </c>
      <c r="BL301" t="str">
        <f>IF($AZ$3=TRUE,IF(AQ301="","",SUM($AQ$6:AQ301)),"")</f>
        <v/>
      </c>
      <c r="BM301" t="str">
        <f>IF($BA$3=TRUE,IF(AR301="","",SUM($AR$6:AR301)),"")</f>
        <v/>
      </c>
      <c r="BN301" t="str">
        <f>IF($BB$3=TRUE,IF(AS301="","",SUM($AS$6:AS301)),"")</f>
        <v/>
      </c>
    </row>
    <row r="302" spans="34:66" x14ac:dyDescent="0.25">
      <c r="AH302" s="75"/>
      <c r="AK302" s="75"/>
      <c r="BF302" s="75" t="str">
        <f t="shared" si="14"/>
        <v/>
      </c>
      <c r="BG302" t="str">
        <f>IF($AU$3=TRUE,IF(AL302="","",SUM($AL$6:AL302)),"")</f>
        <v/>
      </c>
      <c r="BH302" t="str">
        <f>IF($AV$3=TRUE,IF(AM302="","",SUM($AM$6:AM302)),"")</f>
        <v/>
      </c>
      <c r="BI302" t="str">
        <f>IF($AW$3=TRUE,IF(AN302="","",SUM($AN$6:AN302)),"")</f>
        <v/>
      </c>
      <c r="BJ302" t="str">
        <f>IF($AX$3=TRUE,IF(AO302="","",SUM($AO$6:AO302)),"")</f>
        <v/>
      </c>
      <c r="BK302" t="str">
        <f>IF($AY$3=TRUE,IF(AP302="","",SUM($AP$6:AP302)),"")</f>
        <v/>
      </c>
      <c r="BL302" t="str">
        <f>IF($AZ$3=TRUE,IF(AQ302="","",SUM($AQ$6:AQ302)),"")</f>
        <v/>
      </c>
      <c r="BM302" t="str">
        <f>IF($BA$3=TRUE,IF(AR302="","",SUM($AR$6:AR302)),"")</f>
        <v/>
      </c>
      <c r="BN302" t="str">
        <f>IF($BB$3=TRUE,IF(AS302="","",SUM($AS$6:AS302)),"")</f>
        <v/>
      </c>
    </row>
    <row r="303" spans="34:66" x14ac:dyDescent="0.25">
      <c r="AH303" s="75"/>
      <c r="AK303" s="75"/>
      <c r="BF303" s="75" t="str">
        <f t="shared" si="14"/>
        <v/>
      </c>
      <c r="BG303" t="str">
        <f>IF($AU$3=TRUE,IF(AL303="","",SUM($AL$6:AL303)),"")</f>
        <v/>
      </c>
      <c r="BH303" t="str">
        <f>IF($AV$3=TRUE,IF(AM303="","",SUM($AM$6:AM303)),"")</f>
        <v/>
      </c>
      <c r="BI303" t="str">
        <f>IF($AW$3=TRUE,IF(AN303="","",SUM($AN$6:AN303)),"")</f>
        <v/>
      </c>
      <c r="BJ303" t="str">
        <f>IF($AX$3=TRUE,IF(AO303="","",SUM($AO$6:AO303)),"")</f>
        <v/>
      </c>
      <c r="BK303" t="str">
        <f>IF($AY$3=TRUE,IF(AP303="","",SUM($AP$6:AP303)),"")</f>
        <v/>
      </c>
      <c r="BL303" t="str">
        <f>IF($AZ$3=TRUE,IF(AQ303="","",SUM($AQ$6:AQ303)),"")</f>
        <v/>
      </c>
      <c r="BM303" t="str">
        <f>IF($BA$3=TRUE,IF(AR303="","",SUM($AR$6:AR303)),"")</f>
        <v/>
      </c>
      <c r="BN303" t="str">
        <f>IF($BB$3=TRUE,IF(AS303="","",SUM($AS$6:AS303)),"")</f>
        <v/>
      </c>
    </row>
    <row r="304" spans="34:66" x14ac:dyDescent="0.25">
      <c r="AH304" s="75"/>
      <c r="AK304" s="75"/>
      <c r="BF304" s="75" t="str">
        <f t="shared" si="14"/>
        <v/>
      </c>
      <c r="BG304" t="str">
        <f>IF($AU$3=TRUE,IF(AL304="","",SUM($AL$6:AL304)),"")</f>
        <v/>
      </c>
      <c r="BH304" t="str">
        <f>IF($AV$3=TRUE,IF(AM304="","",SUM($AM$6:AM304)),"")</f>
        <v/>
      </c>
      <c r="BI304" t="str">
        <f>IF($AW$3=TRUE,IF(AN304="","",SUM($AN$6:AN304)),"")</f>
        <v/>
      </c>
      <c r="BJ304" t="str">
        <f>IF($AX$3=TRUE,IF(AO304="","",SUM($AO$6:AO304)),"")</f>
        <v/>
      </c>
      <c r="BK304" t="str">
        <f>IF($AY$3=TRUE,IF(AP304="","",SUM($AP$6:AP304)),"")</f>
        <v/>
      </c>
      <c r="BL304" t="str">
        <f>IF($AZ$3=TRUE,IF(AQ304="","",SUM($AQ$6:AQ304)),"")</f>
        <v/>
      </c>
      <c r="BM304" t="str">
        <f>IF($BA$3=TRUE,IF(AR304="","",SUM($AR$6:AR304)),"")</f>
        <v/>
      </c>
      <c r="BN304" t="str">
        <f>IF($BB$3=TRUE,IF(AS304="","",SUM($AS$6:AS304)),"")</f>
        <v/>
      </c>
    </row>
    <row r="305" spans="34:66" x14ac:dyDescent="0.25">
      <c r="AH305" s="75"/>
      <c r="AK305" s="75"/>
      <c r="BF305" s="75" t="str">
        <f t="shared" si="14"/>
        <v/>
      </c>
      <c r="BG305" t="str">
        <f>IF($AU$3=TRUE,IF(AL305="","",SUM($AL$6:AL305)),"")</f>
        <v/>
      </c>
      <c r="BH305" t="str">
        <f>IF($AV$3=TRUE,IF(AM305="","",SUM($AM$6:AM305)),"")</f>
        <v/>
      </c>
      <c r="BI305" t="str">
        <f>IF($AW$3=TRUE,IF(AN305="","",SUM($AN$6:AN305)),"")</f>
        <v/>
      </c>
      <c r="BJ305" t="str">
        <f>IF($AX$3=TRUE,IF(AO305="","",SUM($AO$6:AO305)),"")</f>
        <v/>
      </c>
      <c r="BK305" t="str">
        <f>IF($AY$3=TRUE,IF(AP305="","",SUM($AP$6:AP305)),"")</f>
        <v/>
      </c>
      <c r="BL305" t="str">
        <f>IF($AZ$3=TRUE,IF(AQ305="","",SUM($AQ$6:AQ305)),"")</f>
        <v/>
      </c>
      <c r="BM305" t="str">
        <f>IF($BA$3=TRUE,IF(AR305="","",SUM($AR$6:AR305)),"")</f>
        <v/>
      </c>
      <c r="BN305" t="str">
        <f>IF($BB$3=TRUE,IF(AS305="","",SUM($AS$6:AS305)),"")</f>
        <v/>
      </c>
    </row>
    <row r="306" spans="34:66" x14ac:dyDescent="0.25">
      <c r="AH306" s="75"/>
      <c r="AK306" s="75"/>
      <c r="BF306" s="75" t="str">
        <f t="shared" si="14"/>
        <v/>
      </c>
      <c r="BG306" t="str">
        <f>IF($AU$3=TRUE,IF(AL306="","",SUM($AL$6:AL306)),"")</f>
        <v/>
      </c>
      <c r="BH306" t="str">
        <f>IF($AV$3=TRUE,IF(AM306="","",SUM($AM$6:AM306)),"")</f>
        <v/>
      </c>
      <c r="BI306" t="str">
        <f>IF($AW$3=TRUE,IF(AN306="","",SUM($AN$6:AN306)),"")</f>
        <v/>
      </c>
      <c r="BJ306" t="str">
        <f>IF($AX$3=TRUE,IF(AO306="","",SUM($AO$6:AO306)),"")</f>
        <v/>
      </c>
      <c r="BK306" t="str">
        <f>IF($AY$3=TRUE,IF(AP306="","",SUM($AP$6:AP306)),"")</f>
        <v/>
      </c>
      <c r="BL306" t="str">
        <f>IF($AZ$3=TRUE,IF(AQ306="","",SUM($AQ$6:AQ306)),"")</f>
        <v/>
      </c>
      <c r="BM306" t="str">
        <f>IF($BA$3=TRUE,IF(AR306="","",SUM($AR$6:AR306)),"")</f>
        <v/>
      </c>
      <c r="BN306" t="str">
        <f>IF($BB$3=TRUE,IF(AS306="","",SUM($AS$6:AS306)),"")</f>
        <v/>
      </c>
    </row>
    <row r="307" spans="34:66" x14ac:dyDescent="0.25">
      <c r="AH307" s="75"/>
      <c r="AK307" s="75"/>
      <c r="BF307" s="75" t="str">
        <f t="shared" si="14"/>
        <v/>
      </c>
      <c r="BG307" t="str">
        <f>IF($AU$3=TRUE,IF(AL307="","",SUM($AL$6:AL307)),"")</f>
        <v/>
      </c>
      <c r="BH307" t="str">
        <f>IF($AV$3=TRUE,IF(AM307="","",SUM($AM$6:AM307)),"")</f>
        <v/>
      </c>
      <c r="BI307" t="str">
        <f>IF($AW$3=TRUE,IF(AN307="","",SUM($AN$6:AN307)),"")</f>
        <v/>
      </c>
      <c r="BJ307" t="str">
        <f>IF($AX$3=TRUE,IF(AO307="","",SUM($AO$6:AO307)),"")</f>
        <v/>
      </c>
      <c r="BK307" t="str">
        <f>IF($AY$3=TRUE,IF(AP307="","",SUM($AP$6:AP307)),"")</f>
        <v/>
      </c>
      <c r="BL307" t="str">
        <f>IF($AZ$3=TRUE,IF(AQ307="","",SUM($AQ$6:AQ307)),"")</f>
        <v/>
      </c>
      <c r="BM307" t="str">
        <f>IF($BA$3=TRUE,IF(AR307="","",SUM($AR$6:AR307)),"")</f>
        <v/>
      </c>
      <c r="BN307" t="str">
        <f>IF($BB$3=TRUE,IF(AS307="","",SUM($AS$6:AS307)),"")</f>
        <v/>
      </c>
    </row>
    <row r="308" spans="34:66" x14ac:dyDescent="0.25">
      <c r="AH308" s="75"/>
      <c r="AK308" s="75"/>
      <c r="BF308" s="75" t="str">
        <f t="shared" si="14"/>
        <v/>
      </c>
      <c r="BG308" t="str">
        <f>IF($AU$3=TRUE,IF(AL308="","",SUM($AL$6:AL308)),"")</f>
        <v/>
      </c>
      <c r="BH308" t="str">
        <f>IF($AV$3=TRUE,IF(AM308="","",SUM($AM$6:AM308)),"")</f>
        <v/>
      </c>
      <c r="BI308" t="str">
        <f>IF($AW$3=TRUE,IF(AN308="","",SUM($AN$6:AN308)),"")</f>
        <v/>
      </c>
      <c r="BJ308" t="str">
        <f>IF($AX$3=TRUE,IF(AO308="","",SUM($AO$6:AO308)),"")</f>
        <v/>
      </c>
      <c r="BK308" t="str">
        <f>IF($AY$3=TRUE,IF(AP308="","",SUM($AP$6:AP308)),"")</f>
        <v/>
      </c>
      <c r="BL308" t="str">
        <f>IF($AZ$3=TRUE,IF(AQ308="","",SUM($AQ$6:AQ308)),"")</f>
        <v/>
      </c>
      <c r="BM308" t="str">
        <f>IF($BA$3=TRUE,IF(AR308="","",SUM($AR$6:AR308)),"")</f>
        <v/>
      </c>
      <c r="BN308" t="str">
        <f>IF($BB$3=TRUE,IF(AS308="","",SUM($AS$6:AS308)),"")</f>
        <v/>
      </c>
    </row>
    <row r="309" spans="34:66" x14ac:dyDescent="0.25">
      <c r="AH309" s="75"/>
      <c r="AK309" s="75"/>
      <c r="BF309" s="75" t="str">
        <f t="shared" si="14"/>
        <v/>
      </c>
      <c r="BG309" t="str">
        <f>IF($AU$3=TRUE,IF(AL309="","",SUM($AL$6:AL309)),"")</f>
        <v/>
      </c>
      <c r="BH309" t="str">
        <f>IF($AV$3=TRUE,IF(AM309="","",SUM($AM$6:AM309)),"")</f>
        <v/>
      </c>
      <c r="BI309" t="str">
        <f>IF($AW$3=TRUE,IF(AN309="","",SUM($AN$6:AN309)),"")</f>
        <v/>
      </c>
      <c r="BJ309" t="str">
        <f>IF($AX$3=TRUE,IF(AO309="","",SUM($AO$6:AO309)),"")</f>
        <v/>
      </c>
      <c r="BK309" t="str">
        <f>IF($AY$3=TRUE,IF(AP309="","",SUM($AP$6:AP309)),"")</f>
        <v/>
      </c>
      <c r="BL309" t="str">
        <f>IF($AZ$3=TRUE,IF(AQ309="","",SUM($AQ$6:AQ309)),"")</f>
        <v/>
      </c>
      <c r="BM309" t="str">
        <f>IF($BA$3=TRUE,IF(AR309="","",SUM($AR$6:AR309)),"")</f>
        <v/>
      </c>
      <c r="BN309" t="str">
        <f>IF($BB$3=TRUE,IF(AS309="","",SUM($AS$6:AS309)),"")</f>
        <v/>
      </c>
    </row>
    <row r="310" spans="34:66" x14ac:dyDescent="0.25">
      <c r="AH310" s="75"/>
      <c r="AK310" s="75"/>
      <c r="BF310" s="75" t="str">
        <f t="shared" si="14"/>
        <v/>
      </c>
      <c r="BG310" t="str">
        <f>IF($AU$3=TRUE,IF(AL310="","",SUM($AL$6:AL310)),"")</f>
        <v/>
      </c>
      <c r="BH310" t="str">
        <f>IF($AV$3=TRUE,IF(AM310="","",SUM($AM$6:AM310)),"")</f>
        <v/>
      </c>
      <c r="BI310" t="str">
        <f>IF($AW$3=TRUE,IF(AN310="","",SUM($AN$6:AN310)),"")</f>
        <v/>
      </c>
      <c r="BJ310" t="str">
        <f>IF($AX$3=TRUE,IF(AO310="","",SUM($AO$6:AO310)),"")</f>
        <v/>
      </c>
      <c r="BK310" t="str">
        <f>IF($AY$3=TRUE,IF(AP310="","",SUM($AP$6:AP310)),"")</f>
        <v/>
      </c>
      <c r="BL310" t="str">
        <f>IF($AZ$3=TRUE,IF(AQ310="","",SUM($AQ$6:AQ310)),"")</f>
        <v/>
      </c>
      <c r="BM310" t="str">
        <f>IF($BA$3=TRUE,IF(AR310="","",SUM($AR$6:AR310)),"")</f>
        <v/>
      </c>
      <c r="BN310" t="str">
        <f>IF($BB$3=TRUE,IF(AS310="","",SUM($AS$6:AS310)),"")</f>
        <v/>
      </c>
    </row>
    <row r="311" spans="34:66" x14ac:dyDescent="0.25">
      <c r="AH311" s="75"/>
      <c r="AK311" s="75"/>
      <c r="BF311" s="75" t="str">
        <f t="shared" si="14"/>
        <v/>
      </c>
      <c r="BG311" t="str">
        <f>IF($AU$3=TRUE,IF(AL311="","",SUM($AL$6:AL311)),"")</f>
        <v/>
      </c>
      <c r="BH311" t="str">
        <f>IF($AV$3=TRUE,IF(AM311="","",SUM($AM$6:AM311)),"")</f>
        <v/>
      </c>
      <c r="BI311" t="str">
        <f>IF($AW$3=TRUE,IF(AN311="","",SUM($AN$6:AN311)),"")</f>
        <v/>
      </c>
      <c r="BJ311" t="str">
        <f>IF($AX$3=TRUE,IF(AO311="","",SUM($AO$6:AO311)),"")</f>
        <v/>
      </c>
      <c r="BK311" t="str">
        <f>IF($AY$3=TRUE,IF(AP311="","",SUM($AP$6:AP311)),"")</f>
        <v/>
      </c>
      <c r="BL311" t="str">
        <f>IF($AZ$3=TRUE,IF(AQ311="","",SUM($AQ$6:AQ311)),"")</f>
        <v/>
      </c>
      <c r="BM311" t="str">
        <f>IF($BA$3=TRUE,IF(AR311="","",SUM($AR$6:AR311)),"")</f>
        <v/>
      </c>
      <c r="BN311" t="str">
        <f>IF($BB$3=TRUE,IF(AS311="","",SUM($AS$6:AS311)),"")</f>
        <v/>
      </c>
    </row>
    <row r="312" spans="34:66" x14ac:dyDescent="0.25">
      <c r="AH312" s="75"/>
      <c r="AK312" s="75"/>
      <c r="BF312" s="75" t="str">
        <f t="shared" si="14"/>
        <v/>
      </c>
      <c r="BG312" t="str">
        <f>IF($AU$3=TRUE,IF(AL312="","",SUM($AL$6:AL312)),"")</f>
        <v/>
      </c>
      <c r="BH312" t="str">
        <f>IF($AV$3=TRUE,IF(AM312="","",SUM($AM$6:AM312)),"")</f>
        <v/>
      </c>
      <c r="BI312" t="str">
        <f>IF($AW$3=TRUE,IF(AN312="","",SUM($AN$6:AN312)),"")</f>
        <v/>
      </c>
      <c r="BJ312" t="str">
        <f>IF($AX$3=TRUE,IF(AO312="","",SUM($AO$6:AO312)),"")</f>
        <v/>
      </c>
      <c r="BK312" t="str">
        <f>IF($AY$3=TRUE,IF(AP312="","",SUM($AP$6:AP312)),"")</f>
        <v/>
      </c>
      <c r="BL312" t="str">
        <f>IF($AZ$3=TRUE,IF(AQ312="","",SUM($AQ$6:AQ312)),"")</f>
        <v/>
      </c>
      <c r="BM312" t="str">
        <f>IF($BA$3=TRUE,IF(AR312="","",SUM($AR$6:AR312)),"")</f>
        <v/>
      </c>
      <c r="BN312" t="str">
        <f>IF($BB$3=TRUE,IF(AS312="","",SUM($AS$6:AS312)),"")</f>
        <v/>
      </c>
    </row>
    <row r="313" spans="34:66" x14ac:dyDescent="0.25">
      <c r="AH313" s="75"/>
      <c r="AK313" s="75"/>
      <c r="BF313" s="75" t="str">
        <f t="shared" si="14"/>
        <v/>
      </c>
      <c r="BG313" t="str">
        <f>IF($AU$3=TRUE,IF(AL313="","",SUM($AL$6:AL313)),"")</f>
        <v/>
      </c>
      <c r="BH313" t="str">
        <f>IF($AV$3=TRUE,IF(AM313="","",SUM($AM$6:AM313)),"")</f>
        <v/>
      </c>
      <c r="BI313" t="str">
        <f>IF($AW$3=TRUE,IF(AN313="","",SUM($AN$6:AN313)),"")</f>
        <v/>
      </c>
      <c r="BJ313" t="str">
        <f>IF($AX$3=TRUE,IF(AO313="","",SUM($AO$6:AO313)),"")</f>
        <v/>
      </c>
      <c r="BK313" t="str">
        <f>IF($AY$3=TRUE,IF(AP313="","",SUM($AP$6:AP313)),"")</f>
        <v/>
      </c>
      <c r="BL313" t="str">
        <f>IF($AZ$3=TRUE,IF(AQ313="","",SUM($AQ$6:AQ313)),"")</f>
        <v/>
      </c>
      <c r="BM313" t="str">
        <f>IF($BA$3=TRUE,IF(AR313="","",SUM($AR$6:AR313)),"")</f>
        <v/>
      </c>
      <c r="BN313" t="str">
        <f>IF($BB$3=TRUE,IF(AS313="","",SUM($AS$6:AS313)),"")</f>
        <v/>
      </c>
    </row>
    <row r="314" spans="34:66" x14ac:dyDescent="0.25">
      <c r="AH314" s="75"/>
      <c r="AK314" s="75"/>
      <c r="BF314" s="75" t="str">
        <f t="shared" si="14"/>
        <v/>
      </c>
      <c r="BG314" t="str">
        <f>IF($AU$3=TRUE,IF(AL314="","",SUM($AL$6:AL314)),"")</f>
        <v/>
      </c>
      <c r="BH314" t="str">
        <f>IF($AV$3=TRUE,IF(AM314="","",SUM($AM$6:AM314)),"")</f>
        <v/>
      </c>
      <c r="BI314" t="str">
        <f>IF($AW$3=TRUE,IF(AN314="","",SUM($AN$6:AN314)),"")</f>
        <v/>
      </c>
      <c r="BJ314" t="str">
        <f>IF($AX$3=TRUE,IF(AO314="","",SUM($AO$6:AO314)),"")</f>
        <v/>
      </c>
      <c r="BK314" t="str">
        <f>IF($AY$3=TRUE,IF(AP314="","",SUM($AP$6:AP314)),"")</f>
        <v/>
      </c>
      <c r="BL314" t="str">
        <f>IF($AZ$3=TRUE,IF(AQ314="","",SUM($AQ$6:AQ314)),"")</f>
        <v/>
      </c>
      <c r="BM314" t="str">
        <f>IF($BA$3=TRUE,IF(AR314="","",SUM($AR$6:AR314)),"")</f>
        <v/>
      </c>
      <c r="BN314" t="str">
        <f>IF($BB$3=TRUE,IF(AS314="","",SUM($AS$6:AS314)),"")</f>
        <v/>
      </c>
    </row>
    <row r="315" spans="34:66" x14ac:dyDescent="0.25">
      <c r="AH315" s="75"/>
      <c r="AK315" s="75"/>
      <c r="BF315" s="75" t="str">
        <f t="shared" si="14"/>
        <v/>
      </c>
      <c r="BG315" t="str">
        <f>IF($AU$3=TRUE,IF(AL315="","",SUM($AL$6:AL315)),"")</f>
        <v/>
      </c>
      <c r="BH315" t="str">
        <f>IF($AV$3=TRUE,IF(AM315="","",SUM($AM$6:AM315)),"")</f>
        <v/>
      </c>
      <c r="BI315" t="str">
        <f>IF($AW$3=TRUE,IF(AN315="","",SUM($AN$6:AN315)),"")</f>
        <v/>
      </c>
      <c r="BJ315" t="str">
        <f>IF($AX$3=TRUE,IF(AO315="","",SUM($AO$6:AO315)),"")</f>
        <v/>
      </c>
      <c r="BK315" t="str">
        <f>IF($AY$3=TRUE,IF(AP315="","",SUM($AP$6:AP315)),"")</f>
        <v/>
      </c>
      <c r="BL315" t="str">
        <f>IF($AZ$3=TRUE,IF(AQ315="","",SUM($AQ$6:AQ315)),"")</f>
        <v/>
      </c>
      <c r="BM315" t="str">
        <f>IF($BA$3=TRUE,IF(AR315="","",SUM($AR$6:AR315)),"")</f>
        <v/>
      </c>
      <c r="BN315" t="str">
        <f>IF($BB$3=TRUE,IF(AS315="","",SUM($AS$6:AS315)),"")</f>
        <v/>
      </c>
    </row>
    <row r="316" spans="34:66" x14ac:dyDescent="0.25">
      <c r="AH316" s="75"/>
      <c r="AK316" s="75"/>
      <c r="BF316" s="75" t="str">
        <f t="shared" si="14"/>
        <v/>
      </c>
      <c r="BG316" t="str">
        <f>IF($AU$3=TRUE,IF(AL316="","",SUM($AL$6:AL316)),"")</f>
        <v/>
      </c>
      <c r="BH316" t="str">
        <f>IF($AV$3=TRUE,IF(AM316="","",SUM($AM$6:AM316)),"")</f>
        <v/>
      </c>
      <c r="BI316" t="str">
        <f>IF($AW$3=TRUE,IF(AN316="","",SUM($AN$6:AN316)),"")</f>
        <v/>
      </c>
      <c r="BJ316" t="str">
        <f>IF($AX$3=TRUE,IF(AO316="","",SUM($AO$6:AO316)),"")</f>
        <v/>
      </c>
      <c r="BK316" t="str">
        <f>IF($AY$3=TRUE,IF(AP316="","",SUM($AP$6:AP316)),"")</f>
        <v/>
      </c>
      <c r="BL316" t="str">
        <f>IF($AZ$3=TRUE,IF(AQ316="","",SUM($AQ$6:AQ316)),"")</f>
        <v/>
      </c>
      <c r="BM316" t="str">
        <f>IF($BA$3=TRUE,IF(AR316="","",SUM($AR$6:AR316)),"")</f>
        <v/>
      </c>
      <c r="BN316" t="str">
        <f>IF($BB$3=TRUE,IF(AS316="","",SUM($AS$6:AS316)),"")</f>
        <v/>
      </c>
    </row>
    <row r="317" spans="34:66" x14ac:dyDescent="0.25">
      <c r="AH317" s="75"/>
      <c r="AK317" s="75"/>
      <c r="BF317" s="75" t="str">
        <f t="shared" si="14"/>
        <v/>
      </c>
      <c r="BG317" t="str">
        <f>IF($AU$3=TRUE,IF(AL317="","",SUM($AL$6:AL317)),"")</f>
        <v/>
      </c>
      <c r="BH317" t="str">
        <f>IF($AV$3=TRUE,IF(AM317="","",SUM($AM$6:AM317)),"")</f>
        <v/>
      </c>
      <c r="BI317" t="str">
        <f>IF($AW$3=TRUE,IF(AN317="","",SUM($AN$6:AN317)),"")</f>
        <v/>
      </c>
      <c r="BJ317" t="str">
        <f>IF($AX$3=TRUE,IF(AO317="","",SUM($AO$6:AO317)),"")</f>
        <v/>
      </c>
      <c r="BK317" t="str">
        <f>IF($AY$3=TRUE,IF(AP317="","",SUM($AP$6:AP317)),"")</f>
        <v/>
      </c>
      <c r="BL317" t="str">
        <f>IF($AZ$3=TRUE,IF(AQ317="","",SUM($AQ$6:AQ317)),"")</f>
        <v/>
      </c>
      <c r="BM317" t="str">
        <f>IF($BA$3=TRUE,IF(AR317="","",SUM($AR$6:AR317)),"")</f>
        <v/>
      </c>
      <c r="BN317" t="str">
        <f>IF($BB$3=TRUE,IF(AS317="","",SUM($AS$6:AS317)),"")</f>
        <v/>
      </c>
    </row>
    <row r="318" spans="34:66" x14ac:dyDescent="0.25">
      <c r="AH318" s="75"/>
      <c r="AK318" s="75"/>
      <c r="BF318" s="75" t="str">
        <f t="shared" si="14"/>
        <v/>
      </c>
      <c r="BG318" t="str">
        <f>IF($AU$3=TRUE,IF(AL318="","",SUM($AL$6:AL318)),"")</f>
        <v/>
      </c>
      <c r="BH318" t="str">
        <f>IF($AV$3=TRUE,IF(AM318="","",SUM($AM$6:AM318)),"")</f>
        <v/>
      </c>
      <c r="BI318" t="str">
        <f>IF($AW$3=TRUE,IF(AN318="","",SUM($AN$6:AN318)),"")</f>
        <v/>
      </c>
      <c r="BJ318" t="str">
        <f>IF($AX$3=TRUE,IF(AO318="","",SUM($AO$6:AO318)),"")</f>
        <v/>
      </c>
      <c r="BK318" t="str">
        <f>IF($AY$3=TRUE,IF(AP318="","",SUM($AP$6:AP318)),"")</f>
        <v/>
      </c>
      <c r="BL318" t="str">
        <f>IF($AZ$3=TRUE,IF(AQ318="","",SUM($AQ$6:AQ318)),"")</f>
        <v/>
      </c>
      <c r="BM318" t="str">
        <f>IF($BA$3=TRUE,IF(AR318="","",SUM($AR$6:AR318)),"")</f>
        <v/>
      </c>
      <c r="BN318" t="str">
        <f>IF($BB$3=TRUE,IF(AS318="","",SUM($AS$6:AS318)),"")</f>
        <v/>
      </c>
    </row>
    <row r="319" spans="34:66" x14ac:dyDescent="0.25">
      <c r="AH319" s="75"/>
      <c r="AK319" s="75"/>
      <c r="BF319" s="75" t="str">
        <f t="shared" si="14"/>
        <v/>
      </c>
      <c r="BG319" t="str">
        <f>IF($AU$3=TRUE,IF(AL319="","",SUM($AL$6:AL319)),"")</f>
        <v/>
      </c>
      <c r="BH319" t="str">
        <f>IF($AV$3=TRUE,IF(AM319="","",SUM($AM$6:AM319)),"")</f>
        <v/>
      </c>
      <c r="BI319" t="str">
        <f>IF($AW$3=TRUE,IF(AN319="","",SUM($AN$6:AN319)),"")</f>
        <v/>
      </c>
      <c r="BJ319" t="str">
        <f>IF($AX$3=TRUE,IF(AO319="","",SUM($AO$6:AO319)),"")</f>
        <v/>
      </c>
      <c r="BK319" t="str">
        <f>IF($AY$3=TRUE,IF(AP319="","",SUM($AP$6:AP319)),"")</f>
        <v/>
      </c>
      <c r="BL319" t="str">
        <f>IF($AZ$3=TRUE,IF(AQ319="","",SUM($AQ$6:AQ319)),"")</f>
        <v/>
      </c>
      <c r="BM319" t="str">
        <f>IF($BA$3=TRUE,IF(AR319="","",SUM($AR$6:AR319)),"")</f>
        <v/>
      </c>
      <c r="BN319" t="str">
        <f>IF($BB$3=TRUE,IF(AS319="","",SUM($AS$6:AS319)),"")</f>
        <v/>
      </c>
    </row>
    <row r="320" spans="34:66" x14ac:dyDescent="0.25">
      <c r="AH320" s="75"/>
      <c r="AK320" s="75"/>
      <c r="BF320" s="75" t="str">
        <f t="shared" si="14"/>
        <v/>
      </c>
      <c r="BG320" t="str">
        <f>IF($AU$3=TRUE,IF(AL320="","",SUM($AL$6:AL320)),"")</f>
        <v/>
      </c>
      <c r="BH320" t="str">
        <f>IF($AV$3=TRUE,IF(AM320="","",SUM($AM$6:AM320)),"")</f>
        <v/>
      </c>
      <c r="BI320" t="str">
        <f>IF($AW$3=TRUE,IF(AN320="","",SUM($AN$6:AN320)),"")</f>
        <v/>
      </c>
      <c r="BJ320" t="str">
        <f>IF($AX$3=TRUE,IF(AO320="","",SUM($AO$6:AO320)),"")</f>
        <v/>
      </c>
      <c r="BK320" t="str">
        <f>IF($AY$3=TRUE,IF(AP320="","",SUM($AP$6:AP320)),"")</f>
        <v/>
      </c>
      <c r="BL320" t="str">
        <f>IF($AZ$3=TRUE,IF(AQ320="","",SUM($AQ$6:AQ320)),"")</f>
        <v/>
      </c>
      <c r="BM320" t="str">
        <f>IF($BA$3=TRUE,IF(AR320="","",SUM($AR$6:AR320)),"")</f>
        <v/>
      </c>
      <c r="BN320" t="str">
        <f>IF($BB$3=TRUE,IF(AS320="","",SUM($AS$6:AS320)),"")</f>
        <v/>
      </c>
    </row>
    <row r="321" spans="34:66" x14ac:dyDescent="0.25">
      <c r="AH321" s="75"/>
      <c r="AK321" s="75"/>
      <c r="BF321" s="75" t="str">
        <f t="shared" si="14"/>
        <v/>
      </c>
      <c r="BG321" t="str">
        <f>IF($AU$3=TRUE,IF(AL321="","",SUM($AL$6:AL321)),"")</f>
        <v/>
      </c>
      <c r="BH321" t="str">
        <f>IF($AV$3=TRUE,IF(AM321="","",SUM($AM$6:AM321)),"")</f>
        <v/>
      </c>
      <c r="BI321" t="str">
        <f>IF($AW$3=TRUE,IF(AN321="","",SUM($AN$6:AN321)),"")</f>
        <v/>
      </c>
      <c r="BJ321" t="str">
        <f>IF($AX$3=TRUE,IF(AO321="","",SUM($AO$6:AO321)),"")</f>
        <v/>
      </c>
      <c r="BK321" t="str">
        <f>IF($AY$3=TRUE,IF(AP321="","",SUM($AP$6:AP321)),"")</f>
        <v/>
      </c>
      <c r="BL321" t="str">
        <f>IF($AZ$3=TRUE,IF(AQ321="","",SUM($AQ$6:AQ321)),"")</f>
        <v/>
      </c>
      <c r="BM321" t="str">
        <f>IF($BA$3=TRUE,IF(AR321="","",SUM($AR$6:AR321)),"")</f>
        <v/>
      </c>
      <c r="BN321" t="str">
        <f>IF($BB$3=TRUE,IF(AS321="","",SUM($AS$6:AS321)),"")</f>
        <v/>
      </c>
    </row>
    <row r="322" spans="34:66" x14ac:dyDescent="0.25">
      <c r="AH322" s="75"/>
      <c r="AK322" s="75"/>
      <c r="BF322" s="75" t="str">
        <f t="shared" si="14"/>
        <v/>
      </c>
      <c r="BG322" t="str">
        <f>IF($AU$3=TRUE,IF(AL322="","",SUM($AL$6:AL322)),"")</f>
        <v/>
      </c>
      <c r="BH322" t="str">
        <f>IF($AV$3=TRUE,IF(AM322="","",SUM($AM$6:AM322)),"")</f>
        <v/>
      </c>
      <c r="BI322" t="str">
        <f>IF($AW$3=TRUE,IF(AN322="","",SUM($AN$6:AN322)),"")</f>
        <v/>
      </c>
      <c r="BJ322" t="str">
        <f>IF($AX$3=TRUE,IF(AO322="","",SUM($AO$6:AO322)),"")</f>
        <v/>
      </c>
      <c r="BK322" t="str">
        <f>IF($AY$3=TRUE,IF(AP322="","",SUM($AP$6:AP322)),"")</f>
        <v/>
      </c>
      <c r="BL322" t="str">
        <f>IF($AZ$3=TRUE,IF(AQ322="","",SUM($AQ$6:AQ322)),"")</f>
        <v/>
      </c>
      <c r="BM322" t="str">
        <f>IF($BA$3=TRUE,IF(AR322="","",SUM($AR$6:AR322)),"")</f>
        <v/>
      </c>
      <c r="BN322" t="str">
        <f>IF($BB$3=TRUE,IF(AS322="","",SUM($AS$6:AS322)),"")</f>
        <v/>
      </c>
    </row>
    <row r="323" spans="34:66" x14ac:dyDescent="0.25">
      <c r="AH323" s="75"/>
      <c r="AK323" s="75"/>
      <c r="BF323" s="75" t="str">
        <f t="shared" si="14"/>
        <v/>
      </c>
      <c r="BG323" t="str">
        <f>IF($AU$3=TRUE,IF(AL323="","",SUM($AL$6:AL323)),"")</f>
        <v/>
      </c>
      <c r="BH323" t="str">
        <f>IF($AV$3=TRUE,IF(AM323="","",SUM($AM$6:AM323)),"")</f>
        <v/>
      </c>
      <c r="BI323" t="str">
        <f>IF($AW$3=TRUE,IF(AN323="","",SUM($AN$6:AN323)),"")</f>
        <v/>
      </c>
      <c r="BJ323" t="str">
        <f>IF($AX$3=TRUE,IF(AO323="","",SUM($AO$6:AO323)),"")</f>
        <v/>
      </c>
      <c r="BK323" t="str">
        <f>IF($AY$3=TRUE,IF(AP323="","",SUM($AP$6:AP323)),"")</f>
        <v/>
      </c>
      <c r="BL323" t="str">
        <f>IF($AZ$3=TRUE,IF(AQ323="","",SUM($AQ$6:AQ323)),"")</f>
        <v/>
      </c>
      <c r="BM323" t="str">
        <f>IF($BA$3=TRUE,IF(AR323="","",SUM($AR$6:AR323)),"")</f>
        <v/>
      </c>
      <c r="BN323" t="str">
        <f>IF($BB$3=TRUE,IF(AS323="","",SUM($AS$6:AS323)),"")</f>
        <v/>
      </c>
    </row>
    <row r="324" spans="34:66" x14ac:dyDescent="0.25">
      <c r="AH324" s="75"/>
      <c r="AK324" s="75"/>
      <c r="BF324" s="75" t="str">
        <f t="shared" si="14"/>
        <v/>
      </c>
      <c r="BG324" t="str">
        <f>IF($AU$3=TRUE,IF(AL324="","",SUM($AL$6:AL324)),"")</f>
        <v/>
      </c>
      <c r="BH324" t="str">
        <f>IF($AV$3=TRUE,IF(AM324="","",SUM($AM$6:AM324)),"")</f>
        <v/>
      </c>
      <c r="BI324" t="str">
        <f>IF($AW$3=TRUE,IF(AN324="","",SUM($AN$6:AN324)),"")</f>
        <v/>
      </c>
      <c r="BJ324" t="str">
        <f>IF($AX$3=TRUE,IF(AO324="","",SUM($AO$6:AO324)),"")</f>
        <v/>
      </c>
      <c r="BK324" t="str">
        <f>IF($AY$3=TRUE,IF(AP324="","",SUM($AP$6:AP324)),"")</f>
        <v/>
      </c>
      <c r="BL324" t="str">
        <f>IF($AZ$3=TRUE,IF(AQ324="","",SUM($AQ$6:AQ324)),"")</f>
        <v/>
      </c>
      <c r="BM324" t="str">
        <f>IF($BA$3=TRUE,IF(AR324="","",SUM($AR$6:AR324)),"")</f>
        <v/>
      </c>
      <c r="BN324" t="str">
        <f>IF($BB$3=TRUE,IF(AS324="","",SUM($AS$6:AS324)),"")</f>
        <v/>
      </c>
    </row>
    <row r="325" spans="34:66" x14ac:dyDescent="0.25">
      <c r="AH325" s="75"/>
      <c r="AK325" s="75"/>
      <c r="BF325" s="75" t="str">
        <f t="shared" si="14"/>
        <v/>
      </c>
      <c r="BG325" t="str">
        <f>IF($AU$3=TRUE,IF(AL325="","",SUM($AL$6:AL325)),"")</f>
        <v/>
      </c>
      <c r="BH325" t="str">
        <f>IF($AV$3=TRUE,IF(AM325="","",SUM($AM$6:AM325)),"")</f>
        <v/>
      </c>
      <c r="BI325" t="str">
        <f>IF($AW$3=TRUE,IF(AN325="","",SUM($AN$6:AN325)),"")</f>
        <v/>
      </c>
      <c r="BJ325" t="str">
        <f>IF($AX$3=TRUE,IF(AO325="","",SUM($AO$6:AO325)),"")</f>
        <v/>
      </c>
      <c r="BK325" t="str">
        <f>IF($AY$3=TRUE,IF(AP325="","",SUM($AP$6:AP325)),"")</f>
        <v/>
      </c>
      <c r="BL325" t="str">
        <f>IF($AZ$3=TRUE,IF(AQ325="","",SUM($AQ$6:AQ325)),"")</f>
        <v/>
      </c>
      <c r="BM325" t="str">
        <f>IF($BA$3=TRUE,IF(AR325="","",SUM($AR$6:AR325)),"")</f>
        <v/>
      </c>
      <c r="BN325" t="str">
        <f>IF($BB$3=TRUE,IF(AS325="","",SUM($AS$6:AS325)),"")</f>
        <v/>
      </c>
    </row>
    <row r="326" spans="34:66" x14ac:dyDescent="0.25">
      <c r="AH326" s="75"/>
      <c r="AK326" s="75"/>
      <c r="BF326" s="75" t="str">
        <f t="shared" si="14"/>
        <v/>
      </c>
      <c r="BG326" t="str">
        <f>IF($AU$3=TRUE,IF(AL326="","",SUM($AL$6:AL326)),"")</f>
        <v/>
      </c>
      <c r="BH326" t="str">
        <f>IF($AV$3=TRUE,IF(AM326="","",SUM($AM$6:AM326)),"")</f>
        <v/>
      </c>
      <c r="BI326" t="str">
        <f>IF($AW$3=TRUE,IF(AN326="","",SUM($AN$6:AN326)),"")</f>
        <v/>
      </c>
      <c r="BJ326" t="str">
        <f>IF($AX$3=TRUE,IF(AO326="","",SUM($AO$6:AO326)),"")</f>
        <v/>
      </c>
      <c r="BK326" t="str">
        <f>IF($AY$3=TRUE,IF(AP326="","",SUM($AP$6:AP326)),"")</f>
        <v/>
      </c>
      <c r="BL326" t="str">
        <f>IF($AZ$3=TRUE,IF(AQ326="","",SUM($AQ$6:AQ326)),"")</f>
        <v/>
      </c>
      <c r="BM326" t="str">
        <f>IF($BA$3=TRUE,IF(AR326="","",SUM($AR$6:AR326)),"")</f>
        <v/>
      </c>
      <c r="BN326" t="str">
        <f>IF($BB$3=TRUE,IF(AS326="","",SUM($AS$6:AS326)),"")</f>
        <v/>
      </c>
    </row>
    <row r="327" spans="34:66" x14ac:dyDescent="0.25">
      <c r="AH327" s="75"/>
      <c r="AK327" s="75"/>
      <c r="BF327" s="75" t="str">
        <f t="shared" ref="BF327:BF390" si="15">IF(AK327="","",AK327)</f>
        <v/>
      </c>
      <c r="BG327" t="str">
        <f>IF($AU$3=TRUE,IF(AL327="","",SUM($AL$6:AL327)),"")</f>
        <v/>
      </c>
      <c r="BH327" t="str">
        <f>IF($AV$3=TRUE,IF(AM327="","",SUM($AM$6:AM327)),"")</f>
        <v/>
      </c>
      <c r="BI327" t="str">
        <f>IF($AW$3=TRUE,IF(AN327="","",SUM($AN$6:AN327)),"")</f>
        <v/>
      </c>
      <c r="BJ327" t="str">
        <f>IF($AX$3=TRUE,IF(AO327="","",SUM($AO$6:AO327)),"")</f>
        <v/>
      </c>
      <c r="BK327" t="str">
        <f>IF($AY$3=TRUE,IF(AP327="","",SUM($AP$6:AP327)),"")</f>
        <v/>
      </c>
      <c r="BL327" t="str">
        <f>IF($AZ$3=TRUE,IF(AQ327="","",SUM($AQ$6:AQ327)),"")</f>
        <v/>
      </c>
      <c r="BM327" t="str">
        <f>IF($BA$3=TRUE,IF(AR327="","",SUM($AR$6:AR327)),"")</f>
        <v/>
      </c>
      <c r="BN327" t="str">
        <f>IF($BB$3=TRUE,IF(AS327="","",SUM($AS$6:AS327)),"")</f>
        <v/>
      </c>
    </row>
    <row r="328" spans="34:66" x14ac:dyDescent="0.25">
      <c r="AH328" s="75"/>
      <c r="AK328" s="75"/>
      <c r="BF328" s="75" t="str">
        <f t="shared" si="15"/>
        <v/>
      </c>
      <c r="BG328" t="str">
        <f>IF($AU$3=TRUE,IF(AL328="","",SUM($AL$6:AL328)),"")</f>
        <v/>
      </c>
      <c r="BH328" t="str">
        <f>IF($AV$3=TRUE,IF(AM328="","",SUM($AM$6:AM328)),"")</f>
        <v/>
      </c>
      <c r="BI328" t="str">
        <f>IF($AW$3=TRUE,IF(AN328="","",SUM($AN$6:AN328)),"")</f>
        <v/>
      </c>
      <c r="BJ328" t="str">
        <f>IF($AX$3=TRUE,IF(AO328="","",SUM($AO$6:AO328)),"")</f>
        <v/>
      </c>
      <c r="BK328" t="str">
        <f>IF($AY$3=TRUE,IF(AP328="","",SUM($AP$6:AP328)),"")</f>
        <v/>
      </c>
      <c r="BL328" t="str">
        <f>IF($AZ$3=TRUE,IF(AQ328="","",SUM($AQ$6:AQ328)),"")</f>
        <v/>
      </c>
      <c r="BM328" t="str">
        <f>IF($BA$3=TRUE,IF(AR328="","",SUM($AR$6:AR328)),"")</f>
        <v/>
      </c>
      <c r="BN328" t="str">
        <f>IF($BB$3=TRUE,IF(AS328="","",SUM($AS$6:AS328)),"")</f>
        <v/>
      </c>
    </row>
    <row r="329" spans="34:66" x14ac:dyDescent="0.25">
      <c r="AH329" s="75"/>
      <c r="AK329" s="75"/>
      <c r="BF329" s="75" t="str">
        <f t="shared" si="15"/>
        <v/>
      </c>
      <c r="BG329" t="str">
        <f>IF($AU$3=TRUE,IF(AL329="","",SUM($AL$6:AL329)),"")</f>
        <v/>
      </c>
      <c r="BH329" t="str">
        <f>IF($AV$3=TRUE,IF(AM329="","",SUM($AM$6:AM329)),"")</f>
        <v/>
      </c>
      <c r="BI329" t="str">
        <f>IF($AW$3=TRUE,IF(AN329="","",SUM($AN$6:AN329)),"")</f>
        <v/>
      </c>
      <c r="BJ329" t="str">
        <f>IF($AX$3=TRUE,IF(AO329="","",SUM($AO$6:AO329)),"")</f>
        <v/>
      </c>
      <c r="BK329" t="str">
        <f>IF($AY$3=TRUE,IF(AP329="","",SUM($AP$6:AP329)),"")</f>
        <v/>
      </c>
      <c r="BL329" t="str">
        <f>IF($AZ$3=TRUE,IF(AQ329="","",SUM($AQ$6:AQ329)),"")</f>
        <v/>
      </c>
      <c r="BM329" t="str">
        <f>IF($BA$3=TRUE,IF(AR329="","",SUM($AR$6:AR329)),"")</f>
        <v/>
      </c>
      <c r="BN329" t="str">
        <f>IF($BB$3=TRUE,IF(AS329="","",SUM($AS$6:AS329)),"")</f>
        <v/>
      </c>
    </row>
    <row r="330" spans="34:66" x14ac:dyDescent="0.25">
      <c r="AH330" s="75"/>
      <c r="AK330" s="75"/>
      <c r="BF330" s="75" t="str">
        <f t="shared" si="15"/>
        <v/>
      </c>
      <c r="BG330" t="str">
        <f>IF($AU$3=TRUE,IF(AL330="","",SUM($AL$6:AL330)),"")</f>
        <v/>
      </c>
      <c r="BH330" t="str">
        <f>IF($AV$3=TRUE,IF(AM330="","",SUM($AM$6:AM330)),"")</f>
        <v/>
      </c>
      <c r="BI330" t="str">
        <f>IF($AW$3=TRUE,IF(AN330="","",SUM($AN$6:AN330)),"")</f>
        <v/>
      </c>
      <c r="BJ330" t="str">
        <f>IF($AX$3=TRUE,IF(AO330="","",SUM($AO$6:AO330)),"")</f>
        <v/>
      </c>
      <c r="BK330" t="str">
        <f>IF($AY$3=TRUE,IF(AP330="","",SUM($AP$6:AP330)),"")</f>
        <v/>
      </c>
      <c r="BL330" t="str">
        <f>IF($AZ$3=TRUE,IF(AQ330="","",SUM($AQ$6:AQ330)),"")</f>
        <v/>
      </c>
      <c r="BM330" t="str">
        <f>IF($BA$3=TRUE,IF(AR330="","",SUM($AR$6:AR330)),"")</f>
        <v/>
      </c>
      <c r="BN330" t="str">
        <f>IF($BB$3=TRUE,IF(AS330="","",SUM($AS$6:AS330)),"")</f>
        <v/>
      </c>
    </row>
    <row r="331" spans="34:66" x14ac:dyDescent="0.25">
      <c r="AH331" s="75"/>
      <c r="AK331" s="75"/>
      <c r="BF331" s="75" t="str">
        <f t="shared" si="15"/>
        <v/>
      </c>
      <c r="BG331" t="str">
        <f>IF($AU$3=TRUE,IF(AL331="","",SUM($AL$6:AL331)),"")</f>
        <v/>
      </c>
      <c r="BH331" t="str">
        <f>IF($AV$3=TRUE,IF(AM331="","",SUM($AM$6:AM331)),"")</f>
        <v/>
      </c>
      <c r="BI331" t="str">
        <f>IF($AW$3=TRUE,IF(AN331="","",SUM($AN$6:AN331)),"")</f>
        <v/>
      </c>
      <c r="BJ331" t="str">
        <f>IF($AX$3=TRUE,IF(AO331="","",SUM($AO$6:AO331)),"")</f>
        <v/>
      </c>
      <c r="BK331" t="str">
        <f>IF($AY$3=TRUE,IF(AP331="","",SUM($AP$6:AP331)),"")</f>
        <v/>
      </c>
      <c r="BL331" t="str">
        <f>IF($AZ$3=TRUE,IF(AQ331="","",SUM($AQ$6:AQ331)),"")</f>
        <v/>
      </c>
      <c r="BM331" t="str">
        <f>IF($BA$3=TRUE,IF(AR331="","",SUM($AR$6:AR331)),"")</f>
        <v/>
      </c>
      <c r="BN331" t="str">
        <f>IF($BB$3=TRUE,IF(AS331="","",SUM($AS$6:AS331)),"")</f>
        <v/>
      </c>
    </row>
    <row r="332" spans="34:66" x14ac:dyDescent="0.25">
      <c r="AH332" s="75"/>
      <c r="AK332" s="75"/>
      <c r="BF332" s="75" t="str">
        <f t="shared" si="15"/>
        <v/>
      </c>
      <c r="BG332" t="str">
        <f>IF($AU$3=TRUE,IF(AL332="","",SUM($AL$6:AL332)),"")</f>
        <v/>
      </c>
      <c r="BH332" t="str">
        <f>IF($AV$3=TRUE,IF(AM332="","",SUM($AM$6:AM332)),"")</f>
        <v/>
      </c>
      <c r="BI332" t="str">
        <f>IF($AW$3=TRUE,IF(AN332="","",SUM($AN$6:AN332)),"")</f>
        <v/>
      </c>
      <c r="BJ332" t="str">
        <f>IF($AX$3=TRUE,IF(AO332="","",SUM($AO$6:AO332)),"")</f>
        <v/>
      </c>
      <c r="BK332" t="str">
        <f>IF($AY$3=TRUE,IF(AP332="","",SUM($AP$6:AP332)),"")</f>
        <v/>
      </c>
      <c r="BL332" t="str">
        <f>IF($AZ$3=TRUE,IF(AQ332="","",SUM($AQ$6:AQ332)),"")</f>
        <v/>
      </c>
      <c r="BM332" t="str">
        <f>IF($BA$3=TRUE,IF(AR332="","",SUM($AR$6:AR332)),"")</f>
        <v/>
      </c>
      <c r="BN332" t="str">
        <f>IF($BB$3=TRUE,IF(AS332="","",SUM($AS$6:AS332)),"")</f>
        <v/>
      </c>
    </row>
    <row r="333" spans="34:66" x14ac:dyDescent="0.25">
      <c r="AH333" s="75"/>
      <c r="AK333" s="75"/>
      <c r="BF333" s="75" t="str">
        <f t="shared" si="15"/>
        <v/>
      </c>
      <c r="BG333" t="str">
        <f>IF($AU$3=TRUE,IF(AL333="","",SUM($AL$6:AL333)),"")</f>
        <v/>
      </c>
      <c r="BH333" t="str">
        <f>IF($AV$3=TRUE,IF(AM333="","",SUM($AM$6:AM333)),"")</f>
        <v/>
      </c>
      <c r="BI333" t="str">
        <f>IF($AW$3=TRUE,IF(AN333="","",SUM($AN$6:AN333)),"")</f>
        <v/>
      </c>
      <c r="BJ333" t="str">
        <f>IF($AX$3=TRUE,IF(AO333="","",SUM($AO$6:AO333)),"")</f>
        <v/>
      </c>
      <c r="BK333" t="str">
        <f>IF($AY$3=TRUE,IF(AP333="","",SUM($AP$6:AP333)),"")</f>
        <v/>
      </c>
      <c r="BL333" t="str">
        <f>IF($AZ$3=TRUE,IF(AQ333="","",SUM($AQ$6:AQ333)),"")</f>
        <v/>
      </c>
      <c r="BM333" t="str">
        <f>IF($BA$3=TRUE,IF(AR333="","",SUM($AR$6:AR333)),"")</f>
        <v/>
      </c>
      <c r="BN333" t="str">
        <f>IF($BB$3=TRUE,IF(AS333="","",SUM($AS$6:AS333)),"")</f>
        <v/>
      </c>
    </row>
    <row r="334" spans="34:66" x14ac:dyDescent="0.25">
      <c r="AH334" s="75"/>
      <c r="AK334" s="75"/>
      <c r="BF334" s="75" t="str">
        <f t="shared" si="15"/>
        <v/>
      </c>
      <c r="BG334" t="str">
        <f>IF($AU$3=TRUE,IF(AL334="","",SUM($AL$6:AL334)),"")</f>
        <v/>
      </c>
      <c r="BH334" t="str">
        <f>IF($AV$3=TRUE,IF(AM334="","",SUM($AM$6:AM334)),"")</f>
        <v/>
      </c>
      <c r="BI334" t="str">
        <f>IF($AW$3=TRUE,IF(AN334="","",SUM($AN$6:AN334)),"")</f>
        <v/>
      </c>
      <c r="BJ334" t="str">
        <f>IF($AX$3=TRUE,IF(AO334="","",SUM($AO$6:AO334)),"")</f>
        <v/>
      </c>
      <c r="BK334" t="str">
        <f>IF($AY$3=TRUE,IF(AP334="","",SUM($AP$6:AP334)),"")</f>
        <v/>
      </c>
      <c r="BL334" t="str">
        <f>IF($AZ$3=TRUE,IF(AQ334="","",SUM($AQ$6:AQ334)),"")</f>
        <v/>
      </c>
      <c r="BM334" t="str">
        <f>IF($BA$3=TRUE,IF(AR334="","",SUM($AR$6:AR334)),"")</f>
        <v/>
      </c>
      <c r="BN334" t="str">
        <f>IF($BB$3=TRUE,IF(AS334="","",SUM($AS$6:AS334)),"")</f>
        <v/>
      </c>
    </row>
    <row r="335" spans="34:66" x14ac:dyDescent="0.25">
      <c r="AH335" s="75"/>
      <c r="AK335" s="75"/>
      <c r="BF335" s="75" t="str">
        <f t="shared" si="15"/>
        <v/>
      </c>
      <c r="BG335" t="str">
        <f>IF($AU$3=TRUE,IF(AL335="","",SUM($AL$6:AL335)),"")</f>
        <v/>
      </c>
      <c r="BH335" t="str">
        <f>IF($AV$3=TRUE,IF(AM335="","",SUM($AM$6:AM335)),"")</f>
        <v/>
      </c>
      <c r="BI335" t="str">
        <f>IF($AW$3=TRUE,IF(AN335="","",SUM($AN$6:AN335)),"")</f>
        <v/>
      </c>
      <c r="BJ335" t="str">
        <f>IF($AX$3=TRUE,IF(AO335="","",SUM($AO$6:AO335)),"")</f>
        <v/>
      </c>
      <c r="BK335" t="str">
        <f>IF($AY$3=TRUE,IF(AP335="","",SUM($AP$6:AP335)),"")</f>
        <v/>
      </c>
      <c r="BL335" t="str">
        <f>IF($AZ$3=TRUE,IF(AQ335="","",SUM($AQ$6:AQ335)),"")</f>
        <v/>
      </c>
      <c r="BM335" t="str">
        <f>IF($BA$3=TRUE,IF(AR335="","",SUM($AR$6:AR335)),"")</f>
        <v/>
      </c>
      <c r="BN335" t="str">
        <f>IF($BB$3=TRUE,IF(AS335="","",SUM($AS$6:AS335)),"")</f>
        <v/>
      </c>
    </row>
    <row r="336" spans="34:66" x14ac:dyDescent="0.25">
      <c r="AH336" s="75"/>
      <c r="AK336" s="75"/>
      <c r="BF336" s="75" t="str">
        <f t="shared" si="15"/>
        <v/>
      </c>
      <c r="BG336" t="str">
        <f>IF($AU$3=TRUE,IF(AL336="","",SUM($AL$6:AL336)),"")</f>
        <v/>
      </c>
      <c r="BH336" t="str">
        <f>IF($AV$3=TRUE,IF(AM336="","",SUM($AM$6:AM336)),"")</f>
        <v/>
      </c>
      <c r="BI336" t="str">
        <f>IF($AW$3=TRUE,IF(AN336="","",SUM($AN$6:AN336)),"")</f>
        <v/>
      </c>
      <c r="BJ336" t="str">
        <f>IF($AX$3=TRUE,IF(AO336="","",SUM($AO$6:AO336)),"")</f>
        <v/>
      </c>
      <c r="BK336" t="str">
        <f>IF($AY$3=TRUE,IF(AP336="","",SUM($AP$6:AP336)),"")</f>
        <v/>
      </c>
      <c r="BL336" t="str">
        <f>IF($AZ$3=TRUE,IF(AQ336="","",SUM($AQ$6:AQ336)),"")</f>
        <v/>
      </c>
      <c r="BM336" t="str">
        <f>IF($BA$3=TRUE,IF(AR336="","",SUM($AR$6:AR336)),"")</f>
        <v/>
      </c>
      <c r="BN336" t="str">
        <f>IF($BB$3=TRUE,IF(AS336="","",SUM($AS$6:AS336)),"")</f>
        <v/>
      </c>
    </row>
    <row r="337" spans="34:66" x14ac:dyDescent="0.25">
      <c r="AH337" s="75"/>
      <c r="AK337" s="75"/>
      <c r="BF337" s="75" t="str">
        <f t="shared" si="15"/>
        <v/>
      </c>
      <c r="BG337" t="str">
        <f>IF($AU$3=TRUE,IF(AL337="","",SUM($AL$6:AL337)),"")</f>
        <v/>
      </c>
      <c r="BH337" t="str">
        <f>IF($AV$3=TRUE,IF(AM337="","",SUM($AM$6:AM337)),"")</f>
        <v/>
      </c>
      <c r="BI337" t="str">
        <f>IF($AW$3=TRUE,IF(AN337="","",SUM($AN$6:AN337)),"")</f>
        <v/>
      </c>
      <c r="BJ337" t="str">
        <f>IF($AX$3=TRUE,IF(AO337="","",SUM($AO$6:AO337)),"")</f>
        <v/>
      </c>
      <c r="BK337" t="str">
        <f>IF($AY$3=TRUE,IF(AP337="","",SUM($AP$6:AP337)),"")</f>
        <v/>
      </c>
      <c r="BL337" t="str">
        <f>IF($AZ$3=TRUE,IF(AQ337="","",SUM($AQ$6:AQ337)),"")</f>
        <v/>
      </c>
      <c r="BM337" t="str">
        <f>IF($BA$3=TRUE,IF(AR337="","",SUM($AR$6:AR337)),"")</f>
        <v/>
      </c>
      <c r="BN337" t="str">
        <f>IF($BB$3=TRUE,IF(AS337="","",SUM($AS$6:AS337)),"")</f>
        <v/>
      </c>
    </row>
    <row r="338" spans="34:66" x14ac:dyDescent="0.25">
      <c r="AH338" s="75"/>
      <c r="AK338" s="75"/>
      <c r="BF338" s="75" t="str">
        <f t="shared" si="15"/>
        <v/>
      </c>
      <c r="BG338" t="str">
        <f>IF($AU$3=TRUE,IF(AL338="","",SUM($AL$6:AL338)),"")</f>
        <v/>
      </c>
      <c r="BH338" t="str">
        <f>IF($AV$3=TRUE,IF(AM338="","",SUM($AM$6:AM338)),"")</f>
        <v/>
      </c>
      <c r="BI338" t="str">
        <f>IF($AW$3=TRUE,IF(AN338="","",SUM($AN$6:AN338)),"")</f>
        <v/>
      </c>
      <c r="BJ338" t="str">
        <f>IF($AX$3=TRUE,IF(AO338="","",SUM($AO$6:AO338)),"")</f>
        <v/>
      </c>
      <c r="BK338" t="str">
        <f>IF($AY$3=TRUE,IF(AP338="","",SUM($AP$6:AP338)),"")</f>
        <v/>
      </c>
      <c r="BL338" t="str">
        <f>IF($AZ$3=TRUE,IF(AQ338="","",SUM($AQ$6:AQ338)),"")</f>
        <v/>
      </c>
      <c r="BM338" t="str">
        <f>IF($BA$3=TRUE,IF(AR338="","",SUM($AR$6:AR338)),"")</f>
        <v/>
      </c>
      <c r="BN338" t="str">
        <f>IF($BB$3=TRUE,IF(AS338="","",SUM($AS$6:AS338)),"")</f>
        <v/>
      </c>
    </row>
    <row r="339" spans="34:66" x14ac:dyDescent="0.25">
      <c r="AH339" s="75"/>
      <c r="AK339" s="75"/>
      <c r="BF339" s="75" t="str">
        <f t="shared" si="15"/>
        <v/>
      </c>
      <c r="BG339" t="str">
        <f>IF($AU$3=TRUE,IF(AL339="","",SUM($AL$6:AL339)),"")</f>
        <v/>
      </c>
      <c r="BH339" t="str">
        <f>IF($AV$3=TRUE,IF(AM339="","",SUM($AM$6:AM339)),"")</f>
        <v/>
      </c>
      <c r="BI339" t="str">
        <f>IF($AW$3=TRUE,IF(AN339="","",SUM($AN$6:AN339)),"")</f>
        <v/>
      </c>
      <c r="BJ339" t="str">
        <f>IF($AX$3=TRUE,IF(AO339="","",SUM($AO$6:AO339)),"")</f>
        <v/>
      </c>
      <c r="BK339" t="str">
        <f>IF($AY$3=TRUE,IF(AP339="","",SUM($AP$6:AP339)),"")</f>
        <v/>
      </c>
      <c r="BL339" t="str">
        <f>IF($AZ$3=TRUE,IF(AQ339="","",SUM($AQ$6:AQ339)),"")</f>
        <v/>
      </c>
      <c r="BM339" t="str">
        <f>IF($BA$3=TRUE,IF(AR339="","",SUM($AR$6:AR339)),"")</f>
        <v/>
      </c>
      <c r="BN339" t="str">
        <f>IF($BB$3=TRUE,IF(AS339="","",SUM($AS$6:AS339)),"")</f>
        <v/>
      </c>
    </row>
    <row r="340" spans="34:66" x14ac:dyDescent="0.25">
      <c r="AH340" s="75"/>
      <c r="AK340" s="75"/>
      <c r="BF340" s="75" t="str">
        <f t="shared" si="15"/>
        <v/>
      </c>
      <c r="BG340" t="str">
        <f>IF($AU$3=TRUE,IF(AL340="","",SUM($AL$6:AL340)),"")</f>
        <v/>
      </c>
      <c r="BH340" t="str">
        <f>IF($AV$3=TRUE,IF(AM340="","",SUM($AM$6:AM340)),"")</f>
        <v/>
      </c>
      <c r="BI340" t="str">
        <f>IF($AW$3=TRUE,IF(AN340="","",SUM($AN$6:AN340)),"")</f>
        <v/>
      </c>
      <c r="BJ340" t="str">
        <f>IF($AX$3=TRUE,IF(AO340="","",SUM($AO$6:AO340)),"")</f>
        <v/>
      </c>
      <c r="BK340" t="str">
        <f>IF($AY$3=TRUE,IF(AP340="","",SUM($AP$6:AP340)),"")</f>
        <v/>
      </c>
      <c r="BL340" t="str">
        <f>IF($AZ$3=TRUE,IF(AQ340="","",SUM($AQ$6:AQ340)),"")</f>
        <v/>
      </c>
      <c r="BM340" t="str">
        <f>IF($BA$3=TRUE,IF(AR340="","",SUM($AR$6:AR340)),"")</f>
        <v/>
      </c>
      <c r="BN340" t="str">
        <f>IF($BB$3=TRUE,IF(AS340="","",SUM($AS$6:AS340)),"")</f>
        <v/>
      </c>
    </row>
    <row r="341" spans="34:66" x14ac:dyDescent="0.25">
      <c r="AH341" s="75"/>
      <c r="AK341" s="75"/>
      <c r="BF341" s="75" t="str">
        <f t="shared" si="15"/>
        <v/>
      </c>
      <c r="BG341" t="str">
        <f>IF($AU$3=TRUE,IF(AL341="","",SUM($AL$6:AL341)),"")</f>
        <v/>
      </c>
      <c r="BH341" t="str">
        <f>IF($AV$3=TRUE,IF(AM341="","",SUM($AM$6:AM341)),"")</f>
        <v/>
      </c>
      <c r="BI341" t="str">
        <f>IF($AW$3=TRUE,IF(AN341="","",SUM($AN$6:AN341)),"")</f>
        <v/>
      </c>
      <c r="BJ341" t="str">
        <f>IF($AX$3=TRUE,IF(AO341="","",SUM($AO$6:AO341)),"")</f>
        <v/>
      </c>
      <c r="BK341" t="str">
        <f>IF($AY$3=TRUE,IF(AP341="","",SUM($AP$6:AP341)),"")</f>
        <v/>
      </c>
      <c r="BL341" t="str">
        <f>IF($AZ$3=TRUE,IF(AQ341="","",SUM($AQ$6:AQ341)),"")</f>
        <v/>
      </c>
      <c r="BM341" t="str">
        <f>IF($BA$3=TRUE,IF(AR341="","",SUM($AR$6:AR341)),"")</f>
        <v/>
      </c>
      <c r="BN341" t="str">
        <f>IF($BB$3=TRUE,IF(AS341="","",SUM($AS$6:AS341)),"")</f>
        <v/>
      </c>
    </row>
    <row r="342" spans="34:66" x14ac:dyDescent="0.25">
      <c r="AH342" s="75"/>
      <c r="AK342" s="75"/>
      <c r="BF342" s="75" t="str">
        <f t="shared" si="15"/>
        <v/>
      </c>
      <c r="BG342" t="str">
        <f>IF($AU$3=TRUE,IF(AL342="","",SUM($AL$6:AL342)),"")</f>
        <v/>
      </c>
      <c r="BH342" t="str">
        <f>IF($AV$3=TRUE,IF(AM342="","",SUM($AM$6:AM342)),"")</f>
        <v/>
      </c>
      <c r="BI342" t="str">
        <f>IF($AW$3=TRUE,IF(AN342="","",SUM($AN$6:AN342)),"")</f>
        <v/>
      </c>
      <c r="BJ342" t="str">
        <f>IF($AX$3=TRUE,IF(AO342="","",SUM($AO$6:AO342)),"")</f>
        <v/>
      </c>
      <c r="BK342" t="str">
        <f>IF($AY$3=TRUE,IF(AP342="","",SUM($AP$6:AP342)),"")</f>
        <v/>
      </c>
      <c r="BL342" t="str">
        <f>IF($AZ$3=TRUE,IF(AQ342="","",SUM($AQ$6:AQ342)),"")</f>
        <v/>
      </c>
      <c r="BM342" t="str">
        <f>IF($BA$3=TRUE,IF(AR342="","",SUM($AR$6:AR342)),"")</f>
        <v/>
      </c>
      <c r="BN342" t="str">
        <f>IF($BB$3=TRUE,IF(AS342="","",SUM($AS$6:AS342)),"")</f>
        <v/>
      </c>
    </row>
    <row r="343" spans="34:66" x14ac:dyDescent="0.25">
      <c r="AH343" s="75"/>
      <c r="AK343" s="75"/>
      <c r="BF343" s="75" t="str">
        <f t="shared" si="15"/>
        <v/>
      </c>
      <c r="BG343" t="str">
        <f>IF($AU$3=TRUE,IF(AL343="","",SUM($AL$6:AL343)),"")</f>
        <v/>
      </c>
      <c r="BH343" t="str">
        <f>IF($AV$3=TRUE,IF(AM343="","",SUM($AM$6:AM343)),"")</f>
        <v/>
      </c>
      <c r="BI343" t="str">
        <f>IF($AW$3=TRUE,IF(AN343="","",SUM($AN$6:AN343)),"")</f>
        <v/>
      </c>
      <c r="BJ343" t="str">
        <f>IF($AX$3=TRUE,IF(AO343="","",SUM($AO$6:AO343)),"")</f>
        <v/>
      </c>
      <c r="BK343" t="str">
        <f>IF($AY$3=TRUE,IF(AP343="","",SUM($AP$6:AP343)),"")</f>
        <v/>
      </c>
      <c r="BL343" t="str">
        <f>IF($AZ$3=TRUE,IF(AQ343="","",SUM($AQ$6:AQ343)),"")</f>
        <v/>
      </c>
      <c r="BM343" t="str">
        <f>IF($BA$3=TRUE,IF(AR343="","",SUM($AR$6:AR343)),"")</f>
        <v/>
      </c>
      <c r="BN343" t="str">
        <f>IF($BB$3=TRUE,IF(AS343="","",SUM($AS$6:AS343)),"")</f>
        <v/>
      </c>
    </row>
    <row r="344" spans="34:66" x14ac:dyDescent="0.25">
      <c r="AH344" s="75"/>
      <c r="AK344" s="75"/>
      <c r="BF344" s="75" t="str">
        <f t="shared" si="15"/>
        <v/>
      </c>
      <c r="BG344" t="str">
        <f>IF($AU$3=TRUE,IF(AL344="","",SUM($AL$6:AL344)),"")</f>
        <v/>
      </c>
      <c r="BH344" t="str">
        <f>IF($AV$3=TRUE,IF(AM344="","",SUM($AM$6:AM344)),"")</f>
        <v/>
      </c>
      <c r="BI344" t="str">
        <f>IF($AW$3=TRUE,IF(AN344="","",SUM($AN$6:AN344)),"")</f>
        <v/>
      </c>
      <c r="BJ344" t="str">
        <f>IF($AX$3=TRUE,IF(AO344="","",SUM($AO$6:AO344)),"")</f>
        <v/>
      </c>
      <c r="BK344" t="str">
        <f>IF($AY$3=TRUE,IF(AP344="","",SUM($AP$6:AP344)),"")</f>
        <v/>
      </c>
      <c r="BL344" t="str">
        <f>IF($AZ$3=TRUE,IF(AQ344="","",SUM($AQ$6:AQ344)),"")</f>
        <v/>
      </c>
      <c r="BM344" t="str">
        <f>IF($BA$3=TRUE,IF(AR344="","",SUM($AR$6:AR344)),"")</f>
        <v/>
      </c>
      <c r="BN344" t="str">
        <f>IF($BB$3=TRUE,IF(AS344="","",SUM($AS$6:AS344)),"")</f>
        <v/>
      </c>
    </row>
    <row r="345" spans="34:66" x14ac:dyDescent="0.25">
      <c r="AH345" s="75"/>
      <c r="AK345" s="75"/>
      <c r="BF345" s="75" t="str">
        <f t="shared" si="15"/>
        <v/>
      </c>
      <c r="BG345" t="str">
        <f>IF($AU$3=TRUE,IF(AL345="","",SUM($AL$6:AL345)),"")</f>
        <v/>
      </c>
      <c r="BH345" t="str">
        <f>IF($AV$3=TRUE,IF(AM345="","",SUM($AM$6:AM345)),"")</f>
        <v/>
      </c>
      <c r="BI345" t="str">
        <f>IF($AW$3=TRUE,IF(AN345="","",SUM($AN$6:AN345)),"")</f>
        <v/>
      </c>
      <c r="BJ345" t="str">
        <f>IF($AX$3=TRUE,IF(AO345="","",SUM($AO$6:AO345)),"")</f>
        <v/>
      </c>
      <c r="BK345" t="str">
        <f>IF($AY$3=TRUE,IF(AP345="","",SUM($AP$6:AP345)),"")</f>
        <v/>
      </c>
      <c r="BL345" t="str">
        <f>IF($AZ$3=TRUE,IF(AQ345="","",SUM($AQ$6:AQ345)),"")</f>
        <v/>
      </c>
      <c r="BM345" t="str">
        <f>IF($BA$3=TRUE,IF(AR345="","",SUM($AR$6:AR345)),"")</f>
        <v/>
      </c>
      <c r="BN345" t="str">
        <f>IF($BB$3=TRUE,IF(AS345="","",SUM($AS$6:AS345)),"")</f>
        <v/>
      </c>
    </row>
    <row r="346" spans="34:66" x14ac:dyDescent="0.25">
      <c r="AH346" s="75"/>
      <c r="AK346" s="75"/>
      <c r="BF346" s="75" t="str">
        <f t="shared" si="15"/>
        <v/>
      </c>
      <c r="BG346" t="str">
        <f>IF($AU$3=TRUE,IF(AL346="","",SUM($AL$6:AL346)),"")</f>
        <v/>
      </c>
      <c r="BH346" t="str">
        <f>IF($AV$3=TRUE,IF(AM346="","",SUM($AM$6:AM346)),"")</f>
        <v/>
      </c>
      <c r="BI346" t="str">
        <f>IF($AW$3=TRUE,IF(AN346="","",SUM($AN$6:AN346)),"")</f>
        <v/>
      </c>
      <c r="BJ346" t="str">
        <f>IF($AX$3=TRUE,IF(AO346="","",SUM($AO$6:AO346)),"")</f>
        <v/>
      </c>
      <c r="BK346" t="str">
        <f>IF($AY$3=TRUE,IF(AP346="","",SUM($AP$6:AP346)),"")</f>
        <v/>
      </c>
      <c r="BL346" t="str">
        <f>IF($AZ$3=TRUE,IF(AQ346="","",SUM($AQ$6:AQ346)),"")</f>
        <v/>
      </c>
      <c r="BM346" t="str">
        <f>IF($BA$3=TRUE,IF(AR346="","",SUM($AR$6:AR346)),"")</f>
        <v/>
      </c>
      <c r="BN346" t="str">
        <f>IF($BB$3=TRUE,IF(AS346="","",SUM($AS$6:AS346)),"")</f>
        <v/>
      </c>
    </row>
    <row r="347" spans="34:66" x14ac:dyDescent="0.25">
      <c r="AH347" s="75"/>
      <c r="AK347" s="75"/>
      <c r="BF347" s="75" t="str">
        <f t="shared" si="15"/>
        <v/>
      </c>
      <c r="BG347" t="str">
        <f>IF($AU$3=TRUE,IF(AL347="","",SUM($AL$6:AL347)),"")</f>
        <v/>
      </c>
      <c r="BH347" t="str">
        <f>IF($AV$3=TRUE,IF(AM347="","",SUM($AM$6:AM347)),"")</f>
        <v/>
      </c>
      <c r="BI347" t="str">
        <f>IF($AW$3=TRUE,IF(AN347="","",SUM($AN$6:AN347)),"")</f>
        <v/>
      </c>
      <c r="BJ347" t="str">
        <f>IF($AX$3=TRUE,IF(AO347="","",SUM($AO$6:AO347)),"")</f>
        <v/>
      </c>
      <c r="BK347" t="str">
        <f>IF($AY$3=TRUE,IF(AP347="","",SUM($AP$6:AP347)),"")</f>
        <v/>
      </c>
      <c r="BL347" t="str">
        <f>IF($AZ$3=TRUE,IF(AQ347="","",SUM($AQ$6:AQ347)),"")</f>
        <v/>
      </c>
      <c r="BM347" t="str">
        <f>IF($BA$3=TRUE,IF(AR347="","",SUM($AR$6:AR347)),"")</f>
        <v/>
      </c>
      <c r="BN347" t="str">
        <f>IF($BB$3=TRUE,IF(AS347="","",SUM($AS$6:AS347)),"")</f>
        <v/>
      </c>
    </row>
    <row r="348" spans="34:66" x14ac:dyDescent="0.25">
      <c r="AH348" s="75"/>
      <c r="AK348" s="75"/>
      <c r="BF348" s="75" t="str">
        <f t="shared" si="15"/>
        <v/>
      </c>
      <c r="BG348" t="str">
        <f>IF($AU$3=TRUE,IF(AL348="","",SUM($AL$6:AL348)),"")</f>
        <v/>
      </c>
      <c r="BH348" t="str">
        <f>IF($AV$3=TRUE,IF(AM348="","",SUM($AM$6:AM348)),"")</f>
        <v/>
      </c>
      <c r="BI348" t="str">
        <f>IF($AW$3=TRUE,IF(AN348="","",SUM($AN$6:AN348)),"")</f>
        <v/>
      </c>
      <c r="BJ348" t="str">
        <f>IF($AX$3=TRUE,IF(AO348="","",SUM($AO$6:AO348)),"")</f>
        <v/>
      </c>
      <c r="BK348" t="str">
        <f>IF($AY$3=TRUE,IF(AP348="","",SUM($AP$6:AP348)),"")</f>
        <v/>
      </c>
      <c r="BL348" t="str">
        <f>IF($AZ$3=TRUE,IF(AQ348="","",SUM($AQ$6:AQ348)),"")</f>
        <v/>
      </c>
      <c r="BM348" t="str">
        <f>IF($BA$3=TRUE,IF(AR348="","",SUM($AR$6:AR348)),"")</f>
        <v/>
      </c>
      <c r="BN348" t="str">
        <f>IF($BB$3=TRUE,IF(AS348="","",SUM($AS$6:AS348)),"")</f>
        <v/>
      </c>
    </row>
    <row r="349" spans="34:66" x14ac:dyDescent="0.25">
      <c r="AH349" s="75"/>
      <c r="AK349" s="75"/>
      <c r="BF349" s="75" t="str">
        <f t="shared" si="15"/>
        <v/>
      </c>
      <c r="BG349" t="str">
        <f>IF($AU$3=TRUE,IF(AL349="","",SUM($AL$6:AL349)),"")</f>
        <v/>
      </c>
      <c r="BH349" t="str">
        <f>IF($AV$3=TRUE,IF(AM349="","",SUM($AM$6:AM349)),"")</f>
        <v/>
      </c>
      <c r="BI349" t="str">
        <f>IF($AW$3=TRUE,IF(AN349="","",SUM($AN$6:AN349)),"")</f>
        <v/>
      </c>
      <c r="BJ349" t="str">
        <f>IF($AX$3=TRUE,IF(AO349="","",SUM($AO$6:AO349)),"")</f>
        <v/>
      </c>
      <c r="BK349" t="str">
        <f>IF($AY$3=TRUE,IF(AP349="","",SUM($AP$6:AP349)),"")</f>
        <v/>
      </c>
      <c r="BL349" t="str">
        <f>IF($AZ$3=TRUE,IF(AQ349="","",SUM($AQ$6:AQ349)),"")</f>
        <v/>
      </c>
      <c r="BM349" t="str">
        <f>IF($BA$3=TRUE,IF(AR349="","",SUM($AR$6:AR349)),"")</f>
        <v/>
      </c>
      <c r="BN349" t="str">
        <f>IF($BB$3=TRUE,IF(AS349="","",SUM($AS$6:AS349)),"")</f>
        <v/>
      </c>
    </row>
    <row r="350" spans="34:66" x14ac:dyDescent="0.25">
      <c r="AH350" s="75"/>
      <c r="AK350" s="75"/>
      <c r="BF350" s="75" t="str">
        <f t="shared" si="15"/>
        <v/>
      </c>
      <c r="BG350" t="str">
        <f>IF($AU$3=TRUE,IF(AL350="","",SUM($AL$6:AL350)),"")</f>
        <v/>
      </c>
      <c r="BH350" t="str">
        <f>IF($AV$3=TRUE,IF(AM350="","",SUM($AM$6:AM350)),"")</f>
        <v/>
      </c>
      <c r="BI350" t="str">
        <f>IF($AW$3=TRUE,IF(AN350="","",SUM($AN$6:AN350)),"")</f>
        <v/>
      </c>
      <c r="BJ350" t="str">
        <f>IF($AX$3=TRUE,IF(AO350="","",SUM($AO$6:AO350)),"")</f>
        <v/>
      </c>
      <c r="BK350" t="str">
        <f>IF($AY$3=TRUE,IF(AP350="","",SUM($AP$6:AP350)),"")</f>
        <v/>
      </c>
      <c r="BL350" t="str">
        <f>IF($AZ$3=TRUE,IF(AQ350="","",SUM($AQ$6:AQ350)),"")</f>
        <v/>
      </c>
      <c r="BM350" t="str">
        <f>IF($BA$3=TRUE,IF(AR350="","",SUM($AR$6:AR350)),"")</f>
        <v/>
      </c>
      <c r="BN350" t="str">
        <f>IF($BB$3=TRUE,IF(AS350="","",SUM($AS$6:AS350)),"")</f>
        <v/>
      </c>
    </row>
    <row r="351" spans="34:66" x14ac:dyDescent="0.25">
      <c r="AH351" s="75"/>
      <c r="AK351" s="75"/>
      <c r="BF351" s="75" t="str">
        <f t="shared" si="15"/>
        <v/>
      </c>
      <c r="BG351" t="str">
        <f>IF($AU$3=TRUE,IF(AL351="","",SUM($AL$6:AL351)),"")</f>
        <v/>
      </c>
      <c r="BH351" t="str">
        <f>IF($AV$3=TRUE,IF(AM351="","",SUM($AM$6:AM351)),"")</f>
        <v/>
      </c>
      <c r="BI351" t="str">
        <f>IF($AW$3=TRUE,IF(AN351="","",SUM($AN$6:AN351)),"")</f>
        <v/>
      </c>
      <c r="BJ351" t="str">
        <f>IF($AX$3=TRUE,IF(AO351="","",SUM($AO$6:AO351)),"")</f>
        <v/>
      </c>
      <c r="BK351" t="str">
        <f>IF($AY$3=TRUE,IF(AP351="","",SUM($AP$6:AP351)),"")</f>
        <v/>
      </c>
      <c r="BL351" t="str">
        <f>IF($AZ$3=TRUE,IF(AQ351="","",SUM($AQ$6:AQ351)),"")</f>
        <v/>
      </c>
      <c r="BM351" t="str">
        <f>IF($BA$3=TRUE,IF(AR351="","",SUM($AR$6:AR351)),"")</f>
        <v/>
      </c>
      <c r="BN351" t="str">
        <f>IF($BB$3=TRUE,IF(AS351="","",SUM($AS$6:AS351)),"")</f>
        <v/>
      </c>
    </row>
    <row r="352" spans="34:66" x14ac:dyDescent="0.25">
      <c r="AH352" s="75"/>
      <c r="AK352" s="75"/>
      <c r="BF352" s="75" t="str">
        <f t="shared" si="15"/>
        <v/>
      </c>
      <c r="BG352" t="str">
        <f>IF($AU$3=TRUE,IF(AL352="","",SUM($AL$6:AL352)),"")</f>
        <v/>
      </c>
      <c r="BH352" t="str">
        <f>IF($AV$3=TRUE,IF(AM352="","",SUM($AM$6:AM352)),"")</f>
        <v/>
      </c>
      <c r="BI352" t="str">
        <f>IF($AW$3=TRUE,IF(AN352="","",SUM($AN$6:AN352)),"")</f>
        <v/>
      </c>
      <c r="BJ352" t="str">
        <f>IF($AX$3=TRUE,IF(AO352="","",SUM($AO$6:AO352)),"")</f>
        <v/>
      </c>
      <c r="BK352" t="str">
        <f>IF($AY$3=TRUE,IF(AP352="","",SUM($AP$6:AP352)),"")</f>
        <v/>
      </c>
      <c r="BL352" t="str">
        <f>IF($AZ$3=TRUE,IF(AQ352="","",SUM($AQ$6:AQ352)),"")</f>
        <v/>
      </c>
      <c r="BM352" t="str">
        <f>IF($BA$3=TRUE,IF(AR352="","",SUM($AR$6:AR352)),"")</f>
        <v/>
      </c>
      <c r="BN352" t="str">
        <f>IF($BB$3=TRUE,IF(AS352="","",SUM($AS$6:AS352)),"")</f>
        <v/>
      </c>
    </row>
    <row r="353" spans="34:66" x14ac:dyDescent="0.25">
      <c r="AH353" s="75"/>
      <c r="AK353" s="75"/>
      <c r="BF353" s="75" t="str">
        <f t="shared" si="15"/>
        <v/>
      </c>
      <c r="BG353" t="str">
        <f>IF($AU$3=TRUE,IF(AL353="","",SUM($AL$6:AL353)),"")</f>
        <v/>
      </c>
      <c r="BH353" t="str">
        <f>IF($AV$3=TRUE,IF(AM353="","",SUM($AM$6:AM353)),"")</f>
        <v/>
      </c>
      <c r="BI353" t="str">
        <f>IF($AW$3=TRUE,IF(AN353="","",SUM($AN$6:AN353)),"")</f>
        <v/>
      </c>
      <c r="BJ353" t="str">
        <f>IF($AX$3=TRUE,IF(AO353="","",SUM($AO$6:AO353)),"")</f>
        <v/>
      </c>
      <c r="BK353" t="str">
        <f>IF($AY$3=TRUE,IF(AP353="","",SUM($AP$6:AP353)),"")</f>
        <v/>
      </c>
      <c r="BL353" t="str">
        <f>IF($AZ$3=TRUE,IF(AQ353="","",SUM($AQ$6:AQ353)),"")</f>
        <v/>
      </c>
      <c r="BM353" t="str">
        <f>IF($BA$3=TRUE,IF(AR353="","",SUM($AR$6:AR353)),"")</f>
        <v/>
      </c>
      <c r="BN353" t="str">
        <f>IF($BB$3=TRUE,IF(AS353="","",SUM($AS$6:AS353)),"")</f>
        <v/>
      </c>
    </row>
    <row r="354" spans="34:66" x14ac:dyDescent="0.25">
      <c r="AH354" s="75"/>
      <c r="AK354" s="75"/>
      <c r="BF354" s="75" t="str">
        <f t="shared" si="15"/>
        <v/>
      </c>
      <c r="BG354" t="str">
        <f>IF($AU$3=TRUE,IF(AL354="","",SUM($AL$6:AL354)),"")</f>
        <v/>
      </c>
      <c r="BH354" t="str">
        <f>IF($AV$3=TRUE,IF(AM354="","",SUM($AM$6:AM354)),"")</f>
        <v/>
      </c>
      <c r="BI354" t="str">
        <f>IF($AW$3=TRUE,IF(AN354="","",SUM($AN$6:AN354)),"")</f>
        <v/>
      </c>
      <c r="BJ354" t="str">
        <f>IF($AX$3=TRUE,IF(AO354="","",SUM($AO$6:AO354)),"")</f>
        <v/>
      </c>
      <c r="BK354" t="str">
        <f>IF($AY$3=TRUE,IF(AP354="","",SUM($AP$6:AP354)),"")</f>
        <v/>
      </c>
      <c r="BL354" t="str">
        <f>IF($AZ$3=TRUE,IF(AQ354="","",SUM($AQ$6:AQ354)),"")</f>
        <v/>
      </c>
      <c r="BM354" t="str">
        <f>IF($BA$3=TRUE,IF(AR354="","",SUM($AR$6:AR354)),"")</f>
        <v/>
      </c>
      <c r="BN354" t="str">
        <f>IF($BB$3=TRUE,IF(AS354="","",SUM($AS$6:AS354)),"")</f>
        <v/>
      </c>
    </row>
    <row r="355" spans="34:66" x14ac:dyDescent="0.25">
      <c r="AH355" s="75"/>
      <c r="AK355" s="75"/>
      <c r="BF355" s="75" t="str">
        <f t="shared" si="15"/>
        <v/>
      </c>
      <c r="BG355" t="str">
        <f>IF($AU$3=TRUE,IF(AL355="","",SUM($AL$6:AL355)),"")</f>
        <v/>
      </c>
      <c r="BH355" t="str">
        <f>IF($AV$3=TRUE,IF(AM355="","",SUM($AM$6:AM355)),"")</f>
        <v/>
      </c>
      <c r="BI355" t="str">
        <f>IF($AW$3=TRUE,IF(AN355="","",SUM($AN$6:AN355)),"")</f>
        <v/>
      </c>
      <c r="BJ355" t="str">
        <f>IF($AX$3=TRUE,IF(AO355="","",SUM($AO$6:AO355)),"")</f>
        <v/>
      </c>
      <c r="BK355" t="str">
        <f>IF($AY$3=TRUE,IF(AP355="","",SUM($AP$6:AP355)),"")</f>
        <v/>
      </c>
      <c r="BL355" t="str">
        <f>IF($AZ$3=TRUE,IF(AQ355="","",SUM($AQ$6:AQ355)),"")</f>
        <v/>
      </c>
      <c r="BM355" t="str">
        <f>IF($BA$3=TRUE,IF(AR355="","",SUM($AR$6:AR355)),"")</f>
        <v/>
      </c>
      <c r="BN355" t="str">
        <f>IF($BB$3=TRUE,IF(AS355="","",SUM($AS$6:AS355)),"")</f>
        <v/>
      </c>
    </row>
    <row r="356" spans="34:66" x14ac:dyDescent="0.25">
      <c r="AH356" s="75"/>
      <c r="AK356" s="75"/>
      <c r="BF356" s="75" t="str">
        <f t="shared" si="15"/>
        <v/>
      </c>
      <c r="BG356" t="str">
        <f>IF($AU$3=TRUE,IF(AL356="","",SUM($AL$6:AL356)),"")</f>
        <v/>
      </c>
      <c r="BH356" t="str">
        <f>IF($AV$3=TRUE,IF(AM356="","",SUM($AM$6:AM356)),"")</f>
        <v/>
      </c>
      <c r="BI356" t="str">
        <f>IF($AW$3=TRUE,IF(AN356="","",SUM($AN$6:AN356)),"")</f>
        <v/>
      </c>
      <c r="BJ356" t="str">
        <f>IF($AX$3=TRUE,IF(AO356="","",SUM($AO$6:AO356)),"")</f>
        <v/>
      </c>
      <c r="BK356" t="str">
        <f>IF($AY$3=TRUE,IF(AP356="","",SUM($AP$6:AP356)),"")</f>
        <v/>
      </c>
      <c r="BL356" t="str">
        <f>IF($AZ$3=TRUE,IF(AQ356="","",SUM($AQ$6:AQ356)),"")</f>
        <v/>
      </c>
      <c r="BM356" t="str">
        <f>IF($BA$3=TRUE,IF(AR356="","",SUM($AR$6:AR356)),"")</f>
        <v/>
      </c>
      <c r="BN356" t="str">
        <f>IF($BB$3=TRUE,IF(AS356="","",SUM($AS$6:AS356)),"")</f>
        <v/>
      </c>
    </row>
    <row r="357" spans="34:66" x14ac:dyDescent="0.25">
      <c r="AH357" s="75"/>
      <c r="AK357" s="75"/>
      <c r="BF357" s="75" t="str">
        <f t="shared" si="15"/>
        <v/>
      </c>
      <c r="BG357" t="str">
        <f>IF($AU$3=TRUE,IF(AL357="","",SUM($AL$6:AL357)),"")</f>
        <v/>
      </c>
      <c r="BH357" t="str">
        <f>IF($AV$3=TRUE,IF(AM357="","",SUM($AM$6:AM357)),"")</f>
        <v/>
      </c>
      <c r="BI357" t="str">
        <f>IF($AW$3=TRUE,IF(AN357="","",SUM($AN$6:AN357)),"")</f>
        <v/>
      </c>
      <c r="BJ357" t="str">
        <f>IF($AX$3=TRUE,IF(AO357="","",SUM($AO$6:AO357)),"")</f>
        <v/>
      </c>
      <c r="BK357" t="str">
        <f>IF($AY$3=TRUE,IF(AP357="","",SUM($AP$6:AP357)),"")</f>
        <v/>
      </c>
      <c r="BL357" t="str">
        <f>IF($AZ$3=TRUE,IF(AQ357="","",SUM($AQ$6:AQ357)),"")</f>
        <v/>
      </c>
      <c r="BM357" t="str">
        <f>IF($BA$3=TRUE,IF(AR357="","",SUM($AR$6:AR357)),"")</f>
        <v/>
      </c>
      <c r="BN357" t="str">
        <f>IF($BB$3=TRUE,IF(AS357="","",SUM($AS$6:AS357)),"")</f>
        <v/>
      </c>
    </row>
    <row r="358" spans="34:66" x14ac:dyDescent="0.25">
      <c r="AH358" s="75"/>
      <c r="AK358" s="75"/>
      <c r="BF358" s="75" t="str">
        <f t="shared" si="15"/>
        <v/>
      </c>
      <c r="BG358" t="str">
        <f>IF($AU$3=TRUE,IF(AL358="","",SUM($AL$6:AL358)),"")</f>
        <v/>
      </c>
      <c r="BH358" t="str">
        <f>IF($AV$3=TRUE,IF(AM358="","",SUM($AM$6:AM358)),"")</f>
        <v/>
      </c>
      <c r="BI358" t="str">
        <f>IF($AW$3=TRUE,IF(AN358="","",SUM($AN$6:AN358)),"")</f>
        <v/>
      </c>
      <c r="BJ358" t="str">
        <f>IF($AX$3=TRUE,IF(AO358="","",SUM($AO$6:AO358)),"")</f>
        <v/>
      </c>
      <c r="BK358" t="str">
        <f>IF($AY$3=TRUE,IF(AP358="","",SUM($AP$6:AP358)),"")</f>
        <v/>
      </c>
      <c r="BL358" t="str">
        <f>IF($AZ$3=TRUE,IF(AQ358="","",SUM($AQ$6:AQ358)),"")</f>
        <v/>
      </c>
      <c r="BM358" t="str">
        <f>IF($BA$3=TRUE,IF(AR358="","",SUM($AR$6:AR358)),"")</f>
        <v/>
      </c>
      <c r="BN358" t="str">
        <f>IF($BB$3=TRUE,IF(AS358="","",SUM($AS$6:AS358)),"")</f>
        <v/>
      </c>
    </row>
    <row r="359" spans="34:66" x14ac:dyDescent="0.25">
      <c r="AH359" s="75"/>
      <c r="AK359" s="75"/>
      <c r="BF359" s="75" t="str">
        <f t="shared" si="15"/>
        <v/>
      </c>
      <c r="BG359" t="str">
        <f>IF($AU$3=TRUE,IF(AL359="","",SUM($AL$6:AL359)),"")</f>
        <v/>
      </c>
      <c r="BH359" t="str">
        <f>IF($AV$3=TRUE,IF(AM359="","",SUM($AM$6:AM359)),"")</f>
        <v/>
      </c>
      <c r="BI359" t="str">
        <f>IF($AW$3=TRUE,IF(AN359="","",SUM($AN$6:AN359)),"")</f>
        <v/>
      </c>
      <c r="BJ359" t="str">
        <f>IF($AX$3=TRUE,IF(AO359="","",SUM($AO$6:AO359)),"")</f>
        <v/>
      </c>
      <c r="BK359" t="str">
        <f>IF($AY$3=TRUE,IF(AP359="","",SUM($AP$6:AP359)),"")</f>
        <v/>
      </c>
      <c r="BL359" t="str">
        <f>IF($AZ$3=TRUE,IF(AQ359="","",SUM($AQ$6:AQ359)),"")</f>
        <v/>
      </c>
      <c r="BM359" t="str">
        <f>IF($BA$3=TRUE,IF(AR359="","",SUM($AR$6:AR359)),"")</f>
        <v/>
      </c>
      <c r="BN359" t="str">
        <f>IF($BB$3=TRUE,IF(AS359="","",SUM($AS$6:AS359)),"")</f>
        <v/>
      </c>
    </row>
    <row r="360" spans="34:66" x14ac:dyDescent="0.25">
      <c r="AH360" s="75"/>
      <c r="AK360" s="75"/>
      <c r="BF360" s="75" t="str">
        <f t="shared" si="15"/>
        <v/>
      </c>
      <c r="BG360" t="str">
        <f>IF($AU$3=TRUE,IF(AL360="","",SUM($AL$6:AL360)),"")</f>
        <v/>
      </c>
      <c r="BH360" t="str">
        <f>IF($AV$3=TRUE,IF(AM360="","",SUM($AM$6:AM360)),"")</f>
        <v/>
      </c>
      <c r="BI360" t="str">
        <f>IF($AW$3=TRUE,IF(AN360="","",SUM($AN$6:AN360)),"")</f>
        <v/>
      </c>
      <c r="BJ360" t="str">
        <f>IF($AX$3=TRUE,IF(AO360="","",SUM($AO$6:AO360)),"")</f>
        <v/>
      </c>
      <c r="BK360" t="str">
        <f>IF($AY$3=TRUE,IF(AP360="","",SUM($AP$6:AP360)),"")</f>
        <v/>
      </c>
      <c r="BL360" t="str">
        <f>IF($AZ$3=TRUE,IF(AQ360="","",SUM($AQ$6:AQ360)),"")</f>
        <v/>
      </c>
      <c r="BM360" t="str">
        <f>IF($BA$3=TRUE,IF(AR360="","",SUM($AR$6:AR360)),"")</f>
        <v/>
      </c>
      <c r="BN360" t="str">
        <f>IF($BB$3=TRUE,IF(AS360="","",SUM($AS$6:AS360)),"")</f>
        <v/>
      </c>
    </row>
    <row r="361" spans="34:66" x14ac:dyDescent="0.25">
      <c r="AH361" s="75"/>
      <c r="AK361" s="75"/>
      <c r="BF361" s="75" t="str">
        <f t="shared" si="15"/>
        <v/>
      </c>
      <c r="BG361" t="str">
        <f>IF($AU$3=TRUE,IF(AL361="","",SUM($AL$6:AL361)),"")</f>
        <v/>
      </c>
      <c r="BH361" t="str">
        <f>IF($AV$3=TRUE,IF(AM361="","",SUM($AM$6:AM361)),"")</f>
        <v/>
      </c>
      <c r="BI361" t="str">
        <f>IF($AW$3=TRUE,IF(AN361="","",SUM($AN$6:AN361)),"")</f>
        <v/>
      </c>
      <c r="BJ361" t="str">
        <f>IF($AX$3=TRUE,IF(AO361="","",SUM($AO$6:AO361)),"")</f>
        <v/>
      </c>
      <c r="BK361" t="str">
        <f>IF($AY$3=TRUE,IF(AP361="","",SUM($AP$6:AP361)),"")</f>
        <v/>
      </c>
      <c r="BL361" t="str">
        <f>IF($AZ$3=TRUE,IF(AQ361="","",SUM($AQ$6:AQ361)),"")</f>
        <v/>
      </c>
      <c r="BM361" t="str">
        <f>IF($BA$3=TRUE,IF(AR361="","",SUM($AR$6:AR361)),"")</f>
        <v/>
      </c>
      <c r="BN361" t="str">
        <f>IF($BB$3=TRUE,IF(AS361="","",SUM($AS$6:AS361)),"")</f>
        <v/>
      </c>
    </row>
    <row r="362" spans="34:66" x14ac:dyDescent="0.25">
      <c r="AH362" s="75"/>
      <c r="AK362" s="75"/>
      <c r="BF362" s="75" t="str">
        <f t="shared" si="15"/>
        <v/>
      </c>
      <c r="BG362" t="str">
        <f>IF($AU$3=TRUE,IF(AL362="","",SUM($AL$6:AL362)),"")</f>
        <v/>
      </c>
      <c r="BH362" t="str">
        <f>IF($AV$3=TRUE,IF(AM362="","",SUM($AM$6:AM362)),"")</f>
        <v/>
      </c>
      <c r="BI362" t="str">
        <f>IF($AW$3=TRUE,IF(AN362="","",SUM($AN$6:AN362)),"")</f>
        <v/>
      </c>
      <c r="BJ362" t="str">
        <f>IF($AX$3=TRUE,IF(AO362="","",SUM($AO$6:AO362)),"")</f>
        <v/>
      </c>
      <c r="BK362" t="str">
        <f>IF($AY$3=TRUE,IF(AP362="","",SUM($AP$6:AP362)),"")</f>
        <v/>
      </c>
      <c r="BL362" t="str">
        <f>IF($AZ$3=TRUE,IF(AQ362="","",SUM($AQ$6:AQ362)),"")</f>
        <v/>
      </c>
      <c r="BM362" t="str">
        <f>IF($BA$3=TRUE,IF(AR362="","",SUM($AR$6:AR362)),"")</f>
        <v/>
      </c>
      <c r="BN362" t="str">
        <f>IF($BB$3=TRUE,IF(AS362="","",SUM($AS$6:AS362)),"")</f>
        <v/>
      </c>
    </row>
    <row r="363" spans="34:66" x14ac:dyDescent="0.25">
      <c r="AH363" s="75"/>
      <c r="AK363" s="75"/>
      <c r="BF363" s="75" t="str">
        <f t="shared" si="15"/>
        <v/>
      </c>
      <c r="BG363" t="str">
        <f>IF($AU$3=TRUE,IF(AL363="","",SUM($AL$6:AL363)),"")</f>
        <v/>
      </c>
      <c r="BH363" t="str">
        <f>IF($AV$3=TRUE,IF(AM363="","",SUM($AM$6:AM363)),"")</f>
        <v/>
      </c>
      <c r="BI363" t="str">
        <f>IF($AW$3=TRUE,IF(AN363="","",SUM($AN$6:AN363)),"")</f>
        <v/>
      </c>
      <c r="BJ363" t="str">
        <f>IF($AX$3=TRUE,IF(AO363="","",SUM($AO$6:AO363)),"")</f>
        <v/>
      </c>
      <c r="BK363" t="str">
        <f>IF($AY$3=TRUE,IF(AP363="","",SUM($AP$6:AP363)),"")</f>
        <v/>
      </c>
      <c r="BL363" t="str">
        <f>IF($AZ$3=TRUE,IF(AQ363="","",SUM($AQ$6:AQ363)),"")</f>
        <v/>
      </c>
      <c r="BM363" t="str">
        <f>IF($BA$3=TRUE,IF(AR363="","",SUM($AR$6:AR363)),"")</f>
        <v/>
      </c>
      <c r="BN363" t="str">
        <f>IF($BB$3=TRUE,IF(AS363="","",SUM($AS$6:AS363)),"")</f>
        <v/>
      </c>
    </row>
    <row r="364" spans="34:66" x14ac:dyDescent="0.25">
      <c r="AH364" s="75"/>
      <c r="AK364" s="75"/>
      <c r="BF364" s="75" t="str">
        <f t="shared" si="15"/>
        <v/>
      </c>
      <c r="BG364" t="str">
        <f>IF($AU$3=TRUE,IF(AL364="","",SUM($AL$6:AL364)),"")</f>
        <v/>
      </c>
      <c r="BH364" t="str">
        <f>IF($AV$3=TRUE,IF(AM364="","",SUM($AM$6:AM364)),"")</f>
        <v/>
      </c>
      <c r="BI364" t="str">
        <f>IF($AW$3=TRUE,IF(AN364="","",SUM($AN$6:AN364)),"")</f>
        <v/>
      </c>
      <c r="BJ364" t="str">
        <f>IF($AX$3=TRUE,IF(AO364="","",SUM($AO$6:AO364)),"")</f>
        <v/>
      </c>
      <c r="BK364" t="str">
        <f>IF($AY$3=TRUE,IF(AP364="","",SUM($AP$6:AP364)),"")</f>
        <v/>
      </c>
      <c r="BL364" t="str">
        <f>IF($AZ$3=TRUE,IF(AQ364="","",SUM($AQ$6:AQ364)),"")</f>
        <v/>
      </c>
      <c r="BM364" t="str">
        <f>IF($BA$3=TRUE,IF(AR364="","",SUM($AR$6:AR364)),"")</f>
        <v/>
      </c>
      <c r="BN364" t="str">
        <f>IF($BB$3=TRUE,IF(AS364="","",SUM($AS$6:AS364)),"")</f>
        <v/>
      </c>
    </row>
    <row r="365" spans="34:66" x14ac:dyDescent="0.25">
      <c r="AH365" s="75"/>
      <c r="AK365" s="75"/>
      <c r="BF365" s="75" t="str">
        <f t="shared" si="15"/>
        <v/>
      </c>
      <c r="BG365" t="str">
        <f>IF($AU$3=TRUE,IF(AL365="","",SUM($AL$6:AL365)),"")</f>
        <v/>
      </c>
      <c r="BH365" t="str">
        <f>IF($AV$3=TRUE,IF(AM365="","",SUM($AM$6:AM365)),"")</f>
        <v/>
      </c>
      <c r="BI365" t="str">
        <f>IF($AW$3=TRUE,IF(AN365="","",SUM($AN$6:AN365)),"")</f>
        <v/>
      </c>
      <c r="BJ365" t="str">
        <f>IF($AX$3=TRUE,IF(AO365="","",SUM($AO$6:AO365)),"")</f>
        <v/>
      </c>
      <c r="BK365" t="str">
        <f>IF($AY$3=TRUE,IF(AP365="","",SUM($AP$6:AP365)),"")</f>
        <v/>
      </c>
      <c r="BL365" t="str">
        <f>IF($AZ$3=TRUE,IF(AQ365="","",SUM($AQ$6:AQ365)),"")</f>
        <v/>
      </c>
      <c r="BM365" t="str">
        <f>IF($BA$3=TRUE,IF(AR365="","",SUM($AR$6:AR365)),"")</f>
        <v/>
      </c>
      <c r="BN365" t="str">
        <f>IF($BB$3=TRUE,IF(AS365="","",SUM($AS$6:AS365)),"")</f>
        <v/>
      </c>
    </row>
    <row r="366" spans="34:66" x14ac:dyDescent="0.25">
      <c r="AH366" s="75"/>
      <c r="AK366" s="75"/>
      <c r="BF366" s="75" t="str">
        <f t="shared" si="15"/>
        <v/>
      </c>
      <c r="BG366" t="str">
        <f>IF($AU$3=TRUE,IF(AL366="","",SUM($AL$6:AL366)),"")</f>
        <v/>
      </c>
      <c r="BH366" t="str">
        <f>IF($AV$3=TRUE,IF(AM366="","",SUM($AM$6:AM366)),"")</f>
        <v/>
      </c>
      <c r="BI366" t="str">
        <f>IF($AW$3=TRUE,IF(AN366="","",SUM($AN$6:AN366)),"")</f>
        <v/>
      </c>
      <c r="BJ366" t="str">
        <f>IF($AX$3=TRUE,IF(AO366="","",SUM($AO$6:AO366)),"")</f>
        <v/>
      </c>
      <c r="BK366" t="str">
        <f>IF($AY$3=TRUE,IF(AP366="","",SUM($AP$6:AP366)),"")</f>
        <v/>
      </c>
      <c r="BL366" t="str">
        <f>IF($AZ$3=TRUE,IF(AQ366="","",SUM($AQ$6:AQ366)),"")</f>
        <v/>
      </c>
      <c r="BM366" t="str">
        <f>IF($BA$3=TRUE,IF(AR366="","",SUM($AR$6:AR366)),"")</f>
        <v/>
      </c>
      <c r="BN366" t="str">
        <f>IF($BB$3=TRUE,IF(AS366="","",SUM($AS$6:AS366)),"")</f>
        <v/>
      </c>
    </row>
    <row r="367" spans="34:66" x14ac:dyDescent="0.25">
      <c r="AH367" s="75"/>
      <c r="AK367" s="75"/>
      <c r="BF367" s="75" t="str">
        <f t="shared" si="15"/>
        <v/>
      </c>
      <c r="BG367" t="str">
        <f>IF($AU$3=TRUE,IF(AL367="","",SUM($AL$6:AL367)),"")</f>
        <v/>
      </c>
      <c r="BH367" t="str">
        <f>IF($AV$3=TRUE,IF(AM367="","",SUM($AM$6:AM367)),"")</f>
        <v/>
      </c>
      <c r="BI367" t="str">
        <f>IF($AW$3=TRUE,IF(AN367="","",SUM($AN$6:AN367)),"")</f>
        <v/>
      </c>
      <c r="BJ367" t="str">
        <f>IF($AX$3=TRUE,IF(AO367="","",SUM($AO$6:AO367)),"")</f>
        <v/>
      </c>
      <c r="BK367" t="str">
        <f>IF($AY$3=TRUE,IF(AP367="","",SUM($AP$6:AP367)),"")</f>
        <v/>
      </c>
      <c r="BL367" t="str">
        <f>IF($AZ$3=TRUE,IF(AQ367="","",SUM($AQ$6:AQ367)),"")</f>
        <v/>
      </c>
      <c r="BM367" t="str">
        <f>IF($BA$3=TRUE,IF(AR367="","",SUM($AR$6:AR367)),"")</f>
        <v/>
      </c>
      <c r="BN367" t="str">
        <f>IF($BB$3=TRUE,IF(AS367="","",SUM($AS$6:AS367)),"")</f>
        <v/>
      </c>
    </row>
    <row r="368" spans="34:66" x14ac:dyDescent="0.25">
      <c r="AH368" s="75"/>
      <c r="AK368" s="75"/>
      <c r="BF368" s="75" t="str">
        <f t="shared" si="15"/>
        <v/>
      </c>
      <c r="BG368" t="str">
        <f>IF($AU$3=TRUE,IF(AL368="","",SUM($AL$6:AL368)),"")</f>
        <v/>
      </c>
      <c r="BH368" t="str">
        <f>IF($AV$3=TRUE,IF(AM368="","",SUM($AM$6:AM368)),"")</f>
        <v/>
      </c>
      <c r="BI368" t="str">
        <f>IF($AW$3=TRUE,IF(AN368="","",SUM($AN$6:AN368)),"")</f>
        <v/>
      </c>
      <c r="BJ368" t="str">
        <f>IF($AX$3=TRUE,IF(AO368="","",SUM($AO$6:AO368)),"")</f>
        <v/>
      </c>
      <c r="BK368" t="str">
        <f>IF($AY$3=TRUE,IF(AP368="","",SUM($AP$6:AP368)),"")</f>
        <v/>
      </c>
      <c r="BL368" t="str">
        <f>IF($AZ$3=TRUE,IF(AQ368="","",SUM($AQ$6:AQ368)),"")</f>
        <v/>
      </c>
      <c r="BM368" t="str">
        <f>IF($BA$3=TRUE,IF(AR368="","",SUM($AR$6:AR368)),"")</f>
        <v/>
      </c>
      <c r="BN368" t="str">
        <f>IF($BB$3=TRUE,IF(AS368="","",SUM($AS$6:AS368)),"")</f>
        <v/>
      </c>
    </row>
    <row r="369" spans="34:66" x14ac:dyDescent="0.25">
      <c r="AH369" s="75"/>
      <c r="AK369" s="75"/>
      <c r="BF369" s="75" t="str">
        <f t="shared" si="15"/>
        <v/>
      </c>
      <c r="BG369" t="str">
        <f>IF($AU$3=TRUE,IF(AL369="","",SUM($AL$6:AL369)),"")</f>
        <v/>
      </c>
      <c r="BH369" t="str">
        <f>IF($AV$3=TRUE,IF(AM369="","",SUM($AM$6:AM369)),"")</f>
        <v/>
      </c>
      <c r="BI369" t="str">
        <f>IF($AW$3=TRUE,IF(AN369="","",SUM($AN$6:AN369)),"")</f>
        <v/>
      </c>
      <c r="BJ369" t="str">
        <f>IF($AX$3=TRUE,IF(AO369="","",SUM($AO$6:AO369)),"")</f>
        <v/>
      </c>
      <c r="BK369" t="str">
        <f>IF($AY$3=TRUE,IF(AP369="","",SUM($AP$6:AP369)),"")</f>
        <v/>
      </c>
      <c r="BL369" t="str">
        <f>IF($AZ$3=TRUE,IF(AQ369="","",SUM($AQ$6:AQ369)),"")</f>
        <v/>
      </c>
      <c r="BM369" t="str">
        <f>IF($BA$3=TRUE,IF(AR369="","",SUM($AR$6:AR369)),"")</f>
        <v/>
      </c>
      <c r="BN369" t="str">
        <f>IF($BB$3=TRUE,IF(AS369="","",SUM($AS$6:AS369)),"")</f>
        <v/>
      </c>
    </row>
    <row r="370" spans="34:66" x14ac:dyDescent="0.25">
      <c r="AH370" s="75"/>
      <c r="AK370" s="75"/>
      <c r="BF370" s="75" t="str">
        <f t="shared" si="15"/>
        <v/>
      </c>
      <c r="BG370" t="str">
        <f>IF($AU$3=TRUE,IF(AL370="","",SUM($AL$6:AL370)),"")</f>
        <v/>
      </c>
      <c r="BH370" t="str">
        <f>IF($AV$3=TRUE,IF(AM370="","",SUM($AM$6:AM370)),"")</f>
        <v/>
      </c>
      <c r="BI370" t="str">
        <f>IF($AW$3=TRUE,IF(AN370="","",SUM($AN$6:AN370)),"")</f>
        <v/>
      </c>
      <c r="BJ370" t="str">
        <f>IF($AX$3=TRUE,IF(AO370="","",SUM($AO$6:AO370)),"")</f>
        <v/>
      </c>
      <c r="BK370" t="str">
        <f>IF($AY$3=TRUE,IF(AP370="","",SUM($AP$6:AP370)),"")</f>
        <v/>
      </c>
      <c r="BL370" t="str">
        <f>IF($AZ$3=TRUE,IF(AQ370="","",SUM($AQ$6:AQ370)),"")</f>
        <v/>
      </c>
      <c r="BM370" t="str">
        <f>IF($BA$3=TRUE,IF(AR370="","",SUM($AR$6:AR370)),"")</f>
        <v/>
      </c>
      <c r="BN370" t="str">
        <f>IF($BB$3=TRUE,IF(AS370="","",SUM($AS$6:AS370)),"")</f>
        <v/>
      </c>
    </row>
    <row r="371" spans="34:66" x14ac:dyDescent="0.25">
      <c r="AH371" s="75"/>
      <c r="AK371" s="75"/>
      <c r="BF371" s="75" t="str">
        <f t="shared" si="15"/>
        <v/>
      </c>
      <c r="BG371" t="str">
        <f>IF($AU$3=TRUE,IF(AL371="","",SUM($AL$6:AL371)),"")</f>
        <v/>
      </c>
      <c r="BH371" t="str">
        <f>IF($AV$3=TRUE,IF(AM371="","",SUM($AM$6:AM371)),"")</f>
        <v/>
      </c>
      <c r="BI371" t="str">
        <f>IF($AW$3=TRUE,IF(AN371="","",SUM($AN$6:AN371)),"")</f>
        <v/>
      </c>
      <c r="BJ371" t="str">
        <f>IF($AX$3=TRUE,IF(AO371="","",SUM($AO$6:AO371)),"")</f>
        <v/>
      </c>
      <c r="BK371" t="str">
        <f>IF($AY$3=TRUE,IF(AP371="","",SUM($AP$6:AP371)),"")</f>
        <v/>
      </c>
      <c r="BL371" t="str">
        <f>IF($AZ$3=TRUE,IF(AQ371="","",SUM($AQ$6:AQ371)),"")</f>
        <v/>
      </c>
      <c r="BM371" t="str">
        <f>IF($BA$3=TRUE,IF(AR371="","",SUM($AR$6:AR371)),"")</f>
        <v/>
      </c>
      <c r="BN371" t="str">
        <f>IF($BB$3=TRUE,IF(AS371="","",SUM($AS$6:AS371)),"")</f>
        <v/>
      </c>
    </row>
    <row r="372" spans="34:66" x14ac:dyDescent="0.25">
      <c r="AH372" s="75"/>
      <c r="AK372" s="75"/>
      <c r="BF372" s="75" t="str">
        <f t="shared" si="15"/>
        <v/>
      </c>
      <c r="BG372" t="str">
        <f>IF($AU$3=TRUE,IF(AL372="","",SUM($AL$6:AL372)),"")</f>
        <v/>
      </c>
      <c r="BH372" t="str">
        <f>IF($AV$3=TRUE,IF(AM372="","",SUM($AM$6:AM372)),"")</f>
        <v/>
      </c>
      <c r="BI372" t="str">
        <f>IF($AW$3=TRUE,IF(AN372="","",SUM($AN$6:AN372)),"")</f>
        <v/>
      </c>
      <c r="BJ372" t="str">
        <f>IF($AX$3=TRUE,IF(AO372="","",SUM($AO$6:AO372)),"")</f>
        <v/>
      </c>
      <c r="BK372" t="str">
        <f>IF($AY$3=TRUE,IF(AP372="","",SUM($AP$6:AP372)),"")</f>
        <v/>
      </c>
      <c r="BL372" t="str">
        <f>IF($AZ$3=TRUE,IF(AQ372="","",SUM($AQ$6:AQ372)),"")</f>
        <v/>
      </c>
      <c r="BM372" t="str">
        <f>IF($BA$3=TRUE,IF(AR372="","",SUM($AR$6:AR372)),"")</f>
        <v/>
      </c>
      <c r="BN372" t="str">
        <f>IF($BB$3=TRUE,IF(AS372="","",SUM($AS$6:AS372)),"")</f>
        <v/>
      </c>
    </row>
    <row r="373" spans="34:66" x14ac:dyDescent="0.25">
      <c r="AH373" s="75"/>
      <c r="AK373" s="75"/>
      <c r="BF373" s="75" t="str">
        <f t="shared" si="15"/>
        <v/>
      </c>
      <c r="BG373" t="str">
        <f>IF($AU$3=TRUE,IF(AL373="","",SUM($AL$6:AL373)),"")</f>
        <v/>
      </c>
      <c r="BH373" t="str">
        <f>IF($AV$3=TRUE,IF(AM373="","",SUM($AM$6:AM373)),"")</f>
        <v/>
      </c>
      <c r="BI373" t="str">
        <f>IF($AW$3=TRUE,IF(AN373="","",SUM($AN$6:AN373)),"")</f>
        <v/>
      </c>
      <c r="BJ373" t="str">
        <f>IF($AX$3=TRUE,IF(AO373="","",SUM($AO$6:AO373)),"")</f>
        <v/>
      </c>
      <c r="BK373" t="str">
        <f>IF($AY$3=TRUE,IF(AP373="","",SUM($AP$6:AP373)),"")</f>
        <v/>
      </c>
      <c r="BL373" t="str">
        <f>IF($AZ$3=TRUE,IF(AQ373="","",SUM($AQ$6:AQ373)),"")</f>
        <v/>
      </c>
      <c r="BM373" t="str">
        <f>IF($BA$3=TRUE,IF(AR373="","",SUM($AR$6:AR373)),"")</f>
        <v/>
      </c>
      <c r="BN373" t="str">
        <f>IF($BB$3=TRUE,IF(AS373="","",SUM($AS$6:AS373)),"")</f>
        <v/>
      </c>
    </row>
    <row r="374" spans="34:66" x14ac:dyDescent="0.25">
      <c r="AH374" s="75"/>
      <c r="AK374" s="75"/>
      <c r="BF374" s="75" t="str">
        <f t="shared" si="15"/>
        <v/>
      </c>
      <c r="BG374" t="str">
        <f>IF($AU$3=TRUE,IF(AL374="","",SUM($AL$6:AL374)),"")</f>
        <v/>
      </c>
      <c r="BH374" t="str">
        <f>IF($AV$3=TRUE,IF(AM374="","",SUM($AM$6:AM374)),"")</f>
        <v/>
      </c>
      <c r="BI374" t="str">
        <f>IF($AW$3=TRUE,IF(AN374="","",SUM($AN$6:AN374)),"")</f>
        <v/>
      </c>
      <c r="BJ374" t="str">
        <f>IF($AX$3=TRUE,IF(AO374="","",SUM($AO$6:AO374)),"")</f>
        <v/>
      </c>
      <c r="BK374" t="str">
        <f>IF($AY$3=TRUE,IF(AP374="","",SUM($AP$6:AP374)),"")</f>
        <v/>
      </c>
      <c r="BL374" t="str">
        <f>IF($AZ$3=TRUE,IF(AQ374="","",SUM($AQ$6:AQ374)),"")</f>
        <v/>
      </c>
      <c r="BM374" t="str">
        <f>IF($BA$3=TRUE,IF(AR374="","",SUM($AR$6:AR374)),"")</f>
        <v/>
      </c>
      <c r="BN374" t="str">
        <f>IF($BB$3=TRUE,IF(AS374="","",SUM($AS$6:AS374)),"")</f>
        <v/>
      </c>
    </row>
    <row r="375" spans="34:66" x14ac:dyDescent="0.25">
      <c r="AH375" s="75"/>
      <c r="AK375" s="75"/>
      <c r="BF375" s="75" t="str">
        <f t="shared" si="15"/>
        <v/>
      </c>
      <c r="BG375" t="str">
        <f>IF($AU$3=TRUE,IF(AL375="","",SUM($AL$6:AL375)),"")</f>
        <v/>
      </c>
      <c r="BH375" t="str">
        <f>IF($AV$3=TRUE,IF(AM375="","",SUM($AM$6:AM375)),"")</f>
        <v/>
      </c>
      <c r="BI375" t="str">
        <f>IF($AW$3=TRUE,IF(AN375="","",SUM($AN$6:AN375)),"")</f>
        <v/>
      </c>
      <c r="BJ375" t="str">
        <f>IF($AX$3=TRUE,IF(AO375="","",SUM($AO$6:AO375)),"")</f>
        <v/>
      </c>
      <c r="BK375" t="str">
        <f>IF($AY$3=TRUE,IF(AP375="","",SUM($AP$6:AP375)),"")</f>
        <v/>
      </c>
      <c r="BL375" t="str">
        <f>IF($AZ$3=TRUE,IF(AQ375="","",SUM($AQ$6:AQ375)),"")</f>
        <v/>
      </c>
      <c r="BM375" t="str">
        <f>IF($BA$3=TRUE,IF(AR375="","",SUM($AR$6:AR375)),"")</f>
        <v/>
      </c>
      <c r="BN375" t="str">
        <f>IF($BB$3=TRUE,IF(AS375="","",SUM($AS$6:AS375)),"")</f>
        <v/>
      </c>
    </row>
    <row r="376" spans="34:66" x14ac:dyDescent="0.25">
      <c r="AH376" s="75"/>
      <c r="AK376" s="75"/>
      <c r="BF376" s="75" t="str">
        <f t="shared" si="15"/>
        <v/>
      </c>
      <c r="BG376" t="str">
        <f>IF($AU$3=TRUE,IF(AL376="","",SUM($AL$6:AL376)),"")</f>
        <v/>
      </c>
      <c r="BH376" t="str">
        <f>IF($AV$3=TRUE,IF(AM376="","",SUM($AM$6:AM376)),"")</f>
        <v/>
      </c>
      <c r="BI376" t="str">
        <f>IF($AW$3=TRUE,IF(AN376="","",SUM($AN$6:AN376)),"")</f>
        <v/>
      </c>
      <c r="BJ376" t="str">
        <f>IF($AX$3=TRUE,IF(AO376="","",SUM($AO$6:AO376)),"")</f>
        <v/>
      </c>
      <c r="BK376" t="str">
        <f>IF($AY$3=TRUE,IF(AP376="","",SUM($AP$6:AP376)),"")</f>
        <v/>
      </c>
      <c r="BL376" t="str">
        <f>IF($AZ$3=TRUE,IF(AQ376="","",SUM($AQ$6:AQ376)),"")</f>
        <v/>
      </c>
      <c r="BM376" t="str">
        <f>IF($BA$3=TRUE,IF(AR376="","",SUM($AR$6:AR376)),"")</f>
        <v/>
      </c>
      <c r="BN376" t="str">
        <f>IF($BB$3=TRUE,IF(AS376="","",SUM($AS$6:AS376)),"")</f>
        <v/>
      </c>
    </row>
    <row r="377" spans="34:66" x14ac:dyDescent="0.25">
      <c r="AH377" s="75"/>
      <c r="AK377" s="75"/>
      <c r="BF377" s="75" t="str">
        <f t="shared" si="15"/>
        <v/>
      </c>
      <c r="BG377" t="str">
        <f>IF($AU$3=TRUE,IF(AL377="","",SUM($AL$6:AL377)),"")</f>
        <v/>
      </c>
      <c r="BH377" t="str">
        <f>IF($AV$3=TRUE,IF(AM377="","",SUM($AM$6:AM377)),"")</f>
        <v/>
      </c>
      <c r="BI377" t="str">
        <f>IF($AW$3=TRUE,IF(AN377="","",SUM($AN$6:AN377)),"")</f>
        <v/>
      </c>
      <c r="BJ377" t="str">
        <f>IF($AX$3=TRUE,IF(AO377="","",SUM($AO$6:AO377)),"")</f>
        <v/>
      </c>
      <c r="BK377" t="str">
        <f>IF($AY$3=TRUE,IF(AP377="","",SUM($AP$6:AP377)),"")</f>
        <v/>
      </c>
      <c r="BL377" t="str">
        <f>IF($AZ$3=TRUE,IF(AQ377="","",SUM($AQ$6:AQ377)),"")</f>
        <v/>
      </c>
      <c r="BM377" t="str">
        <f>IF($BA$3=TRUE,IF(AR377="","",SUM($AR$6:AR377)),"")</f>
        <v/>
      </c>
      <c r="BN377" t="str">
        <f>IF($BB$3=TRUE,IF(AS377="","",SUM($AS$6:AS377)),"")</f>
        <v/>
      </c>
    </row>
    <row r="378" spans="34:66" x14ac:dyDescent="0.25">
      <c r="AH378" s="75"/>
      <c r="AK378" s="75"/>
      <c r="BF378" s="75" t="str">
        <f t="shared" si="15"/>
        <v/>
      </c>
      <c r="BG378" t="str">
        <f>IF($AU$3=TRUE,IF(AL378="","",SUM($AL$6:AL378)),"")</f>
        <v/>
      </c>
      <c r="BH378" t="str">
        <f>IF($AV$3=TRUE,IF(AM378="","",SUM($AM$6:AM378)),"")</f>
        <v/>
      </c>
      <c r="BI378" t="str">
        <f>IF($AW$3=TRUE,IF(AN378="","",SUM($AN$6:AN378)),"")</f>
        <v/>
      </c>
      <c r="BJ378" t="str">
        <f>IF($AX$3=TRUE,IF(AO378="","",SUM($AO$6:AO378)),"")</f>
        <v/>
      </c>
      <c r="BK378" t="str">
        <f>IF($AY$3=TRUE,IF(AP378="","",SUM($AP$6:AP378)),"")</f>
        <v/>
      </c>
      <c r="BL378" t="str">
        <f>IF($AZ$3=TRUE,IF(AQ378="","",SUM($AQ$6:AQ378)),"")</f>
        <v/>
      </c>
      <c r="BM378" t="str">
        <f>IF($BA$3=TRUE,IF(AR378="","",SUM($AR$6:AR378)),"")</f>
        <v/>
      </c>
      <c r="BN378" t="str">
        <f>IF($BB$3=TRUE,IF(AS378="","",SUM($AS$6:AS378)),"")</f>
        <v/>
      </c>
    </row>
    <row r="379" spans="34:66" x14ac:dyDescent="0.25">
      <c r="AH379" s="75"/>
      <c r="AK379" s="75"/>
      <c r="BF379" s="75" t="str">
        <f t="shared" si="15"/>
        <v/>
      </c>
      <c r="BG379" t="str">
        <f>IF($AU$3=TRUE,IF(AL379="","",SUM($AL$6:AL379)),"")</f>
        <v/>
      </c>
      <c r="BH379" t="str">
        <f>IF($AV$3=TRUE,IF(AM379="","",SUM($AM$6:AM379)),"")</f>
        <v/>
      </c>
      <c r="BI379" t="str">
        <f>IF($AW$3=TRUE,IF(AN379="","",SUM($AN$6:AN379)),"")</f>
        <v/>
      </c>
      <c r="BJ379" t="str">
        <f>IF($AX$3=TRUE,IF(AO379="","",SUM($AO$6:AO379)),"")</f>
        <v/>
      </c>
      <c r="BK379" t="str">
        <f>IF($AY$3=TRUE,IF(AP379="","",SUM($AP$6:AP379)),"")</f>
        <v/>
      </c>
      <c r="BL379" t="str">
        <f>IF($AZ$3=TRUE,IF(AQ379="","",SUM($AQ$6:AQ379)),"")</f>
        <v/>
      </c>
      <c r="BM379" t="str">
        <f>IF($BA$3=TRUE,IF(AR379="","",SUM($AR$6:AR379)),"")</f>
        <v/>
      </c>
      <c r="BN379" t="str">
        <f>IF($BB$3=TRUE,IF(AS379="","",SUM($AS$6:AS379)),"")</f>
        <v/>
      </c>
    </row>
    <row r="380" spans="34:66" x14ac:dyDescent="0.25">
      <c r="AH380" s="75"/>
      <c r="AK380" s="75"/>
      <c r="BF380" s="75" t="str">
        <f t="shared" si="15"/>
        <v/>
      </c>
      <c r="BG380" t="str">
        <f>IF($AU$3=TRUE,IF(AL380="","",SUM($AL$6:AL380)),"")</f>
        <v/>
      </c>
      <c r="BH380" t="str">
        <f>IF($AV$3=TRUE,IF(AM380="","",SUM($AM$6:AM380)),"")</f>
        <v/>
      </c>
      <c r="BI380" t="str">
        <f>IF($AW$3=TRUE,IF(AN380="","",SUM($AN$6:AN380)),"")</f>
        <v/>
      </c>
      <c r="BJ380" t="str">
        <f>IF($AX$3=TRUE,IF(AO380="","",SUM($AO$6:AO380)),"")</f>
        <v/>
      </c>
      <c r="BK380" t="str">
        <f>IF($AY$3=TRUE,IF(AP380="","",SUM($AP$6:AP380)),"")</f>
        <v/>
      </c>
      <c r="BL380" t="str">
        <f>IF($AZ$3=TRUE,IF(AQ380="","",SUM($AQ$6:AQ380)),"")</f>
        <v/>
      </c>
      <c r="BM380" t="str">
        <f>IF($BA$3=TRUE,IF(AR380="","",SUM($AR$6:AR380)),"")</f>
        <v/>
      </c>
      <c r="BN380" t="str">
        <f>IF($BB$3=TRUE,IF(AS380="","",SUM($AS$6:AS380)),"")</f>
        <v/>
      </c>
    </row>
    <row r="381" spans="34:66" x14ac:dyDescent="0.25">
      <c r="AH381" s="75"/>
      <c r="AK381" s="75"/>
      <c r="BF381" s="75" t="str">
        <f t="shared" si="15"/>
        <v/>
      </c>
      <c r="BG381" t="str">
        <f>IF($AU$3=TRUE,IF(AL381="","",SUM($AL$6:AL381)),"")</f>
        <v/>
      </c>
      <c r="BH381" t="str">
        <f>IF($AV$3=TRUE,IF(AM381="","",SUM($AM$6:AM381)),"")</f>
        <v/>
      </c>
      <c r="BI381" t="str">
        <f>IF($AW$3=TRUE,IF(AN381="","",SUM($AN$6:AN381)),"")</f>
        <v/>
      </c>
      <c r="BJ381" t="str">
        <f>IF($AX$3=TRUE,IF(AO381="","",SUM($AO$6:AO381)),"")</f>
        <v/>
      </c>
      <c r="BK381" t="str">
        <f>IF($AY$3=TRUE,IF(AP381="","",SUM($AP$6:AP381)),"")</f>
        <v/>
      </c>
      <c r="BL381" t="str">
        <f>IF($AZ$3=TRUE,IF(AQ381="","",SUM($AQ$6:AQ381)),"")</f>
        <v/>
      </c>
      <c r="BM381" t="str">
        <f>IF($BA$3=TRUE,IF(AR381="","",SUM($AR$6:AR381)),"")</f>
        <v/>
      </c>
      <c r="BN381" t="str">
        <f>IF($BB$3=TRUE,IF(AS381="","",SUM($AS$6:AS381)),"")</f>
        <v/>
      </c>
    </row>
    <row r="382" spans="34:66" x14ac:dyDescent="0.25">
      <c r="AH382" s="75"/>
      <c r="AK382" s="75"/>
      <c r="BF382" s="75" t="str">
        <f t="shared" si="15"/>
        <v/>
      </c>
      <c r="BG382" t="str">
        <f>IF($AU$3=TRUE,IF(AL382="","",SUM($AL$6:AL382)),"")</f>
        <v/>
      </c>
      <c r="BH382" t="str">
        <f>IF($AV$3=TRUE,IF(AM382="","",SUM($AM$6:AM382)),"")</f>
        <v/>
      </c>
      <c r="BI382" t="str">
        <f>IF($AW$3=TRUE,IF(AN382="","",SUM($AN$6:AN382)),"")</f>
        <v/>
      </c>
      <c r="BJ382" t="str">
        <f>IF($AX$3=TRUE,IF(AO382="","",SUM($AO$6:AO382)),"")</f>
        <v/>
      </c>
      <c r="BK382" t="str">
        <f>IF($AY$3=TRUE,IF(AP382="","",SUM($AP$6:AP382)),"")</f>
        <v/>
      </c>
      <c r="BL382" t="str">
        <f>IF($AZ$3=TRUE,IF(AQ382="","",SUM($AQ$6:AQ382)),"")</f>
        <v/>
      </c>
      <c r="BM382" t="str">
        <f>IF($BA$3=TRUE,IF(AR382="","",SUM($AR$6:AR382)),"")</f>
        <v/>
      </c>
      <c r="BN382" t="str">
        <f>IF($BB$3=TRUE,IF(AS382="","",SUM($AS$6:AS382)),"")</f>
        <v/>
      </c>
    </row>
    <row r="383" spans="34:66" x14ac:dyDescent="0.25">
      <c r="AH383" s="75"/>
      <c r="AK383" s="75"/>
      <c r="BF383" s="75" t="str">
        <f t="shared" si="15"/>
        <v/>
      </c>
      <c r="BG383" t="str">
        <f>IF($AU$3=TRUE,IF(AL383="","",SUM($AL$6:AL383)),"")</f>
        <v/>
      </c>
      <c r="BH383" t="str">
        <f>IF($AV$3=TRUE,IF(AM383="","",SUM($AM$6:AM383)),"")</f>
        <v/>
      </c>
      <c r="BI383" t="str">
        <f>IF($AW$3=TRUE,IF(AN383="","",SUM($AN$6:AN383)),"")</f>
        <v/>
      </c>
      <c r="BJ383" t="str">
        <f>IF($AX$3=TRUE,IF(AO383="","",SUM($AO$6:AO383)),"")</f>
        <v/>
      </c>
      <c r="BK383" t="str">
        <f>IF($AY$3=TRUE,IF(AP383="","",SUM($AP$6:AP383)),"")</f>
        <v/>
      </c>
      <c r="BL383" t="str">
        <f>IF($AZ$3=TRUE,IF(AQ383="","",SUM($AQ$6:AQ383)),"")</f>
        <v/>
      </c>
      <c r="BM383" t="str">
        <f>IF($BA$3=TRUE,IF(AR383="","",SUM($AR$6:AR383)),"")</f>
        <v/>
      </c>
      <c r="BN383" t="str">
        <f>IF($BB$3=TRUE,IF(AS383="","",SUM($AS$6:AS383)),"")</f>
        <v/>
      </c>
    </row>
    <row r="384" spans="34:66" x14ac:dyDescent="0.25">
      <c r="AH384" s="75"/>
      <c r="AK384" s="75"/>
      <c r="BF384" s="75" t="str">
        <f t="shared" si="15"/>
        <v/>
      </c>
      <c r="BG384" t="str">
        <f>IF($AU$3=TRUE,IF(AL384="","",SUM($AL$6:AL384)),"")</f>
        <v/>
      </c>
      <c r="BH384" t="str">
        <f>IF($AV$3=TRUE,IF(AM384="","",SUM($AM$6:AM384)),"")</f>
        <v/>
      </c>
      <c r="BI384" t="str">
        <f>IF($AW$3=TRUE,IF(AN384="","",SUM($AN$6:AN384)),"")</f>
        <v/>
      </c>
      <c r="BJ384" t="str">
        <f>IF($AX$3=TRUE,IF(AO384="","",SUM($AO$6:AO384)),"")</f>
        <v/>
      </c>
      <c r="BK384" t="str">
        <f>IF($AY$3=TRUE,IF(AP384="","",SUM($AP$6:AP384)),"")</f>
        <v/>
      </c>
      <c r="BL384" t="str">
        <f>IF($AZ$3=TRUE,IF(AQ384="","",SUM($AQ$6:AQ384)),"")</f>
        <v/>
      </c>
      <c r="BM384" t="str">
        <f>IF($BA$3=TRUE,IF(AR384="","",SUM($AR$6:AR384)),"")</f>
        <v/>
      </c>
      <c r="BN384" t="str">
        <f>IF($BB$3=TRUE,IF(AS384="","",SUM($AS$6:AS384)),"")</f>
        <v/>
      </c>
    </row>
    <row r="385" spans="34:66" x14ac:dyDescent="0.25">
      <c r="AH385" s="75"/>
      <c r="AK385" s="75"/>
      <c r="BF385" s="75" t="str">
        <f t="shared" si="15"/>
        <v/>
      </c>
      <c r="BG385" t="str">
        <f>IF($AU$3=TRUE,IF(AL385="","",SUM($AL$6:AL385)),"")</f>
        <v/>
      </c>
      <c r="BH385" t="str">
        <f>IF($AV$3=TRUE,IF(AM385="","",SUM($AM$6:AM385)),"")</f>
        <v/>
      </c>
      <c r="BI385" t="str">
        <f>IF($AW$3=TRUE,IF(AN385="","",SUM($AN$6:AN385)),"")</f>
        <v/>
      </c>
      <c r="BJ385" t="str">
        <f>IF($AX$3=TRUE,IF(AO385="","",SUM($AO$6:AO385)),"")</f>
        <v/>
      </c>
      <c r="BK385" t="str">
        <f>IF($AY$3=TRUE,IF(AP385="","",SUM($AP$6:AP385)),"")</f>
        <v/>
      </c>
      <c r="BL385" t="str">
        <f>IF($AZ$3=TRUE,IF(AQ385="","",SUM($AQ$6:AQ385)),"")</f>
        <v/>
      </c>
      <c r="BM385" t="str">
        <f>IF($BA$3=TRUE,IF(AR385="","",SUM($AR$6:AR385)),"")</f>
        <v/>
      </c>
      <c r="BN385" t="str">
        <f>IF($BB$3=TRUE,IF(AS385="","",SUM($AS$6:AS385)),"")</f>
        <v/>
      </c>
    </row>
    <row r="386" spans="34:66" x14ac:dyDescent="0.25">
      <c r="AH386" s="75"/>
      <c r="AK386" s="75"/>
      <c r="BF386" s="75" t="str">
        <f t="shared" si="15"/>
        <v/>
      </c>
      <c r="BG386" t="str">
        <f>IF($AU$3=TRUE,IF(AL386="","",SUM($AL$6:AL386)),"")</f>
        <v/>
      </c>
      <c r="BH386" t="str">
        <f>IF($AV$3=TRUE,IF(AM386="","",SUM($AM$6:AM386)),"")</f>
        <v/>
      </c>
      <c r="BI386" t="str">
        <f>IF($AW$3=TRUE,IF(AN386="","",SUM($AN$6:AN386)),"")</f>
        <v/>
      </c>
      <c r="BJ386" t="str">
        <f>IF($AX$3=TRUE,IF(AO386="","",SUM($AO$6:AO386)),"")</f>
        <v/>
      </c>
      <c r="BK386" t="str">
        <f>IF($AY$3=TRUE,IF(AP386="","",SUM($AP$6:AP386)),"")</f>
        <v/>
      </c>
      <c r="BL386" t="str">
        <f>IF($AZ$3=TRUE,IF(AQ386="","",SUM($AQ$6:AQ386)),"")</f>
        <v/>
      </c>
      <c r="BM386" t="str">
        <f>IF($BA$3=TRUE,IF(AR386="","",SUM($AR$6:AR386)),"")</f>
        <v/>
      </c>
      <c r="BN386" t="str">
        <f>IF($BB$3=TRUE,IF(AS386="","",SUM($AS$6:AS386)),"")</f>
        <v/>
      </c>
    </row>
    <row r="387" spans="34:66" x14ac:dyDescent="0.25">
      <c r="AH387" s="75"/>
      <c r="AK387" s="75"/>
      <c r="BF387" s="75" t="str">
        <f t="shared" si="15"/>
        <v/>
      </c>
      <c r="BG387" t="str">
        <f>IF($AU$3=TRUE,IF(AL387="","",SUM($AL$6:AL387)),"")</f>
        <v/>
      </c>
      <c r="BH387" t="str">
        <f>IF($AV$3=TRUE,IF(AM387="","",SUM($AM$6:AM387)),"")</f>
        <v/>
      </c>
      <c r="BI387" t="str">
        <f>IF($AW$3=TRUE,IF(AN387="","",SUM($AN$6:AN387)),"")</f>
        <v/>
      </c>
      <c r="BJ387" t="str">
        <f>IF($AX$3=TRUE,IF(AO387="","",SUM($AO$6:AO387)),"")</f>
        <v/>
      </c>
      <c r="BK387" t="str">
        <f>IF($AY$3=TRUE,IF(AP387="","",SUM($AP$6:AP387)),"")</f>
        <v/>
      </c>
      <c r="BL387" t="str">
        <f>IF($AZ$3=TRUE,IF(AQ387="","",SUM($AQ$6:AQ387)),"")</f>
        <v/>
      </c>
      <c r="BM387" t="str">
        <f>IF($BA$3=TRUE,IF(AR387="","",SUM($AR$6:AR387)),"")</f>
        <v/>
      </c>
      <c r="BN387" t="str">
        <f>IF($BB$3=TRUE,IF(AS387="","",SUM($AS$6:AS387)),"")</f>
        <v/>
      </c>
    </row>
    <row r="388" spans="34:66" x14ac:dyDescent="0.25">
      <c r="AH388" s="75"/>
      <c r="AK388" s="75"/>
      <c r="BF388" s="75" t="str">
        <f t="shared" si="15"/>
        <v/>
      </c>
      <c r="BG388" t="str">
        <f>IF($AU$3=TRUE,IF(AL388="","",SUM($AL$6:AL388)),"")</f>
        <v/>
      </c>
      <c r="BH388" t="str">
        <f>IF($AV$3=TRUE,IF(AM388="","",SUM($AM$6:AM388)),"")</f>
        <v/>
      </c>
      <c r="BI388" t="str">
        <f>IF($AW$3=TRUE,IF(AN388="","",SUM($AN$6:AN388)),"")</f>
        <v/>
      </c>
      <c r="BJ388" t="str">
        <f>IF($AX$3=TRUE,IF(AO388="","",SUM($AO$6:AO388)),"")</f>
        <v/>
      </c>
      <c r="BK388" t="str">
        <f>IF($AY$3=TRUE,IF(AP388="","",SUM($AP$6:AP388)),"")</f>
        <v/>
      </c>
      <c r="BL388" t="str">
        <f>IF($AZ$3=TRUE,IF(AQ388="","",SUM($AQ$6:AQ388)),"")</f>
        <v/>
      </c>
      <c r="BM388" t="str">
        <f>IF($BA$3=TRUE,IF(AR388="","",SUM($AR$6:AR388)),"")</f>
        <v/>
      </c>
      <c r="BN388" t="str">
        <f>IF($BB$3=TRUE,IF(AS388="","",SUM($AS$6:AS388)),"")</f>
        <v/>
      </c>
    </row>
    <row r="389" spans="34:66" x14ac:dyDescent="0.25">
      <c r="AH389" s="75"/>
      <c r="AK389" s="75"/>
      <c r="BF389" s="75" t="str">
        <f t="shared" si="15"/>
        <v/>
      </c>
      <c r="BG389" t="str">
        <f>IF($AU$3=TRUE,IF(AL389="","",SUM($AL$6:AL389)),"")</f>
        <v/>
      </c>
      <c r="BH389" t="str">
        <f>IF($AV$3=TRUE,IF(AM389="","",SUM($AM$6:AM389)),"")</f>
        <v/>
      </c>
      <c r="BI389" t="str">
        <f>IF($AW$3=TRUE,IF(AN389="","",SUM($AN$6:AN389)),"")</f>
        <v/>
      </c>
      <c r="BJ389" t="str">
        <f>IF($AX$3=TRUE,IF(AO389="","",SUM($AO$6:AO389)),"")</f>
        <v/>
      </c>
      <c r="BK389" t="str">
        <f>IF($AY$3=TRUE,IF(AP389="","",SUM($AP$6:AP389)),"")</f>
        <v/>
      </c>
      <c r="BL389" t="str">
        <f>IF($AZ$3=TRUE,IF(AQ389="","",SUM($AQ$6:AQ389)),"")</f>
        <v/>
      </c>
      <c r="BM389" t="str">
        <f>IF($BA$3=TRUE,IF(AR389="","",SUM($AR$6:AR389)),"")</f>
        <v/>
      </c>
      <c r="BN389" t="str">
        <f>IF($BB$3=TRUE,IF(AS389="","",SUM($AS$6:AS389)),"")</f>
        <v/>
      </c>
    </row>
    <row r="390" spans="34:66" x14ac:dyDescent="0.25">
      <c r="AH390" s="75"/>
      <c r="AK390" s="75"/>
      <c r="BF390" s="75" t="str">
        <f t="shared" si="15"/>
        <v/>
      </c>
      <c r="BG390" t="str">
        <f>IF($AU$3=TRUE,IF(AL390="","",SUM($AL$6:AL390)),"")</f>
        <v/>
      </c>
      <c r="BH390" t="str">
        <f>IF($AV$3=TRUE,IF(AM390="","",SUM($AM$6:AM390)),"")</f>
        <v/>
      </c>
      <c r="BI390" t="str">
        <f>IF($AW$3=TRUE,IF(AN390="","",SUM($AN$6:AN390)),"")</f>
        <v/>
      </c>
      <c r="BJ390" t="str">
        <f>IF($AX$3=TRUE,IF(AO390="","",SUM($AO$6:AO390)),"")</f>
        <v/>
      </c>
      <c r="BK390" t="str">
        <f>IF($AY$3=TRUE,IF(AP390="","",SUM($AP$6:AP390)),"")</f>
        <v/>
      </c>
      <c r="BL390" t="str">
        <f>IF($AZ$3=TRUE,IF(AQ390="","",SUM($AQ$6:AQ390)),"")</f>
        <v/>
      </c>
      <c r="BM390" t="str">
        <f>IF($BA$3=TRUE,IF(AR390="","",SUM($AR$6:AR390)),"")</f>
        <v/>
      </c>
      <c r="BN390" t="str">
        <f>IF($BB$3=TRUE,IF(AS390="","",SUM($AS$6:AS390)),"")</f>
        <v/>
      </c>
    </row>
    <row r="391" spans="34:66" x14ac:dyDescent="0.25">
      <c r="AH391" s="75"/>
      <c r="AK391" s="75"/>
      <c r="BF391" s="75" t="str">
        <f t="shared" ref="BF391:BF454" si="16">IF(AK391="","",AK391)</f>
        <v/>
      </c>
      <c r="BG391" t="str">
        <f>IF($AU$3=TRUE,IF(AL391="","",SUM($AL$6:AL391)),"")</f>
        <v/>
      </c>
      <c r="BH391" t="str">
        <f>IF($AV$3=TRUE,IF(AM391="","",SUM($AM$6:AM391)),"")</f>
        <v/>
      </c>
      <c r="BI391" t="str">
        <f>IF($AW$3=TRUE,IF(AN391="","",SUM($AN$6:AN391)),"")</f>
        <v/>
      </c>
      <c r="BJ391" t="str">
        <f>IF($AX$3=TRUE,IF(AO391="","",SUM($AO$6:AO391)),"")</f>
        <v/>
      </c>
      <c r="BK391" t="str">
        <f>IF($AY$3=TRUE,IF(AP391="","",SUM($AP$6:AP391)),"")</f>
        <v/>
      </c>
      <c r="BL391" t="str">
        <f>IF($AZ$3=TRUE,IF(AQ391="","",SUM($AQ$6:AQ391)),"")</f>
        <v/>
      </c>
      <c r="BM391" t="str">
        <f>IF($BA$3=TRUE,IF(AR391="","",SUM($AR$6:AR391)),"")</f>
        <v/>
      </c>
      <c r="BN391" t="str">
        <f>IF($BB$3=TRUE,IF(AS391="","",SUM($AS$6:AS391)),"")</f>
        <v/>
      </c>
    </row>
    <row r="392" spans="34:66" x14ac:dyDescent="0.25">
      <c r="AH392" s="75"/>
      <c r="AK392" s="75"/>
      <c r="BF392" s="75" t="str">
        <f t="shared" si="16"/>
        <v/>
      </c>
      <c r="BG392" t="str">
        <f>IF($AU$3=TRUE,IF(AL392="","",SUM($AL$6:AL392)),"")</f>
        <v/>
      </c>
      <c r="BH392" t="str">
        <f>IF($AV$3=TRUE,IF(AM392="","",SUM($AM$6:AM392)),"")</f>
        <v/>
      </c>
      <c r="BI392" t="str">
        <f>IF($AW$3=TRUE,IF(AN392="","",SUM($AN$6:AN392)),"")</f>
        <v/>
      </c>
      <c r="BJ392" t="str">
        <f>IF($AX$3=TRUE,IF(AO392="","",SUM($AO$6:AO392)),"")</f>
        <v/>
      </c>
      <c r="BK392" t="str">
        <f>IF($AY$3=TRUE,IF(AP392="","",SUM($AP$6:AP392)),"")</f>
        <v/>
      </c>
      <c r="BL392" t="str">
        <f>IF($AZ$3=TRUE,IF(AQ392="","",SUM($AQ$6:AQ392)),"")</f>
        <v/>
      </c>
      <c r="BM392" t="str">
        <f>IF($BA$3=TRUE,IF(AR392="","",SUM($AR$6:AR392)),"")</f>
        <v/>
      </c>
      <c r="BN392" t="str">
        <f>IF($BB$3=TRUE,IF(AS392="","",SUM($AS$6:AS392)),"")</f>
        <v/>
      </c>
    </row>
    <row r="393" spans="34:66" x14ac:dyDescent="0.25">
      <c r="AH393" s="75"/>
      <c r="AK393" s="75"/>
      <c r="BF393" s="75" t="str">
        <f t="shared" si="16"/>
        <v/>
      </c>
      <c r="BG393" t="str">
        <f>IF($AU$3=TRUE,IF(AL393="","",SUM($AL$6:AL393)),"")</f>
        <v/>
      </c>
      <c r="BH393" t="str">
        <f>IF($AV$3=TRUE,IF(AM393="","",SUM($AM$6:AM393)),"")</f>
        <v/>
      </c>
      <c r="BI393" t="str">
        <f>IF($AW$3=TRUE,IF(AN393="","",SUM($AN$6:AN393)),"")</f>
        <v/>
      </c>
      <c r="BJ393" t="str">
        <f>IF($AX$3=TRUE,IF(AO393="","",SUM($AO$6:AO393)),"")</f>
        <v/>
      </c>
      <c r="BK393" t="str">
        <f>IF($AY$3=TRUE,IF(AP393="","",SUM($AP$6:AP393)),"")</f>
        <v/>
      </c>
      <c r="BL393" t="str">
        <f>IF($AZ$3=TRUE,IF(AQ393="","",SUM($AQ$6:AQ393)),"")</f>
        <v/>
      </c>
      <c r="BM393" t="str">
        <f>IF($BA$3=TRUE,IF(AR393="","",SUM($AR$6:AR393)),"")</f>
        <v/>
      </c>
      <c r="BN393" t="str">
        <f>IF($BB$3=TRUE,IF(AS393="","",SUM($AS$6:AS393)),"")</f>
        <v/>
      </c>
    </row>
    <row r="394" spans="34:66" x14ac:dyDescent="0.25">
      <c r="AH394" s="75"/>
      <c r="AK394" s="75"/>
      <c r="BF394" s="75" t="str">
        <f t="shared" si="16"/>
        <v/>
      </c>
      <c r="BG394" t="str">
        <f>IF($AU$3=TRUE,IF(AL394="","",SUM($AL$6:AL394)),"")</f>
        <v/>
      </c>
      <c r="BH394" t="str">
        <f>IF($AV$3=TRUE,IF(AM394="","",SUM($AM$6:AM394)),"")</f>
        <v/>
      </c>
      <c r="BI394" t="str">
        <f>IF($AW$3=TRUE,IF(AN394="","",SUM($AN$6:AN394)),"")</f>
        <v/>
      </c>
      <c r="BJ394" t="str">
        <f>IF($AX$3=TRUE,IF(AO394="","",SUM($AO$6:AO394)),"")</f>
        <v/>
      </c>
      <c r="BK394" t="str">
        <f>IF($AY$3=TRUE,IF(AP394="","",SUM($AP$6:AP394)),"")</f>
        <v/>
      </c>
      <c r="BL394" t="str">
        <f>IF($AZ$3=TRUE,IF(AQ394="","",SUM($AQ$6:AQ394)),"")</f>
        <v/>
      </c>
      <c r="BM394" t="str">
        <f>IF($BA$3=TRUE,IF(AR394="","",SUM($AR$6:AR394)),"")</f>
        <v/>
      </c>
      <c r="BN394" t="str">
        <f>IF($BB$3=TRUE,IF(AS394="","",SUM($AS$6:AS394)),"")</f>
        <v/>
      </c>
    </row>
    <row r="395" spans="34:66" x14ac:dyDescent="0.25">
      <c r="AH395" s="75"/>
      <c r="AK395" s="75"/>
      <c r="BF395" s="75" t="str">
        <f t="shared" si="16"/>
        <v/>
      </c>
      <c r="BG395" t="str">
        <f>IF($AU$3=TRUE,IF(AL395="","",SUM($AL$6:AL395)),"")</f>
        <v/>
      </c>
      <c r="BH395" t="str">
        <f>IF($AV$3=TRUE,IF(AM395="","",SUM($AM$6:AM395)),"")</f>
        <v/>
      </c>
      <c r="BI395" t="str">
        <f>IF($AW$3=TRUE,IF(AN395="","",SUM($AN$6:AN395)),"")</f>
        <v/>
      </c>
      <c r="BJ395" t="str">
        <f>IF($AX$3=TRUE,IF(AO395="","",SUM($AO$6:AO395)),"")</f>
        <v/>
      </c>
      <c r="BK395" t="str">
        <f>IF($AY$3=TRUE,IF(AP395="","",SUM($AP$6:AP395)),"")</f>
        <v/>
      </c>
      <c r="BL395" t="str">
        <f>IF($AZ$3=TRUE,IF(AQ395="","",SUM($AQ$6:AQ395)),"")</f>
        <v/>
      </c>
      <c r="BM395" t="str">
        <f>IF($BA$3=TRUE,IF(AR395="","",SUM($AR$6:AR395)),"")</f>
        <v/>
      </c>
      <c r="BN395" t="str">
        <f>IF($BB$3=TRUE,IF(AS395="","",SUM($AS$6:AS395)),"")</f>
        <v/>
      </c>
    </row>
    <row r="396" spans="34:66" x14ac:dyDescent="0.25">
      <c r="AH396" s="75"/>
      <c r="AK396" s="75"/>
      <c r="BF396" s="75" t="str">
        <f t="shared" si="16"/>
        <v/>
      </c>
      <c r="BG396" t="str">
        <f>IF($AU$3=TRUE,IF(AL396="","",SUM($AL$6:AL396)),"")</f>
        <v/>
      </c>
      <c r="BH396" t="str">
        <f>IF($AV$3=TRUE,IF(AM396="","",SUM($AM$6:AM396)),"")</f>
        <v/>
      </c>
      <c r="BI396" t="str">
        <f>IF($AW$3=TRUE,IF(AN396="","",SUM($AN$6:AN396)),"")</f>
        <v/>
      </c>
      <c r="BJ396" t="str">
        <f>IF($AX$3=TRUE,IF(AO396="","",SUM($AO$6:AO396)),"")</f>
        <v/>
      </c>
      <c r="BK396" t="str">
        <f>IF($AY$3=TRUE,IF(AP396="","",SUM($AP$6:AP396)),"")</f>
        <v/>
      </c>
      <c r="BL396" t="str">
        <f>IF($AZ$3=TRUE,IF(AQ396="","",SUM($AQ$6:AQ396)),"")</f>
        <v/>
      </c>
      <c r="BM396" t="str">
        <f>IF($BA$3=TRUE,IF(AR396="","",SUM($AR$6:AR396)),"")</f>
        <v/>
      </c>
      <c r="BN396" t="str">
        <f>IF($BB$3=TRUE,IF(AS396="","",SUM($AS$6:AS396)),"")</f>
        <v/>
      </c>
    </row>
    <row r="397" spans="34:66" x14ac:dyDescent="0.25">
      <c r="AH397" s="75"/>
      <c r="AK397" s="75"/>
      <c r="BF397" s="75" t="str">
        <f t="shared" si="16"/>
        <v/>
      </c>
      <c r="BG397" t="str">
        <f>IF($AU$3=TRUE,IF(AL397="","",SUM($AL$6:AL397)),"")</f>
        <v/>
      </c>
      <c r="BH397" t="str">
        <f>IF($AV$3=TRUE,IF(AM397="","",SUM($AM$6:AM397)),"")</f>
        <v/>
      </c>
      <c r="BI397" t="str">
        <f>IF($AW$3=TRUE,IF(AN397="","",SUM($AN$6:AN397)),"")</f>
        <v/>
      </c>
      <c r="BJ397" t="str">
        <f>IF($AX$3=TRUE,IF(AO397="","",SUM($AO$6:AO397)),"")</f>
        <v/>
      </c>
      <c r="BK397" t="str">
        <f>IF($AY$3=TRUE,IF(AP397="","",SUM($AP$6:AP397)),"")</f>
        <v/>
      </c>
      <c r="BL397" t="str">
        <f>IF($AZ$3=TRUE,IF(AQ397="","",SUM($AQ$6:AQ397)),"")</f>
        <v/>
      </c>
      <c r="BM397" t="str">
        <f>IF($BA$3=TRUE,IF(AR397="","",SUM($AR$6:AR397)),"")</f>
        <v/>
      </c>
      <c r="BN397" t="str">
        <f>IF($BB$3=TRUE,IF(AS397="","",SUM($AS$6:AS397)),"")</f>
        <v/>
      </c>
    </row>
    <row r="398" spans="34:66" x14ac:dyDescent="0.25">
      <c r="AH398" s="75"/>
      <c r="AK398" s="75"/>
      <c r="BF398" s="75" t="str">
        <f t="shared" si="16"/>
        <v/>
      </c>
      <c r="BG398" t="str">
        <f>IF($AU$3=TRUE,IF(AL398="","",SUM($AL$6:AL398)),"")</f>
        <v/>
      </c>
      <c r="BH398" t="str">
        <f>IF($AV$3=TRUE,IF(AM398="","",SUM($AM$6:AM398)),"")</f>
        <v/>
      </c>
      <c r="BI398" t="str">
        <f>IF($AW$3=TRUE,IF(AN398="","",SUM($AN$6:AN398)),"")</f>
        <v/>
      </c>
      <c r="BJ398" t="str">
        <f>IF($AX$3=TRUE,IF(AO398="","",SUM($AO$6:AO398)),"")</f>
        <v/>
      </c>
      <c r="BK398" t="str">
        <f>IF($AY$3=TRUE,IF(AP398="","",SUM($AP$6:AP398)),"")</f>
        <v/>
      </c>
      <c r="BL398" t="str">
        <f>IF($AZ$3=TRUE,IF(AQ398="","",SUM($AQ$6:AQ398)),"")</f>
        <v/>
      </c>
      <c r="BM398" t="str">
        <f>IF($BA$3=TRUE,IF(AR398="","",SUM($AR$6:AR398)),"")</f>
        <v/>
      </c>
      <c r="BN398" t="str">
        <f>IF($BB$3=TRUE,IF(AS398="","",SUM($AS$6:AS398)),"")</f>
        <v/>
      </c>
    </row>
    <row r="399" spans="34:66" x14ac:dyDescent="0.25">
      <c r="AH399" s="75"/>
      <c r="AK399" s="75"/>
      <c r="BF399" s="75" t="str">
        <f t="shared" si="16"/>
        <v/>
      </c>
      <c r="BG399" t="str">
        <f>IF($AU$3=TRUE,IF(AL399="","",SUM($AL$6:AL399)),"")</f>
        <v/>
      </c>
      <c r="BH399" t="str">
        <f>IF($AV$3=TRUE,IF(AM399="","",SUM($AM$6:AM399)),"")</f>
        <v/>
      </c>
      <c r="BI399" t="str">
        <f>IF($AW$3=TRUE,IF(AN399="","",SUM($AN$6:AN399)),"")</f>
        <v/>
      </c>
      <c r="BJ399" t="str">
        <f>IF($AX$3=TRUE,IF(AO399="","",SUM($AO$6:AO399)),"")</f>
        <v/>
      </c>
      <c r="BK399" t="str">
        <f>IF($AY$3=TRUE,IF(AP399="","",SUM($AP$6:AP399)),"")</f>
        <v/>
      </c>
      <c r="BL399" t="str">
        <f>IF($AZ$3=TRUE,IF(AQ399="","",SUM($AQ$6:AQ399)),"")</f>
        <v/>
      </c>
      <c r="BM399" t="str">
        <f>IF($BA$3=TRUE,IF(AR399="","",SUM($AR$6:AR399)),"")</f>
        <v/>
      </c>
      <c r="BN399" t="str">
        <f>IF($BB$3=TRUE,IF(AS399="","",SUM($AS$6:AS399)),"")</f>
        <v/>
      </c>
    </row>
    <row r="400" spans="34:66" x14ac:dyDescent="0.25">
      <c r="AH400" s="75"/>
      <c r="AK400" s="75"/>
      <c r="BF400" s="75" t="str">
        <f t="shared" si="16"/>
        <v/>
      </c>
      <c r="BG400" t="str">
        <f>IF($AU$3=TRUE,IF(AL400="","",SUM($AL$6:AL400)),"")</f>
        <v/>
      </c>
      <c r="BH400" t="str">
        <f>IF($AV$3=TRUE,IF(AM400="","",SUM($AM$6:AM400)),"")</f>
        <v/>
      </c>
      <c r="BI400" t="str">
        <f>IF($AW$3=TRUE,IF(AN400="","",SUM($AN$6:AN400)),"")</f>
        <v/>
      </c>
      <c r="BJ400" t="str">
        <f>IF($AX$3=TRUE,IF(AO400="","",SUM($AO$6:AO400)),"")</f>
        <v/>
      </c>
      <c r="BK400" t="str">
        <f>IF($AY$3=TRUE,IF(AP400="","",SUM($AP$6:AP400)),"")</f>
        <v/>
      </c>
      <c r="BL400" t="str">
        <f>IF($AZ$3=TRUE,IF(AQ400="","",SUM($AQ$6:AQ400)),"")</f>
        <v/>
      </c>
      <c r="BM400" t="str">
        <f>IF($BA$3=TRUE,IF(AR400="","",SUM($AR$6:AR400)),"")</f>
        <v/>
      </c>
      <c r="BN400" t="str">
        <f>IF($BB$3=TRUE,IF(AS400="","",SUM($AS$6:AS400)),"")</f>
        <v/>
      </c>
    </row>
    <row r="401" spans="34:66" x14ac:dyDescent="0.25">
      <c r="AH401" s="75"/>
      <c r="AK401" s="75"/>
      <c r="BF401" s="75" t="str">
        <f t="shared" si="16"/>
        <v/>
      </c>
      <c r="BG401" t="str">
        <f>IF($AU$3=TRUE,IF(AL401="","",SUM($AL$6:AL401)),"")</f>
        <v/>
      </c>
      <c r="BH401" t="str">
        <f>IF($AV$3=TRUE,IF(AM401="","",SUM($AM$6:AM401)),"")</f>
        <v/>
      </c>
      <c r="BI401" t="str">
        <f>IF($AW$3=TRUE,IF(AN401="","",SUM($AN$6:AN401)),"")</f>
        <v/>
      </c>
      <c r="BJ401" t="str">
        <f>IF($AX$3=TRUE,IF(AO401="","",SUM($AO$6:AO401)),"")</f>
        <v/>
      </c>
      <c r="BK401" t="str">
        <f>IF($AY$3=TRUE,IF(AP401="","",SUM($AP$6:AP401)),"")</f>
        <v/>
      </c>
      <c r="BL401" t="str">
        <f>IF($AZ$3=TRUE,IF(AQ401="","",SUM($AQ$6:AQ401)),"")</f>
        <v/>
      </c>
      <c r="BM401" t="str">
        <f>IF($BA$3=TRUE,IF(AR401="","",SUM($AR$6:AR401)),"")</f>
        <v/>
      </c>
      <c r="BN401" t="str">
        <f>IF($BB$3=TRUE,IF(AS401="","",SUM($AS$6:AS401)),"")</f>
        <v/>
      </c>
    </row>
    <row r="402" spans="34:66" x14ac:dyDescent="0.25">
      <c r="AH402" s="75"/>
      <c r="AK402" s="75"/>
      <c r="BF402" s="75" t="str">
        <f t="shared" si="16"/>
        <v/>
      </c>
      <c r="BG402" t="str">
        <f>IF($AU$3=TRUE,IF(AL402="","",SUM($AL$6:AL402)),"")</f>
        <v/>
      </c>
      <c r="BH402" t="str">
        <f>IF($AV$3=TRUE,IF(AM402="","",SUM($AM$6:AM402)),"")</f>
        <v/>
      </c>
      <c r="BI402" t="str">
        <f>IF($AW$3=TRUE,IF(AN402="","",SUM($AN$6:AN402)),"")</f>
        <v/>
      </c>
      <c r="BJ402" t="str">
        <f>IF($AX$3=TRUE,IF(AO402="","",SUM($AO$6:AO402)),"")</f>
        <v/>
      </c>
      <c r="BK402" t="str">
        <f>IF($AY$3=TRUE,IF(AP402="","",SUM($AP$6:AP402)),"")</f>
        <v/>
      </c>
      <c r="BL402" t="str">
        <f>IF($AZ$3=TRUE,IF(AQ402="","",SUM($AQ$6:AQ402)),"")</f>
        <v/>
      </c>
      <c r="BM402" t="str">
        <f>IF($BA$3=TRUE,IF(AR402="","",SUM($AR$6:AR402)),"")</f>
        <v/>
      </c>
      <c r="BN402" t="str">
        <f>IF($BB$3=TRUE,IF(AS402="","",SUM($AS$6:AS402)),"")</f>
        <v/>
      </c>
    </row>
    <row r="403" spans="34:66" x14ac:dyDescent="0.25">
      <c r="AH403" s="75"/>
      <c r="AK403" s="75"/>
      <c r="BF403" s="75" t="str">
        <f t="shared" si="16"/>
        <v/>
      </c>
      <c r="BG403" t="str">
        <f>IF($AU$3=TRUE,IF(AL403="","",SUM($AL$6:AL403)),"")</f>
        <v/>
      </c>
      <c r="BH403" t="str">
        <f>IF($AV$3=TRUE,IF(AM403="","",SUM($AM$6:AM403)),"")</f>
        <v/>
      </c>
      <c r="BI403" t="str">
        <f>IF($AW$3=TRUE,IF(AN403="","",SUM($AN$6:AN403)),"")</f>
        <v/>
      </c>
      <c r="BJ403" t="str">
        <f>IF($AX$3=TRUE,IF(AO403="","",SUM($AO$6:AO403)),"")</f>
        <v/>
      </c>
      <c r="BK403" t="str">
        <f>IF($AY$3=TRUE,IF(AP403="","",SUM($AP$6:AP403)),"")</f>
        <v/>
      </c>
      <c r="BL403" t="str">
        <f>IF($AZ$3=TRUE,IF(AQ403="","",SUM($AQ$6:AQ403)),"")</f>
        <v/>
      </c>
      <c r="BM403" t="str">
        <f>IF($BA$3=TRUE,IF(AR403="","",SUM($AR$6:AR403)),"")</f>
        <v/>
      </c>
      <c r="BN403" t="str">
        <f>IF($BB$3=TRUE,IF(AS403="","",SUM($AS$6:AS403)),"")</f>
        <v/>
      </c>
    </row>
    <row r="404" spans="34:66" x14ac:dyDescent="0.25">
      <c r="AH404" s="75"/>
      <c r="AK404" s="75"/>
      <c r="BF404" s="75" t="str">
        <f t="shared" si="16"/>
        <v/>
      </c>
      <c r="BG404" t="str">
        <f>IF($AU$3=TRUE,IF(AL404="","",SUM($AL$6:AL404)),"")</f>
        <v/>
      </c>
      <c r="BH404" t="str">
        <f>IF($AV$3=TRUE,IF(AM404="","",SUM($AM$6:AM404)),"")</f>
        <v/>
      </c>
      <c r="BI404" t="str">
        <f>IF($AW$3=TRUE,IF(AN404="","",SUM($AN$6:AN404)),"")</f>
        <v/>
      </c>
      <c r="BJ404" t="str">
        <f>IF($AX$3=TRUE,IF(AO404="","",SUM($AO$6:AO404)),"")</f>
        <v/>
      </c>
      <c r="BK404" t="str">
        <f>IF($AY$3=TRUE,IF(AP404="","",SUM($AP$6:AP404)),"")</f>
        <v/>
      </c>
      <c r="BL404" t="str">
        <f>IF($AZ$3=TRUE,IF(AQ404="","",SUM($AQ$6:AQ404)),"")</f>
        <v/>
      </c>
      <c r="BM404" t="str">
        <f>IF($BA$3=TRUE,IF(AR404="","",SUM($AR$6:AR404)),"")</f>
        <v/>
      </c>
      <c r="BN404" t="str">
        <f>IF($BB$3=TRUE,IF(AS404="","",SUM($AS$6:AS404)),"")</f>
        <v/>
      </c>
    </row>
    <row r="405" spans="34:66" x14ac:dyDescent="0.25">
      <c r="AH405" s="75"/>
      <c r="AK405" s="75"/>
      <c r="BF405" s="75" t="str">
        <f t="shared" si="16"/>
        <v/>
      </c>
      <c r="BG405" t="str">
        <f>IF($AU$3=TRUE,IF(AL405="","",SUM($AL$6:AL405)),"")</f>
        <v/>
      </c>
      <c r="BH405" t="str">
        <f>IF($AV$3=TRUE,IF(AM405="","",SUM($AM$6:AM405)),"")</f>
        <v/>
      </c>
      <c r="BI405" t="str">
        <f>IF($AW$3=TRUE,IF(AN405="","",SUM($AN$6:AN405)),"")</f>
        <v/>
      </c>
      <c r="BJ405" t="str">
        <f>IF($AX$3=TRUE,IF(AO405="","",SUM($AO$6:AO405)),"")</f>
        <v/>
      </c>
      <c r="BK405" t="str">
        <f>IF($AY$3=TRUE,IF(AP405="","",SUM($AP$6:AP405)),"")</f>
        <v/>
      </c>
      <c r="BL405" t="str">
        <f>IF($AZ$3=TRUE,IF(AQ405="","",SUM($AQ$6:AQ405)),"")</f>
        <v/>
      </c>
      <c r="BM405" t="str">
        <f>IF($BA$3=TRUE,IF(AR405="","",SUM($AR$6:AR405)),"")</f>
        <v/>
      </c>
      <c r="BN405" t="str">
        <f>IF($BB$3=TRUE,IF(AS405="","",SUM($AS$6:AS405)),"")</f>
        <v/>
      </c>
    </row>
    <row r="406" spans="34:66" x14ac:dyDescent="0.25">
      <c r="AH406" s="75"/>
      <c r="AK406" s="75"/>
      <c r="BF406" s="75" t="str">
        <f t="shared" si="16"/>
        <v/>
      </c>
      <c r="BG406" t="str">
        <f>IF($AU$3=TRUE,IF(AL406="","",SUM($AL$6:AL406)),"")</f>
        <v/>
      </c>
      <c r="BH406" t="str">
        <f>IF($AV$3=TRUE,IF(AM406="","",SUM($AM$6:AM406)),"")</f>
        <v/>
      </c>
      <c r="BI406" t="str">
        <f>IF($AW$3=TRUE,IF(AN406="","",SUM($AN$6:AN406)),"")</f>
        <v/>
      </c>
      <c r="BJ406" t="str">
        <f>IF($AX$3=TRUE,IF(AO406="","",SUM($AO$6:AO406)),"")</f>
        <v/>
      </c>
      <c r="BK406" t="str">
        <f>IF($AY$3=TRUE,IF(AP406="","",SUM($AP$6:AP406)),"")</f>
        <v/>
      </c>
      <c r="BL406" t="str">
        <f>IF($AZ$3=TRUE,IF(AQ406="","",SUM($AQ$6:AQ406)),"")</f>
        <v/>
      </c>
      <c r="BM406" t="str">
        <f>IF($BA$3=TRUE,IF(AR406="","",SUM($AR$6:AR406)),"")</f>
        <v/>
      </c>
      <c r="BN406" t="str">
        <f>IF($BB$3=TRUE,IF(AS406="","",SUM($AS$6:AS406)),"")</f>
        <v/>
      </c>
    </row>
    <row r="407" spans="34:66" x14ac:dyDescent="0.25">
      <c r="AH407" s="75"/>
      <c r="AK407" s="75"/>
      <c r="BF407" s="75" t="str">
        <f t="shared" si="16"/>
        <v/>
      </c>
      <c r="BG407" t="str">
        <f>IF($AU$3=TRUE,IF(AL407="","",SUM($AL$6:AL407)),"")</f>
        <v/>
      </c>
      <c r="BH407" t="str">
        <f>IF($AV$3=TRUE,IF(AM407="","",SUM($AM$6:AM407)),"")</f>
        <v/>
      </c>
      <c r="BI407" t="str">
        <f>IF($AW$3=TRUE,IF(AN407="","",SUM($AN$6:AN407)),"")</f>
        <v/>
      </c>
      <c r="BJ407" t="str">
        <f>IF($AX$3=TRUE,IF(AO407="","",SUM($AO$6:AO407)),"")</f>
        <v/>
      </c>
      <c r="BK407" t="str">
        <f>IF($AY$3=TRUE,IF(AP407="","",SUM($AP$6:AP407)),"")</f>
        <v/>
      </c>
      <c r="BL407" t="str">
        <f>IF($AZ$3=TRUE,IF(AQ407="","",SUM($AQ$6:AQ407)),"")</f>
        <v/>
      </c>
      <c r="BM407" t="str">
        <f>IF($BA$3=TRUE,IF(AR407="","",SUM($AR$6:AR407)),"")</f>
        <v/>
      </c>
      <c r="BN407" t="str">
        <f>IF($BB$3=TRUE,IF(AS407="","",SUM($AS$6:AS407)),"")</f>
        <v/>
      </c>
    </row>
    <row r="408" spans="34:66" x14ac:dyDescent="0.25">
      <c r="AH408" s="75"/>
      <c r="AK408" s="75"/>
      <c r="BF408" s="75" t="str">
        <f t="shared" si="16"/>
        <v/>
      </c>
      <c r="BG408" t="str">
        <f>IF($AU$3=TRUE,IF(AL408="","",SUM($AL$6:AL408)),"")</f>
        <v/>
      </c>
      <c r="BH408" t="str">
        <f>IF($AV$3=TRUE,IF(AM408="","",SUM($AM$6:AM408)),"")</f>
        <v/>
      </c>
      <c r="BI408" t="str">
        <f>IF($AW$3=TRUE,IF(AN408="","",SUM($AN$6:AN408)),"")</f>
        <v/>
      </c>
      <c r="BJ408" t="str">
        <f>IF($AX$3=TRUE,IF(AO408="","",SUM($AO$6:AO408)),"")</f>
        <v/>
      </c>
      <c r="BK408" t="str">
        <f>IF($AY$3=TRUE,IF(AP408="","",SUM($AP$6:AP408)),"")</f>
        <v/>
      </c>
      <c r="BL408" t="str">
        <f>IF($AZ$3=TRUE,IF(AQ408="","",SUM($AQ$6:AQ408)),"")</f>
        <v/>
      </c>
      <c r="BM408" t="str">
        <f>IF($BA$3=TRUE,IF(AR408="","",SUM($AR$6:AR408)),"")</f>
        <v/>
      </c>
      <c r="BN408" t="str">
        <f>IF($BB$3=TRUE,IF(AS408="","",SUM($AS$6:AS408)),"")</f>
        <v/>
      </c>
    </row>
    <row r="409" spans="34:66" x14ac:dyDescent="0.25">
      <c r="AH409" s="75"/>
      <c r="AK409" s="75"/>
      <c r="BF409" s="75" t="str">
        <f t="shared" si="16"/>
        <v/>
      </c>
      <c r="BG409" t="str">
        <f>IF($AU$3=TRUE,IF(AL409="","",SUM($AL$6:AL409)),"")</f>
        <v/>
      </c>
      <c r="BH409" t="str">
        <f>IF($AV$3=TRUE,IF(AM409="","",SUM($AM$6:AM409)),"")</f>
        <v/>
      </c>
      <c r="BI409" t="str">
        <f>IF($AW$3=TRUE,IF(AN409="","",SUM($AN$6:AN409)),"")</f>
        <v/>
      </c>
      <c r="BJ409" t="str">
        <f>IF($AX$3=TRUE,IF(AO409="","",SUM($AO$6:AO409)),"")</f>
        <v/>
      </c>
      <c r="BK409" t="str">
        <f>IF($AY$3=TRUE,IF(AP409="","",SUM($AP$6:AP409)),"")</f>
        <v/>
      </c>
      <c r="BL409" t="str">
        <f>IF($AZ$3=TRUE,IF(AQ409="","",SUM($AQ$6:AQ409)),"")</f>
        <v/>
      </c>
      <c r="BM409" t="str">
        <f>IF($BA$3=TRUE,IF(AR409="","",SUM($AR$6:AR409)),"")</f>
        <v/>
      </c>
      <c r="BN409" t="str">
        <f>IF($BB$3=TRUE,IF(AS409="","",SUM($AS$6:AS409)),"")</f>
        <v/>
      </c>
    </row>
    <row r="410" spans="34:66" x14ac:dyDescent="0.25">
      <c r="AH410" s="75"/>
      <c r="AK410" s="75"/>
      <c r="BF410" s="75" t="str">
        <f t="shared" si="16"/>
        <v/>
      </c>
      <c r="BG410" t="str">
        <f>IF($AU$3=TRUE,IF(AL410="","",SUM($AL$6:AL410)),"")</f>
        <v/>
      </c>
      <c r="BH410" t="str">
        <f>IF($AV$3=TRUE,IF(AM410="","",SUM($AM$6:AM410)),"")</f>
        <v/>
      </c>
      <c r="BI410" t="str">
        <f>IF($AW$3=TRUE,IF(AN410="","",SUM($AN$6:AN410)),"")</f>
        <v/>
      </c>
      <c r="BJ410" t="str">
        <f>IF($AX$3=TRUE,IF(AO410="","",SUM($AO$6:AO410)),"")</f>
        <v/>
      </c>
      <c r="BK410" t="str">
        <f>IF($AY$3=TRUE,IF(AP410="","",SUM($AP$6:AP410)),"")</f>
        <v/>
      </c>
      <c r="BL410" t="str">
        <f>IF($AZ$3=TRUE,IF(AQ410="","",SUM($AQ$6:AQ410)),"")</f>
        <v/>
      </c>
      <c r="BM410" t="str">
        <f>IF($BA$3=TRUE,IF(AR410="","",SUM($AR$6:AR410)),"")</f>
        <v/>
      </c>
      <c r="BN410" t="str">
        <f>IF($BB$3=TRUE,IF(AS410="","",SUM($AS$6:AS410)),"")</f>
        <v/>
      </c>
    </row>
    <row r="411" spans="34:66" x14ac:dyDescent="0.25">
      <c r="AH411" s="75"/>
      <c r="AK411" s="75"/>
      <c r="BF411" s="75" t="str">
        <f t="shared" si="16"/>
        <v/>
      </c>
      <c r="BG411" t="str">
        <f>IF($AU$3=TRUE,IF(AL411="","",SUM($AL$6:AL411)),"")</f>
        <v/>
      </c>
      <c r="BH411" t="str">
        <f>IF($AV$3=TRUE,IF(AM411="","",SUM($AM$6:AM411)),"")</f>
        <v/>
      </c>
      <c r="BI411" t="str">
        <f>IF($AW$3=TRUE,IF(AN411="","",SUM($AN$6:AN411)),"")</f>
        <v/>
      </c>
      <c r="BJ411" t="str">
        <f>IF($AX$3=TRUE,IF(AO411="","",SUM($AO$6:AO411)),"")</f>
        <v/>
      </c>
      <c r="BK411" t="str">
        <f>IF($AY$3=TRUE,IF(AP411="","",SUM($AP$6:AP411)),"")</f>
        <v/>
      </c>
      <c r="BL411" t="str">
        <f>IF($AZ$3=TRUE,IF(AQ411="","",SUM($AQ$6:AQ411)),"")</f>
        <v/>
      </c>
      <c r="BM411" t="str">
        <f>IF($BA$3=TRUE,IF(AR411="","",SUM($AR$6:AR411)),"")</f>
        <v/>
      </c>
      <c r="BN411" t="str">
        <f>IF($BB$3=TRUE,IF(AS411="","",SUM($AS$6:AS411)),"")</f>
        <v/>
      </c>
    </row>
    <row r="412" spans="34:66" x14ac:dyDescent="0.25">
      <c r="AH412" s="75"/>
      <c r="AK412" s="75"/>
      <c r="BF412" s="75" t="str">
        <f t="shared" si="16"/>
        <v/>
      </c>
      <c r="BG412" t="str">
        <f>IF($AU$3=TRUE,IF(AL412="","",SUM($AL$6:AL412)),"")</f>
        <v/>
      </c>
      <c r="BH412" t="str">
        <f>IF($AV$3=TRUE,IF(AM412="","",SUM($AM$6:AM412)),"")</f>
        <v/>
      </c>
      <c r="BI412" t="str">
        <f>IF($AW$3=TRUE,IF(AN412="","",SUM($AN$6:AN412)),"")</f>
        <v/>
      </c>
      <c r="BJ412" t="str">
        <f>IF($AX$3=TRUE,IF(AO412="","",SUM($AO$6:AO412)),"")</f>
        <v/>
      </c>
      <c r="BK412" t="str">
        <f>IF($AY$3=TRUE,IF(AP412="","",SUM($AP$6:AP412)),"")</f>
        <v/>
      </c>
      <c r="BL412" t="str">
        <f>IF($AZ$3=TRUE,IF(AQ412="","",SUM($AQ$6:AQ412)),"")</f>
        <v/>
      </c>
      <c r="BM412" t="str">
        <f>IF($BA$3=TRUE,IF(AR412="","",SUM($AR$6:AR412)),"")</f>
        <v/>
      </c>
      <c r="BN412" t="str">
        <f>IF($BB$3=TRUE,IF(AS412="","",SUM($AS$6:AS412)),"")</f>
        <v/>
      </c>
    </row>
    <row r="413" spans="34:66" x14ac:dyDescent="0.25">
      <c r="AH413" s="75"/>
      <c r="AK413" s="75"/>
      <c r="BF413" s="75" t="str">
        <f t="shared" si="16"/>
        <v/>
      </c>
      <c r="BG413" t="str">
        <f>IF($AU$3=TRUE,IF(AL413="","",SUM($AL$6:AL413)),"")</f>
        <v/>
      </c>
      <c r="BH413" t="str">
        <f>IF($AV$3=TRUE,IF(AM413="","",SUM($AM$6:AM413)),"")</f>
        <v/>
      </c>
      <c r="BI413" t="str">
        <f>IF($AW$3=TRUE,IF(AN413="","",SUM($AN$6:AN413)),"")</f>
        <v/>
      </c>
      <c r="BJ413" t="str">
        <f>IF($AX$3=TRUE,IF(AO413="","",SUM($AO$6:AO413)),"")</f>
        <v/>
      </c>
      <c r="BK413" t="str">
        <f>IF($AY$3=TRUE,IF(AP413="","",SUM($AP$6:AP413)),"")</f>
        <v/>
      </c>
      <c r="BL413" t="str">
        <f>IF($AZ$3=TRUE,IF(AQ413="","",SUM($AQ$6:AQ413)),"")</f>
        <v/>
      </c>
      <c r="BM413" t="str">
        <f>IF($BA$3=TRUE,IF(AR413="","",SUM($AR$6:AR413)),"")</f>
        <v/>
      </c>
      <c r="BN413" t="str">
        <f>IF($BB$3=TRUE,IF(AS413="","",SUM($AS$6:AS413)),"")</f>
        <v/>
      </c>
    </row>
    <row r="414" spans="34:66" x14ac:dyDescent="0.25">
      <c r="AH414" s="75"/>
      <c r="AK414" s="75"/>
      <c r="BF414" s="75" t="str">
        <f t="shared" si="16"/>
        <v/>
      </c>
      <c r="BG414" t="str">
        <f>IF($AU$3=TRUE,IF(AL414="","",SUM($AL$6:AL414)),"")</f>
        <v/>
      </c>
      <c r="BH414" t="str">
        <f>IF($AV$3=TRUE,IF(AM414="","",SUM($AM$6:AM414)),"")</f>
        <v/>
      </c>
      <c r="BI414" t="str">
        <f>IF($AW$3=TRUE,IF(AN414="","",SUM($AN$6:AN414)),"")</f>
        <v/>
      </c>
      <c r="BJ414" t="str">
        <f>IF($AX$3=TRUE,IF(AO414="","",SUM($AO$6:AO414)),"")</f>
        <v/>
      </c>
      <c r="BK414" t="str">
        <f>IF($AY$3=TRUE,IF(AP414="","",SUM($AP$6:AP414)),"")</f>
        <v/>
      </c>
      <c r="BL414" t="str">
        <f>IF($AZ$3=TRUE,IF(AQ414="","",SUM($AQ$6:AQ414)),"")</f>
        <v/>
      </c>
      <c r="BM414" t="str">
        <f>IF($BA$3=TRUE,IF(AR414="","",SUM($AR$6:AR414)),"")</f>
        <v/>
      </c>
      <c r="BN414" t="str">
        <f>IF($BB$3=TRUE,IF(AS414="","",SUM($AS$6:AS414)),"")</f>
        <v/>
      </c>
    </row>
    <row r="415" spans="34:66" x14ac:dyDescent="0.25">
      <c r="AH415" s="75"/>
      <c r="AK415" s="75"/>
      <c r="BF415" s="75" t="str">
        <f t="shared" si="16"/>
        <v/>
      </c>
      <c r="BG415" t="str">
        <f>IF($AU$3=TRUE,IF(AL415="","",SUM($AL$6:AL415)),"")</f>
        <v/>
      </c>
      <c r="BH415" t="str">
        <f>IF($AV$3=TRUE,IF(AM415="","",SUM($AM$6:AM415)),"")</f>
        <v/>
      </c>
      <c r="BI415" t="str">
        <f>IF($AW$3=TRUE,IF(AN415="","",SUM($AN$6:AN415)),"")</f>
        <v/>
      </c>
      <c r="BJ415" t="str">
        <f>IF($AX$3=TRUE,IF(AO415="","",SUM($AO$6:AO415)),"")</f>
        <v/>
      </c>
      <c r="BK415" t="str">
        <f>IF($AY$3=TRUE,IF(AP415="","",SUM($AP$6:AP415)),"")</f>
        <v/>
      </c>
      <c r="BL415" t="str">
        <f>IF($AZ$3=TRUE,IF(AQ415="","",SUM($AQ$6:AQ415)),"")</f>
        <v/>
      </c>
      <c r="BM415" t="str">
        <f>IF($BA$3=TRUE,IF(AR415="","",SUM($AR$6:AR415)),"")</f>
        <v/>
      </c>
      <c r="BN415" t="str">
        <f>IF($BB$3=TRUE,IF(AS415="","",SUM($AS$6:AS415)),"")</f>
        <v/>
      </c>
    </row>
    <row r="416" spans="34:66" x14ac:dyDescent="0.25">
      <c r="AH416" s="75"/>
      <c r="AK416" s="75"/>
      <c r="BF416" s="75" t="str">
        <f t="shared" si="16"/>
        <v/>
      </c>
      <c r="BG416" t="str">
        <f>IF($AU$3=TRUE,IF(AL416="","",SUM($AL$6:AL416)),"")</f>
        <v/>
      </c>
      <c r="BH416" t="str">
        <f>IF($AV$3=TRUE,IF(AM416="","",SUM($AM$6:AM416)),"")</f>
        <v/>
      </c>
      <c r="BI416" t="str">
        <f>IF($AW$3=TRUE,IF(AN416="","",SUM($AN$6:AN416)),"")</f>
        <v/>
      </c>
      <c r="BJ416" t="str">
        <f>IF($AX$3=TRUE,IF(AO416="","",SUM($AO$6:AO416)),"")</f>
        <v/>
      </c>
      <c r="BK416" t="str">
        <f>IF($AY$3=TRUE,IF(AP416="","",SUM($AP$6:AP416)),"")</f>
        <v/>
      </c>
      <c r="BL416" t="str">
        <f>IF($AZ$3=TRUE,IF(AQ416="","",SUM($AQ$6:AQ416)),"")</f>
        <v/>
      </c>
      <c r="BM416" t="str">
        <f>IF($BA$3=TRUE,IF(AR416="","",SUM($AR$6:AR416)),"")</f>
        <v/>
      </c>
      <c r="BN416" t="str">
        <f>IF($BB$3=TRUE,IF(AS416="","",SUM($AS$6:AS416)),"")</f>
        <v/>
      </c>
    </row>
    <row r="417" spans="34:66" x14ac:dyDescent="0.25">
      <c r="AH417" s="75"/>
      <c r="AK417" s="75"/>
      <c r="BF417" s="75" t="str">
        <f t="shared" si="16"/>
        <v/>
      </c>
      <c r="BG417" t="str">
        <f>IF($AU$3=TRUE,IF(AL417="","",SUM($AL$6:AL417)),"")</f>
        <v/>
      </c>
      <c r="BH417" t="str">
        <f>IF($AV$3=TRUE,IF(AM417="","",SUM($AM$6:AM417)),"")</f>
        <v/>
      </c>
      <c r="BI417" t="str">
        <f>IF($AW$3=TRUE,IF(AN417="","",SUM($AN$6:AN417)),"")</f>
        <v/>
      </c>
      <c r="BJ417" t="str">
        <f>IF($AX$3=TRUE,IF(AO417="","",SUM($AO$6:AO417)),"")</f>
        <v/>
      </c>
      <c r="BK417" t="str">
        <f>IF($AY$3=TRUE,IF(AP417="","",SUM($AP$6:AP417)),"")</f>
        <v/>
      </c>
      <c r="BL417" t="str">
        <f>IF($AZ$3=TRUE,IF(AQ417="","",SUM($AQ$6:AQ417)),"")</f>
        <v/>
      </c>
      <c r="BM417" t="str">
        <f>IF($BA$3=TRUE,IF(AR417="","",SUM($AR$6:AR417)),"")</f>
        <v/>
      </c>
      <c r="BN417" t="str">
        <f>IF($BB$3=TRUE,IF(AS417="","",SUM($AS$6:AS417)),"")</f>
        <v/>
      </c>
    </row>
    <row r="418" spans="34:66" x14ac:dyDescent="0.25">
      <c r="AH418" s="75"/>
      <c r="AK418" s="75"/>
      <c r="BF418" s="75" t="str">
        <f t="shared" si="16"/>
        <v/>
      </c>
      <c r="BG418" t="str">
        <f>IF($AU$3=TRUE,IF(AL418="","",SUM($AL$6:AL418)),"")</f>
        <v/>
      </c>
      <c r="BH418" t="str">
        <f>IF($AV$3=TRUE,IF(AM418="","",SUM($AM$6:AM418)),"")</f>
        <v/>
      </c>
      <c r="BI418" t="str">
        <f>IF($AW$3=TRUE,IF(AN418="","",SUM($AN$6:AN418)),"")</f>
        <v/>
      </c>
      <c r="BJ418" t="str">
        <f>IF($AX$3=TRUE,IF(AO418="","",SUM($AO$6:AO418)),"")</f>
        <v/>
      </c>
      <c r="BK418" t="str">
        <f>IF($AY$3=TRUE,IF(AP418="","",SUM($AP$6:AP418)),"")</f>
        <v/>
      </c>
      <c r="BL418" t="str">
        <f>IF($AZ$3=TRUE,IF(AQ418="","",SUM($AQ$6:AQ418)),"")</f>
        <v/>
      </c>
      <c r="BM418" t="str">
        <f>IF($BA$3=TRUE,IF(AR418="","",SUM($AR$6:AR418)),"")</f>
        <v/>
      </c>
      <c r="BN418" t="str">
        <f>IF($BB$3=TRUE,IF(AS418="","",SUM($AS$6:AS418)),"")</f>
        <v/>
      </c>
    </row>
    <row r="419" spans="34:66" x14ac:dyDescent="0.25">
      <c r="AH419" s="75"/>
      <c r="AK419" s="75"/>
      <c r="BF419" s="75" t="str">
        <f t="shared" si="16"/>
        <v/>
      </c>
      <c r="BG419" t="str">
        <f>IF($AU$3=TRUE,IF(AL419="","",SUM($AL$6:AL419)),"")</f>
        <v/>
      </c>
      <c r="BH419" t="str">
        <f>IF($AV$3=TRUE,IF(AM419="","",SUM($AM$6:AM419)),"")</f>
        <v/>
      </c>
      <c r="BI419" t="str">
        <f>IF($AW$3=TRUE,IF(AN419="","",SUM($AN$6:AN419)),"")</f>
        <v/>
      </c>
      <c r="BJ419" t="str">
        <f>IF($AX$3=TRUE,IF(AO419="","",SUM($AO$6:AO419)),"")</f>
        <v/>
      </c>
      <c r="BK419" t="str">
        <f>IF($AY$3=TRUE,IF(AP419="","",SUM($AP$6:AP419)),"")</f>
        <v/>
      </c>
      <c r="BL419" t="str">
        <f>IF($AZ$3=TRUE,IF(AQ419="","",SUM($AQ$6:AQ419)),"")</f>
        <v/>
      </c>
      <c r="BM419" t="str">
        <f>IF($BA$3=TRUE,IF(AR419="","",SUM($AR$6:AR419)),"")</f>
        <v/>
      </c>
      <c r="BN419" t="str">
        <f>IF($BB$3=TRUE,IF(AS419="","",SUM($AS$6:AS419)),"")</f>
        <v/>
      </c>
    </row>
    <row r="420" spans="34:66" x14ac:dyDescent="0.25">
      <c r="AH420" s="75"/>
      <c r="AK420" s="75"/>
      <c r="BF420" s="75" t="str">
        <f t="shared" si="16"/>
        <v/>
      </c>
      <c r="BG420" t="str">
        <f>IF($AU$3=TRUE,IF(AL420="","",SUM($AL$6:AL420)),"")</f>
        <v/>
      </c>
      <c r="BH420" t="str">
        <f>IF($AV$3=TRUE,IF(AM420="","",SUM($AM$6:AM420)),"")</f>
        <v/>
      </c>
      <c r="BI420" t="str">
        <f>IF($AW$3=TRUE,IF(AN420="","",SUM($AN$6:AN420)),"")</f>
        <v/>
      </c>
      <c r="BJ420" t="str">
        <f>IF($AX$3=TRUE,IF(AO420="","",SUM($AO$6:AO420)),"")</f>
        <v/>
      </c>
      <c r="BK420" t="str">
        <f>IF($AY$3=TRUE,IF(AP420="","",SUM($AP$6:AP420)),"")</f>
        <v/>
      </c>
      <c r="BL420" t="str">
        <f>IF($AZ$3=TRUE,IF(AQ420="","",SUM($AQ$6:AQ420)),"")</f>
        <v/>
      </c>
      <c r="BM420" t="str">
        <f>IF($BA$3=TRUE,IF(AR420="","",SUM($AR$6:AR420)),"")</f>
        <v/>
      </c>
      <c r="BN420" t="str">
        <f>IF($BB$3=TRUE,IF(AS420="","",SUM($AS$6:AS420)),"")</f>
        <v/>
      </c>
    </row>
    <row r="421" spans="34:66" x14ac:dyDescent="0.25">
      <c r="AH421" s="75"/>
      <c r="AK421" s="75"/>
      <c r="BF421" s="75" t="str">
        <f t="shared" si="16"/>
        <v/>
      </c>
      <c r="BG421" t="str">
        <f>IF($AU$3=TRUE,IF(AL421="","",SUM($AL$6:AL421)),"")</f>
        <v/>
      </c>
      <c r="BH421" t="str">
        <f>IF($AV$3=TRUE,IF(AM421="","",SUM($AM$6:AM421)),"")</f>
        <v/>
      </c>
      <c r="BI421" t="str">
        <f>IF($AW$3=TRUE,IF(AN421="","",SUM($AN$6:AN421)),"")</f>
        <v/>
      </c>
      <c r="BJ421" t="str">
        <f>IF($AX$3=TRUE,IF(AO421="","",SUM($AO$6:AO421)),"")</f>
        <v/>
      </c>
      <c r="BK421" t="str">
        <f>IF($AY$3=TRUE,IF(AP421="","",SUM($AP$6:AP421)),"")</f>
        <v/>
      </c>
      <c r="BL421" t="str">
        <f>IF($AZ$3=TRUE,IF(AQ421="","",SUM($AQ$6:AQ421)),"")</f>
        <v/>
      </c>
      <c r="BM421" t="str">
        <f>IF($BA$3=TRUE,IF(AR421="","",SUM($AR$6:AR421)),"")</f>
        <v/>
      </c>
      <c r="BN421" t="str">
        <f>IF($BB$3=TRUE,IF(AS421="","",SUM($AS$6:AS421)),"")</f>
        <v/>
      </c>
    </row>
    <row r="422" spans="34:66" x14ac:dyDescent="0.25">
      <c r="AH422" s="75"/>
      <c r="AK422" s="75"/>
      <c r="BF422" s="75" t="str">
        <f t="shared" si="16"/>
        <v/>
      </c>
      <c r="BG422" t="str">
        <f>IF($AU$3=TRUE,IF(AL422="","",SUM($AL$6:AL422)),"")</f>
        <v/>
      </c>
      <c r="BH422" t="str">
        <f>IF($AV$3=TRUE,IF(AM422="","",SUM($AM$6:AM422)),"")</f>
        <v/>
      </c>
      <c r="BI422" t="str">
        <f>IF($AW$3=TRUE,IF(AN422="","",SUM($AN$6:AN422)),"")</f>
        <v/>
      </c>
      <c r="BJ422" t="str">
        <f>IF($AX$3=TRUE,IF(AO422="","",SUM($AO$6:AO422)),"")</f>
        <v/>
      </c>
      <c r="BK422" t="str">
        <f>IF($AY$3=TRUE,IF(AP422="","",SUM($AP$6:AP422)),"")</f>
        <v/>
      </c>
      <c r="BL422" t="str">
        <f>IF($AZ$3=TRUE,IF(AQ422="","",SUM($AQ$6:AQ422)),"")</f>
        <v/>
      </c>
      <c r="BM422" t="str">
        <f>IF($BA$3=TRUE,IF(AR422="","",SUM($AR$6:AR422)),"")</f>
        <v/>
      </c>
      <c r="BN422" t="str">
        <f>IF($BB$3=TRUE,IF(AS422="","",SUM($AS$6:AS422)),"")</f>
        <v/>
      </c>
    </row>
    <row r="423" spans="34:66" x14ac:dyDescent="0.25">
      <c r="AH423" s="75"/>
      <c r="AK423" s="75"/>
      <c r="BF423" s="75" t="str">
        <f t="shared" si="16"/>
        <v/>
      </c>
      <c r="BG423" t="str">
        <f>IF($AU$3=TRUE,IF(AL423="","",SUM($AL$6:AL423)),"")</f>
        <v/>
      </c>
      <c r="BH423" t="str">
        <f>IF($AV$3=TRUE,IF(AM423="","",SUM($AM$6:AM423)),"")</f>
        <v/>
      </c>
      <c r="BI423" t="str">
        <f>IF($AW$3=TRUE,IF(AN423="","",SUM($AN$6:AN423)),"")</f>
        <v/>
      </c>
      <c r="BJ423" t="str">
        <f>IF($AX$3=TRUE,IF(AO423="","",SUM($AO$6:AO423)),"")</f>
        <v/>
      </c>
      <c r="BK423" t="str">
        <f>IF($AY$3=TRUE,IF(AP423="","",SUM($AP$6:AP423)),"")</f>
        <v/>
      </c>
      <c r="BL423" t="str">
        <f>IF($AZ$3=TRUE,IF(AQ423="","",SUM($AQ$6:AQ423)),"")</f>
        <v/>
      </c>
      <c r="BM423" t="str">
        <f>IF($BA$3=TRUE,IF(AR423="","",SUM($AR$6:AR423)),"")</f>
        <v/>
      </c>
      <c r="BN423" t="str">
        <f>IF($BB$3=TRUE,IF(AS423="","",SUM($AS$6:AS423)),"")</f>
        <v/>
      </c>
    </row>
    <row r="424" spans="34:66" x14ac:dyDescent="0.25">
      <c r="AH424" s="75"/>
      <c r="AK424" s="75"/>
      <c r="BF424" s="75" t="str">
        <f t="shared" si="16"/>
        <v/>
      </c>
      <c r="BG424" t="str">
        <f>IF($AU$3=TRUE,IF(AL424="","",SUM($AL$6:AL424)),"")</f>
        <v/>
      </c>
      <c r="BH424" t="str">
        <f>IF($AV$3=TRUE,IF(AM424="","",SUM($AM$6:AM424)),"")</f>
        <v/>
      </c>
      <c r="BI424" t="str">
        <f>IF($AW$3=TRUE,IF(AN424="","",SUM($AN$6:AN424)),"")</f>
        <v/>
      </c>
      <c r="BJ424" t="str">
        <f>IF($AX$3=TRUE,IF(AO424="","",SUM($AO$6:AO424)),"")</f>
        <v/>
      </c>
      <c r="BK424" t="str">
        <f>IF($AY$3=TRUE,IF(AP424="","",SUM($AP$6:AP424)),"")</f>
        <v/>
      </c>
      <c r="BL424" t="str">
        <f>IF($AZ$3=TRUE,IF(AQ424="","",SUM($AQ$6:AQ424)),"")</f>
        <v/>
      </c>
      <c r="BM424" t="str">
        <f>IF($BA$3=TRUE,IF(AR424="","",SUM($AR$6:AR424)),"")</f>
        <v/>
      </c>
      <c r="BN424" t="str">
        <f>IF($BB$3=TRUE,IF(AS424="","",SUM($AS$6:AS424)),"")</f>
        <v/>
      </c>
    </row>
    <row r="425" spans="34:66" x14ac:dyDescent="0.25">
      <c r="AH425" s="75"/>
      <c r="AK425" s="75"/>
      <c r="BF425" s="75" t="str">
        <f t="shared" si="16"/>
        <v/>
      </c>
      <c r="BG425" t="str">
        <f>IF($AU$3=TRUE,IF(AL425="","",SUM($AL$6:AL425)),"")</f>
        <v/>
      </c>
      <c r="BH425" t="str">
        <f>IF($AV$3=TRUE,IF(AM425="","",SUM($AM$6:AM425)),"")</f>
        <v/>
      </c>
      <c r="BI425" t="str">
        <f>IF($AW$3=TRUE,IF(AN425="","",SUM($AN$6:AN425)),"")</f>
        <v/>
      </c>
      <c r="BJ425" t="str">
        <f>IF($AX$3=TRUE,IF(AO425="","",SUM($AO$6:AO425)),"")</f>
        <v/>
      </c>
      <c r="BK425" t="str">
        <f>IF($AY$3=TRUE,IF(AP425="","",SUM($AP$6:AP425)),"")</f>
        <v/>
      </c>
      <c r="BL425" t="str">
        <f>IF($AZ$3=TRUE,IF(AQ425="","",SUM($AQ$6:AQ425)),"")</f>
        <v/>
      </c>
      <c r="BM425" t="str">
        <f>IF($BA$3=TRUE,IF(AR425="","",SUM($AR$6:AR425)),"")</f>
        <v/>
      </c>
      <c r="BN425" t="str">
        <f>IF($BB$3=TRUE,IF(AS425="","",SUM($AS$6:AS425)),"")</f>
        <v/>
      </c>
    </row>
    <row r="426" spans="34:66" x14ac:dyDescent="0.25">
      <c r="AH426" s="75"/>
      <c r="AK426" s="75"/>
      <c r="BF426" s="75" t="str">
        <f t="shared" si="16"/>
        <v/>
      </c>
      <c r="BG426" t="str">
        <f>IF($AU$3=TRUE,IF(AL426="","",SUM($AL$6:AL426)),"")</f>
        <v/>
      </c>
      <c r="BH426" t="str">
        <f>IF($AV$3=TRUE,IF(AM426="","",SUM($AM$6:AM426)),"")</f>
        <v/>
      </c>
      <c r="BI426" t="str">
        <f>IF($AW$3=TRUE,IF(AN426="","",SUM($AN$6:AN426)),"")</f>
        <v/>
      </c>
      <c r="BJ426" t="str">
        <f>IF($AX$3=TRUE,IF(AO426="","",SUM($AO$6:AO426)),"")</f>
        <v/>
      </c>
      <c r="BK426" t="str">
        <f>IF($AY$3=TRUE,IF(AP426="","",SUM($AP$6:AP426)),"")</f>
        <v/>
      </c>
      <c r="BL426" t="str">
        <f>IF($AZ$3=TRUE,IF(AQ426="","",SUM($AQ$6:AQ426)),"")</f>
        <v/>
      </c>
      <c r="BM426" t="str">
        <f>IF($BA$3=TRUE,IF(AR426="","",SUM($AR$6:AR426)),"")</f>
        <v/>
      </c>
      <c r="BN426" t="str">
        <f>IF($BB$3=TRUE,IF(AS426="","",SUM($AS$6:AS426)),"")</f>
        <v/>
      </c>
    </row>
    <row r="427" spans="34:66" x14ac:dyDescent="0.25">
      <c r="AH427" s="75"/>
      <c r="AK427" s="75"/>
      <c r="BF427" s="75" t="str">
        <f t="shared" si="16"/>
        <v/>
      </c>
      <c r="BG427" t="str">
        <f>IF($AU$3=TRUE,IF(AL427="","",SUM($AL$6:AL427)),"")</f>
        <v/>
      </c>
      <c r="BH427" t="str">
        <f>IF($AV$3=TRUE,IF(AM427="","",SUM($AM$6:AM427)),"")</f>
        <v/>
      </c>
      <c r="BI427" t="str">
        <f>IF($AW$3=TRUE,IF(AN427="","",SUM($AN$6:AN427)),"")</f>
        <v/>
      </c>
      <c r="BJ427" t="str">
        <f>IF($AX$3=TRUE,IF(AO427="","",SUM($AO$6:AO427)),"")</f>
        <v/>
      </c>
      <c r="BK427" t="str">
        <f>IF($AY$3=TRUE,IF(AP427="","",SUM($AP$6:AP427)),"")</f>
        <v/>
      </c>
      <c r="BL427" t="str">
        <f>IF($AZ$3=TRUE,IF(AQ427="","",SUM($AQ$6:AQ427)),"")</f>
        <v/>
      </c>
      <c r="BM427" t="str">
        <f>IF($BA$3=TRUE,IF(AR427="","",SUM($AR$6:AR427)),"")</f>
        <v/>
      </c>
      <c r="BN427" t="str">
        <f>IF($BB$3=TRUE,IF(AS427="","",SUM($AS$6:AS427)),"")</f>
        <v/>
      </c>
    </row>
    <row r="428" spans="34:66" x14ac:dyDescent="0.25">
      <c r="AH428" s="75"/>
      <c r="AK428" s="75"/>
      <c r="BF428" s="75" t="str">
        <f t="shared" si="16"/>
        <v/>
      </c>
      <c r="BG428" t="str">
        <f>IF($AU$3=TRUE,IF(AL428="","",SUM($AL$6:AL428)),"")</f>
        <v/>
      </c>
      <c r="BH428" t="str">
        <f>IF($AV$3=TRUE,IF(AM428="","",SUM($AM$6:AM428)),"")</f>
        <v/>
      </c>
      <c r="BI428" t="str">
        <f>IF($AW$3=TRUE,IF(AN428="","",SUM($AN$6:AN428)),"")</f>
        <v/>
      </c>
      <c r="BJ428" t="str">
        <f>IF($AX$3=TRUE,IF(AO428="","",SUM($AO$6:AO428)),"")</f>
        <v/>
      </c>
      <c r="BK428" t="str">
        <f>IF($AY$3=TRUE,IF(AP428="","",SUM($AP$6:AP428)),"")</f>
        <v/>
      </c>
      <c r="BL428" t="str">
        <f>IF($AZ$3=TRUE,IF(AQ428="","",SUM($AQ$6:AQ428)),"")</f>
        <v/>
      </c>
      <c r="BM428" t="str">
        <f>IF($BA$3=TRUE,IF(AR428="","",SUM($AR$6:AR428)),"")</f>
        <v/>
      </c>
      <c r="BN428" t="str">
        <f>IF($BB$3=TRUE,IF(AS428="","",SUM($AS$6:AS428)),"")</f>
        <v/>
      </c>
    </row>
    <row r="429" spans="34:66" x14ac:dyDescent="0.25">
      <c r="AH429" s="75"/>
      <c r="AK429" s="75"/>
      <c r="BF429" s="75" t="str">
        <f t="shared" si="16"/>
        <v/>
      </c>
      <c r="BG429" t="str">
        <f>IF($AU$3=TRUE,IF(AL429="","",SUM($AL$6:AL429)),"")</f>
        <v/>
      </c>
      <c r="BH429" t="str">
        <f>IF($AV$3=TRUE,IF(AM429="","",SUM($AM$6:AM429)),"")</f>
        <v/>
      </c>
      <c r="BI429" t="str">
        <f>IF($AW$3=TRUE,IF(AN429="","",SUM($AN$6:AN429)),"")</f>
        <v/>
      </c>
      <c r="BJ429" t="str">
        <f>IF($AX$3=TRUE,IF(AO429="","",SUM($AO$6:AO429)),"")</f>
        <v/>
      </c>
      <c r="BK429" t="str">
        <f>IF($AY$3=TRUE,IF(AP429="","",SUM($AP$6:AP429)),"")</f>
        <v/>
      </c>
      <c r="BL429" t="str">
        <f>IF($AZ$3=TRUE,IF(AQ429="","",SUM($AQ$6:AQ429)),"")</f>
        <v/>
      </c>
      <c r="BM429" t="str">
        <f>IF($BA$3=TRUE,IF(AR429="","",SUM($AR$6:AR429)),"")</f>
        <v/>
      </c>
      <c r="BN429" t="str">
        <f>IF($BB$3=TRUE,IF(AS429="","",SUM($AS$6:AS429)),"")</f>
        <v/>
      </c>
    </row>
    <row r="430" spans="34:66" x14ac:dyDescent="0.25">
      <c r="AH430" s="75"/>
      <c r="AK430" s="75"/>
      <c r="BF430" s="75" t="str">
        <f t="shared" si="16"/>
        <v/>
      </c>
      <c r="BG430" t="str">
        <f>IF($AU$3=TRUE,IF(AL430="","",SUM($AL$6:AL430)),"")</f>
        <v/>
      </c>
      <c r="BH430" t="str">
        <f>IF($AV$3=TRUE,IF(AM430="","",SUM($AM$6:AM430)),"")</f>
        <v/>
      </c>
      <c r="BI430" t="str">
        <f>IF($AW$3=TRUE,IF(AN430="","",SUM($AN$6:AN430)),"")</f>
        <v/>
      </c>
      <c r="BJ430" t="str">
        <f>IF($AX$3=TRUE,IF(AO430="","",SUM($AO$6:AO430)),"")</f>
        <v/>
      </c>
      <c r="BK430" t="str">
        <f>IF($AY$3=TRUE,IF(AP430="","",SUM($AP$6:AP430)),"")</f>
        <v/>
      </c>
      <c r="BL430" t="str">
        <f>IF($AZ$3=TRUE,IF(AQ430="","",SUM($AQ$6:AQ430)),"")</f>
        <v/>
      </c>
      <c r="BM430" t="str">
        <f>IF($BA$3=TRUE,IF(AR430="","",SUM($AR$6:AR430)),"")</f>
        <v/>
      </c>
      <c r="BN430" t="str">
        <f>IF($BB$3=TRUE,IF(AS430="","",SUM($AS$6:AS430)),"")</f>
        <v/>
      </c>
    </row>
    <row r="431" spans="34:66" x14ac:dyDescent="0.25">
      <c r="AH431" s="75"/>
      <c r="AK431" s="75"/>
      <c r="BF431" s="75" t="str">
        <f t="shared" si="16"/>
        <v/>
      </c>
      <c r="BG431" t="str">
        <f>IF($AU$3=TRUE,IF(AL431="","",SUM($AL$6:AL431)),"")</f>
        <v/>
      </c>
      <c r="BH431" t="str">
        <f>IF($AV$3=TRUE,IF(AM431="","",SUM($AM$6:AM431)),"")</f>
        <v/>
      </c>
      <c r="BI431" t="str">
        <f>IF($AW$3=TRUE,IF(AN431="","",SUM($AN$6:AN431)),"")</f>
        <v/>
      </c>
      <c r="BJ431" t="str">
        <f>IF($AX$3=TRUE,IF(AO431="","",SUM($AO$6:AO431)),"")</f>
        <v/>
      </c>
      <c r="BK431" t="str">
        <f>IF($AY$3=TRUE,IF(AP431="","",SUM($AP$6:AP431)),"")</f>
        <v/>
      </c>
      <c r="BL431" t="str">
        <f>IF($AZ$3=TRUE,IF(AQ431="","",SUM($AQ$6:AQ431)),"")</f>
        <v/>
      </c>
      <c r="BM431" t="str">
        <f>IF($BA$3=TRUE,IF(AR431="","",SUM($AR$6:AR431)),"")</f>
        <v/>
      </c>
      <c r="BN431" t="str">
        <f>IF($BB$3=TRUE,IF(AS431="","",SUM($AS$6:AS431)),"")</f>
        <v/>
      </c>
    </row>
    <row r="432" spans="34:66" x14ac:dyDescent="0.25">
      <c r="AH432" s="75"/>
      <c r="AK432" s="75"/>
      <c r="BF432" s="75" t="str">
        <f t="shared" si="16"/>
        <v/>
      </c>
      <c r="BG432" t="str">
        <f>IF($AU$3=TRUE,IF(AL432="","",SUM($AL$6:AL432)),"")</f>
        <v/>
      </c>
      <c r="BH432" t="str">
        <f>IF($AV$3=TRUE,IF(AM432="","",SUM($AM$6:AM432)),"")</f>
        <v/>
      </c>
      <c r="BI432" t="str">
        <f>IF($AW$3=TRUE,IF(AN432="","",SUM($AN$6:AN432)),"")</f>
        <v/>
      </c>
      <c r="BJ432" t="str">
        <f>IF($AX$3=TRUE,IF(AO432="","",SUM($AO$6:AO432)),"")</f>
        <v/>
      </c>
      <c r="BK432" t="str">
        <f>IF($AY$3=TRUE,IF(AP432="","",SUM($AP$6:AP432)),"")</f>
        <v/>
      </c>
      <c r="BL432" t="str">
        <f>IF($AZ$3=TRUE,IF(AQ432="","",SUM($AQ$6:AQ432)),"")</f>
        <v/>
      </c>
      <c r="BM432" t="str">
        <f>IF($BA$3=TRUE,IF(AR432="","",SUM($AR$6:AR432)),"")</f>
        <v/>
      </c>
      <c r="BN432" t="str">
        <f>IF($BB$3=TRUE,IF(AS432="","",SUM($AS$6:AS432)),"")</f>
        <v/>
      </c>
    </row>
    <row r="433" spans="34:66" x14ac:dyDescent="0.25">
      <c r="AH433" s="75"/>
      <c r="AK433" s="75"/>
      <c r="BF433" s="75" t="str">
        <f t="shared" si="16"/>
        <v/>
      </c>
      <c r="BG433" t="str">
        <f>IF($AU$3=TRUE,IF(AL433="","",SUM($AL$6:AL433)),"")</f>
        <v/>
      </c>
      <c r="BH433" t="str">
        <f>IF($AV$3=TRUE,IF(AM433="","",SUM($AM$6:AM433)),"")</f>
        <v/>
      </c>
      <c r="BI433" t="str">
        <f>IF($AW$3=TRUE,IF(AN433="","",SUM($AN$6:AN433)),"")</f>
        <v/>
      </c>
      <c r="BJ433" t="str">
        <f>IF($AX$3=TRUE,IF(AO433="","",SUM($AO$6:AO433)),"")</f>
        <v/>
      </c>
      <c r="BK433" t="str">
        <f>IF($AY$3=TRUE,IF(AP433="","",SUM($AP$6:AP433)),"")</f>
        <v/>
      </c>
      <c r="BL433" t="str">
        <f>IF($AZ$3=TRUE,IF(AQ433="","",SUM($AQ$6:AQ433)),"")</f>
        <v/>
      </c>
      <c r="BM433" t="str">
        <f>IF($BA$3=TRUE,IF(AR433="","",SUM($AR$6:AR433)),"")</f>
        <v/>
      </c>
      <c r="BN433" t="str">
        <f>IF($BB$3=TRUE,IF(AS433="","",SUM($AS$6:AS433)),"")</f>
        <v/>
      </c>
    </row>
    <row r="434" spans="34:66" x14ac:dyDescent="0.25">
      <c r="AH434" s="75"/>
      <c r="AK434" s="75"/>
      <c r="BF434" s="75" t="str">
        <f t="shared" si="16"/>
        <v/>
      </c>
      <c r="BG434" t="str">
        <f>IF($AU$3=TRUE,IF(AL434="","",SUM($AL$6:AL434)),"")</f>
        <v/>
      </c>
      <c r="BH434" t="str">
        <f>IF($AV$3=TRUE,IF(AM434="","",SUM($AM$6:AM434)),"")</f>
        <v/>
      </c>
      <c r="BI434" t="str">
        <f>IF($AW$3=TRUE,IF(AN434="","",SUM($AN$6:AN434)),"")</f>
        <v/>
      </c>
      <c r="BJ434" t="str">
        <f>IF($AX$3=TRUE,IF(AO434="","",SUM($AO$6:AO434)),"")</f>
        <v/>
      </c>
      <c r="BK434" t="str">
        <f>IF($AY$3=TRUE,IF(AP434="","",SUM($AP$6:AP434)),"")</f>
        <v/>
      </c>
      <c r="BL434" t="str">
        <f>IF($AZ$3=TRUE,IF(AQ434="","",SUM($AQ$6:AQ434)),"")</f>
        <v/>
      </c>
      <c r="BM434" t="str">
        <f>IF($BA$3=TRUE,IF(AR434="","",SUM($AR$6:AR434)),"")</f>
        <v/>
      </c>
      <c r="BN434" t="str">
        <f>IF($BB$3=TRUE,IF(AS434="","",SUM($AS$6:AS434)),"")</f>
        <v/>
      </c>
    </row>
    <row r="435" spans="34:66" x14ac:dyDescent="0.25">
      <c r="AH435" s="75"/>
      <c r="AK435" s="75"/>
      <c r="BF435" s="75" t="str">
        <f t="shared" si="16"/>
        <v/>
      </c>
      <c r="BG435" t="str">
        <f>IF($AU$3=TRUE,IF(AL435="","",SUM($AL$6:AL435)),"")</f>
        <v/>
      </c>
      <c r="BH435" t="str">
        <f>IF($AV$3=TRUE,IF(AM435="","",SUM($AM$6:AM435)),"")</f>
        <v/>
      </c>
      <c r="BI435" t="str">
        <f>IF($AW$3=TRUE,IF(AN435="","",SUM($AN$6:AN435)),"")</f>
        <v/>
      </c>
      <c r="BJ435" t="str">
        <f>IF($AX$3=TRUE,IF(AO435="","",SUM($AO$6:AO435)),"")</f>
        <v/>
      </c>
      <c r="BK435" t="str">
        <f>IF($AY$3=TRUE,IF(AP435="","",SUM($AP$6:AP435)),"")</f>
        <v/>
      </c>
      <c r="BL435" t="str">
        <f>IF($AZ$3=TRUE,IF(AQ435="","",SUM($AQ$6:AQ435)),"")</f>
        <v/>
      </c>
      <c r="BM435" t="str">
        <f>IF($BA$3=TRUE,IF(AR435="","",SUM($AR$6:AR435)),"")</f>
        <v/>
      </c>
      <c r="BN435" t="str">
        <f>IF($BB$3=TRUE,IF(AS435="","",SUM($AS$6:AS435)),"")</f>
        <v/>
      </c>
    </row>
    <row r="436" spans="34:66" x14ac:dyDescent="0.25">
      <c r="AH436" s="75"/>
      <c r="AK436" s="75"/>
      <c r="BF436" s="75" t="str">
        <f t="shared" si="16"/>
        <v/>
      </c>
      <c r="BG436" t="str">
        <f>IF($AU$3=TRUE,IF(AL436="","",SUM($AL$6:AL436)),"")</f>
        <v/>
      </c>
      <c r="BH436" t="str">
        <f>IF($AV$3=TRUE,IF(AM436="","",SUM($AM$6:AM436)),"")</f>
        <v/>
      </c>
      <c r="BI436" t="str">
        <f>IF($AW$3=TRUE,IF(AN436="","",SUM($AN$6:AN436)),"")</f>
        <v/>
      </c>
      <c r="BJ436" t="str">
        <f>IF($AX$3=TRUE,IF(AO436="","",SUM($AO$6:AO436)),"")</f>
        <v/>
      </c>
      <c r="BK436" t="str">
        <f>IF($AY$3=TRUE,IF(AP436="","",SUM($AP$6:AP436)),"")</f>
        <v/>
      </c>
      <c r="BL436" t="str">
        <f>IF($AZ$3=TRUE,IF(AQ436="","",SUM($AQ$6:AQ436)),"")</f>
        <v/>
      </c>
      <c r="BM436" t="str">
        <f>IF($BA$3=TRUE,IF(AR436="","",SUM($AR$6:AR436)),"")</f>
        <v/>
      </c>
      <c r="BN436" t="str">
        <f>IF($BB$3=TRUE,IF(AS436="","",SUM($AS$6:AS436)),"")</f>
        <v/>
      </c>
    </row>
    <row r="437" spans="34:66" x14ac:dyDescent="0.25">
      <c r="AH437" s="75"/>
      <c r="AK437" s="75"/>
      <c r="BF437" s="75" t="str">
        <f t="shared" si="16"/>
        <v/>
      </c>
      <c r="BG437" t="str">
        <f>IF($AU$3=TRUE,IF(AL437="","",SUM($AL$6:AL437)),"")</f>
        <v/>
      </c>
      <c r="BH437" t="str">
        <f>IF($AV$3=TRUE,IF(AM437="","",SUM($AM$6:AM437)),"")</f>
        <v/>
      </c>
      <c r="BI437" t="str">
        <f>IF($AW$3=TRUE,IF(AN437="","",SUM($AN$6:AN437)),"")</f>
        <v/>
      </c>
      <c r="BJ437" t="str">
        <f>IF($AX$3=TRUE,IF(AO437="","",SUM($AO$6:AO437)),"")</f>
        <v/>
      </c>
      <c r="BK437" t="str">
        <f>IF($AY$3=TRUE,IF(AP437="","",SUM($AP$6:AP437)),"")</f>
        <v/>
      </c>
      <c r="BL437" t="str">
        <f>IF($AZ$3=TRUE,IF(AQ437="","",SUM($AQ$6:AQ437)),"")</f>
        <v/>
      </c>
      <c r="BM437" t="str">
        <f>IF($BA$3=TRUE,IF(AR437="","",SUM($AR$6:AR437)),"")</f>
        <v/>
      </c>
      <c r="BN437" t="str">
        <f>IF($BB$3=TRUE,IF(AS437="","",SUM($AS$6:AS437)),"")</f>
        <v/>
      </c>
    </row>
    <row r="438" spans="34:66" x14ac:dyDescent="0.25">
      <c r="AH438" s="75"/>
      <c r="AK438" s="75"/>
      <c r="BF438" s="75" t="str">
        <f t="shared" si="16"/>
        <v/>
      </c>
      <c r="BG438" t="str">
        <f>IF($AU$3=TRUE,IF(AL438="","",SUM($AL$6:AL438)),"")</f>
        <v/>
      </c>
      <c r="BH438" t="str">
        <f>IF($AV$3=TRUE,IF(AM438="","",SUM($AM$6:AM438)),"")</f>
        <v/>
      </c>
      <c r="BI438" t="str">
        <f>IF($AW$3=TRUE,IF(AN438="","",SUM($AN$6:AN438)),"")</f>
        <v/>
      </c>
      <c r="BJ438" t="str">
        <f>IF($AX$3=TRUE,IF(AO438="","",SUM($AO$6:AO438)),"")</f>
        <v/>
      </c>
      <c r="BK438" t="str">
        <f>IF($AY$3=TRUE,IF(AP438="","",SUM($AP$6:AP438)),"")</f>
        <v/>
      </c>
      <c r="BL438" t="str">
        <f>IF($AZ$3=TRUE,IF(AQ438="","",SUM($AQ$6:AQ438)),"")</f>
        <v/>
      </c>
      <c r="BM438" t="str">
        <f>IF($BA$3=TRUE,IF(AR438="","",SUM($AR$6:AR438)),"")</f>
        <v/>
      </c>
      <c r="BN438" t="str">
        <f>IF($BB$3=TRUE,IF(AS438="","",SUM($AS$6:AS438)),"")</f>
        <v/>
      </c>
    </row>
    <row r="439" spans="34:66" x14ac:dyDescent="0.25">
      <c r="AH439" s="75"/>
      <c r="AK439" s="75"/>
      <c r="BF439" s="75" t="str">
        <f t="shared" si="16"/>
        <v/>
      </c>
      <c r="BG439" t="str">
        <f>IF($AU$3=TRUE,IF(AL439="","",SUM($AL$6:AL439)),"")</f>
        <v/>
      </c>
      <c r="BH439" t="str">
        <f>IF($AV$3=TRUE,IF(AM439="","",SUM($AM$6:AM439)),"")</f>
        <v/>
      </c>
      <c r="BI439" t="str">
        <f>IF($AW$3=TRUE,IF(AN439="","",SUM($AN$6:AN439)),"")</f>
        <v/>
      </c>
      <c r="BJ439" t="str">
        <f>IF($AX$3=TRUE,IF(AO439="","",SUM($AO$6:AO439)),"")</f>
        <v/>
      </c>
      <c r="BK439" t="str">
        <f>IF($AY$3=TRUE,IF(AP439="","",SUM($AP$6:AP439)),"")</f>
        <v/>
      </c>
      <c r="BL439" t="str">
        <f>IF($AZ$3=TRUE,IF(AQ439="","",SUM($AQ$6:AQ439)),"")</f>
        <v/>
      </c>
      <c r="BM439" t="str">
        <f>IF($BA$3=TRUE,IF(AR439="","",SUM($AR$6:AR439)),"")</f>
        <v/>
      </c>
      <c r="BN439" t="str">
        <f>IF($BB$3=TRUE,IF(AS439="","",SUM($AS$6:AS439)),"")</f>
        <v/>
      </c>
    </row>
    <row r="440" spans="34:66" x14ac:dyDescent="0.25">
      <c r="AH440" s="75"/>
      <c r="AK440" s="75"/>
      <c r="BF440" s="75" t="str">
        <f t="shared" si="16"/>
        <v/>
      </c>
      <c r="BG440" t="str">
        <f>IF($AU$3=TRUE,IF(AL440="","",SUM($AL$6:AL440)),"")</f>
        <v/>
      </c>
      <c r="BH440" t="str">
        <f>IF($AV$3=TRUE,IF(AM440="","",SUM($AM$6:AM440)),"")</f>
        <v/>
      </c>
      <c r="BI440" t="str">
        <f>IF($AW$3=TRUE,IF(AN440="","",SUM($AN$6:AN440)),"")</f>
        <v/>
      </c>
      <c r="BJ440" t="str">
        <f>IF($AX$3=TRUE,IF(AO440="","",SUM($AO$6:AO440)),"")</f>
        <v/>
      </c>
      <c r="BK440" t="str">
        <f>IF($AY$3=TRUE,IF(AP440="","",SUM($AP$6:AP440)),"")</f>
        <v/>
      </c>
      <c r="BL440" t="str">
        <f>IF($AZ$3=TRUE,IF(AQ440="","",SUM($AQ$6:AQ440)),"")</f>
        <v/>
      </c>
      <c r="BM440" t="str">
        <f>IF($BA$3=TRUE,IF(AR440="","",SUM($AR$6:AR440)),"")</f>
        <v/>
      </c>
      <c r="BN440" t="str">
        <f>IF($BB$3=TRUE,IF(AS440="","",SUM($AS$6:AS440)),"")</f>
        <v/>
      </c>
    </row>
    <row r="441" spans="34:66" x14ac:dyDescent="0.25">
      <c r="AH441" s="75"/>
      <c r="AK441" s="75"/>
      <c r="BF441" s="75" t="str">
        <f t="shared" si="16"/>
        <v/>
      </c>
      <c r="BG441" t="str">
        <f>IF($AU$3=TRUE,IF(AL441="","",SUM($AL$6:AL441)),"")</f>
        <v/>
      </c>
      <c r="BH441" t="str">
        <f>IF($AV$3=TRUE,IF(AM441="","",SUM($AM$6:AM441)),"")</f>
        <v/>
      </c>
      <c r="BI441" t="str">
        <f>IF($AW$3=TRUE,IF(AN441="","",SUM($AN$6:AN441)),"")</f>
        <v/>
      </c>
      <c r="BJ441" t="str">
        <f>IF($AX$3=TRUE,IF(AO441="","",SUM($AO$6:AO441)),"")</f>
        <v/>
      </c>
      <c r="BK441" t="str">
        <f>IF($AY$3=TRUE,IF(AP441="","",SUM($AP$6:AP441)),"")</f>
        <v/>
      </c>
      <c r="BL441" t="str">
        <f>IF($AZ$3=TRUE,IF(AQ441="","",SUM($AQ$6:AQ441)),"")</f>
        <v/>
      </c>
      <c r="BM441" t="str">
        <f>IF($BA$3=TRUE,IF(AR441="","",SUM($AR$6:AR441)),"")</f>
        <v/>
      </c>
      <c r="BN441" t="str">
        <f>IF($BB$3=TRUE,IF(AS441="","",SUM($AS$6:AS441)),"")</f>
        <v/>
      </c>
    </row>
    <row r="442" spans="34:66" x14ac:dyDescent="0.25">
      <c r="AH442" s="75"/>
      <c r="AK442" s="75"/>
      <c r="BF442" s="75" t="str">
        <f t="shared" si="16"/>
        <v/>
      </c>
      <c r="BG442" t="str">
        <f>IF($AU$3=TRUE,IF(AL442="","",SUM($AL$6:AL442)),"")</f>
        <v/>
      </c>
      <c r="BH442" t="str">
        <f>IF($AV$3=TRUE,IF(AM442="","",SUM($AM$6:AM442)),"")</f>
        <v/>
      </c>
      <c r="BI442" t="str">
        <f>IF($AW$3=TRUE,IF(AN442="","",SUM($AN$6:AN442)),"")</f>
        <v/>
      </c>
      <c r="BJ442" t="str">
        <f>IF($AX$3=TRUE,IF(AO442="","",SUM($AO$6:AO442)),"")</f>
        <v/>
      </c>
      <c r="BK442" t="str">
        <f>IF($AY$3=TRUE,IF(AP442="","",SUM($AP$6:AP442)),"")</f>
        <v/>
      </c>
      <c r="BL442" t="str">
        <f>IF($AZ$3=TRUE,IF(AQ442="","",SUM($AQ$6:AQ442)),"")</f>
        <v/>
      </c>
      <c r="BM442" t="str">
        <f>IF($BA$3=TRUE,IF(AR442="","",SUM($AR$6:AR442)),"")</f>
        <v/>
      </c>
      <c r="BN442" t="str">
        <f>IF($BB$3=TRUE,IF(AS442="","",SUM($AS$6:AS442)),"")</f>
        <v/>
      </c>
    </row>
    <row r="443" spans="34:66" x14ac:dyDescent="0.25">
      <c r="AH443" s="75"/>
      <c r="AK443" s="75"/>
      <c r="BF443" s="75" t="str">
        <f t="shared" si="16"/>
        <v/>
      </c>
      <c r="BG443" t="str">
        <f>IF($AU$3=TRUE,IF(AL443="","",SUM($AL$6:AL443)),"")</f>
        <v/>
      </c>
      <c r="BH443" t="str">
        <f>IF($AV$3=TRUE,IF(AM443="","",SUM($AM$6:AM443)),"")</f>
        <v/>
      </c>
      <c r="BI443" t="str">
        <f>IF($AW$3=TRUE,IF(AN443="","",SUM($AN$6:AN443)),"")</f>
        <v/>
      </c>
      <c r="BJ443" t="str">
        <f>IF($AX$3=TRUE,IF(AO443="","",SUM($AO$6:AO443)),"")</f>
        <v/>
      </c>
      <c r="BK443" t="str">
        <f>IF($AY$3=TRUE,IF(AP443="","",SUM($AP$6:AP443)),"")</f>
        <v/>
      </c>
      <c r="BL443" t="str">
        <f>IF($AZ$3=TRUE,IF(AQ443="","",SUM($AQ$6:AQ443)),"")</f>
        <v/>
      </c>
      <c r="BM443" t="str">
        <f>IF($BA$3=TRUE,IF(AR443="","",SUM($AR$6:AR443)),"")</f>
        <v/>
      </c>
      <c r="BN443" t="str">
        <f>IF($BB$3=TRUE,IF(AS443="","",SUM($AS$6:AS443)),"")</f>
        <v/>
      </c>
    </row>
    <row r="444" spans="34:66" x14ac:dyDescent="0.25">
      <c r="AH444" s="75"/>
      <c r="AK444" s="75"/>
      <c r="BF444" s="75" t="str">
        <f t="shared" si="16"/>
        <v/>
      </c>
      <c r="BG444" t="str">
        <f>IF($AU$3=TRUE,IF(AL444="","",SUM($AL$6:AL444)),"")</f>
        <v/>
      </c>
      <c r="BH444" t="str">
        <f>IF($AV$3=TRUE,IF(AM444="","",SUM($AM$6:AM444)),"")</f>
        <v/>
      </c>
      <c r="BI444" t="str">
        <f>IF($AW$3=TRUE,IF(AN444="","",SUM($AN$6:AN444)),"")</f>
        <v/>
      </c>
      <c r="BJ444" t="str">
        <f>IF($AX$3=TRUE,IF(AO444="","",SUM($AO$6:AO444)),"")</f>
        <v/>
      </c>
      <c r="BK444" t="str">
        <f>IF($AY$3=TRUE,IF(AP444="","",SUM($AP$6:AP444)),"")</f>
        <v/>
      </c>
      <c r="BL444" t="str">
        <f>IF($AZ$3=TRUE,IF(AQ444="","",SUM($AQ$6:AQ444)),"")</f>
        <v/>
      </c>
      <c r="BM444" t="str">
        <f>IF($BA$3=TRUE,IF(AR444="","",SUM($AR$6:AR444)),"")</f>
        <v/>
      </c>
      <c r="BN444" t="str">
        <f>IF($BB$3=TRUE,IF(AS444="","",SUM($AS$6:AS444)),"")</f>
        <v/>
      </c>
    </row>
    <row r="445" spans="34:66" x14ac:dyDescent="0.25">
      <c r="AH445" s="75"/>
      <c r="AK445" s="75"/>
      <c r="BF445" s="75" t="str">
        <f t="shared" si="16"/>
        <v/>
      </c>
      <c r="BG445" t="str">
        <f>IF($AU$3=TRUE,IF(AL445="","",SUM($AL$6:AL445)),"")</f>
        <v/>
      </c>
      <c r="BH445" t="str">
        <f>IF($AV$3=TRUE,IF(AM445="","",SUM($AM$6:AM445)),"")</f>
        <v/>
      </c>
      <c r="BI445" t="str">
        <f>IF($AW$3=TRUE,IF(AN445="","",SUM($AN$6:AN445)),"")</f>
        <v/>
      </c>
      <c r="BJ445" t="str">
        <f>IF($AX$3=TRUE,IF(AO445="","",SUM($AO$6:AO445)),"")</f>
        <v/>
      </c>
      <c r="BK445" t="str">
        <f>IF($AY$3=TRUE,IF(AP445="","",SUM($AP$6:AP445)),"")</f>
        <v/>
      </c>
      <c r="BL445" t="str">
        <f>IF($AZ$3=TRUE,IF(AQ445="","",SUM($AQ$6:AQ445)),"")</f>
        <v/>
      </c>
      <c r="BM445" t="str">
        <f>IF($BA$3=TRUE,IF(AR445="","",SUM($AR$6:AR445)),"")</f>
        <v/>
      </c>
      <c r="BN445" t="str">
        <f>IF($BB$3=TRUE,IF(AS445="","",SUM($AS$6:AS445)),"")</f>
        <v/>
      </c>
    </row>
    <row r="446" spans="34:66" x14ac:dyDescent="0.25">
      <c r="AH446" s="75"/>
      <c r="AK446" s="75"/>
      <c r="BF446" s="75" t="str">
        <f t="shared" si="16"/>
        <v/>
      </c>
      <c r="BG446" t="str">
        <f>IF($AU$3=TRUE,IF(AL446="","",SUM($AL$6:AL446)),"")</f>
        <v/>
      </c>
      <c r="BH446" t="str">
        <f>IF($AV$3=TRUE,IF(AM446="","",SUM($AM$6:AM446)),"")</f>
        <v/>
      </c>
      <c r="BI446" t="str">
        <f>IF($AW$3=TRUE,IF(AN446="","",SUM($AN$6:AN446)),"")</f>
        <v/>
      </c>
      <c r="BJ446" t="str">
        <f>IF($AX$3=TRUE,IF(AO446="","",SUM($AO$6:AO446)),"")</f>
        <v/>
      </c>
      <c r="BK446" t="str">
        <f>IF($AY$3=TRUE,IF(AP446="","",SUM($AP$6:AP446)),"")</f>
        <v/>
      </c>
      <c r="BL446" t="str">
        <f>IF($AZ$3=TRUE,IF(AQ446="","",SUM($AQ$6:AQ446)),"")</f>
        <v/>
      </c>
      <c r="BM446" t="str">
        <f>IF($BA$3=TRUE,IF(AR446="","",SUM($AR$6:AR446)),"")</f>
        <v/>
      </c>
      <c r="BN446" t="str">
        <f>IF($BB$3=TRUE,IF(AS446="","",SUM($AS$6:AS446)),"")</f>
        <v/>
      </c>
    </row>
    <row r="447" spans="34:66" x14ac:dyDescent="0.25">
      <c r="AH447" s="75"/>
      <c r="AK447" s="75"/>
      <c r="BF447" s="75" t="str">
        <f t="shared" si="16"/>
        <v/>
      </c>
      <c r="BG447" t="str">
        <f>IF($AU$3=TRUE,IF(AL447="","",SUM($AL$6:AL447)),"")</f>
        <v/>
      </c>
      <c r="BH447" t="str">
        <f>IF($AV$3=TRUE,IF(AM447="","",SUM($AM$6:AM447)),"")</f>
        <v/>
      </c>
      <c r="BI447" t="str">
        <f>IF($AW$3=TRUE,IF(AN447="","",SUM($AN$6:AN447)),"")</f>
        <v/>
      </c>
      <c r="BJ447" t="str">
        <f>IF($AX$3=TRUE,IF(AO447="","",SUM($AO$6:AO447)),"")</f>
        <v/>
      </c>
      <c r="BK447" t="str">
        <f>IF($AY$3=TRUE,IF(AP447="","",SUM($AP$6:AP447)),"")</f>
        <v/>
      </c>
      <c r="BL447" t="str">
        <f>IF($AZ$3=TRUE,IF(AQ447="","",SUM($AQ$6:AQ447)),"")</f>
        <v/>
      </c>
      <c r="BM447" t="str">
        <f>IF($BA$3=TRUE,IF(AR447="","",SUM($AR$6:AR447)),"")</f>
        <v/>
      </c>
      <c r="BN447" t="str">
        <f>IF($BB$3=TRUE,IF(AS447="","",SUM($AS$6:AS447)),"")</f>
        <v/>
      </c>
    </row>
    <row r="448" spans="34:66" x14ac:dyDescent="0.25">
      <c r="AH448" s="75"/>
      <c r="AK448" s="75"/>
      <c r="BF448" s="75" t="str">
        <f t="shared" si="16"/>
        <v/>
      </c>
      <c r="BG448" t="str">
        <f>IF($AU$3=TRUE,IF(AL448="","",SUM($AL$6:AL448)),"")</f>
        <v/>
      </c>
      <c r="BH448" t="str">
        <f>IF($AV$3=TRUE,IF(AM448="","",SUM($AM$6:AM448)),"")</f>
        <v/>
      </c>
      <c r="BI448" t="str">
        <f>IF($AW$3=TRUE,IF(AN448="","",SUM($AN$6:AN448)),"")</f>
        <v/>
      </c>
      <c r="BJ448" t="str">
        <f>IF($AX$3=TRUE,IF(AO448="","",SUM($AO$6:AO448)),"")</f>
        <v/>
      </c>
      <c r="BK448" t="str">
        <f>IF($AY$3=TRUE,IF(AP448="","",SUM($AP$6:AP448)),"")</f>
        <v/>
      </c>
      <c r="BL448" t="str">
        <f>IF($AZ$3=TRUE,IF(AQ448="","",SUM($AQ$6:AQ448)),"")</f>
        <v/>
      </c>
      <c r="BM448" t="str">
        <f>IF($BA$3=TRUE,IF(AR448="","",SUM($AR$6:AR448)),"")</f>
        <v/>
      </c>
      <c r="BN448" t="str">
        <f>IF($BB$3=TRUE,IF(AS448="","",SUM($AS$6:AS448)),"")</f>
        <v/>
      </c>
    </row>
    <row r="449" spans="34:66" x14ac:dyDescent="0.25">
      <c r="AH449" s="75"/>
      <c r="AK449" s="75"/>
      <c r="BF449" s="75" t="str">
        <f t="shared" si="16"/>
        <v/>
      </c>
      <c r="BG449" t="str">
        <f>IF($AU$3=TRUE,IF(AL449="","",SUM($AL$6:AL449)),"")</f>
        <v/>
      </c>
      <c r="BH449" t="str">
        <f>IF($AV$3=TRUE,IF(AM449="","",SUM($AM$6:AM449)),"")</f>
        <v/>
      </c>
      <c r="BI449" t="str">
        <f>IF($AW$3=TRUE,IF(AN449="","",SUM($AN$6:AN449)),"")</f>
        <v/>
      </c>
      <c r="BJ449" t="str">
        <f>IF($AX$3=TRUE,IF(AO449="","",SUM($AO$6:AO449)),"")</f>
        <v/>
      </c>
      <c r="BK449" t="str">
        <f>IF($AY$3=TRUE,IF(AP449="","",SUM($AP$6:AP449)),"")</f>
        <v/>
      </c>
      <c r="BL449" t="str">
        <f>IF($AZ$3=TRUE,IF(AQ449="","",SUM($AQ$6:AQ449)),"")</f>
        <v/>
      </c>
      <c r="BM449" t="str">
        <f>IF($BA$3=TRUE,IF(AR449="","",SUM($AR$6:AR449)),"")</f>
        <v/>
      </c>
      <c r="BN449" t="str">
        <f>IF($BB$3=TRUE,IF(AS449="","",SUM($AS$6:AS449)),"")</f>
        <v/>
      </c>
    </row>
    <row r="450" spans="34:66" x14ac:dyDescent="0.25">
      <c r="AH450" s="75"/>
      <c r="AK450" s="75"/>
      <c r="BF450" s="75" t="str">
        <f t="shared" si="16"/>
        <v/>
      </c>
      <c r="BG450" t="str">
        <f>IF($AU$3=TRUE,IF(AL450="","",SUM($AL$6:AL450)),"")</f>
        <v/>
      </c>
      <c r="BH450" t="str">
        <f>IF($AV$3=TRUE,IF(AM450="","",SUM($AM$6:AM450)),"")</f>
        <v/>
      </c>
      <c r="BI450" t="str">
        <f>IF($AW$3=TRUE,IF(AN450="","",SUM($AN$6:AN450)),"")</f>
        <v/>
      </c>
      <c r="BJ450" t="str">
        <f>IF($AX$3=TRUE,IF(AO450="","",SUM($AO$6:AO450)),"")</f>
        <v/>
      </c>
      <c r="BK450" t="str">
        <f>IF($AY$3=TRUE,IF(AP450="","",SUM($AP$6:AP450)),"")</f>
        <v/>
      </c>
      <c r="BL450" t="str">
        <f>IF($AZ$3=TRUE,IF(AQ450="","",SUM($AQ$6:AQ450)),"")</f>
        <v/>
      </c>
      <c r="BM450" t="str">
        <f>IF($BA$3=TRUE,IF(AR450="","",SUM($AR$6:AR450)),"")</f>
        <v/>
      </c>
      <c r="BN450" t="str">
        <f>IF($BB$3=TRUE,IF(AS450="","",SUM($AS$6:AS450)),"")</f>
        <v/>
      </c>
    </row>
    <row r="451" spans="34:66" x14ac:dyDescent="0.25">
      <c r="AH451" s="75"/>
      <c r="AK451" s="75"/>
      <c r="BF451" s="75" t="str">
        <f t="shared" si="16"/>
        <v/>
      </c>
      <c r="BG451" t="str">
        <f>IF($AU$3=TRUE,IF(AL451="","",SUM($AL$6:AL451)),"")</f>
        <v/>
      </c>
      <c r="BH451" t="str">
        <f>IF($AV$3=TRUE,IF(AM451="","",SUM($AM$6:AM451)),"")</f>
        <v/>
      </c>
      <c r="BI451" t="str">
        <f>IF($AW$3=TRUE,IF(AN451="","",SUM($AN$6:AN451)),"")</f>
        <v/>
      </c>
      <c r="BJ451" t="str">
        <f>IF($AX$3=TRUE,IF(AO451="","",SUM($AO$6:AO451)),"")</f>
        <v/>
      </c>
      <c r="BK451" t="str">
        <f>IF($AY$3=TRUE,IF(AP451="","",SUM($AP$6:AP451)),"")</f>
        <v/>
      </c>
      <c r="BL451" t="str">
        <f>IF($AZ$3=TRUE,IF(AQ451="","",SUM($AQ$6:AQ451)),"")</f>
        <v/>
      </c>
      <c r="BM451" t="str">
        <f>IF($BA$3=TRUE,IF(AR451="","",SUM($AR$6:AR451)),"")</f>
        <v/>
      </c>
      <c r="BN451" t="str">
        <f>IF($BB$3=TRUE,IF(AS451="","",SUM($AS$6:AS451)),"")</f>
        <v/>
      </c>
    </row>
    <row r="452" spans="34:66" x14ac:dyDescent="0.25">
      <c r="AH452" s="75"/>
      <c r="AK452" s="75"/>
      <c r="BF452" s="75" t="str">
        <f t="shared" si="16"/>
        <v/>
      </c>
      <c r="BG452" t="str">
        <f>IF($AU$3=TRUE,IF(AL452="","",SUM($AL$6:AL452)),"")</f>
        <v/>
      </c>
      <c r="BH452" t="str">
        <f>IF($AV$3=TRUE,IF(AM452="","",SUM($AM$6:AM452)),"")</f>
        <v/>
      </c>
      <c r="BI452" t="str">
        <f>IF($AW$3=TRUE,IF(AN452="","",SUM($AN$6:AN452)),"")</f>
        <v/>
      </c>
      <c r="BJ452" t="str">
        <f>IF($AX$3=TRUE,IF(AO452="","",SUM($AO$6:AO452)),"")</f>
        <v/>
      </c>
      <c r="BK452" t="str">
        <f>IF($AY$3=TRUE,IF(AP452="","",SUM($AP$6:AP452)),"")</f>
        <v/>
      </c>
      <c r="BL452" t="str">
        <f>IF($AZ$3=TRUE,IF(AQ452="","",SUM($AQ$6:AQ452)),"")</f>
        <v/>
      </c>
      <c r="BM452" t="str">
        <f>IF($BA$3=TRUE,IF(AR452="","",SUM($AR$6:AR452)),"")</f>
        <v/>
      </c>
      <c r="BN452" t="str">
        <f>IF($BB$3=TRUE,IF(AS452="","",SUM($AS$6:AS452)),"")</f>
        <v/>
      </c>
    </row>
    <row r="453" spans="34:66" x14ac:dyDescent="0.25">
      <c r="AH453" s="75"/>
      <c r="AK453" s="75"/>
      <c r="BF453" s="75" t="str">
        <f t="shared" si="16"/>
        <v/>
      </c>
      <c r="BG453" t="str">
        <f>IF($AU$3=TRUE,IF(AL453="","",SUM($AL$6:AL453)),"")</f>
        <v/>
      </c>
      <c r="BH453" t="str">
        <f>IF($AV$3=TRUE,IF(AM453="","",SUM($AM$6:AM453)),"")</f>
        <v/>
      </c>
      <c r="BI453" t="str">
        <f>IF($AW$3=TRUE,IF(AN453="","",SUM($AN$6:AN453)),"")</f>
        <v/>
      </c>
      <c r="BJ453" t="str">
        <f>IF($AX$3=TRUE,IF(AO453="","",SUM($AO$6:AO453)),"")</f>
        <v/>
      </c>
      <c r="BK453" t="str">
        <f>IF($AY$3=TRUE,IF(AP453="","",SUM($AP$6:AP453)),"")</f>
        <v/>
      </c>
      <c r="BL453" t="str">
        <f>IF($AZ$3=TRUE,IF(AQ453="","",SUM($AQ$6:AQ453)),"")</f>
        <v/>
      </c>
      <c r="BM453" t="str">
        <f>IF($BA$3=TRUE,IF(AR453="","",SUM($AR$6:AR453)),"")</f>
        <v/>
      </c>
      <c r="BN453" t="str">
        <f>IF($BB$3=TRUE,IF(AS453="","",SUM($AS$6:AS453)),"")</f>
        <v/>
      </c>
    </row>
    <row r="454" spans="34:66" x14ac:dyDescent="0.25">
      <c r="AH454" s="75"/>
      <c r="AK454" s="75"/>
      <c r="BF454" s="75" t="str">
        <f t="shared" si="16"/>
        <v/>
      </c>
      <c r="BG454" t="str">
        <f>IF($AU$3=TRUE,IF(AL454="","",SUM($AL$6:AL454)),"")</f>
        <v/>
      </c>
      <c r="BH454" t="str">
        <f>IF($AV$3=TRUE,IF(AM454="","",SUM($AM$6:AM454)),"")</f>
        <v/>
      </c>
      <c r="BI454" t="str">
        <f>IF($AW$3=TRUE,IF(AN454="","",SUM($AN$6:AN454)),"")</f>
        <v/>
      </c>
      <c r="BJ454" t="str">
        <f>IF($AX$3=TRUE,IF(AO454="","",SUM($AO$6:AO454)),"")</f>
        <v/>
      </c>
      <c r="BK454" t="str">
        <f>IF($AY$3=TRUE,IF(AP454="","",SUM($AP$6:AP454)),"")</f>
        <v/>
      </c>
      <c r="BL454" t="str">
        <f>IF($AZ$3=TRUE,IF(AQ454="","",SUM($AQ$6:AQ454)),"")</f>
        <v/>
      </c>
      <c r="BM454" t="str">
        <f>IF($BA$3=TRUE,IF(AR454="","",SUM($AR$6:AR454)),"")</f>
        <v/>
      </c>
      <c r="BN454" t="str">
        <f>IF($BB$3=TRUE,IF(AS454="","",SUM($AS$6:AS454)),"")</f>
        <v/>
      </c>
    </row>
    <row r="455" spans="34:66" x14ac:dyDescent="0.25">
      <c r="AH455" s="75"/>
      <c r="AK455" s="75"/>
      <c r="BF455" s="75" t="str">
        <f t="shared" ref="BF455:BF518" si="17">IF(AK455="","",AK455)</f>
        <v/>
      </c>
      <c r="BG455" t="str">
        <f>IF($AU$3=TRUE,IF(AL455="","",SUM($AL$6:AL455)),"")</f>
        <v/>
      </c>
      <c r="BH455" t="str">
        <f>IF($AV$3=TRUE,IF(AM455="","",SUM($AM$6:AM455)),"")</f>
        <v/>
      </c>
      <c r="BI455" t="str">
        <f>IF($AW$3=TRUE,IF(AN455="","",SUM($AN$6:AN455)),"")</f>
        <v/>
      </c>
      <c r="BJ455" t="str">
        <f>IF($AX$3=TRUE,IF(AO455="","",SUM($AO$6:AO455)),"")</f>
        <v/>
      </c>
      <c r="BK455" t="str">
        <f>IF($AY$3=TRUE,IF(AP455="","",SUM($AP$6:AP455)),"")</f>
        <v/>
      </c>
      <c r="BL455" t="str">
        <f>IF($AZ$3=TRUE,IF(AQ455="","",SUM($AQ$6:AQ455)),"")</f>
        <v/>
      </c>
      <c r="BM455" t="str">
        <f>IF($BA$3=TRUE,IF(AR455="","",SUM($AR$6:AR455)),"")</f>
        <v/>
      </c>
      <c r="BN455" t="str">
        <f>IF($BB$3=TRUE,IF(AS455="","",SUM($AS$6:AS455)),"")</f>
        <v/>
      </c>
    </row>
    <row r="456" spans="34:66" x14ac:dyDescent="0.25">
      <c r="AH456" s="75"/>
      <c r="AK456" s="75"/>
      <c r="BF456" s="75" t="str">
        <f t="shared" si="17"/>
        <v/>
      </c>
      <c r="BG456" t="str">
        <f>IF($AU$3=TRUE,IF(AL456="","",SUM($AL$6:AL456)),"")</f>
        <v/>
      </c>
      <c r="BH456" t="str">
        <f>IF($AV$3=TRUE,IF(AM456="","",SUM($AM$6:AM456)),"")</f>
        <v/>
      </c>
      <c r="BI456" t="str">
        <f>IF($AW$3=TRUE,IF(AN456="","",SUM($AN$6:AN456)),"")</f>
        <v/>
      </c>
      <c r="BJ456" t="str">
        <f>IF($AX$3=TRUE,IF(AO456="","",SUM($AO$6:AO456)),"")</f>
        <v/>
      </c>
      <c r="BK456" t="str">
        <f>IF($AY$3=TRUE,IF(AP456="","",SUM($AP$6:AP456)),"")</f>
        <v/>
      </c>
      <c r="BL456" t="str">
        <f>IF($AZ$3=TRUE,IF(AQ456="","",SUM($AQ$6:AQ456)),"")</f>
        <v/>
      </c>
      <c r="BM456" t="str">
        <f>IF($BA$3=TRUE,IF(AR456="","",SUM($AR$6:AR456)),"")</f>
        <v/>
      </c>
      <c r="BN456" t="str">
        <f>IF($BB$3=TRUE,IF(AS456="","",SUM($AS$6:AS456)),"")</f>
        <v/>
      </c>
    </row>
    <row r="457" spans="34:66" x14ac:dyDescent="0.25">
      <c r="AH457" s="75"/>
      <c r="AK457" s="75"/>
      <c r="BF457" s="75" t="str">
        <f t="shared" si="17"/>
        <v/>
      </c>
      <c r="BG457" t="str">
        <f>IF($AU$3=TRUE,IF(AL457="","",SUM($AL$6:AL457)),"")</f>
        <v/>
      </c>
      <c r="BH457" t="str">
        <f>IF($AV$3=TRUE,IF(AM457="","",SUM($AM$6:AM457)),"")</f>
        <v/>
      </c>
      <c r="BI457" t="str">
        <f>IF($AW$3=TRUE,IF(AN457="","",SUM($AN$6:AN457)),"")</f>
        <v/>
      </c>
      <c r="BJ457" t="str">
        <f>IF($AX$3=TRUE,IF(AO457="","",SUM($AO$6:AO457)),"")</f>
        <v/>
      </c>
      <c r="BK457" t="str">
        <f>IF($AY$3=TRUE,IF(AP457="","",SUM($AP$6:AP457)),"")</f>
        <v/>
      </c>
      <c r="BL457" t="str">
        <f>IF($AZ$3=TRUE,IF(AQ457="","",SUM($AQ$6:AQ457)),"")</f>
        <v/>
      </c>
      <c r="BM457" t="str">
        <f>IF($BA$3=TRUE,IF(AR457="","",SUM($AR$6:AR457)),"")</f>
        <v/>
      </c>
      <c r="BN457" t="str">
        <f>IF($BB$3=TRUE,IF(AS457="","",SUM($AS$6:AS457)),"")</f>
        <v/>
      </c>
    </row>
    <row r="458" spans="34:66" x14ac:dyDescent="0.25">
      <c r="AH458" s="75"/>
      <c r="AK458" s="75"/>
      <c r="BF458" s="75" t="str">
        <f t="shared" si="17"/>
        <v/>
      </c>
      <c r="BG458" t="str">
        <f>IF($AU$3=TRUE,IF(AL458="","",SUM($AL$6:AL458)),"")</f>
        <v/>
      </c>
      <c r="BH458" t="str">
        <f>IF($AV$3=TRUE,IF(AM458="","",SUM($AM$6:AM458)),"")</f>
        <v/>
      </c>
      <c r="BI458" t="str">
        <f>IF($AW$3=TRUE,IF(AN458="","",SUM($AN$6:AN458)),"")</f>
        <v/>
      </c>
      <c r="BJ458" t="str">
        <f>IF($AX$3=TRUE,IF(AO458="","",SUM($AO$6:AO458)),"")</f>
        <v/>
      </c>
      <c r="BK458" t="str">
        <f>IF($AY$3=TRUE,IF(AP458="","",SUM($AP$6:AP458)),"")</f>
        <v/>
      </c>
      <c r="BL458" t="str">
        <f>IF($AZ$3=TRUE,IF(AQ458="","",SUM($AQ$6:AQ458)),"")</f>
        <v/>
      </c>
      <c r="BM458" t="str">
        <f>IF($BA$3=TRUE,IF(AR458="","",SUM($AR$6:AR458)),"")</f>
        <v/>
      </c>
      <c r="BN458" t="str">
        <f>IF($BB$3=TRUE,IF(AS458="","",SUM($AS$6:AS458)),"")</f>
        <v/>
      </c>
    </row>
    <row r="459" spans="34:66" x14ac:dyDescent="0.25">
      <c r="AH459" s="75"/>
      <c r="AK459" s="75"/>
      <c r="BF459" s="75" t="str">
        <f t="shared" si="17"/>
        <v/>
      </c>
      <c r="BG459" t="str">
        <f>IF($AU$3=TRUE,IF(AL459="","",SUM($AL$6:AL459)),"")</f>
        <v/>
      </c>
      <c r="BH459" t="str">
        <f>IF($AV$3=TRUE,IF(AM459="","",SUM($AM$6:AM459)),"")</f>
        <v/>
      </c>
      <c r="BI459" t="str">
        <f>IF($AW$3=TRUE,IF(AN459="","",SUM($AN$6:AN459)),"")</f>
        <v/>
      </c>
      <c r="BJ459" t="str">
        <f>IF($AX$3=TRUE,IF(AO459="","",SUM($AO$6:AO459)),"")</f>
        <v/>
      </c>
      <c r="BK459" t="str">
        <f>IF($AY$3=TRUE,IF(AP459="","",SUM($AP$6:AP459)),"")</f>
        <v/>
      </c>
      <c r="BL459" t="str">
        <f>IF($AZ$3=TRUE,IF(AQ459="","",SUM($AQ$6:AQ459)),"")</f>
        <v/>
      </c>
      <c r="BM459" t="str">
        <f>IF($BA$3=TRUE,IF(AR459="","",SUM($AR$6:AR459)),"")</f>
        <v/>
      </c>
      <c r="BN459" t="str">
        <f>IF($BB$3=TRUE,IF(AS459="","",SUM($AS$6:AS459)),"")</f>
        <v/>
      </c>
    </row>
    <row r="460" spans="34:66" x14ac:dyDescent="0.25">
      <c r="AH460" s="75"/>
      <c r="AK460" s="75"/>
      <c r="BF460" s="75" t="str">
        <f t="shared" si="17"/>
        <v/>
      </c>
      <c r="BG460" t="str">
        <f>IF($AU$3=TRUE,IF(AL460="","",SUM($AL$6:AL460)),"")</f>
        <v/>
      </c>
      <c r="BH460" t="str">
        <f>IF($AV$3=TRUE,IF(AM460="","",SUM($AM$6:AM460)),"")</f>
        <v/>
      </c>
      <c r="BI460" t="str">
        <f>IF($AW$3=TRUE,IF(AN460="","",SUM($AN$6:AN460)),"")</f>
        <v/>
      </c>
      <c r="BJ460" t="str">
        <f>IF($AX$3=TRUE,IF(AO460="","",SUM($AO$6:AO460)),"")</f>
        <v/>
      </c>
      <c r="BK460" t="str">
        <f>IF($AY$3=TRUE,IF(AP460="","",SUM($AP$6:AP460)),"")</f>
        <v/>
      </c>
      <c r="BL460" t="str">
        <f>IF($AZ$3=TRUE,IF(AQ460="","",SUM($AQ$6:AQ460)),"")</f>
        <v/>
      </c>
      <c r="BM460" t="str">
        <f>IF($BA$3=TRUE,IF(AR460="","",SUM($AR$6:AR460)),"")</f>
        <v/>
      </c>
      <c r="BN460" t="str">
        <f>IF($BB$3=TRUE,IF(AS460="","",SUM($AS$6:AS460)),"")</f>
        <v/>
      </c>
    </row>
    <row r="461" spans="34:66" x14ac:dyDescent="0.25">
      <c r="AH461" s="75"/>
      <c r="AK461" s="75"/>
      <c r="BF461" s="75" t="str">
        <f t="shared" si="17"/>
        <v/>
      </c>
      <c r="BG461" t="str">
        <f>IF($AU$3=TRUE,IF(AL461="","",SUM($AL$6:AL461)),"")</f>
        <v/>
      </c>
      <c r="BH461" t="str">
        <f>IF($AV$3=TRUE,IF(AM461="","",SUM($AM$6:AM461)),"")</f>
        <v/>
      </c>
      <c r="BI461" t="str">
        <f>IF($AW$3=TRUE,IF(AN461="","",SUM($AN$6:AN461)),"")</f>
        <v/>
      </c>
      <c r="BJ461" t="str">
        <f>IF($AX$3=TRUE,IF(AO461="","",SUM($AO$6:AO461)),"")</f>
        <v/>
      </c>
      <c r="BK461" t="str">
        <f>IF($AY$3=TRUE,IF(AP461="","",SUM($AP$6:AP461)),"")</f>
        <v/>
      </c>
      <c r="BL461" t="str">
        <f>IF($AZ$3=TRUE,IF(AQ461="","",SUM($AQ$6:AQ461)),"")</f>
        <v/>
      </c>
      <c r="BM461" t="str">
        <f>IF($BA$3=TRUE,IF(AR461="","",SUM($AR$6:AR461)),"")</f>
        <v/>
      </c>
      <c r="BN461" t="str">
        <f>IF($BB$3=TRUE,IF(AS461="","",SUM($AS$6:AS461)),"")</f>
        <v/>
      </c>
    </row>
    <row r="462" spans="34:66" x14ac:dyDescent="0.25">
      <c r="AH462" s="75"/>
      <c r="AK462" s="75"/>
      <c r="BF462" s="75" t="str">
        <f t="shared" si="17"/>
        <v/>
      </c>
      <c r="BG462" t="str">
        <f>IF($AU$3=TRUE,IF(AL462="","",SUM($AL$6:AL462)),"")</f>
        <v/>
      </c>
      <c r="BH462" t="str">
        <f>IF($AV$3=TRUE,IF(AM462="","",SUM($AM$6:AM462)),"")</f>
        <v/>
      </c>
      <c r="BI462" t="str">
        <f>IF($AW$3=TRUE,IF(AN462="","",SUM($AN$6:AN462)),"")</f>
        <v/>
      </c>
      <c r="BJ462" t="str">
        <f>IF($AX$3=TRUE,IF(AO462="","",SUM($AO$6:AO462)),"")</f>
        <v/>
      </c>
      <c r="BK462" t="str">
        <f>IF($AY$3=TRUE,IF(AP462="","",SUM($AP$6:AP462)),"")</f>
        <v/>
      </c>
      <c r="BL462" t="str">
        <f>IF($AZ$3=TRUE,IF(AQ462="","",SUM($AQ$6:AQ462)),"")</f>
        <v/>
      </c>
      <c r="BM462" t="str">
        <f>IF($BA$3=TRUE,IF(AR462="","",SUM($AR$6:AR462)),"")</f>
        <v/>
      </c>
      <c r="BN462" t="str">
        <f>IF($BB$3=TRUE,IF(AS462="","",SUM($AS$6:AS462)),"")</f>
        <v/>
      </c>
    </row>
    <row r="463" spans="34:66" x14ac:dyDescent="0.25">
      <c r="AH463" s="75"/>
      <c r="AK463" s="75"/>
      <c r="BF463" s="75" t="str">
        <f t="shared" si="17"/>
        <v/>
      </c>
      <c r="BG463" t="str">
        <f>IF($AU$3=TRUE,IF(AL463="","",SUM($AL$6:AL463)),"")</f>
        <v/>
      </c>
      <c r="BH463" t="str">
        <f>IF($AV$3=TRUE,IF(AM463="","",SUM($AM$6:AM463)),"")</f>
        <v/>
      </c>
      <c r="BI463" t="str">
        <f>IF($AW$3=TRUE,IF(AN463="","",SUM($AN$6:AN463)),"")</f>
        <v/>
      </c>
      <c r="BJ463" t="str">
        <f>IF($AX$3=TRUE,IF(AO463="","",SUM($AO$6:AO463)),"")</f>
        <v/>
      </c>
      <c r="BK463" t="str">
        <f>IF($AY$3=TRUE,IF(AP463="","",SUM($AP$6:AP463)),"")</f>
        <v/>
      </c>
      <c r="BL463" t="str">
        <f>IF($AZ$3=TRUE,IF(AQ463="","",SUM($AQ$6:AQ463)),"")</f>
        <v/>
      </c>
      <c r="BM463" t="str">
        <f>IF($BA$3=TRUE,IF(AR463="","",SUM($AR$6:AR463)),"")</f>
        <v/>
      </c>
      <c r="BN463" t="str">
        <f>IF($BB$3=TRUE,IF(AS463="","",SUM($AS$6:AS463)),"")</f>
        <v/>
      </c>
    </row>
    <row r="464" spans="34:66" x14ac:dyDescent="0.25">
      <c r="AH464" s="75"/>
      <c r="AK464" s="75"/>
      <c r="BF464" s="75" t="str">
        <f t="shared" si="17"/>
        <v/>
      </c>
      <c r="BG464" t="str">
        <f>IF($AU$3=TRUE,IF(AL464="","",SUM($AL$6:AL464)),"")</f>
        <v/>
      </c>
      <c r="BH464" t="str">
        <f>IF($AV$3=TRUE,IF(AM464="","",SUM($AM$6:AM464)),"")</f>
        <v/>
      </c>
      <c r="BI464" t="str">
        <f>IF($AW$3=TRUE,IF(AN464="","",SUM($AN$6:AN464)),"")</f>
        <v/>
      </c>
      <c r="BJ464" t="str">
        <f>IF($AX$3=TRUE,IF(AO464="","",SUM($AO$6:AO464)),"")</f>
        <v/>
      </c>
      <c r="BK464" t="str">
        <f>IF($AY$3=TRUE,IF(AP464="","",SUM($AP$6:AP464)),"")</f>
        <v/>
      </c>
      <c r="BL464" t="str">
        <f>IF($AZ$3=TRUE,IF(AQ464="","",SUM($AQ$6:AQ464)),"")</f>
        <v/>
      </c>
      <c r="BM464" t="str">
        <f>IF($BA$3=TRUE,IF(AR464="","",SUM($AR$6:AR464)),"")</f>
        <v/>
      </c>
      <c r="BN464" t="str">
        <f>IF($BB$3=TRUE,IF(AS464="","",SUM($AS$6:AS464)),"")</f>
        <v/>
      </c>
    </row>
    <row r="465" spans="34:66" x14ac:dyDescent="0.25">
      <c r="AH465" s="75"/>
      <c r="AK465" s="75"/>
      <c r="BF465" s="75" t="str">
        <f t="shared" si="17"/>
        <v/>
      </c>
      <c r="BG465" t="str">
        <f>IF($AU$3=TRUE,IF(AL465="","",SUM($AL$6:AL465)),"")</f>
        <v/>
      </c>
      <c r="BH465" t="str">
        <f>IF($AV$3=TRUE,IF(AM465="","",SUM($AM$6:AM465)),"")</f>
        <v/>
      </c>
      <c r="BI465" t="str">
        <f>IF($AW$3=TRUE,IF(AN465="","",SUM($AN$6:AN465)),"")</f>
        <v/>
      </c>
      <c r="BJ465" t="str">
        <f>IF($AX$3=TRUE,IF(AO465="","",SUM($AO$6:AO465)),"")</f>
        <v/>
      </c>
      <c r="BK465" t="str">
        <f>IF($AY$3=TRUE,IF(AP465="","",SUM($AP$6:AP465)),"")</f>
        <v/>
      </c>
      <c r="BL465" t="str">
        <f>IF($AZ$3=TRUE,IF(AQ465="","",SUM($AQ$6:AQ465)),"")</f>
        <v/>
      </c>
      <c r="BM465" t="str">
        <f>IF($BA$3=TRUE,IF(AR465="","",SUM($AR$6:AR465)),"")</f>
        <v/>
      </c>
      <c r="BN465" t="str">
        <f>IF($BB$3=TRUE,IF(AS465="","",SUM($AS$6:AS465)),"")</f>
        <v/>
      </c>
    </row>
    <row r="466" spans="34:66" x14ac:dyDescent="0.25">
      <c r="AH466" s="75"/>
      <c r="AK466" s="75"/>
      <c r="BF466" s="75" t="str">
        <f t="shared" si="17"/>
        <v/>
      </c>
      <c r="BG466" t="str">
        <f>IF($AU$3=TRUE,IF(AL466="","",SUM($AL$6:AL466)),"")</f>
        <v/>
      </c>
      <c r="BH466" t="str">
        <f>IF($AV$3=TRUE,IF(AM466="","",SUM($AM$6:AM466)),"")</f>
        <v/>
      </c>
      <c r="BI466" t="str">
        <f>IF($AW$3=TRUE,IF(AN466="","",SUM($AN$6:AN466)),"")</f>
        <v/>
      </c>
      <c r="BJ466" t="str">
        <f>IF($AX$3=TRUE,IF(AO466="","",SUM($AO$6:AO466)),"")</f>
        <v/>
      </c>
      <c r="BK466" t="str">
        <f>IF($AY$3=TRUE,IF(AP466="","",SUM($AP$6:AP466)),"")</f>
        <v/>
      </c>
      <c r="BL466" t="str">
        <f>IF($AZ$3=TRUE,IF(AQ466="","",SUM($AQ$6:AQ466)),"")</f>
        <v/>
      </c>
      <c r="BM466" t="str">
        <f>IF($BA$3=TRUE,IF(AR466="","",SUM($AR$6:AR466)),"")</f>
        <v/>
      </c>
      <c r="BN466" t="str">
        <f>IF($BB$3=TRUE,IF(AS466="","",SUM($AS$6:AS466)),"")</f>
        <v/>
      </c>
    </row>
    <row r="467" spans="34:66" x14ac:dyDescent="0.25">
      <c r="AH467" s="75"/>
      <c r="AK467" s="75"/>
      <c r="BF467" s="75" t="str">
        <f t="shared" si="17"/>
        <v/>
      </c>
      <c r="BG467" t="str">
        <f>IF($AU$3=TRUE,IF(AL467="","",SUM($AL$6:AL467)),"")</f>
        <v/>
      </c>
      <c r="BH467" t="str">
        <f>IF($AV$3=TRUE,IF(AM467="","",SUM($AM$6:AM467)),"")</f>
        <v/>
      </c>
      <c r="BI467" t="str">
        <f>IF($AW$3=TRUE,IF(AN467="","",SUM($AN$6:AN467)),"")</f>
        <v/>
      </c>
      <c r="BJ467" t="str">
        <f>IF($AX$3=TRUE,IF(AO467="","",SUM($AO$6:AO467)),"")</f>
        <v/>
      </c>
      <c r="BK467" t="str">
        <f>IF($AY$3=TRUE,IF(AP467="","",SUM($AP$6:AP467)),"")</f>
        <v/>
      </c>
      <c r="BL467" t="str">
        <f>IF($AZ$3=TRUE,IF(AQ467="","",SUM($AQ$6:AQ467)),"")</f>
        <v/>
      </c>
      <c r="BM467" t="str">
        <f>IF($BA$3=TRUE,IF(AR467="","",SUM($AR$6:AR467)),"")</f>
        <v/>
      </c>
      <c r="BN467" t="str">
        <f>IF($BB$3=TRUE,IF(AS467="","",SUM($AS$6:AS467)),"")</f>
        <v/>
      </c>
    </row>
    <row r="468" spans="34:66" x14ac:dyDescent="0.25">
      <c r="AH468" s="75"/>
      <c r="AK468" s="75"/>
      <c r="BF468" s="75" t="str">
        <f t="shared" si="17"/>
        <v/>
      </c>
      <c r="BG468" t="str">
        <f>IF($AU$3=TRUE,IF(AL468="","",SUM($AL$6:AL468)),"")</f>
        <v/>
      </c>
      <c r="BH468" t="str">
        <f>IF($AV$3=TRUE,IF(AM468="","",SUM($AM$6:AM468)),"")</f>
        <v/>
      </c>
      <c r="BI468" t="str">
        <f>IF($AW$3=TRUE,IF(AN468="","",SUM($AN$6:AN468)),"")</f>
        <v/>
      </c>
      <c r="BJ468" t="str">
        <f>IF($AX$3=TRUE,IF(AO468="","",SUM($AO$6:AO468)),"")</f>
        <v/>
      </c>
      <c r="BK468" t="str">
        <f>IF($AY$3=TRUE,IF(AP468="","",SUM($AP$6:AP468)),"")</f>
        <v/>
      </c>
      <c r="BL468" t="str">
        <f>IF($AZ$3=TRUE,IF(AQ468="","",SUM($AQ$6:AQ468)),"")</f>
        <v/>
      </c>
      <c r="BM468" t="str">
        <f>IF($BA$3=TRUE,IF(AR468="","",SUM($AR$6:AR468)),"")</f>
        <v/>
      </c>
      <c r="BN468" t="str">
        <f>IF($BB$3=TRUE,IF(AS468="","",SUM($AS$6:AS468)),"")</f>
        <v/>
      </c>
    </row>
    <row r="469" spans="34:66" x14ac:dyDescent="0.25">
      <c r="AH469" s="75"/>
      <c r="AK469" s="75"/>
      <c r="BF469" s="75" t="str">
        <f t="shared" si="17"/>
        <v/>
      </c>
      <c r="BG469" t="str">
        <f>IF($AU$3=TRUE,IF(AL469="","",SUM($AL$6:AL469)),"")</f>
        <v/>
      </c>
      <c r="BH469" t="str">
        <f>IF($AV$3=TRUE,IF(AM469="","",SUM($AM$6:AM469)),"")</f>
        <v/>
      </c>
      <c r="BI469" t="str">
        <f>IF($AW$3=TRUE,IF(AN469="","",SUM($AN$6:AN469)),"")</f>
        <v/>
      </c>
      <c r="BJ469" t="str">
        <f>IF($AX$3=TRUE,IF(AO469="","",SUM($AO$6:AO469)),"")</f>
        <v/>
      </c>
      <c r="BK469" t="str">
        <f>IF($AY$3=TRUE,IF(AP469="","",SUM($AP$6:AP469)),"")</f>
        <v/>
      </c>
      <c r="BL469" t="str">
        <f>IF($AZ$3=TRUE,IF(AQ469="","",SUM($AQ$6:AQ469)),"")</f>
        <v/>
      </c>
      <c r="BM469" t="str">
        <f>IF($BA$3=TRUE,IF(AR469="","",SUM($AR$6:AR469)),"")</f>
        <v/>
      </c>
      <c r="BN469" t="str">
        <f>IF($BB$3=TRUE,IF(AS469="","",SUM($AS$6:AS469)),"")</f>
        <v/>
      </c>
    </row>
    <row r="470" spans="34:66" x14ac:dyDescent="0.25">
      <c r="AH470" s="75"/>
      <c r="AK470" s="75"/>
      <c r="BF470" s="75" t="str">
        <f t="shared" si="17"/>
        <v/>
      </c>
      <c r="BG470" t="str">
        <f>IF($AU$3=TRUE,IF(AL470="","",SUM($AL$6:AL470)),"")</f>
        <v/>
      </c>
      <c r="BH470" t="str">
        <f>IF($AV$3=TRUE,IF(AM470="","",SUM($AM$6:AM470)),"")</f>
        <v/>
      </c>
      <c r="BI470" t="str">
        <f>IF($AW$3=TRUE,IF(AN470="","",SUM($AN$6:AN470)),"")</f>
        <v/>
      </c>
      <c r="BJ470" t="str">
        <f>IF($AX$3=TRUE,IF(AO470="","",SUM($AO$6:AO470)),"")</f>
        <v/>
      </c>
      <c r="BK470" t="str">
        <f>IF($AY$3=TRUE,IF(AP470="","",SUM($AP$6:AP470)),"")</f>
        <v/>
      </c>
      <c r="BL470" t="str">
        <f>IF($AZ$3=TRUE,IF(AQ470="","",SUM($AQ$6:AQ470)),"")</f>
        <v/>
      </c>
      <c r="BM470" t="str">
        <f>IF($BA$3=TRUE,IF(AR470="","",SUM($AR$6:AR470)),"")</f>
        <v/>
      </c>
      <c r="BN470" t="str">
        <f>IF($BB$3=TRUE,IF(AS470="","",SUM($AS$6:AS470)),"")</f>
        <v/>
      </c>
    </row>
    <row r="471" spans="34:66" x14ac:dyDescent="0.25">
      <c r="AH471" s="75"/>
      <c r="AK471" s="75"/>
      <c r="BF471" s="75" t="str">
        <f t="shared" si="17"/>
        <v/>
      </c>
      <c r="BG471" t="str">
        <f>IF($AU$3=TRUE,IF(AL471="","",SUM($AL$6:AL471)),"")</f>
        <v/>
      </c>
      <c r="BH471" t="str">
        <f>IF($AV$3=TRUE,IF(AM471="","",SUM($AM$6:AM471)),"")</f>
        <v/>
      </c>
      <c r="BI471" t="str">
        <f>IF($AW$3=TRUE,IF(AN471="","",SUM($AN$6:AN471)),"")</f>
        <v/>
      </c>
      <c r="BJ471" t="str">
        <f>IF($AX$3=TRUE,IF(AO471="","",SUM($AO$6:AO471)),"")</f>
        <v/>
      </c>
      <c r="BK471" t="str">
        <f>IF($AY$3=TRUE,IF(AP471="","",SUM($AP$6:AP471)),"")</f>
        <v/>
      </c>
      <c r="BL471" t="str">
        <f>IF($AZ$3=TRUE,IF(AQ471="","",SUM($AQ$6:AQ471)),"")</f>
        <v/>
      </c>
      <c r="BM471" t="str">
        <f>IF($BA$3=TRUE,IF(AR471="","",SUM($AR$6:AR471)),"")</f>
        <v/>
      </c>
      <c r="BN471" t="str">
        <f>IF($BB$3=TRUE,IF(AS471="","",SUM($AS$6:AS471)),"")</f>
        <v/>
      </c>
    </row>
    <row r="472" spans="34:66" x14ac:dyDescent="0.25">
      <c r="AH472" s="75"/>
      <c r="AK472" s="75"/>
      <c r="BF472" s="75" t="str">
        <f t="shared" si="17"/>
        <v/>
      </c>
      <c r="BG472" t="str">
        <f>IF($AU$3=TRUE,IF(AL472="","",SUM($AL$6:AL472)),"")</f>
        <v/>
      </c>
      <c r="BH472" t="str">
        <f>IF($AV$3=TRUE,IF(AM472="","",SUM($AM$6:AM472)),"")</f>
        <v/>
      </c>
      <c r="BI472" t="str">
        <f>IF($AW$3=TRUE,IF(AN472="","",SUM($AN$6:AN472)),"")</f>
        <v/>
      </c>
      <c r="BJ472" t="str">
        <f>IF($AX$3=TRUE,IF(AO472="","",SUM($AO$6:AO472)),"")</f>
        <v/>
      </c>
      <c r="BK472" t="str">
        <f>IF($AY$3=TRUE,IF(AP472="","",SUM($AP$6:AP472)),"")</f>
        <v/>
      </c>
      <c r="BL472" t="str">
        <f>IF($AZ$3=TRUE,IF(AQ472="","",SUM($AQ$6:AQ472)),"")</f>
        <v/>
      </c>
      <c r="BM472" t="str">
        <f>IF($BA$3=TRUE,IF(AR472="","",SUM($AR$6:AR472)),"")</f>
        <v/>
      </c>
      <c r="BN472" t="str">
        <f>IF($BB$3=TRUE,IF(AS472="","",SUM($AS$6:AS472)),"")</f>
        <v/>
      </c>
    </row>
    <row r="473" spans="34:66" x14ac:dyDescent="0.25">
      <c r="AH473" s="75"/>
      <c r="AK473" s="75"/>
      <c r="BF473" s="75" t="str">
        <f t="shared" si="17"/>
        <v/>
      </c>
      <c r="BG473" t="str">
        <f>IF($AU$3=TRUE,IF(AL473="","",SUM($AL$6:AL473)),"")</f>
        <v/>
      </c>
      <c r="BH473" t="str">
        <f>IF($AV$3=TRUE,IF(AM473="","",SUM($AM$6:AM473)),"")</f>
        <v/>
      </c>
      <c r="BI473" t="str">
        <f>IF($AW$3=TRUE,IF(AN473="","",SUM($AN$6:AN473)),"")</f>
        <v/>
      </c>
      <c r="BJ473" t="str">
        <f>IF($AX$3=TRUE,IF(AO473="","",SUM($AO$6:AO473)),"")</f>
        <v/>
      </c>
      <c r="BK473" t="str">
        <f>IF($AY$3=TRUE,IF(AP473="","",SUM($AP$6:AP473)),"")</f>
        <v/>
      </c>
      <c r="BL473" t="str">
        <f>IF($AZ$3=TRUE,IF(AQ473="","",SUM($AQ$6:AQ473)),"")</f>
        <v/>
      </c>
      <c r="BM473" t="str">
        <f>IF($BA$3=TRUE,IF(AR473="","",SUM($AR$6:AR473)),"")</f>
        <v/>
      </c>
      <c r="BN473" t="str">
        <f>IF($BB$3=TRUE,IF(AS473="","",SUM($AS$6:AS473)),"")</f>
        <v/>
      </c>
    </row>
    <row r="474" spans="34:66" x14ac:dyDescent="0.25">
      <c r="AH474" s="75"/>
      <c r="AK474" s="75"/>
      <c r="BF474" s="75" t="str">
        <f t="shared" si="17"/>
        <v/>
      </c>
      <c r="BG474" t="str">
        <f>IF($AU$3=TRUE,IF(AL474="","",SUM($AL$6:AL474)),"")</f>
        <v/>
      </c>
      <c r="BH474" t="str">
        <f>IF($AV$3=TRUE,IF(AM474="","",SUM($AM$6:AM474)),"")</f>
        <v/>
      </c>
      <c r="BI474" t="str">
        <f>IF($AW$3=TRUE,IF(AN474="","",SUM($AN$6:AN474)),"")</f>
        <v/>
      </c>
      <c r="BJ474" t="str">
        <f>IF($AX$3=TRUE,IF(AO474="","",SUM($AO$6:AO474)),"")</f>
        <v/>
      </c>
      <c r="BK474" t="str">
        <f>IF($AY$3=TRUE,IF(AP474="","",SUM($AP$6:AP474)),"")</f>
        <v/>
      </c>
      <c r="BL474" t="str">
        <f>IF($AZ$3=TRUE,IF(AQ474="","",SUM($AQ$6:AQ474)),"")</f>
        <v/>
      </c>
      <c r="BM474" t="str">
        <f>IF($BA$3=TRUE,IF(AR474="","",SUM($AR$6:AR474)),"")</f>
        <v/>
      </c>
      <c r="BN474" t="str">
        <f>IF($BB$3=TRUE,IF(AS474="","",SUM($AS$6:AS474)),"")</f>
        <v/>
      </c>
    </row>
    <row r="475" spans="34:66" x14ac:dyDescent="0.25">
      <c r="AH475" s="75"/>
      <c r="AK475" s="75"/>
      <c r="BF475" s="75" t="str">
        <f t="shared" si="17"/>
        <v/>
      </c>
      <c r="BG475" t="str">
        <f>IF($AU$3=TRUE,IF(AL475="","",SUM($AL$6:AL475)),"")</f>
        <v/>
      </c>
      <c r="BH475" t="str">
        <f>IF($AV$3=TRUE,IF(AM475="","",SUM($AM$6:AM475)),"")</f>
        <v/>
      </c>
      <c r="BI475" t="str">
        <f>IF($AW$3=TRUE,IF(AN475="","",SUM($AN$6:AN475)),"")</f>
        <v/>
      </c>
      <c r="BJ475" t="str">
        <f>IF($AX$3=TRUE,IF(AO475="","",SUM($AO$6:AO475)),"")</f>
        <v/>
      </c>
      <c r="BK475" t="str">
        <f>IF($AY$3=TRUE,IF(AP475="","",SUM($AP$6:AP475)),"")</f>
        <v/>
      </c>
      <c r="BL475" t="str">
        <f>IF($AZ$3=TRUE,IF(AQ475="","",SUM($AQ$6:AQ475)),"")</f>
        <v/>
      </c>
      <c r="BM475" t="str">
        <f>IF($BA$3=TRUE,IF(AR475="","",SUM($AR$6:AR475)),"")</f>
        <v/>
      </c>
      <c r="BN475" t="str">
        <f>IF($BB$3=TRUE,IF(AS475="","",SUM($AS$6:AS475)),"")</f>
        <v/>
      </c>
    </row>
    <row r="476" spans="34:66" x14ac:dyDescent="0.25">
      <c r="AH476" s="75"/>
      <c r="AK476" s="75"/>
      <c r="BF476" s="75" t="str">
        <f t="shared" si="17"/>
        <v/>
      </c>
      <c r="BG476" t="str">
        <f>IF($AU$3=TRUE,IF(AL476="","",SUM($AL$6:AL476)),"")</f>
        <v/>
      </c>
      <c r="BH476" t="str">
        <f>IF($AV$3=TRUE,IF(AM476="","",SUM($AM$6:AM476)),"")</f>
        <v/>
      </c>
      <c r="BI476" t="str">
        <f>IF($AW$3=TRUE,IF(AN476="","",SUM($AN$6:AN476)),"")</f>
        <v/>
      </c>
      <c r="BJ476" t="str">
        <f>IF($AX$3=TRUE,IF(AO476="","",SUM($AO$6:AO476)),"")</f>
        <v/>
      </c>
      <c r="BK476" t="str">
        <f>IF($AY$3=TRUE,IF(AP476="","",SUM($AP$6:AP476)),"")</f>
        <v/>
      </c>
      <c r="BL476" t="str">
        <f>IF($AZ$3=TRUE,IF(AQ476="","",SUM($AQ$6:AQ476)),"")</f>
        <v/>
      </c>
      <c r="BM476" t="str">
        <f>IF($BA$3=TRUE,IF(AR476="","",SUM($AR$6:AR476)),"")</f>
        <v/>
      </c>
      <c r="BN476" t="str">
        <f>IF($BB$3=TRUE,IF(AS476="","",SUM($AS$6:AS476)),"")</f>
        <v/>
      </c>
    </row>
    <row r="477" spans="34:66" x14ac:dyDescent="0.25">
      <c r="AH477" s="75"/>
      <c r="AK477" s="75"/>
      <c r="BF477" s="75" t="str">
        <f t="shared" si="17"/>
        <v/>
      </c>
      <c r="BG477" t="str">
        <f>IF($AU$3=TRUE,IF(AL477="","",SUM($AL$6:AL477)),"")</f>
        <v/>
      </c>
      <c r="BH477" t="str">
        <f>IF($AV$3=TRUE,IF(AM477="","",SUM($AM$6:AM477)),"")</f>
        <v/>
      </c>
      <c r="BI477" t="str">
        <f>IF($AW$3=TRUE,IF(AN477="","",SUM($AN$6:AN477)),"")</f>
        <v/>
      </c>
      <c r="BJ477" t="str">
        <f>IF($AX$3=TRUE,IF(AO477="","",SUM($AO$6:AO477)),"")</f>
        <v/>
      </c>
      <c r="BK477" t="str">
        <f>IF($AY$3=TRUE,IF(AP477="","",SUM($AP$6:AP477)),"")</f>
        <v/>
      </c>
      <c r="BL477" t="str">
        <f>IF($AZ$3=TRUE,IF(AQ477="","",SUM($AQ$6:AQ477)),"")</f>
        <v/>
      </c>
      <c r="BM477" t="str">
        <f>IF($BA$3=TRUE,IF(AR477="","",SUM($AR$6:AR477)),"")</f>
        <v/>
      </c>
      <c r="BN477" t="str">
        <f>IF($BB$3=TRUE,IF(AS477="","",SUM($AS$6:AS477)),"")</f>
        <v/>
      </c>
    </row>
    <row r="478" spans="34:66" x14ac:dyDescent="0.25">
      <c r="AH478" s="75"/>
      <c r="AK478" s="75"/>
      <c r="BF478" s="75" t="str">
        <f t="shared" si="17"/>
        <v/>
      </c>
      <c r="BG478" t="str">
        <f>IF($AU$3=TRUE,IF(AL478="","",SUM($AL$6:AL478)),"")</f>
        <v/>
      </c>
      <c r="BH478" t="str">
        <f>IF($AV$3=TRUE,IF(AM478="","",SUM($AM$6:AM478)),"")</f>
        <v/>
      </c>
      <c r="BI478" t="str">
        <f>IF($AW$3=TRUE,IF(AN478="","",SUM($AN$6:AN478)),"")</f>
        <v/>
      </c>
      <c r="BJ478" t="str">
        <f>IF($AX$3=TRUE,IF(AO478="","",SUM($AO$6:AO478)),"")</f>
        <v/>
      </c>
      <c r="BK478" t="str">
        <f>IF($AY$3=TRUE,IF(AP478="","",SUM($AP$6:AP478)),"")</f>
        <v/>
      </c>
      <c r="BL478" t="str">
        <f>IF($AZ$3=TRUE,IF(AQ478="","",SUM($AQ$6:AQ478)),"")</f>
        <v/>
      </c>
      <c r="BM478" t="str">
        <f>IF($BA$3=TRUE,IF(AR478="","",SUM($AR$6:AR478)),"")</f>
        <v/>
      </c>
      <c r="BN478" t="str">
        <f>IF($BB$3=TRUE,IF(AS478="","",SUM($AS$6:AS478)),"")</f>
        <v/>
      </c>
    </row>
    <row r="479" spans="34:66" x14ac:dyDescent="0.25">
      <c r="AH479" s="75"/>
      <c r="AK479" s="75"/>
      <c r="BF479" s="75" t="str">
        <f t="shared" si="17"/>
        <v/>
      </c>
      <c r="BG479" t="str">
        <f>IF($AU$3=TRUE,IF(AL479="","",SUM($AL$6:AL479)),"")</f>
        <v/>
      </c>
      <c r="BH479" t="str">
        <f>IF($AV$3=TRUE,IF(AM479="","",SUM($AM$6:AM479)),"")</f>
        <v/>
      </c>
      <c r="BI479" t="str">
        <f>IF($AW$3=TRUE,IF(AN479="","",SUM($AN$6:AN479)),"")</f>
        <v/>
      </c>
      <c r="BJ479" t="str">
        <f>IF($AX$3=TRUE,IF(AO479="","",SUM($AO$6:AO479)),"")</f>
        <v/>
      </c>
      <c r="BK479" t="str">
        <f>IF($AY$3=TRUE,IF(AP479="","",SUM($AP$6:AP479)),"")</f>
        <v/>
      </c>
      <c r="BL479" t="str">
        <f>IF($AZ$3=TRUE,IF(AQ479="","",SUM($AQ$6:AQ479)),"")</f>
        <v/>
      </c>
      <c r="BM479" t="str">
        <f>IF($BA$3=TRUE,IF(AR479="","",SUM($AR$6:AR479)),"")</f>
        <v/>
      </c>
      <c r="BN479" t="str">
        <f>IF($BB$3=TRUE,IF(AS479="","",SUM($AS$6:AS479)),"")</f>
        <v/>
      </c>
    </row>
    <row r="480" spans="34:66" x14ac:dyDescent="0.25">
      <c r="AH480" s="75"/>
      <c r="AK480" s="75"/>
      <c r="BF480" s="75" t="str">
        <f t="shared" si="17"/>
        <v/>
      </c>
      <c r="BG480" t="str">
        <f>IF($AU$3=TRUE,IF(AL480="","",SUM($AL$6:AL480)),"")</f>
        <v/>
      </c>
      <c r="BH480" t="str">
        <f>IF($AV$3=TRUE,IF(AM480="","",SUM($AM$6:AM480)),"")</f>
        <v/>
      </c>
      <c r="BI480" t="str">
        <f>IF($AW$3=TRUE,IF(AN480="","",SUM($AN$6:AN480)),"")</f>
        <v/>
      </c>
      <c r="BJ480" t="str">
        <f>IF($AX$3=TRUE,IF(AO480="","",SUM($AO$6:AO480)),"")</f>
        <v/>
      </c>
      <c r="BK480" t="str">
        <f>IF($AY$3=TRUE,IF(AP480="","",SUM($AP$6:AP480)),"")</f>
        <v/>
      </c>
      <c r="BL480" t="str">
        <f>IF($AZ$3=TRUE,IF(AQ480="","",SUM($AQ$6:AQ480)),"")</f>
        <v/>
      </c>
      <c r="BM480" t="str">
        <f>IF($BA$3=TRUE,IF(AR480="","",SUM($AR$6:AR480)),"")</f>
        <v/>
      </c>
      <c r="BN480" t="str">
        <f>IF($BB$3=TRUE,IF(AS480="","",SUM($AS$6:AS480)),"")</f>
        <v/>
      </c>
    </row>
    <row r="481" spans="34:66" x14ac:dyDescent="0.25">
      <c r="AH481" s="75"/>
      <c r="AK481" s="75"/>
      <c r="BF481" s="75" t="str">
        <f t="shared" si="17"/>
        <v/>
      </c>
      <c r="BG481" t="str">
        <f>IF($AU$3=TRUE,IF(AL481="","",SUM($AL$6:AL481)),"")</f>
        <v/>
      </c>
      <c r="BH481" t="str">
        <f>IF($AV$3=TRUE,IF(AM481="","",SUM($AM$6:AM481)),"")</f>
        <v/>
      </c>
      <c r="BI481" t="str">
        <f>IF($AW$3=TRUE,IF(AN481="","",SUM($AN$6:AN481)),"")</f>
        <v/>
      </c>
      <c r="BJ481" t="str">
        <f>IF($AX$3=TRUE,IF(AO481="","",SUM($AO$6:AO481)),"")</f>
        <v/>
      </c>
      <c r="BK481" t="str">
        <f>IF($AY$3=TRUE,IF(AP481="","",SUM($AP$6:AP481)),"")</f>
        <v/>
      </c>
      <c r="BL481" t="str">
        <f>IF($AZ$3=TRUE,IF(AQ481="","",SUM($AQ$6:AQ481)),"")</f>
        <v/>
      </c>
      <c r="BM481" t="str">
        <f>IF($BA$3=TRUE,IF(AR481="","",SUM($AR$6:AR481)),"")</f>
        <v/>
      </c>
      <c r="BN481" t="str">
        <f>IF($BB$3=TRUE,IF(AS481="","",SUM($AS$6:AS481)),"")</f>
        <v/>
      </c>
    </row>
    <row r="482" spans="34:66" x14ac:dyDescent="0.25">
      <c r="AH482" s="75"/>
      <c r="AK482" s="75"/>
      <c r="BF482" s="75" t="str">
        <f t="shared" si="17"/>
        <v/>
      </c>
      <c r="BG482" t="str">
        <f>IF($AU$3=TRUE,IF(AL482="","",SUM($AL$6:AL482)),"")</f>
        <v/>
      </c>
      <c r="BH482" t="str">
        <f>IF($AV$3=TRUE,IF(AM482="","",SUM($AM$6:AM482)),"")</f>
        <v/>
      </c>
      <c r="BI482" t="str">
        <f>IF($AW$3=TRUE,IF(AN482="","",SUM($AN$6:AN482)),"")</f>
        <v/>
      </c>
      <c r="BJ482" t="str">
        <f>IF($AX$3=TRUE,IF(AO482="","",SUM($AO$6:AO482)),"")</f>
        <v/>
      </c>
      <c r="BK482" t="str">
        <f>IF($AY$3=TRUE,IF(AP482="","",SUM($AP$6:AP482)),"")</f>
        <v/>
      </c>
      <c r="BL482" t="str">
        <f>IF($AZ$3=TRUE,IF(AQ482="","",SUM($AQ$6:AQ482)),"")</f>
        <v/>
      </c>
      <c r="BM482" t="str">
        <f>IF($BA$3=TRUE,IF(AR482="","",SUM($AR$6:AR482)),"")</f>
        <v/>
      </c>
      <c r="BN482" t="str">
        <f>IF($BB$3=TRUE,IF(AS482="","",SUM($AS$6:AS482)),"")</f>
        <v/>
      </c>
    </row>
    <row r="483" spans="34:66" x14ac:dyDescent="0.25">
      <c r="AH483" s="75"/>
      <c r="AK483" s="75"/>
      <c r="BF483" s="75" t="str">
        <f t="shared" si="17"/>
        <v/>
      </c>
      <c r="BG483" t="str">
        <f>IF($AU$3=TRUE,IF(AL483="","",SUM($AL$6:AL483)),"")</f>
        <v/>
      </c>
      <c r="BH483" t="str">
        <f>IF($AV$3=TRUE,IF(AM483="","",SUM($AM$6:AM483)),"")</f>
        <v/>
      </c>
      <c r="BI483" t="str">
        <f>IF($AW$3=TRUE,IF(AN483="","",SUM($AN$6:AN483)),"")</f>
        <v/>
      </c>
      <c r="BJ483" t="str">
        <f>IF($AX$3=TRUE,IF(AO483="","",SUM($AO$6:AO483)),"")</f>
        <v/>
      </c>
      <c r="BK483" t="str">
        <f>IF($AY$3=TRUE,IF(AP483="","",SUM($AP$6:AP483)),"")</f>
        <v/>
      </c>
      <c r="BL483" t="str">
        <f>IF($AZ$3=TRUE,IF(AQ483="","",SUM($AQ$6:AQ483)),"")</f>
        <v/>
      </c>
      <c r="BM483" t="str">
        <f>IF($BA$3=TRUE,IF(AR483="","",SUM($AR$6:AR483)),"")</f>
        <v/>
      </c>
      <c r="BN483" t="str">
        <f>IF($BB$3=TRUE,IF(AS483="","",SUM($AS$6:AS483)),"")</f>
        <v/>
      </c>
    </row>
    <row r="484" spans="34:66" x14ac:dyDescent="0.25">
      <c r="AH484" s="75"/>
      <c r="AK484" s="75"/>
      <c r="BF484" s="75" t="str">
        <f t="shared" si="17"/>
        <v/>
      </c>
      <c r="BG484" t="str">
        <f>IF($AU$3=TRUE,IF(AL484="","",SUM($AL$6:AL484)),"")</f>
        <v/>
      </c>
      <c r="BH484" t="str">
        <f>IF($AV$3=TRUE,IF(AM484="","",SUM($AM$6:AM484)),"")</f>
        <v/>
      </c>
      <c r="BI484" t="str">
        <f>IF($AW$3=TRUE,IF(AN484="","",SUM($AN$6:AN484)),"")</f>
        <v/>
      </c>
      <c r="BJ484" t="str">
        <f>IF($AX$3=TRUE,IF(AO484="","",SUM($AO$6:AO484)),"")</f>
        <v/>
      </c>
      <c r="BK484" t="str">
        <f>IF($AY$3=TRUE,IF(AP484="","",SUM($AP$6:AP484)),"")</f>
        <v/>
      </c>
      <c r="BL484" t="str">
        <f>IF($AZ$3=TRUE,IF(AQ484="","",SUM($AQ$6:AQ484)),"")</f>
        <v/>
      </c>
      <c r="BM484" t="str">
        <f>IF($BA$3=TRUE,IF(AR484="","",SUM($AR$6:AR484)),"")</f>
        <v/>
      </c>
      <c r="BN484" t="str">
        <f>IF($BB$3=TRUE,IF(AS484="","",SUM($AS$6:AS484)),"")</f>
        <v/>
      </c>
    </row>
    <row r="485" spans="34:66" x14ac:dyDescent="0.25">
      <c r="AH485" s="75"/>
      <c r="AK485" s="75"/>
      <c r="BF485" s="75" t="str">
        <f t="shared" si="17"/>
        <v/>
      </c>
      <c r="BG485" t="str">
        <f>IF($AU$3=TRUE,IF(AL485="","",SUM($AL$6:AL485)),"")</f>
        <v/>
      </c>
      <c r="BH485" t="str">
        <f>IF($AV$3=TRUE,IF(AM485="","",SUM($AM$6:AM485)),"")</f>
        <v/>
      </c>
      <c r="BI485" t="str">
        <f>IF($AW$3=TRUE,IF(AN485="","",SUM($AN$6:AN485)),"")</f>
        <v/>
      </c>
      <c r="BJ485" t="str">
        <f>IF($AX$3=TRUE,IF(AO485="","",SUM($AO$6:AO485)),"")</f>
        <v/>
      </c>
      <c r="BK485" t="str">
        <f>IF($AY$3=TRUE,IF(AP485="","",SUM($AP$6:AP485)),"")</f>
        <v/>
      </c>
      <c r="BL485" t="str">
        <f>IF($AZ$3=TRUE,IF(AQ485="","",SUM($AQ$6:AQ485)),"")</f>
        <v/>
      </c>
      <c r="BM485" t="str">
        <f>IF($BA$3=TRUE,IF(AR485="","",SUM($AR$6:AR485)),"")</f>
        <v/>
      </c>
      <c r="BN485" t="str">
        <f>IF($BB$3=TRUE,IF(AS485="","",SUM($AS$6:AS485)),"")</f>
        <v/>
      </c>
    </row>
    <row r="486" spans="34:66" x14ac:dyDescent="0.25">
      <c r="AH486" s="75"/>
      <c r="AK486" s="75"/>
      <c r="BF486" s="75" t="str">
        <f t="shared" si="17"/>
        <v/>
      </c>
      <c r="BG486" t="str">
        <f>IF($AU$3=TRUE,IF(AL486="","",SUM($AL$6:AL486)),"")</f>
        <v/>
      </c>
      <c r="BH486" t="str">
        <f>IF($AV$3=TRUE,IF(AM486="","",SUM($AM$6:AM486)),"")</f>
        <v/>
      </c>
      <c r="BI486" t="str">
        <f>IF($AW$3=TRUE,IF(AN486="","",SUM($AN$6:AN486)),"")</f>
        <v/>
      </c>
      <c r="BJ486" t="str">
        <f>IF($AX$3=TRUE,IF(AO486="","",SUM($AO$6:AO486)),"")</f>
        <v/>
      </c>
      <c r="BK486" t="str">
        <f>IF($AY$3=TRUE,IF(AP486="","",SUM($AP$6:AP486)),"")</f>
        <v/>
      </c>
      <c r="BL486" t="str">
        <f>IF($AZ$3=TRUE,IF(AQ486="","",SUM($AQ$6:AQ486)),"")</f>
        <v/>
      </c>
      <c r="BM486" t="str">
        <f>IF($BA$3=TRUE,IF(AR486="","",SUM($AR$6:AR486)),"")</f>
        <v/>
      </c>
      <c r="BN486" t="str">
        <f>IF($BB$3=TRUE,IF(AS486="","",SUM($AS$6:AS486)),"")</f>
        <v/>
      </c>
    </row>
    <row r="487" spans="34:66" x14ac:dyDescent="0.25">
      <c r="AH487" s="75"/>
      <c r="AK487" s="75"/>
      <c r="BF487" s="75" t="str">
        <f t="shared" si="17"/>
        <v/>
      </c>
      <c r="BG487" t="str">
        <f>IF($AU$3=TRUE,IF(AL487="","",SUM($AL$6:AL487)),"")</f>
        <v/>
      </c>
      <c r="BH487" t="str">
        <f>IF($AV$3=TRUE,IF(AM487="","",SUM($AM$6:AM487)),"")</f>
        <v/>
      </c>
      <c r="BI487" t="str">
        <f>IF($AW$3=TRUE,IF(AN487="","",SUM($AN$6:AN487)),"")</f>
        <v/>
      </c>
      <c r="BJ487" t="str">
        <f>IF($AX$3=TRUE,IF(AO487="","",SUM($AO$6:AO487)),"")</f>
        <v/>
      </c>
      <c r="BK487" t="str">
        <f>IF($AY$3=TRUE,IF(AP487="","",SUM($AP$6:AP487)),"")</f>
        <v/>
      </c>
      <c r="BL487" t="str">
        <f>IF($AZ$3=TRUE,IF(AQ487="","",SUM($AQ$6:AQ487)),"")</f>
        <v/>
      </c>
      <c r="BM487" t="str">
        <f>IF($BA$3=TRUE,IF(AR487="","",SUM($AR$6:AR487)),"")</f>
        <v/>
      </c>
      <c r="BN487" t="str">
        <f>IF($BB$3=TRUE,IF(AS487="","",SUM($AS$6:AS487)),"")</f>
        <v/>
      </c>
    </row>
    <row r="488" spans="34:66" x14ac:dyDescent="0.25">
      <c r="AH488" s="75"/>
      <c r="AK488" s="75"/>
      <c r="BF488" s="75" t="str">
        <f t="shared" si="17"/>
        <v/>
      </c>
      <c r="BG488" t="str">
        <f>IF($AU$3=TRUE,IF(AL488="","",SUM($AL$6:AL488)),"")</f>
        <v/>
      </c>
      <c r="BH488" t="str">
        <f>IF($AV$3=TRUE,IF(AM488="","",SUM($AM$6:AM488)),"")</f>
        <v/>
      </c>
      <c r="BI488" t="str">
        <f>IF($AW$3=TRUE,IF(AN488="","",SUM($AN$6:AN488)),"")</f>
        <v/>
      </c>
      <c r="BJ488" t="str">
        <f>IF($AX$3=TRUE,IF(AO488="","",SUM($AO$6:AO488)),"")</f>
        <v/>
      </c>
      <c r="BK488" t="str">
        <f>IF($AY$3=TRUE,IF(AP488="","",SUM($AP$6:AP488)),"")</f>
        <v/>
      </c>
      <c r="BL488" t="str">
        <f>IF($AZ$3=TRUE,IF(AQ488="","",SUM($AQ$6:AQ488)),"")</f>
        <v/>
      </c>
      <c r="BM488" t="str">
        <f>IF($BA$3=TRUE,IF(AR488="","",SUM($AR$6:AR488)),"")</f>
        <v/>
      </c>
      <c r="BN488" t="str">
        <f>IF($BB$3=TRUE,IF(AS488="","",SUM($AS$6:AS488)),"")</f>
        <v/>
      </c>
    </row>
    <row r="489" spans="34:66" x14ac:dyDescent="0.25">
      <c r="AH489" s="75"/>
      <c r="AK489" s="75"/>
      <c r="BF489" s="75" t="str">
        <f t="shared" si="17"/>
        <v/>
      </c>
      <c r="BG489" t="str">
        <f>IF($AU$3=TRUE,IF(AL489="","",SUM($AL$6:AL489)),"")</f>
        <v/>
      </c>
      <c r="BH489" t="str">
        <f>IF($AV$3=TRUE,IF(AM489="","",SUM($AM$6:AM489)),"")</f>
        <v/>
      </c>
      <c r="BI489" t="str">
        <f>IF($AW$3=TRUE,IF(AN489="","",SUM($AN$6:AN489)),"")</f>
        <v/>
      </c>
      <c r="BJ489" t="str">
        <f>IF($AX$3=TRUE,IF(AO489="","",SUM($AO$6:AO489)),"")</f>
        <v/>
      </c>
      <c r="BK489" t="str">
        <f>IF($AY$3=TRUE,IF(AP489="","",SUM($AP$6:AP489)),"")</f>
        <v/>
      </c>
      <c r="BL489" t="str">
        <f>IF($AZ$3=TRUE,IF(AQ489="","",SUM($AQ$6:AQ489)),"")</f>
        <v/>
      </c>
      <c r="BM489" t="str">
        <f>IF($BA$3=TRUE,IF(AR489="","",SUM($AR$6:AR489)),"")</f>
        <v/>
      </c>
      <c r="BN489" t="str">
        <f>IF($BB$3=TRUE,IF(AS489="","",SUM($AS$6:AS489)),"")</f>
        <v/>
      </c>
    </row>
    <row r="490" spans="34:66" x14ac:dyDescent="0.25">
      <c r="AH490" s="75"/>
      <c r="AK490" s="75"/>
      <c r="BF490" s="75" t="str">
        <f t="shared" si="17"/>
        <v/>
      </c>
      <c r="BG490" t="str">
        <f>IF($AU$3=TRUE,IF(AL490="","",SUM($AL$6:AL490)),"")</f>
        <v/>
      </c>
      <c r="BH490" t="str">
        <f>IF($AV$3=TRUE,IF(AM490="","",SUM($AM$6:AM490)),"")</f>
        <v/>
      </c>
      <c r="BI490" t="str">
        <f>IF($AW$3=TRUE,IF(AN490="","",SUM($AN$6:AN490)),"")</f>
        <v/>
      </c>
      <c r="BJ490" t="str">
        <f>IF($AX$3=TRUE,IF(AO490="","",SUM($AO$6:AO490)),"")</f>
        <v/>
      </c>
      <c r="BK490" t="str">
        <f>IF($AY$3=TRUE,IF(AP490="","",SUM($AP$6:AP490)),"")</f>
        <v/>
      </c>
      <c r="BL490" t="str">
        <f>IF($AZ$3=TRUE,IF(AQ490="","",SUM($AQ$6:AQ490)),"")</f>
        <v/>
      </c>
      <c r="BM490" t="str">
        <f>IF($BA$3=TRUE,IF(AR490="","",SUM($AR$6:AR490)),"")</f>
        <v/>
      </c>
      <c r="BN490" t="str">
        <f>IF($BB$3=TRUE,IF(AS490="","",SUM($AS$6:AS490)),"")</f>
        <v/>
      </c>
    </row>
    <row r="491" spans="34:66" x14ac:dyDescent="0.25">
      <c r="AH491" s="75"/>
      <c r="AK491" s="75"/>
      <c r="BF491" s="75" t="str">
        <f t="shared" si="17"/>
        <v/>
      </c>
      <c r="BG491" t="str">
        <f>IF($AU$3=TRUE,IF(AL491="","",SUM($AL$6:AL491)),"")</f>
        <v/>
      </c>
      <c r="BH491" t="str">
        <f>IF($AV$3=TRUE,IF(AM491="","",SUM($AM$6:AM491)),"")</f>
        <v/>
      </c>
      <c r="BI491" t="str">
        <f>IF($AW$3=TRUE,IF(AN491="","",SUM($AN$6:AN491)),"")</f>
        <v/>
      </c>
      <c r="BJ491" t="str">
        <f>IF($AX$3=TRUE,IF(AO491="","",SUM($AO$6:AO491)),"")</f>
        <v/>
      </c>
      <c r="BK491" t="str">
        <f>IF($AY$3=TRUE,IF(AP491="","",SUM($AP$6:AP491)),"")</f>
        <v/>
      </c>
      <c r="BL491" t="str">
        <f>IF($AZ$3=TRUE,IF(AQ491="","",SUM($AQ$6:AQ491)),"")</f>
        <v/>
      </c>
      <c r="BM491" t="str">
        <f>IF($BA$3=TRUE,IF(AR491="","",SUM($AR$6:AR491)),"")</f>
        <v/>
      </c>
      <c r="BN491" t="str">
        <f>IF($BB$3=TRUE,IF(AS491="","",SUM($AS$6:AS491)),"")</f>
        <v/>
      </c>
    </row>
    <row r="492" spans="34:66" x14ac:dyDescent="0.25">
      <c r="AH492" s="75"/>
      <c r="AK492" s="75"/>
      <c r="BF492" s="75" t="str">
        <f t="shared" si="17"/>
        <v/>
      </c>
      <c r="BG492" t="str">
        <f>IF($AU$3=TRUE,IF(AL492="","",SUM($AL$6:AL492)),"")</f>
        <v/>
      </c>
      <c r="BH492" t="str">
        <f>IF($AV$3=TRUE,IF(AM492="","",SUM($AM$6:AM492)),"")</f>
        <v/>
      </c>
      <c r="BI492" t="str">
        <f>IF($AW$3=TRUE,IF(AN492="","",SUM($AN$6:AN492)),"")</f>
        <v/>
      </c>
      <c r="BJ492" t="str">
        <f>IF($AX$3=TRUE,IF(AO492="","",SUM($AO$6:AO492)),"")</f>
        <v/>
      </c>
      <c r="BK492" t="str">
        <f>IF($AY$3=TRUE,IF(AP492="","",SUM($AP$6:AP492)),"")</f>
        <v/>
      </c>
      <c r="BL492" t="str">
        <f>IF($AZ$3=TRUE,IF(AQ492="","",SUM($AQ$6:AQ492)),"")</f>
        <v/>
      </c>
      <c r="BM492" t="str">
        <f>IF($BA$3=TRUE,IF(AR492="","",SUM($AR$6:AR492)),"")</f>
        <v/>
      </c>
      <c r="BN492" t="str">
        <f>IF($BB$3=TRUE,IF(AS492="","",SUM($AS$6:AS492)),"")</f>
        <v/>
      </c>
    </row>
    <row r="493" spans="34:66" x14ac:dyDescent="0.25">
      <c r="AH493" s="75"/>
      <c r="AK493" s="75"/>
      <c r="BF493" s="75" t="str">
        <f t="shared" si="17"/>
        <v/>
      </c>
      <c r="BG493" t="str">
        <f>IF($AU$3=TRUE,IF(AL493="","",SUM($AL$6:AL493)),"")</f>
        <v/>
      </c>
      <c r="BH493" t="str">
        <f>IF($AV$3=TRUE,IF(AM493="","",SUM($AM$6:AM493)),"")</f>
        <v/>
      </c>
      <c r="BI493" t="str">
        <f>IF($AW$3=TRUE,IF(AN493="","",SUM($AN$6:AN493)),"")</f>
        <v/>
      </c>
      <c r="BJ493" t="str">
        <f>IF($AX$3=TRUE,IF(AO493="","",SUM($AO$6:AO493)),"")</f>
        <v/>
      </c>
      <c r="BK493" t="str">
        <f>IF($AY$3=TRUE,IF(AP493="","",SUM($AP$6:AP493)),"")</f>
        <v/>
      </c>
      <c r="BL493" t="str">
        <f>IF($AZ$3=TRUE,IF(AQ493="","",SUM($AQ$6:AQ493)),"")</f>
        <v/>
      </c>
      <c r="BM493" t="str">
        <f>IF($BA$3=TRUE,IF(AR493="","",SUM($AR$6:AR493)),"")</f>
        <v/>
      </c>
      <c r="BN493" t="str">
        <f>IF($BB$3=TRUE,IF(AS493="","",SUM($AS$6:AS493)),"")</f>
        <v/>
      </c>
    </row>
    <row r="494" spans="34:66" x14ac:dyDescent="0.25">
      <c r="AH494" s="75"/>
      <c r="AK494" s="75"/>
      <c r="BF494" s="75" t="str">
        <f t="shared" si="17"/>
        <v/>
      </c>
      <c r="BG494" t="str">
        <f>IF($AU$3=TRUE,IF(AL494="","",SUM($AL$6:AL494)),"")</f>
        <v/>
      </c>
      <c r="BH494" t="str">
        <f>IF($AV$3=TRUE,IF(AM494="","",SUM($AM$6:AM494)),"")</f>
        <v/>
      </c>
      <c r="BI494" t="str">
        <f>IF($AW$3=TRUE,IF(AN494="","",SUM($AN$6:AN494)),"")</f>
        <v/>
      </c>
      <c r="BJ494" t="str">
        <f>IF($AX$3=TRUE,IF(AO494="","",SUM($AO$6:AO494)),"")</f>
        <v/>
      </c>
      <c r="BK494" t="str">
        <f>IF($AY$3=TRUE,IF(AP494="","",SUM($AP$6:AP494)),"")</f>
        <v/>
      </c>
      <c r="BL494" t="str">
        <f>IF($AZ$3=TRUE,IF(AQ494="","",SUM($AQ$6:AQ494)),"")</f>
        <v/>
      </c>
      <c r="BM494" t="str">
        <f>IF($BA$3=TRUE,IF(AR494="","",SUM($AR$6:AR494)),"")</f>
        <v/>
      </c>
      <c r="BN494" t="str">
        <f>IF($BB$3=TRUE,IF(AS494="","",SUM($AS$6:AS494)),"")</f>
        <v/>
      </c>
    </row>
    <row r="495" spans="34:66" x14ac:dyDescent="0.25">
      <c r="AH495" s="75"/>
      <c r="AK495" s="75"/>
      <c r="BF495" s="75" t="str">
        <f t="shared" si="17"/>
        <v/>
      </c>
      <c r="BG495" t="str">
        <f>IF($AU$3=TRUE,IF(AL495="","",SUM($AL$6:AL495)),"")</f>
        <v/>
      </c>
      <c r="BH495" t="str">
        <f>IF($AV$3=TRUE,IF(AM495="","",SUM($AM$6:AM495)),"")</f>
        <v/>
      </c>
      <c r="BI495" t="str">
        <f>IF($AW$3=TRUE,IF(AN495="","",SUM($AN$6:AN495)),"")</f>
        <v/>
      </c>
      <c r="BJ495" t="str">
        <f>IF($AX$3=TRUE,IF(AO495="","",SUM($AO$6:AO495)),"")</f>
        <v/>
      </c>
      <c r="BK495" t="str">
        <f>IF($AY$3=TRUE,IF(AP495="","",SUM($AP$6:AP495)),"")</f>
        <v/>
      </c>
      <c r="BL495" t="str">
        <f>IF($AZ$3=TRUE,IF(AQ495="","",SUM($AQ$6:AQ495)),"")</f>
        <v/>
      </c>
      <c r="BM495" t="str">
        <f>IF($BA$3=TRUE,IF(AR495="","",SUM($AR$6:AR495)),"")</f>
        <v/>
      </c>
      <c r="BN495" t="str">
        <f>IF($BB$3=TRUE,IF(AS495="","",SUM($AS$6:AS495)),"")</f>
        <v/>
      </c>
    </row>
    <row r="496" spans="34:66" x14ac:dyDescent="0.25">
      <c r="AH496" s="75"/>
      <c r="AK496" s="75"/>
      <c r="BF496" s="75" t="str">
        <f t="shared" si="17"/>
        <v/>
      </c>
      <c r="BG496" t="str">
        <f>IF($AU$3=TRUE,IF(AL496="","",SUM($AL$6:AL496)),"")</f>
        <v/>
      </c>
      <c r="BH496" t="str">
        <f>IF($AV$3=TRUE,IF(AM496="","",SUM($AM$6:AM496)),"")</f>
        <v/>
      </c>
      <c r="BI496" t="str">
        <f>IF($AW$3=TRUE,IF(AN496="","",SUM($AN$6:AN496)),"")</f>
        <v/>
      </c>
      <c r="BJ496" t="str">
        <f>IF($AX$3=TRUE,IF(AO496="","",SUM($AO$6:AO496)),"")</f>
        <v/>
      </c>
      <c r="BK496" t="str">
        <f>IF($AY$3=TRUE,IF(AP496="","",SUM($AP$6:AP496)),"")</f>
        <v/>
      </c>
      <c r="BL496" t="str">
        <f>IF($AZ$3=TRUE,IF(AQ496="","",SUM($AQ$6:AQ496)),"")</f>
        <v/>
      </c>
      <c r="BM496" t="str">
        <f>IF($BA$3=TRUE,IF(AR496="","",SUM($AR$6:AR496)),"")</f>
        <v/>
      </c>
      <c r="BN496" t="str">
        <f>IF($BB$3=TRUE,IF(AS496="","",SUM($AS$6:AS496)),"")</f>
        <v/>
      </c>
    </row>
    <row r="497" spans="34:66" x14ac:dyDescent="0.25">
      <c r="AH497" s="75"/>
      <c r="AK497" s="75"/>
      <c r="BF497" s="75" t="str">
        <f t="shared" si="17"/>
        <v/>
      </c>
      <c r="BG497" t="str">
        <f>IF($AU$3=TRUE,IF(AL497="","",SUM($AL$6:AL497)),"")</f>
        <v/>
      </c>
      <c r="BH497" t="str">
        <f>IF($AV$3=TRUE,IF(AM497="","",SUM($AM$6:AM497)),"")</f>
        <v/>
      </c>
      <c r="BI497" t="str">
        <f>IF($AW$3=TRUE,IF(AN497="","",SUM($AN$6:AN497)),"")</f>
        <v/>
      </c>
      <c r="BJ497" t="str">
        <f>IF($AX$3=TRUE,IF(AO497="","",SUM($AO$6:AO497)),"")</f>
        <v/>
      </c>
      <c r="BK497" t="str">
        <f>IF($AY$3=TRUE,IF(AP497="","",SUM($AP$6:AP497)),"")</f>
        <v/>
      </c>
      <c r="BL497" t="str">
        <f>IF($AZ$3=TRUE,IF(AQ497="","",SUM($AQ$6:AQ497)),"")</f>
        <v/>
      </c>
      <c r="BM497" t="str">
        <f>IF($BA$3=TRUE,IF(AR497="","",SUM($AR$6:AR497)),"")</f>
        <v/>
      </c>
      <c r="BN497" t="str">
        <f>IF($BB$3=TRUE,IF(AS497="","",SUM($AS$6:AS497)),"")</f>
        <v/>
      </c>
    </row>
    <row r="498" spans="34:66" x14ac:dyDescent="0.25">
      <c r="AH498" s="75"/>
      <c r="AK498" s="75"/>
      <c r="BF498" s="75" t="str">
        <f t="shared" si="17"/>
        <v/>
      </c>
      <c r="BG498" t="str">
        <f>IF($AU$3=TRUE,IF(AL498="","",SUM($AL$6:AL498)),"")</f>
        <v/>
      </c>
      <c r="BH498" t="str">
        <f>IF($AV$3=TRUE,IF(AM498="","",SUM($AM$6:AM498)),"")</f>
        <v/>
      </c>
      <c r="BI498" t="str">
        <f>IF($AW$3=TRUE,IF(AN498="","",SUM($AN$6:AN498)),"")</f>
        <v/>
      </c>
      <c r="BJ498" t="str">
        <f>IF($AX$3=TRUE,IF(AO498="","",SUM($AO$6:AO498)),"")</f>
        <v/>
      </c>
      <c r="BK498" t="str">
        <f>IF($AY$3=TRUE,IF(AP498="","",SUM($AP$6:AP498)),"")</f>
        <v/>
      </c>
      <c r="BL498" t="str">
        <f>IF($AZ$3=TRUE,IF(AQ498="","",SUM($AQ$6:AQ498)),"")</f>
        <v/>
      </c>
      <c r="BM498" t="str">
        <f>IF($BA$3=TRUE,IF(AR498="","",SUM($AR$6:AR498)),"")</f>
        <v/>
      </c>
      <c r="BN498" t="str">
        <f>IF($BB$3=TRUE,IF(AS498="","",SUM($AS$6:AS498)),"")</f>
        <v/>
      </c>
    </row>
    <row r="499" spans="34:66" x14ac:dyDescent="0.25">
      <c r="AH499" s="75"/>
      <c r="AK499" s="75"/>
      <c r="BF499" s="75" t="str">
        <f t="shared" si="17"/>
        <v/>
      </c>
      <c r="BG499" t="str">
        <f>IF($AU$3=TRUE,IF(AL499="","",SUM($AL$6:AL499)),"")</f>
        <v/>
      </c>
      <c r="BH499" t="str">
        <f>IF($AV$3=TRUE,IF(AM499="","",SUM($AM$6:AM499)),"")</f>
        <v/>
      </c>
      <c r="BI499" t="str">
        <f>IF($AW$3=TRUE,IF(AN499="","",SUM($AN$6:AN499)),"")</f>
        <v/>
      </c>
      <c r="BJ499" t="str">
        <f>IF($AX$3=TRUE,IF(AO499="","",SUM($AO$6:AO499)),"")</f>
        <v/>
      </c>
      <c r="BK499" t="str">
        <f>IF($AY$3=TRUE,IF(AP499="","",SUM($AP$6:AP499)),"")</f>
        <v/>
      </c>
      <c r="BL499" t="str">
        <f>IF($AZ$3=TRUE,IF(AQ499="","",SUM($AQ$6:AQ499)),"")</f>
        <v/>
      </c>
      <c r="BM499" t="str">
        <f>IF($BA$3=TRUE,IF(AR499="","",SUM($AR$6:AR499)),"")</f>
        <v/>
      </c>
      <c r="BN499" t="str">
        <f>IF($BB$3=TRUE,IF(AS499="","",SUM($AS$6:AS499)),"")</f>
        <v/>
      </c>
    </row>
    <row r="500" spans="34:66" x14ac:dyDescent="0.25">
      <c r="AH500" s="75"/>
      <c r="AK500" s="75"/>
      <c r="BF500" s="75" t="str">
        <f t="shared" si="17"/>
        <v/>
      </c>
      <c r="BG500" t="str">
        <f>IF($AU$3=TRUE,IF(AL500="","",SUM($AL$6:AL500)),"")</f>
        <v/>
      </c>
      <c r="BH500" t="str">
        <f>IF($AV$3=TRUE,IF(AM500="","",SUM($AM$6:AM500)),"")</f>
        <v/>
      </c>
      <c r="BI500" t="str">
        <f>IF($AW$3=TRUE,IF(AN500="","",SUM($AN$6:AN500)),"")</f>
        <v/>
      </c>
      <c r="BJ500" t="str">
        <f>IF($AX$3=TRUE,IF(AO500="","",SUM($AO$6:AO500)),"")</f>
        <v/>
      </c>
      <c r="BK500" t="str">
        <f>IF($AY$3=TRUE,IF(AP500="","",SUM($AP$6:AP500)),"")</f>
        <v/>
      </c>
      <c r="BL500" t="str">
        <f>IF($AZ$3=TRUE,IF(AQ500="","",SUM($AQ$6:AQ500)),"")</f>
        <v/>
      </c>
      <c r="BM500" t="str">
        <f>IF($BA$3=TRUE,IF(AR500="","",SUM($AR$6:AR500)),"")</f>
        <v/>
      </c>
      <c r="BN500" t="str">
        <f>IF($BB$3=TRUE,IF(AS500="","",SUM($AS$6:AS500)),"")</f>
        <v/>
      </c>
    </row>
    <row r="501" spans="34:66" x14ac:dyDescent="0.25">
      <c r="AH501" s="75"/>
      <c r="AK501" s="75"/>
      <c r="BF501" s="75" t="str">
        <f t="shared" si="17"/>
        <v/>
      </c>
      <c r="BG501" t="str">
        <f>IF($AU$3=TRUE,IF(AL501="","",SUM($AL$6:AL501)),"")</f>
        <v/>
      </c>
      <c r="BH501" t="str">
        <f>IF($AV$3=TRUE,IF(AM501="","",SUM($AM$6:AM501)),"")</f>
        <v/>
      </c>
      <c r="BI501" t="str">
        <f>IF($AW$3=TRUE,IF(AN501="","",SUM($AN$6:AN501)),"")</f>
        <v/>
      </c>
      <c r="BJ501" t="str">
        <f>IF($AX$3=TRUE,IF(AO501="","",SUM($AO$6:AO501)),"")</f>
        <v/>
      </c>
      <c r="BK501" t="str">
        <f>IF($AY$3=TRUE,IF(AP501="","",SUM($AP$6:AP501)),"")</f>
        <v/>
      </c>
      <c r="BL501" t="str">
        <f>IF($AZ$3=TRUE,IF(AQ501="","",SUM($AQ$6:AQ501)),"")</f>
        <v/>
      </c>
      <c r="BM501" t="str">
        <f>IF($BA$3=TRUE,IF(AR501="","",SUM($AR$6:AR501)),"")</f>
        <v/>
      </c>
      <c r="BN501" t="str">
        <f>IF($BB$3=TRUE,IF(AS501="","",SUM($AS$6:AS501)),"")</f>
        <v/>
      </c>
    </row>
    <row r="502" spans="34:66" x14ac:dyDescent="0.25">
      <c r="AH502" s="75"/>
      <c r="AK502" s="75"/>
      <c r="BF502" s="75" t="str">
        <f t="shared" si="17"/>
        <v/>
      </c>
      <c r="BG502" t="str">
        <f>IF($AU$3=TRUE,IF(AL502="","",SUM($AL$6:AL502)),"")</f>
        <v/>
      </c>
      <c r="BH502" t="str">
        <f>IF($AV$3=TRUE,IF(AM502="","",SUM($AM$6:AM502)),"")</f>
        <v/>
      </c>
      <c r="BI502" t="str">
        <f>IF($AW$3=TRUE,IF(AN502="","",SUM($AN$6:AN502)),"")</f>
        <v/>
      </c>
      <c r="BJ502" t="str">
        <f>IF($AX$3=TRUE,IF(AO502="","",SUM($AO$6:AO502)),"")</f>
        <v/>
      </c>
      <c r="BK502" t="str">
        <f>IF($AY$3=TRUE,IF(AP502="","",SUM($AP$6:AP502)),"")</f>
        <v/>
      </c>
      <c r="BL502" t="str">
        <f>IF($AZ$3=TRUE,IF(AQ502="","",SUM($AQ$6:AQ502)),"")</f>
        <v/>
      </c>
      <c r="BM502" t="str">
        <f>IF($BA$3=TRUE,IF(AR502="","",SUM($AR$6:AR502)),"")</f>
        <v/>
      </c>
      <c r="BN502" t="str">
        <f>IF($BB$3=TRUE,IF(AS502="","",SUM($AS$6:AS502)),"")</f>
        <v/>
      </c>
    </row>
    <row r="503" spans="34:66" x14ac:dyDescent="0.25">
      <c r="AH503" s="75"/>
      <c r="AK503" s="75"/>
      <c r="BF503" s="75" t="str">
        <f t="shared" si="17"/>
        <v/>
      </c>
      <c r="BG503" t="str">
        <f>IF($AU$3=TRUE,IF(AL503="","",SUM($AL$6:AL503)),"")</f>
        <v/>
      </c>
      <c r="BH503" t="str">
        <f>IF($AV$3=TRUE,IF(AM503="","",SUM($AM$6:AM503)),"")</f>
        <v/>
      </c>
      <c r="BI503" t="str">
        <f>IF($AW$3=TRUE,IF(AN503="","",SUM($AN$6:AN503)),"")</f>
        <v/>
      </c>
      <c r="BJ503" t="str">
        <f>IF($AX$3=TRUE,IF(AO503="","",SUM($AO$6:AO503)),"")</f>
        <v/>
      </c>
      <c r="BK503" t="str">
        <f>IF($AY$3=TRUE,IF(AP503="","",SUM($AP$6:AP503)),"")</f>
        <v/>
      </c>
      <c r="BL503" t="str">
        <f>IF($AZ$3=TRUE,IF(AQ503="","",SUM($AQ$6:AQ503)),"")</f>
        <v/>
      </c>
      <c r="BM503" t="str">
        <f>IF($BA$3=TRUE,IF(AR503="","",SUM($AR$6:AR503)),"")</f>
        <v/>
      </c>
      <c r="BN503" t="str">
        <f>IF($BB$3=TRUE,IF(AS503="","",SUM($AS$6:AS503)),"")</f>
        <v/>
      </c>
    </row>
    <row r="504" spans="34:66" x14ac:dyDescent="0.25">
      <c r="AH504" s="75"/>
      <c r="AK504" s="75"/>
      <c r="BF504" s="75" t="str">
        <f t="shared" si="17"/>
        <v/>
      </c>
      <c r="BG504" t="str">
        <f>IF($AU$3=TRUE,IF(AL504="","",SUM($AL$6:AL504)),"")</f>
        <v/>
      </c>
      <c r="BH504" t="str">
        <f>IF($AV$3=TRUE,IF(AM504="","",SUM($AM$6:AM504)),"")</f>
        <v/>
      </c>
      <c r="BI504" t="str">
        <f>IF($AW$3=TRUE,IF(AN504="","",SUM($AN$6:AN504)),"")</f>
        <v/>
      </c>
      <c r="BJ504" t="str">
        <f>IF($AX$3=TRUE,IF(AO504="","",SUM($AO$6:AO504)),"")</f>
        <v/>
      </c>
      <c r="BK504" t="str">
        <f>IF($AY$3=TRUE,IF(AP504="","",SUM($AP$6:AP504)),"")</f>
        <v/>
      </c>
      <c r="BL504" t="str">
        <f>IF($AZ$3=TRUE,IF(AQ504="","",SUM($AQ$6:AQ504)),"")</f>
        <v/>
      </c>
      <c r="BM504" t="str">
        <f>IF($BA$3=TRUE,IF(AR504="","",SUM($AR$6:AR504)),"")</f>
        <v/>
      </c>
      <c r="BN504" t="str">
        <f>IF($BB$3=TRUE,IF(AS504="","",SUM($AS$6:AS504)),"")</f>
        <v/>
      </c>
    </row>
    <row r="505" spans="34:66" x14ac:dyDescent="0.25">
      <c r="AH505" s="75"/>
      <c r="AK505" s="75"/>
      <c r="BF505" s="75" t="str">
        <f t="shared" si="17"/>
        <v/>
      </c>
      <c r="BG505" t="str">
        <f>IF($AU$3=TRUE,IF(AL505="","",SUM($AL$6:AL505)),"")</f>
        <v/>
      </c>
      <c r="BH505" t="str">
        <f>IF($AV$3=TRUE,IF(AM505="","",SUM($AM$6:AM505)),"")</f>
        <v/>
      </c>
      <c r="BI505" t="str">
        <f>IF($AW$3=TRUE,IF(AN505="","",SUM($AN$6:AN505)),"")</f>
        <v/>
      </c>
      <c r="BJ505" t="str">
        <f>IF($AX$3=TRUE,IF(AO505="","",SUM($AO$6:AO505)),"")</f>
        <v/>
      </c>
      <c r="BK505" t="str">
        <f>IF($AY$3=TRUE,IF(AP505="","",SUM($AP$6:AP505)),"")</f>
        <v/>
      </c>
      <c r="BL505" t="str">
        <f>IF($AZ$3=TRUE,IF(AQ505="","",SUM($AQ$6:AQ505)),"")</f>
        <v/>
      </c>
      <c r="BM505" t="str">
        <f>IF($BA$3=TRUE,IF(AR505="","",SUM($AR$6:AR505)),"")</f>
        <v/>
      </c>
      <c r="BN505" t="str">
        <f>IF($BB$3=TRUE,IF(AS505="","",SUM($AS$6:AS505)),"")</f>
        <v/>
      </c>
    </row>
    <row r="506" spans="34:66" x14ac:dyDescent="0.25">
      <c r="AH506" s="75"/>
      <c r="AK506" s="75"/>
      <c r="BF506" s="75" t="str">
        <f t="shared" si="17"/>
        <v/>
      </c>
      <c r="BG506" t="str">
        <f>IF($AU$3=TRUE,IF(AL506="","",SUM($AL$6:AL506)),"")</f>
        <v/>
      </c>
      <c r="BH506" t="str">
        <f>IF($AV$3=TRUE,IF(AM506="","",SUM($AM$6:AM506)),"")</f>
        <v/>
      </c>
      <c r="BI506" t="str">
        <f>IF($AW$3=TRUE,IF(AN506="","",SUM($AN$6:AN506)),"")</f>
        <v/>
      </c>
      <c r="BJ506" t="str">
        <f>IF($AX$3=TRUE,IF(AO506="","",SUM($AO$6:AO506)),"")</f>
        <v/>
      </c>
      <c r="BK506" t="str">
        <f>IF($AY$3=TRUE,IF(AP506="","",SUM($AP$6:AP506)),"")</f>
        <v/>
      </c>
      <c r="BL506" t="str">
        <f>IF($AZ$3=TRUE,IF(AQ506="","",SUM($AQ$6:AQ506)),"")</f>
        <v/>
      </c>
      <c r="BM506" t="str">
        <f>IF($BA$3=TRUE,IF(AR506="","",SUM($AR$6:AR506)),"")</f>
        <v/>
      </c>
      <c r="BN506" t="str">
        <f>IF($BB$3=TRUE,IF(AS506="","",SUM($AS$6:AS506)),"")</f>
        <v/>
      </c>
    </row>
    <row r="507" spans="34:66" x14ac:dyDescent="0.25">
      <c r="AH507" s="75"/>
      <c r="AK507" s="75"/>
      <c r="BF507" s="75" t="str">
        <f t="shared" si="17"/>
        <v/>
      </c>
      <c r="BG507" t="str">
        <f>IF($AU$3=TRUE,IF(AL507="","",SUM($AL$6:AL507)),"")</f>
        <v/>
      </c>
      <c r="BH507" t="str">
        <f>IF($AV$3=TRUE,IF(AM507="","",SUM($AM$6:AM507)),"")</f>
        <v/>
      </c>
      <c r="BI507" t="str">
        <f>IF($AW$3=TRUE,IF(AN507="","",SUM($AN$6:AN507)),"")</f>
        <v/>
      </c>
      <c r="BJ507" t="str">
        <f>IF($AX$3=TRUE,IF(AO507="","",SUM($AO$6:AO507)),"")</f>
        <v/>
      </c>
      <c r="BK507" t="str">
        <f>IF($AY$3=TRUE,IF(AP507="","",SUM($AP$6:AP507)),"")</f>
        <v/>
      </c>
      <c r="BL507" t="str">
        <f>IF($AZ$3=TRUE,IF(AQ507="","",SUM($AQ$6:AQ507)),"")</f>
        <v/>
      </c>
      <c r="BM507" t="str">
        <f>IF($BA$3=TRUE,IF(AR507="","",SUM($AR$6:AR507)),"")</f>
        <v/>
      </c>
      <c r="BN507" t="str">
        <f>IF($BB$3=TRUE,IF(AS507="","",SUM($AS$6:AS507)),"")</f>
        <v/>
      </c>
    </row>
    <row r="508" spans="34:66" x14ac:dyDescent="0.25">
      <c r="AH508" s="75"/>
      <c r="AK508" s="75"/>
      <c r="BF508" s="75" t="str">
        <f t="shared" si="17"/>
        <v/>
      </c>
      <c r="BG508" t="str">
        <f>IF($AU$3=TRUE,IF(AL508="","",SUM($AL$6:AL508)),"")</f>
        <v/>
      </c>
      <c r="BH508" t="str">
        <f>IF($AV$3=TRUE,IF(AM508="","",SUM($AM$6:AM508)),"")</f>
        <v/>
      </c>
      <c r="BI508" t="str">
        <f>IF($AW$3=TRUE,IF(AN508="","",SUM($AN$6:AN508)),"")</f>
        <v/>
      </c>
      <c r="BJ508" t="str">
        <f>IF($AX$3=TRUE,IF(AO508="","",SUM($AO$6:AO508)),"")</f>
        <v/>
      </c>
      <c r="BK508" t="str">
        <f>IF($AY$3=TRUE,IF(AP508="","",SUM($AP$6:AP508)),"")</f>
        <v/>
      </c>
      <c r="BL508" t="str">
        <f>IF($AZ$3=TRUE,IF(AQ508="","",SUM($AQ$6:AQ508)),"")</f>
        <v/>
      </c>
      <c r="BM508" t="str">
        <f>IF($BA$3=TRUE,IF(AR508="","",SUM($AR$6:AR508)),"")</f>
        <v/>
      </c>
      <c r="BN508" t="str">
        <f>IF($BB$3=TRUE,IF(AS508="","",SUM($AS$6:AS508)),"")</f>
        <v/>
      </c>
    </row>
    <row r="509" spans="34:66" x14ac:dyDescent="0.25">
      <c r="AH509" s="75"/>
      <c r="AK509" s="75"/>
      <c r="BF509" s="75" t="str">
        <f t="shared" si="17"/>
        <v/>
      </c>
      <c r="BG509" t="str">
        <f>IF($AU$3=TRUE,IF(AL509="","",SUM($AL$6:AL509)),"")</f>
        <v/>
      </c>
      <c r="BH509" t="str">
        <f>IF($AV$3=TRUE,IF(AM509="","",SUM($AM$6:AM509)),"")</f>
        <v/>
      </c>
      <c r="BI509" t="str">
        <f>IF($AW$3=TRUE,IF(AN509="","",SUM($AN$6:AN509)),"")</f>
        <v/>
      </c>
      <c r="BJ509" t="str">
        <f>IF($AX$3=TRUE,IF(AO509="","",SUM($AO$6:AO509)),"")</f>
        <v/>
      </c>
      <c r="BK509" t="str">
        <f>IF($AY$3=TRUE,IF(AP509="","",SUM($AP$6:AP509)),"")</f>
        <v/>
      </c>
      <c r="BL509" t="str">
        <f>IF($AZ$3=TRUE,IF(AQ509="","",SUM($AQ$6:AQ509)),"")</f>
        <v/>
      </c>
      <c r="BM509" t="str">
        <f>IF($BA$3=TRUE,IF(AR509="","",SUM($AR$6:AR509)),"")</f>
        <v/>
      </c>
      <c r="BN509" t="str">
        <f>IF($BB$3=TRUE,IF(AS509="","",SUM($AS$6:AS509)),"")</f>
        <v/>
      </c>
    </row>
    <row r="510" spans="34:66" x14ac:dyDescent="0.25">
      <c r="AH510" s="75"/>
      <c r="AK510" s="75"/>
      <c r="BF510" s="75" t="str">
        <f t="shared" si="17"/>
        <v/>
      </c>
      <c r="BG510" t="str">
        <f>IF($AU$3=TRUE,IF(AL510="","",SUM($AL$6:AL510)),"")</f>
        <v/>
      </c>
      <c r="BH510" t="str">
        <f>IF($AV$3=TRUE,IF(AM510="","",SUM($AM$6:AM510)),"")</f>
        <v/>
      </c>
      <c r="BI510" t="str">
        <f>IF($AW$3=TRUE,IF(AN510="","",SUM($AN$6:AN510)),"")</f>
        <v/>
      </c>
      <c r="BJ510" t="str">
        <f>IF($AX$3=TRUE,IF(AO510="","",SUM($AO$6:AO510)),"")</f>
        <v/>
      </c>
      <c r="BK510" t="str">
        <f>IF($AY$3=TRUE,IF(AP510="","",SUM($AP$6:AP510)),"")</f>
        <v/>
      </c>
      <c r="BL510" t="str">
        <f>IF($AZ$3=TRUE,IF(AQ510="","",SUM($AQ$6:AQ510)),"")</f>
        <v/>
      </c>
      <c r="BM510" t="str">
        <f>IF($BA$3=TRUE,IF(AR510="","",SUM($AR$6:AR510)),"")</f>
        <v/>
      </c>
      <c r="BN510" t="str">
        <f>IF($BB$3=TRUE,IF(AS510="","",SUM($AS$6:AS510)),"")</f>
        <v/>
      </c>
    </row>
    <row r="511" spans="34:66" x14ac:dyDescent="0.25">
      <c r="AH511" s="75"/>
      <c r="AK511" s="75"/>
      <c r="BF511" s="75" t="str">
        <f t="shared" si="17"/>
        <v/>
      </c>
      <c r="BG511" t="str">
        <f>IF($AU$3=TRUE,IF(AL511="","",SUM($AL$6:AL511)),"")</f>
        <v/>
      </c>
      <c r="BH511" t="str">
        <f>IF($AV$3=TRUE,IF(AM511="","",SUM($AM$6:AM511)),"")</f>
        <v/>
      </c>
      <c r="BI511" t="str">
        <f>IF($AW$3=TRUE,IF(AN511="","",SUM($AN$6:AN511)),"")</f>
        <v/>
      </c>
      <c r="BJ511" t="str">
        <f>IF($AX$3=TRUE,IF(AO511="","",SUM($AO$6:AO511)),"")</f>
        <v/>
      </c>
      <c r="BK511" t="str">
        <f>IF($AY$3=TRUE,IF(AP511="","",SUM($AP$6:AP511)),"")</f>
        <v/>
      </c>
      <c r="BL511" t="str">
        <f>IF($AZ$3=TRUE,IF(AQ511="","",SUM($AQ$6:AQ511)),"")</f>
        <v/>
      </c>
      <c r="BM511" t="str">
        <f>IF($BA$3=TRUE,IF(AR511="","",SUM($AR$6:AR511)),"")</f>
        <v/>
      </c>
      <c r="BN511" t="str">
        <f>IF($BB$3=TRUE,IF(AS511="","",SUM($AS$6:AS511)),"")</f>
        <v/>
      </c>
    </row>
    <row r="512" spans="34:66" x14ac:dyDescent="0.25">
      <c r="AH512" s="75"/>
      <c r="AK512" s="75"/>
      <c r="BF512" s="75" t="str">
        <f t="shared" si="17"/>
        <v/>
      </c>
      <c r="BG512" t="str">
        <f>IF($AU$3=TRUE,IF(AL512="","",SUM($AL$6:AL512)),"")</f>
        <v/>
      </c>
      <c r="BH512" t="str">
        <f>IF($AV$3=TRUE,IF(AM512="","",SUM($AM$6:AM512)),"")</f>
        <v/>
      </c>
      <c r="BI512" t="str">
        <f>IF($AW$3=TRUE,IF(AN512="","",SUM($AN$6:AN512)),"")</f>
        <v/>
      </c>
      <c r="BJ512" t="str">
        <f>IF($AX$3=TRUE,IF(AO512="","",SUM($AO$6:AO512)),"")</f>
        <v/>
      </c>
      <c r="BK512" t="str">
        <f>IF($AY$3=TRUE,IF(AP512="","",SUM($AP$6:AP512)),"")</f>
        <v/>
      </c>
      <c r="BL512" t="str">
        <f>IF($AZ$3=TRUE,IF(AQ512="","",SUM($AQ$6:AQ512)),"")</f>
        <v/>
      </c>
      <c r="BM512" t="str">
        <f>IF($BA$3=TRUE,IF(AR512="","",SUM($AR$6:AR512)),"")</f>
        <v/>
      </c>
      <c r="BN512" t="str">
        <f>IF($BB$3=TRUE,IF(AS512="","",SUM($AS$6:AS512)),"")</f>
        <v/>
      </c>
    </row>
    <row r="513" spans="34:66" x14ac:dyDescent="0.25">
      <c r="AH513" s="75"/>
      <c r="AK513" s="75"/>
      <c r="BF513" s="75" t="str">
        <f t="shared" si="17"/>
        <v/>
      </c>
      <c r="BG513" t="str">
        <f>IF($AU$3=TRUE,IF(AL513="","",SUM($AL$6:AL513)),"")</f>
        <v/>
      </c>
      <c r="BH513" t="str">
        <f>IF($AV$3=TRUE,IF(AM513="","",SUM($AM$6:AM513)),"")</f>
        <v/>
      </c>
      <c r="BI513" t="str">
        <f>IF($AW$3=TRUE,IF(AN513="","",SUM($AN$6:AN513)),"")</f>
        <v/>
      </c>
      <c r="BJ513" t="str">
        <f>IF($AX$3=TRUE,IF(AO513="","",SUM($AO$6:AO513)),"")</f>
        <v/>
      </c>
      <c r="BK513" t="str">
        <f>IF($AY$3=TRUE,IF(AP513="","",SUM($AP$6:AP513)),"")</f>
        <v/>
      </c>
      <c r="BL513" t="str">
        <f>IF($AZ$3=TRUE,IF(AQ513="","",SUM($AQ$6:AQ513)),"")</f>
        <v/>
      </c>
      <c r="BM513" t="str">
        <f>IF($BA$3=TRUE,IF(AR513="","",SUM($AR$6:AR513)),"")</f>
        <v/>
      </c>
      <c r="BN513" t="str">
        <f>IF($BB$3=TRUE,IF(AS513="","",SUM($AS$6:AS513)),"")</f>
        <v/>
      </c>
    </row>
    <row r="514" spans="34:66" x14ac:dyDescent="0.25">
      <c r="AH514" s="75"/>
      <c r="AK514" s="75"/>
      <c r="BF514" s="75" t="str">
        <f t="shared" si="17"/>
        <v/>
      </c>
      <c r="BG514" t="str">
        <f>IF($AU$3=TRUE,IF(AL514="","",SUM($AL$6:AL514)),"")</f>
        <v/>
      </c>
      <c r="BH514" t="str">
        <f>IF($AV$3=TRUE,IF(AM514="","",SUM($AM$6:AM514)),"")</f>
        <v/>
      </c>
      <c r="BI514" t="str">
        <f>IF($AW$3=TRUE,IF(AN514="","",SUM($AN$6:AN514)),"")</f>
        <v/>
      </c>
      <c r="BJ514" t="str">
        <f>IF($AX$3=TRUE,IF(AO514="","",SUM($AO$6:AO514)),"")</f>
        <v/>
      </c>
      <c r="BK514" t="str">
        <f>IF($AY$3=TRUE,IF(AP514="","",SUM($AP$6:AP514)),"")</f>
        <v/>
      </c>
      <c r="BL514" t="str">
        <f>IF($AZ$3=TRUE,IF(AQ514="","",SUM($AQ$6:AQ514)),"")</f>
        <v/>
      </c>
      <c r="BM514" t="str">
        <f>IF($BA$3=TRUE,IF(AR514="","",SUM($AR$6:AR514)),"")</f>
        <v/>
      </c>
      <c r="BN514" t="str">
        <f>IF($BB$3=TRUE,IF(AS514="","",SUM($AS$6:AS514)),"")</f>
        <v/>
      </c>
    </row>
    <row r="515" spans="34:66" x14ac:dyDescent="0.25">
      <c r="AH515" s="75"/>
      <c r="AK515" s="75"/>
      <c r="BF515" s="75" t="str">
        <f t="shared" si="17"/>
        <v/>
      </c>
      <c r="BG515" t="str">
        <f>IF($AU$3=TRUE,IF(AL515="","",SUM($AL$6:AL515)),"")</f>
        <v/>
      </c>
      <c r="BH515" t="str">
        <f>IF($AV$3=TRUE,IF(AM515="","",SUM($AM$6:AM515)),"")</f>
        <v/>
      </c>
      <c r="BI515" t="str">
        <f>IF($AW$3=TRUE,IF(AN515="","",SUM($AN$6:AN515)),"")</f>
        <v/>
      </c>
      <c r="BJ515" t="str">
        <f>IF($AX$3=TRUE,IF(AO515="","",SUM($AO$6:AO515)),"")</f>
        <v/>
      </c>
      <c r="BK515" t="str">
        <f>IF($AY$3=TRUE,IF(AP515="","",SUM($AP$6:AP515)),"")</f>
        <v/>
      </c>
      <c r="BL515" t="str">
        <f>IF($AZ$3=TRUE,IF(AQ515="","",SUM($AQ$6:AQ515)),"")</f>
        <v/>
      </c>
      <c r="BM515" t="str">
        <f>IF($BA$3=TRUE,IF(AR515="","",SUM($AR$6:AR515)),"")</f>
        <v/>
      </c>
      <c r="BN515" t="str">
        <f>IF($BB$3=TRUE,IF(AS515="","",SUM($AS$6:AS515)),"")</f>
        <v/>
      </c>
    </row>
    <row r="516" spans="34:66" x14ac:dyDescent="0.25">
      <c r="AH516" s="75"/>
      <c r="AK516" s="75"/>
      <c r="BF516" s="75" t="str">
        <f t="shared" si="17"/>
        <v/>
      </c>
      <c r="BG516" t="str">
        <f>IF($AU$3=TRUE,IF(AL516="","",SUM($AL$6:AL516)),"")</f>
        <v/>
      </c>
      <c r="BH516" t="str">
        <f>IF($AV$3=TRUE,IF(AM516="","",SUM($AM$6:AM516)),"")</f>
        <v/>
      </c>
      <c r="BI516" t="str">
        <f>IF($AW$3=TRUE,IF(AN516="","",SUM($AN$6:AN516)),"")</f>
        <v/>
      </c>
      <c r="BJ516" t="str">
        <f>IF($AX$3=TRUE,IF(AO516="","",SUM($AO$6:AO516)),"")</f>
        <v/>
      </c>
      <c r="BK516" t="str">
        <f>IF($AY$3=TRUE,IF(AP516="","",SUM($AP$6:AP516)),"")</f>
        <v/>
      </c>
      <c r="BL516" t="str">
        <f>IF($AZ$3=TRUE,IF(AQ516="","",SUM($AQ$6:AQ516)),"")</f>
        <v/>
      </c>
      <c r="BM516" t="str">
        <f>IF($BA$3=TRUE,IF(AR516="","",SUM($AR$6:AR516)),"")</f>
        <v/>
      </c>
      <c r="BN516" t="str">
        <f>IF($BB$3=TRUE,IF(AS516="","",SUM($AS$6:AS516)),"")</f>
        <v/>
      </c>
    </row>
    <row r="517" spans="34:66" x14ac:dyDescent="0.25">
      <c r="AH517" s="75"/>
      <c r="AK517" s="75"/>
      <c r="BF517" s="75" t="str">
        <f t="shared" si="17"/>
        <v/>
      </c>
      <c r="BG517" t="str">
        <f>IF($AU$3=TRUE,IF(AL517="","",SUM($AL$6:AL517)),"")</f>
        <v/>
      </c>
      <c r="BH517" t="str">
        <f>IF($AV$3=TRUE,IF(AM517="","",SUM($AM$6:AM517)),"")</f>
        <v/>
      </c>
      <c r="BI517" t="str">
        <f>IF($AW$3=TRUE,IF(AN517="","",SUM($AN$6:AN517)),"")</f>
        <v/>
      </c>
      <c r="BJ517" t="str">
        <f>IF($AX$3=TRUE,IF(AO517="","",SUM($AO$6:AO517)),"")</f>
        <v/>
      </c>
      <c r="BK517" t="str">
        <f>IF($AY$3=TRUE,IF(AP517="","",SUM($AP$6:AP517)),"")</f>
        <v/>
      </c>
      <c r="BL517" t="str">
        <f>IF($AZ$3=TRUE,IF(AQ517="","",SUM($AQ$6:AQ517)),"")</f>
        <v/>
      </c>
      <c r="BM517" t="str">
        <f>IF($BA$3=TRUE,IF(AR517="","",SUM($AR$6:AR517)),"")</f>
        <v/>
      </c>
      <c r="BN517" t="str">
        <f>IF($BB$3=TRUE,IF(AS517="","",SUM($AS$6:AS517)),"")</f>
        <v/>
      </c>
    </row>
    <row r="518" spans="34:66" x14ac:dyDescent="0.25">
      <c r="AH518" s="75"/>
      <c r="AK518" s="75"/>
      <c r="BF518" s="75" t="str">
        <f t="shared" si="17"/>
        <v/>
      </c>
      <c r="BG518" t="str">
        <f>IF($AU$3=TRUE,IF(AL518="","",SUM($AL$6:AL518)),"")</f>
        <v/>
      </c>
      <c r="BH518" t="str">
        <f>IF($AV$3=TRUE,IF(AM518="","",SUM($AM$6:AM518)),"")</f>
        <v/>
      </c>
      <c r="BI518" t="str">
        <f>IF($AW$3=TRUE,IF(AN518="","",SUM($AN$6:AN518)),"")</f>
        <v/>
      </c>
      <c r="BJ518" t="str">
        <f>IF($AX$3=TRUE,IF(AO518="","",SUM($AO$6:AO518)),"")</f>
        <v/>
      </c>
      <c r="BK518" t="str">
        <f>IF($AY$3=TRUE,IF(AP518="","",SUM($AP$6:AP518)),"")</f>
        <v/>
      </c>
      <c r="BL518" t="str">
        <f>IF($AZ$3=TRUE,IF(AQ518="","",SUM($AQ$6:AQ518)),"")</f>
        <v/>
      </c>
      <c r="BM518" t="str">
        <f>IF($BA$3=TRUE,IF(AR518="","",SUM($AR$6:AR518)),"")</f>
        <v/>
      </c>
      <c r="BN518" t="str">
        <f>IF($BB$3=TRUE,IF(AS518="","",SUM($AS$6:AS518)),"")</f>
        <v/>
      </c>
    </row>
    <row r="519" spans="34:66" x14ac:dyDescent="0.25">
      <c r="AH519" s="75"/>
      <c r="AK519" s="75"/>
      <c r="BF519" s="75" t="str">
        <f t="shared" ref="BF519:BF582" si="18">IF(AK519="","",AK519)</f>
        <v/>
      </c>
      <c r="BG519" t="str">
        <f>IF($AU$3=TRUE,IF(AL519="","",SUM($AL$6:AL519)),"")</f>
        <v/>
      </c>
      <c r="BH519" t="str">
        <f>IF($AV$3=TRUE,IF(AM519="","",SUM($AM$6:AM519)),"")</f>
        <v/>
      </c>
      <c r="BI519" t="str">
        <f>IF($AW$3=TRUE,IF(AN519="","",SUM($AN$6:AN519)),"")</f>
        <v/>
      </c>
      <c r="BJ519" t="str">
        <f>IF($AX$3=TRUE,IF(AO519="","",SUM($AO$6:AO519)),"")</f>
        <v/>
      </c>
      <c r="BK519" t="str">
        <f>IF($AY$3=TRUE,IF(AP519="","",SUM($AP$6:AP519)),"")</f>
        <v/>
      </c>
      <c r="BL519" t="str">
        <f>IF($AZ$3=TRUE,IF(AQ519="","",SUM($AQ$6:AQ519)),"")</f>
        <v/>
      </c>
      <c r="BM519" t="str">
        <f>IF($BA$3=TRUE,IF(AR519="","",SUM($AR$6:AR519)),"")</f>
        <v/>
      </c>
      <c r="BN519" t="str">
        <f>IF($BB$3=TRUE,IF(AS519="","",SUM($AS$6:AS519)),"")</f>
        <v/>
      </c>
    </row>
    <row r="520" spans="34:66" x14ac:dyDescent="0.25">
      <c r="AH520" s="75"/>
      <c r="AK520" s="75"/>
      <c r="BF520" s="75" t="str">
        <f t="shared" si="18"/>
        <v/>
      </c>
      <c r="BG520" t="str">
        <f>IF($AU$3=TRUE,IF(AL520="","",SUM($AL$6:AL520)),"")</f>
        <v/>
      </c>
      <c r="BH520" t="str">
        <f>IF($AV$3=TRUE,IF(AM520="","",SUM($AM$6:AM520)),"")</f>
        <v/>
      </c>
      <c r="BI520" t="str">
        <f>IF($AW$3=TRUE,IF(AN520="","",SUM($AN$6:AN520)),"")</f>
        <v/>
      </c>
      <c r="BJ520" t="str">
        <f>IF($AX$3=TRUE,IF(AO520="","",SUM($AO$6:AO520)),"")</f>
        <v/>
      </c>
      <c r="BK520" t="str">
        <f>IF($AY$3=TRUE,IF(AP520="","",SUM($AP$6:AP520)),"")</f>
        <v/>
      </c>
      <c r="BL520" t="str">
        <f>IF($AZ$3=TRUE,IF(AQ520="","",SUM($AQ$6:AQ520)),"")</f>
        <v/>
      </c>
      <c r="BM520" t="str">
        <f>IF($BA$3=TRUE,IF(AR520="","",SUM($AR$6:AR520)),"")</f>
        <v/>
      </c>
      <c r="BN520" t="str">
        <f>IF($BB$3=TRUE,IF(AS520="","",SUM($AS$6:AS520)),"")</f>
        <v/>
      </c>
    </row>
    <row r="521" spans="34:66" x14ac:dyDescent="0.25">
      <c r="AH521" s="75"/>
      <c r="AK521" s="75"/>
      <c r="BF521" s="75" t="str">
        <f t="shared" si="18"/>
        <v/>
      </c>
      <c r="BG521" t="str">
        <f>IF($AU$3=TRUE,IF(AL521="","",SUM($AL$6:AL521)),"")</f>
        <v/>
      </c>
      <c r="BH521" t="str">
        <f>IF($AV$3=TRUE,IF(AM521="","",SUM($AM$6:AM521)),"")</f>
        <v/>
      </c>
      <c r="BI521" t="str">
        <f>IF($AW$3=TRUE,IF(AN521="","",SUM($AN$6:AN521)),"")</f>
        <v/>
      </c>
      <c r="BJ521" t="str">
        <f>IF($AX$3=TRUE,IF(AO521="","",SUM($AO$6:AO521)),"")</f>
        <v/>
      </c>
      <c r="BK521" t="str">
        <f>IF($AY$3=TRUE,IF(AP521="","",SUM($AP$6:AP521)),"")</f>
        <v/>
      </c>
      <c r="BL521" t="str">
        <f>IF($AZ$3=TRUE,IF(AQ521="","",SUM($AQ$6:AQ521)),"")</f>
        <v/>
      </c>
      <c r="BM521" t="str">
        <f>IF($BA$3=TRUE,IF(AR521="","",SUM($AR$6:AR521)),"")</f>
        <v/>
      </c>
      <c r="BN521" t="str">
        <f>IF($BB$3=TRUE,IF(AS521="","",SUM($AS$6:AS521)),"")</f>
        <v/>
      </c>
    </row>
    <row r="522" spans="34:66" x14ac:dyDescent="0.25">
      <c r="AH522" s="75"/>
      <c r="AK522" s="75"/>
      <c r="BF522" s="75" t="str">
        <f t="shared" si="18"/>
        <v/>
      </c>
      <c r="BG522" t="str">
        <f>IF($AU$3=TRUE,IF(AL522="","",SUM($AL$6:AL522)),"")</f>
        <v/>
      </c>
      <c r="BH522" t="str">
        <f>IF($AV$3=TRUE,IF(AM522="","",SUM($AM$6:AM522)),"")</f>
        <v/>
      </c>
      <c r="BI522" t="str">
        <f>IF($AW$3=TRUE,IF(AN522="","",SUM($AN$6:AN522)),"")</f>
        <v/>
      </c>
      <c r="BJ522" t="str">
        <f>IF($AX$3=TRUE,IF(AO522="","",SUM($AO$6:AO522)),"")</f>
        <v/>
      </c>
      <c r="BK522" t="str">
        <f>IF($AY$3=TRUE,IF(AP522="","",SUM($AP$6:AP522)),"")</f>
        <v/>
      </c>
      <c r="BL522" t="str">
        <f>IF($AZ$3=TRUE,IF(AQ522="","",SUM($AQ$6:AQ522)),"")</f>
        <v/>
      </c>
      <c r="BM522" t="str">
        <f>IF($BA$3=TRUE,IF(AR522="","",SUM($AR$6:AR522)),"")</f>
        <v/>
      </c>
      <c r="BN522" t="str">
        <f>IF($BB$3=TRUE,IF(AS522="","",SUM($AS$6:AS522)),"")</f>
        <v/>
      </c>
    </row>
    <row r="523" spans="34:66" x14ac:dyDescent="0.25">
      <c r="AH523" s="75"/>
      <c r="AK523" s="75"/>
      <c r="BF523" s="75" t="str">
        <f t="shared" si="18"/>
        <v/>
      </c>
      <c r="BG523" t="str">
        <f>IF($AU$3=TRUE,IF(AL523="","",SUM($AL$6:AL523)),"")</f>
        <v/>
      </c>
      <c r="BH523" t="str">
        <f>IF($AV$3=TRUE,IF(AM523="","",SUM($AM$6:AM523)),"")</f>
        <v/>
      </c>
      <c r="BI523" t="str">
        <f>IF($AW$3=TRUE,IF(AN523="","",SUM($AN$6:AN523)),"")</f>
        <v/>
      </c>
      <c r="BJ523" t="str">
        <f>IF($AX$3=TRUE,IF(AO523="","",SUM($AO$6:AO523)),"")</f>
        <v/>
      </c>
      <c r="BK523" t="str">
        <f>IF($AY$3=TRUE,IF(AP523="","",SUM($AP$6:AP523)),"")</f>
        <v/>
      </c>
      <c r="BL523" t="str">
        <f>IF($AZ$3=TRUE,IF(AQ523="","",SUM($AQ$6:AQ523)),"")</f>
        <v/>
      </c>
      <c r="BM523" t="str">
        <f>IF($BA$3=TRUE,IF(AR523="","",SUM($AR$6:AR523)),"")</f>
        <v/>
      </c>
      <c r="BN523" t="str">
        <f>IF($BB$3=TRUE,IF(AS523="","",SUM($AS$6:AS523)),"")</f>
        <v/>
      </c>
    </row>
    <row r="524" spans="34:66" x14ac:dyDescent="0.25">
      <c r="AH524" s="75"/>
      <c r="AK524" s="75"/>
      <c r="BF524" s="75" t="str">
        <f t="shared" si="18"/>
        <v/>
      </c>
      <c r="BG524" t="str">
        <f>IF($AU$3=TRUE,IF(AL524="","",SUM($AL$6:AL524)),"")</f>
        <v/>
      </c>
      <c r="BH524" t="str">
        <f>IF($AV$3=TRUE,IF(AM524="","",SUM($AM$6:AM524)),"")</f>
        <v/>
      </c>
      <c r="BI524" t="str">
        <f>IF($AW$3=TRUE,IF(AN524="","",SUM($AN$6:AN524)),"")</f>
        <v/>
      </c>
      <c r="BJ524" t="str">
        <f>IF($AX$3=TRUE,IF(AO524="","",SUM($AO$6:AO524)),"")</f>
        <v/>
      </c>
      <c r="BK524" t="str">
        <f>IF($AY$3=TRUE,IF(AP524="","",SUM($AP$6:AP524)),"")</f>
        <v/>
      </c>
      <c r="BL524" t="str">
        <f>IF($AZ$3=TRUE,IF(AQ524="","",SUM($AQ$6:AQ524)),"")</f>
        <v/>
      </c>
      <c r="BM524" t="str">
        <f>IF($BA$3=TRUE,IF(AR524="","",SUM($AR$6:AR524)),"")</f>
        <v/>
      </c>
      <c r="BN524" t="str">
        <f>IF($BB$3=TRUE,IF(AS524="","",SUM($AS$6:AS524)),"")</f>
        <v/>
      </c>
    </row>
    <row r="525" spans="34:66" x14ac:dyDescent="0.25">
      <c r="AH525" s="75"/>
      <c r="AK525" s="75"/>
      <c r="BF525" s="75" t="str">
        <f t="shared" si="18"/>
        <v/>
      </c>
      <c r="BG525" t="str">
        <f>IF($AU$3=TRUE,IF(AL525="","",SUM($AL$6:AL525)),"")</f>
        <v/>
      </c>
      <c r="BH525" t="str">
        <f>IF($AV$3=TRUE,IF(AM525="","",SUM($AM$6:AM525)),"")</f>
        <v/>
      </c>
      <c r="BI525" t="str">
        <f>IF($AW$3=TRUE,IF(AN525="","",SUM($AN$6:AN525)),"")</f>
        <v/>
      </c>
      <c r="BJ525" t="str">
        <f>IF($AX$3=TRUE,IF(AO525="","",SUM($AO$6:AO525)),"")</f>
        <v/>
      </c>
      <c r="BK525" t="str">
        <f>IF($AY$3=TRUE,IF(AP525="","",SUM($AP$6:AP525)),"")</f>
        <v/>
      </c>
      <c r="BL525" t="str">
        <f>IF($AZ$3=TRUE,IF(AQ525="","",SUM($AQ$6:AQ525)),"")</f>
        <v/>
      </c>
      <c r="BM525" t="str">
        <f>IF($BA$3=TRUE,IF(AR525="","",SUM($AR$6:AR525)),"")</f>
        <v/>
      </c>
      <c r="BN525" t="str">
        <f>IF($BB$3=TRUE,IF(AS525="","",SUM($AS$6:AS525)),"")</f>
        <v/>
      </c>
    </row>
    <row r="526" spans="34:66" x14ac:dyDescent="0.25">
      <c r="AH526" s="75"/>
      <c r="AK526" s="75"/>
      <c r="BF526" s="75" t="str">
        <f t="shared" si="18"/>
        <v/>
      </c>
      <c r="BG526" t="str">
        <f>IF($AU$3=TRUE,IF(AL526="","",SUM($AL$6:AL526)),"")</f>
        <v/>
      </c>
      <c r="BH526" t="str">
        <f>IF($AV$3=TRUE,IF(AM526="","",SUM($AM$6:AM526)),"")</f>
        <v/>
      </c>
      <c r="BI526" t="str">
        <f>IF($AW$3=TRUE,IF(AN526="","",SUM($AN$6:AN526)),"")</f>
        <v/>
      </c>
      <c r="BJ526" t="str">
        <f>IF($AX$3=TRUE,IF(AO526="","",SUM($AO$6:AO526)),"")</f>
        <v/>
      </c>
      <c r="BK526" t="str">
        <f>IF($AY$3=TRUE,IF(AP526="","",SUM($AP$6:AP526)),"")</f>
        <v/>
      </c>
      <c r="BL526" t="str">
        <f>IF($AZ$3=TRUE,IF(AQ526="","",SUM($AQ$6:AQ526)),"")</f>
        <v/>
      </c>
      <c r="BM526" t="str">
        <f>IF($BA$3=TRUE,IF(AR526="","",SUM($AR$6:AR526)),"")</f>
        <v/>
      </c>
      <c r="BN526" t="str">
        <f>IF($BB$3=TRUE,IF(AS526="","",SUM($AS$6:AS526)),"")</f>
        <v/>
      </c>
    </row>
    <row r="527" spans="34:66" x14ac:dyDescent="0.25">
      <c r="AH527" s="75"/>
      <c r="AK527" s="75"/>
      <c r="BF527" s="75" t="str">
        <f t="shared" si="18"/>
        <v/>
      </c>
      <c r="BG527" t="str">
        <f>IF($AU$3=TRUE,IF(AL527="","",SUM($AL$6:AL527)),"")</f>
        <v/>
      </c>
      <c r="BH527" t="str">
        <f>IF($AV$3=TRUE,IF(AM527="","",SUM($AM$6:AM527)),"")</f>
        <v/>
      </c>
      <c r="BI527" t="str">
        <f>IF($AW$3=TRUE,IF(AN527="","",SUM($AN$6:AN527)),"")</f>
        <v/>
      </c>
      <c r="BJ527" t="str">
        <f>IF($AX$3=TRUE,IF(AO527="","",SUM($AO$6:AO527)),"")</f>
        <v/>
      </c>
      <c r="BK527" t="str">
        <f>IF($AY$3=TRUE,IF(AP527="","",SUM($AP$6:AP527)),"")</f>
        <v/>
      </c>
      <c r="BL527" t="str">
        <f>IF($AZ$3=TRUE,IF(AQ527="","",SUM($AQ$6:AQ527)),"")</f>
        <v/>
      </c>
      <c r="BM527" t="str">
        <f>IF($BA$3=TRUE,IF(AR527="","",SUM($AR$6:AR527)),"")</f>
        <v/>
      </c>
      <c r="BN527" t="str">
        <f>IF($BB$3=TRUE,IF(AS527="","",SUM($AS$6:AS527)),"")</f>
        <v/>
      </c>
    </row>
    <row r="528" spans="34:66" x14ac:dyDescent="0.25">
      <c r="AH528" s="75"/>
      <c r="AK528" s="75"/>
      <c r="BF528" s="75" t="str">
        <f t="shared" si="18"/>
        <v/>
      </c>
      <c r="BG528" t="str">
        <f>IF($AU$3=TRUE,IF(AL528="","",SUM($AL$6:AL528)),"")</f>
        <v/>
      </c>
      <c r="BH528" t="str">
        <f>IF($AV$3=TRUE,IF(AM528="","",SUM($AM$6:AM528)),"")</f>
        <v/>
      </c>
      <c r="BI528" t="str">
        <f>IF($AW$3=TRUE,IF(AN528="","",SUM($AN$6:AN528)),"")</f>
        <v/>
      </c>
      <c r="BJ528" t="str">
        <f>IF($AX$3=TRUE,IF(AO528="","",SUM($AO$6:AO528)),"")</f>
        <v/>
      </c>
      <c r="BK528" t="str">
        <f>IF($AY$3=TRUE,IF(AP528="","",SUM($AP$6:AP528)),"")</f>
        <v/>
      </c>
      <c r="BL528" t="str">
        <f>IF($AZ$3=TRUE,IF(AQ528="","",SUM($AQ$6:AQ528)),"")</f>
        <v/>
      </c>
      <c r="BM528" t="str">
        <f>IF($BA$3=TRUE,IF(AR528="","",SUM($AR$6:AR528)),"")</f>
        <v/>
      </c>
      <c r="BN528" t="str">
        <f>IF($BB$3=TRUE,IF(AS528="","",SUM($AS$6:AS528)),"")</f>
        <v/>
      </c>
    </row>
    <row r="529" spans="34:66" x14ac:dyDescent="0.25">
      <c r="AH529" s="75"/>
      <c r="AK529" s="75"/>
      <c r="BF529" s="75" t="str">
        <f t="shared" si="18"/>
        <v/>
      </c>
      <c r="BG529" t="str">
        <f>IF($AU$3=TRUE,IF(AL529="","",SUM($AL$6:AL529)),"")</f>
        <v/>
      </c>
      <c r="BH529" t="str">
        <f>IF($AV$3=TRUE,IF(AM529="","",SUM($AM$6:AM529)),"")</f>
        <v/>
      </c>
      <c r="BI529" t="str">
        <f>IF($AW$3=TRUE,IF(AN529="","",SUM($AN$6:AN529)),"")</f>
        <v/>
      </c>
      <c r="BJ529" t="str">
        <f>IF($AX$3=TRUE,IF(AO529="","",SUM($AO$6:AO529)),"")</f>
        <v/>
      </c>
      <c r="BK529" t="str">
        <f>IF($AY$3=TRUE,IF(AP529="","",SUM($AP$6:AP529)),"")</f>
        <v/>
      </c>
      <c r="BL529" t="str">
        <f>IF($AZ$3=TRUE,IF(AQ529="","",SUM($AQ$6:AQ529)),"")</f>
        <v/>
      </c>
      <c r="BM529" t="str">
        <f>IF($BA$3=TRUE,IF(AR529="","",SUM($AR$6:AR529)),"")</f>
        <v/>
      </c>
      <c r="BN529" t="str">
        <f>IF($BB$3=TRUE,IF(AS529="","",SUM($AS$6:AS529)),"")</f>
        <v/>
      </c>
    </row>
    <row r="530" spans="34:66" x14ac:dyDescent="0.25">
      <c r="AH530" s="75"/>
      <c r="AK530" s="75"/>
      <c r="BF530" s="75" t="str">
        <f t="shared" si="18"/>
        <v/>
      </c>
      <c r="BG530" t="str">
        <f>IF($AU$3=TRUE,IF(AL530="","",SUM($AL$6:AL530)),"")</f>
        <v/>
      </c>
      <c r="BH530" t="str">
        <f>IF($AV$3=TRUE,IF(AM530="","",SUM($AM$6:AM530)),"")</f>
        <v/>
      </c>
      <c r="BI530" t="str">
        <f>IF($AW$3=TRUE,IF(AN530="","",SUM($AN$6:AN530)),"")</f>
        <v/>
      </c>
      <c r="BJ530" t="str">
        <f>IF($AX$3=TRUE,IF(AO530="","",SUM($AO$6:AO530)),"")</f>
        <v/>
      </c>
      <c r="BK530" t="str">
        <f>IF($AY$3=TRUE,IF(AP530="","",SUM($AP$6:AP530)),"")</f>
        <v/>
      </c>
      <c r="BL530" t="str">
        <f>IF($AZ$3=TRUE,IF(AQ530="","",SUM($AQ$6:AQ530)),"")</f>
        <v/>
      </c>
      <c r="BM530" t="str">
        <f>IF($BA$3=TRUE,IF(AR530="","",SUM($AR$6:AR530)),"")</f>
        <v/>
      </c>
      <c r="BN530" t="str">
        <f>IF($BB$3=TRUE,IF(AS530="","",SUM($AS$6:AS530)),"")</f>
        <v/>
      </c>
    </row>
    <row r="531" spans="34:66" x14ac:dyDescent="0.25">
      <c r="AH531" s="75"/>
      <c r="AK531" s="75"/>
      <c r="BF531" s="75" t="str">
        <f t="shared" si="18"/>
        <v/>
      </c>
      <c r="BG531" t="str">
        <f>IF($AU$3=TRUE,IF(AL531="","",SUM($AL$6:AL531)),"")</f>
        <v/>
      </c>
      <c r="BH531" t="str">
        <f>IF($AV$3=TRUE,IF(AM531="","",SUM($AM$6:AM531)),"")</f>
        <v/>
      </c>
      <c r="BI531" t="str">
        <f>IF($AW$3=TRUE,IF(AN531="","",SUM($AN$6:AN531)),"")</f>
        <v/>
      </c>
      <c r="BJ531" t="str">
        <f>IF($AX$3=TRUE,IF(AO531="","",SUM($AO$6:AO531)),"")</f>
        <v/>
      </c>
      <c r="BK531" t="str">
        <f>IF($AY$3=TRUE,IF(AP531="","",SUM($AP$6:AP531)),"")</f>
        <v/>
      </c>
      <c r="BL531" t="str">
        <f>IF($AZ$3=TRUE,IF(AQ531="","",SUM($AQ$6:AQ531)),"")</f>
        <v/>
      </c>
      <c r="BM531" t="str">
        <f>IF($BA$3=TRUE,IF(AR531="","",SUM($AR$6:AR531)),"")</f>
        <v/>
      </c>
      <c r="BN531" t="str">
        <f>IF($BB$3=TRUE,IF(AS531="","",SUM($AS$6:AS531)),"")</f>
        <v/>
      </c>
    </row>
    <row r="532" spans="34:66" x14ac:dyDescent="0.25">
      <c r="AH532" s="75"/>
      <c r="AK532" s="75"/>
      <c r="BF532" s="75" t="str">
        <f t="shared" si="18"/>
        <v/>
      </c>
      <c r="BG532" t="str">
        <f>IF($AU$3=TRUE,IF(AL532="","",SUM($AL$6:AL532)),"")</f>
        <v/>
      </c>
      <c r="BH532" t="str">
        <f>IF($AV$3=TRUE,IF(AM532="","",SUM($AM$6:AM532)),"")</f>
        <v/>
      </c>
      <c r="BI532" t="str">
        <f>IF($AW$3=TRUE,IF(AN532="","",SUM($AN$6:AN532)),"")</f>
        <v/>
      </c>
      <c r="BJ532" t="str">
        <f>IF($AX$3=TRUE,IF(AO532="","",SUM($AO$6:AO532)),"")</f>
        <v/>
      </c>
      <c r="BK532" t="str">
        <f>IF($AY$3=TRUE,IF(AP532="","",SUM($AP$6:AP532)),"")</f>
        <v/>
      </c>
      <c r="BL532" t="str">
        <f>IF($AZ$3=TRUE,IF(AQ532="","",SUM($AQ$6:AQ532)),"")</f>
        <v/>
      </c>
      <c r="BM532" t="str">
        <f>IF($BA$3=TRUE,IF(AR532="","",SUM($AR$6:AR532)),"")</f>
        <v/>
      </c>
      <c r="BN532" t="str">
        <f>IF($BB$3=TRUE,IF(AS532="","",SUM($AS$6:AS532)),"")</f>
        <v/>
      </c>
    </row>
    <row r="533" spans="34:66" x14ac:dyDescent="0.25">
      <c r="AH533" s="75"/>
      <c r="AK533" s="75"/>
      <c r="BF533" s="75" t="str">
        <f t="shared" si="18"/>
        <v/>
      </c>
      <c r="BG533" t="str">
        <f>IF($AU$3=TRUE,IF(AL533="","",SUM($AL$6:AL533)),"")</f>
        <v/>
      </c>
      <c r="BH533" t="str">
        <f>IF($AV$3=TRUE,IF(AM533="","",SUM($AM$6:AM533)),"")</f>
        <v/>
      </c>
      <c r="BI533" t="str">
        <f>IF($AW$3=TRUE,IF(AN533="","",SUM($AN$6:AN533)),"")</f>
        <v/>
      </c>
      <c r="BJ533" t="str">
        <f>IF($AX$3=TRUE,IF(AO533="","",SUM($AO$6:AO533)),"")</f>
        <v/>
      </c>
      <c r="BK533" t="str">
        <f>IF($AY$3=TRUE,IF(AP533="","",SUM($AP$6:AP533)),"")</f>
        <v/>
      </c>
      <c r="BL533" t="str">
        <f>IF($AZ$3=TRUE,IF(AQ533="","",SUM($AQ$6:AQ533)),"")</f>
        <v/>
      </c>
      <c r="BM533" t="str">
        <f>IF($BA$3=TRUE,IF(AR533="","",SUM($AR$6:AR533)),"")</f>
        <v/>
      </c>
      <c r="BN533" t="str">
        <f>IF($BB$3=TRUE,IF(AS533="","",SUM($AS$6:AS533)),"")</f>
        <v/>
      </c>
    </row>
    <row r="534" spans="34:66" x14ac:dyDescent="0.25">
      <c r="AH534" s="75"/>
      <c r="AK534" s="75"/>
      <c r="BF534" s="75" t="str">
        <f t="shared" si="18"/>
        <v/>
      </c>
      <c r="BG534" t="str">
        <f>IF($AU$3=TRUE,IF(AL534="","",SUM($AL$6:AL534)),"")</f>
        <v/>
      </c>
      <c r="BH534" t="str">
        <f>IF($AV$3=TRUE,IF(AM534="","",SUM($AM$6:AM534)),"")</f>
        <v/>
      </c>
      <c r="BI534" t="str">
        <f>IF($AW$3=TRUE,IF(AN534="","",SUM($AN$6:AN534)),"")</f>
        <v/>
      </c>
      <c r="BJ534" t="str">
        <f>IF($AX$3=TRUE,IF(AO534="","",SUM($AO$6:AO534)),"")</f>
        <v/>
      </c>
      <c r="BK534" t="str">
        <f>IF($AY$3=TRUE,IF(AP534="","",SUM($AP$6:AP534)),"")</f>
        <v/>
      </c>
      <c r="BL534" t="str">
        <f>IF($AZ$3=TRUE,IF(AQ534="","",SUM($AQ$6:AQ534)),"")</f>
        <v/>
      </c>
      <c r="BM534" t="str">
        <f>IF($BA$3=TRUE,IF(AR534="","",SUM($AR$6:AR534)),"")</f>
        <v/>
      </c>
      <c r="BN534" t="str">
        <f>IF($BB$3=TRUE,IF(AS534="","",SUM($AS$6:AS534)),"")</f>
        <v/>
      </c>
    </row>
    <row r="535" spans="34:66" x14ac:dyDescent="0.25">
      <c r="AH535" s="75"/>
      <c r="AK535" s="75"/>
      <c r="BF535" s="75" t="str">
        <f t="shared" si="18"/>
        <v/>
      </c>
      <c r="BG535" t="str">
        <f>IF($AU$3=TRUE,IF(AL535="","",SUM($AL$6:AL535)),"")</f>
        <v/>
      </c>
      <c r="BH535" t="str">
        <f>IF($AV$3=TRUE,IF(AM535="","",SUM($AM$6:AM535)),"")</f>
        <v/>
      </c>
      <c r="BI535" t="str">
        <f>IF($AW$3=TRUE,IF(AN535="","",SUM($AN$6:AN535)),"")</f>
        <v/>
      </c>
      <c r="BJ535" t="str">
        <f>IF($AX$3=TRUE,IF(AO535="","",SUM($AO$6:AO535)),"")</f>
        <v/>
      </c>
      <c r="BK535" t="str">
        <f>IF($AY$3=TRUE,IF(AP535="","",SUM($AP$6:AP535)),"")</f>
        <v/>
      </c>
      <c r="BL535" t="str">
        <f>IF($AZ$3=TRUE,IF(AQ535="","",SUM($AQ$6:AQ535)),"")</f>
        <v/>
      </c>
      <c r="BM535" t="str">
        <f>IF($BA$3=TRUE,IF(AR535="","",SUM($AR$6:AR535)),"")</f>
        <v/>
      </c>
      <c r="BN535" t="str">
        <f>IF($BB$3=TRUE,IF(AS535="","",SUM($AS$6:AS535)),"")</f>
        <v/>
      </c>
    </row>
    <row r="536" spans="34:66" x14ac:dyDescent="0.25">
      <c r="AH536" s="75"/>
      <c r="AK536" s="75"/>
      <c r="BF536" s="75" t="str">
        <f t="shared" si="18"/>
        <v/>
      </c>
      <c r="BG536" t="str">
        <f>IF($AU$3=TRUE,IF(AL536="","",SUM($AL$6:AL536)),"")</f>
        <v/>
      </c>
      <c r="BH536" t="str">
        <f>IF($AV$3=TRUE,IF(AM536="","",SUM($AM$6:AM536)),"")</f>
        <v/>
      </c>
      <c r="BI536" t="str">
        <f>IF($AW$3=TRUE,IF(AN536="","",SUM($AN$6:AN536)),"")</f>
        <v/>
      </c>
      <c r="BJ536" t="str">
        <f>IF($AX$3=TRUE,IF(AO536="","",SUM($AO$6:AO536)),"")</f>
        <v/>
      </c>
      <c r="BK536" t="str">
        <f>IF($AY$3=TRUE,IF(AP536="","",SUM($AP$6:AP536)),"")</f>
        <v/>
      </c>
      <c r="BL536" t="str">
        <f>IF($AZ$3=TRUE,IF(AQ536="","",SUM($AQ$6:AQ536)),"")</f>
        <v/>
      </c>
      <c r="BM536" t="str">
        <f>IF($BA$3=TRUE,IF(AR536="","",SUM($AR$6:AR536)),"")</f>
        <v/>
      </c>
      <c r="BN536" t="str">
        <f>IF($BB$3=TRUE,IF(AS536="","",SUM($AS$6:AS536)),"")</f>
        <v/>
      </c>
    </row>
    <row r="537" spans="34:66" x14ac:dyDescent="0.25">
      <c r="AH537" s="75"/>
      <c r="AK537" s="75"/>
      <c r="BF537" s="75" t="str">
        <f t="shared" si="18"/>
        <v/>
      </c>
      <c r="BG537" t="str">
        <f>IF($AU$3=TRUE,IF(AL537="","",SUM($AL$6:AL537)),"")</f>
        <v/>
      </c>
      <c r="BH537" t="str">
        <f>IF($AV$3=TRUE,IF(AM537="","",SUM($AM$6:AM537)),"")</f>
        <v/>
      </c>
      <c r="BI537" t="str">
        <f>IF($AW$3=TRUE,IF(AN537="","",SUM($AN$6:AN537)),"")</f>
        <v/>
      </c>
      <c r="BJ537" t="str">
        <f>IF($AX$3=TRUE,IF(AO537="","",SUM($AO$6:AO537)),"")</f>
        <v/>
      </c>
      <c r="BK537" t="str">
        <f>IF($AY$3=TRUE,IF(AP537="","",SUM($AP$6:AP537)),"")</f>
        <v/>
      </c>
      <c r="BL537" t="str">
        <f>IF($AZ$3=TRUE,IF(AQ537="","",SUM($AQ$6:AQ537)),"")</f>
        <v/>
      </c>
      <c r="BM537" t="str">
        <f>IF($BA$3=TRUE,IF(AR537="","",SUM($AR$6:AR537)),"")</f>
        <v/>
      </c>
      <c r="BN537" t="str">
        <f>IF($BB$3=TRUE,IF(AS537="","",SUM($AS$6:AS537)),"")</f>
        <v/>
      </c>
    </row>
    <row r="538" spans="34:66" x14ac:dyDescent="0.25">
      <c r="AH538" s="75"/>
      <c r="AK538" s="75"/>
      <c r="BF538" s="75" t="str">
        <f t="shared" si="18"/>
        <v/>
      </c>
      <c r="BG538" t="str">
        <f>IF($AU$3=TRUE,IF(AL538="","",SUM($AL$6:AL538)),"")</f>
        <v/>
      </c>
      <c r="BH538" t="str">
        <f>IF($AV$3=TRUE,IF(AM538="","",SUM($AM$6:AM538)),"")</f>
        <v/>
      </c>
      <c r="BI538" t="str">
        <f>IF($AW$3=TRUE,IF(AN538="","",SUM($AN$6:AN538)),"")</f>
        <v/>
      </c>
      <c r="BJ538" t="str">
        <f>IF($AX$3=TRUE,IF(AO538="","",SUM($AO$6:AO538)),"")</f>
        <v/>
      </c>
      <c r="BK538" t="str">
        <f>IF($AY$3=TRUE,IF(AP538="","",SUM($AP$6:AP538)),"")</f>
        <v/>
      </c>
      <c r="BL538" t="str">
        <f>IF($AZ$3=TRUE,IF(AQ538="","",SUM($AQ$6:AQ538)),"")</f>
        <v/>
      </c>
      <c r="BM538" t="str">
        <f>IF($BA$3=TRUE,IF(AR538="","",SUM($AR$6:AR538)),"")</f>
        <v/>
      </c>
      <c r="BN538" t="str">
        <f>IF($BB$3=TRUE,IF(AS538="","",SUM($AS$6:AS538)),"")</f>
        <v/>
      </c>
    </row>
    <row r="539" spans="34:66" x14ac:dyDescent="0.25">
      <c r="AH539" s="75"/>
      <c r="AK539" s="75"/>
      <c r="BF539" s="75" t="str">
        <f t="shared" si="18"/>
        <v/>
      </c>
      <c r="BG539" t="str">
        <f>IF($AU$3=TRUE,IF(AL539="","",SUM($AL$6:AL539)),"")</f>
        <v/>
      </c>
      <c r="BH539" t="str">
        <f>IF($AV$3=TRUE,IF(AM539="","",SUM($AM$6:AM539)),"")</f>
        <v/>
      </c>
      <c r="BI539" t="str">
        <f>IF($AW$3=TRUE,IF(AN539="","",SUM($AN$6:AN539)),"")</f>
        <v/>
      </c>
      <c r="BJ539" t="str">
        <f>IF($AX$3=TRUE,IF(AO539="","",SUM($AO$6:AO539)),"")</f>
        <v/>
      </c>
      <c r="BK539" t="str">
        <f>IF($AY$3=TRUE,IF(AP539="","",SUM($AP$6:AP539)),"")</f>
        <v/>
      </c>
      <c r="BL539" t="str">
        <f>IF($AZ$3=TRUE,IF(AQ539="","",SUM($AQ$6:AQ539)),"")</f>
        <v/>
      </c>
      <c r="BM539" t="str">
        <f>IF($BA$3=TRUE,IF(AR539="","",SUM($AR$6:AR539)),"")</f>
        <v/>
      </c>
      <c r="BN539" t="str">
        <f>IF($BB$3=TRUE,IF(AS539="","",SUM($AS$6:AS539)),"")</f>
        <v/>
      </c>
    </row>
    <row r="540" spans="34:66" x14ac:dyDescent="0.25">
      <c r="AH540" s="75"/>
      <c r="AK540" s="75"/>
      <c r="BF540" s="75" t="str">
        <f t="shared" si="18"/>
        <v/>
      </c>
      <c r="BG540" t="str">
        <f>IF($AU$3=TRUE,IF(AL540="","",SUM($AL$6:AL540)),"")</f>
        <v/>
      </c>
      <c r="BH540" t="str">
        <f>IF($AV$3=TRUE,IF(AM540="","",SUM($AM$6:AM540)),"")</f>
        <v/>
      </c>
      <c r="BI540" t="str">
        <f>IF($AW$3=TRUE,IF(AN540="","",SUM($AN$6:AN540)),"")</f>
        <v/>
      </c>
      <c r="BJ540" t="str">
        <f>IF($AX$3=TRUE,IF(AO540="","",SUM($AO$6:AO540)),"")</f>
        <v/>
      </c>
      <c r="BK540" t="str">
        <f>IF($AY$3=TRUE,IF(AP540="","",SUM($AP$6:AP540)),"")</f>
        <v/>
      </c>
      <c r="BL540" t="str">
        <f>IF($AZ$3=TRUE,IF(AQ540="","",SUM($AQ$6:AQ540)),"")</f>
        <v/>
      </c>
      <c r="BM540" t="str">
        <f>IF($BA$3=TRUE,IF(AR540="","",SUM($AR$6:AR540)),"")</f>
        <v/>
      </c>
      <c r="BN540" t="str">
        <f>IF($BB$3=TRUE,IF(AS540="","",SUM($AS$6:AS540)),"")</f>
        <v/>
      </c>
    </row>
    <row r="541" spans="34:66" x14ac:dyDescent="0.25">
      <c r="AH541" s="75"/>
      <c r="AK541" s="75"/>
      <c r="BF541" s="75" t="str">
        <f t="shared" si="18"/>
        <v/>
      </c>
      <c r="BG541" t="str">
        <f>IF($AU$3=TRUE,IF(AL541="","",SUM($AL$6:AL541)),"")</f>
        <v/>
      </c>
      <c r="BH541" t="str">
        <f>IF($AV$3=TRUE,IF(AM541="","",SUM($AM$6:AM541)),"")</f>
        <v/>
      </c>
      <c r="BI541" t="str">
        <f>IF($AW$3=TRUE,IF(AN541="","",SUM($AN$6:AN541)),"")</f>
        <v/>
      </c>
      <c r="BJ541" t="str">
        <f>IF($AX$3=TRUE,IF(AO541="","",SUM($AO$6:AO541)),"")</f>
        <v/>
      </c>
      <c r="BK541" t="str">
        <f>IF($AY$3=TRUE,IF(AP541="","",SUM($AP$6:AP541)),"")</f>
        <v/>
      </c>
      <c r="BL541" t="str">
        <f>IF($AZ$3=TRUE,IF(AQ541="","",SUM($AQ$6:AQ541)),"")</f>
        <v/>
      </c>
      <c r="BM541" t="str">
        <f>IF($BA$3=TRUE,IF(AR541="","",SUM($AR$6:AR541)),"")</f>
        <v/>
      </c>
      <c r="BN541" t="str">
        <f>IF($BB$3=TRUE,IF(AS541="","",SUM($AS$6:AS541)),"")</f>
        <v/>
      </c>
    </row>
    <row r="542" spans="34:66" x14ac:dyDescent="0.25">
      <c r="AH542" s="75"/>
      <c r="AK542" s="75"/>
      <c r="BF542" s="75" t="str">
        <f t="shared" si="18"/>
        <v/>
      </c>
      <c r="BG542" t="str">
        <f>IF($AU$3=TRUE,IF(AL542="","",SUM($AL$6:AL542)),"")</f>
        <v/>
      </c>
      <c r="BH542" t="str">
        <f>IF($AV$3=TRUE,IF(AM542="","",SUM($AM$6:AM542)),"")</f>
        <v/>
      </c>
      <c r="BI542" t="str">
        <f>IF($AW$3=TRUE,IF(AN542="","",SUM($AN$6:AN542)),"")</f>
        <v/>
      </c>
      <c r="BJ542" t="str">
        <f>IF($AX$3=TRUE,IF(AO542="","",SUM($AO$6:AO542)),"")</f>
        <v/>
      </c>
      <c r="BK542" t="str">
        <f>IF($AY$3=TRUE,IF(AP542="","",SUM($AP$6:AP542)),"")</f>
        <v/>
      </c>
      <c r="BL542" t="str">
        <f>IF($AZ$3=TRUE,IF(AQ542="","",SUM($AQ$6:AQ542)),"")</f>
        <v/>
      </c>
      <c r="BM542" t="str">
        <f>IF($BA$3=TRUE,IF(AR542="","",SUM($AR$6:AR542)),"")</f>
        <v/>
      </c>
      <c r="BN542" t="str">
        <f>IF($BB$3=TRUE,IF(AS542="","",SUM($AS$6:AS542)),"")</f>
        <v/>
      </c>
    </row>
    <row r="543" spans="34:66" x14ac:dyDescent="0.25">
      <c r="AH543" s="75"/>
      <c r="AK543" s="75"/>
      <c r="BF543" s="75" t="str">
        <f t="shared" si="18"/>
        <v/>
      </c>
      <c r="BG543" t="str">
        <f>IF($AU$3=TRUE,IF(AL543="","",SUM($AL$6:AL543)),"")</f>
        <v/>
      </c>
      <c r="BH543" t="str">
        <f>IF($AV$3=TRUE,IF(AM543="","",SUM($AM$6:AM543)),"")</f>
        <v/>
      </c>
      <c r="BI543" t="str">
        <f>IF($AW$3=TRUE,IF(AN543="","",SUM($AN$6:AN543)),"")</f>
        <v/>
      </c>
      <c r="BJ543" t="str">
        <f>IF($AX$3=TRUE,IF(AO543="","",SUM($AO$6:AO543)),"")</f>
        <v/>
      </c>
      <c r="BK543" t="str">
        <f>IF($AY$3=TRUE,IF(AP543="","",SUM($AP$6:AP543)),"")</f>
        <v/>
      </c>
      <c r="BL543" t="str">
        <f>IF($AZ$3=TRUE,IF(AQ543="","",SUM($AQ$6:AQ543)),"")</f>
        <v/>
      </c>
      <c r="BM543" t="str">
        <f>IF($BA$3=TRUE,IF(AR543="","",SUM($AR$6:AR543)),"")</f>
        <v/>
      </c>
      <c r="BN543" t="str">
        <f>IF($BB$3=TRUE,IF(AS543="","",SUM($AS$6:AS543)),"")</f>
        <v/>
      </c>
    </row>
    <row r="544" spans="34:66" x14ac:dyDescent="0.25">
      <c r="AH544" s="75"/>
      <c r="AK544" s="75"/>
      <c r="BF544" s="75" t="str">
        <f t="shared" si="18"/>
        <v/>
      </c>
      <c r="BG544" t="str">
        <f>IF($AU$3=TRUE,IF(AL544="","",SUM($AL$6:AL544)),"")</f>
        <v/>
      </c>
      <c r="BH544" t="str">
        <f>IF($AV$3=TRUE,IF(AM544="","",SUM($AM$6:AM544)),"")</f>
        <v/>
      </c>
      <c r="BI544" t="str">
        <f>IF($AW$3=TRUE,IF(AN544="","",SUM($AN$6:AN544)),"")</f>
        <v/>
      </c>
      <c r="BJ544" t="str">
        <f>IF($AX$3=TRUE,IF(AO544="","",SUM($AO$6:AO544)),"")</f>
        <v/>
      </c>
      <c r="BK544" t="str">
        <f>IF($AY$3=TRUE,IF(AP544="","",SUM($AP$6:AP544)),"")</f>
        <v/>
      </c>
      <c r="BL544" t="str">
        <f>IF($AZ$3=TRUE,IF(AQ544="","",SUM($AQ$6:AQ544)),"")</f>
        <v/>
      </c>
      <c r="BM544" t="str">
        <f>IF($BA$3=TRUE,IF(AR544="","",SUM($AR$6:AR544)),"")</f>
        <v/>
      </c>
      <c r="BN544" t="str">
        <f>IF($BB$3=TRUE,IF(AS544="","",SUM($AS$6:AS544)),"")</f>
        <v/>
      </c>
    </row>
    <row r="545" spans="34:66" x14ac:dyDescent="0.25">
      <c r="AH545" s="75"/>
      <c r="AK545" s="75"/>
      <c r="BF545" s="75" t="str">
        <f t="shared" si="18"/>
        <v/>
      </c>
      <c r="BG545" t="str">
        <f>IF($AU$3=TRUE,IF(AL545="","",SUM($AL$6:AL545)),"")</f>
        <v/>
      </c>
      <c r="BH545" t="str">
        <f>IF($AV$3=TRUE,IF(AM545="","",SUM($AM$6:AM545)),"")</f>
        <v/>
      </c>
      <c r="BI545" t="str">
        <f>IF($AW$3=TRUE,IF(AN545="","",SUM($AN$6:AN545)),"")</f>
        <v/>
      </c>
      <c r="BJ545" t="str">
        <f>IF($AX$3=TRUE,IF(AO545="","",SUM($AO$6:AO545)),"")</f>
        <v/>
      </c>
      <c r="BK545" t="str">
        <f>IF($AY$3=TRUE,IF(AP545="","",SUM($AP$6:AP545)),"")</f>
        <v/>
      </c>
      <c r="BL545" t="str">
        <f>IF($AZ$3=TRUE,IF(AQ545="","",SUM($AQ$6:AQ545)),"")</f>
        <v/>
      </c>
      <c r="BM545" t="str">
        <f>IF($BA$3=TRUE,IF(AR545="","",SUM($AR$6:AR545)),"")</f>
        <v/>
      </c>
      <c r="BN545" t="str">
        <f>IF($BB$3=TRUE,IF(AS545="","",SUM($AS$6:AS545)),"")</f>
        <v/>
      </c>
    </row>
    <row r="546" spans="34:66" x14ac:dyDescent="0.25">
      <c r="AH546" s="75"/>
      <c r="AK546" s="75"/>
      <c r="BF546" s="75" t="str">
        <f t="shared" si="18"/>
        <v/>
      </c>
      <c r="BG546" t="str">
        <f>IF($AU$3=TRUE,IF(AL546="","",SUM($AL$6:AL546)),"")</f>
        <v/>
      </c>
      <c r="BH546" t="str">
        <f>IF($AV$3=TRUE,IF(AM546="","",SUM($AM$6:AM546)),"")</f>
        <v/>
      </c>
      <c r="BI546" t="str">
        <f>IF($AW$3=TRUE,IF(AN546="","",SUM($AN$6:AN546)),"")</f>
        <v/>
      </c>
      <c r="BJ546" t="str">
        <f>IF($AX$3=TRUE,IF(AO546="","",SUM($AO$6:AO546)),"")</f>
        <v/>
      </c>
      <c r="BK546" t="str">
        <f>IF($AY$3=TRUE,IF(AP546="","",SUM($AP$6:AP546)),"")</f>
        <v/>
      </c>
      <c r="BL546" t="str">
        <f>IF($AZ$3=TRUE,IF(AQ546="","",SUM($AQ$6:AQ546)),"")</f>
        <v/>
      </c>
      <c r="BM546" t="str">
        <f>IF($BA$3=TRUE,IF(AR546="","",SUM($AR$6:AR546)),"")</f>
        <v/>
      </c>
      <c r="BN546" t="str">
        <f>IF($BB$3=TRUE,IF(AS546="","",SUM($AS$6:AS546)),"")</f>
        <v/>
      </c>
    </row>
    <row r="547" spans="34:66" x14ac:dyDescent="0.25">
      <c r="AH547" s="75"/>
      <c r="AK547" s="75"/>
      <c r="BF547" s="75" t="str">
        <f t="shared" si="18"/>
        <v/>
      </c>
      <c r="BG547" t="str">
        <f>IF($AU$3=TRUE,IF(AL547="","",SUM($AL$6:AL547)),"")</f>
        <v/>
      </c>
      <c r="BH547" t="str">
        <f>IF($AV$3=TRUE,IF(AM547="","",SUM($AM$6:AM547)),"")</f>
        <v/>
      </c>
      <c r="BI547" t="str">
        <f>IF($AW$3=TRUE,IF(AN547="","",SUM($AN$6:AN547)),"")</f>
        <v/>
      </c>
      <c r="BJ547" t="str">
        <f>IF($AX$3=TRUE,IF(AO547="","",SUM($AO$6:AO547)),"")</f>
        <v/>
      </c>
      <c r="BK547" t="str">
        <f>IF($AY$3=TRUE,IF(AP547="","",SUM($AP$6:AP547)),"")</f>
        <v/>
      </c>
      <c r="BL547" t="str">
        <f>IF($AZ$3=TRUE,IF(AQ547="","",SUM($AQ$6:AQ547)),"")</f>
        <v/>
      </c>
      <c r="BM547" t="str">
        <f>IF($BA$3=TRUE,IF(AR547="","",SUM($AR$6:AR547)),"")</f>
        <v/>
      </c>
      <c r="BN547" t="str">
        <f>IF($BB$3=TRUE,IF(AS547="","",SUM($AS$6:AS547)),"")</f>
        <v/>
      </c>
    </row>
    <row r="548" spans="34:66" x14ac:dyDescent="0.25">
      <c r="AH548" s="75"/>
      <c r="AK548" s="75"/>
      <c r="BF548" s="75" t="str">
        <f t="shared" si="18"/>
        <v/>
      </c>
      <c r="BG548" t="str">
        <f>IF($AU$3=TRUE,IF(AL548="","",SUM($AL$6:AL548)),"")</f>
        <v/>
      </c>
      <c r="BH548" t="str">
        <f>IF($AV$3=TRUE,IF(AM548="","",SUM($AM$6:AM548)),"")</f>
        <v/>
      </c>
      <c r="BI548" t="str">
        <f>IF($AW$3=TRUE,IF(AN548="","",SUM($AN$6:AN548)),"")</f>
        <v/>
      </c>
      <c r="BJ548" t="str">
        <f>IF($AX$3=TRUE,IF(AO548="","",SUM($AO$6:AO548)),"")</f>
        <v/>
      </c>
      <c r="BK548" t="str">
        <f>IF($AY$3=TRUE,IF(AP548="","",SUM($AP$6:AP548)),"")</f>
        <v/>
      </c>
      <c r="BL548" t="str">
        <f>IF($AZ$3=TRUE,IF(AQ548="","",SUM($AQ$6:AQ548)),"")</f>
        <v/>
      </c>
      <c r="BM548" t="str">
        <f>IF($BA$3=TRUE,IF(AR548="","",SUM($AR$6:AR548)),"")</f>
        <v/>
      </c>
      <c r="BN548" t="str">
        <f>IF($BB$3=TRUE,IF(AS548="","",SUM($AS$6:AS548)),"")</f>
        <v/>
      </c>
    </row>
    <row r="549" spans="34:66" x14ac:dyDescent="0.25">
      <c r="AH549" s="75"/>
      <c r="AK549" s="75"/>
      <c r="BF549" s="75" t="str">
        <f t="shared" si="18"/>
        <v/>
      </c>
      <c r="BG549" t="str">
        <f>IF($AU$3=TRUE,IF(AL549="","",SUM($AL$6:AL549)),"")</f>
        <v/>
      </c>
      <c r="BH549" t="str">
        <f>IF($AV$3=TRUE,IF(AM549="","",SUM($AM$6:AM549)),"")</f>
        <v/>
      </c>
      <c r="BI549" t="str">
        <f>IF($AW$3=TRUE,IF(AN549="","",SUM($AN$6:AN549)),"")</f>
        <v/>
      </c>
      <c r="BJ549" t="str">
        <f>IF($AX$3=TRUE,IF(AO549="","",SUM($AO$6:AO549)),"")</f>
        <v/>
      </c>
      <c r="BK549" t="str">
        <f>IF($AY$3=TRUE,IF(AP549="","",SUM($AP$6:AP549)),"")</f>
        <v/>
      </c>
      <c r="BL549" t="str">
        <f>IF($AZ$3=TRUE,IF(AQ549="","",SUM($AQ$6:AQ549)),"")</f>
        <v/>
      </c>
      <c r="BM549" t="str">
        <f>IF($BA$3=TRUE,IF(AR549="","",SUM($AR$6:AR549)),"")</f>
        <v/>
      </c>
      <c r="BN549" t="str">
        <f>IF($BB$3=TRUE,IF(AS549="","",SUM($AS$6:AS549)),"")</f>
        <v/>
      </c>
    </row>
    <row r="550" spans="34:66" x14ac:dyDescent="0.25">
      <c r="AH550" s="75"/>
      <c r="AK550" s="75"/>
      <c r="BF550" s="75" t="str">
        <f t="shared" si="18"/>
        <v/>
      </c>
      <c r="BG550" t="str">
        <f>IF($AU$3=TRUE,IF(AL550="","",SUM($AL$6:AL550)),"")</f>
        <v/>
      </c>
      <c r="BH550" t="str">
        <f>IF($AV$3=TRUE,IF(AM550="","",SUM($AM$6:AM550)),"")</f>
        <v/>
      </c>
      <c r="BI550" t="str">
        <f>IF($AW$3=TRUE,IF(AN550="","",SUM($AN$6:AN550)),"")</f>
        <v/>
      </c>
      <c r="BJ550" t="str">
        <f>IF($AX$3=TRUE,IF(AO550="","",SUM($AO$6:AO550)),"")</f>
        <v/>
      </c>
      <c r="BK550" t="str">
        <f>IF($AY$3=TRUE,IF(AP550="","",SUM($AP$6:AP550)),"")</f>
        <v/>
      </c>
      <c r="BL550" t="str">
        <f>IF($AZ$3=TRUE,IF(AQ550="","",SUM($AQ$6:AQ550)),"")</f>
        <v/>
      </c>
      <c r="BM550" t="str">
        <f>IF($BA$3=TRUE,IF(AR550="","",SUM($AR$6:AR550)),"")</f>
        <v/>
      </c>
      <c r="BN550" t="str">
        <f>IF($BB$3=TRUE,IF(AS550="","",SUM($AS$6:AS550)),"")</f>
        <v/>
      </c>
    </row>
    <row r="551" spans="34:66" x14ac:dyDescent="0.25">
      <c r="AH551" s="75"/>
      <c r="AK551" s="75"/>
      <c r="BF551" s="75" t="str">
        <f t="shared" si="18"/>
        <v/>
      </c>
      <c r="BG551" t="str">
        <f>IF($AU$3=TRUE,IF(AL551="","",SUM($AL$6:AL551)),"")</f>
        <v/>
      </c>
      <c r="BH551" t="str">
        <f>IF($AV$3=TRUE,IF(AM551="","",SUM($AM$6:AM551)),"")</f>
        <v/>
      </c>
      <c r="BI551" t="str">
        <f>IF($AW$3=TRUE,IF(AN551="","",SUM($AN$6:AN551)),"")</f>
        <v/>
      </c>
      <c r="BJ551" t="str">
        <f>IF($AX$3=TRUE,IF(AO551="","",SUM($AO$6:AO551)),"")</f>
        <v/>
      </c>
      <c r="BK551" t="str">
        <f>IF($AY$3=TRUE,IF(AP551="","",SUM($AP$6:AP551)),"")</f>
        <v/>
      </c>
      <c r="BL551" t="str">
        <f>IF($AZ$3=TRUE,IF(AQ551="","",SUM($AQ$6:AQ551)),"")</f>
        <v/>
      </c>
      <c r="BM551" t="str">
        <f>IF($BA$3=TRUE,IF(AR551="","",SUM($AR$6:AR551)),"")</f>
        <v/>
      </c>
      <c r="BN551" t="str">
        <f>IF($BB$3=TRUE,IF(AS551="","",SUM($AS$6:AS551)),"")</f>
        <v/>
      </c>
    </row>
    <row r="552" spans="34:66" x14ac:dyDescent="0.25">
      <c r="AH552" s="75"/>
      <c r="AK552" s="75"/>
      <c r="BF552" s="75" t="str">
        <f t="shared" si="18"/>
        <v/>
      </c>
      <c r="BG552" t="str">
        <f>IF($AU$3=TRUE,IF(AL552="","",SUM($AL$6:AL552)),"")</f>
        <v/>
      </c>
      <c r="BH552" t="str">
        <f>IF($AV$3=TRUE,IF(AM552="","",SUM($AM$6:AM552)),"")</f>
        <v/>
      </c>
      <c r="BI552" t="str">
        <f>IF($AW$3=TRUE,IF(AN552="","",SUM($AN$6:AN552)),"")</f>
        <v/>
      </c>
      <c r="BJ552" t="str">
        <f>IF($AX$3=TRUE,IF(AO552="","",SUM($AO$6:AO552)),"")</f>
        <v/>
      </c>
      <c r="BK552" t="str">
        <f>IF($AY$3=TRUE,IF(AP552="","",SUM($AP$6:AP552)),"")</f>
        <v/>
      </c>
      <c r="BL552" t="str">
        <f>IF($AZ$3=TRUE,IF(AQ552="","",SUM($AQ$6:AQ552)),"")</f>
        <v/>
      </c>
      <c r="BM552" t="str">
        <f>IF($BA$3=TRUE,IF(AR552="","",SUM($AR$6:AR552)),"")</f>
        <v/>
      </c>
      <c r="BN552" t="str">
        <f>IF($BB$3=TRUE,IF(AS552="","",SUM($AS$6:AS552)),"")</f>
        <v/>
      </c>
    </row>
    <row r="553" spans="34:66" x14ac:dyDescent="0.25">
      <c r="AH553" s="75"/>
      <c r="AK553" s="75"/>
      <c r="BF553" s="75" t="str">
        <f t="shared" si="18"/>
        <v/>
      </c>
      <c r="BG553" t="str">
        <f>IF($AU$3=TRUE,IF(AL553="","",SUM($AL$6:AL553)),"")</f>
        <v/>
      </c>
      <c r="BH553" t="str">
        <f>IF($AV$3=TRUE,IF(AM553="","",SUM($AM$6:AM553)),"")</f>
        <v/>
      </c>
      <c r="BI553" t="str">
        <f>IF($AW$3=TRUE,IF(AN553="","",SUM($AN$6:AN553)),"")</f>
        <v/>
      </c>
      <c r="BJ553" t="str">
        <f>IF($AX$3=TRUE,IF(AO553="","",SUM($AO$6:AO553)),"")</f>
        <v/>
      </c>
      <c r="BK553" t="str">
        <f>IF($AY$3=TRUE,IF(AP553="","",SUM($AP$6:AP553)),"")</f>
        <v/>
      </c>
      <c r="BL553" t="str">
        <f>IF($AZ$3=TRUE,IF(AQ553="","",SUM($AQ$6:AQ553)),"")</f>
        <v/>
      </c>
      <c r="BM553" t="str">
        <f>IF($BA$3=TRUE,IF(AR553="","",SUM($AR$6:AR553)),"")</f>
        <v/>
      </c>
      <c r="BN553" t="str">
        <f>IF($BB$3=TRUE,IF(AS553="","",SUM($AS$6:AS553)),"")</f>
        <v/>
      </c>
    </row>
    <row r="554" spans="34:66" x14ac:dyDescent="0.25">
      <c r="AH554" s="75"/>
      <c r="AK554" s="75"/>
      <c r="BF554" s="75" t="str">
        <f t="shared" si="18"/>
        <v/>
      </c>
      <c r="BG554" t="str">
        <f>IF($AU$3=TRUE,IF(AL554="","",SUM($AL$6:AL554)),"")</f>
        <v/>
      </c>
      <c r="BH554" t="str">
        <f>IF($AV$3=TRUE,IF(AM554="","",SUM($AM$6:AM554)),"")</f>
        <v/>
      </c>
      <c r="BI554" t="str">
        <f>IF($AW$3=TRUE,IF(AN554="","",SUM($AN$6:AN554)),"")</f>
        <v/>
      </c>
      <c r="BJ554" t="str">
        <f>IF($AX$3=TRUE,IF(AO554="","",SUM($AO$6:AO554)),"")</f>
        <v/>
      </c>
      <c r="BK554" t="str">
        <f>IF($AY$3=TRUE,IF(AP554="","",SUM($AP$6:AP554)),"")</f>
        <v/>
      </c>
      <c r="BL554" t="str">
        <f>IF($AZ$3=TRUE,IF(AQ554="","",SUM($AQ$6:AQ554)),"")</f>
        <v/>
      </c>
      <c r="BM554" t="str">
        <f>IF($BA$3=TRUE,IF(AR554="","",SUM($AR$6:AR554)),"")</f>
        <v/>
      </c>
      <c r="BN554" t="str">
        <f>IF($BB$3=TRUE,IF(AS554="","",SUM($AS$6:AS554)),"")</f>
        <v/>
      </c>
    </row>
    <row r="555" spans="34:66" x14ac:dyDescent="0.25">
      <c r="AH555" s="75"/>
      <c r="AK555" s="75"/>
      <c r="BF555" s="75" t="str">
        <f t="shared" si="18"/>
        <v/>
      </c>
      <c r="BG555" t="str">
        <f>IF($AU$3=TRUE,IF(AL555="","",SUM($AL$6:AL555)),"")</f>
        <v/>
      </c>
      <c r="BH555" t="str">
        <f>IF($AV$3=TRUE,IF(AM555="","",SUM($AM$6:AM555)),"")</f>
        <v/>
      </c>
      <c r="BI555" t="str">
        <f>IF($AW$3=TRUE,IF(AN555="","",SUM($AN$6:AN555)),"")</f>
        <v/>
      </c>
      <c r="BJ555" t="str">
        <f>IF($AX$3=TRUE,IF(AO555="","",SUM($AO$6:AO555)),"")</f>
        <v/>
      </c>
      <c r="BK555" t="str">
        <f>IF($AY$3=TRUE,IF(AP555="","",SUM($AP$6:AP555)),"")</f>
        <v/>
      </c>
      <c r="BL555" t="str">
        <f>IF($AZ$3=TRUE,IF(AQ555="","",SUM($AQ$6:AQ555)),"")</f>
        <v/>
      </c>
      <c r="BM555" t="str">
        <f>IF($BA$3=TRUE,IF(AR555="","",SUM($AR$6:AR555)),"")</f>
        <v/>
      </c>
      <c r="BN555" t="str">
        <f>IF($BB$3=TRUE,IF(AS555="","",SUM($AS$6:AS555)),"")</f>
        <v/>
      </c>
    </row>
    <row r="556" spans="34:66" x14ac:dyDescent="0.25">
      <c r="AH556" s="75"/>
      <c r="AK556" s="75"/>
      <c r="BF556" s="75" t="str">
        <f t="shared" si="18"/>
        <v/>
      </c>
      <c r="BG556" t="str">
        <f>IF($AU$3=TRUE,IF(AL556="","",SUM($AL$6:AL556)),"")</f>
        <v/>
      </c>
      <c r="BH556" t="str">
        <f>IF($AV$3=TRUE,IF(AM556="","",SUM($AM$6:AM556)),"")</f>
        <v/>
      </c>
      <c r="BI556" t="str">
        <f>IF($AW$3=TRUE,IF(AN556="","",SUM($AN$6:AN556)),"")</f>
        <v/>
      </c>
      <c r="BJ556" t="str">
        <f>IF($AX$3=TRUE,IF(AO556="","",SUM($AO$6:AO556)),"")</f>
        <v/>
      </c>
      <c r="BK556" t="str">
        <f>IF($AY$3=TRUE,IF(AP556="","",SUM($AP$6:AP556)),"")</f>
        <v/>
      </c>
      <c r="BL556" t="str">
        <f>IF($AZ$3=TRUE,IF(AQ556="","",SUM($AQ$6:AQ556)),"")</f>
        <v/>
      </c>
      <c r="BM556" t="str">
        <f>IF($BA$3=TRUE,IF(AR556="","",SUM($AR$6:AR556)),"")</f>
        <v/>
      </c>
      <c r="BN556" t="str">
        <f>IF($BB$3=TRUE,IF(AS556="","",SUM($AS$6:AS556)),"")</f>
        <v/>
      </c>
    </row>
    <row r="557" spans="34:66" x14ac:dyDescent="0.25">
      <c r="AH557" s="75"/>
      <c r="AK557" s="75"/>
      <c r="BF557" s="75" t="str">
        <f t="shared" si="18"/>
        <v/>
      </c>
      <c r="BG557" t="str">
        <f>IF($AU$3=TRUE,IF(AL557="","",SUM($AL$6:AL557)),"")</f>
        <v/>
      </c>
      <c r="BH557" t="str">
        <f>IF($AV$3=TRUE,IF(AM557="","",SUM($AM$6:AM557)),"")</f>
        <v/>
      </c>
      <c r="BI557" t="str">
        <f>IF($AW$3=TRUE,IF(AN557="","",SUM($AN$6:AN557)),"")</f>
        <v/>
      </c>
      <c r="BJ557" t="str">
        <f>IF($AX$3=TRUE,IF(AO557="","",SUM($AO$6:AO557)),"")</f>
        <v/>
      </c>
      <c r="BK557" t="str">
        <f>IF($AY$3=TRUE,IF(AP557="","",SUM($AP$6:AP557)),"")</f>
        <v/>
      </c>
      <c r="BL557" t="str">
        <f>IF($AZ$3=TRUE,IF(AQ557="","",SUM($AQ$6:AQ557)),"")</f>
        <v/>
      </c>
      <c r="BM557" t="str">
        <f>IF($BA$3=TRUE,IF(AR557="","",SUM($AR$6:AR557)),"")</f>
        <v/>
      </c>
      <c r="BN557" t="str">
        <f>IF($BB$3=TRUE,IF(AS557="","",SUM($AS$6:AS557)),"")</f>
        <v/>
      </c>
    </row>
    <row r="558" spans="34:66" x14ac:dyDescent="0.25">
      <c r="AH558" s="75"/>
      <c r="AK558" s="75"/>
      <c r="BF558" s="75" t="str">
        <f t="shared" si="18"/>
        <v/>
      </c>
      <c r="BG558" t="str">
        <f>IF($AU$3=TRUE,IF(AL558="","",SUM($AL$6:AL558)),"")</f>
        <v/>
      </c>
      <c r="BH558" t="str">
        <f>IF($AV$3=TRUE,IF(AM558="","",SUM($AM$6:AM558)),"")</f>
        <v/>
      </c>
      <c r="BI558" t="str">
        <f>IF($AW$3=TRUE,IF(AN558="","",SUM($AN$6:AN558)),"")</f>
        <v/>
      </c>
      <c r="BJ558" t="str">
        <f>IF($AX$3=TRUE,IF(AO558="","",SUM($AO$6:AO558)),"")</f>
        <v/>
      </c>
      <c r="BK558" t="str">
        <f>IF($AY$3=TRUE,IF(AP558="","",SUM($AP$6:AP558)),"")</f>
        <v/>
      </c>
      <c r="BL558" t="str">
        <f>IF($AZ$3=TRUE,IF(AQ558="","",SUM($AQ$6:AQ558)),"")</f>
        <v/>
      </c>
      <c r="BM558" t="str">
        <f>IF($BA$3=TRUE,IF(AR558="","",SUM($AR$6:AR558)),"")</f>
        <v/>
      </c>
      <c r="BN558" t="str">
        <f>IF($BB$3=TRUE,IF(AS558="","",SUM($AS$6:AS558)),"")</f>
        <v/>
      </c>
    </row>
    <row r="559" spans="34:66" x14ac:dyDescent="0.25">
      <c r="AH559" s="75"/>
      <c r="AK559" s="75"/>
      <c r="BF559" s="75" t="str">
        <f t="shared" si="18"/>
        <v/>
      </c>
      <c r="BG559" t="str">
        <f>IF($AU$3=TRUE,IF(AL559="","",SUM($AL$6:AL559)),"")</f>
        <v/>
      </c>
      <c r="BH559" t="str">
        <f>IF($AV$3=TRUE,IF(AM559="","",SUM($AM$6:AM559)),"")</f>
        <v/>
      </c>
      <c r="BI559" t="str">
        <f>IF($AW$3=TRUE,IF(AN559="","",SUM($AN$6:AN559)),"")</f>
        <v/>
      </c>
      <c r="BJ559" t="str">
        <f>IF($AX$3=TRUE,IF(AO559="","",SUM($AO$6:AO559)),"")</f>
        <v/>
      </c>
      <c r="BK559" t="str">
        <f>IF($AY$3=TRUE,IF(AP559="","",SUM($AP$6:AP559)),"")</f>
        <v/>
      </c>
      <c r="BL559" t="str">
        <f>IF($AZ$3=TRUE,IF(AQ559="","",SUM($AQ$6:AQ559)),"")</f>
        <v/>
      </c>
      <c r="BM559" t="str">
        <f>IF($BA$3=TRUE,IF(AR559="","",SUM($AR$6:AR559)),"")</f>
        <v/>
      </c>
      <c r="BN559" t="str">
        <f>IF($BB$3=TRUE,IF(AS559="","",SUM($AS$6:AS559)),"")</f>
        <v/>
      </c>
    </row>
    <row r="560" spans="34:66" x14ac:dyDescent="0.25">
      <c r="AH560" s="75"/>
      <c r="AK560" s="75"/>
      <c r="BF560" s="75" t="str">
        <f t="shared" si="18"/>
        <v/>
      </c>
      <c r="BG560" t="str">
        <f>IF($AU$3=TRUE,IF(AL560="","",SUM($AL$6:AL560)),"")</f>
        <v/>
      </c>
      <c r="BH560" t="str">
        <f>IF($AV$3=TRUE,IF(AM560="","",SUM($AM$6:AM560)),"")</f>
        <v/>
      </c>
      <c r="BI560" t="str">
        <f>IF($AW$3=TRUE,IF(AN560="","",SUM($AN$6:AN560)),"")</f>
        <v/>
      </c>
      <c r="BJ560" t="str">
        <f>IF($AX$3=TRUE,IF(AO560="","",SUM($AO$6:AO560)),"")</f>
        <v/>
      </c>
      <c r="BK560" t="str">
        <f>IF($AY$3=TRUE,IF(AP560="","",SUM($AP$6:AP560)),"")</f>
        <v/>
      </c>
      <c r="BL560" t="str">
        <f>IF($AZ$3=TRUE,IF(AQ560="","",SUM($AQ$6:AQ560)),"")</f>
        <v/>
      </c>
      <c r="BM560" t="str">
        <f>IF($BA$3=TRUE,IF(AR560="","",SUM($AR$6:AR560)),"")</f>
        <v/>
      </c>
      <c r="BN560" t="str">
        <f>IF($BB$3=TRUE,IF(AS560="","",SUM($AS$6:AS560)),"")</f>
        <v/>
      </c>
    </row>
    <row r="561" spans="34:66" x14ac:dyDescent="0.25">
      <c r="AH561" s="75"/>
      <c r="AK561" s="75"/>
      <c r="BF561" s="75" t="str">
        <f t="shared" si="18"/>
        <v/>
      </c>
      <c r="BG561" t="str">
        <f>IF($AU$3=TRUE,IF(AL561="","",SUM($AL$6:AL561)),"")</f>
        <v/>
      </c>
      <c r="BH561" t="str">
        <f>IF($AV$3=TRUE,IF(AM561="","",SUM($AM$6:AM561)),"")</f>
        <v/>
      </c>
      <c r="BI561" t="str">
        <f>IF($AW$3=TRUE,IF(AN561="","",SUM($AN$6:AN561)),"")</f>
        <v/>
      </c>
      <c r="BJ561" t="str">
        <f>IF($AX$3=TRUE,IF(AO561="","",SUM($AO$6:AO561)),"")</f>
        <v/>
      </c>
      <c r="BK561" t="str">
        <f>IF($AY$3=TRUE,IF(AP561="","",SUM($AP$6:AP561)),"")</f>
        <v/>
      </c>
      <c r="BL561" t="str">
        <f>IF($AZ$3=TRUE,IF(AQ561="","",SUM($AQ$6:AQ561)),"")</f>
        <v/>
      </c>
      <c r="BM561" t="str">
        <f>IF($BA$3=TRUE,IF(AR561="","",SUM($AR$6:AR561)),"")</f>
        <v/>
      </c>
      <c r="BN561" t="str">
        <f>IF($BB$3=TRUE,IF(AS561="","",SUM($AS$6:AS561)),"")</f>
        <v/>
      </c>
    </row>
    <row r="562" spans="34:66" x14ac:dyDescent="0.25">
      <c r="AH562" s="75"/>
      <c r="AK562" s="75"/>
      <c r="BF562" s="75" t="str">
        <f t="shared" si="18"/>
        <v/>
      </c>
      <c r="BG562" t="str">
        <f>IF($AU$3=TRUE,IF(AL562="","",SUM($AL$6:AL562)),"")</f>
        <v/>
      </c>
      <c r="BH562" t="str">
        <f>IF($AV$3=TRUE,IF(AM562="","",SUM($AM$6:AM562)),"")</f>
        <v/>
      </c>
      <c r="BI562" t="str">
        <f>IF($AW$3=TRUE,IF(AN562="","",SUM($AN$6:AN562)),"")</f>
        <v/>
      </c>
      <c r="BJ562" t="str">
        <f>IF($AX$3=TRUE,IF(AO562="","",SUM($AO$6:AO562)),"")</f>
        <v/>
      </c>
      <c r="BK562" t="str">
        <f>IF($AY$3=TRUE,IF(AP562="","",SUM($AP$6:AP562)),"")</f>
        <v/>
      </c>
      <c r="BL562" t="str">
        <f>IF($AZ$3=TRUE,IF(AQ562="","",SUM($AQ$6:AQ562)),"")</f>
        <v/>
      </c>
      <c r="BM562" t="str">
        <f>IF($BA$3=TRUE,IF(AR562="","",SUM($AR$6:AR562)),"")</f>
        <v/>
      </c>
      <c r="BN562" t="str">
        <f>IF($BB$3=TRUE,IF(AS562="","",SUM($AS$6:AS562)),"")</f>
        <v/>
      </c>
    </row>
    <row r="563" spans="34:66" x14ac:dyDescent="0.25">
      <c r="AH563" s="75"/>
      <c r="AK563" s="75"/>
      <c r="BF563" s="75" t="str">
        <f t="shared" si="18"/>
        <v/>
      </c>
      <c r="BG563" t="str">
        <f>IF($AU$3=TRUE,IF(AL563="","",SUM($AL$6:AL563)),"")</f>
        <v/>
      </c>
      <c r="BH563" t="str">
        <f>IF($AV$3=TRUE,IF(AM563="","",SUM($AM$6:AM563)),"")</f>
        <v/>
      </c>
      <c r="BI563" t="str">
        <f>IF($AW$3=TRUE,IF(AN563="","",SUM($AN$6:AN563)),"")</f>
        <v/>
      </c>
      <c r="BJ563" t="str">
        <f>IF($AX$3=TRUE,IF(AO563="","",SUM($AO$6:AO563)),"")</f>
        <v/>
      </c>
      <c r="BK563" t="str">
        <f>IF($AY$3=TRUE,IF(AP563="","",SUM($AP$6:AP563)),"")</f>
        <v/>
      </c>
      <c r="BL563" t="str">
        <f>IF($AZ$3=TRUE,IF(AQ563="","",SUM($AQ$6:AQ563)),"")</f>
        <v/>
      </c>
      <c r="BM563" t="str">
        <f>IF($BA$3=TRUE,IF(AR563="","",SUM($AR$6:AR563)),"")</f>
        <v/>
      </c>
      <c r="BN563" t="str">
        <f>IF($BB$3=TRUE,IF(AS563="","",SUM($AS$6:AS563)),"")</f>
        <v/>
      </c>
    </row>
    <row r="564" spans="34:66" x14ac:dyDescent="0.25">
      <c r="AH564" s="75"/>
      <c r="AK564" s="75"/>
      <c r="BF564" s="75" t="str">
        <f t="shared" si="18"/>
        <v/>
      </c>
      <c r="BG564" t="str">
        <f>IF($AU$3=TRUE,IF(AL564="","",SUM($AL$6:AL564)),"")</f>
        <v/>
      </c>
      <c r="BH564" t="str">
        <f>IF($AV$3=TRUE,IF(AM564="","",SUM($AM$6:AM564)),"")</f>
        <v/>
      </c>
      <c r="BI564" t="str">
        <f>IF($AW$3=TRUE,IF(AN564="","",SUM($AN$6:AN564)),"")</f>
        <v/>
      </c>
      <c r="BJ564" t="str">
        <f>IF($AX$3=TRUE,IF(AO564="","",SUM($AO$6:AO564)),"")</f>
        <v/>
      </c>
      <c r="BK564" t="str">
        <f>IF($AY$3=TRUE,IF(AP564="","",SUM($AP$6:AP564)),"")</f>
        <v/>
      </c>
      <c r="BL564" t="str">
        <f>IF($AZ$3=TRUE,IF(AQ564="","",SUM($AQ$6:AQ564)),"")</f>
        <v/>
      </c>
      <c r="BM564" t="str">
        <f>IF($BA$3=TRUE,IF(AR564="","",SUM($AR$6:AR564)),"")</f>
        <v/>
      </c>
      <c r="BN564" t="str">
        <f>IF($BB$3=TRUE,IF(AS564="","",SUM($AS$6:AS564)),"")</f>
        <v/>
      </c>
    </row>
    <row r="565" spans="34:66" x14ac:dyDescent="0.25">
      <c r="AH565" s="75"/>
      <c r="AK565" s="75"/>
      <c r="BF565" s="75" t="str">
        <f t="shared" si="18"/>
        <v/>
      </c>
      <c r="BG565" t="str">
        <f>IF($AU$3=TRUE,IF(AL565="","",SUM($AL$6:AL565)),"")</f>
        <v/>
      </c>
      <c r="BH565" t="str">
        <f>IF($AV$3=TRUE,IF(AM565="","",SUM($AM$6:AM565)),"")</f>
        <v/>
      </c>
      <c r="BI565" t="str">
        <f>IF($AW$3=TRUE,IF(AN565="","",SUM($AN$6:AN565)),"")</f>
        <v/>
      </c>
      <c r="BJ565" t="str">
        <f>IF($AX$3=TRUE,IF(AO565="","",SUM($AO$6:AO565)),"")</f>
        <v/>
      </c>
      <c r="BK565" t="str">
        <f>IF($AY$3=TRUE,IF(AP565="","",SUM($AP$6:AP565)),"")</f>
        <v/>
      </c>
      <c r="BL565" t="str">
        <f>IF($AZ$3=TRUE,IF(AQ565="","",SUM($AQ$6:AQ565)),"")</f>
        <v/>
      </c>
      <c r="BM565" t="str">
        <f>IF($BA$3=TRUE,IF(AR565="","",SUM($AR$6:AR565)),"")</f>
        <v/>
      </c>
      <c r="BN565" t="str">
        <f>IF($BB$3=TRUE,IF(AS565="","",SUM($AS$6:AS565)),"")</f>
        <v/>
      </c>
    </row>
    <row r="566" spans="34:66" x14ac:dyDescent="0.25">
      <c r="AH566" s="75"/>
      <c r="AK566" s="75"/>
      <c r="BF566" s="75" t="str">
        <f t="shared" si="18"/>
        <v/>
      </c>
      <c r="BG566" t="str">
        <f>IF($AU$3=TRUE,IF(AL566="","",SUM($AL$6:AL566)),"")</f>
        <v/>
      </c>
      <c r="BH566" t="str">
        <f>IF($AV$3=TRUE,IF(AM566="","",SUM($AM$6:AM566)),"")</f>
        <v/>
      </c>
      <c r="BI566" t="str">
        <f>IF($AW$3=TRUE,IF(AN566="","",SUM($AN$6:AN566)),"")</f>
        <v/>
      </c>
      <c r="BJ566" t="str">
        <f>IF($AX$3=TRUE,IF(AO566="","",SUM($AO$6:AO566)),"")</f>
        <v/>
      </c>
      <c r="BK566" t="str">
        <f>IF($AY$3=TRUE,IF(AP566="","",SUM($AP$6:AP566)),"")</f>
        <v/>
      </c>
      <c r="BL566" t="str">
        <f>IF($AZ$3=TRUE,IF(AQ566="","",SUM($AQ$6:AQ566)),"")</f>
        <v/>
      </c>
      <c r="BM566" t="str">
        <f>IF($BA$3=TRUE,IF(AR566="","",SUM($AR$6:AR566)),"")</f>
        <v/>
      </c>
      <c r="BN566" t="str">
        <f>IF($BB$3=TRUE,IF(AS566="","",SUM($AS$6:AS566)),"")</f>
        <v/>
      </c>
    </row>
    <row r="567" spans="34:66" x14ac:dyDescent="0.25">
      <c r="AH567" s="75"/>
      <c r="AK567" s="75"/>
      <c r="BF567" s="75" t="str">
        <f t="shared" si="18"/>
        <v/>
      </c>
      <c r="BG567" t="str">
        <f>IF($AU$3=TRUE,IF(AL567="","",SUM($AL$6:AL567)),"")</f>
        <v/>
      </c>
      <c r="BH567" t="str">
        <f>IF($AV$3=TRUE,IF(AM567="","",SUM($AM$6:AM567)),"")</f>
        <v/>
      </c>
      <c r="BI567" t="str">
        <f>IF($AW$3=TRUE,IF(AN567="","",SUM($AN$6:AN567)),"")</f>
        <v/>
      </c>
      <c r="BJ567" t="str">
        <f>IF($AX$3=TRUE,IF(AO567="","",SUM($AO$6:AO567)),"")</f>
        <v/>
      </c>
      <c r="BK567" t="str">
        <f>IF($AY$3=TRUE,IF(AP567="","",SUM($AP$6:AP567)),"")</f>
        <v/>
      </c>
      <c r="BL567" t="str">
        <f>IF($AZ$3=TRUE,IF(AQ567="","",SUM($AQ$6:AQ567)),"")</f>
        <v/>
      </c>
      <c r="BM567" t="str">
        <f>IF($BA$3=TRUE,IF(AR567="","",SUM($AR$6:AR567)),"")</f>
        <v/>
      </c>
      <c r="BN567" t="str">
        <f>IF($BB$3=TRUE,IF(AS567="","",SUM($AS$6:AS567)),"")</f>
        <v/>
      </c>
    </row>
    <row r="568" spans="34:66" x14ac:dyDescent="0.25">
      <c r="AH568" s="75"/>
      <c r="AK568" s="75"/>
      <c r="BF568" s="75" t="str">
        <f t="shared" si="18"/>
        <v/>
      </c>
      <c r="BG568" t="str">
        <f>IF($AU$3=TRUE,IF(AL568="","",SUM($AL$6:AL568)),"")</f>
        <v/>
      </c>
      <c r="BH568" t="str">
        <f>IF($AV$3=TRUE,IF(AM568="","",SUM($AM$6:AM568)),"")</f>
        <v/>
      </c>
      <c r="BI568" t="str">
        <f>IF($AW$3=TRUE,IF(AN568="","",SUM($AN$6:AN568)),"")</f>
        <v/>
      </c>
      <c r="BJ568" t="str">
        <f>IF($AX$3=TRUE,IF(AO568="","",SUM($AO$6:AO568)),"")</f>
        <v/>
      </c>
      <c r="BK568" t="str">
        <f>IF($AY$3=TRUE,IF(AP568="","",SUM($AP$6:AP568)),"")</f>
        <v/>
      </c>
      <c r="BL568" t="str">
        <f>IF($AZ$3=TRUE,IF(AQ568="","",SUM($AQ$6:AQ568)),"")</f>
        <v/>
      </c>
      <c r="BM568" t="str">
        <f>IF($BA$3=TRUE,IF(AR568="","",SUM($AR$6:AR568)),"")</f>
        <v/>
      </c>
      <c r="BN568" t="str">
        <f>IF($BB$3=TRUE,IF(AS568="","",SUM($AS$6:AS568)),"")</f>
        <v/>
      </c>
    </row>
    <row r="569" spans="34:66" x14ac:dyDescent="0.25">
      <c r="AH569" s="75"/>
      <c r="AK569" s="75"/>
      <c r="BF569" s="75" t="str">
        <f t="shared" si="18"/>
        <v/>
      </c>
      <c r="BG569" t="str">
        <f>IF($AU$3=TRUE,IF(AL569="","",SUM($AL$6:AL569)),"")</f>
        <v/>
      </c>
      <c r="BH569" t="str">
        <f>IF($AV$3=TRUE,IF(AM569="","",SUM($AM$6:AM569)),"")</f>
        <v/>
      </c>
      <c r="BI569" t="str">
        <f>IF($AW$3=TRUE,IF(AN569="","",SUM($AN$6:AN569)),"")</f>
        <v/>
      </c>
      <c r="BJ569" t="str">
        <f>IF($AX$3=TRUE,IF(AO569="","",SUM($AO$6:AO569)),"")</f>
        <v/>
      </c>
      <c r="BK569" t="str">
        <f>IF($AY$3=TRUE,IF(AP569="","",SUM($AP$6:AP569)),"")</f>
        <v/>
      </c>
      <c r="BL569" t="str">
        <f>IF($AZ$3=TRUE,IF(AQ569="","",SUM($AQ$6:AQ569)),"")</f>
        <v/>
      </c>
      <c r="BM569" t="str">
        <f>IF($BA$3=TRUE,IF(AR569="","",SUM($AR$6:AR569)),"")</f>
        <v/>
      </c>
      <c r="BN569" t="str">
        <f>IF($BB$3=TRUE,IF(AS569="","",SUM($AS$6:AS569)),"")</f>
        <v/>
      </c>
    </row>
    <row r="570" spans="34:66" x14ac:dyDescent="0.25">
      <c r="AH570" s="75"/>
      <c r="AK570" s="75"/>
      <c r="BF570" s="75" t="str">
        <f t="shared" si="18"/>
        <v/>
      </c>
      <c r="BG570" t="str">
        <f>IF($AU$3=TRUE,IF(AL570="","",SUM($AL$6:AL570)),"")</f>
        <v/>
      </c>
      <c r="BH570" t="str">
        <f>IF($AV$3=TRUE,IF(AM570="","",SUM($AM$6:AM570)),"")</f>
        <v/>
      </c>
      <c r="BI570" t="str">
        <f>IF($AW$3=TRUE,IF(AN570="","",SUM($AN$6:AN570)),"")</f>
        <v/>
      </c>
      <c r="BJ570" t="str">
        <f>IF($AX$3=TRUE,IF(AO570="","",SUM($AO$6:AO570)),"")</f>
        <v/>
      </c>
      <c r="BK570" t="str">
        <f>IF($AY$3=TRUE,IF(AP570="","",SUM($AP$6:AP570)),"")</f>
        <v/>
      </c>
      <c r="BL570" t="str">
        <f>IF($AZ$3=TRUE,IF(AQ570="","",SUM($AQ$6:AQ570)),"")</f>
        <v/>
      </c>
      <c r="BM570" t="str">
        <f>IF($BA$3=TRUE,IF(AR570="","",SUM($AR$6:AR570)),"")</f>
        <v/>
      </c>
      <c r="BN570" t="str">
        <f>IF($BB$3=TRUE,IF(AS570="","",SUM($AS$6:AS570)),"")</f>
        <v/>
      </c>
    </row>
    <row r="571" spans="34:66" x14ac:dyDescent="0.25">
      <c r="AH571" s="75"/>
      <c r="AK571" s="75"/>
      <c r="BF571" s="75" t="str">
        <f t="shared" si="18"/>
        <v/>
      </c>
      <c r="BG571" t="str">
        <f>IF($AU$3=TRUE,IF(AL571="","",SUM($AL$6:AL571)),"")</f>
        <v/>
      </c>
      <c r="BH571" t="str">
        <f>IF($AV$3=TRUE,IF(AM571="","",SUM($AM$6:AM571)),"")</f>
        <v/>
      </c>
      <c r="BI571" t="str">
        <f>IF($AW$3=TRUE,IF(AN571="","",SUM($AN$6:AN571)),"")</f>
        <v/>
      </c>
      <c r="BJ571" t="str">
        <f>IF($AX$3=TRUE,IF(AO571="","",SUM($AO$6:AO571)),"")</f>
        <v/>
      </c>
      <c r="BK571" t="str">
        <f>IF($AY$3=TRUE,IF(AP571="","",SUM($AP$6:AP571)),"")</f>
        <v/>
      </c>
      <c r="BL571" t="str">
        <f>IF($AZ$3=TRUE,IF(AQ571="","",SUM($AQ$6:AQ571)),"")</f>
        <v/>
      </c>
      <c r="BM571" t="str">
        <f>IF($BA$3=TRUE,IF(AR571="","",SUM($AR$6:AR571)),"")</f>
        <v/>
      </c>
      <c r="BN571" t="str">
        <f>IF($BB$3=TRUE,IF(AS571="","",SUM($AS$6:AS571)),"")</f>
        <v/>
      </c>
    </row>
    <row r="572" spans="34:66" x14ac:dyDescent="0.25">
      <c r="AH572" s="75"/>
      <c r="AK572" s="75"/>
      <c r="BF572" s="75" t="str">
        <f t="shared" si="18"/>
        <v/>
      </c>
      <c r="BG572" t="str">
        <f>IF($AU$3=TRUE,IF(AL572="","",SUM($AL$6:AL572)),"")</f>
        <v/>
      </c>
      <c r="BH572" t="str">
        <f>IF($AV$3=TRUE,IF(AM572="","",SUM($AM$6:AM572)),"")</f>
        <v/>
      </c>
      <c r="BI572" t="str">
        <f>IF($AW$3=TRUE,IF(AN572="","",SUM($AN$6:AN572)),"")</f>
        <v/>
      </c>
      <c r="BJ572" t="str">
        <f>IF($AX$3=TRUE,IF(AO572="","",SUM($AO$6:AO572)),"")</f>
        <v/>
      </c>
      <c r="BK572" t="str">
        <f>IF($AY$3=TRUE,IF(AP572="","",SUM($AP$6:AP572)),"")</f>
        <v/>
      </c>
      <c r="BL572" t="str">
        <f>IF($AZ$3=TRUE,IF(AQ572="","",SUM($AQ$6:AQ572)),"")</f>
        <v/>
      </c>
      <c r="BM572" t="str">
        <f>IF($BA$3=TRUE,IF(AR572="","",SUM($AR$6:AR572)),"")</f>
        <v/>
      </c>
      <c r="BN572" t="str">
        <f>IF($BB$3=TRUE,IF(AS572="","",SUM($AS$6:AS572)),"")</f>
        <v/>
      </c>
    </row>
    <row r="573" spans="34:66" x14ac:dyDescent="0.25">
      <c r="AH573" s="75"/>
      <c r="AK573" s="75"/>
      <c r="BF573" s="75" t="str">
        <f t="shared" si="18"/>
        <v/>
      </c>
      <c r="BG573" t="str">
        <f>IF($AU$3=TRUE,IF(AL573="","",SUM($AL$6:AL573)),"")</f>
        <v/>
      </c>
      <c r="BH573" t="str">
        <f>IF($AV$3=TRUE,IF(AM573="","",SUM($AM$6:AM573)),"")</f>
        <v/>
      </c>
      <c r="BI573" t="str">
        <f>IF($AW$3=TRUE,IF(AN573="","",SUM($AN$6:AN573)),"")</f>
        <v/>
      </c>
      <c r="BJ573" t="str">
        <f>IF($AX$3=TRUE,IF(AO573="","",SUM($AO$6:AO573)),"")</f>
        <v/>
      </c>
      <c r="BK573" t="str">
        <f>IF($AY$3=TRUE,IF(AP573="","",SUM($AP$6:AP573)),"")</f>
        <v/>
      </c>
      <c r="BL573" t="str">
        <f>IF($AZ$3=TRUE,IF(AQ573="","",SUM($AQ$6:AQ573)),"")</f>
        <v/>
      </c>
      <c r="BM573" t="str">
        <f>IF($BA$3=TRUE,IF(AR573="","",SUM($AR$6:AR573)),"")</f>
        <v/>
      </c>
      <c r="BN573" t="str">
        <f>IF($BB$3=TRUE,IF(AS573="","",SUM($AS$6:AS573)),"")</f>
        <v/>
      </c>
    </row>
    <row r="574" spans="34:66" x14ac:dyDescent="0.25">
      <c r="AH574" s="75"/>
      <c r="AK574" s="75"/>
      <c r="BF574" s="75" t="str">
        <f t="shared" si="18"/>
        <v/>
      </c>
      <c r="BG574" t="str">
        <f>IF($AU$3=TRUE,IF(AL574="","",SUM($AL$6:AL574)),"")</f>
        <v/>
      </c>
      <c r="BH574" t="str">
        <f>IF($AV$3=TRUE,IF(AM574="","",SUM($AM$6:AM574)),"")</f>
        <v/>
      </c>
      <c r="BI574" t="str">
        <f>IF($AW$3=TRUE,IF(AN574="","",SUM($AN$6:AN574)),"")</f>
        <v/>
      </c>
      <c r="BJ574" t="str">
        <f>IF($AX$3=TRUE,IF(AO574="","",SUM($AO$6:AO574)),"")</f>
        <v/>
      </c>
      <c r="BK574" t="str">
        <f>IF($AY$3=TRUE,IF(AP574="","",SUM($AP$6:AP574)),"")</f>
        <v/>
      </c>
      <c r="BL574" t="str">
        <f>IF($AZ$3=TRUE,IF(AQ574="","",SUM($AQ$6:AQ574)),"")</f>
        <v/>
      </c>
      <c r="BM574" t="str">
        <f>IF($BA$3=TRUE,IF(AR574="","",SUM($AR$6:AR574)),"")</f>
        <v/>
      </c>
      <c r="BN574" t="str">
        <f>IF($BB$3=TRUE,IF(AS574="","",SUM($AS$6:AS574)),"")</f>
        <v/>
      </c>
    </row>
    <row r="575" spans="34:66" x14ac:dyDescent="0.25">
      <c r="AH575" s="75"/>
      <c r="AK575" s="75"/>
      <c r="BF575" s="75" t="str">
        <f t="shared" si="18"/>
        <v/>
      </c>
      <c r="BG575" t="str">
        <f>IF($AU$3=TRUE,IF(AL575="","",SUM($AL$6:AL575)),"")</f>
        <v/>
      </c>
      <c r="BH575" t="str">
        <f>IF($AV$3=TRUE,IF(AM575="","",SUM($AM$6:AM575)),"")</f>
        <v/>
      </c>
      <c r="BI575" t="str">
        <f>IF($AW$3=TRUE,IF(AN575="","",SUM($AN$6:AN575)),"")</f>
        <v/>
      </c>
      <c r="BJ575" t="str">
        <f>IF($AX$3=TRUE,IF(AO575="","",SUM($AO$6:AO575)),"")</f>
        <v/>
      </c>
      <c r="BK575" t="str">
        <f>IF($AY$3=TRUE,IF(AP575="","",SUM($AP$6:AP575)),"")</f>
        <v/>
      </c>
      <c r="BL575" t="str">
        <f>IF($AZ$3=TRUE,IF(AQ575="","",SUM($AQ$6:AQ575)),"")</f>
        <v/>
      </c>
      <c r="BM575" t="str">
        <f>IF($BA$3=TRUE,IF(AR575="","",SUM($AR$6:AR575)),"")</f>
        <v/>
      </c>
      <c r="BN575" t="str">
        <f>IF($BB$3=TRUE,IF(AS575="","",SUM($AS$6:AS575)),"")</f>
        <v/>
      </c>
    </row>
    <row r="576" spans="34:66" x14ac:dyDescent="0.25">
      <c r="AH576" s="75"/>
      <c r="AK576" s="75"/>
      <c r="BF576" s="75" t="str">
        <f t="shared" si="18"/>
        <v/>
      </c>
      <c r="BG576" t="str">
        <f>IF($AU$3=TRUE,IF(AL576="","",SUM($AL$6:AL576)),"")</f>
        <v/>
      </c>
      <c r="BH576" t="str">
        <f>IF($AV$3=TRUE,IF(AM576="","",SUM($AM$6:AM576)),"")</f>
        <v/>
      </c>
      <c r="BI576" t="str">
        <f>IF($AW$3=TRUE,IF(AN576="","",SUM($AN$6:AN576)),"")</f>
        <v/>
      </c>
      <c r="BJ576" t="str">
        <f>IF($AX$3=TRUE,IF(AO576="","",SUM($AO$6:AO576)),"")</f>
        <v/>
      </c>
      <c r="BK576" t="str">
        <f>IF($AY$3=TRUE,IF(AP576="","",SUM($AP$6:AP576)),"")</f>
        <v/>
      </c>
      <c r="BL576" t="str">
        <f>IF($AZ$3=TRUE,IF(AQ576="","",SUM($AQ$6:AQ576)),"")</f>
        <v/>
      </c>
      <c r="BM576" t="str">
        <f>IF($BA$3=TRUE,IF(AR576="","",SUM($AR$6:AR576)),"")</f>
        <v/>
      </c>
      <c r="BN576" t="str">
        <f>IF($BB$3=TRUE,IF(AS576="","",SUM($AS$6:AS576)),"")</f>
        <v/>
      </c>
    </row>
    <row r="577" spans="34:66" x14ac:dyDescent="0.25">
      <c r="AH577" s="75"/>
      <c r="AK577" s="75"/>
      <c r="BF577" s="75" t="str">
        <f t="shared" si="18"/>
        <v/>
      </c>
      <c r="BG577" t="str">
        <f>IF($AU$3=TRUE,IF(AL577="","",SUM($AL$6:AL577)),"")</f>
        <v/>
      </c>
      <c r="BH577" t="str">
        <f>IF($AV$3=TRUE,IF(AM577="","",SUM($AM$6:AM577)),"")</f>
        <v/>
      </c>
      <c r="BI577" t="str">
        <f>IF($AW$3=TRUE,IF(AN577="","",SUM($AN$6:AN577)),"")</f>
        <v/>
      </c>
      <c r="BJ577" t="str">
        <f>IF($AX$3=TRUE,IF(AO577="","",SUM($AO$6:AO577)),"")</f>
        <v/>
      </c>
      <c r="BK577" t="str">
        <f>IF($AY$3=TRUE,IF(AP577="","",SUM($AP$6:AP577)),"")</f>
        <v/>
      </c>
      <c r="BL577" t="str">
        <f>IF($AZ$3=TRUE,IF(AQ577="","",SUM($AQ$6:AQ577)),"")</f>
        <v/>
      </c>
      <c r="BM577" t="str">
        <f>IF($BA$3=TRUE,IF(AR577="","",SUM($AR$6:AR577)),"")</f>
        <v/>
      </c>
      <c r="BN577" t="str">
        <f>IF($BB$3=TRUE,IF(AS577="","",SUM($AS$6:AS577)),"")</f>
        <v/>
      </c>
    </row>
    <row r="578" spans="34:66" x14ac:dyDescent="0.25">
      <c r="AH578" s="75"/>
      <c r="AK578" s="75"/>
      <c r="BF578" s="75" t="str">
        <f t="shared" si="18"/>
        <v/>
      </c>
      <c r="BG578" t="str">
        <f>IF($AU$3=TRUE,IF(AL578="","",SUM($AL$6:AL578)),"")</f>
        <v/>
      </c>
      <c r="BH578" t="str">
        <f>IF($AV$3=TRUE,IF(AM578="","",SUM($AM$6:AM578)),"")</f>
        <v/>
      </c>
      <c r="BI578" t="str">
        <f>IF($AW$3=TRUE,IF(AN578="","",SUM($AN$6:AN578)),"")</f>
        <v/>
      </c>
      <c r="BJ578" t="str">
        <f>IF($AX$3=TRUE,IF(AO578="","",SUM($AO$6:AO578)),"")</f>
        <v/>
      </c>
      <c r="BK578" t="str">
        <f>IF($AY$3=TRUE,IF(AP578="","",SUM($AP$6:AP578)),"")</f>
        <v/>
      </c>
      <c r="BL578" t="str">
        <f>IF($AZ$3=TRUE,IF(AQ578="","",SUM($AQ$6:AQ578)),"")</f>
        <v/>
      </c>
      <c r="BM578" t="str">
        <f>IF($BA$3=TRUE,IF(AR578="","",SUM($AR$6:AR578)),"")</f>
        <v/>
      </c>
      <c r="BN578" t="str">
        <f>IF($BB$3=TRUE,IF(AS578="","",SUM($AS$6:AS578)),"")</f>
        <v/>
      </c>
    </row>
    <row r="579" spans="34:66" x14ac:dyDescent="0.25">
      <c r="AH579" s="75"/>
      <c r="AK579" s="75"/>
      <c r="BF579" s="75" t="str">
        <f t="shared" si="18"/>
        <v/>
      </c>
      <c r="BG579" t="str">
        <f>IF($AU$3=TRUE,IF(AL579="","",SUM($AL$6:AL579)),"")</f>
        <v/>
      </c>
      <c r="BH579" t="str">
        <f>IF($AV$3=TRUE,IF(AM579="","",SUM($AM$6:AM579)),"")</f>
        <v/>
      </c>
      <c r="BI579" t="str">
        <f>IF($AW$3=TRUE,IF(AN579="","",SUM($AN$6:AN579)),"")</f>
        <v/>
      </c>
      <c r="BJ579" t="str">
        <f>IF($AX$3=TRUE,IF(AO579="","",SUM($AO$6:AO579)),"")</f>
        <v/>
      </c>
      <c r="BK579" t="str">
        <f>IF($AY$3=TRUE,IF(AP579="","",SUM($AP$6:AP579)),"")</f>
        <v/>
      </c>
      <c r="BL579" t="str">
        <f>IF($AZ$3=TRUE,IF(AQ579="","",SUM($AQ$6:AQ579)),"")</f>
        <v/>
      </c>
      <c r="BM579" t="str">
        <f>IF($BA$3=TRUE,IF(AR579="","",SUM($AR$6:AR579)),"")</f>
        <v/>
      </c>
      <c r="BN579" t="str">
        <f>IF($BB$3=TRUE,IF(AS579="","",SUM($AS$6:AS579)),"")</f>
        <v/>
      </c>
    </row>
    <row r="580" spans="34:66" x14ac:dyDescent="0.25">
      <c r="AH580" s="75"/>
      <c r="AK580" s="75"/>
      <c r="BF580" s="75" t="str">
        <f t="shared" si="18"/>
        <v/>
      </c>
      <c r="BG580" t="str">
        <f>IF($AU$3=TRUE,IF(AL580="","",SUM($AL$6:AL580)),"")</f>
        <v/>
      </c>
      <c r="BH580" t="str">
        <f>IF($AV$3=TRUE,IF(AM580="","",SUM($AM$6:AM580)),"")</f>
        <v/>
      </c>
      <c r="BI580" t="str">
        <f>IF($AW$3=TRUE,IF(AN580="","",SUM($AN$6:AN580)),"")</f>
        <v/>
      </c>
      <c r="BJ580" t="str">
        <f>IF($AX$3=TRUE,IF(AO580="","",SUM($AO$6:AO580)),"")</f>
        <v/>
      </c>
      <c r="BK580" t="str">
        <f>IF($AY$3=TRUE,IF(AP580="","",SUM($AP$6:AP580)),"")</f>
        <v/>
      </c>
      <c r="BL580" t="str">
        <f>IF($AZ$3=TRUE,IF(AQ580="","",SUM($AQ$6:AQ580)),"")</f>
        <v/>
      </c>
      <c r="BM580" t="str">
        <f>IF($BA$3=TRUE,IF(AR580="","",SUM($AR$6:AR580)),"")</f>
        <v/>
      </c>
      <c r="BN580" t="str">
        <f>IF($BB$3=TRUE,IF(AS580="","",SUM($AS$6:AS580)),"")</f>
        <v/>
      </c>
    </row>
    <row r="581" spans="34:66" x14ac:dyDescent="0.25">
      <c r="AH581" s="75"/>
      <c r="AK581" s="75"/>
      <c r="BF581" s="75" t="str">
        <f t="shared" si="18"/>
        <v/>
      </c>
      <c r="BG581" t="str">
        <f>IF($AU$3=TRUE,IF(AL581="","",SUM($AL$6:AL581)),"")</f>
        <v/>
      </c>
      <c r="BH581" t="str">
        <f>IF($AV$3=TRUE,IF(AM581="","",SUM($AM$6:AM581)),"")</f>
        <v/>
      </c>
      <c r="BI581" t="str">
        <f>IF($AW$3=TRUE,IF(AN581="","",SUM($AN$6:AN581)),"")</f>
        <v/>
      </c>
      <c r="BJ581" t="str">
        <f>IF($AX$3=TRUE,IF(AO581="","",SUM($AO$6:AO581)),"")</f>
        <v/>
      </c>
      <c r="BK581" t="str">
        <f>IF($AY$3=TRUE,IF(AP581="","",SUM($AP$6:AP581)),"")</f>
        <v/>
      </c>
      <c r="BL581" t="str">
        <f>IF($AZ$3=TRUE,IF(AQ581="","",SUM($AQ$6:AQ581)),"")</f>
        <v/>
      </c>
      <c r="BM581" t="str">
        <f>IF($BA$3=TRUE,IF(AR581="","",SUM($AR$6:AR581)),"")</f>
        <v/>
      </c>
      <c r="BN581" t="str">
        <f>IF($BB$3=TRUE,IF(AS581="","",SUM($AS$6:AS581)),"")</f>
        <v/>
      </c>
    </row>
    <row r="582" spans="34:66" x14ac:dyDescent="0.25">
      <c r="AH582" s="75"/>
      <c r="AK582" s="75"/>
      <c r="BF582" s="75" t="str">
        <f t="shared" si="18"/>
        <v/>
      </c>
      <c r="BG582" t="str">
        <f>IF($AU$3=TRUE,IF(AL582="","",SUM($AL$6:AL582)),"")</f>
        <v/>
      </c>
      <c r="BH582" t="str">
        <f>IF($AV$3=TRUE,IF(AM582="","",SUM($AM$6:AM582)),"")</f>
        <v/>
      </c>
      <c r="BI582" t="str">
        <f>IF($AW$3=TRUE,IF(AN582="","",SUM($AN$6:AN582)),"")</f>
        <v/>
      </c>
      <c r="BJ582" t="str">
        <f>IF($AX$3=TRUE,IF(AO582="","",SUM($AO$6:AO582)),"")</f>
        <v/>
      </c>
      <c r="BK582" t="str">
        <f>IF($AY$3=TRUE,IF(AP582="","",SUM($AP$6:AP582)),"")</f>
        <v/>
      </c>
      <c r="BL582" t="str">
        <f>IF($AZ$3=TRUE,IF(AQ582="","",SUM($AQ$6:AQ582)),"")</f>
        <v/>
      </c>
      <c r="BM582" t="str">
        <f>IF($BA$3=TRUE,IF(AR582="","",SUM($AR$6:AR582)),"")</f>
        <v/>
      </c>
      <c r="BN582" t="str">
        <f>IF($BB$3=TRUE,IF(AS582="","",SUM($AS$6:AS582)),"")</f>
        <v/>
      </c>
    </row>
    <row r="583" spans="34:66" x14ac:dyDescent="0.25">
      <c r="AH583" s="75"/>
      <c r="AK583" s="75"/>
      <c r="BF583" s="75" t="str">
        <f t="shared" ref="BF583:BF646" si="19">IF(AK583="","",AK583)</f>
        <v/>
      </c>
      <c r="BG583" t="str">
        <f>IF($AU$3=TRUE,IF(AL583="","",SUM($AL$6:AL583)),"")</f>
        <v/>
      </c>
      <c r="BH583" t="str">
        <f>IF($AV$3=TRUE,IF(AM583="","",SUM($AM$6:AM583)),"")</f>
        <v/>
      </c>
      <c r="BI583" t="str">
        <f>IF($AW$3=TRUE,IF(AN583="","",SUM($AN$6:AN583)),"")</f>
        <v/>
      </c>
      <c r="BJ583" t="str">
        <f>IF($AX$3=TRUE,IF(AO583="","",SUM($AO$6:AO583)),"")</f>
        <v/>
      </c>
      <c r="BK583" t="str">
        <f>IF($AY$3=TRUE,IF(AP583="","",SUM($AP$6:AP583)),"")</f>
        <v/>
      </c>
      <c r="BL583" t="str">
        <f>IF($AZ$3=TRUE,IF(AQ583="","",SUM($AQ$6:AQ583)),"")</f>
        <v/>
      </c>
      <c r="BM583" t="str">
        <f>IF($BA$3=TRUE,IF(AR583="","",SUM($AR$6:AR583)),"")</f>
        <v/>
      </c>
      <c r="BN583" t="str">
        <f>IF($BB$3=TRUE,IF(AS583="","",SUM($AS$6:AS583)),"")</f>
        <v/>
      </c>
    </row>
    <row r="584" spans="34:66" x14ac:dyDescent="0.25">
      <c r="AH584" s="75"/>
      <c r="AK584" s="75"/>
      <c r="BF584" s="75" t="str">
        <f t="shared" si="19"/>
        <v/>
      </c>
      <c r="BG584" t="str">
        <f>IF($AU$3=TRUE,IF(AL584="","",SUM($AL$6:AL584)),"")</f>
        <v/>
      </c>
      <c r="BH584" t="str">
        <f>IF($AV$3=TRUE,IF(AM584="","",SUM($AM$6:AM584)),"")</f>
        <v/>
      </c>
      <c r="BI584" t="str">
        <f>IF($AW$3=TRUE,IF(AN584="","",SUM($AN$6:AN584)),"")</f>
        <v/>
      </c>
      <c r="BJ584" t="str">
        <f>IF($AX$3=TRUE,IF(AO584="","",SUM($AO$6:AO584)),"")</f>
        <v/>
      </c>
      <c r="BK584" t="str">
        <f>IF($AY$3=TRUE,IF(AP584="","",SUM($AP$6:AP584)),"")</f>
        <v/>
      </c>
      <c r="BL584" t="str">
        <f>IF($AZ$3=TRUE,IF(AQ584="","",SUM($AQ$6:AQ584)),"")</f>
        <v/>
      </c>
      <c r="BM584" t="str">
        <f>IF($BA$3=TRUE,IF(AR584="","",SUM($AR$6:AR584)),"")</f>
        <v/>
      </c>
      <c r="BN584" t="str">
        <f>IF($BB$3=TRUE,IF(AS584="","",SUM($AS$6:AS584)),"")</f>
        <v/>
      </c>
    </row>
    <row r="585" spans="34:66" x14ac:dyDescent="0.25">
      <c r="AH585" s="75"/>
      <c r="AK585" s="75"/>
      <c r="BF585" s="75" t="str">
        <f t="shared" si="19"/>
        <v/>
      </c>
      <c r="BG585" t="str">
        <f>IF($AU$3=TRUE,IF(AL585="","",SUM($AL$6:AL585)),"")</f>
        <v/>
      </c>
      <c r="BH585" t="str">
        <f>IF($AV$3=TRUE,IF(AM585="","",SUM($AM$6:AM585)),"")</f>
        <v/>
      </c>
      <c r="BI585" t="str">
        <f>IF($AW$3=TRUE,IF(AN585="","",SUM($AN$6:AN585)),"")</f>
        <v/>
      </c>
      <c r="BJ585" t="str">
        <f>IF($AX$3=TRUE,IF(AO585="","",SUM($AO$6:AO585)),"")</f>
        <v/>
      </c>
      <c r="BK585" t="str">
        <f>IF($AY$3=TRUE,IF(AP585="","",SUM($AP$6:AP585)),"")</f>
        <v/>
      </c>
      <c r="BL585" t="str">
        <f>IF($AZ$3=TRUE,IF(AQ585="","",SUM($AQ$6:AQ585)),"")</f>
        <v/>
      </c>
      <c r="BM585" t="str">
        <f>IF($BA$3=TRUE,IF(AR585="","",SUM($AR$6:AR585)),"")</f>
        <v/>
      </c>
      <c r="BN585" t="str">
        <f>IF($BB$3=TRUE,IF(AS585="","",SUM($AS$6:AS585)),"")</f>
        <v/>
      </c>
    </row>
    <row r="586" spans="34:66" x14ac:dyDescent="0.25">
      <c r="AH586" s="75"/>
      <c r="AK586" s="75"/>
      <c r="BF586" s="75" t="str">
        <f t="shared" si="19"/>
        <v/>
      </c>
      <c r="BG586" t="str">
        <f>IF($AU$3=TRUE,IF(AL586="","",SUM($AL$6:AL586)),"")</f>
        <v/>
      </c>
      <c r="BH586" t="str">
        <f>IF($AV$3=TRUE,IF(AM586="","",SUM($AM$6:AM586)),"")</f>
        <v/>
      </c>
      <c r="BI586" t="str">
        <f>IF($AW$3=TRUE,IF(AN586="","",SUM($AN$6:AN586)),"")</f>
        <v/>
      </c>
      <c r="BJ586" t="str">
        <f>IF($AX$3=TRUE,IF(AO586="","",SUM($AO$6:AO586)),"")</f>
        <v/>
      </c>
      <c r="BK586" t="str">
        <f>IF($AY$3=TRUE,IF(AP586="","",SUM($AP$6:AP586)),"")</f>
        <v/>
      </c>
      <c r="BL586" t="str">
        <f>IF($AZ$3=TRUE,IF(AQ586="","",SUM($AQ$6:AQ586)),"")</f>
        <v/>
      </c>
      <c r="BM586" t="str">
        <f>IF($BA$3=TRUE,IF(AR586="","",SUM($AR$6:AR586)),"")</f>
        <v/>
      </c>
      <c r="BN586" t="str">
        <f>IF($BB$3=TRUE,IF(AS586="","",SUM($AS$6:AS586)),"")</f>
        <v/>
      </c>
    </row>
    <row r="587" spans="34:66" x14ac:dyDescent="0.25">
      <c r="AH587" s="75"/>
      <c r="AK587" s="75"/>
      <c r="BF587" s="75" t="str">
        <f t="shared" si="19"/>
        <v/>
      </c>
      <c r="BG587" t="str">
        <f>IF($AU$3=TRUE,IF(AL587="","",SUM($AL$6:AL587)),"")</f>
        <v/>
      </c>
      <c r="BH587" t="str">
        <f>IF($AV$3=TRUE,IF(AM587="","",SUM($AM$6:AM587)),"")</f>
        <v/>
      </c>
      <c r="BI587" t="str">
        <f>IF($AW$3=TRUE,IF(AN587="","",SUM($AN$6:AN587)),"")</f>
        <v/>
      </c>
      <c r="BJ587" t="str">
        <f>IF($AX$3=TRUE,IF(AO587="","",SUM($AO$6:AO587)),"")</f>
        <v/>
      </c>
      <c r="BK587" t="str">
        <f>IF($AY$3=TRUE,IF(AP587="","",SUM($AP$6:AP587)),"")</f>
        <v/>
      </c>
      <c r="BL587" t="str">
        <f>IF($AZ$3=TRUE,IF(AQ587="","",SUM($AQ$6:AQ587)),"")</f>
        <v/>
      </c>
      <c r="BM587" t="str">
        <f>IF($BA$3=TRUE,IF(AR587="","",SUM($AR$6:AR587)),"")</f>
        <v/>
      </c>
      <c r="BN587" t="str">
        <f>IF($BB$3=TRUE,IF(AS587="","",SUM($AS$6:AS587)),"")</f>
        <v/>
      </c>
    </row>
    <row r="588" spans="34:66" x14ac:dyDescent="0.25">
      <c r="AH588" s="75"/>
      <c r="AK588" s="75"/>
      <c r="BF588" s="75" t="str">
        <f t="shared" si="19"/>
        <v/>
      </c>
      <c r="BG588" t="str">
        <f>IF($AU$3=TRUE,IF(AL588="","",SUM($AL$6:AL588)),"")</f>
        <v/>
      </c>
      <c r="BH588" t="str">
        <f>IF($AV$3=TRUE,IF(AM588="","",SUM($AM$6:AM588)),"")</f>
        <v/>
      </c>
      <c r="BI588" t="str">
        <f>IF($AW$3=TRUE,IF(AN588="","",SUM($AN$6:AN588)),"")</f>
        <v/>
      </c>
      <c r="BJ588" t="str">
        <f>IF($AX$3=TRUE,IF(AO588="","",SUM($AO$6:AO588)),"")</f>
        <v/>
      </c>
      <c r="BK588" t="str">
        <f>IF($AY$3=TRUE,IF(AP588="","",SUM($AP$6:AP588)),"")</f>
        <v/>
      </c>
      <c r="BL588" t="str">
        <f>IF($AZ$3=TRUE,IF(AQ588="","",SUM($AQ$6:AQ588)),"")</f>
        <v/>
      </c>
      <c r="BM588" t="str">
        <f>IF($BA$3=TRUE,IF(AR588="","",SUM($AR$6:AR588)),"")</f>
        <v/>
      </c>
      <c r="BN588" t="str">
        <f>IF($BB$3=TRUE,IF(AS588="","",SUM($AS$6:AS588)),"")</f>
        <v/>
      </c>
    </row>
    <row r="589" spans="34:66" x14ac:dyDescent="0.25">
      <c r="AH589" s="75"/>
      <c r="AK589" s="75"/>
      <c r="BF589" s="75" t="str">
        <f t="shared" si="19"/>
        <v/>
      </c>
      <c r="BG589" t="str">
        <f>IF($AU$3=TRUE,IF(AL589="","",SUM($AL$6:AL589)),"")</f>
        <v/>
      </c>
      <c r="BH589" t="str">
        <f>IF($AV$3=TRUE,IF(AM589="","",SUM($AM$6:AM589)),"")</f>
        <v/>
      </c>
      <c r="BI589" t="str">
        <f>IF($AW$3=TRUE,IF(AN589="","",SUM($AN$6:AN589)),"")</f>
        <v/>
      </c>
      <c r="BJ589" t="str">
        <f>IF($AX$3=TRUE,IF(AO589="","",SUM($AO$6:AO589)),"")</f>
        <v/>
      </c>
      <c r="BK589" t="str">
        <f>IF($AY$3=TRUE,IF(AP589="","",SUM($AP$6:AP589)),"")</f>
        <v/>
      </c>
      <c r="BL589" t="str">
        <f>IF($AZ$3=TRUE,IF(AQ589="","",SUM($AQ$6:AQ589)),"")</f>
        <v/>
      </c>
      <c r="BM589" t="str">
        <f>IF($BA$3=TRUE,IF(AR589="","",SUM($AR$6:AR589)),"")</f>
        <v/>
      </c>
      <c r="BN589" t="str">
        <f>IF($BB$3=TRUE,IF(AS589="","",SUM($AS$6:AS589)),"")</f>
        <v/>
      </c>
    </row>
    <row r="590" spans="34:66" x14ac:dyDescent="0.25">
      <c r="AH590" s="75"/>
      <c r="AK590" s="75"/>
      <c r="BF590" s="75" t="str">
        <f t="shared" si="19"/>
        <v/>
      </c>
      <c r="BG590" t="str">
        <f>IF($AU$3=TRUE,IF(AL590="","",SUM($AL$6:AL590)),"")</f>
        <v/>
      </c>
      <c r="BH590" t="str">
        <f>IF($AV$3=TRUE,IF(AM590="","",SUM($AM$6:AM590)),"")</f>
        <v/>
      </c>
      <c r="BI590" t="str">
        <f>IF($AW$3=TRUE,IF(AN590="","",SUM($AN$6:AN590)),"")</f>
        <v/>
      </c>
      <c r="BJ590" t="str">
        <f>IF($AX$3=TRUE,IF(AO590="","",SUM($AO$6:AO590)),"")</f>
        <v/>
      </c>
      <c r="BK590" t="str">
        <f>IF($AY$3=TRUE,IF(AP590="","",SUM($AP$6:AP590)),"")</f>
        <v/>
      </c>
      <c r="BL590" t="str">
        <f>IF($AZ$3=TRUE,IF(AQ590="","",SUM($AQ$6:AQ590)),"")</f>
        <v/>
      </c>
      <c r="BM590" t="str">
        <f>IF($BA$3=TRUE,IF(AR590="","",SUM($AR$6:AR590)),"")</f>
        <v/>
      </c>
      <c r="BN590" t="str">
        <f>IF($BB$3=TRUE,IF(AS590="","",SUM($AS$6:AS590)),"")</f>
        <v/>
      </c>
    </row>
    <row r="591" spans="34:66" x14ac:dyDescent="0.25">
      <c r="AH591" s="75"/>
      <c r="AK591" s="75"/>
      <c r="BF591" s="75" t="str">
        <f t="shared" si="19"/>
        <v/>
      </c>
      <c r="BG591" t="str">
        <f>IF($AU$3=TRUE,IF(AL591="","",SUM($AL$6:AL591)),"")</f>
        <v/>
      </c>
      <c r="BH591" t="str">
        <f>IF($AV$3=TRUE,IF(AM591="","",SUM($AM$6:AM591)),"")</f>
        <v/>
      </c>
      <c r="BI591" t="str">
        <f>IF($AW$3=TRUE,IF(AN591="","",SUM($AN$6:AN591)),"")</f>
        <v/>
      </c>
      <c r="BJ591" t="str">
        <f>IF($AX$3=TRUE,IF(AO591="","",SUM($AO$6:AO591)),"")</f>
        <v/>
      </c>
      <c r="BK591" t="str">
        <f>IF($AY$3=TRUE,IF(AP591="","",SUM($AP$6:AP591)),"")</f>
        <v/>
      </c>
      <c r="BL591" t="str">
        <f>IF($AZ$3=TRUE,IF(AQ591="","",SUM($AQ$6:AQ591)),"")</f>
        <v/>
      </c>
      <c r="BM591" t="str">
        <f>IF($BA$3=TRUE,IF(AR591="","",SUM($AR$6:AR591)),"")</f>
        <v/>
      </c>
      <c r="BN591" t="str">
        <f>IF($BB$3=TRUE,IF(AS591="","",SUM($AS$6:AS591)),"")</f>
        <v/>
      </c>
    </row>
    <row r="592" spans="34:66" x14ac:dyDescent="0.25">
      <c r="AH592" s="75"/>
      <c r="AK592" s="75"/>
      <c r="BF592" s="75" t="str">
        <f t="shared" si="19"/>
        <v/>
      </c>
      <c r="BG592" t="str">
        <f>IF($AU$3=TRUE,IF(AL592="","",SUM($AL$6:AL592)),"")</f>
        <v/>
      </c>
      <c r="BH592" t="str">
        <f>IF($AV$3=TRUE,IF(AM592="","",SUM($AM$6:AM592)),"")</f>
        <v/>
      </c>
      <c r="BI592" t="str">
        <f>IF($AW$3=TRUE,IF(AN592="","",SUM($AN$6:AN592)),"")</f>
        <v/>
      </c>
      <c r="BJ592" t="str">
        <f>IF($AX$3=TRUE,IF(AO592="","",SUM($AO$6:AO592)),"")</f>
        <v/>
      </c>
      <c r="BK592" t="str">
        <f>IF($AY$3=TRUE,IF(AP592="","",SUM($AP$6:AP592)),"")</f>
        <v/>
      </c>
      <c r="BL592" t="str">
        <f>IF($AZ$3=TRUE,IF(AQ592="","",SUM($AQ$6:AQ592)),"")</f>
        <v/>
      </c>
      <c r="BM592" t="str">
        <f>IF($BA$3=TRUE,IF(AR592="","",SUM($AR$6:AR592)),"")</f>
        <v/>
      </c>
      <c r="BN592" t="str">
        <f>IF($BB$3=TRUE,IF(AS592="","",SUM($AS$6:AS592)),"")</f>
        <v/>
      </c>
    </row>
    <row r="593" spans="34:66" x14ac:dyDescent="0.25">
      <c r="AH593" s="75"/>
      <c r="AK593" s="75"/>
      <c r="BF593" s="75" t="str">
        <f t="shared" si="19"/>
        <v/>
      </c>
      <c r="BG593" t="str">
        <f>IF($AU$3=TRUE,IF(AL593="","",SUM($AL$6:AL593)),"")</f>
        <v/>
      </c>
      <c r="BH593" t="str">
        <f>IF($AV$3=TRUE,IF(AM593="","",SUM($AM$6:AM593)),"")</f>
        <v/>
      </c>
      <c r="BI593" t="str">
        <f>IF($AW$3=TRUE,IF(AN593="","",SUM($AN$6:AN593)),"")</f>
        <v/>
      </c>
      <c r="BJ593" t="str">
        <f>IF($AX$3=TRUE,IF(AO593="","",SUM($AO$6:AO593)),"")</f>
        <v/>
      </c>
      <c r="BK593" t="str">
        <f>IF($AY$3=TRUE,IF(AP593="","",SUM($AP$6:AP593)),"")</f>
        <v/>
      </c>
      <c r="BL593" t="str">
        <f>IF($AZ$3=TRUE,IF(AQ593="","",SUM($AQ$6:AQ593)),"")</f>
        <v/>
      </c>
      <c r="BM593" t="str">
        <f>IF($BA$3=TRUE,IF(AR593="","",SUM($AR$6:AR593)),"")</f>
        <v/>
      </c>
      <c r="BN593" t="str">
        <f>IF($BB$3=TRUE,IF(AS593="","",SUM($AS$6:AS593)),"")</f>
        <v/>
      </c>
    </row>
    <row r="594" spans="34:66" x14ac:dyDescent="0.25">
      <c r="AH594" s="75"/>
      <c r="AK594" s="75"/>
      <c r="BF594" s="75" t="str">
        <f t="shared" si="19"/>
        <v/>
      </c>
      <c r="BG594" t="str">
        <f>IF($AU$3=TRUE,IF(AL594="","",SUM($AL$6:AL594)),"")</f>
        <v/>
      </c>
      <c r="BH594" t="str">
        <f>IF($AV$3=TRUE,IF(AM594="","",SUM($AM$6:AM594)),"")</f>
        <v/>
      </c>
      <c r="BI594" t="str">
        <f>IF($AW$3=TRUE,IF(AN594="","",SUM($AN$6:AN594)),"")</f>
        <v/>
      </c>
      <c r="BJ594" t="str">
        <f>IF($AX$3=TRUE,IF(AO594="","",SUM($AO$6:AO594)),"")</f>
        <v/>
      </c>
      <c r="BK594" t="str">
        <f>IF($AY$3=TRUE,IF(AP594="","",SUM($AP$6:AP594)),"")</f>
        <v/>
      </c>
      <c r="BL594" t="str">
        <f>IF($AZ$3=TRUE,IF(AQ594="","",SUM($AQ$6:AQ594)),"")</f>
        <v/>
      </c>
      <c r="BM594" t="str">
        <f>IF($BA$3=TRUE,IF(AR594="","",SUM($AR$6:AR594)),"")</f>
        <v/>
      </c>
      <c r="BN594" t="str">
        <f>IF($BB$3=TRUE,IF(AS594="","",SUM($AS$6:AS594)),"")</f>
        <v/>
      </c>
    </row>
    <row r="595" spans="34:66" x14ac:dyDescent="0.25">
      <c r="AH595" s="75"/>
      <c r="AK595" s="75"/>
      <c r="BF595" s="75" t="str">
        <f t="shared" si="19"/>
        <v/>
      </c>
      <c r="BG595" t="str">
        <f>IF($AU$3=TRUE,IF(AL595="","",SUM($AL$6:AL595)),"")</f>
        <v/>
      </c>
      <c r="BH595" t="str">
        <f>IF($AV$3=TRUE,IF(AM595="","",SUM($AM$6:AM595)),"")</f>
        <v/>
      </c>
      <c r="BI595" t="str">
        <f>IF($AW$3=TRUE,IF(AN595="","",SUM($AN$6:AN595)),"")</f>
        <v/>
      </c>
      <c r="BJ595" t="str">
        <f>IF($AX$3=TRUE,IF(AO595="","",SUM($AO$6:AO595)),"")</f>
        <v/>
      </c>
      <c r="BK595" t="str">
        <f>IF($AY$3=TRUE,IF(AP595="","",SUM($AP$6:AP595)),"")</f>
        <v/>
      </c>
      <c r="BL595" t="str">
        <f>IF($AZ$3=TRUE,IF(AQ595="","",SUM($AQ$6:AQ595)),"")</f>
        <v/>
      </c>
      <c r="BM595" t="str">
        <f>IF($BA$3=TRUE,IF(AR595="","",SUM($AR$6:AR595)),"")</f>
        <v/>
      </c>
      <c r="BN595" t="str">
        <f>IF($BB$3=TRUE,IF(AS595="","",SUM($AS$6:AS595)),"")</f>
        <v/>
      </c>
    </row>
    <row r="596" spans="34:66" x14ac:dyDescent="0.25">
      <c r="AH596" s="75"/>
      <c r="AK596" s="75"/>
      <c r="BF596" s="75" t="str">
        <f t="shared" si="19"/>
        <v/>
      </c>
      <c r="BG596" t="str">
        <f>IF($AU$3=TRUE,IF(AL596="","",SUM($AL$6:AL596)),"")</f>
        <v/>
      </c>
      <c r="BH596" t="str">
        <f>IF($AV$3=TRUE,IF(AM596="","",SUM($AM$6:AM596)),"")</f>
        <v/>
      </c>
      <c r="BI596" t="str">
        <f>IF($AW$3=TRUE,IF(AN596="","",SUM($AN$6:AN596)),"")</f>
        <v/>
      </c>
      <c r="BJ596" t="str">
        <f>IF($AX$3=TRUE,IF(AO596="","",SUM($AO$6:AO596)),"")</f>
        <v/>
      </c>
      <c r="BK596" t="str">
        <f>IF($AY$3=TRUE,IF(AP596="","",SUM($AP$6:AP596)),"")</f>
        <v/>
      </c>
      <c r="BL596" t="str">
        <f>IF($AZ$3=TRUE,IF(AQ596="","",SUM($AQ$6:AQ596)),"")</f>
        <v/>
      </c>
      <c r="BM596" t="str">
        <f>IF($BA$3=TRUE,IF(AR596="","",SUM($AR$6:AR596)),"")</f>
        <v/>
      </c>
      <c r="BN596" t="str">
        <f>IF($BB$3=TRUE,IF(AS596="","",SUM($AS$6:AS596)),"")</f>
        <v/>
      </c>
    </row>
    <row r="597" spans="34:66" x14ac:dyDescent="0.25">
      <c r="AH597" s="75"/>
      <c r="AK597" s="75"/>
      <c r="BF597" s="75" t="str">
        <f t="shared" si="19"/>
        <v/>
      </c>
      <c r="BG597" t="str">
        <f>IF($AU$3=TRUE,IF(AL597="","",SUM($AL$6:AL597)),"")</f>
        <v/>
      </c>
      <c r="BH597" t="str">
        <f>IF($AV$3=TRUE,IF(AM597="","",SUM($AM$6:AM597)),"")</f>
        <v/>
      </c>
      <c r="BI597" t="str">
        <f>IF($AW$3=TRUE,IF(AN597="","",SUM($AN$6:AN597)),"")</f>
        <v/>
      </c>
      <c r="BJ597" t="str">
        <f>IF($AX$3=TRUE,IF(AO597="","",SUM($AO$6:AO597)),"")</f>
        <v/>
      </c>
      <c r="BK597" t="str">
        <f>IF($AY$3=TRUE,IF(AP597="","",SUM($AP$6:AP597)),"")</f>
        <v/>
      </c>
      <c r="BL597" t="str">
        <f>IF($AZ$3=TRUE,IF(AQ597="","",SUM($AQ$6:AQ597)),"")</f>
        <v/>
      </c>
      <c r="BM597" t="str">
        <f>IF($BA$3=TRUE,IF(AR597="","",SUM($AR$6:AR597)),"")</f>
        <v/>
      </c>
      <c r="BN597" t="str">
        <f>IF($BB$3=TRUE,IF(AS597="","",SUM($AS$6:AS597)),"")</f>
        <v/>
      </c>
    </row>
    <row r="598" spans="34:66" x14ac:dyDescent="0.25">
      <c r="AH598" s="75"/>
      <c r="AK598" s="75"/>
      <c r="BF598" s="75" t="str">
        <f t="shared" si="19"/>
        <v/>
      </c>
      <c r="BG598" t="str">
        <f>IF($AU$3=TRUE,IF(AL598="","",SUM($AL$6:AL598)),"")</f>
        <v/>
      </c>
      <c r="BH598" t="str">
        <f>IF($AV$3=TRUE,IF(AM598="","",SUM($AM$6:AM598)),"")</f>
        <v/>
      </c>
      <c r="BI598" t="str">
        <f>IF($AW$3=TRUE,IF(AN598="","",SUM($AN$6:AN598)),"")</f>
        <v/>
      </c>
      <c r="BJ598" t="str">
        <f>IF($AX$3=TRUE,IF(AO598="","",SUM($AO$6:AO598)),"")</f>
        <v/>
      </c>
      <c r="BK598" t="str">
        <f>IF($AY$3=TRUE,IF(AP598="","",SUM($AP$6:AP598)),"")</f>
        <v/>
      </c>
      <c r="BL598" t="str">
        <f>IF($AZ$3=TRUE,IF(AQ598="","",SUM($AQ$6:AQ598)),"")</f>
        <v/>
      </c>
      <c r="BM598" t="str">
        <f>IF($BA$3=TRUE,IF(AR598="","",SUM($AR$6:AR598)),"")</f>
        <v/>
      </c>
      <c r="BN598" t="str">
        <f>IF($BB$3=TRUE,IF(AS598="","",SUM($AS$6:AS598)),"")</f>
        <v/>
      </c>
    </row>
    <row r="599" spans="34:66" x14ac:dyDescent="0.25">
      <c r="AH599" s="75"/>
      <c r="AK599" s="75"/>
      <c r="BF599" s="75" t="str">
        <f t="shared" si="19"/>
        <v/>
      </c>
      <c r="BG599" t="str">
        <f>IF($AU$3=TRUE,IF(AL599="","",SUM($AL$6:AL599)),"")</f>
        <v/>
      </c>
      <c r="BH599" t="str">
        <f>IF($AV$3=TRUE,IF(AM599="","",SUM($AM$6:AM599)),"")</f>
        <v/>
      </c>
      <c r="BI599" t="str">
        <f>IF($AW$3=TRUE,IF(AN599="","",SUM($AN$6:AN599)),"")</f>
        <v/>
      </c>
      <c r="BJ599" t="str">
        <f>IF($AX$3=TRUE,IF(AO599="","",SUM($AO$6:AO599)),"")</f>
        <v/>
      </c>
      <c r="BK599" t="str">
        <f>IF($AY$3=TRUE,IF(AP599="","",SUM($AP$6:AP599)),"")</f>
        <v/>
      </c>
      <c r="BL599" t="str">
        <f>IF($AZ$3=TRUE,IF(AQ599="","",SUM($AQ$6:AQ599)),"")</f>
        <v/>
      </c>
      <c r="BM599" t="str">
        <f>IF($BA$3=TRUE,IF(AR599="","",SUM($AR$6:AR599)),"")</f>
        <v/>
      </c>
      <c r="BN599" t="str">
        <f>IF($BB$3=TRUE,IF(AS599="","",SUM($AS$6:AS599)),"")</f>
        <v/>
      </c>
    </row>
    <row r="600" spans="34:66" x14ac:dyDescent="0.25">
      <c r="AH600" s="75"/>
      <c r="AK600" s="75"/>
      <c r="BF600" s="75" t="str">
        <f t="shared" si="19"/>
        <v/>
      </c>
      <c r="BG600" t="str">
        <f>IF($AU$3=TRUE,IF(AL600="","",SUM($AL$6:AL600)),"")</f>
        <v/>
      </c>
      <c r="BH600" t="str">
        <f>IF($AV$3=TRUE,IF(AM600="","",SUM($AM$6:AM600)),"")</f>
        <v/>
      </c>
      <c r="BI600" t="str">
        <f>IF($AW$3=TRUE,IF(AN600="","",SUM($AN$6:AN600)),"")</f>
        <v/>
      </c>
      <c r="BJ600" t="str">
        <f>IF($AX$3=TRUE,IF(AO600="","",SUM($AO$6:AO600)),"")</f>
        <v/>
      </c>
      <c r="BK600" t="str">
        <f>IF($AY$3=TRUE,IF(AP600="","",SUM($AP$6:AP600)),"")</f>
        <v/>
      </c>
      <c r="BL600" t="str">
        <f>IF($AZ$3=TRUE,IF(AQ600="","",SUM($AQ$6:AQ600)),"")</f>
        <v/>
      </c>
      <c r="BM600" t="str">
        <f>IF($BA$3=TRUE,IF(AR600="","",SUM($AR$6:AR600)),"")</f>
        <v/>
      </c>
      <c r="BN600" t="str">
        <f>IF($BB$3=TRUE,IF(AS600="","",SUM($AS$6:AS600)),"")</f>
        <v/>
      </c>
    </row>
    <row r="601" spans="34:66" x14ac:dyDescent="0.25">
      <c r="AH601" s="75"/>
      <c r="AK601" s="75"/>
      <c r="BF601" s="75" t="str">
        <f t="shared" si="19"/>
        <v/>
      </c>
      <c r="BG601" t="str">
        <f>IF($AU$3=TRUE,IF(AL601="","",SUM($AL$6:AL601)),"")</f>
        <v/>
      </c>
      <c r="BH601" t="str">
        <f>IF($AV$3=TRUE,IF(AM601="","",SUM($AM$6:AM601)),"")</f>
        <v/>
      </c>
      <c r="BI601" t="str">
        <f>IF($AW$3=TRUE,IF(AN601="","",SUM($AN$6:AN601)),"")</f>
        <v/>
      </c>
      <c r="BJ601" t="str">
        <f>IF($AX$3=TRUE,IF(AO601="","",SUM($AO$6:AO601)),"")</f>
        <v/>
      </c>
      <c r="BK601" t="str">
        <f>IF($AY$3=TRUE,IF(AP601="","",SUM($AP$6:AP601)),"")</f>
        <v/>
      </c>
      <c r="BL601" t="str">
        <f>IF($AZ$3=TRUE,IF(AQ601="","",SUM($AQ$6:AQ601)),"")</f>
        <v/>
      </c>
      <c r="BM601" t="str">
        <f>IF($BA$3=TRUE,IF(AR601="","",SUM($AR$6:AR601)),"")</f>
        <v/>
      </c>
      <c r="BN601" t="str">
        <f>IF($BB$3=TRUE,IF(AS601="","",SUM($AS$6:AS601)),"")</f>
        <v/>
      </c>
    </row>
    <row r="602" spans="34:66" x14ac:dyDescent="0.25">
      <c r="AH602" s="75"/>
      <c r="AK602" s="75"/>
      <c r="BF602" s="75" t="str">
        <f t="shared" si="19"/>
        <v/>
      </c>
      <c r="BG602" t="str">
        <f>IF($AU$3=TRUE,IF(AL602="","",SUM($AL$6:AL602)),"")</f>
        <v/>
      </c>
      <c r="BH602" t="str">
        <f>IF($AV$3=TRUE,IF(AM602="","",SUM($AM$6:AM602)),"")</f>
        <v/>
      </c>
      <c r="BI602" t="str">
        <f>IF($AW$3=TRUE,IF(AN602="","",SUM($AN$6:AN602)),"")</f>
        <v/>
      </c>
      <c r="BJ602" t="str">
        <f>IF($AX$3=TRUE,IF(AO602="","",SUM($AO$6:AO602)),"")</f>
        <v/>
      </c>
      <c r="BK602" t="str">
        <f>IF($AY$3=TRUE,IF(AP602="","",SUM($AP$6:AP602)),"")</f>
        <v/>
      </c>
      <c r="BL602" t="str">
        <f>IF($AZ$3=TRUE,IF(AQ602="","",SUM($AQ$6:AQ602)),"")</f>
        <v/>
      </c>
      <c r="BM602" t="str">
        <f>IF($BA$3=TRUE,IF(AR602="","",SUM($AR$6:AR602)),"")</f>
        <v/>
      </c>
      <c r="BN602" t="str">
        <f>IF($BB$3=TRUE,IF(AS602="","",SUM($AS$6:AS602)),"")</f>
        <v/>
      </c>
    </row>
    <row r="603" spans="34:66" x14ac:dyDescent="0.25">
      <c r="AH603" s="75"/>
      <c r="AK603" s="75"/>
      <c r="BF603" s="75" t="str">
        <f t="shared" si="19"/>
        <v/>
      </c>
      <c r="BG603" t="str">
        <f>IF($AU$3=TRUE,IF(AL603="","",SUM($AL$6:AL603)),"")</f>
        <v/>
      </c>
      <c r="BH603" t="str">
        <f>IF($AV$3=TRUE,IF(AM603="","",SUM($AM$6:AM603)),"")</f>
        <v/>
      </c>
      <c r="BI603" t="str">
        <f>IF($AW$3=TRUE,IF(AN603="","",SUM($AN$6:AN603)),"")</f>
        <v/>
      </c>
      <c r="BJ603" t="str">
        <f>IF($AX$3=TRUE,IF(AO603="","",SUM($AO$6:AO603)),"")</f>
        <v/>
      </c>
      <c r="BK603" t="str">
        <f>IF($AY$3=TRUE,IF(AP603="","",SUM($AP$6:AP603)),"")</f>
        <v/>
      </c>
      <c r="BL603" t="str">
        <f>IF($AZ$3=TRUE,IF(AQ603="","",SUM($AQ$6:AQ603)),"")</f>
        <v/>
      </c>
      <c r="BM603" t="str">
        <f>IF($BA$3=TRUE,IF(AR603="","",SUM($AR$6:AR603)),"")</f>
        <v/>
      </c>
      <c r="BN603" t="str">
        <f>IF($BB$3=TRUE,IF(AS603="","",SUM($AS$6:AS603)),"")</f>
        <v/>
      </c>
    </row>
    <row r="604" spans="34:66" x14ac:dyDescent="0.25">
      <c r="AH604" s="75"/>
      <c r="AK604" s="75"/>
      <c r="BF604" s="75" t="str">
        <f t="shared" si="19"/>
        <v/>
      </c>
      <c r="BG604" t="str">
        <f>IF($AU$3=TRUE,IF(AL604="","",SUM($AL$6:AL604)),"")</f>
        <v/>
      </c>
      <c r="BH604" t="str">
        <f>IF($AV$3=TRUE,IF(AM604="","",SUM($AM$6:AM604)),"")</f>
        <v/>
      </c>
      <c r="BI604" t="str">
        <f>IF($AW$3=TRUE,IF(AN604="","",SUM($AN$6:AN604)),"")</f>
        <v/>
      </c>
      <c r="BJ604" t="str">
        <f>IF($AX$3=TRUE,IF(AO604="","",SUM($AO$6:AO604)),"")</f>
        <v/>
      </c>
      <c r="BK604" t="str">
        <f>IF($AY$3=TRUE,IF(AP604="","",SUM($AP$6:AP604)),"")</f>
        <v/>
      </c>
      <c r="BL604" t="str">
        <f>IF($AZ$3=TRUE,IF(AQ604="","",SUM($AQ$6:AQ604)),"")</f>
        <v/>
      </c>
      <c r="BM604" t="str">
        <f>IF($BA$3=TRUE,IF(AR604="","",SUM($AR$6:AR604)),"")</f>
        <v/>
      </c>
      <c r="BN604" t="str">
        <f>IF($BB$3=TRUE,IF(AS604="","",SUM($AS$6:AS604)),"")</f>
        <v/>
      </c>
    </row>
    <row r="605" spans="34:66" x14ac:dyDescent="0.25">
      <c r="AH605" s="75"/>
      <c r="AK605" s="75"/>
      <c r="BF605" s="75" t="str">
        <f t="shared" si="19"/>
        <v/>
      </c>
      <c r="BG605" t="str">
        <f>IF($AU$3=TRUE,IF(AL605="","",SUM($AL$6:AL605)),"")</f>
        <v/>
      </c>
      <c r="BH605" t="str">
        <f>IF($AV$3=TRUE,IF(AM605="","",SUM($AM$6:AM605)),"")</f>
        <v/>
      </c>
      <c r="BI605" t="str">
        <f>IF($AW$3=TRUE,IF(AN605="","",SUM($AN$6:AN605)),"")</f>
        <v/>
      </c>
      <c r="BJ605" t="str">
        <f>IF($AX$3=TRUE,IF(AO605="","",SUM($AO$6:AO605)),"")</f>
        <v/>
      </c>
      <c r="BK605" t="str">
        <f>IF($AY$3=TRUE,IF(AP605="","",SUM($AP$6:AP605)),"")</f>
        <v/>
      </c>
      <c r="BL605" t="str">
        <f>IF($AZ$3=TRUE,IF(AQ605="","",SUM($AQ$6:AQ605)),"")</f>
        <v/>
      </c>
      <c r="BM605" t="str">
        <f>IF($BA$3=TRUE,IF(AR605="","",SUM($AR$6:AR605)),"")</f>
        <v/>
      </c>
      <c r="BN605" t="str">
        <f>IF($BB$3=TRUE,IF(AS605="","",SUM($AS$6:AS605)),"")</f>
        <v/>
      </c>
    </row>
    <row r="606" spans="34:66" x14ac:dyDescent="0.25">
      <c r="AH606" s="75"/>
      <c r="AK606" s="75"/>
      <c r="BF606" s="75" t="str">
        <f t="shared" si="19"/>
        <v/>
      </c>
      <c r="BG606" t="str">
        <f>IF($AU$3=TRUE,IF(AL606="","",SUM($AL$6:AL606)),"")</f>
        <v/>
      </c>
      <c r="BH606" t="str">
        <f>IF($AV$3=TRUE,IF(AM606="","",SUM($AM$6:AM606)),"")</f>
        <v/>
      </c>
      <c r="BI606" t="str">
        <f>IF($AW$3=TRUE,IF(AN606="","",SUM($AN$6:AN606)),"")</f>
        <v/>
      </c>
      <c r="BJ606" t="str">
        <f>IF($AX$3=TRUE,IF(AO606="","",SUM($AO$6:AO606)),"")</f>
        <v/>
      </c>
      <c r="BK606" t="str">
        <f>IF($AY$3=TRUE,IF(AP606="","",SUM($AP$6:AP606)),"")</f>
        <v/>
      </c>
      <c r="BL606" t="str">
        <f>IF($AZ$3=TRUE,IF(AQ606="","",SUM($AQ$6:AQ606)),"")</f>
        <v/>
      </c>
      <c r="BM606" t="str">
        <f>IF($BA$3=TRUE,IF(AR606="","",SUM($AR$6:AR606)),"")</f>
        <v/>
      </c>
      <c r="BN606" t="str">
        <f>IF($BB$3=TRUE,IF(AS606="","",SUM($AS$6:AS606)),"")</f>
        <v/>
      </c>
    </row>
    <row r="607" spans="34:66" x14ac:dyDescent="0.25">
      <c r="AH607" s="75"/>
      <c r="AK607" s="75"/>
      <c r="BF607" s="75" t="str">
        <f t="shared" si="19"/>
        <v/>
      </c>
      <c r="BG607" t="str">
        <f>IF($AU$3=TRUE,IF(AL607="","",SUM($AL$6:AL607)),"")</f>
        <v/>
      </c>
      <c r="BH607" t="str">
        <f>IF($AV$3=TRUE,IF(AM607="","",SUM($AM$6:AM607)),"")</f>
        <v/>
      </c>
      <c r="BI607" t="str">
        <f>IF($AW$3=TRUE,IF(AN607="","",SUM($AN$6:AN607)),"")</f>
        <v/>
      </c>
      <c r="BJ607" t="str">
        <f>IF($AX$3=TRUE,IF(AO607="","",SUM($AO$6:AO607)),"")</f>
        <v/>
      </c>
      <c r="BK607" t="str">
        <f>IF($AY$3=TRUE,IF(AP607="","",SUM($AP$6:AP607)),"")</f>
        <v/>
      </c>
      <c r="BL607" t="str">
        <f>IF($AZ$3=TRUE,IF(AQ607="","",SUM($AQ$6:AQ607)),"")</f>
        <v/>
      </c>
      <c r="BM607" t="str">
        <f>IF($BA$3=TRUE,IF(AR607="","",SUM($AR$6:AR607)),"")</f>
        <v/>
      </c>
      <c r="BN607" t="str">
        <f>IF($BB$3=TRUE,IF(AS607="","",SUM($AS$6:AS607)),"")</f>
        <v/>
      </c>
    </row>
    <row r="608" spans="34:66" x14ac:dyDescent="0.25">
      <c r="AH608" s="75"/>
      <c r="AK608" s="75"/>
      <c r="BF608" s="75" t="str">
        <f t="shared" si="19"/>
        <v/>
      </c>
      <c r="BG608" t="str">
        <f>IF($AU$3=TRUE,IF(AL608="","",SUM($AL$6:AL608)),"")</f>
        <v/>
      </c>
      <c r="BH608" t="str">
        <f>IF($AV$3=TRUE,IF(AM608="","",SUM($AM$6:AM608)),"")</f>
        <v/>
      </c>
      <c r="BI608" t="str">
        <f>IF($AW$3=TRUE,IF(AN608="","",SUM($AN$6:AN608)),"")</f>
        <v/>
      </c>
      <c r="BJ608" t="str">
        <f>IF($AX$3=TRUE,IF(AO608="","",SUM($AO$6:AO608)),"")</f>
        <v/>
      </c>
      <c r="BK608" t="str">
        <f>IF($AY$3=TRUE,IF(AP608="","",SUM($AP$6:AP608)),"")</f>
        <v/>
      </c>
      <c r="BL608" t="str">
        <f>IF($AZ$3=TRUE,IF(AQ608="","",SUM($AQ$6:AQ608)),"")</f>
        <v/>
      </c>
      <c r="BM608" t="str">
        <f>IF($BA$3=TRUE,IF(AR608="","",SUM($AR$6:AR608)),"")</f>
        <v/>
      </c>
      <c r="BN608" t="str">
        <f>IF($BB$3=TRUE,IF(AS608="","",SUM($AS$6:AS608)),"")</f>
        <v/>
      </c>
    </row>
    <row r="609" spans="34:66" x14ac:dyDescent="0.25">
      <c r="AH609" s="75"/>
      <c r="AK609" s="75"/>
      <c r="BF609" s="75" t="str">
        <f t="shared" si="19"/>
        <v/>
      </c>
      <c r="BG609" t="str">
        <f>IF($AU$3=TRUE,IF(AL609="","",SUM($AL$6:AL609)),"")</f>
        <v/>
      </c>
      <c r="BH609" t="str">
        <f>IF($AV$3=TRUE,IF(AM609="","",SUM($AM$6:AM609)),"")</f>
        <v/>
      </c>
      <c r="BI609" t="str">
        <f>IF($AW$3=TRUE,IF(AN609="","",SUM($AN$6:AN609)),"")</f>
        <v/>
      </c>
      <c r="BJ609" t="str">
        <f>IF($AX$3=TRUE,IF(AO609="","",SUM($AO$6:AO609)),"")</f>
        <v/>
      </c>
      <c r="BK609" t="str">
        <f>IF($AY$3=TRUE,IF(AP609="","",SUM($AP$6:AP609)),"")</f>
        <v/>
      </c>
      <c r="BL609" t="str">
        <f>IF($AZ$3=TRUE,IF(AQ609="","",SUM($AQ$6:AQ609)),"")</f>
        <v/>
      </c>
      <c r="BM609" t="str">
        <f>IF($BA$3=TRUE,IF(AR609="","",SUM($AR$6:AR609)),"")</f>
        <v/>
      </c>
      <c r="BN609" t="str">
        <f>IF($BB$3=TRUE,IF(AS609="","",SUM($AS$6:AS609)),"")</f>
        <v/>
      </c>
    </row>
    <row r="610" spans="34:66" x14ac:dyDescent="0.25">
      <c r="AH610" s="75"/>
      <c r="AK610" s="75"/>
      <c r="BF610" s="75" t="str">
        <f t="shared" si="19"/>
        <v/>
      </c>
      <c r="BG610" t="str">
        <f>IF($AU$3=TRUE,IF(AL610="","",SUM($AL$6:AL610)),"")</f>
        <v/>
      </c>
      <c r="BH610" t="str">
        <f>IF($AV$3=TRUE,IF(AM610="","",SUM($AM$6:AM610)),"")</f>
        <v/>
      </c>
      <c r="BI610" t="str">
        <f>IF($AW$3=TRUE,IF(AN610="","",SUM($AN$6:AN610)),"")</f>
        <v/>
      </c>
      <c r="BJ610" t="str">
        <f>IF($AX$3=TRUE,IF(AO610="","",SUM($AO$6:AO610)),"")</f>
        <v/>
      </c>
      <c r="BK610" t="str">
        <f>IF($AY$3=TRUE,IF(AP610="","",SUM($AP$6:AP610)),"")</f>
        <v/>
      </c>
      <c r="BL610" t="str">
        <f>IF($AZ$3=TRUE,IF(AQ610="","",SUM($AQ$6:AQ610)),"")</f>
        <v/>
      </c>
      <c r="BM610" t="str">
        <f>IF($BA$3=TRUE,IF(AR610="","",SUM($AR$6:AR610)),"")</f>
        <v/>
      </c>
      <c r="BN610" t="str">
        <f>IF($BB$3=TRUE,IF(AS610="","",SUM($AS$6:AS610)),"")</f>
        <v/>
      </c>
    </row>
    <row r="611" spans="34:66" x14ac:dyDescent="0.25">
      <c r="AH611" s="75"/>
      <c r="AK611" s="75"/>
      <c r="BF611" s="75" t="str">
        <f t="shared" si="19"/>
        <v/>
      </c>
      <c r="BG611" t="str">
        <f>IF($AU$3=TRUE,IF(AL611="","",SUM($AL$6:AL611)),"")</f>
        <v/>
      </c>
      <c r="BH611" t="str">
        <f>IF($AV$3=TRUE,IF(AM611="","",SUM($AM$6:AM611)),"")</f>
        <v/>
      </c>
      <c r="BI611" t="str">
        <f>IF($AW$3=TRUE,IF(AN611="","",SUM($AN$6:AN611)),"")</f>
        <v/>
      </c>
      <c r="BJ611" t="str">
        <f>IF($AX$3=TRUE,IF(AO611="","",SUM($AO$6:AO611)),"")</f>
        <v/>
      </c>
      <c r="BK611" t="str">
        <f>IF($AY$3=TRUE,IF(AP611="","",SUM($AP$6:AP611)),"")</f>
        <v/>
      </c>
      <c r="BL611" t="str">
        <f>IF($AZ$3=TRUE,IF(AQ611="","",SUM($AQ$6:AQ611)),"")</f>
        <v/>
      </c>
      <c r="BM611" t="str">
        <f>IF($BA$3=TRUE,IF(AR611="","",SUM($AR$6:AR611)),"")</f>
        <v/>
      </c>
      <c r="BN611" t="str">
        <f>IF($BB$3=TRUE,IF(AS611="","",SUM($AS$6:AS611)),"")</f>
        <v/>
      </c>
    </row>
    <row r="612" spans="34:66" x14ac:dyDescent="0.25">
      <c r="AH612" s="75"/>
      <c r="AK612" s="75"/>
      <c r="BF612" s="75" t="str">
        <f t="shared" si="19"/>
        <v/>
      </c>
      <c r="BG612" t="str">
        <f>IF($AU$3=TRUE,IF(AL612="","",SUM($AL$6:AL612)),"")</f>
        <v/>
      </c>
      <c r="BH612" t="str">
        <f>IF($AV$3=TRUE,IF(AM612="","",SUM($AM$6:AM612)),"")</f>
        <v/>
      </c>
      <c r="BI612" t="str">
        <f>IF($AW$3=TRUE,IF(AN612="","",SUM($AN$6:AN612)),"")</f>
        <v/>
      </c>
      <c r="BJ612" t="str">
        <f>IF($AX$3=TRUE,IF(AO612="","",SUM($AO$6:AO612)),"")</f>
        <v/>
      </c>
      <c r="BK612" t="str">
        <f>IF($AY$3=TRUE,IF(AP612="","",SUM($AP$6:AP612)),"")</f>
        <v/>
      </c>
      <c r="BL612" t="str">
        <f>IF($AZ$3=TRUE,IF(AQ612="","",SUM($AQ$6:AQ612)),"")</f>
        <v/>
      </c>
      <c r="BM612" t="str">
        <f>IF($BA$3=TRUE,IF(AR612="","",SUM($AR$6:AR612)),"")</f>
        <v/>
      </c>
      <c r="BN612" t="str">
        <f>IF($BB$3=TRUE,IF(AS612="","",SUM($AS$6:AS612)),"")</f>
        <v/>
      </c>
    </row>
    <row r="613" spans="34:66" x14ac:dyDescent="0.25">
      <c r="AH613" s="75"/>
      <c r="AK613" s="75"/>
      <c r="BF613" s="75" t="str">
        <f t="shared" si="19"/>
        <v/>
      </c>
      <c r="BG613" t="str">
        <f>IF($AU$3=TRUE,IF(AL613="","",SUM($AL$6:AL613)),"")</f>
        <v/>
      </c>
      <c r="BH613" t="str">
        <f>IF($AV$3=TRUE,IF(AM613="","",SUM($AM$6:AM613)),"")</f>
        <v/>
      </c>
      <c r="BI613" t="str">
        <f>IF($AW$3=TRUE,IF(AN613="","",SUM($AN$6:AN613)),"")</f>
        <v/>
      </c>
      <c r="BJ613" t="str">
        <f>IF($AX$3=TRUE,IF(AO613="","",SUM($AO$6:AO613)),"")</f>
        <v/>
      </c>
      <c r="BK613" t="str">
        <f>IF($AY$3=TRUE,IF(AP613="","",SUM($AP$6:AP613)),"")</f>
        <v/>
      </c>
      <c r="BL613" t="str">
        <f>IF($AZ$3=TRUE,IF(AQ613="","",SUM($AQ$6:AQ613)),"")</f>
        <v/>
      </c>
      <c r="BM613" t="str">
        <f>IF($BA$3=TRUE,IF(AR613="","",SUM($AR$6:AR613)),"")</f>
        <v/>
      </c>
      <c r="BN613" t="str">
        <f>IF($BB$3=TRUE,IF(AS613="","",SUM($AS$6:AS613)),"")</f>
        <v/>
      </c>
    </row>
    <row r="614" spans="34:66" x14ac:dyDescent="0.25">
      <c r="AH614" s="75"/>
      <c r="AK614" s="75"/>
      <c r="BF614" s="75" t="str">
        <f t="shared" si="19"/>
        <v/>
      </c>
      <c r="BG614" t="str">
        <f>IF($AU$3=TRUE,IF(AL614="","",SUM($AL$6:AL614)),"")</f>
        <v/>
      </c>
      <c r="BH614" t="str">
        <f>IF($AV$3=TRUE,IF(AM614="","",SUM($AM$6:AM614)),"")</f>
        <v/>
      </c>
      <c r="BI614" t="str">
        <f>IF($AW$3=TRUE,IF(AN614="","",SUM($AN$6:AN614)),"")</f>
        <v/>
      </c>
      <c r="BJ614" t="str">
        <f>IF($AX$3=TRUE,IF(AO614="","",SUM($AO$6:AO614)),"")</f>
        <v/>
      </c>
      <c r="BK614" t="str">
        <f>IF($AY$3=TRUE,IF(AP614="","",SUM($AP$6:AP614)),"")</f>
        <v/>
      </c>
      <c r="BL614" t="str">
        <f>IF($AZ$3=TRUE,IF(AQ614="","",SUM($AQ$6:AQ614)),"")</f>
        <v/>
      </c>
      <c r="BM614" t="str">
        <f>IF($BA$3=TRUE,IF(AR614="","",SUM($AR$6:AR614)),"")</f>
        <v/>
      </c>
      <c r="BN614" t="str">
        <f>IF($BB$3=TRUE,IF(AS614="","",SUM($AS$6:AS614)),"")</f>
        <v/>
      </c>
    </row>
    <row r="615" spans="34:66" x14ac:dyDescent="0.25">
      <c r="AH615" s="75"/>
      <c r="AK615" s="75"/>
      <c r="BF615" s="75" t="str">
        <f t="shared" si="19"/>
        <v/>
      </c>
      <c r="BG615" t="str">
        <f>IF($AU$3=TRUE,IF(AL615="","",SUM($AL$6:AL615)),"")</f>
        <v/>
      </c>
      <c r="BH615" t="str">
        <f>IF($AV$3=TRUE,IF(AM615="","",SUM($AM$6:AM615)),"")</f>
        <v/>
      </c>
      <c r="BI615" t="str">
        <f>IF($AW$3=TRUE,IF(AN615="","",SUM($AN$6:AN615)),"")</f>
        <v/>
      </c>
      <c r="BJ615" t="str">
        <f>IF($AX$3=TRUE,IF(AO615="","",SUM($AO$6:AO615)),"")</f>
        <v/>
      </c>
      <c r="BK615" t="str">
        <f>IF($AY$3=TRUE,IF(AP615="","",SUM($AP$6:AP615)),"")</f>
        <v/>
      </c>
      <c r="BL615" t="str">
        <f>IF($AZ$3=TRUE,IF(AQ615="","",SUM($AQ$6:AQ615)),"")</f>
        <v/>
      </c>
      <c r="BM615" t="str">
        <f>IF($BA$3=TRUE,IF(AR615="","",SUM($AR$6:AR615)),"")</f>
        <v/>
      </c>
      <c r="BN615" t="str">
        <f>IF($BB$3=TRUE,IF(AS615="","",SUM($AS$6:AS615)),"")</f>
        <v/>
      </c>
    </row>
    <row r="616" spans="34:66" x14ac:dyDescent="0.25">
      <c r="AH616" s="75"/>
      <c r="AK616" s="75"/>
      <c r="BF616" s="75" t="str">
        <f t="shared" si="19"/>
        <v/>
      </c>
      <c r="BG616" t="str">
        <f>IF($AU$3=TRUE,IF(AL616="","",SUM($AL$6:AL616)),"")</f>
        <v/>
      </c>
      <c r="BH616" t="str">
        <f>IF($AV$3=TRUE,IF(AM616="","",SUM($AM$6:AM616)),"")</f>
        <v/>
      </c>
      <c r="BI616" t="str">
        <f>IF($AW$3=TRUE,IF(AN616="","",SUM($AN$6:AN616)),"")</f>
        <v/>
      </c>
      <c r="BJ616" t="str">
        <f>IF($AX$3=TRUE,IF(AO616="","",SUM($AO$6:AO616)),"")</f>
        <v/>
      </c>
      <c r="BK616" t="str">
        <f>IF($AY$3=TRUE,IF(AP616="","",SUM($AP$6:AP616)),"")</f>
        <v/>
      </c>
      <c r="BL616" t="str">
        <f>IF($AZ$3=TRUE,IF(AQ616="","",SUM($AQ$6:AQ616)),"")</f>
        <v/>
      </c>
      <c r="BM616" t="str">
        <f>IF($BA$3=TRUE,IF(AR616="","",SUM($AR$6:AR616)),"")</f>
        <v/>
      </c>
      <c r="BN616" t="str">
        <f>IF($BB$3=TRUE,IF(AS616="","",SUM($AS$6:AS616)),"")</f>
        <v/>
      </c>
    </row>
    <row r="617" spans="34:66" x14ac:dyDescent="0.25">
      <c r="AH617" s="75"/>
      <c r="AK617" s="75"/>
      <c r="BF617" s="75" t="str">
        <f t="shared" si="19"/>
        <v/>
      </c>
      <c r="BG617" t="str">
        <f>IF($AU$3=TRUE,IF(AL617="","",SUM($AL$6:AL617)),"")</f>
        <v/>
      </c>
      <c r="BH617" t="str">
        <f>IF($AV$3=TRUE,IF(AM617="","",SUM($AM$6:AM617)),"")</f>
        <v/>
      </c>
      <c r="BI617" t="str">
        <f>IF($AW$3=TRUE,IF(AN617="","",SUM($AN$6:AN617)),"")</f>
        <v/>
      </c>
      <c r="BJ617" t="str">
        <f>IF($AX$3=TRUE,IF(AO617="","",SUM($AO$6:AO617)),"")</f>
        <v/>
      </c>
      <c r="BK617" t="str">
        <f>IF($AY$3=TRUE,IF(AP617="","",SUM($AP$6:AP617)),"")</f>
        <v/>
      </c>
      <c r="BL617" t="str">
        <f>IF($AZ$3=TRUE,IF(AQ617="","",SUM($AQ$6:AQ617)),"")</f>
        <v/>
      </c>
      <c r="BM617" t="str">
        <f>IF($BA$3=TRUE,IF(AR617="","",SUM($AR$6:AR617)),"")</f>
        <v/>
      </c>
      <c r="BN617" t="str">
        <f>IF($BB$3=TRUE,IF(AS617="","",SUM($AS$6:AS617)),"")</f>
        <v/>
      </c>
    </row>
    <row r="618" spans="34:66" x14ac:dyDescent="0.25">
      <c r="AH618" s="75"/>
      <c r="AK618" s="75"/>
      <c r="BF618" s="75" t="str">
        <f t="shared" si="19"/>
        <v/>
      </c>
      <c r="BG618" t="str">
        <f>IF($AU$3=TRUE,IF(AL618="","",SUM($AL$6:AL618)),"")</f>
        <v/>
      </c>
      <c r="BH618" t="str">
        <f>IF($AV$3=TRUE,IF(AM618="","",SUM($AM$6:AM618)),"")</f>
        <v/>
      </c>
      <c r="BI618" t="str">
        <f>IF($AW$3=TRUE,IF(AN618="","",SUM($AN$6:AN618)),"")</f>
        <v/>
      </c>
      <c r="BJ618" t="str">
        <f>IF($AX$3=TRUE,IF(AO618="","",SUM($AO$6:AO618)),"")</f>
        <v/>
      </c>
      <c r="BK618" t="str">
        <f>IF($AY$3=TRUE,IF(AP618="","",SUM($AP$6:AP618)),"")</f>
        <v/>
      </c>
      <c r="BL618" t="str">
        <f>IF($AZ$3=TRUE,IF(AQ618="","",SUM($AQ$6:AQ618)),"")</f>
        <v/>
      </c>
      <c r="BM618" t="str">
        <f>IF($BA$3=TRUE,IF(AR618="","",SUM($AR$6:AR618)),"")</f>
        <v/>
      </c>
      <c r="BN618" t="str">
        <f>IF($BB$3=TRUE,IF(AS618="","",SUM($AS$6:AS618)),"")</f>
        <v/>
      </c>
    </row>
    <row r="619" spans="34:66" x14ac:dyDescent="0.25">
      <c r="AH619" s="75"/>
      <c r="AK619" s="75"/>
      <c r="BF619" s="75" t="str">
        <f t="shared" si="19"/>
        <v/>
      </c>
      <c r="BG619" t="str">
        <f>IF($AU$3=TRUE,IF(AL619="","",SUM($AL$6:AL619)),"")</f>
        <v/>
      </c>
      <c r="BH619" t="str">
        <f>IF($AV$3=TRUE,IF(AM619="","",SUM($AM$6:AM619)),"")</f>
        <v/>
      </c>
      <c r="BI619" t="str">
        <f>IF($AW$3=TRUE,IF(AN619="","",SUM($AN$6:AN619)),"")</f>
        <v/>
      </c>
      <c r="BJ619" t="str">
        <f>IF($AX$3=TRUE,IF(AO619="","",SUM($AO$6:AO619)),"")</f>
        <v/>
      </c>
      <c r="BK619" t="str">
        <f>IF($AY$3=TRUE,IF(AP619="","",SUM($AP$6:AP619)),"")</f>
        <v/>
      </c>
      <c r="BL619" t="str">
        <f>IF($AZ$3=TRUE,IF(AQ619="","",SUM($AQ$6:AQ619)),"")</f>
        <v/>
      </c>
      <c r="BM619" t="str">
        <f>IF($BA$3=TRUE,IF(AR619="","",SUM($AR$6:AR619)),"")</f>
        <v/>
      </c>
      <c r="BN619" t="str">
        <f>IF($BB$3=TRUE,IF(AS619="","",SUM($AS$6:AS619)),"")</f>
        <v/>
      </c>
    </row>
    <row r="620" spans="34:66" x14ac:dyDescent="0.25">
      <c r="AH620" s="75"/>
      <c r="AK620" s="75"/>
      <c r="BF620" s="75" t="str">
        <f t="shared" si="19"/>
        <v/>
      </c>
      <c r="BG620" t="str">
        <f>IF($AU$3=TRUE,IF(AL620="","",SUM($AL$6:AL620)),"")</f>
        <v/>
      </c>
      <c r="BH620" t="str">
        <f>IF($AV$3=TRUE,IF(AM620="","",SUM($AM$6:AM620)),"")</f>
        <v/>
      </c>
      <c r="BI620" t="str">
        <f>IF($AW$3=TRUE,IF(AN620="","",SUM($AN$6:AN620)),"")</f>
        <v/>
      </c>
      <c r="BJ620" t="str">
        <f>IF($AX$3=TRUE,IF(AO620="","",SUM($AO$6:AO620)),"")</f>
        <v/>
      </c>
      <c r="BK620" t="str">
        <f>IF($AY$3=TRUE,IF(AP620="","",SUM($AP$6:AP620)),"")</f>
        <v/>
      </c>
      <c r="BL620" t="str">
        <f>IF($AZ$3=TRUE,IF(AQ620="","",SUM($AQ$6:AQ620)),"")</f>
        <v/>
      </c>
      <c r="BM620" t="str">
        <f>IF($BA$3=TRUE,IF(AR620="","",SUM($AR$6:AR620)),"")</f>
        <v/>
      </c>
      <c r="BN620" t="str">
        <f>IF($BB$3=TRUE,IF(AS620="","",SUM($AS$6:AS620)),"")</f>
        <v/>
      </c>
    </row>
    <row r="621" spans="34:66" x14ac:dyDescent="0.25">
      <c r="AH621" s="75"/>
      <c r="AK621" s="75"/>
      <c r="BF621" s="75" t="str">
        <f t="shared" si="19"/>
        <v/>
      </c>
      <c r="BG621" t="str">
        <f>IF($AU$3=TRUE,IF(AL621="","",SUM($AL$6:AL621)),"")</f>
        <v/>
      </c>
      <c r="BH621" t="str">
        <f>IF($AV$3=TRUE,IF(AM621="","",SUM($AM$6:AM621)),"")</f>
        <v/>
      </c>
      <c r="BI621" t="str">
        <f>IF($AW$3=TRUE,IF(AN621="","",SUM($AN$6:AN621)),"")</f>
        <v/>
      </c>
      <c r="BJ621" t="str">
        <f>IF($AX$3=TRUE,IF(AO621="","",SUM($AO$6:AO621)),"")</f>
        <v/>
      </c>
      <c r="BK621" t="str">
        <f>IF($AY$3=TRUE,IF(AP621="","",SUM($AP$6:AP621)),"")</f>
        <v/>
      </c>
      <c r="BL621" t="str">
        <f>IF($AZ$3=TRUE,IF(AQ621="","",SUM($AQ$6:AQ621)),"")</f>
        <v/>
      </c>
      <c r="BM621" t="str">
        <f>IF($BA$3=TRUE,IF(AR621="","",SUM($AR$6:AR621)),"")</f>
        <v/>
      </c>
      <c r="BN621" t="str">
        <f>IF($BB$3=TRUE,IF(AS621="","",SUM($AS$6:AS621)),"")</f>
        <v/>
      </c>
    </row>
    <row r="622" spans="34:66" x14ac:dyDescent="0.25">
      <c r="AH622" s="75"/>
      <c r="AK622" s="75"/>
      <c r="BF622" s="75" t="str">
        <f t="shared" si="19"/>
        <v/>
      </c>
      <c r="BG622" t="str">
        <f>IF($AU$3=TRUE,IF(AL622="","",SUM($AL$6:AL622)),"")</f>
        <v/>
      </c>
      <c r="BH622" t="str">
        <f>IF($AV$3=TRUE,IF(AM622="","",SUM($AM$6:AM622)),"")</f>
        <v/>
      </c>
      <c r="BI622" t="str">
        <f>IF($AW$3=TRUE,IF(AN622="","",SUM($AN$6:AN622)),"")</f>
        <v/>
      </c>
      <c r="BJ622" t="str">
        <f>IF($AX$3=TRUE,IF(AO622="","",SUM($AO$6:AO622)),"")</f>
        <v/>
      </c>
      <c r="BK622" t="str">
        <f>IF($AY$3=TRUE,IF(AP622="","",SUM($AP$6:AP622)),"")</f>
        <v/>
      </c>
      <c r="BL622" t="str">
        <f>IF($AZ$3=TRUE,IF(AQ622="","",SUM($AQ$6:AQ622)),"")</f>
        <v/>
      </c>
      <c r="BM622" t="str">
        <f>IF($BA$3=TRUE,IF(AR622="","",SUM($AR$6:AR622)),"")</f>
        <v/>
      </c>
      <c r="BN622" t="str">
        <f>IF($BB$3=TRUE,IF(AS622="","",SUM($AS$6:AS622)),"")</f>
        <v/>
      </c>
    </row>
    <row r="623" spans="34:66" x14ac:dyDescent="0.25">
      <c r="AH623" s="75"/>
      <c r="AK623" s="75"/>
      <c r="BF623" s="75" t="str">
        <f t="shared" si="19"/>
        <v/>
      </c>
      <c r="BG623" t="str">
        <f>IF($AU$3=TRUE,IF(AL623="","",SUM($AL$6:AL623)),"")</f>
        <v/>
      </c>
      <c r="BH623" t="str">
        <f>IF($AV$3=TRUE,IF(AM623="","",SUM($AM$6:AM623)),"")</f>
        <v/>
      </c>
      <c r="BI623" t="str">
        <f>IF($AW$3=TRUE,IF(AN623="","",SUM($AN$6:AN623)),"")</f>
        <v/>
      </c>
      <c r="BJ623" t="str">
        <f>IF($AX$3=TRUE,IF(AO623="","",SUM($AO$6:AO623)),"")</f>
        <v/>
      </c>
      <c r="BK623" t="str">
        <f>IF($AY$3=TRUE,IF(AP623="","",SUM($AP$6:AP623)),"")</f>
        <v/>
      </c>
      <c r="BL623" t="str">
        <f>IF($AZ$3=TRUE,IF(AQ623="","",SUM($AQ$6:AQ623)),"")</f>
        <v/>
      </c>
      <c r="BM623" t="str">
        <f>IF($BA$3=TRUE,IF(AR623="","",SUM($AR$6:AR623)),"")</f>
        <v/>
      </c>
      <c r="BN623" t="str">
        <f>IF($BB$3=TRUE,IF(AS623="","",SUM($AS$6:AS623)),"")</f>
        <v/>
      </c>
    </row>
    <row r="624" spans="34:66" x14ac:dyDescent="0.25">
      <c r="AH624" s="75"/>
      <c r="AK624" s="75"/>
      <c r="BF624" s="75" t="str">
        <f t="shared" si="19"/>
        <v/>
      </c>
      <c r="BG624" t="str">
        <f>IF($AU$3=TRUE,IF(AL624="","",SUM($AL$6:AL624)),"")</f>
        <v/>
      </c>
      <c r="BH624" t="str">
        <f>IF($AV$3=TRUE,IF(AM624="","",SUM($AM$6:AM624)),"")</f>
        <v/>
      </c>
      <c r="BI624" t="str">
        <f>IF($AW$3=TRUE,IF(AN624="","",SUM($AN$6:AN624)),"")</f>
        <v/>
      </c>
      <c r="BJ624" t="str">
        <f>IF($AX$3=TRUE,IF(AO624="","",SUM($AO$6:AO624)),"")</f>
        <v/>
      </c>
      <c r="BK624" t="str">
        <f>IF($AY$3=TRUE,IF(AP624="","",SUM($AP$6:AP624)),"")</f>
        <v/>
      </c>
      <c r="BL624" t="str">
        <f>IF($AZ$3=TRUE,IF(AQ624="","",SUM($AQ$6:AQ624)),"")</f>
        <v/>
      </c>
      <c r="BM624" t="str">
        <f>IF($BA$3=TRUE,IF(AR624="","",SUM($AR$6:AR624)),"")</f>
        <v/>
      </c>
      <c r="BN624" t="str">
        <f>IF($BB$3=TRUE,IF(AS624="","",SUM($AS$6:AS624)),"")</f>
        <v/>
      </c>
    </row>
    <row r="625" spans="34:66" x14ac:dyDescent="0.25">
      <c r="AH625" s="75"/>
      <c r="AK625" s="75"/>
      <c r="BF625" s="75" t="str">
        <f t="shared" si="19"/>
        <v/>
      </c>
      <c r="BG625" t="str">
        <f>IF($AU$3=TRUE,IF(AL625="","",SUM($AL$6:AL625)),"")</f>
        <v/>
      </c>
      <c r="BH625" t="str">
        <f>IF($AV$3=TRUE,IF(AM625="","",SUM($AM$6:AM625)),"")</f>
        <v/>
      </c>
      <c r="BI625" t="str">
        <f>IF($AW$3=TRUE,IF(AN625="","",SUM($AN$6:AN625)),"")</f>
        <v/>
      </c>
      <c r="BJ625" t="str">
        <f>IF($AX$3=TRUE,IF(AO625="","",SUM($AO$6:AO625)),"")</f>
        <v/>
      </c>
      <c r="BK625" t="str">
        <f>IF($AY$3=TRUE,IF(AP625="","",SUM($AP$6:AP625)),"")</f>
        <v/>
      </c>
      <c r="BL625" t="str">
        <f>IF($AZ$3=TRUE,IF(AQ625="","",SUM($AQ$6:AQ625)),"")</f>
        <v/>
      </c>
      <c r="BM625" t="str">
        <f>IF($BA$3=TRUE,IF(AR625="","",SUM($AR$6:AR625)),"")</f>
        <v/>
      </c>
      <c r="BN625" t="str">
        <f>IF($BB$3=TRUE,IF(AS625="","",SUM($AS$6:AS625)),"")</f>
        <v/>
      </c>
    </row>
    <row r="626" spans="34:66" x14ac:dyDescent="0.25">
      <c r="AH626" s="75"/>
      <c r="AK626" s="75"/>
      <c r="BF626" s="75" t="str">
        <f t="shared" si="19"/>
        <v/>
      </c>
      <c r="BG626" t="str">
        <f>IF($AU$3=TRUE,IF(AL626="","",SUM($AL$6:AL626)),"")</f>
        <v/>
      </c>
      <c r="BH626" t="str">
        <f>IF($AV$3=TRUE,IF(AM626="","",SUM($AM$6:AM626)),"")</f>
        <v/>
      </c>
      <c r="BI626" t="str">
        <f>IF($AW$3=TRUE,IF(AN626="","",SUM($AN$6:AN626)),"")</f>
        <v/>
      </c>
      <c r="BJ626" t="str">
        <f>IF($AX$3=TRUE,IF(AO626="","",SUM($AO$6:AO626)),"")</f>
        <v/>
      </c>
      <c r="BK626" t="str">
        <f>IF($AY$3=TRUE,IF(AP626="","",SUM($AP$6:AP626)),"")</f>
        <v/>
      </c>
      <c r="BL626" t="str">
        <f>IF($AZ$3=TRUE,IF(AQ626="","",SUM($AQ$6:AQ626)),"")</f>
        <v/>
      </c>
      <c r="BM626" t="str">
        <f>IF($BA$3=TRUE,IF(AR626="","",SUM($AR$6:AR626)),"")</f>
        <v/>
      </c>
      <c r="BN626" t="str">
        <f>IF($BB$3=TRUE,IF(AS626="","",SUM($AS$6:AS626)),"")</f>
        <v/>
      </c>
    </row>
    <row r="627" spans="34:66" x14ac:dyDescent="0.25">
      <c r="AH627" s="75"/>
      <c r="AK627" s="75"/>
      <c r="BF627" s="75" t="str">
        <f t="shared" si="19"/>
        <v/>
      </c>
      <c r="BG627" t="str">
        <f>IF($AU$3=TRUE,IF(AL627="","",SUM($AL$6:AL627)),"")</f>
        <v/>
      </c>
      <c r="BH627" t="str">
        <f>IF($AV$3=TRUE,IF(AM627="","",SUM($AM$6:AM627)),"")</f>
        <v/>
      </c>
      <c r="BI627" t="str">
        <f>IF($AW$3=TRUE,IF(AN627="","",SUM($AN$6:AN627)),"")</f>
        <v/>
      </c>
      <c r="BJ627" t="str">
        <f>IF($AX$3=TRUE,IF(AO627="","",SUM($AO$6:AO627)),"")</f>
        <v/>
      </c>
      <c r="BK627" t="str">
        <f>IF($AY$3=TRUE,IF(AP627="","",SUM($AP$6:AP627)),"")</f>
        <v/>
      </c>
      <c r="BL627" t="str">
        <f>IF($AZ$3=TRUE,IF(AQ627="","",SUM($AQ$6:AQ627)),"")</f>
        <v/>
      </c>
      <c r="BM627" t="str">
        <f>IF($BA$3=TRUE,IF(AR627="","",SUM($AR$6:AR627)),"")</f>
        <v/>
      </c>
      <c r="BN627" t="str">
        <f>IF($BB$3=TRUE,IF(AS627="","",SUM($AS$6:AS627)),"")</f>
        <v/>
      </c>
    </row>
    <row r="628" spans="34:66" x14ac:dyDescent="0.25">
      <c r="AH628" s="75"/>
      <c r="AK628" s="75"/>
      <c r="BF628" s="75" t="str">
        <f t="shared" si="19"/>
        <v/>
      </c>
      <c r="BG628" t="str">
        <f>IF($AU$3=TRUE,IF(AL628="","",SUM($AL$6:AL628)),"")</f>
        <v/>
      </c>
      <c r="BH628" t="str">
        <f>IF($AV$3=TRUE,IF(AM628="","",SUM($AM$6:AM628)),"")</f>
        <v/>
      </c>
      <c r="BI628" t="str">
        <f>IF($AW$3=TRUE,IF(AN628="","",SUM($AN$6:AN628)),"")</f>
        <v/>
      </c>
      <c r="BJ628" t="str">
        <f>IF($AX$3=TRUE,IF(AO628="","",SUM($AO$6:AO628)),"")</f>
        <v/>
      </c>
      <c r="BK628" t="str">
        <f>IF($AY$3=TRUE,IF(AP628="","",SUM($AP$6:AP628)),"")</f>
        <v/>
      </c>
      <c r="BL628" t="str">
        <f>IF($AZ$3=TRUE,IF(AQ628="","",SUM($AQ$6:AQ628)),"")</f>
        <v/>
      </c>
      <c r="BM628" t="str">
        <f>IF($BA$3=TRUE,IF(AR628="","",SUM($AR$6:AR628)),"")</f>
        <v/>
      </c>
      <c r="BN628" t="str">
        <f>IF($BB$3=TRUE,IF(AS628="","",SUM($AS$6:AS628)),"")</f>
        <v/>
      </c>
    </row>
    <row r="629" spans="34:66" x14ac:dyDescent="0.25">
      <c r="AH629" s="75"/>
      <c r="AK629" s="75"/>
      <c r="BF629" s="75" t="str">
        <f t="shared" si="19"/>
        <v/>
      </c>
      <c r="BG629" t="str">
        <f>IF($AU$3=TRUE,IF(AL629="","",SUM($AL$6:AL629)),"")</f>
        <v/>
      </c>
      <c r="BH629" t="str">
        <f>IF($AV$3=TRUE,IF(AM629="","",SUM($AM$6:AM629)),"")</f>
        <v/>
      </c>
      <c r="BI629" t="str">
        <f>IF($AW$3=TRUE,IF(AN629="","",SUM($AN$6:AN629)),"")</f>
        <v/>
      </c>
      <c r="BJ629" t="str">
        <f>IF($AX$3=TRUE,IF(AO629="","",SUM($AO$6:AO629)),"")</f>
        <v/>
      </c>
      <c r="BK629" t="str">
        <f>IF($AY$3=TRUE,IF(AP629="","",SUM($AP$6:AP629)),"")</f>
        <v/>
      </c>
      <c r="BL629" t="str">
        <f>IF($AZ$3=TRUE,IF(AQ629="","",SUM($AQ$6:AQ629)),"")</f>
        <v/>
      </c>
      <c r="BM629" t="str">
        <f>IF($BA$3=TRUE,IF(AR629="","",SUM($AR$6:AR629)),"")</f>
        <v/>
      </c>
      <c r="BN629" t="str">
        <f>IF($BB$3=TRUE,IF(AS629="","",SUM($AS$6:AS629)),"")</f>
        <v/>
      </c>
    </row>
    <row r="630" spans="34:66" x14ac:dyDescent="0.25">
      <c r="AH630" s="75"/>
      <c r="AK630" s="75"/>
      <c r="BF630" s="75" t="str">
        <f t="shared" si="19"/>
        <v/>
      </c>
      <c r="BG630" t="str">
        <f>IF($AU$3=TRUE,IF(AL630="","",SUM($AL$6:AL630)),"")</f>
        <v/>
      </c>
      <c r="BH630" t="str">
        <f>IF($AV$3=TRUE,IF(AM630="","",SUM($AM$6:AM630)),"")</f>
        <v/>
      </c>
      <c r="BI630" t="str">
        <f>IF($AW$3=TRUE,IF(AN630="","",SUM($AN$6:AN630)),"")</f>
        <v/>
      </c>
      <c r="BJ630" t="str">
        <f>IF($AX$3=TRUE,IF(AO630="","",SUM($AO$6:AO630)),"")</f>
        <v/>
      </c>
      <c r="BK630" t="str">
        <f>IF($AY$3=TRUE,IF(AP630="","",SUM($AP$6:AP630)),"")</f>
        <v/>
      </c>
      <c r="BL630" t="str">
        <f>IF($AZ$3=TRUE,IF(AQ630="","",SUM($AQ$6:AQ630)),"")</f>
        <v/>
      </c>
      <c r="BM630" t="str">
        <f>IF($BA$3=TRUE,IF(AR630="","",SUM($AR$6:AR630)),"")</f>
        <v/>
      </c>
      <c r="BN630" t="str">
        <f>IF($BB$3=TRUE,IF(AS630="","",SUM($AS$6:AS630)),"")</f>
        <v/>
      </c>
    </row>
    <row r="631" spans="34:66" x14ac:dyDescent="0.25">
      <c r="AH631" s="75"/>
      <c r="AK631" s="75"/>
      <c r="BF631" s="75" t="str">
        <f t="shared" si="19"/>
        <v/>
      </c>
      <c r="BG631" t="str">
        <f>IF($AU$3=TRUE,IF(AL631="","",SUM($AL$6:AL631)),"")</f>
        <v/>
      </c>
      <c r="BH631" t="str">
        <f>IF($AV$3=TRUE,IF(AM631="","",SUM($AM$6:AM631)),"")</f>
        <v/>
      </c>
      <c r="BI631" t="str">
        <f>IF($AW$3=TRUE,IF(AN631="","",SUM($AN$6:AN631)),"")</f>
        <v/>
      </c>
      <c r="BJ631" t="str">
        <f>IF($AX$3=TRUE,IF(AO631="","",SUM($AO$6:AO631)),"")</f>
        <v/>
      </c>
      <c r="BK631" t="str">
        <f>IF($AY$3=TRUE,IF(AP631="","",SUM($AP$6:AP631)),"")</f>
        <v/>
      </c>
      <c r="BL631" t="str">
        <f>IF($AZ$3=TRUE,IF(AQ631="","",SUM($AQ$6:AQ631)),"")</f>
        <v/>
      </c>
      <c r="BM631" t="str">
        <f>IF($BA$3=TRUE,IF(AR631="","",SUM($AR$6:AR631)),"")</f>
        <v/>
      </c>
      <c r="BN631" t="str">
        <f>IF($BB$3=TRUE,IF(AS631="","",SUM($AS$6:AS631)),"")</f>
        <v/>
      </c>
    </row>
    <row r="632" spans="34:66" x14ac:dyDescent="0.25">
      <c r="AH632" s="75"/>
      <c r="AK632" s="75"/>
      <c r="BF632" s="75" t="str">
        <f t="shared" si="19"/>
        <v/>
      </c>
      <c r="BG632" t="str">
        <f>IF($AU$3=TRUE,IF(AL632="","",SUM($AL$6:AL632)),"")</f>
        <v/>
      </c>
      <c r="BH632" t="str">
        <f>IF($AV$3=TRUE,IF(AM632="","",SUM($AM$6:AM632)),"")</f>
        <v/>
      </c>
      <c r="BI632" t="str">
        <f>IF($AW$3=TRUE,IF(AN632="","",SUM($AN$6:AN632)),"")</f>
        <v/>
      </c>
      <c r="BJ632" t="str">
        <f>IF($AX$3=TRUE,IF(AO632="","",SUM($AO$6:AO632)),"")</f>
        <v/>
      </c>
      <c r="BK632" t="str">
        <f>IF($AY$3=TRUE,IF(AP632="","",SUM($AP$6:AP632)),"")</f>
        <v/>
      </c>
      <c r="BL632" t="str">
        <f>IF($AZ$3=TRUE,IF(AQ632="","",SUM($AQ$6:AQ632)),"")</f>
        <v/>
      </c>
      <c r="BM632" t="str">
        <f>IF($BA$3=TRUE,IF(AR632="","",SUM($AR$6:AR632)),"")</f>
        <v/>
      </c>
      <c r="BN632" t="str">
        <f>IF($BB$3=TRUE,IF(AS632="","",SUM($AS$6:AS632)),"")</f>
        <v/>
      </c>
    </row>
    <row r="633" spans="34:66" x14ac:dyDescent="0.25">
      <c r="AH633" s="75"/>
      <c r="AK633" s="75"/>
      <c r="BF633" s="75" t="str">
        <f t="shared" si="19"/>
        <v/>
      </c>
      <c r="BG633" t="str">
        <f>IF($AU$3=TRUE,IF(AL633="","",SUM($AL$6:AL633)),"")</f>
        <v/>
      </c>
      <c r="BH633" t="str">
        <f>IF($AV$3=TRUE,IF(AM633="","",SUM($AM$6:AM633)),"")</f>
        <v/>
      </c>
      <c r="BI633" t="str">
        <f>IF($AW$3=TRUE,IF(AN633="","",SUM($AN$6:AN633)),"")</f>
        <v/>
      </c>
      <c r="BJ633" t="str">
        <f>IF($AX$3=TRUE,IF(AO633="","",SUM($AO$6:AO633)),"")</f>
        <v/>
      </c>
      <c r="BK633" t="str">
        <f>IF($AY$3=TRUE,IF(AP633="","",SUM($AP$6:AP633)),"")</f>
        <v/>
      </c>
      <c r="BL633" t="str">
        <f>IF($AZ$3=TRUE,IF(AQ633="","",SUM($AQ$6:AQ633)),"")</f>
        <v/>
      </c>
      <c r="BM633" t="str">
        <f>IF($BA$3=TRUE,IF(AR633="","",SUM($AR$6:AR633)),"")</f>
        <v/>
      </c>
      <c r="BN633" t="str">
        <f>IF($BB$3=TRUE,IF(AS633="","",SUM($AS$6:AS633)),"")</f>
        <v/>
      </c>
    </row>
    <row r="634" spans="34:66" x14ac:dyDescent="0.25">
      <c r="AH634" s="75"/>
      <c r="AK634" s="75"/>
      <c r="BF634" s="75" t="str">
        <f t="shared" si="19"/>
        <v/>
      </c>
      <c r="BG634" t="str">
        <f>IF($AU$3=TRUE,IF(AL634="","",SUM($AL$6:AL634)),"")</f>
        <v/>
      </c>
      <c r="BH634" t="str">
        <f>IF($AV$3=TRUE,IF(AM634="","",SUM($AM$6:AM634)),"")</f>
        <v/>
      </c>
      <c r="BI634" t="str">
        <f>IF($AW$3=TRUE,IF(AN634="","",SUM($AN$6:AN634)),"")</f>
        <v/>
      </c>
      <c r="BJ634" t="str">
        <f>IF($AX$3=TRUE,IF(AO634="","",SUM($AO$6:AO634)),"")</f>
        <v/>
      </c>
      <c r="BK634" t="str">
        <f>IF($AY$3=TRUE,IF(AP634="","",SUM($AP$6:AP634)),"")</f>
        <v/>
      </c>
      <c r="BL634" t="str">
        <f>IF($AZ$3=TRUE,IF(AQ634="","",SUM($AQ$6:AQ634)),"")</f>
        <v/>
      </c>
      <c r="BM634" t="str">
        <f>IF($BA$3=TRUE,IF(AR634="","",SUM($AR$6:AR634)),"")</f>
        <v/>
      </c>
      <c r="BN634" t="str">
        <f>IF($BB$3=TRUE,IF(AS634="","",SUM($AS$6:AS634)),"")</f>
        <v/>
      </c>
    </row>
    <row r="635" spans="34:66" x14ac:dyDescent="0.25">
      <c r="AH635" s="75"/>
      <c r="AK635" s="75"/>
      <c r="BF635" s="75" t="str">
        <f t="shared" si="19"/>
        <v/>
      </c>
      <c r="BG635" t="str">
        <f>IF($AU$3=TRUE,IF(AL635="","",SUM($AL$6:AL635)),"")</f>
        <v/>
      </c>
      <c r="BH635" t="str">
        <f>IF($AV$3=TRUE,IF(AM635="","",SUM($AM$6:AM635)),"")</f>
        <v/>
      </c>
      <c r="BI635" t="str">
        <f>IF($AW$3=TRUE,IF(AN635="","",SUM($AN$6:AN635)),"")</f>
        <v/>
      </c>
      <c r="BJ635" t="str">
        <f>IF($AX$3=TRUE,IF(AO635="","",SUM($AO$6:AO635)),"")</f>
        <v/>
      </c>
      <c r="BK635" t="str">
        <f>IF($AY$3=TRUE,IF(AP635="","",SUM($AP$6:AP635)),"")</f>
        <v/>
      </c>
      <c r="BL635" t="str">
        <f>IF($AZ$3=TRUE,IF(AQ635="","",SUM($AQ$6:AQ635)),"")</f>
        <v/>
      </c>
      <c r="BM635" t="str">
        <f>IF($BA$3=TRUE,IF(AR635="","",SUM($AR$6:AR635)),"")</f>
        <v/>
      </c>
      <c r="BN635" t="str">
        <f>IF($BB$3=TRUE,IF(AS635="","",SUM($AS$6:AS635)),"")</f>
        <v/>
      </c>
    </row>
    <row r="636" spans="34:66" x14ac:dyDescent="0.25">
      <c r="AH636" s="75"/>
      <c r="AK636" s="75"/>
      <c r="BF636" s="75" t="str">
        <f t="shared" si="19"/>
        <v/>
      </c>
      <c r="BG636" t="str">
        <f>IF($AU$3=TRUE,IF(AL636="","",SUM($AL$6:AL636)),"")</f>
        <v/>
      </c>
      <c r="BH636" t="str">
        <f>IF($AV$3=TRUE,IF(AM636="","",SUM($AM$6:AM636)),"")</f>
        <v/>
      </c>
      <c r="BI636" t="str">
        <f>IF($AW$3=TRUE,IF(AN636="","",SUM($AN$6:AN636)),"")</f>
        <v/>
      </c>
      <c r="BJ636" t="str">
        <f>IF($AX$3=TRUE,IF(AO636="","",SUM($AO$6:AO636)),"")</f>
        <v/>
      </c>
      <c r="BK636" t="str">
        <f>IF($AY$3=TRUE,IF(AP636="","",SUM($AP$6:AP636)),"")</f>
        <v/>
      </c>
      <c r="BL636" t="str">
        <f>IF($AZ$3=TRUE,IF(AQ636="","",SUM($AQ$6:AQ636)),"")</f>
        <v/>
      </c>
      <c r="BM636" t="str">
        <f>IF($BA$3=TRUE,IF(AR636="","",SUM($AR$6:AR636)),"")</f>
        <v/>
      </c>
      <c r="BN636" t="str">
        <f>IF($BB$3=TRUE,IF(AS636="","",SUM($AS$6:AS636)),"")</f>
        <v/>
      </c>
    </row>
    <row r="637" spans="34:66" x14ac:dyDescent="0.25">
      <c r="AH637" s="75"/>
      <c r="AK637" s="75"/>
      <c r="BF637" s="75" t="str">
        <f t="shared" si="19"/>
        <v/>
      </c>
      <c r="BG637" t="str">
        <f>IF($AU$3=TRUE,IF(AL637="","",SUM($AL$6:AL637)),"")</f>
        <v/>
      </c>
      <c r="BH637" t="str">
        <f>IF($AV$3=TRUE,IF(AM637="","",SUM($AM$6:AM637)),"")</f>
        <v/>
      </c>
      <c r="BI637" t="str">
        <f>IF($AW$3=TRUE,IF(AN637="","",SUM($AN$6:AN637)),"")</f>
        <v/>
      </c>
      <c r="BJ637" t="str">
        <f>IF($AX$3=TRUE,IF(AO637="","",SUM($AO$6:AO637)),"")</f>
        <v/>
      </c>
      <c r="BK637" t="str">
        <f>IF($AY$3=TRUE,IF(AP637="","",SUM($AP$6:AP637)),"")</f>
        <v/>
      </c>
      <c r="BL637" t="str">
        <f>IF($AZ$3=TRUE,IF(AQ637="","",SUM($AQ$6:AQ637)),"")</f>
        <v/>
      </c>
      <c r="BM637" t="str">
        <f>IF($BA$3=TRUE,IF(AR637="","",SUM($AR$6:AR637)),"")</f>
        <v/>
      </c>
      <c r="BN637" t="str">
        <f>IF($BB$3=TRUE,IF(AS637="","",SUM($AS$6:AS637)),"")</f>
        <v/>
      </c>
    </row>
    <row r="638" spans="34:66" x14ac:dyDescent="0.25">
      <c r="AH638" s="75"/>
      <c r="AK638" s="75"/>
      <c r="BF638" s="75" t="str">
        <f t="shared" si="19"/>
        <v/>
      </c>
      <c r="BG638" t="str">
        <f>IF($AU$3=TRUE,IF(AL638="","",SUM($AL$6:AL638)),"")</f>
        <v/>
      </c>
      <c r="BH638" t="str">
        <f>IF($AV$3=TRUE,IF(AM638="","",SUM($AM$6:AM638)),"")</f>
        <v/>
      </c>
      <c r="BI638" t="str">
        <f>IF($AW$3=TRUE,IF(AN638="","",SUM($AN$6:AN638)),"")</f>
        <v/>
      </c>
      <c r="BJ638" t="str">
        <f>IF($AX$3=TRUE,IF(AO638="","",SUM($AO$6:AO638)),"")</f>
        <v/>
      </c>
      <c r="BK638" t="str">
        <f>IF($AY$3=TRUE,IF(AP638="","",SUM($AP$6:AP638)),"")</f>
        <v/>
      </c>
      <c r="BL638" t="str">
        <f>IF($AZ$3=TRUE,IF(AQ638="","",SUM($AQ$6:AQ638)),"")</f>
        <v/>
      </c>
      <c r="BM638" t="str">
        <f>IF($BA$3=TRUE,IF(AR638="","",SUM($AR$6:AR638)),"")</f>
        <v/>
      </c>
      <c r="BN638" t="str">
        <f>IF($BB$3=TRUE,IF(AS638="","",SUM($AS$6:AS638)),"")</f>
        <v/>
      </c>
    </row>
    <row r="639" spans="34:66" x14ac:dyDescent="0.25">
      <c r="AH639" s="75"/>
      <c r="AK639" s="75"/>
      <c r="BF639" s="75" t="str">
        <f t="shared" si="19"/>
        <v/>
      </c>
      <c r="BG639" t="str">
        <f>IF($AU$3=TRUE,IF(AL639="","",SUM($AL$6:AL639)),"")</f>
        <v/>
      </c>
      <c r="BH639" t="str">
        <f>IF($AV$3=TRUE,IF(AM639="","",SUM($AM$6:AM639)),"")</f>
        <v/>
      </c>
      <c r="BI639" t="str">
        <f>IF($AW$3=TRUE,IF(AN639="","",SUM($AN$6:AN639)),"")</f>
        <v/>
      </c>
      <c r="BJ639" t="str">
        <f>IF($AX$3=TRUE,IF(AO639="","",SUM($AO$6:AO639)),"")</f>
        <v/>
      </c>
      <c r="BK639" t="str">
        <f>IF($AY$3=TRUE,IF(AP639="","",SUM($AP$6:AP639)),"")</f>
        <v/>
      </c>
      <c r="BL639" t="str">
        <f>IF($AZ$3=TRUE,IF(AQ639="","",SUM($AQ$6:AQ639)),"")</f>
        <v/>
      </c>
      <c r="BM639" t="str">
        <f>IF($BA$3=TRUE,IF(AR639="","",SUM($AR$6:AR639)),"")</f>
        <v/>
      </c>
      <c r="BN639" t="str">
        <f>IF($BB$3=TRUE,IF(AS639="","",SUM($AS$6:AS639)),"")</f>
        <v/>
      </c>
    </row>
    <row r="640" spans="34:66" x14ac:dyDescent="0.25">
      <c r="AH640" s="75"/>
      <c r="AK640" s="75"/>
      <c r="BF640" s="75" t="str">
        <f t="shared" si="19"/>
        <v/>
      </c>
      <c r="BG640" t="str">
        <f>IF($AU$3=TRUE,IF(AL640="","",SUM($AL$6:AL640)),"")</f>
        <v/>
      </c>
      <c r="BH640" t="str">
        <f>IF($AV$3=TRUE,IF(AM640="","",SUM($AM$6:AM640)),"")</f>
        <v/>
      </c>
      <c r="BI640" t="str">
        <f>IF($AW$3=TRUE,IF(AN640="","",SUM($AN$6:AN640)),"")</f>
        <v/>
      </c>
      <c r="BJ640" t="str">
        <f>IF($AX$3=TRUE,IF(AO640="","",SUM($AO$6:AO640)),"")</f>
        <v/>
      </c>
      <c r="BK640" t="str">
        <f>IF($AY$3=TRUE,IF(AP640="","",SUM($AP$6:AP640)),"")</f>
        <v/>
      </c>
      <c r="BL640" t="str">
        <f>IF($AZ$3=TRUE,IF(AQ640="","",SUM($AQ$6:AQ640)),"")</f>
        <v/>
      </c>
      <c r="BM640" t="str">
        <f>IF($BA$3=TRUE,IF(AR640="","",SUM($AR$6:AR640)),"")</f>
        <v/>
      </c>
      <c r="BN640" t="str">
        <f>IF($BB$3=TRUE,IF(AS640="","",SUM($AS$6:AS640)),"")</f>
        <v/>
      </c>
    </row>
    <row r="641" spans="34:66" x14ac:dyDescent="0.25">
      <c r="AH641" s="75"/>
      <c r="AK641" s="75"/>
      <c r="BF641" s="75" t="str">
        <f t="shared" si="19"/>
        <v/>
      </c>
      <c r="BG641" t="str">
        <f>IF($AU$3=TRUE,IF(AL641="","",SUM($AL$6:AL641)),"")</f>
        <v/>
      </c>
      <c r="BH641" t="str">
        <f>IF($AV$3=TRUE,IF(AM641="","",SUM($AM$6:AM641)),"")</f>
        <v/>
      </c>
      <c r="BI641" t="str">
        <f>IF($AW$3=TRUE,IF(AN641="","",SUM($AN$6:AN641)),"")</f>
        <v/>
      </c>
      <c r="BJ641" t="str">
        <f>IF($AX$3=TRUE,IF(AO641="","",SUM($AO$6:AO641)),"")</f>
        <v/>
      </c>
      <c r="BK641" t="str">
        <f>IF($AY$3=TRUE,IF(AP641="","",SUM($AP$6:AP641)),"")</f>
        <v/>
      </c>
      <c r="BL641" t="str">
        <f>IF($AZ$3=TRUE,IF(AQ641="","",SUM($AQ$6:AQ641)),"")</f>
        <v/>
      </c>
      <c r="BM641" t="str">
        <f>IF($BA$3=TRUE,IF(AR641="","",SUM($AR$6:AR641)),"")</f>
        <v/>
      </c>
      <c r="BN641" t="str">
        <f>IF($BB$3=TRUE,IF(AS641="","",SUM($AS$6:AS641)),"")</f>
        <v/>
      </c>
    </row>
    <row r="642" spans="34:66" x14ac:dyDescent="0.25">
      <c r="AH642" s="75"/>
      <c r="AK642" s="75"/>
      <c r="BF642" s="75" t="str">
        <f t="shared" si="19"/>
        <v/>
      </c>
      <c r="BG642" t="str">
        <f>IF($AU$3=TRUE,IF(AL642="","",SUM($AL$6:AL642)),"")</f>
        <v/>
      </c>
      <c r="BH642" t="str">
        <f>IF($AV$3=TRUE,IF(AM642="","",SUM($AM$6:AM642)),"")</f>
        <v/>
      </c>
      <c r="BI642" t="str">
        <f>IF($AW$3=TRUE,IF(AN642="","",SUM($AN$6:AN642)),"")</f>
        <v/>
      </c>
      <c r="BJ642" t="str">
        <f>IF($AX$3=TRUE,IF(AO642="","",SUM($AO$6:AO642)),"")</f>
        <v/>
      </c>
      <c r="BK642" t="str">
        <f>IF($AY$3=TRUE,IF(AP642="","",SUM($AP$6:AP642)),"")</f>
        <v/>
      </c>
      <c r="BL642" t="str">
        <f>IF($AZ$3=TRUE,IF(AQ642="","",SUM($AQ$6:AQ642)),"")</f>
        <v/>
      </c>
      <c r="BM642" t="str">
        <f>IF($BA$3=TRUE,IF(AR642="","",SUM($AR$6:AR642)),"")</f>
        <v/>
      </c>
      <c r="BN642" t="str">
        <f>IF($BB$3=TRUE,IF(AS642="","",SUM($AS$6:AS642)),"")</f>
        <v/>
      </c>
    </row>
    <row r="643" spans="34:66" x14ac:dyDescent="0.25">
      <c r="AH643" s="75"/>
      <c r="AK643" s="75"/>
      <c r="BF643" s="75" t="str">
        <f t="shared" si="19"/>
        <v/>
      </c>
      <c r="BG643" t="str">
        <f>IF($AU$3=TRUE,IF(AL643="","",SUM($AL$6:AL643)),"")</f>
        <v/>
      </c>
      <c r="BH643" t="str">
        <f>IF($AV$3=TRUE,IF(AM643="","",SUM($AM$6:AM643)),"")</f>
        <v/>
      </c>
      <c r="BI643" t="str">
        <f>IF($AW$3=TRUE,IF(AN643="","",SUM($AN$6:AN643)),"")</f>
        <v/>
      </c>
      <c r="BJ643" t="str">
        <f>IF($AX$3=TRUE,IF(AO643="","",SUM($AO$6:AO643)),"")</f>
        <v/>
      </c>
      <c r="BK643" t="str">
        <f>IF($AY$3=TRUE,IF(AP643="","",SUM($AP$6:AP643)),"")</f>
        <v/>
      </c>
      <c r="BL643" t="str">
        <f>IF($AZ$3=TRUE,IF(AQ643="","",SUM($AQ$6:AQ643)),"")</f>
        <v/>
      </c>
      <c r="BM643" t="str">
        <f>IF($BA$3=TRUE,IF(AR643="","",SUM($AR$6:AR643)),"")</f>
        <v/>
      </c>
      <c r="BN643" t="str">
        <f>IF($BB$3=TRUE,IF(AS643="","",SUM($AS$6:AS643)),"")</f>
        <v/>
      </c>
    </row>
    <row r="644" spans="34:66" x14ac:dyDescent="0.25">
      <c r="AH644" s="75"/>
      <c r="AK644" s="75"/>
      <c r="BF644" s="75" t="str">
        <f t="shared" si="19"/>
        <v/>
      </c>
      <c r="BG644" t="str">
        <f>IF($AU$3=TRUE,IF(AL644="","",SUM($AL$6:AL644)),"")</f>
        <v/>
      </c>
      <c r="BH644" t="str">
        <f>IF($AV$3=TRUE,IF(AM644="","",SUM($AM$6:AM644)),"")</f>
        <v/>
      </c>
      <c r="BI644" t="str">
        <f>IF($AW$3=TRUE,IF(AN644="","",SUM($AN$6:AN644)),"")</f>
        <v/>
      </c>
      <c r="BJ644" t="str">
        <f>IF($AX$3=TRUE,IF(AO644="","",SUM($AO$6:AO644)),"")</f>
        <v/>
      </c>
      <c r="BK644" t="str">
        <f>IF($AY$3=TRUE,IF(AP644="","",SUM($AP$6:AP644)),"")</f>
        <v/>
      </c>
      <c r="BL644" t="str">
        <f>IF($AZ$3=TRUE,IF(AQ644="","",SUM($AQ$6:AQ644)),"")</f>
        <v/>
      </c>
      <c r="BM644" t="str">
        <f>IF($BA$3=TRUE,IF(AR644="","",SUM($AR$6:AR644)),"")</f>
        <v/>
      </c>
      <c r="BN644" t="str">
        <f>IF($BB$3=TRUE,IF(AS644="","",SUM($AS$6:AS644)),"")</f>
        <v/>
      </c>
    </row>
    <row r="645" spans="34:66" x14ac:dyDescent="0.25">
      <c r="AH645" s="75"/>
      <c r="AK645" s="75"/>
      <c r="BF645" s="75" t="str">
        <f t="shared" si="19"/>
        <v/>
      </c>
      <c r="BG645" t="str">
        <f>IF($AU$3=TRUE,IF(AL645="","",SUM($AL$6:AL645)),"")</f>
        <v/>
      </c>
      <c r="BH645" t="str">
        <f>IF($AV$3=TRUE,IF(AM645="","",SUM($AM$6:AM645)),"")</f>
        <v/>
      </c>
      <c r="BI645" t="str">
        <f>IF($AW$3=TRUE,IF(AN645="","",SUM($AN$6:AN645)),"")</f>
        <v/>
      </c>
      <c r="BJ645" t="str">
        <f>IF($AX$3=TRUE,IF(AO645="","",SUM($AO$6:AO645)),"")</f>
        <v/>
      </c>
      <c r="BK645" t="str">
        <f>IF($AY$3=TRUE,IF(AP645="","",SUM($AP$6:AP645)),"")</f>
        <v/>
      </c>
      <c r="BL645" t="str">
        <f>IF($AZ$3=TRUE,IF(AQ645="","",SUM($AQ$6:AQ645)),"")</f>
        <v/>
      </c>
      <c r="BM645" t="str">
        <f>IF($BA$3=TRUE,IF(AR645="","",SUM($AR$6:AR645)),"")</f>
        <v/>
      </c>
      <c r="BN645" t="str">
        <f>IF($BB$3=TRUE,IF(AS645="","",SUM($AS$6:AS645)),"")</f>
        <v/>
      </c>
    </row>
    <row r="646" spans="34:66" x14ac:dyDescent="0.25">
      <c r="AH646" s="75"/>
      <c r="AK646" s="75"/>
      <c r="BF646" s="75" t="str">
        <f t="shared" si="19"/>
        <v/>
      </c>
      <c r="BG646" t="str">
        <f>IF($AU$3=TRUE,IF(AL646="","",SUM($AL$6:AL646)),"")</f>
        <v/>
      </c>
      <c r="BH646" t="str">
        <f>IF($AV$3=TRUE,IF(AM646="","",SUM($AM$6:AM646)),"")</f>
        <v/>
      </c>
      <c r="BI646" t="str">
        <f>IF($AW$3=TRUE,IF(AN646="","",SUM($AN$6:AN646)),"")</f>
        <v/>
      </c>
      <c r="BJ646" t="str">
        <f>IF($AX$3=TRUE,IF(AO646="","",SUM($AO$6:AO646)),"")</f>
        <v/>
      </c>
      <c r="BK646" t="str">
        <f>IF($AY$3=TRUE,IF(AP646="","",SUM($AP$6:AP646)),"")</f>
        <v/>
      </c>
      <c r="BL646" t="str">
        <f>IF($AZ$3=TRUE,IF(AQ646="","",SUM($AQ$6:AQ646)),"")</f>
        <v/>
      </c>
      <c r="BM646" t="str">
        <f>IF($BA$3=TRUE,IF(AR646="","",SUM($AR$6:AR646)),"")</f>
        <v/>
      </c>
      <c r="BN646" t="str">
        <f>IF($BB$3=TRUE,IF(AS646="","",SUM($AS$6:AS646)),"")</f>
        <v/>
      </c>
    </row>
    <row r="647" spans="34:66" x14ac:dyDescent="0.25">
      <c r="AH647" s="75"/>
      <c r="AK647" s="75"/>
      <c r="BF647" s="75" t="str">
        <f t="shared" ref="BF647:BF661" si="20">IF(AK647="","",AK647)</f>
        <v/>
      </c>
      <c r="BG647" t="str">
        <f>IF($AU$3=TRUE,IF(AL647="","",SUM($AL$6:AL647)),"")</f>
        <v/>
      </c>
      <c r="BH647" t="str">
        <f>IF($AV$3=TRUE,IF(AM647="","",SUM($AM$6:AM647)),"")</f>
        <v/>
      </c>
      <c r="BI647" t="str">
        <f>IF($AW$3=TRUE,IF(AN647="","",SUM($AN$6:AN647)),"")</f>
        <v/>
      </c>
      <c r="BJ647" t="str">
        <f>IF($AX$3=TRUE,IF(AO647="","",SUM($AO$6:AO647)),"")</f>
        <v/>
      </c>
      <c r="BK647" t="str">
        <f>IF($AY$3=TRUE,IF(AP647="","",SUM($AP$6:AP647)),"")</f>
        <v/>
      </c>
      <c r="BL647" t="str">
        <f>IF($AZ$3=TRUE,IF(AQ647="","",SUM($AQ$6:AQ647)),"")</f>
        <v/>
      </c>
      <c r="BM647" t="str">
        <f>IF($BA$3=TRUE,IF(AR647="","",SUM($AR$6:AR647)),"")</f>
        <v/>
      </c>
      <c r="BN647" t="str">
        <f>IF($BB$3=TRUE,IF(AS647="","",SUM($AS$6:AS647)),"")</f>
        <v/>
      </c>
    </row>
    <row r="648" spans="34:66" x14ac:dyDescent="0.25">
      <c r="AH648" s="75"/>
      <c r="AK648" s="75"/>
      <c r="BF648" s="75" t="str">
        <f t="shared" si="20"/>
        <v/>
      </c>
      <c r="BG648" t="str">
        <f>IF($AU$3=TRUE,IF(AL648="","",SUM($AL$6:AL648)),"")</f>
        <v/>
      </c>
      <c r="BH648" t="str">
        <f>IF($AV$3=TRUE,IF(AM648="","",SUM($AM$6:AM648)),"")</f>
        <v/>
      </c>
      <c r="BI648" t="str">
        <f>IF($AW$3=TRUE,IF(AN648="","",SUM($AN$6:AN648)),"")</f>
        <v/>
      </c>
      <c r="BJ648" t="str">
        <f>IF($AX$3=TRUE,IF(AO648="","",SUM($AO$6:AO648)),"")</f>
        <v/>
      </c>
      <c r="BK648" t="str">
        <f>IF($AY$3=TRUE,IF(AP648="","",SUM($AP$6:AP648)),"")</f>
        <v/>
      </c>
      <c r="BL648" t="str">
        <f>IF($AZ$3=TRUE,IF(AQ648="","",SUM($AQ$6:AQ648)),"")</f>
        <v/>
      </c>
      <c r="BM648" t="str">
        <f>IF($BA$3=TRUE,IF(AR648="","",SUM($AR$6:AR648)),"")</f>
        <v/>
      </c>
      <c r="BN648" t="str">
        <f>IF($BB$3=TRUE,IF(AS648="","",SUM($AS$6:AS648)),"")</f>
        <v/>
      </c>
    </row>
    <row r="649" spans="34:66" x14ac:dyDescent="0.25">
      <c r="AH649" s="75"/>
      <c r="AK649" s="75"/>
      <c r="BF649" s="75" t="str">
        <f t="shared" si="20"/>
        <v/>
      </c>
      <c r="BG649" t="str">
        <f>IF($AU$3=TRUE,IF(AL649="","",SUM($AL$6:AL649)),"")</f>
        <v/>
      </c>
      <c r="BH649" t="str">
        <f>IF($AV$3=TRUE,IF(AM649="","",SUM($AM$6:AM649)),"")</f>
        <v/>
      </c>
      <c r="BI649" t="str">
        <f>IF($AW$3=TRUE,IF(AN649="","",SUM($AN$6:AN649)),"")</f>
        <v/>
      </c>
      <c r="BJ649" t="str">
        <f>IF($AX$3=TRUE,IF(AO649="","",SUM($AO$6:AO649)),"")</f>
        <v/>
      </c>
      <c r="BK649" t="str">
        <f>IF($AY$3=TRUE,IF(AP649="","",SUM($AP$6:AP649)),"")</f>
        <v/>
      </c>
      <c r="BL649" t="str">
        <f>IF($AZ$3=TRUE,IF(AQ649="","",SUM($AQ$6:AQ649)),"")</f>
        <v/>
      </c>
      <c r="BM649" t="str">
        <f>IF($BA$3=TRUE,IF(AR649="","",SUM($AR$6:AR649)),"")</f>
        <v/>
      </c>
      <c r="BN649" t="str">
        <f>IF($BB$3=TRUE,IF(AS649="","",SUM($AS$6:AS649)),"")</f>
        <v/>
      </c>
    </row>
    <row r="650" spans="34:66" x14ac:dyDescent="0.25">
      <c r="AH650" s="75"/>
      <c r="AK650" s="75"/>
      <c r="BF650" s="75" t="str">
        <f t="shared" si="20"/>
        <v/>
      </c>
      <c r="BG650" t="str">
        <f>IF($AU$3=TRUE,IF(AL650="","",SUM($AL$6:AL650)),"")</f>
        <v/>
      </c>
      <c r="BH650" t="str">
        <f>IF($AV$3=TRUE,IF(AM650="","",SUM($AM$6:AM650)),"")</f>
        <v/>
      </c>
      <c r="BI650" t="str">
        <f>IF($AW$3=TRUE,IF(AN650="","",SUM($AN$6:AN650)),"")</f>
        <v/>
      </c>
      <c r="BJ650" t="str">
        <f>IF($AX$3=TRUE,IF(AO650="","",SUM($AO$6:AO650)),"")</f>
        <v/>
      </c>
      <c r="BK650" t="str">
        <f>IF($AY$3=TRUE,IF(AP650="","",SUM($AP$6:AP650)),"")</f>
        <v/>
      </c>
      <c r="BL650" t="str">
        <f>IF($AZ$3=TRUE,IF(AQ650="","",SUM($AQ$6:AQ650)),"")</f>
        <v/>
      </c>
      <c r="BM650" t="str">
        <f>IF($BA$3=TRUE,IF(AR650="","",SUM($AR$6:AR650)),"")</f>
        <v/>
      </c>
      <c r="BN650" t="str">
        <f>IF($BB$3=TRUE,IF(AS650="","",SUM($AS$6:AS650)),"")</f>
        <v/>
      </c>
    </row>
    <row r="651" spans="34:66" x14ac:dyDescent="0.25">
      <c r="AH651" s="75"/>
      <c r="AK651" s="75"/>
      <c r="BF651" s="75" t="str">
        <f t="shared" si="20"/>
        <v/>
      </c>
      <c r="BG651" t="str">
        <f>IF($AU$3=TRUE,IF(AL651="","",SUM($AL$6:AL651)),"")</f>
        <v/>
      </c>
      <c r="BH651" t="str">
        <f>IF($AV$3=TRUE,IF(AM651="","",SUM($AM$6:AM651)),"")</f>
        <v/>
      </c>
      <c r="BI651" t="str">
        <f>IF($AW$3=TRUE,IF(AN651="","",SUM($AN$6:AN651)),"")</f>
        <v/>
      </c>
      <c r="BJ651" t="str">
        <f>IF($AX$3=TRUE,IF(AO651="","",SUM($AO$6:AO651)),"")</f>
        <v/>
      </c>
      <c r="BK651" t="str">
        <f>IF($AY$3=TRUE,IF(AP651="","",SUM($AP$6:AP651)),"")</f>
        <v/>
      </c>
      <c r="BL651" t="str">
        <f>IF($AZ$3=TRUE,IF(AQ651="","",SUM($AQ$6:AQ651)),"")</f>
        <v/>
      </c>
      <c r="BM651" t="str">
        <f>IF($BA$3=TRUE,IF(AR651="","",SUM($AR$6:AR651)),"")</f>
        <v/>
      </c>
      <c r="BN651" t="str">
        <f>IF($BB$3=TRUE,IF(AS651="","",SUM($AS$6:AS651)),"")</f>
        <v/>
      </c>
    </row>
    <row r="652" spans="34:66" x14ac:dyDescent="0.25">
      <c r="AH652" s="75"/>
      <c r="AK652" s="75"/>
      <c r="BF652" s="75" t="str">
        <f t="shared" si="20"/>
        <v/>
      </c>
      <c r="BG652" t="str">
        <f>IF($AU$3=TRUE,IF(AL652="","",SUM($AL$6:AL652)),"")</f>
        <v/>
      </c>
      <c r="BH652" t="str">
        <f>IF($AV$3=TRUE,IF(AM652="","",SUM($AM$6:AM652)),"")</f>
        <v/>
      </c>
      <c r="BI652" t="str">
        <f>IF($AW$3=TRUE,IF(AN652="","",SUM($AN$6:AN652)),"")</f>
        <v/>
      </c>
      <c r="BJ652" t="str">
        <f>IF($AX$3=TRUE,IF(AO652="","",SUM($AO$6:AO652)),"")</f>
        <v/>
      </c>
      <c r="BK652" t="str">
        <f>IF($AY$3=TRUE,IF(AP652="","",SUM($AP$6:AP652)),"")</f>
        <v/>
      </c>
      <c r="BL652" t="str">
        <f>IF($AZ$3=TRUE,IF(AQ652="","",SUM($AQ$6:AQ652)),"")</f>
        <v/>
      </c>
      <c r="BM652" t="str">
        <f>IF($BA$3=TRUE,IF(AR652="","",SUM($AR$6:AR652)),"")</f>
        <v/>
      </c>
      <c r="BN652" t="str">
        <f>IF($BB$3=TRUE,IF(AS652="","",SUM($AS$6:AS652)),"")</f>
        <v/>
      </c>
    </row>
    <row r="653" spans="34:66" x14ac:dyDescent="0.25">
      <c r="AH653" s="75"/>
      <c r="AK653" s="75"/>
      <c r="BF653" s="75" t="str">
        <f t="shared" si="20"/>
        <v/>
      </c>
      <c r="BG653" t="str">
        <f>IF($AU$3=TRUE,IF(AL653="","",SUM($AL$6:AL653)),"")</f>
        <v/>
      </c>
      <c r="BH653" t="str">
        <f>IF($AV$3=TRUE,IF(AM653="","",SUM($AM$6:AM653)),"")</f>
        <v/>
      </c>
      <c r="BI653" t="str">
        <f>IF($AW$3=TRUE,IF(AN653="","",SUM($AN$6:AN653)),"")</f>
        <v/>
      </c>
      <c r="BJ653" t="str">
        <f>IF($AX$3=TRUE,IF(AO653="","",SUM($AO$6:AO653)),"")</f>
        <v/>
      </c>
      <c r="BK653" t="str">
        <f>IF($AY$3=TRUE,IF(AP653="","",SUM($AP$6:AP653)),"")</f>
        <v/>
      </c>
      <c r="BL653" t="str">
        <f>IF($AZ$3=TRUE,IF(AQ653="","",SUM($AQ$6:AQ653)),"")</f>
        <v/>
      </c>
      <c r="BM653" t="str">
        <f>IF($BA$3=TRUE,IF(AR653="","",SUM($AR$6:AR653)),"")</f>
        <v/>
      </c>
      <c r="BN653" t="str">
        <f>IF($BB$3=TRUE,IF(AS653="","",SUM($AS$6:AS653)),"")</f>
        <v/>
      </c>
    </row>
    <row r="654" spans="34:66" x14ac:dyDescent="0.25">
      <c r="AH654" s="75"/>
      <c r="AK654" s="75"/>
      <c r="BF654" s="75" t="str">
        <f t="shared" si="20"/>
        <v/>
      </c>
      <c r="BG654" t="str">
        <f>IF($AU$3=TRUE,IF(AL654="","",SUM($AL$6:AL654)),"")</f>
        <v/>
      </c>
      <c r="BH654" t="str">
        <f>IF($AV$3=TRUE,IF(AM654="","",SUM($AM$6:AM654)),"")</f>
        <v/>
      </c>
      <c r="BI654" t="str">
        <f>IF($AW$3=TRUE,IF(AN654="","",SUM($AN$6:AN654)),"")</f>
        <v/>
      </c>
      <c r="BJ654" t="str">
        <f>IF($AX$3=TRUE,IF(AO654="","",SUM($AO$6:AO654)),"")</f>
        <v/>
      </c>
      <c r="BK654" t="str">
        <f>IF($AY$3=TRUE,IF(AP654="","",SUM($AP$6:AP654)),"")</f>
        <v/>
      </c>
      <c r="BL654" t="str">
        <f>IF($AZ$3=TRUE,IF(AQ654="","",SUM($AQ$6:AQ654)),"")</f>
        <v/>
      </c>
      <c r="BM654" t="str">
        <f>IF($BA$3=TRUE,IF(AR654="","",SUM($AR$6:AR654)),"")</f>
        <v/>
      </c>
      <c r="BN654" t="str">
        <f>IF($BB$3=TRUE,IF(AS654="","",SUM($AS$6:AS654)),"")</f>
        <v/>
      </c>
    </row>
    <row r="655" spans="34:66" x14ac:dyDescent="0.25">
      <c r="AH655" s="75"/>
      <c r="AK655" s="75"/>
      <c r="BF655" s="75" t="str">
        <f t="shared" si="20"/>
        <v/>
      </c>
      <c r="BG655" t="str">
        <f>IF($AU$3=TRUE,IF(AL655="","",SUM($AL$6:AL655)),"")</f>
        <v/>
      </c>
      <c r="BH655" t="str">
        <f>IF($AV$3=TRUE,IF(AM655="","",SUM($AM$6:AM655)),"")</f>
        <v/>
      </c>
      <c r="BI655" t="str">
        <f>IF($AW$3=TRUE,IF(AN655="","",SUM($AN$6:AN655)),"")</f>
        <v/>
      </c>
      <c r="BJ655" t="str">
        <f>IF($AX$3=TRUE,IF(AO655="","",SUM($AO$6:AO655)),"")</f>
        <v/>
      </c>
      <c r="BK655" t="str">
        <f>IF($AY$3=TRUE,IF(AP655="","",SUM($AP$6:AP655)),"")</f>
        <v/>
      </c>
      <c r="BL655" t="str">
        <f>IF($AZ$3=TRUE,IF(AQ655="","",SUM($AQ$6:AQ655)),"")</f>
        <v/>
      </c>
      <c r="BM655" t="str">
        <f>IF($BA$3=TRUE,IF(AR655="","",SUM($AR$6:AR655)),"")</f>
        <v/>
      </c>
      <c r="BN655" t="str">
        <f>IF($BB$3=TRUE,IF(AS655="","",SUM($AS$6:AS655)),"")</f>
        <v/>
      </c>
    </row>
    <row r="656" spans="34:66" x14ac:dyDescent="0.25">
      <c r="AH656" s="75"/>
      <c r="AK656" s="75"/>
      <c r="BF656" s="75" t="str">
        <f t="shared" si="20"/>
        <v/>
      </c>
      <c r="BG656" t="str">
        <f>IF($AU$3=TRUE,IF(AL656="","",SUM($AL$6:AL656)),"")</f>
        <v/>
      </c>
      <c r="BH656" t="str">
        <f>IF($AV$3=TRUE,IF(AM656="","",SUM($AM$6:AM656)),"")</f>
        <v/>
      </c>
      <c r="BI656" t="str">
        <f>IF($AW$3=TRUE,IF(AN656="","",SUM($AN$6:AN656)),"")</f>
        <v/>
      </c>
      <c r="BJ656" t="str">
        <f>IF($AX$3=TRUE,IF(AO656="","",SUM($AO$6:AO656)),"")</f>
        <v/>
      </c>
      <c r="BK656" t="str">
        <f>IF($AY$3=TRUE,IF(AP656="","",SUM($AP$6:AP656)),"")</f>
        <v/>
      </c>
      <c r="BL656" t="str">
        <f>IF($AZ$3=TRUE,IF(AQ656="","",SUM($AQ$6:AQ656)),"")</f>
        <v/>
      </c>
      <c r="BM656" t="str">
        <f>IF($BA$3=TRUE,IF(AR656="","",SUM($AR$6:AR656)),"")</f>
        <v/>
      </c>
      <c r="BN656" t="str">
        <f>IF($BB$3=TRUE,IF(AS656="","",SUM($AS$6:AS656)),"")</f>
        <v/>
      </c>
    </row>
    <row r="657" spans="34:66" x14ac:dyDescent="0.25">
      <c r="AH657" s="75"/>
      <c r="AK657" s="75"/>
      <c r="BF657" s="75" t="str">
        <f t="shared" si="20"/>
        <v/>
      </c>
      <c r="BG657" t="str">
        <f>IF($AU$3=TRUE,IF(AL657="","",SUM($AL$6:AL657)),"")</f>
        <v/>
      </c>
      <c r="BH657" t="str">
        <f>IF($AV$3=TRUE,IF(AM657="","",SUM($AM$6:AM657)),"")</f>
        <v/>
      </c>
      <c r="BI657" t="str">
        <f>IF($AW$3=TRUE,IF(AN657="","",SUM($AN$6:AN657)),"")</f>
        <v/>
      </c>
      <c r="BJ657" t="str">
        <f>IF($AX$3=TRUE,IF(AO657="","",SUM($AO$6:AO657)),"")</f>
        <v/>
      </c>
      <c r="BK657" t="str">
        <f>IF($AY$3=TRUE,IF(AP657="","",SUM($AP$6:AP657)),"")</f>
        <v/>
      </c>
      <c r="BL657" t="str">
        <f>IF($AZ$3=TRUE,IF(AQ657="","",SUM($AQ$6:AQ657)),"")</f>
        <v/>
      </c>
      <c r="BM657" t="str">
        <f>IF($BA$3=TRUE,IF(AR657="","",SUM($AR$6:AR657)),"")</f>
        <v/>
      </c>
      <c r="BN657" t="str">
        <f>IF($BB$3=TRUE,IF(AS657="","",SUM($AS$6:AS657)),"")</f>
        <v/>
      </c>
    </row>
    <row r="658" spans="34:66" x14ac:dyDescent="0.25">
      <c r="AH658" s="75"/>
      <c r="AK658" s="75"/>
      <c r="BF658" s="75" t="str">
        <f t="shared" si="20"/>
        <v/>
      </c>
      <c r="BG658" t="str">
        <f>IF($AU$3=TRUE,IF(AL658="","",SUM($AL$6:AL658)),"")</f>
        <v/>
      </c>
      <c r="BH658" t="str">
        <f>IF($AV$3=TRUE,IF(AM658="","",SUM($AM$6:AM658)),"")</f>
        <v/>
      </c>
      <c r="BI658" t="str">
        <f>IF($AW$3=TRUE,IF(AN658="","",SUM($AN$6:AN658)),"")</f>
        <v/>
      </c>
      <c r="BJ658" t="str">
        <f>IF($AX$3=TRUE,IF(AO658="","",SUM($AO$6:AO658)),"")</f>
        <v/>
      </c>
      <c r="BK658" t="str">
        <f>IF($AY$3=TRUE,IF(AP658="","",SUM($AP$6:AP658)),"")</f>
        <v/>
      </c>
      <c r="BL658" t="str">
        <f>IF($AZ$3=TRUE,IF(AQ658="","",SUM($AQ$6:AQ658)),"")</f>
        <v/>
      </c>
      <c r="BM658" t="str">
        <f>IF($BA$3=TRUE,IF(AR658="","",SUM($AR$6:AR658)),"")</f>
        <v/>
      </c>
      <c r="BN658" t="str">
        <f>IF($BB$3=TRUE,IF(AS658="","",SUM($AS$6:AS658)),"")</f>
        <v/>
      </c>
    </row>
    <row r="659" spans="34:66" x14ac:dyDescent="0.25">
      <c r="AH659" s="75"/>
      <c r="AK659" s="75"/>
      <c r="BF659" s="75" t="str">
        <f t="shared" si="20"/>
        <v/>
      </c>
      <c r="BG659" t="str">
        <f>IF($AU$3=TRUE,IF(AL659="","",SUM($AL$6:AL659)),"")</f>
        <v/>
      </c>
      <c r="BH659" t="str">
        <f>IF($AV$3=TRUE,IF(AM659="","",SUM($AM$6:AM659)),"")</f>
        <v/>
      </c>
      <c r="BI659" t="str">
        <f>IF($AW$3=TRUE,IF(AN659="","",SUM($AN$6:AN659)),"")</f>
        <v/>
      </c>
      <c r="BJ659" t="str">
        <f>IF($AX$3=TRUE,IF(AO659="","",SUM($AO$6:AO659)),"")</f>
        <v/>
      </c>
      <c r="BK659" t="str">
        <f>IF($AY$3=TRUE,IF(AP659="","",SUM($AP$6:AP659)),"")</f>
        <v/>
      </c>
      <c r="BL659" t="str">
        <f>IF($AZ$3=TRUE,IF(AQ659="","",SUM($AQ$6:AQ659)),"")</f>
        <v/>
      </c>
      <c r="BM659" t="str">
        <f>IF($BA$3=TRUE,IF(AR659="","",SUM($AR$6:AR659)),"")</f>
        <v/>
      </c>
      <c r="BN659" t="str">
        <f>IF($BB$3=TRUE,IF(AS659="","",SUM($AS$6:AS659)),"")</f>
        <v/>
      </c>
    </row>
    <row r="660" spans="34:66" x14ac:dyDescent="0.25">
      <c r="AH660" s="75"/>
      <c r="AK660" s="75"/>
      <c r="BF660" s="75" t="str">
        <f t="shared" si="20"/>
        <v/>
      </c>
      <c r="BG660" t="str">
        <f>IF($AU$3=TRUE,IF(AL660="","",SUM($AL$6:AL660)),"")</f>
        <v/>
      </c>
      <c r="BH660" t="str">
        <f>IF($AV$3=TRUE,IF(AM660="","",SUM($AM$6:AM660)),"")</f>
        <v/>
      </c>
      <c r="BI660" t="str">
        <f>IF($AW$3=TRUE,IF(AN660="","",SUM($AN$6:AN660)),"")</f>
        <v/>
      </c>
      <c r="BJ660" t="str">
        <f>IF($AX$3=TRUE,IF(AO660="","",SUM($AO$6:AO660)),"")</f>
        <v/>
      </c>
      <c r="BK660" t="str">
        <f>IF($AY$3=TRUE,IF(AP660="","",SUM($AP$6:AP660)),"")</f>
        <v/>
      </c>
      <c r="BL660" t="str">
        <f>IF($AZ$3=TRUE,IF(AQ660="","",SUM($AQ$6:AQ660)),"")</f>
        <v/>
      </c>
      <c r="BM660" t="str">
        <f>IF($BA$3=TRUE,IF(AR660="","",SUM($AR$6:AR660)),"")</f>
        <v/>
      </c>
      <c r="BN660" t="str">
        <f>IF($BB$3=TRUE,IF(AS660="","",SUM($AS$6:AS660)),"")</f>
        <v/>
      </c>
    </row>
    <row r="661" spans="34:66" x14ac:dyDescent="0.25">
      <c r="AH661" s="75"/>
      <c r="AK661" s="75"/>
      <c r="BF661" s="75" t="str">
        <f t="shared" si="20"/>
        <v/>
      </c>
      <c r="BG661" t="str">
        <f>IF($AU$3=TRUE,IF(AL661="","",SUM($AL$6:AL661)),"")</f>
        <v/>
      </c>
      <c r="BH661" t="str">
        <f>IF($AV$3=TRUE,IF(AM661="","",SUM($AM$6:AM661)),"")</f>
        <v/>
      </c>
      <c r="BI661" t="str">
        <f>IF($AW$3=TRUE,IF(AN661="","",SUM($AN$6:AN661)),"")</f>
        <v/>
      </c>
      <c r="BJ661" t="str">
        <f>IF($AX$3=TRUE,IF(AO661="","",SUM($AO$6:AO661)),"")</f>
        <v/>
      </c>
      <c r="BK661" t="str">
        <f>IF($AY$3=TRUE,IF(AP661="","",SUM($AP$6:AP661)),"")</f>
        <v/>
      </c>
      <c r="BL661" t="str">
        <f>IF($AZ$3=TRUE,IF(AQ661="","",SUM($AQ$6:AQ661)),"")</f>
        <v/>
      </c>
      <c r="BM661" t="str">
        <f>IF($BA$3=TRUE,IF(AR661="","",SUM($AR$6:AR661)),"")</f>
        <v/>
      </c>
      <c r="BN661" t="str">
        <f>IF($BB$3=TRUE,IF(AS661="","",SUM($AS$6:AS661)),"")</f>
        <v/>
      </c>
    </row>
    <row r="662" spans="34:66" x14ac:dyDescent="0.25">
      <c r="AH662" s="75"/>
      <c r="AK662" s="75"/>
    </row>
    <row r="663" spans="34:66" x14ac:dyDescent="0.25">
      <c r="AH663" s="75"/>
      <c r="AK663" s="75"/>
    </row>
    <row r="664" spans="34:66" x14ac:dyDescent="0.25">
      <c r="AH664" s="75"/>
      <c r="AK664" s="75"/>
    </row>
    <row r="665" spans="34:66" x14ac:dyDescent="0.25">
      <c r="AH665" s="75"/>
      <c r="AK665" s="75"/>
    </row>
    <row r="666" spans="34:66" x14ac:dyDescent="0.25">
      <c r="AH666" s="75"/>
      <c r="AK666" s="75"/>
    </row>
    <row r="667" spans="34:66" x14ac:dyDescent="0.25">
      <c r="AH667" s="75"/>
      <c r="AK667" s="75"/>
    </row>
    <row r="668" spans="34:66" x14ac:dyDescent="0.25">
      <c r="AH668" s="75"/>
      <c r="AK668" s="75"/>
    </row>
    <row r="669" spans="34:66" x14ac:dyDescent="0.25">
      <c r="AH669" s="75"/>
      <c r="AK669" s="75"/>
    </row>
    <row r="670" spans="34:66" x14ac:dyDescent="0.25">
      <c r="AH670" s="75"/>
      <c r="AK670" s="75"/>
    </row>
    <row r="671" spans="34:66" x14ac:dyDescent="0.25">
      <c r="AH671" s="75"/>
      <c r="AK671" s="75"/>
    </row>
    <row r="672" spans="34:66" x14ac:dyDescent="0.25">
      <c r="AH672" s="75"/>
      <c r="AK672" s="75"/>
    </row>
    <row r="673" spans="34:37" x14ac:dyDescent="0.25">
      <c r="AH673" s="75"/>
      <c r="AK673" s="75"/>
    </row>
    <row r="674" spans="34:37" x14ac:dyDescent="0.25">
      <c r="AH674" s="75"/>
      <c r="AK674" s="75"/>
    </row>
    <row r="675" spans="34:37" x14ac:dyDescent="0.25">
      <c r="AH675" s="75"/>
      <c r="AK675" s="75"/>
    </row>
    <row r="676" spans="34:37" x14ac:dyDescent="0.25">
      <c r="AH676" s="75"/>
      <c r="AK676" s="75"/>
    </row>
    <row r="677" spans="34:37" x14ac:dyDescent="0.25">
      <c r="AH677" s="75"/>
      <c r="AK677" s="75"/>
    </row>
    <row r="678" spans="34:37" x14ac:dyDescent="0.25">
      <c r="AH678" s="75"/>
      <c r="AK678" s="75"/>
    </row>
    <row r="679" spans="34:37" x14ac:dyDescent="0.25">
      <c r="AH679" s="75"/>
      <c r="AK679" s="75"/>
    </row>
    <row r="680" spans="34:37" x14ac:dyDescent="0.25">
      <c r="AH680" s="75"/>
      <c r="AK680" s="75"/>
    </row>
    <row r="681" spans="34:37" x14ac:dyDescent="0.25">
      <c r="AH681" s="75"/>
      <c r="AK681" s="75"/>
    </row>
    <row r="682" spans="34:37" x14ac:dyDescent="0.25">
      <c r="AH682" s="75"/>
      <c r="AK682" s="75"/>
    </row>
    <row r="683" spans="34:37" x14ac:dyDescent="0.25">
      <c r="AH683" s="75"/>
      <c r="AK683" s="75"/>
    </row>
    <row r="684" spans="34:37" x14ac:dyDescent="0.25">
      <c r="AH684" s="75"/>
      <c r="AK684" s="75"/>
    </row>
    <row r="685" spans="34:37" x14ac:dyDescent="0.25">
      <c r="AH685" s="75"/>
      <c r="AK685" s="75"/>
    </row>
    <row r="686" spans="34:37" x14ac:dyDescent="0.25">
      <c r="AH686" s="75"/>
      <c r="AK686" s="75"/>
    </row>
    <row r="687" spans="34:37" x14ac:dyDescent="0.25">
      <c r="AH687" s="75"/>
      <c r="AK687" s="75"/>
    </row>
    <row r="688" spans="34:37" x14ac:dyDescent="0.25">
      <c r="AH688" s="75"/>
      <c r="AK688" s="75"/>
    </row>
    <row r="689" spans="34:37" x14ac:dyDescent="0.25">
      <c r="AH689" s="75"/>
      <c r="AK689" s="75"/>
    </row>
    <row r="690" spans="34:37" x14ac:dyDescent="0.25">
      <c r="AH690" s="75"/>
      <c r="AK690" s="75"/>
    </row>
    <row r="691" spans="34:37" x14ac:dyDescent="0.25">
      <c r="AH691" s="75"/>
      <c r="AK691" s="75"/>
    </row>
    <row r="692" spans="34:37" x14ac:dyDescent="0.25">
      <c r="AH692" s="75"/>
      <c r="AK692" s="75"/>
    </row>
    <row r="693" spans="34:37" x14ac:dyDescent="0.25">
      <c r="AH693" s="75"/>
      <c r="AK693" s="75"/>
    </row>
    <row r="694" spans="34:37" x14ac:dyDescent="0.25">
      <c r="AH694" s="75"/>
      <c r="AK694" s="75"/>
    </row>
    <row r="695" spans="34:37" x14ac:dyDescent="0.25">
      <c r="AH695" s="75"/>
      <c r="AK695" s="75"/>
    </row>
    <row r="696" spans="34:37" x14ac:dyDescent="0.25">
      <c r="AH696" s="75"/>
      <c r="AK696" s="75"/>
    </row>
    <row r="697" spans="34:37" x14ac:dyDescent="0.25">
      <c r="AH697" s="75"/>
      <c r="AK697" s="75"/>
    </row>
    <row r="698" spans="34:37" x14ac:dyDescent="0.25">
      <c r="AH698" s="75"/>
      <c r="AK698" s="75"/>
    </row>
    <row r="699" spans="34:37" x14ac:dyDescent="0.25">
      <c r="AH699" s="75"/>
      <c r="AK699" s="75"/>
    </row>
    <row r="700" spans="34:37" x14ac:dyDescent="0.25">
      <c r="AH700" s="75"/>
      <c r="AK700" s="75"/>
    </row>
    <row r="701" spans="34:37" x14ac:dyDescent="0.25">
      <c r="AH701" s="75"/>
      <c r="AK701" s="75"/>
    </row>
    <row r="702" spans="34:37" x14ac:dyDescent="0.25">
      <c r="AH702" s="75"/>
      <c r="AK702" s="75"/>
    </row>
    <row r="703" spans="34:37" x14ac:dyDescent="0.25">
      <c r="AH703" s="75"/>
      <c r="AK703" s="75"/>
    </row>
    <row r="704" spans="34:37" x14ac:dyDescent="0.25">
      <c r="AH704" s="75"/>
      <c r="AK704" s="75"/>
    </row>
    <row r="705" spans="34:37" x14ac:dyDescent="0.25">
      <c r="AH705" s="75"/>
      <c r="AK705" s="75"/>
    </row>
    <row r="706" spans="34:37" x14ac:dyDescent="0.25">
      <c r="AH706" s="75"/>
      <c r="AK706" s="75"/>
    </row>
    <row r="707" spans="34:37" x14ac:dyDescent="0.25">
      <c r="AH707" s="75"/>
      <c r="AK707" s="75"/>
    </row>
    <row r="708" spans="34:37" x14ac:dyDescent="0.25">
      <c r="AH708" s="75"/>
      <c r="AK708" s="75"/>
    </row>
    <row r="709" spans="34:37" x14ac:dyDescent="0.25">
      <c r="AH709" s="75"/>
      <c r="AK709" s="75"/>
    </row>
    <row r="710" spans="34:37" x14ac:dyDescent="0.25">
      <c r="AH710" s="75"/>
      <c r="AK710" s="75"/>
    </row>
    <row r="711" spans="34:37" x14ac:dyDescent="0.25">
      <c r="AH711" s="75"/>
      <c r="AK711" s="75"/>
    </row>
    <row r="712" spans="34:37" x14ac:dyDescent="0.25">
      <c r="AH712" s="75"/>
      <c r="AK712" s="75"/>
    </row>
    <row r="713" spans="34:37" x14ac:dyDescent="0.25">
      <c r="AH713" s="75"/>
      <c r="AK713" s="75"/>
    </row>
    <row r="714" spans="34:37" x14ac:dyDescent="0.25">
      <c r="AH714" s="75"/>
      <c r="AK714" s="75"/>
    </row>
    <row r="715" spans="34:37" x14ac:dyDescent="0.25">
      <c r="AH715" s="75"/>
      <c r="AK715" s="75"/>
    </row>
    <row r="716" spans="34:37" x14ac:dyDescent="0.25">
      <c r="AH716" s="75"/>
      <c r="AK716" s="75"/>
    </row>
    <row r="717" spans="34:37" x14ac:dyDescent="0.25">
      <c r="AH717" s="75"/>
      <c r="AK717" s="75"/>
    </row>
    <row r="718" spans="34:37" x14ac:dyDescent="0.25">
      <c r="AH718" s="75"/>
      <c r="AK718" s="75"/>
    </row>
    <row r="719" spans="34:37" x14ac:dyDescent="0.25">
      <c r="AH719" s="75"/>
      <c r="AK719" s="75"/>
    </row>
    <row r="720" spans="34:37" x14ac:dyDescent="0.25">
      <c r="AH720" s="75"/>
      <c r="AK720" s="75"/>
    </row>
    <row r="721" spans="34:37" x14ac:dyDescent="0.25">
      <c r="AH721" s="75"/>
      <c r="AK721" s="75"/>
    </row>
    <row r="722" spans="34:37" x14ac:dyDescent="0.25">
      <c r="AH722" s="75"/>
      <c r="AK722" s="75"/>
    </row>
    <row r="723" spans="34:37" x14ac:dyDescent="0.25">
      <c r="AH723" s="75"/>
      <c r="AK723" s="75"/>
    </row>
    <row r="724" spans="34:37" x14ac:dyDescent="0.25">
      <c r="AH724" s="75"/>
      <c r="AK724" s="75"/>
    </row>
    <row r="725" spans="34:37" x14ac:dyDescent="0.25">
      <c r="AH725" s="75"/>
      <c r="AK725" s="75"/>
    </row>
    <row r="726" spans="34:37" x14ac:dyDescent="0.25">
      <c r="AH726" s="75"/>
      <c r="AK726" s="75"/>
    </row>
    <row r="727" spans="34:37" x14ac:dyDescent="0.25">
      <c r="AH727" s="75"/>
      <c r="AK727" s="75"/>
    </row>
    <row r="728" spans="34:37" x14ac:dyDescent="0.25">
      <c r="AH728" s="75"/>
      <c r="AK728" s="75"/>
    </row>
    <row r="729" spans="34:37" x14ac:dyDescent="0.25">
      <c r="AH729" s="75"/>
      <c r="AK729" s="75"/>
    </row>
    <row r="730" spans="34:37" x14ac:dyDescent="0.25">
      <c r="AH730" s="75"/>
      <c r="AK730" s="75"/>
    </row>
    <row r="731" spans="34:37" x14ac:dyDescent="0.25">
      <c r="AH731" s="75"/>
      <c r="AK731" s="75"/>
    </row>
    <row r="732" spans="34:37" x14ac:dyDescent="0.25">
      <c r="AH732" s="75"/>
      <c r="AK732" s="75"/>
    </row>
    <row r="733" spans="34:37" x14ac:dyDescent="0.25">
      <c r="AH733" s="75"/>
      <c r="AK733" s="75"/>
    </row>
    <row r="734" spans="34:37" x14ac:dyDescent="0.25">
      <c r="AH734" s="75"/>
      <c r="AK734" s="75"/>
    </row>
    <row r="735" spans="34:37" x14ac:dyDescent="0.25">
      <c r="AH735" s="75"/>
      <c r="AK735" s="75"/>
    </row>
    <row r="736" spans="34:37" x14ac:dyDescent="0.25">
      <c r="AH736" s="75"/>
      <c r="AK736" s="75"/>
    </row>
    <row r="737" spans="34:37" x14ac:dyDescent="0.25">
      <c r="AH737" s="75"/>
      <c r="AK737" s="75"/>
    </row>
    <row r="738" spans="34:37" x14ac:dyDescent="0.25">
      <c r="AH738" s="75"/>
      <c r="AK738" s="75"/>
    </row>
    <row r="739" spans="34:37" x14ac:dyDescent="0.25">
      <c r="AH739" s="75"/>
      <c r="AK739" s="75"/>
    </row>
    <row r="740" spans="34:37" x14ac:dyDescent="0.25">
      <c r="AH740" s="75"/>
      <c r="AK740" s="75"/>
    </row>
    <row r="741" spans="34:37" x14ac:dyDescent="0.25">
      <c r="AH741" s="75"/>
      <c r="AK741" s="75"/>
    </row>
    <row r="742" spans="34:37" x14ac:dyDescent="0.25">
      <c r="AH742" s="75"/>
      <c r="AK742" s="75"/>
    </row>
    <row r="743" spans="34:37" x14ac:dyDescent="0.25">
      <c r="AH743" s="75"/>
      <c r="AK743" s="75"/>
    </row>
    <row r="744" spans="34:37" x14ac:dyDescent="0.25">
      <c r="AH744" s="75"/>
      <c r="AK744" s="75"/>
    </row>
    <row r="745" spans="34:37" x14ac:dyDescent="0.25">
      <c r="AH745" s="75"/>
      <c r="AK745" s="75"/>
    </row>
    <row r="746" spans="34:37" x14ac:dyDescent="0.25">
      <c r="AH746" s="75"/>
      <c r="AK746" s="75"/>
    </row>
    <row r="747" spans="34:37" x14ac:dyDescent="0.25">
      <c r="AH747" s="75"/>
      <c r="AK747" s="75"/>
    </row>
    <row r="748" spans="34:37" x14ac:dyDescent="0.25">
      <c r="AH748" s="75"/>
      <c r="AK748" s="75"/>
    </row>
    <row r="749" spans="34:37" x14ac:dyDescent="0.25">
      <c r="AH749" s="75"/>
      <c r="AK749" s="75"/>
    </row>
    <row r="750" spans="34:37" x14ac:dyDescent="0.25">
      <c r="AH750" s="75"/>
      <c r="AK750" s="75"/>
    </row>
    <row r="751" spans="34:37" x14ac:dyDescent="0.25">
      <c r="AH751" s="75"/>
      <c r="AK751" s="75"/>
    </row>
    <row r="752" spans="34:37" x14ac:dyDescent="0.25">
      <c r="AH752" s="75"/>
      <c r="AK752" s="75"/>
    </row>
    <row r="753" spans="34:37" x14ac:dyDescent="0.25">
      <c r="AH753" s="75"/>
      <c r="AK753" s="75"/>
    </row>
    <row r="754" spans="34:37" x14ac:dyDescent="0.25">
      <c r="AH754" s="75"/>
      <c r="AK754" s="75"/>
    </row>
    <row r="755" spans="34:37" x14ac:dyDescent="0.25">
      <c r="AH755" s="75"/>
      <c r="AK755" s="75"/>
    </row>
    <row r="756" spans="34:37" x14ac:dyDescent="0.25">
      <c r="AH756" s="75"/>
      <c r="AK756" s="75"/>
    </row>
    <row r="757" spans="34:37" x14ac:dyDescent="0.25">
      <c r="AH757" s="75"/>
      <c r="AK757" s="75"/>
    </row>
    <row r="758" spans="34:37" x14ac:dyDescent="0.25">
      <c r="AH758" s="75"/>
      <c r="AK758" s="75"/>
    </row>
    <row r="759" spans="34:37" x14ac:dyDescent="0.25">
      <c r="AH759" s="75"/>
      <c r="AK759" s="75"/>
    </row>
    <row r="760" spans="34:37" x14ac:dyDescent="0.25">
      <c r="AH760" s="75"/>
      <c r="AK760" s="75"/>
    </row>
    <row r="761" spans="34:37" x14ac:dyDescent="0.25">
      <c r="AH761" s="75"/>
      <c r="AK761" s="75"/>
    </row>
    <row r="762" spans="34:37" x14ac:dyDescent="0.25">
      <c r="AH762" s="75"/>
      <c r="AK762" s="75"/>
    </row>
    <row r="763" spans="34:37" x14ac:dyDescent="0.25">
      <c r="AH763" s="75"/>
      <c r="AK763" s="75"/>
    </row>
    <row r="764" spans="34:37" x14ac:dyDescent="0.25">
      <c r="AH764" s="75"/>
      <c r="AK764" s="75"/>
    </row>
    <row r="765" spans="34:37" x14ac:dyDescent="0.25">
      <c r="AH765" s="75"/>
      <c r="AK765" s="75"/>
    </row>
    <row r="766" spans="34:37" x14ac:dyDescent="0.25">
      <c r="AH766" s="75"/>
      <c r="AK766" s="75"/>
    </row>
    <row r="767" spans="34:37" x14ac:dyDescent="0.25">
      <c r="AH767" s="75"/>
      <c r="AK767" s="75"/>
    </row>
    <row r="768" spans="34:37" x14ac:dyDescent="0.25">
      <c r="AH768" s="75"/>
      <c r="AK768" s="75"/>
    </row>
    <row r="769" spans="34:37" x14ac:dyDescent="0.25">
      <c r="AH769" s="75"/>
      <c r="AK769" s="75"/>
    </row>
    <row r="770" spans="34:37" x14ac:dyDescent="0.25">
      <c r="AH770" s="75"/>
      <c r="AK770" s="75"/>
    </row>
    <row r="771" spans="34:37" x14ac:dyDescent="0.25">
      <c r="AH771" s="75"/>
      <c r="AK771" s="75"/>
    </row>
    <row r="772" spans="34:37" x14ac:dyDescent="0.25">
      <c r="AH772" s="75"/>
      <c r="AK772" s="75"/>
    </row>
    <row r="773" spans="34:37" x14ac:dyDescent="0.25">
      <c r="AH773" s="75"/>
      <c r="AK773" s="75"/>
    </row>
    <row r="774" spans="34:37" x14ac:dyDescent="0.25">
      <c r="AH774" s="75"/>
      <c r="AK774" s="75"/>
    </row>
    <row r="775" spans="34:37" x14ac:dyDescent="0.25">
      <c r="AH775" s="75"/>
      <c r="AK775" s="75"/>
    </row>
    <row r="776" spans="34:37" x14ac:dyDescent="0.25">
      <c r="AH776" s="75"/>
      <c r="AK776" s="75"/>
    </row>
    <row r="777" spans="34:37" x14ac:dyDescent="0.25">
      <c r="AH777" s="75"/>
      <c r="AK777" s="75"/>
    </row>
    <row r="778" spans="34:37" x14ac:dyDescent="0.25">
      <c r="AH778" s="75"/>
      <c r="AK778" s="75"/>
    </row>
    <row r="779" spans="34:37" x14ac:dyDescent="0.25">
      <c r="AH779" s="75"/>
      <c r="AK779" s="75"/>
    </row>
    <row r="780" spans="34:37" x14ac:dyDescent="0.25">
      <c r="AH780" s="75"/>
      <c r="AK780" s="75"/>
    </row>
    <row r="781" spans="34:37" x14ac:dyDescent="0.25">
      <c r="AH781" s="75"/>
      <c r="AK781" s="75"/>
    </row>
    <row r="782" spans="34:37" x14ac:dyDescent="0.25">
      <c r="AH782" s="75"/>
      <c r="AK782" s="75"/>
    </row>
    <row r="783" spans="34:37" x14ac:dyDescent="0.25">
      <c r="AH783" s="75"/>
      <c r="AK783" s="75"/>
    </row>
    <row r="784" spans="34:37" x14ac:dyDescent="0.25">
      <c r="AH784" s="75"/>
      <c r="AK784" s="75"/>
    </row>
    <row r="785" spans="34:37" x14ac:dyDescent="0.25">
      <c r="AH785" s="75"/>
      <c r="AK785" s="75"/>
    </row>
    <row r="786" spans="34:37" x14ac:dyDescent="0.25">
      <c r="AH786" s="75"/>
      <c r="AK786" s="75"/>
    </row>
    <row r="787" spans="34:37" x14ac:dyDescent="0.25">
      <c r="AH787" s="75"/>
      <c r="AK787" s="75"/>
    </row>
    <row r="788" spans="34:37" x14ac:dyDescent="0.25">
      <c r="AH788" s="75"/>
      <c r="AK788" s="75"/>
    </row>
    <row r="789" spans="34:37" x14ac:dyDescent="0.25">
      <c r="AH789" s="75"/>
      <c r="AK789" s="75"/>
    </row>
    <row r="790" spans="34:37" x14ac:dyDescent="0.25">
      <c r="AH790" s="75"/>
      <c r="AK790" s="75"/>
    </row>
    <row r="791" spans="34:37" x14ac:dyDescent="0.25">
      <c r="AH791" s="75"/>
      <c r="AK791" s="75"/>
    </row>
    <row r="792" spans="34:37" x14ac:dyDescent="0.25">
      <c r="AH792" s="75"/>
      <c r="AK792" s="75"/>
    </row>
    <row r="793" spans="34:37" x14ac:dyDescent="0.25">
      <c r="AH793" s="75"/>
      <c r="AK793" s="75"/>
    </row>
    <row r="794" spans="34:37" x14ac:dyDescent="0.25">
      <c r="AH794" s="75"/>
      <c r="AK794" s="75"/>
    </row>
    <row r="795" spans="34:37" x14ac:dyDescent="0.25">
      <c r="AH795" s="75"/>
      <c r="AK795" s="75"/>
    </row>
    <row r="796" spans="34:37" x14ac:dyDescent="0.25">
      <c r="AH796" s="75"/>
      <c r="AK796" s="75"/>
    </row>
    <row r="797" spans="34:37" x14ac:dyDescent="0.25">
      <c r="AH797" s="75"/>
      <c r="AK797" s="75"/>
    </row>
    <row r="798" spans="34:37" x14ac:dyDescent="0.25">
      <c r="AH798" s="75"/>
      <c r="AK798" s="75"/>
    </row>
    <row r="799" spans="34:37" x14ac:dyDescent="0.25">
      <c r="AH799" s="75"/>
      <c r="AK799" s="75"/>
    </row>
    <row r="800" spans="34:37" x14ac:dyDescent="0.25">
      <c r="AH800" s="75"/>
      <c r="AK800" s="75"/>
    </row>
    <row r="801" spans="34:37" x14ac:dyDescent="0.25">
      <c r="AH801" s="75"/>
      <c r="AK801" s="75"/>
    </row>
    <row r="802" spans="34:37" x14ac:dyDescent="0.25">
      <c r="AH802" s="75"/>
      <c r="AK802" s="75"/>
    </row>
    <row r="803" spans="34:37" x14ac:dyDescent="0.25">
      <c r="AH803" s="75"/>
      <c r="AK803" s="75"/>
    </row>
    <row r="804" spans="34:37" x14ac:dyDescent="0.25">
      <c r="AH804" s="75"/>
      <c r="AK804" s="75"/>
    </row>
    <row r="805" spans="34:37" x14ac:dyDescent="0.25">
      <c r="AH805" s="75"/>
      <c r="AK805" s="75"/>
    </row>
    <row r="806" spans="34:37" x14ac:dyDescent="0.25">
      <c r="AH806" s="75"/>
      <c r="AK806" s="75"/>
    </row>
    <row r="807" spans="34:37" x14ac:dyDescent="0.25">
      <c r="AH807" s="75"/>
      <c r="AK807" s="75"/>
    </row>
    <row r="808" spans="34:37" x14ac:dyDescent="0.25">
      <c r="AH808" s="75"/>
      <c r="AK808" s="75"/>
    </row>
    <row r="809" spans="34:37" x14ac:dyDescent="0.25">
      <c r="AH809" s="75"/>
      <c r="AK809" s="75"/>
    </row>
    <row r="810" spans="34:37" x14ac:dyDescent="0.25">
      <c r="AH810" s="75"/>
      <c r="AK810" s="75"/>
    </row>
    <row r="811" spans="34:37" x14ac:dyDescent="0.25">
      <c r="AH811" s="75"/>
      <c r="AK811" s="75"/>
    </row>
    <row r="812" spans="34:37" x14ac:dyDescent="0.25">
      <c r="AH812" s="75"/>
      <c r="AK812" s="75"/>
    </row>
    <row r="813" spans="34:37" x14ac:dyDescent="0.25">
      <c r="AH813" s="75"/>
      <c r="AK813" s="75"/>
    </row>
    <row r="814" spans="34:37" x14ac:dyDescent="0.25">
      <c r="AH814" s="75"/>
      <c r="AK814" s="75"/>
    </row>
    <row r="815" spans="34:37" x14ac:dyDescent="0.25">
      <c r="AH815" s="75"/>
      <c r="AK815" s="75"/>
    </row>
    <row r="816" spans="34:37" x14ac:dyDescent="0.25">
      <c r="AH816" s="75"/>
      <c r="AK816" s="75"/>
    </row>
    <row r="817" spans="34:37" x14ac:dyDescent="0.25">
      <c r="AH817" s="75"/>
      <c r="AK817" s="75"/>
    </row>
    <row r="818" spans="34:37" x14ac:dyDescent="0.25">
      <c r="AH818" s="75"/>
      <c r="AK818" s="75"/>
    </row>
    <row r="819" spans="34:37" x14ac:dyDescent="0.25">
      <c r="AH819" s="75"/>
      <c r="AK819" s="75"/>
    </row>
    <row r="820" spans="34:37" x14ac:dyDescent="0.25">
      <c r="AH820" s="75"/>
      <c r="AK820" s="75"/>
    </row>
    <row r="821" spans="34:37" x14ac:dyDescent="0.25">
      <c r="AH821" s="75"/>
      <c r="AK821" s="75"/>
    </row>
    <row r="822" spans="34:37" x14ac:dyDescent="0.25">
      <c r="AH822" s="75"/>
      <c r="AK822" s="75"/>
    </row>
    <row r="823" spans="34:37" x14ac:dyDescent="0.25">
      <c r="AH823" s="75"/>
      <c r="AK823" s="75"/>
    </row>
    <row r="824" spans="34:37" x14ac:dyDescent="0.25">
      <c r="AH824" s="75"/>
      <c r="AK824" s="75"/>
    </row>
    <row r="825" spans="34:37" x14ac:dyDescent="0.25">
      <c r="AH825" s="75"/>
      <c r="AK825" s="75"/>
    </row>
    <row r="826" spans="34:37" x14ac:dyDescent="0.25">
      <c r="AH826" s="75"/>
      <c r="AK826" s="75"/>
    </row>
    <row r="827" spans="34:37" x14ac:dyDescent="0.25">
      <c r="AH827" s="75"/>
      <c r="AK827" s="75"/>
    </row>
    <row r="828" spans="34:37" x14ac:dyDescent="0.25">
      <c r="AH828" s="75"/>
      <c r="AK828" s="75"/>
    </row>
    <row r="829" spans="34:37" x14ac:dyDescent="0.25">
      <c r="AH829" s="75"/>
      <c r="AK829" s="75"/>
    </row>
    <row r="830" spans="34:37" x14ac:dyDescent="0.25">
      <c r="AH830" s="75"/>
      <c r="AK830" s="75"/>
    </row>
    <row r="831" spans="34:37" x14ac:dyDescent="0.25">
      <c r="AH831" s="75"/>
      <c r="AK831" s="75"/>
    </row>
    <row r="832" spans="34:37" x14ac:dyDescent="0.25">
      <c r="AH832" s="75"/>
      <c r="AK832" s="75"/>
    </row>
    <row r="833" spans="34:37" x14ac:dyDescent="0.25">
      <c r="AH833" s="75"/>
      <c r="AK833" s="75"/>
    </row>
    <row r="834" spans="34:37" x14ac:dyDescent="0.25">
      <c r="AH834" s="75"/>
      <c r="AK834" s="75"/>
    </row>
    <row r="835" spans="34:37" x14ac:dyDescent="0.25">
      <c r="AH835" s="75"/>
      <c r="AK835" s="75"/>
    </row>
    <row r="836" spans="34:37" x14ac:dyDescent="0.25">
      <c r="AH836" s="75"/>
      <c r="AK836" s="75"/>
    </row>
    <row r="837" spans="34:37" x14ac:dyDescent="0.25">
      <c r="AH837" s="75"/>
      <c r="AK837" s="75"/>
    </row>
    <row r="838" spans="34:37" x14ac:dyDescent="0.25">
      <c r="AH838" s="75"/>
      <c r="AK838" s="75"/>
    </row>
    <row r="839" spans="34:37" x14ac:dyDescent="0.25">
      <c r="AH839" s="75"/>
      <c r="AK839" s="75"/>
    </row>
    <row r="840" spans="34:37" x14ac:dyDescent="0.25">
      <c r="AH840" s="75"/>
      <c r="AK840" s="75"/>
    </row>
    <row r="841" spans="34:37" x14ac:dyDescent="0.25">
      <c r="AH841" s="75"/>
      <c r="AK841" s="75"/>
    </row>
    <row r="842" spans="34:37" x14ac:dyDescent="0.25">
      <c r="AH842" s="75"/>
      <c r="AK842" s="75"/>
    </row>
    <row r="843" spans="34:37" x14ac:dyDescent="0.25">
      <c r="AH843" s="75"/>
      <c r="AK843" s="75"/>
    </row>
    <row r="844" spans="34:37" x14ac:dyDescent="0.25">
      <c r="AH844" s="75"/>
      <c r="AK844" s="75"/>
    </row>
    <row r="845" spans="34:37" x14ac:dyDescent="0.25">
      <c r="AH845" s="75"/>
      <c r="AK845" s="75"/>
    </row>
    <row r="846" spans="34:37" x14ac:dyDescent="0.25">
      <c r="AH846" s="75"/>
      <c r="AK846" s="75"/>
    </row>
    <row r="847" spans="34:37" x14ac:dyDescent="0.25">
      <c r="AH847" s="75"/>
      <c r="AK847" s="75"/>
    </row>
    <row r="848" spans="34:37" x14ac:dyDescent="0.25">
      <c r="AH848" s="75"/>
      <c r="AK848" s="75"/>
    </row>
    <row r="849" spans="34:37" x14ac:dyDescent="0.25">
      <c r="AH849" s="75"/>
      <c r="AK849" s="75"/>
    </row>
    <row r="850" spans="34:37" x14ac:dyDescent="0.25">
      <c r="AH850" s="75"/>
      <c r="AK850" s="75"/>
    </row>
    <row r="851" spans="34:37" x14ac:dyDescent="0.25">
      <c r="AH851" s="75"/>
      <c r="AK851" s="75"/>
    </row>
    <row r="852" spans="34:37" x14ac:dyDescent="0.25">
      <c r="AH852" s="75"/>
      <c r="AK852" s="75"/>
    </row>
    <row r="853" spans="34:37" x14ac:dyDescent="0.25">
      <c r="AH853" s="75"/>
      <c r="AK853" s="75"/>
    </row>
    <row r="854" spans="34:37" x14ac:dyDescent="0.25">
      <c r="AH854" s="75"/>
      <c r="AK854" s="75"/>
    </row>
    <row r="855" spans="34:37" x14ac:dyDescent="0.25">
      <c r="AH855" s="75"/>
      <c r="AK855" s="75"/>
    </row>
    <row r="856" spans="34:37" x14ac:dyDescent="0.25">
      <c r="AH856" s="75"/>
      <c r="AK856" s="75"/>
    </row>
    <row r="857" spans="34:37" x14ac:dyDescent="0.25">
      <c r="AH857" s="75"/>
      <c r="AK857" s="75"/>
    </row>
    <row r="858" spans="34:37" x14ac:dyDescent="0.25">
      <c r="AH858" s="75"/>
      <c r="AK858" s="75"/>
    </row>
    <row r="859" spans="34:37" x14ac:dyDescent="0.25">
      <c r="AH859" s="75"/>
      <c r="AK859" s="75"/>
    </row>
    <row r="860" spans="34:37" x14ac:dyDescent="0.25">
      <c r="AH860" s="75"/>
      <c r="AK860" s="75"/>
    </row>
    <row r="861" spans="34:37" x14ac:dyDescent="0.25">
      <c r="AH861" s="75"/>
      <c r="AK861" s="75"/>
    </row>
    <row r="862" spans="34:37" x14ac:dyDescent="0.25">
      <c r="AH862" s="75"/>
      <c r="AK862" s="75"/>
    </row>
    <row r="863" spans="34:37" x14ac:dyDescent="0.25">
      <c r="AH863" s="75"/>
      <c r="AK863" s="75"/>
    </row>
    <row r="864" spans="34:37" x14ac:dyDescent="0.25">
      <c r="AH864" s="75"/>
      <c r="AK864" s="75"/>
    </row>
    <row r="865" spans="34:37" x14ac:dyDescent="0.25">
      <c r="AH865" s="75"/>
      <c r="AK865" s="75"/>
    </row>
    <row r="866" spans="34:37" x14ac:dyDescent="0.25">
      <c r="AH866" s="75"/>
      <c r="AK866" s="75"/>
    </row>
    <row r="867" spans="34:37" x14ac:dyDescent="0.25">
      <c r="AH867" s="75"/>
      <c r="AK867" s="75"/>
    </row>
    <row r="868" spans="34:37" x14ac:dyDescent="0.25">
      <c r="AH868" s="75"/>
      <c r="AK868" s="75"/>
    </row>
    <row r="869" spans="34:37" x14ac:dyDescent="0.25">
      <c r="AH869" s="75"/>
      <c r="AK869" s="75"/>
    </row>
    <row r="870" spans="34:37" x14ac:dyDescent="0.25">
      <c r="AH870" s="75"/>
      <c r="AK870" s="75"/>
    </row>
    <row r="871" spans="34:37" x14ac:dyDescent="0.25">
      <c r="AH871" s="75"/>
      <c r="AK871" s="75"/>
    </row>
    <row r="872" spans="34:37" x14ac:dyDescent="0.25">
      <c r="AH872" s="75"/>
      <c r="AK872" s="75"/>
    </row>
    <row r="873" spans="34:37" x14ac:dyDescent="0.25">
      <c r="AH873" s="75"/>
      <c r="AK873" s="75"/>
    </row>
    <row r="874" spans="34:37" x14ac:dyDescent="0.25">
      <c r="AH874" s="75"/>
      <c r="AK874" s="75"/>
    </row>
    <row r="875" spans="34:37" x14ac:dyDescent="0.25">
      <c r="AH875" s="75"/>
      <c r="AK875" s="75"/>
    </row>
    <row r="876" spans="34:37" x14ac:dyDescent="0.25">
      <c r="AH876" s="75"/>
      <c r="AK876" s="75"/>
    </row>
    <row r="877" spans="34:37" x14ac:dyDescent="0.25">
      <c r="AH877" s="75"/>
      <c r="AK877" s="75"/>
    </row>
    <row r="878" spans="34:37" x14ac:dyDescent="0.25">
      <c r="AH878" s="75"/>
      <c r="AK878" s="75"/>
    </row>
    <row r="879" spans="34:37" x14ac:dyDescent="0.25">
      <c r="AH879" s="75"/>
      <c r="AK879" s="75"/>
    </row>
    <row r="880" spans="34:37" x14ac:dyDescent="0.25">
      <c r="AH880" s="75"/>
      <c r="AK880" s="75"/>
    </row>
    <row r="881" spans="34:37" x14ac:dyDescent="0.25">
      <c r="AH881" s="75"/>
      <c r="AK881" s="75"/>
    </row>
    <row r="882" spans="34:37" x14ac:dyDescent="0.25">
      <c r="AH882" s="75"/>
      <c r="AK882" s="75"/>
    </row>
    <row r="883" spans="34:37" x14ac:dyDescent="0.25">
      <c r="AH883" s="75"/>
      <c r="AK883" s="75"/>
    </row>
    <row r="884" spans="34:37" x14ac:dyDescent="0.25">
      <c r="AH884" s="75"/>
      <c r="AK884" s="75"/>
    </row>
    <row r="885" spans="34:37" x14ac:dyDescent="0.25">
      <c r="AH885" s="75"/>
      <c r="AK885" s="75"/>
    </row>
    <row r="886" spans="34:37" x14ac:dyDescent="0.25">
      <c r="AH886" s="75"/>
      <c r="AK886" s="75"/>
    </row>
    <row r="887" spans="34:37" x14ac:dyDescent="0.25">
      <c r="AH887" s="75"/>
      <c r="AK887" s="75"/>
    </row>
    <row r="888" spans="34:37" x14ac:dyDescent="0.25">
      <c r="AH888" s="75"/>
      <c r="AK888" s="75"/>
    </row>
    <row r="889" spans="34:37" x14ac:dyDescent="0.25">
      <c r="AH889" s="75"/>
      <c r="AK889" s="75"/>
    </row>
    <row r="890" spans="34:37" x14ac:dyDescent="0.25">
      <c r="AH890" s="75"/>
      <c r="AK890" s="75"/>
    </row>
    <row r="891" spans="34:37" x14ac:dyDescent="0.25">
      <c r="AH891" s="75"/>
      <c r="AK891" s="75"/>
    </row>
    <row r="892" spans="34:37" x14ac:dyDescent="0.25">
      <c r="AH892" s="75"/>
      <c r="AK892" s="75"/>
    </row>
    <row r="893" spans="34:37" x14ac:dyDescent="0.25">
      <c r="AH893" s="75"/>
      <c r="AK893" s="75"/>
    </row>
    <row r="894" spans="34:37" x14ac:dyDescent="0.25">
      <c r="AH894" s="75"/>
      <c r="AK894" s="75"/>
    </row>
    <row r="895" spans="34:37" x14ac:dyDescent="0.25">
      <c r="AH895" s="75"/>
      <c r="AK895" s="75"/>
    </row>
    <row r="896" spans="34:37" x14ac:dyDescent="0.25">
      <c r="AH896" s="75"/>
      <c r="AK896" s="75"/>
    </row>
    <row r="897" spans="34:37" x14ac:dyDescent="0.25">
      <c r="AH897" s="75"/>
      <c r="AK897" s="75"/>
    </row>
    <row r="898" spans="34:37" x14ac:dyDescent="0.25">
      <c r="AH898" s="75"/>
      <c r="AK898" s="75"/>
    </row>
    <row r="899" spans="34:37" x14ac:dyDescent="0.25">
      <c r="AH899" s="75"/>
      <c r="AK899" s="75"/>
    </row>
    <row r="900" spans="34:37" x14ac:dyDescent="0.25">
      <c r="AH900" s="75"/>
      <c r="AK900" s="75"/>
    </row>
    <row r="901" spans="34:37" x14ac:dyDescent="0.25">
      <c r="AH901" s="75"/>
      <c r="AK901" s="75"/>
    </row>
    <row r="902" spans="34:37" x14ac:dyDescent="0.25">
      <c r="AH902" s="75"/>
      <c r="AK902" s="75"/>
    </row>
    <row r="903" spans="34:37" x14ac:dyDescent="0.25">
      <c r="AH903" s="75"/>
      <c r="AK903" s="75"/>
    </row>
    <row r="904" spans="34:37" x14ac:dyDescent="0.25">
      <c r="AH904" s="75"/>
      <c r="AK904" s="75"/>
    </row>
    <row r="905" spans="34:37" x14ac:dyDescent="0.25">
      <c r="AH905" s="75"/>
      <c r="AK905" s="75"/>
    </row>
    <row r="906" spans="34:37" x14ac:dyDescent="0.25">
      <c r="AH906" s="75"/>
      <c r="AK906" s="75"/>
    </row>
    <row r="907" spans="34:37" x14ac:dyDescent="0.25">
      <c r="AH907" s="75"/>
      <c r="AK907" s="75"/>
    </row>
    <row r="908" spans="34:37" x14ac:dyDescent="0.25">
      <c r="AH908" s="75"/>
      <c r="AK908" s="75"/>
    </row>
    <row r="909" spans="34:37" x14ac:dyDescent="0.25">
      <c r="AH909" s="75"/>
      <c r="AK909" s="75"/>
    </row>
    <row r="910" spans="34:37" x14ac:dyDescent="0.25">
      <c r="AH910" s="75"/>
      <c r="AK910" s="75"/>
    </row>
    <row r="911" spans="34:37" x14ac:dyDescent="0.25">
      <c r="AH911" s="75"/>
      <c r="AK911" s="75"/>
    </row>
    <row r="912" spans="34:37" x14ac:dyDescent="0.25">
      <c r="AH912" s="75"/>
      <c r="AK912" s="75"/>
    </row>
    <row r="913" spans="34:37" x14ac:dyDescent="0.25">
      <c r="AH913" s="75"/>
      <c r="AK913" s="75"/>
    </row>
    <row r="914" spans="34:37" x14ac:dyDescent="0.25">
      <c r="AH914" s="75"/>
      <c r="AK914" s="75"/>
    </row>
    <row r="915" spans="34:37" x14ac:dyDescent="0.25">
      <c r="AH915" s="75"/>
      <c r="AK915" s="75"/>
    </row>
    <row r="916" spans="34:37" x14ac:dyDescent="0.25">
      <c r="AH916" s="75"/>
      <c r="AK916" s="75"/>
    </row>
    <row r="917" spans="34:37" x14ac:dyDescent="0.25">
      <c r="AH917" s="75"/>
      <c r="AK917" s="75"/>
    </row>
    <row r="918" spans="34:37" x14ac:dyDescent="0.25">
      <c r="AH918" s="75"/>
      <c r="AK918" s="75"/>
    </row>
    <row r="919" spans="34:37" x14ac:dyDescent="0.25">
      <c r="AH919" s="75"/>
      <c r="AK919" s="75"/>
    </row>
    <row r="920" spans="34:37" x14ac:dyDescent="0.25">
      <c r="AH920" s="75"/>
      <c r="AK920" s="75"/>
    </row>
    <row r="921" spans="34:37" x14ac:dyDescent="0.25">
      <c r="AH921" s="75"/>
      <c r="AK921" s="75"/>
    </row>
    <row r="922" spans="34:37" x14ac:dyDescent="0.25">
      <c r="AH922" s="75"/>
      <c r="AK922" s="75"/>
    </row>
    <row r="923" spans="34:37" x14ac:dyDescent="0.25">
      <c r="AH923" s="75"/>
      <c r="AK923" s="75"/>
    </row>
    <row r="924" spans="34:37" x14ac:dyDescent="0.25">
      <c r="AH924" s="75"/>
      <c r="AK924" s="75"/>
    </row>
    <row r="925" spans="34:37" x14ac:dyDescent="0.25">
      <c r="AH925" s="75"/>
      <c r="AK925" s="75"/>
    </row>
    <row r="926" spans="34:37" x14ac:dyDescent="0.25">
      <c r="AH926" s="75"/>
      <c r="AK926" s="75"/>
    </row>
    <row r="927" spans="34:37" x14ac:dyDescent="0.25">
      <c r="AH927" s="75"/>
      <c r="AK927" s="75"/>
    </row>
    <row r="928" spans="34:37" x14ac:dyDescent="0.25">
      <c r="AH928" s="75"/>
      <c r="AK928" s="75"/>
    </row>
    <row r="929" spans="34:37" x14ac:dyDescent="0.25">
      <c r="AH929" s="75"/>
      <c r="AK929" s="75"/>
    </row>
    <row r="930" spans="34:37" x14ac:dyDescent="0.25">
      <c r="AH930" s="75"/>
      <c r="AK930" s="75"/>
    </row>
    <row r="931" spans="34:37" x14ac:dyDescent="0.25">
      <c r="AH931" s="75"/>
      <c r="AK931" s="75"/>
    </row>
    <row r="932" spans="34:37" x14ac:dyDescent="0.25">
      <c r="AH932" s="75"/>
      <c r="AK932" s="75"/>
    </row>
    <row r="933" spans="34:37" x14ac:dyDescent="0.25">
      <c r="AH933" s="75"/>
      <c r="AK933" s="75"/>
    </row>
    <row r="934" spans="34:37" x14ac:dyDescent="0.25">
      <c r="AH934" s="75"/>
      <c r="AK934" s="75"/>
    </row>
    <row r="935" spans="34:37" x14ac:dyDescent="0.25">
      <c r="AH935" s="75"/>
      <c r="AK935" s="75"/>
    </row>
    <row r="936" spans="34:37" x14ac:dyDescent="0.25">
      <c r="AH936" s="75"/>
      <c r="AK936" s="75"/>
    </row>
    <row r="937" spans="34:37" x14ac:dyDescent="0.25">
      <c r="AH937" s="75"/>
      <c r="AK937" s="75"/>
    </row>
    <row r="938" spans="34:37" x14ac:dyDescent="0.25">
      <c r="AH938" s="75"/>
      <c r="AK938" s="75"/>
    </row>
    <row r="939" spans="34:37" x14ac:dyDescent="0.25">
      <c r="AH939" s="75"/>
      <c r="AK939" s="75"/>
    </row>
    <row r="940" spans="34:37" x14ac:dyDescent="0.25">
      <c r="AH940" s="75"/>
      <c r="AK940" s="75"/>
    </row>
    <row r="941" spans="34:37" x14ac:dyDescent="0.25">
      <c r="AH941" s="75"/>
      <c r="AK941" s="75"/>
    </row>
    <row r="942" spans="34:37" x14ac:dyDescent="0.25">
      <c r="AH942" s="75"/>
      <c r="AK942" s="75"/>
    </row>
    <row r="943" spans="34:37" x14ac:dyDescent="0.25">
      <c r="AH943" s="75"/>
      <c r="AK943" s="75"/>
    </row>
    <row r="944" spans="34:37" x14ac:dyDescent="0.25">
      <c r="AH944" s="75"/>
      <c r="AK944" s="75"/>
    </row>
    <row r="945" spans="34:37" x14ac:dyDescent="0.25">
      <c r="AH945" s="75"/>
      <c r="AK945" s="75"/>
    </row>
    <row r="946" spans="34:37" x14ac:dyDescent="0.25">
      <c r="AH946" s="75"/>
      <c r="AK946" s="75"/>
    </row>
    <row r="947" spans="34:37" x14ac:dyDescent="0.25">
      <c r="AH947" s="75"/>
      <c r="AK947" s="75"/>
    </row>
    <row r="948" spans="34:37" x14ac:dyDescent="0.25">
      <c r="AH948" s="75"/>
      <c r="AK948" s="75"/>
    </row>
    <row r="949" spans="34:37" x14ac:dyDescent="0.25">
      <c r="AH949" s="75"/>
      <c r="AK949" s="75"/>
    </row>
    <row r="950" spans="34:37" x14ac:dyDescent="0.25">
      <c r="AH950" s="75"/>
      <c r="AK950" s="75"/>
    </row>
    <row r="951" spans="34:37" x14ac:dyDescent="0.25">
      <c r="AH951" s="75"/>
      <c r="AK951" s="75"/>
    </row>
    <row r="952" spans="34:37" x14ac:dyDescent="0.25">
      <c r="AH952" s="75"/>
      <c r="AK952" s="75"/>
    </row>
    <row r="953" spans="34:37" x14ac:dyDescent="0.25">
      <c r="AH953" s="75"/>
      <c r="AK953" s="75"/>
    </row>
    <row r="954" spans="34:37" x14ac:dyDescent="0.25">
      <c r="AH954" s="75"/>
      <c r="AK954" s="75"/>
    </row>
    <row r="955" spans="34:37" x14ac:dyDescent="0.25">
      <c r="AH955" s="75"/>
      <c r="AK955" s="75"/>
    </row>
    <row r="956" spans="34:37" x14ac:dyDescent="0.25">
      <c r="AH956" s="75"/>
      <c r="AK956" s="75"/>
    </row>
    <row r="957" spans="34:37" x14ac:dyDescent="0.25">
      <c r="AH957" s="75"/>
      <c r="AK957" s="75"/>
    </row>
    <row r="958" spans="34:37" x14ac:dyDescent="0.25">
      <c r="AH958" s="75"/>
      <c r="AK958" s="75"/>
    </row>
    <row r="959" spans="34:37" x14ac:dyDescent="0.25">
      <c r="AH959" s="75"/>
      <c r="AK959" s="75"/>
    </row>
    <row r="960" spans="34:37" x14ac:dyDescent="0.25">
      <c r="AH960" s="75"/>
      <c r="AK960" s="75"/>
    </row>
    <row r="961" spans="34:37" x14ac:dyDescent="0.25">
      <c r="AH961" s="75"/>
      <c r="AK961" s="75"/>
    </row>
    <row r="962" spans="34:37" x14ac:dyDescent="0.25">
      <c r="AH962" s="75"/>
      <c r="AK962" s="75"/>
    </row>
    <row r="963" spans="34:37" x14ac:dyDescent="0.25">
      <c r="AH963" s="75"/>
      <c r="AK963" s="75"/>
    </row>
    <row r="964" spans="34:37" x14ac:dyDescent="0.25">
      <c r="AH964" s="75"/>
      <c r="AK964" s="75"/>
    </row>
    <row r="965" spans="34:37" x14ac:dyDescent="0.25">
      <c r="AH965" s="75"/>
      <c r="AK965" s="75"/>
    </row>
    <row r="966" spans="34:37" x14ac:dyDescent="0.25">
      <c r="AH966" s="75"/>
      <c r="AK966" s="75"/>
    </row>
    <row r="967" spans="34:37" x14ac:dyDescent="0.25">
      <c r="AH967" s="75"/>
      <c r="AK967" s="75"/>
    </row>
    <row r="968" spans="34:37" x14ac:dyDescent="0.25">
      <c r="AH968" s="75"/>
      <c r="AK968" s="75"/>
    </row>
    <row r="969" spans="34:37" x14ac:dyDescent="0.25">
      <c r="AH969" s="75"/>
      <c r="AK969" s="75"/>
    </row>
    <row r="970" spans="34:37" x14ac:dyDescent="0.25">
      <c r="AH970" s="75"/>
      <c r="AK970" s="75"/>
    </row>
    <row r="971" spans="34:37" x14ac:dyDescent="0.25">
      <c r="AH971" s="75"/>
      <c r="AK971" s="75"/>
    </row>
    <row r="972" spans="34:37" x14ac:dyDescent="0.25">
      <c r="AH972" s="75"/>
      <c r="AK972" s="75"/>
    </row>
    <row r="973" spans="34:37" x14ac:dyDescent="0.25">
      <c r="AH973" s="75"/>
      <c r="AK973" s="75"/>
    </row>
    <row r="974" spans="34:37" x14ac:dyDescent="0.25">
      <c r="AH974" s="75"/>
      <c r="AK974" s="75"/>
    </row>
    <row r="975" spans="34:37" x14ac:dyDescent="0.25">
      <c r="AH975" s="75"/>
      <c r="AK975" s="75"/>
    </row>
    <row r="976" spans="34:37" x14ac:dyDescent="0.25">
      <c r="AH976" s="75"/>
      <c r="AK976" s="75"/>
    </row>
    <row r="977" spans="34:37" x14ac:dyDescent="0.25">
      <c r="AH977" s="75"/>
      <c r="AK977" s="75"/>
    </row>
    <row r="978" spans="34:37" x14ac:dyDescent="0.25">
      <c r="AH978" s="75"/>
      <c r="AK978" s="75"/>
    </row>
    <row r="979" spans="34:37" x14ac:dyDescent="0.25">
      <c r="AH979" s="75"/>
      <c r="AK979" s="75"/>
    </row>
    <row r="980" spans="34:37" x14ac:dyDescent="0.25">
      <c r="AH980" s="75"/>
      <c r="AK980" s="75"/>
    </row>
    <row r="981" spans="34:37" x14ac:dyDescent="0.25">
      <c r="AH981" s="75"/>
      <c r="AK981" s="75"/>
    </row>
    <row r="982" spans="34:37" x14ac:dyDescent="0.25">
      <c r="AH982" s="75"/>
      <c r="AK982" s="75"/>
    </row>
    <row r="983" spans="34:37" x14ac:dyDescent="0.25">
      <c r="AH983" s="75"/>
      <c r="AK983" s="75"/>
    </row>
    <row r="984" spans="34:37" x14ac:dyDescent="0.25">
      <c r="AH984" s="75"/>
      <c r="AK984" s="75"/>
    </row>
    <row r="985" spans="34:37" x14ac:dyDescent="0.25">
      <c r="AH985" s="75"/>
      <c r="AK985" s="75"/>
    </row>
    <row r="986" spans="34:37" x14ac:dyDescent="0.25">
      <c r="AH986" s="75"/>
      <c r="AK986" s="75"/>
    </row>
    <row r="987" spans="34:37" x14ac:dyDescent="0.25">
      <c r="AH987" s="75"/>
      <c r="AK987" s="75"/>
    </row>
    <row r="988" spans="34:37" x14ac:dyDescent="0.25">
      <c r="AH988" s="75"/>
      <c r="AK988" s="75"/>
    </row>
    <row r="989" spans="34:37" x14ac:dyDescent="0.25">
      <c r="AH989" s="75"/>
      <c r="AK989" s="75"/>
    </row>
    <row r="990" spans="34:37" x14ac:dyDescent="0.25">
      <c r="AH990" s="75"/>
      <c r="AK990" s="75"/>
    </row>
    <row r="991" spans="34:37" x14ac:dyDescent="0.25">
      <c r="AH991" s="75"/>
      <c r="AK991" s="75"/>
    </row>
    <row r="992" spans="34:37" x14ac:dyDescent="0.25">
      <c r="AH992" s="75"/>
      <c r="AK992" s="75"/>
    </row>
    <row r="993" spans="34:37" x14ac:dyDescent="0.25">
      <c r="AH993" s="75"/>
      <c r="AK993" s="75"/>
    </row>
    <row r="994" spans="34:37" x14ac:dyDescent="0.25">
      <c r="AH994" s="75"/>
      <c r="AK994" s="75"/>
    </row>
    <row r="995" spans="34:37" x14ac:dyDescent="0.25">
      <c r="AH995" s="75"/>
      <c r="AK995" s="75"/>
    </row>
    <row r="996" spans="34:37" x14ac:dyDescent="0.25">
      <c r="AH996" s="75"/>
      <c r="AK996" s="75"/>
    </row>
    <row r="997" spans="34:37" x14ac:dyDescent="0.25">
      <c r="AH997" s="75"/>
      <c r="AK997" s="75"/>
    </row>
    <row r="998" spans="34:37" x14ac:dyDescent="0.25">
      <c r="AH998" s="75"/>
      <c r="AK998" s="75"/>
    </row>
    <row r="999" spans="34:37" x14ac:dyDescent="0.25">
      <c r="AH999" s="75"/>
      <c r="AK999" s="75"/>
    </row>
    <row r="1000" spans="34:37" x14ac:dyDescent="0.25">
      <c r="AH1000" s="75"/>
      <c r="AK1000" s="75"/>
    </row>
    <row r="1001" spans="34:37" x14ac:dyDescent="0.25">
      <c r="AH1001" s="75"/>
      <c r="AK1001" s="75"/>
    </row>
    <row r="1002" spans="34:37" x14ac:dyDescent="0.25">
      <c r="AH1002" s="75"/>
      <c r="AK1002" s="75"/>
    </row>
    <row r="1003" spans="34:37" x14ac:dyDescent="0.25">
      <c r="AH1003" s="75"/>
      <c r="AK1003" s="75"/>
    </row>
    <row r="1004" spans="34:37" x14ac:dyDescent="0.25">
      <c r="AH1004" s="75"/>
      <c r="AK1004" s="75"/>
    </row>
    <row r="1005" spans="34:37" x14ac:dyDescent="0.25">
      <c r="AH1005" s="75"/>
      <c r="AK1005" s="75"/>
    </row>
    <row r="1006" spans="34:37" x14ac:dyDescent="0.25">
      <c r="AH1006" s="75"/>
      <c r="AK1006" s="75"/>
    </row>
    <row r="1007" spans="34:37" x14ac:dyDescent="0.25">
      <c r="AH1007" s="75"/>
      <c r="AK1007" s="75"/>
    </row>
    <row r="1008" spans="34:37" x14ac:dyDescent="0.25">
      <c r="AH1008" s="75"/>
      <c r="AK1008" s="75"/>
    </row>
    <row r="1009" spans="34:37" x14ac:dyDescent="0.25">
      <c r="AH1009" s="75"/>
      <c r="AK1009" s="75"/>
    </row>
    <row r="1010" spans="34:37" x14ac:dyDescent="0.25">
      <c r="AH1010" s="75"/>
      <c r="AK1010" s="75"/>
    </row>
    <row r="1011" spans="34:37" x14ac:dyDescent="0.25">
      <c r="AH1011" s="75"/>
      <c r="AK1011" s="75"/>
    </row>
    <row r="1012" spans="34:37" x14ac:dyDescent="0.25">
      <c r="AH1012" s="75"/>
      <c r="AK1012" s="75"/>
    </row>
    <row r="1013" spans="34:37" x14ac:dyDescent="0.25">
      <c r="AH1013" s="75"/>
      <c r="AK1013" s="75"/>
    </row>
    <row r="1014" spans="34:37" x14ac:dyDescent="0.25">
      <c r="AH1014" s="75"/>
      <c r="AK1014" s="75"/>
    </row>
    <row r="1015" spans="34:37" x14ac:dyDescent="0.25">
      <c r="AH1015" s="75"/>
      <c r="AK1015" s="75"/>
    </row>
    <row r="1016" spans="34:37" x14ac:dyDescent="0.25">
      <c r="AH1016" s="75"/>
      <c r="AK1016" s="75"/>
    </row>
    <row r="1017" spans="34:37" x14ac:dyDescent="0.25">
      <c r="AH1017" s="75"/>
      <c r="AK1017" s="75"/>
    </row>
    <row r="1018" spans="34:37" x14ac:dyDescent="0.25">
      <c r="AH1018" s="75"/>
      <c r="AK1018" s="75"/>
    </row>
    <row r="1019" spans="34:37" x14ac:dyDescent="0.25">
      <c r="AH1019" s="75"/>
      <c r="AK1019" s="75"/>
    </row>
    <row r="1020" spans="34:37" x14ac:dyDescent="0.25">
      <c r="AH1020" s="75"/>
      <c r="AK1020" s="75"/>
    </row>
    <row r="1021" spans="34:37" x14ac:dyDescent="0.25">
      <c r="AH1021" s="75"/>
      <c r="AK1021" s="75"/>
    </row>
    <row r="1022" spans="34:37" x14ac:dyDescent="0.25">
      <c r="AH1022" s="75"/>
      <c r="AK1022" s="75"/>
    </row>
    <row r="1023" spans="34:37" x14ac:dyDescent="0.25">
      <c r="AH1023" s="75"/>
      <c r="AK1023" s="75"/>
    </row>
    <row r="1024" spans="34:37" x14ac:dyDescent="0.25">
      <c r="AH1024" s="75"/>
      <c r="AK1024" s="75"/>
    </row>
    <row r="1025" spans="34:37" x14ac:dyDescent="0.25">
      <c r="AH1025" s="75"/>
      <c r="AK1025" s="75"/>
    </row>
    <row r="1026" spans="34:37" x14ac:dyDescent="0.25">
      <c r="AH1026" s="75"/>
      <c r="AK1026" s="75"/>
    </row>
    <row r="1027" spans="34:37" x14ac:dyDescent="0.25">
      <c r="AH1027" s="75"/>
      <c r="AK1027" s="75"/>
    </row>
    <row r="1028" spans="34:37" x14ac:dyDescent="0.25">
      <c r="AH1028" s="75"/>
      <c r="AK1028" s="75"/>
    </row>
    <row r="1029" spans="34:37" x14ac:dyDescent="0.25">
      <c r="AH1029" s="75"/>
      <c r="AK1029" s="75"/>
    </row>
    <row r="1030" spans="34:37" x14ac:dyDescent="0.25">
      <c r="AH1030" s="75"/>
      <c r="AK1030" s="75"/>
    </row>
    <row r="1031" spans="34:37" x14ac:dyDescent="0.25">
      <c r="AH1031" s="75"/>
      <c r="AK1031" s="75"/>
    </row>
    <row r="1032" spans="34:37" x14ac:dyDescent="0.25">
      <c r="AH1032" s="75"/>
      <c r="AK1032" s="75"/>
    </row>
    <row r="1033" spans="34:37" x14ac:dyDescent="0.25">
      <c r="AH1033" s="75"/>
      <c r="AK1033" s="75"/>
    </row>
    <row r="1034" spans="34:37" x14ac:dyDescent="0.25">
      <c r="AH1034" s="75"/>
      <c r="AK1034" s="75"/>
    </row>
    <row r="1035" spans="34:37" x14ac:dyDescent="0.25">
      <c r="AH1035" s="75"/>
      <c r="AK1035" s="75"/>
    </row>
    <row r="1036" spans="34:37" x14ac:dyDescent="0.25">
      <c r="AH1036" s="75"/>
      <c r="AK1036" s="75"/>
    </row>
    <row r="1037" spans="34:37" x14ac:dyDescent="0.25">
      <c r="AH1037" s="75"/>
      <c r="AK1037" s="75"/>
    </row>
    <row r="1038" spans="34:37" x14ac:dyDescent="0.25">
      <c r="AH1038" s="75"/>
      <c r="AK1038" s="75"/>
    </row>
    <row r="1039" spans="34:37" x14ac:dyDescent="0.25">
      <c r="AH1039" s="75"/>
      <c r="AK1039" s="75"/>
    </row>
    <row r="1040" spans="34:37" x14ac:dyDescent="0.25">
      <c r="AH1040" s="75"/>
      <c r="AK1040" s="75"/>
    </row>
    <row r="1041" spans="34:37" x14ac:dyDescent="0.25">
      <c r="AH1041" s="75"/>
      <c r="AK1041" s="75"/>
    </row>
    <row r="1042" spans="34:37" x14ac:dyDescent="0.25">
      <c r="AH1042" s="75"/>
      <c r="AK1042" s="75"/>
    </row>
    <row r="1043" spans="34:37" x14ac:dyDescent="0.25">
      <c r="AH1043" s="75"/>
      <c r="AK1043" s="75"/>
    </row>
    <row r="1044" spans="34:37" x14ac:dyDescent="0.25">
      <c r="AH1044" s="75"/>
      <c r="AK1044" s="75"/>
    </row>
    <row r="1045" spans="34:37" x14ac:dyDescent="0.25">
      <c r="AH1045" s="75"/>
      <c r="AK1045" s="75"/>
    </row>
    <row r="1046" spans="34:37" x14ac:dyDescent="0.25">
      <c r="AH1046" s="75"/>
      <c r="AK1046" s="75"/>
    </row>
    <row r="1047" spans="34:37" x14ac:dyDescent="0.25">
      <c r="AH1047" s="75"/>
      <c r="AK1047" s="75"/>
    </row>
    <row r="1048" spans="34:37" x14ac:dyDescent="0.25">
      <c r="AH1048" s="75"/>
      <c r="AK1048" s="75"/>
    </row>
    <row r="1049" spans="34:37" x14ac:dyDescent="0.25">
      <c r="AH1049" s="75"/>
      <c r="AK1049" s="75"/>
    </row>
    <row r="1050" spans="34:37" x14ac:dyDescent="0.25">
      <c r="AH1050" s="75"/>
      <c r="AK1050" s="75"/>
    </row>
    <row r="1051" spans="34:37" x14ac:dyDescent="0.25">
      <c r="AH1051" s="75"/>
      <c r="AK1051" s="75"/>
    </row>
    <row r="1052" spans="34:37" x14ac:dyDescent="0.25">
      <c r="AH1052" s="75"/>
      <c r="AK1052" s="75"/>
    </row>
    <row r="1053" spans="34:37" x14ac:dyDescent="0.25">
      <c r="AH1053" s="75"/>
      <c r="AK1053" s="75"/>
    </row>
    <row r="1054" spans="34:37" x14ac:dyDescent="0.25">
      <c r="AH1054" s="75"/>
      <c r="AK1054" s="75"/>
    </row>
    <row r="1055" spans="34:37" x14ac:dyDescent="0.25">
      <c r="AH1055" s="75"/>
      <c r="AK1055" s="75"/>
    </row>
    <row r="1056" spans="34:37" x14ac:dyDescent="0.25">
      <c r="AH1056" s="75"/>
      <c r="AK1056" s="75"/>
    </row>
    <row r="1057" spans="34:37" x14ac:dyDescent="0.25">
      <c r="AH1057" s="75"/>
      <c r="AK1057" s="75"/>
    </row>
    <row r="1058" spans="34:37" x14ac:dyDescent="0.25">
      <c r="AH1058" s="75"/>
      <c r="AK1058" s="75"/>
    </row>
    <row r="1059" spans="34:37" x14ac:dyDescent="0.25">
      <c r="AH1059" s="75"/>
      <c r="AK1059" s="75"/>
    </row>
    <row r="1060" spans="34:37" x14ac:dyDescent="0.25">
      <c r="AH1060" s="75"/>
      <c r="AK1060" s="75"/>
    </row>
    <row r="1061" spans="34:37" x14ac:dyDescent="0.25">
      <c r="AH1061" s="75"/>
      <c r="AK1061" s="75"/>
    </row>
    <row r="1062" spans="34:37" x14ac:dyDescent="0.25">
      <c r="AH1062" s="75"/>
      <c r="AK1062" s="75"/>
    </row>
    <row r="1063" spans="34:37" x14ac:dyDescent="0.25">
      <c r="AH1063" s="75"/>
      <c r="AK1063" s="75"/>
    </row>
    <row r="1064" spans="34:37" x14ac:dyDescent="0.25">
      <c r="AH1064" s="75"/>
      <c r="AK1064" s="75"/>
    </row>
    <row r="1065" spans="34:37" x14ac:dyDescent="0.25">
      <c r="AH1065" s="75"/>
      <c r="AK1065" s="75"/>
    </row>
    <row r="1066" spans="34:37" x14ac:dyDescent="0.25">
      <c r="AH1066" s="75"/>
      <c r="AK1066" s="75"/>
    </row>
    <row r="1067" spans="34:37" x14ac:dyDescent="0.25">
      <c r="AH1067" s="75"/>
      <c r="AK1067" s="75"/>
    </row>
    <row r="1068" spans="34:37" x14ac:dyDescent="0.25">
      <c r="AH1068" s="75"/>
      <c r="AK1068" s="75"/>
    </row>
    <row r="1069" spans="34:37" x14ac:dyDescent="0.25">
      <c r="AH1069" s="75"/>
      <c r="AK1069" s="75"/>
    </row>
    <row r="1070" spans="34:37" x14ac:dyDescent="0.25">
      <c r="AH1070" s="75"/>
      <c r="AK1070" s="75"/>
    </row>
    <row r="1071" spans="34:37" x14ac:dyDescent="0.25">
      <c r="AH1071" s="75"/>
      <c r="AK1071" s="75"/>
    </row>
    <row r="1072" spans="34:37" x14ac:dyDescent="0.25">
      <c r="AH1072" s="75"/>
      <c r="AK1072" s="75"/>
    </row>
    <row r="1073" spans="34:37" x14ac:dyDescent="0.25">
      <c r="AH1073" s="75"/>
      <c r="AK1073" s="75"/>
    </row>
    <row r="1074" spans="34:37" x14ac:dyDescent="0.25">
      <c r="AH1074" s="75"/>
      <c r="AK1074" s="75"/>
    </row>
    <row r="1075" spans="34:37" x14ac:dyDescent="0.25">
      <c r="AH1075" s="75"/>
      <c r="AK1075" s="75"/>
    </row>
    <row r="1076" spans="34:37" x14ac:dyDescent="0.25">
      <c r="AH1076" s="75"/>
      <c r="AK1076" s="75"/>
    </row>
    <row r="1077" spans="34:37" x14ac:dyDescent="0.25">
      <c r="AH1077" s="75"/>
      <c r="AK1077" s="75"/>
    </row>
    <row r="1078" spans="34:37" x14ac:dyDescent="0.25">
      <c r="AH1078" s="75"/>
      <c r="AK1078" s="75"/>
    </row>
    <row r="1079" spans="34:37" x14ac:dyDescent="0.25">
      <c r="AH1079" s="75"/>
      <c r="AK1079" s="75"/>
    </row>
    <row r="1080" spans="34:37" x14ac:dyDescent="0.25">
      <c r="AH1080" s="75"/>
      <c r="AK1080" s="75"/>
    </row>
    <row r="1081" spans="34:37" x14ac:dyDescent="0.25">
      <c r="AH1081" s="75"/>
      <c r="AK1081" s="75"/>
    </row>
    <row r="1082" spans="34:37" x14ac:dyDescent="0.25">
      <c r="AH1082" s="75"/>
      <c r="AK1082" s="75"/>
    </row>
    <row r="1083" spans="34:37" x14ac:dyDescent="0.25">
      <c r="AH1083" s="75"/>
      <c r="AK1083" s="75"/>
    </row>
    <row r="1084" spans="34:37" x14ac:dyDescent="0.25">
      <c r="AH1084" s="75"/>
      <c r="AK1084" s="75"/>
    </row>
    <row r="1085" spans="34:37" x14ac:dyDescent="0.25">
      <c r="AH1085" s="75"/>
      <c r="AK1085" s="75"/>
    </row>
    <row r="1086" spans="34:37" x14ac:dyDescent="0.25">
      <c r="AH1086" s="75"/>
      <c r="AK1086" s="75"/>
    </row>
    <row r="1087" spans="34:37" x14ac:dyDescent="0.25">
      <c r="AH1087" s="75"/>
      <c r="AK1087" s="75"/>
    </row>
    <row r="1088" spans="34:37" x14ac:dyDescent="0.25">
      <c r="AH1088" s="75"/>
      <c r="AK1088" s="75"/>
    </row>
    <row r="1089" spans="34:37" x14ac:dyDescent="0.25">
      <c r="AH1089" s="75"/>
      <c r="AK1089" s="75"/>
    </row>
    <row r="1090" spans="34:37" x14ac:dyDescent="0.25">
      <c r="AH1090" s="75"/>
      <c r="AK1090" s="75"/>
    </row>
    <row r="1091" spans="34:37" x14ac:dyDescent="0.25">
      <c r="AH1091" s="75"/>
      <c r="AK1091" s="75"/>
    </row>
    <row r="1092" spans="34:37" x14ac:dyDescent="0.25">
      <c r="AH1092" s="75"/>
      <c r="AK1092" s="75"/>
    </row>
    <row r="1093" spans="34:37" x14ac:dyDescent="0.25">
      <c r="AH1093" s="75"/>
      <c r="AK1093" s="75"/>
    </row>
    <row r="1094" spans="34:37" x14ac:dyDescent="0.25">
      <c r="AH1094" s="75"/>
      <c r="AK1094" s="75"/>
    </row>
    <row r="1095" spans="34:37" x14ac:dyDescent="0.25">
      <c r="AH1095" s="75"/>
      <c r="AK1095" s="75"/>
    </row>
    <row r="1096" spans="34:37" x14ac:dyDescent="0.25">
      <c r="AH1096" s="75"/>
      <c r="AK1096" s="75"/>
    </row>
    <row r="1097" spans="34:37" x14ac:dyDescent="0.25">
      <c r="AH1097" s="75"/>
      <c r="AK1097" s="75"/>
    </row>
    <row r="1098" spans="34:37" x14ac:dyDescent="0.25">
      <c r="AH1098" s="75"/>
      <c r="AK1098" s="75"/>
    </row>
    <row r="1099" spans="34:37" x14ac:dyDescent="0.25">
      <c r="AH1099" s="75"/>
      <c r="AK1099" s="75"/>
    </row>
    <row r="1100" spans="34:37" x14ac:dyDescent="0.25">
      <c r="AH1100" s="75"/>
      <c r="AK1100" s="75"/>
    </row>
    <row r="1101" spans="34:37" x14ac:dyDescent="0.25">
      <c r="AH1101" s="75"/>
      <c r="AK1101" s="75"/>
    </row>
    <row r="1102" spans="34:37" x14ac:dyDescent="0.25">
      <c r="AH1102" s="75"/>
      <c r="AK1102" s="75"/>
    </row>
    <row r="1103" spans="34:37" x14ac:dyDescent="0.25">
      <c r="AH1103" s="75"/>
      <c r="AK1103" s="75"/>
    </row>
    <row r="1104" spans="34:37" x14ac:dyDescent="0.25">
      <c r="AH1104" s="75"/>
      <c r="AK1104" s="75"/>
    </row>
    <row r="1105" spans="34:37" x14ac:dyDescent="0.25">
      <c r="AH1105" s="75"/>
      <c r="AK1105" s="75"/>
    </row>
    <row r="1106" spans="34:37" x14ac:dyDescent="0.25">
      <c r="AH1106" s="75"/>
      <c r="AK1106" s="75"/>
    </row>
    <row r="1107" spans="34:37" x14ac:dyDescent="0.25">
      <c r="AH1107" s="75"/>
      <c r="AK1107" s="75"/>
    </row>
    <row r="1108" spans="34:37" x14ac:dyDescent="0.25">
      <c r="AH1108" s="75"/>
      <c r="AK1108" s="75"/>
    </row>
    <row r="1109" spans="34:37" x14ac:dyDescent="0.25">
      <c r="AH1109" s="75"/>
      <c r="AK1109" s="75"/>
    </row>
    <row r="1110" spans="34:37" x14ac:dyDescent="0.25">
      <c r="AH1110" s="75"/>
      <c r="AK1110" s="75"/>
    </row>
    <row r="1111" spans="34:37" x14ac:dyDescent="0.25">
      <c r="AH1111" s="75"/>
      <c r="AK1111" s="75"/>
    </row>
    <row r="1112" spans="34:37" x14ac:dyDescent="0.25">
      <c r="AH1112" s="75"/>
      <c r="AK1112" s="75"/>
    </row>
    <row r="1113" spans="34:37" x14ac:dyDescent="0.25">
      <c r="AH1113" s="75"/>
      <c r="AK1113" s="75"/>
    </row>
    <row r="1114" spans="34:37" x14ac:dyDescent="0.25">
      <c r="AH1114" s="75"/>
      <c r="AK1114" s="75"/>
    </row>
    <row r="1115" spans="34:37" x14ac:dyDescent="0.25">
      <c r="AH1115" s="75"/>
      <c r="AK1115" s="75"/>
    </row>
    <row r="1116" spans="34:37" x14ac:dyDescent="0.25">
      <c r="AH1116" s="75"/>
      <c r="AK1116" s="75"/>
    </row>
    <row r="1117" spans="34:37" x14ac:dyDescent="0.25">
      <c r="AH1117" s="75"/>
      <c r="AK1117" s="75"/>
    </row>
    <row r="1118" spans="34:37" x14ac:dyDescent="0.25">
      <c r="AH1118" s="75"/>
      <c r="AK1118" s="75"/>
    </row>
    <row r="1119" spans="34:37" x14ac:dyDescent="0.25">
      <c r="AH1119" s="75"/>
      <c r="AK1119" s="75"/>
    </row>
    <row r="1120" spans="34:37" x14ac:dyDescent="0.25">
      <c r="AH1120" s="75"/>
      <c r="AK1120" s="75"/>
    </row>
    <row r="1121" spans="34:37" x14ac:dyDescent="0.25">
      <c r="AH1121" s="75"/>
      <c r="AK1121" s="75"/>
    </row>
    <row r="1122" spans="34:37" x14ac:dyDescent="0.25">
      <c r="AH1122" s="75"/>
      <c r="AK1122" s="75"/>
    </row>
    <row r="1123" spans="34:37" x14ac:dyDescent="0.25">
      <c r="AH1123" s="75"/>
      <c r="AK1123" s="75"/>
    </row>
    <row r="1124" spans="34:37" x14ac:dyDescent="0.25">
      <c r="AH1124" s="75"/>
      <c r="AK1124" s="75"/>
    </row>
    <row r="1125" spans="34:37" x14ac:dyDescent="0.25">
      <c r="AH1125" s="75"/>
      <c r="AK1125" s="75"/>
    </row>
    <row r="1126" spans="34:37" x14ac:dyDescent="0.25">
      <c r="AH1126" s="75"/>
      <c r="AK1126" s="75"/>
    </row>
    <row r="1127" spans="34:37" x14ac:dyDescent="0.25">
      <c r="AH1127" s="75"/>
      <c r="AK1127" s="75"/>
    </row>
    <row r="1128" spans="34:37" x14ac:dyDescent="0.25">
      <c r="AH1128" s="75"/>
      <c r="AK1128" s="75"/>
    </row>
    <row r="1129" spans="34:37" x14ac:dyDescent="0.25">
      <c r="AH1129" s="75"/>
      <c r="AK1129" s="75"/>
    </row>
    <row r="1130" spans="34:37" x14ac:dyDescent="0.25">
      <c r="AH1130" s="75"/>
      <c r="AK1130" s="75"/>
    </row>
    <row r="1131" spans="34:37" x14ac:dyDescent="0.25">
      <c r="AH1131" s="75"/>
      <c r="AK1131" s="75"/>
    </row>
    <row r="1132" spans="34:37" x14ac:dyDescent="0.25">
      <c r="AH1132" s="75"/>
      <c r="AK1132" s="75"/>
    </row>
    <row r="1133" spans="34:37" x14ac:dyDescent="0.25">
      <c r="AH1133" s="75"/>
      <c r="AK1133" s="75"/>
    </row>
    <row r="1134" spans="34:37" x14ac:dyDescent="0.25">
      <c r="AH1134" s="75"/>
      <c r="AK1134" s="75"/>
    </row>
    <row r="1135" spans="34:37" x14ac:dyDescent="0.25">
      <c r="AH1135" s="75"/>
      <c r="AK1135" s="75"/>
    </row>
    <row r="1136" spans="34:37" x14ac:dyDescent="0.25">
      <c r="AH1136" s="75"/>
      <c r="AK1136" s="75"/>
    </row>
    <row r="1137" spans="34:37" x14ac:dyDescent="0.25">
      <c r="AH1137" s="75"/>
      <c r="AK1137" s="75"/>
    </row>
    <row r="1138" spans="34:37" x14ac:dyDescent="0.25">
      <c r="AH1138" s="75"/>
      <c r="AK1138" s="75"/>
    </row>
    <row r="1139" spans="34:37" x14ac:dyDescent="0.25">
      <c r="AH1139" s="75"/>
      <c r="AK1139" s="75"/>
    </row>
    <row r="1140" spans="34:37" x14ac:dyDescent="0.25">
      <c r="AH1140" s="75"/>
      <c r="AK1140" s="75"/>
    </row>
    <row r="1141" spans="34:37" x14ac:dyDescent="0.25">
      <c r="AH1141" s="75"/>
      <c r="AK1141" s="75"/>
    </row>
    <row r="1142" spans="34:37" x14ac:dyDescent="0.25">
      <c r="AH1142" s="75"/>
      <c r="AK1142" s="75"/>
    </row>
    <row r="1143" spans="34:37" x14ac:dyDescent="0.25">
      <c r="AH1143" s="75"/>
      <c r="AK1143" s="75"/>
    </row>
    <row r="1144" spans="34:37" x14ac:dyDescent="0.25">
      <c r="AH1144" s="75"/>
      <c r="AK1144" s="75"/>
    </row>
    <row r="1145" spans="34:37" x14ac:dyDescent="0.25">
      <c r="AH1145" s="75"/>
      <c r="AK1145" s="75"/>
    </row>
    <row r="1146" spans="34:37" x14ac:dyDescent="0.25">
      <c r="AH1146" s="75"/>
      <c r="AK1146" s="75"/>
    </row>
    <row r="1147" spans="34:37" x14ac:dyDescent="0.25">
      <c r="AH1147" s="75"/>
      <c r="AK1147" s="75"/>
    </row>
    <row r="1148" spans="34:37" x14ac:dyDescent="0.25">
      <c r="AH1148" s="75"/>
      <c r="AK1148" s="75"/>
    </row>
    <row r="1149" spans="34:37" x14ac:dyDescent="0.25">
      <c r="AH1149" s="75"/>
      <c r="AK1149" s="75"/>
    </row>
    <row r="1150" spans="34:37" x14ac:dyDescent="0.25">
      <c r="AH1150" s="75"/>
      <c r="AK1150" s="75"/>
    </row>
    <row r="1151" spans="34:37" x14ac:dyDescent="0.25">
      <c r="AH1151" s="75"/>
      <c r="AK1151" s="75"/>
    </row>
    <row r="1152" spans="34:37" x14ac:dyDescent="0.25">
      <c r="AH1152" s="75"/>
      <c r="AK1152" s="75"/>
    </row>
    <row r="1153" spans="34:37" x14ac:dyDescent="0.25">
      <c r="AH1153" s="75"/>
      <c r="AK1153" s="75"/>
    </row>
    <row r="1154" spans="34:37" x14ac:dyDescent="0.25">
      <c r="AH1154" s="75"/>
      <c r="AK1154" s="75"/>
    </row>
    <row r="1155" spans="34:37" x14ac:dyDescent="0.25">
      <c r="AH1155" s="75"/>
      <c r="AK1155" s="75"/>
    </row>
    <row r="1156" spans="34:37" x14ac:dyDescent="0.25">
      <c r="AH1156" s="75"/>
      <c r="AK1156" s="75"/>
    </row>
    <row r="1157" spans="34:37" x14ac:dyDescent="0.25">
      <c r="AH1157" s="75"/>
      <c r="AK1157" s="75"/>
    </row>
    <row r="1158" spans="34:37" x14ac:dyDescent="0.25">
      <c r="AH1158" s="75"/>
      <c r="AK1158" s="75"/>
    </row>
    <row r="1159" spans="34:37" x14ac:dyDescent="0.25">
      <c r="AH1159" s="75"/>
      <c r="AK1159" s="75"/>
    </row>
    <row r="1160" spans="34:37" x14ac:dyDescent="0.25">
      <c r="AH1160" s="75"/>
      <c r="AK1160" s="75"/>
    </row>
    <row r="1161" spans="34:37" x14ac:dyDescent="0.25">
      <c r="AH1161" s="75"/>
      <c r="AK1161" s="75"/>
    </row>
    <row r="1162" spans="34:37" x14ac:dyDescent="0.25">
      <c r="AH1162" s="75"/>
      <c r="AK1162" s="75"/>
    </row>
    <row r="1163" spans="34:37" x14ac:dyDescent="0.25">
      <c r="AH1163" s="75"/>
      <c r="AK1163" s="75"/>
    </row>
    <row r="1164" spans="34:37" x14ac:dyDescent="0.25">
      <c r="AH1164" s="75"/>
      <c r="AK1164" s="75"/>
    </row>
    <row r="1165" spans="34:37" x14ac:dyDescent="0.25">
      <c r="AH1165" s="75"/>
      <c r="AK1165" s="75"/>
    </row>
    <row r="1166" spans="34:37" x14ac:dyDescent="0.25">
      <c r="AH1166" s="75"/>
      <c r="AK1166" s="75"/>
    </row>
    <row r="1167" spans="34:37" x14ac:dyDescent="0.25">
      <c r="AH1167" s="75"/>
      <c r="AK1167" s="75"/>
    </row>
    <row r="1168" spans="34:37" x14ac:dyDescent="0.25">
      <c r="AH1168" s="75"/>
      <c r="AK1168" s="75"/>
    </row>
    <row r="1169" spans="34:37" x14ac:dyDescent="0.25">
      <c r="AH1169" s="75"/>
      <c r="AK1169" s="75"/>
    </row>
    <row r="1170" spans="34:37" x14ac:dyDescent="0.25">
      <c r="AH1170" s="75"/>
      <c r="AK1170" s="75"/>
    </row>
    <row r="1171" spans="34:37" x14ac:dyDescent="0.25">
      <c r="AH1171" s="75"/>
      <c r="AK1171" s="75"/>
    </row>
    <row r="1172" spans="34:37" x14ac:dyDescent="0.25">
      <c r="AH1172" s="75"/>
      <c r="AK1172" s="75"/>
    </row>
    <row r="1173" spans="34:37" x14ac:dyDescent="0.25">
      <c r="AH1173" s="75"/>
      <c r="AK1173" s="75"/>
    </row>
    <row r="1174" spans="34:37" x14ac:dyDescent="0.25">
      <c r="AH1174" s="75"/>
      <c r="AK1174" s="75"/>
    </row>
    <row r="1175" spans="34:37" x14ac:dyDescent="0.25">
      <c r="AH1175" s="75"/>
      <c r="AK1175" s="75"/>
    </row>
    <row r="1176" spans="34:37" x14ac:dyDescent="0.25">
      <c r="AH1176" s="75"/>
      <c r="AK1176" s="75"/>
    </row>
    <row r="1177" spans="34:37" x14ac:dyDescent="0.25">
      <c r="AH1177" s="75"/>
      <c r="AK1177" s="75"/>
    </row>
    <row r="1178" spans="34:37" x14ac:dyDescent="0.25">
      <c r="AH1178" s="75"/>
      <c r="AK1178" s="75"/>
    </row>
    <row r="1179" spans="34:37" x14ac:dyDescent="0.25">
      <c r="AH1179" s="75"/>
      <c r="AK1179" s="75"/>
    </row>
    <row r="1180" spans="34:37" x14ac:dyDescent="0.25">
      <c r="AH1180" s="75"/>
      <c r="AK1180" s="75"/>
    </row>
    <row r="1181" spans="34:37" x14ac:dyDescent="0.25">
      <c r="AH1181" s="75"/>
      <c r="AK1181" s="75"/>
    </row>
    <row r="1182" spans="34:37" x14ac:dyDescent="0.25">
      <c r="AH1182" s="75"/>
      <c r="AK1182" s="75"/>
    </row>
    <row r="1183" spans="34:37" x14ac:dyDescent="0.25">
      <c r="AH1183" s="75"/>
      <c r="AK1183" s="75"/>
    </row>
    <row r="1184" spans="34:37" x14ac:dyDescent="0.25">
      <c r="AH1184" s="75"/>
      <c r="AK1184" s="75"/>
    </row>
    <row r="1185" spans="34:37" x14ac:dyDescent="0.25">
      <c r="AH1185" s="75"/>
      <c r="AK1185" s="75"/>
    </row>
    <row r="1186" spans="34:37" x14ac:dyDescent="0.25">
      <c r="AH1186" s="75"/>
      <c r="AK1186" s="75"/>
    </row>
    <row r="1187" spans="34:37" x14ac:dyDescent="0.25">
      <c r="AH1187" s="75"/>
      <c r="AK1187" s="75"/>
    </row>
    <row r="1188" spans="34:37" x14ac:dyDescent="0.25">
      <c r="AH1188" s="75"/>
      <c r="AK1188" s="75"/>
    </row>
    <row r="1189" spans="34:37" x14ac:dyDescent="0.25">
      <c r="AH1189" s="75"/>
      <c r="AK1189" s="75"/>
    </row>
    <row r="1190" spans="34:37" x14ac:dyDescent="0.25">
      <c r="AH1190" s="75"/>
      <c r="AK1190" s="75"/>
    </row>
    <row r="1191" spans="34:37" x14ac:dyDescent="0.25">
      <c r="AH1191" s="75"/>
      <c r="AK1191" s="75"/>
    </row>
    <row r="1192" spans="34:37" x14ac:dyDescent="0.25">
      <c r="AH1192" s="75"/>
      <c r="AK1192" s="75"/>
    </row>
    <row r="1193" spans="34:37" x14ac:dyDescent="0.25">
      <c r="AH1193" s="75"/>
      <c r="AK1193" s="75"/>
    </row>
    <row r="1194" spans="34:37" x14ac:dyDescent="0.25">
      <c r="AH1194" s="75"/>
      <c r="AK1194" s="75"/>
    </row>
    <row r="1195" spans="34:37" x14ac:dyDescent="0.25">
      <c r="AH1195" s="75"/>
      <c r="AK1195" s="75"/>
    </row>
    <row r="1196" spans="34:37" x14ac:dyDescent="0.25">
      <c r="AH1196" s="75"/>
      <c r="AK1196" s="75"/>
    </row>
    <row r="1197" spans="34:37" x14ac:dyDescent="0.25">
      <c r="AH1197" s="75"/>
      <c r="AK1197" s="75"/>
    </row>
    <row r="1198" spans="34:37" x14ac:dyDescent="0.25">
      <c r="AH1198" s="75"/>
      <c r="AK1198" s="75"/>
    </row>
    <row r="1199" spans="34:37" x14ac:dyDescent="0.25">
      <c r="AH1199" s="75"/>
      <c r="AK1199" s="75"/>
    </row>
    <row r="1200" spans="34:37" x14ac:dyDescent="0.25">
      <c r="AH1200" s="75"/>
      <c r="AK1200" s="75"/>
    </row>
    <row r="1201" spans="34:37" x14ac:dyDescent="0.25">
      <c r="AH1201" s="75"/>
      <c r="AK1201" s="75"/>
    </row>
    <row r="1202" spans="34:37" x14ac:dyDescent="0.25">
      <c r="AH1202" s="75"/>
      <c r="AK1202" s="75"/>
    </row>
    <row r="1203" spans="34:37" x14ac:dyDescent="0.25">
      <c r="AH1203" s="75"/>
      <c r="AK1203" s="75"/>
    </row>
    <row r="1204" spans="34:37" x14ac:dyDescent="0.25">
      <c r="AH1204" s="75"/>
      <c r="AK1204" s="75"/>
    </row>
    <row r="1205" spans="34:37" x14ac:dyDescent="0.25">
      <c r="AH1205" s="75"/>
      <c r="AK1205" s="75"/>
    </row>
    <row r="1206" spans="34:37" x14ac:dyDescent="0.25">
      <c r="AH1206" s="75"/>
      <c r="AK1206" s="75"/>
    </row>
    <row r="1207" spans="34:37" x14ac:dyDescent="0.25">
      <c r="AH1207" s="75"/>
      <c r="AK1207" s="75"/>
    </row>
    <row r="1208" spans="34:37" x14ac:dyDescent="0.25">
      <c r="AH1208" s="75"/>
      <c r="AK1208" s="75"/>
    </row>
    <row r="1209" spans="34:37" x14ac:dyDescent="0.25">
      <c r="AH1209" s="75"/>
      <c r="AK1209" s="75"/>
    </row>
    <row r="1210" spans="34:37" x14ac:dyDescent="0.25">
      <c r="AH1210" s="75"/>
      <c r="AK1210" s="75"/>
    </row>
    <row r="1211" spans="34:37" x14ac:dyDescent="0.25">
      <c r="AH1211" s="75"/>
      <c r="AK1211" s="75"/>
    </row>
    <row r="1212" spans="34:37" x14ac:dyDescent="0.25">
      <c r="AH1212" s="75"/>
      <c r="AK1212" s="75"/>
    </row>
    <row r="1213" spans="34:37" x14ac:dyDescent="0.25">
      <c r="AH1213" s="75"/>
      <c r="AK1213" s="75"/>
    </row>
    <row r="1214" spans="34:37" x14ac:dyDescent="0.25">
      <c r="AH1214" s="75"/>
      <c r="AK1214" s="75"/>
    </row>
    <row r="1215" spans="34:37" x14ac:dyDescent="0.25">
      <c r="AH1215" s="75"/>
      <c r="AK1215" s="75"/>
    </row>
    <row r="1216" spans="34:37" x14ac:dyDescent="0.25">
      <c r="AH1216" s="75"/>
      <c r="AK1216" s="75"/>
    </row>
    <row r="1217" spans="34:37" x14ac:dyDescent="0.25">
      <c r="AH1217" s="75"/>
      <c r="AK1217" s="75"/>
    </row>
    <row r="1218" spans="34:37" x14ac:dyDescent="0.25">
      <c r="AH1218" s="75"/>
      <c r="AK1218" s="75"/>
    </row>
    <row r="1219" spans="34:37" x14ac:dyDescent="0.25">
      <c r="AH1219" s="75"/>
      <c r="AK1219" s="75"/>
    </row>
    <row r="1220" spans="34:37" x14ac:dyDescent="0.25">
      <c r="AH1220" s="75"/>
      <c r="AK1220" s="75"/>
    </row>
    <row r="1221" spans="34:37" x14ac:dyDescent="0.25">
      <c r="AH1221" s="75"/>
      <c r="AK1221" s="75"/>
    </row>
    <row r="1222" spans="34:37" x14ac:dyDescent="0.25">
      <c r="AH1222" s="75"/>
      <c r="AK1222" s="75"/>
    </row>
    <row r="1223" spans="34:37" x14ac:dyDescent="0.25">
      <c r="AH1223" s="75"/>
      <c r="AK1223" s="75"/>
    </row>
    <row r="1224" spans="34:37" x14ac:dyDescent="0.25">
      <c r="AH1224" s="75"/>
      <c r="AK1224" s="75"/>
    </row>
    <row r="1225" spans="34:37" x14ac:dyDescent="0.25">
      <c r="AH1225" s="75"/>
      <c r="AK1225" s="75"/>
    </row>
    <row r="1226" spans="34:37" x14ac:dyDescent="0.25">
      <c r="AH1226" s="75"/>
      <c r="AK1226" s="75"/>
    </row>
    <row r="1227" spans="34:37" x14ac:dyDescent="0.25">
      <c r="AH1227" s="75"/>
      <c r="AK1227" s="75"/>
    </row>
    <row r="1228" spans="34:37" x14ac:dyDescent="0.25">
      <c r="AH1228" s="75"/>
      <c r="AK1228" s="75"/>
    </row>
    <row r="1229" spans="34:37" x14ac:dyDescent="0.25">
      <c r="AH1229" s="75"/>
      <c r="AK1229" s="75"/>
    </row>
    <row r="1230" spans="34:37" x14ac:dyDescent="0.25">
      <c r="AH1230" s="75"/>
      <c r="AK1230" s="75"/>
    </row>
    <row r="1231" spans="34:37" x14ac:dyDescent="0.25">
      <c r="AH1231" s="75"/>
      <c r="AK1231" s="75"/>
    </row>
    <row r="1232" spans="34:37" x14ac:dyDescent="0.25">
      <c r="AH1232" s="75"/>
      <c r="AK1232" s="75"/>
    </row>
    <row r="1233" spans="34:37" x14ac:dyDescent="0.25">
      <c r="AH1233" s="75"/>
      <c r="AK1233" s="75"/>
    </row>
    <row r="1234" spans="34:37" x14ac:dyDescent="0.25">
      <c r="AH1234" s="75"/>
      <c r="AK1234" s="75"/>
    </row>
    <row r="1235" spans="34:37" x14ac:dyDescent="0.25">
      <c r="AH1235" s="75"/>
      <c r="AK1235" s="75"/>
    </row>
    <row r="1236" spans="34:37" x14ac:dyDescent="0.25">
      <c r="AH1236" s="75"/>
      <c r="AK1236" s="75"/>
    </row>
    <row r="1237" spans="34:37" x14ac:dyDescent="0.25">
      <c r="AH1237" s="75"/>
      <c r="AK1237" s="75"/>
    </row>
    <row r="1238" spans="34:37" x14ac:dyDescent="0.25">
      <c r="AH1238" s="75"/>
      <c r="AK1238" s="75"/>
    </row>
    <row r="1239" spans="34:37" x14ac:dyDescent="0.25">
      <c r="AH1239" s="75"/>
      <c r="AK1239" s="75"/>
    </row>
    <row r="1240" spans="34:37" x14ac:dyDescent="0.25">
      <c r="AH1240" s="75"/>
      <c r="AK1240" s="75"/>
    </row>
    <row r="1241" spans="34:37" x14ac:dyDescent="0.25">
      <c r="AH1241" s="75"/>
      <c r="AK1241" s="75"/>
    </row>
    <row r="1242" spans="34:37" x14ac:dyDescent="0.25">
      <c r="AH1242" s="75"/>
      <c r="AK1242" s="75"/>
    </row>
    <row r="1243" spans="34:37" x14ac:dyDescent="0.25">
      <c r="AH1243" s="75"/>
      <c r="AK1243" s="75"/>
    </row>
    <row r="1244" spans="34:37" x14ac:dyDescent="0.25">
      <c r="AH1244" s="75"/>
      <c r="AK1244" s="75"/>
    </row>
    <row r="1245" spans="34:37" x14ac:dyDescent="0.25">
      <c r="AH1245" s="75"/>
      <c r="AK1245" s="75"/>
    </row>
    <row r="1246" spans="34:37" x14ac:dyDescent="0.25">
      <c r="AH1246" s="75"/>
      <c r="AK1246" s="75"/>
    </row>
    <row r="1247" spans="34:37" x14ac:dyDescent="0.25">
      <c r="AH1247" s="75"/>
      <c r="AK1247" s="75"/>
    </row>
    <row r="1248" spans="34:37" x14ac:dyDescent="0.25">
      <c r="AH1248" s="75"/>
      <c r="AK1248" s="75"/>
    </row>
    <row r="1249" spans="34:37" x14ac:dyDescent="0.25">
      <c r="AH1249" s="75"/>
      <c r="AK1249" s="75"/>
    </row>
    <row r="1250" spans="34:37" x14ac:dyDescent="0.25">
      <c r="AH1250" s="75"/>
      <c r="AK1250" s="75"/>
    </row>
    <row r="1251" spans="34:37" x14ac:dyDescent="0.25">
      <c r="AH1251" s="75"/>
      <c r="AK1251" s="75"/>
    </row>
    <row r="1252" spans="34:37" x14ac:dyDescent="0.25">
      <c r="AH1252" s="75"/>
      <c r="AK1252" s="75"/>
    </row>
    <row r="1253" spans="34:37" x14ac:dyDescent="0.25">
      <c r="AH1253" s="75"/>
      <c r="AK1253" s="75"/>
    </row>
    <row r="1254" spans="34:37" x14ac:dyDescent="0.25">
      <c r="AH1254" s="75"/>
      <c r="AK1254" s="75"/>
    </row>
    <row r="1255" spans="34:37" x14ac:dyDescent="0.25">
      <c r="AH1255" s="75"/>
      <c r="AK1255" s="75"/>
    </row>
    <row r="1256" spans="34:37" x14ac:dyDescent="0.25">
      <c r="AH1256" s="75"/>
      <c r="AK1256" s="75"/>
    </row>
    <row r="1257" spans="34:37" x14ac:dyDescent="0.25">
      <c r="AH1257" s="75"/>
      <c r="AK1257" s="75"/>
    </row>
    <row r="1258" spans="34:37" x14ac:dyDescent="0.25">
      <c r="AH1258" s="75"/>
      <c r="AK1258" s="75"/>
    </row>
    <row r="1259" spans="34:37" x14ac:dyDescent="0.25">
      <c r="AH1259" s="75"/>
      <c r="AK1259" s="75"/>
    </row>
    <row r="1260" spans="34:37" x14ac:dyDescent="0.25">
      <c r="AH1260" s="75"/>
      <c r="AK1260" s="75"/>
    </row>
    <row r="1261" spans="34:37" x14ac:dyDescent="0.25">
      <c r="AH1261" s="75"/>
      <c r="AK1261" s="75"/>
    </row>
    <row r="1262" spans="34:37" x14ac:dyDescent="0.25">
      <c r="AH1262" s="75"/>
      <c r="AK1262" s="75"/>
    </row>
    <row r="1263" spans="34:37" x14ac:dyDescent="0.25">
      <c r="AH1263" s="75"/>
      <c r="AK1263" s="75"/>
    </row>
    <row r="1264" spans="34:37" x14ac:dyDescent="0.25">
      <c r="AH1264" s="75"/>
      <c r="AK1264" s="75"/>
    </row>
    <row r="1265" spans="34:37" x14ac:dyDescent="0.25">
      <c r="AH1265" s="75"/>
      <c r="AK1265" s="75"/>
    </row>
    <row r="1266" spans="34:37" x14ac:dyDescent="0.25">
      <c r="AH1266" s="75"/>
      <c r="AK1266" s="75"/>
    </row>
    <row r="1267" spans="34:37" x14ac:dyDescent="0.25">
      <c r="AH1267" s="75"/>
      <c r="AK1267" s="75"/>
    </row>
    <row r="1268" spans="34:37" x14ac:dyDescent="0.25">
      <c r="AH1268" s="75"/>
      <c r="AK1268" s="75"/>
    </row>
    <row r="1269" spans="34:37" x14ac:dyDescent="0.25">
      <c r="AH1269" s="75"/>
      <c r="AK1269" s="75"/>
    </row>
    <row r="1270" spans="34:37" x14ac:dyDescent="0.25">
      <c r="AH1270" s="75"/>
      <c r="AK1270" s="75"/>
    </row>
    <row r="1271" spans="34:37" x14ac:dyDescent="0.25">
      <c r="AH1271" s="75"/>
      <c r="AK1271" s="75"/>
    </row>
    <row r="1272" spans="34:37" x14ac:dyDescent="0.25">
      <c r="AH1272" s="75"/>
      <c r="AK1272" s="75"/>
    </row>
    <row r="1273" spans="34:37" x14ac:dyDescent="0.25">
      <c r="AH1273" s="75"/>
      <c r="AK1273" s="75"/>
    </row>
    <row r="1274" spans="34:37" x14ac:dyDescent="0.25">
      <c r="AH1274" s="75"/>
      <c r="AK1274" s="75"/>
    </row>
    <row r="1275" spans="34:37" x14ac:dyDescent="0.25">
      <c r="AH1275" s="75"/>
      <c r="AK1275" s="75"/>
    </row>
    <row r="1276" spans="34:37" x14ac:dyDescent="0.25">
      <c r="AH1276" s="75"/>
      <c r="AK1276" s="75"/>
    </row>
    <row r="1277" spans="34:37" x14ac:dyDescent="0.25">
      <c r="AH1277" s="75"/>
      <c r="AK1277" s="75"/>
    </row>
    <row r="1278" spans="34:37" x14ac:dyDescent="0.25">
      <c r="AH1278" s="75"/>
      <c r="AK1278" s="75"/>
    </row>
    <row r="1279" spans="34:37" x14ac:dyDescent="0.25">
      <c r="AH1279" s="75"/>
      <c r="AK1279" s="75"/>
    </row>
    <row r="1280" spans="34:37" x14ac:dyDescent="0.25">
      <c r="AH1280" s="75"/>
      <c r="AK1280" s="75"/>
    </row>
    <row r="1281" spans="34:37" x14ac:dyDescent="0.25">
      <c r="AH1281" s="75"/>
      <c r="AK1281" s="75"/>
    </row>
    <row r="1282" spans="34:37" x14ac:dyDescent="0.25">
      <c r="AH1282" s="75"/>
      <c r="AK1282" s="75"/>
    </row>
    <row r="1283" spans="34:37" x14ac:dyDescent="0.25">
      <c r="AH1283" s="75"/>
      <c r="AK1283" s="75"/>
    </row>
    <row r="1284" spans="34:37" x14ac:dyDescent="0.25">
      <c r="AH1284" s="75"/>
      <c r="AK1284" s="75"/>
    </row>
    <row r="1285" spans="34:37" x14ac:dyDescent="0.25">
      <c r="AH1285" s="75"/>
      <c r="AK1285" s="75"/>
    </row>
    <row r="1286" spans="34:37" x14ac:dyDescent="0.25">
      <c r="AH1286" s="75"/>
      <c r="AK1286" s="75"/>
    </row>
    <row r="1287" spans="34:37" x14ac:dyDescent="0.25">
      <c r="AH1287" s="75"/>
      <c r="AK1287" s="75"/>
    </row>
    <row r="1288" spans="34:37" x14ac:dyDescent="0.25">
      <c r="AH1288" s="75"/>
      <c r="AK1288" s="75"/>
    </row>
    <row r="1289" spans="34:37" x14ac:dyDescent="0.25">
      <c r="AH1289" s="75"/>
      <c r="AK1289" s="75"/>
    </row>
    <row r="1290" spans="34:37" x14ac:dyDescent="0.25">
      <c r="AH1290" s="75"/>
      <c r="AK1290" s="75"/>
    </row>
    <row r="1291" spans="34:37" x14ac:dyDescent="0.25">
      <c r="AH1291" s="75"/>
      <c r="AK1291" s="75"/>
    </row>
    <row r="1292" spans="34:37" x14ac:dyDescent="0.25">
      <c r="AH1292" s="75"/>
      <c r="AK1292" s="75"/>
    </row>
    <row r="1293" spans="34:37" x14ac:dyDescent="0.25">
      <c r="AH1293" s="75"/>
      <c r="AK1293" s="75"/>
    </row>
    <row r="1294" spans="34:37" x14ac:dyDescent="0.25">
      <c r="AH1294" s="75"/>
      <c r="AK1294" s="75"/>
    </row>
    <row r="1295" spans="34:37" x14ac:dyDescent="0.25">
      <c r="AH1295" s="75"/>
      <c r="AK1295" s="75"/>
    </row>
    <row r="1296" spans="34:37" x14ac:dyDescent="0.25">
      <c r="AH1296" s="75"/>
      <c r="AK1296" s="75"/>
    </row>
    <row r="1297" spans="34:37" x14ac:dyDescent="0.25">
      <c r="AH1297" s="75"/>
      <c r="AK1297" s="75"/>
    </row>
    <row r="1298" spans="34:37" x14ac:dyDescent="0.25">
      <c r="AH1298" s="75"/>
      <c r="AK1298" s="75"/>
    </row>
    <row r="1299" spans="34:37" x14ac:dyDescent="0.25">
      <c r="AH1299" s="75"/>
      <c r="AK1299" s="75"/>
    </row>
    <row r="1300" spans="34:37" x14ac:dyDescent="0.25">
      <c r="AH1300" s="75"/>
      <c r="AK1300" s="75"/>
    </row>
    <row r="1301" spans="34:37" x14ac:dyDescent="0.25">
      <c r="AH1301" s="75"/>
      <c r="AK1301" s="75"/>
    </row>
    <row r="1302" spans="34:37" x14ac:dyDescent="0.25">
      <c r="AH1302" s="75"/>
      <c r="AK1302" s="75"/>
    </row>
    <row r="1303" spans="34:37" x14ac:dyDescent="0.25">
      <c r="AH1303" s="75"/>
      <c r="AK1303" s="75"/>
    </row>
    <row r="1304" spans="34:37" x14ac:dyDescent="0.25">
      <c r="AH1304" s="75"/>
      <c r="AK1304" s="75"/>
    </row>
    <row r="1305" spans="34:37" x14ac:dyDescent="0.25">
      <c r="AH1305" s="75"/>
      <c r="AK1305" s="75"/>
    </row>
    <row r="1306" spans="34:37" x14ac:dyDescent="0.25">
      <c r="AH1306" s="75"/>
      <c r="AK1306" s="75"/>
    </row>
    <row r="1307" spans="34:37" x14ac:dyDescent="0.25">
      <c r="AH1307" s="75"/>
      <c r="AK1307" s="75"/>
    </row>
    <row r="1308" spans="34:37" x14ac:dyDescent="0.25">
      <c r="AH1308" s="75"/>
      <c r="AK1308" s="75"/>
    </row>
    <row r="1309" spans="34:37" x14ac:dyDescent="0.25">
      <c r="AH1309" s="75"/>
      <c r="AK1309" s="75"/>
    </row>
    <row r="1310" spans="34:37" x14ac:dyDescent="0.25">
      <c r="AH1310" s="75"/>
      <c r="AK1310" s="75"/>
    </row>
    <row r="1311" spans="34:37" x14ac:dyDescent="0.25">
      <c r="AH1311" s="75"/>
      <c r="AK1311" s="75"/>
    </row>
    <row r="1312" spans="34:37" x14ac:dyDescent="0.25">
      <c r="AH1312" s="75"/>
      <c r="AK1312" s="75"/>
    </row>
    <row r="1313" spans="34:37" x14ac:dyDescent="0.25">
      <c r="AH1313" s="75"/>
      <c r="AK1313" s="75"/>
    </row>
    <row r="1314" spans="34:37" x14ac:dyDescent="0.25">
      <c r="AH1314" s="75"/>
      <c r="AK1314" s="75"/>
    </row>
    <row r="1315" spans="34:37" x14ac:dyDescent="0.25">
      <c r="AH1315" s="75"/>
      <c r="AK1315" s="75"/>
    </row>
    <row r="1316" spans="34:37" x14ac:dyDescent="0.25">
      <c r="AH1316" s="75"/>
      <c r="AK1316" s="75"/>
    </row>
    <row r="1317" spans="34:37" x14ac:dyDescent="0.25">
      <c r="AH1317" s="75"/>
      <c r="AK1317" s="75"/>
    </row>
    <row r="1318" spans="34:37" x14ac:dyDescent="0.25">
      <c r="AH1318" s="75"/>
      <c r="AK1318" s="75"/>
    </row>
    <row r="1319" spans="34:37" x14ac:dyDescent="0.25">
      <c r="AH1319" s="75"/>
      <c r="AK1319" s="75"/>
    </row>
    <row r="1320" spans="34:37" x14ac:dyDescent="0.25">
      <c r="AH1320" s="75"/>
      <c r="AK1320" s="75"/>
    </row>
    <row r="1321" spans="34:37" x14ac:dyDescent="0.25">
      <c r="AH1321" s="75"/>
      <c r="AK1321" s="75"/>
    </row>
    <row r="1322" spans="34:37" x14ac:dyDescent="0.25">
      <c r="AH1322" s="75"/>
      <c r="AK1322" s="75"/>
    </row>
    <row r="1323" spans="34:37" x14ac:dyDescent="0.25">
      <c r="AH1323" s="75"/>
      <c r="AK1323" s="75"/>
    </row>
    <row r="1324" spans="34:37" x14ac:dyDescent="0.25">
      <c r="AH1324" s="75"/>
      <c r="AK1324" s="75"/>
    </row>
    <row r="1325" spans="34:37" x14ac:dyDescent="0.25">
      <c r="AH1325" s="75"/>
      <c r="AK1325" s="75"/>
    </row>
    <row r="1326" spans="34:37" x14ac:dyDescent="0.25">
      <c r="AH1326" s="75"/>
      <c r="AK1326" s="75"/>
    </row>
    <row r="1327" spans="34:37" x14ac:dyDescent="0.25">
      <c r="AH1327" s="75"/>
      <c r="AK1327" s="75"/>
    </row>
    <row r="1328" spans="34:37" x14ac:dyDescent="0.25">
      <c r="AH1328" s="75"/>
      <c r="AK1328" s="75"/>
    </row>
    <row r="1329" spans="34:37" x14ac:dyDescent="0.25">
      <c r="AH1329" s="75"/>
      <c r="AK1329" s="75"/>
    </row>
    <row r="1330" spans="34:37" x14ac:dyDescent="0.25">
      <c r="AH1330" s="75"/>
      <c r="AK1330" s="75"/>
    </row>
    <row r="1331" spans="34:37" x14ac:dyDescent="0.25">
      <c r="AH1331" s="75"/>
      <c r="AK1331" s="75"/>
    </row>
    <row r="1332" spans="34:37" x14ac:dyDescent="0.25">
      <c r="AH1332" s="75"/>
      <c r="AK1332" s="75"/>
    </row>
    <row r="1333" spans="34:37" x14ac:dyDescent="0.25">
      <c r="AH1333" s="75"/>
      <c r="AK1333" s="75"/>
    </row>
    <row r="1334" spans="34:37" x14ac:dyDescent="0.25">
      <c r="AH1334" s="75"/>
      <c r="AK1334" s="75"/>
    </row>
    <row r="1335" spans="34:37" x14ac:dyDescent="0.25">
      <c r="AH1335" s="75"/>
      <c r="AK1335" s="75"/>
    </row>
    <row r="1336" spans="34:37" x14ac:dyDescent="0.25">
      <c r="AH1336" s="75"/>
      <c r="AK1336" s="75"/>
    </row>
    <row r="1337" spans="34:37" x14ac:dyDescent="0.25">
      <c r="AH1337" s="75"/>
      <c r="AK1337" s="75"/>
    </row>
    <row r="1338" spans="34:37" x14ac:dyDescent="0.25">
      <c r="AH1338" s="75"/>
      <c r="AK1338" s="75"/>
    </row>
    <row r="1339" spans="34:37" x14ac:dyDescent="0.25">
      <c r="AH1339" s="75"/>
      <c r="AK1339" s="75"/>
    </row>
    <row r="1340" spans="34:37" x14ac:dyDescent="0.25">
      <c r="AH1340" s="75"/>
      <c r="AK1340" s="75"/>
    </row>
    <row r="1341" spans="34:37" x14ac:dyDescent="0.25">
      <c r="AH1341" s="75"/>
      <c r="AK1341" s="75"/>
    </row>
    <row r="1342" spans="34:37" x14ac:dyDescent="0.25">
      <c r="AH1342" s="75"/>
      <c r="AK1342" s="75"/>
    </row>
    <row r="1343" spans="34:37" x14ac:dyDescent="0.25">
      <c r="AH1343" s="75"/>
      <c r="AK1343" s="75"/>
    </row>
    <row r="1344" spans="34:37" x14ac:dyDescent="0.25">
      <c r="AH1344" s="75"/>
      <c r="AK1344" s="75"/>
    </row>
    <row r="1345" spans="34:37" x14ac:dyDescent="0.25">
      <c r="AH1345" s="75"/>
      <c r="AK1345" s="75"/>
    </row>
    <row r="1346" spans="34:37" x14ac:dyDescent="0.25">
      <c r="AH1346" s="75"/>
      <c r="AK1346" s="75"/>
    </row>
    <row r="1347" spans="34:37" x14ac:dyDescent="0.25">
      <c r="AH1347" s="75"/>
      <c r="AK1347" s="75"/>
    </row>
    <row r="1348" spans="34:37" x14ac:dyDescent="0.25">
      <c r="AH1348" s="75"/>
      <c r="AK1348" s="75"/>
    </row>
    <row r="1349" spans="34:37" x14ac:dyDescent="0.25">
      <c r="AH1349" s="75"/>
      <c r="AK1349" s="75"/>
    </row>
    <row r="1350" spans="34:37" x14ac:dyDescent="0.25">
      <c r="AH1350" s="75"/>
      <c r="AK1350" s="75"/>
    </row>
    <row r="1351" spans="34:37" x14ac:dyDescent="0.25">
      <c r="AH1351" s="75"/>
      <c r="AK1351" s="75"/>
    </row>
    <row r="1352" spans="34:37" x14ac:dyDescent="0.25">
      <c r="AH1352" s="75"/>
      <c r="AK1352" s="75"/>
    </row>
    <row r="1353" spans="34:37" x14ac:dyDescent="0.25">
      <c r="AH1353" s="75"/>
      <c r="AK1353" s="75"/>
    </row>
    <row r="1354" spans="34:37" x14ac:dyDescent="0.25">
      <c r="AH1354" s="75"/>
      <c r="AK1354" s="75"/>
    </row>
    <row r="1355" spans="34:37" x14ac:dyDescent="0.25">
      <c r="AH1355" s="75"/>
      <c r="AK1355" s="75"/>
    </row>
    <row r="1356" spans="34:37" x14ac:dyDescent="0.25">
      <c r="AH1356" s="75"/>
      <c r="AK1356" s="75"/>
    </row>
    <row r="1357" spans="34:37" x14ac:dyDescent="0.25">
      <c r="AH1357" s="75"/>
      <c r="AK1357" s="75"/>
    </row>
    <row r="1358" spans="34:37" x14ac:dyDescent="0.25">
      <c r="AH1358" s="75"/>
      <c r="AK1358" s="75"/>
    </row>
    <row r="1359" spans="34:37" x14ac:dyDescent="0.25">
      <c r="AH1359" s="75"/>
      <c r="AK1359" s="75"/>
    </row>
    <row r="1360" spans="34:37" x14ac:dyDescent="0.25">
      <c r="AH1360" s="75"/>
      <c r="AK1360" s="75"/>
    </row>
    <row r="1361" spans="34:37" x14ac:dyDescent="0.25">
      <c r="AH1361" s="75"/>
      <c r="AK1361" s="75"/>
    </row>
    <row r="1362" spans="34:37" x14ac:dyDescent="0.25">
      <c r="AH1362" s="75"/>
      <c r="AK1362" s="75"/>
    </row>
    <row r="1363" spans="34:37" x14ac:dyDescent="0.25">
      <c r="AH1363" s="75"/>
      <c r="AK1363" s="75"/>
    </row>
    <row r="1364" spans="34:37" x14ac:dyDescent="0.25">
      <c r="AH1364" s="75"/>
      <c r="AK1364" s="75"/>
    </row>
    <row r="1365" spans="34:37" x14ac:dyDescent="0.25">
      <c r="AH1365" s="75"/>
      <c r="AK1365" s="75"/>
    </row>
    <row r="1366" spans="34:37" x14ac:dyDescent="0.25">
      <c r="AH1366" s="75"/>
      <c r="AK1366" s="75"/>
    </row>
    <row r="1367" spans="34:37" x14ac:dyDescent="0.25">
      <c r="AH1367" s="75"/>
      <c r="AK1367" s="75"/>
    </row>
    <row r="1368" spans="34:37" x14ac:dyDescent="0.25">
      <c r="AH1368" s="75"/>
      <c r="AK1368" s="75"/>
    </row>
    <row r="1369" spans="34:37" x14ac:dyDescent="0.25">
      <c r="AH1369" s="75"/>
      <c r="AK1369" s="75"/>
    </row>
    <row r="1370" spans="34:37" x14ac:dyDescent="0.25">
      <c r="AH1370" s="75"/>
      <c r="AK1370" s="75"/>
    </row>
    <row r="1371" spans="34:37" x14ac:dyDescent="0.25">
      <c r="AH1371" s="75"/>
      <c r="AK1371" s="75"/>
    </row>
    <row r="1372" spans="34:37" x14ac:dyDescent="0.25">
      <c r="AH1372" s="75"/>
      <c r="AK1372" s="75"/>
    </row>
    <row r="1373" spans="34:37" x14ac:dyDescent="0.25">
      <c r="AH1373" s="75"/>
      <c r="AK1373" s="75"/>
    </row>
    <row r="1374" spans="34:37" x14ac:dyDescent="0.25">
      <c r="AH1374" s="75"/>
      <c r="AK1374" s="75"/>
    </row>
    <row r="1375" spans="34:37" x14ac:dyDescent="0.25">
      <c r="AH1375" s="75"/>
      <c r="AK1375" s="75"/>
    </row>
    <row r="1376" spans="34:37" x14ac:dyDescent="0.25">
      <c r="AH1376" s="75"/>
      <c r="AK1376" s="75"/>
    </row>
    <row r="1377" spans="34:37" x14ac:dyDescent="0.25">
      <c r="AH1377" s="75"/>
      <c r="AK1377" s="75"/>
    </row>
    <row r="1378" spans="34:37" x14ac:dyDescent="0.25">
      <c r="AH1378" s="75"/>
      <c r="AK1378" s="75"/>
    </row>
    <row r="1379" spans="34:37" x14ac:dyDescent="0.25">
      <c r="AH1379" s="75"/>
      <c r="AK1379" s="75"/>
    </row>
    <row r="1380" spans="34:37" x14ac:dyDescent="0.25">
      <c r="AH1380" s="75"/>
      <c r="AK1380" s="75"/>
    </row>
    <row r="1381" spans="34:37" x14ac:dyDescent="0.25">
      <c r="AH1381" s="75"/>
      <c r="AK1381" s="75"/>
    </row>
    <row r="1382" spans="34:37" x14ac:dyDescent="0.25">
      <c r="AH1382" s="75"/>
      <c r="AK1382" s="75"/>
    </row>
    <row r="1383" spans="34:37" x14ac:dyDescent="0.25">
      <c r="AH1383" s="75"/>
      <c r="AK1383" s="75"/>
    </row>
    <row r="1384" spans="34:37" x14ac:dyDescent="0.25">
      <c r="AH1384" s="75"/>
      <c r="AK1384" s="75"/>
    </row>
    <row r="1385" spans="34:37" x14ac:dyDescent="0.25">
      <c r="AH1385" s="75"/>
      <c r="AK1385" s="75"/>
    </row>
    <row r="1386" spans="34:37" x14ac:dyDescent="0.25">
      <c r="AH1386" s="75"/>
      <c r="AK1386" s="75"/>
    </row>
    <row r="1387" spans="34:37" x14ac:dyDescent="0.25">
      <c r="AH1387" s="75"/>
      <c r="AK1387" s="75"/>
    </row>
    <row r="1388" spans="34:37" x14ac:dyDescent="0.25">
      <c r="AH1388" s="75"/>
      <c r="AK1388" s="75"/>
    </row>
    <row r="1389" spans="34:37" x14ac:dyDescent="0.25">
      <c r="AH1389" s="75"/>
      <c r="AK1389" s="75"/>
    </row>
    <row r="1390" spans="34:37" x14ac:dyDescent="0.25">
      <c r="AH1390" s="75"/>
      <c r="AK1390" s="75"/>
    </row>
    <row r="1391" spans="34:37" x14ac:dyDescent="0.25">
      <c r="AH1391" s="75"/>
      <c r="AK1391" s="75"/>
    </row>
    <row r="1392" spans="34:37" x14ac:dyDescent="0.25">
      <c r="AH1392" s="75"/>
      <c r="AK1392" s="75"/>
    </row>
    <row r="1393" spans="34:37" x14ac:dyDescent="0.25">
      <c r="AH1393" s="75"/>
      <c r="AK1393" s="75"/>
    </row>
    <row r="1394" spans="34:37" x14ac:dyDescent="0.25">
      <c r="AH1394" s="75"/>
      <c r="AK1394" s="75"/>
    </row>
    <row r="1395" spans="34:37" x14ac:dyDescent="0.25">
      <c r="AH1395" s="75"/>
      <c r="AK1395" s="75"/>
    </row>
    <row r="1396" spans="34:37" x14ac:dyDescent="0.25">
      <c r="AH1396" s="75"/>
      <c r="AK1396" s="75"/>
    </row>
    <row r="1397" spans="34:37" x14ac:dyDescent="0.25">
      <c r="AH1397" s="75"/>
      <c r="AK1397" s="75"/>
    </row>
    <row r="1398" spans="34:37" x14ac:dyDescent="0.25">
      <c r="AH1398" s="75"/>
      <c r="AK1398" s="75"/>
    </row>
    <row r="1399" spans="34:37" x14ac:dyDescent="0.25">
      <c r="AH1399" s="75"/>
      <c r="AK1399" s="75"/>
    </row>
    <row r="1400" spans="34:37" x14ac:dyDescent="0.25">
      <c r="AH1400" s="75"/>
      <c r="AK1400" s="75"/>
    </row>
    <row r="1401" spans="34:37" x14ac:dyDescent="0.25">
      <c r="AH1401" s="75"/>
      <c r="AK1401" s="75"/>
    </row>
    <row r="1402" spans="34:37" x14ac:dyDescent="0.25">
      <c r="AH1402" s="75"/>
      <c r="AK1402" s="75"/>
    </row>
    <row r="1403" spans="34:37" x14ac:dyDescent="0.25">
      <c r="AH1403" s="75"/>
      <c r="AK1403" s="75"/>
    </row>
    <row r="1404" spans="34:37" x14ac:dyDescent="0.25">
      <c r="AH1404" s="75"/>
      <c r="AK1404" s="75"/>
    </row>
    <row r="1405" spans="34:37" x14ac:dyDescent="0.25">
      <c r="AH1405" s="75"/>
      <c r="AK1405" s="75"/>
    </row>
    <row r="1406" spans="34:37" x14ac:dyDescent="0.25">
      <c r="AH1406" s="75"/>
      <c r="AK1406" s="75"/>
    </row>
    <row r="1407" spans="34:37" x14ac:dyDescent="0.25">
      <c r="AH1407" s="75"/>
      <c r="AK1407" s="75"/>
    </row>
    <row r="1408" spans="34:37" x14ac:dyDescent="0.25">
      <c r="AH1408" s="75"/>
      <c r="AK1408" s="75"/>
    </row>
    <row r="1409" spans="34:37" x14ac:dyDescent="0.25">
      <c r="AH1409" s="75"/>
      <c r="AK1409" s="75"/>
    </row>
    <row r="1410" spans="34:37" x14ac:dyDescent="0.25">
      <c r="AH1410" s="75"/>
      <c r="AK1410" s="75"/>
    </row>
    <row r="1411" spans="34:37" x14ac:dyDescent="0.25">
      <c r="AH1411" s="75"/>
      <c r="AK1411" s="75"/>
    </row>
    <row r="1412" spans="34:37" x14ac:dyDescent="0.25">
      <c r="AH1412" s="75"/>
      <c r="AK1412" s="75"/>
    </row>
    <row r="1413" spans="34:37" x14ac:dyDescent="0.25">
      <c r="AH1413" s="75"/>
      <c r="AK1413" s="75"/>
    </row>
    <row r="1414" spans="34:37" x14ac:dyDescent="0.25">
      <c r="AH1414" s="75"/>
      <c r="AK1414" s="75"/>
    </row>
    <row r="1415" spans="34:37" x14ac:dyDescent="0.25">
      <c r="AH1415" s="75"/>
      <c r="AK1415" s="75"/>
    </row>
    <row r="1416" spans="34:37" x14ac:dyDescent="0.25">
      <c r="AH1416" s="75"/>
      <c r="AK1416" s="75"/>
    </row>
    <row r="1417" spans="34:37" x14ac:dyDescent="0.25">
      <c r="AH1417" s="75"/>
      <c r="AK1417" s="75"/>
    </row>
    <row r="1418" spans="34:37" x14ac:dyDescent="0.25">
      <c r="AH1418" s="75"/>
      <c r="AK1418" s="75"/>
    </row>
    <row r="1419" spans="34:37" x14ac:dyDescent="0.25">
      <c r="AH1419" s="75"/>
      <c r="AK1419" s="75"/>
    </row>
    <row r="1420" spans="34:37" x14ac:dyDescent="0.25">
      <c r="AH1420" s="75"/>
      <c r="AK1420" s="75"/>
    </row>
    <row r="1421" spans="34:37" x14ac:dyDescent="0.25">
      <c r="AH1421" s="75"/>
      <c r="AK1421" s="75"/>
    </row>
    <row r="1422" spans="34:37" x14ac:dyDescent="0.25">
      <c r="AH1422" s="75"/>
      <c r="AK1422" s="75"/>
    </row>
    <row r="1423" spans="34:37" x14ac:dyDescent="0.25">
      <c r="AH1423" s="75"/>
      <c r="AK1423" s="75"/>
    </row>
    <row r="1424" spans="34:37" x14ac:dyDescent="0.25">
      <c r="AH1424" s="75"/>
      <c r="AK1424" s="75"/>
    </row>
    <row r="1425" spans="34:37" x14ac:dyDescent="0.25">
      <c r="AH1425" s="75"/>
      <c r="AK1425" s="75"/>
    </row>
    <row r="1426" spans="34:37" x14ac:dyDescent="0.25">
      <c r="AH1426" s="75"/>
      <c r="AK1426" s="75"/>
    </row>
    <row r="1427" spans="34:37" x14ac:dyDescent="0.25">
      <c r="AH1427" s="75"/>
      <c r="AK1427" s="75"/>
    </row>
    <row r="1428" spans="34:37" x14ac:dyDescent="0.25">
      <c r="AH1428" s="75"/>
      <c r="AK1428" s="75"/>
    </row>
    <row r="1429" spans="34:37" x14ac:dyDescent="0.25">
      <c r="AH1429" s="75"/>
      <c r="AK1429" s="75"/>
    </row>
    <row r="1430" spans="34:37" x14ac:dyDescent="0.25">
      <c r="AH1430" s="75"/>
      <c r="AK1430" s="75"/>
    </row>
    <row r="1431" spans="34:37" x14ac:dyDescent="0.25">
      <c r="AH1431" s="75"/>
      <c r="AK1431" s="75"/>
    </row>
    <row r="1432" spans="34:37" x14ac:dyDescent="0.25">
      <c r="AH1432" s="75"/>
      <c r="AK1432" s="75"/>
    </row>
    <row r="1433" spans="34:37" x14ac:dyDescent="0.25">
      <c r="AH1433" s="75"/>
      <c r="AK1433" s="75"/>
    </row>
    <row r="1434" spans="34:37" x14ac:dyDescent="0.25">
      <c r="AH1434" s="75"/>
      <c r="AK1434" s="75"/>
    </row>
    <row r="1435" spans="34:37" x14ac:dyDescent="0.25">
      <c r="AH1435" s="75"/>
      <c r="AK1435" s="75"/>
    </row>
    <row r="1436" spans="34:37" x14ac:dyDescent="0.25">
      <c r="AH1436" s="75"/>
      <c r="AK1436" s="75"/>
    </row>
    <row r="1437" spans="34:37" x14ac:dyDescent="0.25">
      <c r="AH1437" s="75"/>
      <c r="AK1437" s="75"/>
    </row>
    <row r="1438" spans="34:37" x14ac:dyDescent="0.25">
      <c r="AH1438" s="75"/>
      <c r="AK1438" s="75"/>
    </row>
    <row r="1439" spans="34:37" x14ac:dyDescent="0.25">
      <c r="AH1439" s="75"/>
      <c r="AK1439" s="75"/>
    </row>
    <row r="1440" spans="34:37" x14ac:dyDescent="0.25">
      <c r="AH1440" s="75"/>
      <c r="AK1440" s="75"/>
    </row>
    <row r="1441" spans="34:37" x14ac:dyDescent="0.25">
      <c r="AH1441" s="75"/>
      <c r="AK1441" s="75"/>
    </row>
    <row r="1442" spans="34:37" x14ac:dyDescent="0.25">
      <c r="AH1442" s="75"/>
      <c r="AK1442" s="75"/>
    </row>
    <row r="1443" spans="34:37" x14ac:dyDescent="0.25">
      <c r="AH1443" s="75"/>
      <c r="AK1443" s="75"/>
    </row>
    <row r="1444" spans="34:37" x14ac:dyDescent="0.25">
      <c r="AH1444" s="75"/>
      <c r="AK1444" s="75"/>
    </row>
    <row r="1445" spans="34:37" x14ac:dyDescent="0.25">
      <c r="AH1445" s="75"/>
      <c r="AK1445" s="75"/>
    </row>
    <row r="1446" spans="34:37" x14ac:dyDescent="0.25">
      <c r="AH1446" s="75"/>
      <c r="AK1446" s="75"/>
    </row>
    <row r="1447" spans="34:37" x14ac:dyDescent="0.25">
      <c r="AH1447" s="75"/>
      <c r="AK1447" s="75"/>
    </row>
    <row r="1448" spans="34:37" x14ac:dyDescent="0.25">
      <c r="AH1448" s="75"/>
      <c r="AK1448" s="75"/>
    </row>
    <row r="1449" spans="34:37" x14ac:dyDescent="0.25">
      <c r="AH1449" s="75"/>
      <c r="AK1449" s="75"/>
    </row>
    <row r="1450" spans="34:37" x14ac:dyDescent="0.25">
      <c r="AH1450" s="75"/>
      <c r="AK1450" s="75"/>
    </row>
    <row r="1451" spans="34:37" x14ac:dyDescent="0.25">
      <c r="AH1451" s="75"/>
      <c r="AK1451" s="75"/>
    </row>
    <row r="1452" spans="34:37" x14ac:dyDescent="0.25">
      <c r="AH1452" s="75"/>
      <c r="AK1452" s="75"/>
    </row>
    <row r="1453" spans="34:37" x14ac:dyDescent="0.25">
      <c r="AH1453" s="75"/>
      <c r="AK1453" s="75"/>
    </row>
    <row r="1454" spans="34:37" x14ac:dyDescent="0.25">
      <c r="AH1454" s="75"/>
      <c r="AK1454" s="75"/>
    </row>
    <row r="1455" spans="34:37" x14ac:dyDescent="0.25">
      <c r="AH1455" s="75"/>
      <c r="AK1455" s="75"/>
    </row>
    <row r="1456" spans="34:37" x14ac:dyDescent="0.25">
      <c r="AH1456" s="75"/>
      <c r="AK1456" s="75"/>
    </row>
    <row r="1457" spans="34:37" x14ac:dyDescent="0.25">
      <c r="AH1457" s="75"/>
      <c r="AK1457" s="75"/>
    </row>
    <row r="1458" spans="34:37" x14ac:dyDescent="0.25">
      <c r="AH1458" s="75"/>
      <c r="AK1458" s="75"/>
    </row>
    <row r="1459" spans="34:37" x14ac:dyDescent="0.25">
      <c r="AH1459" s="75"/>
      <c r="AK1459" s="75"/>
    </row>
    <row r="1460" spans="34:37" x14ac:dyDescent="0.25">
      <c r="AH1460" s="75"/>
      <c r="AK1460" s="75"/>
    </row>
    <row r="1461" spans="34:37" x14ac:dyDescent="0.25">
      <c r="AH1461" s="75"/>
      <c r="AK1461" s="75"/>
    </row>
    <row r="1462" spans="34:37" x14ac:dyDescent="0.25">
      <c r="AH1462" s="75"/>
      <c r="AK1462" s="75"/>
    </row>
    <row r="1463" spans="34:37" x14ac:dyDescent="0.25">
      <c r="AH1463" s="75"/>
      <c r="AK1463" s="75"/>
    </row>
    <row r="1464" spans="34:37" x14ac:dyDescent="0.25">
      <c r="AH1464" s="75"/>
      <c r="AK1464" s="75"/>
    </row>
    <row r="1465" spans="34:37" x14ac:dyDescent="0.25">
      <c r="AH1465" s="75"/>
      <c r="AK1465" s="75"/>
    </row>
    <row r="1466" spans="34:37" x14ac:dyDescent="0.25">
      <c r="AH1466" s="75"/>
      <c r="AK1466" s="75"/>
    </row>
    <row r="1467" spans="34:37" x14ac:dyDescent="0.25">
      <c r="AH1467" s="75"/>
      <c r="AK1467" s="75"/>
    </row>
    <row r="1468" spans="34:37" x14ac:dyDescent="0.25">
      <c r="AH1468" s="75"/>
      <c r="AK1468" s="75"/>
    </row>
    <row r="1469" spans="34:37" x14ac:dyDescent="0.25">
      <c r="AH1469" s="75"/>
      <c r="AK1469" s="75"/>
    </row>
    <row r="1470" spans="34:37" x14ac:dyDescent="0.25">
      <c r="AH1470" s="75"/>
      <c r="AK1470" s="75"/>
    </row>
    <row r="1471" spans="34:37" x14ac:dyDescent="0.25">
      <c r="AH1471" s="75"/>
      <c r="AK1471" s="75"/>
    </row>
    <row r="1472" spans="34:37" x14ac:dyDescent="0.25">
      <c r="AH1472" s="75"/>
      <c r="AK1472" s="75"/>
    </row>
    <row r="1473" spans="34:37" x14ac:dyDescent="0.25">
      <c r="AH1473" s="75"/>
      <c r="AK1473" s="75"/>
    </row>
    <row r="1474" spans="34:37" x14ac:dyDescent="0.25">
      <c r="AH1474" s="75"/>
      <c r="AK1474" s="75"/>
    </row>
    <row r="1475" spans="34:37" x14ac:dyDescent="0.25">
      <c r="AH1475" s="75"/>
      <c r="AK1475" s="75"/>
    </row>
    <row r="1476" spans="34:37" x14ac:dyDescent="0.25">
      <c r="AH1476" s="75"/>
      <c r="AK1476" s="75"/>
    </row>
    <row r="1477" spans="34:37" x14ac:dyDescent="0.25">
      <c r="AH1477" s="75"/>
      <c r="AK1477" s="75"/>
    </row>
    <row r="1478" spans="34:37" x14ac:dyDescent="0.25">
      <c r="AH1478" s="75"/>
      <c r="AK1478" s="75"/>
    </row>
    <row r="1479" spans="34:37" x14ac:dyDescent="0.25">
      <c r="AH1479" s="75"/>
      <c r="AK1479" s="75"/>
    </row>
    <row r="1480" spans="34:37" x14ac:dyDescent="0.25">
      <c r="AH1480" s="75"/>
      <c r="AK1480" s="75"/>
    </row>
    <row r="1481" spans="34:37" x14ac:dyDescent="0.25">
      <c r="AH1481" s="75"/>
      <c r="AK1481" s="75"/>
    </row>
    <row r="1482" spans="34:37" x14ac:dyDescent="0.25">
      <c r="AH1482" s="75"/>
      <c r="AK1482" s="75"/>
    </row>
    <row r="1483" spans="34:37" x14ac:dyDescent="0.25">
      <c r="AH1483" s="75"/>
      <c r="AK1483" s="75"/>
    </row>
    <row r="1484" spans="34:37" x14ac:dyDescent="0.25">
      <c r="AH1484" s="75"/>
      <c r="AK1484" s="75"/>
    </row>
    <row r="1485" spans="34:37" x14ac:dyDescent="0.25">
      <c r="AH1485" s="75"/>
      <c r="AK1485" s="75"/>
    </row>
    <row r="1486" spans="34:37" x14ac:dyDescent="0.25">
      <c r="AH1486" s="75"/>
      <c r="AK1486" s="75"/>
    </row>
    <row r="1487" spans="34:37" x14ac:dyDescent="0.25">
      <c r="AH1487" s="75"/>
      <c r="AK1487" s="75"/>
    </row>
    <row r="1488" spans="34:37" x14ac:dyDescent="0.25">
      <c r="AH1488" s="75"/>
      <c r="AK1488" s="75"/>
    </row>
    <row r="1489" spans="34:37" x14ac:dyDescent="0.25">
      <c r="AH1489" s="75"/>
      <c r="AK1489" s="75"/>
    </row>
    <row r="1490" spans="34:37" x14ac:dyDescent="0.25">
      <c r="AH1490" s="75"/>
      <c r="AK1490" s="75"/>
    </row>
    <row r="1491" spans="34:37" x14ac:dyDescent="0.25">
      <c r="AH1491" s="75"/>
      <c r="AK1491" s="75"/>
    </row>
    <row r="1492" spans="34:37" x14ac:dyDescent="0.25">
      <c r="AH1492" s="75"/>
      <c r="AK1492" s="75"/>
    </row>
    <row r="1493" spans="34:37" x14ac:dyDescent="0.25">
      <c r="AH1493" s="75"/>
      <c r="AK1493" s="75"/>
    </row>
    <row r="1494" spans="34:37" x14ac:dyDescent="0.25">
      <c r="AH1494" s="75"/>
      <c r="AK1494" s="75"/>
    </row>
    <row r="1495" spans="34:37" x14ac:dyDescent="0.25">
      <c r="AH1495" s="75"/>
      <c r="AK1495" s="75"/>
    </row>
    <row r="1496" spans="34:37" x14ac:dyDescent="0.25">
      <c r="AH1496" s="75"/>
      <c r="AK1496" s="75"/>
    </row>
    <row r="1497" spans="34:37" x14ac:dyDescent="0.25">
      <c r="AH1497" s="75"/>
      <c r="AK1497" s="75"/>
    </row>
    <row r="1498" spans="34:37" x14ac:dyDescent="0.25">
      <c r="AH1498" s="75"/>
      <c r="AK1498" s="75"/>
    </row>
    <row r="1499" spans="34:37" x14ac:dyDescent="0.25">
      <c r="AH1499" s="75"/>
      <c r="AK1499" s="75"/>
    </row>
    <row r="1500" spans="34:37" x14ac:dyDescent="0.25">
      <c r="AH1500" s="75"/>
      <c r="AK1500" s="75"/>
    </row>
    <row r="1501" spans="34:37" x14ac:dyDescent="0.25">
      <c r="AH1501" s="75"/>
      <c r="AK1501" s="75"/>
    </row>
    <row r="1502" spans="34:37" x14ac:dyDescent="0.25">
      <c r="AH1502" s="75"/>
      <c r="AK1502" s="75"/>
    </row>
    <row r="1503" spans="34:37" x14ac:dyDescent="0.25">
      <c r="AH1503" s="75"/>
      <c r="AK1503" s="75"/>
    </row>
    <row r="1504" spans="34:37" x14ac:dyDescent="0.25">
      <c r="AH1504" s="75"/>
      <c r="AK1504" s="75"/>
    </row>
    <row r="1505" spans="34:37" x14ac:dyDescent="0.25">
      <c r="AH1505" s="75"/>
      <c r="AK1505" s="75"/>
    </row>
    <row r="1506" spans="34:37" x14ac:dyDescent="0.25">
      <c r="AH1506" s="75"/>
      <c r="AK1506" s="75"/>
    </row>
    <row r="1507" spans="34:37" x14ac:dyDescent="0.25">
      <c r="AH1507" s="75"/>
      <c r="AK1507" s="75"/>
    </row>
    <row r="1508" spans="34:37" x14ac:dyDescent="0.25">
      <c r="AH1508" s="75"/>
      <c r="AK1508" s="75"/>
    </row>
    <row r="1509" spans="34:37" x14ac:dyDescent="0.25">
      <c r="AH1509" s="75"/>
      <c r="AK1509" s="75"/>
    </row>
    <row r="1510" spans="34:37" x14ac:dyDescent="0.25">
      <c r="AH1510" s="75"/>
      <c r="AK1510" s="75"/>
    </row>
    <row r="1511" spans="34:37" x14ac:dyDescent="0.25">
      <c r="AH1511" s="75"/>
      <c r="AK1511" s="75"/>
    </row>
    <row r="1512" spans="34:37" x14ac:dyDescent="0.25">
      <c r="AH1512" s="75"/>
      <c r="AK1512" s="75"/>
    </row>
    <row r="1513" spans="34:37" x14ac:dyDescent="0.25">
      <c r="AH1513" s="75"/>
      <c r="AK1513" s="75"/>
    </row>
    <row r="1514" spans="34:37" x14ac:dyDescent="0.25">
      <c r="AH1514" s="75"/>
      <c r="AK1514" s="75"/>
    </row>
    <row r="1515" spans="34:37" x14ac:dyDescent="0.25">
      <c r="AH1515" s="75"/>
      <c r="AK1515" s="75"/>
    </row>
    <row r="1516" spans="34:37" x14ac:dyDescent="0.25">
      <c r="AH1516" s="75"/>
      <c r="AK1516" s="75"/>
    </row>
    <row r="1517" spans="34:37" x14ac:dyDescent="0.25">
      <c r="AH1517" s="75"/>
      <c r="AK1517" s="75"/>
    </row>
    <row r="1518" spans="34:37" x14ac:dyDescent="0.25">
      <c r="AH1518" s="75"/>
      <c r="AK1518" s="75"/>
    </row>
    <row r="1519" spans="34:37" x14ac:dyDescent="0.25">
      <c r="AH1519" s="75"/>
      <c r="AK1519" s="75"/>
    </row>
    <row r="1520" spans="34:37" x14ac:dyDescent="0.25">
      <c r="AH1520" s="75"/>
      <c r="AK1520" s="75"/>
    </row>
    <row r="1521" spans="34:37" x14ac:dyDescent="0.25">
      <c r="AH1521" s="75"/>
      <c r="AK1521" s="75"/>
    </row>
    <row r="1522" spans="34:37" x14ac:dyDescent="0.25">
      <c r="AH1522" s="75"/>
      <c r="AK1522" s="75"/>
    </row>
    <row r="1523" spans="34:37" x14ac:dyDescent="0.25">
      <c r="AH1523" s="75"/>
      <c r="AK1523" s="75"/>
    </row>
    <row r="1524" spans="34:37" x14ac:dyDescent="0.25">
      <c r="AH1524" s="75"/>
      <c r="AK1524" s="75"/>
    </row>
    <row r="1525" spans="34:37" x14ac:dyDescent="0.25">
      <c r="AH1525" s="75"/>
      <c r="AK1525" s="75"/>
    </row>
    <row r="1526" spans="34:37" x14ac:dyDescent="0.25">
      <c r="AH1526" s="75"/>
      <c r="AK1526" s="75"/>
    </row>
    <row r="1527" spans="34:37" x14ac:dyDescent="0.25">
      <c r="AH1527" s="75"/>
      <c r="AK1527" s="75"/>
    </row>
    <row r="1528" spans="34:37" x14ac:dyDescent="0.25">
      <c r="AH1528" s="75"/>
      <c r="AK1528" s="75"/>
    </row>
    <row r="1529" spans="34:37" x14ac:dyDescent="0.25">
      <c r="AH1529" s="75"/>
      <c r="AK1529" s="75"/>
    </row>
    <row r="1530" spans="34:37" x14ac:dyDescent="0.25">
      <c r="AH1530" s="75"/>
      <c r="AK1530" s="75"/>
    </row>
    <row r="1531" spans="34:37" x14ac:dyDescent="0.25">
      <c r="AH1531" s="75"/>
      <c r="AK1531" s="75"/>
    </row>
    <row r="1532" spans="34:37" x14ac:dyDescent="0.25">
      <c r="AH1532" s="75"/>
      <c r="AK1532" s="75"/>
    </row>
    <row r="1533" spans="34:37" x14ac:dyDescent="0.25">
      <c r="AH1533" s="75"/>
      <c r="AK1533" s="75"/>
    </row>
    <row r="1534" spans="34:37" x14ac:dyDescent="0.25">
      <c r="AH1534" s="75"/>
      <c r="AK1534" s="75"/>
    </row>
    <row r="1535" spans="34:37" x14ac:dyDescent="0.25">
      <c r="AH1535" s="75"/>
      <c r="AK1535" s="75"/>
    </row>
    <row r="1536" spans="34:37" x14ac:dyDescent="0.25">
      <c r="AH1536" s="75"/>
      <c r="AK1536" s="75"/>
    </row>
    <row r="1537" spans="34:37" x14ac:dyDescent="0.25">
      <c r="AH1537" s="75"/>
      <c r="AK1537" s="75"/>
    </row>
    <row r="1538" spans="34:37" x14ac:dyDescent="0.25">
      <c r="AH1538" s="75"/>
      <c r="AK1538" s="75"/>
    </row>
    <row r="1539" spans="34:37" x14ac:dyDescent="0.25">
      <c r="AH1539" s="75"/>
      <c r="AK1539" s="75"/>
    </row>
    <row r="1540" spans="34:37" x14ac:dyDescent="0.25">
      <c r="AH1540" s="75"/>
      <c r="AK1540" s="75"/>
    </row>
    <row r="1541" spans="34:37" x14ac:dyDescent="0.25">
      <c r="AH1541" s="75"/>
      <c r="AK1541" s="75"/>
    </row>
    <row r="1542" spans="34:37" x14ac:dyDescent="0.25">
      <c r="AH1542" s="75"/>
      <c r="AK1542" s="75"/>
    </row>
    <row r="1543" spans="34:37" x14ac:dyDescent="0.25">
      <c r="AH1543" s="75"/>
      <c r="AK1543" s="75"/>
    </row>
    <row r="1544" spans="34:37" x14ac:dyDescent="0.25">
      <c r="AH1544" s="75"/>
      <c r="AK1544" s="75"/>
    </row>
    <row r="1545" spans="34:37" x14ac:dyDescent="0.25">
      <c r="AH1545" s="75"/>
      <c r="AK1545" s="75"/>
    </row>
    <row r="1546" spans="34:37" x14ac:dyDescent="0.25">
      <c r="AH1546" s="75"/>
      <c r="AK1546" s="75"/>
    </row>
    <row r="1547" spans="34:37" x14ac:dyDescent="0.25">
      <c r="AH1547" s="75"/>
      <c r="AK1547" s="75"/>
    </row>
    <row r="1548" spans="34:37" x14ac:dyDescent="0.25">
      <c r="AH1548" s="75"/>
      <c r="AK1548" s="75"/>
    </row>
    <row r="1549" spans="34:37" x14ac:dyDescent="0.25">
      <c r="AH1549" s="75"/>
      <c r="AK1549" s="75"/>
    </row>
    <row r="1550" spans="34:37" x14ac:dyDescent="0.25">
      <c r="AH1550" s="75"/>
      <c r="AK1550" s="75"/>
    </row>
    <row r="1551" spans="34:37" x14ac:dyDescent="0.25">
      <c r="AH1551" s="75"/>
      <c r="AK1551" s="75"/>
    </row>
    <row r="1552" spans="34:37" x14ac:dyDescent="0.25">
      <c r="AH1552" s="75"/>
      <c r="AK1552" s="75"/>
    </row>
    <row r="1553" spans="34:37" x14ac:dyDescent="0.25">
      <c r="AH1553" s="75"/>
      <c r="AK1553" s="75"/>
    </row>
    <row r="1554" spans="34:37" x14ac:dyDescent="0.25">
      <c r="AH1554" s="75"/>
      <c r="AK1554" s="75"/>
    </row>
    <row r="1555" spans="34:37" x14ac:dyDescent="0.25">
      <c r="AH1555" s="75"/>
      <c r="AK1555" s="75"/>
    </row>
    <row r="1556" spans="34:37" x14ac:dyDescent="0.25">
      <c r="AH1556" s="75"/>
      <c r="AK1556" s="75"/>
    </row>
    <row r="1557" spans="34:37" x14ac:dyDescent="0.25">
      <c r="AH1557" s="75"/>
      <c r="AK1557" s="75"/>
    </row>
    <row r="1558" spans="34:37" x14ac:dyDescent="0.25">
      <c r="AH1558" s="75"/>
      <c r="AK1558" s="75"/>
    </row>
    <row r="1559" spans="34:37" x14ac:dyDescent="0.25">
      <c r="AH1559" s="75"/>
      <c r="AK1559" s="75"/>
    </row>
    <row r="1560" spans="34:37" x14ac:dyDescent="0.25">
      <c r="AH1560" s="75"/>
      <c r="AK1560" s="75"/>
    </row>
    <row r="1561" spans="34:37" x14ac:dyDescent="0.25">
      <c r="AH1561" s="75"/>
      <c r="AK1561" s="75"/>
    </row>
    <row r="1562" spans="34:37" x14ac:dyDescent="0.25">
      <c r="AH1562" s="75"/>
      <c r="AK1562" s="75"/>
    </row>
    <row r="1563" spans="34:37" x14ac:dyDescent="0.25">
      <c r="AH1563" s="75"/>
      <c r="AK1563" s="75"/>
    </row>
    <row r="1564" spans="34:37" x14ac:dyDescent="0.25">
      <c r="AH1564" s="75"/>
      <c r="AK1564" s="75"/>
    </row>
    <row r="1565" spans="34:37" x14ac:dyDescent="0.25">
      <c r="AH1565" s="75"/>
      <c r="AK1565" s="75"/>
    </row>
    <row r="1566" spans="34:37" x14ac:dyDescent="0.25">
      <c r="AH1566" s="75"/>
      <c r="AK1566" s="75"/>
    </row>
    <row r="1567" spans="34:37" x14ac:dyDescent="0.25">
      <c r="AH1567" s="75"/>
      <c r="AK1567" s="75"/>
    </row>
    <row r="1568" spans="34:37" x14ac:dyDescent="0.25">
      <c r="AH1568" s="75"/>
      <c r="AK1568" s="75"/>
    </row>
    <row r="1569" spans="34:37" x14ac:dyDescent="0.25">
      <c r="AH1569" s="75"/>
      <c r="AK1569" s="75"/>
    </row>
    <row r="1570" spans="34:37" x14ac:dyDescent="0.25">
      <c r="AH1570" s="75"/>
      <c r="AK1570" s="75"/>
    </row>
    <row r="1571" spans="34:37" x14ac:dyDescent="0.25">
      <c r="AH1571" s="75"/>
      <c r="AK1571" s="75"/>
    </row>
    <row r="1572" spans="34:37" x14ac:dyDescent="0.25">
      <c r="AH1572" s="75"/>
      <c r="AK1572" s="75"/>
    </row>
    <row r="1573" spans="34:37" x14ac:dyDescent="0.25">
      <c r="AH1573" s="75"/>
      <c r="AK1573" s="75"/>
    </row>
    <row r="1574" spans="34:37" x14ac:dyDescent="0.25">
      <c r="AH1574" s="75"/>
      <c r="AK1574" s="75"/>
    </row>
    <row r="1575" spans="34:37" x14ac:dyDescent="0.25">
      <c r="AH1575" s="75"/>
      <c r="AK1575" s="75"/>
    </row>
    <row r="1576" spans="34:37" x14ac:dyDescent="0.25">
      <c r="AH1576" s="75"/>
      <c r="AK1576" s="75"/>
    </row>
    <row r="1577" spans="34:37" x14ac:dyDescent="0.25">
      <c r="AH1577" s="75"/>
      <c r="AK1577" s="75"/>
    </row>
    <row r="1578" spans="34:37" x14ac:dyDescent="0.25">
      <c r="AH1578" s="75"/>
      <c r="AK1578" s="75"/>
    </row>
    <row r="1579" spans="34:37" x14ac:dyDescent="0.25">
      <c r="AH1579" s="75"/>
      <c r="AK1579" s="75"/>
    </row>
    <row r="1580" spans="34:37" x14ac:dyDescent="0.25">
      <c r="AH1580" s="75"/>
      <c r="AK1580" s="75"/>
    </row>
    <row r="1581" spans="34:37" x14ac:dyDescent="0.25">
      <c r="AH1581" s="75"/>
      <c r="AK1581" s="75"/>
    </row>
    <row r="1582" spans="34:37" x14ac:dyDescent="0.25">
      <c r="AH1582" s="75"/>
      <c r="AK1582" s="75"/>
    </row>
    <row r="1583" spans="34:37" x14ac:dyDescent="0.25">
      <c r="AH1583" s="75"/>
      <c r="AK1583" s="75"/>
    </row>
    <row r="1584" spans="34:37" x14ac:dyDescent="0.25">
      <c r="AH1584" s="75"/>
      <c r="AK1584" s="75"/>
    </row>
    <row r="1585" spans="34:37" x14ac:dyDescent="0.25">
      <c r="AH1585" s="75"/>
      <c r="AK1585" s="75"/>
    </row>
    <row r="1586" spans="34:37" x14ac:dyDescent="0.25">
      <c r="AH1586" s="75"/>
      <c r="AK1586" s="75"/>
    </row>
    <row r="1587" spans="34:37" x14ac:dyDescent="0.25">
      <c r="AH1587" s="75"/>
      <c r="AK1587" s="75"/>
    </row>
    <row r="1588" spans="34:37" x14ac:dyDescent="0.25">
      <c r="AH1588" s="75"/>
      <c r="AK1588" s="75"/>
    </row>
    <row r="1589" spans="34:37" x14ac:dyDescent="0.25">
      <c r="AH1589" s="75"/>
      <c r="AK1589" s="75"/>
    </row>
    <row r="1590" spans="34:37" x14ac:dyDescent="0.25">
      <c r="AH1590" s="75"/>
      <c r="AK1590" s="75"/>
    </row>
    <row r="1591" spans="34:37" x14ac:dyDescent="0.25">
      <c r="AH1591" s="75"/>
      <c r="AK1591" s="75"/>
    </row>
    <row r="1592" spans="34:37" x14ac:dyDescent="0.25">
      <c r="AH1592" s="75"/>
      <c r="AK1592" s="75"/>
    </row>
    <row r="1593" spans="34:37" x14ac:dyDescent="0.25">
      <c r="AH1593" s="75"/>
      <c r="AK1593" s="75"/>
    </row>
    <row r="1594" spans="34:37" x14ac:dyDescent="0.25">
      <c r="AH1594" s="75"/>
      <c r="AK1594" s="75"/>
    </row>
    <row r="1595" spans="34:37" x14ac:dyDescent="0.25">
      <c r="AH1595" s="75"/>
      <c r="AK1595" s="75"/>
    </row>
    <row r="1596" spans="34:37" x14ac:dyDescent="0.25">
      <c r="AH1596" s="75"/>
      <c r="AK1596" s="75"/>
    </row>
    <row r="1597" spans="34:37" x14ac:dyDescent="0.25">
      <c r="AH1597" s="75"/>
      <c r="AK1597" s="75"/>
    </row>
    <row r="1598" spans="34:37" x14ac:dyDescent="0.25">
      <c r="AH1598" s="75"/>
      <c r="AK1598" s="75"/>
    </row>
    <row r="1599" spans="34:37" x14ac:dyDescent="0.25">
      <c r="AH1599" s="75"/>
      <c r="AK1599" s="75"/>
    </row>
    <row r="1600" spans="34:37" x14ac:dyDescent="0.25">
      <c r="AH1600" s="75"/>
      <c r="AK1600" s="75"/>
    </row>
    <row r="1601" spans="34:37" x14ac:dyDescent="0.25">
      <c r="AH1601" s="75"/>
      <c r="AK1601" s="75"/>
    </row>
    <row r="1602" spans="34:37" x14ac:dyDescent="0.25">
      <c r="AH1602" s="75"/>
      <c r="AK1602" s="75"/>
    </row>
    <row r="1603" spans="34:37" x14ac:dyDescent="0.25">
      <c r="AH1603" s="75"/>
      <c r="AK1603" s="75"/>
    </row>
    <row r="1604" spans="34:37" x14ac:dyDescent="0.25">
      <c r="AH1604" s="75"/>
      <c r="AK1604" s="75"/>
    </row>
    <row r="1605" spans="34:37" x14ac:dyDescent="0.25">
      <c r="AH1605" s="75"/>
      <c r="AK1605" s="75"/>
    </row>
    <row r="1606" spans="34:37" x14ac:dyDescent="0.25">
      <c r="AH1606" s="75"/>
      <c r="AK1606" s="75"/>
    </row>
    <row r="1607" spans="34:37" x14ac:dyDescent="0.25">
      <c r="AH1607" s="75"/>
      <c r="AK1607" s="75"/>
    </row>
    <row r="1608" spans="34:37" x14ac:dyDescent="0.25">
      <c r="AH1608" s="75"/>
      <c r="AK1608" s="75"/>
    </row>
    <row r="1609" spans="34:37" x14ac:dyDescent="0.25">
      <c r="AH1609" s="75"/>
      <c r="AK1609" s="75"/>
    </row>
    <row r="1610" spans="34:37" x14ac:dyDescent="0.25">
      <c r="AH1610" s="75"/>
      <c r="AK1610" s="75"/>
    </row>
    <row r="1611" spans="34:37" x14ac:dyDescent="0.25">
      <c r="AH1611" s="75"/>
      <c r="AK1611" s="75"/>
    </row>
    <row r="1612" spans="34:37" x14ac:dyDescent="0.25">
      <c r="AH1612" s="75"/>
      <c r="AK1612" s="75"/>
    </row>
    <row r="1613" spans="34:37" x14ac:dyDescent="0.25">
      <c r="AH1613" s="75"/>
      <c r="AK1613" s="75"/>
    </row>
    <row r="1614" spans="34:37" x14ac:dyDescent="0.25">
      <c r="AH1614" s="75"/>
      <c r="AK1614" s="75"/>
    </row>
    <row r="1615" spans="34:37" x14ac:dyDescent="0.25">
      <c r="AH1615" s="75"/>
      <c r="AK1615" s="75"/>
    </row>
    <row r="1616" spans="34:37" x14ac:dyDescent="0.25">
      <c r="AH1616" s="75"/>
      <c r="AK1616" s="75"/>
    </row>
    <row r="1617" spans="34:37" x14ac:dyDescent="0.25">
      <c r="AH1617" s="75"/>
      <c r="AK1617" s="75"/>
    </row>
    <row r="1618" spans="34:37" x14ac:dyDescent="0.25">
      <c r="AH1618" s="75"/>
      <c r="AK1618" s="75"/>
    </row>
    <row r="1619" spans="34:37" x14ac:dyDescent="0.25">
      <c r="AH1619" s="75"/>
      <c r="AK1619" s="75"/>
    </row>
    <row r="1620" spans="34:37" x14ac:dyDescent="0.25">
      <c r="AH1620" s="75"/>
      <c r="AK1620" s="75"/>
    </row>
    <row r="1621" spans="34:37" x14ac:dyDescent="0.25">
      <c r="AH1621" s="75"/>
      <c r="AK1621" s="75"/>
    </row>
    <row r="1622" spans="34:37" x14ac:dyDescent="0.25">
      <c r="AH1622" s="75"/>
      <c r="AK1622" s="75"/>
    </row>
    <row r="1623" spans="34:37" x14ac:dyDescent="0.25">
      <c r="AH1623" s="75"/>
      <c r="AK1623" s="75"/>
    </row>
    <row r="1624" spans="34:37" x14ac:dyDescent="0.25">
      <c r="AH1624" s="75"/>
      <c r="AK1624" s="75"/>
    </row>
    <row r="1625" spans="34:37" x14ac:dyDescent="0.25">
      <c r="AH1625" s="75"/>
      <c r="AK1625" s="75"/>
    </row>
    <row r="1626" spans="34:37" x14ac:dyDescent="0.25">
      <c r="AH1626" s="75"/>
      <c r="AK1626" s="75"/>
    </row>
    <row r="1627" spans="34:37" x14ac:dyDescent="0.25">
      <c r="AH1627" s="75"/>
      <c r="AK1627" s="75"/>
    </row>
    <row r="1628" spans="34:37" x14ac:dyDescent="0.25">
      <c r="AH1628" s="75"/>
      <c r="AK1628" s="75"/>
    </row>
    <row r="1629" spans="34:37" x14ac:dyDescent="0.25">
      <c r="AH1629" s="75"/>
      <c r="AK1629" s="75"/>
    </row>
    <row r="1630" spans="34:37" x14ac:dyDescent="0.25">
      <c r="AH1630" s="75"/>
      <c r="AK1630" s="75"/>
    </row>
    <row r="1631" spans="34:37" x14ac:dyDescent="0.25">
      <c r="AH1631" s="75"/>
      <c r="AK1631" s="75"/>
    </row>
    <row r="1632" spans="34:37" x14ac:dyDescent="0.25">
      <c r="AH1632" s="75"/>
      <c r="AK1632" s="75"/>
    </row>
    <row r="1633" spans="34:37" x14ac:dyDescent="0.25">
      <c r="AH1633" s="75"/>
      <c r="AK1633" s="75"/>
    </row>
    <row r="1634" spans="34:37" x14ac:dyDescent="0.25">
      <c r="AH1634" s="75"/>
      <c r="AK1634" s="75"/>
    </row>
    <row r="1635" spans="34:37" x14ac:dyDescent="0.25">
      <c r="AH1635" s="75"/>
      <c r="AK1635" s="75"/>
    </row>
    <row r="1636" spans="34:37" x14ac:dyDescent="0.25">
      <c r="AH1636" s="75"/>
      <c r="AK1636" s="75"/>
    </row>
    <row r="1637" spans="34:37" x14ac:dyDescent="0.25">
      <c r="AH1637" s="75"/>
      <c r="AK1637" s="75"/>
    </row>
    <row r="1638" spans="34:37" x14ac:dyDescent="0.25">
      <c r="AH1638" s="75"/>
      <c r="AK1638" s="75"/>
    </row>
    <row r="1639" spans="34:37" x14ac:dyDescent="0.25">
      <c r="AH1639" s="75"/>
      <c r="AK1639" s="75"/>
    </row>
    <row r="1640" spans="34:37" x14ac:dyDescent="0.25">
      <c r="AH1640" s="75"/>
      <c r="AK1640" s="75"/>
    </row>
    <row r="1641" spans="34:37" x14ac:dyDescent="0.25">
      <c r="AH1641" s="75"/>
      <c r="AK1641" s="75"/>
    </row>
    <row r="1642" spans="34:37" x14ac:dyDescent="0.25">
      <c r="AH1642" s="75"/>
      <c r="AK1642" s="75"/>
    </row>
    <row r="1643" spans="34:37" x14ac:dyDescent="0.25">
      <c r="AH1643" s="75"/>
      <c r="AK1643" s="75"/>
    </row>
    <row r="1644" spans="34:37" x14ac:dyDescent="0.25">
      <c r="AH1644" s="75"/>
      <c r="AK1644" s="75"/>
    </row>
    <row r="1645" spans="34:37" x14ac:dyDescent="0.25">
      <c r="AH1645" s="75"/>
      <c r="AK1645" s="75"/>
    </row>
    <row r="1646" spans="34:37" x14ac:dyDescent="0.25">
      <c r="AH1646" s="75"/>
      <c r="AK1646" s="75"/>
    </row>
    <row r="1647" spans="34:37" x14ac:dyDescent="0.25">
      <c r="AH1647" s="75"/>
      <c r="AK1647" s="75"/>
    </row>
    <row r="1648" spans="34:37" x14ac:dyDescent="0.25">
      <c r="AH1648" s="75"/>
      <c r="AK1648" s="75"/>
    </row>
    <row r="1649" spans="34:37" x14ac:dyDescent="0.25">
      <c r="AH1649" s="75"/>
      <c r="AK1649" s="75"/>
    </row>
    <row r="1650" spans="34:37" x14ac:dyDescent="0.25">
      <c r="AH1650" s="75"/>
      <c r="AK1650" s="75"/>
    </row>
    <row r="1651" spans="34:37" x14ac:dyDescent="0.25">
      <c r="AH1651" s="75"/>
      <c r="AK1651" s="75"/>
    </row>
    <row r="1652" spans="34:37" x14ac:dyDescent="0.25">
      <c r="AH1652" s="75"/>
      <c r="AK1652" s="75"/>
    </row>
    <row r="1653" spans="34:37" x14ac:dyDescent="0.25">
      <c r="AH1653" s="75"/>
      <c r="AK1653" s="75"/>
    </row>
    <row r="1654" spans="34:37" x14ac:dyDescent="0.25">
      <c r="AH1654" s="75"/>
      <c r="AK1654" s="75"/>
    </row>
    <row r="1655" spans="34:37" x14ac:dyDescent="0.25">
      <c r="AH1655" s="75"/>
      <c r="AK1655" s="75"/>
    </row>
    <row r="1656" spans="34:37" x14ac:dyDescent="0.25">
      <c r="AH1656" s="75"/>
      <c r="AK1656" s="75"/>
    </row>
    <row r="1657" spans="34:37" x14ac:dyDescent="0.25">
      <c r="AH1657" s="75"/>
      <c r="AK1657" s="75"/>
    </row>
    <row r="1658" spans="34:37" x14ac:dyDescent="0.25">
      <c r="AH1658" s="75"/>
      <c r="AK1658" s="75"/>
    </row>
    <row r="1659" spans="34:37" x14ac:dyDescent="0.25">
      <c r="AH1659" s="75"/>
      <c r="AK1659" s="75"/>
    </row>
    <row r="1660" spans="34:37" x14ac:dyDescent="0.25">
      <c r="AH1660" s="75"/>
      <c r="AK1660" s="75"/>
    </row>
    <row r="1661" spans="34:37" x14ac:dyDescent="0.25">
      <c r="AH1661" s="75"/>
      <c r="AK1661" s="75"/>
    </row>
    <row r="1662" spans="34:37" x14ac:dyDescent="0.25">
      <c r="AH1662" s="75"/>
      <c r="AK1662" s="75"/>
    </row>
    <row r="1663" spans="34:37" x14ac:dyDescent="0.25">
      <c r="AH1663" s="75"/>
      <c r="AK1663" s="75"/>
    </row>
    <row r="1664" spans="34:37" x14ac:dyDescent="0.25">
      <c r="AH1664" s="75"/>
      <c r="AK1664" s="75"/>
    </row>
    <row r="1665" spans="34:37" x14ac:dyDescent="0.25">
      <c r="AH1665" s="75"/>
      <c r="AK1665" s="75"/>
    </row>
    <row r="1666" spans="34:37" x14ac:dyDescent="0.25">
      <c r="AH1666" s="75"/>
      <c r="AK1666" s="75"/>
    </row>
    <row r="1667" spans="34:37" x14ac:dyDescent="0.25">
      <c r="AH1667" s="75"/>
      <c r="AK1667" s="75"/>
    </row>
    <row r="1668" spans="34:37" x14ac:dyDescent="0.25">
      <c r="AH1668" s="75"/>
      <c r="AK1668" s="75"/>
    </row>
    <row r="1669" spans="34:37" x14ac:dyDescent="0.25">
      <c r="AH1669" s="75"/>
      <c r="AK1669" s="75"/>
    </row>
    <row r="1670" spans="34:37" x14ac:dyDescent="0.25">
      <c r="AH1670" s="75"/>
      <c r="AK1670" s="75"/>
    </row>
    <row r="1671" spans="34:37" x14ac:dyDescent="0.25">
      <c r="AH1671" s="75"/>
      <c r="AK1671" s="75"/>
    </row>
    <row r="1672" spans="34:37" x14ac:dyDescent="0.25">
      <c r="AH1672" s="75"/>
      <c r="AK1672" s="75"/>
    </row>
    <row r="1673" spans="34:37" x14ac:dyDescent="0.25">
      <c r="AH1673" s="75"/>
      <c r="AK1673" s="75"/>
    </row>
    <row r="1674" spans="34:37" x14ac:dyDescent="0.25">
      <c r="AH1674" s="75"/>
      <c r="AK1674" s="75"/>
    </row>
    <row r="1675" spans="34:37" x14ac:dyDescent="0.25">
      <c r="AH1675" s="75"/>
      <c r="AK1675" s="75"/>
    </row>
    <row r="1676" spans="34:37" x14ac:dyDescent="0.25">
      <c r="AH1676" s="75"/>
      <c r="AK1676" s="75"/>
    </row>
    <row r="1677" spans="34:37" x14ac:dyDescent="0.25">
      <c r="AH1677" s="75"/>
      <c r="AK1677" s="75"/>
    </row>
    <row r="1678" spans="34:37" x14ac:dyDescent="0.25">
      <c r="AH1678" s="75"/>
      <c r="AK1678" s="75"/>
    </row>
    <row r="1679" spans="34:37" x14ac:dyDescent="0.25">
      <c r="AH1679" s="75"/>
      <c r="AK1679" s="75"/>
    </row>
    <row r="1680" spans="34:37" x14ac:dyDescent="0.25">
      <c r="AH1680" s="75"/>
      <c r="AK1680" s="75"/>
    </row>
    <row r="1681" spans="34:37" x14ac:dyDescent="0.25">
      <c r="AH1681" s="75"/>
      <c r="AK1681" s="75"/>
    </row>
    <row r="1682" spans="34:37" x14ac:dyDescent="0.25">
      <c r="AH1682" s="75"/>
      <c r="AK1682" s="75"/>
    </row>
    <row r="1683" spans="34:37" x14ac:dyDescent="0.25">
      <c r="AH1683" s="75"/>
      <c r="AK1683" s="75"/>
    </row>
    <row r="1684" spans="34:37" x14ac:dyDescent="0.25">
      <c r="AH1684" s="75"/>
      <c r="AK1684" s="75"/>
    </row>
    <row r="1685" spans="34:37" x14ac:dyDescent="0.25">
      <c r="AH1685" s="75"/>
      <c r="AK1685" s="75"/>
    </row>
    <row r="1686" spans="34:37" x14ac:dyDescent="0.25">
      <c r="AH1686" s="75"/>
      <c r="AK1686" s="75"/>
    </row>
    <row r="1687" spans="34:37" x14ac:dyDescent="0.25">
      <c r="AH1687" s="75"/>
      <c r="AK1687" s="75"/>
    </row>
    <row r="1688" spans="34:37" x14ac:dyDescent="0.25">
      <c r="AH1688" s="75"/>
      <c r="AK1688" s="75"/>
    </row>
    <row r="1689" spans="34:37" x14ac:dyDescent="0.25">
      <c r="AH1689" s="75"/>
      <c r="AK1689" s="75"/>
    </row>
    <row r="1690" spans="34:37" x14ac:dyDescent="0.25">
      <c r="AH1690" s="75"/>
      <c r="AK1690" s="75"/>
    </row>
    <row r="1691" spans="34:37" x14ac:dyDescent="0.25">
      <c r="AH1691" s="75"/>
      <c r="AK1691" s="75"/>
    </row>
    <row r="1692" spans="34:37" x14ac:dyDescent="0.25">
      <c r="AH1692" s="75"/>
      <c r="AK1692" s="75"/>
    </row>
    <row r="1693" spans="34:37" x14ac:dyDescent="0.25">
      <c r="AH1693" s="75"/>
      <c r="AK1693" s="75"/>
    </row>
    <row r="1694" spans="34:37" x14ac:dyDescent="0.25">
      <c r="AH1694" s="75"/>
      <c r="AK1694" s="75"/>
    </row>
    <row r="1695" spans="34:37" x14ac:dyDescent="0.25">
      <c r="AH1695" s="75"/>
      <c r="AK1695" s="75"/>
    </row>
    <row r="1696" spans="34:37" x14ac:dyDescent="0.25">
      <c r="AH1696" s="75"/>
      <c r="AK1696" s="75"/>
    </row>
    <row r="1697" spans="34:37" x14ac:dyDescent="0.25">
      <c r="AH1697" s="75"/>
      <c r="AK1697" s="75"/>
    </row>
    <row r="1698" spans="34:37" x14ac:dyDescent="0.25">
      <c r="AH1698" s="75"/>
      <c r="AK1698" s="75"/>
    </row>
    <row r="1699" spans="34:37" x14ac:dyDescent="0.25">
      <c r="AH1699" s="75"/>
      <c r="AK1699" s="75"/>
    </row>
    <row r="1700" spans="34:37" x14ac:dyDescent="0.25">
      <c r="AH1700" s="75"/>
      <c r="AK1700" s="75"/>
    </row>
    <row r="1701" spans="34:37" x14ac:dyDescent="0.25">
      <c r="AH1701" s="75"/>
      <c r="AK1701" s="75"/>
    </row>
    <row r="1702" spans="34:37" x14ac:dyDescent="0.25">
      <c r="AH1702" s="75"/>
      <c r="AK1702" s="75"/>
    </row>
    <row r="1703" spans="34:37" x14ac:dyDescent="0.25">
      <c r="AH1703" s="75"/>
      <c r="AK1703" s="75"/>
    </row>
    <row r="1704" spans="34:37" x14ac:dyDescent="0.25">
      <c r="AH1704" s="75"/>
      <c r="AK1704" s="75"/>
    </row>
    <row r="1705" spans="34:37" x14ac:dyDescent="0.25">
      <c r="AH1705" s="75"/>
      <c r="AK1705" s="75"/>
    </row>
    <row r="1706" spans="34:37" x14ac:dyDescent="0.25">
      <c r="AH1706" s="75"/>
      <c r="AK1706" s="75"/>
    </row>
    <row r="1707" spans="34:37" x14ac:dyDescent="0.25">
      <c r="AH1707" s="75"/>
      <c r="AK1707" s="75"/>
    </row>
    <row r="1708" spans="34:37" x14ac:dyDescent="0.25">
      <c r="AH1708" s="75"/>
      <c r="AK1708" s="75"/>
    </row>
    <row r="1709" spans="34:37" x14ac:dyDescent="0.25">
      <c r="AH1709" s="75"/>
      <c r="AK1709" s="75"/>
    </row>
    <row r="1710" spans="34:37" x14ac:dyDescent="0.25">
      <c r="AH1710" s="75"/>
      <c r="AK1710" s="75"/>
    </row>
    <row r="1711" spans="34:37" x14ac:dyDescent="0.25">
      <c r="AH1711" s="75"/>
      <c r="AK1711" s="75"/>
    </row>
    <row r="1712" spans="34:37" x14ac:dyDescent="0.25">
      <c r="AH1712" s="75"/>
      <c r="AK1712" s="75"/>
    </row>
    <row r="1713" spans="34:37" x14ac:dyDescent="0.25">
      <c r="AH1713" s="75"/>
      <c r="AK1713" s="75"/>
    </row>
    <row r="1714" spans="34:37" x14ac:dyDescent="0.25">
      <c r="AH1714" s="75"/>
      <c r="AK1714" s="75"/>
    </row>
    <row r="1715" spans="34:37" x14ac:dyDescent="0.25">
      <c r="AH1715" s="75"/>
      <c r="AK1715" s="75"/>
    </row>
    <row r="1716" spans="34:37" x14ac:dyDescent="0.25">
      <c r="AH1716" s="75"/>
      <c r="AK1716" s="75"/>
    </row>
    <row r="1717" spans="34:37" x14ac:dyDescent="0.25">
      <c r="AH1717" s="75"/>
      <c r="AK1717" s="75"/>
    </row>
    <row r="1718" spans="34:37" x14ac:dyDescent="0.25">
      <c r="AH1718" s="75"/>
      <c r="AK1718" s="75"/>
    </row>
    <row r="1719" spans="34:37" x14ac:dyDescent="0.25">
      <c r="AH1719" s="75"/>
      <c r="AK1719" s="75"/>
    </row>
    <row r="1720" spans="34:37" x14ac:dyDescent="0.25">
      <c r="AH1720" s="75"/>
      <c r="AK1720" s="75"/>
    </row>
    <row r="1721" spans="34:37" x14ac:dyDescent="0.25">
      <c r="AH1721" s="75"/>
      <c r="AK1721" s="75"/>
    </row>
    <row r="1722" spans="34:37" x14ac:dyDescent="0.25">
      <c r="AH1722" s="75"/>
      <c r="AK1722" s="75"/>
    </row>
    <row r="1723" spans="34:37" x14ac:dyDescent="0.25">
      <c r="AH1723" s="75"/>
      <c r="AK1723" s="75"/>
    </row>
    <row r="1724" spans="34:37" x14ac:dyDescent="0.25">
      <c r="AH1724" s="75"/>
      <c r="AK1724" s="75"/>
    </row>
    <row r="1725" spans="34:37" x14ac:dyDescent="0.25">
      <c r="AH1725" s="75"/>
      <c r="AK1725" s="75"/>
    </row>
    <row r="1726" spans="34:37" x14ac:dyDescent="0.25">
      <c r="AH1726" s="75"/>
      <c r="AK1726" s="75"/>
    </row>
    <row r="1727" spans="34:37" x14ac:dyDescent="0.25">
      <c r="AH1727" s="75"/>
      <c r="AK1727" s="75"/>
    </row>
    <row r="1728" spans="34:37" x14ac:dyDescent="0.25">
      <c r="AH1728" s="75"/>
      <c r="AK1728" s="75"/>
    </row>
    <row r="1729" spans="34:37" x14ac:dyDescent="0.25">
      <c r="AH1729" s="75"/>
      <c r="AK1729" s="75"/>
    </row>
    <row r="1730" spans="34:37" x14ac:dyDescent="0.25">
      <c r="AH1730" s="75"/>
      <c r="AK1730" s="75"/>
    </row>
    <row r="1731" spans="34:37" x14ac:dyDescent="0.25">
      <c r="AH1731" s="75"/>
      <c r="AK1731" s="75"/>
    </row>
    <row r="1732" spans="34:37" x14ac:dyDescent="0.25">
      <c r="AH1732" s="75"/>
      <c r="AK1732" s="75"/>
    </row>
    <row r="1733" spans="34:37" x14ac:dyDescent="0.25">
      <c r="AH1733" s="75"/>
      <c r="AK1733" s="75"/>
    </row>
    <row r="1734" spans="34:37" x14ac:dyDescent="0.25">
      <c r="AH1734" s="75"/>
      <c r="AK1734" s="75"/>
    </row>
    <row r="1735" spans="34:37" x14ac:dyDescent="0.25">
      <c r="AH1735" s="75"/>
      <c r="AK1735" s="75"/>
    </row>
    <row r="1736" spans="34:37" x14ac:dyDescent="0.25">
      <c r="AH1736" s="75"/>
      <c r="AK1736" s="75"/>
    </row>
    <row r="1737" spans="34:37" x14ac:dyDescent="0.25">
      <c r="AH1737" s="75"/>
      <c r="AK1737" s="75"/>
    </row>
    <row r="1738" spans="34:37" x14ac:dyDescent="0.25">
      <c r="AH1738" s="75"/>
      <c r="AK1738" s="75"/>
    </row>
    <row r="1739" spans="34:37" x14ac:dyDescent="0.25">
      <c r="AH1739" s="75"/>
      <c r="AK1739" s="75"/>
    </row>
    <row r="1740" spans="34:37" x14ac:dyDescent="0.25">
      <c r="AH1740" s="75"/>
      <c r="AK1740" s="75"/>
    </row>
    <row r="1741" spans="34:37" x14ac:dyDescent="0.25">
      <c r="AH1741" s="75"/>
      <c r="AK1741" s="75"/>
    </row>
    <row r="1742" spans="34:37" x14ac:dyDescent="0.25">
      <c r="AH1742" s="75"/>
      <c r="AK1742" s="75"/>
    </row>
    <row r="1743" spans="34:37" x14ac:dyDescent="0.25">
      <c r="AH1743" s="75"/>
      <c r="AK1743" s="75"/>
    </row>
    <row r="1744" spans="34:37" x14ac:dyDescent="0.25">
      <c r="AH1744" s="75"/>
      <c r="AK1744" s="75"/>
    </row>
    <row r="1745" spans="34:37" x14ac:dyDescent="0.25">
      <c r="AH1745" s="75"/>
      <c r="AK1745" s="75"/>
    </row>
    <row r="1746" spans="34:37" x14ac:dyDescent="0.25">
      <c r="AH1746" s="75"/>
      <c r="AK1746" s="75"/>
    </row>
    <row r="1747" spans="34:37" x14ac:dyDescent="0.25">
      <c r="AH1747" s="75"/>
      <c r="AK1747" s="75"/>
    </row>
    <row r="1748" spans="34:37" x14ac:dyDescent="0.25">
      <c r="AH1748" s="75"/>
      <c r="AK1748" s="75"/>
    </row>
    <row r="1749" spans="34:37" x14ac:dyDescent="0.25">
      <c r="AH1749" s="75"/>
      <c r="AK1749" s="75"/>
    </row>
    <row r="1750" spans="34:37" x14ac:dyDescent="0.25">
      <c r="AH1750" s="75"/>
      <c r="AK1750" s="75"/>
    </row>
    <row r="1751" spans="34:37" x14ac:dyDescent="0.25">
      <c r="AH1751" s="75"/>
      <c r="AK1751" s="75"/>
    </row>
    <row r="1752" spans="34:37" x14ac:dyDescent="0.25">
      <c r="AH1752" s="75"/>
      <c r="AK1752" s="75"/>
    </row>
    <row r="1753" spans="34:37" x14ac:dyDescent="0.25">
      <c r="AH1753" s="75"/>
      <c r="AK1753" s="75"/>
    </row>
    <row r="1754" spans="34:37" x14ac:dyDescent="0.25">
      <c r="AH1754" s="75"/>
      <c r="AK1754" s="75"/>
    </row>
    <row r="1755" spans="34:37" x14ac:dyDescent="0.25">
      <c r="AH1755" s="75"/>
      <c r="AK1755" s="75"/>
    </row>
    <row r="1756" spans="34:37" x14ac:dyDescent="0.25">
      <c r="AH1756" s="75"/>
      <c r="AK1756" s="75"/>
    </row>
    <row r="1757" spans="34:37" x14ac:dyDescent="0.25">
      <c r="AH1757" s="75"/>
      <c r="AK1757" s="75"/>
    </row>
    <row r="1758" spans="34:37" x14ac:dyDescent="0.25">
      <c r="AH1758" s="75"/>
      <c r="AK1758" s="75"/>
    </row>
    <row r="1759" spans="34:37" x14ac:dyDescent="0.25">
      <c r="AH1759" s="75"/>
      <c r="AK1759" s="75"/>
    </row>
    <row r="1760" spans="34:37" x14ac:dyDescent="0.25">
      <c r="AH1760" s="75"/>
      <c r="AK1760" s="75"/>
    </row>
    <row r="1761" spans="34:37" x14ac:dyDescent="0.25">
      <c r="AH1761" s="75"/>
      <c r="AK1761" s="75"/>
    </row>
    <row r="1762" spans="34:37" x14ac:dyDescent="0.25">
      <c r="AH1762" s="75"/>
      <c r="AK1762" s="75"/>
    </row>
    <row r="1763" spans="34:37" x14ac:dyDescent="0.25">
      <c r="AH1763" s="75"/>
      <c r="AK1763" s="75"/>
    </row>
    <row r="1764" spans="34:37" x14ac:dyDescent="0.25">
      <c r="AH1764" s="75"/>
      <c r="AK1764" s="75"/>
    </row>
    <row r="1765" spans="34:37" x14ac:dyDescent="0.25">
      <c r="AH1765" s="75"/>
      <c r="AK1765" s="75"/>
    </row>
    <row r="1766" spans="34:37" x14ac:dyDescent="0.25">
      <c r="AH1766" s="75"/>
      <c r="AK1766" s="75"/>
    </row>
    <row r="1767" spans="34:37" x14ac:dyDescent="0.25">
      <c r="AH1767" s="75"/>
      <c r="AK1767" s="75"/>
    </row>
    <row r="1768" spans="34:37" x14ac:dyDescent="0.25">
      <c r="AH1768" s="75"/>
      <c r="AK1768" s="75"/>
    </row>
    <row r="1769" spans="34:37" x14ac:dyDescent="0.25">
      <c r="AH1769" s="75"/>
      <c r="AK1769" s="75"/>
    </row>
    <row r="1770" spans="34:37" x14ac:dyDescent="0.25">
      <c r="AH1770" s="75"/>
      <c r="AK1770" s="75"/>
    </row>
    <row r="1771" spans="34:37" x14ac:dyDescent="0.25">
      <c r="AH1771" s="75"/>
      <c r="AK1771" s="75"/>
    </row>
    <row r="1772" spans="34:37" x14ac:dyDescent="0.25">
      <c r="AH1772" s="75"/>
      <c r="AK1772" s="75"/>
    </row>
    <row r="1773" spans="34:37" x14ac:dyDescent="0.25">
      <c r="AH1773" s="75"/>
      <c r="AK1773" s="75"/>
    </row>
    <row r="1774" spans="34:37" x14ac:dyDescent="0.25">
      <c r="AH1774" s="75"/>
      <c r="AK1774" s="75"/>
    </row>
    <row r="1775" spans="34:37" x14ac:dyDescent="0.25">
      <c r="AH1775" s="75"/>
      <c r="AK1775" s="75"/>
    </row>
    <row r="1776" spans="34:37" x14ac:dyDescent="0.25">
      <c r="AH1776" s="75"/>
      <c r="AK1776" s="75"/>
    </row>
    <row r="1777" spans="34:37" x14ac:dyDescent="0.25">
      <c r="AH1777" s="75"/>
      <c r="AK1777" s="75"/>
    </row>
    <row r="1778" spans="34:37" x14ac:dyDescent="0.25">
      <c r="AH1778" s="75"/>
      <c r="AK1778" s="75"/>
    </row>
    <row r="1779" spans="34:37" x14ac:dyDescent="0.25">
      <c r="AH1779" s="75"/>
      <c r="AK1779" s="75"/>
    </row>
    <row r="1780" spans="34:37" x14ac:dyDescent="0.25">
      <c r="AH1780" s="75"/>
      <c r="AK1780" s="75"/>
    </row>
    <row r="1781" spans="34:37" x14ac:dyDescent="0.25">
      <c r="AH1781" s="75"/>
      <c r="AK1781" s="75"/>
    </row>
    <row r="1782" spans="34:37" x14ac:dyDescent="0.25">
      <c r="AH1782" s="75"/>
      <c r="AK1782" s="75"/>
    </row>
    <row r="1783" spans="34:37" x14ac:dyDescent="0.25">
      <c r="AH1783" s="75"/>
      <c r="AK1783" s="75"/>
    </row>
    <row r="1784" spans="34:37" x14ac:dyDescent="0.25">
      <c r="AH1784" s="75"/>
      <c r="AK1784" s="75"/>
    </row>
    <row r="1785" spans="34:37" x14ac:dyDescent="0.25">
      <c r="AH1785" s="75"/>
      <c r="AK1785" s="75"/>
    </row>
    <row r="1786" spans="34:37" x14ac:dyDescent="0.25">
      <c r="AH1786" s="75"/>
      <c r="AK1786" s="75"/>
    </row>
    <row r="1787" spans="34:37" x14ac:dyDescent="0.25">
      <c r="AH1787" s="75"/>
      <c r="AK1787" s="75"/>
    </row>
    <row r="1788" spans="34:37" x14ac:dyDescent="0.25">
      <c r="AH1788" s="75"/>
      <c r="AK1788" s="75"/>
    </row>
    <row r="1789" spans="34:37" x14ac:dyDescent="0.25">
      <c r="AH1789" s="75"/>
      <c r="AK1789" s="75"/>
    </row>
    <row r="1790" spans="34:37" x14ac:dyDescent="0.25">
      <c r="AH1790" s="75"/>
      <c r="AK1790" s="75"/>
    </row>
    <row r="1791" spans="34:37" x14ac:dyDescent="0.25">
      <c r="AH1791" s="75"/>
      <c r="AK1791" s="75"/>
    </row>
    <row r="1792" spans="34:37" x14ac:dyDescent="0.25">
      <c r="AH1792" s="75"/>
      <c r="AK1792" s="75"/>
    </row>
    <row r="1793" spans="34:37" x14ac:dyDescent="0.25">
      <c r="AH1793" s="75"/>
      <c r="AK1793" s="75"/>
    </row>
    <row r="1794" spans="34:37" x14ac:dyDescent="0.25">
      <c r="AH1794" s="75"/>
      <c r="AK1794" s="75"/>
    </row>
    <row r="1795" spans="34:37" x14ac:dyDescent="0.25">
      <c r="AH1795" s="75"/>
      <c r="AK1795" s="75"/>
    </row>
    <row r="1796" spans="34:37" x14ac:dyDescent="0.25">
      <c r="AH1796" s="75"/>
      <c r="AK1796" s="75"/>
    </row>
    <row r="1797" spans="34:37" x14ac:dyDescent="0.25">
      <c r="AH1797" s="75"/>
      <c r="AK1797" s="75"/>
    </row>
    <row r="1798" spans="34:37" x14ac:dyDescent="0.25">
      <c r="AH1798" s="75"/>
      <c r="AK1798" s="75"/>
    </row>
    <row r="1799" spans="34:37" x14ac:dyDescent="0.25">
      <c r="AH1799" s="75"/>
      <c r="AK1799" s="75"/>
    </row>
    <row r="1800" spans="34:37" x14ac:dyDescent="0.25">
      <c r="AH1800" s="75"/>
      <c r="AK1800" s="75"/>
    </row>
    <row r="1801" spans="34:37" x14ac:dyDescent="0.25">
      <c r="AH1801" s="75"/>
      <c r="AK1801" s="75"/>
    </row>
    <row r="1802" spans="34:37" x14ac:dyDescent="0.25">
      <c r="AH1802" s="75"/>
      <c r="AK1802" s="75"/>
    </row>
    <row r="1803" spans="34:37" x14ac:dyDescent="0.25">
      <c r="AH1803" s="75"/>
      <c r="AK1803" s="75"/>
    </row>
    <row r="1804" spans="34:37" x14ac:dyDescent="0.25">
      <c r="AH1804" s="75"/>
      <c r="AK1804" s="75"/>
    </row>
    <row r="1805" spans="34:37" x14ac:dyDescent="0.25">
      <c r="AH1805" s="75"/>
      <c r="AK1805" s="75"/>
    </row>
    <row r="1806" spans="34:37" x14ac:dyDescent="0.25">
      <c r="AH1806" s="75"/>
      <c r="AK1806" s="75"/>
    </row>
    <row r="1807" spans="34:37" x14ac:dyDescent="0.25">
      <c r="AH1807" s="75"/>
      <c r="AK1807" s="75"/>
    </row>
    <row r="1808" spans="34:37" x14ac:dyDescent="0.25">
      <c r="AH1808" s="75"/>
      <c r="AK1808" s="75"/>
    </row>
    <row r="1809" spans="34:37" x14ac:dyDescent="0.25">
      <c r="AH1809" s="75"/>
      <c r="AK1809" s="75"/>
    </row>
    <row r="1810" spans="34:37" x14ac:dyDescent="0.25">
      <c r="AH1810" s="75"/>
      <c r="AK1810" s="75"/>
    </row>
    <row r="1811" spans="34:37" x14ac:dyDescent="0.25">
      <c r="AH1811" s="75"/>
      <c r="AK1811" s="75"/>
    </row>
    <row r="1812" spans="34:37" x14ac:dyDescent="0.25">
      <c r="AH1812" s="75"/>
      <c r="AK1812" s="75"/>
    </row>
    <row r="1813" spans="34:37" x14ac:dyDescent="0.25">
      <c r="AH1813" s="75"/>
      <c r="AK1813" s="75"/>
    </row>
    <row r="1814" spans="34:37" x14ac:dyDescent="0.25">
      <c r="AH1814" s="75"/>
      <c r="AK1814" s="75"/>
    </row>
    <row r="1815" spans="34:37" x14ac:dyDescent="0.25">
      <c r="AH1815" s="75"/>
      <c r="AK1815" s="75"/>
    </row>
    <row r="1816" spans="34:37" x14ac:dyDescent="0.25">
      <c r="AH1816" s="75"/>
      <c r="AK1816" s="75"/>
    </row>
    <row r="1817" spans="34:37" x14ac:dyDescent="0.25">
      <c r="AH1817" s="75"/>
      <c r="AK1817" s="75"/>
    </row>
    <row r="1818" spans="34:37" x14ac:dyDescent="0.25">
      <c r="AH1818" s="75"/>
      <c r="AK1818" s="75"/>
    </row>
    <row r="1819" spans="34:37" x14ac:dyDescent="0.25">
      <c r="AH1819" s="75"/>
      <c r="AK1819" s="75"/>
    </row>
    <row r="1820" spans="34:37" x14ac:dyDescent="0.25">
      <c r="AH1820" s="75"/>
      <c r="AK1820" s="75"/>
    </row>
    <row r="1821" spans="34:37" x14ac:dyDescent="0.25">
      <c r="AH1821" s="75"/>
      <c r="AK1821" s="75"/>
    </row>
    <row r="1822" spans="34:37" x14ac:dyDescent="0.25">
      <c r="AH1822" s="75"/>
      <c r="AK1822" s="75"/>
    </row>
    <row r="1823" spans="34:37" x14ac:dyDescent="0.25">
      <c r="AH1823" s="75"/>
      <c r="AK1823" s="75"/>
    </row>
    <row r="1824" spans="34:37" x14ac:dyDescent="0.25">
      <c r="AH1824" s="75"/>
      <c r="AK1824" s="75"/>
    </row>
    <row r="1825" spans="34:37" x14ac:dyDescent="0.25">
      <c r="AH1825" s="75"/>
      <c r="AK1825" s="75"/>
    </row>
    <row r="1826" spans="34:37" x14ac:dyDescent="0.25">
      <c r="AH1826" s="75"/>
      <c r="AK1826" s="75"/>
    </row>
    <row r="1827" spans="34:37" x14ac:dyDescent="0.25">
      <c r="AH1827" s="75"/>
      <c r="AK1827" s="75"/>
    </row>
    <row r="1828" spans="34:37" x14ac:dyDescent="0.25">
      <c r="AH1828" s="75"/>
      <c r="AK1828" s="75"/>
    </row>
    <row r="1829" spans="34:37" x14ac:dyDescent="0.25">
      <c r="AH1829" s="75"/>
      <c r="AK1829" s="75"/>
    </row>
    <row r="1830" spans="34:37" x14ac:dyDescent="0.25">
      <c r="AH1830" s="75"/>
      <c r="AK1830" s="75"/>
    </row>
    <row r="1831" spans="34:37" x14ac:dyDescent="0.25">
      <c r="AH1831" s="75"/>
      <c r="AK1831" s="75"/>
    </row>
    <row r="1832" spans="34:37" x14ac:dyDescent="0.25">
      <c r="AH1832" s="75"/>
      <c r="AK1832" s="75"/>
    </row>
    <row r="1833" spans="34:37" x14ac:dyDescent="0.25">
      <c r="AH1833" s="75"/>
      <c r="AK1833" s="75"/>
    </row>
    <row r="1834" spans="34:37" x14ac:dyDescent="0.25">
      <c r="AH1834" s="75"/>
      <c r="AK1834" s="75"/>
    </row>
    <row r="1835" spans="34:37" x14ac:dyDescent="0.25">
      <c r="AH1835" s="75"/>
      <c r="AK1835" s="75"/>
    </row>
    <row r="1836" spans="34:37" x14ac:dyDescent="0.25">
      <c r="AH1836" s="75"/>
      <c r="AK1836" s="75"/>
    </row>
    <row r="1837" spans="34:37" x14ac:dyDescent="0.25">
      <c r="AH1837" s="75"/>
      <c r="AK1837" s="75"/>
    </row>
    <row r="1838" spans="34:37" x14ac:dyDescent="0.25">
      <c r="AH1838" s="75"/>
      <c r="AK1838" s="75"/>
    </row>
    <row r="1839" spans="34:37" x14ac:dyDescent="0.25">
      <c r="AH1839" s="75"/>
      <c r="AK1839" s="75"/>
    </row>
    <row r="1840" spans="34:37" x14ac:dyDescent="0.25">
      <c r="AH1840" s="75"/>
      <c r="AK1840" s="75"/>
    </row>
    <row r="1841" spans="34:37" x14ac:dyDescent="0.25">
      <c r="AH1841" s="75"/>
      <c r="AK1841" s="75"/>
    </row>
    <row r="1842" spans="34:37" x14ac:dyDescent="0.25">
      <c r="AH1842" s="75"/>
      <c r="AK1842" s="75"/>
    </row>
    <row r="1843" spans="34:37" x14ac:dyDescent="0.25">
      <c r="AH1843" s="75"/>
      <c r="AK1843" s="75"/>
    </row>
    <row r="1844" spans="34:37" x14ac:dyDescent="0.25">
      <c r="AH1844" s="75"/>
      <c r="AK1844" s="75"/>
    </row>
    <row r="1845" spans="34:37" x14ac:dyDescent="0.25">
      <c r="AH1845" s="75"/>
      <c r="AK1845" s="75"/>
    </row>
    <row r="1846" spans="34:37" x14ac:dyDescent="0.25">
      <c r="AH1846" s="75"/>
      <c r="AK1846" s="75"/>
    </row>
    <row r="1847" spans="34:37" x14ac:dyDescent="0.25">
      <c r="AH1847" s="75"/>
      <c r="AK1847" s="75"/>
    </row>
    <row r="1848" spans="34:37" x14ac:dyDescent="0.25">
      <c r="AH1848" s="75"/>
      <c r="AK1848" s="75"/>
    </row>
    <row r="1849" spans="34:37" x14ac:dyDescent="0.25">
      <c r="AH1849" s="75"/>
      <c r="AK1849" s="75"/>
    </row>
    <row r="1850" spans="34:37" x14ac:dyDescent="0.25">
      <c r="AH1850" s="75"/>
      <c r="AK1850" s="75"/>
    </row>
    <row r="1851" spans="34:37" x14ac:dyDescent="0.25">
      <c r="AH1851" s="75"/>
      <c r="AK1851" s="75"/>
    </row>
    <row r="1852" spans="34:37" x14ac:dyDescent="0.25">
      <c r="AH1852" s="75"/>
      <c r="AK1852" s="75"/>
    </row>
    <row r="1853" spans="34:37" x14ac:dyDescent="0.25">
      <c r="AH1853" s="75"/>
      <c r="AK1853" s="75"/>
    </row>
    <row r="1854" spans="34:37" x14ac:dyDescent="0.25">
      <c r="AH1854" s="75"/>
      <c r="AK1854" s="75"/>
    </row>
    <row r="1855" spans="34:37" x14ac:dyDescent="0.25">
      <c r="AH1855" s="75"/>
      <c r="AK1855" s="75"/>
    </row>
    <row r="1856" spans="34:37" x14ac:dyDescent="0.25">
      <c r="AH1856" s="75"/>
      <c r="AK1856" s="75"/>
    </row>
    <row r="1857" spans="34:37" x14ac:dyDescent="0.25">
      <c r="AH1857" s="75"/>
      <c r="AK1857" s="75"/>
    </row>
    <row r="1858" spans="34:37" x14ac:dyDescent="0.25">
      <c r="AH1858" s="75"/>
      <c r="AK1858" s="75"/>
    </row>
    <row r="1859" spans="34:37" x14ac:dyDescent="0.25">
      <c r="AH1859" s="75"/>
      <c r="AK1859" s="75"/>
    </row>
    <row r="1860" spans="34:37" x14ac:dyDescent="0.25">
      <c r="AH1860" s="75"/>
      <c r="AK1860" s="75"/>
    </row>
    <row r="1861" spans="34:37" x14ac:dyDescent="0.25">
      <c r="AH1861" s="75"/>
      <c r="AK1861" s="75"/>
    </row>
    <row r="1862" spans="34:37" x14ac:dyDescent="0.25">
      <c r="AH1862" s="75"/>
      <c r="AK1862" s="75"/>
    </row>
    <row r="1863" spans="34:37" x14ac:dyDescent="0.25">
      <c r="AH1863" s="75"/>
      <c r="AK1863" s="75"/>
    </row>
    <row r="1864" spans="34:37" x14ac:dyDescent="0.25">
      <c r="AH1864" s="75"/>
      <c r="AK1864" s="75"/>
    </row>
    <row r="1865" spans="34:37" x14ac:dyDescent="0.25">
      <c r="AH1865" s="75"/>
      <c r="AK1865" s="75"/>
    </row>
    <row r="1866" spans="34:37" x14ac:dyDescent="0.25">
      <c r="AH1866" s="75"/>
      <c r="AK1866" s="75"/>
    </row>
    <row r="1867" spans="34:37" x14ac:dyDescent="0.25">
      <c r="AH1867" s="75"/>
      <c r="AK1867" s="75"/>
    </row>
    <row r="1868" spans="34:37" x14ac:dyDescent="0.25">
      <c r="AH1868" s="75"/>
      <c r="AK1868" s="75"/>
    </row>
    <row r="1869" spans="34:37" x14ac:dyDescent="0.25">
      <c r="AH1869" s="75"/>
      <c r="AK1869" s="75"/>
    </row>
    <row r="1870" spans="34:37" x14ac:dyDescent="0.25">
      <c r="AH1870" s="75"/>
      <c r="AK1870" s="75"/>
    </row>
    <row r="1871" spans="34:37" x14ac:dyDescent="0.25">
      <c r="AH1871" s="75"/>
      <c r="AK1871" s="75"/>
    </row>
    <row r="1872" spans="34:37" x14ac:dyDescent="0.25">
      <c r="AH1872" s="75"/>
      <c r="AK1872" s="75"/>
    </row>
    <row r="1873" spans="34:37" x14ac:dyDescent="0.25">
      <c r="AH1873" s="75"/>
      <c r="AK1873" s="75"/>
    </row>
    <row r="1874" spans="34:37" x14ac:dyDescent="0.25">
      <c r="AH1874" s="75"/>
      <c r="AK1874" s="75"/>
    </row>
    <row r="1875" spans="34:37" x14ac:dyDescent="0.25">
      <c r="AH1875" s="75"/>
      <c r="AK1875" s="75"/>
    </row>
    <row r="1876" spans="34:37" x14ac:dyDescent="0.25">
      <c r="AH1876" s="75"/>
      <c r="AK1876" s="75"/>
    </row>
    <row r="1877" spans="34:37" x14ac:dyDescent="0.25">
      <c r="AH1877" s="75"/>
      <c r="AK1877" s="75"/>
    </row>
    <row r="1878" spans="34:37" x14ac:dyDescent="0.25">
      <c r="AH1878" s="75"/>
      <c r="AK1878" s="75"/>
    </row>
    <row r="1879" spans="34:37" x14ac:dyDescent="0.25">
      <c r="AH1879" s="75"/>
      <c r="AK1879" s="75"/>
    </row>
    <row r="1880" spans="34:37" x14ac:dyDescent="0.25">
      <c r="AH1880" s="75"/>
      <c r="AK1880" s="75"/>
    </row>
    <row r="1881" spans="34:37" x14ac:dyDescent="0.25">
      <c r="AH1881" s="75"/>
      <c r="AK1881" s="75"/>
    </row>
    <row r="1882" spans="34:37" x14ac:dyDescent="0.25">
      <c r="AH1882" s="75"/>
      <c r="AK1882" s="75"/>
    </row>
    <row r="1883" spans="34:37" x14ac:dyDescent="0.25">
      <c r="AH1883" s="75"/>
      <c r="AK1883" s="75"/>
    </row>
    <row r="1884" spans="34:37" x14ac:dyDescent="0.25">
      <c r="AH1884" s="75"/>
      <c r="AK1884" s="75"/>
    </row>
    <row r="1885" spans="34:37" x14ac:dyDescent="0.25">
      <c r="AH1885" s="75"/>
      <c r="AK1885" s="75"/>
    </row>
    <row r="1886" spans="34:37" x14ac:dyDescent="0.25">
      <c r="AH1886" s="75"/>
      <c r="AK1886" s="75"/>
    </row>
    <row r="1887" spans="34:37" x14ac:dyDescent="0.25">
      <c r="AH1887" s="75"/>
      <c r="AK1887" s="75"/>
    </row>
    <row r="1888" spans="34:37" x14ac:dyDescent="0.25">
      <c r="AH1888" s="75"/>
      <c r="AK1888" s="75"/>
    </row>
    <row r="1889" spans="34:37" x14ac:dyDescent="0.25">
      <c r="AH1889" s="75"/>
      <c r="AK1889" s="75"/>
    </row>
    <row r="1890" spans="34:37" x14ac:dyDescent="0.25">
      <c r="AH1890" s="75"/>
      <c r="AK1890" s="75"/>
    </row>
    <row r="1891" spans="34:37" x14ac:dyDescent="0.25">
      <c r="AH1891" s="75"/>
      <c r="AK1891" s="75"/>
    </row>
    <row r="1892" spans="34:37" x14ac:dyDescent="0.25">
      <c r="AH1892" s="75"/>
      <c r="AK1892" s="75"/>
    </row>
    <row r="1893" spans="34:37" x14ac:dyDescent="0.25">
      <c r="AH1893" s="75"/>
      <c r="AK1893" s="75"/>
    </row>
    <row r="1894" spans="34:37" x14ac:dyDescent="0.25">
      <c r="AH1894" s="75"/>
      <c r="AK1894" s="75"/>
    </row>
    <row r="1895" spans="34:37" x14ac:dyDescent="0.25">
      <c r="AH1895" s="75"/>
      <c r="AK1895" s="75"/>
    </row>
    <row r="1896" spans="34:37" x14ac:dyDescent="0.25">
      <c r="AH1896" s="75"/>
      <c r="AK1896" s="75"/>
    </row>
    <row r="1897" spans="34:37" x14ac:dyDescent="0.25">
      <c r="AH1897" s="75"/>
      <c r="AK1897" s="75"/>
    </row>
    <row r="1898" spans="34:37" x14ac:dyDescent="0.25">
      <c r="AH1898" s="75"/>
      <c r="AK1898" s="75"/>
    </row>
    <row r="1899" spans="34:37" x14ac:dyDescent="0.25">
      <c r="AH1899" s="75"/>
      <c r="AK1899" s="75"/>
    </row>
    <row r="1900" spans="34:37" x14ac:dyDescent="0.25">
      <c r="AH1900" s="75"/>
      <c r="AK1900" s="75"/>
    </row>
    <row r="1901" spans="34:37" x14ac:dyDescent="0.25">
      <c r="AH1901" s="75"/>
      <c r="AK1901" s="75"/>
    </row>
    <row r="1902" spans="34:37" x14ac:dyDescent="0.25">
      <c r="AH1902" s="75"/>
      <c r="AK1902" s="75"/>
    </row>
    <row r="1903" spans="34:37" x14ac:dyDescent="0.25">
      <c r="AH1903" s="75"/>
      <c r="AK1903" s="75"/>
    </row>
    <row r="1904" spans="34:37" x14ac:dyDescent="0.25">
      <c r="AH1904" s="75"/>
      <c r="AK1904" s="75"/>
    </row>
    <row r="1905" spans="34:37" x14ac:dyDescent="0.25">
      <c r="AH1905" s="75"/>
      <c r="AK1905" s="75"/>
    </row>
    <row r="1906" spans="34:37" x14ac:dyDescent="0.25">
      <c r="AH1906" s="75"/>
      <c r="AK1906" s="75"/>
    </row>
    <row r="1907" spans="34:37" x14ac:dyDescent="0.25">
      <c r="AH1907" s="75"/>
      <c r="AK1907" s="75"/>
    </row>
    <row r="1908" spans="34:37" x14ac:dyDescent="0.25">
      <c r="AH1908" s="75"/>
      <c r="AK1908" s="75"/>
    </row>
    <row r="1909" spans="34:37" x14ac:dyDescent="0.25">
      <c r="AH1909" s="75"/>
      <c r="AK1909" s="75"/>
    </row>
    <row r="1910" spans="34:37" x14ac:dyDescent="0.25">
      <c r="AH1910" s="75"/>
      <c r="AK1910" s="75"/>
    </row>
    <row r="1911" spans="34:37" x14ac:dyDescent="0.25">
      <c r="AH1911" s="75"/>
      <c r="AK1911" s="75"/>
    </row>
    <row r="1912" spans="34:37" x14ac:dyDescent="0.25">
      <c r="AH1912" s="75"/>
      <c r="AK1912" s="75"/>
    </row>
    <row r="1913" spans="34:37" x14ac:dyDescent="0.25">
      <c r="AH1913" s="75"/>
      <c r="AK1913" s="75"/>
    </row>
    <row r="1914" spans="34:37" x14ac:dyDescent="0.25">
      <c r="AH1914" s="75"/>
      <c r="AK1914" s="75"/>
    </row>
    <row r="1915" spans="34:37" x14ac:dyDescent="0.25">
      <c r="AH1915" s="75"/>
      <c r="AK1915" s="75"/>
    </row>
    <row r="1916" spans="34:37" x14ac:dyDescent="0.25">
      <c r="AH1916" s="75"/>
      <c r="AK1916" s="75"/>
    </row>
    <row r="1917" spans="34:37" x14ac:dyDescent="0.25">
      <c r="AH1917" s="75"/>
      <c r="AK1917" s="75"/>
    </row>
    <row r="1918" spans="34:37" x14ac:dyDescent="0.25">
      <c r="AH1918" s="75"/>
      <c r="AK1918" s="75"/>
    </row>
    <row r="1919" spans="34:37" x14ac:dyDescent="0.25">
      <c r="AH1919" s="75"/>
      <c r="AK1919" s="75"/>
    </row>
    <row r="1920" spans="34:37" x14ac:dyDescent="0.25">
      <c r="AH1920" s="75"/>
      <c r="AK1920" s="75"/>
    </row>
    <row r="1921" spans="34:37" x14ac:dyDescent="0.25">
      <c r="AH1921" s="75"/>
      <c r="AK1921" s="75"/>
    </row>
    <row r="1922" spans="34:37" x14ac:dyDescent="0.25">
      <c r="AH1922" s="75"/>
      <c r="AK1922" s="75"/>
    </row>
    <row r="1923" spans="34:37" x14ac:dyDescent="0.25">
      <c r="AH1923" s="75"/>
      <c r="AK1923" s="75"/>
    </row>
    <row r="1924" spans="34:37" x14ac:dyDescent="0.25">
      <c r="AH1924" s="75"/>
      <c r="AK1924" s="75"/>
    </row>
    <row r="1925" spans="34:37" x14ac:dyDescent="0.25">
      <c r="AH1925" s="75"/>
      <c r="AK1925" s="75"/>
    </row>
    <row r="1926" spans="34:37" x14ac:dyDescent="0.25">
      <c r="AH1926" s="75"/>
      <c r="AK1926" s="75"/>
    </row>
    <row r="1927" spans="34:37" x14ac:dyDescent="0.25">
      <c r="AH1927" s="75"/>
      <c r="AK1927" s="75"/>
    </row>
    <row r="1928" spans="34:37" x14ac:dyDescent="0.25">
      <c r="AH1928" s="75"/>
      <c r="AK1928" s="75"/>
    </row>
    <row r="1929" spans="34:37" x14ac:dyDescent="0.25">
      <c r="AH1929" s="75"/>
      <c r="AK1929" s="75"/>
    </row>
    <row r="1930" spans="34:37" x14ac:dyDescent="0.25">
      <c r="AH1930" s="75"/>
      <c r="AK1930" s="75"/>
    </row>
    <row r="1931" spans="34:37" x14ac:dyDescent="0.25">
      <c r="AH1931" s="75"/>
      <c r="AK1931" s="75"/>
    </row>
    <row r="1932" spans="34:37" x14ac:dyDescent="0.25">
      <c r="AH1932" s="75"/>
      <c r="AK1932" s="75"/>
    </row>
    <row r="1933" spans="34:37" x14ac:dyDescent="0.25">
      <c r="AH1933" s="75"/>
      <c r="AK1933" s="75"/>
    </row>
    <row r="1934" spans="34:37" x14ac:dyDescent="0.25">
      <c r="AH1934" s="75"/>
      <c r="AK1934" s="75"/>
    </row>
    <row r="1935" spans="34:37" x14ac:dyDescent="0.25">
      <c r="AH1935" s="75"/>
      <c r="AK1935" s="75"/>
    </row>
    <row r="1936" spans="34:37" x14ac:dyDescent="0.25">
      <c r="AH1936" s="75"/>
      <c r="AK1936" s="75"/>
    </row>
    <row r="1937" spans="34:37" x14ac:dyDescent="0.25">
      <c r="AH1937" s="75"/>
      <c r="AK1937" s="75"/>
    </row>
    <row r="1938" spans="34:37" x14ac:dyDescent="0.25">
      <c r="AH1938" s="75"/>
      <c r="AK1938" s="75"/>
    </row>
    <row r="1939" spans="34:37" x14ac:dyDescent="0.25">
      <c r="AH1939" s="75"/>
      <c r="AK1939" s="75"/>
    </row>
    <row r="1940" spans="34:37" x14ac:dyDescent="0.25">
      <c r="AH1940" s="75"/>
      <c r="AK1940" s="75"/>
    </row>
    <row r="1941" spans="34:37" x14ac:dyDescent="0.25">
      <c r="AH1941" s="75"/>
      <c r="AK1941" s="75"/>
    </row>
    <row r="1942" spans="34:37" x14ac:dyDescent="0.25">
      <c r="AH1942" s="75"/>
      <c r="AK1942" s="75"/>
    </row>
    <row r="1943" spans="34:37" x14ac:dyDescent="0.25">
      <c r="AH1943" s="75"/>
      <c r="AK1943" s="75"/>
    </row>
    <row r="1944" spans="34:37" x14ac:dyDescent="0.25">
      <c r="AH1944" s="75"/>
      <c r="AK1944" s="75"/>
    </row>
    <row r="1945" spans="34:37" x14ac:dyDescent="0.25">
      <c r="AH1945" s="75"/>
      <c r="AK1945" s="75"/>
    </row>
    <row r="1946" spans="34:37" x14ac:dyDescent="0.25">
      <c r="AH1946" s="75"/>
      <c r="AK1946" s="75"/>
    </row>
    <row r="1947" spans="34:37" x14ac:dyDescent="0.25">
      <c r="AH1947" s="75"/>
      <c r="AK1947" s="75"/>
    </row>
    <row r="1948" spans="34:37" x14ac:dyDescent="0.25">
      <c r="AH1948" s="75"/>
      <c r="AK1948" s="75"/>
    </row>
    <row r="1949" spans="34:37" x14ac:dyDescent="0.25">
      <c r="AH1949" s="75"/>
      <c r="AK1949" s="75"/>
    </row>
    <row r="1950" spans="34:37" x14ac:dyDescent="0.25">
      <c r="AH1950" s="75"/>
      <c r="AK1950" s="75"/>
    </row>
    <row r="1951" spans="34:37" x14ac:dyDescent="0.25">
      <c r="AH1951" s="75"/>
      <c r="AK1951" s="75"/>
    </row>
    <row r="1952" spans="34:37" x14ac:dyDescent="0.25">
      <c r="AH1952" s="75"/>
      <c r="AK1952" s="75"/>
    </row>
    <row r="1953" spans="34:37" x14ac:dyDescent="0.25">
      <c r="AH1953" s="75"/>
      <c r="AK1953" s="75"/>
    </row>
    <row r="1954" spans="34:37" x14ac:dyDescent="0.25">
      <c r="AH1954" s="75"/>
      <c r="AK1954" s="75"/>
    </row>
    <row r="1955" spans="34:37" x14ac:dyDescent="0.25">
      <c r="AH1955" s="75"/>
      <c r="AK1955" s="75"/>
    </row>
    <row r="1956" spans="34:37" x14ac:dyDescent="0.25">
      <c r="AH1956" s="75"/>
      <c r="AK1956" s="75"/>
    </row>
    <row r="1957" spans="34:37" x14ac:dyDescent="0.25">
      <c r="AH1957" s="75"/>
      <c r="AK1957" s="75"/>
    </row>
    <row r="1958" spans="34:37" x14ac:dyDescent="0.25">
      <c r="AH1958" s="75"/>
      <c r="AK1958" s="75"/>
    </row>
    <row r="1959" spans="34:37" x14ac:dyDescent="0.25">
      <c r="AH1959" s="75"/>
      <c r="AK1959" s="75"/>
    </row>
    <row r="1960" spans="34:37" x14ac:dyDescent="0.25">
      <c r="AH1960" s="75"/>
      <c r="AK1960" s="75"/>
    </row>
    <row r="1961" spans="34:37" x14ac:dyDescent="0.25">
      <c r="AH1961" s="75"/>
      <c r="AK1961" s="75"/>
    </row>
    <row r="1962" spans="34:37" x14ac:dyDescent="0.25">
      <c r="AH1962" s="75"/>
      <c r="AK1962" s="75"/>
    </row>
    <row r="1963" spans="34:37" x14ac:dyDescent="0.25">
      <c r="AH1963" s="75"/>
      <c r="AK1963" s="75"/>
    </row>
    <row r="1964" spans="34:37" x14ac:dyDescent="0.25">
      <c r="AH1964" s="75"/>
      <c r="AK1964" s="75"/>
    </row>
    <row r="1965" spans="34:37" x14ac:dyDescent="0.25">
      <c r="AH1965" s="75"/>
      <c r="AK1965" s="75"/>
    </row>
    <row r="1966" spans="34:37" x14ac:dyDescent="0.25">
      <c r="AH1966" s="75"/>
      <c r="AK1966" s="75"/>
    </row>
    <row r="1967" spans="34:37" x14ac:dyDescent="0.25">
      <c r="AH1967" s="75"/>
      <c r="AK1967" s="75"/>
    </row>
    <row r="1968" spans="34:37" x14ac:dyDescent="0.25">
      <c r="AH1968" s="75"/>
      <c r="AK1968" s="75"/>
    </row>
    <row r="1969" spans="34:37" x14ac:dyDescent="0.25">
      <c r="AH1969" s="75"/>
      <c r="AK1969" s="75"/>
    </row>
    <row r="1970" spans="34:37" x14ac:dyDescent="0.25">
      <c r="AH1970" s="75"/>
      <c r="AK1970" s="75"/>
    </row>
    <row r="1971" spans="34:37" x14ac:dyDescent="0.25">
      <c r="AH1971" s="75"/>
      <c r="AK1971" s="75"/>
    </row>
    <row r="1972" spans="34:37" x14ac:dyDescent="0.25">
      <c r="AH1972" s="75"/>
      <c r="AK1972" s="75"/>
    </row>
    <row r="1973" spans="34:37" x14ac:dyDescent="0.25">
      <c r="AH1973" s="75"/>
      <c r="AK1973" s="75"/>
    </row>
    <row r="1974" spans="34:37" x14ac:dyDescent="0.25">
      <c r="AH1974" s="75"/>
      <c r="AK1974" s="75"/>
    </row>
    <row r="1975" spans="34:37" x14ac:dyDescent="0.25">
      <c r="AH1975" s="75"/>
      <c r="AK1975" s="75"/>
    </row>
    <row r="1976" spans="34:37" x14ac:dyDescent="0.25">
      <c r="AH1976" s="75"/>
      <c r="AK1976" s="75"/>
    </row>
    <row r="1977" spans="34:37" x14ac:dyDescent="0.25">
      <c r="AH1977" s="75"/>
      <c r="AK1977" s="75"/>
    </row>
    <row r="1978" spans="34:37" x14ac:dyDescent="0.25">
      <c r="AH1978" s="75"/>
      <c r="AK1978" s="75"/>
    </row>
    <row r="1979" spans="34:37" x14ac:dyDescent="0.25">
      <c r="AH1979" s="75"/>
      <c r="AK1979" s="75"/>
    </row>
    <row r="1980" spans="34:37" x14ac:dyDescent="0.25">
      <c r="AH1980" s="75"/>
      <c r="AK1980" s="75"/>
    </row>
    <row r="1981" spans="34:37" x14ac:dyDescent="0.25">
      <c r="AH1981" s="75"/>
      <c r="AK1981" s="75"/>
    </row>
    <row r="1982" spans="34:37" x14ac:dyDescent="0.25">
      <c r="AH1982" s="75"/>
      <c r="AK1982" s="75"/>
    </row>
    <row r="1983" spans="34:37" x14ac:dyDescent="0.25">
      <c r="AH1983" s="75"/>
      <c r="AK1983" s="75"/>
    </row>
    <row r="1984" spans="34:37" x14ac:dyDescent="0.25">
      <c r="AH1984" s="75"/>
      <c r="AK1984" s="75"/>
    </row>
    <row r="1985" spans="34:37" x14ac:dyDescent="0.25">
      <c r="AH1985" s="75"/>
      <c r="AK1985" s="75"/>
    </row>
    <row r="1986" spans="34:37" x14ac:dyDescent="0.25">
      <c r="AH1986" s="75"/>
      <c r="AK1986" s="75"/>
    </row>
    <row r="1987" spans="34:37" x14ac:dyDescent="0.25">
      <c r="AH1987" s="75"/>
      <c r="AK1987" s="75"/>
    </row>
    <row r="1988" spans="34:37" x14ac:dyDescent="0.25">
      <c r="AH1988" s="75"/>
      <c r="AK1988" s="75"/>
    </row>
    <row r="1989" spans="34:37" x14ac:dyDescent="0.25">
      <c r="AH1989" s="75"/>
      <c r="AK1989" s="75"/>
    </row>
    <row r="1990" spans="34:37" x14ac:dyDescent="0.25">
      <c r="AH1990" s="75"/>
      <c r="AK1990" s="75"/>
    </row>
    <row r="1991" spans="34:37" x14ac:dyDescent="0.25">
      <c r="AH1991" s="75"/>
      <c r="AK1991" s="75"/>
    </row>
    <row r="1992" spans="34:37" x14ac:dyDescent="0.25">
      <c r="AH1992" s="75"/>
      <c r="AK1992" s="75"/>
    </row>
    <row r="1993" spans="34:37" x14ac:dyDescent="0.25">
      <c r="AH1993" s="75"/>
      <c r="AK1993" s="75"/>
    </row>
    <row r="1994" spans="34:37" x14ac:dyDescent="0.25">
      <c r="AH1994" s="75"/>
      <c r="AK1994" s="75"/>
    </row>
    <row r="1995" spans="34:37" x14ac:dyDescent="0.25">
      <c r="AH1995" s="75"/>
      <c r="AK1995" s="75"/>
    </row>
    <row r="1996" spans="34:37" x14ac:dyDescent="0.25">
      <c r="AH1996" s="75"/>
      <c r="AK1996" s="75"/>
    </row>
    <row r="1997" spans="34:37" x14ac:dyDescent="0.25">
      <c r="AH1997" s="75"/>
      <c r="AK1997" s="75"/>
    </row>
    <row r="1998" spans="34:37" x14ac:dyDescent="0.25">
      <c r="AH1998" s="75"/>
      <c r="AK1998" s="75"/>
    </row>
    <row r="1999" spans="34:37" x14ac:dyDescent="0.25">
      <c r="AH1999" s="75"/>
      <c r="AK1999" s="75"/>
    </row>
    <row r="2000" spans="34:37" x14ac:dyDescent="0.25">
      <c r="AH2000" s="75"/>
      <c r="AK2000" s="75"/>
    </row>
    <row r="2001" spans="34:37" x14ac:dyDescent="0.25">
      <c r="AH2001" s="75"/>
      <c r="AK2001" s="75"/>
    </row>
    <row r="2002" spans="34:37" x14ac:dyDescent="0.25">
      <c r="AH2002" s="75"/>
      <c r="AK2002" s="75"/>
    </row>
    <row r="2003" spans="34:37" x14ac:dyDescent="0.25">
      <c r="AH2003" s="75"/>
      <c r="AK2003" s="75"/>
    </row>
    <row r="2004" spans="34:37" x14ac:dyDescent="0.25">
      <c r="AH2004" s="75"/>
      <c r="AK2004" s="75"/>
    </row>
    <row r="2005" spans="34:37" x14ac:dyDescent="0.25">
      <c r="AH2005" s="75"/>
      <c r="AK2005" s="75"/>
    </row>
    <row r="2006" spans="34:37" x14ac:dyDescent="0.25">
      <c r="AH2006" s="75"/>
      <c r="AK2006" s="75"/>
    </row>
    <row r="2007" spans="34:37" x14ac:dyDescent="0.25">
      <c r="AH2007" s="75"/>
      <c r="AK2007" s="75"/>
    </row>
    <row r="2008" spans="34:37" x14ac:dyDescent="0.25">
      <c r="AH2008" s="75"/>
      <c r="AK2008" s="75"/>
    </row>
    <row r="2009" spans="34:37" x14ac:dyDescent="0.25">
      <c r="AH2009" s="75"/>
      <c r="AK2009" s="75"/>
    </row>
    <row r="2010" spans="34:37" x14ac:dyDescent="0.25">
      <c r="AH2010" s="75"/>
      <c r="AK2010" s="75"/>
    </row>
    <row r="2011" spans="34:37" x14ac:dyDescent="0.25">
      <c r="AH2011" s="75"/>
      <c r="AK2011" s="75"/>
    </row>
    <row r="2012" spans="34:37" x14ac:dyDescent="0.25">
      <c r="AH2012" s="75"/>
      <c r="AK2012" s="75"/>
    </row>
    <row r="2013" spans="34:37" x14ac:dyDescent="0.25">
      <c r="AH2013" s="75"/>
      <c r="AK2013" s="75"/>
    </row>
    <row r="2014" spans="34:37" x14ac:dyDescent="0.25">
      <c r="AH2014" s="75"/>
      <c r="AK2014" s="75"/>
    </row>
    <row r="2015" spans="34:37" x14ac:dyDescent="0.25">
      <c r="AH2015" s="75"/>
      <c r="AK2015" s="75"/>
    </row>
    <row r="2016" spans="34:37" x14ac:dyDescent="0.25">
      <c r="AH2016" s="75"/>
      <c r="AK2016" s="75"/>
    </row>
    <row r="2017" spans="34:37" x14ac:dyDescent="0.25">
      <c r="AH2017" s="75"/>
      <c r="AK2017" s="75"/>
    </row>
    <row r="2018" spans="34:37" x14ac:dyDescent="0.25">
      <c r="AH2018" s="75"/>
      <c r="AK2018" s="75"/>
    </row>
    <row r="2019" spans="34:37" x14ac:dyDescent="0.25">
      <c r="AH2019" s="75"/>
      <c r="AK2019" s="75"/>
    </row>
    <row r="2020" spans="34:37" x14ac:dyDescent="0.25">
      <c r="AH2020" s="75"/>
      <c r="AK2020" s="75"/>
    </row>
    <row r="2021" spans="34:37" x14ac:dyDescent="0.25">
      <c r="AH2021" s="75"/>
      <c r="AK2021" s="75"/>
    </row>
    <row r="2022" spans="34:37" x14ac:dyDescent="0.25">
      <c r="AH2022" s="75"/>
      <c r="AK2022" s="75"/>
    </row>
    <row r="2023" spans="34:37" x14ac:dyDescent="0.25">
      <c r="AH2023" s="75"/>
      <c r="AK2023" s="75"/>
    </row>
    <row r="2024" spans="34:37" x14ac:dyDescent="0.25">
      <c r="AH2024" s="75"/>
      <c r="AK2024" s="75"/>
    </row>
    <row r="2025" spans="34:37" x14ac:dyDescent="0.25">
      <c r="AH2025" s="75"/>
      <c r="AK2025" s="75"/>
    </row>
    <row r="2026" spans="34:37" x14ac:dyDescent="0.25">
      <c r="AH2026" s="75"/>
      <c r="AK2026" s="75"/>
    </row>
    <row r="2027" spans="34:37" x14ac:dyDescent="0.25">
      <c r="AH2027" s="75"/>
      <c r="AK2027" s="75"/>
    </row>
    <row r="2028" spans="34:37" x14ac:dyDescent="0.25">
      <c r="AH2028" s="75"/>
      <c r="AK2028" s="75"/>
    </row>
    <row r="2029" spans="34:37" x14ac:dyDescent="0.25">
      <c r="AH2029" s="75"/>
      <c r="AK2029" s="75"/>
    </row>
    <row r="2030" spans="34:37" x14ac:dyDescent="0.25">
      <c r="AH2030" s="75"/>
      <c r="AK2030" s="75"/>
    </row>
    <row r="2031" spans="34:37" x14ac:dyDescent="0.25">
      <c r="AH2031" s="75"/>
      <c r="AK2031" s="75"/>
    </row>
    <row r="2032" spans="34:37" x14ac:dyDescent="0.25">
      <c r="AH2032" s="75"/>
      <c r="AK2032" s="75"/>
    </row>
    <row r="2033" spans="34:37" x14ac:dyDescent="0.25">
      <c r="AH2033" s="75"/>
      <c r="AK2033" s="75"/>
    </row>
    <row r="2034" spans="34:37" x14ac:dyDescent="0.25">
      <c r="AH2034" s="75"/>
      <c r="AK2034" s="75"/>
    </row>
    <row r="2035" spans="34:37" x14ac:dyDescent="0.25">
      <c r="AH2035" s="75"/>
      <c r="AK2035" s="75"/>
    </row>
    <row r="2036" spans="34:37" x14ac:dyDescent="0.25">
      <c r="AH2036" s="75"/>
      <c r="AK2036" s="75"/>
    </row>
    <row r="2037" spans="34:37" x14ac:dyDescent="0.25">
      <c r="AH2037" s="75"/>
      <c r="AK2037" s="75"/>
    </row>
    <row r="2038" spans="34:37" x14ac:dyDescent="0.25">
      <c r="AH2038" s="75"/>
      <c r="AK2038" s="75"/>
    </row>
    <row r="2039" spans="34:37" x14ac:dyDescent="0.25">
      <c r="AH2039" s="75"/>
      <c r="AK2039" s="75"/>
    </row>
    <row r="2040" spans="34:37" x14ac:dyDescent="0.25">
      <c r="AH2040" s="75"/>
      <c r="AK2040" s="75"/>
    </row>
    <row r="2041" spans="34:37" x14ac:dyDescent="0.25">
      <c r="AH2041" s="75"/>
      <c r="AK2041" s="75"/>
    </row>
    <row r="2042" spans="34:37" x14ac:dyDescent="0.25">
      <c r="AH2042" s="75"/>
      <c r="AK2042" s="75"/>
    </row>
    <row r="2043" spans="34:37" x14ac:dyDescent="0.25">
      <c r="AH2043" s="75"/>
      <c r="AK2043" s="75"/>
    </row>
    <row r="2044" spans="34:37" x14ac:dyDescent="0.25">
      <c r="AH2044" s="75"/>
      <c r="AK2044" s="75"/>
    </row>
    <row r="2045" spans="34:37" x14ac:dyDescent="0.25">
      <c r="AH2045" s="75"/>
      <c r="AK2045" s="75"/>
    </row>
    <row r="2046" spans="34:37" x14ac:dyDescent="0.25">
      <c r="AH2046" s="75"/>
      <c r="AK2046" s="75"/>
    </row>
    <row r="2047" spans="34:37" x14ac:dyDescent="0.25">
      <c r="AH2047" s="75"/>
      <c r="AK2047" s="75"/>
    </row>
    <row r="2048" spans="34:37" x14ac:dyDescent="0.25">
      <c r="AH2048" s="75"/>
      <c r="AK2048" s="75"/>
    </row>
    <row r="2049" spans="34:37" x14ac:dyDescent="0.25">
      <c r="AH2049" s="75"/>
      <c r="AK2049" s="75"/>
    </row>
    <row r="2050" spans="34:37" x14ac:dyDescent="0.25">
      <c r="AH2050" s="75"/>
      <c r="AK2050" s="75"/>
    </row>
    <row r="2051" spans="34:37" x14ac:dyDescent="0.25">
      <c r="AH2051" s="75"/>
      <c r="AK2051" s="75"/>
    </row>
    <row r="2052" spans="34:37" x14ac:dyDescent="0.25">
      <c r="AH2052" s="75"/>
      <c r="AK2052" s="75"/>
    </row>
    <row r="2053" spans="34:37" x14ac:dyDescent="0.25">
      <c r="AH2053" s="75"/>
      <c r="AK2053" s="75"/>
    </row>
    <row r="2054" spans="34:37" x14ac:dyDescent="0.25">
      <c r="AH2054" s="75"/>
      <c r="AK2054" s="75"/>
    </row>
    <row r="2055" spans="34:37" x14ac:dyDescent="0.25">
      <c r="AH2055" s="75"/>
      <c r="AK2055" s="75"/>
    </row>
    <row r="2056" spans="34:37" x14ac:dyDescent="0.25">
      <c r="AH2056" s="75"/>
      <c r="AK2056" s="75"/>
    </row>
    <row r="2057" spans="34:37" x14ac:dyDescent="0.25">
      <c r="AH2057" s="75"/>
      <c r="AK2057" s="75"/>
    </row>
    <row r="2058" spans="34:37" x14ac:dyDescent="0.25">
      <c r="AH2058" s="75"/>
      <c r="AK2058" s="75"/>
    </row>
    <row r="2059" spans="34:37" x14ac:dyDescent="0.25">
      <c r="AH2059" s="75"/>
      <c r="AK2059" s="75"/>
    </row>
    <row r="2060" spans="34:37" x14ac:dyDescent="0.25">
      <c r="AH2060" s="75"/>
      <c r="AK2060" s="75"/>
    </row>
    <row r="2061" spans="34:37" x14ac:dyDescent="0.25">
      <c r="AH2061" s="75"/>
      <c r="AK2061" s="75"/>
    </row>
    <row r="2062" spans="34:37" x14ac:dyDescent="0.25">
      <c r="AH2062" s="75"/>
      <c r="AK2062" s="75"/>
    </row>
    <row r="2063" spans="34:37" x14ac:dyDescent="0.25">
      <c r="AH2063" s="75"/>
      <c r="AK2063" s="75"/>
    </row>
    <row r="2064" spans="34:37" x14ac:dyDescent="0.25">
      <c r="AH2064" s="75"/>
      <c r="AK2064" s="75"/>
    </row>
    <row r="2065" spans="34:37" x14ac:dyDescent="0.25">
      <c r="AH2065" s="75"/>
      <c r="AK2065" s="75"/>
    </row>
    <row r="2066" spans="34:37" x14ac:dyDescent="0.25">
      <c r="AH2066" s="75"/>
      <c r="AK2066" s="75"/>
    </row>
    <row r="2067" spans="34:37" x14ac:dyDescent="0.25">
      <c r="AH2067" s="75"/>
      <c r="AK2067" s="75"/>
    </row>
    <row r="2068" spans="34:37" x14ac:dyDescent="0.25">
      <c r="AH2068" s="75"/>
      <c r="AK2068" s="75"/>
    </row>
    <row r="2069" spans="34:37" x14ac:dyDescent="0.25">
      <c r="AH2069" s="75"/>
      <c r="AK2069" s="75"/>
    </row>
    <row r="2070" spans="34:37" x14ac:dyDescent="0.25">
      <c r="AH2070" s="75"/>
      <c r="AK2070" s="75"/>
    </row>
    <row r="2071" spans="34:37" x14ac:dyDescent="0.25">
      <c r="AH2071" s="75"/>
      <c r="AK2071" s="75"/>
    </row>
    <row r="2072" spans="34:37" x14ac:dyDescent="0.25">
      <c r="AH2072" s="75"/>
      <c r="AK2072" s="75"/>
    </row>
    <row r="2073" spans="34:37" x14ac:dyDescent="0.25">
      <c r="AH2073" s="75"/>
      <c r="AK2073" s="75"/>
    </row>
    <row r="2074" spans="34:37" x14ac:dyDescent="0.25">
      <c r="AH2074" s="75"/>
      <c r="AK2074" s="75"/>
    </row>
    <row r="2075" spans="34:37" x14ac:dyDescent="0.25">
      <c r="AH2075" s="75"/>
      <c r="AK2075" s="75"/>
    </row>
    <row r="2076" spans="34:37" x14ac:dyDescent="0.25">
      <c r="AH2076" s="75"/>
      <c r="AK2076" s="75"/>
    </row>
    <row r="2077" spans="34:37" x14ac:dyDescent="0.25">
      <c r="AH2077" s="75"/>
      <c r="AK2077" s="75"/>
    </row>
    <row r="2078" spans="34:37" x14ac:dyDescent="0.25">
      <c r="AH2078" s="75"/>
      <c r="AK2078" s="75"/>
    </row>
    <row r="2079" spans="34:37" x14ac:dyDescent="0.25">
      <c r="AH2079" s="75"/>
      <c r="AK2079" s="75"/>
    </row>
    <row r="2080" spans="34:37" x14ac:dyDescent="0.25">
      <c r="AH2080" s="75"/>
      <c r="AK2080" s="75"/>
    </row>
    <row r="2081" spans="34:37" x14ac:dyDescent="0.25">
      <c r="AH2081" s="75"/>
      <c r="AK2081" s="75"/>
    </row>
    <row r="2082" spans="34:37" x14ac:dyDescent="0.25">
      <c r="AH2082" s="75"/>
      <c r="AK2082" s="75"/>
    </row>
    <row r="2083" spans="34:37" x14ac:dyDescent="0.25">
      <c r="AH2083" s="75"/>
      <c r="AK2083" s="75"/>
    </row>
    <row r="2084" spans="34:37" x14ac:dyDescent="0.25">
      <c r="AH2084" s="75"/>
      <c r="AK2084" s="75"/>
    </row>
    <row r="2085" spans="34:37" x14ac:dyDescent="0.25">
      <c r="AH2085" s="75"/>
      <c r="AK2085" s="75"/>
    </row>
    <row r="2086" spans="34:37" x14ac:dyDescent="0.25">
      <c r="AH2086" s="75"/>
      <c r="AK2086" s="75"/>
    </row>
    <row r="2087" spans="34:37" x14ac:dyDescent="0.25">
      <c r="AH2087" s="75"/>
      <c r="AK2087" s="75"/>
    </row>
    <row r="2088" spans="34:37" x14ac:dyDescent="0.25">
      <c r="AH2088" s="75"/>
      <c r="AK2088" s="75"/>
    </row>
    <row r="2089" spans="34:37" x14ac:dyDescent="0.25">
      <c r="AH2089" s="75"/>
      <c r="AK2089" s="75"/>
    </row>
    <row r="2090" spans="34:37" x14ac:dyDescent="0.25">
      <c r="AH2090" s="75"/>
      <c r="AK2090" s="75"/>
    </row>
    <row r="2091" spans="34:37" x14ac:dyDescent="0.25">
      <c r="AH2091" s="75"/>
      <c r="AK2091" s="75"/>
    </row>
    <row r="2092" spans="34:37" x14ac:dyDescent="0.25">
      <c r="AH2092" s="75"/>
      <c r="AK2092" s="75"/>
    </row>
    <row r="2093" spans="34:37" x14ac:dyDescent="0.25">
      <c r="AH2093" s="75"/>
      <c r="AK2093" s="75"/>
    </row>
    <row r="2094" spans="34:37" x14ac:dyDescent="0.25">
      <c r="AH2094" s="75"/>
      <c r="AK2094" s="75"/>
    </row>
    <row r="2095" spans="34:37" x14ac:dyDescent="0.25">
      <c r="AH2095" s="75"/>
      <c r="AK2095" s="75"/>
    </row>
    <row r="2096" spans="34:37" x14ac:dyDescent="0.25">
      <c r="AH2096" s="75"/>
      <c r="AK2096" s="75"/>
    </row>
    <row r="2097" spans="34:37" x14ac:dyDescent="0.25">
      <c r="AH2097" s="75"/>
      <c r="AK2097" s="75"/>
    </row>
    <row r="2098" spans="34:37" x14ac:dyDescent="0.25">
      <c r="AH2098" s="75"/>
      <c r="AK2098" s="75"/>
    </row>
    <row r="2099" spans="34:37" x14ac:dyDescent="0.25">
      <c r="AH2099" s="75"/>
      <c r="AK2099" s="75"/>
    </row>
    <row r="2100" spans="34:37" x14ac:dyDescent="0.25">
      <c r="AH2100" s="75"/>
      <c r="AK2100" s="75"/>
    </row>
    <row r="2101" spans="34:37" x14ac:dyDescent="0.25">
      <c r="AH2101" s="75"/>
      <c r="AK2101" s="75"/>
    </row>
    <row r="2102" spans="34:37" x14ac:dyDescent="0.25">
      <c r="AH2102" s="75"/>
      <c r="AK2102" s="75"/>
    </row>
    <row r="2103" spans="34:37" x14ac:dyDescent="0.25">
      <c r="AH2103" s="75"/>
      <c r="AK2103" s="75"/>
    </row>
    <row r="2104" spans="34:37" x14ac:dyDescent="0.25">
      <c r="AH2104" s="75"/>
      <c r="AK2104" s="75"/>
    </row>
    <row r="2105" spans="34:37" x14ac:dyDescent="0.25">
      <c r="AH2105" s="75"/>
      <c r="AK2105" s="75"/>
    </row>
    <row r="2106" spans="34:37" x14ac:dyDescent="0.25">
      <c r="AH2106" s="75"/>
      <c r="AK2106" s="75"/>
    </row>
    <row r="2107" spans="34:37" x14ac:dyDescent="0.25">
      <c r="AH2107" s="75"/>
      <c r="AK2107" s="75"/>
    </row>
    <row r="2108" spans="34:37" x14ac:dyDescent="0.25">
      <c r="AH2108" s="75"/>
      <c r="AK2108" s="75"/>
    </row>
    <row r="2109" spans="34:37" x14ac:dyDescent="0.25">
      <c r="AH2109" s="75"/>
      <c r="AK2109" s="75"/>
    </row>
    <row r="2110" spans="34:37" x14ac:dyDescent="0.25">
      <c r="AH2110" s="75"/>
      <c r="AK2110" s="75"/>
    </row>
    <row r="2111" spans="34:37" x14ac:dyDescent="0.25">
      <c r="AH2111" s="75"/>
      <c r="AK2111" s="75"/>
    </row>
    <row r="2112" spans="34:37" x14ac:dyDescent="0.25">
      <c r="AH2112" s="75"/>
      <c r="AK2112" s="75"/>
    </row>
    <row r="2113" spans="34:37" x14ac:dyDescent="0.25">
      <c r="AH2113" s="75"/>
      <c r="AK2113" s="75"/>
    </row>
    <row r="2114" spans="34:37" x14ac:dyDescent="0.25">
      <c r="AH2114" s="75"/>
      <c r="AK2114" s="75"/>
    </row>
    <row r="2115" spans="34:37" x14ac:dyDescent="0.25">
      <c r="AH2115" s="75"/>
      <c r="AK2115" s="75"/>
    </row>
    <row r="2116" spans="34:37" x14ac:dyDescent="0.25">
      <c r="AH2116" s="75"/>
      <c r="AK2116" s="75"/>
    </row>
    <row r="2117" spans="34:37" x14ac:dyDescent="0.25">
      <c r="AH2117" s="75"/>
      <c r="AK2117" s="75"/>
    </row>
    <row r="2118" spans="34:37" x14ac:dyDescent="0.25">
      <c r="AH2118" s="75"/>
      <c r="AK2118" s="75"/>
    </row>
    <row r="2119" spans="34:37" x14ac:dyDescent="0.25">
      <c r="AH2119" s="75"/>
      <c r="AK2119" s="75"/>
    </row>
    <row r="2120" spans="34:37" x14ac:dyDescent="0.25">
      <c r="AH2120" s="75"/>
      <c r="AK2120" s="75"/>
    </row>
    <row r="2121" spans="34:37" x14ac:dyDescent="0.25">
      <c r="AH2121" s="75"/>
      <c r="AK2121" s="75"/>
    </row>
    <row r="2122" spans="34:37" x14ac:dyDescent="0.25">
      <c r="AH2122" s="75"/>
      <c r="AK2122" s="75"/>
    </row>
    <row r="2123" spans="34:37" x14ac:dyDescent="0.25">
      <c r="AH2123" s="75"/>
      <c r="AK2123" s="75"/>
    </row>
    <row r="2124" spans="34:37" x14ac:dyDescent="0.25">
      <c r="AH2124" s="75"/>
      <c r="AK2124" s="75"/>
    </row>
    <row r="2125" spans="34:37" x14ac:dyDescent="0.25">
      <c r="AH2125" s="75"/>
      <c r="AK2125" s="75"/>
    </row>
    <row r="2126" spans="34:37" x14ac:dyDescent="0.25">
      <c r="AH2126" s="75"/>
      <c r="AK2126" s="75"/>
    </row>
    <row r="2127" spans="34:37" x14ac:dyDescent="0.25">
      <c r="AH2127" s="75"/>
      <c r="AK2127" s="75"/>
    </row>
    <row r="2128" spans="34:37" x14ac:dyDescent="0.25">
      <c r="AH2128" s="75"/>
      <c r="AK2128" s="75"/>
    </row>
    <row r="2129" spans="34:37" x14ac:dyDescent="0.25">
      <c r="AH2129" s="75"/>
      <c r="AK2129" s="75"/>
    </row>
    <row r="2130" spans="34:37" x14ac:dyDescent="0.25">
      <c r="AH2130" s="75"/>
      <c r="AK2130" s="75"/>
    </row>
    <row r="2131" spans="34:37" x14ac:dyDescent="0.25">
      <c r="AH2131" s="75"/>
      <c r="AK2131" s="75"/>
    </row>
    <row r="2132" spans="34:37" x14ac:dyDescent="0.25">
      <c r="AH2132" s="75"/>
      <c r="AK2132" s="75"/>
    </row>
    <row r="2133" spans="34:37" x14ac:dyDescent="0.25">
      <c r="AH2133" s="75"/>
      <c r="AK2133" s="75"/>
    </row>
    <row r="2134" spans="34:37" x14ac:dyDescent="0.25">
      <c r="AH2134" s="75"/>
      <c r="AK2134" s="75"/>
    </row>
    <row r="2135" spans="34:37" x14ac:dyDescent="0.25">
      <c r="AH2135" s="75"/>
      <c r="AK2135" s="75"/>
    </row>
    <row r="2136" spans="34:37" x14ac:dyDescent="0.25">
      <c r="AH2136" s="75"/>
      <c r="AK2136" s="75"/>
    </row>
    <row r="2137" spans="34:37" x14ac:dyDescent="0.25">
      <c r="AH2137" s="75"/>
      <c r="AK2137" s="75"/>
    </row>
    <row r="2138" spans="34:37" x14ac:dyDescent="0.25">
      <c r="AH2138" s="75"/>
      <c r="AK2138" s="75"/>
    </row>
    <row r="2139" spans="34:37" x14ac:dyDescent="0.25">
      <c r="AH2139" s="75"/>
      <c r="AK2139" s="75"/>
    </row>
    <row r="2140" spans="34:37" x14ac:dyDescent="0.25">
      <c r="AH2140" s="75"/>
      <c r="AK2140" s="75"/>
    </row>
    <row r="2141" spans="34:37" x14ac:dyDescent="0.25">
      <c r="AH2141" s="75"/>
      <c r="AK2141" s="75"/>
    </row>
    <row r="2142" spans="34:37" x14ac:dyDescent="0.25">
      <c r="AH2142" s="75"/>
      <c r="AK2142" s="75"/>
    </row>
    <row r="2143" spans="34:37" x14ac:dyDescent="0.25">
      <c r="AH2143" s="75"/>
      <c r="AK2143" s="75"/>
    </row>
    <row r="2144" spans="34:37" x14ac:dyDescent="0.25">
      <c r="AH2144" s="75"/>
      <c r="AK2144" s="75"/>
    </row>
    <row r="2145" spans="34:37" x14ac:dyDescent="0.25">
      <c r="AH2145" s="75"/>
      <c r="AK2145" s="75"/>
    </row>
    <row r="2146" spans="34:37" x14ac:dyDescent="0.25">
      <c r="AH2146" s="75"/>
      <c r="AK2146" s="75"/>
    </row>
    <row r="2147" spans="34:37" x14ac:dyDescent="0.25">
      <c r="AH2147" s="75"/>
      <c r="AK2147" s="75"/>
    </row>
    <row r="2148" spans="34:37" x14ac:dyDescent="0.25">
      <c r="AH2148" s="75"/>
      <c r="AK2148" s="75"/>
    </row>
    <row r="2149" spans="34:37" x14ac:dyDescent="0.25">
      <c r="AH2149" s="75"/>
      <c r="AK2149" s="75"/>
    </row>
    <row r="2150" spans="34:37" x14ac:dyDescent="0.25">
      <c r="AH2150" s="75"/>
      <c r="AK2150" s="75"/>
    </row>
    <row r="2151" spans="34:37" x14ac:dyDescent="0.25">
      <c r="AH2151" s="75"/>
      <c r="AK2151" s="75"/>
    </row>
    <row r="2152" spans="34:37" x14ac:dyDescent="0.25">
      <c r="AH2152" s="75"/>
      <c r="AK2152" s="75"/>
    </row>
    <row r="2153" spans="34:37" x14ac:dyDescent="0.25">
      <c r="AH2153" s="75"/>
      <c r="AK2153" s="75"/>
    </row>
    <row r="2154" spans="34:37" x14ac:dyDescent="0.25">
      <c r="AH2154" s="75"/>
      <c r="AK2154" s="75"/>
    </row>
    <row r="2155" spans="34:37" x14ac:dyDescent="0.25">
      <c r="AH2155" s="75"/>
      <c r="AK2155" s="75"/>
    </row>
    <row r="2156" spans="34:37" x14ac:dyDescent="0.25">
      <c r="AH2156" s="75"/>
      <c r="AK2156" s="75"/>
    </row>
    <row r="2157" spans="34:37" x14ac:dyDescent="0.25">
      <c r="AH2157" s="75"/>
      <c r="AK2157" s="75"/>
    </row>
    <row r="2158" spans="34:37" x14ac:dyDescent="0.25">
      <c r="AH2158" s="75"/>
      <c r="AK2158" s="75"/>
    </row>
    <row r="2159" spans="34:37" x14ac:dyDescent="0.25">
      <c r="AH2159" s="75"/>
      <c r="AK2159" s="75"/>
    </row>
    <row r="2160" spans="34:37" x14ac:dyDescent="0.25">
      <c r="AH2160" s="75"/>
      <c r="AK2160" s="75"/>
    </row>
    <row r="2161" spans="34:37" x14ac:dyDescent="0.25">
      <c r="AH2161" s="75"/>
      <c r="AK2161" s="75"/>
    </row>
    <row r="2162" spans="34:37" x14ac:dyDescent="0.25">
      <c r="AH2162" s="75"/>
      <c r="AK2162" s="75"/>
    </row>
    <row r="2163" spans="34:37" x14ac:dyDescent="0.25">
      <c r="AH2163" s="75"/>
      <c r="AK2163" s="75"/>
    </row>
    <row r="2164" spans="34:37" x14ac:dyDescent="0.25">
      <c r="AH2164" s="75"/>
      <c r="AK2164" s="75"/>
    </row>
    <row r="2165" spans="34:37" x14ac:dyDescent="0.25">
      <c r="AH2165" s="75"/>
      <c r="AK2165" s="75"/>
    </row>
    <row r="2166" spans="34:37" x14ac:dyDescent="0.25">
      <c r="AH2166" s="75"/>
      <c r="AK2166" s="75"/>
    </row>
    <row r="2167" spans="34:37" x14ac:dyDescent="0.25">
      <c r="AH2167" s="75"/>
      <c r="AK2167" s="75"/>
    </row>
    <row r="2168" spans="34:37" x14ac:dyDescent="0.25">
      <c r="AH2168" s="75"/>
      <c r="AK2168" s="75"/>
    </row>
    <row r="2169" spans="34:37" x14ac:dyDescent="0.25">
      <c r="AH2169" s="75"/>
      <c r="AK2169" s="75"/>
    </row>
    <row r="2170" spans="34:37" x14ac:dyDescent="0.25">
      <c r="AH2170" s="75"/>
      <c r="AK2170" s="75"/>
    </row>
    <row r="2171" spans="34:37" x14ac:dyDescent="0.25">
      <c r="AH2171" s="75"/>
      <c r="AK2171" s="75"/>
    </row>
    <row r="2172" spans="34:37" x14ac:dyDescent="0.25">
      <c r="AH2172" s="75"/>
      <c r="AK2172" s="75"/>
    </row>
    <row r="2173" spans="34:37" x14ac:dyDescent="0.25">
      <c r="AH2173" s="75"/>
      <c r="AK2173" s="75"/>
    </row>
    <row r="2174" spans="34:37" x14ac:dyDescent="0.25">
      <c r="AH2174" s="75"/>
      <c r="AK2174" s="75"/>
    </row>
    <row r="2175" spans="34:37" x14ac:dyDescent="0.25">
      <c r="AH2175" s="75"/>
      <c r="AK2175" s="75"/>
    </row>
    <row r="2176" spans="34:37" x14ac:dyDescent="0.25">
      <c r="AH2176" s="75"/>
      <c r="AK2176" s="75"/>
    </row>
    <row r="2177" spans="34:37" x14ac:dyDescent="0.25">
      <c r="AH2177" s="75"/>
      <c r="AK2177" s="75"/>
    </row>
    <row r="2178" spans="34:37" x14ac:dyDescent="0.25">
      <c r="AH2178" s="75"/>
      <c r="AK2178" s="75"/>
    </row>
    <row r="2179" spans="34:37" x14ac:dyDescent="0.25">
      <c r="AH2179" s="75"/>
      <c r="AK2179" s="75"/>
    </row>
    <row r="2180" spans="34:37" x14ac:dyDescent="0.25">
      <c r="AH2180" s="75"/>
      <c r="AK2180" s="75"/>
    </row>
    <row r="2181" spans="34:37" x14ac:dyDescent="0.25">
      <c r="AH2181" s="75"/>
      <c r="AK2181" s="75"/>
    </row>
    <row r="2182" spans="34:37" x14ac:dyDescent="0.25">
      <c r="AH2182" s="75"/>
      <c r="AK2182" s="75"/>
    </row>
    <row r="2183" spans="34:37" x14ac:dyDescent="0.25">
      <c r="AH2183" s="75"/>
      <c r="AK2183" s="75"/>
    </row>
    <row r="2184" spans="34:37" x14ac:dyDescent="0.25">
      <c r="AH2184" s="75"/>
      <c r="AK2184" s="75"/>
    </row>
    <row r="2185" spans="34:37" x14ac:dyDescent="0.25">
      <c r="AH2185" s="75"/>
      <c r="AK2185" s="75"/>
    </row>
    <row r="2186" spans="34:37" x14ac:dyDescent="0.25">
      <c r="AH2186" s="75"/>
      <c r="AK2186" s="75"/>
    </row>
    <row r="2187" spans="34:37" x14ac:dyDescent="0.25">
      <c r="AH2187" s="75"/>
      <c r="AK2187" s="75"/>
    </row>
    <row r="2188" spans="34:37" x14ac:dyDescent="0.25">
      <c r="AH2188" s="75"/>
      <c r="AK2188" s="75"/>
    </row>
    <row r="2189" spans="34:37" x14ac:dyDescent="0.25">
      <c r="AH2189" s="75"/>
      <c r="AK2189" s="75"/>
    </row>
    <row r="2190" spans="34:37" x14ac:dyDescent="0.25">
      <c r="AH2190" s="75"/>
      <c r="AK2190" s="75"/>
    </row>
    <row r="2191" spans="34:37" x14ac:dyDescent="0.25">
      <c r="AH2191" s="75"/>
      <c r="AK2191" s="75"/>
    </row>
    <row r="2192" spans="34:37" x14ac:dyDescent="0.25">
      <c r="AH2192" s="75"/>
      <c r="AK2192" s="75"/>
    </row>
    <row r="2193" spans="34:37" x14ac:dyDescent="0.25">
      <c r="AH2193" s="75"/>
      <c r="AK2193" s="75"/>
    </row>
    <row r="2194" spans="34:37" x14ac:dyDescent="0.25">
      <c r="AH2194" s="75"/>
      <c r="AK2194" s="75"/>
    </row>
    <row r="2195" spans="34:37" x14ac:dyDescent="0.25">
      <c r="AH2195" s="75"/>
      <c r="AK2195" s="75"/>
    </row>
    <row r="2196" spans="34:37" x14ac:dyDescent="0.25">
      <c r="AH2196" s="75"/>
      <c r="AK2196" s="75"/>
    </row>
    <row r="2197" spans="34:37" x14ac:dyDescent="0.25">
      <c r="AH2197" s="75"/>
      <c r="AK2197" s="75"/>
    </row>
    <row r="2198" spans="34:37" x14ac:dyDescent="0.25">
      <c r="AH2198" s="75"/>
      <c r="AK2198" s="75"/>
    </row>
    <row r="2199" spans="34:37" x14ac:dyDescent="0.25">
      <c r="AH2199" s="75"/>
      <c r="AK2199" s="75"/>
    </row>
    <row r="2200" spans="34:37" x14ac:dyDescent="0.25">
      <c r="AH2200" s="75"/>
      <c r="AK2200" s="75"/>
    </row>
    <row r="2201" spans="34:37" x14ac:dyDescent="0.25">
      <c r="AH2201" s="75"/>
      <c r="AK2201" s="75"/>
    </row>
    <row r="2202" spans="34:37" x14ac:dyDescent="0.25">
      <c r="AH2202" s="75"/>
      <c r="AK2202" s="75"/>
    </row>
    <row r="2203" spans="34:37" x14ac:dyDescent="0.25">
      <c r="AH2203" s="75"/>
      <c r="AK2203" s="75"/>
    </row>
    <row r="2204" spans="34:37" x14ac:dyDescent="0.25">
      <c r="AH2204" s="75"/>
      <c r="AK2204" s="75"/>
    </row>
    <row r="2205" spans="34:37" x14ac:dyDescent="0.25">
      <c r="AH2205" s="75"/>
      <c r="AK2205" s="75"/>
    </row>
    <row r="2206" spans="34:37" x14ac:dyDescent="0.25">
      <c r="AH2206" s="75"/>
      <c r="AK2206" s="75"/>
    </row>
    <row r="2207" spans="34:37" x14ac:dyDescent="0.25">
      <c r="AH2207" s="75"/>
      <c r="AK2207" s="75"/>
    </row>
    <row r="2208" spans="34:37" x14ac:dyDescent="0.25">
      <c r="AH2208" s="75"/>
      <c r="AK2208" s="75"/>
    </row>
    <row r="2209" spans="34:37" x14ac:dyDescent="0.25">
      <c r="AH2209" s="75"/>
      <c r="AK2209" s="75"/>
    </row>
    <row r="2210" spans="34:37" x14ac:dyDescent="0.25">
      <c r="AH2210" s="75"/>
      <c r="AK2210" s="75"/>
    </row>
    <row r="2211" spans="34:37" x14ac:dyDescent="0.25">
      <c r="AH2211" s="75"/>
      <c r="AK2211" s="75"/>
    </row>
    <row r="2212" spans="34:37" x14ac:dyDescent="0.25">
      <c r="AH2212" s="75"/>
      <c r="AK2212" s="75"/>
    </row>
    <row r="2213" spans="34:37" x14ac:dyDescent="0.25">
      <c r="AH2213" s="75"/>
      <c r="AK2213" s="75"/>
    </row>
    <row r="2214" spans="34:37" x14ac:dyDescent="0.25">
      <c r="AH2214" s="75"/>
      <c r="AK2214" s="75"/>
    </row>
    <row r="2215" spans="34:37" x14ac:dyDescent="0.25">
      <c r="AH2215" s="75"/>
      <c r="AK2215" s="75"/>
    </row>
    <row r="2216" spans="34:37" x14ac:dyDescent="0.25">
      <c r="AH2216" s="75"/>
      <c r="AK2216" s="75"/>
    </row>
    <row r="2217" spans="34:37" x14ac:dyDescent="0.25">
      <c r="AH2217" s="75"/>
      <c r="AK2217" s="75"/>
    </row>
    <row r="2218" spans="34:37" x14ac:dyDescent="0.25">
      <c r="AH2218" s="75"/>
      <c r="AK2218" s="75"/>
    </row>
    <row r="2219" spans="34:37" x14ac:dyDescent="0.25">
      <c r="AH2219" s="75"/>
      <c r="AK2219" s="75"/>
    </row>
    <row r="2220" spans="34:37" x14ac:dyDescent="0.25">
      <c r="AH2220" s="75"/>
      <c r="AK2220" s="75"/>
    </row>
    <row r="2221" spans="34:37" x14ac:dyDescent="0.25">
      <c r="AH2221" s="75"/>
      <c r="AK2221" s="75"/>
    </row>
    <row r="2222" spans="34:37" x14ac:dyDescent="0.25">
      <c r="AH2222" s="75"/>
      <c r="AK2222" s="75"/>
    </row>
    <row r="2223" spans="34:37" x14ac:dyDescent="0.25">
      <c r="AH2223" s="75"/>
      <c r="AK2223" s="75"/>
    </row>
    <row r="2224" spans="34:37" x14ac:dyDescent="0.25">
      <c r="AH2224" s="75"/>
      <c r="AK2224" s="75"/>
    </row>
    <row r="2225" spans="34:37" x14ac:dyDescent="0.25">
      <c r="AH2225" s="75"/>
      <c r="AK2225" s="75"/>
    </row>
    <row r="2226" spans="34:37" x14ac:dyDescent="0.25">
      <c r="AH2226" s="75"/>
      <c r="AK2226" s="75"/>
    </row>
    <row r="2227" spans="34:37" x14ac:dyDescent="0.25">
      <c r="AH2227" s="75"/>
      <c r="AK2227" s="75"/>
    </row>
    <row r="2228" spans="34:37" x14ac:dyDescent="0.25">
      <c r="AH2228" s="75"/>
      <c r="AK2228" s="75"/>
    </row>
    <row r="2229" spans="34:37" x14ac:dyDescent="0.25">
      <c r="AH2229" s="75"/>
      <c r="AK2229" s="75"/>
    </row>
    <row r="2230" spans="34:37" x14ac:dyDescent="0.25">
      <c r="AH2230" s="75"/>
      <c r="AK2230" s="75"/>
    </row>
    <row r="2231" spans="34:37" x14ac:dyDescent="0.25">
      <c r="AH2231" s="75"/>
      <c r="AK2231" s="75"/>
    </row>
    <row r="2232" spans="34:37" x14ac:dyDescent="0.25">
      <c r="AH2232" s="75"/>
      <c r="AK2232" s="75"/>
    </row>
    <row r="2233" spans="34:37" x14ac:dyDescent="0.25">
      <c r="AH2233" s="75"/>
      <c r="AK2233" s="75"/>
    </row>
    <row r="2234" spans="34:37" x14ac:dyDescent="0.25">
      <c r="AH2234" s="75"/>
      <c r="AK2234" s="75"/>
    </row>
    <row r="2235" spans="34:37" x14ac:dyDescent="0.25">
      <c r="AH2235" s="75"/>
      <c r="AK2235" s="75"/>
    </row>
    <row r="2236" spans="34:37" x14ac:dyDescent="0.25">
      <c r="AH2236" s="75"/>
      <c r="AK2236" s="75"/>
    </row>
    <row r="2237" spans="34:37" x14ac:dyDescent="0.25">
      <c r="AH2237" s="75"/>
      <c r="AK2237" s="75"/>
    </row>
    <row r="2238" spans="34:37" x14ac:dyDescent="0.25">
      <c r="AH2238" s="75"/>
      <c r="AK2238" s="75"/>
    </row>
    <row r="2239" spans="34:37" x14ac:dyDescent="0.25">
      <c r="AH2239" s="75"/>
      <c r="AK2239" s="75"/>
    </row>
    <row r="2240" spans="34:37" x14ac:dyDescent="0.25">
      <c r="AH2240" s="75"/>
      <c r="AK2240" s="75"/>
    </row>
    <row r="2241" spans="34:37" x14ac:dyDescent="0.25">
      <c r="AH2241" s="75"/>
      <c r="AK2241" s="75"/>
    </row>
    <row r="2242" spans="34:37" x14ac:dyDescent="0.25">
      <c r="AH2242" s="75"/>
      <c r="AK2242" s="75"/>
    </row>
    <row r="2243" spans="34:37" x14ac:dyDescent="0.25">
      <c r="AH2243" s="75"/>
      <c r="AK2243" s="75"/>
    </row>
    <row r="2244" spans="34:37" x14ac:dyDescent="0.25">
      <c r="AH2244" s="75"/>
      <c r="AK2244" s="75"/>
    </row>
    <row r="2245" spans="34:37" x14ac:dyDescent="0.25">
      <c r="AH2245" s="75"/>
      <c r="AK2245" s="75"/>
    </row>
    <row r="2246" spans="34:37" x14ac:dyDescent="0.25">
      <c r="AH2246" s="75"/>
      <c r="AK2246" s="75"/>
    </row>
    <row r="2247" spans="34:37" x14ac:dyDescent="0.25">
      <c r="AH2247" s="75"/>
      <c r="AK2247" s="75"/>
    </row>
    <row r="2248" spans="34:37" x14ac:dyDescent="0.25">
      <c r="AH2248" s="75"/>
      <c r="AK2248" s="75"/>
    </row>
    <row r="2249" spans="34:37" x14ac:dyDescent="0.25">
      <c r="AH2249" s="75"/>
      <c r="AK2249" s="75"/>
    </row>
    <row r="2250" spans="34:37" x14ac:dyDescent="0.25">
      <c r="AH2250" s="75"/>
      <c r="AK2250" s="75"/>
    </row>
    <row r="2251" spans="34:37" x14ac:dyDescent="0.25">
      <c r="AH2251" s="75"/>
      <c r="AK2251" s="75"/>
    </row>
    <row r="2252" spans="34:37" x14ac:dyDescent="0.25">
      <c r="AH2252" s="75"/>
      <c r="AK2252" s="75"/>
    </row>
    <row r="2253" spans="34:37" x14ac:dyDescent="0.25">
      <c r="AH2253" s="75"/>
      <c r="AK2253" s="75"/>
    </row>
    <row r="2254" spans="34:37" x14ac:dyDescent="0.25">
      <c r="AH2254" s="75"/>
      <c r="AK2254" s="75"/>
    </row>
    <row r="2255" spans="34:37" x14ac:dyDescent="0.25">
      <c r="AH2255" s="75"/>
      <c r="AK2255" s="75"/>
    </row>
    <row r="2256" spans="34:37" x14ac:dyDescent="0.25">
      <c r="AH2256" s="75"/>
      <c r="AK2256" s="75"/>
    </row>
    <row r="2257" spans="34:37" x14ac:dyDescent="0.25">
      <c r="AH2257" s="75"/>
      <c r="AK2257" s="75"/>
    </row>
    <row r="2258" spans="34:37" x14ac:dyDescent="0.25">
      <c r="AH2258" s="75"/>
      <c r="AK2258" s="75"/>
    </row>
    <row r="2259" spans="34:37" x14ac:dyDescent="0.25">
      <c r="AH2259" s="75"/>
      <c r="AK2259" s="75"/>
    </row>
    <row r="2260" spans="34:37" x14ac:dyDescent="0.25">
      <c r="AH2260" s="75"/>
      <c r="AK2260" s="75"/>
    </row>
    <row r="2261" spans="34:37" x14ac:dyDescent="0.25">
      <c r="AH2261" s="75"/>
      <c r="AK2261" s="75"/>
    </row>
    <row r="2262" spans="34:37" x14ac:dyDescent="0.25">
      <c r="AH2262" s="75"/>
      <c r="AK2262" s="75"/>
    </row>
    <row r="2263" spans="34:37" x14ac:dyDescent="0.25">
      <c r="AH2263" s="75"/>
      <c r="AK2263" s="75"/>
    </row>
    <row r="2264" spans="34:37" x14ac:dyDescent="0.25">
      <c r="AH2264" s="75"/>
      <c r="AK2264" s="75"/>
    </row>
    <row r="2265" spans="34:37" x14ac:dyDescent="0.25">
      <c r="AH2265" s="75"/>
      <c r="AK2265" s="75"/>
    </row>
    <row r="2266" spans="34:37" x14ac:dyDescent="0.25">
      <c r="AH2266" s="75"/>
      <c r="AK2266" s="75"/>
    </row>
    <row r="2267" spans="34:37" x14ac:dyDescent="0.25">
      <c r="AH2267" s="75"/>
      <c r="AK2267" s="75"/>
    </row>
    <row r="2268" spans="34:37" x14ac:dyDescent="0.25">
      <c r="AH2268" s="75"/>
      <c r="AK2268" s="75"/>
    </row>
    <row r="2269" spans="34:37" x14ac:dyDescent="0.25">
      <c r="AH2269" s="75"/>
      <c r="AK2269" s="75"/>
    </row>
    <row r="2270" spans="34:37" x14ac:dyDescent="0.25">
      <c r="AH2270" s="75"/>
      <c r="AK2270" s="75"/>
    </row>
    <row r="2271" spans="34:37" x14ac:dyDescent="0.25">
      <c r="AH2271" s="75"/>
      <c r="AK2271" s="75"/>
    </row>
    <row r="2272" spans="34:37" x14ac:dyDescent="0.25">
      <c r="AH2272" s="75"/>
      <c r="AK2272" s="75"/>
    </row>
    <row r="2273" spans="34:37" x14ac:dyDescent="0.25">
      <c r="AH2273" s="75"/>
      <c r="AK2273" s="75"/>
    </row>
    <row r="2274" spans="34:37" x14ac:dyDescent="0.25">
      <c r="AH2274" s="75"/>
      <c r="AK2274" s="75"/>
    </row>
    <row r="2275" spans="34:37" x14ac:dyDescent="0.25">
      <c r="AH2275" s="75"/>
      <c r="AK2275" s="75"/>
    </row>
    <row r="2276" spans="34:37" x14ac:dyDescent="0.25">
      <c r="AH2276" s="75"/>
      <c r="AK2276" s="75"/>
    </row>
    <row r="2277" spans="34:37" x14ac:dyDescent="0.25">
      <c r="AH2277" s="75"/>
      <c r="AK2277" s="75"/>
    </row>
    <row r="2278" spans="34:37" x14ac:dyDescent="0.25">
      <c r="AH2278" s="75"/>
      <c r="AK2278" s="75"/>
    </row>
    <row r="2279" spans="34:37" x14ac:dyDescent="0.25">
      <c r="AH2279" s="75"/>
      <c r="AK2279" s="75"/>
    </row>
    <row r="2280" spans="34:37" x14ac:dyDescent="0.25">
      <c r="AH2280" s="75"/>
      <c r="AK2280" s="75"/>
    </row>
    <row r="2281" spans="34:37" x14ac:dyDescent="0.25">
      <c r="AH2281" s="75"/>
      <c r="AK2281" s="75"/>
    </row>
    <row r="2282" spans="34:37" x14ac:dyDescent="0.25">
      <c r="AH2282" s="75"/>
      <c r="AK2282" s="75"/>
    </row>
    <row r="2283" spans="34:37" x14ac:dyDescent="0.25">
      <c r="AH2283" s="75"/>
      <c r="AK2283" s="75"/>
    </row>
    <row r="2284" spans="34:37" x14ac:dyDescent="0.25">
      <c r="AH2284" s="75"/>
      <c r="AK2284" s="75"/>
    </row>
    <row r="2285" spans="34:37" x14ac:dyDescent="0.25">
      <c r="AH2285" s="75"/>
      <c r="AK2285" s="75"/>
    </row>
    <row r="2286" spans="34:37" x14ac:dyDescent="0.25">
      <c r="AH2286" s="75"/>
      <c r="AK2286" s="75"/>
    </row>
    <row r="2287" spans="34:37" x14ac:dyDescent="0.25">
      <c r="AH2287" s="75"/>
      <c r="AK2287" s="75"/>
    </row>
    <row r="2288" spans="34:37" x14ac:dyDescent="0.25">
      <c r="AH2288" s="75"/>
      <c r="AK2288" s="75"/>
    </row>
    <row r="2289" spans="34:37" x14ac:dyDescent="0.25">
      <c r="AH2289" s="75"/>
      <c r="AK2289" s="75"/>
    </row>
    <row r="2290" spans="34:37" x14ac:dyDescent="0.25">
      <c r="AH2290" s="75"/>
      <c r="AK2290" s="75"/>
    </row>
    <row r="2291" spans="34:37" x14ac:dyDescent="0.25">
      <c r="AH2291" s="75"/>
      <c r="AK2291" s="75"/>
    </row>
    <row r="2292" spans="34:37" x14ac:dyDescent="0.25">
      <c r="AH2292" s="75"/>
      <c r="AK2292" s="75"/>
    </row>
    <row r="2293" spans="34:37" x14ac:dyDescent="0.25">
      <c r="AH2293" s="75"/>
      <c r="AK2293" s="75"/>
    </row>
    <row r="2294" spans="34:37" x14ac:dyDescent="0.25">
      <c r="AH2294" s="75"/>
      <c r="AK2294" s="75"/>
    </row>
    <row r="2295" spans="34:37" x14ac:dyDescent="0.25">
      <c r="AH2295" s="75"/>
      <c r="AK2295" s="75"/>
    </row>
    <row r="2296" spans="34:37" x14ac:dyDescent="0.25">
      <c r="AH2296" s="75"/>
      <c r="AK2296" s="75"/>
    </row>
    <row r="2297" spans="34:37" x14ac:dyDescent="0.25">
      <c r="AH2297" s="75"/>
      <c r="AK2297" s="75"/>
    </row>
    <row r="2298" spans="34:37" x14ac:dyDescent="0.25">
      <c r="AH2298" s="75"/>
      <c r="AK2298" s="75"/>
    </row>
    <row r="2299" spans="34:37" x14ac:dyDescent="0.25">
      <c r="AH2299" s="75"/>
      <c r="AK2299" s="75"/>
    </row>
    <row r="2300" spans="34:37" x14ac:dyDescent="0.25">
      <c r="AH2300" s="75"/>
      <c r="AK2300" s="75"/>
    </row>
    <row r="2301" spans="34:37" x14ac:dyDescent="0.25">
      <c r="AH2301" s="75"/>
      <c r="AK2301" s="75"/>
    </row>
    <row r="2302" spans="34:37" x14ac:dyDescent="0.25">
      <c r="AH2302" s="75"/>
      <c r="AK2302" s="75"/>
    </row>
    <row r="2303" spans="34:37" x14ac:dyDescent="0.25">
      <c r="AH2303" s="75"/>
      <c r="AK2303" s="75"/>
    </row>
    <row r="2304" spans="34:37" x14ac:dyDescent="0.25">
      <c r="AH2304" s="75"/>
      <c r="AK2304" s="75"/>
    </row>
    <row r="2305" spans="34:37" x14ac:dyDescent="0.25">
      <c r="AH2305" s="75"/>
      <c r="AK2305" s="75"/>
    </row>
    <row r="2306" spans="34:37" x14ac:dyDescent="0.25">
      <c r="AH2306" s="75"/>
      <c r="AK2306" s="75"/>
    </row>
    <row r="2307" spans="34:37" x14ac:dyDescent="0.25">
      <c r="AH2307" s="75"/>
      <c r="AK2307" s="75"/>
    </row>
    <row r="2308" spans="34:37" x14ac:dyDescent="0.25">
      <c r="AH2308" s="75"/>
      <c r="AK2308" s="75"/>
    </row>
    <row r="2309" spans="34:37" x14ac:dyDescent="0.25">
      <c r="AH2309" s="75"/>
      <c r="AK2309" s="75"/>
    </row>
    <row r="2310" spans="34:37" x14ac:dyDescent="0.25">
      <c r="AH2310" s="75"/>
      <c r="AK2310" s="75"/>
    </row>
    <row r="2311" spans="34:37" x14ac:dyDescent="0.25">
      <c r="AH2311" s="75"/>
      <c r="AK2311" s="75"/>
    </row>
    <row r="2312" spans="34:37" x14ac:dyDescent="0.25">
      <c r="AH2312" s="75"/>
      <c r="AK2312" s="75"/>
    </row>
    <row r="2313" spans="34:37" x14ac:dyDescent="0.25">
      <c r="AH2313" s="75"/>
      <c r="AK2313" s="75"/>
    </row>
    <row r="2314" spans="34:37" x14ac:dyDescent="0.25">
      <c r="AH2314" s="75"/>
      <c r="AK2314" s="75"/>
    </row>
    <row r="2315" spans="34:37" x14ac:dyDescent="0.25">
      <c r="AH2315" s="75"/>
      <c r="AK2315" s="75"/>
    </row>
    <row r="2316" spans="34:37" x14ac:dyDescent="0.25">
      <c r="AH2316" s="75"/>
      <c r="AK2316" s="75"/>
    </row>
    <row r="2317" spans="34:37" x14ac:dyDescent="0.25">
      <c r="AH2317" s="75"/>
      <c r="AK2317" s="75"/>
    </row>
    <row r="2318" spans="34:37" x14ac:dyDescent="0.25">
      <c r="AH2318" s="75"/>
      <c r="AK2318" s="75"/>
    </row>
    <row r="2319" spans="34:37" x14ac:dyDescent="0.25">
      <c r="AH2319" s="75"/>
      <c r="AK2319" s="75"/>
    </row>
    <row r="2320" spans="34:37" x14ac:dyDescent="0.25">
      <c r="AH2320" s="75"/>
      <c r="AK2320" s="75"/>
    </row>
    <row r="2321" spans="34:37" x14ac:dyDescent="0.25">
      <c r="AH2321" s="75"/>
      <c r="AK2321" s="75"/>
    </row>
    <row r="2322" spans="34:37" x14ac:dyDescent="0.25">
      <c r="AH2322" s="75"/>
      <c r="AK2322" s="75"/>
    </row>
    <row r="2323" spans="34:37" x14ac:dyDescent="0.25">
      <c r="AH2323" s="75"/>
      <c r="AK2323" s="75"/>
    </row>
    <row r="2324" spans="34:37" x14ac:dyDescent="0.25">
      <c r="AH2324" s="75"/>
      <c r="AK2324" s="75"/>
    </row>
    <row r="2325" spans="34:37" x14ac:dyDescent="0.25">
      <c r="AH2325" s="75"/>
      <c r="AK2325" s="75"/>
    </row>
    <row r="2326" spans="34:37" x14ac:dyDescent="0.25">
      <c r="AH2326" s="75"/>
      <c r="AK2326" s="75"/>
    </row>
    <row r="2327" spans="34:37" x14ac:dyDescent="0.25">
      <c r="AH2327" s="75"/>
      <c r="AK2327" s="75"/>
    </row>
    <row r="2328" spans="34:37" x14ac:dyDescent="0.25">
      <c r="AH2328" s="75"/>
      <c r="AK2328" s="75"/>
    </row>
    <row r="2329" spans="34:37" x14ac:dyDescent="0.25">
      <c r="AH2329" s="75"/>
      <c r="AK2329" s="75"/>
    </row>
    <row r="2330" spans="34:37" x14ac:dyDescent="0.25">
      <c r="AH2330" s="75"/>
      <c r="AK2330" s="75"/>
    </row>
    <row r="2331" spans="34:37" x14ac:dyDescent="0.25">
      <c r="AH2331" s="75"/>
      <c r="AK2331" s="75"/>
    </row>
    <row r="2332" spans="34:37" x14ac:dyDescent="0.25">
      <c r="AH2332" s="75"/>
      <c r="AK2332" s="75"/>
    </row>
    <row r="2333" spans="34:37" x14ac:dyDescent="0.25">
      <c r="AH2333" s="75"/>
      <c r="AK2333" s="75"/>
    </row>
    <row r="2334" spans="34:37" x14ac:dyDescent="0.25">
      <c r="AH2334" s="75"/>
      <c r="AK2334" s="75"/>
    </row>
    <row r="2335" spans="34:37" x14ac:dyDescent="0.25">
      <c r="AH2335" s="75"/>
      <c r="AK2335" s="75"/>
    </row>
    <row r="2336" spans="34:37" x14ac:dyDescent="0.25">
      <c r="AH2336" s="75"/>
      <c r="AK2336" s="75"/>
    </row>
    <row r="2337" spans="34:37" x14ac:dyDescent="0.25">
      <c r="AH2337" s="75"/>
      <c r="AK2337" s="75"/>
    </row>
    <row r="2338" spans="34:37" x14ac:dyDescent="0.25">
      <c r="AH2338" s="75"/>
      <c r="AK2338" s="75"/>
    </row>
    <row r="2339" spans="34:37" x14ac:dyDescent="0.25">
      <c r="AH2339" s="75"/>
      <c r="AK2339" s="75"/>
    </row>
    <row r="2340" spans="34:37" x14ac:dyDescent="0.25">
      <c r="AH2340" s="75"/>
      <c r="AK2340" s="75"/>
    </row>
    <row r="2341" spans="34:37" x14ac:dyDescent="0.25">
      <c r="AH2341" s="75"/>
      <c r="AK2341" s="75"/>
    </row>
    <row r="2342" spans="34:37" x14ac:dyDescent="0.25">
      <c r="AH2342" s="75"/>
      <c r="AK2342" s="75"/>
    </row>
    <row r="2343" spans="34:37" x14ac:dyDescent="0.25">
      <c r="AH2343" s="75"/>
      <c r="AK2343" s="75"/>
    </row>
    <row r="2344" spans="34:37" x14ac:dyDescent="0.25">
      <c r="AH2344" s="75"/>
      <c r="AK2344" s="75"/>
    </row>
    <row r="2345" spans="34:37" x14ac:dyDescent="0.25">
      <c r="AH2345" s="75"/>
      <c r="AK2345" s="75"/>
    </row>
    <row r="2346" spans="34:37" x14ac:dyDescent="0.25">
      <c r="AH2346" s="75"/>
      <c r="AK2346" s="75"/>
    </row>
    <row r="2347" spans="34:37" x14ac:dyDescent="0.25">
      <c r="AH2347" s="75"/>
      <c r="AK2347" s="75"/>
    </row>
    <row r="2348" spans="34:37" x14ac:dyDescent="0.25">
      <c r="AH2348" s="75"/>
      <c r="AK2348" s="75"/>
    </row>
    <row r="2349" spans="34:37" x14ac:dyDescent="0.25">
      <c r="AH2349" s="75"/>
      <c r="AK2349" s="75"/>
    </row>
    <row r="2350" spans="34:37" x14ac:dyDescent="0.25">
      <c r="AH2350" s="75"/>
      <c r="AK2350" s="75"/>
    </row>
    <row r="2351" spans="34:37" x14ac:dyDescent="0.25">
      <c r="AH2351" s="75"/>
      <c r="AK2351" s="75"/>
    </row>
    <row r="2352" spans="34:37" x14ac:dyDescent="0.25">
      <c r="AH2352" s="75"/>
      <c r="AK2352" s="75"/>
    </row>
    <row r="2353" spans="34:37" x14ac:dyDescent="0.25">
      <c r="AH2353" s="75"/>
      <c r="AK2353" s="75"/>
    </row>
    <row r="2354" spans="34:37" x14ac:dyDescent="0.25">
      <c r="AH2354" s="75"/>
      <c r="AK2354" s="75"/>
    </row>
    <row r="2355" spans="34:37" x14ac:dyDescent="0.25">
      <c r="AH2355" s="75"/>
      <c r="AK2355" s="75"/>
    </row>
    <row r="2356" spans="34:37" x14ac:dyDescent="0.25">
      <c r="AH2356" s="75"/>
      <c r="AK2356" s="75"/>
    </row>
    <row r="2357" spans="34:37" x14ac:dyDescent="0.25">
      <c r="AH2357" s="75"/>
      <c r="AK2357" s="75"/>
    </row>
    <row r="2358" spans="34:37" x14ac:dyDescent="0.25">
      <c r="AH2358" s="75"/>
      <c r="AK2358" s="75"/>
    </row>
    <row r="2359" spans="34:37" x14ac:dyDescent="0.25">
      <c r="AH2359" s="75"/>
      <c r="AK2359" s="75"/>
    </row>
    <row r="2360" spans="34:37" x14ac:dyDescent="0.25">
      <c r="AH2360" s="75"/>
      <c r="AK2360" s="75"/>
    </row>
    <row r="2361" spans="34:37" x14ac:dyDescent="0.25">
      <c r="AH2361" s="75"/>
      <c r="AK2361" s="75"/>
    </row>
    <row r="2362" spans="34:37" x14ac:dyDescent="0.25">
      <c r="AH2362" s="75"/>
      <c r="AK2362" s="75"/>
    </row>
    <row r="2363" spans="34:37" x14ac:dyDescent="0.25">
      <c r="AH2363" s="75"/>
      <c r="AK2363" s="75"/>
    </row>
    <row r="2364" spans="34:37" x14ac:dyDescent="0.25">
      <c r="AH2364" s="75"/>
      <c r="AK2364" s="75"/>
    </row>
    <row r="2365" spans="34:37" x14ac:dyDescent="0.25">
      <c r="AH2365" s="75"/>
      <c r="AK2365" s="75"/>
    </row>
    <row r="2366" spans="34:37" x14ac:dyDescent="0.25">
      <c r="AH2366" s="75"/>
      <c r="AK2366" s="75"/>
    </row>
    <row r="2367" spans="34:37" x14ac:dyDescent="0.25">
      <c r="AH2367" s="75"/>
      <c r="AK2367" s="75"/>
    </row>
    <row r="2368" spans="34:37" x14ac:dyDescent="0.25">
      <c r="AH2368" s="75"/>
      <c r="AK2368" s="75"/>
    </row>
    <row r="2369" spans="34:37" x14ac:dyDescent="0.25">
      <c r="AH2369" s="75"/>
      <c r="AK2369" s="75"/>
    </row>
    <row r="2370" spans="34:37" x14ac:dyDescent="0.25">
      <c r="AH2370" s="75"/>
      <c r="AK2370" s="75"/>
    </row>
    <row r="2371" spans="34:37" x14ac:dyDescent="0.25">
      <c r="AH2371" s="75"/>
      <c r="AK2371" s="75"/>
    </row>
    <row r="2372" spans="34:37" x14ac:dyDescent="0.25">
      <c r="AH2372" s="75"/>
      <c r="AK2372" s="75"/>
    </row>
    <row r="2373" spans="34:37" x14ac:dyDescent="0.25">
      <c r="AH2373" s="75"/>
      <c r="AK2373" s="75"/>
    </row>
    <row r="2374" spans="34:37" x14ac:dyDescent="0.25">
      <c r="AH2374" s="75"/>
      <c r="AK2374" s="75"/>
    </row>
    <row r="2375" spans="34:37" x14ac:dyDescent="0.25">
      <c r="AH2375" s="75"/>
      <c r="AK2375" s="75"/>
    </row>
    <row r="2376" spans="34:37" x14ac:dyDescent="0.25">
      <c r="AH2376" s="75"/>
      <c r="AK2376" s="75"/>
    </row>
    <row r="2377" spans="34:37" x14ac:dyDescent="0.25">
      <c r="AH2377" s="75"/>
      <c r="AK2377" s="75"/>
    </row>
    <row r="2378" spans="34:37" x14ac:dyDescent="0.25">
      <c r="AH2378" s="75"/>
      <c r="AK2378" s="75"/>
    </row>
    <row r="2379" spans="34:37" x14ac:dyDescent="0.25">
      <c r="AH2379" s="75"/>
      <c r="AK2379" s="75"/>
    </row>
    <row r="2380" spans="34:37" x14ac:dyDescent="0.25">
      <c r="AH2380" s="75"/>
      <c r="AK2380" s="75"/>
    </row>
    <row r="2381" spans="34:37" x14ac:dyDescent="0.25">
      <c r="AH2381" s="75"/>
      <c r="AK2381" s="75"/>
    </row>
    <row r="2382" spans="34:37" x14ac:dyDescent="0.25">
      <c r="AH2382" s="75"/>
      <c r="AK2382" s="75"/>
    </row>
    <row r="2383" spans="34:37" x14ac:dyDescent="0.25">
      <c r="AH2383" s="75"/>
      <c r="AK2383" s="75"/>
    </row>
    <row r="2384" spans="34:37" x14ac:dyDescent="0.25">
      <c r="AH2384" s="75"/>
      <c r="AK2384" s="75"/>
    </row>
    <row r="2385" spans="34:37" x14ac:dyDescent="0.25">
      <c r="AH2385" s="75"/>
      <c r="AK2385" s="75"/>
    </row>
    <row r="2386" spans="34:37" x14ac:dyDescent="0.25">
      <c r="AH2386" s="75"/>
      <c r="AK2386" s="75"/>
    </row>
    <row r="2387" spans="34:37" x14ac:dyDescent="0.25">
      <c r="AH2387" s="75"/>
      <c r="AK2387" s="75"/>
    </row>
    <row r="2388" spans="34:37" x14ac:dyDescent="0.25">
      <c r="AH2388" s="75"/>
      <c r="AK2388" s="75"/>
    </row>
    <row r="2389" spans="34:37" x14ac:dyDescent="0.25">
      <c r="AH2389" s="75"/>
      <c r="AK2389" s="75"/>
    </row>
    <row r="2390" spans="34:37" x14ac:dyDescent="0.25">
      <c r="AH2390" s="75"/>
      <c r="AK2390" s="75"/>
    </row>
    <row r="2391" spans="34:37" x14ac:dyDescent="0.25">
      <c r="AH2391" s="75"/>
      <c r="AK2391" s="75"/>
    </row>
    <row r="2392" spans="34:37" x14ac:dyDescent="0.25">
      <c r="AH2392" s="75"/>
      <c r="AK2392" s="75"/>
    </row>
    <row r="2393" spans="34:37" x14ac:dyDescent="0.25">
      <c r="AH2393" s="75"/>
      <c r="AK2393" s="75"/>
    </row>
    <row r="2394" spans="34:37" x14ac:dyDescent="0.25">
      <c r="AH2394" s="75"/>
      <c r="AK2394" s="75"/>
    </row>
    <row r="2395" spans="34:37" x14ac:dyDescent="0.25">
      <c r="AH2395" s="75"/>
      <c r="AK2395" s="75"/>
    </row>
    <row r="2396" spans="34:37" x14ac:dyDescent="0.25">
      <c r="AH2396" s="75"/>
      <c r="AK2396" s="75"/>
    </row>
    <row r="2397" spans="34:37" x14ac:dyDescent="0.25">
      <c r="AH2397" s="75"/>
      <c r="AK2397" s="75"/>
    </row>
    <row r="2398" spans="34:37" x14ac:dyDescent="0.25">
      <c r="AH2398" s="75"/>
      <c r="AK2398" s="75"/>
    </row>
    <row r="2399" spans="34:37" x14ac:dyDescent="0.25">
      <c r="AH2399" s="75"/>
      <c r="AK2399" s="75"/>
    </row>
    <row r="2400" spans="34:37" x14ac:dyDescent="0.25">
      <c r="AH2400" s="75"/>
      <c r="AK2400" s="75"/>
    </row>
    <row r="2401" spans="34:37" x14ac:dyDescent="0.25">
      <c r="AH2401" s="75"/>
      <c r="AK2401" s="75"/>
    </row>
    <row r="2402" spans="34:37" x14ac:dyDescent="0.25">
      <c r="AH2402" s="75"/>
      <c r="AK2402" s="75"/>
    </row>
    <row r="2403" spans="34:37" x14ac:dyDescent="0.25">
      <c r="AH2403" s="75"/>
      <c r="AK2403" s="75"/>
    </row>
    <row r="2404" spans="34:37" x14ac:dyDescent="0.25">
      <c r="AH2404" s="75"/>
      <c r="AK2404" s="75"/>
    </row>
    <row r="2405" spans="34:37" x14ac:dyDescent="0.25">
      <c r="AH2405" s="75"/>
      <c r="AK2405" s="75"/>
    </row>
    <row r="2406" spans="34:37" x14ac:dyDescent="0.25">
      <c r="AH2406" s="75"/>
      <c r="AK2406" s="75"/>
    </row>
    <row r="2407" spans="34:37" x14ac:dyDescent="0.25">
      <c r="AH2407" s="75"/>
      <c r="AK2407" s="75"/>
    </row>
    <row r="2408" spans="34:37" x14ac:dyDescent="0.25">
      <c r="AH2408" s="75"/>
      <c r="AK2408" s="75"/>
    </row>
    <row r="2409" spans="34:37" x14ac:dyDescent="0.25">
      <c r="AH2409" s="75"/>
      <c r="AK2409" s="75"/>
    </row>
    <row r="2410" spans="34:37" x14ac:dyDescent="0.25">
      <c r="AH2410" s="75"/>
      <c r="AK2410" s="75"/>
    </row>
    <row r="2411" spans="34:37" x14ac:dyDescent="0.25">
      <c r="AH2411" s="75"/>
      <c r="AK2411" s="75"/>
    </row>
    <row r="2412" spans="34:37" x14ac:dyDescent="0.25">
      <c r="AH2412" s="75"/>
      <c r="AK2412" s="75"/>
    </row>
    <row r="2413" spans="34:37" x14ac:dyDescent="0.25">
      <c r="AH2413" s="75"/>
      <c r="AK2413" s="75"/>
    </row>
    <row r="2414" spans="34:37" x14ac:dyDescent="0.25">
      <c r="AH2414" s="75"/>
      <c r="AK2414" s="75"/>
    </row>
    <row r="2415" spans="34:37" x14ac:dyDescent="0.25">
      <c r="AH2415" s="75"/>
      <c r="AK2415" s="75"/>
    </row>
    <row r="2416" spans="34:37" x14ac:dyDescent="0.25">
      <c r="AH2416" s="75"/>
      <c r="AK2416" s="75"/>
    </row>
    <row r="2417" spans="34:37" x14ac:dyDescent="0.25">
      <c r="AH2417" s="75"/>
      <c r="AK2417" s="75"/>
    </row>
    <row r="2418" spans="34:37" x14ac:dyDescent="0.25">
      <c r="AH2418" s="75"/>
      <c r="AK2418" s="75"/>
    </row>
    <row r="2419" spans="34:37" x14ac:dyDescent="0.25">
      <c r="AH2419" s="75"/>
      <c r="AK2419" s="75"/>
    </row>
    <row r="2420" spans="34:37" x14ac:dyDescent="0.25">
      <c r="AH2420" s="75"/>
      <c r="AK2420" s="75"/>
    </row>
    <row r="2421" spans="34:37" x14ac:dyDescent="0.25">
      <c r="AH2421" s="75"/>
      <c r="AK2421" s="75"/>
    </row>
    <row r="2422" spans="34:37" x14ac:dyDescent="0.25">
      <c r="AH2422" s="75"/>
      <c r="AK2422" s="75"/>
    </row>
    <row r="2423" spans="34:37" x14ac:dyDescent="0.25">
      <c r="AH2423" s="75"/>
      <c r="AK2423" s="75"/>
    </row>
    <row r="2424" spans="34:37" x14ac:dyDescent="0.25">
      <c r="AH2424" s="75"/>
      <c r="AK2424" s="75"/>
    </row>
    <row r="2425" spans="34:37" x14ac:dyDescent="0.25">
      <c r="AH2425" s="75"/>
      <c r="AK2425" s="75"/>
    </row>
    <row r="2426" spans="34:37" x14ac:dyDescent="0.25">
      <c r="AH2426" s="75"/>
      <c r="AK2426" s="75"/>
    </row>
    <row r="2427" spans="34:37" x14ac:dyDescent="0.25">
      <c r="AH2427" s="75"/>
      <c r="AK2427" s="75"/>
    </row>
    <row r="2428" spans="34:37" x14ac:dyDescent="0.25">
      <c r="AH2428" s="75"/>
      <c r="AK2428" s="75"/>
    </row>
    <row r="2429" spans="34:37" x14ac:dyDescent="0.25">
      <c r="AH2429" s="75"/>
      <c r="AK2429" s="75"/>
    </row>
    <row r="2430" spans="34:37" x14ac:dyDescent="0.25">
      <c r="AH2430" s="75"/>
      <c r="AK2430" s="75"/>
    </row>
    <row r="2431" spans="34:37" x14ac:dyDescent="0.25">
      <c r="AH2431" s="75"/>
      <c r="AK2431" s="75"/>
    </row>
    <row r="2432" spans="34:37" x14ac:dyDescent="0.25">
      <c r="AH2432" s="75"/>
      <c r="AK2432" s="75"/>
    </row>
    <row r="2433" spans="34:37" x14ac:dyDescent="0.25">
      <c r="AH2433" s="75"/>
      <c r="AK2433" s="75"/>
    </row>
    <row r="2434" spans="34:37" x14ac:dyDescent="0.25">
      <c r="AH2434" s="75"/>
      <c r="AK2434" s="75"/>
    </row>
    <row r="2435" spans="34:37" x14ac:dyDescent="0.25">
      <c r="AH2435" s="75"/>
      <c r="AK2435" s="75"/>
    </row>
    <row r="2436" spans="34:37" x14ac:dyDescent="0.25">
      <c r="AH2436" s="75"/>
      <c r="AK2436" s="75"/>
    </row>
    <row r="2437" spans="34:37" x14ac:dyDescent="0.25">
      <c r="AH2437" s="75"/>
      <c r="AK2437" s="75"/>
    </row>
    <row r="2438" spans="34:37" x14ac:dyDescent="0.25">
      <c r="AH2438" s="75"/>
      <c r="AK2438" s="75"/>
    </row>
    <row r="2439" spans="34:37" x14ac:dyDescent="0.25">
      <c r="AH2439" s="75"/>
      <c r="AK2439" s="75"/>
    </row>
    <row r="2440" spans="34:37" x14ac:dyDescent="0.25">
      <c r="AH2440" s="75"/>
      <c r="AK2440" s="75"/>
    </row>
    <row r="2441" spans="34:37" x14ac:dyDescent="0.25">
      <c r="AH2441" s="75"/>
      <c r="AK2441" s="75"/>
    </row>
    <row r="2442" spans="34:37" x14ac:dyDescent="0.25">
      <c r="AH2442" s="75"/>
      <c r="AK2442" s="75"/>
    </row>
    <row r="2443" spans="34:37" x14ac:dyDescent="0.25">
      <c r="AH2443" s="75"/>
      <c r="AK2443" s="75"/>
    </row>
    <row r="2444" spans="34:37" x14ac:dyDescent="0.25">
      <c r="AH2444" s="75"/>
      <c r="AK2444" s="75"/>
    </row>
    <row r="2445" spans="34:37" x14ac:dyDescent="0.25">
      <c r="AH2445" s="75"/>
      <c r="AK2445" s="75"/>
    </row>
    <row r="2446" spans="34:37" x14ac:dyDescent="0.25">
      <c r="AH2446" s="75"/>
      <c r="AK2446" s="75"/>
    </row>
    <row r="2447" spans="34:37" x14ac:dyDescent="0.25">
      <c r="AH2447" s="75"/>
      <c r="AK2447" s="75"/>
    </row>
    <row r="2448" spans="34:37" x14ac:dyDescent="0.25">
      <c r="AH2448" s="75"/>
      <c r="AK2448" s="75"/>
    </row>
    <row r="2449" spans="34:37" x14ac:dyDescent="0.25">
      <c r="AH2449" s="75"/>
      <c r="AK2449" s="75"/>
    </row>
    <row r="2450" spans="34:37" x14ac:dyDescent="0.25">
      <c r="AH2450" s="75"/>
      <c r="AK2450" s="75"/>
    </row>
    <row r="2451" spans="34:37" x14ac:dyDescent="0.25">
      <c r="AH2451" s="75"/>
      <c r="AK2451" s="75"/>
    </row>
    <row r="2452" spans="34:37" x14ac:dyDescent="0.25">
      <c r="AH2452" s="75"/>
      <c r="AK2452" s="75"/>
    </row>
    <row r="2453" spans="34:37" x14ac:dyDescent="0.25">
      <c r="AH2453" s="75"/>
      <c r="AK2453" s="75"/>
    </row>
    <row r="2454" spans="34:37" x14ac:dyDescent="0.25">
      <c r="AH2454" s="75"/>
      <c r="AK2454" s="75"/>
    </row>
    <row r="2455" spans="34:37" x14ac:dyDescent="0.25">
      <c r="AH2455" s="75"/>
      <c r="AK2455" s="75"/>
    </row>
    <row r="2456" spans="34:37" x14ac:dyDescent="0.25">
      <c r="AH2456" s="75"/>
      <c r="AK2456" s="75"/>
    </row>
    <row r="2457" spans="34:37" x14ac:dyDescent="0.25">
      <c r="AH2457" s="75"/>
      <c r="AK2457" s="75"/>
    </row>
    <row r="2458" spans="34:37" x14ac:dyDescent="0.25">
      <c r="AH2458" s="75"/>
      <c r="AK2458" s="75"/>
    </row>
    <row r="2459" spans="34:37" x14ac:dyDescent="0.25">
      <c r="AH2459" s="75"/>
      <c r="AK2459" s="75"/>
    </row>
    <row r="2460" spans="34:37" x14ac:dyDescent="0.25">
      <c r="AH2460" s="75"/>
      <c r="AK2460" s="75"/>
    </row>
    <row r="2461" spans="34:37" x14ac:dyDescent="0.25">
      <c r="AH2461" s="75"/>
      <c r="AK2461" s="75"/>
    </row>
    <row r="2462" spans="34:37" x14ac:dyDescent="0.25">
      <c r="AH2462" s="75"/>
      <c r="AK2462" s="75"/>
    </row>
    <row r="2463" spans="34:37" x14ac:dyDescent="0.25">
      <c r="AH2463" s="75"/>
      <c r="AK2463" s="75"/>
    </row>
    <row r="2464" spans="34:37" x14ac:dyDescent="0.25">
      <c r="AH2464" s="75"/>
      <c r="AK2464" s="75"/>
    </row>
    <row r="2465" spans="34:37" x14ac:dyDescent="0.25">
      <c r="AH2465" s="75"/>
      <c r="AK2465" s="75"/>
    </row>
    <row r="2466" spans="34:37" x14ac:dyDescent="0.25">
      <c r="AH2466" s="75"/>
      <c r="AK2466" s="75"/>
    </row>
    <row r="2467" spans="34:37" x14ac:dyDescent="0.25">
      <c r="AH2467" s="75"/>
      <c r="AK2467" s="75"/>
    </row>
    <row r="2468" spans="34:37" x14ac:dyDescent="0.25">
      <c r="AH2468" s="75"/>
      <c r="AK2468" s="75"/>
    </row>
    <row r="2469" spans="34:37" x14ac:dyDescent="0.25">
      <c r="AH2469" s="75"/>
      <c r="AK2469" s="75"/>
    </row>
    <row r="2470" spans="34:37" x14ac:dyDescent="0.25">
      <c r="AH2470" s="75"/>
      <c r="AK2470" s="75"/>
    </row>
    <row r="2471" spans="34:37" x14ac:dyDescent="0.25">
      <c r="AH2471" s="75"/>
      <c r="AK2471" s="75"/>
    </row>
    <row r="2472" spans="34:37" x14ac:dyDescent="0.25">
      <c r="AH2472" s="75"/>
      <c r="AK2472" s="75"/>
    </row>
    <row r="2473" spans="34:37" x14ac:dyDescent="0.25">
      <c r="AH2473" s="75"/>
      <c r="AK2473" s="75"/>
    </row>
    <row r="2474" spans="34:37" x14ac:dyDescent="0.25">
      <c r="AH2474" s="75"/>
      <c r="AK2474" s="75"/>
    </row>
    <row r="2475" spans="34:37" x14ac:dyDescent="0.25">
      <c r="AH2475" s="75"/>
      <c r="AK2475" s="75"/>
    </row>
    <row r="2476" spans="34:37" x14ac:dyDescent="0.25">
      <c r="AH2476" s="75"/>
      <c r="AK2476" s="75"/>
    </row>
    <row r="2477" spans="34:37" x14ac:dyDescent="0.25">
      <c r="AH2477" s="75"/>
      <c r="AK2477" s="75"/>
    </row>
    <row r="2478" spans="34:37" x14ac:dyDescent="0.25">
      <c r="AH2478" s="75"/>
      <c r="AK2478" s="75"/>
    </row>
    <row r="2479" spans="34:37" x14ac:dyDescent="0.25">
      <c r="AH2479" s="75"/>
      <c r="AK2479" s="75"/>
    </row>
    <row r="2480" spans="34:37" x14ac:dyDescent="0.25">
      <c r="AH2480" s="75"/>
      <c r="AK2480" s="75"/>
    </row>
    <row r="2481" spans="34:37" x14ac:dyDescent="0.25">
      <c r="AH2481" s="75"/>
      <c r="AK2481" s="75"/>
    </row>
    <row r="2482" spans="34:37" x14ac:dyDescent="0.25">
      <c r="AH2482" s="75"/>
      <c r="AK2482" s="75"/>
    </row>
    <row r="2483" spans="34:37" x14ac:dyDescent="0.25">
      <c r="AH2483" s="75"/>
      <c r="AK2483" s="75"/>
    </row>
    <row r="2484" spans="34:37" x14ac:dyDescent="0.25">
      <c r="AH2484" s="75"/>
      <c r="AK2484" s="75"/>
    </row>
    <row r="2485" spans="34:37" x14ac:dyDescent="0.25">
      <c r="AH2485" s="75"/>
      <c r="AK2485" s="75"/>
    </row>
    <row r="2486" spans="34:37" x14ac:dyDescent="0.25">
      <c r="AH2486" s="75"/>
      <c r="AK2486" s="75"/>
    </row>
    <row r="2487" spans="34:37" x14ac:dyDescent="0.25">
      <c r="AH2487" s="75"/>
      <c r="AK2487" s="75"/>
    </row>
    <row r="2488" spans="34:37" x14ac:dyDescent="0.25">
      <c r="AH2488" s="75"/>
      <c r="AK2488" s="75"/>
    </row>
    <row r="2489" spans="34:37" x14ac:dyDescent="0.25">
      <c r="AH2489" s="75"/>
      <c r="AK2489" s="75"/>
    </row>
    <row r="2490" spans="34:37" x14ac:dyDescent="0.25">
      <c r="AH2490" s="75"/>
      <c r="AK2490" s="75"/>
    </row>
    <row r="2491" spans="34:37" x14ac:dyDescent="0.25">
      <c r="AH2491" s="75"/>
      <c r="AK2491" s="75"/>
    </row>
    <row r="2492" spans="34:37" x14ac:dyDescent="0.25">
      <c r="AH2492" s="75"/>
      <c r="AK2492" s="75"/>
    </row>
    <row r="2493" spans="34:37" x14ac:dyDescent="0.25">
      <c r="AH2493" s="75"/>
      <c r="AK2493" s="75"/>
    </row>
    <row r="2494" spans="34:37" x14ac:dyDescent="0.25">
      <c r="AH2494" s="75"/>
      <c r="AK2494" s="75"/>
    </row>
    <row r="2495" spans="34:37" x14ac:dyDescent="0.25">
      <c r="AH2495" s="75"/>
      <c r="AK2495" s="75"/>
    </row>
    <row r="2496" spans="34:37" x14ac:dyDescent="0.25">
      <c r="AH2496" s="75"/>
      <c r="AK2496" s="75"/>
    </row>
    <row r="2497" spans="34:37" x14ac:dyDescent="0.25">
      <c r="AH2497" s="75"/>
      <c r="AK2497" s="75"/>
    </row>
    <row r="2498" spans="34:37" x14ac:dyDescent="0.25">
      <c r="AH2498" s="75"/>
      <c r="AK2498" s="75"/>
    </row>
    <row r="2499" spans="34:37" x14ac:dyDescent="0.25">
      <c r="AH2499" s="75"/>
      <c r="AK2499" s="75"/>
    </row>
    <row r="2500" spans="34:37" x14ac:dyDescent="0.25">
      <c r="AH2500" s="75"/>
      <c r="AK2500" s="75"/>
    </row>
    <row r="2501" spans="34:37" x14ac:dyDescent="0.25">
      <c r="AH2501" s="75"/>
      <c r="AK2501" s="75"/>
    </row>
    <row r="2502" spans="34:37" x14ac:dyDescent="0.25">
      <c r="AH2502" s="75"/>
      <c r="AK2502" s="75"/>
    </row>
    <row r="2503" spans="34:37" x14ac:dyDescent="0.25">
      <c r="AH2503" s="75"/>
      <c r="AK2503" s="75"/>
    </row>
    <row r="2504" spans="34:37" x14ac:dyDescent="0.25">
      <c r="AH2504" s="75"/>
      <c r="AK2504" s="75"/>
    </row>
    <row r="2505" spans="34:37" x14ac:dyDescent="0.25">
      <c r="AH2505" s="75"/>
      <c r="AK2505" s="75"/>
    </row>
    <row r="2506" spans="34:37" x14ac:dyDescent="0.25">
      <c r="AH2506" s="75"/>
      <c r="AK2506" s="75"/>
    </row>
    <row r="2507" spans="34:37" x14ac:dyDescent="0.25">
      <c r="AH2507" s="75"/>
      <c r="AK2507" s="75"/>
    </row>
    <row r="2508" spans="34:37" x14ac:dyDescent="0.25">
      <c r="AH2508" s="75"/>
      <c r="AK2508" s="75"/>
    </row>
    <row r="2509" spans="34:37" x14ac:dyDescent="0.25">
      <c r="AH2509" s="75"/>
      <c r="AK2509" s="75"/>
    </row>
    <row r="2510" spans="34:37" x14ac:dyDescent="0.25">
      <c r="AH2510" s="75"/>
      <c r="AK2510" s="75"/>
    </row>
    <row r="2511" spans="34:37" x14ac:dyDescent="0.25">
      <c r="AH2511" s="75"/>
      <c r="AK2511" s="75"/>
    </row>
    <row r="2512" spans="34:37" x14ac:dyDescent="0.25">
      <c r="AH2512" s="75"/>
      <c r="AK2512" s="75"/>
    </row>
    <row r="2513" spans="34:37" x14ac:dyDescent="0.25">
      <c r="AH2513" s="75"/>
      <c r="AK2513" s="75"/>
    </row>
    <row r="2514" spans="34:37" x14ac:dyDescent="0.25">
      <c r="AH2514" s="75"/>
      <c r="AK2514" s="75"/>
    </row>
    <row r="2515" spans="34:37" x14ac:dyDescent="0.25">
      <c r="AH2515" s="75"/>
      <c r="AK2515" s="75"/>
    </row>
    <row r="2516" spans="34:37" x14ac:dyDescent="0.25">
      <c r="AH2516" s="75"/>
      <c r="AK2516" s="75"/>
    </row>
    <row r="2517" spans="34:37" x14ac:dyDescent="0.25">
      <c r="AH2517" s="75"/>
      <c r="AK2517" s="75"/>
    </row>
    <row r="2518" spans="34:37" x14ac:dyDescent="0.25">
      <c r="AH2518" s="75"/>
      <c r="AK2518" s="75"/>
    </row>
    <row r="2519" spans="34:37" x14ac:dyDescent="0.25">
      <c r="AH2519" s="75"/>
      <c r="AK2519" s="75"/>
    </row>
    <row r="2520" spans="34:37" x14ac:dyDescent="0.25">
      <c r="AH2520" s="75"/>
      <c r="AK2520" s="75"/>
    </row>
    <row r="2521" spans="34:37" x14ac:dyDescent="0.25">
      <c r="AH2521" s="75"/>
      <c r="AK2521" s="75"/>
    </row>
    <row r="2522" spans="34:37" x14ac:dyDescent="0.25">
      <c r="AH2522" s="75"/>
      <c r="AK2522" s="75"/>
    </row>
    <row r="2523" spans="34:37" x14ac:dyDescent="0.25">
      <c r="AH2523" s="75"/>
      <c r="AK2523" s="75"/>
    </row>
    <row r="2524" spans="34:37" x14ac:dyDescent="0.25">
      <c r="AH2524" s="75"/>
      <c r="AK2524" s="75"/>
    </row>
    <row r="2525" spans="34:37" x14ac:dyDescent="0.25">
      <c r="AH2525" s="75"/>
      <c r="AK2525" s="75"/>
    </row>
    <row r="2526" spans="34:37" x14ac:dyDescent="0.25">
      <c r="AH2526" s="75"/>
      <c r="AK2526" s="75"/>
    </row>
    <row r="2527" spans="34:37" x14ac:dyDescent="0.25">
      <c r="AH2527" s="75"/>
      <c r="AK2527" s="75"/>
    </row>
    <row r="2528" spans="34:37" x14ac:dyDescent="0.25">
      <c r="AH2528" s="75"/>
      <c r="AK2528" s="75"/>
    </row>
    <row r="2529" spans="34:37" x14ac:dyDescent="0.25">
      <c r="AH2529" s="75"/>
      <c r="AK2529" s="75"/>
    </row>
    <row r="2530" spans="34:37" x14ac:dyDescent="0.25">
      <c r="AH2530" s="75"/>
      <c r="AK2530" s="75"/>
    </row>
    <row r="2531" spans="34:37" x14ac:dyDescent="0.25">
      <c r="AH2531" s="75"/>
      <c r="AK2531" s="75"/>
    </row>
    <row r="2532" spans="34:37" x14ac:dyDescent="0.25">
      <c r="AH2532" s="75"/>
      <c r="AK2532" s="75"/>
    </row>
    <row r="2533" spans="34:37" x14ac:dyDescent="0.25">
      <c r="AH2533" s="75"/>
      <c r="AK2533" s="75"/>
    </row>
    <row r="2534" spans="34:37" x14ac:dyDescent="0.25">
      <c r="AH2534" s="75"/>
      <c r="AK2534" s="75"/>
    </row>
    <row r="2535" spans="34:37" x14ac:dyDescent="0.25">
      <c r="AH2535" s="75"/>
      <c r="AK2535" s="75"/>
    </row>
    <row r="2536" spans="34:37" x14ac:dyDescent="0.25">
      <c r="AH2536" s="75"/>
      <c r="AK2536" s="75"/>
    </row>
    <row r="2537" spans="34:37" x14ac:dyDescent="0.25">
      <c r="AH2537" s="75"/>
      <c r="AK2537" s="75"/>
    </row>
    <row r="2538" spans="34:37" x14ac:dyDescent="0.25">
      <c r="AH2538" s="75"/>
      <c r="AK2538" s="75"/>
    </row>
    <row r="2539" spans="34:37" x14ac:dyDescent="0.25">
      <c r="AH2539" s="75"/>
      <c r="AK2539" s="75"/>
    </row>
    <row r="2540" spans="34:37" x14ac:dyDescent="0.25">
      <c r="AH2540" s="75"/>
      <c r="AK2540" s="75"/>
    </row>
    <row r="2541" spans="34:37" x14ac:dyDescent="0.25">
      <c r="AH2541" s="75"/>
      <c r="AK2541" s="75"/>
    </row>
    <row r="2542" spans="34:37" x14ac:dyDescent="0.25">
      <c r="AH2542" s="75"/>
      <c r="AK2542" s="75"/>
    </row>
    <row r="2543" spans="34:37" x14ac:dyDescent="0.25">
      <c r="AH2543" s="75"/>
      <c r="AK2543" s="75"/>
    </row>
    <row r="2544" spans="34:37" x14ac:dyDescent="0.25">
      <c r="AH2544" s="75"/>
      <c r="AK2544" s="75"/>
    </row>
    <row r="2545" spans="34:37" x14ac:dyDescent="0.25">
      <c r="AH2545" s="75"/>
      <c r="AK2545" s="75"/>
    </row>
    <row r="2546" spans="34:37" x14ac:dyDescent="0.25">
      <c r="AH2546" s="75"/>
      <c r="AK2546" s="75"/>
    </row>
    <row r="2547" spans="34:37" x14ac:dyDescent="0.25">
      <c r="AH2547" s="75"/>
      <c r="AK2547" s="75"/>
    </row>
    <row r="2548" spans="34:37" x14ac:dyDescent="0.25">
      <c r="AH2548" s="75"/>
      <c r="AK2548" s="75"/>
    </row>
    <row r="2549" spans="34:37" x14ac:dyDescent="0.25">
      <c r="AH2549" s="75"/>
      <c r="AK2549" s="75"/>
    </row>
    <row r="2550" spans="34:37" x14ac:dyDescent="0.25">
      <c r="AH2550" s="75"/>
      <c r="AK2550" s="75"/>
    </row>
    <row r="2551" spans="34:37" x14ac:dyDescent="0.25">
      <c r="AH2551" s="75"/>
      <c r="AK2551" s="75"/>
    </row>
    <row r="2552" spans="34:37" x14ac:dyDescent="0.25">
      <c r="AH2552" s="75"/>
      <c r="AK2552" s="75"/>
    </row>
    <row r="2553" spans="34:37" x14ac:dyDescent="0.25">
      <c r="AH2553" s="75"/>
      <c r="AK2553" s="75"/>
    </row>
    <row r="2554" spans="34:37" x14ac:dyDescent="0.25">
      <c r="AH2554" s="75"/>
      <c r="AK2554" s="75"/>
    </row>
    <row r="2555" spans="34:37" x14ac:dyDescent="0.25">
      <c r="AH2555" s="75"/>
      <c r="AK2555" s="75"/>
    </row>
    <row r="2556" spans="34:37" x14ac:dyDescent="0.25">
      <c r="AH2556" s="75"/>
      <c r="AK2556" s="75"/>
    </row>
    <row r="2557" spans="34:37" x14ac:dyDescent="0.25">
      <c r="AH2557" s="75"/>
      <c r="AK2557" s="75"/>
    </row>
    <row r="2558" spans="34:37" x14ac:dyDescent="0.25">
      <c r="AH2558" s="75"/>
      <c r="AK2558" s="75"/>
    </row>
    <row r="2559" spans="34:37" x14ac:dyDescent="0.25">
      <c r="AH2559" s="75"/>
      <c r="AK2559" s="75"/>
    </row>
    <row r="2560" spans="34:37" x14ac:dyDescent="0.25">
      <c r="AH2560" s="75"/>
      <c r="AK2560" s="75"/>
    </row>
    <row r="2561" spans="34:37" x14ac:dyDescent="0.25">
      <c r="AH2561" s="75"/>
      <c r="AK2561" s="75"/>
    </row>
    <row r="2562" spans="34:37" x14ac:dyDescent="0.25">
      <c r="AH2562" s="75"/>
      <c r="AK2562" s="75"/>
    </row>
    <row r="2563" spans="34:37" x14ac:dyDescent="0.25">
      <c r="AH2563" s="75"/>
      <c r="AK2563" s="75"/>
    </row>
    <row r="2564" spans="34:37" x14ac:dyDescent="0.25">
      <c r="AH2564" s="75"/>
      <c r="AK2564" s="75"/>
    </row>
    <row r="2565" spans="34:37" x14ac:dyDescent="0.25">
      <c r="AH2565" s="75"/>
      <c r="AK2565" s="75"/>
    </row>
    <row r="2566" spans="34:37" x14ac:dyDescent="0.25">
      <c r="AH2566" s="75"/>
      <c r="AK2566" s="75"/>
    </row>
    <row r="2567" spans="34:37" x14ac:dyDescent="0.25">
      <c r="AH2567" s="75"/>
      <c r="AK2567" s="75"/>
    </row>
    <row r="2568" spans="34:37" x14ac:dyDescent="0.25">
      <c r="AH2568" s="75"/>
      <c r="AK2568" s="75"/>
    </row>
    <row r="2569" spans="34:37" x14ac:dyDescent="0.25">
      <c r="AH2569" s="75"/>
      <c r="AK2569" s="75"/>
    </row>
    <row r="2570" spans="34:37" x14ac:dyDescent="0.25">
      <c r="AH2570" s="75"/>
      <c r="AK2570" s="75"/>
    </row>
    <row r="2571" spans="34:37" x14ac:dyDescent="0.25">
      <c r="AH2571" s="75"/>
      <c r="AK2571" s="75"/>
    </row>
    <row r="2572" spans="34:37" x14ac:dyDescent="0.25">
      <c r="AH2572" s="75"/>
      <c r="AK2572" s="75"/>
    </row>
    <row r="2573" spans="34:37" x14ac:dyDescent="0.25">
      <c r="AH2573" s="75"/>
      <c r="AK2573" s="75"/>
    </row>
    <row r="2574" spans="34:37" x14ac:dyDescent="0.25">
      <c r="AH2574" s="75"/>
      <c r="AK2574" s="75"/>
    </row>
    <row r="2575" spans="34:37" x14ac:dyDescent="0.25">
      <c r="AH2575" s="75"/>
      <c r="AK2575" s="75"/>
    </row>
    <row r="2576" spans="34:37" x14ac:dyDescent="0.25">
      <c r="AH2576" s="75"/>
      <c r="AK2576" s="75"/>
    </row>
    <row r="2577" spans="34:37" x14ac:dyDescent="0.25">
      <c r="AH2577" s="75"/>
      <c r="AK2577" s="75"/>
    </row>
    <row r="2578" spans="34:37" x14ac:dyDescent="0.25">
      <c r="AH2578" s="75"/>
      <c r="AK2578" s="75"/>
    </row>
    <row r="2579" spans="34:37" x14ac:dyDescent="0.25">
      <c r="AH2579" s="75"/>
      <c r="AK2579" s="75"/>
    </row>
    <row r="2580" spans="34:37" x14ac:dyDescent="0.25">
      <c r="AH2580" s="75"/>
      <c r="AK2580" s="75"/>
    </row>
    <row r="2581" spans="34:37" x14ac:dyDescent="0.25">
      <c r="AH2581" s="75"/>
      <c r="AK2581" s="75"/>
    </row>
    <row r="2582" spans="34:37" x14ac:dyDescent="0.25">
      <c r="AH2582" s="75"/>
      <c r="AK2582" s="75"/>
    </row>
    <row r="2583" spans="34:37" x14ac:dyDescent="0.25">
      <c r="AH2583" s="75"/>
      <c r="AK2583" s="75"/>
    </row>
    <row r="2584" spans="34:37" x14ac:dyDescent="0.25">
      <c r="AH2584" s="75"/>
      <c r="AK2584" s="75"/>
    </row>
    <row r="2585" spans="34:37" x14ac:dyDescent="0.25">
      <c r="AH2585" s="75"/>
      <c r="AK2585" s="75"/>
    </row>
    <row r="2586" spans="34:37" x14ac:dyDescent="0.25">
      <c r="AH2586" s="75"/>
      <c r="AK2586" s="75"/>
    </row>
    <row r="2587" spans="34:37" x14ac:dyDescent="0.25">
      <c r="AH2587" s="75"/>
      <c r="AK2587" s="75"/>
    </row>
    <row r="2588" spans="34:37" x14ac:dyDescent="0.25">
      <c r="AH2588" s="75"/>
      <c r="AK2588" s="75"/>
    </row>
    <row r="2589" spans="34:37" x14ac:dyDescent="0.25">
      <c r="AH2589" s="75"/>
      <c r="AK2589" s="75"/>
    </row>
    <row r="2590" spans="34:37" x14ac:dyDescent="0.25">
      <c r="AH2590" s="75"/>
      <c r="AK2590" s="75"/>
    </row>
    <row r="2591" spans="34:37" x14ac:dyDescent="0.25">
      <c r="AH2591" s="75"/>
      <c r="AK2591" s="75"/>
    </row>
    <row r="2592" spans="34:37" x14ac:dyDescent="0.25">
      <c r="AH2592" s="75"/>
      <c r="AK2592" s="75"/>
    </row>
    <row r="2593" spans="34:37" x14ac:dyDescent="0.25">
      <c r="AH2593" s="75"/>
      <c r="AK2593" s="75"/>
    </row>
    <row r="2594" spans="34:37" x14ac:dyDescent="0.25">
      <c r="AH2594" s="75"/>
      <c r="AK2594" s="75"/>
    </row>
    <row r="2595" spans="34:37" x14ac:dyDescent="0.25">
      <c r="AH2595" s="75"/>
      <c r="AK2595" s="75"/>
    </row>
    <row r="2596" spans="34:37" x14ac:dyDescent="0.25">
      <c r="AH2596" s="75"/>
      <c r="AK2596" s="75"/>
    </row>
    <row r="2597" spans="34:37" x14ac:dyDescent="0.25">
      <c r="AH2597" s="75"/>
      <c r="AK2597" s="75"/>
    </row>
    <row r="2598" spans="34:37" x14ac:dyDescent="0.25">
      <c r="AH2598" s="75"/>
      <c r="AK2598" s="75"/>
    </row>
    <row r="2599" spans="34:37" x14ac:dyDescent="0.25">
      <c r="AH2599" s="75"/>
      <c r="AK2599" s="75"/>
    </row>
    <row r="2600" spans="34:37" x14ac:dyDescent="0.25">
      <c r="AH2600" s="75"/>
      <c r="AK2600" s="75"/>
    </row>
    <row r="2601" spans="34:37" x14ac:dyDescent="0.25">
      <c r="AH2601" s="75"/>
      <c r="AK2601" s="75"/>
    </row>
    <row r="2602" spans="34:37" x14ac:dyDescent="0.25">
      <c r="AH2602" s="75"/>
      <c r="AK2602" s="75"/>
    </row>
    <row r="2603" spans="34:37" x14ac:dyDescent="0.25">
      <c r="AH2603" s="75"/>
      <c r="AK2603" s="75"/>
    </row>
    <row r="2604" spans="34:37" x14ac:dyDescent="0.25">
      <c r="AH2604" s="75"/>
      <c r="AK2604" s="75"/>
    </row>
    <row r="2605" spans="34:37" x14ac:dyDescent="0.25">
      <c r="AH2605" s="75"/>
      <c r="AK2605" s="75"/>
    </row>
    <row r="2606" spans="34:37" x14ac:dyDescent="0.25">
      <c r="AH2606" s="75"/>
      <c r="AK2606" s="75"/>
    </row>
    <row r="2607" spans="34:37" x14ac:dyDescent="0.25">
      <c r="AH2607" s="75"/>
      <c r="AK2607" s="75"/>
    </row>
    <row r="2608" spans="34:37" x14ac:dyDescent="0.25">
      <c r="AH2608" s="75"/>
      <c r="AK2608" s="75"/>
    </row>
    <row r="2609" spans="34:37" x14ac:dyDescent="0.25">
      <c r="AH2609" s="75"/>
      <c r="AK2609" s="75"/>
    </row>
    <row r="2610" spans="34:37" x14ac:dyDescent="0.25">
      <c r="AH2610" s="75"/>
      <c r="AK2610" s="75"/>
    </row>
    <row r="2611" spans="34:37" x14ac:dyDescent="0.25">
      <c r="AH2611" s="75"/>
      <c r="AK2611" s="75"/>
    </row>
    <row r="2612" spans="34:37" x14ac:dyDescent="0.25">
      <c r="AH2612" s="75"/>
      <c r="AK2612" s="75"/>
    </row>
    <row r="2613" spans="34:37" x14ac:dyDescent="0.25">
      <c r="AH2613" s="75"/>
      <c r="AK2613" s="75"/>
    </row>
    <row r="2614" spans="34:37" x14ac:dyDescent="0.25">
      <c r="AH2614" s="75"/>
      <c r="AK2614" s="75"/>
    </row>
    <row r="2615" spans="34:37" x14ac:dyDescent="0.25">
      <c r="AH2615" s="75"/>
      <c r="AK2615" s="75"/>
    </row>
    <row r="2616" spans="34:37" x14ac:dyDescent="0.25">
      <c r="AH2616" s="75"/>
      <c r="AK2616" s="75"/>
    </row>
    <row r="2617" spans="34:37" x14ac:dyDescent="0.25">
      <c r="AH2617" s="75"/>
      <c r="AK2617" s="75"/>
    </row>
    <row r="2618" spans="34:37" x14ac:dyDescent="0.25">
      <c r="AH2618" s="75"/>
      <c r="AK2618" s="75"/>
    </row>
    <row r="2619" spans="34:37" x14ac:dyDescent="0.25">
      <c r="AH2619" s="75"/>
      <c r="AK2619" s="75"/>
    </row>
    <row r="2620" spans="34:37" x14ac:dyDescent="0.25">
      <c r="AH2620" s="75"/>
      <c r="AK2620" s="75"/>
    </row>
    <row r="2621" spans="34:37" x14ac:dyDescent="0.25">
      <c r="AH2621" s="75"/>
      <c r="AK2621" s="75"/>
    </row>
    <row r="2622" spans="34:37" x14ac:dyDescent="0.25">
      <c r="AH2622" s="75"/>
      <c r="AK2622" s="75"/>
    </row>
    <row r="2623" spans="34:37" x14ac:dyDescent="0.25">
      <c r="AH2623" s="75"/>
      <c r="AK2623" s="75"/>
    </row>
    <row r="2624" spans="34:37" x14ac:dyDescent="0.25">
      <c r="AH2624" s="75"/>
      <c r="AK2624" s="75"/>
    </row>
    <row r="2625" spans="34:37" x14ac:dyDescent="0.25">
      <c r="AH2625" s="75"/>
      <c r="AK2625" s="75"/>
    </row>
    <row r="2626" spans="34:37" x14ac:dyDescent="0.25">
      <c r="AH2626" s="75"/>
      <c r="AK2626" s="75"/>
    </row>
    <row r="2627" spans="34:37" x14ac:dyDescent="0.25">
      <c r="AH2627" s="75"/>
      <c r="AK2627" s="75"/>
    </row>
    <row r="2628" spans="34:37" x14ac:dyDescent="0.25">
      <c r="AH2628" s="75"/>
      <c r="AK2628" s="75"/>
    </row>
    <row r="2629" spans="34:37" x14ac:dyDescent="0.25">
      <c r="AH2629" s="75"/>
      <c r="AK2629" s="75"/>
    </row>
    <row r="2630" spans="34:37" x14ac:dyDescent="0.25">
      <c r="AH2630" s="75"/>
      <c r="AK2630" s="75"/>
    </row>
    <row r="2631" spans="34:37" x14ac:dyDescent="0.25">
      <c r="AH2631" s="75"/>
      <c r="AK2631" s="75"/>
    </row>
    <row r="2632" spans="34:37" x14ac:dyDescent="0.25">
      <c r="AH2632" s="75"/>
      <c r="AK2632" s="75"/>
    </row>
    <row r="2633" spans="34:37" x14ac:dyDescent="0.25">
      <c r="AH2633" s="75"/>
      <c r="AK2633" s="75"/>
    </row>
    <row r="2634" spans="34:37" x14ac:dyDescent="0.25">
      <c r="AH2634" s="75"/>
      <c r="AK2634" s="75"/>
    </row>
    <row r="2635" spans="34:37" x14ac:dyDescent="0.25">
      <c r="AH2635" s="75"/>
      <c r="AK2635" s="75"/>
    </row>
    <row r="2636" spans="34:37" x14ac:dyDescent="0.25">
      <c r="AH2636" s="75"/>
      <c r="AK2636" s="75"/>
    </row>
    <row r="2637" spans="34:37" x14ac:dyDescent="0.25">
      <c r="AH2637" s="75"/>
      <c r="AK2637" s="75"/>
    </row>
    <row r="2638" spans="34:37" x14ac:dyDescent="0.25">
      <c r="AH2638" s="75"/>
      <c r="AK2638" s="75"/>
    </row>
    <row r="2639" spans="34:37" x14ac:dyDescent="0.25">
      <c r="AH2639" s="75"/>
      <c r="AK2639" s="75"/>
    </row>
    <row r="2640" spans="34:37" x14ac:dyDescent="0.25">
      <c r="AH2640" s="75"/>
      <c r="AK2640" s="75"/>
    </row>
    <row r="2641" spans="34:37" x14ac:dyDescent="0.25">
      <c r="AH2641" s="75"/>
      <c r="AK2641" s="75"/>
    </row>
    <row r="2642" spans="34:37" x14ac:dyDescent="0.25">
      <c r="AH2642" s="75"/>
      <c r="AK2642" s="75"/>
    </row>
    <row r="2643" spans="34:37" x14ac:dyDescent="0.25">
      <c r="AH2643" s="75"/>
      <c r="AK2643" s="75"/>
    </row>
    <row r="2644" spans="34:37" x14ac:dyDescent="0.25">
      <c r="AH2644" s="75"/>
      <c r="AK2644" s="75"/>
    </row>
    <row r="2645" spans="34:37" x14ac:dyDescent="0.25">
      <c r="AH2645" s="75"/>
      <c r="AK2645" s="75"/>
    </row>
    <row r="2646" spans="34:37" x14ac:dyDescent="0.25">
      <c r="AH2646" s="75"/>
      <c r="AK2646" s="75"/>
    </row>
    <row r="2647" spans="34:37" x14ac:dyDescent="0.25">
      <c r="AH2647" s="75"/>
      <c r="AK2647" s="75"/>
    </row>
    <row r="2648" spans="34:37" x14ac:dyDescent="0.25">
      <c r="AH2648" s="75"/>
      <c r="AK2648" s="75"/>
    </row>
    <row r="2649" spans="34:37" x14ac:dyDescent="0.25">
      <c r="AH2649" s="75"/>
      <c r="AK2649" s="75"/>
    </row>
    <row r="2650" spans="34:37" x14ac:dyDescent="0.25">
      <c r="AH2650" s="75"/>
      <c r="AK2650" s="75"/>
    </row>
    <row r="2651" spans="34:37" x14ac:dyDescent="0.25">
      <c r="AH2651" s="75"/>
      <c r="AK2651" s="75"/>
    </row>
    <row r="2652" spans="34:37" x14ac:dyDescent="0.25">
      <c r="AH2652" s="75"/>
      <c r="AK2652" s="75"/>
    </row>
    <row r="2653" spans="34:37" x14ac:dyDescent="0.25">
      <c r="AH2653" s="75"/>
      <c r="AK2653" s="75"/>
    </row>
    <row r="2654" spans="34:37" x14ac:dyDescent="0.25">
      <c r="AH2654" s="75"/>
      <c r="AK2654" s="75"/>
    </row>
    <row r="2655" spans="34:37" x14ac:dyDescent="0.25">
      <c r="AH2655" s="75"/>
      <c r="AK2655" s="75"/>
    </row>
    <row r="2656" spans="34:37" x14ac:dyDescent="0.25">
      <c r="AH2656" s="75"/>
      <c r="AK2656" s="75"/>
    </row>
    <row r="2657" spans="34:37" x14ac:dyDescent="0.25">
      <c r="AH2657" s="75"/>
      <c r="AK2657" s="75"/>
    </row>
    <row r="2658" spans="34:37" x14ac:dyDescent="0.25">
      <c r="AH2658" s="75"/>
      <c r="AK2658" s="75"/>
    </row>
    <row r="2659" spans="34:37" x14ac:dyDescent="0.25">
      <c r="AH2659" s="75"/>
      <c r="AK2659" s="75"/>
    </row>
    <row r="2660" spans="34:37" x14ac:dyDescent="0.25">
      <c r="AH2660" s="75"/>
      <c r="AK2660" s="75"/>
    </row>
    <row r="2661" spans="34:37" x14ac:dyDescent="0.25">
      <c r="AH2661" s="75"/>
      <c r="AK2661" s="75"/>
    </row>
    <row r="2662" spans="34:37" x14ac:dyDescent="0.25">
      <c r="AH2662" s="75"/>
      <c r="AK2662" s="75"/>
    </row>
    <row r="2663" spans="34:37" x14ac:dyDescent="0.25">
      <c r="AH2663" s="75"/>
      <c r="AK2663" s="75"/>
    </row>
    <row r="2664" spans="34:37" x14ac:dyDescent="0.25">
      <c r="AH2664" s="75"/>
      <c r="AK2664" s="75"/>
    </row>
    <row r="2665" spans="34:37" x14ac:dyDescent="0.25">
      <c r="AH2665" s="75"/>
      <c r="AK2665" s="75"/>
    </row>
    <row r="2666" spans="34:37" x14ac:dyDescent="0.25">
      <c r="AH2666" s="75"/>
      <c r="AK2666" s="75"/>
    </row>
    <row r="2667" spans="34:37" x14ac:dyDescent="0.25">
      <c r="AH2667" s="75"/>
      <c r="AK2667" s="75"/>
    </row>
    <row r="2668" spans="34:37" x14ac:dyDescent="0.25">
      <c r="AH2668" s="75"/>
      <c r="AK2668" s="75"/>
    </row>
    <row r="2669" spans="34:37" x14ac:dyDescent="0.25">
      <c r="AH2669" s="75"/>
      <c r="AK2669" s="75"/>
    </row>
    <row r="2670" spans="34:37" x14ac:dyDescent="0.25">
      <c r="AH2670" s="75"/>
      <c r="AK2670" s="75"/>
    </row>
    <row r="2671" spans="34:37" x14ac:dyDescent="0.25">
      <c r="AH2671" s="75"/>
      <c r="AK2671" s="75"/>
    </row>
    <row r="2672" spans="34:37" x14ac:dyDescent="0.25">
      <c r="AH2672" s="75"/>
      <c r="AK2672" s="75"/>
    </row>
    <row r="2673" spans="34:37" x14ac:dyDescent="0.25">
      <c r="AH2673" s="75"/>
      <c r="AK2673" s="75"/>
    </row>
    <row r="2674" spans="34:37" x14ac:dyDescent="0.25">
      <c r="AH2674" s="75"/>
      <c r="AK2674" s="75"/>
    </row>
    <row r="2675" spans="34:37" x14ac:dyDescent="0.25">
      <c r="AH2675" s="75"/>
      <c r="AK2675" s="75"/>
    </row>
    <row r="2676" spans="34:37" x14ac:dyDescent="0.25">
      <c r="AH2676" s="75"/>
      <c r="AK2676" s="75"/>
    </row>
    <row r="2677" spans="34:37" x14ac:dyDescent="0.25">
      <c r="AH2677" s="75"/>
      <c r="AK2677" s="75"/>
    </row>
    <row r="2678" spans="34:37" x14ac:dyDescent="0.25">
      <c r="AH2678" s="75"/>
      <c r="AK2678" s="75"/>
    </row>
    <row r="2679" spans="34:37" x14ac:dyDescent="0.25">
      <c r="AH2679" s="75"/>
      <c r="AK2679" s="75"/>
    </row>
    <row r="2680" spans="34:37" x14ac:dyDescent="0.25">
      <c r="AH2680" s="75"/>
      <c r="AK2680" s="75"/>
    </row>
    <row r="2681" spans="34:37" x14ac:dyDescent="0.25">
      <c r="AH2681" s="75"/>
      <c r="AK2681" s="75"/>
    </row>
    <row r="2682" spans="34:37" x14ac:dyDescent="0.25">
      <c r="AH2682" s="75"/>
      <c r="AK2682" s="75"/>
    </row>
    <row r="2683" spans="34:37" x14ac:dyDescent="0.25">
      <c r="AH2683" s="75"/>
      <c r="AK2683" s="75"/>
    </row>
    <row r="2684" spans="34:37" x14ac:dyDescent="0.25">
      <c r="AH2684" s="75"/>
      <c r="AK2684" s="75"/>
    </row>
    <row r="2685" spans="34:37" x14ac:dyDescent="0.25">
      <c r="AH2685" s="75"/>
      <c r="AK2685" s="75"/>
    </row>
    <row r="2686" spans="34:37" x14ac:dyDescent="0.25">
      <c r="AH2686" s="75"/>
      <c r="AK2686" s="75"/>
    </row>
    <row r="2687" spans="34:37" x14ac:dyDescent="0.25">
      <c r="AH2687" s="75"/>
      <c r="AK2687" s="75"/>
    </row>
    <row r="2688" spans="34:37" x14ac:dyDescent="0.25">
      <c r="AH2688" s="75"/>
      <c r="AK2688" s="75"/>
    </row>
    <row r="2689" spans="34:37" x14ac:dyDescent="0.25">
      <c r="AH2689" s="75"/>
      <c r="AK2689" s="75"/>
    </row>
    <row r="2690" spans="34:37" x14ac:dyDescent="0.25">
      <c r="AH2690" s="75"/>
      <c r="AK2690" s="75"/>
    </row>
    <row r="2691" spans="34:37" x14ac:dyDescent="0.25">
      <c r="AH2691" s="75"/>
      <c r="AK2691" s="75"/>
    </row>
    <row r="2692" spans="34:37" x14ac:dyDescent="0.25">
      <c r="AH2692" s="75"/>
      <c r="AK2692" s="75"/>
    </row>
    <row r="2693" spans="34:37" x14ac:dyDescent="0.25">
      <c r="AH2693" s="75"/>
      <c r="AK2693" s="75"/>
    </row>
    <row r="2694" spans="34:37" x14ac:dyDescent="0.25">
      <c r="AH2694" s="75"/>
      <c r="AK2694" s="75"/>
    </row>
    <row r="2695" spans="34:37" x14ac:dyDescent="0.25">
      <c r="AH2695" s="75"/>
      <c r="AK2695" s="75"/>
    </row>
    <row r="2696" spans="34:37" x14ac:dyDescent="0.25">
      <c r="AH2696" s="75"/>
      <c r="AK2696" s="75"/>
    </row>
    <row r="2697" spans="34:37" x14ac:dyDescent="0.25">
      <c r="AH2697" s="75"/>
      <c r="AK2697" s="75"/>
    </row>
    <row r="2698" spans="34:37" x14ac:dyDescent="0.25">
      <c r="AH2698" s="75"/>
      <c r="AK2698" s="75"/>
    </row>
    <row r="2699" spans="34:37" x14ac:dyDescent="0.25">
      <c r="AH2699" s="75"/>
      <c r="AK2699" s="75"/>
    </row>
    <row r="2700" spans="34:37" x14ac:dyDescent="0.25">
      <c r="AH2700" s="75"/>
      <c r="AK2700" s="75"/>
    </row>
    <row r="2701" spans="34:37" x14ac:dyDescent="0.25">
      <c r="AH2701" s="75"/>
      <c r="AK2701" s="75"/>
    </row>
    <row r="2702" spans="34:37" x14ac:dyDescent="0.25">
      <c r="AH2702" s="75"/>
      <c r="AK2702" s="75"/>
    </row>
    <row r="2703" spans="34:37" x14ac:dyDescent="0.25">
      <c r="AH2703" s="75"/>
      <c r="AK2703" s="75"/>
    </row>
    <row r="2704" spans="34:37" x14ac:dyDescent="0.25">
      <c r="AH2704" s="75"/>
      <c r="AK2704" s="75"/>
    </row>
    <row r="2705" spans="34:37" x14ac:dyDescent="0.25">
      <c r="AH2705" s="75"/>
      <c r="AK2705" s="75"/>
    </row>
    <row r="2706" spans="34:37" x14ac:dyDescent="0.25">
      <c r="AH2706" s="75"/>
      <c r="AK2706" s="75"/>
    </row>
    <row r="2707" spans="34:37" x14ac:dyDescent="0.25">
      <c r="AH2707" s="75"/>
      <c r="AK2707" s="75"/>
    </row>
    <row r="2708" spans="34:37" x14ac:dyDescent="0.25">
      <c r="AH2708" s="75"/>
      <c r="AK2708" s="75"/>
    </row>
    <row r="2709" spans="34:37" x14ac:dyDescent="0.25">
      <c r="AH2709" s="75"/>
      <c r="AK2709" s="75"/>
    </row>
    <row r="2710" spans="34:37" x14ac:dyDescent="0.25">
      <c r="AH2710" s="75"/>
      <c r="AK2710" s="75"/>
    </row>
    <row r="2711" spans="34:37" x14ac:dyDescent="0.25">
      <c r="AH2711" s="75"/>
      <c r="AK2711" s="75"/>
    </row>
    <row r="2712" spans="34:37" x14ac:dyDescent="0.25">
      <c r="AH2712" s="75"/>
      <c r="AK2712" s="75"/>
    </row>
    <row r="2713" spans="34:37" x14ac:dyDescent="0.25">
      <c r="AH2713" s="75"/>
      <c r="AK2713" s="75"/>
    </row>
    <row r="2714" spans="34:37" x14ac:dyDescent="0.25">
      <c r="AH2714" s="75"/>
      <c r="AK2714" s="75"/>
    </row>
    <row r="2715" spans="34:37" x14ac:dyDescent="0.25">
      <c r="AH2715" s="75"/>
      <c r="AK2715" s="75"/>
    </row>
    <row r="2716" spans="34:37" x14ac:dyDescent="0.25">
      <c r="AH2716" s="75"/>
      <c r="AK2716" s="75"/>
    </row>
    <row r="2717" spans="34:37" x14ac:dyDescent="0.25">
      <c r="AH2717" s="75"/>
      <c r="AK2717" s="75"/>
    </row>
    <row r="2718" spans="34:37" x14ac:dyDescent="0.25">
      <c r="AH2718" s="75"/>
      <c r="AK2718" s="75"/>
    </row>
    <row r="2719" spans="34:37" x14ac:dyDescent="0.25">
      <c r="AH2719" s="75"/>
      <c r="AK2719" s="75"/>
    </row>
    <row r="2720" spans="34:37" x14ac:dyDescent="0.25">
      <c r="AH2720" s="75"/>
      <c r="AK2720" s="75"/>
    </row>
    <row r="2721" spans="34:37" x14ac:dyDescent="0.25">
      <c r="AH2721" s="75"/>
      <c r="AK2721" s="75"/>
    </row>
    <row r="2722" spans="34:37" x14ac:dyDescent="0.25">
      <c r="AH2722" s="75"/>
      <c r="AK2722" s="75"/>
    </row>
    <row r="2723" spans="34:37" x14ac:dyDescent="0.25">
      <c r="AH2723" s="75"/>
      <c r="AK2723" s="75"/>
    </row>
    <row r="2724" spans="34:37" x14ac:dyDescent="0.25">
      <c r="AH2724" s="75"/>
      <c r="AK2724" s="75"/>
    </row>
    <row r="2725" spans="34:37" x14ac:dyDescent="0.25">
      <c r="AH2725" s="75"/>
      <c r="AK2725" s="75"/>
    </row>
    <row r="2726" spans="34:37" x14ac:dyDescent="0.25">
      <c r="AH2726" s="75"/>
      <c r="AK2726" s="75"/>
    </row>
    <row r="2727" spans="34:37" x14ac:dyDescent="0.25">
      <c r="AH2727" s="75"/>
      <c r="AK2727" s="75"/>
    </row>
    <row r="2728" spans="34:37" x14ac:dyDescent="0.25">
      <c r="AH2728" s="75"/>
      <c r="AK2728" s="75"/>
    </row>
    <row r="2729" spans="34:37" x14ac:dyDescent="0.25">
      <c r="AH2729" s="75"/>
      <c r="AK2729" s="75"/>
    </row>
    <row r="2730" spans="34:37" x14ac:dyDescent="0.25">
      <c r="AH2730" s="75"/>
      <c r="AK2730" s="75"/>
    </row>
    <row r="2731" spans="34:37" x14ac:dyDescent="0.25">
      <c r="AH2731" s="75"/>
      <c r="AK2731" s="75"/>
    </row>
    <row r="2732" spans="34:37" x14ac:dyDescent="0.25">
      <c r="AH2732" s="75"/>
      <c r="AK2732" s="75"/>
    </row>
    <row r="2733" spans="34:37" x14ac:dyDescent="0.25">
      <c r="AH2733" s="75"/>
      <c r="AK2733" s="75"/>
    </row>
    <row r="2734" spans="34:37" x14ac:dyDescent="0.25">
      <c r="AH2734" s="75"/>
      <c r="AK2734" s="75"/>
    </row>
    <row r="2735" spans="34:37" x14ac:dyDescent="0.25">
      <c r="AH2735" s="75"/>
      <c r="AK2735" s="75"/>
    </row>
    <row r="2736" spans="34:37" x14ac:dyDescent="0.25">
      <c r="AH2736" s="75"/>
      <c r="AK2736" s="75"/>
    </row>
    <row r="2737" spans="34:37" x14ac:dyDescent="0.25">
      <c r="AH2737" s="75"/>
      <c r="AK2737" s="75"/>
    </row>
    <row r="2738" spans="34:37" x14ac:dyDescent="0.25">
      <c r="AH2738" s="75"/>
      <c r="AK2738" s="75"/>
    </row>
    <row r="2739" spans="34:37" x14ac:dyDescent="0.25">
      <c r="AH2739" s="75"/>
      <c r="AK2739" s="75"/>
    </row>
    <row r="2740" spans="34:37" x14ac:dyDescent="0.25">
      <c r="AH2740" s="75"/>
      <c r="AK2740" s="75"/>
    </row>
    <row r="2741" spans="34:37" x14ac:dyDescent="0.25">
      <c r="AH2741" s="75"/>
      <c r="AK2741" s="75"/>
    </row>
    <row r="2742" spans="34:37" x14ac:dyDescent="0.25">
      <c r="AH2742" s="75"/>
      <c r="AK2742" s="75"/>
    </row>
    <row r="2743" spans="34:37" x14ac:dyDescent="0.25">
      <c r="AH2743" s="75"/>
      <c r="AK2743" s="75"/>
    </row>
    <row r="2744" spans="34:37" x14ac:dyDescent="0.25">
      <c r="AH2744" s="75"/>
      <c r="AK2744" s="75"/>
    </row>
    <row r="2745" spans="34:37" x14ac:dyDescent="0.25">
      <c r="AH2745" s="75"/>
      <c r="AK2745" s="75"/>
    </row>
    <row r="2746" spans="34:37" x14ac:dyDescent="0.25">
      <c r="AH2746" s="75"/>
      <c r="AK2746" s="75"/>
    </row>
    <row r="2747" spans="34:37" x14ac:dyDescent="0.25">
      <c r="AH2747" s="75"/>
      <c r="AK2747" s="75"/>
    </row>
    <row r="2748" spans="34:37" x14ac:dyDescent="0.25">
      <c r="AH2748" s="75"/>
      <c r="AK2748" s="75"/>
    </row>
    <row r="2749" spans="34:37" x14ac:dyDescent="0.25">
      <c r="AH2749" s="75"/>
      <c r="AK2749" s="75"/>
    </row>
    <row r="2750" spans="34:37" x14ac:dyDescent="0.25">
      <c r="AH2750" s="75"/>
      <c r="AK2750" s="75"/>
    </row>
    <row r="2751" spans="34:37" x14ac:dyDescent="0.25">
      <c r="AH2751" s="75"/>
      <c r="AK2751" s="75"/>
    </row>
    <row r="2752" spans="34:37" x14ac:dyDescent="0.25">
      <c r="AH2752" s="75"/>
      <c r="AK2752" s="75"/>
    </row>
    <row r="2753" spans="34:37" x14ac:dyDescent="0.25">
      <c r="AH2753" s="75"/>
      <c r="AK2753" s="75"/>
    </row>
    <row r="2754" spans="34:37" x14ac:dyDescent="0.25">
      <c r="AH2754" s="75"/>
      <c r="AK2754" s="75"/>
    </row>
    <row r="2755" spans="34:37" x14ac:dyDescent="0.25">
      <c r="AH2755" s="75"/>
      <c r="AK2755" s="75"/>
    </row>
    <row r="2756" spans="34:37" x14ac:dyDescent="0.25">
      <c r="AH2756" s="75"/>
      <c r="AK2756" s="75"/>
    </row>
    <row r="2757" spans="34:37" x14ac:dyDescent="0.25">
      <c r="AH2757" s="75"/>
      <c r="AK2757" s="75"/>
    </row>
    <row r="2758" spans="34:37" x14ac:dyDescent="0.25">
      <c r="AH2758" s="75"/>
      <c r="AK2758" s="75"/>
    </row>
    <row r="2759" spans="34:37" x14ac:dyDescent="0.25">
      <c r="AH2759" s="75"/>
      <c r="AK2759" s="75"/>
    </row>
    <row r="2760" spans="34:37" x14ac:dyDescent="0.25">
      <c r="AH2760" s="75"/>
      <c r="AK2760" s="75"/>
    </row>
    <row r="2761" spans="34:37" x14ac:dyDescent="0.25">
      <c r="AH2761" s="75"/>
      <c r="AK2761" s="75"/>
    </row>
    <row r="2762" spans="34:37" x14ac:dyDescent="0.25">
      <c r="AH2762" s="75"/>
      <c r="AK2762" s="75"/>
    </row>
    <row r="2763" spans="34:37" x14ac:dyDescent="0.25">
      <c r="AH2763" s="75"/>
      <c r="AK2763" s="75"/>
    </row>
    <row r="2764" spans="34:37" x14ac:dyDescent="0.25">
      <c r="AH2764" s="75"/>
      <c r="AK2764" s="75"/>
    </row>
    <row r="2765" spans="34:37" x14ac:dyDescent="0.25">
      <c r="AH2765" s="75"/>
      <c r="AK2765" s="75"/>
    </row>
    <row r="2766" spans="34:37" x14ac:dyDescent="0.25">
      <c r="AH2766" s="75"/>
      <c r="AK2766" s="75"/>
    </row>
    <row r="2767" spans="34:37" x14ac:dyDescent="0.25">
      <c r="AH2767" s="75"/>
      <c r="AK2767" s="75"/>
    </row>
    <row r="2768" spans="34:37" x14ac:dyDescent="0.25">
      <c r="AH2768" s="75"/>
      <c r="AK2768" s="75"/>
    </row>
    <row r="2769" spans="34:37" x14ac:dyDescent="0.25">
      <c r="AH2769" s="75"/>
      <c r="AK2769" s="75"/>
    </row>
    <row r="2770" spans="34:37" x14ac:dyDescent="0.25">
      <c r="AH2770" s="75"/>
      <c r="AK2770" s="75"/>
    </row>
    <row r="2771" spans="34:37" x14ac:dyDescent="0.25">
      <c r="AH2771" s="75"/>
      <c r="AK2771" s="75"/>
    </row>
    <row r="2772" spans="34:37" x14ac:dyDescent="0.25">
      <c r="AH2772" s="75"/>
      <c r="AK2772" s="75"/>
    </row>
    <row r="2773" spans="34:37" x14ac:dyDescent="0.25">
      <c r="AH2773" s="75"/>
      <c r="AK2773" s="75"/>
    </row>
    <row r="2774" spans="34:37" x14ac:dyDescent="0.25">
      <c r="AH2774" s="75"/>
      <c r="AK2774" s="75"/>
    </row>
    <row r="2775" spans="34:37" x14ac:dyDescent="0.25">
      <c r="AH2775" s="75"/>
      <c r="AK2775" s="75"/>
    </row>
    <row r="2776" spans="34:37" x14ac:dyDescent="0.25">
      <c r="AH2776" s="75"/>
      <c r="AK2776" s="75"/>
    </row>
    <row r="2777" spans="34:37" x14ac:dyDescent="0.25">
      <c r="AH2777" s="75"/>
      <c r="AK2777" s="75"/>
    </row>
    <row r="2778" spans="34:37" x14ac:dyDescent="0.25">
      <c r="AH2778" s="75"/>
      <c r="AK2778" s="75"/>
    </row>
    <row r="2779" spans="34:37" x14ac:dyDescent="0.25">
      <c r="AH2779" s="75"/>
      <c r="AK2779" s="75"/>
    </row>
    <row r="2780" spans="34:37" x14ac:dyDescent="0.25">
      <c r="AH2780" s="75"/>
      <c r="AK2780" s="75"/>
    </row>
    <row r="2781" spans="34:37" x14ac:dyDescent="0.25">
      <c r="AH2781" s="75"/>
      <c r="AK2781" s="75"/>
    </row>
    <row r="2782" spans="34:37" x14ac:dyDescent="0.25">
      <c r="AH2782" s="75"/>
      <c r="AK2782" s="75"/>
    </row>
    <row r="2783" spans="34:37" x14ac:dyDescent="0.25">
      <c r="AH2783" s="75"/>
      <c r="AK2783" s="75"/>
    </row>
    <row r="2784" spans="34:37" x14ac:dyDescent="0.25">
      <c r="AH2784" s="75"/>
      <c r="AK2784" s="75"/>
    </row>
    <row r="2785" spans="34:37" x14ac:dyDescent="0.25">
      <c r="AH2785" s="75"/>
      <c r="AK2785" s="75"/>
    </row>
    <row r="2786" spans="34:37" x14ac:dyDescent="0.25">
      <c r="AH2786" s="75"/>
      <c r="AK2786" s="75"/>
    </row>
    <row r="2787" spans="34:37" x14ac:dyDescent="0.25">
      <c r="AH2787" s="75"/>
      <c r="AK2787" s="75"/>
    </row>
    <row r="2788" spans="34:37" x14ac:dyDescent="0.25">
      <c r="AH2788" s="75"/>
      <c r="AK2788" s="75"/>
    </row>
    <row r="2789" spans="34:37" x14ac:dyDescent="0.25">
      <c r="AH2789" s="75"/>
      <c r="AK2789" s="75"/>
    </row>
    <row r="2790" spans="34:37" x14ac:dyDescent="0.25">
      <c r="AH2790" s="75"/>
      <c r="AK2790" s="75"/>
    </row>
    <row r="2791" spans="34:37" x14ac:dyDescent="0.25">
      <c r="AH2791" s="75"/>
      <c r="AK2791" s="75"/>
    </row>
    <row r="2792" spans="34:37" x14ac:dyDescent="0.25">
      <c r="AH2792" s="75"/>
      <c r="AK2792" s="75"/>
    </row>
    <row r="2793" spans="34:37" x14ac:dyDescent="0.25">
      <c r="AH2793" s="75"/>
      <c r="AK2793" s="75"/>
    </row>
    <row r="2794" spans="34:37" x14ac:dyDescent="0.25">
      <c r="AH2794" s="75"/>
      <c r="AK2794" s="75"/>
    </row>
    <row r="2795" spans="34:37" x14ac:dyDescent="0.25">
      <c r="AH2795" s="75"/>
      <c r="AK2795" s="75"/>
    </row>
    <row r="2796" spans="34:37" x14ac:dyDescent="0.25">
      <c r="AH2796" s="75"/>
      <c r="AK2796" s="75"/>
    </row>
    <row r="2797" spans="34:37" x14ac:dyDescent="0.25">
      <c r="AH2797" s="75"/>
      <c r="AK2797" s="75"/>
    </row>
    <row r="2798" spans="34:37" x14ac:dyDescent="0.25">
      <c r="AH2798" s="75"/>
      <c r="AK2798" s="75"/>
    </row>
    <row r="2799" spans="34:37" x14ac:dyDescent="0.25">
      <c r="AH2799" s="75"/>
      <c r="AK2799" s="75"/>
    </row>
    <row r="2800" spans="34:37" x14ac:dyDescent="0.25">
      <c r="AH2800" s="75"/>
      <c r="AK2800" s="75"/>
    </row>
    <row r="2801" spans="34:37" x14ac:dyDescent="0.25">
      <c r="AH2801" s="75"/>
      <c r="AK2801" s="75"/>
    </row>
    <row r="2802" spans="34:37" x14ac:dyDescent="0.25">
      <c r="AH2802" s="75"/>
      <c r="AK2802" s="75"/>
    </row>
    <row r="2803" spans="34:37" x14ac:dyDescent="0.25">
      <c r="AH2803" s="75"/>
      <c r="AK2803" s="75"/>
    </row>
    <row r="2804" spans="34:37" x14ac:dyDescent="0.25">
      <c r="AH2804" s="75"/>
      <c r="AK2804" s="75"/>
    </row>
    <row r="2805" spans="34:37" x14ac:dyDescent="0.25">
      <c r="AH2805" s="75"/>
      <c r="AK2805" s="75"/>
    </row>
    <row r="2806" spans="34:37" x14ac:dyDescent="0.25">
      <c r="AH2806" s="75"/>
      <c r="AK2806" s="75"/>
    </row>
    <row r="2807" spans="34:37" x14ac:dyDescent="0.25">
      <c r="AH2807" s="75"/>
      <c r="AK2807" s="75"/>
    </row>
    <row r="2808" spans="34:37" x14ac:dyDescent="0.25">
      <c r="AH2808" s="75"/>
      <c r="AK2808" s="75"/>
    </row>
    <row r="2809" spans="34:37" x14ac:dyDescent="0.25">
      <c r="AH2809" s="75"/>
      <c r="AK2809" s="75"/>
    </row>
    <row r="2810" spans="34:37" x14ac:dyDescent="0.25">
      <c r="AH2810" s="75"/>
      <c r="AK2810" s="75"/>
    </row>
    <row r="2811" spans="34:37" x14ac:dyDescent="0.25">
      <c r="AH2811" s="75"/>
      <c r="AK2811" s="75"/>
    </row>
    <row r="2812" spans="34:37" x14ac:dyDescent="0.25">
      <c r="AH2812" s="75"/>
      <c r="AK2812" s="75"/>
    </row>
    <row r="2813" spans="34:37" x14ac:dyDescent="0.25">
      <c r="AH2813" s="75"/>
      <c r="AK2813" s="75"/>
    </row>
    <row r="2814" spans="34:37" x14ac:dyDescent="0.25">
      <c r="AH2814" s="75"/>
      <c r="AK2814" s="75"/>
    </row>
    <row r="2815" spans="34:37" x14ac:dyDescent="0.25">
      <c r="AH2815" s="75"/>
      <c r="AK2815" s="75"/>
    </row>
    <row r="2816" spans="34:37" x14ac:dyDescent="0.25">
      <c r="AH2816" s="75"/>
      <c r="AK2816" s="75"/>
    </row>
    <row r="2817" spans="34:37" x14ac:dyDescent="0.25">
      <c r="AH2817" s="75"/>
      <c r="AK2817" s="75"/>
    </row>
    <row r="2818" spans="34:37" x14ac:dyDescent="0.25">
      <c r="AH2818" s="75"/>
      <c r="AK2818" s="75"/>
    </row>
    <row r="2819" spans="34:37" x14ac:dyDescent="0.25">
      <c r="AH2819" s="75"/>
      <c r="AK2819" s="75"/>
    </row>
    <row r="2820" spans="34:37" x14ac:dyDescent="0.25">
      <c r="AH2820" s="75"/>
      <c r="AK2820" s="75"/>
    </row>
    <row r="2821" spans="34:37" x14ac:dyDescent="0.25">
      <c r="AH2821" s="75"/>
      <c r="AK2821" s="75"/>
    </row>
    <row r="2822" spans="34:37" x14ac:dyDescent="0.25">
      <c r="AH2822" s="75"/>
      <c r="AK2822" s="75"/>
    </row>
    <row r="2823" spans="34:37" x14ac:dyDescent="0.25">
      <c r="AH2823" s="75"/>
      <c r="AK2823" s="75"/>
    </row>
    <row r="2824" spans="34:37" x14ac:dyDescent="0.25">
      <c r="AH2824" s="75"/>
      <c r="AK2824" s="75"/>
    </row>
    <row r="2825" spans="34:37" x14ac:dyDescent="0.25">
      <c r="AH2825" s="75"/>
      <c r="AK2825" s="75"/>
    </row>
    <row r="2826" spans="34:37" x14ac:dyDescent="0.25">
      <c r="AH2826" s="75"/>
      <c r="AK2826" s="75"/>
    </row>
    <row r="2827" spans="34:37" x14ac:dyDescent="0.25">
      <c r="AH2827" s="75"/>
      <c r="AK2827" s="75"/>
    </row>
    <row r="2828" spans="34:37" x14ac:dyDescent="0.25">
      <c r="AH2828" s="75"/>
      <c r="AK2828" s="75"/>
    </row>
    <row r="2829" spans="34:37" x14ac:dyDescent="0.25">
      <c r="AH2829" s="75"/>
      <c r="AK2829" s="75"/>
    </row>
    <row r="2830" spans="34:37" x14ac:dyDescent="0.25">
      <c r="AH2830" s="75"/>
      <c r="AK2830" s="75"/>
    </row>
    <row r="2831" spans="34:37" x14ac:dyDescent="0.25">
      <c r="AH2831" s="75"/>
      <c r="AK2831" s="75"/>
    </row>
    <row r="2832" spans="34:37" x14ac:dyDescent="0.25">
      <c r="AH2832" s="75"/>
      <c r="AK2832" s="75"/>
    </row>
    <row r="2833" spans="34:37" x14ac:dyDescent="0.25">
      <c r="AH2833" s="75"/>
      <c r="AK2833" s="75"/>
    </row>
    <row r="2834" spans="34:37" x14ac:dyDescent="0.25">
      <c r="AH2834" s="75"/>
      <c r="AK2834" s="75"/>
    </row>
    <row r="2835" spans="34:37" x14ac:dyDescent="0.25">
      <c r="AH2835" s="75"/>
      <c r="AK2835" s="75"/>
    </row>
    <row r="2836" spans="34:37" x14ac:dyDescent="0.25">
      <c r="AH2836" s="75"/>
      <c r="AK2836" s="75"/>
    </row>
    <row r="2837" spans="34:37" x14ac:dyDescent="0.25">
      <c r="AH2837" s="75"/>
      <c r="AK2837" s="75"/>
    </row>
    <row r="2838" spans="34:37" x14ac:dyDescent="0.25">
      <c r="AH2838" s="75"/>
      <c r="AK2838" s="75"/>
    </row>
    <row r="2839" spans="34:37" x14ac:dyDescent="0.25">
      <c r="AH2839" s="75"/>
      <c r="AK2839" s="75"/>
    </row>
    <row r="2840" spans="34:37" x14ac:dyDescent="0.25">
      <c r="AH2840" s="75"/>
      <c r="AK2840" s="75"/>
    </row>
    <row r="2841" spans="34:37" x14ac:dyDescent="0.25">
      <c r="AH2841" s="75"/>
      <c r="AK2841" s="75"/>
    </row>
    <row r="2842" spans="34:37" x14ac:dyDescent="0.25">
      <c r="AH2842" s="75"/>
      <c r="AK2842" s="75"/>
    </row>
    <row r="2843" spans="34:37" x14ac:dyDescent="0.25">
      <c r="AH2843" s="75"/>
      <c r="AK2843" s="75"/>
    </row>
    <row r="2844" spans="34:37" x14ac:dyDescent="0.25">
      <c r="AH2844" s="75"/>
      <c r="AK2844" s="75"/>
    </row>
    <row r="2845" spans="34:37" x14ac:dyDescent="0.25">
      <c r="AH2845" s="75"/>
      <c r="AK2845" s="75"/>
    </row>
    <row r="2846" spans="34:37" x14ac:dyDescent="0.25">
      <c r="AH2846" s="75"/>
      <c r="AK2846" s="75"/>
    </row>
    <row r="2847" spans="34:37" x14ac:dyDescent="0.25">
      <c r="AH2847" s="75"/>
      <c r="AK2847" s="75"/>
    </row>
    <row r="2848" spans="34:37" x14ac:dyDescent="0.25">
      <c r="AH2848" s="75"/>
      <c r="AK2848" s="75"/>
    </row>
    <row r="2849" spans="34:37" x14ac:dyDescent="0.25">
      <c r="AH2849" s="75"/>
      <c r="AK2849" s="75"/>
    </row>
    <row r="2850" spans="34:37" x14ac:dyDescent="0.25">
      <c r="AH2850" s="75"/>
      <c r="AK2850" s="75"/>
    </row>
    <row r="2851" spans="34:37" x14ac:dyDescent="0.25">
      <c r="AH2851" s="75"/>
      <c r="AK2851" s="75"/>
    </row>
    <row r="2852" spans="34:37" x14ac:dyDescent="0.25">
      <c r="AH2852" s="75"/>
      <c r="AK2852" s="75"/>
    </row>
    <row r="2853" spans="34:37" x14ac:dyDescent="0.25">
      <c r="AH2853" s="75"/>
      <c r="AK2853" s="75"/>
    </row>
    <row r="2854" spans="34:37" x14ac:dyDescent="0.25">
      <c r="AH2854" s="75"/>
      <c r="AK2854" s="75"/>
    </row>
    <row r="2855" spans="34:37" x14ac:dyDescent="0.25">
      <c r="AH2855" s="75"/>
      <c r="AK2855" s="75"/>
    </row>
    <row r="2856" spans="34:37" x14ac:dyDescent="0.25">
      <c r="AH2856" s="75"/>
      <c r="AK2856" s="75"/>
    </row>
    <row r="2857" spans="34:37" x14ac:dyDescent="0.25">
      <c r="AH2857" s="75"/>
      <c r="AK2857" s="75"/>
    </row>
    <row r="2858" spans="34:37" x14ac:dyDescent="0.25">
      <c r="AH2858" s="75"/>
      <c r="AK2858" s="75"/>
    </row>
    <row r="2859" spans="34:37" x14ac:dyDescent="0.25">
      <c r="AH2859" s="75"/>
      <c r="AK2859" s="75"/>
    </row>
    <row r="2860" spans="34:37" x14ac:dyDescent="0.25">
      <c r="AH2860" s="75"/>
      <c r="AK2860" s="75"/>
    </row>
    <row r="2861" spans="34:37" x14ac:dyDescent="0.25">
      <c r="AH2861" s="75"/>
      <c r="AK2861" s="75"/>
    </row>
    <row r="2862" spans="34:37" x14ac:dyDescent="0.25">
      <c r="AH2862" s="75"/>
      <c r="AK2862" s="75"/>
    </row>
    <row r="2863" spans="34:37" x14ac:dyDescent="0.25">
      <c r="AH2863" s="75"/>
      <c r="AK2863" s="75"/>
    </row>
    <row r="2864" spans="34:37" x14ac:dyDescent="0.25">
      <c r="AH2864" s="75"/>
      <c r="AK2864" s="75"/>
    </row>
    <row r="2865" spans="34:37" x14ac:dyDescent="0.25">
      <c r="AH2865" s="75"/>
      <c r="AK2865" s="75"/>
    </row>
    <row r="2866" spans="34:37" x14ac:dyDescent="0.25">
      <c r="AH2866" s="75"/>
      <c r="AK2866" s="75"/>
    </row>
    <row r="2867" spans="34:37" x14ac:dyDescent="0.25">
      <c r="AH2867" s="75"/>
      <c r="AK2867" s="75"/>
    </row>
    <row r="2868" spans="34:37" x14ac:dyDescent="0.25">
      <c r="AH2868" s="75"/>
      <c r="AK2868" s="75"/>
    </row>
    <row r="2869" spans="34:37" x14ac:dyDescent="0.25">
      <c r="AH2869" s="75"/>
      <c r="AK2869" s="75"/>
    </row>
    <row r="2870" spans="34:37" x14ac:dyDescent="0.25">
      <c r="AH2870" s="75"/>
      <c r="AK2870" s="75"/>
    </row>
    <row r="2871" spans="34:37" x14ac:dyDescent="0.25">
      <c r="AH2871" s="75"/>
      <c r="AK2871" s="75"/>
    </row>
    <row r="2872" spans="34:37" x14ac:dyDescent="0.25">
      <c r="AH2872" s="75"/>
      <c r="AK2872" s="75"/>
    </row>
    <row r="2873" spans="34:37" x14ac:dyDescent="0.25">
      <c r="AH2873" s="75"/>
      <c r="AK2873" s="75"/>
    </row>
    <row r="2874" spans="34:37" x14ac:dyDescent="0.25">
      <c r="AH2874" s="75"/>
      <c r="AK2874" s="75"/>
    </row>
    <row r="2875" spans="34:37" x14ac:dyDescent="0.25">
      <c r="AH2875" s="75"/>
      <c r="AK2875" s="75"/>
    </row>
    <row r="2876" spans="34:37" x14ac:dyDescent="0.25">
      <c r="AH2876" s="75"/>
      <c r="AK2876" s="75"/>
    </row>
    <row r="2877" spans="34:37" x14ac:dyDescent="0.25">
      <c r="AH2877" s="75"/>
      <c r="AK2877" s="75"/>
    </row>
    <row r="2878" spans="34:37" x14ac:dyDescent="0.25">
      <c r="AH2878" s="75"/>
      <c r="AK2878" s="75"/>
    </row>
    <row r="2879" spans="34:37" x14ac:dyDescent="0.25">
      <c r="AH2879" s="75"/>
      <c r="AK2879" s="75"/>
    </row>
    <row r="2880" spans="34:37" x14ac:dyDescent="0.25">
      <c r="AH2880" s="75"/>
      <c r="AK2880" s="75"/>
    </row>
    <row r="2881" spans="34:37" x14ac:dyDescent="0.25">
      <c r="AH2881" s="75"/>
      <c r="AK2881" s="75"/>
    </row>
    <row r="2882" spans="34:37" x14ac:dyDescent="0.25">
      <c r="AH2882" s="75"/>
      <c r="AK2882" s="75"/>
    </row>
    <row r="2883" spans="34:37" x14ac:dyDescent="0.25">
      <c r="AH2883" s="75"/>
      <c r="AK2883" s="75"/>
    </row>
    <row r="2884" spans="34:37" x14ac:dyDescent="0.25">
      <c r="AH2884" s="75"/>
      <c r="AK2884" s="75"/>
    </row>
    <row r="2885" spans="34:37" x14ac:dyDescent="0.25">
      <c r="AH2885" s="75"/>
      <c r="AK2885" s="75"/>
    </row>
    <row r="2886" spans="34:37" x14ac:dyDescent="0.25">
      <c r="AH2886" s="75"/>
      <c r="AK2886" s="75"/>
    </row>
    <row r="2887" spans="34:37" x14ac:dyDescent="0.25">
      <c r="AH2887" s="75"/>
      <c r="AK2887" s="75"/>
    </row>
    <row r="2888" spans="34:37" x14ac:dyDescent="0.25">
      <c r="AH2888" s="75"/>
      <c r="AK2888" s="75"/>
    </row>
    <row r="2889" spans="34:37" x14ac:dyDescent="0.25">
      <c r="AH2889" s="75"/>
      <c r="AK2889" s="75"/>
    </row>
    <row r="2890" spans="34:37" x14ac:dyDescent="0.25">
      <c r="AH2890" s="75"/>
      <c r="AK2890" s="75"/>
    </row>
    <row r="2891" spans="34:37" x14ac:dyDescent="0.25">
      <c r="AH2891" s="75"/>
      <c r="AK2891" s="75"/>
    </row>
    <row r="2892" spans="34:37" x14ac:dyDescent="0.25">
      <c r="AH2892" s="75"/>
      <c r="AK2892" s="75"/>
    </row>
    <row r="2893" spans="34:37" x14ac:dyDescent="0.25">
      <c r="AH2893" s="75"/>
      <c r="AK2893" s="75"/>
    </row>
    <row r="2894" spans="34:37" x14ac:dyDescent="0.25">
      <c r="AH2894" s="75"/>
      <c r="AK2894" s="75"/>
    </row>
    <row r="2895" spans="34:37" x14ac:dyDescent="0.25">
      <c r="AH2895" s="75"/>
      <c r="AK2895" s="75"/>
    </row>
    <row r="2896" spans="34:37" x14ac:dyDescent="0.25">
      <c r="AH2896" s="75"/>
      <c r="AK2896" s="75"/>
    </row>
    <row r="2897" spans="34:37" x14ac:dyDescent="0.25">
      <c r="AH2897" s="75"/>
      <c r="AK2897" s="75"/>
    </row>
    <row r="2898" spans="34:37" x14ac:dyDescent="0.25">
      <c r="AH2898" s="75"/>
      <c r="AK2898" s="75"/>
    </row>
    <row r="2899" spans="34:37" x14ac:dyDescent="0.25">
      <c r="AH2899" s="75"/>
      <c r="AK2899" s="75"/>
    </row>
    <row r="2900" spans="34:37" x14ac:dyDescent="0.25">
      <c r="AH2900" s="75"/>
      <c r="AK2900" s="75"/>
    </row>
    <row r="2901" spans="34:37" x14ac:dyDescent="0.25">
      <c r="AH2901" s="75"/>
      <c r="AK2901" s="75"/>
    </row>
    <row r="2902" spans="34:37" x14ac:dyDescent="0.25">
      <c r="AH2902" s="75"/>
      <c r="AK2902" s="75"/>
    </row>
    <row r="2903" spans="34:37" x14ac:dyDescent="0.25">
      <c r="AH2903" s="75"/>
      <c r="AK2903" s="75"/>
    </row>
    <row r="2904" spans="34:37" x14ac:dyDescent="0.25">
      <c r="AH2904" s="75"/>
      <c r="AK2904" s="75"/>
    </row>
    <row r="2905" spans="34:37" x14ac:dyDescent="0.25">
      <c r="AH2905" s="75"/>
      <c r="AK2905" s="75"/>
    </row>
    <row r="2906" spans="34:37" x14ac:dyDescent="0.25">
      <c r="AH2906" s="75"/>
      <c r="AK2906" s="75"/>
    </row>
    <row r="2907" spans="34:37" x14ac:dyDescent="0.25">
      <c r="AH2907" s="75"/>
      <c r="AK2907" s="75"/>
    </row>
    <row r="2908" spans="34:37" x14ac:dyDescent="0.25">
      <c r="AH2908" s="75"/>
      <c r="AK2908" s="75"/>
    </row>
    <row r="2909" spans="34:37" x14ac:dyDescent="0.25">
      <c r="AH2909" s="75"/>
      <c r="AK2909" s="75"/>
    </row>
    <row r="2910" spans="34:37" x14ac:dyDescent="0.25">
      <c r="AH2910" s="75"/>
      <c r="AK2910" s="75"/>
    </row>
    <row r="2911" spans="34:37" x14ac:dyDescent="0.25">
      <c r="AH2911" s="75"/>
      <c r="AK2911" s="75"/>
    </row>
    <row r="2912" spans="34:37" x14ac:dyDescent="0.25">
      <c r="AH2912" s="75"/>
      <c r="AK2912" s="75"/>
    </row>
    <row r="2913" spans="34:37" x14ac:dyDescent="0.25">
      <c r="AH2913" s="75"/>
      <c r="AK2913" s="75"/>
    </row>
    <row r="2914" spans="34:37" x14ac:dyDescent="0.25">
      <c r="AH2914" s="75"/>
      <c r="AK2914" s="75"/>
    </row>
    <row r="2915" spans="34:37" x14ac:dyDescent="0.25">
      <c r="AH2915" s="75"/>
      <c r="AK2915" s="75"/>
    </row>
    <row r="2916" spans="34:37" x14ac:dyDescent="0.25">
      <c r="AH2916" s="75"/>
      <c r="AK2916" s="75"/>
    </row>
    <row r="2917" spans="34:37" x14ac:dyDescent="0.25">
      <c r="AH2917" s="75"/>
      <c r="AK2917" s="75"/>
    </row>
    <row r="2918" spans="34:37" x14ac:dyDescent="0.25">
      <c r="AH2918" s="75"/>
      <c r="AK2918" s="75"/>
    </row>
    <row r="2919" spans="34:37" x14ac:dyDescent="0.25">
      <c r="AH2919" s="75"/>
      <c r="AK2919" s="75"/>
    </row>
    <row r="2920" spans="34:37" x14ac:dyDescent="0.25">
      <c r="AH2920" s="75"/>
      <c r="AK2920" s="75"/>
    </row>
    <row r="2921" spans="34:37" x14ac:dyDescent="0.25">
      <c r="AH2921" s="75"/>
      <c r="AK2921" s="75"/>
    </row>
    <row r="2922" spans="34:37" x14ac:dyDescent="0.25">
      <c r="AH2922" s="75"/>
      <c r="AK2922" s="75"/>
    </row>
    <row r="2923" spans="34:37" x14ac:dyDescent="0.25">
      <c r="AH2923" s="75"/>
      <c r="AK2923" s="75"/>
    </row>
    <row r="2924" spans="34:37" x14ac:dyDescent="0.25">
      <c r="AH2924" s="75"/>
      <c r="AK2924" s="75"/>
    </row>
    <row r="2925" spans="34:37" x14ac:dyDescent="0.25">
      <c r="AH2925" s="75"/>
      <c r="AK2925" s="75"/>
    </row>
    <row r="2926" spans="34:37" x14ac:dyDescent="0.25">
      <c r="AH2926" s="75"/>
      <c r="AK2926" s="75"/>
    </row>
    <row r="2927" spans="34:37" x14ac:dyDescent="0.25">
      <c r="AH2927" s="75"/>
      <c r="AK2927" s="75"/>
    </row>
    <row r="2928" spans="34:37" x14ac:dyDescent="0.25">
      <c r="AH2928" s="75"/>
      <c r="AK2928" s="75"/>
    </row>
    <row r="2929" spans="34:37" x14ac:dyDescent="0.25">
      <c r="AH2929" s="75"/>
      <c r="AK2929" s="75"/>
    </row>
    <row r="2930" spans="34:37" x14ac:dyDescent="0.25">
      <c r="AH2930" s="75"/>
      <c r="AK2930" s="75"/>
    </row>
    <row r="2931" spans="34:37" x14ac:dyDescent="0.25">
      <c r="AH2931" s="75"/>
      <c r="AK2931" s="75"/>
    </row>
    <row r="2932" spans="34:37" x14ac:dyDescent="0.25">
      <c r="AH2932" s="75"/>
      <c r="AK2932" s="75"/>
    </row>
    <row r="2933" spans="34:37" x14ac:dyDescent="0.25">
      <c r="AH2933" s="75"/>
      <c r="AK2933" s="75"/>
    </row>
    <row r="2934" spans="34:37" x14ac:dyDescent="0.25">
      <c r="AH2934" s="75"/>
      <c r="AK2934" s="75"/>
    </row>
    <row r="2935" spans="34:37" x14ac:dyDescent="0.25">
      <c r="AH2935" s="75"/>
      <c r="AK2935" s="75"/>
    </row>
    <row r="2936" spans="34:37" x14ac:dyDescent="0.25">
      <c r="AH2936" s="75"/>
      <c r="AK2936" s="75"/>
    </row>
    <row r="2937" spans="34:37" x14ac:dyDescent="0.25">
      <c r="AH2937" s="75"/>
      <c r="AK2937" s="75"/>
    </row>
    <row r="2938" spans="34:37" x14ac:dyDescent="0.25">
      <c r="AH2938" s="75"/>
      <c r="AK2938" s="75"/>
    </row>
    <row r="2939" spans="34:37" x14ac:dyDescent="0.25">
      <c r="AH2939" s="75"/>
      <c r="AK2939" s="75"/>
    </row>
    <row r="2940" spans="34:37" x14ac:dyDescent="0.25">
      <c r="AH2940" s="75"/>
      <c r="AK2940" s="75"/>
    </row>
    <row r="2941" spans="34:37" x14ac:dyDescent="0.25">
      <c r="AH2941" s="75"/>
      <c r="AK2941" s="75"/>
    </row>
    <row r="2942" spans="34:37" x14ac:dyDescent="0.25">
      <c r="AH2942" s="75"/>
      <c r="AK2942" s="75"/>
    </row>
    <row r="2943" spans="34:37" x14ac:dyDescent="0.25">
      <c r="AH2943" s="75"/>
      <c r="AK2943" s="75"/>
    </row>
    <row r="2944" spans="34:37" x14ac:dyDescent="0.25">
      <c r="AH2944" s="75"/>
      <c r="AK2944" s="75"/>
    </row>
    <row r="2945" spans="34:37" x14ac:dyDescent="0.25">
      <c r="AH2945" s="75"/>
      <c r="AK2945" s="75"/>
    </row>
    <row r="2946" spans="34:37" x14ac:dyDescent="0.25">
      <c r="AH2946" s="75"/>
      <c r="AK2946" s="75"/>
    </row>
    <row r="2947" spans="34:37" x14ac:dyDescent="0.25">
      <c r="AH2947" s="75"/>
      <c r="AK2947" s="75"/>
    </row>
    <row r="2948" spans="34:37" x14ac:dyDescent="0.25">
      <c r="AH2948" s="75"/>
      <c r="AK2948" s="75"/>
    </row>
    <row r="2949" spans="34:37" x14ac:dyDescent="0.25">
      <c r="AH2949" s="75"/>
      <c r="AK2949" s="75"/>
    </row>
    <row r="2950" spans="34:37" x14ac:dyDescent="0.25">
      <c r="AH2950" s="75"/>
      <c r="AK2950" s="75"/>
    </row>
    <row r="2951" spans="34:37" x14ac:dyDescent="0.25">
      <c r="AH2951" s="75"/>
      <c r="AK2951" s="75"/>
    </row>
    <row r="2952" spans="34:37" x14ac:dyDescent="0.25">
      <c r="AH2952" s="75"/>
      <c r="AK2952" s="75"/>
    </row>
    <row r="2953" spans="34:37" x14ac:dyDescent="0.25">
      <c r="AH2953" s="75"/>
      <c r="AK2953" s="75"/>
    </row>
    <row r="2954" spans="34:37" x14ac:dyDescent="0.25">
      <c r="AH2954" s="75"/>
      <c r="AK2954" s="75"/>
    </row>
    <row r="2955" spans="34:37" x14ac:dyDescent="0.25">
      <c r="AH2955" s="75"/>
      <c r="AK2955" s="75"/>
    </row>
    <row r="2956" spans="34:37" x14ac:dyDescent="0.25">
      <c r="AH2956" s="75"/>
      <c r="AK2956" s="75"/>
    </row>
    <row r="2957" spans="34:37" x14ac:dyDescent="0.25">
      <c r="AH2957" s="75"/>
      <c r="AK2957" s="75"/>
    </row>
    <row r="2958" spans="34:37" x14ac:dyDescent="0.25">
      <c r="AH2958" s="75"/>
      <c r="AK2958" s="75"/>
    </row>
    <row r="2959" spans="34:37" x14ac:dyDescent="0.25">
      <c r="AH2959" s="75"/>
      <c r="AK2959" s="75"/>
    </row>
    <row r="2960" spans="34:37" x14ac:dyDescent="0.25">
      <c r="AH2960" s="75"/>
      <c r="AK2960" s="75"/>
    </row>
    <row r="2961" spans="34:37" x14ac:dyDescent="0.25">
      <c r="AH2961" s="75"/>
      <c r="AK2961" s="75"/>
    </row>
    <row r="2962" spans="34:37" x14ac:dyDescent="0.25">
      <c r="AH2962" s="75"/>
      <c r="AK2962" s="75"/>
    </row>
    <row r="2963" spans="34:37" x14ac:dyDescent="0.25">
      <c r="AH2963" s="75"/>
      <c r="AK2963" s="75"/>
    </row>
    <row r="2964" spans="34:37" x14ac:dyDescent="0.25">
      <c r="AH2964" s="75"/>
      <c r="AK2964" s="75"/>
    </row>
    <row r="2965" spans="34:37" x14ac:dyDescent="0.25">
      <c r="AH2965" s="75"/>
      <c r="AK2965" s="75"/>
    </row>
    <row r="2966" spans="34:37" x14ac:dyDescent="0.25">
      <c r="AH2966" s="75"/>
      <c r="AK2966" s="75"/>
    </row>
    <row r="2967" spans="34:37" x14ac:dyDescent="0.25">
      <c r="AH2967" s="75"/>
      <c r="AK2967" s="75"/>
    </row>
    <row r="2968" spans="34:37" x14ac:dyDescent="0.25">
      <c r="AH2968" s="75"/>
      <c r="AK2968" s="75"/>
    </row>
    <row r="2969" spans="34:37" x14ac:dyDescent="0.25">
      <c r="AH2969" s="75"/>
      <c r="AK2969" s="75"/>
    </row>
    <row r="2970" spans="34:37" x14ac:dyDescent="0.25">
      <c r="AH2970" s="75"/>
      <c r="AK2970" s="75"/>
    </row>
    <row r="2971" spans="34:37" x14ac:dyDescent="0.25">
      <c r="AH2971" s="75"/>
      <c r="AK2971" s="75"/>
    </row>
    <row r="2972" spans="34:37" x14ac:dyDescent="0.25">
      <c r="AH2972" s="75"/>
      <c r="AK2972" s="75"/>
    </row>
    <row r="2973" spans="34:37" x14ac:dyDescent="0.25">
      <c r="AH2973" s="75"/>
      <c r="AK2973" s="75"/>
    </row>
    <row r="2974" spans="34:37" x14ac:dyDescent="0.25">
      <c r="AH2974" s="75"/>
      <c r="AK2974" s="75"/>
    </row>
    <row r="2975" spans="34:37" x14ac:dyDescent="0.25">
      <c r="AH2975" s="75"/>
      <c r="AK2975" s="75"/>
    </row>
    <row r="2976" spans="34:37" x14ac:dyDescent="0.25">
      <c r="AH2976" s="75"/>
      <c r="AK2976" s="75"/>
    </row>
    <row r="2977" spans="34:37" x14ac:dyDescent="0.25">
      <c r="AH2977" s="75"/>
      <c r="AK2977" s="75"/>
    </row>
    <row r="2978" spans="34:37" x14ac:dyDescent="0.25">
      <c r="AH2978" s="75"/>
      <c r="AK2978" s="75"/>
    </row>
    <row r="2979" spans="34:37" x14ac:dyDescent="0.25">
      <c r="AH2979" s="75"/>
      <c r="AK2979" s="75"/>
    </row>
    <row r="2980" spans="34:37" x14ac:dyDescent="0.25">
      <c r="AH2980" s="75"/>
      <c r="AK2980" s="75"/>
    </row>
    <row r="2981" spans="34:37" x14ac:dyDescent="0.25">
      <c r="AH2981" s="75"/>
      <c r="AK2981" s="75"/>
    </row>
    <row r="2982" spans="34:37" x14ac:dyDescent="0.25">
      <c r="AH2982" s="75"/>
      <c r="AK2982" s="75"/>
    </row>
    <row r="2983" spans="34:37" x14ac:dyDescent="0.25">
      <c r="AH2983" s="75"/>
      <c r="AK2983" s="75"/>
    </row>
    <row r="2984" spans="34:37" x14ac:dyDescent="0.25">
      <c r="AH2984" s="75"/>
      <c r="AK2984" s="75"/>
    </row>
    <row r="2985" spans="34:37" x14ac:dyDescent="0.25">
      <c r="AH2985" s="75"/>
      <c r="AK2985" s="75"/>
    </row>
    <row r="2986" spans="34:37" x14ac:dyDescent="0.25">
      <c r="AH2986" s="75"/>
      <c r="AK2986" s="75"/>
    </row>
    <row r="2987" spans="34:37" x14ac:dyDescent="0.25">
      <c r="AH2987" s="75"/>
      <c r="AK2987" s="75"/>
    </row>
    <row r="2988" spans="34:37" x14ac:dyDescent="0.25">
      <c r="AH2988" s="75"/>
      <c r="AK2988" s="75"/>
    </row>
    <row r="2989" spans="34:37" x14ac:dyDescent="0.25">
      <c r="AH2989" s="75"/>
      <c r="AK2989" s="75"/>
    </row>
    <row r="2990" spans="34:37" x14ac:dyDescent="0.25">
      <c r="AH2990" s="75"/>
      <c r="AK2990" s="75"/>
    </row>
    <row r="2991" spans="34:37" x14ac:dyDescent="0.25">
      <c r="AH2991" s="75"/>
      <c r="AK2991" s="75"/>
    </row>
    <row r="2992" spans="34:37" x14ac:dyDescent="0.25">
      <c r="AH2992" s="75"/>
      <c r="AK2992" s="75"/>
    </row>
    <row r="2993" spans="34:37" x14ac:dyDescent="0.25">
      <c r="AH2993" s="75"/>
      <c r="AK2993" s="75"/>
    </row>
    <row r="2994" spans="34:37" x14ac:dyDescent="0.25">
      <c r="AH2994" s="75"/>
      <c r="AK2994" s="75"/>
    </row>
    <row r="2995" spans="34:37" x14ac:dyDescent="0.25">
      <c r="AH2995" s="75"/>
      <c r="AK2995" s="75"/>
    </row>
    <row r="2996" spans="34:37" x14ac:dyDescent="0.25">
      <c r="AH2996" s="75"/>
      <c r="AK2996" s="75"/>
    </row>
    <row r="2997" spans="34:37" x14ac:dyDescent="0.25">
      <c r="AH2997" s="75"/>
      <c r="AK2997" s="75"/>
    </row>
    <row r="2998" spans="34:37" x14ac:dyDescent="0.25">
      <c r="AH2998" s="75"/>
      <c r="AK2998" s="75"/>
    </row>
    <row r="2999" spans="34:37" x14ac:dyDescent="0.25">
      <c r="AH2999" s="75"/>
      <c r="AK2999" s="75"/>
    </row>
    <row r="3000" spans="34:37" x14ac:dyDescent="0.25">
      <c r="AH3000" s="75"/>
      <c r="AK3000" s="75"/>
    </row>
    <row r="3001" spans="34:37" x14ac:dyDescent="0.25">
      <c r="AH3001" s="75"/>
      <c r="AK3001" s="75"/>
    </row>
    <row r="3002" spans="34:37" x14ac:dyDescent="0.25">
      <c r="AH3002" s="75"/>
      <c r="AK3002" s="75"/>
    </row>
    <row r="3003" spans="34:37" x14ac:dyDescent="0.25">
      <c r="AH3003" s="75"/>
      <c r="AK3003" s="75"/>
    </row>
    <row r="3004" spans="34:37" x14ac:dyDescent="0.25">
      <c r="AH3004" s="75"/>
      <c r="AK3004" s="75"/>
    </row>
    <row r="3005" spans="34:37" x14ac:dyDescent="0.25">
      <c r="AH3005" s="75"/>
      <c r="AK3005" s="75"/>
    </row>
    <row r="3006" spans="34:37" x14ac:dyDescent="0.25">
      <c r="AH3006" s="75"/>
      <c r="AK3006" s="75"/>
    </row>
    <row r="3007" spans="34:37" x14ac:dyDescent="0.25">
      <c r="AH3007" s="75"/>
      <c r="AK3007" s="75"/>
    </row>
    <row r="3008" spans="34:37" x14ac:dyDescent="0.25">
      <c r="AH3008" s="75"/>
      <c r="AK3008" s="75"/>
    </row>
    <row r="3009" spans="34:37" x14ac:dyDescent="0.25">
      <c r="AH3009" s="75"/>
      <c r="AK3009" s="75"/>
    </row>
    <row r="3010" spans="34:37" x14ac:dyDescent="0.25">
      <c r="AH3010" s="75"/>
      <c r="AK3010" s="75"/>
    </row>
    <row r="3011" spans="34:37" x14ac:dyDescent="0.25">
      <c r="AH3011" s="75"/>
      <c r="AK3011" s="75"/>
    </row>
    <row r="3012" spans="34:37" x14ac:dyDescent="0.25">
      <c r="AH3012" s="75"/>
      <c r="AK3012" s="75"/>
    </row>
    <row r="3013" spans="34:37" x14ac:dyDescent="0.25">
      <c r="AH3013" s="75"/>
      <c r="AK3013" s="75"/>
    </row>
    <row r="3014" spans="34:37" x14ac:dyDescent="0.25">
      <c r="AH3014" s="75"/>
      <c r="AK3014" s="75"/>
    </row>
    <row r="3015" spans="34:37" x14ac:dyDescent="0.25">
      <c r="AH3015" s="75"/>
      <c r="AK3015" s="75"/>
    </row>
    <row r="3016" spans="34:37" x14ac:dyDescent="0.25">
      <c r="AH3016" s="75"/>
      <c r="AK3016" s="75"/>
    </row>
    <row r="3017" spans="34:37" x14ac:dyDescent="0.25">
      <c r="AH3017" s="75"/>
      <c r="AK3017" s="75"/>
    </row>
    <row r="3018" spans="34:37" x14ac:dyDescent="0.25">
      <c r="AH3018" s="75"/>
      <c r="AK3018" s="75"/>
    </row>
    <row r="3019" spans="34:37" x14ac:dyDescent="0.25">
      <c r="AH3019" s="75"/>
      <c r="AK3019" s="75"/>
    </row>
    <row r="3020" spans="34:37" x14ac:dyDescent="0.25">
      <c r="AH3020" s="75"/>
      <c r="AK3020" s="75"/>
    </row>
    <row r="3021" spans="34:37" x14ac:dyDescent="0.25">
      <c r="AH3021" s="75"/>
      <c r="AK3021" s="75"/>
    </row>
    <row r="3022" spans="34:37" x14ac:dyDescent="0.25">
      <c r="AH3022" s="75"/>
      <c r="AK3022" s="75"/>
    </row>
    <row r="3023" spans="34:37" x14ac:dyDescent="0.25">
      <c r="AH3023" s="75"/>
      <c r="AK3023" s="75"/>
    </row>
    <row r="3024" spans="34:37" x14ac:dyDescent="0.25">
      <c r="AH3024" s="75"/>
      <c r="AK3024" s="75"/>
    </row>
    <row r="3025" spans="34:37" x14ac:dyDescent="0.25">
      <c r="AH3025" s="75"/>
      <c r="AK3025" s="75"/>
    </row>
    <row r="3026" spans="34:37" x14ac:dyDescent="0.25">
      <c r="AH3026" s="75"/>
      <c r="AK3026" s="75"/>
    </row>
    <row r="3027" spans="34:37" x14ac:dyDescent="0.25">
      <c r="AH3027" s="75"/>
      <c r="AK3027" s="75"/>
    </row>
    <row r="3028" spans="34:37" x14ac:dyDescent="0.25">
      <c r="AH3028" s="75"/>
      <c r="AK3028" s="75"/>
    </row>
    <row r="3029" spans="34:37" x14ac:dyDescent="0.25">
      <c r="AH3029" s="75"/>
      <c r="AK3029" s="75"/>
    </row>
    <row r="3030" spans="34:37" x14ac:dyDescent="0.25">
      <c r="AH3030" s="75"/>
      <c r="AK3030" s="75"/>
    </row>
    <row r="3031" spans="34:37" x14ac:dyDescent="0.25">
      <c r="AH3031" s="75"/>
      <c r="AK3031" s="75"/>
    </row>
    <row r="3032" spans="34:37" x14ac:dyDescent="0.25">
      <c r="AH3032" s="75"/>
      <c r="AK3032" s="75"/>
    </row>
    <row r="3033" spans="34:37" x14ac:dyDescent="0.25">
      <c r="AH3033" s="75"/>
      <c r="AK3033" s="75"/>
    </row>
    <row r="3034" spans="34:37" x14ac:dyDescent="0.25">
      <c r="AH3034" s="75"/>
      <c r="AK3034" s="75"/>
    </row>
    <row r="3035" spans="34:37" x14ac:dyDescent="0.25">
      <c r="AH3035" s="75"/>
      <c r="AK3035" s="75"/>
    </row>
    <row r="3036" spans="34:37" x14ac:dyDescent="0.25">
      <c r="AH3036" s="75"/>
      <c r="AK3036" s="75"/>
    </row>
    <row r="3037" spans="34:37" x14ac:dyDescent="0.25">
      <c r="AH3037" s="75"/>
      <c r="AK3037" s="75"/>
    </row>
    <row r="3038" spans="34:37" x14ac:dyDescent="0.25">
      <c r="AH3038" s="75"/>
      <c r="AK3038" s="75"/>
    </row>
    <row r="3039" spans="34:37" x14ac:dyDescent="0.25">
      <c r="AH3039" s="75"/>
      <c r="AK3039" s="75"/>
    </row>
    <row r="3040" spans="34:37" x14ac:dyDescent="0.25">
      <c r="AH3040" s="75"/>
      <c r="AK3040" s="75"/>
    </row>
    <row r="3041" spans="34:37" x14ac:dyDescent="0.25">
      <c r="AH3041" s="75"/>
      <c r="AK3041" s="75"/>
    </row>
    <row r="3042" spans="34:37" x14ac:dyDescent="0.25">
      <c r="AH3042" s="75"/>
      <c r="AK3042" s="75"/>
    </row>
    <row r="3043" spans="34:37" x14ac:dyDescent="0.25">
      <c r="AH3043" s="75"/>
      <c r="AK3043" s="75"/>
    </row>
    <row r="3044" spans="34:37" x14ac:dyDescent="0.25">
      <c r="AH3044" s="75"/>
      <c r="AK3044" s="75"/>
    </row>
    <row r="3045" spans="34:37" x14ac:dyDescent="0.25">
      <c r="AH3045" s="75"/>
      <c r="AK3045" s="75"/>
    </row>
    <row r="3046" spans="34:37" x14ac:dyDescent="0.25">
      <c r="AH3046" s="75"/>
      <c r="AK3046" s="75"/>
    </row>
    <row r="3047" spans="34:37" x14ac:dyDescent="0.25">
      <c r="AH3047" s="75"/>
      <c r="AK3047" s="75"/>
    </row>
    <row r="3048" spans="34:37" x14ac:dyDescent="0.25">
      <c r="AH3048" s="75"/>
      <c r="AK3048" s="75"/>
    </row>
    <row r="3049" spans="34:37" x14ac:dyDescent="0.25">
      <c r="AH3049" s="75"/>
      <c r="AK3049" s="75"/>
    </row>
    <row r="3050" spans="34:37" x14ac:dyDescent="0.25">
      <c r="AH3050" s="75"/>
      <c r="AK3050" s="75"/>
    </row>
    <row r="3051" spans="34:37" x14ac:dyDescent="0.25">
      <c r="AH3051" s="75"/>
      <c r="AK3051" s="75"/>
    </row>
    <row r="3052" spans="34:37" x14ac:dyDescent="0.25">
      <c r="AH3052" s="75"/>
      <c r="AK3052" s="75"/>
    </row>
    <row r="3053" spans="34:37" x14ac:dyDescent="0.25">
      <c r="AH3053" s="75"/>
      <c r="AK3053" s="75"/>
    </row>
    <row r="3054" spans="34:37" x14ac:dyDescent="0.25">
      <c r="AH3054" s="75"/>
      <c r="AK3054" s="75"/>
    </row>
    <row r="3055" spans="34:37" x14ac:dyDescent="0.25">
      <c r="AH3055" s="75"/>
      <c r="AK3055" s="75"/>
    </row>
    <row r="3056" spans="34:37" x14ac:dyDescent="0.25">
      <c r="AH3056" s="75"/>
      <c r="AK3056" s="75"/>
    </row>
    <row r="3057" spans="34:37" x14ac:dyDescent="0.25">
      <c r="AH3057" s="75"/>
      <c r="AK3057" s="75"/>
    </row>
    <row r="3058" spans="34:37" x14ac:dyDescent="0.25">
      <c r="AH3058" s="75"/>
      <c r="AK3058" s="75"/>
    </row>
    <row r="3059" spans="34:37" x14ac:dyDescent="0.25">
      <c r="AH3059" s="75"/>
      <c r="AK3059" s="75"/>
    </row>
    <row r="3060" spans="34:37" x14ac:dyDescent="0.25">
      <c r="AH3060" s="75"/>
      <c r="AK3060" s="75"/>
    </row>
    <row r="3061" spans="34:37" x14ac:dyDescent="0.25">
      <c r="AH3061" s="75"/>
      <c r="AK3061" s="75"/>
    </row>
    <row r="3062" spans="34:37" x14ac:dyDescent="0.25">
      <c r="AH3062" s="75"/>
      <c r="AK3062" s="75"/>
    </row>
    <row r="3063" spans="34:37" x14ac:dyDescent="0.25">
      <c r="AH3063" s="75"/>
      <c r="AK3063" s="75"/>
    </row>
    <row r="3064" spans="34:37" x14ac:dyDescent="0.25">
      <c r="AH3064" s="75"/>
      <c r="AK3064" s="75"/>
    </row>
    <row r="3065" spans="34:37" x14ac:dyDescent="0.25">
      <c r="AH3065" s="75"/>
      <c r="AK3065" s="75"/>
    </row>
    <row r="3066" spans="34:37" x14ac:dyDescent="0.25">
      <c r="AH3066" s="75"/>
      <c r="AK3066" s="75"/>
    </row>
    <row r="3067" spans="34:37" x14ac:dyDescent="0.25">
      <c r="AH3067" s="75"/>
      <c r="AK3067" s="75"/>
    </row>
    <row r="3068" spans="34:37" x14ac:dyDescent="0.25">
      <c r="AH3068" s="75"/>
      <c r="AK3068" s="75"/>
    </row>
    <row r="3069" spans="34:37" x14ac:dyDescent="0.25">
      <c r="AH3069" s="75"/>
      <c r="AK3069" s="75"/>
    </row>
    <row r="3070" spans="34:37" x14ac:dyDescent="0.25">
      <c r="AH3070" s="75"/>
      <c r="AK3070" s="75"/>
    </row>
    <row r="3071" spans="34:37" x14ac:dyDescent="0.25">
      <c r="AH3071" s="75"/>
      <c r="AK3071" s="75"/>
    </row>
    <row r="3072" spans="34:37" x14ac:dyDescent="0.25">
      <c r="AH3072" s="75"/>
      <c r="AK3072" s="75"/>
    </row>
    <row r="3073" spans="34:37" x14ac:dyDescent="0.25">
      <c r="AH3073" s="75"/>
      <c r="AK3073" s="75"/>
    </row>
    <row r="3074" spans="34:37" x14ac:dyDescent="0.25">
      <c r="AH3074" s="75"/>
      <c r="AK3074" s="75"/>
    </row>
    <row r="3075" spans="34:37" x14ac:dyDescent="0.25">
      <c r="AH3075" s="75"/>
      <c r="AK3075" s="75"/>
    </row>
    <row r="3076" spans="34:37" x14ac:dyDescent="0.25">
      <c r="AH3076" s="75"/>
      <c r="AK3076" s="75"/>
    </row>
    <row r="3077" spans="34:37" x14ac:dyDescent="0.25">
      <c r="AH3077" s="75"/>
      <c r="AK3077" s="75"/>
    </row>
    <row r="3078" spans="34:37" x14ac:dyDescent="0.25">
      <c r="AH3078" s="75"/>
      <c r="AK3078" s="75"/>
    </row>
    <row r="3079" spans="34:37" x14ac:dyDescent="0.25">
      <c r="AH3079" s="75"/>
      <c r="AK3079" s="75"/>
    </row>
    <row r="3080" spans="34:37" x14ac:dyDescent="0.25">
      <c r="AH3080" s="75"/>
      <c r="AK3080" s="75"/>
    </row>
    <row r="3081" spans="34:37" x14ac:dyDescent="0.25">
      <c r="AH3081" s="75"/>
      <c r="AK3081" s="75"/>
    </row>
    <row r="3082" spans="34:37" x14ac:dyDescent="0.25">
      <c r="AH3082" s="75"/>
      <c r="AK3082" s="75"/>
    </row>
    <row r="3083" spans="34:37" x14ac:dyDescent="0.25">
      <c r="AH3083" s="75"/>
      <c r="AK3083" s="75"/>
    </row>
    <row r="3084" spans="34:37" x14ac:dyDescent="0.25">
      <c r="AH3084" s="75"/>
      <c r="AK3084" s="75"/>
    </row>
    <row r="3085" spans="34:37" x14ac:dyDescent="0.25">
      <c r="AH3085" s="75"/>
      <c r="AK3085" s="75"/>
    </row>
    <row r="3086" spans="34:37" x14ac:dyDescent="0.25">
      <c r="AH3086" s="75"/>
      <c r="AK3086" s="75"/>
    </row>
    <row r="3087" spans="34:37" x14ac:dyDescent="0.25">
      <c r="AH3087" s="75"/>
      <c r="AK3087" s="75"/>
    </row>
    <row r="3088" spans="34:37" x14ac:dyDescent="0.25">
      <c r="AH3088" s="75"/>
      <c r="AK3088" s="75"/>
    </row>
    <row r="3089" spans="34:37" x14ac:dyDescent="0.25">
      <c r="AH3089" s="75"/>
      <c r="AK3089" s="75"/>
    </row>
    <row r="3090" spans="34:37" x14ac:dyDescent="0.25">
      <c r="AH3090" s="75"/>
      <c r="AK3090" s="75"/>
    </row>
    <row r="3091" spans="34:37" x14ac:dyDescent="0.25">
      <c r="AH3091" s="75"/>
      <c r="AK3091" s="75"/>
    </row>
    <row r="3092" spans="34:37" x14ac:dyDescent="0.25">
      <c r="AH3092" s="75"/>
      <c r="AK3092" s="75"/>
    </row>
    <row r="3093" spans="34:37" x14ac:dyDescent="0.25">
      <c r="AH3093" s="75"/>
      <c r="AK3093" s="75"/>
    </row>
    <row r="3094" spans="34:37" x14ac:dyDescent="0.25">
      <c r="AH3094" s="75"/>
      <c r="AK3094" s="75"/>
    </row>
    <row r="3095" spans="34:37" x14ac:dyDescent="0.25">
      <c r="AH3095" s="75"/>
      <c r="AK3095" s="75"/>
    </row>
    <row r="3096" spans="34:37" x14ac:dyDescent="0.25">
      <c r="AH3096" s="75"/>
      <c r="AK3096" s="75"/>
    </row>
    <row r="3097" spans="34:37" x14ac:dyDescent="0.25">
      <c r="AH3097" s="75"/>
      <c r="AK3097" s="75"/>
    </row>
    <row r="3098" spans="34:37" x14ac:dyDescent="0.25">
      <c r="AH3098" s="75"/>
      <c r="AK3098" s="75"/>
    </row>
    <row r="3099" spans="34:37" x14ac:dyDescent="0.25">
      <c r="AH3099" s="75"/>
      <c r="AK3099" s="75"/>
    </row>
    <row r="3100" spans="34:37" x14ac:dyDescent="0.25">
      <c r="AH3100" s="75"/>
      <c r="AK3100" s="75"/>
    </row>
    <row r="3101" spans="34:37" x14ac:dyDescent="0.25">
      <c r="AH3101" s="75"/>
      <c r="AK3101" s="75"/>
    </row>
    <row r="3102" spans="34:37" x14ac:dyDescent="0.25">
      <c r="AH3102" s="75"/>
      <c r="AK3102" s="75"/>
    </row>
    <row r="3103" spans="34:37" x14ac:dyDescent="0.25">
      <c r="AH3103" s="75"/>
      <c r="AK3103" s="75"/>
    </row>
    <row r="3104" spans="34:37" x14ac:dyDescent="0.25">
      <c r="AH3104" s="75"/>
      <c r="AK3104" s="75"/>
    </row>
    <row r="3105" spans="34:37" x14ac:dyDescent="0.25">
      <c r="AH3105" s="75"/>
      <c r="AK3105" s="75"/>
    </row>
    <row r="3106" spans="34:37" x14ac:dyDescent="0.25">
      <c r="AH3106" s="75"/>
      <c r="AK3106" s="75"/>
    </row>
    <row r="3107" spans="34:37" x14ac:dyDescent="0.25">
      <c r="AH3107" s="75"/>
      <c r="AK3107" s="75"/>
    </row>
    <row r="3108" spans="34:37" x14ac:dyDescent="0.25">
      <c r="AH3108" s="75"/>
      <c r="AK3108" s="75"/>
    </row>
    <row r="3109" spans="34:37" x14ac:dyDescent="0.25">
      <c r="AH3109" s="75"/>
      <c r="AK3109" s="75"/>
    </row>
    <row r="3110" spans="34:37" x14ac:dyDescent="0.25">
      <c r="AH3110" s="75"/>
      <c r="AK3110" s="75"/>
    </row>
    <row r="3111" spans="34:37" x14ac:dyDescent="0.25">
      <c r="AH3111" s="75"/>
      <c r="AK3111" s="75"/>
    </row>
    <row r="3112" spans="34:37" x14ac:dyDescent="0.25">
      <c r="AH3112" s="75"/>
      <c r="AK3112" s="75"/>
    </row>
    <row r="3113" spans="34:37" x14ac:dyDescent="0.25">
      <c r="AH3113" s="75"/>
      <c r="AK3113" s="75"/>
    </row>
    <row r="3114" spans="34:37" x14ac:dyDescent="0.25">
      <c r="AH3114" s="75"/>
      <c r="AK3114" s="75"/>
    </row>
    <row r="3115" spans="34:37" x14ac:dyDescent="0.25">
      <c r="AH3115" s="75"/>
      <c r="AK3115" s="75"/>
    </row>
    <row r="3116" spans="34:37" x14ac:dyDescent="0.25">
      <c r="AH3116" s="75"/>
      <c r="AK3116" s="75"/>
    </row>
    <row r="3117" spans="34:37" x14ac:dyDescent="0.25">
      <c r="AH3117" s="75"/>
      <c r="AK3117" s="75"/>
    </row>
    <row r="3118" spans="34:37" x14ac:dyDescent="0.25">
      <c r="AH3118" s="75"/>
      <c r="AK3118" s="75"/>
    </row>
    <row r="3119" spans="34:37" x14ac:dyDescent="0.25">
      <c r="AH3119" s="75"/>
      <c r="AK3119" s="75"/>
    </row>
    <row r="3120" spans="34:37" x14ac:dyDescent="0.25">
      <c r="AH3120" s="75"/>
      <c r="AK3120" s="75"/>
    </row>
    <row r="3121" spans="34:37" x14ac:dyDescent="0.25">
      <c r="AH3121" s="75"/>
      <c r="AK3121" s="75"/>
    </row>
    <row r="3122" spans="34:37" x14ac:dyDescent="0.25">
      <c r="AH3122" s="75"/>
      <c r="AK3122" s="75"/>
    </row>
    <row r="3123" spans="34:37" x14ac:dyDescent="0.25">
      <c r="AH3123" s="75"/>
      <c r="AK3123" s="75"/>
    </row>
    <row r="3124" spans="34:37" x14ac:dyDescent="0.25">
      <c r="AH3124" s="75"/>
      <c r="AK3124" s="75"/>
    </row>
    <row r="3125" spans="34:37" x14ac:dyDescent="0.25">
      <c r="AH3125" s="75"/>
      <c r="AK3125" s="75"/>
    </row>
    <row r="3126" spans="34:37" x14ac:dyDescent="0.25">
      <c r="AH3126" s="75"/>
      <c r="AK3126" s="75"/>
    </row>
    <row r="3127" spans="34:37" x14ac:dyDescent="0.25">
      <c r="AH3127" s="75"/>
      <c r="AK3127" s="75"/>
    </row>
    <row r="3128" spans="34:37" x14ac:dyDescent="0.25">
      <c r="AH3128" s="75"/>
      <c r="AK3128" s="75"/>
    </row>
    <row r="3129" spans="34:37" x14ac:dyDescent="0.25">
      <c r="AH3129" s="75"/>
      <c r="AK3129" s="75"/>
    </row>
    <row r="3130" spans="34:37" x14ac:dyDescent="0.25">
      <c r="AH3130" s="75"/>
      <c r="AK3130" s="75"/>
    </row>
    <row r="3131" spans="34:37" x14ac:dyDescent="0.25">
      <c r="AH3131" s="75"/>
      <c r="AK3131" s="75"/>
    </row>
    <row r="3132" spans="34:37" x14ac:dyDescent="0.25">
      <c r="AH3132" s="75"/>
      <c r="AK3132" s="75"/>
    </row>
    <row r="3133" spans="34:37" x14ac:dyDescent="0.25">
      <c r="AH3133" s="75"/>
      <c r="AK3133" s="75"/>
    </row>
    <row r="3134" spans="34:37" x14ac:dyDescent="0.25">
      <c r="AH3134" s="75"/>
      <c r="AK3134" s="75"/>
    </row>
    <row r="3135" spans="34:37" x14ac:dyDescent="0.25">
      <c r="AH3135" s="75"/>
      <c r="AK3135" s="75"/>
    </row>
    <row r="3136" spans="34:37" x14ac:dyDescent="0.25">
      <c r="AH3136" s="75"/>
      <c r="AK3136" s="75"/>
    </row>
    <row r="3137" spans="34:37" x14ac:dyDescent="0.25">
      <c r="AH3137" s="75"/>
      <c r="AK3137" s="75"/>
    </row>
    <row r="3138" spans="34:37" x14ac:dyDescent="0.25">
      <c r="AH3138" s="75"/>
      <c r="AK3138" s="75"/>
    </row>
    <row r="3139" spans="34:37" x14ac:dyDescent="0.25">
      <c r="AH3139" s="75"/>
      <c r="AK3139" s="75"/>
    </row>
    <row r="3140" spans="34:37" x14ac:dyDescent="0.25">
      <c r="AH3140" s="75"/>
      <c r="AK3140" s="75"/>
    </row>
    <row r="3141" spans="34:37" x14ac:dyDescent="0.25">
      <c r="AH3141" s="75"/>
      <c r="AK3141" s="75"/>
    </row>
    <row r="3142" spans="34:37" x14ac:dyDescent="0.25">
      <c r="AH3142" s="75"/>
      <c r="AK3142" s="75"/>
    </row>
    <row r="3143" spans="34:37" x14ac:dyDescent="0.25">
      <c r="AH3143" s="75"/>
      <c r="AK3143" s="75"/>
    </row>
    <row r="3144" spans="34:37" x14ac:dyDescent="0.25">
      <c r="AH3144" s="75"/>
      <c r="AK3144" s="75"/>
    </row>
    <row r="3145" spans="34:37" x14ac:dyDescent="0.25">
      <c r="AH3145" s="75"/>
      <c r="AK3145" s="75"/>
    </row>
    <row r="3146" spans="34:37" x14ac:dyDescent="0.25">
      <c r="AH3146" s="75"/>
      <c r="AK3146" s="75"/>
    </row>
    <row r="3147" spans="34:37" x14ac:dyDescent="0.25">
      <c r="AH3147" s="75"/>
      <c r="AK3147" s="75"/>
    </row>
    <row r="3148" spans="34:37" x14ac:dyDescent="0.25">
      <c r="AH3148" s="75"/>
      <c r="AK3148" s="75"/>
    </row>
    <row r="3149" spans="34:37" x14ac:dyDescent="0.25">
      <c r="AH3149" s="75"/>
      <c r="AK3149" s="75"/>
    </row>
    <row r="3150" spans="34:37" x14ac:dyDescent="0.25">
      <c r="AH3150" s="75"/>
      <c r="AK3150" s="75"/>
    </row>
    <row r="3151" spans="34:37" x14ac:dyDescent="0.25">
      <c r="AH3151" s="75"/>
      <c r="AK3151" s="75"/>
    </row>
    <row r="3152" spans="34:37" x14ac:dyDescent="0.25">
      <c r="AH3152" s="75"/>
      <c r="AK3152" s="75"/>
    </row>
    <row r="3153" spans="34:37" x14ac:dyDescent="0.25">
      <c r="AH3153" s="75"/>
      <c r="AK3153" s="75"/>
    </row>
    <row r="3154" spans="34:37" x14ac:dyDescent="0.25">
      <c r="AH3154" s="75"/>
      <c r="AK3154" s="75"/>
    </row>
    <row r="3155" spans="34:37" x14ac:dyDescent="0.25">
      <c r="AH3155" s="75"/>
      <c r="AK3155" s="75"/>
    </row>
    <row r="3156" spans="34:37" x14ac:dyDescent="0.25">
      <c r="AH3156" s="75"/>
      <c r="AK3156" s="75"/>
    </row>
    <row r="3157" spans="34:37" x14ac:dyDescent="0.25">
      <c r="AH3157" s="75"/>
      <c r="AK3157" s="75"/>
    </row>
    <row r="3158" spans="34:37" x14ac:dyDescent="0.25">
      <c r="AH3158" s="75"/>
      <c r="AK3158" s="75"/>
    </row>
    <row r="3159" spans="34:37" x14ac:dyDescent="0.25">
      <c r="AH3159" s="75"/>
      <c r="AK3159" s="75"/>
    </row>
    <row r="3160" spans="34:37" x14ac:dyDescent="0.25">
      <c r="AH3160" s="75"/>
      <c r="AK3160" s="75"/>
    </row>
    <row r="3161" spans="34:37" x14ac:dyDescent="0.25">
      <c r="AH3161" s="75"/>
      <c r="AK3161" s="75"/>
    </row>
    <row r="3162" spans="34:37" x14ac:dyDescent="0.25">
      <c r="AH3162" s="75"/>
      <c r="AK3162" s="75"/>
    </row>
    <row r="3163" spans="34:37" x14ac:dyDescent="0.25">
      <c r="AH3163" s="75"/>
      <c r="AK3163" s="75"/>
    </row>
    <row r="3164" spans="34:37" x14ac:dyDescent="0.25">
      <c r="AH3164" s="75"/>
      <c r="AK3164" s="75"/>
    </row>
    <row r="3165" spans="34:37" x14ac:dyDescent="0.25">
      <c r="AH3165" s="75"/>
      <c r="AK3165" s="75"/>
    </row>
    <row r="3166" spans="34:37" x14ac:dyDescent="0.25">
      <c r="AH3166" s="75"/>
      <c r="AK3166" s="75"/>
    </row>
    <row r="3167" spans="34:37" x14ac:dyDescent="0.25">
      <c r="AH3167" s="75"/>
      <c r="AK3167" s="75"/>
    </row>
    <row r="3168" spans="34:37" x14ac:dyDescent="0.25">
      <c r="AH3168" s="75"/>
      <c r="AK3168" s="75"/>
    </row>
    <row r="3169" spans="34:37" x14ac:dyDescent="0.25">
      <c r="AH3169" s="75"/>
      <c r="AK3169" s="75"/>
    </row>
    <row r="3170" spans="34:37" x14ac:dyDescent="0.25">
      <c r="AH3170" s="75"/>
      <c r="AK3170" s="75"/>
    </row>
    <row r="3171" spans="34:37" x14ac:dyDescent="0.25">
      <c r="AH3171" s="75"/>
      <c r="AK3171" s="75"/>
    </row>
    <row r="3172" spans="34:37" x14ac:dyDescent="0.25">
      <c r="AH3172" s="75"/>
      <c r="AK3172" s="75"/>
    </row>
    <row r="3173" spans="34:37" x14ac:dyDescent="0.25">
      <c r="AH3173" s="75"/>
      <c r="AK3173" s="75"/>
    </row>
    <row r="3174" spans="34:37" x14ac:dyDescent="0.25">
      <c r="AH3174" s="75"/>
      <c r="AK3174" s="75"/>
    </row>
    <row r="3175" spans="34:37" x14ac:dyDescent="0.25">
      <c r="AH3175" s="75"/>
      <c r="AK3175" s="75"/>
    </row>
    <row r="3176" spans="34:37" x14ac:dyDescent="0.25">
      <c r="AH3176" s="75"/>
      <c r="AK3176" s="75"/>
    </row>
    <row r="3177" spans="34:37" x14ac:dyDescent="0.25">
      <c r="AH3177" s="75"/>
      <c r="AK3177" s="75"/>
    </row>
    <row r="3178" spans="34:37" x14ac:dyDescent="0.25">
      <c r="AH3178" s="75"/>
      <c r="AK3178" s="75"/>
    </row>
    <row r="3179" spans="34:37" x14ac:dyDescent="0.25">
      <c r="AH3179" s="75"/>
      <c r="AK3179" s="75"/>
    </row>
    <row r="3180" spans="34:37" x14ac:dyDescent="0.25">
      <c r="AH3180" s="75"/>
      <c r="AK3180" s="75"/>
    </row>
    <row r="3181" spans="34:37" x14ac:dyDescent="0.25">
      <c r="AH3181" s="75"/>
      <c r="AK3181" s="75"/>
    </row>
    <row r="3182" spans="34:37" x14ac:dyDescent="0.25">
      <c r="AH3182" s="75"/>
      <c r="AK3182" s="75"/>
    </row>
    <row r="3183" spans="34:37" x14ac:dyDescent="0.25">
      <c r="AH3183" s="75"/>
      <c r="AK3183" s="75"/>
    </row>
    <row r="3184" spans="34:37" x14ac:dyDescent="0.25">
      <c r="AH3184" s="75"/>
      <c r="AK3184" s="75"/>
    </row>
    <row r="3185" spans="34:37" x14ac:dyDescent="0.25">
      <c r="AH3185" s="75"/>
      <c r="AK3185" s="75"/>
    </row>
    <row r="3186" spans="34:37" x14ac:dyDescent="0.25">
      <c r="AH3186" s="75"/>
      <c r="AK3186" s="75"/>
    </row>
    <row r="3187" spans="34:37" x14ac:dyDescent="0.25">
      <c r="AH3187" s="75"/>
      <c r="AK3187" s="75"/>
    </row>
    <row r="3188" spans="34:37" x14ac:dyDescent="0.25">
      <c r="AH3188" s="75"/>
      <c r="AK3188" s="75"/>
    </row>
    <row r="3189" spans="34:37" x14ac:dyDescent="0.25">
      <c r="AH3189" s="75"/>
      <c r="AK3189" s="75"/>
    </row>
    <row r="3190" spans="34:37" x14ac:dyDescent="0.25">
      <c r="AH3190" s="75"/>
      <c r="AK3190" s="75"/>
    </row>
    <row r="3191" spans="34:37" x14ac:dyDescent="0.25">
      <c r="AH3191" s="75"/>
      <c r="AK3191" s="75"/>
    </row>
    <row r="3192" spans="34:37" x14ac:dyDescent="0.25">
      <c r="AH3192" s="75"/>
      <c r="AK3192" s="75"/>
    </row>
    <row r="3193" spans="34:37" x14ac:dyDescent="0.25">
      <c r="AH3193" s="75"/>
      <c r="AK3193" s="75"/>
    </row>
    <row r="3194" spans="34:37" x14ac:dyDescent="0.25">
      <c r="AH3194" s="75"/>
      <c r="AK3194" s="75"/>
    </row>
    <row r="3195" spans="34:37" x14ac:dyDescent="0.25">
      <c r="AH3195" s="75"/>
      <c r="AK3195" s="75"/>
    </row>
    <row r="3196" spans="34:37" x14ac:dyDescent="0.25">
      <c r="AH3196" s="75"/>
      <c r="AK3196" s="75"/>
    </row>
    <row r="3197" spans="34:37" x14ac:dyDescent="0.25">
      <c r="AH3197" s="75"/>
      <c r="AK3197" s="75"/>
    </row>
    <row r="3198" spans="34:37" x14ac:dyDescent="0.25">
      <c r="AH3198" s="75"/>
      <c r="AK3198" s="75"/>
    </row>
    <row r="3199" spans="34:37" x14ac:dyDescent="0.25">
      <c r="AH3199" s="75"/>
      <c r="AK3199" s="75"/>
    </row>
    <row r="3200" spans="34:37" x14ac:dyDescent="0.25">
      <c r="AH3200" s="75"/>
      <c r="AK3200" s="75"/>
    </row>
    <row r="3201" spans="34:37" x14ac:dyDescent="0.25">
      <c r="AH3201" s="75"/>
      <c r="AK3201" s="75"/>
    </row>
    <row r="3202" spans="34:37" x14ac:dyDescent="0.25">
      <c r="AH3202" s="75"/>
      <c r="AK3202" s="75"/>
    </row>
    <row r="3203" spans="34:37" x14ac:dyDescent="0.25">
      <c r="AH3203" s="75"/>
      <c r="AK3203" s="75"/>
    </row>
    <row r="3204" spans="34:37" x14ac:dyDescent="0.25">
      <c r="AH3204" s="75"/>
      <c r="AK3204" s="75"/>
    </row>
    <row r="3205" spans="34:37" x14ac:dyDescent="0.25">
      <c r="AH3205" s="75"/>
      <c r="AK3205" s="75"/>
    </row>
    <row r="3206" spans="34:37" x14ac:dyDescent="0.25">
      <c r="AH3206" s="75"/>
      <c r="AK3206" s="75"/>
    </row>
    <row r="3207" spans="34:37" x14ac:dyDescent="0.25">
      <c r="AH3207" s="75"/>
      <c r="AK3207" s="75"/>
    </row>
    <row r="3208" spans="34:37" x14ac:dyDescent="0.25">
      <c r="AH3208" s="75"/>
      <c r="AK3208" s="75"/>
    </row>
    <row r="3209" spans="34:37" x14ac:dyDescent="0.25">
      <c r="AH3209" s="75"/>
      <c r="AK3209" s="75"/>
    </row>
    <row r="3210" spans="34:37" x14ac:dyDescent="0.25">
      <c r="AH3210" s="75"/>
      <c r="AK3210" s="75"/>
    </row>
    <row r="3211" spans="34:37" x14ac:dyDescent="0.25">
      <c r="AH3211" s="75"/>
      <c r="AK3211" s="75"/>
    </row>
    <row r="3212" spans="34:37" x14ac:dyDescent="0.25">
      <c r="AH3212" s="75"/>
      <c r="AK3212" s="75"/>
    </row>
    <row r="3213" spans="34:37" x14ac:dyDescent="0.25">
      <c r="AH3213" s="75"/>
      <c r="AK3213" s="75"/>
    </row>
    <row r="3214" spans="34:37" x14ac:dyDescent="0.25">
      <c r="AH3214" s="75"/>
      <c r="AK3214" s="75"/>
    </row>
    <row r="3215" spans="34:37" x14ac:dyDescent="0.25">
      <c r="AH3215" s="75"/>
      <c r="AK3215" s="75"/>
    </row>
    <row r="3216" spans="34:37" x14ac:dyDescent="0.25">
      <c r="AH3216" s="75"/>
      <c r="AK3216" s="75"/>
    </row>
    <row r="3217" spans="34:37" x14ac:dyDescent="0.25">
      <c r="AH3217" s="75"/>
      <c r="AK3217" s="75"/>
    </row>
    <row r="3218" spans="34:37" x14ac:dyDescent="0.25">
      <c r="AH3218" s="75"/>
      <c r="AK3218" s="75"/>
    </row>
    <row r="3219" spans="34:37" x14ac:dyDescent="0.25">
      <c r="AH3219" s="75"/>
      <c r="AK3219" s="75"/>
    </row>
    <row r="3220" spans="34:37" x14ac:dyDescent="0.25">
      <c r="AH3220" s="75"/>
      <c r="AK3220" s="75"/>
    </row>
    <row r="3221" spans="34:37" x14ac:dyDescent="0.25">
      <c r="AH3221" s="75"/>
      <c r="AK3221" s="75"/>
    </row>
    <row r="3222" spans="34:37" x14ac:dyDescent="0.25">
      <c r="AH3222" s="75"/>
      <c r="AK3222" s="75"/>
    </row>
    <row r="3223" spans="34:37" x14ac:dyDescent="0.25">
      <c r="AH3223" s="75"/>
      <c r="AK3223" s="75"/>
    </row>
    <row r="3224" spans="34:37" x14ac:dyDescent="0.25">
      <c r="AH3224" s="75"/>
      <c r="AK3224" s="75"/>
    </row>
    <row r="3225" spans="34:37" x14ac:dyDescent="0.25">
      <c r="AH3225" s="75"/>
      <c r="AK3225" s="75"/>
    </row>
    <row r="3226" spans="34:37" x14ac:dyDescent="0.25">
      <c r="AH3226" s="75"/>
      <c r="AK3226" s="75"/>
    </row>
    <row r="3227" spans="34:37" x14ac:dyDescent="0.25">
      <c r="AH3227" s="75"/>
      <c r="AK3227" s="75"/>
    </row>
    <row r="3228" spans="34:37" x14ac:dyDescent="0.25">
      <c r="AH3228" s="75"/>
      <c r="AK3228" s="75"/>
    </row>
    <row r="3229" spans="34:37" x14ac:dyDescent="0.25">
      <c r="AH3229" s="75"/>
      <c r="AK3229" s="75"/>
    </row>
    <row r="3230" spans="34:37" x14ac:dyDescent="0.25">
      <c r="AH3230" s="75"/>
      <c r="AK3230" s="75"/>
    </row>
    <row r="3231" spans="34:37" x14ac:dyDescent="0.25">
      <c r="AH3231" s="75"/>
      <c r="AK3231" s="75"/>
    </row>
    <row r="3232" spans="34:37" x14ac:dyDescent="0.25">
      <c r="AH3232" s="75"/>
      <c r="AK3232" s="75"/>
    </row>
    <row r="3233" spans="34:37" x14ac:dyDescent="0.25">
      <c r="AH3233" s="75"/>
      <c r="AK3233" s="75"/>
    </row>
    <row r="3234" spans="34:37" x14ac:dyDescent="0.25">
      <c r="AH3234" s="75"/>
      <c r="AK3234" s="75"/>
    </row>
    <row r="3235" spans="34:37" x14ac:dyDescent="0.25">
      <c r="AH3235" s="75"/>
      <c r="AK3235" s="75"/>
    </row>
    <row r="3236" spans="34:37" x14ac:dyDescent="0.25">
      <c r="AH3236" s="75"/>
      <c r="AK3236" s="75"/>
    </row>
    <row r="3237" spans="34:37" x14ac:dyDescent="0.25">
      <c r="AH3237" s="75"/>
      <c r="AK3237" s="75"/>
    </row>
    <row r="3238" spans="34:37" x14ac:dyDescent="0.25">
      <c r="AH3238" s="75"/>
      <c r="AK3238" s="75"/>
    </row>
    <row r="3239" spans="34:37" x14ac:dyDescent="0.25">
      <c r="AH3239" s="75"/>
      <c r="AK3239" s="75"/>
    </row>
    <row r="3240" spans="34:37" x14ac:dyDescent="0.25">
      <c r="AH3240" s="75"/>
      <c r="AK3240" s="75"/>
    </row>
    <row r="3241" spans="34:37" x14ac:dyDescent="0.25">
      <c r="AH3241" s="75"/>
      <c r="AK3241" s="75"/>
    </row>
    <row r="3242" spans="34:37" x14ac:dyDescent="0.25">
      <c r="AH3242" s="75"/>
      <c r="AK3242" s="75"/>
    </row>
    <row r="3243" spans="34:37" x14ac:dyDescent="0.25">
      <c r="AH3243" s="75"/>
      <c r="AK3243" s="75"/>
    </row>
    <row r="3244" spans="34:37" x14ac:dyDescent="0.25">
      <c r="AH3244" s="75"/>
      <c r="AK3244" s="75"/>
    </row>
    <row r="3245" spans="34:37" x14ac:dyDescent="0.25">
      <c r="AH3245" s="75"/>
      <c r="AK3245" s="75"/>
    </row>
    <row r="3246" spans="34:37" x14ac:dyDescent="0.25">
      <c r="AH3246" s="75"/>
      <c r="AK3246" s="75"/>
    </row>
    <row r="3247" spans="34:37" x14ac:dyDescent="0.25">
      <c r="AH3247" s="75"/>
      <c r="AK3247" s="75"/>
    </row>
    <row r="3248" spans="34:37" x14ac:dyDescent="0.25">
      <c r="AH3248" s="75"/>
      <c r="AK3248" s="75"/>
    </row>
    <row r="3249" spans="34:37" x14ac:dyDescent="0.25">
      <c r="AH3249" s="75"/>
      <c r="AK3249" s="75"/>
    </row>
    <row r="3250" spans="34:37" x14ac:dyDescent="0.25">
      <c r="AH3250" s="75"/>
      <c r="AK3250" s="75"/>
    </row>
    <row r="3251" spans="34:37" x14ac:dyDescent="0.25">
      <c r="AH3251" s="75"/>
      <c r="AK3251" s="75"/>
    </row>
    <row r="3252" spans="34:37" x14ac:dyDescent="0.25">
      <c r="AH3252" s="75"/>
      <c r="AK3252" s="75"/>
    </row>
    <row r="3253" spans="34:37" x14ac:dyDescent="0.25">
      <c r="AH3253" s="75"/>
      <c r="AK3253" s="75"/>
    </row>
    <row r="3254" spans="34:37" x14ac:dyDescent="0.25">
      <c r="AH3254" s="75"/>
      <c r="AK3254" s="75"/>
    </row>
    <row r="3255" spans="34:37" x14ac:dyDescent="0.25">
      <c r="AH3255" s="75"/>
      <c r="AK3255" s="75"/>
    </row>
    <row r="3256" spans="34:37" x14ac:dyDescent="0.25">
      <c r="AH3256" s="75"/>
      <c r="AK3256" s="75"/>
    </row>
    <row r="3257" spans="34:37" x14ac:dyDescent="0.25">
      <c r="AH3257" s="75"/>
      <c r="AK3257" s="75"/>
    </row>
    <row r="3258" spans="34:37" x14ac:dyDescent="0.25">
      <c r="AH3258" s="75"/>
      <c r="AK3258" s="75"/>
    </row>
    <row r="3259" spans="34:37" x14ac:dyDescent="0.25">
      <c r="AH3259" s="75"/>
      <c r="AK3259" s="75"/>
    </row>
    <row r="3260" spans="34:37" x14ac:dyDescent="0.25">
      <c r="AH3260" s="75"/>
      <c r="AK3260" s="75"/>
    </row>
    <row r="3261" spans="34:37" x14ac:dyDescent="0.25">
      <c r="AH3261" s="75"/>
      <c r="AK3261" s="75"/>
    </row>
    <row r="3262" spans="34:37" x14ac:dyDescent="0.25">
      <c r="AH3262" s="75"/>
      <c r="AK3262" s="75"/>
    </row>
    <row r="3263" spans="34:37" x14ac:dyDescent="0.25">
      <c r="AH3263" s="75"/>
      <c r="AK3263" s="75"/>
    </row>
    <row r="3264" spans="34:37" x14ac:dyDescent="0.25">
      <c r="AH3264" s="75"/>
      <c r="AK3264" s="75"/>
    </row>
    <row r="3265" spans="34:37" x14ac:dyDescent="0.25">
      <c r="AH3265" s="75"/>
      <c r="AK3265" s="75"/>
    </row>
    <row r="3266" spans="34:37" x14ac:dyDescent="0.25">
      <c r="AH3266" s="75"/>
      <c r="AK3266" s="75"/>
    </row>
    <row r="3267" spans="34:37" x14ac:dyDescent="0.25">
      <c r="AH3267" s="75"/>
      <c r="AK3267" s="75"/>
    </row>
    <row r="3268" spans="34:37" x14ac:dyDescent="0.25">
      <c r="AH3268" s="75"/>
      <c r="AK3268" s="75"/>
    </row>
    <row r="3269" spans="34:37" x14ac:dyDescent="0.25">
      <c r="AH3269" s="75"/>
      <c r="AK3269" s="75"/>
    </row>
    <row r="3270" spans="34:37" x14ac:dyDescent="0.25">
      <c r="AH3270" s="75"/>
      <c r="AK3270" s="75"/>
    </row>
    <row r="3271" spans="34:37" x14ac:dyDescent="0.25">
      <c r="AH3271" s="75"/>
      <c r="AK3271" s="75"/>
    </row>
    <row r="3272" spans="34:37" x14ac:dyDescent="0.25">
      <c r="AH3272" s="75"/>
      <c r="AK3272" s="75"/>
    </row>
    <row r="3273" spans="34:37" x14ac:dyDescent="0.25">
      <c r="AH3273" s="75"/>
      <c r="AK3273" s="75"/>
    </row>
    <row r="3274" spans="34:37" x14ac:dyDescent="0.25">
      <c r="AH3274" s="75"/>
      <c r="AK3274" s="75"/>
    </row>
    <row r="3275" spans="34:37" x14ac:dyDescent="0.25">
      <c r="AH3275" s="75"/>
      <c r="AK3275" s="75"/>
    </row>
    <row r="3276" spans="34:37" x14ac:dyDescent="0.25">
      <c r="AH3276" s="75"/>
      <c r="AK3276" s="75"/>
    </row>
    <row r="3277" spans="34:37" x14ac:dyDescent="0.25">
      <c r="AH3277" s="75"/>
      <c r="AK3277" s="75"/>
    </row>
    <row r="3278" spans="34:37" x14ac:dyDescent="0.25">
      <c r="AH3278" s="75"/>
      <c r="AK3278" s="75"/>
    </row>
    <row r="3279" spans="34:37" x14ac:dyDescent="0.25">
      <c r="AH3279" s="75"/>
      <c r="AK3279" s="75"/>
    </row>
    <row r="3280" spans="34:37" x14ac:dyDescent="0.25">
      <c r="AH3280" s="75"/>
      <c r="AK3280" s="75"/>
    </row>
    <row r="3281" spans="34:37" x14ac:dyDescent="0.25">
      <c r="AH3281" s="75"/>
      <c r="AK3281" s="75"/>
    </row>
    <row r="3282" spans="34:37" x14ac:dyDescent="0.25">
      <c r="AH3282" s="75"/>
      <c r="AK3282" s="75"/>
    </row>
    <row r="3283" spans="34:37" x14ac:dyDescent="0.25">
      <c r="AH3283" s="75"/>
      <c r="AK3283" s="75"/>
    </row>
    <row r="3284" spans="34:37" x14ac:dyDescent="0.25">
      <c r="AH3284" s="75"/>
      <c r="AK3284" s="75"/>
    </row>
    <row r="3285" spans="34:37" x14ac:dyDescent="0.25">
      <c r="AH3285" s="75"/>
      <c r="AK3285" s="75"/>
    </row>
    <row r="3286" spans="34:37" x14ac:dyDescent="0.25">
      <c r="AH3286" s="75"/>
      <c r="AK3286" s="75"/>
    </row>
    <row r="3287" spans="34:37" x14ac:dyDescent="0.25">
      <c r="AH3287" s="75"/>
      <c r="AK3287" s="75"/>
    </row>
    <row r="3288" spans="34:37" x14ac:dyDescent="0.25">
      <c r="AH3288" s="75"/>
      <c r="AK3288" s="75"/>
    </row>
    <row r="3289" spans="34:37" x14ac:dyDescent="0.25">
      <c r="AH3289" s="75"/>
      <c r="AK3289" s="75"/>
    </row>
    <row r="3290" spans="34:37" x14ac:dyDescent="0.25">
      <c r="AH3290" s="75"/>
      <c r="AK3290" s="75"/>
    </row>
    <row r="3291" spans="34:37" x14ac:dyDescent="0.25">
      <c r="AH3291" s="75"/>
      <c r="AK3291" s="75"/>
    </row>
    <row r="3292" spans="34:37" x14ac:dyDescent="0.25">
      <c r="AH3292" s="75"/>
      <c r="AK3292" s="75"/>
    </row>
    <row r="3293" spans="34:37" x14ac:dyDescent="0.25">
      <c r="AH3293" s="75"/>
      <c r="AK3293" s="75"/>
    </row>
    <row r="3294" spans="34:37" x14ac:dyDescent="0.25">
      <c r="AH3294" s="75"/>
      <c r="AK3294" s="75"/>
    </row>
    <row r="3295" spans="34:37" x14ac:dyDescent="0.25">
      <c r="AH3295" s="75"/>
      <c r="AK3295" s="75"/>
    </row>
    <row r="3296" spans="34:37" x14ac:dyDescent="0.25">
      <c r="AH3296" s="75"/>
      <c r="AK3296" s="75"/>
    </row>
    <row r="3297" spans="34:37" x14ac:dyDescent="0.25">
      <c r="AH3297" s="75"/>
      <c r="AK3297" s="75"/>
    </row>
    <row r="3298" spans="34:37" x14ac:dyDescent="0.25">
      <c r="AH3298" s="75"/>
      <c r="AK3298" s="75"/>
    </row>
    <row r="3299" spans="34:37" x14ac:dyDescent="0.25">
      <c r="AH3299" s="75"/>
      <c r="AK3299" s="75"/>
    </row>
    <row r="3300" spans="34:37" x14ac:dyDescent="0.25">
      <c r="AH3300" s="75"/>
      <c r="AK3300" s="75"/>
    </row>
    <row r="3301" spans="34:37" x14ac:dyDescent="0.25">
      <c r="AH3301" s="75"/>
      <c r="AK3301" s="75"/>
    </row>
    <row r="3302" spans="34:37" x14ac:dyDescent="0.25">
      <c r="AH3302" s="75"/>
      <c r="AK3302" s="75"/>
    </row>
    <row r="3303" spans="34:37" x14ac:dyDescent="0.25">
      <c r="AH3303" s="75"/>
      <c r="AK3303" s="75"/>
    </row>
    <row r="3304" spans="34:37" x14ac:dyDescent="0.25">
      <c r="AH3304" s="75"/>
      <c r="AK3304" s="75"/>
    </row>
    <row r="3305" spans="34:37" x14ac:dyDescent="0.25">
      <c r="AH3305" s="75"/>
      <c r="AK3305" s="75"/>
    </row>
    <row r="3306" spans="34:37" x14ac:dyDescent="0.25">
      <c r="AH3306" s="75"/>
      <c r="AK3306" s="75"/>
    </row>
    <row r="3307" spans="34:37" x14ac:dyDescent="0.25">
      <c r="AH3307" s="75"/>
      <c r="AK3307" s="75"/>
    </row>
    <row r="3308" spans="34:37" x14ac:dyDescent="0.25">
      <c r="AH3308" s="75"/>
      <c r="AK3308" s="75"/>
    </row>
    <row r="3309" spans="34:37" x14ac:dyDescent="0.25">
      <c r="AH3309" s="75"/>
      <c r="AK3309" s="75"/>
    </row>
    <row r="3310" spans="34:37" x14ac:dyDescent="0.25">
      <c r="AH3310" s="75"/>
      <c r="AK3310" s="75"/>
    </row>
    <row r="3311" spans="34:37" x14ac:dyDescent="0.25">
      <c r="AH3311" s="75"/>
      <c r="AK3311" s="75"/>
    </row>
    <row r="3312" spans="34:37" x14ac:dyDescent="0.25">
      <c r="AH3312" s="75"/>
      <c r="AK3312" s="75"/>
    </row>
    <row r="3313" spans="34:37" x14ac:dyDescent="0.25">
      <c r="AH3313" s="75"/>
      <c r="AK3313" s="75"/>
    </row>
    <row r="3314" spans="34:37" x14ac:dyDescent="0.25">
      <c r="AH3314" s="75"/>
      <c r="AK3314" s="75"/>
    </row>
    <row r="3315" spans="34:37" x14ac:dyDescent="0.25">
      <c r="AH3315" s="75"/>
      <c r="AK3315" s="75"/>
    </row>
    <row r="3316" spans="34:37" x14ac:dyDescent="0.25">
      <c r="AH3316" s="75"/>
      <c r="AK3316" s="75"/>
    </row>
    <row r="3317" spans="34:37" x14ac:dyDescent="0.25">
      <c r="AH3317" s="75"/>
      <c r="AK3317" s="75"/>
    </row>
    <row r="3318" spans="34:37" x14ac:dyDescent="0.25">
      <c r="AH3318" s="75"/>
      <c r="AK3318" s="75"/>
    </row>
    <row r="3319" spans="34:37" x14ac:dyDescent="0.25">
      <c r="AH3319" s="75"/>
      <c r="AK3319" s="75"/>
    </row>
    <row r="3320" spans="34:37" x14ac:dyDescent="0.25">
      <c r="AH3320" s="75"/>
      <c r="AK3320" s="75"/>
    </row>
    <row r="3321" spans="34:37" x14ac:dyDescent="0.25">
      <c r="AH3321" s="75"/>
      <c r="AK3321" s="75"/>
    </row>
    <row r="3322" spans="34:37" x14ac:dyDescent="0.25">
      <c r="AH3322" s="75"/>
      <c r="AK3322" s="75"/>
    </row>
    <row r="3323" spans="34:37" x14ac:dyDescent="0.25">
      <c r="AH3323" s="75"/>
      <c r="AK3323" s="75"/>
    </row>
    <row r="3324" spans="34:37" x14ac:dyDescent="0.25">
      <c r="AH3324" s="75"/>
      <c r="AK3324" s="75"/>
    </row>
    <row r="3325" spans="34:37" x14ac:dyDescent="0.25">
      <c r="AH3325" s="75"/>
      <c r="AK3325" s="75"/>
    </row>
    <row r="3326" spans="34:37" x14ac:dyDescent="0.25">
      <c r="AH3326" s="75"/>
      <c r="AK3326" s="75"/>
    </row>
    <row r="3327" spans="34:37" x14ac:dyDescent="0.25">
      <c r="AH3327" s="75"/>
      <c r="AK3327" s="75"/>
    </row>
    <row r="3328" spans="34:37" x14ac:dyDescent="0.25">
      <c r="AH3328" s="75"/>
      <c r="AK3328" s="75"/>
    </row>
    <row r="3329" spans="34:37" x14ac:dyDescent="0.25">
      <c r="AH3329" s="75"/>
      <c r="AK3329" s="75"/>
    </row>
    <row r="3330" spans="34:37" x14ac:dyDescent="0.25">
      <c r="AH3330" s="75"/>
      <c r="AK3330" s="75"/>
    </row>
    <row r="3331" spans="34:37" x14ac:dyDescent="0.25">
      <c r="AH3331" s="75"/>
      <c r="AK3331" s="75"/>
    </row>
    <row r="3332" spans="34:37" x14ac:dyDescent="0.25">
      <c r="AH3332" s="75"/>
      <c r="AK3332" s="75"/>
    </row>
    <row r="3333" spans="34:37" x14ac:dyDescent="0.25">
      <c r="AH3333" s="75"/>
      <c r="AK3333" s="75"/>
    </row>
    <row r="3334" spans="34:37" x14ac:dyDescent="0.25">
      <c r="AH3334" s="75"/>
      <c r="AK3334" s="75"/>
    </row>
    <row r="3335" spans="34:37" x14ac:dyDescent="0.25">
      <c r="AH3335" s="75"/>
      <c r="AK3335" s="75"/>
    </row>
    <row r="3336" spans="34:37" x14ac:dyDescent="0.25">
      <c r="AH3336" s="75"/>
      <c r="AK3336" s="75"/>
    </row>
    <row r="3337" spans="34:37" x14ac:dyDescent="0.25">
      <c r="AH3337" s="75"/>
      <c r="AK3337" s="75"/>
    </row>
    <row r="3338" spans="34:37" x14ac:dyDescent="0.25">
      <c r="AH3338" s="75"/>
      <c r="AK3338" s="75"/>
    </row>
    <row r="3339" spans="34:37" x14ac:dyDescent="0.25">
      <c r="AH3339" s="75"/>
      <c r="AK3339" s="75"/>
    </row>
    <row r="3340" spans="34:37" x14ac:dyDescent="0.25">
      <c r="AH3340" s="75"/>
      <c r="AK3340" s="75"/>
    </row>
    <row r="3341" spans="34:37" x14ac:dyDescent="0.25">
      <c r="AH3341" s="75"/>
      <c r="AK3341" s="75"/>
    </row>
    <row r="3342" spans="34:37" x14ac:dyDescent="0.25">
      <c r="AH3342" s="75"/>
      <c r="AK3342" s="75"/>
    </row>
    <row r="3343" spans="34:37" x14ac:dyDescent="0.25">
      <c r="AH3343" s="75"/>
      <c r="AK3343" s="75"/>
    </row>
    <row r="3344" spans="34:37" x14ac:dyDescent="0.25">
      <c r="AH3344" s="75"/>
      <c r="AK3344" s="75"/>
    </row>
    <row r="3345" spans="34:37" x14ac:dyDescent="0.25">
      <c r="AH3345" s="75"/>
      <c r="AK3345" s="75"/>
    </row>
    <row r="3346" spans="34:37" x14ac:dyDescent="0.25">
      <c r="AH3346" s="75"/>
      <c r="AK3346" s="75"/>
    </row>
    <row r="3347" spans="34:37" x14ac:dyDescent="0.25">
      <c r="AH3347" s="75"/>
      <c r="AK3347" s="75"/>
    </row>
    <row r="3348" spans="34:37" x14ac:dyDescent="0.25">
      <c r="AH3348" s="75"/>
      <c r="AK3348" s="75"/>
    </row>
    <row r="3349" spans="34:37" x14ac:dyDescent="0.25">
      <c r="AH3349" s="75"/>
      <c r="AK3349" s="75"/>
    </row>
    <row r="3350" spans="34:37" x14ac:dyDescent="0.25">
      <c r="AH3350" s="75"/>
      <c r="AK3350" s="75"/>
    </row>
    <row r="3351" spans="34:37" x14ac:dyDescent="0.25">
      <c r="AH3351" s="75"/>
      <c r="AK3351" s="75"/>
    </row>
    <row r="3352" spans="34:37" x14ac:dyDescent="0.25">
      <c r="AH3352" s="75"/>
      <c r="AK3352" s="75"/>
    </row>
    <row r="3353" spans="34:37" x14ac:dyDescent="0.25">
      <c r="AH3353" s="75"/>
      <c r="AK3353" s="75"/>
    </row>
    <row r="3354" spans="34:37" x14ac:dyDescent="0.25">
      <c r="AH3354" s="75"/>
      <c r="AK3354" s="75"/>
    </row>
    <row r="3355" spans="34:37" x14ac:dyDescent="0.25">
      <c r="AH3355" s="75"/>
      <c r="AK3355" s="75"/>
    </row>
    <row r="3356" spans="34:37" x14ac:dyDescent="0.25">
      <c r="AH3356" s="75"/>
      <c r="AK3356" s="75"/>
    </row>
    <row r="3357" spans="34:37" x14ac:dyDescent="0.25">
      <c r="AH3357" s="75"/>
      <c r="AK3357" s="75"/>
    </row>
    <row r="3358" spans="34:37" x14ac:dyDescent="0.25">
      <c r="AH3358" s="75"/>
      <c r="AK3358" s="75"/>
    </row>
    <row r="3359" spans="34:37" x14ac:dyDescent="0.25">
      <c r="AH3359" s="75"/>
      <c r="AK3359" s="75"/>
    </row>
    <row r="3360" spans="34:37" x14ac:dyDescent="0.25">
      <c r="AH3360" s="75"/>
      <c r="AK3360" s="75"/>
    </row>
    <row r="3361" spans="34:37" x14ac:dyDescent="0.25">
      <c r="AH3361" s="75"/>
      <c r="AK3361" s="75"/>
    </row>
    <row r="3362" spans="34:37" x14ac:dyDescent="0.25">
      <c r="AH3362" s="75"/>
      <c r="AK3362" s="75"/>
    </row>
    <row r="3363" spans="34:37" x14ac:dyDescent="0.25">
      <c r="AH3363" s="75"/>
      <c r="AK3363" s="75"/>
    </row>
    <row r="3364" spans="34:37" x14ac:dyDescent="0.25">
      <c r="AH3364" s="75"/>
      <c r="AK3364" s="75"/>
    </row>
    <row r="3365" spans="34:37" x14ac:dyDescent="0.25">
      <c r="AH3365" s="75"/>
      <c r="AK3365" s="75"/>
    </row>
    <row r="3366" spans="34:37" x14ac:dyDescent="0.25">
      <c r="AH3366" s="75"/>
      <c r="AK3366" s="75"/>
    </row>
    <row r="3367" spans="34:37" x14ac:dyDescent="0.25">
      <c r="AH3367" s="75"/>
      <c r="AK3367" s="75"/>
    </row>
    <row r="3368" spans="34:37" x14ac:dyDescent="0.25">
      <c r="AH3368" s="75"/>
      <c r="AK3368" s="75"/>
    </row>
    <row r="3369" spans="34:37" x14ac:dyDescent="0.25">
      <c r="AH3369" s="75"/>
      <c r="AK3369" s="75"/>
    </row>
    <row r="3370" spans="34:37" x14ac:dyDescent="0.25">
      <c r="AH3370" s="75"/>
      <c r="AK3370" s="75"/>
    </row>
    <row r="3371" spans="34:37" x14ac:dyDescent="0.25">
      <c r="AH3371" s="75"/>
      <c r="AK3371" s="75"/>
    </row>
    <row r="3372" spans="34:37" x14ac:dyDescent="0.25">
      <c r="AH3372" s="75"/>
      <c r="AK3372" s="75"/>
    </row>
    <row r="3373" spans="34:37" x14ac:dyDescent="0.25">
      <c r="AH3373" s="75"/>
      <c r="AK3373" s="75"/>
    </row>
    <row r="3374" spans="34:37" x14ac:dyDescent="0.25">
      <c r="AH3374" s="75"/>
      <c r="AK3374" s="75"/>
    </row>
    <row r="3375" spans="34:37" x14ac:dyDescent="0.25">
      <c r="AH3375" s="75"/>
      <c r="AK3375" s="75"/>
    </row>
    <row r="3376" spans="34:37" x14ac:dyDescent="0.25">
      <c r="AH3376" s="75"/>
      <c r="AK3376" s="75"/>
    </row>
    <row r="3377" spans="34:37" x14ac:dyDescent="0.25">
      <c r="AH3377" s="75"/>
      <c r="AK3377" s="75"/>
    </row>
    <row r="3378" spans="34:37" x14ac:dyDescent="0.25">
      <c r="AH3378" s="75"/>
      <c r="AK3378" s="75"/>
    </row>
    <row r="3379" spans="34:37" x14ac:dyDescent="0.25">
      <c r="AH3379" s="75"/>
      <c r="AK3379" s="75"/>
    </row>
    <row r="3380" spans="34:37" x14ac:dyDescent="0.25">
      <c r="AH3380" s="75"/>
      <c r="AK3380" s="75"/>
    </row>
    <row r="3381" spans="34:37" x14ac:dyDescent="0.25">
      <c r="AH3381" s="75"/>
      <c r="AK3381" s="75"/>
    </row>
    <row r="3382" spans="34:37" x14ac:dyDescent="0.25">
      <c r="AH3382" s="75"/>
      <c r="AK3382" s="75"/>
    </row>
    <row r="3383" spans="34:37" x14ac:dyDescent="0.25">
      <c r="AH3383" s="75"/>
      <c r="AK3383" s="75"/>
    </row>
    <row r="3384" spans="34:37" x14ac:dyDescent="0.25">
      <c r="AH3384" s="75"/>
      <c r="AK3384" s="75"/>
    </row>
    <row r="3385" spans="34:37" x14ac:dyDescent="0.25">
      <c r="AH3385" s="75"/>
      <c r="AK3385" s="75"/>
    </row>
    <row r="3386" spans="34:37" x14ac:dyDescent="0.25">
      <c r="AH3386" s="75"/>
      <c r="AK3386" s="75"/>
    </row>
    <row r="3387" spans="34:37" x14ac:dyDescent="0.25">
      <c r="AH3387" s="75"/>
      <c r="AK3387" s="75"/>
    </row>
    <row r="3388" spans="34:37" x14ac:dyDescent="0.25">
      <c r="AH3388" s="75"/>
      <c r="AK3388" s="75"/>
    </row>
    <row r="3389" spans="34:37" x14ac:dyDescent="0.25">
      <c r="AH3389" s="75"/>
      <c r="AK3389" s="75"/>
    </row>
    <row r="3390" spans="34:37" x14ac:dyDescent="0.25">
      <c r="AH3390" s="75"/>
      <c r="AK3390" s="75"/>
    </row>
    <row r="3391" spans="34:37" x14ac:dyDescent="0.25">
      <c r="AH3391" s="75"/>
      <c r="AK3391" s="75"/>
    </row>
    <row r="3392" spans="34:37" x14ac:dyDescent="0.25">
      <c r="AH3392" s="75"/>
      <c r="AK3392" s="75"/>
    </row>
    <row r="3393" spans="34:37" x14ac:dyDescent="0.25">
      <c r="AH3393" s="75"/>
      <c r="AK3393" s="75"/>
    </row>
    <row r="3394" spans="34:37" x14ac:dyDescent="0.25">
      <c r="AH3394" s="75"/>
      <c r="AK3394" s="75"/>
    </row>
    <row r="3395" spans="34:37" x14ac:dyDescent="0.25">
      <c r="AH3395" s="75"/>
      <c r="AK3395" s="75"/>
    </row>
    <row r="3396" spans="34:37" x14ac:dyDescent="0.25">
      <c r="AH3396" s="75"/>
      <c r="AK3396" s="75"/>
    </row>
    <row r="3397" spans="34:37" x14ac:dyDescent="0.25">
      <c r="AH3397" s="75"/>
      <c r="AK3397" s="75"/>
    </row>
    <row r="3398" spans="34:37" x14ac:dyDescent="0.25">
      <c r="AH3398" s="75"/>
      <c r="AK3398" s="75"/>
    </row>
    <row r="3399" spans="34:37" x14ac:dyDescent="0.25">
      <c r="AH3399" s="75"/>
      <c r="AK3399" s="75"/>
    </row>
    <row r="3400" spans="34:37" x14ac:dyDescent="0.25">
      <c r="AH3400" s="75"/>
      <c r="AK3400" s="75"/>
    </row>
    <row r="3401" spans="34:37" x14ac:dyDescent="0.25">
      <c r="AH3401" s="75"/>
      <c r="AK3401" s="75"/>
    </row>
    <row r="3402" spans="34:37" x14ac:dyDescent="0.25">
      <c r="AH3402" s="75"/>
      <c r="AK3402" s="75"/>
    </row>
    <row r="3403" spans="34:37" x14ac:dyDescent="0.25">
      <c r="AH3403" s="75"/>
      <c r="AK3403" s="75"/>
    </row>
    <row r="3404" spans="34:37" x14ac:dyDescent="0.25">
      <c r="AH3404" s="75"/>
      <c r="AK3404" s="75"/>
    </row>
    <row r="3405" spans="34:37" x14ac:dyDescent="0.25">
      <c r="AH3405" s="75"/>
      <c r="AK3405" s="75"/>
    </row>
    <row r="3406" spans="34:37" x14ac:dyDescent="0.25">
      <c r="AH3406" s="75"/>
      <c r="AK3406" s="75"/>
    </row>
    <row r="3407" spans="34:37" x14ac:dyDescent="0.25">
      <c r="AH3407" s="75"/>
      <c r="AK3407" s="75"/>
    </row>
    <row r="3408" spans="34:37" x14ac:dyDescent="0.25">
      <c r="AH3408" s="75"/>
      <c r="AK3408" s="75"/>
    </row>
    <row r="3409" spans="34:37" x14ac:dyDescent="0.25">
      <c r="AH3409" s="75"/>
      <c r="AK3409" s="75"/>
    </row>
    <row r="3410" spans="34:37" x14ac:dyDescent="0.25">
      <c r="AH3410" s="75"/>
      <c r="AK3410" s="75"/>
    </row>
    <row r="3411" spans="34:37" x14ac:dyDescent="0.25">
      <c r="AH3411" s="75"/>
      <c r="AK3411" s="75"/>
    </row>
    <row r="3412" spans="34:37" x14ac:dyDescent="0.25">
      <c r="AH3412" s="75"/>
      <c r="AK3412" s="75"/>
    </row>
    <row r="3413" spans="34:37" x14ac:dyDescent="0.25">
      <c r="AH3413" s="75"/>
      <c r="AK3413" s="75"/>
    </row>
    <row r="3414" spans="34:37" x14ac:dyDescent="0.25">
      <c r="AH3414" s="75"/>
      <c r="AK3414" s="75"/>
    </row>
    <row r="3415" spans="34:37" x14ac:dyDescent="0.25">
      <c r="AH3415" s="75"/>
      <c r="AK3415" s="75"/>
    </row>
    <row r="3416" spans="34:37" x14ac:dyDescent="0.25">
      <c r="AH3416" s="75"/>
      <c r="AK3416" s="75"/>
    </row>
    <row r="3417" spans="34:37" x14ac:dyDescent="0.25">
      <c r="AH3417" s="75"/>
      <c r="AK3417" s="75"/>
    </row>
    <row r="3418" spans="34:37" x14ac:dyDescent="0.25">
      <c r="AH3418" s="75"/>
      <c r="AK3418" s="75"/>
    </row>
    <row r="3419" spans="34:37" x14ac:dyDescent="0.25">
      <c r="AH3419" s="75"/>
      <c r="AK3419" s="75"/>
    </row>
    <row r="3420" spans="34:37" x14ac:dyDescent="0.25">
      <c r="AH3420" s="75"/>
      <c r="AK3420" s="75"/>
    </row>
    <row r="3421" spans="34:37" x14ac:dyDescent="0.25">
      <c r="AH3421" s="75"/>
      <c r="AK3421" s="75"/>
    </row>
    <row r="3422" spans="34:37" x14ac:dyDescent="0.25">
      <c r="AH3422" s="75"/>
      <c r="AK3422" s="75"/>
    </row>
    <row r="3423" spans="34:37" x14ac:dyDescent="0.25">
      <c r="AH3423" s="75"/>
      <c r="AK3423" s="75"/>
    </row>
    <row r="3424" spans="34:37" x14ac:dyDescent="0.25">
      <c r="AH3424" s="75"/>
      <c r="AK3424" s="75"/>
    </row>
    <row r="3425" spans="34:37" x14ac:dyDescent="0.25">
      <c r="AH3425" s="75"/>
      <c r="AK3425" s="75"/>
    </row>
    <row r="3426" spans="34:37" x14ac:dyDescent="0.25">
      <c r="AH3426" s="75"/>
      <c r="AK3426" s="75"/>
    </row>
    <row r="3427" spans="34:37" x14ac:dyDescent="0.25">
      <c r="AH3427" s="75"/>
      <c r="AK3427" s="75"/>
    </row>
    <row r="3428" spans="34:37" x14ac:dyDescent="0.25">
      <c r="AH3428" s="75"/>
      <c r="AK3428" s="75"/>
    </row>
    <row r="3429" spans="34:37" x14ac:dyDescent="0.25">
      <c r="AH3429" s="75"/>
      <c r="AK3429" s="75"/>
    </row>
    <row r="3430" spans="34:37" x14ac:dyDescent="0.25">
      <c r="AH3430" s="75"/>
      <c r="AK3430" s="75"/>
    </row>
    <row r="3431" spans="34:37" x14ac:dyDescent="0.25">
      <c r="AH3431" s="75"/>
      <c r="AK3431" s="75"/>
    </row>
    <row r="3432" spans="34:37" x14ac:dyDescent="0.25">
      <c r="AH3432" s="75"/>
      <c r="AK3432" s="75"/>
    </row>
    <row r="3433" spans="34:37" x14ac:dyDescent="0.25">
      <c r="AH3433" s="75"/>
      <c r="AK3433" s="75"/>
    </row>
    <row r="3434" spans="34:37" x14ac:dyDescent="0.25">
      <c r="AH3434" s="75"/>
      <c r="AK3434" s="75"/>
    </row>
    <row r="3435" spans="34:37" x14ac:dyDescent="0.25">
      <c r="AH3435" s="75"/>
      <c r="AK3435" s="75"/>
    </row>
    <row r="3436" spans="34:37" x14ac:dyDescent="0.25">
      <c r="AH3436" s="75"/>
      <c r="AK3436" s="75"/>
    </row>
    <row r="3437" spans="34:37" x14ac:dyDescent="0.25">
      <c r="AH3437" s="75"/>
      <c r="AK3437" s="75"/>
    </row>
    <row r="3438" spans="34:37" x14ac:dyDescent="0.25">
      <c r="AH3438" s="75"/>
      <c r="AK3438" s="75"/>
    </row>
    <row r="3439" spans="34:37" x14ac:dyDescent="0.25">
      <c r="AH3439" s="75"/>
      <c r="AK3439" s="75"/>
    </row>
    <row r="3440" spans="34:37" x14ac:dyDescent="0.25">
      <c r="AH3440" s="75"/>
      <c r="AK3440" s="75"/>
    </row>
    <row r="3441" spans="34:37" x14ac:dyDescent="0.25">
      <c r="AH3441" s="75"/>
      <c r="AK3441" s="75"/>
    </row>
    <row r="3442" spans="34:37" x14ac:dyDescent="0.25">
      <c r="AH3442" s="75"/>
      <c r="AK3442" s="75"/>
    </row>
    <row r="3443" spans="34:37" x14ac:dyDescent="0.25">
      <c r="AH3443" s="75"/>
      <c r="AK3443" s="75"/>
    </row>
    <row r="3444" spans="34:37" x14ac:dyDescent="0.25">
      <c r="AH3444" s="75"/>
      <c r="AK3444" s="75"/>
    </row>
    <row r="3445" spans="34:37" x14ac:dyDescent="0.25">
      <c r="AH3445" s="75"/>
      <c r="AK3445" s="75"/>
    </row>
    <row r="3446" spans="34:37" x14ac:dyDescent="0.25">
      <c r="AH3446" s="75"/>
      <c r="AK3446" s="75"/>
    </row>
    <row r="3447" spans="34:37" x14ac:dyDescent="0.25">
      <c r="AH3447" s="75"/>
      <c r="AK3447" s="75"/>
    </row>
    <row r="3448" spans="34:37" x14ac:dyDescent="0.25">
      <c r="AH3448" s="75"/>
      <c r="AK3448" s="75"/>
    </row>
    <row r="3449" spans="34:37" x14ac:dyDescent="0.25">
      <c r="AH3449" s="75"/>
      <c r="AK3449" s="75"/>
    </row>
    <row r="3450" spans="34:37" x14ac:dyDescent="0.25">
      <c r="AH3450" s="75"/>
      <c r="AK3450" s="75"/>
    </row>
    <row r="3451" spans="34:37" x14ac:dyDescent="0.25">
      <c r="AH3451" s="75"/>
      <c r="AK3451" s="75"/>
    </row>
    <row r="3452" spans="34:37" x14ac:dyDescent="0.25">
      <c r="AH3452" s="75"/>
      <c r="AK3452" s="75"/>
    </row>
    <row r="3453" spans="34:37" x14ac:dyDescent="0.25">
      <c r="AH3453" s="75"/>
      <c r="AK3453" s="75"/>
    </row>
    <row r="3454" spans="34:37" x14ac:dyDescent="0.25">
      <c r="AH3454" s="75"/>
      <c r="AK3454" s="75"/>
    </row>
    <row r="3455" spans="34:37" x14ac:dyDescent="0.25">
      <c r="AH3455" s="75"/>
      <c r="AK3455" s="75"/>
    </row>
    <row r="3456" spans="34:37" x14ac:dyDescent="0.25">
      <c r="AH3456" s="75"/>
      <c r="AK3456" s="75"/>
    </row>
    <row r="3457" spans="34:37" x14ac:dyDescent="0.25">
      <c r="AH3457" s="75"/>
      <c r="AK3457" s="75"/>
    </row>
    <row r="3458" spans="34:37" x14ac:dyDescent="0.25">
      <c r="AH3458" s="75"/>
      <c r="AK3458" s="75"/>
    </row>
    <row r="3459" spans="34:37" x14ac:dyDescent="0.25">
      <c r="AH3459" s="75"/>
      <c r="AK3459" s="75"/>
    </row>
    <row r="3460" spans="34:37" x14ac:dyDescent="0.25">
      <c r="AH3460" s="75"/>
      <c r="AK3460" s="75"/>
    </row>
    <row r="3461" spans="34:37" x14ac:dyDescent="0.25">
      <c r="AH3461" s="75"/>
      <c r="AK3461" s="75"/>
    </row>
    <row r="3462" spans="34:37" x14ac:dyDescent="0.25">
      <c r="AH3462" s="75"/>
      <c r="AK3462" s="75"/>
    </row>
    <row r="3463" spans="34:37" x14ac:dyDescent="0.25">
      <c r="AH3463" s="75"/>
      <c r="AK3463" s="75"/>
    </row>
    <row r="3464" spans="34:37" x14ac:dyDescent="0.25">
      <c r="AH3464" s="75"/>
      <c r="AK3464" s="75"/>
    </row>
    <row r="3465" spans="34:37" x14ac:dyDescent="0.25">
      <c r="AH3465" s="75"/>
      <c r="AK3465" s="75"/>
    </row>
    <row r="3466" spans="34:37" x14ac:dyDescent="0.25">
      <c r="AH3466" s="75"/>
      <c r="AK3466" s="75"/>
    </row>
    <row r="3467" spans="34:37" x14ac:dyDescent="0.25">
      <c r="AH3467" s="75"/>
      <c r="AK3467" s="75"/>
    </row>
    <row r="3468" spans="34:37" x14ac:dyDescent="0.25">
      <c r="AH3468" s="75"/>
      <c r="AK3468" s="75"/>
    </row>
    <row r="3469" spans="34:37" x14ac:dyDescent="0.25">
      <c r="AH3469" s="75"/>
      <c r="AK3469" s="75"/>
    </row>
    <row r="3470" spans="34:37" x14ac:dyDescent="0.25">
      <c r="AH3470" s="75"/>
      <c r="AK3470" s="75"/>
    </row>
    <row r="3471" spans="34:37" x14ac:dyDescent="0.25">
      <c r="AH3471" s="75"/>
      <c r="AK3471" s="75"/>
    </row>
    <row r="3472" spans="34:37" x14ac:dyDescent="0.25">
      <c r="AH3472" s="75"/>
      <c r="AK3472" s="75"/>
    </row>
    <row r="3473" spans="34:37" x14ac:dyDescent="0.25">
      <c r="AH3473" s="75"/>
      <c r="AK3473" s="75"/>
    </row>
    <row r="3474" spans="34:37" x14ac:dyDescent="0.25">
      <c r="AH3474" s="75"/>
      <c r="AK3474" s="75"/>
    </row>
    <row r="3475" spans="34:37" x14ac:dyDescent="0.25">
      <c r="AH3475" s="75"/>
      <c r="AK3475" s="75"/>
    </row>
    <row r="3476" spans="34:37" x14ac:dyDescent="0.25">
      <c r="AH3476" s="75"/>
      <c r="AK3476" s="75"/>
    </row>
    <row r="3477" spans="34:37" x14ac:dyDescent="0.25">
      <c r="AH3477" s="75"/>
      <c r="AK3477" s="75"/>
    </row>
    <row r="3478" spans="34:37" x14ac:dyDescent="0.25">
      <c r="AH3478" s="75"/>
      <c r="AK3478" s="75"/>
    </row>
    <row r="3479" spans="34:37" x14ac:dyDescent="0.25">
      <c r="AH3479" s="75"/>
      <c r="AK3479" s="75"/>
    </row>
    <row r="3480" spans="34:37" x14ac:dyDescent="0.25">
      <c r="AH3480" s="75"/>
      <c r="AK3480" s="75"/>
    </row>
    <row r="3481" spans="34:37" x14ac:dyDescent="0.25">
      <c r="AH3481" s="75"/>
      <c r="AK3481" s="75"/>
    </row>
    <row r="3482" spans="34:37" x14ac:dyDescent="0.25">
      <c r="AH3482" s="75"/>
      <c r="AK3482" s="75"/>
    </row>
    <row r="3483" spans="34:37" x14ac:dyDescent="0.25">
      <c r="AH3483" s="75"/>
      <c r="AK3483" s="75"/>
    </row>
    <row r="3484" spans="34:37" x14ac:dyDescent="0.25">
      <c r="AH3484" s="75"/>
      <c r="AK3484" s="75"/>
    </row>
    <row r="3485" spans="34:37" x14ac:dyDescent="0.25">
      <c r="AH3485" s="75"/>
      <c r="AK3485" s="75"/>
    </row>
    <row r="3486" spans="34:37" x14ac:dyDescent="0.25">
      <c r="AH3486" s="75"/>
      <c r="AK3486" s="75"/>
    </row>
    <row r="3487" spans="34:37" x14ac:dyDescent="0.25">
      <c r="AH3487" s="75"/>
      <c r="AK3487" s="75"/>
    </row>
    <row r="3488" spans="34:37" x14ac:dyDescent="0.25">
      <c r="AH3488" s="75"/>
      <c r="AK3488" s="75"/>
    </row>
    <row r="3489" spans="34:37" x14ac:dyDescent="0.25">
      <c r="AH3489" s="75"/>
      <c r="AK3489" s="75"/>
    </row>
    <row r="3490" spans="34:37" x14ac:dyDescent="0.25">
      <c r="AH3490" s="75"/>
      <c r="AK3490" s="75"/>
    </row>
    <row r="3491" spans="34:37" x14ac:dyDescent="0.25">
      <c r="AH3491" s="75"/>
      <c r="AK3491" s="75"/>
    </row>
    <row r="3492" spans="34:37" x14ac:dyDescent="0.25">
      <c r="AH3492" s="75"/>
      <c r="AK3492" s="75"/>
    </row>
    <row r="3493" spans="34:37" x14ac:dyDescent="0.25">
      <c r="AH3493" s="75"/>
      <c r="AK3493" s="75"/>
    </row>
    <row r="3494" spans="34:37" x14ac:dyDescent="0.25">
      <c r="AH3494" s="75"/>
      <c r="AK3494" s="75"/>
    </row>
    <row r="3495" spans="34:37" x14ac:dyDescent="0.25">
      <c r="AH3495" s="75"/>
      <c r="AK3495" s="75"/>
    </row>
    <row r="3496" spans="34:37" x14ac:dyDescent="0.25">
      <c r="AH3496" s="75"/>
      <c r="AK3496" s="75"/>
    </row>
    <row r="3497" spans="34:37" x14ac:dyDescent="0.25">
      <c r="AH3497" s="75"/>
      <c r="AK3497" s="75"/>
    </row>
    <row r="3498" spans="34:37" x14ac:dyDescent="0.25">
      <c r="AH3498" s="75"/>
      <c r="AK3498" s="75"/>
    </row>
    <row r="3499" spans="34:37" x14ac:dyDescent="0.25">
      <c r="AH3499" s="75"/>
      <c r="AK3499" s="75"/>
    </row>
    <row r="3500" spans="34:37" x14ac:dyDescent="0.25">
      <c r="AH3500" s="75"/>
      <c r="AK3500" s="75"/>
    </row>
    <row r="3501" spans="34:37" x14ac:dyDescent="0.25">
      <c r="AH3501" s="75"/>
      <c r="AK3501" s="75"/>
    </row>
    <row r="3502" spans="34:37" x14ac:dyDescent="0.25">
      <c r="AH3502" s="75"/>
      <c r="AK3502" s="75"/>
    </row>
    <row r="3503" spans="34:37" x14ac:dyDescent="0.25">
      <c r="AH3503" s="75"/>
      <c r="AK3503" s="75"/>
    </row>
    <row r="3504" spans="34:37" x14ac:dyDescent="0.25">
      <c r="AH3504" s="75"/>
      <c r="AK3504" s="75"/>
    </row>
    <row r="3505" spans="34:37" x14ac:dyDescent="0.25">
      <c r="AH3505" s="75"/>
      <c r="AK3505" s="75"/>
    </row>
    <row r="3506" spans="34:37" x14ac:dyDescent="0.25">
      <c r="AH3506" s="75"/>
      <c r="AK3506" s="75"/>
    </row>
    <row r="3507" spans="34:37" x14ac:dyDescent="0.25">
      <c r="AH3507" s="75"/>
      <c r="AK3507" s="75"/>
    </row>
    <row r="3508" spans="34:37" x14ac:dyDescent="0.25">
      <c r="AH3508" s="75"/>
      <c r="AK3508" s="75"/>
    </row>
    <row r="3509" spans="34:37" x14ac:dyDescent="0.25">
      <c r="AH3509" s="75"/>
      <c r="AK3509" s="75"/>
    </row>
    <row r="3510" spans="34:37" x14ac:dyDescent="0.25">
      <c r="AH3510" s="75"/>
      <c r="AK3510" s="75"/>
    </row>
    <row r="3511" spans="34:37" x14ac:dyDescent="0.25">
      <c r="AH3511" s="75"/>
      <c r="AK3511" s="75"/>
    </row>
    <row r="3512" spans="34:37" x14ac:dyDescent="0.25">
      <c r="AH3512" s="75"/>
      <c r="AK3512" s="75"/>
    </row>
    <row r="3513" spans="34:37" x14ac:dyDescent="0.25">
      <c r="AH3513" s="75"/>
      <c r="AK3513" s="75"/>
    </row>
    <row r="3514" spans="34:37" x14ac:dyDescent="0.25">
      <c r="AH3514" s="75"/>
      <c r="AK3514" s="75"/>
    </row>
    <row r="3515" spans="34:37" x14ac:dyDescent="0.25">
      <c r="AH3515" s="75"/>
      <c r="AK3515" s="75"/>
    </row>
    <row r="3516" spans="34:37" x14ac:dyDescent="0.25">
      <c r="AH3516" s="75"/>
      <c r="AK3516" s="75"/>
    </row>
    <row r="3517" spans="34:37" x14ac:dyDescent="0.25">
      <c r="AH3517" s="75"/>
      <c r="AK3517" s="75"/>
    </row>
    <row r="3518" spans="34:37" x14ac:dyDescent="0.25">
      <c r="AH3518" s="75"/>
      <c r="AK3518" s="75"/>
    </row>
    <row r="3519" spans="34:37" x14ac:dyDescent="0.25">
      <c r="AH3519" s="75"/>
      <c r="AK3519" s="75"/>
    </row>
    <row r="3520" spans="34:37" x14ac:dyDescent="0.25">
      <c r="AH3520" s="75"/>
      <c r="AK3520" s="75"/>
    </row>
    <row r="3521" spans="34:37" x14ac:dyDescent="0.25">
      <c r="AH3521" s="75"/>
      <c r="AK3521" s="75"/>
    </row>
    <row r="3522" spans="34:37" x14ac:dyDescent="0.25">
      <c r="AH3522" s="75"/>
      <c r="AK3522" s="75"/>
    </row>
    <row r="3523" spans="34:37" x14ac:dyDescent="0.25">
      <c r="AH3523" s="75"/>
      <c r="AK3523" s="75"/>
    </row>
    <row r="3524" spans="34:37" x14ac:dyDescent="0.25">
      <c r="AH3524" s="75"/>
      <c r="AK3524" s="75"/>
    </row>
    <row r="3525" spans="34:37" x14ac:dyDescent="0.25">
      <c r="AH3525" s="75"/>
      <c r="AK3525" s="75"/>
    </row>
    <row r="3526" spans="34:37" x14ac:dyDescent="0.25">
      <c r="AH3526" s="75"/>
      <c r="AK3526" s="75"/>
    </row>
    <row r="3527" spans="34:37" x14ac:dyDescent="0.25">
      <c r="AH3527" s="75"/>
      <c r="AK3527" s="75"/>
    </row>
    <row r="3528" spans="34:37" x14ac:dyDescent="0.25">
      <c r="AH3528" s="75"/>
      <c r="AK3528" s="75"/>
    </row>
    <row r="3529" spans="34:37" x14ac:dyDescent="0.25">
      <c r="AH3529" s="75"/>
      <c r="AK3529" s="75"/>
    </row>
    <row r="3530" spans="34:37" x14ac:dyDescent="0.25">
      <c r="AH3530" s="75"/>
      <c r="AK3530" s="75"/>
    </row>
    <row r="3531" spans="34:37" x14ac:dyDescent="0.25">
      <c r="AH3531" s="75"/>
      <c r="AK3531" s="75"/>
    </row>
    <row r="3532" spans="34:37" x14ac:dyDescent="0.25">
      <c r="AH3532" s="75"/>
      <c r="AK3532" s="75"/>
    </row>
    <row r="3533" spans="34:37" x14ac:dyDescent="0.25">
      <c r="AH3533" s="75"/>
      <c r="AK3533" s="75"/>
    </row>
    <row r="3534" spans="34:37" x14ac:dyDescent="0.25">
      <c r="AH3534" s="75"/>
      <c r="AK3534" s="75"/>
    </row>
    <row r="3535" spans="34:37" x14ac:dyDescent="0.25">
      <c r="AH3535" s="75"/>
      <c r="AK3535" s="75"/>
    </row>
    <row r="3536" spans="34:37" x14ac:dyDescent="0.25">
      <c r="AH3536" s="75"/>
      <c r="AK3536" s="75"/>
    </row>
    <row r="3537" spans="34:37" x14ac:dyDescent="0.25">
      <c r="AH3537" s="75"/>
      <c r="AK3537" s="75"/>
    </row>
    <row r="3538" spans="34:37" x14ac:dyDescent="0.25">
      <c r="AH3538" s="75"/>
      <c r="AK3538" s="75"/>
    </row>
    <row r="3539" spans="34:37" x14ac:dyDescent="0.25">
      <c r="AH3539" s="75"/>
      <c r="AK3539" s="75"/>
    </row>
    <row r="3540" spans="34:37" x14ac:dyDescent="0.25">
      <c r="AH3540" s="75"/>
      <c r="AK3540" s="75"/>
    </row>
    <row r="3541" spans="34:37" x14ac:dyDescent="0.25">
      <c r="AH3541" s="75"/>
      <c r="AK3541" s="75"/>
    </row>
    <row r="3542" spans="34:37" x14ac:dyDescent="0.25">
      <c r="AH3542" s="75"/>
      <c r="AK3542" s="75"/>
    </row>
    <row r="3543" spans="34:37" x14ac:dyDescent="0.25">
      <c r="AH3543" s="75"/>
      <c r="AK3543" s="75"/>
    </row>
    <row r="3544" spans="34:37" x14ac:dyDescent="0.25">
      <c r="AH3544" s="75"/>
      <c r="AK3544" s="75"/>
    </row>
    <row r="3545" spans="34:37" x14ac:dyDescent="0.25">
      <c r="AH3545" s="75"/>
      <c r="AK3545" s="75"/>
    </row>
    <row r="3546" spans="34:37" x14ac:dyDescent="0.25">
      <c r="AH3546" s="75"/>
      <c r="AK3546" s="75"/>
    </row>
    <row r="3547" spans="34:37" x14ac:dyDescent="0.25">
      <c r="AH3547" s="75"/>
      <c r="AK3547" s="75"/>
    </row>
    <row r="3548" spans="34:37" x14ac:dyDescent="0.25">
      <c r="AH3548" s="75"/>
      <c r="AK3548" s="75"/>
    </row>
    <row r="3549" spans="34:37" x14ac:dyDescent="0.25">
      <c r="AH3549" s="75"/>
      <c r="AK3549" s="75"/>
    </row>
    <row r="3550" spans="34:37" x14ac:dyDescent="0.25">
      <c r="AH3550" s="75"/>
      <c r="AK3550" s="75"/>
    </row>
    <row r="3551" spans="34:37" x14ac:dyDescent="0.25">
      <c r="AH3551" s="75"/>
      <c r="AK3551" s="75"/>
    </row>
    <row r="3552" spans="34:37" x14ac:dyDescent="0.25">
      <c r="AH3552" s="75"/>
      <c r="AK3552" s="75"/>
    </row>
    <row r="3553" spans="34:37" x14ac:dyDescent="0.25">
      <c r="AH3553" s="75"/>
      <c r="AK3553" s="75"/>
    </row>
    <row r="3554" spans="34:37" x14ac:dyDescent="0.25">
      <c r="AH3554" s="75"/>
      <c r="AK3554" s="75"/>
    </row>
    <row r="3555" spans="34:37" x14ac:dyDescent="0.25">
      <c r="AH3555" s="75"/>
      <c r="AK3555" s="75"/>
    </row>
    <row r="3556" spans="34:37" x14ac:dyDescent="0.25">
      <c r="AH3556" s="75"/>
      <c r="AK3556" s="75"/>
    </row>
    <row r="3557" spans="34:37" x14ac:dyDescent="0.25">
      <c r="AH3557" s="75"/>
      <c r="AK3557" s="75"/>
    </row>
    <row r="3558" spans="34:37" x14ac:dyDescent="0.25">
      <c r="AH3558" s="75"/>
      <c r="AK3558" s="75"/>
    </row>
    <row r="3559" spans="34:37" x14ac:dyDescent="0.25">
      <c r="AH3559" s="75"/>
      <c r="AK3559" s="75"/>
    </row>
    <row r="3560" spans="34:37" x14ac:dyDescent="0.25">
      <c r="AH3560" s="75"/>
      <c r="AK3560" s="75"/>
    </row>
    <row r="3561" spans="34:37" x14ac:dyDescent="0.25">
      <c r="AH3561" s="75"/>
      <c r="AK3561" s="75"/>
    </row>
    <row r="3562" spans="34:37" x14ac:dyDescent="0.25">
      <c r="AH3562" s="75"/>
      <c r="AK3562" s="75"/>
    </row>
    <row r="3563" spans="34:37" x14ac:dyDescent="0.25">
      <c r="AH3563" s="75"/>
      <c r="AK3563" s="75"/>
    </row>
    <row r="3564" spans="34:37" x14ac:dyDescent="0.25">
      <c r="AH3564" s="75"/>
      <c r="AK3564" s="75"/>
    </row>
    <row r="3565" spans="34:37" x14ac:dyDescent="0.25">
      <c r="AH3565" s="75"/>
      <c r="AK3565" s="75"/>
    </row>
    <row r="3566" spans="34:37" x14ac:dyDescent="0.25">
      <c r="AH3566" s="75"/>
      <c r="AK3566" s="75"/>
    </row>
    <row r="3567" spans="34:37" x14ac:dyDescent="0.25">
      <c r="AH3567" s="75"/>
      <c r="AK3567" s="75"/>
    </row>
    <row r="3568" spans="34:37" x14ac:dyDescent="0.25">
      <c r="AH3568" s="75"/>
      <c r="AK3568" s="75"/>
    </row>
    <row r="3569" spans="34:37" x14ac:dyDescent="0.25">
      <c r="AH3569" s="75"/>
      <c r="AK3569" s="75"/>
    </row>
    <row r="3570" spans="34:37" x14ac:dyDescent="0.25">
      <c r="AH3570" s="75"/>
      <c r="AK3570" s="75"/>
    </row>
    <row r="3571" spans="34:37" x14ac:dyDescent="0.25">
      <c r="AH3571" s="75"/>
      <c r="AK3571" s="75"/>
    </row>
    <row r="3572" spans="34:37" x14ac:dyDescent="0.25">
      <c r="AH3572" s="75"/>
      <c r="AK3572" s="75"/>
    </row>
    <row r="3573" spans="34:37" x14ac:dyDescent="0.25">
      <c r="AH3573" s="75"/>
      <c r="AK3573" s="75"/>
    </row>
    <row r="3574" spans="34:37" x14ac:dyDescent="0.25">
      <c r="AH3574" s="75"/>
      <c r="AK3574" s="75"/>
    </row>
    <row r="3575" spans="34:37" x14ac:dyDescent="0.25">
      <c r="AH3575" s="75"/>
      <c r="AK3575" s="75"/>
    </row>
    <row r="3576" spans="34:37" x14ac:dyDescent="0.25">
      <c r="AH3576" s="75"/>
      <c r="AK3576" s="75"/>
    </row>
    <row r="3577" spans="34:37" x14ac:dyDescent="0.25">
      <c r="AH3577" s="75"/>
      <c r="AK3577" s="75"/>
    </row>
    <row r="3578" spans="34:37" x14ac:dyDescent="0.25">
      <c r="AH3578" s="75"/>
      <c r="AK3578" s="75"/>
    </row>
    <row r="3579" spans="34:37" x14ac:dyDescent="0.25">
      <c r="AH3579" s="75"/>
      <c r="AK3579" s="75"/>
    </row>
    <row r="3580" spans="34:37" x14ac:dyDescent="0.25">
      <c r="AH3580" s="75"/>
      <c r="AK3580" s="75"/>
    </row>
    <row r="3581" spans="34:37" x14ac:dyDescent="0.25">
      <c r="AH3581" s="75"/>
      <c r="AK3581" s="75"/>
    </row>
    <row r="3582" spans="34:37" x14ac:dyDescent="0.25">
      <c r="AH3582" s="75"/>
      <c r="AK3582" s="75"/>
    </row>
    <row r="3583" spans="34:37" x14ac:dyDescent="0.25">
      <c r="AH3583" s="75"/>
      <c r="AK3583" s="75"/>
    </row>
    <row r="3584" spans="34:37" x14ac:dyDescent="0.25">
      <c r="AH3584" s="75"/>
      <c r="AK3584" s="75"/>
    </row>
    <row r="3585" spans="34:37" x14ac:dyDescent="0.25">
      <c r="AH3585" s="75"/>
      <c r="AK3585" s="75"/>
    </row>
    <row r="3586" spans="34:37" x14ac:dyDescent="0.25">
      <c r="AH3586" s="75"/>
      <c r="AK3586" s="75"/>
    </row>
    <row r="3587" spans="34:37" x14ac:dyDescent="0.25">
      <c r="AH3587" s="75"/>
      <c r="AK3587" s="75"/>
    </row>
    <row r="3588" spans="34:37" x14ac:dyDescent="0.25">
      <c r="AH3588" s="75"/>
      <c r="AK3588" s="75"/>
    </row>
    <row r="3589" spans="34:37" x14ac:dyDescent="0.25">
      <c r="AH3589" s="75"/>
      <c r="AK3589" s="75"/>
    </row>
    <row r="3590" spans="34:37" x14ac:dyDescent="0.25">
      <c r="AH3590" s="75"/>
      <c r="AK3590" s="75"/>
    </row>
    <row r="3591" spans="34:37" x14ac:dyDescent="0.25">
      <c r="AH3591" s="75"/>
      <c r="AK3591" s="75"/>
    </row>
    <row r="3592" spans="34:37" x14ac:dyDescent="0.25">
      <c r="AH3592" s="75"/>
      <c r="AK3592" s="75"/>
    </row>
    <row r="3593" spans="34:37" x14ac:dyDescent="0.25">
      <c r="AH3593" s="75"/>
      <c r="AK3593" s="75"/>
    </row>
    <row r="3594" spans="34:37" x14ac:dyDescent="0.25">
      <c r="AH3594" s="75"/>
      <c r="AK3594" s="75"/>
    </row>
    <row r="3595" spans="34:37" x14ac:dyDescent="0.25">
      <c r="AH3595" s="75"/>
      <c r="AK3595" s="75"/>
    </row>
    <row r="3596" spans="34:37" x14ac:dyDescent="0.25">
      <c r="AH3596" s="75"/>
      <c r="AK3596" s="75"/>
    </row>
    <row r="3597" spans="34:37" x14ac:dyDescent="0.25">
      <c r="AH3597" s="75"/>
      <c r="AK3597" s="75"/>
    </row>
    <row r="3598" spans="34:37" x14ac:dyDescent="0.25">
      <c r="AH3598" s="75"/>
      <c r="AK3598" s="75"/>
    </row>
    <row r="3599" spans="34:37" x14ac:dyDescent="0.25">
      <c r="AH3599" s="75"/>
      <c r="AK3599" s="75"/>
    </row>
    <row r="3600" spans="34:37" x14ac:dyDescent="0.25">
      <c r="AH3600" s="75"/>
      <c r="AK3600" s="75"/>
    </row>
    <row r="3601" spans="34:37" x14ac:dyDescent="0.25">
      <c r="AH3601" s="75"/>
      <c r="AK3601" s="75"/>
    </row>
    <row r="3602" spans="34:37" x14ac:dyDescent="0.25">
      <c r="AH3602" s="75"/>
      <c r="AK3602" s="75"/>
    </row>
    <row r="3603" spans="34:37" x14ac:dyDescent="0.25">
      <c r="AH3603" s="75"/>
      <c r="AK3603" s="75"/>
    </row>
    <row r="3604" spans="34:37" x14ac:dyDescent="0.25">
      <c r="AH3604" s="75"/>
      <c r="AK3604" s="75"/>
    </row>
    <row r="3605" spans="34:37" x14ac:dyDescent="0.25">
      <c r="AH3605" s="75"/>
      <c r="AK3605" s="75"/>
    </row>
    <row r="3606" spans="34:37" x14ac:dyDescent="0.25">
      <c r="AH3606" s="75"/>
      <c r="AK3606" s="75"/>
    </row>
    <row r="3607" spans="34:37" x14ac:dyDescent="0.25">
      <c r="AH3607" s="75"/>
      <c r="AK3607" s="75"/>
    </row>
    <row r="3608" spans="34:37" x14ac:dyDescent="0.25">
      <c r="AH3608" s="75"/>
      <c r="AK3608" s="75"/>
    </row>
    <row r="3609" spans="34:37" x14ac:dyDescent="0.25">
      <c r="AH3609" s="75"/>
      <c r="AK3609" s="75"/>
    </row>
    <row r="3610" spans="34:37" x14ac:dyDescent="0.25">
      <c r="AH3610" s="75"/>
      <c r="AK3610" s="75"/>
    </row>
    <row r="3611" spans="34:37" x14ac:dyDescent="0.25">
      <c r="AH3611" s="75"/>
      <c r="AK3611" s="75"/>
    </row>
    <row r="3612" spans="34:37" x14ac:dyDescent="0.25">
      <c r="AH3612" s="75"/>
      <c r="AK3612" s="75"/>
    </row>
    <row r="3613" spans="34:37" x14ac:dyDescent="0.25">
      <c r="AH3613" s="75"/>
      <c r="AK3613" s="75"/>
    </row>
    <row r="3614" spans="34:37" x14ac:dyDescent="0.25">
      <c r="AH3614" s="75"/>
      <c r="AK3614" s="75"/>
    </row>
    <row r="3615" spans="34:37" x14ac:dyDescent="0.25">
      <c r="AH3615" s="75"/>
      <c r="AK3615" s="75"/>
    </row>
    <row r="3616" spans="34:37" x14ac:dyDescent="0.25">
      <c r="AH3616" s="75"/>
      <c r="AK3616" s="75"/>
    </row>
    <row r="3617" spans="34:37" x14ac:dyDescent="0.25">
      <c r="AH3617" s="75"/>
      <c r="AK3617" s="75"/>
    </row>
    <row r="3618" spans="34:37" x14ac:dyDescent="0.25">
      <c r="AH3618" s="75"/>
      <c r="AK3618" s="75"/>
    </row>
    <row r="3619" spans="34:37" x14ac:dyDescent="0.25">
      <c r="AH3619" s="75"/>
      <c r="AK3619" s="75"/>
    </row>
    <row r="3620" spans="34:37" x14ac:dyDescent="0.25">
      <c r="AH3620" s="75"/>
      <c r="AK3620" s="75"/>
    </row>
    <row r="3621" spans="34:37" x14ac:dyDescent="0.25">
      <c r="AH3621" s="75"/>
      <c r="AK3621" s="75"/>
    </row>
    <row r="3622" spans="34:37" x14ac:dyDescent="0.25">
      <c r="AH3622" s="75"/>
      <c r="AK3622" s="75"/>
    </row>
    <row r="3623" spans="34:37" x14ac:dyDescent="0.25">
      <c r="AH3623" s="75"/>
      <c r="AK3623" s="75"/>
    </row>
    <row r="3624" spans="34:37" x14ac:dyDescent="0.25">
      <c r="AH3624" s="75"/>
      <c r="AK3624" s="75"/>
    </row>
    <row r="3625" spans="34:37" x14ac:dyDescent="0.25">
      <c r="AH3625" s="75"/>
      <c r="AK3625" s="75"/>
    </row>
    <row r="3626" spans="34:37" x14ac:dyDescent="0.25">
      <c r="AH3626" s="75"/>
      <c r="AK3626" s="75"/>
    </row>
    <row r="3627" spans="34:37" x14ac:dyDescent="0.25">
      <c r="AH3627" s="75"/>
      <c r="AK3627" s="75"/>
    </row>
    <row r="3628" spans="34:37" x14ac:dyDescent="0.25">
      <c r="AH3628" s="75"/>
      <c r="AK3628" s="75"/>
    </row>
    <row r="3629" spans="34:37" x14ac:dyDescent="0.25">
      <c r="AH3629" s="75"/>
      <c r="AK3629" s="75"/>
    </row>
    <row r="3630" spans="34:37" x14ac:dyDescent="0.25">
      <c r="AH3630" s="75"/>
      <c r="AK3630" s="75"/>
    </row>
    <row r="3631" spans="34:37" x14ac:dyDescent="0.25">
      <c r="AH3631" s="75"/>
      <c r="AK3631" s="75"/>
    </row>
    <row r="3632" spans="34:37" x14ac:dyDescent="0.25">
      <c r="AH3632" s="75"/>
      <c r="AK3632" s="75"/>
    </row>
    <row r="3633" spans="34:37" x14ac:dyDescent="0.25">
      <c r="AH3633" s="75"/>
      <c r="AK3633" s="75"/>
    </row>
    <row r="3634" spans="34:37" x14ac:dyDescent="0.25">
      <c r="AH3634" s="75"/>
      <c r="AK3634" s="75"/>
    </row>
    <row r="3635" spans="34:37" x14ac:dyDescent="0.25">
      <c r="AH3635" s="75"/>
      <c r="AK3635" s="75"/>
    </row>
    <row r="3636" spans="34:37" x14ac:dyDescent="0.25">
      <c r="AH3636" s="75"/>
      <c r="AK3636" s="75"/>
    </row>
    <row r="3637" spans="34:37" x14ac:dyDescent="0.25">
      <c r="AH3637" s="75"/>
      <c r="AK3637" s="75"/>
    </row>
    <row r="3638" spans="34:37" x14ac:dyDescent="0.25">
      <c r="AH3638" s="75"/>
      <c r="AK3638" s="75"/>
    </row>
    <row r="3639" spans="34:37" x14ac:dyDescent="0.25">
      <c r="AH3639" s="75"/>
      <c r="AK3639" s="75"/>
    </row>
    <row r="3640" spans="34:37" x14ac:dyDescent="0.25">
      <c r="AH3640" s="75"/>
      <c r="AK3640" s="75"/>
    </row>
    <row r="3641" spans="34:37" x14ac:dyDescent="0.25">
      <c r="AH3641" s="75"/>
      <c r="AK3641" s="75"/>
    </row>
    <row r="3642" spans="34:37" x14ac:dyDescent="0.25">
      <c r="AH3642" s="75"/>
      <c r="AK3642" s="75"/>
    </row>
    <row r="3643" spans="34:37" x14ac:dyDescent="0.25">
      <c r="AH3643" s="75"/>
      <c r="AK3643" s="75"/>
    </row>
    <row r="3644" spans="34:37" x14ac:dyDescent="0.25">
      <c r="AH3644" s="75"/>
      <c r="AK3644" s="75"/>
    </row>
    <row r="3645" spans="34:37" x14ac:dyDescent="0.25">
      <c r="AH3645" s="75"/>
      <c r="AK3645" s="75"/>
    </row>
    <row r="3646" spans="34:37" x14ac:dyDescent="0.25">
      <c r="AH3646" s="75"/>
      <c r="AK3646" s="75"/>
    </row>
    <row r="3647" spans="34:37" x14ac:dyDescent="0.25">
      <c r="AH3647" s="75"/>
      <c r="AK3647" s="75"/>
    </row>
    <row r="3648" spans="34:37" x14ac:dyDescent="0.25">
      <c r="AH3648" s="75"/>
      <c r="AK3648" s="75"/>
    </row>
    <row r="3649" spans="34:37" x14ac:dyDescent="0.25">
      <c r="AH3649" s="75"/>
      <c r="AK3649" s="75"/>
    </row>
    <row r="3650" spans="34:37" x14ac:dyDescent="0.25">
      <c r="AH3650" s="75"/>
      <c r="AK3650" s="75"/>
    </row>
    <row r="3651" spans="34:37" x14ac:dyDescent="0.25">
      <c r="AH3651" s="75"/>
      <c r="AK3651" s="75"/>
    </row>
    <row r="3652" spans="34:37" x14ac:dyDescent="0.25">
      <c r="AH3652" s="75"/>
      <c r="AK3652" s="75"/>
    </row>
    <row r="3653" spans="34:37" x14ac:dyDescent="0.25">
      <c r="AH3653" s="75"/>
      <c r="AK3653" s="75"/>
    </row>
    <row r="3654" spans="34:37" x14ac:dyDescent="0.25">
      <c r="AH3654" s="75"/>
      <c r="AK3654" s="75"/>
    </row>
    <row r="3655" spans="34:37" x14ac:dyDescent="0.25">
      <c r="AH3655" s="75"/>
      <c r="AK3655" s="75"/>
    </row>
    <row r="3656" spans="34:37" x14ac:dyDescent="0.25">
      <c r="AH3656" s="75"/>
      <c r="AK3656" s="75"/>
    </row>
    <row r="3657" spans="34:37" x14ac:dyDescent="0.25">
      <c r="AH3657" s="75"/>
      <c r="AK3657" s="75"/>
    </row>
    <row r="3658" spans="34:37" x14ac:dyDescent="0.25">
      <c r="AH3658" s="75"/>
      <c r="AK3658" s="75"/>
    </row>
    <row r="3659" spans="34:37" x14ac:dyDescent="0.25">
      <c r="AH3659" s="75"/>
      <c r="AK3659" s="75"/>
    </row>
    <row r="3660" spans="34:37" x14ac:dyDescent="0.25">
      <c r="AH3660" s="75"/>
      <c r="AK3660" s="75"/>
    </row>
    <row r="3661" spans="34:37" x14ac:dyDescent="0.25">
      <c r="AH3661" s="75"/>
      <c r="AK3661" s="75"/>
    </row>
    <row r="3662" spans="34:37" x14ac:dyDescent="0.25">
      <c r="AH3662" s="75"/>
      <c r="AK3662" s="75"/>
    </row>
    <row r="3663" spans="34:37" x14ac:dyDescent="0.25">
      <c r="AH3663" s="75"/>
      <c r="AK3663" s="75"/>
    </row>
    <row r="3664" spans="34:37" x14ac:dyDescent="0.25">
      <c r="AH3664" s="75"/>
      <c r="AK3664" s="75"/>
    </row>
    <row r="3665" spans="34:37" x14ac:dyDescent="0.25">
      <c r="AH3665" s="75"/>
      <c r="AK3665" s="75"/>
    </row>
    <row r="3666" spans="34:37" x14ac:dyDescent="0.25">
      <c r="AH3666" s="75"/>
      <c r="AK3666" s="75"/>
    </row>
    <row r="3667" spans="34:37" x14ac:dyDescent="0.25">
      <c r="AH3667" s="75"/>
      <c r="AK3667" s="75"/>
    </row>
    <row r="3668" spans="34:37" x14ac:dyDescent="0.25">
      <c r="AH3668" s="75"/>
      <c r="AK3668" s="75"/>
    </row>
    <row r="3669" spans="34:37" x14ac:dyDescent="0.25">
      <c r="AH3669" s="75"/>
      <c r="AK3669" s="75"/>
    </row>
    <row r="3670" spans="34:37" x14ac:dyDescent="0.25">
      <c r="AH3670" s="75"/>
      <c r="AK3670" s="75"/>
    </row>
    <row r="3671" spans="34:37" x14ac:dyDescent="0.25">
      <c r="AH3671" s="75"/>
      <c r="AK3671" s="75"/>
    </row>
    <row r="3672" spans="34:37" x14ac:dyDescent="0.25">
      <c r="AH3672" s="75"/>
      <c r="AK3672" s="75"/>
    </row>
    <row r="3673" spans="34:37" x14ac:dyDescent="0.25">
      <c r="AH3673" s="75"/>
      <c r="AK3673" s="75"/>
    </row>
    <row r="3674" spans="34:37" x14ac:dyDescent="0.25">
      <c r="AH3674" s="75"/>
      <c r="AK3674" s="75"/>
    </row>
    <row r="3675" spans="34:37" x14ac:dyDescent="0.25">
      <c r="AH3675" s="75"/>
      <c r="AK3675" s="75"/>
    </row>
    <row r="3676" spans="34:37" x14ac:dyDescent="0.25">
      <c r="AH3676" s="75"/>
      <c r="AK3676" s="75"/>
    </row>
    <row r="3677" spans="34:37" x14ac:dyDescent="0.25">
      <c r="AH3677" s="75"/>
      <c r="AK3677" s="75"/>
    </row>
    <row r="3678" spans="34:37" x14ac:dyDescent="0.25">
      <c r="AH3678" s="75"/>
      <c r="AK3678" s="75"/>
    </row>
    <row r="3679" spans="34:37" x14ac:dyDescent="0.25">
      <c r="AH3679" s="75"/>
      <c r="AK3679" s="75"/>
    </row>
    <row r="3680" spans="34:37" x14ac:dyDescent="0.25">
      <c r="AH3680" s="75"/>
      <c r="AK3680" s="75"/>
    </row>
    <row r="3681" spans="34:37" x14ac:dyDescent="0.25">
      <c r="AH3681" s="75"/>
      <c r="AK3681" s="75"/>
    </row>
    <row r="3682" spans="34:37" x14ac:dyDescent="0.25">
      <c r="AH3682" s="75"/>
      <c r="AK3682" s="75"/>
    </row>
    <row r="3683" spans="34:37" x14ac:dyDescent="0.25">
      <c r="AH3683" s="75"/>
      <c r="AK3683" s="75"/>
    </row>
    <row r="3684" spans="34:37" x14ac:dyDescent="0.25">
      <c r="AH3684" s="75"/>
      <c r="AK3684" s="75"/>
    </row>
    <row r="3685" spans="34:37" x14ac:dyDescent="0.25">
      <c r="AH3685" s="75"/>
      <c r="AK3685" s="75"/>
    </row>
    <row r="3686" spans="34:37" x14ac:dyDescent="0.25">
      <c r="AH3686" s="75"/>
      <c r="AK3686" s="75"/>
    </row>
    <row r="3687" spans="34:37" x14ac:dyDescent="0.25">
      <c r="AH3687" s="75"/>
      <c r="AK3687" s="75"/>
    </row>
    <row r="3688" spans="34:37" x14ac:dyDescent="0.25">
      <c r="AH3688" s="75"/>
      <c r="AK3688" s="75"/>
    </row>
    <row r="3689" spans="34:37" x14ac:dyDescent="0.25">
      <c r="AH3689" s="75"/>
      <c r="AK3689" s="75"/>
    </row>
    <row r="3690" spans="34:37" x14ac:dyDescent="0.25">
      <c r="AH3690" s="75"/>
      <c r="AK3690" s="75"/>
    </row>
    <row r="3691" spans="34:37" x14ac:dyDescent="0.25">
      <c r="AH3691" s="75"/>
      <c r="AK3691" s="75"/>
    </row>
    <row r="3692" spans="34:37" x14ac:dyDescent="0.25">
      <c r="AH3692" s="75"/>
      <c r="AK3692" s="75"/>
    </row>
    <row r="3693" spans="34:37" x14ac:dyDescent="0.25">
      <c r="AH3693" s="75"/>
      <c r="AK3693" s="75"/>
    </row>
    <row r="3694" spans="34:37" x14ac:dyDescent="0.25">
      <c r="AH3694" s="75"/>
      <c r="AK3694" s="75"/>
    </row>
    <row r="3695" spans="34:37" x14ac:dyDescent="0.25">
      <c r="AH3695" s="75"/>
      <c r="AK3695" s="75"/>
    </row>
    <row r="3696" spans="34:37" x14ac:dyDescent="0.25">
      <c r="AH3696" s="75"/>
      <c r="AK3696" s="75"/>
    </row>
    <row r="3697" spans="34:37" x14ac:dyDescent="0.25">
      <c r="AH3697" s="75"/>
      <c r="AK3697" s="75"/>
    </row>
    <row r="3698" spans="34:37" x14ac:dyDescent="0.25">
      <c r="AH3698" s="75"/>
      <c r="AK3698" s="75"/>
    </row>
    <row r="3699" spans="34:37" x14ac:dyDescent="0.25">
      <c r="AH3699" s="75"/>
      <c r="AK3699" s="75"/>
    </row>
    <row r="3700" spans="34:37" x14ac:dyDescent="0.25">
      <c r="AH3700" s="75"/>
      <c r="AK3700" s="75"/>
    </row>
    <row r="3701" spans="34:37" x14ac:dyDescent="0.25">
      <c r="AH3701" s="75"/>
      <c r="AK3701" s="75"/>
    </row>
    <row r="3702" spans="34:37" x14ac:dyDescent="0.25">
      <c r="AH3702" s="75"/>
      <c r="AK3702" s="75"/>
    </row>
    <row r="3703" spans="34:37" x14ac:dyDescent="0.25">
      <c r="AH3703" s="75"/>
      <c r="AK3703" s="75"/>
    </row>
    <row r="3704" spans="34:37" x14ac:dyDescent="0.25">
      <c r="AH3704" s="75"/>
      <c r="AK3704" s="75"/>
    </row>
    <row r="3705" spans="34:37" x14ac:dyDescent="0.25">
      <c r="AH3705" s="75"/>
      <c r="AK3705" s="75"/>
    </row>
    <row r="3706" spans="34:37" x14ac:dyDescent="0.25">
      <c r="AH3706" s="75"/>
      <c r="AK3706" s="75"/>
    </row>
    <row r="3707" spans="34:37" x14ac:dyDescent="0.25">
      <c r="AH3707" s="75"/>
      <c r="AK3707" s="75"/>
    </row>
    <row r="3708" spans="34:37" x14ac:dyDescent="0.25">
      <c r="AH3708" s="75"/>
      <c r="AK3708" s="75"/>
    </row>
    <row r="3709" spans="34:37" x14ac:dyDescent="0.25">
      <c r="AH3709" s="75"/>
      <c r="AK3709" s="75"/>
    </row>
    <row r="3710" spans="34:37" x14ac:dyDescent="0.25">
      <c r="AH3710" s="75"/>
      <c r="AK3710" s="75"/>
    </row>
    <row r="3711" spans="34:37" x14ac:dyDescent="0.25">
      <c r="AH3711" s="75"/>
      <c r="AK3711" s="75"/>
    </row>
    <row r="3712" spans="34:37" x14ac:dyDescent="0.25">
      <c r="AH3712" s="75"/>
      <c r="AK3712" s="75"/>
    </row>
    <row r="3713" spans="34:37" x14ac:dyDescent="0.25">
      <c r="AH3713" s="75"/>
      <c r="AK3713" s="75"/>
    </row>
    <row r="3714" spans="34:37" x14ac:dyDescent="0.25">
      <c r="AH3714" s="75"/>
      <c r="AK3714" s="75"/>
    </row>
    <row r="3715" spans="34:37" x14ac:dyDescent="0.25">
      <c r="AH3715" s="75"/>
      <c r="AK3715" s="75"/>
    </row>
    <row r="3716" spans="34:37" x14ac:dyDescent="0.25">
      <c r="AH3716" s="75"/>
      <c r="AK3716" s="75"/>
    </row>
    <row r="3717" spans="34:37" x14ac:dyDescent="0.25">
      <c r="AH3717" s="75"/>
      <c r="AK3717" s="75"/>
    </row>
    <row r="3718" spans="34:37" x14ac:dyDescent="0.25">
      <c r="AH3718" s="75"/>
      <c r="AK3718" s="75"/>
    </row>
    <row r="3719" spans="34:37" x14ac:dyDescent="0.25">
      <c r="AH3719" s="75"/>
      <c r="AK3719" s="75"/>
    </row>
    <row r="3720" spans="34:37" x14ac:dyDescent="0.25">
      <c r="AH3720" s="75"/>
      <c r="AK3720" s="75"/>
    </row>
    <row r="3721" spans="34:37" x14ac:dyDescent="0.25">
      <c r="AH3721" s="75"/>
      <c r="AK3721" s="75"/>
    </row>
    <row r="3722" spans="34:37" x14ac:dyDescent="0.25">
      <c r="AH3722" s="75"/>
      <c r="AK3722" s="75"/>
    </row>
    <row r="3723" spans="34:37" x14ac:dyDescent="0.25">
      <c r="AH3723" s="75"/>
      <c r="AK3723" s="75"/>
    </row>
    <row r="3724" spans="34:37" x14ac:dyDescent="0.25">
      <c r="AH3724" s="75"/>
      <c r="AK3724" s="75"/>
    </row>
    <row r="3725" spans="34:37" x14ac:dyDescent="0.25">
      <c r="AH3725" s="75"/>
      <c r="AK3725" s="75"/>
    </row>
    <row r="3726" spans="34:37" x14ac:dyDescent="0.25">
      <c r="AH3726" s="75"/>
      <c r="AK3726" s="75"/>
    </row>
    <row r="3727" spans="34:37" x14ac:dyDescent="0.25">
      <c r="AH3727" s="75"/>
      <c r="AK3727" s="75"/>
    </row>
    <row r="3728" spans="34:37" x14ac:dyDescent="0.25">
      <c r="AH3728" s="75"/>
      <c r="AK3728" s="75"/>
    </row>
    <row r="3729" spans="34:37" x14ac:dyDescent="0.25">
      <c r="AH3729" s="75"/>
      <c r="AK3729" s="75"/>
    </row>
    <row r="3730" spans="34:37" x14ac:dyDescent="0.25">
      <c r="AH3730" s="75"/>
      <c r="AK3730" s="75"/>
    </row>
    <row r="3731" spans="34:37" x14ac:dyDescent="0.25">
      <c r="AH3731" s="75"/>
      <c r="AK3731" s="75"/>
    </row>
    <row r="3732" spans="34:37" x14ac:dyDescent="0.25">
      <c r="AH3732" s="75"/>
      <c r="AK3732" s="75"/>
    </row>
    <row r="3733" spans="34:37" x14ac:dyDescent="0.25">
      <c r="AH3733" s="75"/>
      <c r="AK3733" s="75"/>
    </row>
    <row r="3734" spans="34:37" x14ac:dyDescent="0.25">
      <c r="AH3734" s="75"/>
      <c r="AK3734" s="75"/>
    </row>
    <row r="3735" spans="34:37" x14ac:dyDescent="0.25">
      <c r="AH3735" s="75"/>
      <c r="AK3735" s="75"/>
    </row>
    <row r="3736" spans="34:37" x14ac:dyDescent="0.25">
      <c r="AH3736" s="75"/>
      <c r="AK3736" s="75"/>
    </row>
    <row r="3737" spans="34:37" x14ac:dyDescent="0.25">
      <c r="AH3737" s="75"/>
      <c r="AK3737" s="75"/>
    </row>
    <row r="3738" spans="34:37" x14ac:dyDescent="0.25">
      <c r="AH3738" s="75"/>
      <c r="AK3738" s="75"/>
    </row>
    <row r="3739" spans="34:37" x14ac:dyDescent="0.25">
      <c r="AH3739" s="75"/>
      <c r="AK3739" s="75"/>
    </row>
    <row r="3740" spans="34:37" x14ac:dyDescent="0.25">
      <c r="AH3740" s="75"/>
      <c r="AK3740" s="75"/>
    </row>
    <row r="3741" spans="34:37" x14ac:dyDescent="0.25">
      <c r="AH3741" s="75"/>
      <c r="AK3741" s="75"/>
    </row>
    <row r="3742" spans="34:37" x14ac:dyDescent="0.25">
      <c r="AH3742" s="75"/>
      <c r="AK3742" s="75"/>
    </row>
    <row r="3743" spans="34:37" x14ac:dyDescent="0.25">
      <c r="AH3743" s="75"/>
      <c r="AK3743" s="75"/>
    </row>
    <row r="3744" spans="34:37" x14ac:dyDescent="0.25">
      <c r="AH3744" s="75"/>
      <c r="AK3744" s="75"/>
    </row>
    <row r="3745" spans="34:37" x14ac:dyDescent="0.25">
      <c r="AH3745" s="75"/>
      <c r="AK3745" s="75"/>
    </row>
    <row r="3746" spans="34:37" x14ac:dyDescent="0.25">
      <c r="AH3746" s="75"/>
      <c r="AK3746" s="75"/>
    </row>
    <row r="3747" spans="34:37" x14ac:dyDescent="0.25">
      <c r="AH3747" s="75"/>
      <c r="AK3747" s="75"/>
    </row>
    <row r="3748" spans="34:37" x14ac:dyDescent="0.25">
      <c r="AH3748" s="75"/>
      <c r="AK3748" s="75"/>
    </row>
    <row r="3749" spans="34:37" x14ac:dyDescent="0.25">
      <c r="AH3749" s="75"/>
      <c r="AK3749" s="75"/>
    </row>
    <row r="3750" spans="34:37" x14ac:dyDescent="0.25">
      <c r="AH3750" s="75"/>
      <c r="AK3750" s="75"/>
    </row>
    <row r="3751" spans="34:37" x14ac:dyDescent="0.25">
      <c r="AH3751" s="75"/>
      <c r="AK3751" s="75"/>
    </row>
    <row r="3752" spans="34:37" x14ac:dyDescent="0.25">
      <c r="AH3752" s="75"/>
      <c r="AK3752" s="75"/>
    </row>
    <row r="3753" spans="34:37" x14ac:dyDescent="0.25">
      <c r="AH3753" s="75"/>
      <c r="AK3753" s="75"/>
    </row>
    <row r="3754" spans="34:37" x14ac:dyDescent="0.25">
      <c r="AH3754" s="75"/>
      <c r="AK3754" s="75"/>
    </row>
    <row r="3755" spans="34:37" x14ac:dyDescent="0.25">
      <c r="AH3755" s="75"/>
      <c r="AK3755" s="75"/>
    </row>
    <row r="3756" spans="34:37" x14ac:dyDescent="0.25">
      <c r="AH3756" s="75"/>
      <c r="AK3756" s="75"/>
    </row>
    <row r="3757" spans="34:37" x14ac:dyDescent="0.25">
      <c r="AH3757" s="75"/>
      <c r="AK3757" s="75"/>
    </row>
    <row r="3758" spans="34:37" x14ac:dyDescent="0.25">
      <c r="AH3758" s="75"/>
      <c r="AK3758" s="75"/>
    </row>
    <row r="3759" spans="34:37" x14ac:dyDescent="0.25">
      <c r="AH3759" s="75"/>
      <c r="AK3759" s="75"/>
    </row>
    <row r="3760" spans="34:37" x14ac:dyDescent="0.25">
      <c r="AH3760" s="75"/>
      <c r="AK3760" s="75"/>
    </row>
    <row r="3761" spans="34:37" x14ac:dyDescent="0.25">
      <c r="AH3761" s="75"/>
      <c r="AK3761" s="75"/>
    </row>
    <row r="3762" spans="34:37" x14ac:dyDescent="0.25">
      <c r="AH3762" s="75"/>
      <c r="AK3762" s="75"/>
    </row>
    <row r="3763" spans="34:37" x14ac:dyDescent="0.25">
      <c r="AH3763" s="75"/>
      <c r="AK3763" s="75"/>
    </row>
    <row r="3764" spans="34:37" x14ac:dyDescent="0.25">
      <c r="AH3764" s="75"/>
      <c r="AK3764" s="75"/>
    </row>
    <row r="3765" spans="34:37" x14ac:dyDescent="0.25">
      <c r="AH3765" s="75"/>
      <c r="AK3765" s="75"/>
    </row>
    <row r="3766" spans="34:37" x14ac:dyDescent="0.25">
      <c r="AH3766" s="75"/>
      <c r="AK3766" s="75"/>
    </row>
    <row r="3767" spans="34:37" x14ac:dyDescent="0.25">
      <c r="AH3767" s="75"/>
      <c r="AK3767" s="75"/>
    </row>
    <row r="3768" spans="34:37" x14ac:dyDescent="0.25">
      <c r="AH3768" s="75"/>
      <c r="AK3768" s="75"/>
    </row>
    <row r="3769" spans="34:37" x14ac:dyDescent="0.25">
      <c r="AH3769" s="75"/>
      <c r="AK3769" s="75"/>
    </row>
    <row r="3770" spans="34:37" x14ac:dyDescent="0.25">
      <c r="AH3770" s="75"/>
      <c r="AK3770" s="75"/>
    </row>
    <row r="3771" spans="34:37" x14ac:dyDescent="0.25">
      <c r="AH3771" s="75"/>
      <c r="AK3771" s="75"/>
    </row>
    <row r="3772" spans="34:37" x14ac:dyDescent="0.25">
      <c r="AH3772" s="75"/>
      <c r="AK3772" s="75"/>
    </row>
    <row r="3773" spans="34:37" x14ac:dyDescent="0.25">
      <c r="AH3773" s="75"/>
      <c r="AK3773" s="75"/>
    </row>
    <row r="3774" spans="34:37" x14ac:dyDescent="0.25">
      <c r="AH3774" s="75"/>
      <c r="AK3774" s="75"/>
    </row>
    <row r="3775" spans="34:37" x14ac:dyDescent="0.25">
      <c r="AH3775" s="75"/>
      <c r="AK3775" s="75"/>
    </row>
    <row r="3776" spans="34:37" x14ac:dyDescent="0.25">
      <c r="AH3776" s="75"/>
      <c r="AK3776" s="75"/>
    </row>
    <row r="3777" spans="34:37" x14ac:dyDescent="0.25">
      <c r="AH3777" s="75"/>
      <c r="AK3777" s="75"/>
    </row>
    <row r="3778" spans="34:37" x14ac:dyDescent="0.25">
      <c r="AH3778" s="75"/>
      <c r="AK3778" s="75"/>
    </row>
    <row r="3779" spans="34:37" x14ac:dyDescent="0.25">
      <c r="AH3779" s="75"/>
      <c r="AK3779" s="75"/>
    </row>
    <row r="3780" spans="34:37" x14ac:dyDescent="0.25">
      <c r="AH3780" s="75"/>
      <c r="AK3780" s="75"/>
    </row>
    <row r="3781" spans="34:37" x14ac:dyDescent="0.25">
      <c r="AH3781" s="75"/>
      <c r="AK3781" s="75"/>
    </row>
    <row r="3782" spans="34:37" x14ac:dyDescent="0.25">
      <c r="AH3782" s="75"/>
      <c r="AK3782" s="75"/>
    </row>
    <row r="3783" spans="34:37" x14ac:dyDescent="0.25">
      <c r="AH3783" s="75"/>
      <c r="AK3783" s="75"/>
    </row>
    <row r="3784" spans="34:37" x14ac:dyDescent="0.25">
      <c r="AH3784" s="75"/>
      <c r="AK3784" s="75"/>
    </row>
    <row r="3785" spans="34:37" x14ac:dyDescent="0.25">
      <c r="AH3785" s="75"/>
      <c r="AK3785" s="75"/>
    </row>
    <row r="3786" spans="34:37" x14ac:dyDescent="0.25">
      <c r="AH3786" s="75"/>
      <c r="AK3786" s="75"/>
    </row>
    <row r="3787" spans="34:37" x14ac:dyDescent="0.25">
      <c r="AH3787" s="75"/>
      <c r="AK3787" s="75"/>
    </row>
    <row r="3788" spans="34:37" x14ac:dyDescent="0.25">
      <c r="AH3788" s="75"/>
      <c r="AK3788" s="75"/>
    </row>
    <row r="3789" spans="34:37" x14ac:dyDescent="0.25">
      <c r="AH3789" s="75"/>
      <c r="AK3789" s="75"/>
    </row>
    <row r="3790" spans="34:37" x14ac:dyDescent="0.25">
      <c r="AH3790" s="75"/>
      <c r="AK3790" s="75"/>
    </row>
    <row r="3791" spans="34:37" x14ac:dyDescent="0.25">
      <c r="AH3791" s="75"/>
      <c r="AK3791" s="75"/>
    </row>
    <row r="3792" spans="34:37" x14ac:dyDescent="0.25">
      <c r="AH3792" s="75"/>
      <c r="AK3792" s="75"/>
    </row>
    <row r="3793" spans="34:37" x14ac:dyDescent="0.25">
      <c r="AH3793" s="75"/>
      <c r="AK3793" s="75"/>
    </row>
    <row r="3794" spans="34:37" x14ac:dyDescent="0.25">
      <c r="AH3794" s="75"/>
      <c r="AK3794" s="75"/>
    </row>
    <row r="3795" spans="34:37" x14ac:dyDescent="0.25">
      <c r="AH3795" s="75"/>
      <c r="AK3795" s="75"/>
    </row>
    <row r="3796" spans="34:37" x14ac:dyDescent="0.25">
      <c r="AH3796" s="75"/>
      <c r="AK3796" s="75"/>
    </row>
    <row r="3797" spans="34:37" x14ac:dyDescent="0.25">
      <c r="AH3797" s="75"/>
      <c r="AK3797" s="75"/>
    </row>
    <row r="3798" spans="34:37" x14ac:dyDescent="0.25">
      <c r="AH3798" s="75"/>
      <c r="AK3798" s="75"/>
    </row>
    <row r="3799" spans="34:37" x14ac:dyDescent="0.25">
      <c r="AH3799" s="75"/>
      <c r="AK3799" s="75"/>
    </row>
    <row r="3800" spans="34:37" x14ac:dyDescent="0.25">
      <c r="AH3800" s="75"/>
      <c r="AK3800" s="75"/>
    </row>
    <row r="3801" spans="34:37" x14ac:dyDescent="0.25">
      <c r="AH3801" s="75"/>
      <c r="AK3801" s="75"/>
    </row>
    <row r="3802" spans="34:37" x14ac:dyDescent="0.25">
      <c r="AH3802" s="75"/>
      <c r="AK3802" s="75"/>
    </row>
    <row r="3803" spans="34:37" x14ac:dyDescent="0.25">
      <c r="AH3803" s="75"/>
      <c r="AK3803" s="75"/>
    </row>
    <row r="3804" spans="34:37" x14ac:dyDescent="0.25">
      <c r="AH3804" s="75"/>
      <c r="AK3804" s="75"/>
    </row>
    <row r="3805" spans="34:37" x14ac:dyDescent="0.25">
      <c r="AH3805" s="75"/>
      <c r="AK3805" s="75"/>
    </row>
    <row r="3806" spans="34:37" x14ac:dyDescent="0.25">
      <c r="AH3806" s="75"/>
      <c r="AK3806" s="75"/>
    </row>
    <row r="3807" spans="34:37" x14ac:dyDescent="0.25">
      <c r="AH3807" s="75"/>
      <c r="AK3807" s="75"/>
    </row>
    <row r="3808" spans="34:37" x14ac:dyDescent="0.25">
      <c r="AH3808" s="75"/>
      <c r="AK3808" s="75"/>
    </row>
    <row r="3809" spans="34:37" x14ac:dyDescent="0.25">
      <c r="AH3809" s="75"/>
      <c r="AK3809" s="75"/>
    </row>
    <row r="3810" spans="34:37" x14ac:dyDescent="0.25">
      <c r="AH3810" s="75"/>
      <c r="AK3810" s="75"/>
    </row>
    <row r="3811" spans="34:37" x14ac:dyDescent="0.25">
      <c r="AH3811" s="75"/>
      <c r="AK3811" s="75"/>
    </row>
    <row r="3812" spans="34:37" x14ac:dyDescent="0.25">
      <c r="AH3812" s="75"/>
      <c r="AK3812" s="75"/>
    </row>
    <row r="3813" spans="34:37" x14ac:dyDescent="0.25">
      <c r="AH3813" s="75"/>
      <c r="AK3813" s="75"/>
    </row>
    <row r="3814" spans="34:37" x14ac:dyDescent="0.25">
      <c r="AH3814" s="75"/>
      <c r="AK3814" s="75"/>
    </row>
    <row r="3815" spans="34:37" x14ac:dyDescent="0.25">
      <c r="AH3815" s="75"/>
      <c r="AK3815" s="75"/>
    </row>
    <row r="3816" spans="34:37" x14ac:dyDescent="0.25">
      <c r="AH3816" s="75"/>
      <c r="AK3816" s="75"/>
    </row>
    <row r="3817" spans="34:37" x14ac:dyDescent="0.25">
      <c r="AH3817" s="75"/>
      <c r="AK3817" s="75"/>
    </row>
    <row r="3818" spans="34:37" x14ac:dyDescent="0.25">
      <c r="AH3818" s="75"/>
      <c r="AK3818" s="75"/>
    </row>
    <row r="3819" spans="34:37" x14ac:dyDescent="0.25">
      <c r="AH3819" s="75"/>
      <c r="AK3819" s="75"/>
    </row>
    <row r="3820" spans="34:37" x14ac:dyDescent="0.25">
      <c r="AH3820" s="75"/>
      <c r="AK3820" s="75"/>
    </row>
    <row r="3821" spans="34:37" x14ac:dyDescent="0.25">
      <c r="AH3821" s="75"/>
      <c r="AK3821" s="75"/>
    </row>
    <row r="3822" spans="34:37" x14ac:dyDescent="0.25">
      <c r="AH3822" s="75"/>
      <c r="AK3822" s="75"/>
    </row>
    <row r="3823" spans="34:37" x14ac:dyDescent="0.25">
      <c r="AH3823" s="75"/>
      <c r="AK3823" s="75"/>
    </row>
    <row r="3824" spans="34:37" x14ac:dyDescent="0.25">
      <c r="AH3824" s="75"/>
      <c r="AK3824" s="75"/>
    </row>
    <row r="3825" spans="34:37" x14ac:dyDescent="0.25">
      <c r="AH3825" s="75"/>
      <c r="AK3825" s="75"/>
    </row>
    <row r="3826" spans="34:37" x14ac:dyDescent="0.25">
      <c r="AH3826" s="75"/>
      <c r="AK3826" s="75"/>
    </row>
    <row r="3827" spans="34:37" x14ac:dyDescent="0.25">
      <c r="AH3827" s="75"/>
      <c r="AK3827" s="75"/>
    </row>
    <row r="3828" spans="34:37" x14ac:dyDescent="0.25">
      <c r="AH3828" s="75"/>
      <c r="AK3828" s="75"/>
    </row>
    <row r="3829" spans="34:37" x14ac:dyDescent="0.25">
      <c r="AH3829" s="75"/>
      <c r="AK3829" s="75"/>
    </row>
    <row r="3830" spans="34:37" x14ac:dyDescent="0.25">
      <c r="AH3830" s="75"/>
      <c r="AK3830" s="75"/>
    </row>
    <row r="3831" spans="34:37" x14ac:dyDescent="0.25">
      <c r="AH3831" s="75"/>
      <c r="AK3831" s="75"/>
    </row>
    <row r="3832" spans="34:37" x14ac:dyDescent="0.25">
      <c r="AH3832" s="75"/>
      <c r="AK3832" s="75"/>
    </row>
    <row r="3833" spans="34:37" x14ac:dyDescent="0.25">
      <c r="AH3833" s="75"/>
      <c r="AK3833" s="75"/>
    </row>
    <row r="3834" spans="34:37" x14ac:dyDescent="0.25">
      <c r="AH3834" s="75"/>
      <c r="AK3834" s="75"/>
    </row>
    <row r="3835" spans="34:37" x14ac:dyDescent="0.25">
      <c r="AH3835" s="75"/>
      <c r="AK3835" s="75"/>
    </row>
    <row r="3836" spans="34:37" x14ac:dyDescent="0.25">
      <c r="AH3836" s="75"/>
      <c r="AK3836" s="75"/>
    </row>
    <row r="3837" spans="34:37" x14ac:dyDescent="0.25">
      <c r="AH3837" s="75"/>
      <c r="AK3837" s="75"/>
    </row>
    <row r="3838" spans="34:37" x14ac:dyDescent="0.25">
      <c r="AH3838" s="75"/>
      <c r="AK3838" s="75"/>
    </row>
    <row r="3839" spans="34:37" x14ac:dyDescent="0.25">
      <c r="AH3839" s="75"/>
      <c r="AK3839" s="75"/>
    </row>
    <row r="3840" spans="34:37" x14ac:dyDescent="0.25">
      <c r="AH3840" s="75"/>
      <c r="AK3840" s="75"/>
    </row>
    <row r="3841" spans="34:37" x14ac:dyDescent="0.25">
      <c r="AH3841" s="75"/>
      <c r="AK3841" s="75"/>
    </row>
    <row r="3842" spans="34:37" x14ac:dyDescent="0.25">
      <c r="AH3842" s="75"/>
      <c r="AK3842" s="75"/>
    </row>
    <row r="3843" spans="34:37" x14ac:dyDescent="0.25">
      <c r="AH3843" s="75"/>
      <c r="AK3843" s="75"/>
    </row>
    <row r="3844" spans="34:37" x14ac:dyDescent="0.25">
      <c r="AH3844" s="75"/>
      <c r="AK3844" s="75"/>
    </row>
    <row r="3845" spans="34:37" x14ac:dyDescent="0.25">
      <c r="AH3845" s="75"/>
      <c r="AK3845" s="75"/>
    </row>
    <row r="3846" spans="34:37" x14ac:dyDescent="0.25">
      <c r="AH3846" s="75"/>
      <c r="AK3846" s="75"/>
    </row>
    <row r="3847" spans="34:37" x14ac:dyDescent="0.25">
      <c r="AH3847" s="75"/>
      <c r="AK3847" s="75"/>
    </row>
    <row r="3848" spans="34:37" x14ac:dyDescent="0.25">
      <c r="AH3848" s="75"/>
      <c r="AK3848" s="75"/>
    </row>
    <row r="3849" spans="34:37" x14ac:dyDescent="0.25">
      <c r="AH3849" s="75"/>
      <c r="AK3849" s="75"/>
    </row>
    <row r="3850" spans="34:37" x14ac:dyDescent="0.25">
      <c r="AH3850" s="75"/>
      <c r="AK3850" s="75"/>
    </row>
    <row r="3851" spans="34:37" x14ac:dyDescent="0.25">
      <c r="AH3851" s="75"/>
      <c r="AK3851" s="75"/>
    </row>
    <row r="3852" spans="34:37" x14ac:dyDescent="0.25">
      <c r="AH3852" s="75"/>
      <c r="AK3852" s="75"/>
    </row>
    <row r="3853" spans="34:37" x14ac:dyDescent="0.25">
      <c r="AH3853" s="75"/>
      <c r="AK3853" s="75"/>
    </row>
    <row r="3854" spans="34:37" x14ac:dyDescent="0.25">
      <c r="AH3854" s="75"/>
      <c r="AK3854" s="75"/>
    </row>
    <row r="3855" spans="34:37" x14ac:dyDescent="0.25">
      <c r="AH3855" s="75"/>
      <c r="AK3855" s="75"/>
    </row>
    <row r="3856" spans="34:37" x14ac:dyDescent="0.25">
      <c r="AH3856" s="75"/>
      <c r="AK3856" s="75"/>
    </row>
    <row r="3857" spans="34:37" x14ac:dyDescent="0.25">
      <c r="AH3857" s="75"/>
      <c r="AK3857" s="75"/>
    </row>
    <row r="3858" spans="34:37" x14ac:dyDescent="0.25">
      <c r="AH3858" s="75"/>
      <c r="AK3858" s="75"/>
    </row>
    <row r="3859" spans="34:37" x14ac:dyDescent="0.25">
      <c r="AH3859" s="75"/>
      <c r="AK3859" s="75"/>
    </row>
    <row r="3860" spans="34:37" x14ac:dyDescent="0.25">
      <c r="AH3860" s="75"/>
      <c r="AK3860" s="75"/>
    </row>
    <row r="3861" spans="34:37" x14ac:dyDescent="0.25">
      <c r="AH3861" s="75"/>
      <c r="AK3861" s="75"/>
    </row>
    <row r="3862" spans="34:37" x14ac:dyDescent="0.25">
      <c r="AH3862" s="75"/>
      <c r="AK3862" s="75"/>
    </row>
    <row r="3863" spans="34:37" x14ac:dyDescent="0.25">
      <c r="AH3863" s="75"/>
      <c r="AK3863" s="75"/>
    </row>
    <row r="3864" spans="34:37" x14ac:dyDescent="0.25">
      <c r="AH3864" s="75"/>
      <c r="AK3864" s="75"/>
    </row>
    <row r="3865" spans="34:37" x14ac:dyDescent="0.25">
      <c r="AH3865" s="75"/>
      <c r="AK3865" s="75"/>
    </row>
    <row r="3866" spans="34:37" x14ac:dyDescent="0.25">
      <c r="AH3866" s="75"/>
      <c r="AK3866" s="75"/>
    </row>
    <row r="3867" spans="34:37" x14ac:dyDescent="0.25">
      <c r="AH3867" s="75"/>
      <c r="AK3867" s="75"/>
    </row>
    <row r="3868" spans="34:37" x14ac:dyDescent="0.25">
      <c r="AH3868" s="75"/>
      <c r="AK3868" s="75"/>
    </row>
    <row r="3869" spans="34:37" x14ac:dyDescent="0.25">
      <c r="AH3869" s="75"/>
      <c r="AK3869" s="75"/>
    </row>
    <row r="3870" spans="34:37" x14ac:dyDescent="0.25">
      <c r="AH3870" s="75"/>
      <c r="AK3870" s="75"/>
    </row>
    <row r="3871" spans="34:37" x14ac:dyDescent="0.25">
      <c r="AH3871" s="75"/>
      <c r="AK3871" s="75"/>
    </row>
    <row r="3872" spans="34:37" x14ac:dyDescent="0.25">
      <c r="AH3872" s="75"/>
      <c r="AK3872" s="75"/>
    </row>
    <row r="3873" spans="34:37" x14ac:dyDescent="0.25">
      <c r="AH3873" s="75"/>
      <c r="AK3873" s="75"/>
    </row>
    <row r="3874" spans="34:37" x14ac:dyDescent="0.25">
      <c r="AH3874" s="75"/>
      <c r="AK3874" s="75"/>
    </row>
    <row r="3875" spans="34:37" x14ac:dyDescent="0.25">
      <c r="AH3875" s="75"/>
      <c r="AK3875" s="75"/>
    </row>
    <row r="3876" spans="34:37" x14ac:dyDescent="0.25">
      <c r="AH3876" s="75"/>
      <c r="AK3876" s="75"/>
    </row>
    <row r="3877" spans="34:37" x14ac:dyDescent="0.25">
      <c r="AH3877" s="75"/>
      <c r="AK3877" s="75"/>
    </row>
    <row r="3878" spans="34:37" x14ac:dyDescent="0.25">
      <c r="AH3878" s="75"/>
      <c r="AK3878" s="75"/>
    </row>
    <row r="3879" spans="34:37" x14ac:dyDescent="0.25">
      <c r="AH3879" s="75"/>
      <c r="AK3879" s="75"/>
    </row>
    <row r="3880" spans="34:37" x14ac:dyDescent="0.25">
      <c r="AH3880" s="75"/>
      <c r="AK3880" s="75"/>
    </row>
    <row r="3881" spans="34:37" x14ac:dyDescent="0.25">
      <c r="AH3881" s="75"/>
      <c r="AK3881" s="75"/>
    </row>
    <row r="3882" spans="34:37" x14ac:dyDescent="0.25">
      <c r="AH3882" s="75"/>
      <c r="AK3882" s="75"/>
    </row>
    <row r="3883" spans="34:37" x14ac:dyDescent="0.25">
      <c r="AH3883" s="75"/>
      <c r="AK3883" s="75"/>
    </row>
    <row r="3884" spans="34:37" x14ac:dyDescent="0.25">
      <c r="AH3884" s="75"/>
      <c r="AK3884" s="75"/>
    </row>
    <row r="3885" spans="34:37" x14ac:dyDescent="0.25">
      <c r="AH3885" s="75"/>
      <c r="AK3885" s="75"/>
    </row>
    <row r="3886" spans="34:37" x14ac:dyDescent="0.25">
      <c r="AH3886" s="75"/>
      <c r="AK3886" s="75"/>
    </row>
    <row r="3887" spans="34:37" x14ac:dyDescent="0.25">
      <c r="AH3887" s="75"/>
      <c r="AK3887" s="75"/>
    </row>
    <row r="3888" spans="34:37" x14ac:dyDescent="0.25">
      <c r="AH3888" s="75"/>
      <c r="AK3888" s="75"/>
    </row>
    <row r="3889" spans="34:37" x14ac:dyDescent="0.25">
      <c r="AH3889" s="75"/>
      <c r="AK3889" s="75"/>
    </row>
    <row r="3890" spans="34:37" x14ac:dyDescent="0.25">
      <c r="AH3890" s="75"/>
      <c r="AK3890" s="75"/>
    </row>
    <row r="3891" spans="34:37" x14ac:dyDescent="0.25">
      <c r="AH3891" s="75"/>
      <c r="AK3891" s="75"/>
    </row>
    <row r="3892" spans="34:37" x14ac:dyDescent="0.25">
      <c r="AH3892" s="75"/>
      <c r="AK3892" s="75"/>
    </row>
    <row r="3893" spans="34:37" x14ac:dyDescent="0.25">
      <c r="AH3893" s="75"/>
      <c r="AK3893" s="75"/>
    </row>
    <row r="3894" spans="34:37" x14ac:dyDescent="0.25">
      <c r="AH3894" s="75"/>
      <c r="AK3894" s="75"/>
    </row>
    <row r="3895" spans="34:37" x14ac:dyDescent="0.25">
      <c r="AH3895" s="75"/>
      <c r="AK3895" s="75"/>
    </row>
    <row r="3896" spans="34:37" x14ac:dyDescent="0.25">
      <c r="AH3896" s="75"/>
      <c r="AK3896" s="75"/>
    </row>
    <row r="3897" spans="34:37" x14ac:dyDescent="0.25">
      <c r="AH3897" s="75"/>
      <c r="AK3897" s="75"/>
    </row>
    <row r="3898" spans="34:37" x14ac:dyDescent="0.25">
      <c r="AH3898" s="75"/>
      <c r="AK3898" s="75"/>
    </row>
    <row r="3899" spans="34:37" x14ac:dyDescent="0.25">
      <c r="AH3899" s="75"/>
      <c r="AK3899" s="75"/>
    </row>
    <row r="3900" spans="34:37" x14ac:dyDescent="0.25">
      <c r="AH3900" s="75"/>
      <c r="AK3900" s="75"/>
    </row>
    <row r="3901" spans="34:37" x14ac:dyDescent="0.25">
      <c r="AH3901" s="75"/>
      <c r="AK3901" s="75"/>
    </row>
    <row r="3902" spans="34:37" x14ac:dyDescent="0.25">
      <c r="AH3902" s="75"/>
      <c r="AK3902" s="75"/>
    </row>
    <row r="3903" spans="34:37" x14ac:dyDescent="0.25">
      <c r="AH3903" s="75"/>
      <c r="AK3903" s="75"/>
    </row>
    <row r="3904" spans="34:37" x14ac:dyDescent="0.25">
      <c r="AH3904" s="75"/>
      <c r="AK3904" s="75"/>
    </row>
    <row r="3905" spans="34:37" x14ac:dyDescent="0.25">
      <c r="AH3905" s="75"/>
      <c r="AK3905" s="75"/>
    </row>
    <row r="3906" spans="34:37" x14ac:dyDescent="0.25">
      <c r="AH3906" s="75"/>
      <c r="AK3906" s="75"/>
    </row>
    <row r="3907" spans="34:37" x14ac:dyDescent="0.25">
      <c r="AH3907" s="75"/>
      <c r="AK3907" s="75"/>
    </row>
    <row r="3908" spans="34:37" x14ac:dyDescent="0.25">
      <c r="AH3908" s="75"/>
      <c r="AK3908" s="75"/>
    </row>
    <row r="3909" spans="34:37" x14ac:dyDescent="0.25">
      <c r="AH3909" s="75"/>
      <c r="AK3909" s="75"/>
    </row>
    <row r="3910" spans="34:37" x14ac:dyDescent="0.25">
      <c r="AH3910" s="75"/>
      <c r="AK3910" s="75"/>
    </row>
    <row r="3911" spans="34:37" x14ac:dyDescent="0.25">
      <c r="AH3911" s="75"/>
      <c r="AK3911" s="75"/>
    </row>
    <row r="3912" spans="34:37" x14ac:dyDescent="0.25">
      <c r="AH3912" s="75"/>
      <c r="AK3912" s="75"/>
    </row>
    <row r="3913" spans="34:37" x14ac:dyDescent="0.25">
      <c r="AH3913" s="75"/>
      <c r="AK3913" s="75"/>
    </row>
    <row r="3914" spans="34:37" x14ac:dyDescent="0.25">
      <c r="AH3914" s="75"/>
      <c r="AK3914" s="75"/>
    </row>
    <row r="3915" spans="34:37" x14ac:dyDescent="0.25">
      <c r="AH3915" s="75"/>
      <c r="AK3915" s="75"/>
    </row>
    <row r="3916" spans="34:37" x14ac:dyDescent="0.25">
      <c r="AH3916" s="75"/>
      <c r="AK3916" s="75"/>
    </row>
    <row r="3917" spans="34:37" x14ac:dyDescent="0.25">
      <c r="AH3917" s="75"/>
      <c r="AK3917" s="75"/>
    </row>
    <row r="3918" spans="34:37" x14ac:dyDescent="0.25">
      <c r="AH3918" s="75"/>
      <c r="AK3918" s="75"/>
    </row>
    <row r="3919" spans="34:37" x14ac:dyDescent="0.25">
      <c r="AH3919" s="75"/>
      <c r="AK3919" s="75"/>
    </row>
    <row r="3920" spans="34:37" x14ac:dyDescent="0.25">
      <c r="AH3920" s="75"/>
      <c r="AK3920" s="75"/>
    </row>
    <row r="3921" spans="34:37" x14ac:dyDescent="0.25">
      <c r="AH3921" s="75"/>
      <c r="AK3921" s="75"/>
    </row>
    <row r="3922" spans="34:37" x14ac:dyDescent="0.25">
      <c r="AH3922" s="75"/>
      <c r="AK3922" s="75"/>
    </row>
    <row r="3923" spans="34:37" x14ac:dyDescent="0.25">
      <c r="AH3923" s="75"/>
      <c r="AK3923" s="75"/>
    </row>
    <row r="3924" spans="34:37" x14ac:dyDescent="0.25">
      <c r="AH3924" s="75"/>
      <c r="AK3924" s="75"/>
    </row>
    <row r="3925" spans="34:37" x14ac:dyDescent="0.25">
      <c r="AH3925" s="75"/>
      <c r="AK3925" s="75"/>
    </row>
    <row r="3926" spans="34:37" x14ac:dyDescent="0.25">
      <c r="AH3926" s="75"/>
      <c r="AK3926" s="75"/>
    </row>
    <row r="3927" spans="34:37" x14ac:dyDescent="0.25">
      <c r="AH3927" s="75"/>
      <c r="AK3927" s="75"/>
    </row>
    <row r="3928" spans="34:37" x14ac:dyDescent="0.25">
      <c r="AH3928" s="75"/>
      <c r="AK3928" s="75"/>
    </row>
    <row r="3929" spans="34:37" x14ac:dyDescent="0.25">
      <c r="AH3929" s="75"/>
      <c r="AK3929" s="75"/>
    </row>
    <row r="3930" spans="34:37" x14ac:dyDescent="0.25">
      <c r="AH3930" s="75"/>
      <c r="AK3930" s="75"/>
    </row>
    <row r="3931" spans="34:37" x14ac:dyDescent="0.25">
      <c r="AH3931" s="75"/>
      <c r="AK3931" s="75"/>
    </row>
    <row r="3932" spans="34:37" x14ac:dyDescent="0.25">
      <c r="AH3932" s="75"/>
      <c r="AK3932" s="75"/>
    </row>
    <row r="3933" spans="34:37" x14ac:dyDescent="0.25">
      <c r="AH3933" s="75"/>
      <c r="AK3933" s="75"/>
    </row>
    <row r="3934" spans="34:37" x14ac:dyDescent="0.25">
      <c r="AH3934" s="75"/>
      <c r="AK3934" s="75"/>
    </row>
    <row r="3935" spans="34:37" x14ac:dyDescent="0.25">
      <c r="AH3935" s="75"/>
      <c r="AK3935" s="75"/>
    </row>
    <row r="3936" spans="34:37" x14ac:dyDescent="0.25">
      <c r="AH3936" s="75"/>
      <c r="AK3936" s="75"/>
    </row>
    <row r="3937" spans="34:37" x14ac:dyDescent="0.25">
      <c r="AH3937" s="75"/>
      <c r="AK3937" s="75"/>
    </row>
    <row r="3938" spans="34:37" x14ac:dyDescent="0.25">
      <c r="AH3938" s="75"/>
      <c r="AK3938" s="75"/>
    </row>
    <row r="3939" spans="34:37" x14ac:dyDescent="0.25">
      <c r="AH3939" s="75"/>
      <c r="AK3939" s="75"/>
    </row>
    <row r="3940" spans="34:37" x14ac:dyDescent="0.25">
      <c r="AH3940" s="75"/>
      <c r="AK3940" s="75"/>
    </row>
    <row r="3941" spans="34:37" x14ac:dyDescent="0.25">
      <c r="AH3941" s="75"/>
      <c r="AK3941" s="75"/>
    </row>
    <row r="3942" spans="34:37" x14ac:dyDescent="0.25">
      <c r="AH3942" s="75"/>
      <c r="AK3942" s="75"/>
    </row>
    <row r="3943" spans="34:37" x14ac:dyDescent="0.25">
      <c r="AH3943" s="75"/>
      <c r="AK3943" s="75"/>
    </row>
    <row r="3944" spans="34:37" x14ac:dyDescent="0.25">
      <c r="AH3944" s="75"/>
      <c r="AK3944" s="75"/>
    </row>
    <row r="3945" spans="34:37" x14ac:dyDescent="0.25">
      <c r="AH3945" s="75"/>
      <c r="AK3945" s="75"/>
    </row>
    <row r="3946" spans="34:37" x14ac:dyDescent="0.25">
      <c r="AH3946" s="75"/>
      <c r="AK3946" s="75"/>
    </row>
    <row r="3947" spans="34:37" x14ac:dyDescent="0.25">
      <c r="AH3947" s="75"/>
      <c r="AK3947" s="75"/>
    </row>
    <row r="3948" spans="34:37" x14ac:dyDescent="0.25">
      <c r="AH3948" s="75"/>
      <c r="AK3948" s="75"/>
    </row>
    <row r="3949" spans="34:37" x14ac:dyDescent="0.25">
      <c r="AH3949" s="75"/>
      <c r="AK3949" s="75"/>
    </row>
    <row r="3950" spans="34:37" x14ac:dyDescent="0.25">
      <c r="AH3950" s="75"/>
      <c r="AK3950" s="75"/>
    </row>
    <row r="3951" spans="34:37" x14ac:dyDescent="0.25">
      <c r="AH3951" s="75"/>
      <c r="AK3951" s="75"/>
    </row>
    <row r="3952" spans="34:37" x14ac:dyDescent="0.25">
      <c r="AH3952" s="75"/>
      <c r="AK3952" s="75"/>
    </row>
    <row r="3953" spans="34:37" x14ac:dyDescent="0.25">
      <c r="AH3953" s="75"/>
      <c r="AK3953" s="75"/>
    </row>
    <row r="3954" spans="34:37" x14ac:dyDescent="0.25">
      <c r="AH3954" s="75"/>
      <c r="AK3954" s="75"/>
    </row>
    <row r="3955" spans="34:37" x14ac:dyDescent="0.25">
      <c r="AH3955" s="75"/>
      <c r="AK3955" s="75"/>
    </row>
    <row r="3956" spans="34:37" x14ac:dyDescent="0.25">
      <c r="AH3956" s="75"/>
      <c r="AK3956" s="75"/>
    </row>
    <row r="3957" spans="34:37" x14ac:dyDescent="0.25">
      <c r="AH3957" s="75"/>
      <c r="AK3957" s="75"/>
    </row>
    <row r="3958" spans="34:37" x14ac:dyDescent="0.25">
      <c r="AH3958" s="75"/>
      <c r="AK3958" s="75"/>
    </row>
    <row r="3959" spans="34:37" x14ac:dyDescent="0.25">
      <c r="AH3959" s="75"/>
      <c r="AK3959" s="75"/>
    </row>
    <row r="3960" spans="34:37" x14ac:dyDescent="0.25">
      <c r="AH3960" s="75"/>
      <c r="AK3960" s="75"/>
    </row>
    <row r="3961" spans="34:37" x14ac:dyDescent="0.25">
      <c r="AH3961" s="75"/>
      <c r="AK3961" s="75"/>
    </row>
    <row r="3962" spans="34:37" x14ac:dyDescent="0.25">
      <c r="AH3962" s="75"/>
      <c r="AK3962" s="75"/>
    </row>
    <row r="3963" spans="34:37" x14ac:dyDescent="0.25">
      <c r="AH3963" s="75"/>
      <c r="AK3963" s="75"/>
    </row>
    <row r="3964" spans="34:37" x14ac:dyDescent="0.25">
      <c r="AH3964" s="75"/>
      <c r="AK3964" s="75"/>
    </row>
    <row r="3965" spans="34:37" x14ac:dyDescent="0.25">
      <c r="AH3965" s="75"/>
      <c r="AK3965" s="75"/>
    </row>
    <row r="3966" spans="34:37" x14ac:dyDescent="0.25">
      <c r="AH3966" s="75"/>
      <c r="AK3966" s="75"/>
    </row>
    <row r="3967" spans="34:37" x14ac:dyDescent="0.25">
      <c r="AH3967" s="75"/>
      <c r="AK3967" s="75"/>
    </row>
    <row r="3968" spans="34:37" x14ac:dyDescent="0.25">
      <c r="AH3968" s="75"/>
      <c r="AK3968" s="75"/>
    </row>
    <row r="3969" spans="34:37" x14ac:dyDescent="0.25">
      <c r="AH3969" s="75"/>
      <c r="AK3969" s="75"/>
    </row>
    <row r="3970" spans="34:37" x14ac:dyDescent="0.25">
      <c r="AH3970" s="75"/>
      <c r="AK3970" s="75"/>
    </row>
    <row r="3971" spans="34:37" x14ac:dyDescent="0.25">
      <c r="AH3971" s="75"/>
      <c r="AK3971" s="75"/>
    </row>
    <row r="3972" spans="34:37" x14ac:dyDescent="0.25">
      <c r="AH3972" s="75"/>
      <c r="AK3972" s="75"/>
    </row>
    <row r="3973" spans="34:37" x14ac:dyDescent="0.25">
      <c r="AH3973" s="75"/>
      <c r="AK3973" s="75"/>
    </row>
    <row r="3974" spans="34:37" x14ac:dyDescent="0.25">
      <c r="AH3974" s="75"/>
      <c r="AK3974" s="75"/>
    </row>
    <row r="3975" spans="34:37" x14ac:dyDescent="0.25">
      <c r="AH3975" s="75"/>
      <c r="AK3975" s="75"/>
    </row>
    <row r="3976" spans="34:37" x14ac:dyDescent="0.25">
      <c r="AH3976" s="75"/>
      <c r="AK3976" s="75"/>
    </row>
    <row r="3977" spans="34:37" x14ac:dyDescent="0.25">
      <c r="AH3977" s="75"/>
      <c r="AK3977" s="75"/>
    </row>
    <row r="3978" spans="34:37" x14ac:dyDescent="0.25">
      <c r="AH3978" s="75"/>
      <c r="AK3978" s="75"/>
    </row>
    <row r="3979" spans="34:37" x14ac:dyDescent="0.25">
      <c r="AH3979" s="75"/>
      <c r="AK3979" s="75"/>
    </row>
    <row r="3980" spans="34:37" x14ac:dyDescent="0.25">
      <c r="AH3980" s="75"/>
      <c r="AK3980" s="75"/>
    </row>
    <row r="3981" spans="34:37" x14ac:dyDescent="0.25">
      <c r="AH3981" s="75"/>
      <c r="AK3981" s="75"/>
    </row>
    <row r="3982" spans="34:37" x14ac:dyDescent="0.25">
      <c r="AH3982" s="75"/>
      <c r="AK3982" s="75"/>
    </row>
    <row r="3983" spans="34:37" x14ac:dyDescent="0.25">
      <c r="AH3983" s="75"/>
      <c r="AK3983" s="75"/>
    </row>
    <row r="3984" spans="34:37" x14ac:dyDescent="0.25">
      <c r="AH3984" s="75"/>
      <c r="AK3984" s="75"/>
    </row>
    <row r="3985" spans="34:37" x14ac:dyDescent="0.25">
      <c r="AH3985" s="75"/>
      <c r="AK3985" s="75"/>
    </row>
    <row r="3986" spans="34:37" x14ac:dyDescent="0.25">
      <c r="AH3986" s="75"/>
      <c r="AK3986" s="75"/>
    </row>
    <row r="3987" spans="34:37" x14ac:dyDescent="0.25">
      <c r="AH3987" s="75"/>
      <c r="AK3987" s="75"/>
    </row>
    <row r="3988" spans="34:37" x14ac:dyDescent="0.25">
      <c r="AH3988" s="75"/>
      <c r="AK3988" s="75"/>
    </row>
    <row r="3989" spans="34:37" x14ac:dyDescent="0.25">
      <c r="AH3989" s="75"/>
      <c r="AK3989" s="75"/>
    </row>
    <row r="3990" spans="34:37" x14ac:dyDescent="0.25">
      <c r="AH3990" s="75"/>
      <c r="AK3990" s="75"/>
    </row>
    <row r="3991" spans="34:37" x14ac:dyDescent="0.25">
      <c r="AH3991" s="75"/>
      <c r="AK3991" s="75"/>
    </row>
    <row r="3992" spans="34:37" x14ac:dyDescent="0.25">
      <c r="AH3992" s="75"/>
      <c r="AK3992" s="75"/>
    </row>
    <row r="3993" spans="34:37" x14ac:dyDescent="0.25">
      <c r="AH3993" s="75"/>
      <c r="AK3993" s="75"/>
    </row>
    <row r="3994" spans="34:37" x14ac:dyDescent="0.25">
      <c r="AH3994" s="75"/>
      <c r="AK3994" s="75"/>
    </row>
    <row r="3995" spans="34:37" x14ac:dyDescent="0.25">
      <c r="AH3995" s="75"/>
      <c r="AK3995" s="75"/>
    </row>
    <row r="3996" spans="34:37" x14ac:dyDescent="0.25">
      <c r="AH3996" s="75"/>
      <c r="AK3996" s="75"/>
    </row>
    <row r="3997" spans="34:37" x14ac:dyDescent="0.25">
      <c r="AH3997" s="75"/>
      <c r="AK3997" s="75"/>
    </row>
    <row r="3998" spans="34:37" x14ac:dyDescent="0.25">
      <c r="AH3998" s="75"/>
      <c r="AK3998" s="75"/>
    </row>
    <row r="3999" spans="34:37" x14ac:dyDescent="0.25">
      <c r="AH3999" s="75"/>
      <c r="AK3999" s="75"/>
    </row>
    <row r="4000" spans="34:37" x14ac:dyDescent="0.25">
      <c r="AH4000" s="75"/>
      <c r="AK4000" s="75"/>
    </row>
    <row r="4001" spans="34:37" x14ac:dyDescent="0.25">
      <c r="AH4001" s="75"/>
      <c r="AK4001" s="75"/>
    </row>
    <row r="4002" spans="34:37" x14ac:dyDescent="0.25">
      <c r="AH4002" s="75"/>
      <c r="AK4002" s="75"/>
    </row>
    <row r="4003" spans="34:37" x14ac:dyDescent="0.25">
      <c r="AH4003" s="75"/>
      <c r="AK4003" s="75"/>
    </row>
    <row r="4004" spans="34:37" x14ac:dyDescent="0.25">
      <c r="AH4004" s="75"/>
      <c r="AK4004" s="75"/>
    </row>
    <row r="4005" spans="34:37" x14ac:dyDescent="0.25">
      <c r="AH4005" s="75"/>
      <c r="AK4005" s="75"/>
    </row>
    <row r="4006" spans="34:37" x14ac:dyDescent="0.25">
      <c r="AH4006" s="75"/>
      <c r="AK4006" s="75"/>
    </row>
    <row r="4007" spans="34:37" x14ac:dyDescent="0.25">
      <c r="AH4007" s="75"/>
      <c r="AK4007" s="75"/>
    </row>
    <row r="4008" spans="34:37" x14ac:dyDescent="0.25">
      <c r="AH4008" s="75"/>
      <c r="AK4008" s="75"/>
    </row>
    <row r="4009" spans="34:37" x14ac:dyDescent="0.25">
      <c r="AH4009" s="75"/>
      <c r="AK4009" s="75"/>
    </row>
    <row r="4010" spans="34:37" x14ac:dyDescent="0.25">
      <c r="AH4010" s="75"/>
      <c r="AK4010" s="75"/>
    </row>
    <row r="4011" spans="34:37" x14ac:dyDescent="0.25">
      <c r="AH4011" s="75"/>
      <c r="AK4011" s="75"/>
    </row>
    <row r="4012" spans="34:37" x14ac:dyDescent="0.25">
      <c r="AH4012" s="75"/>
      <c r="AK4012" s="75"/>
    </row>
    <row r="4013" spans="34:37" x14ac:dyDescent="0.25">
      <c r="AH4013" s="75"/>
      <c r="AK4013" s="75"/>
    </row>
    <row r="4014" spans="34:37" x14ac:dyDescent="0.25">
      <c r="AH4014" s="75"/>
      <c r="AK4014" s="75"/>
    </row>
    <row r="4015" spans="34:37" x14ac:dyDescent="0.25">
      <c r="AH4015" s="75"/>
      <c r="AK4015" s="75"/>
    </row>
    <row r="4016" spans="34:37" x14ac:dyDescent="0.25">
      <c r="AH4016" s="75"/>
      <c r="AK4016" s="75"/>
    </row>
    <row r="4017" spans="34:37" x14ac:dyDescent="0.25">
      <c r="AH4017" s="75"/>
      <c r="AK4017" s="75"/>
    </row>
    <row r="4018" spans="34:37" x14ac:dyDescent="0.25">
      <c r="AH4018" s="75"/>
      <c r="AK4018" s="75"/>
    </row>
    <row r="4019" spans="34:37" x14ac:dyDescent="0.25">
      <c r="AH4019" s="75"/>
      <c r="AK4019" s="75"/>
    </row>
    <row r="4020" spans="34:37" x14ac:dyDescent="0.25">
      <c r="AH4020" s="75"/>
      <c r="AK4020" s="75"/>
    </row>
    <row r="4021" spans="34:37" x14ac:dyDescent="0.25">
      <c r="AH4021" s="75"/>
      <c r="AK4021" s="75"/>
    </row>
    <row r="4022" spans="34:37" x14ac:dyDescent="0.25">
      <c r="AH4022" s="75"/>
      <c r="AK4022" s="75"/>
    </row>
    <row r="4023" spans="34:37" x14ac:dyDescent="0.25">
      <c r="AH4023" s="75"/>
      <c r="AK4023" s="75"/>
    </row>
    <row r="4024" spans="34:37" x14ac:dyDescent="0.25">
      <c r="AH4024" s="75"/>
      <c r="AK4024" s="75"/>
    </row>
    <row r="4025" spans="34:37" x14ac:dyDescent="0.25">
      <c r="AH4025" s="75"/>
      <c r="AK4025" s="75"/>
    </row>
    <row r="4026" spans="34:37" x14ac:dyDescent="0.25">
      <c r="AH4026" s="75"/>
      <c r="AK4026" s="75"/>
    </row>
    <row r="4027" spans="34:37" x14ac:dyDescent="0.25">
      <c r="AH4027" s="75"/>
      <c r="AK4027" s="75"/>
    </row>
    <row r="4028" spans="34:37" x14ac:dyDescent="0.25">
      <c r="AH4028" s="75"/>
      <c r="AK4028" s="75"/>
    </row>
    <row r="4029" spans="34:37" x14ac:dyDescent="0.25">
      <c r="AH4029" s="75"/>
      <c r="AK4029" s="75"/>
    </row>
    <row r="4030" spans="34:37" x14ac:dyDescent="0.25">
      <c r="AH4030" s="75"/>
      <c r="AK4030" s="75"/>
    </row>
    <row r="4031" spans="34:37" x14ac:dyDescent="0.25">
      <c r="AH4031" s="75"/>
      <c r="AK4031" s="75"/>
    </row>
    <row r="4032" spans="34:37" x14ac:dyDescent="0.25">
      <c r="AH4032" s="75"/>
      <c r="AK4032" s="75"/>
    </row>
    <row r="4033" spans="34:37" x14ac:dyDescent="0.25">
      <c r="AH4033" s="75"/>
      <c r="AK4033" s="75"/>
    </row>
    <row r="4034" spans="34:37" x14ac:dyDescent="0.25">
      <c r="AH4034" s="75"/>
      <c r="AK4034" s="75"/>
    </row>
    <row r="4035" spans="34:37" x14ac:dyDescent="0.25">
      <c r="AH4035" s="75"/>
      <c r="AK4035" s="75"/>
    </row>
    <row r="4036" spans="34:37" x14ac:dyDescent="0.25">
      <c r="AH4036" s="75"/>
      <c r="AK4036" s="75"/>
    </row>
    <row r="4037" spans="34:37" x14ac:dyDescent="0.25">
      <c r="AH4037" s="75"/>
      <c r="AK4037" s="75"/>
    </row>
    <row r="4038" spans="34:37" x14ac:dyDescent="0.25">
      <c r="AH4038" s="75"/>
      <c r="AK4038" s="75"/>
    </row>
    <row r="4039" spans="34:37" x14ac:dyDescent="0.25">
      <c r="AH4039" s="75"/>
      <c r="AK4039" s="75"/>
    </row>
    <row r="4040" spans="34:37" x14ac:dyDescent="0.25">
      <c r="AH4040" s="75"/>
      <c r="AK4040" s="75"/>
    </row>
    <row r="4041" spans="34:37" x14ac:dyDescent="0.25">
      <c r="AH4041" s="75"/>
      <c r="AK4041" s="75"/>
    </row>
    <row r="4042" spans="34:37" x14ac:dyDescent="0.25">
      <c r="AH4042" s="75"/>
      <c r="AK4042" s="75"/>
    </row>
    <row r="4043" spans="34:37" x14ac:dyDescent="0.25">
      <c r="AH4043" s="75"/>
      <c r="AK4043" s="75"/>
    </row>
    <row r="4044" spans="34:37" x14ac:dyDescent="0.25">
      <c r="AH4044" s="75"/>
      <c r="AK4044" s="75"/>
    </row>
    <row r="4045" spans="34:37" x14ac:dyDescent="0.25">
      <c r="AH4045" s="75"/>
      <c r="AK4045" s="75"/>
    </row>
    <row r="4046" spans="34:37" x14ac:dyDescent="0.25">
      <c r="AH4046" s="75"/>
      <c r="AK4046" s="75"/>
    </row>
    <row r="4047" spans="34:37" x14ac:dyDescent="0.25">
      <c r="AH4047" s="75"/>
      <c r="AK4047" s="75"/>
    </row>
    <row r="4048" spans="34:37" x14ac:dyDescent="0.25">
      <c r="AH4048" s="75"/>
      <c r="AK4048" s="75"/>
    </row>
    <row r="4049" spans="34:37" x14ac:dyDescent="0.25">
      <c r="AH4049" s="75"/>
      <c r="AK4049" s="75"/>
    </row>
    <row r="4050" spans="34:37" x14ac:dyDescent="0.25">
      <c r="AH4050" s="75"/>
      <c r="AK4050" s="75"/>
    </row>
    <row r="4051" spans="34:37" x14ac:dyDescent="0.25">
      <c r="AH4051" s="75"/>
      <c r="AK4051" s="75"/>
    </row>
    <row r="4052" spans="34:37" x14ac:dyDescent="0.25">
      <c r="AH4052" s="75"/>
      <c r="AK4052" s="75"/>
    </row>
    <row r="4053" spans="34:37" x14ac:dyDescent="0.25">
      <c r="AH4053" s="75"/>
      <c r="AK4053" s="75"/>
    </row>
    <row r="4054" spans="34:37" x14ac:dyDescent="0.25">
      <c r="AH4054" s="75"/>
      <c r="AK4054" s="75"/>
    </row>
    <row r="4055" spans="34:37" x14ac:dyDescent="0.25">
      <c r="AH4055" s="75"/>
      <c r="AK4055" s="75"/>
    </row>
    <row r="4056" spans="34:37" x14ac:dyDescent="0.25">
      <c r="AH4056" s="75"/>
      <c r="AK4056" s="75"/>
    </row>
    <row r="4057" spans="34:37" x14ac:dyDescent="0.25">
      <c r="AH4057" s="75"/>
      <c r="AK4057" s="75"/>
    </row>
    <row r="4058" spans="34:37" x14ac:dyDescent="0.25">
      <c r="AH4058" s="75"/>
      <c r="AK4058" s="75"/>
    </row>
    <row r="4059" spans="34:37" x14ac:dyDescent="0.25">
      <c r="AH4059" s="75"/>
      <c r="AK4059" s="75"/>
    </row>
    <row r="4060" spans="34:37" x14ac:dyDescent="0.25">
      <c r="AH4060" s="75"/>
      <c r="AK4060" s="75"/>
    </row>
    <row r="4061" spans="34:37" x14ac:dyDescent="0.25">
      <c r="AH4061" s="75"/>
      <c r="AK4061" s="75"/>
    </row>
    <row r="4062" spans="34:37" x14ac:dyDescent="0.25">
      <c r="AH4062" s="75"/>
      <c r="AK4062" s="75"/>
    </row>
    <row r="4063" spans="34:37" x14ac:dyDescent="0.25">
      <c r="AH4063" s="75"/>
      <c r="AK4063" s="75"/>
    </row>
    <row r="4064" spans="34:37" x14ac:dyDescent="0.25">
      <c r="AH4064" s="75"/>
      <c r="AK4064" s="75"/>
    </row>
    <row r="4065" spans="34:37" x14ac:dyDescent="0.25">
      <c r="AH4065" s="75"/>
      <c r="AK4065" s="75"/>
    </row>
    <row r="4066" spans="34:37" x14ac:dyDescent="0.25">
      <c r="AH4066" s="75"/>
      <c r="AK4066" s="75"/>
    </row>
    <row r="4067" spans="34:37" x14ac:dyDescent="0.25">
      <c r="AH4067" s="75"/>
      <c r="AK4067" s="75"/>
    </row>
    <row r="4068" spans="34:37" x14ac:dyDescent="0.25">
      <c r="AH4068" s="75"/>
      <c r="AK4068" s="75"/>
    </row>
    <row r="4069" spans="34:37" x14ac:dyDescent="0.25">
      <c r="AH4069" s="75"/>
      <c r="AK4069" s="75"/>
    </row>
    <row r="4070" spans="34:37" x14ac:dyDescent="0.25">
      <c r="AH4070" s="75"/>
      <c r="AK4070" s="75"/>
    </row>
    <row r="4071" spans="34:37" x14ac:dyDescent="0.25">
      <c r="AH4071" s="75"/>
      <c r="AK4071" s="75"/>
    </row>
    <row r="4072" spans="34:37" x14ac:dyDescent="0.25">
      <c r="AH4072" s="75"/>
      <c r="AK4072" s="75"/>
    </row>
    <row r="4073" spans="34:37" x14ac:dyDescent="0.25">
      <c r="AH4073" s="75"/>
      <c r="AK4073" s="75"/>
    </row>
    <row r="4074" spans="34:37" x14ac:dyDescent="0.25">
      <c r="AH4074" s="75"/>
      <c r="AK4074" s="75"/>
    </row>
    <row r="4075" spans="34:37" x14ac:dyDescent="0.25">
      <c r="AH4075" s="75"/>
      <c r="AK4075" s="75"/>
    </row>
    <row r="4076" spans="34:37" x14ac:dyDescent="0.25">
      <c r="AH4076" s="75"/>
      <c r="AK4076" s="75"/>
    </row>
    <row r="4077" spans="34:37" x14ac:dyDescent="0.25">
      <c r="AH4077" s="75"/>
      <c r="AK4077" s="75"/>
    </row>
    <row r="4078" spans="34:37" x14ac:dyDescent="0.25">
      <c r="AH4078" s="75"/>
      <c r="AK4078" s="75"/>
    </row>
    <row r="4079" spans="34:37" x14ac:dyDescent="0.25">
      <c r="AH4079" s="75"/>
      <c r="AK4079" s="75"/>
    </row>
    <row r="4080" spans="34:37" x14ac:dyDescent="0.25">
      <c r="AH4080" s="75"/>
      <c r="AK4080" s="75"/>
    </row>
    <row r="4081" spans="34:37" x14ac:dyDescent="0.25">
      <c r="AH4081" s="75"/>
      <c r="AK4081" s="75"/>
    </row>
    <row r="4082" spans="34:37" x14ac:dyDescent="0.25">
      <c r="AH4082" s="75"/>
      <c r="AK4082" s="75"/>
    </row>
    <row r="4083" spans="34:37" x14ac:dyDescent="0.25">
      <c r="AH4083" s="75"/>
      <c r="AK4083" s="75"/>
    </row>
    <row r="4084" spans="34:37" x14ac:dyDescent="0.25">
      <c r="AH4084" s="75"/>
      <c r="AK4084" s="75"/>
    </row>
    <row r="4085" spans="34:37" x14ac:dyDescent="0.25">
      <c r="AH4085" s="75"/>
      <c r="AK4085" s="75"/>
    </row>
    <row r="4086" spans="34:37" x14ac:dyDescent="0.25">
      <c r="AH4086" s="75"/>
      <c r="AK4086" s="75"/>
    </row>
    <row r="4087" spans="34:37" x14ac:dyDescent="0.25">
      <c r="AH4087" s="75"/>
      <c r="AK4087" s="75"/>
    </row>
    <row r="4088" spans="34:37" x14ac:dyDescent="0.25">
      <c r="AH4088" s="75"/>
      <c r="AK4088" s="75"/>
    </row>
    <row r="4089" spans="34:37" x14ac:dyDescent="0.25">
      <c r="AH4089" s="75"/>
      <c r="AK4089" s="75"/>
    </row>
    <row r="4090" spans="34:37" x14ac:dyDescent="0.25">
      <c r="AH4090" s="75"/>
      <c r="AK4090" s="75"/>
    </row>
    <row r="4091" spans="34:37" x14ac:dyDescent="0.25">
      <c r="AH4091" s="75"/>
      <c r="AK4091" s="75"/>
    </row>
    <row r="4092" spans="34:37" x14ac:dyDescent="0.25">
      <c r="AH4092" s="75"/>
      <c r="AK4092" s="75"/>
    </row>
    <row r="4093" spans="34:37" x14ac:dyDescent="0.25">
      <c r="AH4093" s="75"/>
      <c r="AK4093" s="75"/>
    </row>
    <row r="4094" spans="34:37" x14ac:dyDescent="0.25">
      <c r="AH4094" s="75"/>
      <c r="AK4094" s="75"/>
    </row>
    <row r="4095" spans="34:37" x14ac:dyDescent="0.25">
      <c r="AH4095" s="75"/>
      <c r="AK4095" s="75"/>
    </row>
    <row r="4096" spans="34:37" x14ac:dyDescent="0.25">
      <c r="AH4096" s="75"/>
      <c r="AK4096" s="75"/>
    </row>
    <row r="4097" spans="34:37" x14ac:dyDescent="0.25">
      <c r="AH4097" s="75"/>
      <c r="AK4097" s="75"/>
    </row>
    <row r="4098" spans="34:37" x14ac:dyDescent="0.25">
      <c r="AH4098" s="75"/>
      <c r="AK4098" s="75"/>
    </row>
    <row r="4099" spans="34:37" x14ac:dyDescent="0.25">
      <c r="AH4099" s="75"/>
      <c r="AK4099" s="75"/>
    </row>
    <row r="4100" spans="34:37" x14ac:dyDescent="0.25">
      <c r="AH4100" s="75"/>
      <c r="AK4100" s="75"/>
    </row>
    <row r="4101" spans="34:37" x14ac:dyDescent="0.25">
      <c r="AH4101" s="75"/>
      <c r="AK4101" s="75"/>
    </row>
    <row r="4102" spans="34:37" x14ac:dyDescent="0.25">
      <c r="AH4102" s="75"/>
      <c r="AK4102" s="75"/>
    </row>
    <row r="4103" spans="34:37" x14ac:dyDescent="0.25">
      <c r="AH4103" s="75"/>
      <c r="AK4103" s="75"/>
    </row>
    <row r="4104" spans="34:37" x14ac:dyDescent="0.25">
      <c r="AH4104" s="75"/>
      <c r="AK4104" s="75"/>
    </row>
    <row r="4105" spans="34:37" x14ac:dyDescent="0.25">
      <c r="AH4105" s="75"/>
      <c r="AK4105" s="75"/>
    </row>
    <row r="4106" spans="34:37" x14ac:dyDescent="0.25">
      <c r="AH4106" s="75"/>
      <c r="AK4106" s="75"/>
    </row>
    <row r="4107" spans="34:37" x14ac:dyDescent="0.25">
      <c r="AH4107" s="75"/>
      <c r="AK4107" s="75"/>
    </row>
    <row r="4108" spans="34:37" x14ac:dyDescent="0.25">
      <c r="AH4108" s="75"/>
      <c r="AK4108" s="75"/>
    </row>
    <row r="4109" spans="34:37" x14ac:dyDescent="0.25">
      <c r="AH4109" s="75"/>
      <c r="AK4109" s="75"/>
    </row>
    <row r="4110" spans="34:37" x14ac:dyDescent="0.25">
      <c r="AH4110" s="75"/>
      <c r="AK4110" s="75"/>
    </row>
    <row r="4111" spans="34:37" x14ac:dyDescent="0.25">
      <c r="AH4111" s="75"/>
      <c r="AK4111" s="75"/>
    </row>
    <row r="4112" spans="34:37" x14ac:dyDescent="0.25">
      <c r="AH4112" s="75"/>
      <c r="AK4112" s="75"/>
    </row>
    <row r="4113" spans="34:37" x14ac:dyDescent="0.25">
      <c r="AH4113" s="75"/>
      <c r="AK4113" s="75"/>
    </row>
    <row r="4114" spans="34:37" x14ac:dyDescent="0.25">
      <c r="AH4114" s="75"/>
      <c r="AK4114" s="75"/>
    </row>
    <row r="4115" spans="34:37" x14ac:dyDescent="0.25">
      <c r="AH4115" s="75"/>
      <c r="AK4115" s="75"/>
    </row>
    <row r="4116" spans="34:37" x14ac:dyDescent="0.25">
      <c r="AH4116" s="75"/>
      <c r="AK4116" s="75"/>
    </row>
    <row r="4117" spans="34:37" x14ac:dyDescent="0.25">
      <c r="AH4117" s="75"/>
      <c r="AK4117" s="75"/>
    </row>
    <row r="4118" spans="34:37" x14ac:dyDescent="0.25">
      <c r="AH4118" s="75"/>
      <c r="AK4118" s="75"/>
    </row>
    <row r="4119" spans="34:37" x14ac:dyDescent="0.25">
      <c r="AH4119" s="75"/>
      <c r="AK4119" s="75"/>
    </row>
    <row r="4120" spans="34:37" x14ac:dyDescent="0.25">
      <c r="AH4120" s="75"/>
      <c r="AK4120" s="75"/>
    </row>
    <row r="4121" spans="34:37" x14ac:dyDescent="0.25">
      <c r="AH4121" s="75"/>
      <c r="AK4121" s="75"/>
    </row>
    <row r="4122" spans="34:37" x14ac:dyDescent="0.25">
      <c r="AH4122" s="75"/>
      <c r="AK4122" s="75"/>
    </row>
    <row r="4123" spans="34:37" x14ac:dyDescent="0.25">
      <c r="AH4123" s="75"/>
      <c r="AK4123" s="75"/>
    </row>
    <row r="4124" spans="34:37" x14ac:dyDescent="0.25">
      <c r="AH4124" s="75"/>
      <c r="AK4124" s="75"/>
    </row>
    <row r="4125" spans="34:37" x14ac:dyDescent="0.25">
      <c r="AH4125" s="75"/>
      <c r="AK4125" s="75"/>
    </row>
    <row r="4126" spans="34:37" x14ac:dyDescent="0.25">
      <c r="AH4126" s="75"/>
      <c r="AK4126" s="75"/>
    </row>
    <row r="4127" spans="34:37" x14ac:dyDescent="0.25">
      <c r="AH4127" s="75"/>
      <c r="AK4127" s="75"/>
    </row>
    <row r="4128" spans="34:37" x14ac:dyDescent="0.25">
      <c r="AH4128" s="75"/>
      <c r="AK4128" s="75"/>
    </row>
    <row r="4129" spans="34:37" x14ac:dyDescent="0.25">
      <c r="AH4129" s="75"/>
      <c r="AK4129" s="75"/>
    </row>
    <row r="4130" spans="34:37" x14ac:dyDescent="0.25">
      <c r="AH4130" s="75"/>
      <c r="AK4130" s="75"/>
    </row>
    <row r="4131" spans="34:37" x14ac:dyDescent="0.25">
      <c r="AH4131" s="75"/>
      <c r="AK4131" s="75"/>
    </row>
    <row r="4132" spans="34:37" x14ac:dyDescent="0.25">
      <c r="AH4132" s="75"/>
      <c r="AK4132" s="75"/>
    </row>
    <row r="4133" spans="34:37" x14ac:dyDescent="0.25">
      <c r="AH4133" s="75"/>
      <c r="AK4133" s="75"/>
    </row>
    <row r="4134" spans="34:37" x14ac:dyDescent="0.25">
      <c r="AH4134" s="75"/>
      <c r="AK4134" s="75"/>
    </row>
    <row r="4135" spans="34:37" x14ac:dyDescent="0.25">
      <c r="AH4135" s="75"/>
      <c r="AK4135" s="75"/>
    </row>
    <row r="4136" spans="34:37" x14ac:dyDescent="0.25">
      <c r="AH4136" s="75"/>
      <c r="AK4136" s="75"/>
    </row>
    <row r="4137" spans="34:37" x14ac:dyDescent="0.25">
      <c r="AH4137" s="75"/>
      <c r="AK4137" s="75"/>
    </row>
    <row r="4138" spans="34:37" x14ac:dyDescent="0.25">
      <c r="AH4138" s="75"/>
      <c r="AK4138" s="75"/>
    </row>
    <row r="4139" spans="34:37" x14ac:dyDescent="0.25">
      <c r="AH4139" s="75"/>
      <c r="AK4139" s="75"/>
    </row>
    <row r="4140" spans="34:37" x14ac:dyDescent="0.25">
      <c r="AH4140" s="75"/>
      <c r="AK4140" s="75"/>
    </row>
    <row r="4141" spans="34:37" x14ac:dyDescent="0.25">
      <c r="AH4141" s="75"/>
      <c r="AK4141" s="75"/>
    </row>
    <row r="4142" spans="34:37" x14ac:dyDescent="0.25">
      <c r="AH4142" s="75"/>
      <c r="AK4142" s="75"/>
    </row>
    <row r="4143" spans="34:37" x14ac:dyDescent="0.25">
      <c r="AH4143" s="75"/>
      <c r="AK4143" s="75"/>
    </row>
    <row r="4144" spans="34:37" x14ac:dyDescent="0.25">
      <c r="AH4144" s="75"/>
      <c r="AK4144" s="75"/>
    </row>
    <row r="4145" spans="34:37" x14ac:dyDescent="0.25">
      <c r="AH4145" s="75"/>
      <c r="AK4145" s="75"/>
    </row>
    <row r="4146" spans="34:37" x14ac:dyDescent="0.25">
      <c r="AH4146" s="75"/>
      <c r="AK4146" s="75"/>
    </row>
    <row r="4147" spans="34:37" x14ac:dyDescent="0.25">
      <c r="AH4147" s="75"/>
      <c r="AK4147" s="75"/>
    </row>
    <row r="4148" spans="34:37" x14ac:dyDescent="0.25">
      <c r="AH4148" s="75"/>
      <c r="AK4148" s="75"/>
    </row>
    <row r="4149" spans="34:37" x14ac:dyDescent="0.25">
      <c r="AH4149" s="75"/>
      <c r="AK4149" s="75"/>
    </row>
    <row r="4150" spans="34:37" x14ac:dyDescent="0.25">
      <c r="AH4150" s="75"/>
      <c r="AK4150" s="75"/>
    </row>
    <row r="4151" spans="34:37" x14ac:dyDescent="0.25">
      <c r="AH4151" s="75"/>
      <c r="AK4151" s="75"/>
    </row>
    <row r="4152" spans="34:37" x14ac:dyDescent="0.25">
      <c r="AH4152" s="75"/>
      <c r="AK4152" s="75"/>
    </row>
    <row r="4153" spans="34:37" x14ac:dyDescent="0.25">
      <c r="AH4153" s="75"/>
      <c r="AK4153" s="75"/>
    </row>
    <row r="4154" spans="34:37" x14ac:dyDescent="0.25">
      <c r="AH4154" s="75"/>
      <c r="AK4154" s="75"/>
    </row>
    <row r="4155" spans="34:37" x14ac:dyDescent="0.25">
      <c r="AH4155" s="75"/>
      <c r="AK4155" s="75"/>
    </row>
    <row r="4156" spans="34:37" x14ac:dyDescent="0.25">
      <c r="AH4156" s="75"/>
      <c r="AK4156" s="75"/>
    </row>
    <row r="4157" spans="34:37" x14ac:dyDescent="0.25">
      <c r="AH4157" s="75"/>
      <c r="AK4157" s="75"/>
    </row>
    <row r="4158" spans="34:37" x14ac:dyDescent="0.25">
      <c r="AH4158" s="75"/>
      <c r="AK4158" s="75"/>
    </row>
    <row r="4159" spans="34:37" x14ac:dyDescent="0.25">
      <c r="AH4159" s="75"/>
      <c r="AK4159" s="75"/>
    </row>
    <row r="4160" spans="34:37" x14ac:dyDescent="0.25">
      <c r="AH4160" s="75"/>
      <c r="AK4160" s="75"/>
    </row>
    <row r="4161" spans="34:37" x14ac:dyDescent="0.25">
      <c r="AH4161" s="75"/>
      <c r="AK4161" s="75"/>
    </row>
    <row r="4162" spans="34:37" x14ac:dyDescent="0.25">
      <c r="AH4162" s="75"/>
      <c r="AK4162" s="75"/>
    </row>
    <row r="4163" spans="34:37" x14ac:dyDescent="0.25">
      <c r="AH4163" s="75"/>
      <c r="AK4163" s="75"/>
    </row>
    <row r="4164" spans="34:37" x14ac:dyDescent="0.25">
      <c r="AH4164" s="75"/>
      <c r="AK4164" s="75"/>
    </row>
    <row r="4165" spans="34:37" x14ac:dyDescent="0.25">
      <c r="AH4165" s="75"/>
      <c r="AK4165" s="75"/>
    </row>
    <row r="4166" spans="34:37" x14ac:dyDescent="0.25">
      <c r="AH4166" s="75"/>
      <c r="AK4166" s="75"/>
    </row>
    <row r="4167" spans="34:37" x14ac:dyDescent="0.25">
      <c r="AH4167" s="75"/>
      <c r="AK4167" s="75"/>
    </row>
    <row r="4168" spans="34:37" x14ac:dyDescent="0.25">
      <c r="AH4168" s="75"/>
      <c r="AK4168" s="75"/>
    </row>
    <row r="4169" spans="34:37" x14ac:dyDescent="0.25">
      <c r="AH4169" s="75"/>
      <c r="AK4169" s="75"/>
    </row>
    <row r="4170" spans="34:37" x14ac:dyDescent="0.25">
      <c r="AH4170" s="75"/>
      <c r="AK4170" s="75"/>
    </row>
    <row r="4171" spans="34:37" x14ac:dyDescent="0.25">
      <c r="AH4171" s="75"/>
      <c r="AK4171" s="75"/>
    </row>
    <row r="4172" spans="34:37" x14ac:dyDescent="0.25">
      <c r="AH4172" s="75"/>
      <c r="AK4172" s="75"/>
    </row>
    <row r="4173" spans="34:37" x14ac:dyDescent="0.25">
      <c r="AH4173" s="75"/>
      <c r="AK4173" s="75"/>
    </row>
    <row r="4174" spans="34:37" x14ac:dyDescent="0.25">
      <c r="AH4174" s="75"/>
      <c r="AK4174" s="75"/>
    </row>
    <row r="4175" spans="34:37" x14ac:dyDescent="0.25">
      <c r="AH4175" s="75"/>
      <c r="AK4175" s="75"/>
    </row>
    <row r="4176" spans="34:37" x14ac:dyDescent="0.25">
      <c r="AH4176" s="75"/>
      <c r="AK4176" s="75"/>
    </row>
    <row r="4177" spans="34:37" x14ac:dyDescent="0.25">
      <c r="AH4177" s="75"/>
      <c r="AK4177" s="75"/>
    </row>
    <row r="4178" spans="34:37" x14ac:dyDescent="0.25">
      <c r="AH4178" s="75"/>
      <c r="AK4178" s="75"/>
    </row>
    <row r="4179" spans="34:37" x14ac:dyDescent="0.25">
      <c r="AH4179" s="75"/>
      <c r="AK4179" s="75"/>
    </row>
    <row r="4180" spans="34:37" x14ac:dyDescent="0.25">
      <c r="AH4180" s="75"/>
      <c r="AK4180" s="75"/>
    </row>
    <row r="4181" spans="34:37" x14ac:dyDescent="0.25">
      <c r="AH4181" s="75"/>
      <c r="AK4181" s="75"/>
    </row>
    <row r="4182" spans="34:37" x14ac:dyDescent="0.25">
      <c r="AH4182" s="75"/>
      <c r="AK4182" s="75"/>
    </row>
    <row r="4183" spans="34:37" x14ac:dyDescent="0.25">
      <c r="AH4183" s="75"/>
      <c r="AK4183" s="75"/>
    </row>
    <row r="4184" spans="34:37" x14ac:dyDescent="0.25">
      <c r="AH4184" s="75"/>
      <c r="AK4184" s="75"/>
    </row>
    <row r="4185" spans="34:37" x14ac:dyDescent="0.25">
      <c r="AH4185" s="75"/>
      <c r="AK4185" s="75"/>
    </row>
    <row r="4186" spans="34:37" x14ac:dyDescent="0.25">
      <c r="AH4186" s="75"/>
      <c r="AK4186" s="75"/>
    </row>
    <row r="4187" spans="34:37" x14ac:dyDescent="0.25">
      <c r="AH4187" s="75"/>
      <c r="AK4187" s="75"/>
    </row>
    <row r="4188" spans="34:37" x14ac:dyDescent="0.25">
      <c r="AH4188" s="75"/>
      <c r="AK4188" s="75"/>
    </row>
    <row r="4189" spans="34:37" x14ac:dyDescent="0.25">
      <c r="AH4189" s="75"/>
      <c r="AK4189" s="75"/>
    </row>
    <row r="4190" spans="34:37" x14ac:dyDescent="0.25">
      <c r="AH4190" s="75"/>
      <c r="AK4190" s="75"/>
    </row>
    <row r="4191" spans="34:37" x14ac:dyDescent="0.25">
      <c r="AH4191" s="75"/>
      <c r="AK4191" s="75"/>
    </row>
    <row r="4192" spans="34:37" x14ac:dyDescent="0.25">
      <c r="AH4192" s="75"/>
      <c r="AK4192" s="75"/>
    </row>
    <row r="4193" spans="34:37" x14ac:dyDescent="0.25">
      <c r="AH4193" s="75"/>
      <c r="AK4193" s="75"/>
    </row>
    <row r="4194" spans="34:37" x14ac:dyDescent="0.25">
      <c r="AH4194" s="75"/>
      <c r="AK4194" s="75"/>
    </row>
    <row r="4195" spans="34:37" x14ac:dyDescent="0.25">
      <c r="AH4195" s="75"/>
      <c r="AK4195" s="75"/>
    </row>
    <row r="4196" spans="34:37" x14ac:dyDescent="0.25">
      <c r="AH4196" s="75"/>
      <c r="AK4196" s="75"/>
    </row>
    <row r="4197" spans="34:37" x14ac:dyDescent="0.25">
      <c r="AH4197" s="75"/>
      <c r="AK4197" s="75"/>
    </row>
    <row r="4198" spans="34:37" x14ac:dyDescent="0.25">
      <c r="AH4198" s="75"/>
      <c r="AK4198" s="75"/>
    </row>
    <row r="4199" spans="34:37" x14ac:dyDescent="0.25">
      <c r="AH4199" s="75"/>
      <c r="AK4199" s="75"/>
    </row>
    <row r="4200" spans="34:37" x14ac:dyDescent="0.25">
      <c r="AH4200" s="75"/>
      <c r="AK4200" s="75"/>
    </row>
    <row r="4201" spans="34:37" x14ac:dyDescent="0.25">
      <c r="AH4201" s="75"/>
      <c r="AK4201" s="75"/>
    </row>
    <row r="4202" spans="34:37" x14ac:dyDescent="0.25">
      <c r="AH4202" s="75"/>
      <c r="AK4202" s="75"/>
    </row>
    <row r="4203" spans="34:37" x14ac:dyDescent="0.25">
      <c r="AH4203" s="75"/>
      <c r="AK4203" s="75"/>
    </row>
    <row r="4204" spans="34:37" x14ac:dyDescent="0.25">
      <c r="AH4204" s="75"/>
      <c r="AK4204" s="75"/>
    </row>
    <row r="4205" spans="34:37" x14ac:dyDescent="0.25">
      <c r="AH4205" s="75"/>
      <c r="AK4205" s="75"/>
    </row>
    <row r="4206" spans="34:37" x14ac:dyDescent="0.25">
      <c r="AH4206" s="75"/>
      <c r="AK4206" s="75"/>
    </row>
    <row r="4207" spans="34:37" x14ac:dyDescent="0.25">
      <c r="AH4207" s="75"/>
      <c r="AK4207" s="75"/>
    </row>
    <row r="4208" spans="34:37" x14ac:dyDescent="0.25">
      <c r="AH4208" s="75"/>
      <c r="AK4208" s="75"/>
    </row>
    <row r="4209" spans="34:37" x14ac:dyDescent="0.25">
      <c r="AH4209" s="75"/>
      <c r="AK4209" s="75"/>
    </row>
    <row r="4210" spans="34:37" x14ac:dyDescent="0.25">
      <c r="AH4210" s="75"/>
      <c r="AK4210" s="75"/>
    </row>
    <row r="4211" spans="34:37" x14ac:dyDescent="0.25">
      <c r="AH4211" s="75"/>
      <c r="AK4211" s="75"/>
    </row>
    <row r="4212" spans="34:37" x14ac:dyDescent="0.25">
      <c r="AH4212" s="75"/>
      <c r="AK4212" s="75"/>
    </row>
    <row r="4213" spans="34:37" x14ac:dyDescent="0.25">
      <c r="AH4213" s="75"/>
      <c r="AK4213" s="75"/>
    </row>
    <row r="4214" spans="34:37" x14ac:dyDescent="0.25">
      <c r="AH4214" s="75"/>
      <c r="AK4214" s="75"/>
    </row>
    <row r="4215" spans="34:37" x14ac:dyDescent="0.25">
      <c r="AH4215" s="75"/>
      <c r="AK4215" s="75"/>
    </row>
    <row r="4216" spans="34:37" x14ac:dyDescent="0.25">
      <c r="AH4216" s="75"/>
      <c r="AK4216" s="75"/>
    </row>
    <row r="4217" spans="34:37" x14ac:dyDescent="0.25">
      <c r="AH4217" s="75"/>
      <c r="AK4217" s="75"/>
    </row>
    <row r="4218" spans="34:37" x14ac:dyDescent="0.25">
      <c r="AH4218" s="75"/>
      <c r="AK4218" s="75"/>
    </row>
    <row r="4219" spans="34:37" x14ac:dyDescent="0.25">
      <c r="AH4219" s="75"/>
      <c r="AK4219" s="75"/>
    </row>
    <row r="4220" spans="34:37" x14ac:dyDescent="0.25">
      <c r="AH4220" s="75"/>
      <c r="AK4220" s="75"/>
    </row>
    <row r="4221" spans="34:37" x14ac:dyDescent="0.25">
      <c r="AH4221" s="75"/>
      <c r="AK4221" s="75"/>
    </row>
    <row r="4222" spans="34:37" x14ac:dyDescent="0.25">
      <c r="AH4222" s="75"/>
      <c r="AK4222" s="75"/>
    </row>
    <row r="4223" spans="34:37" x14ac:dyDescent="0.25">
      <c r="AH4223" s="75"/>
      <c r="AK4223" s="75"/>
    </row>
    <row r="4224" spans="34:37" x14ac:dyDescent="0.25">
      <c r="AH4224" s="75"/>
      <c r="AK4224" s="75"/>
    </row>
    <row r="4225" spans="34:37" x14ac:dyDescent="0.25">
      <c r="AH4225" s="75"/>
      <c r="AK4225" s="75"/>
    </row>
    <row r="4226" spans="34:37" x14ac:dyDescent="0.25">
      <c r="AH4226" s="75"/>
      <c r="AK4226" s="75"/>
    </row>
    <row r="4227" spans="34:37" x14ac:dyDescent="0.25">
      <c r="AH4227" s="75"/>
      <c r="AK4227" s="75"/>
    </row>
    <row r="4228" spans="34:37" x14ac:dyDescent="0.25">
      <c r="AH4228" s="75"/>
      <c r="AK4228" s="75"/>
    </row>
    <row r="4229" spans="34:37" x14ac:dyDescent="0.25">
      <c r="AH4229" s="75"/>
      <c r="AK4229" s="75"/>
    </row>
    <row r="4230" spans="34:37" x14ac:dyDescent="0.25">
      <c r="AH4230" s="75"/>
      <c r="AK4230" s="75"/>
    </row>
    <row r="4231" spans="34:37" x14ac:dyDescent="0.25">
      <c r="AH4231" s="75"/>
      <c r="AK4231" s="75"/>
    </row>
    <row r="4232" spans="34:37" x14ac:dyDescent="0.25">
      <c r="AH4232" s="75"/>
      <c r="AK4232" s="75"/>
    </row>
    <row r="4233" spans="34:37" x14ac:dyDescent="0.25">
      <c r="AH4233" s="75"/>
      <c r="AK4233" s="75"/>
    </row>
    <row r="4234" spans="34:37" x14ac:dyDescent="0.25">
      <c r="AH4234" s="75"/>
      <c r="AK4234" s="75"/>
    </row>
    <row r="4235" spans="34:37" x14ac:dyDescent="0.25">
      <c r="AH4235" s="75"/>
      <c r="AK4235" s="75"/>
    </row>
    <row r="4236" spans="34:37" x14ac:dyDescent="0.25">
      <c r="AH4236" s="75"/>
      <c r="AK4236" s="75"/>
    </row>
    <row r="4237" spans="34:37" x14ac:dyDescent="0.25">
      <c r="AH4237" s="75"/>
      <c r="AK4237" s="75"/>
    </row>
    <row r="4238" spans="34:37" x14ac:dyDescent="0.25">
      <c r="AH4238" s="75"/>
      <c r="AK4238" s="75"/>
    </row>
    <row r="4239" spans="34:37" x14ac:dyDescent="0.25">
      <c r="AH4239" s="75"/>
      <c r="AK4239" s="75"/>
    </row>
    <row r="4240" spans="34:37" x14ac:dyDescent="0.25">
      <c r="AH4240" s="75"/>
      <c r="AK4240" s="75"/>
    </row>
    <row r="4241" spans="34:37" x14ac:dyDescent="0.25">
      <c r="AH4241" s="75"/>
      <c r="AK4241" s="75"/>
    </row>
    <row r="4242" spans="34:37" x14ac:dyDescent="0.25">
      <c r="AH4242" s="75"/>
      <c r="AK4242" s="75"/>
    </row>
    <row r="4243" spans="34:37" x14ac:dyDescent="0.25">
      <c r="AH4243" s="75"/>
      <c r="AK4243" s="75"/>
    </row>
    <row r="4244" spans="34:37" x14ac:dyDescent="0.25">
      <c r="AH4244" s="75"/>
      <c r="AK4244" s="75"/>
    </row>
    <row r="4245" spans="34:37" x14ac:dyDescent="0.25">
      <c r="AH4245" s="75"/>
      <c r="AK4245" s="75"/>
    </row>
    <row r="4246" spans="34:37" x14ac:dyDescent="0.25">
      <c r="AH4246" s="75"/>
      <c r="AK4246" s="75"/>
    </row>
    <row r="4247" spans="34:37" x14ac:dyDescent="0.25">
      <c r="AH4247" s="75"/>
      <c r="AK4247" s="75"/>
    </row>
    <row r="4248" spans="34:37" x14ac:dyDescent="0.25">
      <c r="AH4248" s="75"/>
      <c r="AK4248" s="75"/>
    </row>
    <row r="4249" spans="34:37" x14ac:dyDescent="0.25">
      <c r="AH4249" s="75"/>
      <c r="AK4249" s="75"/>
    </row>
    <row r="4250" spans="34:37" x14ac:dyDescent="0.25">
      <c r="AH4250" s="75"/>
      <c r="AK4250" s="75"/>
    </row>
    <row r="4251" spans="34:37" x14ac:dyDescent="0.25">
      <c r="AH4251" s="75"/>
      <c r="AK4251" s="75"/>
    </row>
    <row r="4252" spans="34:37" x14ac:dyDescent="0.25">
      <c r="AH4252" s="75"/>
      <c r="AK4252" s="75"/>
    </row>
    <row r="4253" spans="34:37" x14ac:dyDescent="0.25">
      <c r="AH4253" s="75"/>
      <c r="AK4253" s="75"/>
    </row>
    <row r="4254" spans="34:37" x14ac:dyDescent="0.25">
      <c r="AH4254" s="75"/>
      <c r="AK4254" s="75"/>
    </row>
    <row r="4255" spans="34:37" x14ac:dyDescent="0.25">
      <c r="AH4255" s="75"/>
      <c r="AK4255" s="75"/>
    </row>
    <row r="4256" spans="34:37" x14ac:dyDescent="0.25">
      <c r="AH4256" s="75"/>
      <c r="AK4256" s="75"/>
    </row>
    <row r="4257" spans="34:37" x14ac:dyDescent="0.25">
      <c r="AH4257" s="75"/>
      <c r="AK4257" s="75"/>
    </row>
    <row r="4258" spans="34:37" x14ac:dyDescent="0.25">
      <c r="AH4258" s="75"/>
      <c r="AK4258" s="75"/>
    </row>
    <row r="4259" spans="34:37" x14ac:dyDescent="0.25">
      <c r="AH4259" s="75"/>
      <c r="AK4259" s="75"/>
    </row>
    <row r="4260" spans="34:37" x14ac:dyDescent="0.25">
      <c r="AH4260" s="75"/>
      <c r="AK4260" s="75"/>
    </row>
    <row r="4261" spans="34:37" x14ac:dyDescent="0.25">
      <c r="AH4261" s="75"/>
      <c r="AK4261" s="75"/>
    </row>
    <row r="4262" spans="34:37" x14ac:dyDescent="0.25">
      <c r="AH4262" s="75"/>
      <c r="AK4262" s="75"/>
    </row>
    <row r="4263" spans="34:37" x14ac:dyDescent="0.25">
      <c r="AH4263" s="75"/>
      <c r="AK4263" s="75"/>
    </row>
    <row r="4264" spans="34:37" x14ac:dyDescent="0.25">
      <c r="AH4264" s="75"/>
      <c r="AK4264" s="75"/>
    </row>
    <row r="4265" spans="34:37" x14ac:dyDescent="0.25">
      <c r="AH4265" s="75"/>
      <c r="AK4265" s="75"/>
    </row>
    <row r="4266" spans="34:37" x14ac:dyDescent="0.25">
      <c r="AH4266" s="75"/>
      <c r="AK4266" s="75"/>
    </row>
    <row r="4267" spans="34:37" x14ac:dyDescent="0.25">
      <c r="AH4267" s="75"/>
      <c r="AK4267" s="75"/>
    </row>
    <row r="4268" spans="34:37" x14ac:dyDescent="0.25">
      <c r="AH4268" s="75"/>
      <c r="AK4268" s="75"/>
    </row>
    <row r="4269" spans="34:37" x14ac:dyDescent="0.25">
      <c r="AH4269" s="75"/>
      <c r="AK4269" s="75"/>
    </row>
    <row r="4270" spans="34:37" x14ac:dyDescent="0.25">
      <c r="AH4270" s="75"/>
      <c r="AK4270" s="75"/>
    </row>
    <row r="4271" spans="34:37" x14ac:dyDescent="0.25">
      <c r="AH4271" s="75"/>
      <c r="AK4271" s="75"/>
    </row>
    <row r="4272" spans="34:37" x14ac:dyDescent="0.25">
      <c r="AH4272" s="75"/>
      <c r="AK4272" s="75"/>
    </row>
    <row r="4273" spans="34:37" x14ac:dyDescent="0.25">
      <c r="AH4273" s="75"/>
      <c r="AK4273" s="75"/>
    </row>
    <row r="4274" spans="34:37" x14ac:dyDescent="0.25">
      <c r="AH4274" s="75"/>
      <c r="AK4274" s="75"/>
    </row>
    <row r="4275" spans="34:37" x14ac:dyDescent="0.25">
      <c r="AH4275" s="75"/>
      <c r="AK4275" s="75"/>
    </row>
    <row r="4276" spans="34:37" x14ac:dyDescent="0.25">
      <c r="AH4276" s="75"/>
      <c r="AK4276" s="75"/>
    </row>
    <row r="4277" spans="34:37" x14ac:dyDescent="0.25">
      <c r="AH4277" s="75"/>
      <c r="AK4277" s="75"/>
    </row>
    <row r="4278" spans="34:37" x14ac:dyDescent="0.25">
      <c r="AH4278" s="75"/>
      <c r="AK4278" s="75"/>
    </row>
    <row r="4279" spans="34:37" x14ac:dyDescent="0.25">
      <c r="AH4279" s="75"/>
      <c r="AK4279" s="75"/>
    </row>
    <row r="4280" spans="34:37" x14ac:dyDescent="0.25">
      <c r="AH4280" s="75"/>
      <c r="AK4280" s="75"/>
    </row>
    <row r="4281" spans="34:37" x14ac:dyDescent="0.25">
      <c r="AH4281" s="75"/>
      <c r="AK4281" s="75"/>
    </row>
    <row r="4282" spans="34:37" x14ac:dyDescent="0.25">
      <c r="AH4282" s="75"/>
      <c r="AK4282" s="75"/>
    </row>
    <row r="4283" spans="34:37" x14ac:dyDescent="0.25">
      <c r="AH4283" s="75"/>
      <c r="AK4283" s="75"/>
    </row>
    <row r="4284" spans="34:37" x14ac:dyDescent="0.25">
      <c r="AH4284" s="75"/>
      <c r="AK4284" s="75"/>
    </row>
    <row r="4285" spans="34:37" x14ac:dyDescent="0.25">
      <c r="AH4285" s="75"/>
      <c r="AK4285" s="75"/>
    </row>
    <row r="4286" spans="34:37" x14ac:dyDescent="0.25">
      <c r="AH4286" s="75"/>
      <c r="AK4286" s="75"/>
    </row>
    <row r="4287" spans="34:37" x14ac:dyDescent="0.25">
      <c r="AH4287" s="75"/>
      <c r="AK4287" s="75"/>
    </row>
    <row r="4288" spans="34:37" x14ac:dyDescent="0.25">
      <c r="AH4288" s="75"/>
      <c r="AK4288" s="75"/>
    </row>
    <row r="4289" spans="34:37" x14ac:dyDescent="0.25">
      <c r="AH4289" s="75"/>
      <c r="AK4289" s="75"/>
    </row>
    <row r="4290" spans="34:37" x14ac:dyDescent="0.25">
      <c r="AH4290" s="75"/>
      <c r="AK4290" s="75"/>
    </row>
    <row r="4291" spans="34:37" x14ac:dyDescent="0.25">
      <c r="AH4291" s="75"/>
      <c r="AK4291" s="75"/>
    </row>
    <row r="4292" spans="34:37" x14ac:dyDescent="0.25">
      <c r="AH4292" s="75"/>
      <c r="AK4292" s="75"/>
    </row>
    <row r="4293" spans="34:37" x14ac:dyDescent="0.25">
      <c r="AH4293" s="75"/>
      <c r="AK4293" s="75"/>
    </row>
    <row r="4294" spans="34:37" x14ac:dyDescent="0.25">
      <c r="AH4294" s="75"/>
      <c r="AK4294" s="75"/>
    </row>
    <row r="4295" spans="34:37" x14ac:dyDescent="0.25">
      <c r="AH4295" s="75"/>
      <c r="AK4295" s="75"/>
    </row>
    <row r="4296" spans="34:37" x14ac:dyDescent="0.25">
      <c r="AH4296" s="75"/>
      <c r="AK4296" s="75"/>
    </row>
    <row r="4297" spans="34:37" x14ac:dyDescent="0.25">
      <c r="AH4297" s="75"/>
      <c r="AK4297" s="75"/>
    </row>
    <row r="4298" spans="34:37" x14ac:dyDescent="0.25">
      <c r="AH4298" s="75"/>
      <c r="AK4298" s="75"/>
    </row>
    <row r="4299" spans="34:37" x14ac:dyDescent="0.25">
      <c r="AH4299" s="75"/>
      <c r="AK4299" s="75"/>
    </row>
    <row r="4300" spans="34:37" x14ac:dyDescent="0.25">
      <c r="AH4300" s="75"/>
      <c r="AK4300" s="75"/>
    </row>
    <row r="4301" spans="34:37" x14ac:dyDescent="0.25">
      <c r="AH4301" s="75"/>
      <c r="AK4301" s="75"/>
    </row>
    <row r="4302" spans="34:37" x14ac:dyDescent="0.25">
      <c r="AH4302" s="75"/>
      <c r="AK4302" s="75"/>
    </row>
    <row r="4303" spans="34:37" x14ac:dyDescent="0.25">
      <c r="AH4303" s="75"/>
      <c r="AK4303" s="75"/>
    </row>
    <row r="4304" spans="34:37" x14ac:dyDescent="0.25">
      <c r="AH4304" s="75"/>
      <c r="AK4304" s="75"/>
    </row>
    <row r="4305" spans="34:37" x14ac:dyDescent="0.25">
      <c r="AH4305" s="75"/>
      <c r="AK4305" s="75"/>
    </row>
    <row r="4306" spans="34:37" x14ac:dyDescent="0.25">
      <c r="AH4306" s="75"/>
      <c r="AK4306" s="75"/>
    </row>
    <row r="4307" spans="34:37" x14ac:dyDescent="0.25">
      <c r="AH4307" s="75"/>
      <c r="AK4307" s="75"/>
    </row>
    <row r="4308" spans="34:37" x14ac:dyDescent="0.25">
      <c r="AH4308" s="75"/>
      <c r="AK4308" s="75"/>
    </row>
    <row r="4309" spans="34:37" x14ac:dyDescent="0.25">
      <c r="AH4309" s="75"/>
      <c r="AK4309" s="75"/>
    </row>
    <row r="4310" spans="34:37" x14ac:dyDescent="0.25">
      <c r="AH4310" s="75"/>
      <c r="AK4310" s="75"/>
    </row>
    <row r="4311" spans="34:37" x14ac:dyDescent="0.25">
      <c r="AH4311" s="75"/>
      <c r="AK4311" s="75"/>
    </row>
    <row r="4312" spans="34:37" x14ac:dyDescent="0.25">
      <c r="AH4312" s="75"/>
      <c r="AK4312" s="75"/>
    </row>
    <row r="4313" spans="34:37" x14ac:dyDescent="0.25">
      <c r="AH4313" s="75"/>
      <c r="AK4313" s="75"/>
    </row>
    <row r="4314" spans="34:37" x14ac:dyDescent="0.25">
      <c r="AH4314" s="75"/>
      <c r="AK4314" s="75"/>
    </row>
    <row r="4315" spans="34:37" x14ac:dyDescent="0.25">
      <c r="AH4315" s="75"/>
      <c r="AK4315" s="75"/>
    </row>
    <row r="4316" spans="34:37" x14ac:dyDescent="0.25">
      <c r="AH4316" s="75"/>
      <c r="AK4316" s="75"/>
    </row>
    <row r="4317" spans="34:37" x14ac:dyDescent="0.25">
      <c r="AH4317" s="75"/>
      <c r="AK4317" s="75"/>
    </row>
    <row r="4318" spans="34:37" x14ac:dyDescent="0.25">
      <c r="AH4318" s="75"/>
      <c r="AK4318" s="75"/>
    </row>
    <row r="4319" spans="34:37" x14ac:dyDescent="0.25">
      <c r="AH4319" s="75"/>
      <c r="AK4319" s="75"/>
    </row>
    <row r="4320" spans="34:37" x14ac:dyDescent="0.25">
      <c r="AH4320" s="75"/>
      <c r="AK4320" s="75"/>
    </row>
    <row r="4321" spans="34:37" x14ac:dyDescent="0.25">
      <c r="AH4321" s="75"/>
      <c r="AK4321" s="75"/>
    </row>
    <row r="4322" spans="34:37" x14ac:dyDescent="0.25">
      <c r="AH4322" s="75"/>
      <c r="AK4322" s="75"/>
    </row>
    <row r="4323" spans="34:37" x14ac:dyDescent="0.25">
      <c r="AH4323" s="75"/>
      <c r="AK4323" s="75"/>
    </row>
    <row r="4324" spans="34:37" x14ac:dyDescent="0.25">
      <c r="AH4324" s="75"/>
      <c r="AK4324" s="75"/>
    </row>
    <row r="4325" spans="34:37" x14ac:dyDescent="0.25">
      <c r="AH4325" s="75"/>
      <c r="AK4325" s="75"/>
    </row>
    <row r="4326" spans="34:37" x14ac:dyDescent="0.25">
      <c r="AH4326" s="75"/>
      <c r="AK4326" s="75"/>
    </row>
    <row r="4327" spans="34:37" x14ac:dyDescent="0.25">
      <c r="AH4327" s="75"/>
      <c r="AK4327" s="75"/>
    </row>
    <row r="4328" spans="34:37" x14ac:dyDescent="0.25">
      <c r="AH4328" s="75"/>
      <c r="AK4328" s="75"/>
    </row>
    <row r="4329" spans="34:37" x14ac:dyDescent="0.25">
      <c r="AH4329" s="75"/>
      <c r="AK4329" s="75"/>
    </row>
    <row r="4330" spans="34:37" x14ac:dyDescent="0.25">
      <c r="AH4330" s="75"/>
      <c r="AK4330" s="75"/>
    </row>
    <row r="4331" spans="34:37" x14ac:dyDescent="0.25">
      <c r="AH4331" s="75"/>
      <c r="AK4331" s="75"/>
    </row>
    <row r="4332" spans="34:37" x14ac:dyDescent="0.25">
      <c r="AH4332" s="75"/>
      <c r="AK4332" s="75"/>
    </row>
    <row r="4333" spans="34:37" x14ac:dyDescent="0.25">
      <c r="AH4333" s="75"/>
      <c r="AK4333" s="75"/>
    </row>
    <row r="4334" spans="34:37" x14ac:dyDescent="0.25">
      <c r="AH4334" s="75"/>
      <c r="AK4334" s="75"/>
    </row>
    <row r="4335" spans="34:37" x14ac:dyDescent="0.25">
      <c r="AH4335" s="75"/>
      <c r="AK4335" s="75"/>
    </row>
    <row r="4336" spans="34:37" x14ac:dyDescent="0.25">
      <c r="AH4336" s="75"/>
      <c r="AK4336" s="75"/>
    </row>
    <row r="4337" spans="34:37" x14ac:dyDescent="0.25">
      <c r="AH4337" s="75"/>
      <c r="AK4337" s="75"/>
    </row>
    <row r="4338" spans="34:37" x14ac:dyDescent="0.25">
      <c r="AH4338" s="75"/>
      <c r="AK4338" s="75"/>
    </row>
    <row r="4339" spans="34:37" x14ac:dyDescent="0.25">
      <c r="AH4339" s="75"/>
      <c r="AK4339" s="75"/>
    </row>
    <row r="4340" spans="34:37" x14ac:dyDescent="0.25">
      <c r="AH4340" s="75"/>
      <c r="AK4340" s="75"/>
    </row>
    <row r="4341" spans="34:37" x14ac:dyDescent="0.25">
      <c r="AH4341" s="75"/>
      <c r="AK4341" s="75"/>
    </row>
    <row r="4342" spans="34:37" x14ac:dyDescent="0.25">
      <c r="AH4342" s="75"/>
      <c r="AK4342" s="75"/>
    </row>
    <row r="4343" spans="34:37" x14ac:dyDescent="0.25">
      <c r="AH4343" s="75"/>
      <c r="AK4343" s="75"/>
    </row>
    <row r="4344" spans="34:37" x14ac:dyDescent="0.25">
      <c r="AH4344" s="75"/>
      <c r="AK4344" s="75"/>
    </row>
    <row r="4345" spans="34:37" x14ac:dyDescent="0.25">
      <c r="AH4345" s="75"/>
      <c r="AK4345" s="75"/>
    </row>
    <row r="4346" spans="34:37" x14ac:dyDescent="0.25">
      <c r="AH4346" s="75"/>
      <c r="AK4346" s="75"/>
    </row>
    <row r="4347" spans="34:37" x14ac:dyDescent="0.25">
      <c r="AH4347" s="75"/>
      <c r="AK4347" s="75"/>
    </row>
    <row r="4348" spans="34:37" x14ac:dyDescent="0.25">
      <c r="AH4348" s="75"/>
      <c r="AK4348" s="75"/>
    </row>
    <row r="4349" spans="34:37" x14ac:dyDescent="0.25">
      <c r="AH4349" s="75"/>
      <c r="AK4349" s="75"/>
    </row>
    <row r="4350" spans="34:37" x14ac:dyDescent="0.25">
      <c r="AH4350" s="75"/>
      <c r="AK4350" s="75"/>
    </row>
    <row r="4351" spans="34:37" x14ac:dyDescent="0.25">
      <c r="AH4351" s="75"/>
      <c r="AK4351" s="75"/>
    </row>
    <row r="4352" spans="34:37" x14ac:dyDescent="0.25">
      <c r="AH4352" s="75"/>
      <c r="AK4352" s="75"/>
    </row>
    <row r="4353" spans="34:37" x14ac:dyDescent="0.25">
      <c r="AH4353" s="75"/>
      <c r="AK4353" s="75"/>
    </row>
    <row r="4354" spans="34:37" x14ac:dyDescent="0.25">
      <c r="AH4354" s="75"/>
      <c r="AK4354" s="75"/>
    </row>
    <row r="4355" spans="34:37" x14ac:dyDescent="0.25">
      <c r="AH4355" s="75"/>
      <c r="AK4355" s="75"/>
    </row>
    <row r="4356" spans="34:37" x14ac:dyDescent="0.25">
      <c r="AH4356" s="75"/>
      <c r="AK4356" s="75"/>
    </row>
    <row r="4357" spans="34:37" x14ac:dyDescent="0.25">
      <c r="AH4357" s="75"/>
      <c r="AK4357" s="75"/>
    </row>
    <row r="4358" spans="34:37" x14ac:dyDescent="0.25">
      <c r="AH4358" s="75"/>
      <c r="AK4358" s="75"/>
    </row>
    <row r="4359" spans="34:37" x14ac:dyDescent="0.25">
      <c r="AH4359" s="75"/>
      <c r="AK4359" s="75"/>
    </row>
    <row r="4360" spans="34:37" x14ac:dyDescent="0.25">
      <c r="AH4360" s="75"/>
      <c r="AK4360" s="75"/>
    </row>
    <row r="4361" spans="34:37" x14ac:dyDescent="0.25">
      <c r="AH4361" s="75"/>
      <c r="AK4361" s="75"/>
    </row>
    <row r="4362" spans="34:37" x14ac:dyDescent="0.25">
      <c r="AH4362" s="75"/>
      <c r="AK4362" s="75"/>
    </row>
    <row r="4363" spans="34:37" x14ac:dyDescent="0.25">
      <c r="AH4363" s="75"/>
      <c r="AK4363" s="75"/>
    </row>
    <row r="4364" spans="34:37" x14ac:dyDescent="0.25">
      <c r="AH4364" s="75"/>
      <c r="AK4364" s="75"/>
    </row>
    <row r="4365" spans="34:37" x14ac:dyDescent="0.25">
      <c r="AH4365" s="75"/>
      <c r="AK4365" s="75"/>
    </row>
    <row r="4366" spans="34:37" x14ac:dyDescent="0.25">
      <c r="AH4366" s="75"/>
      <c r="AK4366" s="75"/>
    </row>
    <row r="4367" spans="34:37" x14ac:dyDescent="0.25">
      <c r="AH4367" s="75"/>
      <c r="AK4367" s="75"/>
    </row>
    <row r="4368" spans="34:37" x14ac:dyDescent="0.25">
      <c r="AH4368" s="75"/>
      <c r="AK4368" s="75"/>
    </row>
    <row r="4369" spans="34:37" x14ac:dyDescent="0.25">
      <c r="AH4369" s="75"/>
      <c r="AK4369" s="75"/>
    </row>
    <row r="4370" spans="34:37" x14ac:dyDescent="0.25">
      <c r="AH4370" s="75"/>
      <c r="AK4370" s="75"/>
    </row>
    <row r="4371" spans="34:37" x14ac:dyDescent="0.25">
      <c r="AH4371" s="75"/>
      <c r="AK4371" s="75"/>
    </row>
    <row r="4372" spans="34:37" x14ac:dyDescent="0.25">
      <c r="AH4372" s="75"/>
      <c r="AK4372" s="75"/>
    </row>
    <row r="4373" spans="34:37" x14ac:dyDescent="0.25">
      <c r="AH4373" s="75"/>
      <c r="AK4373" s="75"/>
    </row>
    <row r="4374" spans="34:37" x14ac:dyDescent="0.25">
      <c r="AH4374" s="75"/>
      <c r="AK4374" s="75"/>
    </row>
    <row r="4375" spans="34:37" x14ac:dyDescent="0.25">
      <c r="AH4375" s="75"/>
      <c r="AK4375" s="75"/>
    </row>
    <row r="4376" spans="34:37" x14ac:dyDescent="0.25">
      <c r="AH4376" s="75"/>
      <c r="AK4376" s="75"/>
    </row>
    <row r="4377" spans="34:37" x14ac:dyDescent="0.25">
      <c r="AH4377" s="75"/>
      <c r="AK4377" s="75"/>
    </row>
    <row r="4378" spans="34:37" x14ac:dyDescent="0.25">
      <c r="AH4378" s="75"/>
      <c r="AK4378" s="75"/>
    </row>
    <row r="4379" spans="34:37" x14ac:dyDescent="0.25">
      <c r="AH4379" s="75"/>
      <c r="AK4379" s="75"/>
    </row>
    <row r="4380" spans="34:37" x14ac:dyDescent="0.25">
      <c r="AH4380" s="75"/>
      <c r="AK4380" s="75"/>
    </row>
    <row r="4381" spans="34:37" x14ac:dyDescent="0.25">
      <c r="AH4381" s="75"/>
      <c r="AK4381" s="75"/>
    </row>
    <row r="4382" spans="34:37" x14ac:dyDescent="0.25">
      <c r="AH4382" s="75"/>
      <c r="AK4382" s="75"/>
    </row>
    <row r="4383" spans="34:37" x14ac:dyDescent="0.25">
      <c r="AH4383" s="75"/>
      <c r="AK4383" s="75"/>
    </row>
    <row r="4384" spans="34:37" x14ac:dyDescent="0.25">
      <c r="AH4384" s="75"/>
      <c r="AK4384" s="75"/>
    </row>
    <row r="4385" spans="34:37" x14ac:dyDescent="0.25">
      <c r="AH4385" s="75"/>
      <c r="AK4385" s="75"/>
    </row>
    <row r="4386" spans="34:37" x14ac:dyDescent="0.25">
      <c r="AH4386" s="75"/>
      <c r="AK4386" s="75"/>
    </row>
    <row r="4387" spans="34:37" x14ac:dyDescent="0.25">
      <c r="AH4387" s="75"/>
      <c r="AK4387" s="75"/>
    </row>
    <row r="4388" spans="34:37" x14ac:dyDescent="0.25">
      <c r="AH4388" s="75"/>
      <c r="AK4388" s="75"/>
    </row>
    <row r="4389" spans="34:37" x14ac:dyDescent="0.25">
      <c r="AH4389" s="75"/>
      <c r="AK4389" s="75"/>
    </row>
    <row r="4390" spans="34:37" x14ac:dyDescent="0.25">
      <c r="AH4390" s="75"/>
      <c r="AK4390" s="75"/>
    </row>
    <row r="4391" spans="34:37" x14ac:dyDescent="0.25">
      <c r="AH4391" s="75"/>
      <c r="AK4391" s="75"/>
    </row>
    <row r="4392" spans="34:37" x14ac:dyDescent="0.25">
      <c r="AH4392" s="75"/>
      <c r="AK4392" s="75"/>
    </row>
    <row r="4393" spans="34:37" x14ac:dyDescent="0.25">
      <c r="AH4393" s="75"/>
      <c r="AK4393" s="75"/>
    </row>
    <row r="4394" spans="34:37" x14ac:dyDescent="0.25">
      <c r="AH4394" s="75"/>
      <c r="AK4394" s="75"/>
    </row>
    <row r="4395" spans="34:37" x14ac:dyDescent="0.25">
      <c r="AH4395" s="75"/>
      <c r="AK4395" s="75"/>
    </row>
    <row r="4396" spans="34:37" x14ac:dyDescent="0.25">
      <c r="AH4396" s="75"/>
      <c r="AK4396" s="75"/>
    </row>
    <row r="4397" spans="34:37" x14ac:dyDescent="0.25">
      <c r="AH4397" s="75"/>
      <c r="AK4397" s="75"/>
    </row>
    <row r="4398" spans="34:37" x14ac:dyDescent="0.25">
      <c r="AH4398" s="75"/>
      <c r="AK4398" s="75"/>
    </row>
    <row r="4399" spans="34:37" x14ac:dyDescent="0.25">
      <c r="AH4399" s="75"/>
      <c r="AK4399" s="75"/>
    </row>
    <row r="4400" spans="34:37" x14ac:dyDescent="0.25">
      <c r="AH4400" s="75"/>
      <c r="AK4400" s="75"/>
    </row>
    <row r="4401" spans="34:37" x14ac:dyDescent="0.25">
      <c r="AH4401" s="75"/>
      <c r="AK4401" s="75"/>
    </row>
    <row r="4402" spans="34:37" x14ac:dyDescent="0.25">
      <c r="AH4402" s="75"/>
      <c r="AK4402" s="75"/>
    </row>
    <row r="4403" spans="34:37" x14ac:dyDescent="0.25">
      <c r="AH4403" s="75"/>
      <c r="AK4403" s="75"/>
    </row>
    <row r="4404" spans="34:37" x14ac:dyDescent="0.25">
      <c r="AH4404" s="75"/>
      <c r="AK4404" s="75"/>
    </row>
    <row r="4405" spans="34:37" x14ac:dyDescent="0.25">
      <c r="AH4405" s="75"/>
      <c r="AK4405" s="75"/>
    </row>
    <row r="4406" spans="34:37" x14ac:dyDescent="0.25">
      <c r="AH4406" s="75"/>
      <c r="AK4406" s="75"/>
    </row>
    <row r="4407" spans="34:37" x14ac:dyDescent="0.25">
      <c r="AH4407" s="75"/>
      <c r="AK4407" s="75"/>
    </row>
    <row r="4408" spans="34:37" x14ac:dyDescent="0.25">
      <c r="AH4408" s="75"/>
      <c r="AK4408" s="75"/>
    </row>
    <row r="4409" spans="34:37" x14ac:dyDescent="0.25">
      <c r="AH4409" s="75"/>
      <c r="AK4409" s="75"/>
    </row>
    <row r="4410" spans="34:37" x14ac:dyDescent="0.25">
      <c r="AH4410" s="75"/>
      <c r="AK4410" s="75"/>
    </row>
    <row r="4411" spans="34:37" x14ac:dyDescent="0.25">
      <c r="AH4411" s="75"/>
      <c r="AK4411" s="75"/>
    </row>
    <row r="4412" spans="34:37" x14ac:dyDescent="0.25">
      <c r="AH4412" s="75"/>
      <c r="AK4412" s="75"/>
    </row>
    <row r="4413" spans="34:37" x14ac:dyDescent="0.25">
      <c r="AH4413" s="75"/>
      <c r="AK4413" s="75"/>
    </row>
    <row r="4414" spans="34:37" x14ac:dyDescent="0.25">
      <c r="AH4414" s="75"/>
      <c r="AK4414" s="75"/>
    </row>
    <row r="4415" spans="34:37" x14ac:dyDescent="0.25">
      <c r="AH4415" s="75"/>
      <c r="AK4415" s="75"/>
    </row>
    <row r="4416" spans="34:37" x14ac:dyDescent="0.25">
      <c r="AH4416" s="75"/>
      <c r="AK4416" s="75"/>
    </row>
    <row r="4417" spans="34:37" x14ac:dyDescent="0.25">
      <c r="AH4417" s="75"/>
      <c r="AK4417" s="75"/>
    </row>
    <row r="4418" spans="34:37" x14ac:dyDescent="0.25">
      <c r="AH4418" s="75"/>
      <c r="AK4418" s="75"/>
    </row>
    <row r="4419" spans="34:37" x14ac:dyDescent="0.25">
      <c r="AH4419" s="75"/>
      <c r="AK4419" s="75"/>
    </row>
    <row r="4420" spans="34:37" x14ac:dyDescent="0.25">
      <c r="AH4420" s="75"/>
      <c r="AK4420" s="75"/>
    </row>
    <row r="4421" spans="34:37" x14ac:dyDescent="0.25">
      <c r="AH4421" s="75"/>
      <c r="AK4421" s="75"/>
    </row>
    <row r="4422" spans="34:37" x14ac:dyDescent="0.25">
      <c r="AH4422" s="75"/>
      <c r="AK4422" s="75"/>
    </row>
    <row r="4423" spans="34:37" x14ac:dyDescent="0.25">
      <c r="AH4423" s="75"/>
      <c r="AK4423" s="75"/>
    </row>
    <row r="4424" spans="34:37" x14ac:dyDescent="0.25">
      <c r="AH4424" s="75"/>
      <c r="AK4424" s="75"/>
    </row>
    <row r="4425" spans="34:37" x14ac:dyDescent="0.25">
      <c r="AH4425" s="75"/>
      <c r="AK4425" s="75"/>
    </row>
    <row r="4426" spans="34:37" x14ac:dyDescent="0.25">
      <c r="AH4426" s="75"/>
      <c r="AK4426" s="75"/>
    </row>
    <row r="4427" spans="34:37" x14ac:dyDescent="0.25">
      <c r="AH4427" s="75"/>
      <c r="AK4427" s="75"/>
    </row>
    <row r="4428" spans="34:37" x14ac:dyDescent="0.25">
      <c r="AH4428" s="75"/>
      <c r="AK4428" s="75"/>
    </row>
    <row r="4429" spans="34:37" x14ac:dyDescent="0.25">
      <c r="AH4429" s="75"/>
      <c r="AK4429" s="75"/>
    </row>
    <row r="4430" spans="34:37" x14ac:dyDescent="0.25">
      <c r="AH4430" s="75"/>
      <c r="AK4430" s="75"/>
    </row>
    <row r="4431" spans="34:37" x14ac:dyDescent="0.25">
      <c r="AH4431" s="75"/>
      <c r="AK4431" s="75"/>
    </row>
    <row r="4432" spans="34:37" x14ac:dyDescent="0.25">
      <c r="AH4432" s="75"/>
      <c r="AK4432" s="75"/>
    </row>
    <row r="4433" spans="34:37" x14ac:dyDescent="0.25">
      <c r="AH4433" s="75"/>
      <c r="AK4433" s="75"/>
    </row>
    <row r="4434" spans="34:37" x14ac:dyDescent="0.25">
      <c r="AH4434" s="75"/>
      <c r="AK4434" s="75"/>
    </row>
    <row r="4435" spans="34:37" x14ac:dyDescent="0.25">
      <c r="AH4435" s="75"/>
      <c r="AK4435" s="75"/>
    </row>
    <row r="4436" spans="34:37" x14ac:dyDescent="0.25">
      <c r="AH4436" s="75"/>
      <c r="AK4436" s="75"/>
    </row>
    <row r="4437" spans="34:37" x14ac:dyDescent="0.25">
      <c r="AH4437" s="75"/>
      <c r="AK4437" s="75"/>
    </row>
    <row r="4438" spans="34:37" x14ac:dyDescent="0.25">
      <c r="AH4438" s="75"/>
      <c r="AK4438" s="75"/>
    </row>
    <row r="4439" spans="34:37" x14ac:dyDescent="0.25">
      <c r="AH4439" s="75"/>
      <c r="AK4439" s="75"/>
    </row>
    <row r="4440" spans="34:37" x14ac:dyDescent="0.25">
      <c r="AH4440" s="75"/>
      <c r="AK4440" s="75"/>
    </row>
    <row r="4441" spans="34:37" x14ac:dyDescent="0.25">
      <c r="AH4441" s="75"/>
      <c r="AK4441" s="75"/>
    </row>
    <row r="4442" spans="34:37" x14ac:dyDescent="0.25">
      <c r="AH4442" s="75"/>
      <c r="AK4442" s="75"/>
    </row>
    <row r="4443" spans="34:37" x14ac:dyDescent="0.25">
      <c r="AH4443" s="75"/>
      <c r="AK4443" s="75"/>
    </row>
    <row r="4444" spans="34:37" x14ac:dyDescent="0.25">
      <c r="AH4444" s="75"/>
      <c r="AK4444" s="75"/>
    </row>
    <row r="4445" spans="34:37" x14ac:dyDescent="0.25">
      <c r="AH4445" s="75"/>
      <c r="AK4445" s="75"/>
    </row>
    <row r="4446" spans="34:37" x14ac:dyDescent="0.25">
      <c r="AH4446" s="75"/>
      <c r="AK4446" s="75"/>
    </row>
    <row r="4447" spans="34:37" x14ac:dyDescent="0.25">
      <c r="AH4447" s="75"/>
      <c r="AK4447" s="75"/>
    </row>
    <row r="4448" spans="34:37" x14ac:dyDescent="0.25">
      <c r="AH4448" s="75"/>
      <c r="AK4448" s="75"/>
    </row>
    <row r="4449" spans="34:37" x14ac:dyDescent="0.25">
      <c r="AH4449" s="75"/>
      <c r="AK4449" s="75"/>
    </row>
    <row r="4450" spans="34:37" x14ac:dyDescent="0.25">
      <c r="AH4450" s="75"/>
      <c r="AK4450" s="75"/>
    </row>
    <row r="4451" spans="34:37" x14ac:dyDescent="0.25">
      <c r="AH4451" s="75"/>
      <c r="AK4451" s="75"/>
    </row>
    <row r="4452" spans="34:37" x14ac:dyDescent="0.25">
      <c r="AH4452" s="75"/>
      <c r="AK4452" s="75"/>
    </row>
    <row r="4453" spans="34:37" x14ac:dyDescent="0.25">
      <c r="AH4453" s="75"/>
      <c r="AK4453" s="75"/>
    </row>
    <row r="4454" spans="34:37" x14ac:dyDescent="0.25">
      <c r="AH4454" s="75"/>
      <c r="AK4454" s="75"/>
    </row>
    <row r="4455" spans="34:37" x14ac:dyDescent="0.25">
      <c r="AH4455" s="75"/>
      <c r="AK4455" s="75"/>
    </row>
    <row r="4456" spans="34:37" x14ac:dyDescent="0.25">
      <c r="AH4456" s="75"/>
      <c r="AK4456" s="75"/>
    </row>
    <row r="4457" spans="34:37" x14ac:dyDescent="0.25">
      <c r="AH4457" s="75"/>
      <c r="AK4457" s="75"/>
    </row>
    <row r="4458" spans="34:37" x14ac:dyDescent="0.25">
      <c r="AH4458" s="75"/>
      <c r="AK4458" s="75"/>
    </row>
    <row r="4459" spans="34:37" x14ac:dyDescent="0.25">
      <c r="AH4459" s="75"/>
      <c r="AK4459" s="75"/>
    </row>
    <row r="4460" spans="34:37" x14ac:dyDescent="0.25">
      <c r="AH4460" s="75"/>
      <c r="AK4460" s="75"/>
    </row>
    <row r="4461" spans="34:37" x14ac:dyDescent="0.25">
      <c r="AH4461" s="75"/>
      <c r="AK4461" s="75"/>
    </row>
    <row r="4462" spans="34:37" x14ac:dyDescent="0.25">
      <c r="AH4462" s="75"/>
      <c r="AK4462" s="75"/>
    </row>
    <row r="4463" spans="34:37" x14ac:dyDescent="0.25">
      <c r="AH4463" s="75"/>
      <c r="AK4463" s="75"/>
    </row>
    <row r="4464" spans="34:37" x14ac:dyDescent="0.25">
      <c r="AH4464" s="75"/>
      <c r="AK4464" s="75"/>
    </row>
    <row r="4465" spans="34:37" x14ac:dyDescent="0.25">
      <c r="AH4465" s="75"/>
      <c r="AK4465" s="75"/>
    </row>
    <row r="4466" spans="34:37" x14ac:dyDescent="0.25">
      <c r="AH4466" s="75"/>
      <c r="AK4466" s="75"/>
    </row>
    <row r="4467" spans="34:37" x14ac:dyDescent="0.25">
      <c r="AH4467" s="75"/>
      <c r="AK4467" s="75"/>
    </row>
    <row r="4468" spans="34:37" x14ac:dyDescent="0.25">
      <c r="AH4468" s="75"/>
      <c r="AK4468" s="75"/>
    </row>
    <row r="4469" spans="34:37" x14ac:dyDescent="0.25">
      <c r="AH4469" s="75"/>
      <c r="AK4469" s="75"/>
    </row>
    <row r="4470" spans="34:37" x14ac:dyDescent="0.25">
      <c r="AH4470" s="75"/>
      <c r="AK4470" s="75"/>
    </row>
    <row r="4471" spans="34:37" x14ac:dyDescent="0.25">
      <c r="AH4471" s="75"/>
      <c r="AK4471" s="75"/>
    </row>
    <row r="4472" spans="34:37" x14ac:dyDescent="0.25">
      <c r="AH4472" s="75"/>
      <c r="AK4472" s="75"/>
    </row>
    <row r="4473" spans="34:37" x14ac:dyDescent="0.25">
      <c r="AH4473" s="75"/>
      <c r="AK4473" s="75"/>
    </row>
    <row r="4474" spans="34:37" x14ac:dyDescent="0.25">
      <c r="AH4474" s="75"/>
      <c r="AK4474" s="75"/>
    </row>
    <row r="4475" spans="34:37" x14ac:dyDescent="0.25">
      <c r="AH4475" s="75"/>
      <c r="AK4475" s="75"/>
    </row>
    <row r="4476" spans="34:37" x14ac:dyDescent="0.25">
      <c r="AH4476" s="75"/>
      <c r="AK4476" s="75"/>
    </row>
    <row r="4477" spans="34:37" x14ac:dyDescent="0.25">
      <c r="AH4477" s="75"/>
      <c r="AK4477" s="75"/>
    </row>
    <row r="4478" spans="34:37" x14ac:dyDescent="0.25">
      <c r="AH4478" s="75"/>
      <c r="AK4478" s="75"/>
    </row>
    <row r="4479" spans="34:37" x14ac:dyDescent="0.25">
      <c r="AH4479" s="75"/>
      <c r="AK4479" s="75"/>
    </row>
    <row r="4480" spans="34:37" x14ac:dyDescent="0.25">
      <c r="AH4480" s="75"/>
      <c r="AK4480" s="75"/>
    </row>
    <row r="4481" spans="34:37" x14ac:dyDescent="0.25">
      <c r="AH4481" s="75"/>
      <c r="AK4481" s="75"/>
    </row>
    <row r="4482" spans="34:37" x14ac:dyDescent="0.25">
      <c r="AH4482" s="75"/>
      <c r="AK4482" s="75"/>
    </row>
    <row r="4483" spans="34:37" x14ac:dyDescent="0.25">
      <c r="AH4483" s="75"/>
      <c r="AK4483" s="75"/>
    </row>
    <row r="4484" spans="34:37" x14ac:dyDescent="0.25">
      <c r="AH4484" s="75"/>
      <c r="AK4484" s="75"/>
    </row>
    <row r="4485" spans="34:37" x14ac:dyDescent="0.25">
      <c r="AH4485" s="75"/>
      <c r="AK4485" s="75"/>
    </row>
    <row r="4486" spans="34:37" x14ac:dyDescent="0.25">
      <c r="AH4486" s="75"/>
      <c r="AK4486" s="75"/>
    </row>
    <row r="4487" spans="34:37" x14ac:dyDescent="0.25">
      <c r="AH4487" s="75"/>
      <c r="AK4487" s="75"/>
    </row>
    <row r="4488" spans="34:37" x14ac:dyDescent="0.25">
      <c r="AH4488" s="75"/>
      <c r="AK4488" s="75"/>
    </row>
    <row r="4489" spans="34:37" x14ac:dyDescent="0.25">
      <c r="AH4489" s="75"/>
      <c r="AK4489" s="75"/>
    </row>
    <row r="4490" spans="34:37" x14ac:dyDescent="0.25">
      <c r="AH4490" s="75"/>
      <c r="AK4490" s="75"/>
    </row>
    <row r="4491" spans="34:37" x14ac:dyDescent="0.25">
      <c r="AH4491" s="75"/>
      <c r="AK4491" s="75"/>
    </row>
    <row r="4492" spans="34:37" x14ac:dyDescent="0.25">
      <c r="AH4492" s="75"/>
      <c r="AK4492" s="75"/>
    </row>
    <row r="4493" spans="34:37" x14ac:dyDescent="0.25">
      <c r="AH4493" s="75"/>
      <c r="AK4493" s="75"/>
    </row>
    <row r="4494" spans="34:37" x14ac:dyDescent="0.25">
      <c r="AH4494" s="75"/>
      <c r="AK4494" s="75"/>
    </row>
    <row r="4495" spans="34:37" x14ac:dyDescent="0.25">
      <c r="AH4495" s="75"/>
      <c r="AK4495" s="75"/>
    </row>
    <row r="4496" spans="34:37" x14ac:dyDescent="0.25">
      <c r="AH4496" s="75"/>
      <c r="AK4496" s="75"/>
    </row>
    <row r="4497" spans="34:37" x14ac:dyDescent="0.25">
      <c r="AH4497" s="75"/>
      <c r="AK4497" s="75"/>
    </row>
    <row r="4498" spans="34:37" x14ac:dyDescent="0.25">
      <c r="AH4498" s="75"/>
      <c r="AK4498" s="75"/>
    </row>
    <row r="4499" spans="34:37" x14ac:dyDescent="0.25">
      <c r="AH4499" s="75"/>
      <c r="AK4499" s="75"/>
    </row>
    <row r="4500" spans="34:37" x14ac:dyDescent="0.25">
      <c r="AH4500" s="75"/>
      <c r="AK4500" s="75"/>
    </row>
    <row r="4501" spans="34:37" x14ac:dyDescent="0.25">
      <c r="AH4501" s="75"/>
      <c r="AK4501" s="75"/>
    </row>
    <row r="4502" spans="34:37" x14ac:dyDescent="0.25">
      <c r="AH4502" s="75"/>
      <c r="AK4502" s="75"/>
    </row>
    <row r="4503" spans="34:37" x14ac:dyDescent="0.25">
      <c r="AH4503" s="75"/>
      <c r="AK4503" s="75"/>
    </row>
    <row r="4504" spans="34:37" x14ac:dyDescent="0.25">
      <c r="AH4504" s="75"/>
      <c r="AK4504" s="75"/>
    </row>
    <row r="4505" spans="34:37" x14ac:dyDescent="0.25">
      <c r="AH4505" s="75"/>
      <c r="AK4505" s="75"/>
    </row>
    <row r="4506" spans="34:37" x14ac:dyDescent="0.25">
      <c r="AH4506" s="75"/>
      <c r="AK4506" s="75"/>
    </row>
    <row r="4507" spans="34:37" x14ac:dyDescent="0.25">
      <c r="AH4507" s="75"/>
      <c r="AK4507" s="75"/>
    </row>
    <row r="4508" spans="34:37" x14ac:dyDescent="0.25">
      <c r="AH4508" s="75"/>
      <c r="AK4508" s="75"/>
    </row>
    <row r="4509" spans="34:37" x14ac:dyDescent="0.25">
      <c r="AH4509" s="75"/>
      <c r="AK4509" s="75"/>
    </row>
    <row r="4510" spans="34:37" x14ac:dyDescent="0.25">
      <c r="AH4510" s="75"/>
      <c r="AK4510" s="75"/>
    </row>
    <row r="4511" spans="34:37" x14ac:dyDescent="0.25">
      <c r="AH4511" s="75"/>
      <c r="AK4511" s="75"/>
    </row>
    <row r="4512" spans="34:37" x14ac:dyDescent="0.25">
      <c r="AH4512" s="75"/>
      <c r="AK4512" s="75"/>
    </row>
    <row r="4513" spans="34:37" x14ac:dyDescent="0.25">
      <c r="AH4513" s="75"/>
      <c r="AK4513" s="75"/>
    </row>
    <row r="4514" spans="34:37" x14ac:dyDescent="0.25">
      <c r="AH4514" s="75"/>
      <c r="AK4514" s="75"/>
    </row>
    <row r="4515" spans="34:37" x14ac:dyDescent="0.25">
      <c r="AH4515" s="75"/>
      <c r="AK4515" s="75"/>
    </row>
    <row r="4516" spans="34:37" x14ac:dyDescent="0.25">
      <c r="AH4516" s="75"/>
      <c r="AK4516" s="75"/>
    </row>
    <row r="4517" spans="34:37" x14ac:dyDescent="0.25">
      <c r="AH4517" s="75"/>
      <c r="AK4517" s="75"/>
    </row>
    <row r="4518" spans="34:37" x14ac:dyDescent="0.25">
      <c r="AH4518" s="75"/>
      <c r="AK4518" s="75"/>
    </row>
    <row r="4519" spans="34:37" x14ac:dyDescent="0.25">
      <c r="AH4519" s="75"/>
      <c r="AK4519" s="75"/>
    </row>
    <row r="4520" spans="34:37" x14ac:dyDescent="0.25">
      <c r="AH4520" s="75"/>
      <c r="AK4520" s="75"/>
    </row>
    <row r="4521" spans="34:37" x14ac:dyDescent="0.25">
      <c r="AH4521" s="75"/>
      <c r="AK4521" s="75"/>
    </row>
    <row r="4522" spans="34:37" x14ac:dyDescent="0.25">
      <c r="AH4522" s="75"/>
      <c r="AK4522" s="75"/>
    </row>
    <row r="4523" spans="34:37" x14ac:dyDescent="0.25">
      <c r="AH4523" s="75"/>
      <c r="AK4523" s="75"/>
    </row>
    <row r="4524" spans="34:37" x14ac:dyDescent="0.25">
      <c r="AH4524" s="75"/>
      <c r="AK4524" s="75"/>
    </row>
    <row r="4525" spans="34:37" x14ac:dyDescent="0.25">
      <c r="AH4525" s="75"/>
      <c r="AK4525" s="75"/>
    </row>
    <row r="4526" spans="34:37" x14ac:dyDescent="0.25">
      <c r="AH4526" s="75"/>
      <c r="AK4526" s="75"/>
    </row>
    <row r="4527" spans="34:37" x14ac:dyDescent="0.25">
      <c r="AH4527" s="75"/>
      <c r="AK4527" s="75"/>
    </row>
    <row r="4528" spans="34:37" x14ac:dyDescent="0.25">
      <c r="AH4528" s="75"/>
      <c r="AK4528" s="75"/>
    </row>
    <row r="4529" spans="34:37" x14ac:dyDescent="0.25">
      <c r="AH4529" s="75"/>
      <c r="AK4529" s="75"/>
    </row>
    <row r="4530" spans="34:37" x14ac:dyDescent="0.25">
      <c r="AH4530" s="75"/>
      <c r="AK4530" s="75"/>
    </row>
    <row r="4531" spans="34:37" x14ac:dyDescent="0.25">
      <c r="AH4531" s="75"/>
      <c r="AK4531" s="75"/>
    </row>
    <row r="4532" spans="34:37" x14ac:dyDescent="0.25">
      <c r="AH4532" s="75"/>
      <c r="AK4532" s="75"/>
    </row>
    <row r="4533" spans="34:37" x14ac:dyDescent="0.25">
      <c r="AH4533" s="75"/>
      <c r="AK4533" s="75"/>
    </row>
    <row r="4534" spans="34:37" x14ac:dyDescent="0.25">
      <c r="AH4534" s="75"/>
      <c r="AK4534" s="75"/>
    </row>
    <row r="4535" spans="34:37" x14ac:dyDescent="0.25">
      <c r="AH4535" s="75"/>
      <c r="AK4535" s="75"/>
    </row>
    <row r="4536" spans="34:37" x14ac:dyDescent="0.25">
      <c r="AH4536" s="75"/>
      <c r="AK4536" s="75"/>
    </row>
    <row r="4537" spans="34:37" x14ac:dyDescent="0.25">
      <c r="AH4537" s="75"/>
      <c r="AK4537" s="75"/>
    </row>
    <row r="4538" spans="34:37" x14ac:dyDescent="0.25">
      <c r="AH4538" s="75"/>
      <c r="AK4538" s="75"/>
    </row>
    <row r="4539" spans="34:37" x14ac:dyDescent="0.25">
      <c r="AH4539" s="75"/>
      <c r="AK4539" s="75"/>
    </row>
    <row r="4540" spans="34:37" x14ac:dyDescent="0.25">
      <c r="AH4540" s="75"/>
      <c r="AK4540" s="75"/>
    </row>
    <row r="4541" spans="34:37" x14ac:dyDescent="0.25">
      <c r="AH4541" s="75"/>
      <c r="AK4541" s="75"/>
    </row>
    <row r="4542" spans="34:37" x14ac:dyDescent="0.25">
      <c r="AH4542" s="75"/>
      <c r="AK4542" s="75"/>
    </row>
    <row r="4543" spans="34:37" x14ac:dyDescent="0.25">
      <c r="AH4543" s="75"/>
      <c r="AK4543" s="75"/>
    </row>
    <row r="4544" spans="34:37" x14ac:dyDescent="0.25">
      <c r="AH4544" s="75"/>
      <c r="AK4544" s="75"/>
    </row>
    <row r="4545" spans="34:37" x14ac:dyDescent="0.25">
      <c r="AH4545" s="75"/>
      <c r="AK4545" s="75"/>
    </row>
    <row r="4546" spans="34:37" x14ac:dyDescent="0.25">
      <c r="AH4546" s="75"/>
      <c r="AK4546" s="75"/>
    </row>
    <row r="4547" spans="34:37" x14ac:dyDescent="0.25">
      <c r="AH4547" s="75"/>
      <c r="AK4547" s="75"/>
    </row>
    <row r="4548" spans="34:37" x14ac:dyDescent="0.25">
      <c r="AH4548" s="75"/>
      <c r="AK4548" s="75"/>
    </row>
    <row r="4549" spans="34:37" x14ac:dyDescent="0.25">
      <c r="AH4549" s="75"/>
      <c r="AK4549" s="75"/>
    </row>
    <row r="4550" spans="34:37" x14ac:dyDescent="0.25">
      <c r="AH4550" s="75"/>
      <c r="AK4550" s="75"/>
    </row>
    <row r="4551" spans="34:37" x14ac:dyDescent="0.25">
      <c r="AH4551" s="75"/>
      <c r="AK4551" s="75"/>
    </row>
    <row r="4552" spans="34:37" x14ac:dyDescent="0.25">
      <c r="AH4552" s="75"/>
      <c r="AK4552" s="75"/>
    </row>
    <row r="4553" spans="34:37" x14ac:dyDescent="0.25">
      <c r="AH4553" s="75"/>
      <c r="AK4553" s="75"/>
    </row>
    <row r="4554" spans="34:37" x14ac:dyDescent="0.25">
      <c r="AH4554" s="75"/>
      <c r="AK4554" s="75"/>
    </row>
    <row r="4555" spans="34:37" x14ac:dyDescent="0.25">
      <c r="AH4555" s="75"/>
      <c r="AK4555" s="75"/>
    </row>
    <row r="4556" spans="34:37" x14ac:dyDescent="0.25">
      <c r="AH4556" s="75"/>
      <c r="AK4556" s="75"/>
    </row>
    <row r="4557" spans="34:37" x14ac:dyDescent="0.25">
      <c r="AH4557" s="75"/>
      <c r="AK4557" s="75"/>
    </row>
    <row r="4558" spans="34:37" x14ac:dyDescent="0.25">
      <c r="AH4558" s="75"/>
      <c r="AK4558" s="75"/>
    </row>
    <row r="4559" spans="34:37" x14ac:dyDescent="0.25">
      <c r="AH4559" s="75"/>
      <c r="AK4559" s="75"/>
    </row>
    <row r="4560" spans="34:37" x14ac:dyDescent="0.25">
      <c r="AH4560" s="75"/>
      <c r="AK4560" s="75"/>
    </row>
    <row r="4561" spans="34:37" x14ac:dyDescent="0.25">
      <c r="AH4561" s="75"/>
      <c r="AK4561" s="75"/>
    </row>
    <row r="4562" spans="34:37" x14ac:dyDescent="0.25">
      <c r="AH4562" s="75"/>
      <c r="AK4562" s="75"/>
    </row>
    <row r="4563" spans="34:37" x14ac:dyDescent="0.25">
      <c r="AH4563" s="75"/>
      <c r="AK4563" s="75"/>
    </row>
    <row r="4564" spans="34:37" x14ac:dyDescent="0.25">
      <c r="AH4564" s="75"/>
      <c r="AK4564" s="75"/>
    </row>
    <row r="4565" spans="34:37" x14ac:dyDescent="0.25">
      <c r="AH4565" s="75"/>
      <c r="AK4565" s="75"/>
    </row>
    <row r="4566" spans="34:37" x14ac:dyDescent="0.25">
      <c r="AH4566" s="75"/>
      <c r="AK4566" s="75"/>
    </row>
    <row r="4567" spans="34:37" x14ac:dyDescent="0.25">
      <c r="AH4567" s="75"/>
      <c r="AK4567" s="75"/>
    </row>
    <row r="4568" spans="34:37" x14ac:dyDescent="0.25">
      <c r="AH4568" s="75"/>
      <c r="AK4568" s="75"/>
    </row>
    <row r="4569" spans="34:37" x14ac:dyDescent="0.25">
      <c r="AH4569" s="75"/>
      <c r="AK4569" s="75"/>
    </row>
    <row r="4570" spans="34:37" x14ac:dyDescent="0.25">
      <c r="AH4570" s="75"/>
      <c r="AK4570" s="75"/>
    </row>
    <row r="4571" spans="34:37" x14ac:dyDescent="0.25">
      <c r="AH4571" s="75"/>
      <c r="AK4571" s="75"/>
    </row>
    <row r="4572" spans="34:37" x14ac:dyDescent="0.25">
      <c r="AH4572" s="75"/>
      <c r="AK4572" s="75"/>
    </row>
    <row r="4573" spans="34:37" x14ac:dyDescent="0.25">
      <c r="AH4573" s="75"/>
      <c r="AK4573" s="75"/>
    </row>
    <row r="4574" spans="34:37" x14ac:dyDescent="0.25">
      <c r="AH4574" s="75"/>
      <c r="AK4574" s="75"/>
    </row>
    <row r="4575" spans="34:37" x14ac:dyDescent="0.25">
      <c r="AH4575" s="75"/>
      <c r="AK4575" s="75"/>
    </row>
    <row r="4576" spans="34:37" x14ac:dyDescent="0.25">
      <c r="AH4576" s="75"/>
      <c r="AK4576" s="75"/>
    </row>
    <row r="4577" spans="34:37" x14ac:dyDescent="0.25">
      <c r="AH4577" s="75"/>
      <c r="AK4577" s="75"/>
    </row>
    <row r="4578" spans="34:37" x14ac:dyDescent="0.25">
      <c r="AH4578" s="75"/>
      <c r="AK4578" s="75"/>
    </row>
    <row r="4579" spans="34:37" x14ac:dyDescent="0.25">
      <c r="AH4579" s="75"/>
      <c r="AK4579" s="75"/>
    </row>
    <row r="4580" spans="34:37" x14ac:dyDescent="0.25">
      <c r="AH4580" s="75"/>
      <c r="AK4580" s="75"/>
    </row>
    <row r="4581" spans="34:37" x14ac:dyDescent="0.25">
      <c r="AH4581" s="75"/>
      <c r="AK4581" s="75"/>
    </row>
    <row r="4582" spans="34:37" x14ac:dyDescent="0.25">
      <c r="AH4582" s="75"/>
      <c r="AK4582" s="75"/>
    </row>
    <row r="4583" spans="34:37" x14ac:dyDescent="0.25">
      <c r="AH4583" s="75"/>
      <c r="AK4583" s="75"/>
    </row>
    <row r="4584" spans="34:37" x14ac:dyDescent="0.25">
      <c r="AH4584" s="75"/>
      <c r="AK4584" s="75"/>
    </row>
    <row r="4585" spans="34:37" x14ac:dyDescent="0.25">
      <c r="AH4585" s="75"/>
      <c r="AK4585" s="75"/>
    </row>
    <row r="4586" spans="34:37" x14ac:dyDescent="0.25">
      <c r="AH4586" s="75"/>
      <c r="AK4586" s="75"/>
    </row>
    <row r="4587" spans="34:37" x14ac:dyDescent="0.25">
      <c r="AH4587" s="75"/>
      <c r="AK4587" s="75"/>
    </row>
    <row r="4588" spans="34:37" x14ac:dyDescent="0.25">
      <c r="AH4588" s="75"/>
      <c r="AK4588" s="75"/>
    </row>
    <row r="4589" spans="34:37" x14ac:dyDescent="0.25">
      <c r="AH4589" s="75"/>
      <c r="AK4589" s="75"/>
    </row>
    <row r="4590" spans="34:37" x14ac:dyDescent="0.25">
      <c r="AH4590" s="75"/>
      <c r="AK4590" s="75"/>
    </row>
    <row r="4591" spans="34:37" x14ac:dyDescent="0.25">
      <c r="AH4591" s="75"/>
      <c r="AK4591" s="75"/>
    </row>
    <row r="4592" spans="34:37" x14ac:dyDescent="0.25">
      <c r="AH4592" s="75"/>
      <c r="AK4592" s="75"/>
    </row>
    <row r="4593" spans="34:37" x14ac:dyDescent="0.25">
      <c r="AH4593" s="75"/>
      <c r="AK4593" s="75"/>
    </row>
    <row r="4594" spans="34:37" x14ac:dyDescent="0.25">
      <c r="AH4594" s="75"/>
      <c r="AK4594" s="75"/>
    </row>
    <row r="4595" spans="34:37" x14ac:dyDescent="0.25">
      <c r="AH4595" s="75"/>
      <c r="AK4595" s="75"/>
    </row>
    <row r="4596" spans="34:37" x14ac:dyDescent="0.25">
      <c r="AH4596" s="75"/>
      <c r="AK4596" s="75"/>
    </row>
    <row r="4597" spans="34:37" x14ac:dyDescent="0.25">
      <c r="AH4597" s="75"/>
      <c r="AK4597" s="75"/>
    </row>
    <row r="4598" spans="34:37" x14ac:dyDescent="0.25">
      <c r="AH4598" s="75"/>
      <c r="AK4598" s="75"/>
    </row>
    <row r="4599" spans="34:37" x14ac:dyDescent="0.25">
      <c r="AH4599" s="75"/>
      <c r="AK4599" s="75"/>
    </row>
    <row r="4600" spans="34:37" x14ac:dyDescent="0.25">
      <c r="AH4600" s="75"/>
      <c r="AK4600" s="75"/>
    </row>
    <row r="4601" spans="34:37" x14ac:dyDescent="0.25">
      <c r="AH4601" s="75"/>
      <c r="AK4601" s="75"/>
    </row>
    <row r="4602" spans="34:37" x14ac:dyDescent="0.25">
      <c r="AH4602" s="75"/>
      <c r="AK4602" s="75"/>
    </row>
    <row r="4603" spans="34:37" x14ac:dyDescent="0.25">
      <c r="AH4603" s="75"/>
      <c r="AK4603" s="75"/>
    </row>
    <row r="4604" spans="34:37" x14ac:dyDescent="0.25">
      <c r="AH4604" s="75"/>
      <c r="AK4604" s="75"/>
    </row>
    <row r="4605" spans="34:37" x14ac:dyDescent="0.25">
      <c r="AH4605" s="75"/>
      <c r="AK4605" s="75"/>
    </row>
    <row r="4606" spans="34:37" x14ac:dyDescent="0.25">
      <c r="AH4606" s="75"/>
      <c r="AK4606" s="75"/>
    </row>
    <row r="4607" spans="34:37" x14ac:dyDescent="0.25">
      <c r="AH4607" s="75"/>
      <c r="AK4607" s="75"/>
    </row>
    <row r="4608" spans="34:37" x14ac:dyDescent="0.25">
      <c r="AH4608" s="75"/>
      <c r="AK4608" s="75"/>
    </row>
    <row r="4609" spans="34:37" x14ac:dyDescent="0.25">
      <c r="AH4609" s="75"/>
      <c r="AK4609" s="75"/>
    </row>
    <row r="4610" spans="34:37" x14ac:dyDescent="0.25">
      <c r="AH4610" s="75"/>
      <c r="AK4610" s="75"/>
    </row>
    <row r="4611" spans="34:37" x14ac:dyDescent="0.25">
      <c r="AH4611" s="75"/>
      <c r="AK4611" s="75"/>
    </row>
    <row r="4612" spans="34:37" x14ac:dyDescent="0.25">
      <c r="AH4612" s="75"/>
      <c r="AK4612" s="75"/>
    </row>
    <row r="4613" spans="34:37" x14ac:dyDescent="0.25">
      <c r="AH4613" s="75"/>
      <c r="AK4613" s="75"/>
    </row>
    <row r="4614" spans="34:37" x14ac:dyDescent="0.25">
      <c r="AH4614" s="75"/>
      <c r="AK4614" s="75"/>
    </row>
    <row r="4615" spans="34:37" x14ac:dyDescent="0.25">
      <c r="AH4615" s="75"/>
      <c r="AK4615" s="75"/>
    </row>
    <row r="4616" spans="34:37" x14ac:dyDescent="0.25">
      <c r="AH4616" s="75"/>
      <c r="AK4616" s="75"/>
    </row>
    <row r="4617" spans="34:37" x14ac:dyDescent="0.25">
      <c r="AH4617" s="75"/>
      <c r="AK4617" s="75"/>
    </row>
    <row r="4618" spans="34:37" x14ac:dyDescent="0.25">
      <c r="AH4618" s="75"/>
      <c r="AK4618" s="75"/>
    </row>
    <row r="4619" spans="34:37" x14ac:dyDescent="0.25">
      <c r="AH4619" s="75"/>
      <c r="AK4619" s="75"/>
    </row>
    <row r="4620" spans="34:37" x14ac:dyDescent="0.25">
      <c r="AH4620" s="75"/>
      <c r="AK4620" s="75"/>
    </row>
    <row r="4621" spans="34:37" x14ac:dyDescent="0.25">
      <c r="AH4621" s="75"/>
      <c r="AK4621" s="75"/>
    </row>
    <row r="4622" spans="34:37" x14ac:dyDescent="0.25">
      <c r="AH4622" s="75"/>
      <c r="AK4622" s="75"/>
    </row>
    <row r="4623" spans="34:37" x14ac:dyDescent="0.25">
      <c r="AH4623" s="75"/>
      <c r="AK4623" s="75"/>
    </row>
    <row r="4624" spans="34:37" x14ac:dyDescent="0.25">
      <c r="AH4624" s="75"/>
      <c r="AK4624" s="75"/>
    </row>
    <row r="4625" spans="34:37" x14ac:dyDescent="0.25">
      <c r="AH4625" s="75"/>
      <c r="AK4625" s="75"/>
    </row>
    <row r="4626" spans="34:37" x14ac:dyDescent="0.25">
      <c r="AH4626" s="75"/>
      <c r="AK4626" s="75"/>
    </row>
    <row r="4627" spans="34:37" x14ac:dyDescent="0.25">
      <c r="AH4627" s="75"/>
      <c r="AK4627" s="75"/>
    </row>
    <row r="4628" spans="34:37" x14ac:dyDescent="0.25">
      <c r="AH4628" s="75"/>
      <c r="AK4628" s="75"/>
    </row>
    <row r="4629" spans="34:37" x14ac:dyDescent="0.25">
      <c r="AH4629" s="75"/>
      <c r="AK4629" s="75"/>
    </row>
    <row r="4630" spans="34:37" x14ac:dyDescent="0.25">
      <c r="AH4630" s="75"/>
      <c r="AK4630" s="75"/>
    </row>
    <row r="4631" spans="34:37" x14ac:dyDescent="0.25">
      <c r="AH4631" s="75"/>
      <c r="AK4631" s="75"/>
    </row>
    <row r="4632" spans="34:37" x14ac:dyDescent="0.25">
      <c r="AH4632" s="75"/>
      <c r="AK4632" s="75"/>
    </row>
    <row r="4633" spans="34:37" x14ac:dyDescent="0.25">
      <c r="AH4633" s="75"/>
      <c r="AK4633" s="75"/>
    </row>
    <row r="4634" spans="34:37" x14ac:dyDescent="0.25">
      <c r="AH4634" s="75"/>
      <c r="AK4634" s="75"/>
    </row>
    <row r="4635" spans="34:37" x14ac:dyDescent="0.25">
      <c r="AH4635" s="75"/>
      <c r="AK4635" s="75"/>
    </row>
    <row r="4636" spans="34:37" x14ac:dyDescent="0.25">
      <c r="AH4636" s="75"/>
      <c r="AK4636" s="75"/>
    </row>
    <row r="4637" spans="34:37" x14ac:dyDescent="0.25">
      <c r="AH4637" s="75"/>
      <c r="AK4637" s="75"/>
    </row>
    <row r="4638" spans="34:37" x14ac:dyDescent="0.25">
      <c r="AH4638" s="75"/>
      <c r="AK4638" s="75"/>
    </row>
    <row r="4639" spans="34:37" x14ac:dyDescent="0.25">
      <c r="AH4639" s="75"/>
      <c r="AK4639" s="75"/>
    </row>
    <row r="4640" spans="34:37" x14ac:dyDescent="0.25">
      <c r="AH4640" s="75"/>
      <c r="AK4640" s="75"/>
    </row>
    <row r="4641" spans="34:37" x14ac:dyDescent="0.25">
      <c r="AH4641" s="75"/>
      <c r="AK4641" s="75"/>
    </row>
    <row r="4642" spans="34:37" x14ac:dyDescent="0.25">
      <c r="AH4642" s="75"/>
      <c r="AK4642" s="75"/>
    </row>
    <row r="4643" spans="34:37" x14ac:dyDescent="0.25">
      <c r="AH4643" s="75"/>
      <c r="AK4643" s="75"/>
    </row>
    <row r="4644" spans="34:37" x14ac:dyDescent="0.25">
      <c r="AH4644" s="75"/>
      <c r="AK4644" s="75"/>
    </row>
    <row r="4645" spans="34:37" x14ac:dyDescent="0.25">
      <c r="AH4645" s="75"/>
      <c r="AK4645" s="75"/>
    </row>
    <row r="4646" spans="34:37" x14ac:dyDescent="0.25">
      <c r="AH4646" s="75"/>
      <c r="AK4646" s="75"/>
    </row>
    <row r="4647" spans="34:37" x14ac:dyDescent="0.25">
      <c r="AH4647" s="75"/>
      <c r="AK4647" s="75"/>
    </row>
    <row r="4648" spans="34:37" x14ac:dyDescent="0.25">
      <c r="AH4648" s="75"/>
      <c r="AK4648" s="75"/>
    </row>
    <row r="4649" spans="34:37" x14ac:dyDescent="0.25">
      <c r="AH4649" s="75"/>
      <c r="AK4649" s="75"/>
    </row>
    <row r="4650" spans="34:37" x14ac:dyDescent="0.25">
      <c r="AH4650" s="75"/>
      <c r="AK4650" s="75"/>
    </row>
    <row r="4651" spans="34:37" x14ac:dyDescent="0.25">
      <c r="AH4651" s="75"/>
      <c r="AK4651" s="75"/>
    </row>
    <row r="4652" spans="34:37" x14ac:dyDescent="0.25">
      <c r="AH4652" s="75"/>
      <c r="AK4652" s="75"/>
    </row>
    <row r="4653" spans="34:37" x14ac:dyDescent="0.25">
      <c r="AH4653" s="75"/>
      <c r="AK4653" s="75"/>
    </row>
    <row r="4654" spans="34:37" x14ac:dyDescent="0.25">
      <c r="AH4654" s="75"/>
      <c r="AK4654" s="75"/>
    </row>
    <row r="4655" spans="34:37" x14ac:dyDescent="0.25">
      <c r="AH4655" s="75"/>
      <c r="AK4655" s="75"/>
    </row>
    <row r="4656" spans="34:37" x14ac:dyDescent="0.25">
      <c r="AH4656" s="75"/>
      <c r="AK4656" s="75"/>
    </row>
    <row r="4657" spans="34:37" x14ac:dyDescent="0.25">
      <c r="AH4657" s="75"/>
      <c r="AK4657" s="75"/>
    </row>
    <row r="4658" spans="34:37" x14ac:dyDescent="0.25">
      <c r="AH4658" s="75"/>
      <c r="AK4658" s="75"/>
    </row>
    <row r="4659" spans="34:37" x14ac:dyDescent="0.25">
      <c r="AH4659" s="75"/>
      <c r="AK4659" s="75"/>
    </row>
    <row r="4660" spans="34:37" x14ac:dyDescent="0.25">
      <c r="AH4660" s="75"/>
      <c r="AK4660" s="75"/>
    </row>
    <row r="4661" spans="34:37" x14ac:dyDescent="0.25">
      <c r="AH4661" s="75"/>
      <c r="AK4661" s="75"/>
    </row>
    <row r="4662" spans="34:37" x14ac:dyDescent="0.25">
      <c r="AH4662" s="75"/>
      <c r="AK4662" s="75"/>
    </row>
    <row r="4663" spans="34:37" x14ac:dyDescent="0.25">
      <c r="AH4663" s="75"/>
      <c r="AK4663" s="75"/>
    </row>
    <row r="4664" spans="34:37" x14ac:dyDescent="0.25">
      <c r="AH4664" s="75"/>
      <c r="AK4664" s="75"/>
    </row>
    <row r="4665" spans="34:37" x14ac:dyDescent="0.25">
      <c r="AH4665" s="75"/>
      <c r="AK4665" s="75"/>
    </row>
    <row r="4666" spans="34:37" x14ac:dyDescent="0.25">
      <c r="AH4666" s="75"/>
      <c r="AK4666" s="75"/>
    </row>
    <row r="4667" spans="34:37" x14ac:dyDescent="0.25">
      <c r="AH4667" s="75"/>
      <c r="AK4667" s="75"/>
    </row>
    <row r="4668" spans="34:37" x14ac:dyDescent="0.25">
      <c r="AH4668" s="75"/>
      <c r="AK4668" s="75"/>
    </row>
    <row r="4669" spans="34:37" x14ac:dyDescent="0.25">
      <c r="AH4669" s="75"/>
      <c r="AK4669" s="75"/>
    </row>
    <row r="4670" spans="34:37" x14ac:dyDescent="0.25">
      <c r="AH4670" s="75"/>
      <c r="AK4670" s="75"/>
    </row>
    <row r="4671" spans="34:37" x14ac:dyDescent="0.25">
      <c r="AH4671" s="75"/>
      <c r="AK4671" s="75"/>
    </row>
    <row r="4672" spans="34:37" x14ac:dyDescent="0.25">
      <c r="AH4672" s="75"/>
      <c r="AK4672" s="75"/>
    </row>
    <row r="4673" spans="34:37" x14ac:dyDescent="0.25">
      <c r="AH4673" s="75"/>
      <c r="AK4673" s="75"/>
    </row>
    <row r="4674" spans="34:37" x14ac:dyDescent="0.25">
      <c r="AH4674" s="75"/>
      <c r="AK4674" s="75"/>
    </row>
    <row r="4675" spans="34:37" x14ac:dyDescent="0.25">
      <c r="AH4675" s="75"/>
      <c r="AK4675" s="75"/>
    </row>
    <row r="4676" spans="34:37" x14ac:dyDescent="0.25">
      <c r="AH4676" s="75"/>
      <c r="AK4676" s="75"/>
    </row>
    <row r="4677" spans="34:37" x14ac:dyDescent="0.25">
      <c r="AH4677" s="75"/>
      <c r="AK4677" s="75"/>
    </row>
    <row r="4678" spans="34:37" x14ac:dyDescent="0.25">
      <c r="AH4678" s="75"/>
      <c r="AK4678" s="75"/>
    </row>
    <row r="4679" spans="34:37" x14ac:dyDescent="0.25">
      <c r="AH4679" s="75"/>
      <c r="AK4679" s="75"/>
    </row>
    <row r="4680" spans="34:37" x14ac:dyDescent="0.25">
      <c r="AH4680" s="75"/>
      <c r="AK4680" s="75"/>
    </row>
    <row r="4681" spans="34:37" x14ac:dyDescent="0.25">
      <c r="AH4681" s="75"/>
      <c r="AK4681" s="75"/>
    </row>
    <row r="4682" spans="34:37" x14ac:dyDescent="0.25">
      <c r="AH4682" s="75"/>
      <c r="AK4682" s="75"/>
    </row>
    <row r="4683" spans="34:37" x14ac:dyDescent="0.25">
      <c r="AH4683" s="75"/>
      <c r="AK4683" s="75"/>
    </row>
    <row r="4684" spans="34:37" x14ac:dyDescent="0.25">
      <c r="AH4684" s="75"/>
      <c r="AK4684" s="75"/>
    </row>
    <row r="4685" spans="34:37" x14ac:dyDescent="0.25">
      <c r="AH4685" s="75"/>
      <c r="AK4685" s="75"/>
    </row>
    <row r="4686" spans="34:37" x14ac:dyDescent="0.25">
      <c r="AH4686" s="75"/>
      <c r="AK4686" s="75"/>
    </row>
    <row r="4687" spans="34:37" x14ac:dyDescent="0.25">
      <c r="AH4687" s="75"/>
      <c r="AK4687" s="75"/>
    </row>
    <row r="4688" spans="34:37" x14ac:dyDescent="0.25">
      <c r="AH4688" s="75"/>
      <c r="AK4688" s="75"/>
    </row>
    <row r="4689" spans="34:37" x14ac:dyDescent="0.25">
      <c r="AH4689" s="75"/>
      <c r="AK4689" s="75"/>
    </row>
    <row r="4690" spans="34:37" x14ac:dyDescent="0.25">
      <c r="AH4690" s="75"/>
      <c r="AK4690" s="75"/>
    </row>
    <row r="4691" spans="34:37" x14ac:dyDescent="0.25">
      <c r="AH4691" s="75"/>
      <c r="AK4691" s="75"/>
    </row>
    <row r="4692" spans="34:37" x14ac:dyDescent="0.25">
      <c r="AH4692" s="75"/>
      <c r="AK4692" s="75"/>
    </row>
    <row r="4693" spans="34:37" x14ac:dyDescent="0.25">
      <c r="AH4693" s="75"/>
      <c r="AK4693" s="75"/>
    </row>
    <row r="4694" spans="34:37" x14ac:dyDescent="0.25">
      <c r="AH4694" s="75"/>
      <c r="AK4694" s="75"/>
    </row>
    <row r="4695" spans="34:37" x14ac:dyDescent="0.25">
      <c r="AH4695" s="75"/>
      <c r="AK4695" s="75"/>
    </row>
    <row r="4696" spans="34:37" x14ac:dyDescent="0.25">
      <c r="AH4696" s="75"/>
      <c r="AK4696" s="75"/>
    </row>
    <row r="4697" spans="34:37" x14ac:dyDescent="0.25">
      <c r="AH4697" s="75"/>
      <c r="AK4697" s="75"/>
    </row>
    <row r="4698" spans="34:37" x14ac:dyDescent="0.25">
      <c r="AH4698" s="75"/>
      <c r="AK4698" s="75"/>
    </row>
    <row r="4699" spans="34:37" x14ac:dyDescent="0.25">
      <c r="AH4699" s="75"/>
      <c r="AK4699" s="75"/>
    </row>
    <row r="4700" spans="34:37" x14ac:dyDescent="0.25">
      <c r="AH4700" s="75"/>
      <c r="AK4700" s="75"/>
    </row>
    <row r="4701" spans="34:37" x14ac:dyDescent="0.25">
      <c r="AH4701" s="75"/>
      <c r="AK4701" s="75"/>
    </row>
    <row r="4702" spans="34:37" x14ac:dyDescent="0.25">
      <c r="AH4702" s="75"/>
      <c r="AK4702" s="75"/>
    </row>
    <row r="4703" spans="34:37" x14ac:dyDescent="0.25">
      <c r="AH4703" s="75"/>
      <c r="AK4703" s="75"/>
    </row>
    <row r="4704" spans="34:37" x14ac:dyDescent="0.25">
      <c r="AH4704" s="75"/>
      <c r="AK4704" s="75"/>
    </row>
    <row r="4705" spans="34:37" x14ac:dyDescent="0.25">
      <c r="AH4705" s="75"/>
      <c r="AK4705" s="75"/>
    </row>
    <row r="4706" spans="34:37" x14ac:dyDescent="0.25">
      <c r="AH4706" s="75"/>
      <c r="AK4706" s="75"/>
    </row>
    <row r="4707" spans="34:37" x14ac:dyDescent="0.25">
      <c r="AH4707" s="75"/>
      <c r="AK4707" s="75"/>
    </row>
    <row r="4708" spans="34:37" x14ac:dyDescent="0.25">
      <c r="AH4708" s="75"/>
      <c r="AK4708" s="75"/>
    </row>
    <row r="4709" spans="34:37" x14ac:dyDescent="0.25">
      <c r="AH4709" s="75"/>
      <c r="AK4709" s="75"/>
    </row>
    <row r="4710" spans="34:37" x14ac:dyDescent="0.25">
      <c r="AH4710" s="75"/>
      <c r="AK4710" s="75"/>
    </row>
    <row r="4711" spans="34:37" x14ac:dyDescent="0.25">
      <c r="AH4711" s="75"/>
      <c r="AK4711" s="75"/>
    </row>
    <row r="4712" spans="34:37" x14ac:dyDescent="0.25">
      <c r="AH4712" s="75"/>
      <c r="AK4712" s="75"/>
    </row>
    <row r="4713" spans="34:37" x14ac:dyDescent="0.25">
      <c r="AH4713" s="75"/>
      <c r="AK4713" s="75"/>
    </row>
    <row r="4714" spans="34:37" x14ac:dyDescent="0.25">
      <c r="AH4714" s="75"/>
      <c r="AK4714" s="75"/>
    </row>
    <row r="4715" spans="34:37" x14ac:dyDescent="0.25">
      <c r="AH4715" s="75"/>
      <c r="AK4715" s="75"/>
    </row>
    <row r="4716" spans="34:37" x14ac:dyDescent="0.25">
      <c r="AH4716" s="75"/>
      <c r="AK4716" s="75"/>
    </row>
    <row r="4717" spans="34:37" x14ac:dyDescent="0.25">
      <c r="AH4717" s="75"/>
      <c r="AK4717" s="75"/>
    </row>
    <row r="4718" spans="34:37" x14ac:dyDescent="0.25">
      <c r="AH4718" s="75"/>
      <c r="AK4718" s="75"/>
    </row>
    <row r="4719" spans="34:37" x14ac:dyDescent="0.25">
      <c r="AH4719" s="75"/>
      <c r="AK4719" s="75"/>
    </row>
    <row r="4720" spans="34:37" x14ac:dyDescent="0.25">
      <c r="AH4720" s="75"/>
      <c r="AK4720" s="75"/>
    </row>
    <row r="4721" spans="34:37" x14ac:dyDescent="0.25">
      <c r="AH4721" s="75"/>
      <c r="AK4721" s="75"/>
    </row>
    <row r="4722" spans="34:37" x14ac:dyDescent="0.25">
      <c r="AH4722" s="75"/>
      <c r="AK4722" s="75"/>
    </row>
    <row r="4723" spans="34:37" x14ac:dyDescent="0.25">
      <c r="AH4723" s="75"/>
      <c r="AK4723" s="75"/>
    </row>
    <row r="4724" spans="34:37" x14ac:dyDescent="0.25">
      <c r="AH4724" s="75"/>
      <c r="AK4724" s="75"/>
    </row>
    <row r="4725" spans="34:37" x14ac:dyDescent="0.25">
      <c r="AH4725" s="75"/>
      <c r="AK4725" s="75"/>
    </row>
    <row r="4726" spans="34:37" x14ac:dyDescent="0.25">
      <c r="AH4726" s="75"/>
      <c r="AK4726" s="75"/>
    </row>
    <row r="4727" spans="34:37" x14ac:dyDescent="0.25">
      <c r="AH4727" s="75"/>
      <c r="AK4727" s="75"/>
    </row>
    <row r="4728" spans="34:37" x14ac:dyDescent="0.25">
      <c r="AH4728" s="75"/>
      <c r="AK4728" s="75"/>
    </row>
    <row r="4729" spans="34:37" x14ac:dyDescent="0.25">
      <c r="AH4729" s="75"/>
      <c r="AK4729" s="75"/>
    </row>
    <row r="4730" spans="34:37" x14ac:dyDescent="0.25">
      <c r="AH4730" s="75"/>
      <c r="AK4730" s="75"/>
    </row>
    <row r="4731" spans="34:37" x14ac:dyDescent="0.25">
      <c r="AH4731" s="75"/>
      <c r="AK4731" s="75"/>
    </row>
    <row r="4732" spans="34:37" x14ac:dyDescent="0.25">
      <c r="AH4732" s="75"/>
      <c r="AK4732" s="75"/>
    </row>
    <row r="4733" spans="34:37" x14ac:dyDescent="0.25">
      <c r="AH4733" s="75"/>
      <c r="AK4733" s="75"/>
    </row>
    <row r="4734" spans="34:37" x14ac:dyDescent="0.25">
      <c r="AH4734" s="75"/>
      <c r="AK4734" s="75"/>
    </row>
    <row r="4735" spans="34:37" x14ac:dyDescent="0.25">
      <c r="AH4735" s="75"/>
      <c r="AK4735" s="75"/>
    </row>
    <row r="4736" spans="34:37" x14ac:dyDescent="0.25">
      <c r="AH4736" s="75"/>
      <c r="AK4736" s="75"/>
    </row>
    <row r="4737" spans="34:37" x14ac:dyDescent="0.25">
      <c r="AH4737" s="75"/>
      <c r="AK4737" s="75"/>
    </row>
    <row r="4738" spans="34:37" x14ac:dyDescent="0.25">
      <c r="AH4738" s="75"/>
      <c r="AK4738" s="75"/>
    </row>
    <row r="4739" spans="34:37" x14ac:dyDescent="0.25">
      <c r="AH4739" s="75"/>
      <c r="AK4739" s="75"/>
    </row>
    <row r="4740" spans="34:37" x14ac:dyDescent="0.25">
      <c r="AH4740" s="75"/>
      <c r="AK4740" s="75"/>
    </row>
    <row r="4741" spans="34:37" x14ac:dyDescent="0.25">
      <c r="AH4741" s="75"/>
      <c r="AK4741" s="75"/>
    </row>
    <row r="4742" spans="34:37" x14ac:dyDescent="0.25">
      <c r="AH4742" s="75"/>
      <c r="AK4742" s="75"/>
    </row>
    <row r="4743" spans="34:37" x14ac:dyDescent="0.25">
      <c r="AH4743" s="75"/>
      <c r="AK4743" s="75"/>
    </row>
    <row r="4744" spans="34:37" x14ac:dyDescent="0.25">
      <c r="AH4744" s="75"/>
      <c r="AK4744" s="75"/>
    </row>
    <row r="4745" spans="34:37" x14ac:dyDescent="0.25">
      <c r="AH4745" s="75"/>
      <c r="AK4745" s="75"/>
    </row>
    <row r="4746" spans="34:37" x14ac:dyDescent="0.25">
      <c r="AH4746" s="75"/>
      <c r="AK4746" s="75"/>
    </row>
    <row r="4747" spans="34:37" x14ac:dyDescent="0.25">
      <c r="AH4747" s="75"/>
      <c r="AK4747" s="75"/>
    </row>
    <row r="4748" spans="34:37" x14ac:dyDescent="0.25">
      <c r="AH4748" s="75"/>
      <c r="AK4748" s="75"/>
    </row>
    <row r="4749" spans="34:37" x14ac:dyDescent="0.25">
      <c r="AH4749" s="75"/>
      <c r="AK4749" s="75"/>
    </row>
    <row r="4750" spans="34:37" x14ac:dyDescent="0.25">
      <c r="AH4750" s="75"/>
      <c r="AK4750" s="75"/>
    </row>
    <row r="4751" spans="34:37" x14ac:dyDescent="0.25">
      <c r="AH4751" s="75"/>
      <c r="AK4751" s="75"/>
    </row>
    <row r="4752" spans="34:37" x14ac:dyDescent="0.25">
      <c r="AH4752" s="75"/>
      <c r="AK4752" s="75"/>
    </row>
    <row r="4753" spans="34:37" x14ac:dyDescent="0.25">
      <c r="AH4753" s="75"/>
      <c r="AK4753" s="75"/>
    </row>
    <row r="4754" spans="34:37" x14ac:dyDescent="0.25">
      <c r="AH4754" s="75"/>
      <c r="AK4754" s="75"/>
    </row>
    <row r="4755" spans="34:37" x14ac:dyDescent="0.25">
      <c r="AH4755" s="75"/>
      <c r="AK4755" s="75"/>
    </row>
    <row r="4756" spans="34:37" x14ac:dyDescent="0.25">
      <c r="AH4756" s="75"/>
      <c r="AK4756" s="75"/>
    </row>
    <row r="4757" spans="34:37" x14ac:dyDescent="0.25">
      <c r="AH4757" s="75"/>
      <c r="AK4757" s="75"/>
    </row>
    <row r="4758" spans="34:37" x14ac:dyDescent="0.25">
      <c r="AH4758" s="75"/>
      <c r="AK4758" s="75"/>
    </row>
    <row r="4759" spans="34:37" x14ac:dyDescent="0.25">
      <c r="AH4759" s="75"/>
      <c r="AK4759" s="75"/>
    </row>
    <row r="4760" spans="34:37" x14ac:dyDescent="0.25">
      <c r="AH4760" s="75"/>
      <c r="AK4760" s="75"/>
    </row>
    <row r="4761" spans="34:37" x14ac:dyDescent="0.25">
      <c r="AH4761" s="75"/>
      <c r="AK4761" s="75"/>
    </row>
    <row r="4762" spans="34:37" x14ac:dyDescent="0.25">
      <c r="AH4762" s="75"/>
      <c r="AK4762" s="75"/>
    </row>
    <row r="4763" spans="34:37" x14ac:dyDescent="0.25">
      <c r="AH4763" s="75"/>
      <c r="AK4763" s="75"/>
    </row>
    <row r="4764" spans="34:37" x14ac:dyDescent="0.25">
      <c r="AH4764" s="75"/>
      <c r="AK4764" s="75"/>
    </row>
    <row r="4765" spans="34:37" x14ac:dyDescent="0.25">
      <c r="AH4765" s="75"/>
      <c r="AK4765" s="75"/>
    </row>
    <row r="4766" spans="34:37" x14ac:dyDescent="0.25">
      <c r="AH4766" s="75"/>
      <c r="AK4766" s="75"/>
    </row>
    <row r="4767" spans="34:37" x14ac:dyDescent="0.25">
      <c r="AH4767" s="75"/>
      <c r="AK4767" s="75"/>
    </row>
    <row r="4768" spans="34:37" x14ac:dyDescent="0.25">
      <c r="AH4768" s="75"/>
      <c r="AK4768" s="75"/>
    </row>
    <row r="4769" spans="34:37" x14ac:dyDescent="0.25">
      <c r="AH4769" s="75"/>
      <c r="AK4769" s="75"/>
    </row>
    <row r="4770" spans="34:37" x14ac:dyDescent="0.25">
      <c r="AH4770" s="75"/>
      <c r="AK4770" s="75"/>
    </row>
    <row r="4771" spans="34:37" x14ac:dyDescent="0.25">
      <c r="AH4771" s="75"/>
      <c r="AK4771" s="75"/>
    </row>
    <row r="4772" spans="34:37" x14ac:dyDescent="0.25">
      <c r="AH4772" s="75"/>
      <c r="AK4772" s="75"/>
    </row>
    <row r="4773" spans="34:37" x14ac:dyDescent="0.25">
      <c r="AH4773" s="75"/>
      <c r="AK4773" s="75"/>
    </row>
    <row r="4774" spans="34:37" x14ac:dyDescent="0.25">
      <c r="AH4774" s="75"/>
      <c r="AK4774" s="75"/>
    </row>
    <row r="4775" spans="34:37" x14ac:dyDescent="0.25">
      <c r="AH4775" s="75"/>
      <c r="AK4775" s="75"/>
    </row>
    <row r="4776" spans="34:37" x14ac:dyDescent="0.25">
      <c r="AH4776" s="75"/>
      <c r="AK4776" s="75"/>
    </row>
    <row r="4777" spans="34:37" x14ac:dyDescent="0.25">
      <c r="AH4777" s="75"/>
      <c r="AK4777" s="75"/>
    </row>
    <row r="4778" spans="34:37" x14ac:dyDescent="0.25">
      <c r="AH4778" s="75"/>
      <c r="AK4778" s="75"/>
    </row>
    <row r="4779" spans="34:37" x14ac:dyDescent="0.25">
      <c r="AH4779" s="75"/>
      <c r="AK4779" s="75"/>
    </row>
    <row r="4780" spans="34:37" x14ac:dyDescent="0.25">
      <c r="AH4780" s="75"/>
      <c r="AK4780" s="75"/>
    </row>
    <row r="4781" spans="34:37" x14ac:dyDescent="0.25">
      <c r="AH4781" s="75"/>
      <c r="AK4781" s="75"/>
    </row>
    <row r="4782" spans="34:37" x14ac:dyDescent="0.25">
      <c r="AH4782" s="75"/>
      <c r="AK4782" s="75"/>
    </row>
    <row r="4783" spans="34:37" x14ac:dyDescent="0.25">
      <c r="AH4783" s="75"/>
      <c r="AK4783" s="75"/>
    </row>
    <row r="4784" spans="34:37" x14ac:dyDescent="0.25">
      <c r="AH4784" s="75"/>
      <c r="AK4784" s="75"/>
    </row>
    <row r="4785" spans="34:37" x14ac:dyDescent="0.25">
      <c r="AH4785" s="75"/>
      <c r="AK4785" s="75"/>
    </row>
    <row r="4786" spans="34:37" x14ac:dyDescent="0.25">
      <c r="AH4786" s="75"/>
      <c r="AK4786" s="75"/>
    </row>
    <row r="4787" spans="34:37" x14ac:dyDescent="0.25">
      <c r="AH4787" s="75"/>
      <c r="AK4787" s="75"/>
    </row>
    <row r="4788" spans="34:37" x14ac:dyDescent="0.25">
      <c r="AH4788" s="75"/>
      <c r="AK4788" s="75"/>
    </row>
    <row r="4789" spans="34:37" x14ac:dyDescent="0.25">
      <c r="AH4789" s="75"/>
      <c r="AK4789" s="75"/>
    </row>
    <row r="4790" spans="34:37" x14ac:dyDescent="0.25">
      <c r="AH4790" s="75"/>
      <c r="AK4790" s="75"/>
    </row>
    <row r="4791" spans="34:37" x14ac:dyDescent="0.25">
      <c r="AH4791" s="75"/>
      <c r="AK4791" s="75"/>
    </row>
    <row r="4792" spans="34:37" x14ac:dyDescent="0.25">
      <c r="AH4792" s="75"/>
      <c r="AK4792" s="75"/>
    </row>
    <row r="4793" spans="34:37" x14ac:dyDescent="0.25">
      <c r="AH4793" s="75"/>
      <c r="AK4793" s="75"/>
    </row>
    <row r="4794" spans="34:37" x14ac:dyDescent="0.25">
      <c r="AH4794" s="75"/>
      <c r="AK4794" s="75"/>
    </row>
    <row r="4795" spans="34:37" x14ac:dyDescent="0.25">
      <c r="AH4795" s="75"/>
      <c r="AK4795" s="75"/>
    </row>
    <row r="4796" spans="34:37" x14ac:dyDescent="0.25">
      <c r="AH4796" s="75"/>
      <c r="AK4796" s="75"/>
    </row>
    <row r="4797" spans="34:37" x14ac:dyDescent="0.25">
      <c r="AH4797" s="75"/>
      <c r="AK4797" s="75"/>
    </row>
    <row r="4798" spans="34:37" x14ac:dyDescent="0.25">
      <c r="AH4798" s="75"/>
      <c r="AK4798" s="75"/>
    </row>
    <row r="4799" spans="34:37" x14ac:dyDescent="0.25">
      <c r="AH4799" s="75"/>
      <c r="AK4799" s="75"/>
    </row>
    <row r="4800" spans="34:37" x14ac:dyDescent="0.25">
      <c r="AH4800" s="75"/>
      <c r="AK4800" s="75"/>
    </row>
    <row r="4801" spans="34:37" x14ac:dyDescent="0.25">
      <c r="AH4801" s="75"/>
      <c r="AK4801" s="75"/>
    </row>
    <row r="4802" spans="34:37" x14ac:dyDescent="0.25">
      <c r="AH4802" s="75"/>
      <c r="AK4802" s="75"/>
    </row>
    <row r="4803" spans="34:37" x14ac:dyDescent="0.25">
      <c r="AH4803" s="75"/>
      <c r="AK4803" s="75"/>
    </row>
    <row r="4804" spans="34:37" x14ac:dyDescent="0.25">
      <c r="AH4804" s="75"/>
      <c r="AK4804" s="75"/>
    </row>
    <row r="4805" spans="34:37" x14ac:dyDescent="0.25">
      <c r="AH4805" s="75"/>
      <c r="AK4805" s="75"/>
    </row>
    <row r="4806" spans="34:37" x14ac:dyDescent="0.25">
      <c r="AH4806" s="75"/>
      <c r="AK4806" s="75"/>
    </row>
    <row r="4807" spans="34:37" x14ac:dyDescent="0.25">
      <c r="AH4807" s="75"/>
      <c r="AK4807" s="75"/>
    </row>
    <row r="4808" spans="34:37" x14ac:dyDescent="0.25">
      <c r="AH4808" s="75"/>
      <c r="AK4808" s="75"/>
    </row>
    <row r="4809" spans="34:37" x14ac:dyDescent="0.25">
      <c r="AH4809" s="75"/>
      <c r="AK4809" s="75"/>
    </row>
    <row r="4810" spans="34:37" x14ac:dyDescent="0.25">
      <c r="AH4810" s="75"/>
      <c r="AK4810" s="75"/>
    </row>
    <row r="4811" spans="34:37" x14ac:dyDescent="0.25">
      <c r="AH4811" s="75"/>
      <c r="AK4811" s="75"/>
    </row>
    <row r="4812" spans="34:37" x14ac:dyDescent="0.25">
      <c r="AH4812" s="75"/>
      <c r="AK4812" s="75"/>
    </row>
    <row r="4813" spans="34:37" x14ac:dyDescent="0.25">
      <c r="AH4813" s="75"/>
      <c r="AK4813" s="75"/>
    </row>
    <row r="4814" spans="34:37" x14ac:dyDescent="0.25">
      <c r="AH4814" s="75"/>
      <c r="AK4814" s="75"/>
    </row>
    <row r="4815" spans="34:37" x14ac:dyDescent="0.25">
      <c r="AH4815" s="75"/>
      <c r="AK4815" s="75"/>
    </row>
    <row r="4816" spans="34:37" x14ac:dyDescent="0.25">
      <c r="AH4816" s="75"/>
      <c r="AK4816" s="75"/>
    </row>
    <row r="4817" spans="34:37" x14ac:dyDescent="0.25">
      <c r="AH4817" s="75"/>
      <c r="AK4817" s="75"/>
    </row>
    <row r="4818" spans="34:37" x14ac:dyDescent="0.25">
      <c r="AH4818" s="75"/>
      <c r="AK4818" s="75"/>
    </row>
    <row r="4819" spans="34:37" x14ac:dyDescent="0.25">
      <c r="AH4819" s="75"/>
      <c r="AK4819" s="75"/>
    </row>
    <row r="4820" spans="34:37" x14ac:dyDescent="0.25">
      <c r="AH4820" s="75"/>
      <c r="AK4820" s="75"/>
    </row>
    <row r="4821" spans="34:37" x14ac:dyDescent="0.25">
      <c r="AH4821" s="75"/>
      <c r="AK4821" s="75"/>
    </row>
    <row r="4822" spans="34:37" x14ac:dyDescent="0.25">
      <c r="AH4822" s="75"/>
      <c r="AK4822" s="75"/>
    </row>
    <row r="4823" spans="34:37" x14ac:dyDescent="0.25">
      <c r="AH4823" s="75"/>
      <c r="AK4823" s="75"/>
    </row>
    <row r="4824" spans="34:37" x14ac:dyDescent="0.25">
      <c r="AH4824" s="75"/>
      <c r="AK4824" s="75"/>
    </row>
    <row r="4825" spans="34:37" x14ac:dyDescent="0.25">
      <c r="AH4825" s="75"/>
      <c r="AK4825" s="75"/>
    </row>
    <row r="4826" spans="34:37" x14ac:dyDescent="0.25">
      <c r="AH4826" s="75"/>
      <c r="AK4826" s="75"/>
    </row>
    <row r="4827" spans="34:37" x14ac:dyDescent="0.25">
      <c r="AH4827" s="75"/>
      <c r="AK4827" s="75"/>
    </row>
    <row r="4828" spans="34:37" x14ac:dyDescent="0.25">
      <c r="AH4828" s="75"/>
      <c r="AK4828" s="75"/>
    </row>
    <row r="4829" spans="34:37" x14ac:dyDescent="0.25">
      <c r="AH4829" s="75"/>
      <c r="AK4829" s="75"/>
    </row>
    <row r="4830" spans="34:37" x14ac:dyDescent="0.25">
      <c r="AH4830" s="75"/>
      <c r="AK4830" s="75"/>
    </row>
    <row r="4831" spans="34:37" x14ac:dyDescent="0.25">
      <c r="AH4831" s="75"/>
      <c r="AK4831" s="75"/>
    </row>
    <row r="4832" spans="34:37" x14ac:dyDescent="0.25">
      <c r="AH4832" s="75"/>
      <c r="AK4832" s="75"/>
    </row>
    <row r="4833" spans="34:37" x14ac:dyDescent="0.25">
      <c r="AH4833" s="75"/>
      <c r="AK4833" s="75"/>
    </row>
    <row r="4834" spans="34:37" x14ac:dyDescent="0.25">
      <c r="AH4834" s="75"/>
      <c r="AK4834" s="75"/>
    </row>
    <row r="4835" spans="34:37" x14ac:dyDescent="0.25">
      <c r="AH4835" s="75"/>
      <c r="AK4835" s="75"/>
    </row>
    <row r="4836" spans="34:37" x14ac:dyDescent="0.25">
      <c r="AH4836" s="75"/>
      <c r="AK4836" s="75"/>
    </row>
    <row r="4837" spans="34:37" x14ac:dyDescent="0.25">
      <c r="AH4837" s="75"/>
      <c r="AK4837" s="75"/>
    </row>
    <row r="4838" spans="34:37" x14ac:dyDescent="0.25">
      <c r="AH4838" s="75"/>
      <c r="AK4838" s="75"/>
    </row>
    <row r="4839" spans="34:37" x14ac:dyDescent="0.25">
      <c r="AH4839" s="75"/>
      <c r="AK4839" s="75"/>
    </row>
    <row r="4840" spans="34:37" x14ac:dyDescent="0.25">
      <c r="AH4840" s="75"/>
      <c r="AK4840" s="75"/>
    </row>
    <row r="4841" spans="34:37" x14ac:dyDescent="0.25">
      <c r="AH4841" s="75"/>
      <c r="AK4841" s="75"/>
    </row>
    <row r="4842" spans="34:37" x14ac:dyDescent="0.25">
      <c r="AH4842" s="75"/>
      <c r="AK4842" s="75"/>
    </row>
    <row r="4843" spans="34:37" x14ac:dyDescent="0.25">
      <c r="AH4843" s="75"/>
      <c r="AK4843" s="75"/>
    </row>
    <row r="4844" spans="34:37" x14ac:dyDescent="0.25">
      <c r="AH4844" s="75"/>
      <c r="AK4844" s="75"/>
    </row>
    <row r="4845" spans="34:37" x14ac:dyDescent="0.25">
      <c r="AH4845" s="75"/>
      <c r="AK4845" s="75"/>
    </row>
    <row r="4846" spans="34:37" x14ac:dyDescent="0.25">
      <c r="AH4846" s="75"/>
      <c r="AK4846" s="75"/>
    </row>
    <row r="4847" spans="34:37" x14ac:dyDescent="0.25">
      <c r="AH4847" s="75"/>
      <c r="AK4847" s="75"/>
    </row>
    <row r="4848" spans="34:37" x14ac:dyDescent="0.25">
      <c r="AH4848" s="75"/>
      <c r="AK4848" s="75"/>
    </row>
    <row r="4849" spans="34:37" x14ac:dyDescent="0.25">
      <c r="AH4849" s="75"/>
      <c r="AK4849" s="75"/>
    </row>
    <row r="4850" spans="34:37" x14ac:dyDescent="0.25">
      <c r="AH4850" s="75"/>
      <c r="AK4850" s="75"/>
    </row>
    <row r="4851" spans="34:37" x14ac:dyDescent="0.25">
      <c r="AH4851" s="75"/>
      <c r="AK4851" s="75"/>
    </row>
    <row r="4852" spans="34:37" x14ac:dyDescent="0.25">
      <c r="AH4852" s="75"/>
      <c r="AK4852" s="75"/>
    </row>
    <row r="4853" spans="34:37" x14ac:dyDescent="0.25">
      <c r="AH4853" s="75"/>
      <c r="AK4853" s="75"/>
    </row>
    <row r="4854" spans="34:37" x14ac:dyDescent="0.25">
      <c r="AH4854" s="75"/>
      <c r="AK4854" s="75"/>
    </row>
    <row r="4855" spans="34:37" x14ac:dyDescent="0.25">
      <c r="AH4855" s="75"/>
      <c r="AK4855" s="75"/>
    </row>
    <row r="4856" spans="34:37" x14ac:dyDescent="0.25">
      <c r="AH4856" s="75"/>
      <c r="AK4856" s="75"/>
    </row>
    <row r="4857" spans="34:37" x14ac:dyDescent="0.25">
      <c r="AH4857" s="75"/>
      <c r="AK4857" s="75"/>
    </row>
    <row r="4858" spans="34:37" x14ac:dyDescent="0.25">
      <c r="AH4858" s="75"/>
      <c r="AK4858" s="75"/>
    </row>
    <row r="4859" spans="34:37" x14ac:dyDescent="0.25">
      <c r="AH4859" s="75"/>
      <c r="AK4859" s="75"/>
    </row>
    <row r="4860" spans="34:37" x14ac:dyDescent="0.25">
      <c r="AH4860" s="75"/>
      <c r="AK4860" s="75"/>
    </row>
    <row r="4861" spans="34:37" x14ac:dyDescent="0.25">
      <c r="AH4861" s="75"/>
      <c r="AK4861" s="75"/>
    </row>
    <row r="4862" spans="34:37" x14ac:dyDescent="0.25">
      <c r="AH4862" s="75"/>
      <c r="AK4862" s="75"/>
    </row>
    <row r="4863" spans="34:37" x14ac:dyDescent="0.25">
      <c r="AH4863" s="75"/>
      <c r="AK4863" s="75"/>
    </row>
    <row r="4864" spans="34:37" x14ac:dyDescent="0.25">
      <c r="AH4864" s="75"/>
      <c r="AK4864" s="75"/>
    </row>
    <row r="4865" spans="34:37" x14ac:dyDescent="0.25">
      <c r="AH4865" s="75"/>
      <c r="AK4865" s="75"/>
    </row>
    <row r="4866" spans="34:37" x14ac:dyDescent="0.25">
      <c r="AH4866" s="75"/>
      <c r="AK4866" s="75"/>
    </row>
    <row r="4867" spans="34:37" x14ac:dyDescent="0.25">
      <c r="AH4867" s="75"/>
      <c r="AK4867" s="75"/>
    </row>
    <row r="4868" spans="34:37" x14ac:dyDescent="0.25">
      <c r="AH4868" s="75"/>
      <c r="AK4868" s="75"/>
    </row>
    <row r="4869" spans="34:37" x14ac:dyDescent="0.25">
      <c r="AH4869" s="75"/>
      <c r="AK4869" s="75"/>
    </row>
    <row r="4870" spans="34:37" x14ac:dyDescent="0.25">
      <c r="AH4870" s="75"/>
      <c r="AK4870" s="75"/>
    </row>
    <row r="4871" spans="34:37" x14ac:dyDescent="0.25">
      <c r="AH4871" s="75"/>
      <c r="AK4871" s="75"/>
    </row>
    <row r="4872" spans="34:37" x14ac:dyDescent="0.25">
      <c r="AH4872" s="75"/>
      <c r="AK4872" s="75"/>
    </row>
    <row r="4873" spans="34:37" x14ac:dyDescent="0.25">
      <c r="AH4873" s="75"/>
      <c r="AK4873" s="75"/>
    </row>
    <row r="4874" spans="34:37" x14ac:dyDescent="0.25">
      <c r="AH4874" s="75"/>
      <c r="AK4874" s="75"/>
    </row>
    <row r="4875" spans="34:37" x14ac:dyDescent="0.25">
      <c r="AH4875" s="75"/>
      <c r="AK4875" s="75"/>
    </row>
    <row r="4876" spans="34:37" x14ac:dyDescent="0.25">
      <c r="AH4876" s="75"/>
      <c r="AK4876" s="75"/>
    </row>
    <row r="4877" spans="34:37" x14ac:dyDescent="0.25">
      <c r="AH4877" s="75"/>
      <c r="AK4877" s="75"/>
    </row>
    <row r="4878" spans="34:37" x14ac:dyDescent="0.25">
      <c r="AH4878" s="75"/>
      <c r="AK4878" s="75"/>
    </row>
    <row r="4879" spans="34:37" x14ac:dyDescent="0.25">
      <c r="AH4879" s="75"/>
      <c r="AK4879" s="75"/>
    </row>
    <row r="4880" spans="34:37" x14ac:dyDescent="0.25">
      <c r="AH4880" s="75"/>
      <c r="AK4880" s="75"/>
    </row>
    <row r="4881" spans="34:37" x14ac:dyDescent="0.25">
      <c r="AH4881" s="75"/>
      <c r="AK4881" s="75"/>
    </row>
    <row r="4882" spans="34:37" x14ac:dyDescent="0.25">
      <c r="AH4882" s="75"/>
      <c r="AK4882" s="75"/>
    </row>
    <row r="4883" spans="34:37" x14ac:dyDescent="0.25">
      <c r="AH4883" s="75"/>
      <c r="AK4883" s="75"/>
    </row>
    <row r="4884" spans="34:37" x14ac:dyDescent="0.25">
      <c r="AH4884" s="75"/>
      <c r="AK4884" s="75"/>
    </row>
    <row r="4885" spans="34:37" x14ac:dyDescent="0.25">
      <c r="AH4885" s="75"/>
      <c r="AK4885" s="75"/>
    </row>
    <row r="4886" spans="34:37" x14ac:dyDescent="0.25">
      <c r="AH4886" s="75"/>
      <c r="AK4886" s="75"/>
    </row>
    <row r="4887" spans="34:37" x14ac:dyDescent="0.25">
      <c r="AH4887" s="75"/>
      <c r="AK4887" s="75"/>
    </row>
    <row r="4888" spans="34:37" x14ac:dyDescent="0.25">
      <c r="AH4888" s="75"/>
      <c r="AK4888" s="75"/>
    </row>
    <row r="4889" spans="34:37" x14ac:dyDescent="0.25">
      <c r="AH4889" s="75"/>
      <c r="AK4889" s="75"/>
    </row>
    <row r="4890" spans="34:37" x14ac:dyDescent="0.25">
      <c r="AH4890" s="75"/>
      <c r="AK4890" s="75"/>
    </row>
    <row r="4891" spans="34:37" x14ac:dyDescent="0.25">
      <c r="AH4891" s="75"/>
      <c r="AK4891" s="75"/>
    </row>
    <row r="4892" spans="34:37" x14ac:dyDescent="0.25">
      <c r="AH4892" s="75"/>
      <c r="AK4892" s="75"/>
    </row>
    <row r="4893" spans="34:37" x14ac:dyDescent="0.25">
      <c r="AH4893" s="75"/>
      <c r="AK4893" s="75"/>
    </row>
    <row r="4894" spans="34:37" x14ac:dyDescent="0.25">
      <c r="AH4894" s="75"/>
      <c r="AK4894" s="75"/>
    </row>
    <row r="4895" spans="34:37" x14ac:dyDescent="0.25">
      <c r="AH4895" s="75"/>
      <c r="AK4895" s="75"/>
    </row>
    <row r="4896" spans="34:37" x14ac:dyDescent="0.25">
      <c r="AH4896" s="75"/>
      <c r="AK4896" s="75"/>
    </row>
    <row r="4897" spans="34:37" x14ac:dyDescent="0.25">
      <c r="AH4897" s="75"/>
      <c r="AK4897" s="75"/>
    </row>
    <row r="4898" spans="34:37" x14ac:dyDescent="0.25">
      <c r="AH4898" s="75"/>
      <c r="AK4898" s="75"/>
    </row>
    <row r="4899" spans="34:37" x14ac:dyDescent="0.25">
      <c r="AH4899" s="75"/>
      <c r="AK4899" s="75"/>
    </row>
    <row r="4900" spans="34:37" x14ac:dyDescent="0.25">
      <c r="AH4900" s="75"/>
      <c r="AK4900" s="75"/>
    </row>
    <row r="4901" spans="34:37" x14ac:dyDescent="0.25">
      <c r="AH4901" s="75"/>
      <c r="AK4901" s="75"/>
    </row>
    <row r="4902" spans="34:37" x14ac:dyDescent="0.25">
      <c r="AH4902" s="75"/>
      <c r="AK4902" s="75"/>
    </row>
    <row r="4903" spans="34:37" x14ac:dyDescent="0.25">
      <c r="AH4903" s="75"/>
      <c r="AK4903" s="75"/>
    </row>
    <row r="4904" spans="34:37" x14ac:dyDescent="0.25">
      <c r="AH4904" s="75"/>
      <c r="AK4904" s="75"/>
    </row>
    <row r="4905" spans="34:37" x14ac:dyDescent="0.25">
      <c r="AH4905" s="75"/>
      <c r="AK4905" s="75"/>
    </row>
    <row r="4906" spans="34:37" x14ac:dyDescent="0.25">
      <c r="AH4906" s="75"/>
      <c r="AK4906" s="75"/>
    </row>
    <row r="4907" spans="34:37" x14ac:dyDescent="0.25">
      <c r="AH4907" s="75"/>
      <c r="AK4907" s="75"/>
    </row>
    <row r="4908" spans="34:37" x14ac:dyDescent="0.25">
      <c r="AH4908" s="75"/>
      <c r="AK4908" s="75"/>
    </row>
    <row r="4909" spans="34:37" x14ac:dyDescent="0.25">
      <c r="AH4909" s="75"/>
      <c r="AK4909" s="75"/>
    </row>
    <row r="4910" spans="34:37" x14ac:dyDescent="0.25">
      <c r="AH4910" s="75"/>
      <c r="AK4910" s="75"/>
    </row>
    <row r="4911" spans="34:37" x14ac:dyDescent="0.25">
      <c r="AH4911" s="75"/>
      <c r="AK4911" s="75"/>
    </row>
    <row r="4912" spans="34:37" x14ac:dyDescent="0.25">
      <c r="AH4912" s="75"/>
      <c r="AK4912" s="75"/>
    </row>
    <row r="4913" spans="34:37" x14ac:dyDescent="0.25">
      <c r="AH4913" s="75"/>
      <c r="AK4913" s="75"/>
    </row>
    <row r="4914" spans="34:37" x14ac:dyDescent="0.25">
      <c r="AH4914" s="75"/>
      <c r="AK4914" s="75"/>
    </row>
    <row r="4915" spans="34:37" x14ac:dyDescent="0.25">
      <c r="AH4915" s="75"/>
      <c r="AK4915" s="75"/>
    </row>
    <row r="4916" spans="34:37" x14ac:dyDescent="0.25">
      <c r="AH4916" s="75"/>
      <c r="AK4916" s="75"/>
    </row>
    <row r="4917" spans="34:37" x14ac:dyDescent="0.25">
      <c r="AH4917" s="75"/>
      <c r="AK4917" s="75"/>
    </row>
    <row r="4918" spans="34:37" x14ac:dyDescent="0.25">
      <c r="AH4918" s="75"/>
      <c r="AK4918" s="75"/>
    </row>
    <row r="4919" spans="34:37" x14ac:dyDescent="0.25">
      <c r="AH4919" s="75"/>
      <c r="AK4919" s="75"/>
    </row>
    <row r="4920" spans="34:37" x14ac:dyDescent="0.25">
      <c r="AH4920" s="75"/>
      <c r="AK4920" s="75"/>
    </row>
    <row r="4921" spans="34:37" x14ac:dyDescent="0.25">
      <c r="AH4921" s="75"/>
      <c r="AK4921" s="75"/>
    </row>
    <row r="4922" spans="34:37" x14ac:dyDescent="0.25">
      <c r="AH4922" s="75"/>
      <c r="AK4922" s="75"/>
    </row>
    <row r="4923" spans="34:37" x14ac:dyDescent="0.25">
      <c r="AH4923" s="75"/>
      <c r="AK4923" s="75"/>
    </row>
    <row r="4924" spans="34:37" x14ac:dyDescent="0.25">
      <c r="AH4924" s="75"/>
      <c r="AK4924" s="75"/>
    </row>
    <row r="4925" spans="34:37" x14ac:dyDescent="0.25">
      <c r="AH4925" s="75"/>
      <c r="AK4925" s="75"/>
    </row>
    <row r="4926" spans="34:37" x14ac:dyDescent="0.25">
      <c r="AH4926" s="75"/>
      <c r="AK4926" s="75"/>
    </row>
    <row r="4927" spans="34:37" x14ac:dyDescent="0.25">
      <c r="AH4927" s="75"/>
      <c r="AK4927" s="75"/>
    </row>
    <row r="4928" spans="34:37" x14ac:dyDescent="0.25">
      <c r="AH4928" s="75"/>
      <c r="AK4928" s="75"/>
    </row>
    <row r="4929" spans="34:37" x14ac:dyDescent="0.25">
      <c r="AH4929" s="75"/>
      <c r="AK4929" s="75"/>
    </row>
    <row r="4930" spans="34:37" x14ac:dyDescent="0.25">
      <c r="AH4930" s="75"/>
      <c r="AK4930" s="75"/>
    </row>
    <row r="4931" spans="34:37" x14ac:dyDescent="0.25">
      <c r="AH4931" s="75"/>
      <c r="AK4931" s="75"/>
    </row>
    <row r="4932" spans="34:37" x14ac:dyDescent="0.25">
      <c r="AH4932" s="75"/>
      <c r="AK4932" s="75"/>
    </row>
    <row r="4933" spans="34:37" x14ac:dyDescent="0.25">
      <c r="AH4933" s="75"/>
      <c r="AK4933" s="75"/>
    </row>
    <row r="4934" spans="34:37" x14ac:dyDescent="0.25">
      <c r="AH4934" s="75"/>
      <c r="AK4934" s="75"/>
    </row>
    <row r="4935" spans="34:37" x14ac:dyDescent="0.25">
      <c r="AH4935" s="75"/>
      <c r="AK4935" s="75"/>
    </row>
    <row r="4936" spans="34:37" x14ac:dyDescent="0.25">
      <c r="AH4936" s="75"/>
      <c r="AK4936" s="75"/>
    </row>
    <row r="4937" spans="34:37" x14ac:dyDescent="0.25">
      <c r="AH4937" s="75"/>
      <c r="AK4937" s="75"/>
    </row>
    <row r="4938" spans="34:37" x14ac:dyDescent="0.25">
      <c r="AH4938" s="75"/>
      <c r="AK4938" s="75"/>
    </row>
    <row r="4939" spans="34:37" x14ac:dyDescent="0.25">
      <c r="AH4939" s="75"/>
      <c r="AK4939" s="75"/>
    </row>
    <row r="4940" spans="34:37" x14ac:dyDescent="0.25">
      <c r="AH4940" s="75"/>
      <c r="AK4940" s="75"/>
    </row>
    <row r="4941" spans="34:37" x14ac:dyDescent="0.25">
      <c r="AH4941" s="75"/>
      <c r="AK4941" s="75"/>
    </row>
    <row r="4942" spans="34:37" x14ac:dyDescent="0.25">
      <c r="AH4942" s="75"/>
      <c r="AK4942" s="75"/>
    </row>
    <row r="4943" spans="34:37" x14ac:dyDescent="0.25">
      <c r="AH4943" s="75"/>
      <c r="AK4943" s="75"/>
    </row>
    <row r="4944" spans="34:37" x14ac:dyDescent="0.25">
      <c r="AH4944" s="75"/>
      <c r="AK4944" s="75"/>
    </row>
    <row r="4945" spans="34:37" x14ac:dyDescent="0.25">
      <c r="AH4945" s="75"/>
      <c r="AK4945" s="75"/>
    </row>
    <row r="4946" spans="34:37" x14ac:dyDescent="0.25">
      <c r="AH4946" s="75"/>
      <c r="AK4946" s="75"/>
    </row>
    <row r="4947" spans="34:37" x14ac:dyDescent="0.25">
      <c r="AH4947" s="75"/>
      <c r="AK4947" s="75"/>
    </row>
    <row r="4948" spans="34:37" x14ac:dyDescent="0.25">
      <c r="AH4948" s="75"/>
      <c r="AK4948" s="75"/>
    </row>
    <row r="4949" spans="34:37" x14ac:dyDescent="0.25">
      <c r="AH4949" s="75"/>
      <c r="AK4949" s="75"/>
    </row>
    <row r="4950" spans="34:37" x14ac:dyDescent="0.25">
      <c r="AH4950" s="75"/>
      <c r="AK4950" s="75"/>
    </row>
    <row r="4951" spans="34:37" x14ac:dyDescent="0.25">
      <c r="AH4951" s="75"/>
      <c r="AK4951" s="75"/>
    </row>
    <row r="4952" spans="34:37" x14ac:dyDescent="0.25">
      <c r="AH4952" s="75"/>
      <c r="AK4952" s="75"/>
    </row>
    <row r="4953" spans="34:37" x14ac:dyDescent="0.25">
      <c r="AH4953" s="75"/>
      <c r="AK4953" s="75"/>
    </row>
    <row r="4954" spans="34:37" x14ac:dyDescent="0.25">
      <c r="AH4954" s="75"/>
      <c r="AK4954" s="75"/>
    </row>
    <row r="4955" spans="34:37" x14ac:dyDescent="0.25">
      <c r="AH4955" s="75"/>
      <c r="AK4955" s="75"/>
    </row>
    <row r="4956" spans="34:37" x14ac:dyDescent="0.25">
      <c r="AH4956" s="75"/>
      <c r="AK4956" s="75"/>
    </row>
    <row r="4957" spans="34:37" x14ac:dyDescent="0.25">
      <c r="AH4957" s="75"/>
      <c r="AK4957" s="75"/>
    </row>
    <row r="4958" spans="34:37" x14ac:dyDescent="0.25">
      <c r="AH4958" s="75"/>
      <c r="AK4958" s="75"/>
    </row>
    <row r="4959" spans="34:37" x14ac:dyDescent="0.25">
      <c r="AH4959" s="75"/>
      <c r="AK4959" s="75"/>
    </row>
    <row r="4960" spans="34:37" x14ac:dyDescent="0.25">
      <c r="AH4960" s="75"/>
      <c r="AK4960" s="75"/>
    </row>
    <row r="4961" spans="34:37" x14ac:dyDescent="0.25">
      <c r="AH4961" s="75"/>
      <c r="AK4961" s="75"/>
    </row>
    <row r="4962" spans="34:37" x14ac:dyDescent="0.25">
      <c r="AH4962" s="75"/>
      <c r="AK4962" s="75"/>
    </row>
    <row r="4963" spans="34:37" x14ac:dyDescent="0.25">
      <c r="AH4963" s="75"/>
      <c r="AK4963" s="75"/>
    </row>
    <row r="4964" spans="34:37" x14ac:dyDescent="0.25">
      <c r="AH4964" s="75"/>
      <c r="AK4964" s="75"/>
    </row>
    <row r="4965" spans="34:37" x14ac:dyDescent="0.25">
      <c r="AH4965" s="75"/>
      <c r="AK4965" s="75"/>
    </row>
    <row r="4966" spans="34:37" x14ac:dyDescent="0.25">
      <c r="AH4966" s="75"/>
      <c r="AK4966" s="75"/>
    </row>
    <row r="4967" spans="34:37" x14ac:dyDescent="0.25">
      <c r="AH4967" s="75"/>
      <c r="AK4967" s="75"/>
    </row>
    <row r="4968" spans="34:37" x14ac:dyDescent="0.25">
      <c r="AH4968" s="75"/>
      <c r="AK4968" s="75"/>
    </row>
    <row r="4969" spans="34:37" x14ac:dyDescent="0.25">
      <c r="AH4969" s="75"/>
      <c r="AK4969" s="75"/>
    </row>
    <row r="4970" spans="34:37" x14ac:dyDescent="0.25">
      <c r="AH4970" s="75"/>
      <c r="AK4970" s="75"/>
    </row>
    <row r="4971" spans="34:37" x14ac:dyDescent="0.25">
      <c r="AH4971" s="75"/>
      <c r="AK4971" s="75"/>
    </row>
    <row r="4972" spans="34:37" x14ac:dyDescent="0.25">
      <c r="AH4972" s="75"/>
      <c r="AK4972" s="75"/>
    </row>
    <row r="4973" spans="34:37" x14ac:dyDescent="0.25">
      <c r="AH4973" s="75"/>
      <c r="AK4973" s="75"/>
    </row>
    <row r="4974" spans="34:37" x14ac:dyDescent="0.25">
      <c r="AH4974" s="75"/>
      <c r="AK4974" s="75"/>
    </row>
    <row r="4975" spans="34:37" x14ac:dyDescent="0.25">
      <c r="AH4975" s="75"/>
      <c r="AK4975" s="75"/>
    </row>
    <row r="4976" spans="34:37" x14ac:dyDescent="0.25">
      <c r="AH4976" s="75"/>
      <c r="AK4976" s="75"/>
    </row>
    <row r="4977" spans="34:37" x14ac:dyDescent="0.25">
      <c r="AH4977" s="75"/>
      <c r="AK4977" s="75"/>
    </row>
    <row r="4978" spans="34:37" x14ac:dyDescent="0.25">
      <c r="AH4978" s="75"/>
      <c r="AK4978" s="75"/>
    </row>
    <row r="4979" spans="34:37" x14ac:dyDescent="0.25">
      <c r="AH4979" s="75"/>
      <c r="AK4979" s="75"/>
    </row>
    <row r="4980" spans="34:37" x14ac:dyDescent="0.25">
      <c r="AH4980" s="75"/>
      <c r="AK4980" s="75"/>
    </row>
    <row r="4981" spans="34:37" x14ac:dyDescent="0.25">
      <c r="AH4981" s="75"/>
      <c r="AK4981" s="75"/>
    </row>
    <row r="4982" spans="34:37" x14ac:dyDescent="0.25">
      <c r="AH4982" s="75"/>
      <c r="AK4982" s="75"/>
    </row>
    <row r="4983" spans="34:37" x14ac:dyDescent="0.25">
      <c r="AH4983" s="75"/>
      <c r="AK4983" s="75"/>
    </row>
    <row r="4984" spans="34:37" x14ac:dyDescent="0.25">
      <c r="AH4984" s="75"/>
      <c r="AK4984" s="75"/>
    </row>
    <row r="4985" spans="34:37" x14ac:dyDescent="0.25">
      <c r="AH4985" s="75"/>
      <c r="AK4985" s="75"/>
    </row>
    <row r="4986" spans="34:37" x14ac:dyDescent="0.25">
      <c r="AH4986" s="75"/>
      <c r="AK4986" s="75"/>
    </row>
    <row r="4987" spans="34:37" x14ac:dyDescent="0.25">
      <c r="AH4987" s="75"/>
      <c r="AK4987" s="75"/>
    </row>
    <row r="4988" spans="34:37" x14ac:dyDescent="0.25">
      <c r="AH4988" s="75"/>
      <c r="AK4988" s="75"/>
    </row>
    <row r="4989" spans="34:37" x14ac:dyDescent="0.25">
      <c r="AH4989" s="75"/>
      <c r="AK4989" s="75"/>
    </row>
    <row r="4990" spans="34:37" x14ac:dyDescent="0.25">
      <c r="AH4990" s="75"/>
      <c r="AK4990" s="75"/>
    </row>
    <row r="4991" spans="34:37" x14ac:dyDescent="0.25">
      <c r="AH4991" s="75"/>
      <c r="AK4991" s="75"/>
    </row>
    <row r="4992" spans="34:37" x14ac:dyDescent="0.25">
      <c r="AH4992" s="75"/>
      <c r="AK4992" s="75"/>
    </row>
    <row r="4993" spans="34:37" x14ac:dyDescent="0.25">
      <c r="AH4993" s="75"/>
      <c r="AK4993" s="75"/>
    </row>
    <row r="4994" spans="34:37" x14ac:dyDescent="0.25">
      <c r="AH4994" s="75"/>
      <c r="AK4994" s="75"/>
    </row>
    <row r="4995" spans="34:37" x14ac:dyDescent="0.25">
      <c r="AH4995" s="75"/>
      <c r="AK4995" s="75"/>
    </row>
    <row r="4996" spans="34:37" x14ac:dyDescent="0.25">
      <c r="AH4996" s="75"/>
      <c r="AK4996" s="75"/>
    </row>
    <row r="4997" spans="34:37" x14ac:dyDescent="0.25">
      <c r="AH4997" s="75"/>
      <c r="AK4997" s="75"/>
    </row>
    <row r="4998" spans="34:37" x14ac:dyDescent="0.25">
      <c r="AH4998" s="75"/>
      <c r="AK4998" s="75"/>
    </row>
    <row r="4999" spans="34:37" x14ac:dyDescent="0.25">
      <c r="AH4999" s="75"/>
      <c r="AK4999" s="75"/>
    </row>
    <row r="5000" spans="34:37" x14ac:dyDescent="0.25">
      <c r="AH5000" s="75"/>
      <c r="AK5000" s="75"/>
    </row>
    <row r="5001" spans="34:37" x14ac:dyDescent="0.25">
      <c r="AH5001" s="75"/>
      <c r="AK5001" s="75"/>
    </row>
    <row r="5002" spans="34:37" x14ac:dyDescent="0.25">
      <c r="AH5002" s="75"/>
      <c r="AK5002" s="75"/>
    </row>
    <row r="5003" spans="34:37" x14ac:dyDescent="0.25">
      <c r="AH5003" s="75"/>
      <c r="AK5003" s="75"/>
    </row>
    <row r="5004" spans="34:37" x14ac:dyDescent="0.25">
      <c r="AH5004" s="75"/>
      <c r="AK5004" s="75"/>
    </row>
    <row r="5005" spans="34:37" x14ac:dyDescent="0.25">
      <c r="AH5005" s="75"/>
      <c r="AK5005" s="75"/>
    </row>
    <row r="5006" spans="34:37" x14ac:dyDescent="0.25">
      <c r="AH5006" s="75"/>
      <c r="AK5006" s="75"/>
    </row>
    <row r="5007" spans="34:37" x14ac:dyDescent="0.25">
      <c r="AH5007" s="75"/>
      <c r="AK5007" s="75"/>
    </row>
    <row r="5008" spans="34:37" x14ac:dyDescent="0.25">
      <c r="AH5008" s="75"/>
      <c r="AK5008" s="75"/>
    </row>
    <row r="5009" spans="34:37" x14ac:dyDescent="0.25">
      <c r="AH5009" s="75"/>
      <c r="AK5009" s="75"/>
    </row>
    <row r="5010" spans="34:37" x14ac:dyDescent="0.25">
      <c r="AH5010" s="75"/>
      <c r="AK5010" s="75"/>
    </row>
    <row r="5011" spans="34:37" x14ac:dyDescent="0.25">
      <c r="AH5011" s="75"/>
      <c r="AK5011" s="75"/>
    </row>
    <row r="5012" spans="34:37" x14ac:dyDescent="0.25">
      <c r="AH5012" s="75"/>
      <c r="AK5012" s="75"/>
    </row>
    <row r="5013" spans="34:37" x14ac:dyDescent="0.25">
      <c r="AH5013" s="75"/>
      <c r="AK5013" s="75"/>
    </row>
    <row r="5014" spans="34:37" x14ac:dyDescent="0.25">
      <c r="AH5014" s="75"/>
      <c r="AK5014" s="75"/>
    </row>
    <row r="5015" spans="34:37" x14ac:dyDescent="0.25">
      <c r="AH5015" s="75"/>
      <c r="AK5015" s="75"/>
    </row>
    <row r="5016" spans="34:37" x14ac:dyDescent="0.25">
      <c r="AH5016" s="75"/>
      <c r="AK5016" s="75"/>
    </row>
    <row r="5017" spans="34:37" x14ac:dyDescent="0.25">
      <c r="AH5017" s="75"/>
      <c r="AK5017" s="75"/>
    </row>
    <row r="5018" spans="34:37" x14ac:dyDescent="0.25">
      <c r="AH5018" s="75"/>
      <c r="AK5018" s="75"/>
    </row>
    <row r="5019" spans="34:37" x14ac:dyDescent="0.25">
      <c r="AH5019" s="75"/>
      <c r="AK5019" s="75"/>
    </row>
    <row r="5020" spans="34:37" x14ac:dyDescent="0.25">
      <c r="AH5020" s="75"/>
      <c r="AK5020" s="75"/>
    </row>
    <row r="5021" spans="34:37" x14ac:dyDescent="0.25">
      <c r="AH5021" s="75"/>
      <c r="AK5021" s="75"/>
    </row>
    <row r="5022" spans="34:37" x14ac:dyDescent="0.25">
      <c r="AH5022" s="75"/>
      <c r="AK5022" s="75"/>
    </row>
    <row r="5023" spans="34:37" x14ac:dyDescent="0.25">
      <c r="AH5023" s="75"/>
      <c r="AK5023" s="75"/>
    </row>
    <row r="5024" spans="34:37" x14ac:dyDescent="0.25">
      <c r="AH5024" s="75"/>
      <c r="AK5024" s="75"/>
    </row>
    <row r="5025" spans="34:37" x14ac:dyDescent="0.25">
      <c r="AH5025" s="75"/>
      <c r="AK5025" s="75"/>
    </row>
    <row r="5026" spans="34:37" x14ac:dyDescent="0.25">
      <c r="AH5026" s="75"/>
      <c r="AK5026" s="75"/>
    </row>
    <row r="5027" spans="34:37" x14ac:dyDescent="0.25">
      <c r="AH5027" s="75"/>
      <c r="AK5027" s="75"/>
    </row>
    <row r="5028" spans="34:37" x14ac:dyDescent="0.25">
      <c r="AH5028" s="75"/>
      <c r="AK5028" s="75"/>
    </row>
    <row r="5029" spans="34:37" x14ac:dyDescent="0.25">
      <c r="AH5029" s="75"/>
      <c r="AK5029" s="75"/>
    </row>
    <row r="5030" spans="34:37" x14ac:dyDescent="0.25">
      <c r="AH5030" s="75"/>
      <c r="AK5030" s="75"/>
    </row>
    <row r="5031" spans="34:37" x14ac:dyDescent="0.25">
      <c r="AH5031" s="75"/>
      <c r="AK5031" s="75"/>
    </row>
    <row r="5032" spans="34:37" x14ac:dyDescent="0.25">
      <c r="AH5032" s="75"/>
      <c r="AK5032" s="75"/>
    </row>
    <row r="5033" spans="34:37" x14ac:dyDescent="0.25">
      <c r="AH5033" s="75"/>
      <c r="AK5033" s="75"/>
    </row>
    <row r="5034" spans="34:37" x14ac:dyDescent="0.25">
      <c r="AH5034" s="75"/>
      <c r="AK5034" s="75"/>
    </row>
    <row r="5035" spans="34:37" x14ac:dyDescent="0.25">
      <c r="AH5035" s="75"/>
      <c r="AK5035" s="75"/>
    </row>
    <row r="5036" spans="34:37" x14ac:dyDescent="0.25">
      <c r="AH5036" s="75"/>
      <c r="AK5036" s="75"/>
    </row>
    <row r="5037" spans="34:37" x14ac:dyDescent="0.25">
      <c r="AH5037" s="75"/>
      <c r="AK5037" s="75"/>
    </row>
    <row r="5038" spans="34:37" x14ac:dyDescent="0.25">
      <c r="AH5038" s="75"/>
      <c r="AK5038" s="75"/>
    </row>
    <row r="5039" spans="34:37" x14ac:dyDescent="0.25">
      <c r="AH5039" s="75"/>
      <c r="AK5039" s="75"/>
    </row>
    <row r="5040" spans="34:37" x14ac:dyDescent="0.25">
      <c r="AH5040" s="75"/>
      <c r="AK5040" s="75"/>
    </row>
    <row r="5041" spans="34:37" x14ac:dyDescent="0.25">
      <c r="AH5041" s="75"/>
      <c r="AK5041" s="75"/>
    </row>
    <row r="5042" spans="34:37" x14ac:dyDescent="0.25">
      <c r="AH5042" s="75"/>
      <c r="AK5042" s="75"/>
    </row>
    <row r="5043" spans="34:37" x14ac:dyDescent="0.25">
      <c r="AH5043" s="75"/>
      <c r="AK5043" s="75"/>
    </row>
    <row r="5044" spans="34:37" x14ac:dyDescent="0.25">
      <c r="AH5044" s="75"/>
      <c r="AK5044" s="75"/>
    </row>
    <row r="5045" spans="34:37" x14ac:dyDescent="0.25">
      <c r="AH5045" s="75"/>
      <c r="AK5045" s="75"/>
    </row>
    <row r="5046" spans="34:37" x14ac:dyDescent="0.25">
      <c r="AH5046" s="75"/>
      <c r="AK5046" s="75"/>
    </row>
    <row r="5047" spans="34:37" x14ac:dyDescent="0.25">
      <c r="AH5047" s="75"/>
      <c r="AK5047" s="75"/>
    </row>
    <row r="5048" spans="34:37" x14ac:dyDescent="0.25">
      <c r="AH5048" s="75"/>
      <c r="AK5048" s="75"/>
    </row>
    <row r="5049" spans="34:37" x14ac:dyDescent="0.25">
      <c r="AH5049" s="75"/>
      <c r="AK5049" s="75"/>
    </row>
    <row r="5050" spans="34:37" x14ac:dyDescent="0.25">
      <c r="AH5050" s="75"/>
      <c r="AK5050" s="75"/>
    </row>
    <row r="5051" spans="34:37" x14ac:dyDescent="0.25">
      <c r="AH5051" s="75"/>
      <c r="AK5051" s="75"/>
    </row>
    <row r="5052" spans="34:37" x14ac:dyDescent="0.25">
      <c r="AH5052" s="75"/>
      <c r="AK5052" s="75"/>
    </row>
    <row r="5053" spans="34:37" x14ac:dyDescent="0.25">
      <c r="AH5053" s="75"/>
      <c r="AK5053" s="75"/>
    </row>
    <row r="5054" spans="34:37" x14ac:dyDescent="0.25">
      <c r="AH5054" s="75"/>
      <c r="AK5054" s="75"/>
    </row>
    <row r="5055" spans="34:37" x14ac:dyDescent="0.25">
      <c r="AH5055" s="75"/>
      <c r="AK5055" s="75"/>
    </row>
    <row r="5056" spans="34:37" x14ac:dyDescent="0.25">
      <c r="AH5056" s="75"/>
      <c r="AK5056" s="75"/>
    </row>
    <row r="5057" spans="34:37" x14ac:dyDescent="0.25">
      <c r="AH5057" s="75"/>
      <c r="AK5057" s="75"/>
    </row>
    <row r="5058" spans="34:37" x14ac:dyDescent="0.25">
      <c r="AH5058" s="75"/>
      <c r="AK5058" s="75"/>
    </row>
    <row r="5059" spans="34:37" x14ac:dyDescent="0.25">
      <c r="AH5059" s="75"/>
      <c r="AK5059" s="75"/>
    </row>
    <row r="5060" spans="34:37" x14ac:dyDescent="0.25">
      <c r="AH5060" s="75"/>
      <c r="AK5060" s="75"/>
    </row>
    <row r="5061" spans="34:37" x14ac:dyDescent="0.25">
      <c r="AH5061" s="75"/>
      <c r="AK5061" s="75"/>
    </row>
    <row r="5062" spans="34:37" x14ac:dyDescent="0.25">
      <c r="AH5062" s="75"/>
      <c r="AK5062" s="75"/>
    </row>
    <row r="5063" spans="34:37" x14ac:dyDescent="0.25">
      <c r="AH5063" s="75"/>
      <c r="AK5063" s="75"/>
    </row>
    <row r="5064" spans="34:37" x14ac:dyDescent="0.25">
      <c r="AH5064" s="75"/>
      <c r="AK5064" s="75"/>
    </row>
    <row r="5065" spans="34:37" x14ac:dyDescent="0.25">
      <c r="AH5065" s="75"/>
      <c r="AK5065" s="75"/>
    </row>
    <row r="5066" spans="34:37" x14ac:dyDescent="0.25">
      <c r="AH5066" s="75"/>
      <c r="AK5066" s="75"/>
    </row>
    <row r="5067" spans="34:37" x14ac:dyDescent="0.25">
      <c r="AH5067" s="75"/>
      <c r="AK5067" s="75"/>
    </row>
    <row r="5068" spans="34:37" x14ac:dyDescent="0.25">
      <c r="AH5068" s="75"/>
      <c r="AK5068" s="75"/>
    </row>
    <row r="5069" spans="34:37" x14ac:dyDescent="0.25">
      <c r="AH5069" s="75"/>
      <c r="AK5069" s="75"/>
    </row>
    <row r="5070" spans="34:37" x14ac:dyDescent="0.25">
      <c r="AH5070" s="75"/>
      <c r="AK5070" s="75"/>
    </row>
    <row r="5071" spans="34:37" x14ac:dyDescent="0.25">
      <c r="AH5071" s="75"/>
      <c r="AK5071" s="75"/>
    </row>
    <row r="5072" spans="34:37" x14ac:dyDescent="0.25">
      <c r="AH5072" s="75"/>
      <c r="AK5072" s="75"/>
    </row>
    <row r="5073" spans="34:37" x14ac:dyDescent="0.25">
      <c r="AH5073" s="75"/>
      <c r="AK5073" s="75"/>
    </row>
    <row r="5074" spans="34:37" x14ac:dyDescent="0.25">
      <c r="AH5074" s="75"/>
      <c r="AK5074" s="75"/>
    </row>
    <row r="5075" spans="34:37" x14ac:dyDescent="0.25">
      <c r="AH5075" s="75"/>
      <c r="AK5075" s="75"/>
    </row>
    <row r="5076" spans="34:37" x14ac:dyDescent="0.25">
      <c r="AH5076" s="75"/>
      <c r="AK5076" s="75"/>
    </row>
    <row r="5077" spans="34:37" x14ac:dyDescent="0.25">
      <c r="AH5077" s="75"/>
      <c r="AK5077" s="75"/>
    </row>
    <row r="5078" spans="34:37" x14ac:dyDescent="0.25">
      <c r="AH5078" s="75"/>
      <c r="AK5078" s="75"/>
    </row>
    <row r="5079" spans="34:37" x14ac:dyDescent="0.25">
      <c r="AH5079" s="75"/>
      <c r="AK5079" s="75"/>
    </row>
    <row r="5080" spans="34:37" x14ac:dyDescent="0.25">
      <c r="AH5080" s="75"/>
      <c r="AK5080" s="75"/>
    </row>
    <row r="5081" spans="34:37" x14ac:dyDescent="0.25">
      <c r="AH5081" s="75"/>
      <c r="AK5081" s="75"/>
    </row>
    <row r="5082" spans="34:37" x14ac:dyDescent="0.25">
      <c r="AH5082" s="75"/>
      <c r="AK5082" s="75"/>
    </row>
    <row r="5083" spans="34:37" x14ac:dyDescent="0.25">
      <c r="AH5083" s="75"/>
      <c r="AK5083" s="75"/>
    </row>
    <row r="5084" spans="34:37" x14ac:dyDescent="0.25">
      <c r="AH5084" s="75"/>
      <c r="AK5084" s="75"/>
    </row>
    <row r="5085" spans="34:37" x14ac:dyDescent="0.25">
      <c r="AH5085" s="75"/>
      <c r="AK5085" s="75"/>
    </row>
    <row r="5086" spans="34:37" x14ac:dyDescent="0.25">
      <c r="AH5086" s="75"/>
      <c r="AK5086" s="75"/>
    </row>
    <row r="5087" spans="34:37" x14ac:dyDescent="0.25">
      <c r="AH5087" s="75"/>
      <c r="AK5087" s="75"/>
    </row>
    <row r="5088" spans="34:37" x14ac:dyDescent="0.25">
      <c r="AH5088" s="75"/>
      <c r="AK5088" s="75"/>
    </row>
    <row r="5089" spans="34:37" x14ac:dyDescent="0.25">
      <c r="AH5089" s="75"/>
      <c r="AK5089" s="75"/>
    </row>
    <row r="5090" spans="34:37" x14ac:dyDescent="0.25">
      <c r="AH5090" s="75"/>
      <c r="AK5090" s="75"/>
    </row>
    <row r="5091" spans="34:37" x14ac:dyDescent="0.25">
      <c r="AH5091" s="75"/>
      <c r="AK5091" s="75"/>
    </row>
    <row r="5092" spans="34:37" x14ac:dyDescent="0.25">
      <c r="AH5092" s="75"/>
      <c r="AK5092" s="75"/>
    </row>
    <row r="5093" spans="34:37" x14ac:dyDescent="0.25">
      <c r="AH5093" s="75"/>
      <c r="AK5093" s="75"/>
    </row>
    <row r="5094" spans="34:37" x14ac:dyDescent="0.25">
      <c r="AH5094" s="75"/>
      <c r="AK5094" s="75"/>
    </row>
    <row r="5095" spans="34:37" x14ac:dyDescent="0.25">
      <c r="AH5095" s="75"/>
      <c r="AK5095" s="75"/>
    </row>
    <row r="5096" spans="34:37" x14ac:dyDescent="0.25">
      <c r="AH5096" s="75"/>
      <c r="AK5096" s="75"/>
    </row>
    <row r="5097" spans="34:37" x14ac:dyDescent="0.25">
      <c r="AH5097" s="75"/>
      <c r="AK5097" s="75"/>
    </row>
    <row r="5098" spans="34:37" x14ac:dyDescent="0.25">
      <c r="AH5098" s="75"/>
      <c r="AK5098" s="75"/>
    </row>
    <row r="5099" spans="34:37" x14ac:dyDescent="0.25">
      <c r="AH5099" s="75"/>
      <c r="AK5099" s="75"/>
    </row>
    <row r="5100" spans="34:37" x14ac:dyDescent="0.25">
      <c r="AH5100" s="75"/>
      <c r="AK5100" s="75"/>
    </row>
    <row r="5101" spans="34:37" x14ac:dyDescent="0.25">
      <c r="AH5101" s="75"/>
      <c r="AK5101" s="75"/>
    </row>
    <row r="5102" spans="34:37" x14ac:dyDescent="0.25">
      <c r="AH5102" s="75"/>
      <c r="AK5102" s="75"/>
    </row>
    <row r="5103" spans="34:37" x14ac:dyDescent="0.25">
      <c r="AH5103" s="75"/>
      <c r="AK5103" s="75"/>
    </row>
    <row r="5104" spans="34:37" x14ac:dyDescent="0.25">
      <c r="AH5104" s="75"/>
      <c r="AK5104" s="75"/>
    </row>
    <row r="5105" spans="34:37" x14ac:dyDescent="0.25">
      <c r="AH5105" s="75"/>
      <c r="AK5105" s="75"/>
    </row>
    <row r="5106" spans="34:37" x14ac:dyDescent="0.25">
      <c r="AH5106" s="75"/>
      <c r="AK5106" s="75"/>
    </row>
    <row r="5107" spans="34:37" x14ac:dyDescent="0.25">
      <c r="AH5107" s="75"/>
      <c r="AK5107" s="75"/>
    </row>
    <row r="5108" spans="34:37" x14ac:dyDescent="0.25">
      <c r="AH5108" s="75"/>
      <c r="AK5108" s="75"/>
    </row>
    <row r="5109" spans="34:37" x14ac:dyDescent="0.25">
      <c r="AH5109" s="75"/>
      <c r="AK5109" s="75"/>
    </row>
    <row r="5110" spans="34:37" x14ac:dyDescent="0.25">
      <c r="AH5110" s="75"/>
      <c r="AK5110" s="75"/>
    </row>
    <row r="5111" spans="34:37" x14ac:dyDescent="0.25">
      <c r="AH5111" s="75"/>
      <c r="AK5111" s="75"/>
    </row>
    <row r="5112" spans="34:37" x14ac:dyDescent="0.25">
      <c r="AH5112" s="75"/>
      <c r="AK5112" s="75"/>
    </row>
    <row r="5113" spans="34:37" x14ac:dyDescent="0.25">
      <c r="AH5113" s="75"/>
      <c r="AK5113" s="75"/>
    </row>
    <row r="5114" spans="34:37" x14ac:dyDescent="0.25">
      <c r="AH5114" s="75"/>
      <c r="AK5114" s="75"/>
    </row>
    <row r="5115" spans="34:37" x14ac:dyDescent="0.25">
      <c r="AH5115" s="75"/>
      <c r="AK5115" s="75"/>
    </row>
    <row r="5116" spans="34:37" x14ac:dyDescent="0.25">
      <c r="AH5116" s="75"/>
      <c r="AK5116" s="75"/>
    </row>
    <row r="5117" spans="34:37" x14ac:dyDescent="0.25">
      <c r="AH5117" s="75"/>
      <c r="AK5117" s="75"/>
    </row>
    <row r="5118" spans="34:37" x14ac:dyDescent="0.25">
      <c r="AH5118" s="75"/>
      <c r="AK5118" s="75"/>
    </row>
    <row r="5119" spans="34:37" x14ac:dyDescent="0.25">
      <c r="AH5119" s="75"/>
      <c r="AK5119" s="75"/>
    </row>
    <row r="5120" spans="34:37" x14ac:dyDescent="0.25">
      <c r="AH5120" s="75"/>
      <c r="AK5120" s="75"/>
    </row>
    <row r="5121" spans="34:37" x14ac:dyDescent="0.25">
      <c r="AH5121" s="75"/>
      <c r="AK5121" s="75"/>
    </row>
    <row r="5122" spans="34:37" x14ac:dyDescent="0.25">
      <c r="AH5122" s="75"/>
      <c r="AK5122" s="75"/>
    </row>
    <row r="5123" spans="34:37" x14ac:dyDescent="0.25">
      <c r="AH5123" s="75"/>
      <c r="AK5123" s="75"/>
    </row>
    <row r="5124" spans="34:37" x14ac:dyDescent="0.25">
      <c r="AH5124" s="75"/>
      <c r="AK5124" s="75"/>
    </row>
    <row r="5125" spans="34:37" x14ac:dyDescent="0.25">
      <c r="AH5125" s="75"/>
      <c r="AK5125" s="75"/>
    </row>
    <row r="5126" spans="34:37" x14ac:dyDescent="0.25">
      <c r="AH5126" s="75"/>
      <c r="AK5126" s="75"/>
    </row>
    <row r="5127" spans="34:37" x14ac:dyDescent="0.25">
      <c r="AH5127" s="75"/>
      <c r="AK5127" s="75"/>
    </row>
    <row r="5128" spans="34:37" x14ac:dyDescent="0.25">
      <c r="AH5128" s="75"/>
      <c r="AK5128" s="75"/>
    </row>
    <row r="5129" spans="34:37" x14ac:dyDescent="0.25">
      <c r="AH5129" s="75"/>
      <c r="AK5129" s="75"/>
    </row>
    <row r="5130" spans="34:37" x14ac:dyDescent="0.25">
      <c r="AH5130" s="75"/>
      <c r="AK5130" s="75"/>
    </row>
    <row r="5131" spans="34:37" x14ac:dyDescent="0.25">
      <c r="AH5131" s="75"/>
      <c r="AK5131" s="75"/>
    </row>
    <row r="5132" spans="34:37" x14ac:dyDescent="0.25">
      <c r="AH5132" s="75"/>
      <c r="AK5132" s="75"/>
    </row>
    <row r="5133" spans="34:37" x14ac:dyDescent="0.25">
      <c r="AH5133" s="75"/>
      <c r="AK5133" s="75"/>
    </row>
    <row r="5134" spans="34:37" x14ac:dyDescent="0.25">
      <c r="AH5134" s="75"/>
      <c r="AK5134" s="75"/>
    </row>
    <row r="5135" spans="34:37" x14ac:dyDescent="0.25">
      <c r="AH5135" s="75"/>
      <c r="AK5135" s="75"/>
    </row>
    <row r="5136" spans="34:37" x14ac:dyDescent="0.25">
      <c r="AH5136" s="75"/>
      <c r="AK5136" s="75"/>
    </row>
    <row r="5137" spans="34:37" x14ac:dyDescent="0.25">
      <c r="AH5137" s="75"/>
      <c r="AK5137" s="75"/>
    </row>
    <row r="5138" spans="34:37" x14ac:dyDescent="0.25">
      <c r="AH5138" s="75"/>
      <c r="AK5138" s="75"/>
    </row>
    <row r="5139" spans="34:37" x14ac:dyDescent="0.25">
      <c r="AH5139" s="75"/>
      <c r="AK5139" s="75"/>
    </row>
    <row r="5140" spans="34:37" x14ac:dyDescent="0.25">
      <c r="AH5140" s="75"/>
      <c r="AK5140" s="75"/>
    </row>
    <row r="5141" spans="34:37" x14ac:dyDescent="0.25">
      <c r="AH5141" s="75"/>
      <c r="AK5141" s="75"/>
    </row>
    <row r="5142" spans="34:37" x14ac:dyDescent="0.25">
      <c r="AH5142" s="75"/>
      <c r="AK5142" s="75"/>
    </row>
    <row r="5143" spans="34:37" x14ac:dyDescent="0.25">
      <c r="AH5143" s="75"/>
      <c r="AK5143" s="75"/>
    </row>
    <row r="5144" spans="34:37" x14ac:dyDescent="0.25">
      <c r="AH5144" s="75"/>
      <c r="AK5144" s="75"/>
    </row>
    <row r="5145" spans="34:37" x14ac:dyDescent="0.25">
      <c r="AH5145" s="75"/>
      <c r="AK5145" s="75"/>
    </row>
    <row r="5146" spans="34:37" x14ac:dyDescent="0.25">
      <c r="AH5146" s="75"/>
      <c r="AK5146" s="75"/>
    </row>
    <row r="5147" spans="34:37" x14ac:dyDescent="0.25">
      <c r="AH5147" s="75"/>
      <c r="AK5147" s="75"/>
    </row>
    <row r="5148" spans="34:37" x14ac:dyDescent="0.25">
      <c r="AH5148" s="75"/>
      <c r="AK5148" s="75"/>
    </row>
    <row r="5149" spans="34:37" x14ac:dyDescent="0.25">
      <c r="AH5149" s="75"/>
      <c r="AK5149" s="75"/>
    </row>
    <row r="5150" spans="34:37" x14ac:dyDescent="0.25">
      <c r="AH5150" s="75"/>
      <c r="AK5150" s="75"/>
    </row>
    <row r="5151" spans="34:37" x14ac:dyDescent="0.25">
      <c r="AH5151" s="75"/>
      <c r="AK5151" s="75"/>
    </row>
    <row r="5152" spans="34:37" x14ac:dyDescent="0.25">
      <c r="AH5152" s="75"/>
      <c r="AK5152" s="75"/>
    </row>
    <row r="5153" spans="34:37" x14ac:dyDescent="0.25">
      <c r="AH5153" s="75"/>
      <c r="AK5153" s="75"/>
    </row>
    <row r="5154" spans="34:37" x14ac:dyDescent="0.25">
      <c r="AH5154" s="75"/>
      <c r="AK5154" s="75"/>
    </row>
    <row r="5155" spans="34:37" x14ac:dyDescent="0.25">
      <c r="AH5155" s="75"/>
      <c r="AK5155" s="75"/>
    </row>
    <row r="5156" spans="34:37" x14ac:dyDescent="0.25">
      <c r="AH5156" s="75"/>
      <c r="AK5156" s="75"/>
    </row>
    <row r="5157" spans="34:37" x14ac:dyDescent="0.25">
      <c r="AH5157" s="75"/>
      <c r="AK5157" s="75"/>
    </row>
    <row r="5158" spans="34:37" x14ac:dyDescent="0.25">
      <c r="AH5158" s="75"/>
      <c r="AK5158" s="75"/>
    </row>
    <row r="5159" spans="34:37" x14ac:dyDescent="0.25">
      <c r="AH5159" s="75"/>
      <c r="AK5159" s="75"/>
    </row>
    <row r="5160" spans="34:37" x14ac:dyDescent="0.25">
      <c r="AH5160" s="75"/>
      <c r="AK5160" s="75"/>
    </row>
    <row r="5161" spans="34:37" x14ac:dyDescent="0.25">
      <c r="AH5161" s="75"/>
      <c r="AK5161" s="75"/>
    </row>
    <row r="5162" spans="34:37" x14ac:dyDescent="0.25">
      <c r="AH5162" s="75"/>
      <c r="AK5162" s="75"/>
    </row>
    <row r="5163" spans="34:37" x14ac:dyDescent="0.25">
      <c r="AH5163" s="75"/>
      <c r="AK5163" s="75"/>
    </row>
    <row r="5164" spans="34:37" x14ac:dyDescent="0.25">
      <c r="AH5164" s="75"/>
      <c r="AK5164" s="75"/>
    </row>
    <row r="5165" spans="34:37" x14ac:dyDescent="0.25">
      <c r="AH5165" s="75"/>
      <c r="AK5165" s="75"/>
    </row>
    <row r="5166" spans="34:37" x14ac:dyDescent="0.25">
      <c r="AH5166" s="75"/>
      <c r="AK5166" s="75"/>
    </row>
    <row r="5167" spans="34:37" x14ac:dyDescent="0.25">
      <c r="AH5167" s="75"/>
      <c r="AK5167" s="75"/>
    </row>
    <row r="5168" spans="34:37" x14ac:dyDescent="0.25">
      <c r="AH5168" s="75"/>
      <c r="AK5168" s="75"/>
    </row>
    <row r="5169" spans="34:37" x14ac:dyDescent="0.25">
      <c r="AH5169" s="75"/>
      <c r="AK5169" s="75"/>
    </row>
    <row r="5170" spans="34:37" x14ac:dyDescent="0.25">
      <c r="AH5170" s="75"/>
      <c r="AK5170" s="75"/>
    </row>
    <row r="5171" spans="34:37" x14ac:dyDescent="0.25">
      <c r="AH5171" s="75"/>
      <c r="AK5171" s="75"/>
    </row>
    <row r="5172" spans="34:37" x14ac:dyDescent="0.25">
      <c r="AH5172" s="75"/>
      <c r="AK5172" s="75"/>
    </row>
    <row r="5173" spans="34:37" x14ac:dyDescent="0.25">
      <c r="AH5173" s="75"/>
      <c r="AK5173" s="75"/>
    </row>
    <row r="5174" spans="34:37" x14ac:dyDescent="0.25">
      <c r="AH5174" s="75"/>
      <c r="AK5174" s="75"/>
    </row>
    <row r="5175" spans="34:37" x14ac:dyDescent="0.25">
      <c r="AH5175" s="75"/>
      <c r="AK5175" s="75"/>
    </row>
    <row r="5176" spans="34:37" x14ac:dyDescent="0.25">
      <c r="AH5176" s="75"/>
      <c r="AK5176" s="75"/>
    </row>
    <row r="5177" spans="34:37" x14ac:dyDescent="0.25">
      <c r="AH5177" s="75"/>
      <c r="AK5177" s="75"/>
    </row>
    <row r="5178" spans="34:37" x14ac:dyDescent="0.25">
      <c r="AH5178" s="75"/>
      <c r="AK5178" s="75"/>
    </row>
    <row r="5179" spans="34:37" x14ac:dyDescent="0.25">
      <c r="AH5179" s="75"/>
      <c r="AK5179" s="75"/>
    </row>
    <row r="5180" spans="34:37" x14ac:dyDescent="0.25">
      <c r="AH5180" s="75"/>
      <c r="AK5180" s="75"/>
    </row>
    <row r="5181" spans="34:37" x14ac:dyDescent="0.25">
      <c r="AH5181" s="75"/>
      <c r="AK5181" s="75"/>
    </row>
    <row r="5182" spans="34:37" x14ac:dyDescent="0.25">
      <c r="AH5182" s="75"/>
      <c r="AK5182" s="75"/>
    </row>
    <row r="5183" spans="34:37" x14ac:dyDescent="0.25">
      <c r="AH5183" s="75"/>
      <c r="AK5183" s="75"/>
    </row>
    <row r="5184" spans="34:37" x14ac:dyDescent="0.25">
      <c r="AH5184" s="75"/>
      <c r="AK5184" s="75"/>
    </row>
    <row r="5185" spans="34:37" x14ac:dyDescent="0.25">
      <c r="AH5185" s="75"/>
      <c r="AK5185" s="75"/>
    </row>
    <row r="5186" spans="34:37" x14ac:dyDescent="0.25">
      <c r="AH5186" s="75"/>
      <c r="AK5186" s="75"/>
    </row>
    <row r="5187" spans="34:37" x14ac:dyDescent="0.25">
      <c r="AH5187" s="75"/>
      <c r="AK5187" s="75"/>
    </row>
    <row r="5188" spans="34:37" x14ac:dyDescent="0.25">
      <c r="AH5188" s="75"/>
      <c r="AK5188" s="75"/>
    </row>
    <row r="5189" spans="34:37" x14ac:dyDescent="0.25">
      <c r="AH5189" s="75"/>
      <c r="AK5189" s="75"/>
    </row>
    <row r="5190" spans="34:37" x14ac:dyDescent="0.25">
      <c r="AH5190" s="75"/>
      <c r="AK5190" s="75"/>
    </row>
    <row r="5191" spans="34:37" x14ac:dyDescent="0.25">
      <c r="AH5191" s="75"/>
      <c r="AK5191" s="75"/>
    </row>
    <row r="5192" spans="34:37" x14ac:dyDescent="0.25">
      <c r="AH5192" s="75"/>
      <c r="AK5192" s="75"/>
    </row>
    <row r="5193" spans="34:37" x14ac:dyDescent="0.25">
      <c r="AH5193" s="75"/>
      <c r="AK5193" s="75"/>
    </row>
    <row r="5194" spans="34:37" x14ac:dyDescent="0.25">
      <c r="AH5194" s="75"/>
      <c r="AK5194" s="75"/>
    </row>
    <row r="5195" spans="34:37" x14ac:dyDescent="0.25">
      <c r="AH5195" s="75"/>
      <c r="AK5195" s="75"/>
    </row>
    <row r="5196" spans="34:37" x14ac:dyDescent="0.25">
      <c r="AH5196" s="75"/>
      <c r="AK5196" s="75"/>
    </row>
    <row r="5197" spans="34:37" x14ac:dyDescent="0.25">
      <c r="AH5197" s="75"/>
      <c r="AK5197" s="75"/>
    </row>
    <row r="5198" spans="34:37" x14ac:dyDescent="0.25">
      <c r="AH5198" s="75"/>
      <c r="AK5198" s="75"/>
    </row>
    <row r="5199" spans="34:37" x14ac:dyDescent="0.25">
      <c r="AH5199" s="75"/>
      <c r="AK5199" s="75"/>
    </row>
    <row r="5200" spans="34:37" x14ac:dyDescent="0.25">
      <c r="AH5200" s="75"/>
      <c r="AK5200" s="75"/>
    </row>
    <row r="5201" spans="34:37" x14ac:dyDescent="0.25">
      <c r="AH5201" s="75"/>
      <c r="AK5201" s="75"/>
    </row>
    <row r="5202" spans="34:37" x14ac:dyDescent="0.25">
      <c r="AH5202" s="75"/>
      <c r="AK5202" s="75"/>
    </row>
    <row r="5203" spans="34:37" x14ac:dyDescent="0.25">
      <c r="AH5203" s="75"/>
      <c r="AK5203" s="75"/>
    </row>
    <row r="5204" spans="34:37" x14ac:dyDescent="0.25">
      <c r="AH5204" s="75"/>
      <c r="AK5204" s="75"/>
    </row>
    <row r="5205" spans="34:37" x14ac:dyDescent="0.25">
      <c r="AH5205" s="75"/>
      <c r="AK5205" s="75"/>
    </row>
    <row r="5206" spans="34:37" x14ac:dyDescent="0.25">
      <c r="AH5206" s="75"/>
      <c r="AK5206" s="75"/>
    </row>
    <row r="5207" spans="34:37" x14ac:dyDescent="0.25">
      <c r="AH5207" s="75"/>
      <c r="AK5207" s="75"/>
    </row>
    <row r="5208" spans="34:37" x14ac:dyDescent="0.25">
      <c r="AH5208" s="75"/>
      <c r="AK5208" s="75"/>
    </row>
    <row r="5209" spans="34:37" x14ac:dyDescent="0.25">
      <c r="AH5209" s="75"/>
      <c r="AK5209" s="75"/>
    </row>
    <row r="5210" spans="34:37" x14ac:dyDescent="0.25">
      <c r="AH5210" s="75"/>
      <c r="AK5210" s="75"/>
    </row>
    <row r="5211" spans="34:37" x14ac:dyDescent="0.25">
      <c r="AH5211" s="75"/>
      <c r="AK5211" s="75"/>
    </row>
    <row r="5212" spans="34:37" x14ac:dyDescent="0.25">
      <c r="AH5212" s="75"/>
      <c r="AK5212" s="75"/>
    </row>
    <row r="5213" spans="34:37" x14ac:dyDescent="0.25">
      <c r="AH5213" s="75"/>
      <c r="AK5213" s="75"/>
    </row>
    <row r="5214" spans="34:37" x14ac:dyDescent="0.25">
      <c r="AH5214" s="75"/>
      <c r="AK5214" s="75"/>
    </row>
    <row r="5215" spans="34:37" x14ac:dyDescent="0.25">
      <c r="AH5215" s="75"/>
      <c r="AK5215" s="75"/>
    </row>
    <row r="5216" spans="34:37" x14ac:dyDescent="0.25">
      <c r="AH5216" s="75"/>
      <c r="AK5216" s="75"/>
    </row>
    <row r="5217" spans="34:37" x14ac:dyDescent="0.25">
      <c r="AH5217" s="75"/>
      <c r="AK5217" s="75"/>
    </row>
    <row r="5218" spans="34:37" x14ac:dyDescent="0.25">
      <c r="AH5218" s="75"/>
      <c r="AK5218" s="75"/>
    </row>
    <row r="5219" spans="34:37" x14ac:dyDescent="0.25">
      <c r="AH5219" s="75"/>
      <c r="AK5219" s="75"/>
    </row>
    <row r="5220" spans="34:37" x14ac:dyDescent="0.25">
      <c r="AH5220" s="75"/>
      <c r="AK5220" s="75"/>
    </row>
    <row r="5221" spans="34:37" x14ac:dyDescent="0.25">
      <c r="AH5221" s="75"/>
      <c r="AK5221" s="75"/>
    </row>
    <row r="5222" spans="34:37" x14ac:dyDescent="0.25">
      <c r="AH5222" s="75"/>
      <c r="AK5222" s="75"/>
    </row>
    <row r="5223" spans="34:37" x14ac:dyDescent="0.25">
      <c r="AH5223" s="75"/>
      <c r="AK5223" s="75"/>
    </row>
    <row r="5224" spans="34:37" x14ac:dyDescent="0.25">
      <c r="AH5224" s="75"/>
      <c r="AK5224" s="75"/>
    </row>
    <row r="5225" spans="34:37" x14ac:dyDescent="0.25">
      <c r="AH5225" s="75"/>
      <c r="AK5225" s="75"/>
    </row>
    <row r="5226" spans="34:37" x14ac:dyDescent="0.25">
      <c r="AH5226" s="75"/>
      <c r="AK5226" s="75"/>
    </row>
    <row r="5227" spans="34:37" x14ac:dyDescent="0.25">
      <c r="AH5227" s="75"/>
      <c r="AK5227" s="75"/>
    </row>
    <row r="5228" spans="34:37" x14ac:dyDescent="0.25">
      <c r="AH5228" s="75"/>
      <c r="AK5228" s="75"/>
    </row>
    <row r="5229" spans="34:37" x14ac:dyDescent="0.25">
      <c r="AH5229" s="75"/>
      <c r="AK5229" s="75"/>
    </row>
    <row r="5230" spans="34:37" x14ac:dyDescent="0.25">
      <c r="AH5230" s="75"/>
      <c r="AK5230" s="75"/>
    </row>
    <row r="5231" spans="34:37" x14ac:dyDescent="0.25">
      <c r="AH5231" s="75"/>
      <c r="AK5231" s="75"/>
    </row>
    <row r="5232" spans="34:37" x14ac:dyDescent="0.25">
      <c r="AH5232" s="75"/>
      <c r="AK5232" s="75"/>
    </row>
    <row r="5233" spans="34:37" x14ac:dyDescent="0.25">
      <c r="AH5233" s="75"/>
      <c r="AK5233" s="75"/>
    </row>
    <row r="5234" spans="34:37" x14ac:dyDescent="0.25">
      <c r="AH5234" s="75"/>
      <c r="AK5234" s="75"/>
    </row>
    <row r="5235" spans="34:37" x14ac:dyDescent="0.25">
      <c r="AH5235" s="75"/>
      <c r="AK5235" s="75"/>
    </row>
    <row r="5236" spans="34:37" x14ac:dyDescent="0.25">
      <c r="AH5236" s="75"/>
      <c r="AK5236" s="75"/>
    </row>
    <row r="5237" spans="34:37" x14ac:dyDescent="0.25">
      <c r="AH5237" s="75"/>
      <c r="AK5237" s="75"/>
    </row>
    <row r="5238" spans="34:37" x14ac:dyDescent="0.25">
      <c r="AH5238" s="75"/>
      <c r="AK5238" s="75"/>
    </row>
    <row r="5239" spans="34:37" x14ac:dyDescent="0.25">
      <c r="AH5239" s="75"/>
      <c r="AK5239" s="75"/>
    </row>
    <row r="5240" spans="34:37" x14ac:dyDescent="0.25">
      <c r="AH5240" s="75"/>
      <c r="AK5240" s="75"/>
    </row>
    <row r="5241" spans="34:37" x14ac:dyDescent="0.25">
      <c r="AH5241" s="75"/>
      <c r="AK5241" s="75"/>
    </row>
    <row r="5242" spans="34:37" x14ac:dyDescent="0.25">
      <c r="AH5242" s="75"/>
      <c r="AK5242" s="75"/>
    </row>
    <row r="5243" spans="34:37" x14ac:dyDescent="0.25">
      <c r="AH5243" s="75"/>
      <c r="AK5243" s="75"/>
    </row>
    <row r="5244" spans="34:37" x14ac:dyDescent="0.25">
      <c r="AH5244" s="75"/>
      <c r="AK5244" s="75"/>
    </row>
    <row r="5245" spans="34:37" x14ac:dyDescent="0.25">
      <c r="AH5245" s="75"/>
      <c r="AK5245" s="75"/>
    </row>
    <row r="5246" spans="34:37" x14ac:dyDescent="0.25">
      <c r="AH5246" s="75"/>
      <c r="AK5246" s="75"/>
    </row>
    <row r="5247" spans="34:37" x14ac:dyDescent="0.25">
      <c r="AH5247" s="75"/>
      <c r="AK5247" s="75"/>
    </row>
    <row r="5248" spans="34:37" x14ac:dyDescent="0.25">
      <c r="AH5248" s="75"/>
      <c r="AK5248" s="75"/>
    </row>
    <row r="5249" spans="34:37" x14ac:dyDescent="0.25">
      <c r="AH5249" s="75"/>
      <c r="AK5249" s="75"/>
    </row>
    <row r="5250" spans="34:37" x14ac:dyDescent="0.25">
      <c r="AH5250" s="75"/>
      <c r="AK5250" s="75"/>
    </row>
    <row r="5251" spans="34:37" x14ac:dyDescent="0.25">
      <c r="AH5251" s="75"/>
      <c r="AK5251" s="75"/>
    </row>
    <row r="5252" spans="34:37" x14ac:dyDescent="0.25">
      <c r="AH5252" s="75"/>
      <c r="AK5252" s="75"/>
    </row>
    <row r="5253" spans="34:37" x14ac:dyDescent="0.25">
      <c r="AH5253" s="75"/>
      <c r="AK5253" s="75"/>
    </row>
    <row r="5254" spans="34:37" x14ac:dyDescent="0.25">
      <c r="AH5254" s="75"/>
      <c r="AK5254" s="75"/>
    </row>
    <row r="5255" spans="34:37" x14ac:dyDescent="0.25">
      <c r="AH5255" s="75"/>
      <c r="AK5255" s="75"/>
    </row>
    <row r="5256" spans="34:37" x14ac:dyDescent="0.25">
      <c r="AH5256" s="75"/>
      <c r="AK5256" s="75"/>
    </row>
    <row r="5257" spans="34:37" x14ac:dyDescent="0.25">
      <c r="AH5257" s="75"/>
      <c r="AK5257" s="75"/>
    </row>
    <row r="5258" spans="34:37" x14ac:dyDescent="0.25">
      <c r="AH5258" s="75"/>
      <c r="AK5258" s="75"/>
    </row>
    <row r="5259" spans="34:37" x14ac:dyDescent="0.25">
      <c r="AH5259" s="75"/>
      <c r="AK5259" s="75"/>
    </row>
    <row r="5260" spans="34:37" x14ac:dyDescent="0.25">
      <c r="AH5260" s="75"/>
      <c r="AK5260" s="75"/>
    </row>
    <row r="5261" spans="34:37" x14ac:dyDescent="0.25">
      <c r="AH5261" s="75"/>
      <c r="AK5261" s="75"/>
    </row>
    <row r="5262" spans="34:37" x14ac:dyDescent="0.25">
      <c r="AH5262" s="75"/>
      <c r="AK5262" s="75"/>
    </row>
    <row r="5263" spans="34:37" x14ac:dyDescent="0.25">
      <c r="AH5263" s="75"/>
      <c r="AK5263" s="75"/>
    </row>
    <row r="5264" spans="34:37" x14ac:dyDescent="0.25">
      <c r="AH5264" s="75"/>
      <c r="AK5264" s="75"/>
    </row>
    <row r="5265" spans="34:37" x14ac:dyDescent="0.25">
      <c r="AH5265" s="75"/>
      <c r="AK5265" s="75"/>
    </row>
    <row r="5266" spans="34:37" x14ac:dyDescent="0.25">
      <c r="AH5266" s="75"/>
      <c r="AK5266" s="75"/>
    </row>
    <row r="5267" spans="34:37" x14ac:dyDescent="0.25">
      <c r="AH5267" s="75"/>
      <c r="AK5267" s="75"/>
    </row>
    <row r="5268" spans="34:37" x14ac:dyDescent="0.25">
      <c r="AH5268" s="75"/>
      <c r="AK5268" s="75"/>
    </row>
    <row r="5269" spans="34:37" x14ac:dyDescent="0.25">
      <c r="AH5269" s="75"/>
      <c r="AK5269" s="75"/>
    </row>
    <row r="5270" spans="34:37" x14ac:dyDescent="0.25">
      <c r="AH5270" s="75"/>
      <c r="AK5270" s="75"/>
    </row>
    <row r="5271" spans="34:37" x14ac:dyDescent="0.25">
      <c r="AH5271" s="75"/>
      <c r="AK5271" s="75"/>
    </row>
    <row r="5272" spans="34:37" x14ac:dyDescent="0.25">
      <c r="AH5272" s="75"/>
      <c r="AK5272" s="75"/>
    </row>
    <row r="5273" spans="34:37" x14ac:dyDescent="0.25">
      <c r="AH5273" s="75"/>
      <c r="AK5273" s="75"/>
    </row>
    <row r="5274" spans="34:37" x14ac:dyDescent="0.25">
      <c r="AH5274" s="75"/>
      <c r="AK5274" s="75"/>
    </row>
    <row r="5275" spans="34:37" x14ac:dyDescent="0.25">
      <c r="AH5275" s="75"/>
      <c r="AK5275" s="75"/>
    </row>
    <row r="5276" spans="34:37" x14ac:dyDescent="0.25">
      <c r="AH5276" s="75"/>
      <c r="AK5276" s="75"/>
    </row>
    <row r="5277" spans="34:37" x14ac:dyDescent="0.25">
      <c r="AH5277" s="75"/>
      <c r="AK5277" s="75"/>
    </row>
    <row r="5278" spans="34:37" x14ac:dyDescent="0.25">
      <c r="AH5278" s="75"/>
      <c r="AK5278" s="75"/>
    </row>
    <row r="5279" spans="34:37" x14ac:dyDescent="0.25">
      <c r="AH5279" s="75"/>
      <c r="AK5279" s="75"/>
    </row>
    <row r="5280" spans="34:37" x14ac:dyDescent="0.25">
      <c r="AH5280" s="75"/>
      <c r="AK5280" s="75"/>
    </row>
    <row r="5281" spans="34:37" x14ac:dyDescent="0.25">
      <c r="AH5281" s="75"/>
      <c r="AK5281" s="75"/>
    </row>
    <row r="5282" spans="34:37" x14ac:dyDescent="0.25">
      <c r="AH5282" s="75"/>
      <c r="AK5282" s="75"/>
    </row>
    <row r="5283" spans="34:37" x14ac:dyDescent="0.25">
      <c r="AH5283" s="75"/>
      <c r="AK5283" s="75"/>
    </row>
    <row r="5284" spans="34:37" x14ac:dyDescent="0.25">
      <c r="AH5284" s="75"/>
      <c r="AK5284" s="75"/>
    </row>
    <row r="5285" spans="34:37" x14ac:dyDescent="0.25">
      <c r="AH5285" s="75"/>
      <c r="AK5285" s="75"/>
    </row>
    <row r="5286" spans="34:37" x14ac:dyDescent="0.25">
      <c r="AH5286" s="75"/>
      <c r="AK5286" s="75"/>
    </row>
    <row r="5287" spans="34:37" x14ac:dyDescent="0.25">
      <c r="AH5287" s="75"/>
      <c r="AK5287" s="75"/>
    </row>
    <row r="5288" spans="34:37" x14ac:dyDescent="0.25">
      <c r="AH5288" s="75"/>
      <c r="AK5288" s="75"/>
    </row>
    <row r="5289" spans="34:37" x14ac:dyDescent="0.25">
      <c r="AH5289" s="75"/>
      <c r="AK5289" s="75"/>
    </row>
    <row r="5290" spans="34:37" x14ac:dyDescent="0.25">
      <c r="AH5290" s="75"/>
      <c r="AK5290" s="75"/>
    </row>
    <row r="5291" spans="34:37" x14ac:dyDescent="0.25">
      <c r="AH5291" s="75"/>
      <c r="AK5291" s="75"/>
    </row>
    <row r="5292" spans="34:37" x14ac:dyDescent="0.25">
      <c r="AH5292" s="75"/>
      <c r="AK5292" s="75"/>
    </row>
    <row r="5293" spans="34:37" x14ac:dyDescent="0.25">
      <c r="AH5293" s="75"/>
      <c r="AK5293" s="75"/>
    </row>
    <row r="5294" spans="34:37" x14ac:dyDescent="0.25">
      <c r="AH5294" s="75"/>
      <c r="AK5294" s="75"/>
    </row>
    <row r="5295" spans="34:37" x14ac:dyDescent="0.25">
      <c r="AH5295" s="75"/>
      <c r="AK5295" s="75"/>
    </row>
    <row r="5296" spans="34:37" x14ac:dyDescent="0.25">
      <c r="AH5296" s="75"/>
      <c r="AK5296" s="75"/>
    </row>
    <row r="5297" spans="34:37" x14ac:dyDescent="0.25">
      <c r="AH5297" s="75"/>
      <c r="AK5297" s="75"/>
    </row>
    <row r="5298" spans="34:37" x14ac:dyDescent="0.25">
      <c r="AH5298" s="75"/>
      <c r="AK5298" s="75"/>
    </row>
    <row r="5299" spans="34:37" x14ac:dyDescent="0.25">
      <c r="AH5299" s="75"/>
      <c r="AK5299" s="75"/>
    </row>
    <row r="5300" spans="34:37" x14ac:dyDescent="0.25">
      <c r="AH5300" s="75"/>
      <c r="AK5300" s="75"/>
    </row>
    <row r="5301" spans="34:37" x14ac:dyDescent="0.25">
      <c r="AH5301" s="75"/>
      <c r="AK5301" s="75"/>
    </row>
    <row r="5302" spans="34:37" x14ac:dyDescent="0.25">
      <c r="AH5302" s="75"/>
      <c r="AK5302" s="75"/>
    </row>
    <row r="5303" spans="34:37" x14ac:dyDescent="0.25">
      <c r="AH5303" s="75"/>
      <c r="AK5303" s="75"/>
    </row>
    <row r="5304" spans="34:37" x14ac:dyDescent="0.25">
      <c r="AH5304" s="75"/>
      <c r="AK5304" s="75"/>
    </row>
    <row r="5305" spans="34:37" x14ac:dyDescent="0.25">
      <c r="AH5305" s="75"/>
      <c r="AK5305" s="75"/>
    </row>
    <row r="5306" spans="34:37" x14ac:dyDescent="0.25">
      <c r="AH5306" s="75"/>
      <c r="AK5306" s="75"/>
    </row>
    <row r="5307" spans="34:37" x14ac:dyDescent="0.25">
      <c r="AH5307" s="75"/>
      <c r="AK5307" s="75"/>
    </row>
    <row r="5308" spans="34:37" x14ac:dyDescent="0.25">
      <c r="AH5308" s="75"/>
      <c r="AK5308" s="75"/>
    </row>
    <row r="5309" spans="34:37" x14ac:dyDescent="0.25">
      <c r="AH5309" s="75"/>
      <c r="AK5309" s="75"/>
    </row>
    <row r="5310" spans="34:37" x14ac:dyDescent="0.25">
      <c r="AH5310" s="75"/>
      <c r="AK5310" s="75"/>
    </row>
    <row r="5311" spans="34:37" x14ac:dyDescent="0.25">
      <c r="AH5311" s="75"/>
      <c r="AK5311" s="75"/>
    </row>
    <row r="5312" spans="34:37" x14ac:dyDescent="0.25">
      <c r="AH5312" s="75"/>
      <c r="AK5312" s="75"/>
    </row>
    <row r="5313" spans="34:37" x14ac:dyDescent="0.25">
      <c r="AH5313" s="75"/>
      <c r="AK5313" s="75"/>
    </row>
    <row r="5314" spans="34:37" x14ac:dyDescent="0.25">
      <c r="AH5314" s="75"/>
      <c r="AK5314" s="75"/>
    </row>
    <row r="5315" spans="34:37" x14ac:dyDescent="0.25">
      <c r="AH5315" s="75"/>
      <c r="AK5315" s="75"/>
    </row>
    <row r="5316" spans="34:37" x14ac:dyDescent="0.25">
      <c r="AH5316" s="75"/>
      <c r="AK5316" s="75"/>
    </row>
    <row r="5317" spans="34:37" x14ac:dyDescent="0.25">
      <c r="AH5317" s="75"/>
      <c r="AK5317" s="75"/>
    </row>
    <row r="5318" spans="34:37" x14ac:dyDescent="0.25">
      <c r="AH5318" s="75"/>
      <c r="AK5318" s="75"/>
    </row>
    <row r="5319" spans="34:37" x14ac:dyDescent="0.25">
      <c r="AH5319" s="75"/>
      <c r="AK5319" s="75"/>
    </row>
    <row r="5320" spans="34:37" x14ac:dyDescent="0.25">
      <c r="AH5320" s="75"/>
      <c r="AK5320" s="75"/>
    </row>
    <row r="5321" spans="34:37" x14ac:dyDescent="0.25">
      <c r="AH5321" s="75"/>
      <c r="AK5321" s="75"/>
    </row>
    <row r="5322" spans="34:37" x14ac:dyDescent="0.25">
      <c r="AH5322" s="75"/>
      <c r="AK5322" s="75"/>
    </row>
    <row r="5323" spans="34:37" x14ac:dyDescent="0.25">
      <c r="AH5323" s="75"/>
      <c r="AK5323" s="75"/>
    </row>
    <row r="5324" spans="34:37" x14ac:dyDescent="0.25">
      <c r="AH5324" s="75"/>
      <c r="AK5324" s="75"/>
    </row>
    <row r="5325" spans="34:37" x14ac:dyDescent="0.25">
      <c r="AH5325" s="75"/>
      <c r="AK5325" s="75"/>
    </row>
    <row r="5326" spans="34:37" x14ac:dyDescent="0.25">
      <c r="AH5326" s="75"/>
      <c r="AK5326" s="75"/>
    </row>
    <row r="5327" spans="34:37" x14ac:dyDescent="0.25">
      <c r="AH5327" s="75"/>
      <c r="AK5327" s="75"/>
    </row>
    <row r="5328" spans="34:37" x14ac:dyDescent="0.25">
      <c r="AH5328" s="75"/>
      <c r="AK5328" s="75"/>
    </row>
    <row r="5329" spans="34:37" x14ac:dyDescent="0.25">
      <c r="AH5329" s="75"/>
      <c r="AK5329" s="75"/>
    </row>
    <row r="5330" spans="34:37" x14ac:dyDescent="0.25">
      <c r="AH5330" s="75"/>
      <c r="AK5330" s="75"/>
    </row>
    <row r="5331" spans="34:37" x14ac:dyDescent="0.25">
      <c r="AH5331" s="75"/>
      <c r="AK5331" s="75"/>
    </row>
    <row r="5332" spans="34:37" x14ac:dyDescent="0.25">
      <c r="AH5332" s="75"/>
      <c r="AK5332" s="75"/>
    </row>
    <row r="5333" spans="34:37" x14ac:dyDescent="0.25">
      <c r="AH5333" s="75"/>
      <c r="AK5333" s="75"/>
    </row>
    <row r="5334" spans="34:37" x14ac:dyDescent="0.25">
      <c r="AH5334" s="75"/>
      <c r="AK5334" s="75"/>
    </row>
    <row r="5335" spans="34:37" x14ac:dyDescent="0.25">
      <c r="AH5335" s="75"/>
      <c r="AK5335" s="75"/>
    </row>
    <row r="5336" spans="34:37" x14ac:dyDescent="0.25">
      <c r="AH5336" s="75"/>
      <c r="AK5336" s="75"/>
    </row>
    <row r="5337" spans="34:37" x14ac:dyDescent="0.25">
      <c r="AH5337" s="75"/>
      <c r="AK5337" s="75"/>
    </row>
    <row r="5338" spans="34:37" x14ac:dyDescent="0.25">
      <c r="AH5338" s="75"/>
      <c r="AK5338" s="75"/>
    </row>
    <row r="5339" spans="34:37" x14ac:dyDescent="0.25">
      <c r="AH5339" s="75"/>
      <c r="AK5339" s="75"/>
    </row>
    <row r="5340" spans="34:37" x14ac:dyDescent="0.25">
      <c r="AH5340" s="75"/>
      <c r="AK5340" s="75"/>
    </row>
    <row r="5341" spans="34:37" x14ac:dyDescent="0.25">
      <c r="AH5341" s="75"/>
      <c r="AK5341" s="75"/>
    </row>
    <row r="5342" spans="34:37" x14ac:dyDescent="0.25">
      <c r="AH5342" s="75"/>
      <c r="AK5342" s="75"/>
    </row>
    <row r="5343" spans="34:37" x14ac:dyDescent="0.25">
      <c r="AH5343" s="75"/>
      <c r="AK5343" s="75"/>
    </row>
    <row r="5344" spans="34:37" x14ac:dyDescent="0.25">
      <c r="AH5344" s="75"/>
      <c r="AK5344" s="75"/>
    </row>
    <row r="5345" spans="34:37" x14ac:dyDescent="0.25">
      <c r="AH5345" s="75"/>
      <c r="AK5345" s="75"/>
    </row>
    <row r="5346" spans="34:37" x14ac:dyDescent="0.25">
      <c r="AH5346" s="75"/>
      <c r="AK5346" s="75"/>
    </row>
    <row r="5347" spans="34:37" x14ac:dyDescent="0.25">
      <c r="AH5347" s="75"/>
      <c r="AK5347" s="75"/>
    </row>
    <row r="5348" spans="34:37" x14ac:dyDescent="0.25">
      <c r="AH5348" s="75"/>
      <c r="AK5348" s="75"/>
    </row>
    <row r="5349" spans="34:37" x14ac:dyDescent="0.25">
      <c r="AH5349" s="75"/>
      <c r="AK5349" s="75"/>
    </row>
    <row r="5350" spans="34:37" x14ac:dyDescent="0.25">
      <c r="AH5350" s="75"/>
      <c r="AK5350" s="75"/>
    </row>
    <row r="5351" spans="34:37" x14ac:dyDescent="0.25">
      <c r="AH5351" s="75"/>
      <c r="AK5351" s="75"/>
    </row>
    <row r="5352" spans="34:37" x14ac:dyDescent="0.25">
      <c r="AH5352" s="75"/>
      <c r="AK5352" s="75"/>
    </row>
    <row r="5353" spans="34:37" x14ac:dyDescent="0.25">
      <c r="AH5353" s="75"/>
      <c r="AK5353" s="75"/>
    </row>
    <row r="5354" spans="34:37" x14ac:dyDescent="0.25">
      <c r="AH5354" s="75"/>
      <c r="AK5354" s="75"/>
    </row>
    <row r="5355" spans="34:37" x14ac:dyDescent="0.25">
      <c r="AH5355" s="75"/>
      <c r="AK5355" s="75"/>
    </row>
    <row r="5356" spans="34:37" x14ac:dyDescent="0.25">
      <c r="AH5356" s="75"/>
      <c r="AK5356" s="75"/>
    </row>
    <row r="5357" spans="34:37" x14ac:dyDescent="0.25">
      <c r="AH5357" s="75"/>
      <c r="AK5357" s="75"/>
    </row>
    <row r="5358" spans="34:37" x14ac:dyDescent="0.25">
      <c r="AH5358" s="75"/>
      <c r="AK5358" s="75"/>
    </row>
    <row r="5359" spans="34:37" x14ac:dyDescent="0.25">
      <c r="AH5359" s="75"/>
      <c r="AK5359" s="75"/>
    </row>
    <row r="5360" spans="34:37" x14ac:dyDescent="0.25">
      <c r="AH5360" s="75"/>
      <c r="AK5360" s="75"/>
    </row>
    <row r="5361" spans="34:37" x14ac:dyDescent="0.25">
      <c r="AH5361" s="75"/>
      <c r="AK5361" s="75"/>
    </row>
    <row r="5362" spans="34:37" x14ac:dyDescent="0.25">
      <c r="AH5362" s="75"/>
      <c r="AK5362" s="75"/>
    </row>
    <row r="5363" spans="34:37" x14ac:dyDescent="0.25">
      <c r="AH5363" s="75"/>
      <c r="AK5363" s="75"/>
    </row>
    <row r="5364" spans="34:37" x14ac:dyDescent="0.25">
      <c r="AH5364" s="75"/>
      <c r="AK5364" s="75"/>
    </row>
    <row r="5365" spans="34:37" x14ac:dyDescent="0.25">
      <c r="AH5365" s="75"/>
      <c r="AK5365" s="75"/>
    </row>
    <row r="5366" spans="34:37" x14ac:dyDescent="0.25">
      <c r="AH5366" s="75"/>
      <c r="AK5366" s="75"/>
    </row>
    <row r="5367" spans="34:37" x14ac:dyDescent="0.25">
      <c r="AH5367" s="75"/>
      <c r="AK5367" s="75"/>
    </row>
    <row r="5368" spans="34:37" x14ac:dyDescent="0.25">
      <c r="AH5368" s="75"/>
      <c r="AK5368" s="75"/>
    </row>
    <row r="5369" spans="34:37" x14ac:dyDescent="0.25">
      <c r="AH5369" s="75"/>
      <c r="AK5369" s="75"/>
    </row>
    <row r="5370" spans="34:37" x14ac:dyDescent="0.25">
      <c r="AH5370" s="75"/>
      <c r="AK5370" s="75"/>
    </row>
    <row r="5371" spans="34:37" x14ac:dyDescent="0.25">
      <c r="AH5371" s="75"/>
      <c r="AK5371" s="75"/>
    </row>
    <row r="5372" spans="34:37" x14ac:dyDescent="0.25">
      <c r="AH5372" s="75"/>
      <c r="AK5372" s="75"/>
    </row>
    <row r="5373" spans="34:37" x14ac:dyDescent="0.25">
      <c r="AH5373" s="75"/>
      <c r="AK5373" s="75"/>
    </row>
    <row r="5374" spans="34:37" x14ac:dyDescent="0.25">
      <c r="AH5374" s="75"/>
      <c r="AK5374" s="75"/>
    </row>
    <row r="5375" spans="34:37" x14ac:dyDescent="0.25">
      <c r="AH5375" s="75"/>
      <c r="AK5375" s="75"/>
    </row>
    <row r="5376" spans="34:37" x14ac:dyDescent="0.25">
      <c r="AH5376" s="75"/>
      <c r="AK5376" s="75"/>
    </row>
    <row r="5377" spans="34:37" x14ac:dyDescent="0.25">
      <c r="AH5377" s="75"/>
      <c r="AK5377" s="75"/>
    </row>
    <row r="5378" spans="34:37" x14ac:dyDescent="0.25">
      <c r="AH5378" s="75"/>
      <c r="AK5378" s="75"/>
    </row>
    <row r="5379" spans="34:37" x14ac:dyDescent="0.25">
      <c r="AH5379" s="75"/>
      <c r="AK5379" s="75"/>
    </row>
    <row r="5380" spans="34:37" x14ac:dyDescent="0.25">
      <c r="AH5380" s="75"/>
      <c r="AK5380" s="75"/>
    </row>
    <row r="5381" spans="34:37" x14ac:dyDescent="0.25">
      <c r="AH5381" s="75"/>
      <c r="AK5381" s="75"/>
    </row>
    <row r="5382" spans="34:37" x14ac:dyDescent="0.25">
      <c r="AH5382" s="75"/>
      <c r="AK5382" s="75"/>
    </row>
    <row r="5383" spans="34:37" x14ac:dyDescent="0.25">
      <c r="AH5383" s="75"/>
      <c r="AK5383" s="75"/>
    </row>
    <row r="5384" spans="34:37" x14ac:dyDescent="0.25">
      <c r="AH5384" s="75"/>
      <c r="AK5384" s="75"/>
    </row>
    <row r="5385" spans="34:37" x14ac:dyDescent="0.25">
      <c r="AH5385" s="75"/>
      <c r="AK5385" s="75"/>
    </row>
    <row r="5386" spans="34:37" x14ac:dyDescent="0.25">
      <c r="AH5386" s="75"/>
      <c r="AK5386" s="75"/>
    </row>
    <row r="5387" spans="34:37" x14ac:dyDescent="0.25">
      <c r="AH5387" s="75"/>
      <c r="AK5387" s="75"/>
    </row>
    <row r="5388" spans="34:37" x14ac:dyDescent="0.25">
      <c r="AH5388" s="75"/>
      <c r="AK5388" s="75"/>
    </row>
    <row r="5389" spans="34:37" x14ac:dyDescent="0.25">
      <c r="AH5389" s="75"/>
      <c r="AK5389" s="75"/>
    </row>
    <row r="5390" spans="34:37" x14ac:dyDescent="0.25">
      <c r="AH5390" s="75"/>
      <c r="AK5390" s="75"/>
    </row>
    <row r="5391" spans="34:37" x14ac:dyDescent="0.25">
      <c r="AH5391" s="75"/>
      <c r="AK5391" s="75"/>
    </row>
    <row r="5392" spans="34:37" x14ac:dyDescent="0.25">
      <c r="AH5392" s="75"/>
      <c r="AK5392" s="75"/>
    </row>
    <row r="5393" spans="34:37" x14ac:dyDescent="0.25">
      <c r="AH5393" s="75"/>
      <c r="AK5393" s="75"/>
    </row>
    <row r="5394" spans="34:37" x14ac:dyDescent="0.25">
      <c r="AH5394" s="75"/>
      <c r="AK5394" s="75"/>
    </row>
    <row r="5395" spans="34:37" x14ac:dyDescent="0.25">
      <c r="AH5395" s="75"/>
      <c r="AK5395" s="75"/>
    </row>
    <row r="5396" spans="34:37" x14ac:dyDescent="0.25">
      <c r="AH5396" s="75"/>
      <c r="AK5396" s="75"/>
    </row>
    <row r="5397" spans="34:37" x14ac:dyDescent="0.25">
      <c r="AH5397" s="75"/>
      <c r="AK5397" s="75"/>
    </row>
    <row r="5398" spans="34:37" x14ac:dyDescent="0.25">
      <c r="AH5398" s="75"/>
      <c r="AK5398" s="75"/>
    </row>
    <row r="5399" spans="34:37" x14ac:dyDescent="0.25">
      <c r="AH5399" s="75"/>
      <c r="AK5399" s="75"/>
    </row>
    <row r="5400" spans="34:37" x14ac:dyDescent="0.25">
      <c r="AH5400" s="75"/>
      <c r="AK5400" s="75"/>
    </row>
    <row r="5401" spans="34:37" x14ac:dyDescent="0.25">
      <c r="AH5401" s="75"/>
      <c r="AK5401" s="75"/>
    </row>
    <row r="5402" spans="34:37" x14ac:dyDescent="0.25">
      <c r="AH5402" s="75"/>
      <c r="AK5402" s="75"/>
    </row>
    <row r="5403" spans="34:37" x14ac:dyDescent="0.25">
      <c r="AH5403" s="75"/>
      <c r="AK5403" s="75"/>
    </row>
    <row r="5404" spans="34:37" x14ac:dyDescent="0.25">
      <c r="AH5404" s="75"/>
      <c r="AK5404" s="75"/>
    </row>
    <row r="5405" spans="34:37" x14ac:dyDescent="0.25">
      <c r="AH5405" s="75"/>
      <c r="AK5405" s="75"/>
    </row>
    <row r="5406" spans="34:37" x14ac:dyDescent="0.25">
      <c r="AH5406" s="75"/>
      <c r="AK5406" s="75"/>
    </row>
    <row r="5407" spans="34:37" x14ac:dyDescent="0.25">
      <c r="AH5407" s="75"/>
      <c r="AK5407" s="75"/>
    </row>
    <row r="5408" spans="34:37" x14ac:dyDescent="0.25">
      <c r="AH5408" s="75"/>
      <c r="AK5408" s="75"/>
    </row>
    <row r="5409" spans="34:37" x14ac:dyDescent="0.25">
      <c r="AH5409" s="75"/>
      <c r="AK5409" s="75"/>
    </row>
    <row r="5410" spans="34:37" x14ac:dyDescent="0.25">
      <c r="AH5410" s="75"/>
      <c r="AK5410" s="75"/>
    </row>
    <row r="5411" spans="34:37" x14ac:dyDescent="0.25">
      <c r="AH5411" s="75"/>
      <c r="AK5411" s="75"/>
    </row>
    <row r="5412" spans="34:37" x14ac:dyDescent="0.25">
      <c r="AH5412" s="75"/>
      <c r="AK5412" s="75"/>
    </row>
    <row r="5413" spans="34:37" x14ac:dyDescent="0.25">
      <c r="AH5413" s="75"/>
      <c r="AK5413" s="75"/>
    </row>
    <row r="5414" spans="34:37" x14ac:dyDescent="0.25">
      <c r="AH5414" s="75"/>
      <c r="AK5414" s="75"/>
    </row>
    <row r="5415" spans="34:37" x14ac:dyDescent="0.25">
      <c r="AH5415" s="75"/>
      <c r="AK5415" s="75"/>
    </row>
    <row r="5416" spans="34:37" x14ac:dyDescent="0.25">
      <c r="AH5416" s="75"/>
      <c r="AK5416" s="75"/>
    </row>
    <row r="5417" spans="34:37" x14ac:dyDescent="0.25">
      <c r="AH5417" s="75"/>
      <c r="AK5417" s="75"/>
    </row>
    <row r="5418" spans="34:37" x14ac:dyDescent="0.25">
      <c r="AH5418" s="75"/>
      <c r="AK5418" s="75"/>
    </row>
    <row r="5419" spans="34:37" x14ac:dyDescent="0.25">
      <c r="AH5419" s="75"/>
      <c r="AK5419" s="75"/>
    </row>
    <row r="5420" spans="34:37" x14ac:dyDescent="0.25">
      <c r="AH5420" s="75"/>
      <c r="AK5420" s="75"/>
    </row>
    <row r="5421" spans="34:37" x14ac:dyDescent="0.25">
      <c r="AH5421" s="75"/>
      <c r="AK5421" s="75"/>
    </row>
    <row r="5422" spans="34:37" x14ac:dyDescent="0.25">
      <c r="AH5422" s="75"/>
      <c r="AK5422" s="75"/>
    </row>
    <row r="5423" spans="34:37" x14ac:dyDescent="0.25">
      <c r="AH5423" s="75"/>
      <c r="AK5423" s="75"/>
    </row>
    <row r="5424" spans="34:37" x14ac:dyDescent="0.25">
      <c r="AH5424" s="75"/>
      <c r="AK5424" s="75"/>
    </row>
    <row r="5425" spans="34:37" x14ac:dyDescent="0.25">
      <c r="AH5425" s="75"/>
      <c r="AK5425" s="75"/>
    </row>
    <row r="5426" spans="34:37" x14ac:dyDescent="0.25">
      <c r="AH5426" s="75"/>
      <c r="AK5426" s="75"/>
    </row>
    <row r="5427" spans="34:37" x14ac:dyDescent="0.25">
      <c r="AH5427" s="75"/>
      <c r="AK5427" s="75"/>
    </row>
    <row r="5428" spans="34:37" x14ac:dyDescent="0.25">
      <c r="AH5428" s="75"/>
      <c r="AK5428" s="75"/>
    </row>
    <row r="5429" spans="34:37" x14ac:dyDescent="0.25">
      <c r="AH5429" s="75"/>
      <c r="AK5429" s="75"/>
    </row>
    <row r="5430" spans="34:37" x14ac:dyDescent="0.25">
      <c r="AH5430" s="75"/>
      <c r="AK5430" s="75"/>
    </row>
    <row r="5431" spans="34:37" x14ac:dyDescent="0.25">
      <c r="AH5431" s="75"/>
      <c r="AK5431" s="75"/>
    </row>
    <row r="5432" spans="34:37" x14ac:dyDescent="0.25">
      <c r="AH5432" s="75"/>
      <c r="AK5432" s="75"/>
    </row>
    <row r="5433" spans="34:37" x14ac:dyDescent="0.25">
      <c r="AH5433" s="75"/>
      <c r="AK5433" s="75"/>
    </row>
    <row r="5434" spans="34:37" x14ac:dyDescent="0.25">
      <c r="AH5434" s="75"/>
      <c r="AK5434" s="75"/>
    </row>
    <row r="5435" spans="34:37" x14ac:dyDescent="0.25">
      <c r="AH5435" s="75"/>
      <c r="AK5435" s="75"/>
    </row>
    <row r="5436" spans="34:37" x14ac:dyDescent="0.25">
      <c r="AH5436" s="75"/>
      <c r="AK5436" s="75"/>
    </row>
    <row r="5437" spans="34:37" x14ac:dyDescent="0.25">
      <c r="AH5437" s="75"/>
      <c r="AK5437" s="75"/>
    </row>
    <row r="5438" spans="34:37" x14ac:dyDescent="0.25">
      <c r="AH5438" s="75"/>
      <c r="AK5438" s="75"/>
    </row>
    <row r="5439" spans="34:37" x14ac:dyDescent="0.25">
      <c r="AH5439" s="75"/>
      <c r="AK5439" s="75"/>
    </row>
    <row r="5440" spans="34:37" x14ac:dyDescent="0.25">
      <c r="AH5440" s="75"/>
      <c r="AK5440" s="75"/>
    </row>
    <row r="5441" spans="34:37" x14ac:dyDescent="0.25">
      <c r="AH5441" s="75"/>
      <c r="AK5441" s="75"/>
    </row>
    <row r="5442" spans="34:37" x14ac:dyDescent="0.25">
      <c r="AH5442" s="75"/>
      <c r="AK5442" s="75"/>
    </row>
    <row r="5443" spans="34:37" x14ac:dyDescent="0.25">
      <c r="AH5443" s="75"/>
      <c r="AK5443" s="75"/>
    </row>
    <row r="5444" spans="34:37" x14ac:dyDescent="0.25">
      <c r="AH5444" s="75"/>
      <c r="AK5444" s="75"/>
    </row>
    <row r="5445" spans="34:37" x14ac:dyDescent="0.25">
      <c r="AH5445" s="75"/>
      <c r="AK5445" s="75"/>
    </row>
    <row r="5446" spans="34:37" x14ac:dyDescent="0.25">
      <c r="AH5446" s="75"/>
      <c r="AK5446" s="75"/>
    </row>
    <row r="5447" spans="34:37" x14ac:dyDescent="0.25">
      <c r="AH5447" s="75"/>
      <c r="AK5447" s="75"/>
    </row>
    <row r="5448" spans="34:37" x14ac:dyDescent="0.25">
      <c r="AH5448" s="75"/>
      <c r="AK5448" s="75"/>
    </row>
    <row r="5449" spans="34:37" x14ac:dyDescent="0.25">
      <c r="AH5449" s="75"/>
      <c r="AK5449" s="75"/>
    </row>
    <row r="5450" spans="34:37" x14ac:dyDescent="0.25">
      <c r="AH5450" s="75"/>
      <c r="AK5450" s="75"/>
    </row>
    <row r="5451" spans="34:37" x14ac:dyDescent="0.25">
      <c r="AH5451" s="75"/>
      <c r="AK5451" s="75"/>
    </row>
    <row r="5452" spans="34:37" x14ac:dyDescent="0.25">
      <c r="AH5452" s="75"/>
      <c r="AK5452" s="75"/>
    </row>
    <row r="5453" spans="34:37" x14ac:dyDescent="0.25">
      <c r="AH5453" s="75"/>
      <c r="AK5453" s="75"/>
    </row>
    <row r="5454" spans="34:37" x14ac:dyDescent="0.25">
      <c r="AH5454" s="75"/>
      <c r="AK5454" s="75"/>
    </row>
    <row r="5455" spans="34:37" x14ac:dyDescent="0.25">
      <c r="AH5455" s="75"/>
      <c r="AK5455" s="75"/>
    </row>
    <row r="5456" spans="34:37" x14ac:dyDescent="0.25">
      <c r="AH5456" s="75"/>
      <c r="AK5456" s="75"/>
    </row>
    <row r="5457" spans="34:37" x14ac:dyDescent="0.25">
      <c r="AH5457" s="75"/>
      <c r="AK5457" s="75"/>
    </row>
    <row r="5458" spans="34:37" x14ac:dyDescent="0.25">
      <c r="AH5458" s="75"/>
      <c r="AK5458" s="75"/>
    </row>
    <row r="5459" spans="34:37" x14ac:dyDescent="0.25">
      <c r="AH5459" s="75"/>
      <c r="AK5459" s="75"/>
    </row>
    <row r="5460" spans="34:37" x14ac:dyDescent="0.25">
      <c r="AH5460" s="75"/>
      <c r="AK5460" s="75"/>
    </row>
    <row r="5461" spans="34:37" x14ac:dyDescent="0.25">
      <c r="AH5461" s="75"/>
      <c r="AK5461" s="75"/>
    </row>
    <row r="5462" spans="34:37" x14ac:dyDescent="0.25">
      <c r="AH5462" s="75"/>
      <c r="AK5462" s="75"/>
    </row>
    <row r="5463" spans="34:37" x14ac:dyDescent="0.25">
      <c r="AH5463" s="75"/>
      <c r="AK5463" s="75"/>
    </row>
    <row r="5464" spans="34:37" x14ac:dyDescent="0.25">
      <c r="AH5464" s="75"/>
      <c r="AK5464" s="75"/>
    </row>
    <row r="5465" spans="34:37" x14ac:dyDescent="0.25">
      <c r="AH5465" s="75"/>
      <c r="AK5465" s="75"/>
    </row>
    <row r="5466" spans="34:37" x14ac:dyDescent="0.25">
      <c r="AH5466" s="75"/>
      <c r="AK5466" s="75"/>
    </row>
    <row r="5467" spans="34:37" x14ac:dyDescent="0.25">
      <c r="AH5467" s="75"/>
      <c r="AK5467" s="75"/>
    </row>
    <row r="5468" spans="34:37" x14ac:dyDescent="0.25">
      <c r="AH5468" s="75"/>
      <c r="AK5468" s="75"/>
    </row>
    <row r="5469" spans="34:37" x14ac:dyDescent="0.25">
      <c r="AH5469" s="75"/>
      <c r="AK5469" s="75"/>
    </row>
    <row r="5470" spans="34:37" x14ac:dyDescent="0.25">
      <c r="AH5470" s="75"/>
      <c r="AK5470" s="75"/>
    </row>
    <row r="5471" spans="34:37" x14ac:dyDescent="0.25">
      <c r="AH5471" s="75"/>
      <c r="AK5471" s="75"/>
    </row>
    <row r="5472" spans="34:37" x14ac:dyDescent="0.25">
      <c r="AH5472" s="75"/>
      <c r="AK5472" s="75"/>
    </row>
    <row r="5473" spans="34:37" x14ac:dyDescent="0.25">
      <c r="AH5473" s="75"/>
      <c r="AK5473" s="75"/>
    </row>
    <row r="5474" spans="34:37" x14ac:dyDescent="0.25">
      <c r="AH5474" s="75"/>
      <c r="AK5474" s="75"/>
    </row>
    <row r="5475" spans="34:37" x14ac:dyDescent="0.25">
      <c r="AH5475" s="75"/>
      <c r="AK5475" s="75"/>
    </row>
    <row r="5476" spans="34:37" x14ac:dyDescent="0.25">
      <c r="AH5476" s="75"/>
      <c r="AK5476" s="75"/>
    </row>
    <row r="5477" spans="34:37" x14ac:dyDescent="0.25">
      <c r="AH5477" s="75"/>
      <c r="AK5477" s="75"/>
    </row>
    <row r="5478" spans="34:37" x14ac:dyDescent="0.25">
      <c r="AH5478" s="75"/>
      <c r="AK5478" s="75"/>
    </row>
    <row r="5479" spans="34:37" x14ac:dyDescent="0.25">
      <c r="AH5479" s="75"/>
      <c r="AK5479" s="75"/>
    </row>
    <row r="5480" spans="34:37" x14ac:dyDescent="0.25">
      <c r="AH5480" s="75"/>
      <c r="AK5480" s="75"/>
    </row>
    <row r="5481" spans="34:37" x14ac:dyDescent="0.25">
      <c r="AH5481" s="75"/>
      <c r="AK5481" s="75"/>
    </row>
    <row r="5482" spans="34:37" x14ac:dyDescent="0.25">
      <c r="AH5482" s="75"/>
      <c r="AK5482" s="75"/>
    </row>
    <row r="5483" spans="34:37" x14ac:dyDescent="0.25">
      <c r="AH5483" s="75"/>
      <c r="AK5483" s="75"/>
    </row>
    <row r="5484" spans="34:37" x14ac:dyDescent="0.25">
      <c r="AH5484" s="75"/>
      <c r="AK5484" s="75"/>
    </row>
    <row r="5485" spans="34:37" x14ac:dyDescent="0.25">
      <c r="AH5485" s="75"/>
      <c r="AK5485" s="75"/>
    </row>
    <row r="5486" spans="34:37" x14ac:dyDescent="0.25">
      <c r="AH5486" s="75"/>
      <c r="AK5486" s="75"/>
    </row>
    <row r="5487" spans="34:37" x14ac:dyDescent="0.25">
      <c r="AH5487" s="75"/>
      <c r="AK5487" s="75"/>
    </row>
    <row r="5488" spans="34:37" x14ac:dyDescent="0.25">
      <c r="AH5488" s="75"/>
      <c r="AK5488" s="75"/>
    </row>
    <row r="5489" spans="34:37" x14ac:dyDescent="0.25">
      <c r="AH5489" s="75"/>
      <c r="AK5489" s="75"/>
    </row>
    <row r="5490" spans="34:37" x14ac:dyDescent="0.25">
      <c r="AH5490" s="75"/>
      <c r="AK5490" s="75"/>
    </row>
    <row r="5491" spans="34:37" x14ac:dyDescent="0.25">
      <c r="AH5491" s="75"/>
      <c r="AK5491" s="75"/>
    </row>
    <row r="5492" spans="34:37" x14ac:dyDescent="0.25">
      <c r="AH5492" s="75"/>
      <c r="AK5492" s="75"/>
    </row>
    <row r="5493" spans="34:37" x14ac:dyDescent="0.25">
      <c r="AH5493" s="75"/>
      <c r="AK5493" s="75"/>
    </row>
    <row r="5494" spans="34:37" x14ac:dyDescent="0.25">
      <c r="AH5494" s="75"/>
      <c r="AK5494" s="75"/>
    </row>
    <row r="5495" spans="34:37" x14ac:dyDescent="0.25">
      <c r="AH5495" s="75"/>
      <c r="AK5495" s="75"/>
    </row>
    <row r="5496" spans="34:37" x14ac:dyDescent="0.25">
      <c r="AH5496" s="75"/>
      <c r="AK5496" s="75"/>
    </row>
    <row r="5497" spans="34:37" x14ac:dyDescent="0.25">
      <c r="AH5497" s="75"/>
      <c r="AK5497" s="75"/>
    </row>
    <row r="5498" spans="34:37" x14ac:dyDescent="0.25">
      <c r="AH5498" s="75"/>
      <c r="AK5498" s="75"/>
    </row>
    <row r="5499" spans="34:37" x14ac:dyDescent="0.25">
      <c r="AH5499" s="75"/>
      <c r="AK5499" s="75"/>
    </row>
    <row r="5500" spans="34:37" x14ac:dyDescent="0.25">
      <c r="AH5500" s="75"/>
      <c r="AK5500" s="75"/>
    </row>
    <row r="5501" spans="34:37" x14ac:dyDescent="0.25">
      <c r="AH5501" s="75"/>
      <c r="AK5501" s="75"/>
    </row>
    <row r="5502" spans="34:37" x14ac:dyDescent="0.25">
      <c r="AH5502" s="75"/>
      <c r="AK5502" s="75"/>
    </row>
    <row r="5503" spans="34:37" x14ac:dyDescent="0.25">
      <c r="AH5503" s="75"/>
      <c r="AK5503" s="75"/>
    </row>
    <row r="5504" spans="34:37" x14ac:dyDescent="0.25">
      <c r="AH5504" s="75"/>
      <c r="AK5504" s="75"/>
    </row>
    <row r="5505" spans="34:37" x14ac:dyDescent="0.25">
      <c r="AH5505" s="75"/>
      <c r="AK5505" s="75"/>
    </row>
    <row r="5506" spans="34:37" x14ac:dyDescent="0.25">
      <c r="AH5506" s="75"/>
      <c r="AK5506" s="75"/>
    </row>
    <row r="5507" spans="34:37" x14ac:dyDescent="0.25">
      <c r="AH5507" s="75"/>
      <c r="AK5507" s="75"/>
    </row>
    <row r="5508" spans="34:37" x14ac:dyDescent="0.25">
      <c r="AH5508" s="75"/>
      <c r="AK5508" s="75"/>
    </row>
    <row r="5509" spans="34:37" x14ac:dyDescent="0.25">
      <c r="AH5509" s="75"/>
      <c r="AK5509" s="75"/>
    </row>
    <row r="5510" spans="34:37" x14ac:dyDescent="0.25">
      <c r="AH5510" s="75"/>
      <c r="AK5510" s="75"/>
    </row>
    <row r="5511" spans="34:37" x14ac:dyDescent="0.25">
      <c r="AH5511" s="75"/>
      <c r="AK5511" s="75"/>
    </row>
    <row r="5512" spans="34:37" x14ac:dyDescent="0.25">
      <c r="AH5512" s="75"/>
      <c r="AK5512" s="75"/>
    </row>
    <row r="5513" spans="34:37" x14ac:dyDescent="0.25">
      <c r="AH5513" s="75"/>
      <c r="AK5513" s="75"/>
    </row>
    <row r="5514" spans="34:37" x14ac:dyDescent="0.25">
      <c r="AH5514" s="75"/>
      <c r="AK5514" s="75"/>
    </row>
    <row r="5515" spans="34:37" x14ac:dyDescent="0.25">
      <c r="AH5515" s="75"/>
      <c r="AK5515" s="75"/>
    </row>
    <row r="5516" spans="34:37" x14ac:dyDescent="0.25">
      <c r="AH5516" s="75"/>
      <c r="AK5516" s="75"/>
    </row>
    <row r="5517" spans="34:37" x14ac:dyDescent="0.25">
      <c r="AH5517" s="75"/>
      <c r="AK5517" s="75"/>
    </row>
    <row r="5518" spans="34:37" x14ac:dyDescent="0.25">
      <c r="AH5518" s="75"/>
      <c r="AK5518" s="75"/>
    </row>
    <row r="5519" spans="34:37" x14ac:dyDescent="0.25">
      <c r="AH5519" s="75"/>
      <c r="AK5519" s="75"/>
    </row>
    <row r="5520" spans="34:37" x14ac:dyDescent="0.25">
      <c r="AH5520" s="75"/>
      <c r="AK5520" s="75"/>
    </row>
    <row r="5521" spans="34:37" x14ac:dyDescent="0.25">
      <c r="AH5521" s="75"/>
      <c r="AK5521" s="75"/>
    </row>
    <row r="5522" spans="34:37" x14ac:dyDescent="0.25">
      <c r="AH5522" s="75"/>
      <c r="AK5522" s="75"/>
    </row>
    <row r="5523" spans="34:37" x14ac:dyDescent="0.25">
      <c r="AH5523" s="75"/>
      <c r="AK5523" s="75"/>
    </row>
    <row r="5524" spans="34:37" x14ac:dyDescent="0.25">
      <c r="AH5524" s="75"/>
      <c r="AK5524" s="75"/>
    </row>
    <row r="5525" spans="34:37" x14ac:dyDescent="0.25">
      <c r="AH5525" s="75"/>
      <c r="AK5525" s="75"/>
    </row>
    <row r="5526" spans="34:37" x14ac:dyDescent="0.25">
      <c r="AH5526" s="75"/>
      <c r="AK5526" s="75"/>
    </row>
    <row r="5527" spans="34:37" x14ac:dyDescent="0.25">
      <c r="AH5527" s="75"/>
      <c r="AK5527" s="75"/>
    </row>
    <row r="5528" spans="34:37" x14ac:dyDescent="0.25">
      <c r="AH5528" s="75"/>
      <c r="AK5528" s="75"/>
    </row>
    <row r="5529" spans="34:37" x14ac:dyDescent="0.25">
      <c r="AH5529" s="75"/>
      <c r="AK5529" s="75"/>
    </row>
    <row r="5530" spans="34:37" x14ac:dyDescent="0.25">
      <c r="AH5530" s="75"/>
      <c r="AK5530" s="75"/>
    </row>
    <row r="5531" spans="34:37" x14ac:dyDescent="0.25">
      <c r="AH5531" s="75"/>
      <c r="AK5531" s="75"/>
    </row>
    <row r="5532" spans="34:37" x14ac:dyDescent="0.25">
      <c r="AH5532" s="75"/>
      <c r="AK5532" s="75"/>
    </row>
    <row r="5533" spans="34:37" x14ac:dyDescent="0.25">
      <c r="AH5533" s="75"/>
      <c r="AK5533" s="75"/>
    </row>
    <row r="5534" spans="34:37" x14ac:dyDescent="0.25">
      <c r="AH5534" s="75"/>
      <c r="AK5534" s="75"/>
    </row>
    <row r="5535" spans="34:37" x14ac:dyDescent="0.25">
      <c r="AH5535" s="75"/>
      <c r="AK5535" s="75"/>
    </row>
    <row r="5536" spans="34:37" x14ac:dyDescent="0.25">
      <c r="AH5536" s="75"/>
      <c r="AK5536" s="75"/>
    </row>
    <row r="5537" spans="34:37" x14ac:dyDescent="0.25">
      <c r="AH5537" s="75"/>
      <c r="AK5537" s="75"/>
    </row>
    <row r="5538" spans="34:37" x14ac:dyDescent="0.25">
      <c r="AH5538" s="75"/>
      <c r="AK5538" s="75"/>
    </row>
    <row r="5539" spans="34:37" x14ac:dyDescent="0.25">
      <c r="AH5539" s="75"/>
      <c r="AK5539" s="75"/>
    </row>
    <row r="5540" spans="34:37" x14ac:dyDescent="0.25">
      <c r="AH5540" s="75"/>
      <c r="AK5540" s="75"/>
    </row>
    <row r="5541" spans="34:37" x14ac:dyDescent="0.25">
      <c r="AH5541" s="75"/>
      <c r="AK5541" s="75"/>
    </row>
    <row r="5542" spans="34:37" x14ac:dyDescent="0.25">
      <c r="AH5542" s="75"/>
      <c r="AK5542" s="75"/>
    </row>
    <row r="5543" spans="34:37" x14ac:dyDescent="0.25">
      <c r="AH5543" s="75"/>
      <c r="AK5543" s="75"/>
    </row>
    <row r="5544" spans="34:37" x14ac:dyDescent="0.25">
      <c r="AH5544" s="75"/>
      <c r="AK5544" s="75"/>
    </row>
    <row r="5545" spans="34:37" x14ac:dyDescent="0.25">
      <c r="AH5545" s="75"/>
      <c r="AK5545" s="75"/>
    </row>
    <row r="5546" spans="34:37" x14ac:dyDescent="0.25">
      <c r="AH5546" s="75"/>
      <c r="AK5546" s="75"/>
    </row>
    <row r="5547" spans="34:37" x14ac:dyDescent="0.25">
      <c r="AH5547" s="75"/>
      <c r="AK5547" s="75"/>
    </row>
    <row r="5548" spans="34:37" x14ac:dyDescent="0.25">
      <c r="AH5548" s="75"/>
      <c r="AK5548" s="75"/>
    </row>
    <row r="5549" spans="34:37" x14ac:dyDescent="0.25">
      <c r="AH5549" s="75"/>
      <c r="AK5549" s="75"/>
    </row>
    <row r="5550" spans="34:37" x14ac:dyDescent="0.25">
      <c r="AH5550" s="75"/>
      <c r="AK5550" s="75"/>
    </row>
    <row r="5551" spans="34:37" x14ac:dyDescent="0.25">
      <c r="AH5551" s="75"/>
      <c r="AK5551" s="75"/>
    </row>
    <row r="5552" spans="34:37" x14ac:dyDescent="0.25">
      <c r="AH5552" s="75"/>
      <c r="AK5552" s="75"/>
    </row>
    <row r="5553" spans="34:37" x14ac:dyDescent="0.25">
      <c r="AH5553" s="75"/>
      <c r="AK5553" s="75"/>
    </row>
    <row r="5554" spans="34:37" x14ac:dyDescent="0.25">
      <c r="AH5554" s="75"/>
      <c r="AK5554" s="75"/>
    </row>
    <row r="5555" spans="34:37" x14ac:dyDescent="0.25">
      <c r="AH5555" s="75"/>
      <c r="AK5555" s="75"/>
    </row>
    <row r="5556" spans="34:37" x14ac:dyDescent="0.25">
      <c r="AH5556" s="75"/>
      <c r="AK5556" s="75"/>
    </row>
    <row r="5557" spans="34:37" x14ac:dyDescent="0.25">
      <c r="AH5557" s="75"/>
      <c r="AK5557" s="75"/>
    </row>
    <row r="5558" spans="34:37" x14ac:dyDescent="0.25">
      <c r="AH5558" s="75"/>
      <c r="AK5558" s="75"/>
    </row>
    <row r="5559" spans="34:37" x14ac:dyDescent="0.25">
      <c r="AH5559" s="75"/>
      <c r="AK5559" s="75"/>
    </row>
    <row r="5560" spans="34:37" x14ac:dyDescent="0.25">
      <c r="AH5560" s="75"/>
      <c r="AK5560" s="75"/>
    </row>
    <row r="5561" spans="34:37" x14ac:dyDescent="0.25">
      <c r="AH5561" s="75"/>
      <c r="AK5561" s="75"/>
    </row>
    <row r="5562" spans="34:37" x14ac:dyDescent="0.25">
      <c r="AH5562" s="75"/>
      <c r="AK5562" s="75"/>
    </row>
    <row r="5563" spans="34:37" x14ac:dyDescent="0.25">
      <c r="AH5563" s="75"/>
      <c r="AK5563" s="75"/>
    </row>
    <row r="5564" spans="34:37" x14ac:dyDescent="0.25">
      <c r="AH5564" s="75"/>
      <c r="AK5564" s="75"/>
    </row>
    <row r="5565" spans="34:37" x14ac:dyDescent="0.25">
      <c r="AH5565" s="75"/>
      <c r="AK5565" s="75"/>
    </row>
    <row r="5566" spans="34:37" x14ac:dyDescent="0.25">
      <c r="AH5566" s="75"/>
      <c r="AK5566" s="75"/>
    </row>
    <row r="5567" spans="34:37" x14ac:dyDescent="0.25">
      <c r="AH5567" s="75"/>
      <c r="AK5567" s="75"/>
    </row>
    <row r="5568" spans="34:37" x14ac:dyDescent="0.25">
      <c r="AH5568" s="75"/>
      <c r="AK5568" s="75"/>
    </row>
    <row r="5569" spans="34:37" x14ac:dyDescent="0.25">
      <c r="AH5569" s="75"/>
      <c r="AK5569" s="75"/>
    </row>
    <row r="5570" spans="34:37" x14ac:dyDescent="0.25">
      <c r="AH5570" s="75"/>
      <c r="AK5570" s="75"/>
    </row>
    <row r="5571" spans="34:37" x14ac:dyDescent="0.25">
      <c r="AH5571" s="75"/>
      <c r="AK5571" s="75"/>
    </row>
    <row r="5572" spans="34:37" x14ac:dyDescent="0.25">
      <c r="AH5572" s="75"/>
      <c r="AK5572" s="75"/>
    </row>
    <row r="5573" spans="34:37" x14ac:dyDescent="0.25">
      <c r="AH5573" s="75"/>
      <c r="AK5573" s="75"/>
    </row>
    <row r="5574" spans="34:37" x14ac:dyDescent="0.25">
      <c r="AH5574" s="75"/>
      <c r="AK5574" s="75"/>
    </row>
    <row r="5575" spans="34:37" x14ac:dyDescent="0.25">
      <c r="AH5575" s="75"/>
      <c r="AK5575" s="75"/>
    </row>
    <row r="5576" spans="34:37" x14ac:dyDescent="0.25">
      <c r="AH5576" s="75"/>
      <c r="AK5576" s="75"/>
    </row>
    <row r="5577" spans="34:37" x14ac:dyDescent="0.25">
      <c r="AH5577" s="75"/>
      <c r="AK5577" s="75"/>
    </row>
    <row r="5578" spans="34:37" x14ac:dyDescent="0.25">
      <c r="AH5578" s="75"/>
      <c r="AK5578" s="75"/>
    </row>
    <row r="5579" spans="34:37" x14ac:dyDescent="0.25">
      <c r="AH5579" s="75"/>
      <c r="AK5579" s="75"/>
    </row>
    <row r="5580" spans="34:37" x14ac:dyDescent="0.25">
      <c r="AH5580" s="75"/>
      <c r="AK5580" s="75"/>
    </row>
    <row r="5581" spans="34:37" x14ac:dyDescent="0.25">
      <c r="AH5581" s="75"/>
      <c r="AK5581" s="75"/>
    </row>
    <row r="5582" spans="34:37" x14ac:dyDescent="0.25">
      <c r="AH5582" s="75"/>
      <c r="AK5582" s="75"/>
    </row>
    <row r="5583" spans="34:37" x14ac:dyDescent="0.25">
      <c r="AH5583" s="75"/>
      <c r="AK5583" s="75"/>
    </row>
    <row r="5584" spans="34:37" x14ac:dyDescent="0.25">
      <c r="AH5584" s="75"/>
      <c r="AK5584" s="75"/>
    </row>
    <row r="5585" spans="34:37" x14ac:dyDescent="0.25">
      <c r="AH5585" s="75"/>
      <c r="AK5585" s="75"/>
    </row>
    <row r="5586" spans="34:37" x14ac:dyDescent="0.25">
      <c r="AH5586" s="75"/>
      <c r="AK5586" s="75"/>
    </row>
    <row r="5587" spans="34:37" x14ac:dyDescent="0.25">
      <c r="AH5587" s="75"/>
      <c r="AK5587" s="75"/>
    </row>
    <row r="5588" spans="34:37" x14ac:dyDescent="0.25">
      <c r="AH5588" s="75"/>
      <c r="AK5588" s="75"/>
    </row>
    <row r="5589" spans="34:37" x14ac:dyDescent="0.25">
      <c r="AH5589" s="75"/>
      <c r="AK5589" s="75"/>
    </row>
    <row r="5590" spans="34:37" x14ac:dyDescent="0.25">
      <c r="AH5590" s="75"/>
      <c r="AK5590" s="75"/>
    </row>
    <row r="5591" spans="34:37" x14ac:dyDescent="0.25">
      <c r="AH5591" s="75"/>
      <c r="AK5591" s="75"/>
    </row>
    <row r="5592" spans="34:37" x14ac:dyDescent="0.25">
      <c r="AH5592" s="75"/>
      <c r="AK5592" s="75"/>
    </row>
    <row r="5593" spans="34:37" x14ac:dyDescent="0.25">
      <c r="AH5593" s="75"/>
      <c r="AK5593" s="75"/>
    </row>
    <row r="5594" spans="34:37" x14ac:dyDescent="0.25">
      <c r="AH5594" s="75"/>
      <c r="AK5594" s="75"/>
    </row>
    <row r="5595" spans="34:37" x14ac:dyDescent="0.25">
      <c r="AH5595" s="75"/>
      <c r="AK5595" s="75"/>
    </row>
    <row r="5596" spans="34:37" x14ac:dyDescent="0.25">
      <c r="AH5596" s="75"/>
      <c r="AK5596" s="75"/>
    </row>
    <row r="5597" spans="34:37" x14ac:dyDescent="0.25">
      <c r="AH5597" s="75"/>
      <c r="AK5597" s="75"/>
    </row>
    <row r="5598" spans="34:37" x14ac:dyDescent="0.25">
      <c r="AH5598" s="75"/>
      <c r="AK5598" s="75"/>
    </row>
    <row r="5599" spans="34:37" x14ac:dyDescent="0.25">
      <c r="AH5599" s="75"/>
      <c r="AK5599" s="75"/>
    </row>
    <row r="5600" spans="34:37" x14ac:dyDescent="0.25">
      <c r="AH5600" s="75"/>
      <c r="AK5600" s="75"/>
    </row>
    <row r="5601" spans="34:37" x14ac:dyDescent="0.25">
      <c r="AH5601" s="75"/>
      <c r="AK5601" s="75"/>
    </row>
    <row r="5602" spans="34:37" x14ac:dyDescent="0.25">
      <c r="AH5602" s="75"/>
      <c r="AK5602" s="75"/>
    </row>
    <row r="5603" spans="34:37" x14ac:dyDescent="0.25">
      <c r="AH5603" s="75"/>
      <c r="AK5603" s="75"/>
    </row>
    <row r="5604" spans="34:37" x14ac:dyDescent="0.25">
      <c r="AH5604" s="75"/>
      <c r="AK5604" s="75"/>
    </row>
    <row r="5605" spans="34:37" x14ac:dyDescent="0.25">
      <c r="AH5605" s="75"/>
      <c r="AK5605" s="75"/>
    </row>
    <row r="5606" spans="34:37" x14ac:dyDescent="0.25">
      <c r="AH5606" s="75"/>
      <c r="AK5606" s="75"/>
    </row>
    <row r="5607" spans="34:37" x14ac:dyDescent="0.25">
      <c r="AH5607" s="75"/>
      <c r="AK5607" s="75"/>
    </row>
    <row r="5608" spans="34:37" x14ac:dyDescent="0.25">
      <c r="AH5608" s="75"/>
      <c r="AK5608" s="75"/>
    </row>
    <row r="5609" spans="34:37" x14ac:dyDescent="0.25">
      <c r="AH5609" s="75"/>
      <c r="AK5609" s="75"/>
    </row>
    <row r="5610" spans="34:37" x14ac:dyDescent="0.25">
      <c r="AH5610" s="75"/>
      <c r="AK5610" s="75"/>
    </row>
    <row r="5611" spans="34:37" x14ac:dyDescent="0.25">
      <c r="AH5611" s="75"/>
      <c r="AK5611" s="75"/>
    </row>
    <row r="5612" spans="34:37" x14ac:dyDescent="0.25">
      <c r="AH5612" s="75"/>
      <c r="AK5612" s="75"/>
    </row>
    <row r="5613" spans="34:37" x14ac:dyDescent="0.25">
      <c r="AH5613" s="75"/>
      <c r="AK5613" s="75"/>
    </row>
    <row r="5614" spans="34:37" x14ac:dyDescent="0.25">
      <c r="AH5614" s="75"/>
      <c r="AK5614" s="75"/>
    </row>
    <row r="5615" spans="34:37" x14ac:dyDescent="0.25">
      <c r="AH5615" s="75"/>
      <c r="AK5615" s="75"/>
    </row>
    <row r="5616" spans="34:37" x14ac:dyDescent="0.25">
      <c r="AH5616" s="75"/>
      <c r="AK5616" s="75"/>
    </row>
    <row r="5617" spans="34:37" x14ac:dyDescent="0.25">
      <c r="AH5617" s="75"/>
      <c r="AK5617" s="75"/>
    </row>
    <row r="5618" spans="34:37" x14ac:dyDescent="0.25">
      <c r="AH5618" s="75"/>
      <c r="AK5618" s="75"/>
    </row>
    <row r="5619" spans="34:37" x14ac:dyDescent="0.25">
      <c r="AH5619" s="75"/>
      <c r="AK5619" s="75"/>
    </row>
    <row r="5620" spans="34:37" x14ac:dyDescent="0.25">
      <c r="AH5620" s="75"/>
      <c r="AK5620" s="75"/>
    </row>
    <row r="5621" spans="34:37" x14ac:dyDescent="0.25">
      <c r="AH5621" s="75"/>
      <c r="AK5621" s="75"/>
    </row>
    <row r="5622" spans="34:37" x14ac:dyDescent="0.25">
      <c r="AH5622" s="75"/>
      <c r="AK5622" s="75"/>
    </row>
    <row r="5623" spans="34:37" x14ac:dyDescent="0.25">
      <c r="AH5623" s="75"/>
      <c r="AK5623" s="75"/>
    </row>
    <row r="5624" spans="34:37" x14ac:dyDescent="0.25">
      <c r="AH5624" s="75"/>
      <c r="AK5624" s="75"/>
    </row>
    <row r="5625" spans="34:37" x14ac:dyDescent="0.25">
      <c r="AH5625" s="75"/>
      <c r="AK5625" s="75"/>
    </row>
    <row r="5626" spans="34:37" x14ac:dyDescent="0.25">
      <c r="AH5626" s="75"/>
      <c r="AK5626" s="75"/>
    </row>
    <row r="5627" spans="34:37" x14ac:dyDescent="0.25">
      <c r="AH5627" s="75"/>
      <c r="AK5627" s="75"/>
    </row>
    <row r="5628" spans="34:37" x14ac:dyDescent="0.25">
      <c r="AH5628" s="75"/>
      <c r="AK5628" s="75"/>
    </row>
    <row r="5629" spans="34:37" x14ac:dyDescent="0.25">
      <c r="AH5629" s="75"/>
      <c r="AK5629" s="75"/>
    </row>
    <row r="5630" spans="34:37" x14ac:dyDescent="0.25">
      <c r="AH5630" s="75"/>
      <c r="AK5630" s="75"/>
    </row>
    <row r="5631" spans="34:37" x14ac:dyDescent="0.25">
      <c r="AH5631" s="75"/>
      <c r="AK5631" s="75"/>
    </row>
    <row r="5632" spans="34:37" x14ac:dyDescent="0.25">
      <c r="AH5632" s="75"/>
      <c r="AK5632" s="75"/>
    </row>
    <row r="5633" spans="34:37" x14ac:dyDescent="0.25">
      <c r="AH5633" s="75"/>
      <c r="AK5633" s="75"/>
    </row>
    <row r="5634" spans="34:37" x14ac:dyDescent="0.25">
      <c r="AH5634" s="75"/>
      <c r="AK5634" s="75"/>
    </row>
    <row r="5635" spans="34:37" x14ac:dyDescent="0.25">
      <c r="AH5635" s="75"/>
      <c r="AK5635" s="75"/>
    </row>
    <row r="5636" spans="34:37" x14ac:dyDescent="0.25">
      <c r="AH5636" s="75"/>
      <c r="AK5636" s="75"/>
    </row>
    <row r="5637" spans="34:37" x14ac:dyDescent="0.25">
      <c r="AH5637" s="75"/>
      <c r="AK5637" s="75"/>
    </row>
    <row r="5638" spans="34:37" x14ac:dyDescent="0.25">
      <c r="AH5638" s="75"/>
      <c r="AK5638" s="75"/>
    </row>
    <row r="5639" spans="34:37" x14ac:dyDescent="0.25">
      <c r="AH5639" s="75"/>
      <c r="AK5639" s="75"/>
    </row>
    <row r="5640" spans="34:37" x14ac:dyDescent="0.25">
      <c r="AH5640" s="75"/>
      <c r="AK5640" s="75"/>
    </row>
    <row r="5641" spans="34:37" x14ac:dyDescent="0.25">
      <c r="AH5641" s="75"/>
      <c r="AK5641" s="75"/>
    </row>
    <row r="5642" spans="34:37" x14ac:dyDescent="0.25">
      <c r="AH5642" s="75"/>
      <c r="AK5642" s="75"/>
    </row>
    <row r="5643" spans="34:37" x14ac:dyDescent="0.25">
      <c r="AH5643" s="75"/>
      <c r="AK5643" s="75"/>
    </row>
    <row r="5644" spans="34:37" x14ac:dyDescent="0.25">
      <c r="AH5644" s="75"/>
      <c r="AK5644" s="75"/>
    </row>
    <row r="5645" spans="34:37" x14ac:dyDescent="0.25">
      <c r="AH5645" s="75"/>
      <c r="AK5645" s="75"/>
    </row>
    <row r="5646" spans="34:37" x14ac:dyDescent="0.25">
      <c r="AH5646" s="75"/>
      <c r="AK5646" s="75"/>
    </row>
    <row r="5647" spans="34:37" x14ac:dyDescent="0.25">
      <c r="AH5647" s="75"/>
      <c r="AK5647" s="75"/>
    </row>
    <row r="5648" spans="34:37" x14ac:dyDescent="0.25">
      <c r="AH5648" s="75"/>
      <c r="AK5648" s="75"/>
    </row>
    <row r="5649" spans="34:37" x14ac:dyDescent="0.25">
      <c r="AH5649" s="75"/>
      <c r="AK5649" s="75"/>
    </row>
    <row r="5650" spans="34:37" x14ac:dyDescent="0.25">
      <c r="AH5650" s="75"/>
      <c r="AK5650" s="75"/>
    </row>
    <row r="5651" spans="34:37" x14ac:dyDescent="0.25">
      <c r="AH5651" s="75"/>
      <c r="AK5651" s="75"/>
    </row>
    <row r="5652" spans="34:37" x14ac:dyDescent="0.25">
      <c r="AH5652" s="75"/>
      <c r="AK5652" s="75"/>
    </row>
    <row r="5653" spans="34:37" x14ac:dyDescent="0.25">
      <c r="AH5653" s="75"/>
      <c r="AK5653" s="75"/>
    </row>
    <row r="5654" spans="34:37" x14ac:dyDescent="0.25">
      <c r="AH5654" s="75"/>
      <c r="AK5654" s="75"/>
    </row>
    <row r="5655" spans="34:37" x14ac:dyDescent="0.25">
      <c r="AH5655" s="75"/>
      <c r="AK5655" s="75"/>
    </row>
    <row r="5656" spans="34:37" x14ac:dyDescent="0.25">
      <c r="AH5656" s="75"/>
      <c r="AK5656" s="75"/>
    </row>
    <row r="5657" spans="34:37" x14ac:dyDescent="0.25">
      <c r="AH5657" s="75"/>
      <c r="AK5657" s="75"/>
    </row>
    <row r="5658" spans="34:37" x14ac:dyDescent="0.25">
      <c r="AH5658" s="75"/>
      <c r="AK5658" s="75"/>
    </row>
    <row r="5659" spans="34:37" x14ac:dyDescent="0.25">
      <c r="AH5659" s="75"/>
      <c r="AK5659" s="75"/>
    </row>
    <row r="5660" spans="34:37" x14ac:dyDescent="0.25">
      <c r="AH5660" s="75"/>
      <c r="AK5660" s="75"/>
    </row>
    <row r="5661" spans="34:37" x14ac:dyDescent="0.25">
      <c r="AH5661" s="75"/>
      <c r="AK5661" s="75"/>
    </row>
    <row r="5662" spans="34:37" x14ac:dyDescent="0.25">
      <c r="AH5662" s="75"/>
      <c r="AK5662" s="75"/>
    </row>
    <row r="5663" spans="34:37" x14ac:dyDescent="0.25">
      <c r="AH5663" s="75"/>
      <c r="AK5663" s="75"/>
    </row>
    <row r="5664" spans="34:37" x14ac:dyDescent="0.25">
      <c r="AH5664" s="75"/>
      <c r="AK5664" s="75"/>
    </row>
    <row r="5665" spans="34:37" x14ac:dyDescent="0.25">
      <c r="AH5665" s="75"/>
      <c r="AK5665" s="75"/>
    </row>
    <row r="5666" spans="34:37" x14ac:dyDescent="0.25">
      <c r="AH5666" s="75"/>
      <c r="AK5666" s="75"/>
    </row>
    <row r="5667" spans="34:37" x14ac:dyDescent="0.25">
      <c r="AH5667" s="75"/>
      <c r="AK5667" s="75"/>
    </row>
    <row r="5668" spans="34:37" x14ac:dyDescent="0.25">
      <c r="AH5668" s="75"/>
      <c r="AK5668" s="75"/>
    </row>
    <row r="5669" spans="34:37" x14ac:dyDescent="0.25">
      <c r="AH5669" s="75"/>
      <c r="AK5669" s="75"/>
    </row>
    <row r="5670" spans="34:37" x14ac:dyDescent="0.25">
      <c r="AH5670" s="75"/>
      <c r="AK5670" s="75"/>
    </row>
    <row r="5671" spans="34:37" x14ac:dyDescent="0.25">
      <c r="AH5671" s="75"/>
      <c r="AK5671" s="75"/>
    </row>
    <row r="5672" spans="34:37" x14ac:dyDescent="0.25">
      <c r="AH5672" s="75"/>
      <c r="AK5672" s="75"/>
    </row>
    <row r="5673" spans="34:37" x14ac:dyDescent="0.25">
      <c r="AH5673" s="75"/>
      <c r="AK5673" s="75"/>
    </row>
    <row r="5674" spans="34:37" x14ac:dyDescent="0.25">
      <c r="AH5674" s="75"/>
      <c r="AK5674" s="75"/>
    </row>
    <row r="5675" spans="34:37" x14ac:dyDescent="0.25">
      <c r="AH5675" s="75"/>
      <c r="AK5675" s="75"/>
    </row>
    <row r="5676" spans="34:37" x14ac:dyDescent="0.25">
      <c r="AH5676" s="75"/>
      <c r="AK5676" s="75"/>
    </row>
    <row r="5677" spans="34:37" x14ac:dyDescent="0.25">
      <c r="AH5677" s="75"/>
      <c r="AK5677" s="75"/>
    </row>
    <row r="5678" spans="34:37" x14ac:dyDescent="0.25">
      <c r="AH5678" s="75"/>
      <c r="AK5678" s="75"/>
    </row>
    <row r="5679" spans="34:37" x14ac:dyDescent="0.25">
      <c r="AH5679" s="75"/>
      <c r="AK5679" s="75"/>
    </row>
    <row r="5680" spans="34:37" x14ac:dyDescent="0.25">
      <c r="AH5680" s="75"/>
      <c r="AK5680" s="75"/>
    </row>
    <row r="5681" spans="34:37" x14ac:dyDescent="0.25">
      <c r="AH5681" s="75"/>
      <c r="AK5681" s="75"/>
    </row>
    <row r="5682" spans="34:37" x14ac:dyDescent="0.25">
      <c r="AH5682" s="75"/>
      <c r="AK5682" s="75"/>
    </row>
    <row r="5683" spans="34:37" x14ac:dyDescent="0.25">
      <c r="AH5683" s="75"/>
      <c r="AK5683" s="75"/>
    </row>
    <row r="5684" spans="34:37" x14ac:dyDescent="0.25">
      <c r="AH5684" s="75"/>
      <c r="AK5684" s="75"/>
    </row>
    <row r="5685" spans="34:37" x14ac:dyDescent="0.25">
      <c r="AH5685" s="75"/>
      <c r="AK5685" s="75"/>
    </row>
    <row r="5686" spans="34:37" x14ac:dyDescent="0.25">
      <c r="AH5686" s="75"/>
      <c r="AK5686" s="75"/>
    </row>
    <row r="5687" spans="34:37" x14ac:dyDescent="0.25">
      <c r="AH5687" s="75"/>
      <c r="AK5687" s="75"/>
    </row>
    <row r="5688" spans="34:37" x14ac:dyDescent="0.25">
      <c r="AH5688" s="75"/>
      <c r="AK5688" s="75"/>
    </row>
    <row r="5689" spans="34:37" x14ac:dyDescent="0.25">
      <c r="AH5689" s="75"/>
      <c r="AK5689" s="75"/>
    </row>
    <row r="5690" spans="34:37" x14ac:dyDescent="0.25">
      <c r="AH5690" s="75"/>
      <c r="AK5690" s="75"/>
    </row>
    <row r="5691" spans="34:37" x14ac:dyDescent="0.25">
      <c r="AH5691" s="75"/>
      <c r="AK5691" s="75"/>
    </row>
    <row r="5692" spans="34:37" x14ac:dyDescent="0.25">
      <c r="AH5692" s="75"/>
      <c r="AK5692" s="75"/>
    </row>
    <row r="5693" spans="34:37" x14ac:dyDescent="0.25">
      <c r="AH5693" s="75"/>
      <c r="AK5693" s="75"/>
    </row>
    <row r="5694" spans="34:37" x14ac:dyDescent="0.25">
      <c r="AH5694" s="75"/>
      <c r="AK5694" s="75"/>
    </row>
    <row r="5695" spans="34:37" x14ac:dyDescent="0.25">
      <c r="AH5695" s="75"/>
      <c r="AK5695" s="75"/>
    </row>
    <row r="5696" spans="34:37" x14ac:dyDescent="0.25">
      <c r="AH5696" s="75"/>
      <c r="AK5696" s="75"/>
    </row>
    <row r="5697" spans="34:37" x14ac:dyDescent="0.25">
      <c r="AH5697" s="75"/>
      <c r="AK5697" s="75"/>
    </row>
    <row r="5698" spans="34:37" x14ac:dyDescent="0.25">
      <c r="AH5698" s="75"/>
      <c r="AK5698" s="75"/>
    </row>
    <row r="5699" spans="34:37" x14ac:dyDescent="0.25">
      <c r="AH5699" s="75"/>
      <c r="AK5699" s="75"/>
    </row>
    <row r="5700" spans="34:37" x14ac:dyDescent="0.25">
      <c r="AH5700" s="75"/>
      <c r="AK5700" s="75"/>
    </row>
    <row r="5701" spans="34:37" x14ac:dyDescent="0.25">
      <c r="AH5701" s="75"/>
      <c r="AK5701" s="75"/>
    </row>
    <row r="5702" spans="34:37" x14ac:dyDescent="0.25">
      <c r="AH5702" s="75"/>
      <c r="AK5702" s="75"/>
    </row>
    <row r="5703" spans="34:37" x14ac:dyDescent="0.25">
      <c r="AH5703" s="75"/>
      <c r="AK5703" s="75"/>
    </row>
    <row r="5704" spans="34:37" x14ac:dyDescent="0.25">
      <c r="AH5704" s="75"/>
      <c r="AK5704" s="75"/>
    </row>
    <row r="5705" spans="34:37" x14ac:dyDescent="0.25">
      <c r="AH5705" s="75"/>
      <c r="AK5705" s="75"/>
    </row>
    <row r="5706" spans="34:37" x14ac:dyDescent="0.25">
      <c r="AH5706" s="75"/>
      <c r="AK5706" s="75"/>
    </row>
    <row r="5707" spans="34:37" x14ac:dyDescent="0.25">
      <c r="AH5707" s="75"/>
      <c r="AK5707" s="75"/>
    </row>
    <row r="5708" spans="34:37" x14ac:dyDescent="0.25">
      <c r="AH5708" s="75"/>
      <c r="AK5708" s="75"/>
    </row>
    <row r="5709" spans="34:37" x14ac:dyDescent="0.25">
      <c r="AH5709" s="75"/>
      <c r="AK5709" s="75"/>
    </row>
    <row r="5710" spans="34:37" x14ac:dyDescent="0.25">
      <c r="AH5710" s="75"/>
      <c r="AK5710" s="75"/>
    </row>
    <row r="5711" spans="34:37" x14ac:dyDescent="0.25">
      <c r="AH5711" s="75"/>
      <c r="AK5711" s="75"/>
    </row>
    <row r="5712" spans="34:37" x14ac:dyDescent="0.25">
      <c r="AH5712" s="75"/>
      <c r="AK5712" s="75"/>
    </row>
    <row r="5713" spans="34:37" x14ac:dyDescent="0.25">
      <c r="AH5713" s="75"/>
      <c r="AK5713" s="75"/>
    </row>
    <row r="5714" spans="34:37" x14ac:dyDescent="0.25">
      <c r="AH5714" s="75"/>
      <c r="AK5714" s="75"/>
    </row>
    <row r="5715" spans="34:37" x14ac:dyDescent="0.25">
      <c r="AH5715" s="75"/>
      <c r="AK5715" s="75"/>
    </row>
    <row r="5716" spans="34:37" x14ac:dyDescent="0.25">
      <c r="AH5716" s="75"/>
      <c r="AK5716" s="75"/>
    </row>
    <row r="5717" spans="34:37" x14ac:dyDescent="0.25">
      <c r="AH5717" s="75"/>
      <c r="AK5717" s="75"/>
    </row>
    <row r="5718" spans="34:37" x14ac:dyDescent="0.25">
      <c r="AH5718" s="75"/>
      <c r="AK5718" s="75"/>
    </row>
    <row r="5719" spans="34:37" x14ac:dyDescent="0.25">
      <c r="AH5719" s="75"/>
      <c r="AK5719" s="75"/>
    </row>
    <row r="5720" spans="34:37" x14ac:dyDescent="0.25">
      <c r="AH5720" s="75"/>
      <c r="AK5720" s="75"/>
    </row>
    <row r="5721" spans="34:37" x14ac:dyDescent="0.25">
      <c r="AH5721" s="75"/>
      <c r="AK5721" s="75"/>
    </row>
    <row r="5722" spans="34:37" x14ac:dyDescent="0.25">
      <c r="AH5722" s="75"/>
      <c r="AK5722" s="75"/>
    </row>
    <row r="5723" spans="34:37" x14ac:dyDescent="0.25">
      <c r="AH5723" s="75"/>
      <c r="AK5723" s="75"/>
    </row>
    <row r="5724" spans="34:37" x14ac:dyDescent="0.25">
      <c r="AH5724" s="75"/>
      <c r="AK5724" s="75"/>
    </row>
    <row r="5725" spans="34:37" x14ac:dyDescent="0.25">
      <c r="AH5725" s="75"/>
      <c r="AK5725" s="75"/>
    </row>
    <row r="5726" spans="34:37" x14ac:dyDescent="0.25">
      <c r="AH5726" s="75"/>
      <c r="AK5726" s="75"/>
    </row>
    <row r="5727" spans="34:37" x14ac:dyDescent="0.25">
      <c r="AH5727" s="75"/>
      <c r="AK5727" s="75"/>
    </row>
    <row r="5728" spans="34:37" x14ac:dyDescent="0.25">
      <c r="AH5728" s="75"/>
      <c r="AK5728" s="75"/>
    </row>
    <row r="5729" spans="34:37" x14ac:dyDescent="0.25">
      <c r="AH5729" s="75"/>
      <c r="AK5729" s="75"/>
    </row>
    <row r="5730" spans="34:37" x14ac:dyDescent="0.25">
      <c r="AH5730" s="75"/>
      <c r="AK5730" s="75"/>
    </row>
    <row r="5731" spans="34:37" x14ac:dyDescent="0.25">
      <c r="AH5731" s="75"/>
      <c r="AK5731" s="75"/>
    </row>
    <row r="5732" spans="34:37" x14ac:dyDescent="0.25">
      <c r="AH5732" s="75"/>
      <c r="AK5732" s="75"/>
    </row>
    <row r="5733" spans="34:37" x14ac:dyDescent="0.25">
      <c r="AH5733" s="75"/>
      <c r="AK5733" s="75"/>
    </row>
    <row r="5734" spans="34:37" x14ac:dyDescent="0.25">
      <c r="AH5734" s="75"/>
      <c r="AK5734" s="75"/>
    </row>
    <row r="5735" spans="34:37" x14ac:dyDescent="0.25">
      <c r="AH5735" s="75"/>
      <c r="AK5735" s="75"/>
    </row>
    <row r="5736" spans="34:37" x14ac:dyDescent="0.25">
      <c r="AH5736" s="75"/>
      <c r="AK5736" s="75"/>
    </row>
    <row r="5737" spans="34:37" x14ac:dyDescent="0.25">
      <c r="AH5737" s="75"/>
      <c r="AK5737" s="75"/>
    </row>
    <row r="5738" spans="34:37" x14ac:dyDescent="0.25">
      <c r="AH5738" s="75"/>
      <c r="AK5738" s="75"/>
    </row>
    <row r="5739" spans="34:37" x14ac:dyDescent="0.25">
      <c r="AH5739" s="75"/>
      <c r="AK5739" s="75"/>
    </row>
    <row r="5740" spans="34:37" x14ac:dyDescent="0.25">
      <c r="AH5740" s="75"/>
      <c r="AK5740" s="75"/>
    </row>
    <row r="5741" spans="34:37" x14ac:dyDescent="0.25">
      <c r="AH5741" s="75"/>
      <c r="AK5741" s="75"/>
    </row>
    <row r="5742" spans="34:37" x14ac:dyDescent="0.25">
      <c r="AH5742" s="75"/>
      <c r="AK5742" s="75"/>
    </row>
    <row r="5743" spans="34:37" x14ac:dyDescent="0.25">
      <c r="AH5743" s="75"/>
      <c r="AK5743" s="75"/>
    </row>
    <row r="5744" spans="34:37" x14ac:dyDescent="0.25">
      <c r="AH5744" s="75"/>
      <c r="AK5744" s="75"/>
    </row>
    <row r="5745" spans="34:37" x14ac:dyDescent="0.25">
      <c r="AH5745" s="75"/>
      <c r="AK5745" s="75"/>
    </row>
    <row r="5746" spans="34:37" x14ac:dyDescent="0.25">
      <c r="AH5746" s="75"/>
      <c r="AK5746" s="75"/>
    </row>
    <row r="5747" spans="34:37" x14ac:dyDescent="0.25">
      <c r="AH5747" s="75"/>
      <c r="AK5747" s="75"/>
    </row>
    <row r="5748" spans="34:37" x14ac:dyDescent="0.25">
      <c r="AH5748" s="75"/>
      <c r="AK5748" s="75"/>
    </row>
    <row r="5749" spans="34:37" x14ac:dyDescent="0.25">
      <c r="AH5749" s="75"/>
      <c r="AK5749" s="75"/>
    </row>
    <row r="5750" spans="34:37" x14ac:dyDescent="0.25">
      <c r="AH5750" s="75"/>
      <c r="AK5750" s="75"/>
    </row>
    <row r="5751" spans="34:37" x14ac:dyDescent="0.25">
      <c r="AH5751" s="75"/>
      <c r="AK5751" s="75"/>
    </row>
    <row r="5752" spans="34:37" x14ac:dyDescent="0.25">
      <c r="AH5752" s="75"/>
      <c r="AK5752" s="75"/>
    </row>
    <row r="5753" spans="34:37" x14ac:dyDescent="0.25">
      <c r="AH5753" s="75"/>
      <c r="AK5753" s="75"/>
    </row>
    <row r="5754" spans="34:37" x14ac:dyDescent="0.25">
      <c r="AH5754" s="75"/>
      <c r="AK5754" s="75"/>
    </row>
    <row r="5755" spans="34:37" x14ac:dyDescent="0.25">
      <c r="AH5755" s="75"/>
      <c r="AK5755" s="75"/>
    </row>
    <row r="5756" spans="34:37" x14ac:dyDescent="0.25">
      <c r="AH5756" s="75"/>
      <c r="AK5756" s="75"/>
    </row>
    <row r="5757" spans="34:37" x14ac:dyDescent="0.25">
      <c r="AH5757" s="75"/>
      <c r="AK5757" s="75"/>
    </row>
    <row r="5758" spans="34:37" x14ac:dyDescent="0.25">
      <c r="AH5758" s="75"/>
      <c r="AK5758" s="75"/>
    </row>
    <row r="5759" spans="34:37" x14ac:dyDescent="0.25">
      <c r="AH5759" s="75"/>
      <c r="AK5759" s="75"/>
    </row>
    <row r="5760" spans="34:37" x14ac:dyDescent="0.25">
      <c r="AH5760" s="75"/>
      <c r="AK5760" s="75"/>
    </row>
    <row r="5761" spans="34:37" x14ac:dyDescent="0.25">
      <c r="AH5761" s="75"/>
      <c r="AK5761" s="75"/>
    </row>
    <row r="5762" spans="34:37" x14ac:dyDescent="0.25">
      <c r="AH5762" s="75"/>
      <c r="AK5762" s="75"/>
    </row>
    <row r="5763" spans="34:37" x14ac:dyDescent="0.25">
      <c r="AH5763" s="75"/>
      <c r="AK5763" s="75"/>
    </row>
    <row r="5764" spans="34:37" x14ac:dyDescent="0.25">
      <c r="AH5764" s="75"/>
      <c r="AK5764" s="75"/>
    </row>
    <row r="5765" spans="34:37" x14ac:dyDescent="0.25">
      <c r="AH5765" s="75"/>
      <c r="AK5765" s="75"/>
    </row>
    <row r="5766" spans="34:37" x14ac:dyDescent="0.25">
      <c r="AH5766" s="75"/>
      <c r="AK5766" s="75"/>
    </row>
    <row r="5767" spans="34:37" x14ac:dyDescent="0.25">
      <c r="AH5767" s="75"/>
      <c r="AK5767" s="75"/>
    </row>
    <row r="5768" spans="34:37" x14ac:dyDescent="0.25">
      <c r="AH5768" s="75"/>
      <c r="AK5768" s="75"/>
    </row>
    <row r="5769" spans="34:37" x14ac:dyDescent="0.25">
      <c r="AH5769" s="75"/>
      <c r="AK5769" s="75"/>
    </row>
    <row r="5770" spans="34:37" x14ac:dyDescent="0.25">
      <c r="AH5770" s="75"/>
      <c r="AK5770" s="75"/>
    </row>
    <row r="5771" spans="34:37" x14ac:dyDescent="0.25">
      <c r="AH5771" s="75"/>
      <c r="AK5771" s="75"/>
    </row>
    <row r="5772" spans="34:37" x14ac:dyDescent="0.25">
      <c r="AH5772" s="75"/>
      <c r="AK5772" s="75"/>
    </row>
    <row r="5773" spans="34:37" x14ac:dyDescent="0.25">
      <c r="AH5773" s="75"/>
      <c r="AK5773" s="75"/>
    </row>
    <row r="5774" spans="34:37" x14ac:dyDescent="0.25">
      <c r="AH5774" s="75"/>
      <c r="AK5774" s="75"/>
    </row>
    <row r="5775" spans="34:37" x14ac:dyDescent="0.25">
      <c r="AH5775" s="75"/>
      <c r="AK5775" s="75"/>
    </row>
    <row r="5776" spans="34:37" x14ac:dyDescent="0.25">
      <c r="AH5776" s="75"/>
      <c r="AK5776" s="75"/>
    </row>
    <row r="5777" spans="34:37" x14ac:dyDescent="0.25">
      <c r="AH5777" s="75"/>
      <c r="AK5777" s="75"/>
    </row>
    <row r="5778" spans="34:37" x14ac:dyDescent="0.25">
      <c r="AH5778" s="75"/>
      <c r="AK5778" s="75"/>
    </row>
    <row r="5779" spans="34:37" x14ac:dyDescent="0.25">
      <c r="AH5779" s="75"/>
      <c r="AK5779" s="75"/>
    </row>
    <row r="5780" spans="34:37" x14ac:dyDescent="0.25">
      <c r="AH5780" s="75"/>
      <c r="AK5780" s="75"/>
    </row>
    <row r="5781" spans="34:37" x14ac:dyDescent="0.25">
      <c r="AH5781" s="75"/>
      <c r="AK5781" s="75"/>
    </row>
    <row r="5782" spans="34:37" x14ac:dyDescent="0.25">
      <c r="AH5782" s="75"/>
      <c r="AK5782" s="75"/>
    </row>
    <row r="5783" spans="34:37" x14ac:dyDescent="0.25">
      <c r="AH5783" s="75"/>
      <c r="AK5783" s="75"/>
    </row>
    <row r="5784" spans="34:37" x14ac:dyDescent="0.25">
      <c r="AH5784" s="75"/>
      <c r="AK5784" s="75"/>
    </row>
    <row r="5785" spans="34:37" x14ac:dyDescent="0.25">
      <c r="AH5785" s="75"/>
      <c r="AK5785" s="75"/>
    </row>
    <row r="5786" spans="34:37" x14ac:dyDescent="0.25">
      <c r="AH5786" s="75"/>
      <c r="AK5786" s="75"/>
    </row>
    <row r="5787" spans="34:37" x14ac:dyDescent="0.25">
      <c r="AH5787" s="75"/>
      <c r="AK5787" s="75"/>
    </row>
    <row r="5788" spans="34:37" x14ac:dyDescent="0.25">
      <c r="AH5788" s="75"/>
      <c r="AK5788" s="75"/>
    </row>
    <row r="5789" spans="34:37" x14ac:dyDescent="0.25">
      <c r="AH5789" s="75"/>
      <c r="AK5789" s="75"/>
    </row>
    <row r="5790" spans="34:37" x14ac:dyDescent="0.25">
      <c r="AH5790" s="75"/>
      <c r="AK5790" s="75"/>
    </row>
    <row r="5791" spans="34:37" x14ac:dyDescent="0.25">
      <c r="AH5791" s="75"/>
      <c r="AK5791" s="75"/>
    </row>
    <row r="5792" spans="34:37" x14ac:dyDescent="0.25">
      <c r="AH5792" s="75"/>
      <c r="AK5792" s="75"/>
    </row>
    <row r="5793" spans="34:37" x14ac:dyDescent="0.25">
      <c r="AH5793" s="75"/>
      <c r="AK5793" s="75"/>
    </row>
    <row r="5794" spans="34:37" x14ac:dyDescent="0.25">
      <c r="AH5794" s="75"/>
      <c r="AK5794" s="75"/>
    </row>
    <row r="5795" spans="34:37" x14ac:dyDescent="0.25">
      <c r="AH5795" s="75"/>
      <c r="AK5795" s="75"/>
    </row>
    <row r="5796" spans="34:37" x14ac:dyDescent="0.25">
      <c r="AH5796" s="75"/>
      <c r="AK5796" s="75"/>
    </row>
    <row r="5797" spans="34:37" x14ac:dyDescent="0.25">
      <c r="AH5797" s="75"/>
      <c r="AK5797" s="75"/>
    </row>
    <row r="5798" spans="34:37" x14ac:dyDescent="0.25">
      <c r="AH5798" s="75"/>
      <c r="AK5798" s="75"/>
    </row>
    <row r="5799" spans="34:37" x14ac:dyDescent="0.25">
      <c r="AH5799" s="75"/>
      <c r="AK5799" s="75"/>
    </row>
    <row r="5800" spans="34:37" x14ac:dyDescent="0.25">
      <c r="AH5800" s="75"/>
      <c r="AK5800" s="75"/>
    </row>
    <row r="5801" spans="34:37" x14ac:dyDescent="0.25">
      <c r="AH5801" s="75"/>
      <c r="AK5801" s="75"/>
    </row>
    <row r="5802" spans="34:37" x14ac:dyDescent="0.25">
      <c r="AH5802" s="75"/>
      <c r="AK5802" s="75"/>
    </row>
    <row r="5803" spans="34:37" x14ac:dyDescent="0.25">
      <c r="AH5803" s="75"/>
      <c r="AK5803" s="75"/>
    </row>
    <row r="5804" spans="34:37" x14ac:dyDescent="0.25">
      <c r="AH5804" s="75"/>
      <c r="AK5804" s="75"/>
    </row>
    <row r="5805" spans="34:37" x14ac:dyDescent="0.25">
      <c r="AH5805" s="75"/>
      <c r="AK5805" s="75"/>
    </row>
    <row r="5806" spans="34:37" x14ac:dyDescent="0.25">
      <c r="AH5806" s="75"/>
      <c r="AK5806" s="75"/>
    </row>
    <row r="5807" spans="34:37" x14ac:dyDescent="0.25">
      <c r="AH5807" s="75"/>
      <c r="AK5807" s="75"/>
    </row>
    <row r="5808" spans="34:37" x14ac:dyDescent="0.25">
      <c r="AH5808" s="75"/>
      <c r="AK5808" s="75"/>
    </row>
    <row r="5809" spans="34:37" x14ac:dyDescent="0.25">
      <c r="AH5809" s="75"/>
      <c r="AK5809" s="75"/>
    </row>
    <row r="5810" spans="34:37" x14ac:dyDescent="0.25">
      <c r="AH5810" s="75"/>
      <c r="AK5810" s="75"/>
    </row>
    <row r="5811" spans="34:37" x14ac:dyDescent="0.25">
      <c r="AH5811" s="75"/>
      <c r="AK5811" s="75"/>
    </row>
    <row r="5812" spans="34:37" x14ac:dyDescent="0.25">
      <c r="AH5812" s="75"/>
      <c r="AK5812" s="75"/>
    </row>
    <row r="5813" spans="34:37" x14ac:dyDescent="0.25">
      <c r="AH5813" s="75"/>
      <c r="AK5813" s="75"/>
    </row>
    <row r="5814" spans="34:37" x14ac:dyDescent="0.25">
      <c r="AH5814" s="75"/>
      <c r="AK5814" s="75"/>
    </row>
    <row r="5815" spans="34:37" x14ac:dyDescent="0.25">
      <c r="AH5815" s="75"/>
      <c r="AK5815" s="75"/>
    </row>
    <row r="5816" spans="34:37" x14ac:dyDescent="0.25">
      <c r="AH5816" s="75"/>
      <c r="AK5816" s="75"/>
    </row>
    <row r="5817" spans="34:37" x14ac:dyDescent="0.25">
      <c r="AH5817" s="75"/>
      <c r="AK5817" s="75"/>
    </row>
    <row r="5818" spans="34:37" x14ac:dyDescent="0.25">
      <c r="AH5818" s="75"/>
      <c r="AK5818" s="75"/>
    </row>
    <row r="5819" spans="34:37" x14ac:dyDescent="0.25">
      <c r="AH5819" s="75"/>
      <c r="AK5819" s="75"/>
    </row>
    <row r="5820" spans="34:37" x14ac:dyDescent="0.25">
      <c r="AH5820" s="75"/>
      <c r="AK5820" s="75"/>
    </row>
    <row r="5821" spans="34:37" x14ac:dyDescent="0.25">
      <c r="AH5821" s="75"/>
      <c r="AK5821" s="75"/>
    </row>
    <row r="5822" spans="34:37" x14ac:dyDescent="0.25">
      <c r="AH5822" s="75"/>
      <c r="AK5822" s="75"/>
    </row>
    <row r="5823" spans="34:37" x14ac:dyDescent="0.25">
      <c r="AH5823" s="75"/>
      <c r="AK5823" s="75"/>
    </row>
    <row r="5824" spans="34:37" x14ac:dyDescent="0.25">
      <c r="AH5824" s="75"/>
      <c r="AK5824" s="75"/>
    </row>
    <row r="5825" spans="34:37" x14ac:dyDescent="0.25">
      <c r="AH5825" s="75"/>
      <c r="AK5825" s="75"/>
    </row>
    <row r="5826" spans="34:37" x14ac:dyDescent="0.25">
      <c r="AH5826" s="75"/>
      <c r="AK5826" s="75"/>
    </row>
    <row r="5827" spans="34:37" x14ac:dyDescent="0.25">
      <c r="AH5827" s="75"/>
      <c r="AK5827" s="75"/>
    </row>
    <row r="5828" spans="34:37" x14ac:dyDescent="0.25">
      <c r="AH5828" s="75"/>
      <c r="AK5828" s="75"/>
    </row>
    <row r="5829" spans="34:37" x14ac:dyDescent="0.25">
      <c r="AH5829" s="75"/>
      <c r="AK5829" s="75"/>
    </row>
    <row r="5830" spans="34:37" x14ac:dyDescent="0.25">
      <c r="AH5830" s="75"/>
      <c r="AK5830" s="75"/>
    </row>
    <row r="5831" spans="34:37" x14ac:dyDescent="0.25">
      <c r="AH5831" s="75"/>
      <c r="AK5831" s="75"/>
    </row>
    <row r="5832" spans="34:37" x14ac:dyDescent="0.25">
      <c r="AH5832" s="75"/>
      <c r="AK5832" s="75"/>
    </row>
    <row r="5833" spans="34:37" x14ac:dyDescent="0.25">
      <c r="AH5833" s="75"/>
      <c r="AK5833" s="75"/>
    </row>
    <row r="5834" spans="34:37" x14ac:dyDescent="0.25">
      <c r="AH5834" s="75"/>
      <c r="AK5834" s="75"/>
    </row>
    <row r="5835" spans="34:37" x14ac:dyDescent="0.25">
      <c r="AH5835" s="75"/>
      <c r="AK5835" s="75"/>
    </row>
    <row r="5836" spans="34:37" x14ac:dyDescent="0.25">
      <c r="AH5836" s="75"/>
      <c r="AK5836" s="75"/>
    </row>
    <row r="5837" spans="34:37" x14ac:dyDescent="0.25">
      <c r="AH5837" s="75"/>
      <c r="AK5837" s="75"/>
    </row>
    <row r="5838" spans="34:37" x14ac:dyDescent="0.25">
      <c r="AH5838" s="75"/>
      <c r="AK5838" s="75"/>
    </row>
    <row r="5839" spans="34:37" x14ac:dyDescent="0.25">
      <c r="AH5839" s="75"/>
      <c r="AK5839" s="75"/>
    </row>
    <row r="5840" spans="34:37" x14ac:dyDescent="0.25">
      <c r="AH5840" s="75"/>
      <c r="AK5840" s="75"/>
    </row>
    <row r="5841" spans="34:37" x14ac:dyDescent="0.25">
      <c r="AH5841" s="75"/>
      <c r="AK5841" s="75"/>
    </row>
    <row r="5842" spans="34:37" x14ac:dyDescent="0.25">
      <c r="AH5842" s="75"/>
      <c r="AK5842" s="75"/>
    </row>
    <row r="5843" spans="34:37" x14ac:dyDescent="0.25">
      <c r="AH5843" s="75"/>
      <c r="AK5843" s="75"/>
    </row>
    <row r="5844" spans="34:37" x14ac:dyDescent="0.25">
      <c r="AH5844" s="75"/>
      <c r="AK5844" s="75"/>
    </row>
    <row r="5845" spans="34:37" x14ac:dyDescent="0.25">
      <c r="AH5845" s="75"/>
      <c r="AK5845" s="75"/>
    </row>
    <row r="5846" spans="34:37" x14ac:dyDescent="0.25">
      <c r="AH5846" s="75"/>
      <c r="AK5846" s="75"/>
    </row>
    <row r="5847" spans="34:37" x14ac:dyDescent="0.25">
      <c r="AH5847" s="75"/>
      <c r="AK5847" s="75"/>
    </row>
    <row r="5848" spans="34:37" x14ac:dyDescent="0.25">
      <c r="AH5848" s="75"/>
      <c r="AK5848" s="75"/>
    </row>
    <row r="5849" spans="34:37" x14ac:dyDescent="0.25">
      <c r="AH5849" s="75"/>
      <c r="AK5849" s="75"/>
    </row>
    <row r="5850" spans="34:37" x14ac:dyDescent="0.25">
      <c r="AH5850" s="75"/>
      <c r="AK5850" s="75"/>
    </row>
    <row r="5851" spans="34:37" x14ac:dyDescent="0.25">
      <c r="AH5851" s="75"/>
      <c r="AK5851" s="75"/>
    </row>
    <row r="5852" spans="34:37" x14ac:dyDescent="0.25">
      <c r="AH5852" s="75"/>
      <c r="AK5852" s="75"/>
    </row>
    <row r="5853" spans="34:37" x14ac:dyDescent="0.25">
      <c r="AH5853" s="75"/>
      <c r="AK5853" s="75"/>
    </row>
    <row r="5854" spans="34:37" x14ac:dyDescent="0.25">
      <c r="AH5854" s="75"/>
      <c r="AK5854" s="75"/>
    </row>
    <row r="5855" spans="34:37" x14ac:dyDescent="0.25">
      <c r="AH5855" s="75"/>
      <c r="AK5855" s="75"/>
    </row>
    <row r="5856" spans="34:37" x14ac:dyDescent="0.25">
      <c r="AH5856" s="75"/>
      <c r="AK5856" s="75"/>
    </row>
    <row r="5857" spans="34:37" x14ac:dyDescent="0.25">
      <c r="AH5857" s="75"/>
      <c r="AK5857" s="75"/>
    </row>
    <row r="5858" spans="34:37" x14ac:dyDescent="0.25">
      <c r="AH5858" s="75"/>
      <c r="AK5858" s="75"/>
    </row>
    <row r="5859" spans="34:37" x14ac:dyDescent="0.25">
      <c r="AH5859" s="75"/>
      <c r="AK5859" s="75"/>
    </row>
    <row r="5860" spans="34:37" x14ac:dyDescent="0.25">
      <c r="AH5860" s="75"/>
      <c r="AK5860" s="75"/>
    </row>
    <row r="5861" spans="34:37" x14ac:dyDescent="0.25">
      <c r="AH5861" s="75"/>
      <c r="AK5861" s="75"/>
    </row>
    <row r="5862" spans="34:37" x14ac:dyDescent="0.25">
      <c r="AH5862" s="75"/>
      <c r="AK5862" s="75"/>
    </row>
    <row r="5863" spans="34:37" x14ac:dyDescent="0.25">
      <c r="AH5863" s="75"/>
      <c r="AK5863" s="75"/>
    </row>
    <row r="5864" spans="34:37" x14ac:dyDescent="0.25">
      <c r="AH5864" s="75"/>
      <c r="AK5864" s="75"/>
    </row>
    <row r="5865" spans="34:37" x14ac:dyDescent="0.25">
      <c r="AH5865" s="75"/>
      <c r="AK5865" s="75"/>
    </row>
    <row r="5866" spans="34:37" x14ac:dyDescent="0.25">
      <c r="AH5866" s="75"/>
      <c r="AK5866" s="75"/>
    </row>
    <row r="5867" spans="34:37" x14ac:dyDescent="0.25">
      <c r="AH5867" s="75"/>
      <c r="AK5867" s="75"/>
    </row>
    <row r="5868" spans="34:37" x14ac:dyDescent="0.25">
      <c r="AH5868" s="75"/>
      <c r="AK5868" s="75"/>
    </row>
    <row r="5869" spans="34:37" x14ac:dyDescent="0.25">
      <c r="AH5869" s="75"/>
      <c r="AK5869" s="75"/>
    </row>
    <row r="5870" spans="34:37" x14ac:dyDescent="0.25">
      <c r="AH5870" s="75"/>
      <c r="AK5870" s="75"/>
    </row>
    <row r="5871" spans="34:37" x14ac:dyDescent="0.25">
      <c r="AH5871" s="75"/>
      <c r="AK5871" s="75"/>
    </row>
    <row r="5872" spans="34:37" x14ac:dyDescent="0.25">
      <c r="AH5872" s="75"/>
      <c r="AK5872" s="75"/>
    </row>
    <row r="5873" spans="34:37" x14ac:dyDescent="0.25">
      <c r="AH5873" s="75"/>
      <c r="AK5873" s="75"/>
    </row>
    <row r="5874" spans="34:37" x14ac:dyDescent="0.25">
      <c r="AH5874" s="75"/>
      <c r="AK5874" s="75"/>
    </row>
    <row r="5875" spans="34:37" x14ac:dyDescent="0.25">
      <c r="AH5875" s="75"/>
      <c r="AK5875" s="75"/>
    </row>
    <row r="5876" spans="34:37" x14ac:dyDescent="0.25">
      <c r="AH5876" s="75"/>
      <c r="AK5876" s="75"/>
    </row>
    <row r="5877" spans="34:37" x14ac:dyDescent="0.25">
      <c r="AH5877" s="75"/>
      <c r="AK5877" s="75"/>
    </row>
    <row r="5878" spans="34:37" x14ac:dyDescent="0.25">
      <c r="AH5878" s="75"/>
      <c r="AK5878" s="75"/>
    </row>
    <row r="5879" spans="34:37" x14ac:dyDescent="0.25">
      <c r="AH5879" s="75"/>
      <c r="AK5879" s="75"/>
    </row>
    <row r="5880" spans="34:37" x14ac:dyDescent="0.25">
      <c r="AH5880" s="75"/>
      <c r="AK5880" s="75"/>
    </row>
    <row r="5881" spans="34:37" x14ac:dyDescent="0.25">
      <c r="AH5881" s="75"/>
      <c r="AK5881" s="75"/>
    </row>
    <row r="5882" spans="34:37" x14ac:dyDescent="0.25">
      <c r="AH5882" s="75"/>
      <c r="AK5882" s="75"/>
    </row>
    <row r="5883" spans="34:37" x14ac:dyDescent="0.25">
      <c r="AH5883" s="75"/>
      <c r="AK5883" s="75"/>
    </row>
    <row r="5884" spans="34:37" x14ac:dyDescent="0.25">
      <c r="AH5884" s="75"/>
      <c r="AK5884" s="75"/>
    </row>
    <row r="5885" spans="34:37" x14ac:dyDescent="0.25">
      <c r="AH5885" s="75"/>
      <c r="AK5885" s="75"/>
    </row>
    <row r="5886" spans="34:37" x14ac:dyDescent="0.25">
      <c r="AH5886" s="75"/>
      <c r="AK5886" s="75"/>
    </row>
    <row r="5887" spans="34:37" x14ac:dyDescent="0.25">
      <c r="AH5887" s="75"/>
      <c r="AK5887" s="75"/>
    </row>
    <row r="5888" spans="34:37" x14ac:dyDescent="0.25">
      <c r="AH5888" s="75"/>
      <c r="AK5888" s="75"/>
    </row>
    <row r="5889" spans="34:37" x14ac:dyDescent="0.25">
      <c r="AH5889" s="75"/>
      <c r="AK5889" s="75"/>
    </row>
    <row r="5890" spans="34:37" x14ac:dyDescent="0.25">
      <c r="AH5890" s="75"/>
      <c r="AK5890" s="75"/>
    </row>
    <row r="5891" spans="34:37" x14ac:dyDescent="0.25">
      <c r="AH5891" s="75"/>
      <c r="AK5891" s="75"/>
    </row>
    <row r="5892" spans="34:37" x14ac:dyDescent="0.25">
      <c r="AH5892" s="75"/>
      <c r="AK5892" s="75"/>
    </row>
    <row r="5893" spans="34:37" x14ac:dyDescent="0.25">
      <c r="AH5893" s="75"/>
      <c r="AK5893" s="75"/>
    </row>
    <row r="5894" spans="34:37" x14ac:dyDescent="0.25">
      <c r="AH5894" s="75"/>
      <c r="AK5894" s="75"/>
    </row>
    <row r="5895" spans="34:37" x14ac:dyDescent="0.25">
      <c r="AH5895" s="75"/>
      <c r="AK5895" s="75"/>
    </row>
    <row r="5896" spans="34:37" x14ac:dyDescent="0.25">
      <c r="AH5896" s="75"/>
      <c r="AK5896" s="75"/>
    </row>
    <row r="5897" spans="34:37" x14ac:dyDescent="0.25">
      <c r="AH5897" s="75"/>
      <c r="AK5897" s="75"/>
    </row>
    <row r="5898" spans="34:37" x14ac:dyDescent="0.25">
      <c r="AH5898" s="75"/>
      <c r="AK5898" s="75"/>
    </row>
    <row r="5899" spans="34:37" x14ac:dyDescent="0.25">
      <c r="AH5899" s="75"/>
      <c r="AK5899" s="75"/>
    </row>
    <row r="5900" spans="34:37" x14ac:dyDescent="0.25">
      <c r="AH5900" s="75"/>
      <c r="AK5900" s="75"/>
    </row>
    <row r="5901" spans="34:37" x14ac:dyDescent="0.25">
      <c r="AH5901" s="75"/>
      <c r="AK5901" s="75"/>
    </row>
    <row r="5902" spans="34:37" x14ac:dyDescent="0.25">
      <c r="AH5902" s="75"/>
      <c r="AK5902" s="75"/>
    </row>
    <row r="5903" spans="34:37" x14ac:dyDescent="0.25">
      <c r="AH5903" s="75"/>
      <c r="AK5903" s="75"/>
    </row>
    <row r="5904" spans="34:37" x14ac:dyDescent="0.25">
      <c r="AH5904" s="75"/>
      <c r="AK5904" s="75"/>
    </row>
    <row r="5905" spans="34:37" x14ac:dyDescent="0.25">
      <c r="AH5905" s="75"/>
      <c r="AK5905" s="75"/>
    </row>
    <row r="5906" spans="34:37" x14ac:dyDescent="0.25">
      <c r="AH5906" s="75"/>
      <c r="AK5906" s="75"/>
    </row>
    <row r="5907" spans="34:37" x14ac:dyDescent="0.25">
      <c r="AH5907" s="75"/>
      <c r="AK5907" s="75"/>
    </row>
    <row r="5908" spans="34:37" x14ac:dyDescent="0.25">
      <c r="AH5908" s="75"/>
      <c r="AK5908" s="75"/>
    </row>
    <row r="5909" spans="34:37" x14ac:dyDescent="0.25">
      <c r="AH5909" s="75"/>
      <c r="AK5909" s="75"/>
    </row>
    <row r="5910" spans="34:37" x14ac:dyDescent="0.25">
      <c r="AH5910" s="75"/>
      <c r="AK5910" s="75"/>
    </row>
    <row r="5911" spans="34:37" x14ac:dyDescent="0.25">
      <c r="AH5911" s="75"/>
      <c r="AK5911" s="75"/>
    </row>
    <row r="5912" spans="34:37" x14ac:dyDescent="0.25">
      <c r="AH5912" s="75"/>
      <c r="AK5912" s="75"/>
    </row>
    <row r="5913" spans="34:37" x14ac:dyDescent="0.25">
      <c r="AH5913" s="75"/>
      <c r="AK5913" s="75"/>
    </row>
    <row r="5914" spans="34:37" x14ac:dyDescent="0.25">
      <c r="AH5914" s="75"/>
      <c r="AK5914" s="75"/>
    </row>
    <row r="5915" spans="34:37" x14ac:dyDescent="0.25">
      <c r="AH5915" s="75"/>
      <c r="AK5915" s="75"/>
    </row>
    <row r="5916" spans="34:37" x14ac:dyDescent="0.25">
      <c r="AH5916" s="75"/>
      <c r="AK5916" s="75"/>
    </row>
    <row r="5917" spans="34:37" x14ac:dyDescent="0.25">
      <c r="AH5917" s="75"/>
      <c r="AK5917" s="75"/>
    </row>
    <row r="5918" spans="34:37" x14ac:dyDescent="0.25">
      <c r="AH5918" s="75"/>
      <c r="AK5918" s="75"/>
    </row>
    <row r="5919" spans="34:37" x14ac:dyDescent="0.25">
      <c r="AH5919" s="75"/>
      <c r="AK5919" s="75"/>
    </row>
    <row r="5920" spans="34:37" x14ac:dyDescent="0.25">
      <c r="AH5920" s="75"/>
      <c r="AK5920" s="75"/>
    </row>
    <row r="5921" spans="34:37" x14ac:dyDescent="0.25">
      <c r="AH5921" s="75"/>
      <c r="AK5921" s="75"/>
    </row>
    <row r="5922" spans="34:37" x14ac:dyDescent="0.25">
      <c r="AH5922" s="75"/>
      <c r="AK5922" s="75"/>
    </row>
    <row r="5923" spans="34:37" x14ac:dyDescent="0.25">
      <c r="AH5923" s="75"/>
      <c r="AK5923" s="75"/>
    </row>
    <row r="5924" spans="34:37" x14ac:dyDescent="0.25">
      <c r="AH5924" s="75"/>
      <c r="AK5924" s="75"/>
    </row>
    <row r="5925" spans="34:37" x14ac:dyDescent="0.25">
      <c r="AH5925" s="75"/>
      <c r="AK5925" s="75"/>
    </row>
    <row r="5926" spans="34:37" x14ac:dyDescent="0.25">
      <c r="AH5926" s="75"/>
      <c r="AK5926" s="75"/>
    </row>
    <row r="5927" spans="34:37" x14ac:dyDescent="0.25">
      <c r="AH5927" s="75"/>
      <c r="AK5927" s="75"/>
    </row>
    <row r="5928" spans="34:37" x14ac:dyDescent="0.25">
      <c r="AH5928" s="75"/>
      <c r="AK5928" s="75"/>
    </row>
    <row r="5929" spans="34:37" x14ac:dyDescent="0.25">
      <c r="AH5929" s="75"/>
      <c r="AK5929" s="75"/>
    </row>
    <row r="5930" spans="34:37" x14ac:dyDescent="0.25">
      <c r="AH5930" s="75"/>
      <c r="AK5930" s="75"/>
    </row>
    <row r="5931" spans="34:37" x14ac:dyDescent="0.25">
      <c r="AH5931" s="75"/>
      <c r="AK5931" s="75"/>
    </row>
    <row r="5932" spans="34:37" x14ac:dyDescent="0.25">
      <c r="AH5932" s="75"/>
      <c r="AK5932" s="75"/>
    </row>
    <row r="5933" spans="34:37" x14ac:dyDescent="0.25">
      <c r="AH5933" s="75"/>
      <c r="AK5933" s="75"/>
    </row>
    <row r="5934" spans="34:37" x14ac:dyDescent="0.25">
      <c r="AH5934" s="75"/>
      <c r="AK5934" s="75"/>
    </row>
    <row r="5935" spans="34:37" x14ac:dyDescent="0.25">
      <c r="AH5935" s="75"/>
      <c r="AK5935" s="75"/>
    </row>
    <row r="5936" spans="34:37" x14ac:dyDescent="0.25">
      <c r="AH5936" s="75"/>
      <c r="AK5936" s="75"/>
    </row>
    <row r="5937" spans="34:37" x14ac:dyDescent="0.25">
      <c r="AH5937" s="75"/>
      <c r="AK5937" s="75"/>
    </row>
    <row r="5938" spans="34:37" x14ac:dyDescent="0.25">
      <c r="AH5938" s="75"/>
      <c r="AK5938" s="75"/>
    </row>
    <row r="5939" spans="34:37" x14ac:dyDescent="0.25">
      <c r="AH5939" s="75"/>
      <c r="AK5939" s="75"/>
    </row>
    <row r="5940" spans="34:37" x14ac:dyDescent="0.25">
      <c r="AH5940" s="75"/>
      <c r="AK5940" s="75"/>
    </row>
    <row r="5941" spans="34:37" x14ac:dyDescent="0.25">
      <c r="AH5941" s="75"/>
      <c r="AK5941" s="75"/>
    </row>
    <row r="5942" spans="34:37" x14ac:dyDescent="0.25">
      <c r="AH5942" s="75"/>
      <c r="AK5942" s="75"/>
    </row>
    <row r="5943" spans="34:37" x14ac:dyDescent="0.25">
      <c r="AH5943" s="75"/>
      <c r="AK5943" s="75"/>
    </row>
    <row r="5944" spans="34:37" x14ac:dyDescent="0.25">
      <c r="AH5944" s="75"/>
      <c r="AK5944" s="75"/>
    </row>
    <row r="5945" spans="34:37" x14ac:dyDescent="0.25">
      <c r="AH5945" s="75"/>
      <c r="AK5945" s="75"/>
    </row>
    <row r="5946" spans="34:37" x14ac:dyDescent="0.25">
      <c r="AH5946" s="75"/>
      <c r="AK5946" s="75"/>
    </row>
    <row r="5947" spans="34:37" x14ac:dyDescent="0.25">
      <c r="AH5947" s="75"/>
      <c r="AK5947" s="75"/>
    </row>
    <row r="5948" spans="34:37" x14ac:dyDescent="0.25">
      <c r="AH5948" s="75"/>
      <c r="AK5948" s="75"/>
    </row>
    <row r="5949" spans="34:37" x14ac:dyDescent="0.25">
      <c r="AH5949" s="75"/>
      <c r="AK5949" s="75"/>
    </row>
    <row r="5950" spans="34:37" x14ac:dyDescent="0.25">
      <c r="AH5950" s="75"/>
      <c r="AK5950" s="75"/>
    </row>
    <row r="5951" spans="34:37" x14ac:dyDescent="0.25">
      <c r="AH5951" s="75"/>
      <c r="AK5951" s="75"/>
    </row>
    <row r="5952" spans="34:37" x14ac:dyDescent="0.25">
      <c r="AH5952" s="75"/>
      <c r="AK5952" s="75"/>
    </row>
    <row r="5953" spans="34:37" x14ac:dyDescent="0.25">
      <c r="AH5953" s="75"/>
      <c r="AK5953" s="75"/>
    </row>
    <row r="5954" spans="34:37" x14ac:dyDescent="0.25">
      <c r="AH5954" s="75"/>
      <c r="AK5954" s="75"/>
    </row>
    <row r="5955" spans="34:37" x14ac:dyDescent="0.25">
      <c r="AH5955" s="75"/>
      <c r="AK5955" s="75"/>
    </row>
    <row r="5956" spans="34:37" x14ac:dyDescent="0.25">
      <c r="AH5956" s="75"/>
      <c r="AK5956" s="75"/>
    </row>
    <row r="5957" spans="34:37" x14ac:dyDescent="0.25">
      <c r="AH5957" s="75"/>
      <c r="AK5957" s="75"/>
    </row>
    <row r="5958" spans="34:37" x14ac:dyDescent="0.25">
      <c r="AH5958" s="75"/>
      <c r="AK5958" s="75"/>
    </row>
    <row r="5959" spans="34:37" x14ac:dyDescent="0.25">
      <c r="AH5959" s="75"/>
      <c r="AK5959" s="75"/>
    </row>
    <row r="5960" spans="34:37" x14ac:dyDescent="0.25">
      <c r="AH5960" s="75"/>
      <c r="AK5960" s="75"/>
    </row>
    <row r="5961" spans="34:37" x14ac:dyDescent="0.25">
      <c r="AH5961" s="75"/>
      <c r="AK5961" s="75"/>
    </row>
    <row r="5962" spans="34:37" x14ac:dyDescent="0.25">
      <c r="AH5962" s="75"/>
      <c r="AK5962" s="75"/>
    </row>
    <row r="5963" spans="34:37" x14ac:dyDescent="0.25">
      <c r="AH5963" s="75"/>
      <c r="AK5963" s="75"/>
    </row>
    <row r="5964" spans="34:37" x14ac:dyDescent="0.25">
      <c r="AH5964" s="75"/>
      <c r="AK5964" s="75"/>
    </row>
    <row r="5965" spans="34:37" x14ac:dyDescent="0.25">
      <c r="AH5965" s="75"/>
      <c r="AK5965" s="75"/>
    </row>
    <row r="5966" spans="34:37" x14ac:dyDescent="0.25">
      <c r="AH5966" s="75"/>
      <c r="AK5966" s="75"/>
    </row>
    <row r="5967" spans="34:37" x14ac:dyDescent="0.25">
      <c r="AH5967" s="75"/>
      <c r="AK5967" s="75"/>
    </row>
    <row r="5968" spans="34:37" x14ac:dyDescent="0.25">
      <c r="AH5968" s="75"/>
      <c r="AK5968" s="75"/>
    </row>
    <row r="5969" spans="34:37" x14ac:dyDescent="0.25">
      <c r="AH5969" s="75"/>
      <c r="AK5969" s="75"/>
    </row>
    <row r="5970" spans="34:37" x14ac:dyDescent="0.25">
      <c r="AH5970" s="75"/>
      <c r="AK5970" s="75"/>
    </row>
    <row r="5971" spans="34:37" x14ac:dyDescent="0.25">
      <c r="AH5971" s="75"/>
      <c r="AK5971" s="75"/>
    </row>
    <row r="5972" spans="34:37" x14ac:dyDescent="0.25">
      <c r="AH5972" s="75"/>
      <c r="AK5972" s="75"/>
    </row>
    <row r="5973" spans="34:37" x14ac:dyDescent="0.25">
      <c r="AH5973" s="75"/>
      <c r="AK5973" s="75"/>
    </row>
    <row r="5974" spans="34:37" x14ac:dyDescent="0.25">
      <c r="AH5974" s="75"/>
      <c r="AK5974" s="75"/>
    </row>
    <row r="5975" spans="34:37" x14ac:dyDescent="0.25">
      <c r="AH5975" s="75"/>
      <c r="AK5975" s="75"/>
    </row>
    <row r="5976" spans="34:37" x14ac:dyDescent="0.25">
      <c r="AH5976" s="75"/>
      <c r="AK5976" s="75"/>
    </row>
    <row r="5977" spans="34:37" x14ac:dyDescent="0.25">
      <c r="AH5977" s="75"/>
      <c r="AK5977" s="75"/>
    </row>
    <row r="5978" spans="34:37" x14ac:dyDescent="0.25">
      <c r="AH5978" s="75"/>
      <c r="AK5978" s="75"/>
    </row>
    <row r="5979" spans="34:37" x14ac:dyDescent="0.25">
      <c r="AH5979" s="75"/>
      <c r="AK5979" s="75"/>
    </row>
    <row r="5980" spans="34:37" x14ac:dyDescent="0.25">
      <c r="AH5980" s="75"/>
      <c r="AK5980" s="75"/>
    </row>
    <row r="5981" spans="34:37" x14ac:dyDescent="0.25">
      <c r="AH5981" s="75"/>
      <c r="AK5981" s="75"/>
    </row>
    <row r="5982" spans="34:37" x14ac:dyDescent="0.25">
      <c r="AH5982" s="75"/>
      <c r="AK5982" s="75"/>
    </row>
    <row r="5983" spans="34:37" x14ac:dyDescent="0.25">
      <c r="AH5983" s="75"/>
      <c r="AK5983" s="75"/>
    </row>
    <row r="5984" spans="34:37" x14ac:dyDescent="0.25">
      <c r="AH5984" s="75"/>
      <c r="AK5984" s="75"/>
    </row>
    <row r="5985" spans="34:37" x14ac:dyDescent="0.25">
      <c r="AH5985" s="75"/>
      <c r="AK5985" s="75"/>
    </row>
    <row r="5986" spans="34:37" x14ac:dyDescent="0.25">
      <c r="AH5986" s="75"/>
      <c r="AK5986" s="75"/>
    </row>
    <row r="5987" spans="34:37" x14ac:dyDescent="0.25">
      <c r="AH5987" s="75"/>
      <c r="AK5987" s="75"/>
    </row>
    <row r="5988" spans="34:37" x14ac:dyDescent="0.25">
      <c r="AH5988" s="75"/>
      <c r="AK5988" s="75"/>
    </row>
    <row r="5989" spans="34:37" x14ac:dyDescent="0.25">
      <c r="AH5989" s="75"/>
      <c r="AK5989" s="75"/>
    </row>
    <row r="5990" spans="34:37" x14ac:dyDescent="0.25">
      <c r="AH5990" s="75"/>
      <c r="AK5990" s="75"/>
    </row>
    <row r="5991" spans="34:37" x14ac:dyDescent="0.25">
      <c r="AH5991" s="75"/>
      <c r="AK5991" s="75"/>
    </row>
    <row r="5992" spans="34:37" x14ac:dyDescent="0.25">
      <c r="AH5992" s="75"/>
      <c r="AK5992" s="75"/>
    </row>
    <row r="5993" spans="34:37" x14ac:dyDescent="0.25">
      <c r="AH5993" s="75"/>
      <c r="AK5993" s="75"/>
    </row>
    <row r="5994" spans="34:37" x14ac:dyDescent="0.25">
      <c r="AH5994" s="75"/>
      <c r="AK5994" s="75"/>
    </row>
    <row r="5995" spans="34:37" x14ac:dyDescent="0.25">
      <c r="AH5995" s="75"/>
      <c r="AK5995" s="75"/>
    </row>
    <row r="5996" spans="34:37" x14ac:dyDescent="0.25">
      <c r="AH5996" s="75"/>
      <c r="AK5996" s="75"/>
    </row>
    <row r="5997" spans="34:37" x14ac:dyDescent="0.25">
      <c r="AH5997" s="75"/>
      <c r="AK5997" s="75"/>
    </row>
    <row r="5998" spans="34:37" x14ac:dyDescent="0.25">
      <c r="AH5998" s="75"/>
      <c r="AK5998" s="75"/>
    </row>
    <row r="5999" spans="34:37" x14ac:dyDescent="0.25">
      <c r="AH5999" s="75"/>
      <c r="AK5999" s="75"/>
    </row>
    <row r="6000" spans="34:37" x14ac:dyDescent="0.25">
      <c r="AH6000" s="75"/>
      <c r="AK6000" s="75"/>
    </row>
    <row r="6001" spans="34:37" x14ac:dyDescent="0.25">
      <c r="AH6001" s="75"/>
      <c r="AK6001" s="75"/>
    </row>
    <row r="6002" spans="34:37" x14ac:dyDescent="0.25">
      <c r="AH6002" s="75"/>
      <c r="AK6002" s="75"/>
    </row>
    <row r="6003" spans="34:37" x14ac:dyDescent="0.25">
      <c r="AH6003" s="75"/>
      <c r="AK6003" s="75"/>
    </row>
    <row r="6004" spans="34:37" x14ac:dyDescent="0.25">
      <c r="AH6004" s="75"/>
      <c r="AK6004" s="75"/>
    </row>
    <row r="6005" spans="34:37" x14ac:dyDescent="0.25">
      <c r="AH6005" s="75"/>
      <c r="AK6005" s="75"/>
    </row>
    <row r="6006" spans="34:37" x14ac:dyDescent="0.25">
      <c r="AH6006" s="75"/>
      <c r="AK6006" s="75"/>
    </row>
    <row r="6007" spans="34:37" x14ac:dyDescent="0.25">
      <c r="AH6007" s="75"/>
      <c r="AK6007" s="75"/>
    </row>
    <row r="6008" spans="34:37" x14ac:dyDescent="0.25">
      <c r="AH6008" s="75"/>
      <c r="AK6008" s="75"/>
    </row>
    <row r="6009" spans="34:37" x14ac:dyDescent="0.25">
      <c r="AH6009" s="75"/>
      <c r="AK6009" s="75"/>
    </row>
    <row r="6010" spans="34:37" x14ac:dyDescent="0.25">
      <c r="AH6010" s="75"/>
      <c r="AK6010" s="75"/>
    </row>
    <row r="6011" spans="34:37" x14ac:dyDescent="0.25">
      <c r="AH6011" s="75"/>
      <c r="AK6011" s="75"/>
    </row>
    <row r="6012" spans="34:37" x14ac:dyDescent="0.25">
      <c r="AH6012" s="75"/>
      <c r="AK6012" s="75"/>
    </row>
    <row r="6013" spans="34:37" x14ac:dyDescent="0.25">
      <c r="AH6013" s="75"/>
      <c r="AK6013" s="75"/>
    </row>
    <row r="6014" spans="34:37" x14ac:dyDescent="0.25">
      <c r="AH6014" s="75"/>
      <c r="AK6014" s="75"/>
    </row>
    <row r="6015" spans="34:37" x14ac:dyDescent="0.25">
      <c r="AH6015" s="75"/>
      <c r="AK6015" s="75"/>
    </row>
    <row r="6016" spans="34:37" x14ac:dyDescent="0.25">
      <c r="AH6016" s="75"/>
      <c r="AK6016" s="75"/>
    </row>
    <row r="6017" spans="34:37" x14ac:dyDescent="0.25">
      <c r="AH6017" s="75"/>
      <c r="AK6017" s="75"/>
    </row>
    <row r="6018" spans="34:37" x14ac:dyDescent="0.25">
      <c r="AH6018" s="75"/>
      <c r="AK6018" s="75"/>
    </row>
    <row r="6019" spans="34:37" x14ac:dyDescent="0.25">
      <c r="AH6019" s="75"/>
      <c r="AK6019" s="75"/>
    </row>
    <row r="6020" spans="34:37" x14ac:dyDescent="0.25">
      <c r="AH6020" s="75"/>
      <c r="AK6020" s="75"/>
    </row>
    <row r="6021" spans="34:37" x14ac:dyDescent="0.25">
      <c r="AH6021" s="75"/>
      <c r="AK6021" s="75"/>
    </row>
    <row r="6022" spans="34:37" x14ac:dyDescent="0.25">
      <c r="AH6022" s="75"/>
      <c r="AK6022" s="75"/>
    </row>
    <row r="6023" spans="34:37" x14ac:dyDescent="0.25">
      <c r="AH6023" s="75"/>
      <c r="AK6023" s="75"/>
    </row>
    <row r="6024" spans="34:37" x14ac:dyDescent="0.25">
      <c r="AH6024" s="75"/>
      <c r="AK6024" s="75"/>
    </row>
    <row r="6025" spans="34:37" x14ac:dyDescent="0.25">
      <c r="AH6025" s="75"/>
      <c r="AK6025" s="75"/>
    </row>
    <row r="6026" spans="34:37" x14ac:dyDescent="0.25">
      <c r="AH6026" s="75"/>
      <c r="AK6026" s="75"/>
    </row>
    <row r="6027" spans="34:37" x14ac:dyDescent="0.25">
      <c r="AH6027" s="75"/>
      <c r="AK6027" s="75"/>
    </row>
    <row r="6028" spans="34:37" x14ac:dyDescent="0.25">
      <c r="AH6028" s="75"/>
      <c r="AK6028" s="75"/>
    </row>
    <row r="6029" spans="34:37" x14ac:dyDescent="0.25">
      <c r="AH6029" s="75"/>
      <c r="AK6029" s="75"/>
    </row>
    <row r="6030" spans="34:37" x14ac:dyDescent="0.25">
      <c r="AH6030" s="75"/>
      <c r="AK6030" s="75"/>
    </row>
    <row r="6031" spans="34:37" x14ac:dyDescent="0.25">
      <c r="AH6031" s="75"/>
      <c r="AK6031" s="75"/>
    </row>
    <row r="6032" spans="34:37" x14ac:dyDescent="0.25">
      <c r="AH6032" s="75"/>
      <c r="AK6032" s="75"/>
    </row>
    <row r="6033" spans="34:37" x14ac:dyDescent="0.25">
      <c r="AH6033" s="75"/>
      <c r="AK6033" s="75"/>
    </row>
    <row r="6034" spans="34:37" x14ac:dyDescent="0.25">
      <c r="AH6034" s="75"/>
      <c r="AK6034" s="75"/>
    </row>
    <row r="6035" spans="34:37" x14ac:dyDescent="0.25">
      <c r="AH6035" s="75"/>
      <c r="AK6035" s="75"/>
    </row>
    <row r="6036" spans="34:37" x14ac:dyDescent="0.25">
      <c r="AH6036" s="75"/>
      <c r="AK6036" s="75"/>
    </row>
    <row r="6037" spans="34:37" x14ac:dyDescent="0.25">
      <c r="AH6037" s="75"/>
      <c r="AK6037" s="75"/>
    </row>
    <row r="6038" spans="34:37" x14ac:dyDescent="0.25">
      <c r="AH6038" s="75"/>
      <c r="AK6038" s="75"/>
    </row>
    <row r="6039" spans="34:37" x14ac:dyDescent="0.25">
      <c r="AH6039" s="75"/>
      <c r="AK6039" s="75"/>
    </row>
    <row r="6040" spans="34:37" x14ac:dyDescent="0.25">
      <c r="AH6040" s="75"/>
      <c r="AK6040" s="75"/>
    </row>
    <row r="6041" spans="34:37" x14ac:dyDescent="0.25">
      <c r="AH6041" s="75"/>
      <c r="AK6041" s="75"/>
    </row>
    <row r="6042" spans="34:37" x14ac:dyDescent="0.25">
      <c r="AH6042" s="75"/>
      <c r="AK6042" s="75"/>
    </row>
    <row r="6043" spans="34:37" x14ac:dyDescent="0.25">
      <c r="AH6043" s="75"/>
      <c r="AK6043" s="75"/>
    </row>
    <row r="6044" spans="34:37" x14ac:dyDescent="0.25">
      <c r="AH6044" s="75"/>
      <c r="AK6044" s="75"/>
    </row>
    <row r="6045" spans="34:37" x14ac:dyDescent="0.25">
      <c r="AH6045" s="75"/>
      <c r="AK6045" s="75"/>
    </row>
    <row r="6046" spans="34:37" x14ac:dyDescent="0.25">
      <c r="AH6046" s="75"/>
      <c r="AK6046" s="75"/>
    </row>
    <row r="6047" spans="34:37" x14ac:dyDescent="0.25">
      <c r="AH6047" s="75"/>
      <c r="AK6047" s="75"/>
    </row>
    <row r="6048" spans="34:37" x14ac:dyDescent="0.25">
      <c r="AH6048" s="75"/>
      <c r="AK6048" s="75"/>
    </row>
    <row r="6049" spans="34:37" x14ac:dyDescent="0.25">
      <c r="AH6049" s="75"/>
      <c r="AK6049" s="75"/>
    </row>
    <row r="6050" spans="34:37" x14ac:dyDescent="0.25">
      <c r="AH6050" s="75"/>
      <c r="AK6050" s="75"/>
    </row>
    <row r="6051" spans="34:37" x14ac:dyDescent="0.25">
      <c r="AH6051" s="75"/>
      <c r="AK6051" s="75"/>
    </row>
    <row r="6052" spans="34:37" x14ac:dyDescent="0.25">
      <c r="AH6052" s="75"/>
      <c r="AK6052" s="75"/>
    </row>
    <row r="6053" spans="34:37" x14ac:dyDescent="0.25">
      <c r="AH6053" s="75"/>
      <c r="AK6053" s="75"/>
    </row>
    <row r="6054" spans="34:37" x14ac:dyDescent="0.25">
      <c r="AH6054" s="75"/>
      <c r="AK6054" s="75"/>
    </row>
    <row r="6055" spans="34:37" x14ac:dyDescent="0.25">
      <c r="AH6055" s="75"/>
      <c r="AK6055" s="75"/>
    </row>
    <row r="6056" spans="34:37" x14ac:dyDescent="0.25">
      <c r="AH6056" s="75"/>
      <c r="AK6056" s="75"/>
    </row>
    <row r="6057" spans="34:37" x14ac:dyDescent="0.25">
      <c r="AH6057" s="75"/>
      <c r="AK6057" s="75"/>
    </row>
    <row r="6058" spans="34:37" x14ac:dyDescent="0.25">
      <c r="AH6058" s="75"/>
      <c r="AK6058" s="75"/>
    </row>
    <row r="6059" spans="34:37" x14ac:dyDescent="0.25">
      <c r="AH6059" s="75"/>
      <c r="AK6059" s="75"/>
    </row>
    <row r="6060" spans="34:37" x14ac:dyDescent="0.25">
      <c r="AH6060" s="75"/>
      <c r="AK6060" s="75"/>
    </row>
    <row r="6061" spans="34:37" x14ac:dyDescent="0.25">
      <c r="AH6061" s="75"/>
      <c r="AK6061" s="75"/>
    </row>
    <row r="6062" spans="34:37" x14ac:dyDescent="0.25">
      <c r="AH6062" s="75"/>
      <c r="AK6062" s="75"/>
    </row>
    <row r="6063" spans="34:37" x14ac:dyDescent="0.25">
      <c r="AH6063" s="75"/>
      <c r="AK6063" s="75"/>
    </row>
    <row r="6064" spans="34:37" x14ac:dyDescent="0.25">
      <c r="AH6064" s="75"/>
      <c r="AK6064" s="75"/>
    </row>
    <row r="6065" spans="34:37" x14ac:dyDescent="0.25">
      <c r="AH6065" s="75"/>
      <c r="AK6065" s="75"/>
    </row>
    <row r="6066" spans="34:37" x14ac:dyDescent="0.25">
      <c r="AH6066" s="75"/>
      <c r="AK6066" s="75"/>
    </row>
    <row r="6067" spans="34:37" x14ac:dyDescent="0.25">
      <c r="AH6067" s="75"/>
      <c r="AK6067" s="75"/>
    </row>
    <row r="6068" spans="34:37" x14ac:dyDescent="0.25">
      <c r="AH6068" s="75"/>
      <c r="AK6068" s="75"/>
    </row>
    <row r="6069" spans="34:37" x14ac:dyDescent="0.25">
      <c r="AH6069" s="75"/>
      <c r="AK6069" s="75"/>
    </row>
    <row r="6070" spans="34:37" x14ac:dyDescent="0.25">
      <c r="AH6070" s="75"/>
      <c r="AK6070" s="75"/>
    </row>
    <row r="6071" spans="34:37" x14ac:dyDescent="0.25">
      <c r="AH6071" s="75"/>
      <c r="AK6071" s="75"/>
    </row>
    <row r="6072" spans="34:37" x14ac:dyDescent="0.25">
      <c r="AH6072" s="75"/>
      <c r="AK6072" s="75"/>
    </row>
    <row r="6073" spans="34:37" x14ac:dyDescent="0.25">
      <c r="AH6073" s="75"/>
      <c r="AK6073" s="75"/>
    </row>
    <row r="6074" spans="34:37" x14ac:dyDescent="0.25">
      <c r="AH6074" s="75"/>
      <c r="AK6074" s="75"/>
    </row>
    <row r="6075" spans="34:37" x14ac:dyDescent="0.25">
      <c r="AH6075" s="75"/>
      <c r="AK6075" s="75"/>
    </row>
    <row r="6076" spans="34:37" x14ac:dyDescent="0.25">
      <c r="AH6076" s="75"/>
      <c r="AK6076" s="75"/>
    </row>
    <row r="6077" spans="34:37" x14ac:dyDescent="0.25">
      <c r="AH6077" s="75"/>
      <c r="AK6077" s="75"/>
    </row>
    <row r="6078" spans="34:37" x14ac:dyDescent="0.25">
      <c r="AH6078" s="75"/>
      <c r="AK6078" s="75"/>
    </row>
    <row r="6079" spans="34:37" x14ac:dyDescent="0.25">
      <c r="AH6079" s="75"/>
      <c r="AK6079" s="75"/>
    </row>
    <row r="6080" spans="34:37" x14ac:dyDescent="0.25">
      <c r="AH6080" s="75"/>
      <c r="AK6080" s="75"/>
    </row>
    <row r="6081" spans="34:37" x14ac:dyDescent="0.25">
      <c r="AH6081" s="75"/>
      <c r="AK6081" s="75"/>
    </row>
    <row r="6082" spans="34:37" x14ac:dyDescent="0.25">
      <c r="AH6082" s="75"/>
      <c r="AK6082" s="75"/>
    </row>
    <row r="6083" spans="34:37" x14ac:dyDescent="0.25">
      <c r="AH6083" s="75"/>
      <c r="AK6083" s="75"/>
    </row>
    <row r="6084" spans="34:37" x14ac:dyDescent="0.25">
      <c r="AH6084" s="75"/>
      <c r="AK6084" s="75"/>
    </row>
    <row r="6085" spans="34:37" x14ac:dyDescent="0.25">
      <c r="AH6085" s="75"/>
      <c r="AK6085" s="75"/>
    </row>
    <row r="6086" spans="34:37" x14ac:dyDescent="0.25">
      <c r="AH6086" s="75"/>
      <c r="AK6086" s="75"/>
    </row>
    <row r="6087" spans="34:37" x14ac:dyDescent="0.25">
      <c r="AH6087" s="75"/>
      <c r="AK6087" s="75"/>
    </row>
    <row r="6088" spans="34:37" x14ac:dyDescent="0.25">
      <c r="AH6088" s="75"/>
      <c r="AK6088" s="75"/>
    </row>
    <row r="6089" spans="34:37" x14ac:dyDescent="0.25">
      <c r="AH6089" s="75"/>
      <c r="AK6089" s="75"/>
    </row>
    <row r="6090" spans="34:37" x14ac:dyDescent="0.25">
      <c r="AH6090" s="75"/>
      <c r="AK6090" s="75"/>
    </row>
    <row r="6091" spans="34:37" x14ac:dyDescent="0.25">
      <c r="AH6091" s="75"/>
      <c r="AK6091" s="75"/>
    </row>
    <row r="6092" spans="34:37" x14ac:dyDescent="0.25">
      <c r="AH6092" s="75"/>
      <c r="AK6092" s="75"/>
    </row>
    <row r="6093" spans="34:37" x14ac:dyDescent="0.25">
      <c r="AH6093" s="75"/>
      <c r="AK6093" s="75"/>
    </row>
    <row r="6094" spans="34:37" x14ac:dyDescent="0.25">
      <c r="AH6094" s="75"/>
      <c r="AK6094" s="75"/>
    </row>
    <row r="6095" spans="34:37" x14ac:dyDescent="0.25">
      <c r="AH6095" s="75"/>
      <c r="AK6095" s="75"/>
    </row>
    <row r="6096" spans="34:37" x14ac:dyDescent="0.25">
      <c r="AH6096" s="75"/>
      <c r="AK6096" s="75"/>
    </row>
    <row r="6097" spans="34:37" x14ac:dyDescent="0.25">
      <c r="AH6097" s="75"/>
      <c r="AK6097" s="75"/>
    </row>
    <row r="6098" spans="34:37" x14ac:dyDescent="0.25">
      <c r="AH6098" s="75"/>
      <c r="AK6098" s="75"/>
    </row>
    <row r="6099" spans="34:37" x14ac:dyDescent="0.25">
      <c r="AH6099" s="75"/>
      <c r="AK6099" s="75"/>
    </row>
    <row r="6100" spans="34:37" x14ac:dyDescent="0.25">
      <c r="AH6100" s="75"/>
      <c r="AK6100" s="75"/>
    </row>
    <row r="6101" spans="34:37" x14ac:dyDescent="0.25">
      <c r="AH6101" s="75"/>
      <c r="AK6101" s="75"/>
    </row>
    <row r="6102" spans="34:37" x14ac:dyDescent="0.25">
      <c r="AH6102" s="75"/>
      <c r="AK6102" s="75"/>
    </row>
    <row r="6103" spans="34:37" x14ac:dyDescent="0.25">
      <c r="AH6103" s="75"/>
      <c r="AK6103" s="75"/>
    </row>
    <row r="6104" spans="34:37" x14ac:dyDescent="0.25">
      <c r="AH6104" s="75"/>
      <c r="AK6104" s="75"/>
    </row>
    <row r="6105" spans="34:37" x14ac:dyDescent="0.25">
      <c r="AH6105" s="75"/>
      <c r="AK6105" s="75"/>
    </row>
    <row r="6106" spans="34:37" x14ac:dyDescent="0.25">
      <c r="AH6106" s="75"/>
      <c r="AK6106" s="75"/>
    </row>
    <row r="6107" spans="34:37" x14ac:dyDescent="0.25">
      <c r="AH6107" s="75"/>
      <c r="AK6107" s="75"/>
    </row>
    <row r="6108" spans="34:37" x14ac:dyDescent="0.25">
      <c r="AH6108" s="75"/>
      <c r="AK6108" s="75"/>
    </row>
    <row r="6109" spans="34:37" x14ac:dyDescent="0.25">
      <c r="AH6109" s="75"/>
      <c r="AK6109" s="75"/>
    </row>
    <row r="6110" spans="34:37" x14ac:dyDescent="0.25">
      <c r="AH6110" s="75"/>
      <c r="AK6110" s="75"/>
    </row>
    <row r="6111" spans="34:37" x14ac:dyDescent="0.25">
      <c r="AH6111" s="75"/>
      <c r="AK6111" s="75"/>
    </row>
    <row r="6112" spans="34:37" x14ac:dyDescent="0.25">
      <c r="AH6112" s="75"/>
      <c r="AK6112" s="75"/>
    </row>
    <row r="6113" spans="34:37" x14ac:dyDescent="0.25">
      <c r="AH6113" s="75"/>
      <c r="AK6113" s="75"/>
    </row>
    <row r="6114" spans="34:37" x14ac:dyDescent="0.25">
      <c r="AH6114" s="75"/>
      <c r="AK6114" s="75"/>
    </row>
    <row r="6115" spans="34:37" x14ac:dyDescent="0.25">
      <c r="AH6115" s="75"/>
      <c r="AK6115" s="75"/>
    </row>
    <row r="6116" spans="34:37" x14ac:dyDescent="0.25">
      <c r="AH6116" s="75"/>
      <c r="AK6116" s="75"/>
    </row>
    <row r="6117" spans="34:37" x14ac:dyDescent="0.25">
      <c r="AH6117" s="75"/>
      <c r="AK6117" s="75"/>
    </row>
    <row r="6118" spans="34:37" x14ac:dyDescent="0.25">
      <c r="AH6118" s="75"/>
      <c r="AK6118" s="75"/>
    </row>
    <row r="6119" spans="34:37" x14ac:dyDescent="0.25">
      <c r="AH6119" s="75"/>
      <c r="AK6119" s="75"/>
    </row>
    <row r="6120" spans="34:37" x14ac:dyDescent="0.25">
      <c r="AH6120" s="75"/>
      <c r="AK6120" s="75"/>
    </row>
    <row r="6121" spans="34:37" x14ac:dyDescent="0.25">
      <c r="AH6121" s="75"/>
      <c r="AK6121" s="75"/>
    </row>
    <row r="6122" spans="34:37" x14ac:dyDescent="0.25">
      <c r="AH6122" s="75"/>
      <c r="AK6122" s="75"/>
    </row>
    <row r="6123" spans="34:37" x14ac:dyDescent="0.25">
      <c r="AH6123" s="75"/>
      <c r="AK6123" s="75"/>
    </row>
    <row r="6124" spans="34:37" x14ac:dyDescent="0.25">
      <c r="AH6124" s="75"/>
      <c r="AK6124" s="75"/>
    </row>
    <row r="6125" spans="34:37" x14ac:dyDescent="0.25">
      <c r="AH6125" s="75"/>
      <c r="AK6125" s="75"/>
    </row>
    <row r="6126" spans="34:37" x14ac:dyDescent="0.25">
      <c r="AH6126" s="75"/>
      <c r="AK6126" s="75"/>
    </row>
    <row r="6127" spans="34:37" x14ac:dyDescent="0.25">
      <c r="AH6127" s="75"/>
      <c r="AK6127" s="75"/>
    </row>
    <row r="6128" spans="34:37" x14ac:dyDescent="0.25">
      <c r="AH6128" s="75"/>
      <c r="AK6128" s="75"/>
    </row>
    <row r="6129" spans="34:37" x14ac:dyDescent="0.25">
      <c r="AH6129" s="75"/>
      <c r="AK6129" s="75"/>
    </row>
    <row r="6130" spans="34:37" x14ac:dyDescent="0.25">
      <c r="AH6130" s="75"/>
      <c r="AK6130" s="75"/>
    </row>
    <row r="6131" spans="34:37" x14ac:dyDescent="0.25">
      <c r="AH6131" s="75"/>
      <c r="AK6131" s="75"/>
    </row>
    <row r="6132" spans="34:37" x14ac:dyDescent="0.25">
      <c r="AH6132" s="75"/>
      <c r="AK6132" s="75"/>
    </row>
    <row r="6133" spans="34:37" x14ac:dyDescent="0.25">
      <c r="AH6133" s="75"/>
      <c r="AK6133" s="75"/>
    </row>
    <row r="6134" spans="34:37" x14ac:dyDescent="0.25">
      <c r="AH6134" s="75"/>
      <c r="AK6134" s="75"/>
    </row>
    <row r="6135" spans="34:37" x14ac:dyDescent="0.25">
      <c r="AH6135" s="75"/>
      <c r="AK6135" s="75"/>
    </row>
    <row r="6136" spans="34:37" x14ac:dyDescent="0.25">
      <c r="AH6136" s="75"/>
      <c r="AK6136" s="75"/>
    </row>
    <row r="6137" spans="34:37" x14ac:dyDescent="0.25">
      <c r="AH6137" s="75"/>
      <c r="AK6137" s="75"/>
    </row>
    <row r="6138" spans="34:37" x14ac:dyDescent="0.25">
      <c r="AH6138" s="75"/>
      <c r="AK6138" s="75"/>
    </row>
    <row r="6139" spans="34:37" x14ac:dyDescent="0.25">
      <c r="AH6139" s="75"/>
      <c r="AK6139" s="75"/>
    </row>
    <row r="6140" spans="34:37" x14ac:dyDescent="0.25">
      <c r="AH6140" s="75"/>
      <c r="AK6140" s="75"/>
    </row>
    <row r="6141" spans="34:37" x14ac:dyDescent="0.25">
      <c r="AH6141" s="75"/>
      <c r="AK6141" s="75"/>
    </row>
    <row r="6142" spans="34:37" x14ac:dyDescent="0.25">
      <c r="AH6142" s="75"/>
      <c r="AK6142" s="75"/>
    </row>
    <row r="6143" spans="34:37" x14ac:dyDescent="0.25">
      <c r="AH6143" s="75"/>
      <c r="AK6143" s="75"/>
    </row>
    <row r="6144" spans="34:37" x14ac:dyDescent="0.25">
      <c r="AH6144" s="75"/>
      <c r="AK6144" s="75"/>
    </row>
    <row r="6145" spans="34:37" x14ac:dyDescent="0.25">
      <c r="AH6145" s="75"/>
      <c r="AK6145" s="75"/>
    </row>
    <row r="6146" spans="34:37" x14ac:dyDescent="0.25">
      <c r="AH6146" s="75"/>
      <c r="AK6146" s="75"/>
    </row>
    <row r="6147" spans="34:37" x14ac:dyDescent="0.25">
      <c r="AH6147" s="75"/>
      <c r="AK6147" s="75"/>
    </row>
    <row r="6148" spans="34:37" x14ac:dyDescent="0.25">
      <c r="AH6148" s="75"/>
      <c r="AK6148" s="75"/>
    </row>
    <row r="6149" spans="34:37" x14ac:dyDescent="0.25">
      <c r="AH6149" s="75"/>
      <c r="AK6149" s="75"/>
    </row>
    <row r="6150" spans="34:37" x14ac:dyDescent="0.25">
      <c r="AH6150" s="75"/>
      <c r="AK6150" s="75"/>
    </row>
    <row r="6151" spans="34:37" x14ac:dyDescent="0.25">
      <c r="AH6151" s="75"/>
      <c r="AK6151" s="75"/>
    </row>
    <row r="6152" spans="34:37" x14ac:dyDescent="0.25">
      <c r="AH6152" s="75"/>
      <c r="AK6152" s="75"/>
    </row>
    <row r="6153" spans="34:37" x14ac:dyDescent="0.25">
      <c r="AH6153" s="75"/>
      <c r="AK6153" s="75"/>
    </row>
    <row r="6154" spans="34:37" x14ac:dyDescent="0.25">
      <c r="AH6154" s="75"/>
      <c r="AK6154" s="75"/>
    </row>
    <row r="6155" spans="34:37" x14ac:dyDescent="0.25">
      <c r="AH6155" s="75"/>
      <c r="AK6155" s="75"/>
    </row>
    <row r="6156" spans="34:37" x14ac:dyDescent="0.25">
      <c r="AH6156" s="75"/>
      <c r="AK6156" s="75"/>
    </row>
    <row r="6157" spans="34:37" x14ac:dyDescent="0.25">
      <c r="AH6157" s="75"/>
      <c r="AK6157" s="75"/>
    </row>
    <row r="6158" spans="34:37" x14ac:dyDescent="0.25">
      <c r="AH6158" s="75"/>
      <c r="AK6158" s="75"/>
    </row>
    <row r="6159" spans="34:37" x14ac:dyDescent="0.25">
      <c r="AH6159" s="75"/>
      <c r="AK6159" s="75"/>
    </row>
    <row r="6160" spans="34:37" x14ac:dyDescent="0.25">
      <c r="AH6160" s="75"/>
      <c r="AK6160" s="75"/>
    </row>
    <row r="6161" spans="34:37" x14ac:dyDescent="0.25">
      <c r="AH6161" s="75"/>
      <c r="AK6161" s="75"/>
    </row>
    <row r="6162" spans="34:37" x14ac:dyDescent="0.25">
      <c r="AH6162" s="75"/>
      <c r="AK6162" s="75"/>
    </row>
    <row r="6163" spans="34:37" x14ac:dyDescent="0.25">
      <c r="AH6163" s="75"/>
      <c r="AK6163" s="75"/>
    </row>
    <row r="6164" spans="34:37" x14ac:dyDescent="0.25">
      <c r="AH6164" s="75"/>
      <c r="AK6164" s="75"/>
    </row>
    <row r="6165" spans="34:37" x14ac:dyDescent="0.25">
      <c r="AH6165" s="75"/>
      <c r="AK6165" s="75"/>
    </row>
    <row r="6166" spans="34:37" x14ac:dyDescent="0.25">
      <c r="AH6166" s="75"/>
      <c r="AK6166" s="75"/>
    </row>
    <row r="6167" spans="34:37" x14ac:dyDescent="0.25">
      <c r="AH6167" s="75"/>
      <c r="AK6167" s="75"/>
    </row>
    <row r="6168" spans="34:37" x14ac:dyDescent="0.25">
      <c r="AH6168" s="75"/>
      <c r="AK6168" s="75"/>
    </row>
    <row r="6169" spans="34:37" x14ac:dyDescent="0.25">
      <c r="AH6169" s="75"/>
      <c r="AK6169" s="75"/>
    </row>
    <row r="6170" spans="34:37" x14ac:dyDescent="0.25">
      <c r="AH6170" s="75"/>
      <c r="AK6170" s="75"/>
    </row>
    <row r="6171" spans="34:37" x14ac:dyDescent="0.25">
      <c r="AH6171" s="75"/>
      <c r="AK6171" s="75"/>
    </row>
    <row r="6172" spans="34:37" x14ac:dyDescent="0.25">
      <c r="AH6172" s="75"/>
      <c r="AK6172" s="75"/>
    </row>
    <row r="6173" spans="34:37" x14ac:dyDescent="0.25">
      <c r="AH6173" s="75"/>
      <c r="AK6173" s="75"/>
    </row>
    <row r="6174" spans="34:37" x14ac:dyDescent="0.25">
      <c r="AH6174" s="75"/>
      <c r="AK6174" s="75"/>
    </row>
    <row r="6175" spans="34:37" x14ac:dyDescent="0.25">
      <c r="AH6175" s="75"/>
      <c r="AK6175" s="75"/>
    </row>
    <row r="6176" spans="34:37" x14ac:dyDescent="0.25">
      <c r="AH6176" s="75"/>
      <c r="AK6176" s="75"/>
    </row>
    <row r="6177" spans="34:37" x14ac:dyDescent="0.25">
      <c r="AH6177" s="75"/>
      <c r="AK6177" s="75"/>
    </row>
    <row r="6178" spans="34:37" x14ac:dyDescent="0.25">
      <c r="AH6178" s="75"/>
      <c r="AK6178" s="75"/>
    </row>
    <row r="6179" spans="34:37" x14ac:dyDescent="0.25">
      <c r="AH6179" s="75"/>
      <c r="AK6179" s="75"/>
    </row>
    <row r="6180" spans="34:37" x14ac:dyDescent="0.25">
      <c r="AH6180" s="75"/>
      <c r="AK6180" s="75"/>
    </row>
    <row r="6181" spans="34:37" x14ac:dyDescent="0.25">
      <c r="AH6181" s="75"/>
      <c r="AK6181" s="75"/>
    </row>
    <row r="6182" spans="34:37" x14ac:dyDescent="0.25">
      <c r="AH6182" s="75"/>
      <c r="AK6182" s="75"/>
    </row>
    <row r="6183" spans="34:37" x14ac:dyDescent="0.25">
      <c r="AH6183" s="75"/>
      <c r="AK6183" s="75"/>
    </row>
    <row r="6184" spans="34:37" x14ac:dyDescent="0.25">
      <c r="AH6184" s="75"/>
      <c r="AK6184" s="75"/>
    </row>
    <row r="6185" spans="34:37" x14ac:dyDescent="0.25">
      <c r="AH6185" s="75"/>
      <c r="AK6185" s="75"/>
    </row>
    <row r="6186" spans="34:37" x14ac:dyDescent="0.25">
      <c r="AH6186" s="75"/>
      <c r="AK6186" s="75"/>
    </row>
    <row r="6187" spans="34:37" x14ac:dyDescent="0.25">
      <c r="AH6187" s="75"/>
      <c r="AK6187" s="75"/>
    </row>
    <row r="6188" spans="34:37" x14ac:dyDescent="0.25">
      <c r="AH6188" s="75"/>
      <c r="AK6188" s="75"/>
    </row>
    <row r="6189" spans="34:37" x14ac:dyDescent="0.25">
      <c r="AH6189" s="75"/>
      <c r="AK6189" s="75"/>
    </row>
    <row r="6190" spans="34:37" x14ac:dyDescent="0.25">
      <c r="AH6190" s="75"/>
      <c r="AK6190" s="75"/>
    </row>
    <row r="6191" spans="34:37" x14ac:dyDescent="0.25">
      <c r="AH6191" s="75"/>
      <c r="AK6191" s="75"/>
    </row>
    <row r="6192" spans="34:37" x14ac:dyDescent="0.25">
      <c r="AH6192" s="75"/>
      <c r="AK6192" s="75"/>
    </row>
    <row r="6193" spans="34:37" x14ac:dyDescent="0.25">
      <c r="AH6193" s="75"/>
      <c r="AK6193" s="75"/>
    </row>
    <row r="6194" spans="34:37" x14ac:dyDescent="0.25">
      <c r="AH6194" s="75"/>
      <c r="AK6194" s="75"/>
    </row>
    <row r="6195" spans="34:37" x14ac:dyDescent="0.25">
      <c r="AH6195" s="75"/>
      <c r="AK6195" s="75"/>
    </row>
    <row r="6196" spans="34:37" x14ac:dyDescent="0.25">
      <c r="AH6196" s="75"/>
      <c r="AK6196" s="75"/>
    </row>
    <row r="6197" spans="34:37" x14ac:dyDescent="0.25">
      <c r="AH6197" s="75"/>
      <c r="AK6197" s="75"/>
    </row>
    <row r="6198" spans="34:37" x14ac:dyDescent="0.25">
      <c r="AH6198" s="75"/>
      <c r="AK6198" s="75"/>
    </row>
    <row r="6199" spans="34:37" x14ac:dyDescent="0.25">
      <c r="AH6199" s="75"/>
      <c r="AK6199" s="75"/>
    </row>
    <row r="6200" spans="34:37" x14ac:dyDescent="0.25">
      <c r="AH6200" s="75"/>
      <c r="AK6200" s="75"/>
    </row>
    <row r="6201" spans="34:37" x14ac:dyDescent="0.25">
      <c r="AH6201" s="75"/>
      <c r="AK6201" s="75"/>
    </row>
    <row r="6202" spans="34:37" x14ac:dyDescent="0.25">
      <c r="AH6202" s="75"/>
      <c r="AK6202" s="75"/>
    </row>
    <row r="6203" spans="34:37" x14ac:dyDescent="0.25">
      <c r="AH6203" s="75"/>
      <c r="AK6203" s="75"/>
    </row>
    <row r="6204" spans="34:37" x14ac:dyDescent="0.25">
      <c r="AH6204" s="75"/>
      <c r="AK6204" s="75"/>
    </row>
    <row r="6205" spans="34:37" x14ac:dyDescent="0.25">
      <c r="AH6205" s="75"/>
      <c r="AK6205" s="75"/>
    </row>
    <row r="6206" spans="34:37" x14ac:dyDescent="0.25">
      <c r="AH6206" s="75"/>
      <c r="AK6206" s="75"/>
    </row>
    <row r="6207" spans="34:37" x14ac:dyDescent="0.25">
      <c r="AH6207" s="75"/>
      <c r="AK6207" s="75"/>
    </row>
    <row r="6208" spans="34:37" x14ac:dyDescent="0.25">
      <c r="AH6208" s="75"/>
      <c r="AK6208" s="75"/>
    </row>
    <row r="6209" spans="34:37" x14ac:dyDescent="0.25">
      <c r="AH6209" s="75"/>
      <c r="AK6209" s="75"/>
    </row>
    <row r="6210" spans="34:37" x14ac:dyDescent="0.25">
      <c r="AH6210" s="75"/>
      <c r="AK6210" s="75"/>
    </row>
    <row r="6211" spans="34:37" x14ac:dyDescent="0.25">
      <c r="AH6211" s="75"/>
      <c r="AK6211" s="75"/>
    </row>
    <row r="6212" spans="34:37" x14ac:dyDescent="0.25">
      <c r="AH6212" s="75"/>
      <c r="AK6212" s="75"/>
    </row>
    <row r="6213" spans="34:37" x14ac:dyDescent="0.25">
      <c r="AH6213" s="75"/>
      <c r="AK6213" s="75"/>
    </row>
    <row r="6214" spans="34:37" x14ac:dyDescent="0.25">
      <c r="AH6214" s="75"/>
      <c r="AK6214" s="75"/>
    </row>
    <row r="6215" spans="34:37" x14ac:dyDescent="0.25">
      <c r="AH6215" s="75"/>
      <c r="AK6215" s="75"/>
    </row>
    <row r="6216" spans="34:37" x14ac:dyDescent="0.25">
      <c r="AH6216" s="75"/>
      <c r="AK6216" s="75"/>
    </row>
    <row r="6217" spans="34:37" x14ac:dyDescent="0.25">
      <c r="AH6217" s="75"/>
      <c r="AK6217" s="75"/>
    </row>
    <row r="6218" spans="34:37" x14ac:dyDescent="0.25">
      <c r="AH6218" s="75"/>
      <c r="AK6218" s="75"/>
    </row>
    <row r="6219" spans="34:37" x14ac:dyDescent="0.25">
      <c r="AH6219" s="75"/>
      <c r="AK6219" s="75"/>
    </row>
    <row r="6220" spans="34:37" x14ac:dyDescent="0.25">
      <c r="AH6220" s="75"/>
      <c r="AK6220" s="75"/>
    </row>
    <row r="6221" spans="34:37" x14ac:dyDescent="0.25">
      <c r="AH6221" s="75"/>
      <c r="AK6221" s="75"/>
    </row>
    <row r="6222" spans="34:37" x14ac:dyDescent="0.25">
      <c r="AH6222" s="75"/>
      <c r="AK6222" s="75"/>
    </row>
    <row r="6223" spans="34:37" x14ac:dyDescent="0.25">
      <c r="AH6223" s="75"/>
      <c r="AK6223" s="75"/>
    </row>
    <row r="6224" spans="34:37" x14ac:dyDescent="0.25">
      <c r="AH6224" s="75"/>
      <c r="AK6224" s="75"/>
    </row>
    <row r="6225" spans="34:37" x14ac:dyDescent="0.25">
      <c r="AH6225" s="75"/>
      <c r="AK6225" s="75"/>
    </row>
    <row r="6226" spans="34:37" x14ac:dyDescent="0.25">
      <c r="AH6226" s="75"/>
      <c r="AK6226" s="75"/>
    </row>
    <row r="6227" spans="34:37" x14ac:dyDescent="0.25">
      <c r="AH6227" s="75"/>
      <c r="AK6227" s="75"/>
    </row>
    <row r="6228" spans="34:37" x14ac:dyDescent="0.25">
      <c r="AH6228" s="75"/>
      <c r="AK6228" s="75"/>
    </row>
    <row r="6229" spans="34:37" x14ac:dyDescent="0.25">
      <c r="AH6229" s="75"/>
      <c r="AK6229" s="75"/>
    </row>
    <row r="6230" spans="34:37" x14ac:dyDescent="0.25">
      <c r="AH6230" s="75"/>
      <c r="AK6230" s="75"/>
    </row>
    <row r="6231" spans="34:37" x14ac:dyDescent="0.25">
      <c r="AH6231" s="75"/>
      <c r="AK6231" s="75"/>
    </row>
    <row r="6232" spans="34:37" x14ac:dyDescent="0.25">
      <c r="AH6232" s="75"/>
      <c r="AK6232" s="75"/>
    </row>
    <row r="6233" spans="34:37" x14ac:dyDescent="0.25">
      <c r="AH6233" s="75"/>
      <c r="AK6233" s="75"/>
    </row>
    <row r="6234" spans="34:37" x14ac:dyDescent="0.25">
      <c r="AH6234" s="75"/>
      <c r="AK6234" s="75"/>
    </row>
    <row r="6235" spans="34:37" x14ac:dyDescent="0.25">
      <c r="AH6235" s="75"/>
      <c r="AK6235" s="75"/>
    </row>
    <row r="6236" spans="34:37" x14ac:dyDescent="0.25">
      <c r="AH6236" s="75"/>
      <c r="AK6236" s="75"/>
    </row>
    <row r="6237" spans="34:37" x14ac:dyDescent="0.25">
      <c r="AH6237" s="75"/>
      <c r="AK6237" s="75"/>
    </row>
    <row r="6238" spans="34:37" x14ac:dyDescent="0.25">
      <c r="AH6238" s="75"/>
      <c r="AK6238" s="75"/>
    </row>
    <row r="6239" spans="34:37" x14ac:dyDescent="0.25">
      <c r="AH6239" s="75"/>
      <c r="AK6239" s="75"/>
    </row>
    <row r="6240" spans="34:37" x14ac:dyDescent="0.25">
      <c r="AH6240" s="75"/>
      <c r="AK6240" s="75"/>
    </row>
    <row r="6241" spans="34:37" x14ac:dyDescent="0.25">
      <c r="AH6241" s="75"/>
      <c r="AK6241" s="75"/>
    </row>
    <row r="6242" spans="34:37" x14ac:dyDescent="0.25">
      <c r="AH6242" s="75"/>
      <c r="AK6242" s="75"/>
    </row>
    <row r="6243" spans="34:37" x14ac:dyDescent="0.25">
      <c r="AH6243" s="75"/>
      <c r="AK6243" s="75"/>
    </row>
    <row r="6244" spans="34:37" x14ac:dyDescent="0.25">
      <c r="AH6244" s="75"/>
      <c r="AK6244" s="75"/>
    </row>
    <row r="6245" spans="34:37" x14ac:dyDescent="0.25">
      <c r="AH6245" s="75"/>
      <c r="AK6245" s="75"/>
    </row>
    <row r="6246" spans="34:37" x14ac:dyDescent="0.25">
      <c r="AH6246" s="75"/>
      <c r="AK6246" s="75"/>
    </row>
    <row r="6247" spans="34:37" x14ac:dyDescent="0.25">
      <c r="AH6247" s="75"/>
      <c r="AK6247" s="75"/>
    </row>
    <row r="6248" spans="34:37" x14ac:dyDescent="0.25">
      <c r="AH6248" s="75"/>
      <c r="AK6248" s="75"/>
    </row>
    <row r="6249" spans="34:37" x14ac:dyDescent="0.25">
      <c r="AH6249" s="75"/>
      <c r="AK6249" s="75"/>
    </row>
    <row r="6250" spans="34:37" x14ac:dyDescent="0.25">
      <c r="AH6250" s="75"/>
      <c r="AK6250" s="75"/>
    </row>
    <row r="6251" spans="34:37" x14ac:dyDescent="0.25">
      <c r="AH6251" s="75"/>
      <c r="AK6251" s="75"/>
    </row>
    <row r="6252" spans="34:37" x14ac:dyDescent="0.25">
      <c r="AH6252" s="75"/>
      <c r="AK6252" s="75"/>
    </row>
    <row r="6253" spans="34:37" x14ac:dyDescent="0.25">
      <c r="AH6253" s="75"/>
      <c r="AK6253" s="75"/>
    </row>
    <row r="6254" spans="34:37" x14ac:dyDescent="0.25">
      <c r="AH6254" s="75"/>
      <c r="AK6254" s="75"/>
    </row>
    <row r="6255" spans="34:37" x14ac:dyDescent="0.25">
      <c r="AH6255" s="75"/>
      <c r="AK6255" s="75"/>
    </row>
    <row r="6256" spans="34:37" x14ac:dyDescent="0.25">
      <c r="AH6256" s="75"/>
      <c r="AK6256" s="75"/>
    </row>
    <row r="6257" spans="34:37" x14ac:dyDescent="0.25">
      <c r="AH6257" s="75"/>
      <c r="AK6257" s="75"/>
    </row>
    <row r="6258" spans="34:37" x14ac:dyDescent="0.25">
      <c r="AH6258" s="75"/>
      <c r="AK6258" s="75"/>
    </row>
    <row r="6259" spans="34:37" x14ac:dyDescent="0.25">
      <c r="AH6259" s="75"/>
      <c r="AK6259" s="75"/>
    </row>
    <row r="6260" spans="34:37" x14ac:dyDescent="0.25">
      <c r="AH6260" s="75"/>
      <c r="AK6260" s="75"/>
    </row>
    <row r="6261" spans="34:37" x14ac:dyDescent="0.25">
      <c r="AH6261" s="75"/>
      <c r="AK6261" s="75"/>
    </row>
    <row r="6262" spans="34:37" x14ac:dyDescent="0.25">
      <c r="AH6262" s="75"/>
      <c r="AK6262" s="75"/>
    </row>
    <row r="6263" spans="34:37" x14ac:dyDescent="0.25">
      <c r="AH6263" s="75"/>
      <c r="AK6263" s="75"/>
    </row>
    <row r="6264" spans="34:37" x14ac:dyDescent="0.25">
      <c r="AH6264" s="75"/>
      <c r="AK6264" s="75"/>
    </row>
    <row r="6265" spans="34:37" x14ac:dyDescent="0.25">
      <c r="AH6265" s="75"/>
      <c r="AK6265" s="75"/>
    </row>
    <row r="6266" spans="34:37" x14ac:dyDescent="0.25">
      <c r="AH6266" s="75"/>
      <c r="AK6266" s="75"/>
    </row>
    <row r="6267" spans="34:37" x14ac:dyDescent="0.25">
      <c r="AH6267" s="75"/>
      <c r="AK6267" s="75"/>
    </row>
    <row r="6268" spans="34:37" x14ac:dyDescent="0.25">
      <c r="AH6268" s="75"/>
      <c r="AK6268" s="75"/>
    </row>
    <row r="6269" spans="34:37" x14ac:dyDescent="0.25">
      <c r="AH6269" s="75"/>
      <c r="AK6269" s="75"/>
    </row>
    <row r="6270" spans="34:37" x14ac:dyDescent="0.25">
      <c r="AH6270" s="75"/>
      <c r="AK6270" s="75"/>
    </row>
    <row r="6271" spans="34:37" x14ac:dyDescent="0.25">
      <c r="AH6271" s="75"/>
      <c r="AK6271" s="75"/>
    </row>
    <row r="6272" spans="34:37" x14ac:dyDescent="0.25">
      <c r="AH6272" s="75"/>
      <c r="AK6272" s="75"/>
    </row>
    <row r="6273" spans="34:37" x14ac:dyDescent="0.25">
      <c r="AH6273" s="75"/>
      <c r="AK6273" s="75"/>
    </row>
    <row r="6274" spans="34:37" x14ac:dyDescent="0.25">
      <c r="AH6274" s="75"/>
      <c r="AK6274" s="75"/>
    </row>
    <row r="6275" spans="34:37" x14ac:dyDescent="0.25">
      <c r="AH6275" s="75"/>
      <c r="AK6275" s="75"/>
    </row>
    <row r="6276" spans="34:37" x14ac:dyDescent="0.25">
      <c r="AH6276" s="75"/>
      <c r="AK6276" s="75"/>
    </row>
    <row r="6277" spans="34:37" x14ac:dyDescent="0.25">
      <c r="AH6277" s="75"/>
      <c r="AK6277" s="75"/>
    </row>
    <row r="6278" spans="34:37" x14ac:dyDescent="0.25">
      <c r="AH6278" s="75"/>
      <c r="AK6278" s="75"/>
    </row>
    <row r="6279" spans="34:37" x14ac:dyDescent="0.25">
      <c r="AH6279" s="75"/>
      <c r="AK6279" s="75"/>
    </row>
    <row r="6280" spans="34:37" x14ac:dyDescent="0.25">
      <c r="AH6280" s="75"/>
      <c r="AK6280" s="75"/>
    </row>
    <row r="6281" spans="34:37" x14ac:dyDescent="0.25">
      <c r="AH6281" s="75"/>
      <c r="AK6281" s="75"/>
    </row>
    <row r="6282" spans="34:37" x14ac:dyDescent="0.25">
      <c r="AH6282" s="75"/>
      <c r="AK6282" s="75"/>
    </row>
    <row r="6283" spans="34:37" x14ac:dyDescent="0.25">
      <c r="AH6283" s="75"/>
      <c r="AK6283" s="75"/>
    </row>
    <row r="6284" spans="34:37" x14ac:dyDescent="0.25">
      <c r="AH6284" s="75"/>
      <c r="AK6284" s="75"/>
    </row>
    <row r="6285" spans="34:37" x14ac:dyDescent="0.25">
      <c r="AH6285" s="75"/>
      <c r="AK6285" s="75"/>
    </row>
    <row r="6286" spans="34:37" x14ac:dyDescent="0.25">
      <c r="AH6286" s="75"/>
      <c r="AK6286" s="75"/>
    </row>
    <row r="6287" spans="34:37" x14ac:dyDescent="0.25">
      <c r="AH6287" s="75"/>
      <c r="AK6287" s="75"/>
    </row>
    <row r="6288" spans="34:37" x14ac:dyDescent="0.25">
      <c r="AH6288" s="75"/>
      <c r="AK6288" s="75"/>
    </row>
    <row r="6289" spans="34:37" x14ac:dyDescent="0.25">
      <c r="AH6289" s="75"/>
      <c r="AK6289" s="75"/>
    </row>
    <row r="6290" spans="34:37" x14ac:dyDescent="0.25">
      <c r="AH6290" s="75"/>
      <c r="AK6290" s="75"/>
    </row>
    <row r="6291" spans="34:37" x14ac:dyDescent="0.25">
      <c r="AH6291" s="75"/>
      <c r="AK6291" s="75"/>
    </row>
    <row r="6292" spans="34:37" x14ac:dyDescent="0.25">
      <c r="AH6292" s="75"/>
      <c r="AK6292" s="75"/>
    </row>
    <row r="6293" spans="34:37" x14ac:dyDescent="0.25">
      <c r="AH6293" s="75"/>
      <c r="AK6293" s="75"/>
    </row>
    <row r="6294" spans="34:37" x14ac:dyDescent="0.25">
      <c r="AH6294" s="75"/>
      <c r="AK6294" s="75"/>
    </row>
    <row r="6295" spans="34:37" x14ac:dyDescent="0.25">
      <c r="AH6295" s="75"/>
      <c r="AK6295" s="75"/>
    </row>
    <row r="6296" spans="34:37" x14ac:dyDescent="0.25">
      <c r="AH6296" s="75"/>
      <c r="AK6296" s="75"/>
    </row>
    <row r="6297" spans="34:37" x14ac:dyDescent="0.25">
      <c r="AH6297" s="75"/>
      <c r="AK6297" s="75"/>
    </row>
    <row r="6298" spans="34:37" x14ac:dyDescent="0.25">
      <c r="AH6298" s="75"/>
      <c r="AK6298" s="75"/>
    </row>
    <row r="6299" spans="34:37" x14ac:dyDescent="0.25">
      <c r="AH6299" s="75"/>
      <c r="AK6299" s="75"/>
    </row>
    <row r="6300" spans="34:37" x14ac:dyDescent="0.25">
      <c r="AH6300" s="75"/>
      <c r="AK6300" s="75"/>
    </row>
    <row r="6301" spans="34:37" x14ac:dyDescent="0.25">
      <c r="AH6301" s="75"/>
      <c r="AK6301" s="75"/>
    </row>
    <row r="6302" spans="34:37" x14ac:dyDescent="0.25">
      <c r="AH6302" s="75"/>
      <c r="AK6302" s="75"/>
    </row>
    <row r="6303" spans="34:37" x14ac:dyDescent="0.25">
      <c r="AH6303" s="75"/>
      <c r="AK6303" s="75"/>
    </row>
    <row r="6304" spans="34:37" x14ac:dyDescent="0.25">
      <c r="AH6304" s="75"/>
      <c r="AK6304" s="75"/>
    </row>
    <row r="6305" spans="34:37" x14ac:dyDescent="0.25">
      <c r="AH6305" s="75"/>
      <c r="AK6305" s="75"/>
    </row>
    <row r="6306" spans="34:37" x14ac:dyDescent="0.25">
      <c r="AH6306" s="75"/>
      <c r="AK6306" s="75"/>
    </row>
    <row r="6307" spans="34:37" x14ac:dyDescent="0.25">
      <c r="AH6307" s="75"/>
      <c r="AK6307" s="75"/>
    </row>
    <row r="6308" spans="34:37" x14ac:dyDescent="0.25">
      <c r="AH6308" s="75"/>
      <c r="AK6308" s="75"/>
    </row>
    <row r="6309" spans="34:37" x14ac:dyDescent="0.25">
      <c r="AH6309" s="75"/>
      <c r="AK6309" s="75"/>
    </row>
    <row r="6310" spans="34:37" x14ac:dyDescent="0.25">
      <c r="AH6310" s="75"/>
      <c r="AK6310" s="75"/>
    </row>
    <row r="6311" spans="34:37" x14ac:dyDescent="0.25">
      <c r="AH6311" s="75"/>
      <c r="AK6311" s="75"/>
    </row>
    <row r="6312" spans="34:37" x14ac:dyDescent="0.25">
      <c r="AH6312" s="75"/>
      <c r="AK6312" s="75"/>
    </row>
    <row r="6313" spans="34:37" x14ac:dyDescent="0.25">
      <c r="AH6313" s="75"/>
      <c r="AK6313" s="75"/>
    </row>
    <row r="6314" spans="34:37" x14ac:dyDescent="0.25">
      <c r="AH6314" s="75"/>
      <c r="AK6314" s="75"/>
    </row>
    <row r="6315" spans="34:37" x14ac:dyDescent="0.25">
      <c r="AH6315" s="75"/>
      <c r="AK6315" s="75"/>
    </row>
    <row r="6316" spans="34:37" x14ac:dyDescent="0.25">
      <c r="AH6316" s="75"/>
      <c r="AK6316" s="75"/>
    </row>
    <row r="6317" spans="34:37" x14ac:dyDescent="0.25">
      <c r="AH6317" s="75"/>
      <c r="AK6317" s="75"/>
    </row>
    <row r="6318" spans="34:37" x14ac:dyDescent="0.25">
      <c r="AH6318" s="75"/>
      <c r="AK6318" s="75"/>
    </row>
    <row r="6319" spans="34:37" x14ac:dyDescent="0.25">
      <c r="AH6319" s="75"/>
      <c r="AK6319" s="75"/>
    </row>
    <row r="6320" spans="34:37" x14ac:dyDescent="0.25">
      <c r="AH6320" s="75"/>
      <c r="AK6320" s="75"/>
    </row>
    <row r="6321" spans="34:37" x14ac:dyDescent="0.25">
      <c r="AH6321" s="75"/>
      <c r="AK6321" s="75"/>
    </row>
    <row r="6322" spans="34:37" x14ac:dyDescent="0.25">
      <c r="AH6322" s="75"/>
      <c r="AK6322" s="75"/>
    </row>
    <row r="6323" spans="34:37" x14ac:dyDescent="0.25">
      <c r="AH6323" s="75"/>
      <c r="AK6323" s="75"/>
    </row>
    <row r="6324" spans="34:37" x14ac:dyDescent="0.25">
      <c r="AH6324" s="75"/>
      <c r="AK6324" s="75"/>
    </row>
    <row r="6325" spans="34:37" x14ac:dyDescent="0.25">
      <c r="AH6325" s="75"/>
      <c r="AK6325" s="75"/>
    </row>
    <row r="6326" spans="34:37" x14ac:dyDescent="0.25">
      <c r="AH6326" s="75"/>
      <c r="AK6326" s="75"/>
    </row>
    <row r="6327" spans="34:37" x14ac:dyDescent="0.25">
      <c r="AH6327" s="75"/>
      <c r="AK6327" s="75"/>
    </row>
    <row r="6328" spans="34:37" x14ac:dyDescent="0.25">
      <c r="AH6328" s="75"/>
      <c r="AK6328" s="75"/>
    </row>
    <row r="6329" spans="34:37" x14ac:dyDescent="0.25">
      <c r="AH6329" s="75"/>
      <c r="AK6329" s="75"/>
    </row>
    <row r="6330" spans="34:37" x14ac:dyDescent="0.25">
      <c r="AH6330" s="75"/>
      <c r="AK6330" s="75"/>
    </row>
    <row r="6331" spans="34:37" x14ac:dyDescent="0.25">
      <c r="AH6331" s="75"/>
      <c r="AK6331" s="75"/>
    </row>
    <row r="6332" spans="34:37" x14ac:dyDescent="0.25">
      <c r="AH6332" s="75"/>
      <c r="AK6332" s="75"/>
    </row>
    <row r="6333" spans="34:37" x14ac:dyDescent="0.25">
      <c r="AH6333" s="75"/>
      <c r="AK6333" s="75"/>
    </row>
    <row r="6334" spans="34:37" x14ac:dyDescent="0.25">
      <c r="AH6334" s="75"/>
      <c r="AK6334" s="75"/>
    </row>
    <row r="6335" spans="34:37" x14ac:dyDescent="0.25">
      <c r="AH6335" s="75"/>
      <c r="AK6335" s="75"/>
    </row>
    <row r="6336" spans="34:37" x14ac:dyDescent="0.25">
      <c r="AH6336" s="75"/>
      <c r="AK6336" s="75"/>
    </row>
    <row r="6337" spans="34:37" x14ac:dyDescent="0.25">
      <c r="AH6337" s="75"/>
      <c r="AK6337" s="75"/>
    </row>
    <row r="6338" spans="34:37" x14ac:dyDescent="0.25">
      <c r="AH6338" s="75"/>
      <c r="AK6338" s="75"/>
    </row>
    <row r="6339" spans="34:37" x14ac:dyDescent="0.25">
      <c r="AH6339" s="75"/>
      <c r="AK6339" s="75"/>
    </row>
    <row r="6340" spans="34:37" x14ac:dyDescent="0.25">
      <c r="AH6340" s="75"/>
      <c r="AK6340" s="75"/>
    </row>
    <row r="6341" spans="34:37" x14ac:dyDescent="0.25">
      <c r="AH6341" s="75"/>
      <c r="AK6341" s="75"/>
    </row>
    <row r="6342" spans="34:37" x14ac:dyDescent="0.25">
      <c r="AH6342" s="75"/>
      <c r="AK6342" s="75"/>
    </row>
    <row r="6343" spans="34:37" x14ac:dyDescent="0.25">
      <c r="AH6343" s="75"/>
      <c r="AK6343" s="75"/>
    </row>
    <row r="6344" spans="34:37" x14ac:dyDescent="0.25">
      <c r="AH6344" s="75"/>
      <c r="AK6344" s="75"/>
    </row>
    <row r="6345" spans="34:37" x14ac:dyDescent="0.25">
      <c r="AH6345" s="75"/>
      <c r="AK6345" s="75"/>
    </row>
    <row r="6346" spans="34:37" x14ac:dyDescent="0.25">
      <c r="AH6346" s="75"/>
      <c r="AK6346" s="75"/>
    </row>
    <row r="6347" spans="34:37" x14ac:dyDescent="0.25">
      <c r="AH6347" s="75"/>
      <c r="AK6347" s="75"/>
    </row>
    <row r="6348" spans="34:37" x14ac:dyDescent="0.25">
      <c r="AH6348" s="75"/>
      <c r="AK6348" s="75"/>
    </row>
    <row r="6349" spans="34:37" x14ac:dyDescent="0.25">
      <c r="AH6349" s="75"/>
      <c r="AK6349" s="75"/>
    </row>
    <row r="6350" spans="34:37" x14ac:dyDescent="0.25">
      <c r="AH6350" s="75"/>
      <c r="AK6350" s="75"/>
    </row>
    <row r="6351" spans="34:37" x14ac:dyDescent="0.25">
      <c r="AH6351" s="75"/>
      <c r="AK6351" s="75"/>
    </row>
    <row r="6352" spans="34:37" x14ac:dyDescent="0.25">
      <c r="AH6352" s="75"/>
      <c r="AK6352" s="75"/>
    </row>
    <row r="6353" spans="34:37" x14ac:dyDescent="0.25">
      <c r="AH6353" s="75"/>
      <c r="AK6353" s="75"/>
    </row>
    <row r="6354" spans="34:37" x14ac:dyDescent="0.25">
      <c r="AH6354" s="75"/>
      <c r="AK6354" s="75"/>
    </row>
    <row r="6355" spans="34:37" x14ac:dyDescent="0.25">
      <c r="AH6355" s="75"/>
      <c r="AK6355" s="75"/>
    </row>
    <row r="6356" spans="34:37" x14ac:dyDescent="0.25">
      <c r="AH6356" s="75"/>
      <c r="AK6356" s="75"/>
    </row>
    <row r="6357" spans="34:37" x14ac:dyDescent="0.25">
      <c r="AH6357" s="75"/>
      <c r="AK6357" s="75"/>
    </row>
    <row r="6358" spans="34:37" x14ac:dyDescent="0.25">
      <c r="AH6358" s="75"/>
      <c r="AK6358" s="75"/>
    </row>
    <row r="6359" spans="34:37" x14ac:dyDescent="0.25">
      <c r="AH6359" s="75"/>
      <c r="AK6359" s="75"/>
    </row>
    <row r="6360" spans="34:37" x14ac:dyDescent="0.25">
      <c r="AH6360" s="75"/>
      <c r="AK6360" s="75"/>
    </row>
    <row r="6361" spans="34:37" x14ac:dyDescent="0.25">
      <c r="AH6361" s="75"/>
      <c r="AK6361" s="75"/>
    </row>
    <row r="6362" spans="34:37" x14ac:dyDescent="0.25">
      <c r="AH6362" s="75"/>
      <c r="AK6362" s="75"/>
    </row>
    <row r="6363" spans="34:37" x14ac:dyDescent="0.25">
      <c r="AH6363" s="75"/>
      <c r="AK6363" s="75"/>
    </row>
    <row r="6364" spans="34:37" x14ac:dyDescent="0.25">
      <c r="AH6364" s="75"/>
      <c r="AK6364" s="75"/>
    </row>
    <row r="6365" spans="34:37" x14ac:dyDescent="0.25">
      <c r="AH6365" s="75"/>
      <c r="AK6365" s="75"/>
    </row>
    <row r="6366" spans="34:37" x14ac:dyDescent="0.25">
      <c r="AH6366" s="75"/>
      <c r="AK6366" s="75"/>
    </row>
    <row r="6367" spans="34:37" x14ac:dyDescent="0.25">
      <c r="AH6367" s="75"/>
      <c r="AK6367" s="75"/>
    </row>
    <row r="6368" spans="34:37" x14ac:dyDescent="0.25">
      <c r="AH6368" s="75"/>
      <c r="AK6368" s="75"/>
    </row>
    <row r="6369" spans="34:37" x14ac:dyDescent="0.25">
      <c r="AH6369" s="75"/>
      <c r="AK6369" s="75"/>
    </row>
    <row r="6370" spans="34:37" x14ac:dyDescent="0.25">
      <c r="AH6370" s="75"/>
      <c r="AK6370" s="75"/>
    </row>
    <row r="6371" spans="34:37" x14ac:dyDescent="0.25">
      <c r="AH6371" s="75"/>
      <c r="AK6371" s="75"/>
    </row>
    <row r="6372" spans="34:37" x14ac:dyDescent="0.25">
      <c r="AH6372" s="75"/>
      <c r="AK6372" s="75"/>
    </row>
    <row r="6373" spans="34:37" x14ac:dyDescent="0.25">
      <c r="AH6373" s="75"/>
      <c r="AK6373" s="75"/>
    </row>
    <row r="6374" spans="34:37" x14ac:dyDescent="0.25">
      <c r="AH6374" s="75"/>
      <c r="AK6374" s="75"/>
    </row>
    <row r="6375" spans="34:37" x14ac:dyDescent="0.25">
      <c r="AH6375" s="75"/>
      <c r="AK6375" s="75"/>
    </row>
    <row r="6376" spans="34:37" x14ac:dyDescent="0.25">
      <c r="AH6376" s="75"/>
      <c r="AK6376" s="75"/>
    </row>
    <row r="6377" spans="34:37" x14ac:dyDescent="0.25">
      <c r="AH6377" s="75"/>
      <c r="AK6377" s="75"/>
    </row>
    <row r="6378" spans="34:37" x14ac:dyDescent="0.25">
      <c r="AH6378" s="75"/>
      <c r="AK6378" s="75"/>
    </row>
    <row r="6379" spans="34:37" x14ac:dyDescent="0.25">
      <c r="AH6379" s="75"/>
      <c r="AK6379" s="75"/>
    </row>
    <row r="6380" spans="34:37" x14ac:dyDescent="0.25">
      <c r="AH6380" s="75"/>
      <c r="AK6380" s="75"/>
    </row>
    <row r="6381" spans="34:37" x14ac:dyDescent="0.25">
      <c r="AH6381" s="75"/>
      <c r="AK6381" s="75"/>
    </row>
    <row r="6382" spans="34:37" x14ac:dyDescent="0.25">
      <c r="AH6382" s="75"/>
      <c r="AK6382" s="75"/>
    </row>
    <row r="6383" spans="34:37" x14ac:dyDescent="0.25">
      <c r="AH6383" s="75"/>
      <c r="AK6383" s="75"/>
    </row>
    <row r="6384" spans="34:37" x14ac:dyDescent="0.25">
      <c r="AH6384" s="75"/>
      <c r="AK6384" s="75"/>
    </row>
    <row r="6385" spans="34:37" x14ac:dyDescent="0.25">
      <c r="AH6385" s="75"/>
      <c r="AK6385" s="75"/>
    </row>
    <row r="6386" spans="34:37" x14ac:dyDescent="0.25">
      <c r="AH6386" s="75"/>
      <c r="AK6386" s="75"/>
    </row>
    <row r="6387" spans="34:37" x14ac:dyDescent="0.25">
      <c r="AH6387" s="75"/>
      <c r="AK6387" s="75"/>
    </row>
    <row r="6388" spans="34:37" x14ac:dyDescent="0.25">
      <c r="AH6388" s="75"/>
      <c r="AK6388" s="75"/>
    </row>
    <row r="6389" spans="34:37" x14ac:dyDescent="0.25">
      <c r="AH6389" s="75"/>
      <c r="AK6389" s="75"/>
    </row>
    <row r="6390" spans="34:37" x14ac:dyDescent="0.25">
      <c r="AH6390" s="75"/>
      <c r="AK6390" s="75"/>
    </row>
    <row r="6391" spans="34:37" x14ac:dyDescent="0.25">
      <c r="AH6391" s="75"/>
      <c r="AK6391" s="75"/>
    </row>
    <row r="6392" spans="34:37" x14ac:dyDescent="0.25">
      <c r="AH6392" s="75"/>
      <c r="AK6392" s="75"/>
    </row>
    <row r="6393" spans="34:37" x14ac:dyDescent="0.25">
      <c r="AH6393" s="75"/>
      <c r="AK6393" s="75"/>
    </row>
    <row r="6394" spans="34:37" x14ac:dyDescent="0.25">
      <c r="AH6394" s="75"/>
      <c r="AK6394" s="75"/>
    </row>
    <row r="6395" spans="34:37" x14ac:dyDescent="0.25">
      <c r="AH6395" s="75"/>
      <c r="AK6395" s="75"/>
    </row>
    <row r="6396" spans="34:37" x14ac:dyDescent="0.25">
      <c r="AH6396" s="75"/>
      <c r="AK6396" s="75"/>
    </row>
    <row r="6397" spans="34:37" x14ac:dyDescent="0.25">
      <c r="AH6397" s="75"/>
      <c r="AK6397" s="75"/>
    </row>
    <row r="6398" spans="34:37" x14ac:dyDescent="0.25">
      <c r="AH6398" s="75"/>
      <c r="AK6398" s="75"/>
    </row>
    <row r="6399" spans="34:37" x14ac:dyDescent="0.25">
      <c r="AH6399" s="75"/>
      <c r="AK6399" s="75"/>
    </row>
    <row r="6400" spans="34:37" x14ac:dyDescent="0.25">
      <c r="AH6400" s="75"/>
      <c r="AK6400" s="75"/>
    </row>
    <row r="6401" spans="34:37" x14ac:dyDescent="0.25">
      <c r="AH6401" s="75"/>
      <c r="AK6401" s="75"/>
    </row>
    <row r="6402" spans="34:37" x14ac:dyDescent="0.25">
      <c r="AH6402" s="75"/>
      <c r="AK6402" s="75"/>
    </row>
    <row r="6403" spans="34:37" x14ac:dyDescent="0.25">
      <c r="AH6403" s="75"/>
      <c r="AK6403" s="75"/>
    </row>
    <row r="6404" spans="34:37" x14ac:dyDescent="0.25">
      <c r="AH6404" s="75"/>
      <c r="AK6404" s="75"/>
    </row>
    <row r="6405" spans="34:37" x14ac:dyDescent="0.25">
      <c r="AH6405" s="75"/>
      <c r="AK6405" s="75"/>
    </row>
    <row r="6406" spans="34:37" x14ac:dyDescent="0.25">
      <c r="AH6406" s="75"/>
      <c r="AK6406" s="75"/>
    </row>
    <row r="6407" spans="34:37" x14ac:dyDescent="0.25">
      <c r="AH6407" s="75"/>
      <c r="AK6407" s="75"/>
    </row>
    <row r="6408" spans="34:37" x14ac:dyDescent="0.25">
      <c r="AH6408" s="75"/>
      <c r="AK6408" s="75"/>
    </row>
    <row r="6409" spans="34:37" x14ac:dyDescent="0.25">
      <c r="AH6409" s="75"/>
      <c r="AK6409" s="75"/>
    </row>
    <row r="6410" spans="34:37" x14ac:dyDescent="0.25">
      <c r="AH6410" s="75"/>
      <c r="AK6410" s="75"/>
    </row>
    <row r="6411" spans="34:37" x14ac:dyDescent="0.25">
      <c r="AH6411" s="75"/>
      <c r="AK6411" s="75"/>
    </row>
    <row r="6412" spans="34:37" x14ac:dyDescent="0.25">
      <c r="AH6412" s="75"/>
      <c r="AK6412" s="75"/>
    </row>
    <row r="6413" spans="34:37" x14ac:dyDescent="0.25">
      <c r="AH6413" s="75"/>
      <c r="AK6413" s="75"/>
    </row>
    <row r="6414" spans="34:37" x14ac:dyDescent="0.25">
      <c r="AH6414" s="75"/>
      <c r="AK6414" s="75"/>
    </row>
    <row r="6415" spans="34:37" x14ac:dyDescent="0.25">
      <c r="AH6415" s="75"/>
      <c r="AK6415" s="75"/>
    </row>
    <row r="6416" spans="34:37" x14ac:dyDescent="0.25">
      <c r="AH6416" s="75"/>
      <c r="AK6416" s="75"/>
    </row>
    <row r="6417" spans="34:37" x14ac:dyDescent="0.25">
      <c r="AH6417" s="75"/>
      <c r="AK6417" s="75"/>
    </row>
    <row r="6418" spans="34:37" x14ac:dyDescent="0.25">
      <c r="AH6418" s="75"/>
      <c r="AK6418" s="75"/>
    </row>
    <row r="6419" spans="34:37" x14ac:dyDescent="0.25">
      <c r="AH6419" s="75"/>
      <c r="AK6419" s="75"/>
    </row>
    <row r="6420" spans="34:37" x14ac:dyDescent="0.25">
      <c r="AH6420" s="75"/>
      <c r="AK6420" s="75"/>
    </row>
    <row r="6421" spans="34:37" x14ac:dyDescent="0.25">
      <c r="AH6421" s="75"/>
      <c r="AK6421" s="75"/>
    </row>
    <row r="6422" spans="34:37" x14ac:dyDescent="0.25">
      <c r="AH6422" s="75"/>
      <c r="AK6422" s="75"/>
    </row>
    <row r="6423" spans="34:37" x14ac:dyDescent="0.25">
      <c r="AH6423" s="75"/>
      <c r="AK6423" s="75"/>
    </row>
    <row r="6424" spans="34:37" x14ac:dyDescent="0.25">
      <c r="AH6424" s="75"/>
      <c r="AK6424" s="75"/>
    </row>
    <row r="6425" spans="34:37" x14ac:dyDescent="0.25">
      <c r="AH6425" s="75"/>
      <c r="AK6425" s="75"/>
    </row>
    <row r="6426" spans="34:37" x14ac:dyDescent="0.25">
      <c r="AH6426" s="75"/>
      <c r="AK6426" s="75"/>
    </row>
    <row r="6427" spans="34:37" x14ac:dyDescent="0.25">
      <c r="AH6427" s="75"/>
      <c r="AK6427" s="75"/>
    </row>
    <row r="6428" spans="34:37" x14ac:dyDescent="0.25">
      <c r="AH6428" s="75"/>
      <c r="AK6428" s="75"/>
    </row>
    <row r="6429" spans="34:37" x14ac:dyDescent="0.25">
      <c r="AH6429" s="75"/>
      <c r="AK6429" s="75"/>
    </row>
    <row r="6430" spans="34:37" x14ac:dyDescent="0.25">
      <c r="AH6430" s="75"/>
      <c r="AK6430" s="75"/>
    </row>
    <row r="6431" spans="34:37" x14ac:dyDescent="0.25">
      <c r="AH6431" s="75"/>
      <c r="AK6431" s="75"/>
    </row>
    <row r="6432" spans="34:37" x14ac:dyDescent="0.25">
      <c r="AH6432" s="75"/>
      <c r="AK6432" s="75"/>
    </row>
    <row r="6433" spans="34:37" x14ac:dyDescent="0.25">
      <c r="AH6433" s="75"/>
      <c r="AK6433" s="75"/>
    </row>
    <row r="6434" spans="34:37" x14ac:dyDescent="0.25">
      <c r="AH6434" s="75"/>
      <c r="AK6434" s="75"/>
    </row>
    <row r="6435" spans="34:37" x14ac:dyDescent="0.25">
      <c r="AH6435" s="75"/>
      <c r="AK6435" s="75"/>
    </row>
    <row r="6436" spans="34:37" x14ac:dyDescent="0.25">
      <c r="AH6436" s="75"/>
      <c r="AK6436" s="75"/>
    </row>
    <row r="6437" spans="34:37" x14ac:dyDescent="0.25">
      <c r="AH6437" s="75"/>
      <c r="AK6437" s="75"/>
    </row>
    <row r="6438" spans="34:37" x14ac:dyDescent="0.25">
      <c r="AH6438" s="75"/>
      <c r="AK6438" s="75"/>
    </row>
    <row r="6439" spans="34:37" x14ac:dyDescent="0.25">
      <c r="AH6439" s="75"/>
      <c r="AK6439" s="75"/>
    </row>
    <row r="6440" spans="34:37" x14ac:dyDescent="0.25">
      <c r="AH6440" s="75"/>
      <c r="AK6440" s="75"/>
    </row>
    <row r="6441" spans="34:37" x14ac:dyDescent="0.25">
      <c r="AH6441" s="75"/>
      <c r="AK6441" s="75"/>
    </row>
    <row r="6442" spans="34:37" x14ac:dyDescent="0.25">
      <c r="AH6442" s="75"/>
      <c r="AK6442" s="75"/>
    </row>
    <row r="6443" spans="34:37" x14ac:dyDescent="0.25">
      <c r="AH6443" s="75"/>
      <c r="AK6443" s="75"/>
    </row>
    <row r="6444" spans="34:37" x14ac:dyDescent="0.25">
      <c r="AH6444" s="75"/>
      <c r="AK6444" s="75"/>
    </row>
    <row r="6445" spans="34:37" x14ac:dyDescent="0.25">
      <c r="AH6445" s="75"/>
      <c r="AK6445" s="75"/>
    </row>
    <row r="6446" spans="34:37" x14ac:dyDescent="0.25">
      <c r="AH6446" s="75"/>
      <c r="AK6446" s="75"/>
    </row>
    <row r="6447" spans="34:37" x14ac:dyDescent="0.25">
      <c r="AH6447" s="75"/>
      <c r="AK6447" s="75"/>
    </row>
    <row r="6448" spans="34:37" x14ac:dyDescent="0.25">
      <c r="AH6448" s="75"/>
      <c r="AK6448" s="75"/>
    </row>
    <row r="6449" spans="34:37" x14ac:dyDescent="0.25">
      <c r="AH6449" s="75"/>
      <c r="AK6449" s="75"/>
    </row>
    <row r="6450" spans="34:37" x14ac:dyDescent="0.25">
      <c r="AH6450" s="75"/>
      <c r="AK6450" s="75"/>
    </row>
    <row r="6451" spans="34:37" x14ac:dyDescent="0.25">
      <c r="AH6451" s="75"/>
      <c r="AK6451" s="75"/>
    </row>
    <row r="6452" spans="34:37" x14ac:dyDescent="0.25">
      <c r="AH6452" s="75"/>
      <c r="AK6452" s="75"/>
    </row>
    <row r="6453" spans="34:37" x14ac:dyDescent="0.25">
      <c r="AH6453" s="75"/>
      <c r="AK6453" s="75"/>
    </row>
    <row r="6454" spans="34:37" x14ac:dyDescent="0.25">
      <c r="AH6454" s="75"/>
      <c r="AK6454" s="75"/>
    </row>
    <row r="6455" spans="34:37" x14ac:dyDescent="0.25">
      <c r="AH6455" s="75"/>
      <c r="AK6455" s="75"/>
    </row>
    <row r="6456" spans="34:37" x14ac:dyDescent="0.25">
      <c r="AH6456" s="75"/>
      <c r="AK6456" s="75"/>
    </row>
    <row r="6457" spans="34:37" x14ac:dyDescent="0.25">
      <c r="AH6457" s="75"/>
      <c r="AK6457" s="75"/>
    </row>
    <row r="6458" spans="34:37" x14ac:dyDescent="0.25">
      <c r="AH6458" s="75"/>
      <c r="AK6458" s="75"/>
    </row>
    <row r="6459" spans="34:37" x14ac:dyDescent="0.25">
      <c r="AH6459" s="75"/>
      <c r="AK6459" s="75"/>
    </row>
    <row r="6460" spans="34:37" x14ac:dyDescent="0.25">
      <c r="AH6460" s="75"/>
      <c r="AK6460" s="75"/>
    </row>
    <row r="6461" spans="34:37" x14ac:dyDescent="0.25">
      <c r="AH6461" s="75"/>
      <c r="AK6461" s="75"/>
    </row>
    <row r="6462" spans="34:37" x14ac:dyDescent="0.25">
      <c r="AH6462" s="75"/>
      <c r="AK6462" s="75"/>
    </row>
    <row r="6463" spans="34:37" x14ac:dyDescent="0.25">
      <c r="AH6463" s="75"/>
      <c r="AK6463" s="75"/>
    </row>
    <row r="6464" spans="34:37" x14ac:dyDescent="0.25">
      <c r="AH6464" s="75"/>
      <c r="AK6464" s="75"/>
    </row>
    <row r="6465" spans="34:37" x14ac:dyDescent="0.25">
      <c r="AH6465" s="75"/>
      <c r="AK6465" s="75"/>
    </row>
    <row r="6466" spans="34:37" x14ac:dyDescent="0.25">
      <c r="AH6466" s="75"/>
      <c r="AK6466" s="75"/>
    </row>
    <row r="6467" spans="34:37" x14ac:dyDescent="0.25">
      <c r="AH6467" s="75"/>
      <c r="AK6467" s="75"/>
    </row>
    <row r="6468" spans="34:37" x14ac:dyDescent="0.25">
      <c r="AH6468" s="75"/>
      <c r="AK6468" s="75"/>
    </row>
    <row r="6469" spans="34:37" x14ac:dyDescent="0.25">
      <c r="AH6469" s="75"/>
      <c r="AK6469" s="75"/>
    </row>
    <row r="6470" spans="34:37" x14ac:dyDescent="0.25">
      <c r="AH6470" s="75"/>
      <c r="AK6470" s="75"/>
    </row>
    <row r="6471" spans="34:37" x14ac:dyDescent="0.25">
      <c r="AH6471" s="75"/>
      <c r="AK6471" s="75"/>
    </row>
    <row r="6472" spans="34:37" x14ac:dyDescent="0.25">
      <c r="AH6472" s="75"/>
      <c r="AK6472" s="75"/>
    </row>
    <row r="6473" spans="34:37" x14ac:dyDescent="0.25">
      <c r="AH6473" s="75"/>
      <c r="AK6473" s="75"/>
    </row>
    <row r="6474" spans="34:37" x14ac:dyDescent="0.25">
      <c r="AH6474" s="75"/>
      <c r="AK6474" s="75"/>
    </row>
    <row r="6475" spans="34:37" x14ac:dyDescent="0.25">
      <c r="AH6475" s="75"/>
      <c r="AK6475" s="75"/>
    </row>
    <row r="6476" spans="34:37" x14ac:dyDescent="0.25">
      <c r="AH6476" s="75"/>
      <c r="AK6476" s="75"/>
    </row>
    <row r="6477" spans="34:37" x14ac:dyDescent="0.25">
      <c r="AH6477" s="75"/>
      <c r="AK6477" s="75"/>
    </row>
    <row r="6478" spans="34:37" x14ac:dyDescent="0.25">
      <c r="AH6478" s="75"/>
      <c r="AK6478" s="75"/>
    </row>
    <row r="6479" spans="34:37" x14ac:dyDescent="0.25">
      <c r="AH6479" s="75"/>
      <c r="AK6479" s="75"/>
    </row>
    <row r="6480" spans="34:37" x14ac:dyDescent="0.25">
      <c r="AH6480" s="75"/>
      <c r="AK6480" s="75"/>
    </row>
    <row r="6481" spans="34:37" x14ac:dyDescent="0.25">
      <c r="AH6481" s="75"/>
      <c r="AK6481" s="75"/>
    </row>
    <row r="6482" spans="34:37" x14ac:dyDescent="0.25">
      <c r="AH6482" s="75"/>
      <c r="AK6482" s="75"/>
    </row>
    <row r="6483" spans="34:37" x14ac:dyDescent="0.25">
      <c r="AH6483" s="75"/>
      <c r="AK6483" s="75"/>
    </row>
    <row r="6484" spans="34:37" x14ac:dyDescent="0.25">
      <c r="AH6484" s="75"/>
      <c r="AK6484" s="75"/>
    </row>
    <row r="6485" spans="34:37" x14ac:dyDescent="0.25">
      <c r="AH6485" s="75"/>
      <c r="AK6485" s="75"/>
    </row>
    <row r="6486" spans="34:37" x14ac:dyDescent="0.25">
      <c r="AH6486" s="75"/>
      <c r="AK6486" s="75"/>
    </row>
    <row r="6487" spans="34:37" x14ac:dyDescent="0.25">
      <c r="AH6487" s="75"/>
      <c r="AK6487" s="75"/>
    </row>
    <row r="6488" spans="34:37" x14ac:dyDescent="0.25">
      <c r="AH6488" s="75"/>
      <c r="AK6488" s="75"/>
    </row>
    <row r="6489" spans="34:37" x14ac:dyDescent="0.25">
      <c r="AH6489" s="75"/>
      <c r="AK6489" s="75"/>
    </row>
    <row r="6490" spans="34:37" x14ac:dyDescent="0.25">
      <c r="AH6490" s="75"/>
      <c r="AK6490" s="75"/>
    </row>
    <row r="6491" spans="34:37" x14ac:dyDescent="0.25">
      <c r="AH6491" s="75"/>
      <c r="AK6491" s="75"/>
    </row>
    <row r="6492" spans="34:37" x14ac:dyDescent="0.25">
      <c r="AH6492" s="75"/>
      <c r="AK6492" s="75"/>
    </row>
    <row r="6493" spans="34:37" x14ac:dyDescent="0.25">
      <c r="AH6493" s="75"/>
      <c r="AK6493" s="75"/>
    </row>
    <row r="6494" spans="34:37" x14ac:dyDescent="0.25">
      <c r="AH6494" s="75"/>
      <c r="AK6494" s="75"/>
    </row>
    <row r="6495" spans="34:37" x14ac:dyDescent="0.25">
      <c r="AH6495" s="75"/>
      <c r="AK6495" s="75"/>
    </row>
    <row r="6496" spans="34:37" x14ac:dyDescent="0.25">
      <c r="AH6496" s="75"/>
      <c r="AK6496" s="75"/>
    </row>
    <row r="6497" spans="34:37" x14ac:dyDescent="0.25">
      <c r="AH6497" s="75"/>
      <c r="AK6497" s="75"/>
    </row>
    <row r="6498" spans="34:37" x14ac:dyDescent="0.25">
      <c r="AH6498" s="75"/>
      <c r="AK6498" s="75"/>
    </row>
    <row r="6499" spans="34:37" x14ac:dyDescent="0.25">
      <c r="AH6499" s="75"/>
      <c r="AK6499" s="75"/>
    </row>
    <row r="6500" spans="34:37" x14ac:dyDescent="0.25">
      <c r="AH6500" s="75"/>
      <c r="AK6500" s="75"/>
    </row>
    <row r="6501" spans="34:37" x14ac:dyDescent="0.25">
      <c r="AH6501" s="75"/>
      <c r="AK6501" s="75"/>
    </row>
    <row r="6502" spans="34:37" x14ac:dyDescent="0.25">
      <c r="AH6502" s="75"/>
      <c r="AK6502" s="75"/>
    </row>
    <row r="6503" spans="34:37" x14ac:dyDescent="0.25">
      <c r="AH6503" s="75"/>
      <c r="AK6503" s="75"/>
    </row>
    <row r="6504" spans="34:37" x14ac:dyDescent="0.25">
      <c r="AH6504" s="75"/>
      <c r="AK6504" s="75"/>
    </row>
    <row r="6505" spans="34:37" x14ac:dyDescent="0.25">
      <c r="AH6505" s="75"/>
      <c r="AK6505" s="75"/>
    </row>
    <row r="6506" spans="34:37" x14ac:dyDescent="0.25">
      <c r="AH6506" s="75"/>
      <c r="AK6506" s="75"/>
    </row>
    <row r="6507" spans="34:37" x14ac:dyDescent="0.25">
      <c r="AH6507" s="75"/>
      <c r="AK6507" s="75"/>
    </row>
    <row r="6508" spans="34:37" x14ac:dyDescent="0.25">
      <c r="AH6508" s="75"/>
      <c r="AK6508" s="75"/>
    </row>
    <row r="6509" spans="34:37" x14ac:dyDescent="0.25">
      <c r="AH6509" s="75"/>
      <c r="AK6509" s="75"/>
    </row>
    <row r="6510" spans="34:37" x14ac:dyDescent="0.25">
      <c r="AH6510" s="75"/>
      <c r="AK6510" s="75"/>
    </row>
    <row r="6511" spans="34:37" x14ac:dyDescent="0.25">
      <c r="AH6511" s="75"/>
      <c r="AK6511" s="75"/>
    </row>
    <row r="6512" spans="34:37" x14ac:dyDescent="0.25">
      <c r="AH6512" s="75"/>
      <c r="AK6512" s="75"/>
    </row>
    <row r="6513" spans="34:37" x14ac:dyDescent="0.25">
      <c r="AH6513" s="75"/>
      <c r="AK6513" s="75"/>
    </row>
    <row r="6514" spans="34:37" x14ac:dyDescent="0.25">
      <c r="AH6514" s="75"/>
      <c r="AK6514" s="75"/>
    </row>
    <row r="6515" spans="34:37" x14ac:dyDescent="0.25">
      <c r="AH6515" s="75"/>
      <c r="AK6515" s="75"/>
    </row>
    <row r="6516" spans="34:37" x14ac:dyDescent="0.25">
      <c r="AH6516" s="75"/>
      <c r="AK6516" s="75"/>
    </row>
    <row r="6517" spans="34:37" x14ac:dyDescent="0.25">
      <c r="AH6517" s="75"/>
      <c r="AK6517" s="75"/>
    </row>
    <row r="6518" spans="34:37" x14ac:dyDescent="0.25">
      <c r="AH6518" s="75"/>
      <c r="AK6518" s="75"/>
    </row>
    <row r="6519" spans="34:37" x14ac:dyDescent="0.25">
      <c r="AH6519" s="75"/>
      <c r="AK6519" s="75"/>
    </row>
    <row r="6520" spans="34:37" x14ac:dyDescent="0.25">
      <c r="AH6520" s="75"/>
      <c r="AK6520" s="75"/>
    </row>
    <row r="6521" spans="34:37" x14ac:dyDescent="0.25">
      <c r="AH6521" s="75"/>
      <c r="AK6521" s="75"/>
    </row>
    <row r="6522" spans="34:37" x14ac:dyDescent="0.25">
      <c r="AH6522" s="75"/>
      <c r="AK6522" s="75"/>
    </row>
    <row r="6523" spans="34:37" x14ac:dyDescent="0.25">
      <c r="AH6523" s="75"/>
      <c r="AK6523" s="75"/>
    </row>
    <row r="6524" spans="34:37" x14ac:dyDescent="0.25">
      <c r="AH6524" s="75"/>
      <c r="AK6524" s="75"/>
    </row>
    <row r="6525" spans="34:37" x14ac:dyDescent="0.25">
      <c r="AH6525" s="75"/>
      <c r="AK6525" s="75"/>
    </row>
    <row r="6526" spans="34:37" x14ac:dyDescent="0.25">
      <c r="AH6526" s="75"/>
      <c r="AK6526" s="75"/>
    </row>
    <row r="6527" spans="34:37" x14ac:dyDescent="0.25">
      <c r="AH6527" s="75"/>
      <c r="AK6527" s="75"/>
    </row>
    <row r="6528" spans="34:37" x14ac:dyDescent="0.25">
      <c r="AH6528" s="75"/>
      <c r="AK6528" s="75"/>
    </row>
    <row r="6529" spans="34:37" x14ac:dyDescent="0.25">
      <c r="AH6529" s="75"/>
      <c r="AK6529" s="75"/>
    </row>
    <row r="6530" spans="34:37" x14ac:dyDescent="0.25">
      <c r="AH6530" s="75"/>
      <c r="AK6530" s="75"/>
    </row>
    <row r="6531" spans="34:37" x14ac:dyDescent="0.25">
      <c r="AH6531" s="75"/>
      <c r="AK6531" s="75"/>
    </row>
    <row r="6532" spans="34:37" x14ac:dyDescent="0.25">
      <c r="AH6532" s="75"/>
      <c r="AK6532" s="75"/>
    </row>
    <row r="6533" spans="34:37" x14ac:dyDescent="0.25">
      <c r="AH6533" s="75"/>
      <c r="AK6533" s="75"/>
    </row>
    <row r="6534" spans="34:37" x14ac:dyDescent="0.25">
      <c r="AH6534" s="75"/>
      <c r="AK6534" s="75"/>
    </row>
    <row r="6535" spans="34:37" x14ac:dyDescent="0.25">
      <c r="AH6535" s="75"/>
      <c r="AK6535" s="75"/>
    </row>
    <row r="6536" spans="34:37" x14ac:dyDescent="0.25">
      <c r="AH6536" s="75"/>
      <c r="AK6536" s="75"/>
    </row>
    <row r="6537" spans="34:37" x14ac:dyDescent="0.25">
      <c r="AH6537" s="75"/>
      <c r="AK6537" s="75"/>
    </row>
    <row r="6538" spans="34:37" x14ac:dyDescent="0.25">
      <c r="AH6538" s="75"/>
      <c r="AK6538" s="75"/>
    </row>
    <row r="6539" spans="34:37" x14ac:dyDescent="0.25">
      <c r="AH6539" s="75"/>
      <c r="AK6539" s="75"/>
    </row>
    <row r="6540" spans="34:37" x14ac:dyDescent="0.25">
      <c r="AH6540" s="75"/>
      <c r="AK6540" s="75"/>
    </row>
    <row r="6541" spans="34:37" x14ac:dyDescent="0.25">
      <c r="AH6541" s="75"/>
      <c r="AK6541" s="75"/>
    </row>
    <row r="6542" spans="34:37" x14ac:dyDescent="0.25">
      <c r="AH6542" s="75"/>
      <c r="AK6542" s="75"/>
    </row>
    <row r="6543" spans="34:37" x14ac:dyDescent="0.25">
      <c r="AH6543" s="75"/>
      <c r="AK6543" s="75"/>
    </row>
    <row r="6544" spans="34:37" x14ac:dyDescent="0.25">
      <c r="AH6544" s="75"/>
      <c r="AK6544" s="75"/>
    </row>
    <row r="6545" spans="34:37" x14ac:dyDescent="0.25">
      <c r="AH6545" s="75"/>
      <c r="AK6545" s="75"/>
    </row>
    <row r="6546" spans="34:37" x14ac:dyDescent="0.25">
      <c r="AH6546" s="75"/>
      <c r="AK6546" s="75"/>
    </row>
    <row r="6547" spans="34:37" x14ac:dyDescent="0.25">
      <c r="AH6547" s="75"/>
      <c r="AK6547" s="75"/>
    </row>
    <row r="6548" spans="34:37" x14ac:dyDescent="0.25">
      <c r="AH6548" s="75"/>
      <c r="AK6548" s="75"/>
    </row>
    <row r="6549" spans="34:37" x14ac:dyDescent="0.25">
      <c r="AH6549" s="75"/>
      <c r="AK6549" s="75"/>
    </row>
    <row r="6550" spans="34:37" x14ac:dyDescent="0.25">
      <c r="AH6550" s="75"/>
      <c r="AK6550" s="75"/>
    </row>
    <row r="6551" spans="34:37" x14ac:dyDescent="0.25">
      <c r="AH6551" s="75"/>
      <c r="AK6551" s="75"/>
    </row>
    <row r="6552" spans="34:37" x14ac:dyDescent="0.25">
      <c r="AH6552" s="75"/>
      <c r="AK6552" s="75"/>
    </row>
    <row r="6553" spans="34:37" x14ac:dyDescent="0.25">
      <c r="AH6553" s="75"/>
      <c r="AK6553" s="75"/>
    </row>
    <row r="6554" spans="34:37" x14ac:dyDescent="0.25">
      <c r="AH6554" s="75"/>
      <c r="AK6554" s="75"/>
    </row>
    <row r="6555" spans="34:37" x14ac:dyDescent="0.25">
      <c r="AH6555" s="75"/>
      <c r="AK6555" s="75"/>
    </row>
    <row r="6556" spans="34:37" x14ac:dyDescent="0.25">
      <c r="AH6556" s="75"/>
      <c r="AK6556" s="75"/>
    </row>
    <row r="6557" spans="34:37" x14ac:dyDescent="0.25">
      <c r="AH6557" s="75"/>
      <c r="AK6557" s="75"/>
    </row>
    <row r="6558" spans="34:37" x14ac:dyDescent="0.25">
      <c r="AH6558" s="75"/>
      <c r="AK6558" s="75"/>
    </row>
    <row r="6559" spans="34:37" x14ac:dyDescent="0.25">
      <c r="AH6559" s="75"/>
      <c r="AK6559" s="75"/>
    </row>
    <row r="6560" spans="34:37" x14ac:dyDescent="0.25">
      <c r="AH6560" s="75"/>
      <c r="AK6560" s="75"/>
    </row>
    <row r="6561" spans="34:37" x14ac:dyDescent="0.25">
      <c r="AH6561" s="75"/>
      <c r="AK6561" s="75"/>
    </row>
    <row r="6562" spans="34:37" x14ac:dyDescent="0.25">
      <c r="AH6562" s="75"/>
      <c r="AK6562" s="75"/>
    </row>
    <row r="6563" spans="34:37" x14ac:dyDescent="0.25">
      <c r="AH6563" s="75"/>
      <c r="AK6563" s="75"/>
    </row>
    <row r="6564" spans="34:37" x14ac:dyDescent="0.25">
      <c r="AH6564" s="75"/>
      <c r="AK6564" s="75"/>
    </row>
    <row r="6565" spans="34:37" x14ac:dyDescent="0.25">
      <c r="AH6565" s="75"/>
      <c r="AK6565" s="75"/>
    </row>
    <row r="6566" spans="34:37" x14ac:dyDescent="0.25">
      <c r="AH6566" s="75"/>
      <c r="AK6566" s="75"/>
    </row>
    <row r="6567" spans="34:37" x14ac:dyDescent="0.25">
      <c r="AH6567" s="75"/>
      <c r="AK6567" s="75"/>
    </row>
    <row r="6568" spans="34:37" x14ac:dyDescent="0.25">
      <c r="AH6568" s="75"/>
      <c r="AK6568" s="75"/>
    </row>
    <row r="6569" spans="34:37" x14ac:dyDescent="0.25">
      <c r="AH6569" s="75"/>
      <c r="AK6569" s="75"/>
    </row>
    <row r="6570" spans="34:37" x14ac:dyDescent="0.25">
      <c r="AH6570" s="75"/>
      <c r="AK6570" s="75"/>
    </row>
    <row r="6571" spans="34:37" x14ac:dyDescent="0.25">
      <c r="AH6571" s="75"/>
      <c r="AK6571" s="75"/>
    </row>
    <row r="6572" spans="34:37" x14ac:dyDescent="0.25">
      <c r="AH6572" s="75"/>
      <c r="AK6572" s="75"/>
    </row>
    <row r="6573" spans="34:37" x14ac:dyDescent="0.25">
      <c r="AH6573" s="75"/>
      <c r="AK6573" s="75"/>
    </row>
    <row r="6574" spans="34:37" x14ac:dyDescent="0.25">
      <c r="AH6574" s="75"/>
      <c r="AK6574" s="75"/>
    </row>
    <row r="6575" spans="34:37" x14ac:dyDescent="0.25">
      <c r="AH6575" s="75"/>
      <c r="AK6575" s="75"/>
    </row>
    <row r="6576" spans="34:37" x14ac:dyDescent="0.25">
      <c r="AH6576" s="75"/>
      <c r="AK6576" s="75"/>
    </row>
    <row r="6577" spans="34:37" x14ac:dyDescent="0.25">
      <c r="AH6577" s="75"/>
      <c r="AK6577" s="75"/>
    </row>
    <row r="6578" spans="34:37" x14ac:dyDescent="0.25">
      <c r="AH6578" s="75"/>
      <c r="AK6578" s="75"/>
    </row>
    <row r="6579" spans="34:37" x14ac:dyDescent="0.25">
      <c r="AH6579" s="75"/>
      <c r="AK6579" s="75"/>
    </row>
    <row r="6580" spans="34:37" x14ac:dyDescent="0.25">
      <c r="AH6580" s="75"/>
      <c r="AK6580" s="75"/>
    </row>
    <row r="6581" spans="34:37" x14ac:dyDescent="0.25">
      <c r="AH6581" s="75"/>
      <c r="AK6581" s="75"/>
    </row>
    <row r="6582" spans="34:37" x14ac:dyDescent="0.25">
      <c r="AH6582" s="75"/>
      <c r="AK6582" s="75"/>
    </row>
    <row r="6583" spans="34:37" x14ac:dyDescent="0.25">
      <c r="AH6583" s="75"/>
      <c r="AK6583" s="75"/>
    </row>
    <row r="6584" spans="34:37" x14ac:dyDescent="0.25">
      <c r="AH6584" s="75"/>
      <c r="AK6584" s="75"/>
    </row>
    <row r="6585" spans="34:37" x14ac:dyDescent="0.25">
      <c r="AH6585" s="75"/>
      <c r="AK6585" s="75"/>
    </row>
    <row r="6586" spans="34:37" x14ac:dyDescent="0.25">
      <c r="AH6586" s="75"/>
      <c r="AK6586" s="75"/>
    </row>
    <row r="6587" spans="34:37" x14ac:dyDescent="0.25">
      <c r="AH6587" s="75"/>
      <c r="AK6587" s="75"/>
    </row>
    <row r="6588" spans="34:37" x14ac:dyDescent="0.25">
      <c r="AH6588" s="75"/>
      <c r="AK6588" s="75"/>
    </row>
    <row r="6589" spans="34:37" x14ac:dyDescent="0.25">
      <c r="AH6589" s="75"/>
      <c r="AK6589" s="75"/>
    </row>
    <row r="6590" spans="34:37" x14ac:dyDescent="0.25">
      <c r="AH6590" s="75"/>
      <c r="AK6590" s="75"/>
    </row>
    <row r="6591" spans="34:37" x14ac:dyDescent="0.25">
      <c r="AH6591" s="75"/>
      <c r="AK6591" s="75"/>
    </row>
    <row r="6592" spans="34:37" x14ac:dyDescent="0.25">
      <c r="AH6592" s="75"/>
      <c r="AK6592" s="75"/>
    </row>
    <row r="6593" spans="34:37" x14ac:dyDescent="0.25">
      <c r="AH6593" s="75"/>
      <c r="AK6593" s="75"/>
    </row>
    <row r="6594" spans="34:37" x14ac:dyDescent="0.25">
      <c r="AH6594" s="75"/>
      <c r="AK6594" s="75"/>
    </row>
    <row r="6595" spans="34:37" x14ac:dyDescent="0.25">
      <c r="AH6595" s="75"/>
      <c r="AK6595" s="75"/>
    </row>
    <row r="6596" spans="34:37" x14ac:dyDescent="0.25">
      <c r="AH6596" s="75"/>
      <c r="AK6596" s="75"/>
    </row>
    <row r="6597" spans="34:37" x14ac:dyDescent="0.25">
      <c r="AH6597" s="75"/>
      <c r="AK6597" s="75"/>
    </row>
    <row r="6598" spans="34:37" x14ac:dyDescent="0.25">
      <c r="AH6598" s="75"/>
      <c r="AK6598" s="75"/>
    </row>
    <row r="6599" spans="34:37" x14ac:dyDescent="0.25">
      <c r="AH6599" s="75"/>
      <c r="AK6599" s="75"/>
    </row>
    <row r="6600" spans="34:37" x14ac:dyDescent="0.25">
      <c r="AH6600" s="75"/>
      <c r="AK6600" s="75"/>
    </row>
    <row r="6601" spans="34:37" x14ac:dyDescent="0.25">
      <c r="AH6601" s="75"/>
      <c r="AK6601" s="75"/>
    </row>
    <row r="6602" spans="34:37" x14ac:dyDescent="0.25">
      <c r="AH6602" s="75"/>
      <c r="AK6602" s="75"/>
    </row>
    <row r="6603" spans="34:37" x14ac:dyDescent="0.25">
      <c r="AH6603" s="75"/>
      <c r="AK6603" s="75"/>
    </row>
    <row r="6604" spans="34:37" x14ac:dyDescent="0.25">
      <c r="AH6604" s="75"/>
      <c r="AK6604" s="75"/>
    </row>
    <row r="6605" spans="34:37" x14ac:dyDescent="0.25">
      <c r="AH6605" s="75"/>
      <c r="AK6605" s="75"/>
    </row>
    <row r="6606" spans="34:37" x14ac:dyDescent="0.25">
      <c r="AH6606" s="75"/>
      <c r="AK6606" s="75"/>
    </row>
    <row r="6607" spans="34:37" x14ac:dyDescent="0.25">
      <c r="AH6607" s="75"/>
      <c r="AK6607" s="75"/>
    </row>
    <row r="6608" spans="34:37" x14ac:dyDescent="0.25">
      <c r="AH6608" s="75"/>
      <c r="AK6608" s="75"/>
    </row>
    <row r="6609" spans="34:37" x14ac:dyDescent="0.25">
      <c r="AH6609" s="75"/>
      <c r="AK6609" s="75"/>
    </row>
    <row r="6610" spans="34:37" x14ac:dyDescent="0.25">
      <c r="AH6610" s="75"/>
      <c r="AK6610" s="75"/>
    </row>
    <row r="6611" spans="34:37" x14ac:dyDescent="0.25">
      <c r="AH6611" s="75"/>
      <c r="AK6611" s="75"/>
    </row>
    <row r="6612" spans="34:37" x14ac:dyDescent="0.25">
      <c r="AH6612" s="75"/>
      <c r="AK6612" s="75"/>
    </row>
    <row r="6613" spans="34:37" x14ac:dyDescent="0.25">
      <c r="AH6613" s="75"/>
      <c r="AK6613" s="75"/>
    </row>
    <row r="6614" spans="34:37" x14ac:dyDescent="0.25">
      <c r="AH6614" s="75"/>
      <c r="AK6614" s="75"/>
    </row>
    <row r="6615" spans="34:37" x14ac:dyDescent="0.25">
      <c r="AH6615" s="75"/>
      <c r="AK6615" s="75"/>
    </row>
    <row r="6616" spans="34:37" x14ac:dyDescent="0.25">
      <c r="AH6616" s="75"/>
      <c r="AK6616" s="75"/>
    </row>
    <row r="6617" spans="34:37" x14ac:dyDescent="0.25">
      <c r="AH6617" s="75"/>
      <c r="AK6617" s="75"/>
    </row>
    <row r="6618" spans="34:37" x14ac:dyDescent="0.25">
      <c r="AH6618" s="75"/>
      <c r="AK6618" s="75"/>
    </row>
    <row r="6619" spans="34:37" x14ac:dyDescent="0.25">
      <c r="AH6619" s="75"/>
      <c r="AK6619" s="75"/>
    </row>
    <row r="6620" spans="34:37" x14ac:dyDescent="0.25">
      <c r="AH6620" s="75"/>
      <c r="AK6620" s="75"/>
    </row>
    <row r="6621" spans="34:37" x14ac:dyDescent="0.25">
      <c r="AH6621" s="75"/>
      <c r="AK6621" s="75"/>
    </row>
    <row r="6622" spans="34:37" x14ac:dyDescent="0.25">
      <c r="AH6622" s="75"/>
      <c r="AK6622" s="75"/>
    </row>
    <row r="6623" spans="34:37" x14ac:dyDescent="0.25">
      <c r="AH6623" s="75"/>
      <c r="AK6623" s="75"/>
    </row>
    <row r="6624" spans="34:37" x14ac:dyDescent="0.25">
      <c r="AH6624" s="75"/>
      <c r="AK6624" s="75"/>
    </row>
    <row r="6625" spans="34:37" x14ac:dyDescent="0.25">
      <c r="AH6625" s="75"/>
      <c r="AK6625" s="75"/>
    </row>
    <row r="6626" spans="34:37" x14ac:dyDescent="0.25">
      <c r="AH6626" s="75"/>
      <c r="AK6626" s="75"/>
    </row>
    <row r="6627" spans="34:37" x14ac:dyDescent="0.25">
      <c r="AH6627" s="75"/>
      <c r="AK6627" s="75"/>
    </row>
    <row r="6628" spans="34:37" x14ac:dyDescent="0.25">
      <c r="AH6628" s="75"/>
      <c r="AK6628" s="75"/>
    </row>
    <row r="6629" spans="34:37" x14ac:dyDescent="0.25">
      <c r="AH6629" s="75"/>
      <c r="AK6629" s="75"/>
    </row>
    <row r="6630" spans="34:37" x14ac:dyDescent="0.25">
      <c r="AH6630" s="75"/>
      <c r="AK6630" s="75"/>
    </row>
    <row r="6631" spans="34:37" x14ac:dyDescent="0.25">
      <c r="AH6631" s="75"/>
      <c r="AK6631" s="75"/>
    </row>
    <row r="6632" spans="34:37" x14ac:dyDescent="0.25">
      <c r="AH6632" s="75"/>
      <c r="AK6632" s="75"/>
    </row>
    <row r="6633" spans="34:37" x14ac:dyDescent="0.25">
      <c r="AH6633" s="75"/>
      <c r="AK6633" s="75"/>
    </row>
    <row r="6634" spans="34:37" x14ac:dyDescent="0.25">
      <c r="AH6634" s="75"/>
      <c r="AK6634" s="75"/>
    </row>
    <row r="6635" spans="34:37" x14ac:dyDescent="0.25">
      <c r="AH6635" s="75"/>
      <c r="AK6635" s="75"/>
    </row>
    <row r="6636" spans="34:37" x14ac:dyDescent="0.25">
      <c r="AH6636" s="75"/>
      <c r="AK6636" s="75"/>
    </row>
    <row r="6637" spans="34:37" x14ac:dyDescent="0.25">
      <c r="AH6637" s="75"/>
      <c r="AK6637" s="75"/>
    </row>
    <row r="6638" spans="34:37" x14ac:dyDescent="0.25">
      <c r="AH6638" s="75"/>
      <c r="AK6638" s="75"/>
    </row>
    <row r="6639" spans="34:37" x14ac:dyDescent="0.25">
      <c r="AH6639" s="75"/>
      <c r="AK6639" s="75"/>
    </row>
    <row r="6640" spans="34:37" x14ac:dyDescent="0.25">
      <c r="AH6640" s="75"/>
      <c r="AK6640" s="75"/>
    </row>
    <row r="6641" spans="34:37" x14ac:dyDescent="0.25">
      <c r="AH6641" s="75"/>
      <c r="AK6641" s="75"/>
    </row>
    <row r="6642" spans="34:37" x14ac:dyDescent="0.25">
      <c r="AH6642" s="75"/>
      <c r="AK6642" s="75"/>
    </row>
    <row r="6643" spans="34:37" x14ac:dyDescent="0.25">
      <c r="AH6643" s="75"/>
      <c r="AK6643" s="75"/>
    </row>
    <row r="6644" spans="34:37" x14ac:dyDescent="0.25">
      <c r="AH6644" s="75"/>
      <c r="AK6644" s="75"/>
    </row>
    <row r="6645" spans="34:37" x14ac:dyDescent="0.25">
      <c r="AH6645" s="75"/>
      <c r="AK6645" s="75"/>
    </row>
    <row r="6646" spans="34:37" x14ac:dyDescent="0.25">
      <c r="AH6646" s="75"/>
      <c r="AK6646" s="75"/>
    </row>
    <row r="6647" spans="34:37" x14ac:dyDescent="0.25">
      <c r="AH6647" s="75"/>
      <c r="AK6647" s="75"/>
    </row>
    <row r="6648" spans="34:37" x14ac:dyDescent="0.25">
      <c r="AH6648" s="75"/>
      <c r="AK6648" s="75"/>
    </row>
    <row r="6649" spans="34:37" x14ac:dyDescent="0.25">
      <c r="AH6649" s="75"/>
      <c r="AK6649" s="75"/>
    </row>
    <row r="6650" spans="34:37" x14ac:dyDescent="0.25">
      <c r="AH6650" s="75"/>
      <c r="AK6650" s="75"/>
    </row>
    <row r="6651" spans="34:37" x14ac:dyDescent="0.25">
      <c r="AH6651" s="75"/>
      <c r="AK6651" s="75"/>
    </row>
    <row r="6652" spans="34:37" x14ac:dyDescent="0.25">
      <c r="AH6652" s="75"/>
      <c r="AK6652" s="75"/>
    </row>
    <row r="6653" spans="34:37" x14ac:dyDescent="0.25">
      <c r="AH6653" s="75"/>
      <c r="AK6653" s="75"/>
    </row>
    <row r="6654" spans="34:37" x14ac:dyDescent="0.25">
      <c r="AH6654" s="75"/>
      <c r="AK6654" s="75"/>
    </row>
    <row r="6655" spans="34:37" x14ac:dyDescent="0.25">
      <c r="AH6655" s="75"/>
      <c r="AK6655" s="75"/>
    </row>
    <row r="6656" spans="34:37" x14ac:dyDescent="0.25">
      <c r="AH6656" s="75"/>
      <c r="AK6656" s="75"/>
    </row>
    <row r="6657" spans="34:37" x14ac:dyDescent="0.25">
      <c r="AH6657" s="75"/>
      <c r="AK6657" s="75"/>
    </row>
    <row r="6658" spans="34:37" x14ac:dyDescent="0.25">
      <c r="AH6658" s="75"/>
      <c r="AK6658" s="75"/>
    </row>
    <row r="6659" spans="34:37" x14ac:dyDescent="0.25">
      <c r="AH6659" s="75"/>
      <c r="AK6659" s="75"/>
    </row>
    <row r="6660" spans="34:37" x14ac:dyDescent="0.25">
      <c r="AH6660" s="75"/>
      <c r="AK6660" s="75"/>
    </row>
    <row r="6661" spans="34:37" x14ac:dyDescent="0.25">
      <c r="AH6661" s="75"/>
      <c r="AK6661" s="75"/>
    </row>
    <row r="6662" spans="34:37" x14ac:dyDescent="0.25">
      <c r="AH6662" s="75"/>
      <c r="AK6662" s="75"/>
    </row>
    <row r="6663" spans="34:37" x14ac:dyDescent="0.25">
      <c r="AH6663" s="75"/>
      <c r="AK6663" s="75"/>
    </row>
    <row r="6664" spans="34:37" x14ac:dyDescent="0.25">
      <c r="AH6664" s="75"/>
      <c r="AK6664" s="75"/>
    </row>
    <row r="6665" spans="34:37" x14ac:dyDescent="0.25">
      <c r="AH6665" s="75"/>
      <c r="AK6665" s="75"/>
    </row>
    <row r="6666" spans="34:37" x14ac:dyDescent="0.25">
      <c r="AH6666" s="75"/>
      <c r="AK6666" s="75"/>
    </row>
    <row r="6667" spans="34:37" x14ac:dyDescent="0.25">
      <c r="AH6667" s="75"/>
      <c r="AK6667" s="75"/>
    </row>
    <row r="6668" spans="34:37" x14ac:dyDescent="0.25">
      <c r="AH6668" s="75"/>
      <c r="AK6668" s="75"/>
    </row>
    <row r="6669" spans="34:37" x14ac:dyDescent="0.25">
      <c r="AH6669" s="75"/>
      <c r="AK6669" s="75"/>
    </row>
    <row r="6670" spans="34:37" x14ac:dyDescent="0.25">
      <c r="AH6670" s="75"/>
      <c r="AK6670" s="75"/>
    </row>
    <row r="6671" spans="34:37" x14ac:dyDescent="0.25">
      <c r="AH6671" s="75"/>
      <c r="AK6671" s="75"/>
    </row>
    <row r="6672" spans="34:37" x14ac:dyDescent="0.25">
      <c r="AH6672" s="75"/>
      <c r="AK6672" s="75"/>
    </row>
    <row r="6673" spans="34:37" x14ac:dyDescent="0.25">
      <c r="AH6673" s="75"/>
      <c r="AK6673" s="75"/>
    </row>
    <row r="6674" spans="34:37" x14ac:dyDescent="0.25">
      <c r="AH6674" s="75"/>
      <c r="AK6674" s="75"/>
    </row>
    <row r="6675" spans="34:37" x14ac:dyDescent="0.25">
      <c r="AH6675" s="75"/>
      <c r="AK6675" s="75"/>
    </row>
    <row r="6676" spans="34:37" x14ac:dyDescent="0.25">
      <c r="AH6676" s="75"/>
      <c r="AK6676" s="75"/>
    </row>
    <row r="6677" spans="34:37" x14ac:dyDescent="0.25">
      <c r="AH6677" s="75"/>
      <c r="AK6677" s="75"/>
    </row>
    <row r="6678" spans="34:37" x14ac:dyDescent="0.25">
      <c r="AH6678" s="75"/>
      <c r="AK6678" s="75"/>
    </row>
    <row r="6679" spans="34:37" x14ac:dyDescent="0.25">
      <c r="AH6679" s="75"/>
      <c r="AK6679" s="75"/>
    </row>
    <row r="6680" spans="34:37" x14ac:dyDescent="0.25">
      <c r="AH6680" s="75"/>
      <c r="AK6680" s="75"/>
    </row>
    <row r="6681" spans="34:37" x14ac:dyDescent="0.25">
      <c r="AH6681" s="75"/>
      <c r="AK6681" s="75"/>
    </row>
    <row r="6682" spans="34:37" x14ac:dyDescent="0.25">
      <c r="AH6682" s="75"/>
      <c r="AK6682" s="75"/>
    </row>
    <row r="6683" spans="34:37" x14ac:dyDescent="0.25">
      <c r="AH6683" s="75"/>
      <c r="AK6683" s="75"/>
    </row>
    <row r="6684" spans="34:37" x14ac:dyDescent="0.25">
      <c r="AH6684" s="75"/>
      <c r="AK6684" s="75"/>
    </row>
    <row r="6685" spans="34:37" x14ac:dyDescent="0.25">
      <c r="AH6685" s="75"/>
      <c r="AK6685" s="75"/>
    </row>
    <row r="6686" spans="34:37" x14ac:dyDescent="0.25">
      <c r="AH6686" s="75"/>
      <c r="AK6686" s="75"/>
    </row>
    <row r="6687" spans="34:37" x14ac:dyDescent="0.25">
      <c r="AH6687" s="75"/>
      <c r="AK6687" s="75"/>
    </row>
    <row r="6688" spans="34:37" x14ac:dyDescent="0.25">
      <c r="AH6688" s="75"/>
      <c r="AK6688" s="75"/>
    </row>
    <row r="6689" spans="34:37" x14ac:dyDescent="0.25">
      <c r="AH6689" s="75"/>
      <c r="AK6689" s="75"/>
    </row>
    <row r="6690" spans="34:37" x14ac:dyDescent="0.25">
      <c r="AH6690" s="75"/>
      <c r="AK6690" s="75"/>
    </row>
    <row r="6691" spans="34:37" x14ac:dyDescent="0.25">
      <c r="AH6691" s="75"/>
      <c r="AK6691" s="75"/>
    </row>
    <row r="6692" spans="34:37" x14ac:dyDescent="0.25">
      <c r="AH6692" s="75"/>
      <c r="AK6692" s="75"/>
    </row>
    <row r="6693" spans="34:37" x14ac:dyDescent="0.25">
      <c r="AH6693" s="75"/>
      <c r="AK6693" s="75"/>
    </row>
    <row r="6694" spans="34:37" x14ac:dyDescent="0.25">
      <c r="AH6694" s="75"/>
      <c r="AK6694" s="75"/>
    </row>
    <row r="6695" spans="34:37" x14ac:dyDescent="0.25">
      <c r="AH6695" s="75"/>
      <c r="AK6695" s="75"/>
    </row>
    <row r="6696" spans="34:37" x14ac:dyDescent="0.25">
      <c r="AH6696" s="75"/>
      <c r="AK6696" s="75"/>
    </row>
    <row r="6697" spans="34:37" x14ac:dyDescent="0.25">
      <c r="AH6697" s="75"/>
      <c r="AK6697" s="75"/>
    </row>
    <row r="6698" spans="34:37" x14ac:dyDescent="0.25">
      <c r="AH6698" s="75"/>
      <c r="AK6698" s="75"/>
    </row>
    <row r="6699" spans="34:37" x14ac:dyDescent="0.25">
      <c r="AH6699" s="75"/>
      <c r="AK6699" s="75"/>
    </row>
    <row r="6700" spans="34:37" x14ac:dyDescent="0.25">
      <c r="AH6700" s="75"/>
      <c r="AK6700" s="75"/>
    </row>
    <row r="6701" spans="34:37" x14ac:dyDescent="0.25">
      <c r="AH6701" s="75"/>
      <c r="AK6701" s="75"/>
    </row>
    <row r="6702" spans="34:37" x14ac:dyDescent="0.25">
      <c r="AH6702" s="75"/>
      <c r="AK6702" s="75"/>
    </row>
    <row r="6703" spans="34:37" x14ac:dyDescent="0.25">
      <c r="AH6703" s="75"/>
      <c r="AK6703" s="75"/>
    </row>
    <row r="6704" spans="34:37" x14ac:dyDescent="0.25">
      <c r="AH6704" s="75"/>
      <c r="AK6704" s="75"/>
    </row>
    <row r="6705" spans="34:37" x14ac:dyDescent="0.25">
      <c r="AH6705" s="75"/>
      <c r="AK6705" s="75"/>
    </row>
    <row r="6706" spans="34:37" x14ac:dyDescent="0.25">
      <c r="AH6706" s="75"/>
      <c r="AK6706" s="75"/>
    </row>
    <row r="6707" spans="34:37" x14ac:dyDescent="0.25">
      <c r="AH6707" s="75"/>
      <c r="AK6707" s="75"/>
    </row>
    <row r="6708" spans="34:37" x14ac:dyDescent="0.25">
      <c r="AH6708" s="75"/>
      <c r="AK6708" s="75"/>
    </row>
    <row r="6709" spans="34:37" x14ac:dyDescent="0.25">
      <c r="AH6709" s="75"/>
      <c r="AK6709" s="75"/>
    </row>
    <row r="6710" spans="34:37" x14ac:dyDescent="0.25">
      <c r="AH6710" s="75"/>
      <c r="AK6710" s="75"/>
    </row>
    <row r="6711" spans="34:37" x14ac:dyDescent="0.25">
      <c r="AH6711" s="75"/>
      <c r="AK6711" s="75"/>
    </row>
    <row r="6712" spans="34:37" x14ac:dyDescent="0.25">
      <c r="AH6712" s="75"/>
      <c r="AK6712" s="75"/>
    </row>
    <row r="6713" spans="34:37" x14ac:dyDescent="0.25">
      <c r="AH6713" s="75"/>
      <c r="AK6713" s="75"/>
    </row>
    <row r="6714" spans="34:37" x14ac:dyDescent="0.25">
      <c r="AH6714" s="75"/>
      <c r="AK6714" s="75"/>
    </row>
    <row r="6715" spans="34:37" x14ac:dyDescent="0.25">
      <c r="AH6715" s="75"/>
      <c r="AK6715" s="75"/>
    </row>
    <row r="6716" spans="34:37" x14ac:dyDescent="0.25">
      <c r="AH6716" s="75"/>
      <c r="AK6716" s="75"/>
    </row>
    <row r="6717" spans="34:37" x14ac:dyDescent="0.25">
      <c r="AH6717" s="75"/>
      <c r="AK6717" s="75"/>
    </row>
    <row r="6718" spans="34:37" x14ac:dyDescent="0.25">
      <c r="AH6718" s="75"/>
      <c r="AK6718" s="75"/>
    </row>
    <row r="6719" spans="34:37" x14ac:dyDescent="0.25">
      <c r="AH6719" s="75"/>
      <c r="AK6719" s="75"/>
    </row>
    <row r="6720" spans="34:37" x14ac:dyDescent="0.25">
      <c r="AH6720" s="75"/>
      <c r="AK6720" s="75"/>
    </row>
    <row r="6721" spans="34:37" x14ac:dyDescent="0.25">
      <c r="AH6721" s="75"/>
      <c r="AK6721" s="75"/>
    </row>
    <row r="6722" spans="34:37" x14ac:dyDescent="0.25">
      <c r="AH6722" s="75"/>
      <c r="AK6722" s="75"/>
    </row>
    <row r="6723" spans="34:37" x14ac:dyDescent="0.25">
      <c r="AH6723" s="75"/>
      <c r="AK6723" s="75"/>
    </row>
    <row r="6724" spans="34:37" x14ac:dyDescent="0.25">
      <c r="AH6724" s="75"/>
      <c r="AK6724" s="75"/>
    </row>
    <row r="6725" spans="34:37" x14ac:dyDescent="0.25">
      <c r="AH6725" s="75"/>
      <c r="AK6725" s="75"/>
    </row>
    <row r="6726" spans="34:37" x14ac:dyDescent="0.25">
      <c r="AH6726" s="75"/>
      <c r="AK6726" s="75"/>
    </row>
    <row r="6727" spans="34:37" x14ac:dyDescent="0.25">
      <c r="AH6727" s="75"/>
      <c r="AK6727" s="75"/>
    </row>
    <row r="6728" spans="34:37" x14ac:dyDescent="0.25">
      <c r="AH6728" s="75"/>
      <c r="AK6728" s="75"/>
    </row>
    <row r="6729" spans="34:37" x14ac:dyDescent="0.25">
      <c r="AH6729" s="75"/>
      <c r="AK6729" s="75"/>
    </row>
    <row r="6730" spans="34:37" x14ac:dyDescent="0.25">
      <c r="AH6730" s="75"/>
      <c r="AK6730" s="75"/>
    </row>
    <row r="6731" spans="34:37" x14ac:dyDescent="0.25">
      <c r="AH6731" s="75"/>
      <c r="AK6731" s="75"/>
    </row>
    <row r="6732" spans="34:37" x14ac:dyDescent="0.25">
      <c r="AH6732" s="75"/>
      <c r="AK6732" s="75"/>
    </row>
    <row r="6733" spans="34:37" x14ac:dyDescent="0.25">
      <c r="AH6733" s="75"/>
      <c r="AK6733" s="75"/>
    </row>
    <row r="6734" spans="34:37" x14ac:dyDescent="0.25">
      <c r="AH6734" s="75"/>
      <c r="AK6734" s="75"/>
    </row>
    <row r="6735" spans="34:37" x14ac:dyDescent="0.25">
      <c r="AH6735" s="75"/>
      <c r="AK6735" s="75"/>
    </row>
    <row r="6736" spans="34:37" x14ac:dyDescent="0.25">
      <c r="AH6736" s="75"/>
      <c r="AK6736" s="75"/>
    </row>
    <row r="6737" spans="34:37" x14ac:dyDescent="0.25">
      <c r="AH6737" s="75"/>
      <c r="AK6737" s="75"/>
    </row>
    <row r="6738" spans="34:37" x14ac:dyDescent="0.25">
      <c r="AH6738" s="75"/>
      <c r="AK6738" s="75"/>
    </row>
    <row r="6739" spans="34:37" x14ac:dyDescent="0.25">
      <c r="AH6739" s="75"/>
      <c r="AK6739" s="75"/>
    </row>
    <row r="6740" spans="34:37" x14ac:dyDescent="0.25">
      <c r="AH6740" s="75"/>
      <c r="AK6740" s="75"/>
    </row>
    <row r="6741" spans="34:37" x14ac:dyDescent="0.25">
      <c r="AH6741" s="75"/>
      <c r="AK6741" s="75"/>
    </row>
    <row r="6742" spans="34:37" x14ac:dyDescent="0.25">
      <c r="AH6742" s="75"/>
      <c r="AK6742" s="75"/>
    </row>
    <row r="6743" spans="34:37" x14ac:dyDescent="0.25">
      <c r="AH6743" s="75"/>
      <c r="AK6743" s="75"/>
    </row>
    <row r="6744" spans="34:37" x14ac:dyDescent="0.25">
      <c r="AH6744" s="75"/>
      <c r="AK6744" s="75"/>
    </row>
    <row r="6745" spans="34:37" x14ac:dyDescent="0.25">
      <c r="AH6745" s="75"/>
      <c r="AK6745" s="75"/>
    </row>
    <row r="6746" spans="34:37" x14ac:dyDescent="0.25">
      <c r="AH6746" s="75"/>
      <c r="AK6746" s="75"/>
    </row>
    <row r="6747" spans="34:37" x14ac:dyDescent="0.25">
      <c r="AH6747" s="75"/>
      <c r="AK6747" s="75"/>
    </row>
    <row r="6748" spans="34:37" x14ac:dyDescent="0.25">
      <c r="AH6748" s="75"/>
      <c r="AK6748" s="75"/>
    </row>
    <row r="6749" spans="34:37" x14ac:dyDescent="0.25">
      <c r="AH6749" s="75"/>
      <c r="AK6749" s="75"/>
    </row>
    <row r="6750" spans="34:37" x14ac:dyDescent="0.25">
      <c r="AH6750" s="75"/>
      <c r="AK6750" s="75"/>
    </row>
    <row r="6751" spans="34:37" x14ac:dyDescent="0.25">
      <c r="AH6751" s="75"/>
      <c r="AK6751" s="75"/>
    </row>
    <row r="6752" spans="34:37" x14ac:dyDescent="0.25">
      <c r="AH6752" s="75"/>
      <c r="AK6752" s="75"/>
    </row>
    <row r="6753" spans="34:37" x14ac:dyDescent="0.25">
      <c r="AH6753" s="75"/>
      <c r="AK6753" s="75"/>
    </row>
    <row r="6754" spans="34:37" x14ac:dyDescent="0.25">
      <c r="AH6754" s="75"/>
      <c r="AK6754" s="75"/>
    </row>
    <row r="6755" spans="34:37" x14ac:dyDescent="0.25">
      <c r="AH6755" s="75"/>
      <c r="AK6755" s="75"/>
    </row>
    <row r="6756" spans="34:37" x14ac:dyDescent="0.25">
      <c r="AH6756" s="75"/>
      <c r="AK6756" s="75"/>
    </row>
    <row r="6757" spans="34:37" x14ac:dyDescent="0.25">
      <c r="AH6757" s="75"/>
      <c r="AK6757" s="75"/>
    </row>
    <row r="6758" spans="34:37" x14ac:dyDescent="0.25">
      <c r="AH6758" s="75"/>
      <c r="AK6758" s="75"/>
    </row>
    <row r="6759" spans="34:37" x14ac:dyDescent="0.25">
      <c r="AH6759" s="75"/>
      <c r="AK6759" s="75"/>
    </row>
    <row r="6760" spans="34:37" x14ac:dyDescent="0.25">
      <c r="AH6760" s="75"/>
      <c r="AK6760" s="75"/>
    </row>
    <row r="6761" spans="34:37" x14ac:dyDescent="0.25">
      <c r="AH6761" s="75"/>
      <c r="AK6761" s="75"/>
    </row>
    <row r="6762" spans="34:37" x14ac:dyDescent="0.25">
      <c r="AH6762" s="75"/>
      <c r="AK6762" s="75"/>
    </row>
    <row r="6763" spans="34:37" x14ac:dyDescent="0.25">
      <c r="AH6763" s="75"/>
      <c r="AK6763" s="75"/>
    </row>
    <row r="6764" spans="34:37" x14ac:dyDescent="0.25">
      <c r="AH6764" s="75"/>
      <c r="AK6764" s="75"/>
    </row>
    <row r="6765" spans="34:37" x14ac:dyDescent="0.25">
      <c r="AH6765" s="75"/>
      <c r="AK6765" s="75"/>
    </row>
    <row r="6766" spans="34:37" x14ac:dyDescent="0.25">
      <c r="AH6766" s="75"/>
      <c r="AK6766" s="75"/>
    </row>
    <row r="6767" spans="34:37" x14ac:dyDescent="0.25">
      <c r="AH6767" s="75"/>
      <c r="AK6767" s="75"/>
    </row>
    <row r="6768" spans="34:37" x14ac:dyDescent="0.25">
      <c r="AH6768" s="75"/>
      <c r="AK6768" s="75"/>
    </row>
    <row r="6769" spans="34:37" x14ac:dyDescent="0.25">
      <c r="AH6769" s="75"/>
      <c r="AK6769" s="75"/>
    </row>
    <row r="6770" spans="34:37" x14ac:dyDescent="0.25">
      <c r="AH6770" s="75"/>
      <c r="AK6770" s="75"/>
    </row>
    <row r="6771" spans="34:37" x14ac:dyDescent="0.25">
      <c r="AH6771" s="75"/>
      <c r="AK6771" s="75"/>
    </row>
    <row r="6772" spans="34:37" x14ac:dyDescent="0.25">
      <c r="AH6772" s="75"/>
      <c r="AK6772" s="75"/>
    </row>
    <row r="6773" spans="34:37" x14ac:dyDescent="0.25">
      <c r="AH6773" s="75"/>
      <c r="AK6773" s="75"/>
    </row>
    <row r="6774" spans="34:37" x14ac:dyDescent="0.25">
      <c r="AH6774" s="75"/>
      <c r="AK6774" s="75"/>
    </row>
    <row r="6775" spans="34:37" x14ac:dyDescent="0.25">
      <c r="AH6775" s="75"/>
      <c r="AK6775" s="75"/>
    </row>
    <row r="6776" spans="34:37" x14ac:dyDescent="0.25">
      <c r="AH6776" s="75"/>
      <c r="AK6776" s="75"/>
    </row>
    <row r="6777" spans="34:37" x14ac:dyDescent="0.25">
      <c r="AH6777" s="75"/>
      <c r="AK6777" s="75"/>
    </row>
    <row r="6778" spans="34:37" x14ac:dyDescent="0.25">
      <c r="AH6778" s="75"/>
      <c r="AK6778" s="75"/>
    </row>
    <row r="6779" spans="34:37" x14ac:dyDescent="0.25">
      <c r="AH6779" s="75"/>
      <c r="AK6779" s="75"/>
    </row>
    <row r="6780" spans="34:37" x14ac:dyDescent="0.25">
      <c r="AH6780" s="75"/>
      <c r="AK6780" s="75"/>
    </row>
    <row r="6781" spans="34:37" x14ac:dyDescent="0.25">
      <c r="AH6781" s="75"/>
      <c r="AK6781" s="75"/>
    </row>
    <row r="6782" spans="34:37" x14ac:dyDescent="0.25">
      <c r="AH6782" s="75"/>
      <c r="AK6782" s="75"/>
    </row>
    <row r="6783" spans="34:37" x14ac:dyDescent="0.25">
      <c r="AH6783" s="75"/>
      <c r="AK6783" s="75"/>
    </row>
    <row r="6784" spans="34:37" x14ac:dyDescent="0.25">
      <c r="AH6784" s="75"/>
      <c r="AK6784" s="75"/>
    </row>
    <row r="6785" spans="34:37" x14ac:dyDescent="0.25">
      <c r="AH6785" s="75"/>
      <c r="AK6785" s="75"/>
    </row>
    <row r="6786" spans="34:37" x14ac:dyDescent="0.25">
      <c r="AH6786" s="75"/>
      <c r="AK6786" s="75"/>
    </row>
    <row r="6787" spans="34:37" x14ac:dyDescent="0.25">
      <c r="AH6787" s="75"/>
      <c r="AK6787" s="75"/>
    </row>
    <row r="6788" spans="34:37" x14ac:dyDescent="0.25">
      <c r="AH6788" s="75"/>
      <c r="AK6788" s="75"/>
    </row>
    <row r="6789" spans="34:37" x14ac:dyDescent="0.25">
      <c r="AH6789" s="75"/>
      <c r="AK6789" s="75"/>
    </row>
    <row r="6790" spans="34:37" x14ac:dyDescent="0.25">
      <c r="AH6790" s="75"/>
      <c r="AK6790" s="75"/>
    </row>
    <row r="6791" spans="34:37" x14ac:dyDescent="0.25">
      <c r="AH6791" s="75"/>
      <c r="AK6791" s="75"/>
    </row>
    <row r="6792" spans="34:37" x14ac:dyDescent="0.25">
      <c r="AH6792" s="75"/>
      <c r="AK6792" s="75"/>
    </row>
    <row r="6793" spans="34:37" x14ac:dyDescent="0.25">
      <c r="AH6793" s="75"/>
      <c r="AK6793" s="75"/>
    </row>
    <row r="6794" spans="34:37" x14ac:dyDescent="0.25">
      <c r="AH6794" s="75"/>
      <c r="AK6794" s="75"/>
    </row>
    <row r="6795" spans="34:37" x14ac:dyDescent="0.25">
      <c r="AH6795" s="75"/>
      <c r="AK6795" s="75"/>
    </row>
    <row r="6796" spans="34:37" x14ac:dyDescent="0.25">
      <c r="AH6796" s="75"/>
      <c r="AK6796" s="75"/>
    </row>
    <row r="6797" spans="34:37" x14ac:dyDescent="0.25">
      <c r="AH6797" s="75"/>
      <c r="AK6797" s="75"/>
    </row>
    <row r="6798" spans="34:37" x14ac:dyDescent="0.25">
      <c r="AH6798" s="75"/>
      <c r="AK6798" s="75"/>
    </row>
    <row r="6799" spans="34:37" x14ac:dyDescent="0.25">
      <c r="AH6799" s="75"/>
      <c r="AK6799" s="75"/>
    </row>
    <row r="6800" spans="34:37" x14ac:dyDescent="0.25">
      <c r="AH6800" s="75"/>
      <c r="AK6800" s="75"/>
    </row>
    <row r="6801" spans="34:37" x14ac:dyDescent="0.25">
      <c r="AH6801" s="75"/>
      <c r="AK6801" s="75"/>
    </row>
    <row r="6802" spans="34:37" x14ac:dyDescent="0.25">
      <c r="AH6802" s="75"/>
      <c r="AK6802" s="75"/>
    </row>
    <row r="6803" spans="34:37" x14ac:dyDescent="0.25">
      <c r="AH6803" s="75"/>
      <c r="AK6803" s="75"/>
    </row>
    <row r="6804" spans="34:37" x14ac:dyDescent="0.25">
      <c r="AH6804" s="75"/>
      <c r="AK6804" s="75"/>
    </row>
    <row r="6805" spans="34:37" x14ac:dyDescent="0.25">
      <c r="AH6805" s="75"/>
      <c r="AK6805" s="75"/>
    </row>
    <row r="6806" spans="34:37" x14ac:dyDescent="0.25">
      <c r="AH6806" s="75"/>
      <c r="AK6806" s="75"/>
    </row>
    <row r="6807" spans="34:37" x14ac:dyDescent="0.25">
      <c r="AH6807" s="75"/>
      <c r="AK6807" s="75"/>
    </row>
    <row r="6808" spans="34:37" x14ac:dyDescent="0.25">
      <c r="AH6808" s="75"/>
      <c r="AK6808" s="75"/>
    </row>
    <row r="6809" spans="34:37" x14ac:dyDescent="0.25">
      <c r="AH6809" s="75"/>
      <c r="AK6809" s="75"/>
    </row>
    <row r="6810" spans="34:37" x14ac:dyDescent="0.25">
      <c r="AH6810" s="75"/>
      <c r="AK6810" s="75"/>
    </row>
    <row r="6811" spans="34:37" x14ac:dyDescent="0.25">
      <c r="AH6811" s="75"/>
      <c r="AK6811" s="75"/>
    </row>
    <row r="6812" spans="34:37" x14ac:dyDescent="0.25">
      <c r="AH6812" s="75"/>
      <c r="AK6812" s="75"/>
    </row>
    <row r="6813" spans="34:37" x14ac:dyDescent="0.25">
      <c r="AH6813" s="75"/>
      <c r="AK6813" s="75"/>
    </row>
    <row r="6814" spans="34:37" x14ac:dyDescent="0.25">
      <c r="AH6814" s="75"/>
      <c r="AK6814" s="75"/>
    </row>
    <row r="6815" spans="34:37" x14ac:dyDescent="0.25">
      <c r="AH6815" s="75"/>
      <c r="AK6815" s="75"/>
    </row>
    <row r="6816" spans="34:37" x14ac:dyDescent="0.25">
      <c r="AH6816" s="75"/>
      <c r="AK6816" s="75"/>
    </row>
    <row r="6817" spans="34:37" x14ac:dyDescent="0.25">
      <c r="AH6817" s="75"/>
      <c r="AK6817" s="75"/>
    </row>
    <row r="6818" spans="34:37" x14ac:dyDescent="0.25">
      <c r="AH6818" s="75"/>
      <c r="AK6818" s="75"/>
    </row>
    <row r="6819" spans="34:37" x14ac:dyDescent="0.25">
      <c r="AH6819" s="75"/>
      <c r="AK6819" s="75"/>
    </row>
    <row r="6820" spans="34:37" x14ac:dyDescent="0.25">
      <c r="AH6820" s="75"/>
      <c r="AK6820" s="75"/>
    </row>
    <row r="6821" spans="34:37" x14ac:dyDescent="0.25">
      <c r="AH6821" s="75"/>
      <c r="AK6821" s="75"/>
    </row>
    <row r="6822" spans="34:37" x14ac:dyDescent="0.25">
      <c r="AH6822" s="75"/>
      <c r="AK6822" s="75"/>
    </row>
    <row r="6823" spans="34:37" x14ac:dyDescent="0.25">
      <c r="AH6823" s="75"/>
      <c r="AK6823" s="75"/>
    </row>
    <row r="6824" spans="34:37" x14ac:dyDescent="0.25">
      <c r="AH6824" s="75"/>
      <c r="AK6824" s="75"/>
    </row>
    <row r="6825" spans="34:37" x14ac:dyDescent="0.25">
      <c r="AH6825" s="75"/>
      <c r="AK6825" s="75"/>
    </row>
    <row r="6826" spans="34:37" x14ac:dyDescent="0.25">
      <c r="AH6826" s="75"/>
      <c r="AK6826" s="75"/>
    </row>
    <row r="6827" spans="34:37" x14ac:dyDescent="0.25">
      <c r="AH6827" s="75"/>
      <c r="AK6827" s="75"/>
    </row>
    <row r="6828" spans="34:37" x14ac:dyDescent="0.25">
      <c r="AH6828" s="75"/>
      <c r="AK6828" s="75"/>
    </row>
    <row r="6829" spans="34:37" x14ac:dyDescent="0.25">
      <c r="AH6829" s="75"/>
      <c r="AK6829" s="75"/>
    </row>
    <row r="6830" spans="34:37" x14ac:dyDescent="0.25">
      <c r="AH6830" s="75"/>
      <c r="AK6830" s="75"/>
    </row>
    <row r="6831" spans="34:37" x14ac:dyDescent="0.25">
      <c r="AH6831" s="75"/>
      <c r="AK6831" s="75"/>
    </row>
    <row r="6832" spans="34:37" x14ac:dyDescent="0.25">
      <c r="AH6832" s="75"/>
      <c r="AK6832" s="75"/>
    </row>
    <row r="6833" spans="34:37" x14ac:dyDescent="0.25">
      <c r="AH6833" s="75"/>
      <c r="AK6833" s="75"/>
    </row>
    <row r="6834" spans="34:37" x14ac:dyDescent="0.25">
      <c r="AH6834" s="75"/>
      <c r="AK6834" s="75"/>
    </row>
    <row r="6835" spans="34:37" x14ac:dyDescent="0.25">
      <c r="AH6835" s="75"/>
      <c r="AK6835" s="75"/>
    </row>
    <row r="6836" spans="34:37" x14ac:dyDescent="0.25">
      <c r="AH6836" s="75"/>
      <c r="AK6836" s="75"/>
    </row>
    <row r="6837" spans="34:37" x14ac:dyDescent="0.25">
      <c r="AH6837" s="75"/>
      <c r="AK6837" s="75"/>
    </row>
    <row r="6838" spans="34:37" x14ac:dyDescent="0.25">
      <c r="AH6838" s="75"/>
      <c r="AK6838" s="75"/>
    </row>
    <row r="6839" spans="34:37" x14ac:dyDescent="0.25">
      <c r="AH6839" s="75"/>
      <c r="AK6839" s="75"/>
    </row>
    <row r="6840" spans="34:37" x14ac:dyDescent="0.25">
      <c r="AH6840" s="75"/>
      <c r="AK6840" s="75"/>
    </row>
    <row r="6841" spans="34:37" x14ac:dyDescent="0.25">
      <c r="AH6841" s="75"/>
      <c r="AK6841" s="75"/>
    </row>
    <row r="6842" spans="34:37" x14ac:dyDescent="0.25">
      <c r="AH6842" s="75"/>
      <c r="AK6842" s="75"/>
    </row>
    <row r="6843" spans="34:37" x14ac:dyDescent="0.25">
      <c r="AH6843" s="75"/>
      <c r="AK6843" s="75"/>
    </row>
    <row r="6844" spans="34:37" x14ac:dyDescent="0.25">
      <c r="AH6844" s="75"/>
      <c r="AK6844" s="75"/>
    </row>
    <row r="6845" spans="34:37" x14ac:dyDescent="0.25">
      <c r="AH6845" s="75"/>
      <c r="AK6845" s="75"/>
    </row>
    <row r="6846" spans="34:37" x14ac:dyDescent="0.25">
      <c r="AH6846" s="75"/>
      <c r="AK6846" s="75"/>
    </row>
    <row r="6847" spans="34:37" x14ac:dyDescent="0.25">
      <c r="AH6847" s="75"/>
      <c r="AK6847" s="75"/>
    </row>
    <row r="6848" spans="34:37" x14ac:dyDescent="0.25">
      <c r="AH6848" s="75"/>
      <c r="AK6848" s="75"/>
    </row>
    <row r="6849" spans="34:37" x14ac:dyDescent="0.25">
      <c r="AH6849" s="75"/>
      <c r="AK6849" s="75"/>
    </row>
    <row r="6850" spans="34:37" x14ac:dyDescent="0.25">
      <c r="AH6850" s="75"/>
      <c r="AK6850" s="75"/>
    </row>
    <row r="6851" spans="34:37" x14ac:dyDescent="0.25">
      <c r="AH6851" s="75"/>
      <c r="AK6851" s="75"/>
    </row>
    <row r="6852" spans="34:37" x14ac:dyDescent="0.25">
      <c r="AH6852" s="75"/>
      <c r="AK6852" s="75"/>
    </row>
    <row r="6853" spans="34:37" x14ac:dyDescent="0.25">
      <c r="AH6853" s="75"/>
      <c r="AK6853" s="75"/>
    </row>
    <row r="6854" spans="34:37" x14ac:dyDescent="0.25">
      <c r="AH6854" s="75"/>
      <c r="AK6854" s="75"/>
    </row>
    <row r="6855" spans="34:37" x14ac:dyDescent="0.25">
      <c r="AH6855" s="75"/>
      <c r="AK6855" s="75"/>
    </row>
    <row r="6856" spans="34:37" x14ac:dyDescent="0.25">
      <c r="AH6856" s="75"/>
      <c r="AK6856" s="75"/>
    </row>
    <row r="6857" spans="34:37" x14ac:dyDescent="0.25">
      <c r="AH6857" s="75"/>
      <c r="AK6857" s="75"/>
    </row>
    <row r="6858" spans="34:37" x14ac:dyDescent="0.25">
      <c r="AH6858" s="75"/>
      <c r="AK6858" s="75"/>
    </row>
    <row r="6859" spans="34:37" x14ac:dyDescent="0.25">
      <c r="AH6859" s="75"/>
      <c r="AK6859" s="75"/>
    </row>
    <row r="6860" spans="34:37" x14ac:dyDescent="0.25">
      <c r="AH6860" s="75"/>
      <c r="AK6860" s="75"/>
    </row>
    <row r="6861" spans="34:37" x14ac:dyDescent="0.25">
      <c r="AH6861" s="75"/>
      <c r="AK6861" s="75"/>
    </row>
    <row r="6862" spans="34:37" x14ac:dyDescent="0.25">
      <c r="AH6862" s="75"/>
      <c r="AK6862" s="75"/>
    </row>
    <row r="6863" spans="34:37" x14ac:dyDescent="0.25">
      <c r="AH6863" s="75"/>
      <c r="AK6863" s="75"/>
    </row>
    <row r="6864" spans="34:37" x14ac:dyDescent="0.25">
      <c r="AH6864" s="75"/>
      <c r="AK6864" s="75"/>
    </row>
    <row r="6865" spans="34:37" x14ac:dyDescent="0.25">
      <c r="AH6865" s="75"/>
      <c r="AK6865" s="75"/>
    </row>
    <row r="6866" spans="34:37" x14ac:dyDescent="0.25">
      <c r="AH6866" s="75"/>
      <c r="AK6866" s="75"/>
    </row>
    <row r="6867" spans="34:37" x14ac:dyDescent="0.25">
      <c r="AH6867" s="75"/>
      <c r="AK6867" s="75"/>
    </row>
    <row r="6868" spans="34:37" x14ac:dyDescent="0.25">
      <c r="AH6868" s="75"/>
      <c r="AK6868" s="75"/>
    </row>
    <row r="6869" spans="34:37" x14ac:dyDescent="0.25">
      <c r="AH6869" s="75"/>
      <c r="AK6869" s="75"/>
    </row>
    <row r="6870" spans="34:37" x14ac:dyDescent="0.25">
      <c r="AH6870" s="75"/>
      <c r="AK6870" s="75"/>
    </row>
    <row r="6871" spans="34:37" x14ac:dyDescent="0.25">
      <c r="AH6871" s="75"/>
      <c r="AK6871" s="75"/>
    </row>
    <row r="6872" spans="34:37" x14ac:dyDescent="0.25">
      <c r="AH6872" s="75"/>
      <c r="AK6872" s="75"/>
    </row>
    <row r="6873" spans="34:37" x14ac:dyDescent="0.25">
      <c r="AH6873" s="75"/>
      <c r="AK6873" s="75"/>
    </row>
    <row r="6874" spans="34:37" x14ac:dyDescent="0.25">
      <c r="AH6874" s="75"/>
      <c r="AK6874" s="75"/>
    </row>
    <row r="6875" spans="34:37" x14ac:dyDescent="0.25">
      <c r="AH6875" s="75"/>
      <c r="AK6875" s="75"/>
    </row>
    <row r="6876" spans="34:37" x14ac:dyDescent="0.25">
      <c r="AH6876" s="75"/>
      <c r="AK6876" s="75"/>
    </row>
    <row r="6877" spans="34:37" x14ac:dyDescent="0.25">
      <c r="AH6877" s="75"/>
      <c r="AK6877" s="75"/>
    </row>
    <row r="6878" spans="34:37" x14ac:dyDescent="0.25">
      <c r="AH6878" s="75"/>
      <c r="AK6878" s="75"/>
    </row>
    <row r="6879" spans="34:37" x14ac:dyDescent="0.25">
      <c r="AH6879" s="75"/>
      <c r="AK6879" s="75"/>
    </row>
    <row r="6880" spans="34:37" x14ac:dyDescent="0.25">
      <c r="AH6880" s="75"/>
      <c r="AK6880" s="75"/>
    </row>
    <row r="6881" spans="34:37" x14ac:dyDescent="0.25">
      <c r="AH6881" s="75"/>
      <c r="AK6881" s="75"/>
    </row>
    <row r="6882" spans="34:37" x14ac:dyDescent="0.25">
      <c r="AH6882" s="75"/>
      <c r="AK6882" s="75"/>
    </row>
    <row r="6883" spans="34:37" x14ac:dyDescent="0.25">
      <c r="AH6883" s="75"/>
      <c r="AK6883" s="75"/>
    </row>
    <row r="6884" spans="34:37" x14ac:dyDescent="0.25">
      <c r="AH6884" s="75"/>
      <c r="AK6884" s="75"/>
    </row>
    <row r="6885" spans="34:37" x14ac:dyDescent="0.25">
      <c r="AH6885" s="75"/>
      <c r="AK6885" s="75"/>
    </row>
    <row r="6886" spans="34:37" x14ac:dyDescent="0.25">
      <c r="AH6886" s="75"/>
      <c r="AK6886" s="75"/>
    </row>
    <row r="6887" spans="34:37" x14ac:dyDescent="0.25">
      <c r="AH6887" s="75"/>
      <c r="AK6887" s="75"/>
    </row>
    <row r="6888" spans="34:37" x14ac:dyDescent="0.25">
      <c r="AH6888" s="75"/>
      <c r="AK6888" s="75"/>
    </row>
    <row r="6889" spans="34:37" x14ac:dyDescent="0.25">
      <c r="AH6889" s="75"/>
      <c r="AK6889" s="75"/>
    </row>
    <row r="6890" spans="34:37" x14ac:dyDescent="0.25">
      <c r="AH6890" s="75"/>
      <c r="AK6890" s="75"/>
    </row>
    <row r="6891" spans="34:37" x14ac:dyDescent="0.25">
      <c r="AH6891" s="75"/>
      <c r="AK6891" s="75"/>
    </row>
    <row r="6892" spans="34:37" x14ac:dyDescent="0.25">
      <c r="AH6892" s="75"/>
      <c r="AK6892" s="75"/>
    </row>
    <row r="6893" spans="34:37" x14ac:dyDescent="0.25">
      <c r="AH6893" s="75"/>
      <c r="AK6893" s="75"/>
    </row>
    <row r="6894" spans="34:37" x14ac:dyDescent="0.25">
      <c r="AH6894" s="75"/>
      <c r="AK6894" s="75"/>
    </row>
    <row r="6895" spans="34:37" x14ac:dyDescent="0.25">
      <c r="AH6895" s="75"/>
      <c r="AK6895" s="75"/>
    </row>
    <row r="6896" spans="34:37" x14ac:dyDescent="0.25">
      <c r="AH6896" s="75"/>
      <c r="AK6896" s="75"/>
    </row>
    <row r="6897" spans="34:37" x14ac:dyDescent="0.25">
      <c r="AH6897" s="75"/>
      <c r="AK6897" s="75"/>
    </row>
    <row r="6898" spans="34:37" x14ac:dyDescent="0.25">
      <c r="AH6898" s="75"/>
      <c r="AK6898" s="75"/>
    </row>
    <row r="6899" spans="34:37" x14ac:dyDescent="0.25">
      <c r="AH6899" s="75"/>
      <c r="AK6899" s="75"/>
    </row>
    <row r="6900" spans="34:37" x14ac:dyDescent="0.25">
      <c r="AH6900" s="75"/>
      <c r="AK6900" s="75"/>
    </row>
    <row r="6901" spans="34:37" x14ac:dyDescent="0.25">
      <c r="AH6901" s="75"/>
      <c r="AK6901" s="75"/>
    </row>
    <row r="6902" spans="34:37" x14ac:dyDescent="0.25">
      <c r="AH6902" s="75"/>
      <c r="AK6902" s="75"/>
    </row>
    <row r="6903" spans="34:37" x14ac:dyDescent="0.25">
      <c r="AH6903" s="75"/>
      <c r="AK6903" s="75"/>
    </row>
    <row r="6904" spans="34:37" x14ac:dyDescent="0.25">
      <c r="AH6904" s="75"/>
      <c r="AK6904" s="75"/>
    </row>
    <row r="6905" spans="34:37" x14ac:dyDescent="0.25">
      <c r="AH6905" s="75"/>
      <c r="AK6905" s="75"/>
    </row>
    <row r="6906" spans="34:37" x14ac:dyDescent="0.25">
      <c r="AH6906" s="75"/>
      <c r="AK6906" s="75"/>
    </row>
    <row r="6907" spans="34:37" x14ac:dyDescent="0.25">
      <c r="AH6907" s="75"/>
      <c r="AK6907" s="75"/>
    </row>
    <row r="6908" spans="34:37" x14ac:dyDescent="0.25">
      <c r="AH6908" s="75"/>
      <c r="AK6908" s="75"/>
    </row>
    <row r="6909" spans="34:37" x14ac:dyDescent="0.25">
      <c r="AH6909" s="75"/>
      <c r="AK6909" s="75"/>
    </row>
    <row r="6910" spans="34:37" x14ac:dyDescent="0.25">
      <c r="AH6910" s="75"/>
      <c r="AK6910" s="75"/>
    </row>
    <row r="6911" spans="34:37" x14ac:dyDescent="0.25">
      <c r="AH6911" s="75"/>
      <c r="AK6911" s="75"/>
    </row>
    <row r="6912" spans="34:37" x14ac:dyDescent="0.25">
      <c r="AH6912" s="75"/>
      <c r="AK6912" s="75"/>
    </row>
    <row r="6913" spans="34:37" x14ac:dyDescent="0.25">
      <c r="AH6913" s="75"/>
      <c r="AK6913" s="75"/>
    </row>
    <row r="6914" spans="34:37" x14ac:dyDescent="0.25">
      <c r="AH6914" s="75"/>
      <c r="AK6914" s="75"/>
    </row>
    <row r="6915" spans="34:37" x14ac:dyDescent="0.25">
      <c r="AH6915" s="75"/>
      <c r="AK6915" s="75"/>
    </row>
    <row r="6916" spans="34:37" x14ac:dyDescent="0.25">
      <c r="AH6916" s="75"/>
      <c r="AK6916" s="75"/>
    </row>
    <row r="6917" spans="34:37" x14ac:dyDescent="0.25">
      <c r="AH6917" s="75"/>
      <c r="AK6917" s="75"/>
    </row>
    <row r="6918" spans="34:37" x14ac:dyDescent="0.25">
      <c r="AH6918" s="75"/>
      <c r="AK6918" s="75"/>
    </row>
    <row r="6919" spans="34:37" x14ac:dyDescent="0.25">
      <c r="AH6919" s="75"/>
      <c r="AK6919" s="75"/>
    </row>
    <row r="6920" spans="34:37" x14ac:dyDescent="0.25">
      <c r="AH6920" s="75"/>
      <c r="AK6920" s="75"/>
    </row>
    <row r="6921" spans="34:37" x14ac:dyDescent="0.25">
      <c r="AH6921" s="75"/>
      <c r="AK6921" s="75"/>
    </row>
    <row r="6922" spans="34:37" x14ac:dyDescent="0.25">
      <c r="AH6922" s="75"/>
      <c r="AK6922" s="75"/>
    </row>
    <row r="6923" spans="34:37" x14ac:dyDescent="0.25">
      <c r="AH6923" s="75"/>
      <c r="AK6923" s="75"/>
    </row>
    <row r="6924" spans="34:37" x14ac:dyDescent="0.25">
      <c r="AH6924" s="75"/>
      <c r="AK6924" s="75"/>
    </row>
    <row r="6925" spans="34:37" x14ac:dyDescent="0.25">
      <c r="AH6925" s="75"/>
      <c r="AK6925" s="75"/>
    </row>
    <row r="6926" spans="34:37" x14ac:dyDescent="0.25">
      <c r="AH6926" s="75"/>
      <c r="AK6926" s="75"/>
    </row>
    <row r="6927" spans="34:37" x14ac:dyDescent="0.25">
      <c r="AH6927" s="75"/>
      <c r="AK6927" s="75"/>
    </row>
    <row r="6928" spans="34:37" x14ac:dyDescent="0.25">
      <c r="AH6928" s="75"/>
      <c r="AK6928" s="75"/>
    </row>
    <row r="6929" spans="34:37" x14ac:dyDescent="0.25">
      <c r="AH6929" s="75"/>
      <c r="AK6929" s="75"/>
    </row>
    <row r="6930" spans="34:37" x14ac:dyDescent="0.25">
      <c r="AH6930" s="75"/>
      <c r="AK6930" s="75"/>
    </row>
    <row r="6931" spans="34:37" x14ac:dyDescent="0.25">
      <c r="AH6931" s="75"/>
      <c r="AK6931" s="75"/>
    </row>
    <row r="6932" spans="34:37" x14ac:dyDescent="0.25">
      <c r="AH6932" s="75"/>
      <c r="AK6932" s="75"/>
    </row>
    <row r="6933" spans="34:37" x14ac:dyDescent="0.25">
      <c r="AH6933" s="75"/>
      <c r="AK6933" s="75"/>
    </row>
    <row r="6934" spans="34:37" x14ac:dyDescent="0.25">
      <c r="AH6934" s="75"/>
      <c r="AK6934" s="75"/>
    </row>
    <row r="6935" spans="34:37" x14ac:dyDescent="0.25">
      <c r="AH6935" s="75"/>
      <c r="AK6935" s="75"/>
    </row>
    <row r="6936" spans="34:37" x14ac:dyDescent="0.25">
      <c r="AH6936" s="75"/>
      <c r="AK6936" s="75"/>
    </row>
    <row r="6937" spans="34:37" x14ac:dyDescent="0.25">
      <c r="AH6937" s="75"/>
      <c r="AK6937" s="75"/>
    </row>
    <row r="6938" spans="34:37" x14ac:dyDescent="0.25">
      <c r="AH6938" s="75"/>
      <c r="AK6938" s="75"/>
    </row>
    <row r="6939" spans="34:37" x14ac:dyDescent="0.25">
      <c r="AH6939" s="75"/>
      <c r="AK6939" s="75"/>
    </row>
    <row r="6940" spans="34:37" x14ac:dyDescent="0.25">
      <c r="AH6940" s="75"/>
      <c r="AK6940" s="75"/>
    </row>
    <row r="6941" spans="34:37" x14ac:dyDescent="0.25">
      <c r="AH6941" s="75"/>
      <c r="AK6941" s="75"/>
    </row>
    <row r="6942" spans="34:37" x14ac:dyDescent="0.25">
      <c r="AH6942" s="75"/>
      <c r="AK6942" s="75"/>
    </row>
    <row r="6943" spans="34:37" x14ac:dyDescent="0.25">
      <c r="AH6943" s="75"/>
      <c r="AK6943" s="75"/>
    </row>
    <row r="6944" spans="34:37" x14ac:dyDescent="0.25">
      <c r="AH6944" s="75"/>
      <c r="AK6944" s="75"/>
    </row>
    <row r="6945" spans="34:37" x14ac:dyDescent="0.25">
      <c r="AH6945" s="75"/>
      <c r="AK6945" s="75"/>
    </row>
    <row r="6946" spans="34:37" x14ac:dyDescent="0.25">
      <c r="AH6946" s="75"/>
      <c r="AK6946" s="75"/>
    </row>
    <row r="6947" spans="34:37" x14ac:dyDescent="0.25">
      <c r="AH6947" s="75"/>
      <c r="AK6947" s="75"/>
    </row>
    <row r="6948" spans="34:37" x14ac:dyDescent="0.25">
      <c r="AH6948" s="75"/>
      <c r="AK6948" s="75"/>
    </row>
    <row r="6949" spans="34:37" x14ac:dyDescent="0.25">
      <c r="AH6949" s="75"/>
      <c r="AK6949" s="75"/>
    </row>
    <row r="6950" spans="34:37" x14ac:dyDescent="0.25">
      <c r="AH6950" s="75"/>
      <c r="AK6950" s="75"/>
    </row>
    <row r="6951" spans="34:37" x14ac:dyDescent="0.25">
      <c r="AH6951" s="75"/>
      <c r="AK6951" s="75"/>
    </row>
    <row r="6952" spans="34:37" x14ac:dyDescent="0.25">
      <c r="AH6952" s="75"/>
      <c r="AK6952" s="75"/>
    </row>
    <row r="6953" spans="34:37" x14ac:dyDescent="0.25">
      <c r="AH6953" s="75"/>
      <c r="AK6953" s="75"/>
    </row>
    <row r="6954" spans="34:37" x14ac:dyDescent="0.25">
      <c r="AH6954" s="75"/>
      <c r="AK6954" s="75"/>
    </row>
    <row r="6955" spans="34:37" x14ac:dyDescent="0.25">
      <c r="AH6955" s="75"/>
      <c r="AK6955" s="75"/>
    </row>
    <row r="6956" spans="34:37" x14ac:dyDescent="0.25">
      <c r="AH6956" s="75"/>
      <c r="AK6956" s="75"/>
    </row>
    <row r="6957" spans="34:37" x14ac:dyDescent="0.25">
      <c r="AH6957" s="75"/>
      <c r="AK6957" s="75"/>
    </row>
    <row r="6958" spans="34:37" x14ac:dyDescent="0.25">
      <c r="AH6958" s="75"/>
      <c r="AK6958" s="75"/>
    </row>
    <row r="6959" spans="34:37" x14ac:dyDescent="0.25">
      <c r="AH6959" s="75"/>
      <c r="AK6959" s="75"/>
    </row>
    <row r="6960" spans="34:37" x14ac:dyDescent="0.25">
      <c r="AH6960" s="75"/>
      <c r="AK6960" s="75"/>
    </row>
    <row r="6961" spans="34:37" x14ac:dyDescent="0.25">
      <c r="AH6961" s="75"/>
      <c r="AK6961" s="75"/>
    </row>
    <row r="6962" spans="34:37" x14ac:dyDescent="0.25">
      <c r="AH6962" s="75"/>
      <c r="AK6962" s="75"/>
    </row>
    <row r="6963" spans="34:37" x14ac:dyDescent="0.25">
      <c r="AH6963" s="75"/>
      <c r="AK6963" s="75"/>
    </row>
    <row r="6964" spans="34:37" x14ac:dyDescent="0.25">
      <c r="AH6964" s="75"/>
      <c r="AK6964" s="75"/>
    </row>
    <row r="6965" spans="34:37" x14ac:dyDescent="0.25">
      <c r="AH6965" s="75"/>
      <c r="AK6965" s="75"/>
    </row>
    <row r="6966" spans="34:37" x14ac:dyDescent="0.25">
      <c r="AH6966" s="75"/>
      <c r="AK6966" s="75"/>
    </row>
    <row r="6967" spans="34:37" x14ac:dyDescent="0.25">
      <c r="AH6967" s="75"/>
      <c r="AK6967" s="75"/>
    </row>
    <row r="6968" spans="34:37" x14ac:dyDescent="0.25">
      <c r="AH6968" s="75"/>
      <c r="AK6968" s="75"/>
    </row>
    <row r="6969" spans="34:37" x14ac:dyDescent="0.25">
      <c r="AH6969" s="75"/>
      <c r="AK6969" s="75"/>
    </row>
    <row r="6970" spans="34:37" x14ac:dyDescent="0.25">
      <c r="AH6970" s="75"/>
      <c r="AK6970" s="75"/>
    </row>
    <row r="6971" spans="34:37" x14ac:dyDescent="0.25">
      <c r="AH6971" s="75"/>
      <c r="AK6971" s="75"/>
    </row>
    <row r="6972" spans="34:37" x14ac:dyDescent="0.25">
      <c r="AH6972" s="75"/>
      <c r="AK6972" s="75"/>
    </row>
    <row r="6973" spans="34:37" x14ac:dyDescent="0.25">
      <c r="AH6973" s="75"/>
      <c r="AK6973" s="75"/>
    </row>
    <row r="6974" spans="34:37" x14ac:dyDescent="0.25">
      <c r="AH6974" s="75"/>
      <c r="AK6974" s="75"/>
    </row>
    <row r="6975" spans="34:37" x14ac:dyDescent="0.25">
      <c r="AH6975" s="75"/>
      <c r="AK6975" s="75"/>
    </row>
    <row r="6976" spans="34:37" x14ac:dyDescent="0.25">
      <c r="AH6976" s="75"/>
      <c r="AK6976" s="75"/>
    </row>
    <row r="6977" spans="34:37" x14ac:dyDescent="0.25">
      <c r="AH6977" s="75"/>
      <c r="AK6977" s="75"/>
    </row>
    <row r="6978" spans="34:37" x14ac:dyDescent="0.25">
      <c r="AH6978" s="75"/>
      <c r="AK6978" s="75"/>
    </row>
    <row r="6979" spans="34:37" x14ac:dyDescent="0.25">
      <c r="AH6979" s="75"/>
      <c r="AK6979" s="75"/>
    </row>
    <row r="6980" spans="34:37" x14ac:dyDescent="0.25">
      <c r="AH6980" s="75"/>
      <c r="AK6980" s="75"/>
    </row>
    <row r="6981" spans="34:37" x14ac:dyDescent="0.25">
      <c r="AH6981" s="75"/>
      <c r="AK6981" s="75"/>
    </row>
    <row r="6982" spans="34:37" x14ac:dyDescent="0.25">
      <c r="AH6982" s="75"/>
      <c r="AK6982" s="75"/>
    </row>
    <row r="6983" spans="34:37" x14ac:dyDescent="0.25">
      <c r="AH6983" s="75"/>
      <c r="AK6983" s="75"/>
    </row>
    <row r="6984" spans="34:37" x14ac:dyDescent="0.25">
      <c r="AH6984" s="75"/>
      <c r="AK6984" s="75"/>
    </row>
    <row r="6985" spans="34:37" x14ac:dyDescent="0.25">
      <c r="AH6985" s="75"/>
      <c r="AK6985" s="75"/>
    </row>
    <row r="6986" spans="34:37" x14ac:dyDescent="0.25">
      <c r="AH6986" s="75"/>
      <c r="AK6986" s="75"/>
    </row>
    <row r="6987" spans="34:37" x14ac:dyDescent="0.25">
      <c r="AH6987" s="75"/>
      <c r="AK6987" s="75"/>
    </row>
    <row r="6988" spans="34:37" x14ac:dyDescent="0.25">
      <c r="AH6988" s="75"/>
      <c r="AK6988" s="75"/>
    </row>
    <row r="6989" spans="34:37" x14ac:dyDescent="0.25">
      <c r="AH6989" s="75"/>
      <c r="AK6989" s="75"/>
    </row>
    <row r="6990" spans="34:37" x14ac:dyDescent="0.25">
      <c r="AH6990" s="75"/>
      <c r="AK6990" s="75"/>
    </row>
    <row r="6991" spans="34:37" x14ac:dyDescent="0.25">
      <c r="AH6991" s="75"/>
      <c r="AK6991" s="75"/>
    </row>
    <row r="6992" spans="34:37" x14ac:dyDescent="0.25">
      <c r="AH6992" s="75"/>
      <c r="AK6992" s="75"/>
    </row>
    <row r="6993" spans="34:37" x14ac:dyDescent="0.25">
      <c r="AH6993" s="75"/>
      <c r="AK6993" s="75"/>
    </row>
    <row r="6994" spans="34:37" x14ac:dyDescent="0.25">
      <c r="AH6994" s="75"/>
      <c r="AK6994" s="75"/>
    </row>
    <row r="6995" spans="34:37" x14ac:dyDescent="0.25">
      <c r="AH6995" s="75"/>
      <c r="AK6995" s="75"/>
    </row>
    <row r="6996" spans="34:37" x14ac:dyDescent="0.25">
      <c r="AH6996" s="75"/>
      <c r="AK6996" s="75"/>
    </row>
    <row r="6997" spans="34:37" x14ac:dyDescent="0.25">
      <c r="AH6997" s="75"/>
      <c r="AK6997" s="75"/>
    </row>
    <row r="6998" spans="34:37" x14ac:dyDescent="0.25">
      <c r="AH6998" s="75"/>
      <c r="AK6998" s="75"/>
    </row>
    <row r="6999" spans="34:37" x14ac:dyDescent="0.25">
      <c r="AH6999" s="75"/>
      <c r="AK6999" s="75"/>
    </row>
    <row r="7000" spans="34:37" x14ac:dyDescent="0.25">
      <c r="AH7000" s="75"/>
      <c r="AK7000" s="75"/>
    </row>
    <row r="7001" spans="34:37" x14ac:dyDescent="0.25">
      <c r="AH7001" s="75"/>
      <c r="AK7001" s="75"/>
    </row>
    <row r="7002" spans="34:37" x14ac:dyDescent="0.25">
      <c r="AH7002" s="75"/>
      <c r="AK7002" s="75"/>
    </row>
    <row r="7003" spans="34:37" x14ac:dyDescent="0.25">
      <c r="AH7003" s="75"/>
      <c r="AK7003" s="75"/>
    </row>
    <row r="7004" spans="34:37" x14ac:dyDescent="0.25">
      <c r="AH7004" s="75"/>
      <c r="AK7004" s="75"/>
    </row>
    <row r="7005" spans="34:37" x14ac:dyDescent="0.25">
      <c r="AH7005" s="75"/>
      <c r="AK7005" s="75"/>
    </row>
    <row r="7006" spans="34:37" x14ac:dyDescent="0.25">
      <c r="AH7006" s="75"/>
      <c r="AK7006" s="75"/>
    </row>
    <row r="7007" spans="34:37" x14ac:dyDescent="0.25">
      <c r="AH7007" s="75"/>
      <c r="AK7007" s="75"/>
    </row>
    <row r="7008" spans="34:37" x14ac:dyDescent="0.25">
      <c r="AH7008" s="75"/>
      <c r="AK7008" s="75"/>
    </row>
    <row r="7009" spans="34:37" x14ac:dyDescent="0.25">
      <c r="AH7009" s="75"/>
      <c r="AK7009" s="75"/>
    </row>
    <row r="7010" spans="34:37" x14ac:dyDescent="0.25">
      <c r="AH7010" s="75"/>
      <c r="AK7010" s="75"/>
    </row>
    <row r="7011" spans="34:37" x14ac:dyDescent="0.25">
      <c r="AH7011" s="75"/>
      <c r="AK7011" s="75"/>
    </row>
    <row r="7012" spans="34:37" x14ac:dyDescent="0.25">
      <c r="AH7012" s="75"/>
      <c r="AK7012" s="75"/>
    </row>
    <row r="7013" spans="34:37" x14ac:dyDescent="0.25">
      <c r="AH7013" s="75"/>
      <c r="AK7013" s="75"/>
    </row>
    <row r="7014" spans="34:37" x14ac:dyDescent="0.25">
      <c r="AH7014" s="75"/>
      <c r="AK7014" s="75"/>
    </row>
    <row r="7015" spans="34:37" x14ac:dyDescent="0.25">
      <c r="AH7015" s="75"/>
      <c r="AK7015" s="75"/>
    </row>
    <row r="7016" spans="34:37" x14ac:dyDescent="0.25">
      <c r="AH7016" s="75"/>
      <c r="AK7016" s="75"/>
    </row>
    <row r="7017" spans="34:37" x14ac:dyDescent="0.25">
      <c r="AH7017" s="75"/>
      <c r="AK7017" s="75"/>
    </row>
    <row r="7018" spans="34:37" x14ac:dyDescent="0.25">
      <c r="AH7018" s="75"/>
      <c r="AK7018" s="75"/>
    </row>
    <row r="7019" spans="34:37" x14ac:dyDescent="0.25">
      <c r="AH7019" s="75"/>
      <c r="AK7019" s="75"/>
    </row>
    <row r="7020" spans="34:37" x14ac:dyDescent="0.25">
      <c r="AH7020" s="75"/>
      <c r="AK7020" s="75"/>
    </row>
    <row r="7021" spans="34:37" x14ac:dyDescent="0.25">
      <c r="AH7021" s="75"/>
      <c r="AK7021" s="75"/>
    </row>
    <row r="7022" spans="34:37" x14ac:dyDescent="0.25">
      <c r="AH7022" s="75"/>
      <c r="AK7022" s="75"/>
    </row>
    <row r="7023" spans="34:37" x14ac:dyDescent="0.25">
      <c r="AH7023" s="75"/>
      <c r="AK7023" s="75"/>
    </row>
    <row r="7024" spans="34:37" x14ac:dyDescent="0.25">
      <c r="AH7024" s="75"/>
      <c r="AK7024" s="75"/>
    </row>
    <row r="7025" spans="34:37" x14ac:dyDescent="0.25">
      <c r="AH7025" s="75"/>
      <c r="AK7025" s="75"/>
    </row>
    <row r="7026" spans="34:37" x14ac:dyDescent="0.25">
      <c r="AH7026" s="75"/>
      <c r="AK7026" s="75"/>
    </row>
    <row r="7027" spans="34:37" x14ac:dyDescent="0.25">
      <c r="AH7027" s="75"/>
      <c r="AK7027" s="75"/>
    </row>
    <row r="7028" spans="34:37" x14ac:dyDescent="0.25">
      <c r="AH7028" s="75"/>
      <c r="AK7028" s="75"/>
    </row>
    <row r="7029" spans="34:37" x14ac:dyDescent="0.25">
      <c r="AH7029" s="75"/>
      <c r="AK7029" s="75"/>
    </row>
    <row r="7030" spans="34:37" x14ac:dyDescent="0.25">
      <c r="AH7030" s="75"/>
      <c r="AK7030" s="75"/>
    </row>
    <row r="7031" spans="34:37" x14ac:dyDescent="0.25">
      <c r="AH7031" s="75"/>
      <c r="AK7031" s="75"/>
    </row>
    <row r="7032" spans="34:37" x14ac:dyDescent="0.25">
      <c r="AH7032" s="75"/>
      <c r="AK7032" s="75"/>
    </row>
    <row r="7033" spans="34:37" x14ac:dyDescent="0.25">
      <c r="AH7033" s="75"/>
      <c r="AK7033" s="75"/>
    </row>
    <row r="7034" spans="34:37" x14ac:dyDescent="0.25">
      <c r="AH7034" s="75"/>
      <c r="AK7034" s="75"/>
    </row>
    <row r="7035" spans="34:37" x14ac:dyDescent="0.25">
      <c r="AH7035" s="75"/>
      <c r="AK7035" s="75"/>
    </row>
    <row r="7036" spans="34:37" x14ac:dyDescent="0.25">
      <c r="AH7036" s="75"/>
      <c r="AK7036" s="75"/>
    </row>
    <row r="7037" spans="34:37" x14ac:dyDescent="0.25">
      <c r="AH7037" s="75"/>
      <c r="AK7037" s="75"/>
    </row>
    <row r="7038" spans="34:37" x14ac:dyDescent="0.25">
      <c r="AH7038" s="75"/>
      <c r="AK7038" s="75"/>
    </row>
    <row r="7039" spans="34:37" x14ac:dyDescent="0.25">
      <c r="AH7039" s="75"/>
      <c r="AK7039" s="75"/>
    </row>
    <row r="7040" spans="34:37" x14ac:dyDescent="0.25">
      <c r="AH7040" s="75"/>
      <c r="AK7040" s="75"/>
    </row>
    <row r="7041" spans="34:37" x14ac:dyDescent="0.25">
      <c r="AH7041" s="75"/>
      <c r="AK7041" s="75"/>
    </row>
    <row r="7042" spans="34:37" x14ac:dyDescent="0.25">
      <c r="AH7042" s="75"/>
      <c r="AK7042" s="75"/>
    </row>
    <row r="7043" spans="34:37" x14ac:dyDescent="0.25">
      <c r="AH7043" s="75"/>
      <c r="AK7043" s="75"/>
    </row>
    <row r="7044" spans="34:37" x14ac:dyDescent="0.25">
      <c r="AH7044" s="75"/>
      <c r="AK7044" s="75"/>
    </row>
    <row r="7045" spans="34:37" x14ac:dyDescent="0.25">
      <c r="AH7045" s="75"/>
      <c r="AK7045" s="75"/>
    </row>
    <row r="7046" spans="34:37" x14ac:dyDescent="0.25">
      <c r="AH7046" s="75"/>
      <c r="AK7046" s="75"/>
    </row>
    <row r="7047" spans="34:37" x14ac:dyDescent="0.25">
      <c r="AH7047" s="75"/>
      <c r="AK7047" s="75"/>
    </row>
    <row r="7048" spans="34:37" x14ac:dyDescent="0.25">
      <c r="AH7048" s="75"/>
      <c r="AK7048" s="75"/>
    </row>
    <row r="7049" spans="34:37" x14ac:dyDescent="0.25">
      <c r="AH7049" s="75"/>
      <c r="AK7049" s="75"/>
    </row>
    <row r="7050" spans="34:37" x14ac:dyDescent="0.25">
      <c r="AH7050" s="75"/>
      <c r="AK7050" s="75"/>
    </row>
    <row r="7051" spans="34:37" x14ac:dyDescent="0.25">
      <c r="AH7051" s="75"/>
      <c r="AK7051" s="75"/>
    </row>
    <row r="7052" spans="34:37" x14ac:dyDescent="0.25">
      <c r="AH7052" s="75"/>
      <c r="AK7052" s="75"/>
    </row>
    <row r="7053" spans="34:37" x14ac:dyDescent="0.25">
      <c r="AH7053" s="75"/>
      <c r="AK7053" s="75"/>
    </row>
    <row r="7054" spans="34:37" x14ac:dyDescent="0.25">
      <c r="AH7054" s="75"/>
      <c r="AK7054" s="75"/>
    </row>
    <row r="7055" spans="34:37" x14ac:dyDescent="0.25">
      <c r="AH7055" s="75"/>
      <c r="AK7055" s="75"/>
    </row>
    <row r="7056" spans="34:37" x14ac:dyDescent="0.25">
      <c r="AH7056" s="75"/>
      <c r="AK7056" s="75"/>
    </row>
    <row r="7057" spans="34:37" x14ac:dyDescent="0.25">
      <c r="AH7057" s="75"/>
      <c r="AK7057" s="75"/>
    </row>
    <row r="7058" spans="34:37" x14ac:dyDescent="0.25">
      <c r="AH7058" s="75"/>
      <c r="AK7058" s="75"/>
    </row>
    <row r="7059" spans="34:37" x14ac:dyDescent="0.25">
      <c r="AH7059" s="75"/>
      <c r="AK7059" s="75"/>
    </row>
    <row r="7060" spans="34:37" x14ac:dyDescent="0.25">
      <c r="AH7060" s="75"/>
      <c r="AK7060" s="75"/>
    </row>
    <row r="7061" spans="34:37" x14ac:dyDescent="0.25">
      <c r="AH7061" s="75"/>
      <c r="AK7061" s="75"/>
    </row>
    <row r="7062" spans="34:37" x14ac:dyDescent="0.25">
      <c r="AH7062" s="75"/>
      <c r="AK7062" s="75"/>
    </row>
    <row r="7063" spans="34:37" x14ac:dyDescent="0.25">
      <c r="AH7063" s="75"/>
      <c r="AK7063" s="75"/>
    </row>
    <row r="7064" spans="34:37" x14ac:dyDescent="0.25">
      <c r="AH7064" s="75"/>
      <c r="AK7064" s="75"/>
    </row>
    <row r="7065" spans="34:37" x14ac:dyDescent="0.25">
      <c r="AH7065" s="75"/>
      <c r="AK7065" s="75"/>
    </row>
    <row r="7066" spans="34:37" x14ac:dyDescent="0.25">
      <c r="AH7066" s="75"/>
      <c r="AK7066" s="75"/>
    </row>
    <row r="7067" spans="34:37" x14ac:dyDescent="0.25">
      <c r="AH7067" s="75"/>
      <c r="AK7067" s="75"/>
    </row>
    <row r="7068" spans="34:37" x14ac:dyDescent="0.25">
      <c r="AH7068" s="75"/>
      <c r="AK7068" s="75"/>
    </row>
    <row r="7069" spans="34:37" x14ac:dyDescent="0.25">
      <c r="AH7069" s="75"/>
      <c r="AK7069" s="75"/>
    </row>
    <row r="7070" spans="34:37" x14ac:dyDescent="0.25">
      <c r="AH7070" s="75"/>
      <c r="AK7070" s="75"/>
    </row>
    <row r="7071" spans="34:37" x14ac:dyDescent="0.25">
      <c r="AH7071" s="75"/>
      <c r="AK7071" s="75"/>
    </row>
    <row r="7072" spans="34:37" x14ac:dyDescent="0.25">
      <c r="AH7072" s="75"/>
      <c r="AK7072" s="75"/>
    </row>
    <row r="7073" spans="34:37" x14ac:dyDescent="0.25">
      <c r="AH7073" s="75"/>
      <c r="AK7073" s="75"/>
    </row>
    <row r="7074" spans="34:37" x14ac:dyDescent="0.25">
      <c r="AH7074" s="75"/>
      <c r="AK7074" s="75"/>
    </row>
    <row r="7075" spans="34:37" x14ac:dyDescent="0.25">
      <c r="AH7075" s="75"/>
      <c r="AK7075" s="75"/>
    </row>
    <row r="7076" spans="34:37" x14ac:dyDescent="0.25">
      <c r="AH7076" s="75"/>
      <c r="AK7076" s="75"/>
    </row>
    <row r="7077" spans="34:37" x14ac:dyDescent="0.25">
      <c r="AH7077" s="75"/>
      <c r="AK7077" s="75"/>
    </row>
    <row r="7078" spans="34:37" x14ac:dyDescent="0.25">
      <c r="AH7078" s="75"/>
      <c r="AK7078" s="75"/>
    </row>
    <row r="7079" spans="34:37" x14ac:dyDescent="0.25">
      <c r="AH7079" s="75"/>
      <c r="AK7079" s="75"/>
    </row>
    <row r="7080" spans="34:37" x14ac:dyDescent="0.25">
      <c r="AH7080" s="75"/>
      <c r="AK7080" s="75"/>
    </row>
    <row r="7081" spans="34:37" x14ac:dyDescent="0.25">
      <c r="AH7081" s="75"/>
      <c r="AK7081" s="75"/>
    </row>
    <row r="7082" spans="34:37" x14ac:dyDescent="0.25">
      <c r="AH7082" s="75"/>
      <c r="AK7082" s="75"/>
    </row>
    <row r="7083" spans="34:37" x14ac:dyDescent="0.25">
      <c r="AH7083" s="75"/>
      <c r="AK7083" s="75"/>
    </row>
    <row r="7084" spans="34:37" x14ac:dyDescent="0.25">
      <c r="AH7084" s="75"/>
      <c r="AK7084" s="75"/>
    </row>
    <row r="7085" spans="34:37" x14ac:dyDescent="0.25">
      <c r="AH7085" s="75"/>
      <c r="AK7085" s="75"/>
    </row>
    <row r="7086" spans="34:37" x14ac:dyDescent="0.25">
      <c r="AH7086" s="75"/>
      <c r="AK7086" s="75"/>
    </row>
    <row r="7087" spans="34:37" x14ac:dyDescent="0.25">
      <c r="AH7087" s="75"/>
      <c r="AK7087" s="75"/>
    </row>
    <row r="7088" spans="34:37" x14ac:dyDescent="0.25">
      <c r="AH7088" s="75"/>
      <c r="AK7088" s="75"/>
    </row>
    <row r="7089" spans="34:37" x14ac:dyDescent="0.25">
      <c r="AH7089" s="75"/>
      <c r="AK7089" s="75"/>
    </row>
    <row r="7090" spans="34:37" x14ac:dyDescent="0.25">
      <c r="AH7090" s="75"/>
      <c r="AK7090" s="75"/>
    </row>
    <row r="7091" spans="34:37" x14ac:dyDescent="0.25">
      <c r="AH7091" s="75"/>
      <c r="AK7091" s="75"/>
    </row>
    <row r="7092" spans="34:37" x14ac:dyDescent="0.25">
      <c r="AH7092" s="75"/>
      <c r="AK7092" s="75"/>
    </row>
    <row r="7093" spans="34:37" x14ac:dyDescent="0.25">
      <c r="AH7093" s="75"/>
      <c r="AK7093" s="75"/>
    </row>
    <row r="7094" spans="34:37" x14ac:dyDescent="0.25">
      <c r="AH7094" s="75"/>
      <c r="AK7094" s="75"/>
    </row>
    <row r="7095" spans="34:37" x14ac:dyDescent="0.25">
      <c r="AH7095" s="75"/>
      <c r="AK7095" s="75"/>
    </row>
    <row r="7096" spans="34:37" x14ac:dyDescent="0.25">
      <c r="AH7096" s="75"/>
      <c r="AK7096" s="75"/>
    </row>
    <row r="7097" spans="34:37" x14ac:dyDescent="0.25">
      <c r="AH7097" s="75"/>
      <c r="AK7097" s="75"/>
    </row>
    <row r="7098" spans="34:37" x14ac:dyDescent="0.25">
      <c r="AH7098" s="75"/>
      <c r="AK7098" s="75"/>
    </row>
    <row r="7099" spans="34:37" x14ac:dyDescent="0.25">
      <c r="AH7099" s="75"/>
      <c r="AK7099" s="75"/>
    </row>
    <row r="7100" spans="34:37" x14ac:dyDescent="0.25">
      <c r="AH7100" s="75"/>
      <c r="AK7100" s="75"/>
    </row>
    <row r="7101" spans="34:37" x14ac:dyDescent="0.25">
      <c r="AH7101" s="75"/>
      <c r="AK7101" s="75"/>
    </row>
    <row r="7102" spans="34:37" x14ac:dyDescent="0.25">
      <c r="AH7102" s="75"/>
      <c r="AK7102" s="75"/>
    </row>
    <row r="7103" spans="34:37" x14ac:dyDescent="0.25">
      <c r="AH7103" s="75"/>
      <c r="AK7103" s="75"/>
    </row>
    <row r="7104" spans="34:37" x14ac:dyDescent="0.25">
      <c r="AH7104" s="75"/>
      <c r="AK7104" s="75"/>
    </row>
    <row r="7105" spans="34:37" x14ac:dyDescent="0.25">
      <c r="AH7105" s="75"/>
      <c r="AK7105" s="75"/>
    </row>
    <row r="7106" spans="34:37" x14ac:dyDescent="0.25">
      <c r="AH7106" s="75"/>
      <c r="AK7106" s="75"/>
    </row>
    <row r="7107" spans="34:37" x14ac:dyDescent="0.25">
      <c r="AH7107" s="75"/>
      <c r="AK7107" s="75"/>
    </row>
    <row r="7108" spans="34:37" x14ac:dyDescent="0.25">
      <c r="AH7108" s="75"/>
      <c r="AK7108" s="75"/>
    </row>
    <row r="7109" spans="34:37" x14ac:dyDescent="0.25">
      <c r="AH7109" s="75"/>
      <c r="AK7109" s="75"/>
    </row>
    <row r="7110" spans="34:37" x14ac:dyDescent="0.25">
      <c r="AH7110" s="75"/>
      <c r="AK7110" s="75"/>
    </row>
    <row r="7111" spans="34:37" x14ac:dyDescent="0.25">
      <c r="AH7111" s="75"/>
      <c r="AK7111" s="75"/>
    </row>
    <row r="7112" spans="34:37" x14ac:dyDescent="0.25">
      <c r="AH7112" s="75"/>
      <c r="AK7112" s="75"/>
    </row>
    <row r="7113" spans="34:37" x14ac:dyDescent="0.25">
      <c r="AH7113" s="75"/>
      <c r="AK7113" s="75"/>
    </row>
    <row r="7114" spans="34:37" x14ac:dyDescent="0.25">
      <c r="AH7114" s="75"/>
      <c r="AK7114" s="75"/>
    </row>
    <row r="7115" spans="34:37" x14ac:dyDescent="0.25">
      <c r="AH7115" s="75"/>
      <c r="AK7115" s="75"/>
    </row>
    <row r="7116" spans="34:37" x14ac:dyDescent="0.25">
      <c r="AH7116" s="75"/>
      <c r="AK7116" s="75"/>
    </row>
    <row r="7117" spans="34:37" x14ac:dyDescent="0.25">
      <c r="AH7117" s="75"/>
      <c r="AK7117" s="75"/>
    </row>
    <row r="7118" spans="34:37" x14ac:dyDescent="0.25">
      <c r="AH7118" s="75"/>
      <c r="AK7118" s="75"/>
    </row>
    <row r="7119" spans="34:37" x14ac:dyDescent="0.25">
      <c r="AH7119" s="75"/>
      <c r="AK7119" s="75"/>
    </row>
    <row r="7120" spans="34:37" x14ac:dyDescent="0.25">
      <c r="AH7120" s="75"/>
      <c r="AK7120" s="75"/>
    </row>
    <row r="7121" spans="34:37" x14ac:dyDescent="0.25">
      <c r="AH7121" s="75"/>
      <c r="AK7121" s="75"/>
    </row>
    <row r="7122" spans="34:37" x14ac:dyDescent="0.25">
      <c r="AH7122" s="75"/>
      <c r="AK7122" s="75"/>
    </row>
    <row r="7123" spans="34:37" x14ac:dyDescent="0.25">
      <c r="AH7123" s="75"/>
      <c r="AK7123" s="75"/>
    </row>
    <row r="7124" spans="34:37" x14ac:dyDescent="0.25">
      <c r="AH7124" s="75"/>
      <c r="AK7124" s="75"/>
    </row>
    <row r="7125" spans="34:37" x14ac:dyDescent="0.25">
      <c r="AH7125" s="75"/>
      <c r="AK7125" s="75"/>
    </row>
    <row r="7126" spans="34:37" x14ac:dyDescent="0.25">
      <c r="AH7126" s="75"/>
      <c r="AK7126" s="75"/>
    </row>
    <row r="7127" spans="34:37" x14ac:dyDescent="0.25">
      <c r="AH7127" s="75"/>
      <c r="AK7127" s="75"/>
    </row>
    <row r="7128" spans="34:37" x14ac:dyDescent="0.25">
      <c r="AH7128" s="75"/>
      <c r="AK7128" s="75"/>
    </row>
    <row r="7129" spans="34:37" x14ac:dyDescent="0.25">
      <c r="AH7129" s="75"/>
      <c r="AK7129" s="75"/>
    </row>
    <row r="7130" spans="34:37" x14ac:dyDescent="0.25">
      <c r="AH7130" s="75"/>
      <c r="AK7130" s="75"/>
    </row>
    <row r="7131" spans="34:37" x14ac:dyDescent="0.25">
      <c r="AH7131" s="75"/>
      <c r="AK7131" s="75"/>
    </row>
    <row r="7132" spans="34:37" x14ac:dyDescent="0.25">
      <c r="AH7132" s="75"/>
      <c r="AK7132" s="75"/>
    </row>
    <row r="7133" spans="34:37" x14ac:dyDescent="0.25">
      <c r="AH7133" s="75"/>
      <c r="AK7133" s="75"/>
    </row>
    <row r="7134" spans="34:37" x14ac:dyDescent="0.25">
      <c r="AH7134" s="75"/>
      <c r="AK7134" s="75"/>
    </row>
    <row r="7135" spans="34:37" x14ac:dyDescent="0.25">
      <c r="AH7135" s="75"/>
      <c r="AK7135" s="75"/>
    </row>
    <row r="7136" spans="34:37" x14ac:dyDescent="0.25">
      <c r="AH7136" s="75"/>
      <c r="AK7136" s="75"/>
    </row>
    <row r="7137" spans="34:37" x14ac:dyDescent="0.25">
      <c r="AH7137" s="75"/>
      <c r="AK7137" s="75"/>
    </row>
    <row r="7138" spans="34:37" x14ac:dyDescent="0.25">
      <c r="AH7138" s="75"/>
      <c r="AK7138" s="75"/>
    </row>
    <row r="7139" spans="34:37" x14ac:dyDescent="0.25">
      <c r="AH7139" s="75"/>
      <c r="AK7139" s="75"/>
    </row>
    <row r="7140" spans="34:37" x14ac:dyDescent="0.25">
      <c r="AH7140" s="75"/>
      <c r="AK7140" s="75"/>
    </row>
    <row r="7141" spans="34:37" x14ac:dyDescent="0.25">
      <c r="AH7141" s="75"/>
      <c r="AK7141" s="75"/>
    </row>
    <row r="7142" spans="34:37" x14ac:dyDescent="0.25">
      <c r="AH7142" s="75"/>
      <c r="AK7142" s="75"/>
    </row>
    <row r="7143" spans="34:37" x14ac:dyDescent="0.25">
      <c r="AH7143" s="75"/>
      <c r="AK7143" s="75"/>
    </row>
    <row r="7144" spans="34:37" x14ac:dyDescent="0.25">
      <c r="AH7144" s="75"/>
      <c r="AK7144" s="75"/>
    </row>
    <row r="7145" spans="34:37" x14ac:dyDescent="0.25">
      <c r="AH7145" s="75"/>
      <c r="AK7145" s="75"/>
    </row>
    <row r="7146" spans="34:37" x14ac:dyDescent="0.25">
      <c r="AH7146" s="75"/>
      <c r="AK7146" s="75"/>
    </row>
    <row r="7147" spans="34:37" x14ac:dyDescent="0.25">
      <c r="AH7147" s="75"/>
      <c r="AK7147" s="75"/>
    </row>
    <row r="7148" spans="34:37" x14ac:dyDescent="0.25">
      <c r="AH7148" s="75"/>
      <c r="AK7148" s="75"/>
    </row>
    <row r="7149" spans="34:37" x14ac:dyDescent="0.25">
      <c r="AH7149" s="75"/>
      <c r="AK7149" s="75"/>
    </row>
    <row r="7150" spans="34:37" x14ac:dyDescent="0.25">
      <c r="AH7150" s="75"/>
      <c r="AK7150" s="75"/>
    </row>
    <row r="7151" spans="34:37" x14ac:dyDescent="0.25">
      <c r="AH7151" s="75"/>
      <c r="AK7151" s="75"/>
    </row>
    <row r="7152" spans="34:37" x14ac:dyDescent="0.25">
      <c r="AH7152" s="75"/>
      <c r="AK7152" s="75"/>
    </row>
    <row r="7153" spans="34:37" x14ac:dyDescent="0.25">
      <c r="AH7153" s="75"/>
      <c r="AK7153" s="75"/>
    </row>
    <row r="7154" spans="34:37" x14ac:dyDescent="0.25">
      <c r="AH7154" s="75"/>
      <c r="AK7154" s="75"/>
    </row>
    <row r="7155" spans="34:37" x14ac:dyDescent="0.25">
      <c r="AH7155" s="75"/>
      <c r="AK7155" s="75"/>
    </row>
    <row r="7156" spans="34:37" x14ac:dyDescent="0.25">
      <c r="AH7156" s="75"/>
      <c r="AK7156" s="75"/>
    </row>
    <row r="7157" spans="34:37" x14ac:dyDescent="0.25">
      <c r="AH7157" s="75"/>
      <c r="AK7157" s="75"/>
    </row>
    <row r="7158" spans="34:37" x14ac:dyDescent="0.25">
      <c r="AH7158" s="75"/>
      <c r="AK7158" s="75"/>
    </row>
    <row r="7159" spans="34:37" x14ac:dyDescent="0.25">
      <c r="AH7159" s="75"/>
      <c r="AK7159" s="75"/>
    </row>
    <row r="7160" spans="34:37" x14ac:dyDescent="0.25">
      <c r="AH7160" s="75"/>
      <c r="AK7160" s="75"/>
    </row>
    <row r="7161" spans="34:37" x14ac:dyDescent="0.25">
      <c r="AH7161" s="75"/>
      <c r="AK7161" s="75"/>
    </row>
    <row r="7162" spans="34:37" x14ac:dyDescent="0.25">
      <c r="AH7162" s="75"/>
      <c r="AK7162" s="75"/>
    </row>
    <row r="7163" spans="34:37" x14ac:dyDescent="0.25">
      <c r="AH7163" s="75"/>
      <c r="AK7163" s="75"/>
    </row>
    <row r="7164" spans="34:37" x14ac:dyDescent="0.25">
      <c r="AH7164" s="75"/>
      <c r="AK7164" s="75"/>
    </row>
    <row r="7165" spans="34:37" x14ac:dyDescent="0.25">
      <c r="AH7165" s="75"/>
      <c r="AK7165" s="75"/>
    </row>
    <row r="7166" spans="34:37" x14ac:dyDescent="0.25">
      <c r="AH7166" s="75"/>
      <c r="AK7166" s="75"/>
    </row>
    <row r="7167" spans="34:37" x14ac:dyDescent="0.25">
      <c r="AH7167" s="75"/>
      <c r="AK7167" s="75"/>
    </row>
    <row r="7168" spans="34:37" x14ac:dyDescent="0.25">
      <c r="AH7168" s="75"/>
      <c r="AK7168" s="75"/>
    </row>
    <row r="7169" spans="34:37" x14ac:dyDescent="0.25">
      <c r="AH7169" s="75"/>
      <c r="AK7169" s="75"/>
    </row>
    <row r="7170" spans="34:37" x14ac:dyDescent="0.25">
      <c r="AH7170" s="75"/>
      <c r="AK7170" s="75"/>
    </row>
    <row r="7171" spans="34:37" x14ac:dyDescent="0.25">
      <c r="AH7171" s="75"/>
      <c r="AK7171" s="75"/>
    </row>
    <row r="7172" spans="34:37" x14ac:dyDescent="0.25">
      <c r="AH7172" s="75"/>
      <c r="AK7172" s="75"/>
    </row>
    <row r="7173" spans="34:37" x14ac:dyDescent="0.25">
      <c r="AH7173" s="75"/>
      <c r="AK7173" s="75"/>
    </row>
    <row r="7174" spans="34:37" x14ac:dyDescent="0.25">
      <c r="AH7174" s="75"/>
      <c r="AK7174" s="75"/>
    </row>
    <row r="7175" spans="34:37" x14ac:dyDescent="0.25">
      <c r="AH7175" s="75"/>
      <c r="AK7175" s="75"/>
    </row>
    <row r="7176" spans="34:37" x14ac:dyDescent="0.25">
      <c r="AH7176" s="75"/>
      <c r="AK7176" s="75"/>
    </row>
    <row r="7177" spans="34:37" x14ac:dyDescent="0.25">
      <c r="AH7177" s="75"/>
      <c r="AK7177" s="75"/>
    </row>
    <row r="7178" spans="34:37" x14ac:dyDescent="0.25">
      <c r="AH7178" s="75"/>
      <c r="AK7178" s="75"/>
    </row>
    <row r="7179" spans="34:37" x14ac:dyDescent="0.25">
      <c r="AH7179" s="75"/>
      <c r="AK7179" s="75"/>
    </row>
    <row r="7180" spans="34:37" x14ac:dyDescent="0.25">
      <c r="AH7180" s="75"/>
      <c r="AK7180" s="75"/>
    </row>
    <row r="7181" spans="34:37" x14ac:dyDescent="0.25">
      <c r="AH7181" s="75"/>
      <c r="AK7181" s="75"/>
    </row>
    <row r="7182" spans="34:37" x14ac:dyDescent="0.25">
      <c r="AH7182" s="75"/>
      <c r="AK7182" s="75"/>
    </row>
    <row r="7183" spans="34:37" x14ac:dyDescent="0.25">
      <c r="AH7183" s="75"/>
      <c r="AK7183" s="75"/>
    </row>
    <row r="7184" spans="34:37" x14ac:dyDescent="0.25">
      <c r="AH7184" s="75"/>
      <c r="AK7184" s="75"/>
    </row>
    <row r="7185" spans="34:37" x14ac:dyDescent="0.25">
      <c r="AH7185" s="75"/>
      <c r="AK7185" s="75"/>
    </row>
    <row r="7186" spans="34:37" x14ac:dyDescent="0.25">
      <c r="AH7186" s="75"/>
      <c r="AK7186" s="75"/>
    </row>
    <row r="7187" spans="34:37" x14ac:dyDescent="0.25">
      <c r="AH7187" s="75"/>
      <c r="AK7187" s="75"/>
    </row>
    <row r="7188" spans="34:37" x14ac:dyDescent="0.25">
      <c r="AH7188" s="75"/>
      <c r="AK7188" s="75"/>
    </row>
    <row r="7189" spans="34:37" x14ac:dyDescent="0.25">
      <c r="AH7189" s="75"/>
      <c r="AK7189" s="75"/>
    </row>
    <row r="7190" spans="34:37" x14ac:dyDescent="0.25">
      <c r="AH7190" s="75"/>
      <c r="AK7190" s="75"/>
    </row>
    <row r="7191" spans="34:37" x14ac:dyDescent="0.25">
      <c r="AH7191" s="75"/>
      <c r="AK7191" s="75"/>
    </row>
    <row r="7192" spans="34:37" x14ac:dyDescent="0.25">
      <c r="AH7192" s="75"/>
      <c r="AK7192" s="75"/>
    </row>
    <row r="7193" spans="34:37" x14ac:dyDescent="0.25">
      <c r="AH7193" s="75"/>
      <c r="AK7193" s="75"/>
    </row>
    <row r="7194" spans="34:37" x14ac:dyDescent="0.25">
      <c r="AH7194" s="75"/>
      <c r="AK7194" s="75"/>
    </row>
    <row r="7195" spans="34:37" x14ac:dyDescent="0.25">
      <c r="AH7195" s="75"/>
      <c r="AK7195" s="75"/>
    </row>
    <row r="7196" spans="34:37" x14ac:dyDescent="0.25">
      <c r="AH7196" s="75"/>
      <c r="AK7196" s="75"/>
    </row>
    <row r="7197" spans="34:37" x14ac:dyDescent="0.25">
      <c r="AH7197" s="75"/>
      <c r="AK7197" s="75"/>
    </row>
    <row r="7198" spans="34:37" x14ac:dyDescent="0.25">
      <c r="AH7198" s="75"/>
      <c r="AK7198" s="75"/>
    </row>
    <row r="7199" spans="34:37" x14ac:dyDescent="0.25">
      <c r="AH7199" s="75"/>
      <c r="AK7199" s="75"/>
    </row>
    <row r="7200" spans="34:37" x14ac:dyDescent="0.25">
      <c r="AH7200" s="75"/>
      <c r="AK7200" s="75"/>
    </row>
    <row r="7201" spans="34:37" x14ac:dyDescent="0.25">
      <c r="AH7201" s="75"/>
      <c r="AK7201" s="75"/>
    </row>
    <row r="7202" spans="34:37" x14ac:dyDescent="0.25">
      <c r="AH7202" s="75"/>
      <c r="AK7202" s="75"/>
    </row>
    <row r="7203" spans="34:37" x14ac:dyDescent="0.25">
      <c r="AH7203" s="75"/>
      <c r="AK7203" s="75"/>
    </row>
    <row r="7204" spans="34:37" x14ac:dyDescent="0.25">
      <c r="AH7204" s="75"/>
      <c r="AK7204" s="75"/>
    </row>
    <row r="7205" spans="34:37" x14ac:dyDescent="0.25">
      <c r="AH7205" s="75"/>
      <c r="AK7205" s="75"/>
    </row>
    <row r="7206" spans="34:37" x14ac:dyDescent="0.25">
      <c r="AH7206" s="75"/>
      <c r="AK7206" s="75"/>
    </row>
    <row r="7207" spans="34:37" x14ac:dyDescent="0.25">
      <c r="AH7207" s="75"/>
      <c r="AK7207" s="75"/>
    </row>
    <row r="7208" spans="34:37" x14ac:dyDescent="0.25">
      <c r="AH7208" s="75"/>
      <c r="AK7208" s="75"/>
    </row>
    <row r="7209" spans="34:37" x14ac:dyDescent="0.25">
      <c r="AH7209" s="75"/>
      <c r="AK7209" s="75"/>
    </row>
    <row r="7210" spans="34:37" x14ac:dyDescent="0.25">
      <c r="AH7210" s="75"/>
      <c r="AK7210" s="75"/>
    </row>
    <row r="7211" spans="34:37" x14ac:dyDescent="0.25">
      <c r="AH7211" s="75"/>
      <c r="AK7211" s="75"/>
    </row>
    <row r="7212" spans="34:37" x14ac:dyDescent="0.25">
      <c r="AH7212" s="75"/>
      <c r="AK7212" s="75"/>
    </row>
    <row r="7213" spans="34:37" x14ac:dyDescent="0.25">
      <c r="AH7213" s="75"/>
      <c r="AK7213" s="75"/>
    </row>
    <row r="7214" spans="34:37" x14ac:dyDescent="0.25">
      <c r="AH7214" s="75"/>
      <c r="AK7214" s="75"/>
    </row>
    <row r="7215" spans="34:37" x14ac:dyDescent="0.25">
      <c r="AH7215" s="75"/>
      <c r="AK7215" s="75"/>
    </row>
    <row r="7216" spans="34:37" x14ac:dyDescent="0.25">
      <c r="AH7216" s="75"/>
      <c r="AK7216" s="75"/>
    </row>
    <row r="7217" spans="34:37" x14ac:dyDescent="0.25">
      <c r="AH7217" s="75"/>
      <c r="AK7217" s="75"/>
    </row>
    <row r="7218" spans="34:37" x14ac:dyDescent="0.25">
      <c r="AH7218" s="75"/>
      <c r="AK7218" s="75"/>
    </row>
    <row r="7219" spans="34:37" x14ac:dyDescent="0.25">
      <c r="AH7219" s="75"/>
      <c r="AK7219" s="75"/>
    </row>
    <row r="7220" spans="34:37" x14ac:dyDescent="0.25">
      <c r="AH7220" s="75"/>
      <c r="AK7220" s="75"/>
    </row>
    <row r="7221" spans="34:37" x14ac:dyDescent="0.25">
      <c r="AH7221" s="75"/>
      <c r="AK7221" s="75"/>
    </row>
    <row r="7222" spans="34:37" x14ac:dyDescent="0.25">
      <c r="AH7222" s="75"/>
      <c r="AK7222" s="75"/>
    </row>
    <row r="7223" spans="34:37" x14ac:dyDescent="0.25">
      <c r="AH7223" s="75"/>
      <c r="AK7223" s="75"/>
    </row>
    <row r="7224" spans="34:37" x14ac:dyDescent="0.25">
      <c r="AH7224" s="75"/>
      <c r="AK7224" s="75"/>
    </row>
    <row r="7225" spans="34:37" x14ac:dyDescent="0.25">
      <c r="AH7225" s="75"/>
      <c r="AK7225" s="75"/>
    </row>
    <row r="7226" spans="34:37" x14ac:dyDescent="0.25">
      <c r="AH7226" s="75"/>
      <c r="AK7226" s="75"/>
    </row>
    <row r="7227" spans="34:37" x14ac:dyDescent="0.25">
      <c r="AH7227" s="75"/>
      <c r="AK7227" s="75"/>
    </row>
    <row r="7228" spans="34:37" x14ac:dyDescent="0.25">
      <c r="AH7228" s="75"/>
      <c r="AK7228" s="75"/>
    </row>
    <row r="7229" spans="34:37" x14ac:dyDescent="0.25">
      <c r="AH7229" s="75"/>
      <c r="AK7229" s="75"/>
    </row>
    <row r="7230" spans="34:37" x14ac:dyDescent="0.25">
      <c r="AH7230" s="75"/>
      <c r="AK7230" s="75"/>
    </row>
    <row r="7231" spans="34:37" x14ac:dyDescent="0.25">
      <c r="AH7231" s="75"/>
      <c r="AK7231" s="75"/>
    </row>
    <row r="7232" spans="34:37" x14ac:dyDescent="0.25">
      <c r="AH7232" s="75"/>
      <c r="AK7232" s="75"/>
    </row>
    <row r="7233" spans="34:37" x14ac:dyDescent="0.25">
      <c r="AH7233" s="75"/>
      <c r="AK7233" s="75"/>
    </row>
    <row r="7234" spans="34:37" x14ac:dyDescent="0.25">
      <c r="AH7234" s="75"/>
      <c r="AK7234" s="75"/>
    </row>
    <row r="7235" spans="34:37" x14ac:dyDescent="0.25">
      <c r="AH7235" s="75"/>
      <c r="AK7235" s="75"/>
    </row>
    <row r="7236" spans="34:37" x14ac:dyDescent="0.25">
      <c r="AH7236" s="75"/>
      <c r="AK7236" s="75"/>
    </row>
    <row r="7237" spans="34:37" x14ac:dyDescent="0.25">
      <c r="AH7237" s="75"/>
      <c r="AK7237" s="75"/>
    </row>
    <row r="7238" spans="34:37" x14ac:dyDescent="0.25">
      <c r="AH7238" s="75"/>
      <c r="AK7238" s="75"/>
    </row>
    <row r="7239" spans="34:37" x14ac:dyDescent="0.25">
      <c r="AH7239" s="75"/>
      <c r="AK7239" s="75"/>
    </row>
    <row r="7240" spans="34:37" x14ac:dyDescent="0.25">
      <c r="AH7240" s="75"/>
      <c r="AK7240" s="75"/>
    </row>
    <row r="7241" spans="34:37" x14ac:dyDescent="0.25">
      <c r="AH7241" s="75"/>
      <c r="AK7241" s="75"/>
    </row>
    <row r="7242" spans="34:37" x14ac:dyDescent="0.25">
      <c r="AH7242" s="75"/>
      <c r="AK7242" s="75"/>
    </row>
    <row r="7243" spans="34:37" x14ac:dyDescent="0.25">
      <c r="AH7243" s="75"/>
      <c r="AK7243" s="75"/>
    </row>
    <row r="7244" spans="34:37" x14ac:dyDescent="0.25">
      <c r="AH7244" s="75"/>
      <c r="AK7244" s="75"/>
    </row>
    <row r="7245" spans="34:37" x14ac:dyDescent="0.25">
      <c r="AH7245" s="75"/>
      <c r="AK7245" s="75"/>
    </row>
    <row r="7246" spans="34:37" x14ac:dyDescent="0.25">
      <c r="AH7246" s="75"/>
      <c r="AK7246" s="75"/>
    </row>
    <row r="7247" spans="34:37" x14ac:dyDescent="0.25">
      <c r="AH7247" s="75"/>
      <c r="AK7247" s="75"/>
    </row>
    <row r="7248" spans="34:37" x14ac:dyDescent="0.25">
      <c r="AH7248" s="75"/>
      <c r="AK7248" s="75"/>
    </row>
    <row r="7249" spans="34:37" x14ac:dyDescent="0.25">
      <c r="AH7249" s="75"/>
      <c r="AK7249" s="75"/>
    </row>
    <row r="7250" spans="34:37" x14ac:dyDescent="0.25">
      <c r="AH7250" s="75"/>
      <c r="AK7250" s="75"/>
    </row>
    <row r="7251" spans="34:37" x14ac:dyDescent="0.25">
      <c r="AH7251" s="75"/>
      <c r="AK7251" s="75"/>
    </row>
    <row r="7252" spans="34:37" x14ac:dyDescent="0.25">
      <c r="AH7252" s="75"/>
      <c r="AK7252" s="75"/>
    </row>
    <row r="7253" spans="34:37" x14ac:dyDescent="0.25">
      <c r="AH7253" s="75"/>
      <c r="AK7253" s="75"/>
    </row>
    <row r="7254" spans="34:37" x14ac:dyDescent="0.25">
      <c r="AH7254" s="75"/>
      <c r="AK7254" s="75"/>
    </row>
    <row r="7255" spans="34:37" x14ac:dyDescent="0.25">
      <c r="AH7255" s="75"/>
      <c r="AK7255" s="75"/>
    </row>
    <row r="7256" spans="34:37" x14ac:dyDescent="0.25">
      <c r="AH7256" s="75"/>
      <c r="AK7256" s="75"/>
    </row>
    <row r="7257" spans="34:37" x14ac:dyDescent="0.25">
      <c r="AH7257" s="75"/>
      <c r="AK7257" s="75"/>
    </row>
    <row r="7258" spans="34:37" x14ac:dyDescent="0.25">
      <c r="AH7258" s="75"/>
      <c r="AK7258" s="75"/>
    </row>
    <row r="7259" spans="34:37" x14ac:dyDescent="0.25">
      <c r="AH7259" s="75"/>
      <c r="AK7259" s="75"/>
    </row>
    <row r="7260" spans="34:37" x14ac:dyDescent="0.25">
      <c r="AH7260" s="75"/>
      <c r="AK7260" s="75"/>
    </row>
    <row r="7261" spans="34:37" x14ac:dyDescent="0.25">
      <c r="AH7261" s="75"/>
      <c r="AK7261" s="75"/>
    </row>
    <row r="7262" spans="34:37" x14ac:dyDescent="0.25">
      <c r="AH7262" s="75"/>
      <c r="AK7262" s="75"/>
    </row>
    <row r="7263" spans="34:37" x14ac:dyDescent="0.25">
      <c r="AH7263" s="75"/>
      <c r="AK7263" s="75"/>
    </row>
    <row r="7264" spans="34:37" x14ac:dyDescent="0.25">
      <c r="AH7264" s="75"/>
      <c r="AK7264" s="75"/>
    </row>
    <row r="7265" spans="34:37" x14ac:dyDescent="0.25">
      <c r="AH7265" s="75"/>
      <c r="AK7265" s="75"/>
    </row>
    <row r="7266" spans="34:37" x14ac:dyDescent="0.25">
      <c r="AH7266" s="75"/>
      <c r="AK7266" s="75"/>
    </row>
    <row r="7267" spans="34:37" x14ac:dyDescent="0.25">
      <c r="AH7267" s="75"/>
      <c r="AK7267" s="75"/>
    </row>
    <row r="7268" spans="34:37" x14ac:dyDescent="0.25">
      <c r="AH7268" s="75"/>
      <c r="AK7268" s="75"/>
    </row>
    <row r="7269" spans="34:37" x14ac:dyDescent="0.25">
      <c r="AH7269" s="75"/>
      <c r="AK7269" s="75"/>
    </row>
    <row r="7270" spans="34:37" x14ac:dyDescent="0.25">
      <c r="AH7270" s="75"/>
      <c r="AK7270" s="75"/>
    </row>
    <row r="7271" spans="34:37" x14ac:dyDescent="0.25">
      <c r="AH7271" s="75"/>
      <c r="AK7271" s="75"/>
    </row>
    <row r="7272" spans="34:37" x14ac:dyDescent="0.25">
      <c r="AH7272" s="75"/>
      <c r="AK7272" s="75"/>
    </row>
    <row r="7273" spans="34:37" x14ac:dyDescent="0.25">
      <c r="AH7273" s="75"/>
      <c r="AK7273" s="75"/>
    </row>
    <row r="7274" spans="34:37" x14ac:dyDescent="0.25">
      <c r="AH7274" s="75"/>
      <c r="AK7274" s="75"/>
    </row>
    <row r="7275" spans="34:37" x14ac:dyDescent="0.25">
      <c r="AH7275" s="75"/>
      <c r="AK7275" s="75"/>
    </row>
    <row r="7276" spans="34:37" x14ac:dyDescent="0.25">
      <c r="AH7276" s="75"/>
      <c r="AK7276" s="75"/>
    </row>
    <row r="7277" spans="34:37" x14ac:dyDescent="0.25">
      <c r="AH7277" s="75"/>
      <c r="AK7277" s="75"/>
    </row>
    <row r="7278" spans="34:37" x14ac:dyDescent="0.25">
      <c r="AH7278" s="75"/>
      <c r="AK7278" s="75"/>
    </row>
    <row r="7279" spans="34:37" x14ac:dyDescent="0.25">
      <c r="AH7279" s="75"/>
      <c r="AK7279" s="75"/>
    </row>
    <row r="7280" spans="34:37" x14ac:dyDescent="0.25">
      <c r="AH7280" s="75"/>
      <c r="AK7280" s="75"/>
    </row>
    <row r="7281" spans="34:37" x14ac:dyDescent="0.25">
      <c r="AH7281" s="75"/>
      <c r="AK7281" s="75"/>
    </row>
    <row r="7282" spans="34:37" x14ac:dyDescent="0.25">
      <c r="AH7282" s="75"/>
      <c r="AK7282" s="75"/>
    </row>
    <row r="7283" spans="34:37" x14ac:dyDescent="0.25">
      <c r="AH7283" s="75"/>
      <c r="AK7283" s="75"/>
    </row>
    <row r="7284" spans="34:37" x14ac:dyDescent="0.25">
      <c r="AH7284" s="75"/>
      <c r="AK7284" s="75"/>
    </row>
    <row r="7285" spans="34:37" x14ac:dyDescent="0.25">
      <c r="AH7285" s="75"/>
      <c r="AK7285" s="75"/>
    </row>
    <row r="7286" spans="34:37" x14ac:dyDescent="0.25">
      <c r="AH7286" s="75"/>
      <c r="AK7286" s="75"/>
    </row>
    <row r="7287" spans="34:37" x14ac:dyDescent="0.25">
      <c r="AH7287" s="75"/>
      <c r="AK7287" s="75"/>
    </row>
    <row r="7288" spans="34:37" x14ac:dyDescent="0.25">
      <c r="AH7288" s="75"/>
      <c r="AK7288" s="75"/>
    </row>
    <row r="7289" spans="34:37" x14ac:dyDescent="0.25">
      <c r="AH7289" s="75"/>
      <c r="AK7289" s="75"/>
    </row>
    <row r="7290" spans="34:37" x14ac:dyDescent="0.25">
      <c r="AH7290" s="75"/>
      <c r="AK7290" s="75"/>
    </row>
    <row r="7291" spans="34:37" x14ac:dyDescent="0.25">
      <c r="AH7291" s="75"/>
      <c r="AK7291" s="75"/>
    </row>
    <row r="7292" spans="34:37" x14ac:dyDescent="0.25">
      <c r="AH7292" s="75"/>
      <c r="AK7292" s="75"/>
    </row>
    <row r="7293" spans="34:37" x14ac:dyDescent="0.25">
      <c r="AH7293" s="75"/>
      <c r="AK7293" s="75"/>
    </row>
    <row r="7294" spans="34:37" x14ac:dyDescent="0.25">
      <c r="AH7294" s="75"/>
      <c r="AK7294" s="75"/>
    </row>
    <row r="7295" spans="34:37" x14ac:dyDescent="0.25">
      <c r="AH7295" s="75"/>
      <c r="AK7295" s="75"/>
    </row>
    <row r="7296" spans="34:37" x14ac:dyDescent="0.25">
      <c r="AH7296" s="75"/>
      <c r="AK7296" s="75"/>
    </row>
    <row r="7297" spans="34:37" x14ac:dyDescent="0.25">
      <c r="AH7297" s="75"/>
      <c r="AK7297" s="75"/>
    </row>
    <row r="7298" spans="34:37" x14ac:dyDescent="0.25">
      <c r="AH7298" s="75"/>
      <c r="AK7298" s="75"/>
    </row>
    <row r="7299" spans="34:37" x14ac:dyDescent="0.25">
      <c r="AH7299" s="75"/>
      <c r="AK7299" s="75"/>
    </row>
    <row r="7300" spans="34:37" x14ac:dyDescent="0.25">
      <c r="AH7300" s="75"/>
      <c r="AK7300" s="75"/>
    </row>
    <row r="7301" spans="34:37" x14ac:dyDescent="0.25">
      <c r="AH7301" s="75"/>
      <c r="AK7301" s="75"/>
    </row>
    <row r="7302" spans="34:37" x14ac:dyDescent="0.25">
      <c r="AH7302" s="75"/>
      <c r="AK7302" s="75"/>
    </row>
    <row r="7303" spans="34:37" x14ac:dyDescent="0.25">
      <c r="AH7303" s="75"/>
      <c r="AK7303" s="75"/>
    </row>
    <row r="7304" spans="34:37" x14ac:dyDescent="0.25">
      <c r="AH7304" s="75"/>
      <c r="AK7304" s="75"/>
    </row>
    <row r="7305" spans="34:37" x14ac:dyDescent="0.25">
      <c r="AH7305" s="75"/>
      <c r="AK7305" s="75"/>
    </row>
    <row r="7306" spans="34:37" x14ac:dyDescent="0.25">
      <c r="AH7306" s="75"/>
      <c r="AK7306" s="75"/>
    </row>
    <row r="7307" spans="34:37" x14ac:dyDescent="0.25">
      <c r="AH7307" s="75"/>
      <c r="AK7307" s="75"/>
    </row>
    <row r="7308" spans="34:37" x14ac:dyDescent="0.25">
      <c r="AH7308" s="75"/>
      <c r="AK7308" s="75"/>
    </row>
    <row r="7309" spans="34:37" x14ac:dyDescent="0.25">
      <c r="AH7309" s="75"/>
      <c r="AK7309" s="75"/>
    </row>
    <row r="7310" spans="34:37" x14ac:dyDescent="0.25">
      <c r="AH7310" s="75"/>
      <c r="AK7310" s="75"/>
    </row>
    <row r="7311" spans="34:37" x14ac:dyDescent="0.25">
      <c r="AH7311" s="75"/>
      <c r="AK7311" s="75"/>
    </row>
    <row r="7312" spans="34:37" x14ac:dyDescent="0.25">
      <c r="AH7312" s="75"/>
      <c r="AK7312" s="75"/>
    </row>
    <row r="7313" spans="34:37" x14ac:dyDescent="0.25">
      <c r="AH7313" s="75"/>
      <c r="AK7313" s="75"/>
    </row>
    <row r="7314" spans="34:37" x14ac:dyDescent="0.25">
      <c r="AH7314" s="75"/>
      <c r="AK7314" s="75"/>
    </row>
    <row r="7315" spans="34:37" x14ac:dyDescent="0.25">
      <c r="AH7315" s="75"/>
      <c r="AK7315" s="75"/>
    </row>
    <row r="7316" spans="34:37" x14ac:dyDescent="0.25">
      <c r="AH7316" s="75"/>
      <c r="AK7316" s="75"/>
    </row>
    <row r="7317" spans="34:37" x14ac:dyDescent="0.25">
      <c r="AH7317" s="75"/>
      <c r="AK7317" s="75"/>
    </row>
    <row r="7318" spans="34:37" x14ac:dyDescent="0.25">
      <c r="AH7318" s="75"/>
      <c r="AK7318" s="75"/>
    </row>
    <row r="7319" spans="34:37" x14ac:dyDescent="0.25">
      <c r="AH7319" s="75"/>
      <c r="AK7319" s="75"/>
    </row>
    <row r="7320" spans="34:37" x14ac:dyDescent="0.25">
      <c r="AH7320" s="75"/>
      <c r="AK7320" s="75"/>
    </row>
    <row r="7321" spans="34:37" x14ac:dyDescent="0.25">
      <c r="AH7321" s="75"/>
      <c r="AK7321" s="75"/>
    </row>
    <row r="7322" spans="34:37" x14ac:dyDescent="0.25">
      <c r="AH7322" s="75"/>
      <c r="AK7322" s="75"/>
    </row>
    <row r="7323" spans="34:37" x14ac:dyDescent="0.25">
      <c r="AH7323" s="75"/>
      <c r="AK7323" s="75"/>
    </row>
    <row r="7324" spans="34:37" x14ac:dyDescent="0.25">
      <c r="AH7324" s="75"/>
      <c r="AK7324" s="75"/>
    </row>
    <row r="7325" spans="34:37" x14ac:dyDescent="0.25">
      <c r="AH7325" s="75"/>
      <c r="AK7325" s="75"/>
    </row>
    <row r="7326" spans="34:37" x14ac:dyDescent="0.25">
      <c r="AH7326" s="75"/>
      <c r="AK7326" s="75"/>
    </row>
    <row r="7327" spans="34:37" x14ac:dyDescent="0.25">
      <c r="AH7327" s="75"/>
      <c r="AK7327" s="75"/>
    </row>
    <row r="7328" spans="34:37" x14ac:dyDescent="0.25">
      <c r="AH7328" s="75"/>
      <c r="AK7328" s="75"/>
    </row>
    <row r="7329" spans="34:37" x14ac:dyDescent="0.25">
      <c r="AH7329" s="75"/>
      <c r="AK7329" s="75"/>
    </row>
    <row r="7330" spans="34:37" x14ac:dyDescent="0.25">
      <c r="AH7330" s="75"/>
      <c r="AK7330" s="75"/>
    </row>
    <row r="7331" spans="34:37" x14ac:dyDescent="0.25">
      <c r="AH7331" s="75"/>
      <c r="AK7331" s="75"/>
    </row>
    <row r="7332" spans="34:37" x14ac:dyDescent="0.25">
      <c r="AH7332" s="75"/>
      <c r="AK7332" s="75"/>
    </row>
    <row r="7333" spans="34:37" x14ac:dyDescent="0.25">
      <c r="AH7333" s="75"/>
      <c r="AK7333" s="75"/>
    </row>
    <row r="7334" spans="34:37" x14ac:dyDescent="0.25">
      <c r="AH7334" s="75"/>
      <c r="AK7334" s="75"/>
    </row>
    <row r="7335" spans="34:37" x14ac:dyDescent="0.25">
      <c r="AH7335" s="75"/>
      <c r="AK7335" s="75"/>
    </row>
    <row r="7336" spans="34:37" x14ac:dyDescent="0.25">
      <c r="AH7336" s="75"/>
      <c r="AK7336" s="75"/>
    </row>
    <row r="7337" spans="34:37" x14ac:dyDescent="0.25">
      <c r="AH7337" s="75"/>
      <c r="AK7337" s="75"/>
    </row>
    <row r="7338" spans="34:37" x14ac:dyDescent="0.25">
      <c r="AH7338" s="75"/>
      <c r="AK7338" s="75"/>
    </row>
    <row r="7339" spans="34:37" x14ac:dyDescent="0.25">
      <c r="AH7339" s="75"/>
      <c r="AK7339" s="75"/>
    </row>
    <row r="7340" spans="34:37" x14ac:dyDescent="0.25">
      <c r="AH7340" s="75"/>
      <c r="AK7340" s="75"/>
    </row>
    <row r="7341" spans="34:37" x14ac:dyDescent="0.25">
      <c r="AH7341" s="75"/>
      <c r="AK7341" s="75"/>
    </row>
    <row r="7342" spans="34:37" x14ac:dyDescent="0.25">
      <c r="AH7342" s="75"/>
      <c r="AK7342" s="75"/>
    </row>
    <row r="7343" spans="34:37" x14ac:dyDescent="0.25">
      <c r="AH7343" s="75"/>
      <c r="AK7343" s="75"/>
    </row>
    <row r="7344" spans="34:37" x14ac:dyDescent="0.25">
      <c r="AH7344" s="75"/>
      <c r="AK7344" s="75"/>
    </row>
    <row r="7345" spans="34:37" x14ac:dyDescent="0.25">
      <c r="AH7345" s="75"/>
      <c r="AK7345" s="75"/>
    </row>
    <row r="7346" spans="34:37" x14ac:dyDescent="0.25">
      <c r="AH7346" s="75"/>
      <c r="AK7346" s="75"/>
    </row>
    <row r="7347" spans="34:37" x14ac:dyDescent="0.25">
      <c r="AH7347" s="75"/>
      <c r="AK7347" s="75"/>
    </row>
    <row r="7348" spans="34:37" x14ac:dyDescent="0.25">
      <c r="AH7348" s="75"/>
      <c r="AK7348" s="75"/>
    </row>
    <row r="7349" spans="34:37" x14ac:dyDescent="0.25">
      <c r="AH7349" s="75"/>
      <c r="AK7349" s="75"/>
    </row>
    <row r="7350" spans="34:37" x14ac:dyDescent="0.25">
      <c r="AH7350" s="75"/>
      <c r="AK7350" s="75"/>
    </row>
    <row r="7351" spans="34:37" x14ac:dyDescent="0.25">
      <c r="AH7351" s="75"/>
      <c r="AK7351" s="75"/>
    </row>
    <row r="7352" spans="34:37" x14ac:dyDescent="0.25">
      <c r="AH7352" s="75"/>
      <c r="AK7352" s="75"/>
    </row>
    <row r="7353" spans="34:37" x14ac:dyDescent="0.25">
      <c r="AH7353" s="75"/>
      <c r="AK7353" s="75"/>
    </row>
    <row r="7354" spans="34:37" x14ac:dyDescent="0.25">
      <c r="AH7354" s="75"/>
      <c r="AK7354" s="75"/>
    </row>
    <row r="7355" spans="34:37" x14ac:dyDescent="0.25">
      <c r="AH7355" s="75"/>
      <c r="AK7355" s="75"/>
    </row>
    <row r="7356" spans="34:37" x14ac:dyDescent="0.25">
      <c r="AH7356" s="75"/>
      <c r="AK7356" s="75"/>
    </row>
    <row r="7357" spans="34:37" x14ac:dyDescent="0.25">
      <c r="AH7357" s="75"/>
      <c r="AK7357" s="75"/>
    </row>
    <row r="7358" spans="34:37" x14ac:dyDescent="0.25">
      <c r="AH7358" s="75"/>
      <c r="AK7358" s="75"/>
    </row>
    <row r="7359" spans="34:37" x14ac:dyDescent="0.25">
      <c r="AH7359" s="75"/>
      <c r="AK7359" s="75"/>
    </row>
    <row r="7360" spans="34:37" x14ac:dyDescent="0.25">
      <c r="AH7360" s="75"/>
      <c r="AK7360" s="75"/>
    </row>
    <row r="7361" spans="34:37" x14ac:dyDescent="0.25">
      <c r="AH7361" s="75"/>
      <c r="AK7361" s="75"/>
    </row>
    <row r="7362" spans="34:37" x14ac:dyDescent="0.25">
      <c r="AH7362" s="75"/>
      <c r="AK7362" s="75"/>
    </row>
    <row r="7363" spans="34:37" x14ac:dyDescent="0.25">
      <c r="AH7363" s="75"/>
      <c r="AK7363" s="75"/>
    </row>
    <row r="7364" spans="34:37" x14ac:dyDescent="0.25">
      <c r="AH7364" s="75"/>
      <c r="AK7364" s="75"/>
    </row>
    <row r="7365" spans="34:37" x14ac:dyDescent="0.25">
      <c r="AH7365" s="75"/>
      <c r="AK7365" s="75"/>
    </row>
    <row r="7366" spans="34:37" x14ac:dyDescent="0.25">
      <c r="AH7366" s="75"/>
      <c r="AK7366" s="75"/>
    </row>
    <row r="7367" spans="34:37" x14ac:dyDescent="0.25">
      <c r="AH7367" s="75"/>
      <c r="AK7367" s="75"/>
    </row>
    <row r="7368" spans="34:37" x14ac:dyDescent="0.25">
      <c r="AH7368" s="75"/>
      <c r="AK7368" s="75"/>
    </row>
    <row r="7369" spans="34:37" x14ac:dyDescent="0.25">
      <c r="AH7369" s="75"/>
      <c r="AK7369" s="75"/>
    </row>
    <row r="7370" spans="34:37" x14ac:dyDescent="0.25">
      <c r="AH7370" s="75"/>
      <c r="AK7370" s="75"/>
    </row>
    <row r="7371" spans="34:37" x14ac:dyDescent="0.25">
      <c r="AH7371" s="75"/>
      <c r="AK7371" s="75"/>
    </row>
    <row r="7372" spans="34:37" x14ac:dyDescent="0.25">
      <c r="AH7372" s="75"/>
      <c r="AK7372" s="75"/>
    </row>
    <row r="7373" spans="34:37" x14ac:dyDescent="0.25">
      <c r="AH7373" s="75"/>
      <c r="AK7373" s="75"/>
    </row>
    <row r="7374" spans="34:37" x14ac:dyDescent="0.25">
      <c r="AH7374" s="75"/>
      <c r="AK7374" s="75"/>
    </row>
    <row r="7375" spans="34:37" x14ac:dyDescent="0.25">
      <c r="AH7375" s="75"/>
      <c r="AK7375" s="75"/>
    </row>
    <row r="7376" spans="34:37" x14ac:dyDescent="0.25">
      <c r="AH7376" s="75"/>
      <c r="AK7376" s="75"/>
    </row>
    <row r="7377" spans="34:37" x14ac:dyDescent="0.25">
      <c r="AH7377" s="75"/>
      <c r="AK7377" s="75"/>
    </row>
    <row r="7378" spans="34:37" x14ac:dyDescent="0.25">
      <c r="AH7378" s="75"/>
      <c r="AK7378" s="75"/>
    </row>
    <row r="7379" spans="34:37" x14ac:dyDescent="0.25">
      <c r="AH7379" s="75"/>
      <c r="AK7379" s="75"/>
    </row>
    <row r="7380" spans="34:37" x14ac:dyDescent="0.25">
      <c r="AH7380" s="75"/>
      <c r="AK7380" s="75"/>
    </row>
    <row r="7381" spans="34:37" x14ac:dyDescent="0.25">
      <c r="AH7381" s="75"/>
      <c r="AK7381" s="75"/>
    </row>
    <row r="7382" spans="34:37" x14ac:dyDescent="0.25">
      <c r="AH7382" s="75"/>
      <c r="AK7382" s="75"/>
    </row>
    <row r="7383" spans="34:37" x14ac:dyDescent="0.25">
      <c r="AH7383" s="75"/>
      <c r="AK7383" s="75"/>
    </row>
    <row r="7384" spans="34:37" x14ac:dyDescent="0.25">
      <c r="AH7384" s="75"/>
      <c r="AK7384" s="75"/>
    </row>
    <row r="7385" spans="34:37" x14ac:dyDescent="0.25">
      <c r="AH7385" s="75"/>
      <c r="AK7385" s="75"/>
    </row>
    <row r="7386" spans="34:37" x14ac:dyDescent="0.25">
      <c r="AH7386" s="75"/>
      <c r="AK7386" s="75"/>
    </row>
    <row r="7387" spans="34:37" x14ac:dyDescent="0.25">
      <c r="AH7387" s="75"/>
      <c r="AK7387" s="75"/>
    </row>
    <row r="7388" spans="34:37" x14ac:dyDescent="0.25">
      <c r="AH7388" s="75"/>
      <c r="AK7388" s="75"/>
    </row>
    <row r="7389" spans="34:37" x14ac:dyDescent="0.25">
      <c r="AH7389" s="75"/>
      <c r="AK7389" s="75"/>
    </row>
    <row r="7390" spans="34:37" x14ac:dyDescent="0.25">
      <c r="AH7390" s="75"/>
      <c r="AK7390" s="75"/>
    </row>
    <row r="7391" spans="34:37" x14ac:dyDescent="0.25">
      <c r="AH7391" s="75"/>
      <c r="AK7391" s="75"/>
    </row>
    <row r="7392" spans="34:37" x14ac:dyDescent="0.25">
      <c r="AH7392" s="75"/>
      <c r="AK7392" s="75"/>
    </row>
    <row r="7393" spans="34:37" x14ac:dyDescent="0.25">
      <c r="AH7393" s="75"/>
      <c r="AK7393" s="75"/>
    </row>
    <row r="7394" spans="34:37" x14ac:dyDescent="0.25">
      <c r="AH7394" s="75"/>
      <c r="AK7394" s="75"/>
    </row>
    <row r="7395" spans="34:37" x14ac:dyDescent="0.25">
      <c r="AH7395" s="75"/>
      <c r="AK7395" s="75"/>
    </row>
    <row r="7396" spans="34:37" x14ac:dyDescent="0.25">
      <c r="AH7396" s="75"/>
      <c r="AK7396" s="75"/>
    </row>
    <row r="7397" spans="34:37" x14ac:dyDescent="0.25">
      <c r="AH7397" s="75"/>
      <c r="AK7397" s="75"/>
    </row>
    <row r="7398" spans="34:37" x14ac:dyDescent="0.25">
      <c r="AH7398" s="75"/>
      <c r="AK7398" s="75"/>
    </row>
    <row r="7399" spans="34:37" x14ac:dyDescent="0.25">
      <c r="AH7399" s="75"/>
      <c r="AK7399" s="75"/>
    </row>
    <row r="7400" spans="34:37" x14ac:dyDescent="0.25">
      <c r="AH7400" s="75"/>
      <c r="AK7400" s="75"/>
    </row>
    <row r="7401" spans="34:37" x14ac:dyDescent="0.25">
      <c r="AH7401" s="75"/>
      <c r="AK7401" s="75"/>
    </row>
    <row r="7402" spans="34:37" x14ac:dyDescent="0.25">
      <c r="AH7402" s="75"/>
      <c r="AK7402" s="75"/>
    </row>
    <row r="7403" spans="34:37" x14ac:dyDescent="0.25">
      <c r="AH7403" s="75"/>
      <c r="AK7403" s="75"/>
    </row>
    <row r="7404" spans="34:37" x14ac:dyDescent="0.25">
      <c r="AH7404" s="75"/>
      <c r="AK7404" s="75"/>
    </row>
    <row r="7405" spans="34:37" x14ac:dyDescent="0.25">
      <c r="AH7405" s="75"/>
      <c r="AK7405" s="75"/>
    </row>
    <row r="7406" spans="34:37" x14ac:dyDescent="0.25">
      <c r="AH7406" s="75"/>
      <c r="AK7406" s="75"/>
    </row>
    <row r="7407" spans="34:37" x14ac:dyDescent="0.25">
      <c r="AH7407" s="75"/>
      <c r="AK7407" s="75"/>
    </row>
    <row r="7408" spans="34:37" x14ac:dyDescent="0.25">
      <c r="AH7408" s="75"/>
      <c r="AK7408" s="75"/>
    </row>
    <row r="7409" spans="34:37" x14ac:dyDescent="0.25">
      <c r="AH7409" s="75"/>
      <c r="AK7409" s="75"/>
    </row>
    <row r="7410" spans="34:37" x14ac:dyDescent="0.25">
      <c r="AH7410" s="75"/>
      <c r="AK7410" s="75"/>
    </row>
    <row r="7411" spans="34:37" x14ac:dyDescent="0.25">
      <c r="AH7411" s="75"/>
      <c r="AK7411" s="75"/>
    </row>
    <row r="7412" spans="34:37" x14ac:dyDescent="0.25">
      <c r="AH7412" s="75"/>
      <c r="AK7412" s="75"/>
    </row>
    <row r="7413" spans="34:37" x14ac:dyDescent="0.25">
      <c r="AH7413" s="75"/>
      <c r="AK7413" s="75"/>
    </row>
    <row r="7414" spans="34:37" x14ac:dyDescent="0.25">
      <c r="AH7414" s="75"/>
      <c r="AK7414" s="75"/>
    </row>
    <row r="7415" spans="34:37" x14ac:dyDescent="0.25">
      <c r="AH7415" s="75"/>
      <c r="AK7415" s="75"/>
    </row>
    <row r="7416" spans="34:37" x14ac:dyDescent="0.25">
      <c r="AH7416" s="75"/>
      <c r="AK7416" s="75"/>
    </row>
    <row r="7417" spans="34:37" x14ac:dyDescent="0.25">
      <c r="AH7417" s="75"/>
      <c r="AK7417" s="75"/>
    </row>
    <row r="7418" spans="34:37" x14ac:dyDescent="0.25">
      <c r="AH7418" s="75"/>
      <c r="AK7418" s="75"/>
    </row>
    <row r="7419" spans="34:37" x14ac:dyDescent="0.25">
      <c r="AH7419" s="75"/>
      <c r="AK7419" s="75"/>
    </row>
    <row r="7420" spans="34:37" x14ac:dyDescent="0.25">
      <c r="AH7420" s="75"/>
      <c r="AK7420" s="75"/>
    </row>
    <row r="7421" spans="34:37" x14ac:dyDescent="0.25">
      <c r="AH7421" s="75"/>
      <c r="AK7421" s="75"/>
    </row>
    <row r="7422" spans="34:37" x14ac:dyDescent="0.25">
      <c r="AH7422" s="75"/>
      <c r="AK7422" s="75"/>
    </row>
    <row r="7423" spans="34:37" x14ac:dyDescent="0.25">
      <c r="AH7423" s="75"/>
      <c r="AK7423" s="75"/>
    </row>
    <row r="7424" spans="34:37" x14ac:dyDescent="0.25">
      <c r="AH7424" s="75"/>
      <c r="AK7424" s="75"/>
    </row>
    <row r="7425" spans="34:37" x14ac:dyDescent="0.25">
      <c r="AH7425" s="75"/>
      <c r="AK7425" s="75"/>
    </row>
    <row r="7426" spans="34:37" x14ac:dyDescent="0.25">
      <c r="AH7426" s="75"/>
      <c r="AK7426" s="75"/>
    </row>
    <row r="7427" spans="34:37" x14ac:dyDescent="0.25">
      <c r="AH7427" s="75"/>
      <c r="AK7427" s="75"/>
    </row>
    <row r="7428" spans="34:37" x14ac:dyDescent="0.25">
      <c r="AH7428" s="75"/>
      <c r="AK7428" s="75"/>
    </row>
    <row r="7429" spans="34:37" x14ac:dyDescent="0.25">
      <c r="AH7429" s="75"/>
      <c r="AK7429" s="75"/>
    </row>
    <row r="7430" spans="34:37" x14ac:dyDescent="0.25">
      <c r="AH7430" s="75"/>
      <c r="AK7430" s="75"/>
    </row>
    <row r="7431" spans="34:37" x14ac:dyDescent="0.25">
      <c r="AH7431" s="75"/>
      <c r="AK7431" s="75"/>
    </row>
    <row r="7432" spans="34:37" x14ac:dyDescent="0.25">
      <c r="AH7432" s="75"/>
      <c r="AK7432" s="75"/>
    </row>
    <row r="7433" spans="34:37" x14ac:dyDescent="0.25">
      <c r="AH7433" s="75"/>
      <c r="AK7433" s="75"/>
    </row>
    <row r="7434" spans="34:37" x14ac:dyDescent="0.25">
      <c r="AH7434" s="75"/>
      <c r="AK7434" s="75"/>
    </row>
    <row r="7435" spans="34:37" x14ac:dyDescent="0.25">
      <c r="AH7435" s="75"/>
      <c r="AK7435" s="75"/>
    </row>
    <row r="7436" spans="34:37" x14ac:dyDescent="0.25">
      <c r="AH7436" s="75"/>
      <c r="AK7436" s="75"/>
    </row>
    <row r="7437" spans="34:37" x14ac:dyDescent="0.25">
      <c r="AH7437" s="75"/>
      <c r="AK7437" s="75"/>
    </row>
    <row r="7438" spans="34:37" x14ac:dyDescent="0.25">
      <c r="AH7438" s="75"/>
      <c r="AK7438" s="75"/>
    </row>
    <row r="7439" spans="34:37" x14ac:dyDescent="0.25">
      <c r="AH7439" s="75"/>
      <c r="AK7439" s="75"/>
    </row>
    <row r="7440" spans="34:37" x14ac:dyDescent="0.25">
      <c r="AH7440" s="75"/>
      <c r="AK7440" s="75"/>
    </row>
    <row r="7441" spans="34:37" x14ac:dyDescent="0.25">
      <c r="AH7441" s="75"/>
      <c r="AK7441" s="75"/>
    </row>
    <row r="7442" spans="34:37" x14ac:dyDescent="0.25">
      <c r="AH7442" s="75"/>
      <c r="AK7442" s="75"/>
    </row>
    <row r="7443" spans="34:37" x14ac:dyDescent="0.25">
      <c r="AH7443" s="75"/>
      <c r="AK7443" s="75"/>
    </row>
    <row r="7444" spans="34:37" x14ac:dyDescent="0.25">
      <c r="AH7444" s="75"/>
      <c r="AK7444" s="75"/>
    </row>
    <row r="7445" spans="34:37" x14ac:dyDescent="0.25">
      <c r="AH7445" s="75"/>
      <c r="AK7445" s="75"/>
    </row>
    <row r="7446" spans="34:37" x14ac:dyDescent="0.25">
      <c r="AH7446" s="75"/>
      <c r="AK7446" s="75"/>
    </row>
    <row r="7447" spans="34:37" x14ac:dyDescent="0.25">
      <c r="AH7447" s="75"/>
      <c r="AK7447" s="75"/>
    </row>
    <row r="7448" spans="34:37" x14ac:dyDescent="0.25">
      <c r="AH7448" s="75"/>
      <c r="AK7448" s="75"/>
    </row>
    <row r="7449" spans="34:37" x14ac:dyDescent="0.25">
      <c r="AH7449" s="75"/>
      <c r="AK7449" s="75"/>
    </row>
    <row r="7450" spans="34:37" x14ac:dyDescent="0.25">
      <c r="AH7450" s="75"/>
      <c r="AK7450" s="75"/>
    </row>
    <row r="7451" spans="34:37" x14ac:dyDescent="0.25">
      <c r="AH7451" s="75"/>
      <c r="AK7451" s="75"/>
    </row>
    <row r="7452" spans="34:37" x14ac:dyDescent="0.25">
      <c r="AH7452" s="75"/>
      <c r="AK7452" s="75"/>
    </row>
    <row r="7453" spans="34:37" x14ac:dyDescent="0.25">
      <c r="AH7453" s="75"/>
      <c r="AK7453" s="75"/>
    </row>
    <row r="7454" spans="34:37" x14ac:dyDescent="0.25">
      <c r="AH7454" s="75"/>
      <c r="AK7454" s="75"/>
    </row>
    <row r="7455" spans="34:37" x14ac:dyDescent="0.25">
      <c r="AH7455" s="75"/>
      <c r="AK7455" s="75"/>
    </row>
    <row r="7456" spans="34:37" x14ac:dyDescent="0.25">
      <c r="AH7456" s="75"/>
      <c r="AK7456" s="75"/>
    </row>
    <row r="7457" spans="34:37" x14ac:dyDescent="0.25">
      <c r="AH7457" s="75"/>
      <c r="AK7457" s="75"/>
    </row>
    <row r="7458" spans="34:37" x14ac:dyDescent="0.25">
      <c r="AH7458" s="75"/>
      <c r="AK7458" s="75"/>
    </row>
    <row r="7459" spans="34:37" x14ac:dyDescent="0.25">
      <c r="AH7459" s="75"/>
      <c r="AK7459" s="75"/>
    </row>
    <row r="7460" spans="34:37" x14ac:dyDescent="0.25">
      <c r="AH7460" s="75"/>
      <c r="AK7460" s="75"/>
    </row>
    <row r="7461" spans="34:37" x14ac:dyDescent="0.25">
      <c r="AH7461" s="75"/>
      <c r="AK7461" s="75"/>
    </row>
    <row r="7462" spans="34:37" x14ac:dyDescent="0.25">
      <c r="AH7462" s="75"/>
      <c r="AK7462" s="75"/>
    </row>
    <row r="7463" spans="34:37" x14ac:dyDescent="0.25">
      <c r="AH7463" s="75"/>
      <c r="AK7463" s="75"/>
    </row>
    <row r="7464" spans="34:37" x14ac:dyDescent="0.25">
      <c r="AH7464" s="75"/>
      <c r="AK7464" s="75"/>
    </row>
    <row r="7465" spans="34:37" x14ac:dyDescent="0.25">
      <c r="AH7465" s="75"/>
      <c r="AK7465" s="75"/>
    </row>
    <row r="7466" spans="34:37" x14ac:dyDescent="0.25">
      <c r="AH7466" s="75"/>
      <c r="AK7466" s="75"/>
    </row>
    <row r="7467" spans="34:37" x14ac:dyDescent="0.25">
      <c r="AH7467" s="75"/>
      <c r="AK7467" s="75"/>
    </row>
    <row r="7468" spans="34:37" x14ac:dyDescent="0.25">
      <c r="AH7468" s="75"/>
      <c r="AK7468" s="75"/>
    </row>
    <row r="7469" spans="34:37" x14ac:dyDescent="0.25">
      <c r="AH7469" s="75"/>
      <c r="AK7469" s="75"/>
    </row>
    <row r="7470" spans="34:37" x14ac:dyDescent="0.25">
      <c r="AH7470" s="75"/>
      <c r="AK7470" s="75"/>
    </row>
    <row r="7471" spans="34:37" x14ac:dyDescent="0.25">
      <c r="AH7471" s="75"/>
      <c r="AK7471" s="75"/>
    </row>
    <row r="7472" spans="34:37" x14ac:dyDescent="0.25">
      <c r="AH7472" s="75"/>
      <c r="AK7472" s="75"/>
    </row>
    <row r="7473" spans="34:37" x14ac:dyDescent="0.25">
      <c r="AH7473" s="75"/>
      <c r="AK7473" s="75"/>
    </row>
    <row r="7474" spans="34:37" x14ac:dyDescent="0.25">
      <c r="AH7474" s="75"/>
      <c r="AK7474" s="75"/>
    </row>
    <row r="7475" spans="34:37" x14ac:dyDescent="0.25">
      <c r="AH7475" s="75"/>
      <c r="AK7475" s="75"/>
    </row>
    <row r="7476" spans="34:37" x14ac:dyDescent="0.25">
      <c r="AH7476" s="75"/>
      <c r="AK7476" s="75"/>
    </row>
    <row r="7477" spans="34:37" x14ac:dyDescent="0.25">
      <c r="AH7477" s="75"/>
      <c r="AK7477" s="75"/>
    </row>
    <row r="7478" spans="34:37" x14ac:dyDescent="0.25">
      <c r="AH7478" s="75"/>
      <c r="AK7478" s="75"/>
    </row>
    <row r="7479" spans="34:37" x14ac:dyDescent="0.25">
      <c r="AH7479" s="75"/>
      <c r="AK7479" s="75"/>
    </row>
    <row r="7480" spans="34:37" x14ac:dyDescent="0.25">
      <c r="AH7480" s="75"/>
      <c r="AK7480" s="75"/>
    </row>
    <row r="7481" spans="34:37" x14ac:dyDescent="0.25">
      <c r="AH7481" s="75"/>
      <c r="AK7481" s="75"/>
    </row>
    <row r="7482" spans="34:37" x14ac:dyDescent="0.25">
      <c r="AH7482" s="75"/>
      <c r="AK7482" s="75"/>
    </row>
    <row r="7483" spans="34:37" x14ac:dyDescent="0.25">
      <c r="AH7483" s="75"/>
      <c r="AK7483" s="75"/>
    </row>
    <row r="7484" spans="34:37" x14ac:dyDescent="0.25">
      <c r="AH7484" s="75"/>
      <c r="AK7484" s="75"/>
    </row>
    <row r="7485" spans="34:37" x14ac:dyDescent="0.25">
      <c r="AH7485" s="75"/>
      <c r="AK7485" s="75"/>
    </row>
    <row r="7486" spans="34:37" x14ac:dyDescent="0.25">
      <c r="AH7486" s="75"/>
      <c r="AK7486" s="75"/>
    </row>
    <row r="7487" spans="34:37" x14ac:dyDescent="0.25">
      <c r="AH7487" s="75"/>
      <c r="AK7487" s="75"/>
    </row>
    <row r="7488" spans="34:37" x14ac:dyDescent="0.25">
      <c r="AH7488" s="75"/>
      <c r="AK7488" s="75"/>
    </row>
    <row r="7489" spans="34:37" x14ac:dyDescent="0.25">
      <c r="AH7489" s="75"/>
      <c r="AK7489" s="75"/>
    </row>
    <row r="7490" spans="34:37" x14ac:dyDescent="0.25">
      <c r="AH7490" s="75"/>
      <c r="AK7490" s="75"/>
    </row>
    <row r="7491" spans="34:37" x14ac:dyDescent="0.25">
      <c r="AH7491" s="75"/>
      <c r="AK7491" s="75"/>
    </row>
    <row r="7492" spans="34:37" x14ac:dyDescent="0.25">
      <c r="AH7492" s="75"/>
      <c r="AK7492" s="75"/>
    </row>
    <row r="7493" spans="34:37" x14ac:dyDescent="0.25">
      <c r="AH7493" s="75"/>
      <c r="AK7493" s="75"/>
    </row>
    <row r="7494" spans="34:37" x14ac:dyDescent="0.25">
      <c r="AH7494" s="75"/>
      <c r="AK7494" s="75"/>
    </row>
    <row r="7495" spans="34:37" x14ac:dyDescent="0.25">
      <c r="AH7495" s="75"/>
      <c r="AK7495" s="75"/>
    </row>
    <row r="7496" spans="34:37" x14ac:dyDescent="0.25">
      <c r="AH7496" s="75"/>
      <c r="AK7496" s="75"/>
    </row>
    <row r="7497" spans="34:37" x14ac:dyDescent="0.25">
      <c r="AH7497" s="75"/>
      <c r="AK7497" s="75"/>
    </row>
    <row r="7498" spans="34:37" x14ac:dyDescent="0.25">
      <c r="AH7498" s="75"/>
      <c r="AK7498" s="75"/>
    </row>
    <row r="7499" spans="34:37" x14ac:dyDescent="0.25">
      <c r="AH7499" s="75"/>
      <c r="AK7499" s="75"/>
    </row>
    <row r="7500" spans="34:37" x14ac:dyDescent="0.25">
      <c r="AH7500" s="75"/>
      <c r="AK7500" s="75"/>
    </row>
    <row r="7501" spans="34:37" x14ac:dyDescent="0.25">
      <c r="AH7501" s="75"/>
      <c r="AK7501" s="75"/>
    </row>
    <row r="7502" spans="34:37" x14ac:dyDescent="0.25">
      <c r="AH7502" s="75"/>
      <c r="AK7502" s="75"/>
    </row>
    <row r="7503" spans="34:37" x14ac:dyDescent="0.25">
      <c r="AH7503" s="75"/>
      <c r="AK7503" s="75"/>
    </row>
    <row r="7504" spans="34:37" x14ac:dyDescent="0.25">
      <c r="AH7504" s="75"/>
      <c r="AK7504" s="75"/>
    </row>
    <row r="7505" spans="34:37" x14ac:dyDescent="0.25">
      <c r="AH7505" s="75"/>
      <c r="AK7505" s="75"/>
    </row>
    <row r="7506" spans="34:37" x14ac:dyDescent="0.25">
      <c r="AH7506" s="75"/>
      <c r="AK7506" s="75"/>
    </row>
    <row r="7507" spans="34:37" x14ac:dyDescent="0.25">
      <c r="AH7507" s="75"/>
      <c r="AK7507" s="75"/>
    </row>
    <row r="7508" spans="34:37" x14ac:dyDescent="0.25">
      <c r="AH7508" s="75"/>
      <c r="AK7508" s="75"/>
    </row>
    <row r="7509" spans="34:37" x14ac:dyDescent="0.25">
      <c r="AH7509" s="75"/>
      <c r="AK7509" s="75"/>
    </row>
    <row r="7510" spans="34:37" x14ac:dyDescent="0.25">
      <c r="AH7510" s="75"/>
      <c r="AK7510" s="75"/>
    </row>
    <row r="7511" spans="34:37" x14ac:dyDescent="0.25">
      <c r="AH7511" s="75"/>
      <c r="AK7511" s="75"/>
    </row>
    <row r="7512" spans="34:37" x14ac:dyDescent="0.25">
      <c r="AH7512" s="75"/>
      <c r="AK7512" s="75"/>
    </row>
    <row r="7513" spans="34:37" x14ac:dyDescent="0.25">
      <c r="AH7513" s="75"/>
      <c r="AK7513" s="75"/>
    </row>
    <row r="7514" spans="34:37" x14ac:dyDescent="0.25">
      <c r="AH7514" s="75"/>
      <c r="AK7514" s="75"/>
    </row>
    <row r="7515" spans="34:37" x14ac:dyDescent="0.25">
      <c r="AH7515" s="75"/>
      <c r="AK7515" s="75"/>
    </row>
    <row r="7516" spans="34:37" x14ac:dyDescent="0.25">
      <c r="AH7516" s="75"/>
      <c r="AK7516" s="75"/>
    </row>
    <row r="7517" spans="34:37" x14ac:dyDescent="0.25">
      <c r="AH7517" s="75"/>
      <c r="AK7517" s="75"/>
    </row>
    <row r="7518" spans="34:37" x14ac:dyDescent="0.25">
      <c r="AH7518" s="75"/>
      <c r="AK7518" s="75"/>
    </row>
    <row r="7519" spans="34:37" x14ac:dyDescent="0.25">
      <c r="AH7519" s="75"/>
      <c r="AK7519" s="75"/>
    </row>
    <row r="7520" spans="34:37" x14ac:dyDescent="0.25">
      <c r="AH7520" s="75"/>
      <c r="AK7520" s="75"/>
    </row>
    <row r="7521" spans="34:37" x14ac:dyDescent="0.25">
      <c r="AH7521" s="75"/>
      <c r="AK7521" s="75"/>
    </row>
    <row r="7522" spans="34:37" x14ac:dyDescent="0.25">
      <c r="AH7522" s="75"/>
      <c r="AK7522" s="75"/>
    </row>
    <row r="7523" spans="34:37" x14ac:dyDescent="0.25">
      <c r="AH7523" s="75"/>
      <c r="AK7523" s="75"/>
    </row>
    <row r="7524" spans="34:37" x14ac:dyDescent="0.25">
      <c r="AH7524" s="75"/>
      <c r="AK7524" s="75"/>
    </row>
    <row r="7525" spans="34:37" x14ac:dyDescent="0.25">
      <c r="AH7525" s="75"/>
      <c r="AK7525" s="75"/>
    </row>
    <row r="7526" spans="34:37" x14ac:dyDescent="0.25">
      <c r="AH7526" s="75"/>
      <c r="AK7526" s="75"/>
    </row>
    <row r="7527" spans="34:37" x14ac:dyDescent="0.25">
      <c r="AH7527" s="75"/>
      <c r="AK7527" s="75"/>
    </row>
    <row r="7528" spans="34:37" x14ac:dyDescent="0.25">
      <c r="AH7528" s="75"/>
      <c r="AK7528" s="75"/>
    </row>
    <row r="7529" spans="34:37" x14ac:dyDescent="0.25">
      <c r="AH7529" s="75"/>
      <c r="AK7529" s="75"/>
    </row>
    <row r="7530" spans="34:37" x14ac:dyDescent="0.25">
      <c r="AH7530" s="75"/>
      <c r="AK7530" s="75"/>
    </row>
    <row r="7531" spans="34:37" x14ac:dyDescent="0.25">
      <c r="AH7531" s="75"/>
      <c r="AK7531" s="75"/>
    </row>
    <row r="7532" spans="34:37" x14ac:dyDescent="0.25">
      <c r="AH7532" s="75"/>
      <c r="AK7532" s="75"/>
    </row>
    <row r="7533" spans="34:37" x14ac:dyDescent="0.25">
      <c r="AH7533" s="75"/>
      <c r="AK7533" s="75"/>
    </row>
    <row r="7534" spans="34:37" x14ac:dyDescent="0.25">
      <c r="AH7534" s="75"/>
      <c r="AK7534" s="75"/>
    </row>
    <row r="7535" spans="34:37" x14ac:dyDescent="0.25">
      <c r="AH7535" s="75"/>
      <c r="AK7535" s="75"/>
    </row>
    <row r="7536" spans="34:37" x14ac:dyDescent="0.25">
      <c r="AH7536" s="75"/>
      <c r="AK7536" s="75"/>
    </row>
    <row r="7537" spans="34:37" x14ac:dyDescent="0.25">
      <c r="AH7537" s="75"/>
      <c r="AK7537" s="75"/>
    </row>
    <row r="7538" spans="34:37" x14ac:dyDescent="0.25">
      <c r="AH7538" s="75"/>
      <c r="AK7538" s="75"/>
    </row>
    <row r="7539" spans="34:37" x14ac:dyDescent="0.25">
      <c r="AH7539" s="75"/>
      <c r="AK7539" s="75"/>
    </row>
    <row r="7540" spans="34:37" x14ac:dyDescent="0.25">
      <c r="AH7540" s="75"/>
      <c r="AK7540" s="75"/>
    </row>
    <row r="7541" spans="34:37" x14ac:dyDescent="0.25">
      <c r="AH7541" s="75"/>
      <c r="AK7541" s="75"/>
    </row>
    <row r="7542" spans="34:37" x14ac:dyDescent="0.25">
      <c r="AH7542" s="75"/>
      <c r="AK7542" s="75"/>
    </row>
    <row r="7543" spans="34:37" x14ac:dyDescent="0.25">
      <c r="AH7543" s="75"/>
      <c r="AK7543" s="75"/>
    </row>
    <row r="7544" spans="34:37" x14ac:dyDescent="0.25">
      <c r="AH7544" s="75"/>
      <c r="AK7544" s="75"/>
    </row>
    <row r="7545" spans="34:37" x14ac:dyDescent="0.25">
      <c r="AH7545" s="75"/>
      <c r="AK7545" s="75"/>
    </row>
    <row r="7546" spans="34:37" x14ac:dyDescent="0.25">
      <c r="AH7546" s="75"/>
      <c r="AK7546" s="75"/>
    </row>
    <row r="7547" spans="34:37" x14ac:dyDescent="0.25">
      <c r="AH7547" s="75"/>
      <c r="AK7547" s="75"/>
    </row>
    <row r="7548" spans="34:37" x14ac:dyDescent="0.25">
      <c r="AH7548" s="75"/>
      <c r="AK7548" s="75"/>
    </row>
    <row r="7549" spans="34:37" x14ac:dyDescent="0.25">
      <c r="AH7549" s="75"/>
      <c r="AK7549" s="75"/>
    </row>
    <row r="7550" spans="34:37" x14ac:dyDescent="0.25">
      <c r="AH7550" s="75"/>
      <c r="AK7550" s="75"/>
    </row>
    <row r="7551" spans="34:37" x14ac:dyDescent="0.25">
      <c r="AH7551" s="75"/>
      <c r="AK7551" s="75"/>
    </row>
    <row r="7552" spans="34:37" x14ac:dyDescent="0.25">
      <c r="AH7552" s="75"/>
      <c r="AK7552" s="75"/>
    </row>
    <row r="7553" spans="34:37" x14ac:dyDescent="0.25">
      <c r="AH7553" s="75"/>
      <c r="AK7553" s="75"/>
    </row>
    <row r="7554" spans="34:37" x14ac:dyDescent="0.25">
      <c r="AH7554" s="75"/>
      <c r="AK7554" s="75"/>
    </row>
    <row r="7555" spans="34:37" x14ac:dyDescent="0.25">
      <c r="AH7555" s="75"/>
      <c r="AK7555" s="75"/>
    </row>
    <row r="7556" spans="34:37" x14ac:dyDescent="0.25">
      <c r="AH7556" s="75"/>
      <c r="AK7556" s="75"/>
    </row>
    <row r="7557" spans="34:37" x14ac:dyDescent="0.25">
      <c r="AH7557" s="75"/>
      <c r="AK7557" s="75"/>
    </row>
    <row r="7558" spans="34:37" x14ac:dyDescent="0.25">
      <c r="AH7558" s="75"/>
      <c r="AK7558" s="75"/>
    </row>
    <row r="7559" spans="34:37" x14ac:dyDescent="0.25">
      <c r="AH7559" s="75"/>
      <c r="AK7559" s="75"/>
    </row>
    <row r="7560" spans="34:37" x14ac:dyDescent="0.25">
      <c r="AH7560" s="75"/>
      <c r="AK7560" s="75"/>
    </row>
    <row r="7561" spans="34:37" x14ac:dyDescent="0.25">
      <c r="AH7561" s="75"/>
      <c r="AK7561" s="75"/>
    </row>
    <row r="7562" spans="34:37" x14ac:dyDescent="0.25">
      <c r="AH7562" s="75"/>
      <c r="AK7562" s="75"/>
    </row>
    <row r="7563" spans="34:37" x14ac:dyDescent="0.25">
      <c r="AH7563" s="75"/>
      <c r="AK7563" s="75"/>
    </row>
    <row r="7564" spans="34:37" x14ac:dyDescent="0.25">
      <c r="AH7564" s="75"/>
      <c r="AK7564" s="75"/>
    </row>
    <row r="7565" spans="34:37" x14ac:dyDescent="0.25">
      <c r="AH7565" s="75"/>
      <c r="AK7565" s="75"/>
    </row>
    <row r="7566" spans="34:37" x14ac:dyDescent="0.25">
      <c r="AH7566" s="75"/>
      <c r="AK7566" s="75"/>
    </row>
    <row r="7567" spans="34:37" x14ac:dyDescent="0.25">
      <c r="AH7567" s="75"/>
      <c r="AK7567" s="75"/>
    </row>
    <row r="7568" spans="34:37" x14ac:dyDescent="0.25">
      <c r="AH7568" s="75"/>
      <c r="AK7568" s="75"/>
    </row>
    <row r="7569" spans="34:37" x14ac:dyDescent="0.25">
      <c r="AH7569" s="75"/>
      <c r="AK7569" s="75"/>
    </row>
    <row r="7570" spans="34:37" x14ac:dyDescent="0.25">
      <c r="AH7570" s="75"/>
      <c r="AK7570" s="75"/>
    </row>
    <row r="7571" spans="34:37" x14ac:dyDescent="0.25">
      <c r="AH7571" s="75"/>
      <c r="AK7571" s="75"/>
    </row>
    <row r="7572" spans="34:37" x14ac:dyDescent="0.25">
      <c r="AH7572" s="75"/>
      <c r="AK7572" s="75"/>
    </row>
    <row r="7573" spans="34:37" x14ac:dyDescent="0.25">
      <c r="AH7573" s="75"/>
      <c r="AK7573" s="75"/>
    </row>
    <row r="7574" spans="34:37" x14ac:dyDescent="0.25">
      <c r="AH7574" s="75"/>
      <c r="AK7574" s="75"/>
    </row>
    <row r="7575" spans="34:37" x14ac:dyDescent="0.25">
      <c r="AH7575" s="75"/>
      <c r="AK7575" s="75"/>
    </row>
    <row r="7576" spans="34:37" x14ac:dyDescent="0.25">
      <c r="AH7576" s="75"/>
      <c r="AK7576" s="75"/>
    </row>
    <row r="7577" spans="34:37" x14ac:dyDescent="0.25">
      <c r="AH7577" s="75"/>
      <c r="AK7577" s="75"/>
    </row>
    <row r="7578" spans="34:37" x14ac:dyDescent="0.25">
      <c r="AH7578" s="75"/>
      <c r="AK7578" s="75"/>
    </row>
    <row r="7579" spans="34:37" x14ac:dyDescent="0.25">
      <c r="AH7579" s="75"/>
      <c r="AK7579" s="75"/>
    </row>
    <row r="7580" spans="34:37" x14ac:dyDescent="0.25">
      <c r="AH7580" s="75"/>
      <c r="AK7580" s="75"/>
    </row>
    <row r="7581" spans="34:37" x14ac:dyDescent="0.25">
      <c r="AH7581" s="75"/>
      <c r="AK7581" s="75"/>
    </row>
    <row r="7582" spans="34:37" x14ac:dyDescent="0.25">
      <c r="AH7582" s="75"/>
      <c r="AK7582" s="75"/>
    </row>
    <row r="7583" spans="34:37" x14ac:dyDescent="0.25">
      <c r="AH7583" s="75"/>
      <c r="AK7583" s="75"/>
    </row>
    <row r="7584" spans="34:37" x14ac:dyDescent="0.25">
      <c r="AH7584" s="75"/>
      <c r="AK7584" s="75"/>
    </row>
    <row r="7585" spans="34:37" x14ac:dyDescent="0.25">
      <c r="AH7585" s="75"/>
      <c r="AK7585" s="75"/>
    </row>
    <row r="7586" spans="34:37" x14ac:dyDescent="0.25">
      <c r="AH7586" s="75"/>
      <c r="AK7586" s="75"/>
    </row>
    <row r="7587" spans="34:37" x14ac:dyDescent="0.25">
      <c r="AH7587" s="75"/>
      <c r="AK7587" s="75"/>
    </row>
    <row r="7588" spans="34:37" x14ac:dyDescent="0.25">
      <c r="AH7588" s="75"/>
      <c r="AK7588" s="75"/>
    </row>
    <row r="7589" spans="34:37" x14ac:dyDescent="0.25">
      <c r="AH7589" s="75"/>
      <c r="AK7589" s="75"/>
    </row>
    <row r="7590" spans="34:37" x14ac:dyDescent="0.25">
      <c r="AH7590" s="75"/>
      <c r="AK7590" s="75"/>
    </row>
    <row r="7591" spans="34:37" x14ac:dyDescent="0.25">
      <c r="AH7591" s="75"/>
      <c r="AK7591" s="75"/>
    </row>
    <row r="7592" spans="34:37" x14ac:dyDescent="0.25">
      <c r="AH7592" s="75"/>
      <c r="AK7592" s="75"/>
    </row>
    <row r="7593" spans="34:37" x14ac:dyDescent="0.25">
      <c r="AH7593" s="75"/>
      <c r="AK7593" s="75"/>
    </row>
    <row r="7594" spans="34:37" x14ac:dyDescent="0.25">
      <c r="AH7594" s="75"/>
      <c r="AK7594" s="75"/>
    </row>
    <row r="7595" spans="34:37" x14ac:dyDescent="0.25">
      <c r="AH7595" s="75"/>
      <c r="AK7595" s="75"/>
    </row>
    <row r="7596" spans="34:37" x14ac:dyDescent="0.25">
      <c r="AH7596" s="75"/>
      <c r="AK7596" s="75"/>
    </row>
    <row r="7597" spans="34:37" x14ac:dyDescent="0.25">
      <c r="AH7597" s="75"/>
      <c r="AK7597" s="75"/>
    </row>
    <row r="7598" spans="34:37" x14ac:dyDescent="0.25">
      <c r="AH7598" s="75"/>
      <c r="AK7598" s="75"/>
    </row>
    <row r="7599" spans="34:37" x14ac:dyDescent="0.25">
      <c r="AH7599" s="75"/>
      <c r="AK7599" s="75"/>
    </row>
    <row r="7600" spans="34:37" x14ac:dyDescent="0.25">
      <c r="AH7600" s="75"/>
      <c r="AK7600" s="75"/>
    </row>
    <row r="7601" spans="34:37" x14ac:dyDescent="0.25">
      <c r="AH7601" s="75"/>
      <c r="AK7601" s="75"/>
    </row>
    <row r="7602" spans="34:37" x14ac:dyDescent="0.25">
      <c r="AH7602" s="75"/>
      <c r="AK7602" s="75"/>
    </row>
    <row r="7603" spans="34:37" x14ac:dyDescent="0.25">
      <c r="AH7603" s="75"/>
      <c r="AK7603" s="75"/>
    </row>
    <row r="7604" spans="34:37" x14ac:dyDescent="0.25">
      <c r="AH7604" s="75"/>
      <c r="AK7604" s="75"/>
    </row>
    <row r="7605" spans="34:37" x14ac:dyDescent="0.25">
      <c r="AH7605" s="75"/>
      <c r="AK7605" s="75"/>
    </row>
    <row r="7606" spans="34:37" x14ac:dyDescent="0.25">
      <c r="AH7606" s="75"/>
      <c r="AK7606" s="75"/>
    </row>
    <row r="7607" spans="34:37" x14ac:dyDescent="0.25">
      <c r="AH7607" s="75"/>
      <c r="AK7607" s="75"/>
    </row>
    <row r="7608" spans="34:37" x14ac:dyDescent="0.25">
      <c r="AH7608" s="75"/>
      <c r="AK7608" s="75"/>
    </row>
    <row r="7609" spans="34:37" x14ac:dyDescent="0.25">
      <c r="AH7609" s="75"/>
      <c r="AK7609" s="75"/>
    </row>
    <row r="7610" spans="34:37" x14ac:dyDescent="0.25">
      <c r="AH7610" s="75"/>
      <c r="AK7610" s="75"/>
    </row>
    <row r="7611" spans="34:37" x14ac:dyDescent="0.25">
      <c r="AH7611" s="75"/>
      <c r="AK7611" s="75"/>
    </row>
    <row r="7612" spans="34:37" x14ac:dyDescent="0.25">
      <c r="AH7612" s="75"/>
      <c r="AK7612" s="75"/>
    </row>
    <row r="7613" spans="34:37" x14ac:dyDescent="0.25">
      <c r="AH7613" s="75"/>
      <c r="AK7613" s="75"/>
    </row>
    <row r="7614" spans="34:37" x14ac:dyDescent="0.25">
      <c r="AH7614" s="75"/>
      <c r="AK7614" s="75"/>
    </row>
    <row r="7615" spans="34:37" x14ac:dyDescent="0.25">
      <c r="AH7615" s="75"/>
      <c r="AK7615" s="75"/>
    </row>
    <row r="7616" spans="34:37" x14ac:dyDescent="0.25">
      <c r="AH7616" s="75"/>
      <c r="AK7616" s="75"/>
    </row>
    <row r="7617" spans="34:37" x14ac:dyDescent="0.25">
      <c r="AH7617" s="75"/>
      <c r="AK7617" s="75"/>
    </row>
    <row r="7618" spans="34:37" x14ac:dyDescent="0.25">
      <c r="AH7618" s="75"/>
      <c r="AK7618" s="75"/>
    </row>
    <row r="7619" spans="34:37" x14ac:dyDescent="0.25">
      <c r="AH7619" s="75"/>
      <c r="AK7619" s="75"/>
    </row>
    <row r="7620" spans="34:37" x14ac:dyDescent="0.25">
      <c r="AH7620" s="75"/>
      <c r="AK7620" s="75"/>
    </row>
    <row r="7621" spans="34:37" x14ac:dyDescent="0.25">
      <c r="AH7621" s="75"/>
      <c r="AK7621" s="75"/>
    </row>
    <row r="7622" spans="34:37" x14ac:dyDescent="0.25">
      <c r="AH7622" s="75"/>
      <c r="AK7622" s="75"/>
    </row>
    <row r="7623" spans="34:37" x14ac:dyDescent="0.25">
      <c r="AH7623" s="75"/>
      <c r="AK7623" s="75"/>
    </row>
    <row r="7624" spans="34:37" x14ac:dyDescent="0.25">
      <c r="AH7624" s="75"/>
      <c r="AK7624" s="75"/>
    </row>
    <row r="7625" spans="34:37" x14ac:dyDescent="0.25">
      <c r="AH7625" s="75"/>
      <c r="AK7625" s="75"/>
    </row>
    <row r="7626" spans="34:37" x14ac:dyDescent="0.25">
      <c r="AH7626" s="75"/>
      <c r="AK7626" s="75"/>
    </row>
    <row r="7627" spans="34:37" x14ac:dyDescent="0.25">
      <c r="AH7627" s="75"/>
      <c r="AK7627" s="75"/>
    </row>
    <row r="7628" spans="34:37" x14ac:dyDescent="0.25">
      <c r="AH7628" s="75"/>
      <c r="AK7628" s="75"/>
    </row>
    <row r="7629" spans="34:37" x14ac:dyDescent="0.25">
      <c r="AH7629" s="75"/>
      <c r="AK7629" s="75"/>
    </row>
    <row r="7630" spans="34:37" x14ac:dyDescent="0.25">
      <c r="AH7630" s="75"/>
      <c r="AK7630" s="75"/>
    </row>
    <row r="7631" spans="34:37" x14ac:dyDescent="0.25">
      <c r="AH7631" s="75"/>
      <c r="AK7631" s="75"/>
    </row>
    <row r="7632" spans="34:37" x14ac:dyDescent="0.25">
      <c r="AH7632" s="75"/>
      <c r="AK7632" s="75"/>
    </row>
    <row r="7633" spans="34:37" x14ac:dyDescent="0.25">
      <c r="AH7633" s="75"/>
      <c r="AK7633" s="75"/>
    </row>
    <row r="7634" spans="34:37" x14ac:dyDescent="0.25">
      <c r="AH7634" s="75"/>
      <c r="AK7634" s="75"/>
    </row>
    <row r="7635" spans="34:37" x14ac:dyDescent="0.25">
      <c r="AH7635" s="75"/>
      <c r="AK7635" s="75"/>
    </row>
    <row r="7636" spans="34:37" x14ac:dyDescent="0.25">
      <c r="AH7636" s="75"/>
      <c r="AK7636" s="75"/>
    </row>
    <row r="7637" spans="34:37" x14ac:dyDescent="0.25">
      <c r="AH7637" s="75"/>
      <c r="AK7637" s="75"/>
    </row>
    <row r="7638" spans="34:37" x14ac:dyDescent="0.25">
      <c r="AH7638" s="75"/>
      <c r="AK7638" s="75"/>
    </row>
    <row r="7639" spans="34:37" x14ac:dyDescent="0.25">
      <c r="AH7639" s="75"/>
      <c r="AK7639" s="75"/>
    </row>
    <row r="7640" spans="34:37" x14ac:dyDescent="0.25">
      <c r="AH7640" s="75"/>
      <c r="AK7640" s="75"/>
    </row>
    <row r="7641" spans="34:37" x14ac:dyDescent="0.25">
      <c r="AH7641" s="75"/>
      <c r="AK7641" s="75"/>
    </row>
    <row r="7642" spans="34:37" x14ac:dyDescent="0.25">
      <c r="AH7642" s="75"/>
      <c r="AK7642" s="75"/>
    </row>
    <row r="7643" spans="34:37" x14ac:dyDescent="0.25">
      <c r="AH7643" s="75"/>
      <c r="AK7643" s="75"/>
    </row>
    <row r="7644" spans="34:37" x14ac:dyDescent="0.25">
      <c r="AH7644" s="75"/>
      <c r="AK7644" s="75"/>
    </row>
    <row r="7645" spans="34:37" x14ac:dyDescent="0.25">
      <c r="AH7645" s="75"/>
      <c r="AK7645" s="75"/>
    </row>
    <row r="7646" spans="34:37" x14ac:dyDescent="0.25">
      <c r="AH7646" s="75"/>
      <c r="AK7646" s="75"/>
    </row>
    <row r="7647" spans="34:37" x14ac:dyDescent="0.25">
      <c r="AH7647" s="75"/>
      <c r="AK7647" s="75"/>
    </row>
    <row r="7648" spans="34:37" x14ac:dyDescent="0.25">
      <c r="AH7648" s="75"/>
      <c r="AK7648" s="75"/>
    </row>
    <row r="7649" spans="34:37" x14ac:dyDescent="0.25">
      <c r="AH7649" s="75"/>
      <c r="AK7649" s="75"/>
    </row>
    <row r="7650" spans="34:37" x14ac:dyDescent="0.25">
      <c r="AH7650" s="75"/>
      <c r="AK7650" s="75"/>
    </row>
    <row r="7651" spans="34:37" x14ac:dyDescent="0.25">
      <c r="AH7651" s="75"/>
      <c r="AK7651" s="75"/>
    </row>
    <row r="7652" spans="34:37" x14ac:dyDescent="0.25">
      <c r="AH7652" s="75"/>
      <c r="AK7652" s="75"/>
    </row>
    <row r="7653" spans="34:37" x14ac:dyDescent="0.25">
      <c r="AH7653" s="75"/>
      <c r="AK7653" s="75"/>
    </row>
    <row r="7654" spans="34:37" x14ac:dyDescent="0.25">
      <c r="AH7654" s="75"/>
      <c r="AK7654" s="75"/>
    </row>
    <row r="7655" spans="34:37" x14ac:dyDescent="0.25">
      <c r="AH7655" s="75"/>
      <c r="AK7655" s="75"/>
    </row>
    <row r="7656" spans="34:37" x14ac:dyDescent="0.25">
      <c r="AH7656" s="75"/>
      <c r="AK7656" s="75"/>
    </row>
    <row r="7657" spans="34:37" x14ac:dyDescent="0.25">
      <c r="AH7657" s="75"/>
      <c r="AK7657" s="75"/>
    </row>
    <row r="7658" spans="34:37" x14ac:dyDescent="0.25">
      <c r="AH7658" s="75"/>
      <c r="AK7658" s="75"/>
    </row>
    <row r="7659" spans="34:37" x14ac:dyDescent="0.25">
      <c r="AH7659" s="75"/>
      <c r="AK7659" s="75"/>
    </row>
    <row r="7660" spans="34:37" x14ac:dyDescent="0.25">
      <c r="AH7660" s="75"/>
      <c r="AK7660" s="75"/>
    </row>
    <row r="7661" spans="34:37" x14ac:dyDescent="0.25">
      <c r="AH7661" s="75"/>
      <c r="AK7661" s="75"/>
    </row>
    <row r="7662" spans="34:37" x14ac:dyDescent="0.25">
      <c r="AH7662" s="75"/>
      <c r="AK7662" s="75"/>
    </row>
    <row r="7663" spans="34:37" x14ac:dyDescent="0.25">
      <c r="AH7663" s="75"/>
      <c r="AK7663" s="75"/>
    </row>
    <row r="7664" spans="34:37" x14ac:dyDescent="0.25">
      <c r="AH7664" s="75"/>
      <c r="AK7664" s="75"/>
    </row>
    <row r="7665" spans="34:37" x14ac:dyDescent="0.25">
      <c r="AH7665" s="75"/>
      <c r="AK7665" s="75"/>
    </row>
    <row r="7666" spans="34:37" x14ac:dyDescent="0.25">
      <c r="AH7666" s="75"/>
      <c r="AK7666" s="75"/>
    </row>
    <row r="7667" spans="34:37" x14ac:dyDescent="0.25">
      <c r="AH7667" s="75"/>
      <c r="AK7667" s="75"/>
    </row>
    <row r="7668" spans="34:37" x14ac:dyDescent="0.25">
      <c r="AH7668" s="75"/>
      <c r="AK7668" s="75"/>
    </row>
    <row r="7669" spans="34:37" x14ac:dyDescent="0.25">
      <c r="AH7669" s="75"/>
      <c r="AK7669" s="75"/>
    </row>
    <row r="7670" spans="34:37" x14ac:dyDescent="0.25">
      <c r="AH7670" s="75"/>
      <c r="AK7670" s="75"/>
    </row>
    <row r="7671" spans="34:37" x14ac:dyDescent="0.25">
      <c r="AH7671" s="75"/>
      <c r="AK7671" s="75"/>
    </row>
    <row r="7672" spans="34:37" x14ac:dyDescent="0.25">
      <c r="AH7672" s="75"/>
      <c r="AK7672" s="75"/>
    </row>
    <row r="7673" spans="34:37" x14ac:dyDescent="0.25">
      <c r="AH7673" s="75"/>
      <c r="AK7673" s="75"/>
    </row>
    <row r="7674" spans="34:37" x14ac:dyDescent="0.25">
      <c r="AH7674" s="75"/>
      <c r="AK7674" s="75"/>
    </row>
    <row r="7675" spans="34:37" x14ac:dyDescent="0.25">
      <c r="AH7675" s="75"/>
      <c r="AK7675" s="75"/>
    </row>
    <row r="7676" spans="34:37" x14ac:dyDescent="0.25">
      <c r="AH7676" s="75"/>
      <c r="AK7676" s="75"/>
    </row>
    <row r="7677" spans="34:37" x14ac:dyDescent="0.25">
      <c r="AH7677" s="75"/>
      <c r="AK7677" s="75"/>
    </row>
    <row r="7678" spans="34:37" x14ac:dyDescent="0.25">
      <c r="AH7678" s="75"/>
      <c r="AK7678" s="75"/>
    </row>
    <row r="7679" spans="34:37" x14ac:dyDescent="0.25">
      <c r="AH7679" s="75"/>
      <c r="AK7679" s="75"/>
    </row>
    <row r="7680" spans="34:37" x14ac:dyDescent="0.25">
      <c r="AH7680" s="75"/>
      <c r="AK7680" s="75"/>
    </row>
    <row r="7681" spans="34:37" x14ac:dyDescent="0.25">
      <c r="AH7681" s="75"/>
      <c r="AK7681" s="75"/>
    </row>
    <row r="7682" spans="34:37" x14ac:dyDescent="0.25">
      <c r="AH7682" s="75"/>
      <c r="AK7682" s="75"/>
    </row>
    <row r="7683" spans="34:37" x14ac:dyDescent="0.25">
      <c r="AH7683" s="75"/>
      <c r="AK7683" s="75"/>
    </row>
    <row r="7684" spans="34:37" x14ac:dyDescent="0.25">
      <c r="AH7684" s="75"/>
      <c r="AK7684" s="75"/>
    </row>
    <row r="7685" spans="34:37" x14ac:dyDescent="0.25">
      <c r="AH7685" s="75"/>
      <c r="AK7685" s="75"/>
    </row>
    <row r="7686" spans="34:37" x14ac:dyDescent="0.25">
      <c r="AH7686" s="75"/>
      <c r="AK7686" s="75"/>
    </row>
    <row r="7687" spans="34:37" x14ac:dyDescent="0.25">
      <c r="AH7687" s="75"/>
      <c r="AK7687" s="75"/>
    </row>
    <row r="7688" spans="34:37" x14ac:dyDescent="0.25">
      <c r="AH7688" s="75"/>
      <c r="AK7688" s="75"/>
    </row>
    <row r="7689" spans="34:37" x14ac:dyDescent="0.25">
      <c r="AH7689" s="75"/>
      <c r="AK7689" s="75"/>
    </row>
    <row r="7690" spans="34:37" x14ac:dyDescent="0.25">
      <c r="AH7690" s="75"/>
      <c r="AK7690" s="75"/>
    </row>
    <row r="7691" spans="34:37" x14ac:dyDescent="0.25">
      <c r="AH7691" s="75"/>
      <c r="AK7691" s="75"/>
    </row>
    <row r="7692" spans="34:37" x14ac:dyDescent="0.25">
      <c r="AH7692" s="75"/>
      <c r="AK7692" s="75"/>
    </row>
    <row r="7693" spans="34:37" x14ac:dyDescent="0.25">
      <c r="AH7693" s="75"/>
      <c r="AK7693" s="75"/>
    </row>
    <row r="7694" spans="34:37" x14ac:dyDescent="0.25">
      <c r="AH7694" s="75"/>
      <c r="AK7694" s="75"/>
    </row>
    <row r="7695" spans="34:37" x14ac:dyDescent="0.25">
      <c r="AH7695" s="75"/>
      <c r="AK7695" s="75"/>
    </row>
    <row r="7696" spans="34:37" x14ac:dyDescent="0.25">
      <c r="AH7696" s="75"/>
      <c r="AK7696" s="75"/>
    </row>
    <row r="7697" spans="34:37" x14ac:dyDescent="0.25">
      <c r="AH7697" s="75"/>
      <c r="AK7697" s="75"/>
    </row>
    <row r="7698" spans="34:37" x14ac:dyDescent="0.25">
      <c r="AH7698" s="75"/>
      <c r="AK7698" s="75"/>
    </row>
    <row r="7699" spans="34:37" x14ac:dyDescent="0.25">
      <c r="AH7699" s="75"/>
      <c r="AK7699" s="75"/>
    </row>
    <row r="7700" spans="34:37" x14ac:dyDescent="0.25">
      <c r="AH7700" s="75"/>
      <c r="AK7700" s="75"/>
    </row>
    <row r="7701" spans="34:37" x14ac:dyDescent="0.25">
      <c r="AH7701" s="75"/>
      <c r="AK7701" s="75"/>
    </row>
    <row r="7702" spans="34:37" x14ac:dyDescent="0.25">
      <c r="AH7702" s="75"/>
      <c r="AK7702" s="75"/>
    </row>
    <row r="7703" spans="34:37" x14ac:dyDescent="0.25">
      <c r="AH7703" s="75"/>
      <c r="AK7703" s="75"/>
    </row>
    <row r="7704" spans="34:37" x14ac:dyDescent="0.25">
      <c r="AH7704" s="75"/>
      <c r="AK7704" s="75"/>
    </row>
    <row r="7705" spans="34:37" x14ac:dyDescent="0.25">
      <c r="AH7705" s="75"/>
      <c r="AK7705" s="75"/>
    </row>
    <row r="7706" spans="34:37" x14ac:dyDescent="0.25">
      <c r="AH7706" s="75"/>
      <c r="AK7706" s="75"/>
    </row>
    <row r="7707" spans="34:37" x14ac:dyDescent="0.25">
      <c r="AH7707" s="75"/>
      <c r="AK7707" s="75"/>
    </row>
    <row r="7708" spans="34:37" x14ac:dyDescent="0.25">
      <c r="AH7708" s="75"/>
      <c r="AK7708" s="75"/>
    </row>
    <row r="7709" spans="34:37" x14ac:dyDescent="0.25">
      <c r="AH7709" s="75"/>
      <c r="AK7709" s="75"/>
    </row>
    <row r="7710" spans="34:37" x14ac:dyDescent="0.25">
      <c r="AH7710" s="75"/>
      <c r="AK7710" s="75"/>
    </row>
    <row r="7711" spans="34:37" x14ac:dyDescent="0.25">
      <c r="AH7711" s="75"/>
      <c r="AK7711" s="75"/>
    </row>
    <row r="7712" spans="34:37" x14ac:dyDescent="0.25">
      <c r="AH7712" s="75"/>
      <c r="AK7712" s="75"/>
    </row>
    <row r="7713" spans="34:37" x14ac:dyDescent="0.25">
      <c r="AH7713" s="75"/>
      <c r="AK7713" s="75"/>
    </row>
    <row r="7714" spans="34:37" x14ac:dyDescent="0.25">
      <c r="AH7714" s="75"/>
      <c r="AK7714" s="75"/>
    </row>
    <row r="7715" spans="34:37" x14ac:dyDescent="0.25">
      <c r="AH7715" s="75"/>
      <c r="AK7715" s="75"/>
    </row>
    <row r="7716" spans="34:37" x14ac:dyDescent="0.25">
      <c r="AH7716" s="75"/>
      <c r="AK7716" s="75"/>
    </row>
    <row r="7717" spans="34:37" x14ac:dyDescent="0.25">
      <c r="AH7717" s="75"/>
      <c r="AK7717" s="75"/>
    </row>
    <row r="7718" spans="34:37" x14ac:dyDescent="0.25">
      <c r="AH7718" s="75"/>
      <c r="AK7718" s="75"/>
    </row>
    <row r="7719" spans="34:37" x14ac:dyDescent="0.25">
      <c r="AH7719" s="75"/>
      <c r="AK7719" s="75"/>
    </row>
    <row r="7720" spans="34:37" x14ac:dyDescent="0.25">
      <c r="AH7720" s="75"/>
      <c r="AK7720" s="75"/>
    </row>
    <row r="7721" spans="34:37" x14ac:dyDescent="0.25">
      <c r="AH7721" s="75"/>
      <c r="AK7721" s="75"/>
    </row>
    <row r="7722" spans="34:37" x14ac:dyDescent="0.25">
      <c r="AH7722" s="75"/>
      <c r="AK7722" s="75"/>
    </row>
    <row r="7723" spans="34:37" x14ac:dyDescent="0.25">
      <c r="AH7723" s="75"/>
      <c r="AK7723" s="75"/>
    </row>
    <row r="7724" spans="34:37" x14ac:dyDescent="0.25">
      <c r="AH7724" s="75"/>
      <c r="AK7724" s="75"/>
    </row>
    <row r="7725" spans="34:37" x14ac:dyDescent="0.25">
      <c r="AH7725" s="75"/>
      <c r="AK7725" s="75"/>
    </row>
    <row r="7726" spans="34:37" x14ac:dyDescent="0.25">
      <c r="AH7726" s="75"/>
      <c r="AK7726" s="75"/>
    </row>
    <row r="7727" spans="34:37" x14ac:dyDescent="0.25">
      <c r="AH7727" s="75"/>
      <c r="AK7727" s="75"/>
    </row>
    <row r="7728" spans="34:37" x14ac:dyDescent="0.25">
      <c r="AH7728" s="75"/>
      <c r="AK7728" s="75"/>
    </row>
    <row r="7729" spans="34:37" x14ac:dyDescent="0.25">
      <c r="AH7729" s="75"/>
      <c r="AK7729" s="75"/>
    </row>
    <row r="7730" spans="34:37" x14ac:dyDescent="0.25">
      <c r="AH7730" s="75"/>
      <c r="AK7730" s="75"/>
    </row>
    <row r="7731" spans="34:37" x14ac:dyDescent="0.25">
      <c r="AH7731" s="75"/>
      <c r="AK7731" s="75"/>
    </row>
    <row r="7732" spans="34:37" x14ac:dyDescent="0.25">
      <c r="AH7732" s="75"/>
      <c r="AK7732" s="75"/>
    </row>
    <row r="7733" spans="34:37" x14ac:dyDescent="0.25">
      <c r="AH7733" s="75"/>
      <c r="AK7733" s="75"/>
    </row>
    <row r="7734" spans="34:37" x14ac:dyDescent="0.25">
      <c r="AH7734" s="75"/>
      <c r="AK7734" s="75"/>
    </row>
    <row r="7735" spans="34:37" x14ac:dyDescent="0.25">
      <c r="AH7735" s="75"/>
      <c r="AK7735" s="75"/>
    </row>
    <row r="7736" spans="34:37" x14ac:dyDescent="0.25">
      <c r="AH7736" s="75"/>
      <c r="AK7736" s="75"/>
    </row>
    <row r="7737" spans="34:37" x14ac:dyDescent="0.25">
      <c r="AH7737" s="75"/>
      <c r="AK7737" s="75"/>
    </row>
    <row r="7738" spans="34:37" x14ac:dyDescent="0.25">
      <c r="AH7738" s="75"/>
      <c r="AK7738" s="75"/>
    </row>
    <row r="7739" spans="34:37" x14ac:dyDescent="0.25">
      <c r="AH7739" s="75"/>
      <c r="AK7739" s="75"/>
    </row>
    <row r="7740" spans="34:37" x14ac:dyDescent="0.25">
      <c r="AH7740" s="75"/>
      <c r="AK7740" s="75"/>
    </row>
    <row r="7741" spans="34:37" x14ac:dyDescent="0.25">
      <c r="AH7741" s="75"/>
      <c r="AK7741" s="75"/>
    </row>
    <row r="7742" spans="34:37" x14ac:dyDescent="0.25">
      <c r="AH7742" s="75"/>
      <c r="AK7742" s="75"/>
    </row>
    <row r="7743" spans="34:37" x14ac:dyDescent="0.25">
      <c r="AH7743" s="75"/>
      <c r="AK7743" s="75"/>
    </row>
    <row r="7744" spans="34:37" x14ac:dyDescent="0.25">
      <c r="AH7744" s="75"/>
      <c r="AK7744" s="75"/>
    </row>
    <row r="7745" spans="34:37" x14ac:dyDescent="0.25">
      <c r="AH7745" s="75"/>
      <c r="AK7745" s="75"/>
    </row>
    <row r="7746" spans="34:37" x14ac:dyDescent="0.25">
      <c r="AH7746" s="75"/>
      <c r="AK7746" s="75"/>
    </row>
    <row r="7747" spans="34:37" x14ac:dyDescent="0.25">
      <c r="AH7747" s="75"/>
      <c r="AK7747" s="75"/>
    </row>
    <row r="7748" spans="34:37" x14ac:dyDescent="0.25">
      <c r="AH7748" s="75"/>
      <c r="AK7748" s="75"/>
    </row>
    <row r="7749" spans="34:37" x14ac:dyDescent="0.25">
      <c r="AH7749" s="75"/>
      <c r="AK7749" s="75"/>
    </row>
    <row r="7750" spans="34:37" x14ac:dyDescent="0.25">
      <c r="AH7750" s="75"/>
      <c r="AK7750" s="75"/>
    </row>
    <row r="7751" spans="34:37" x14ac:dyDescent="0.25">
      <c r="AH7751" s="75"/>
      <c r="AK7751" s="75"/>
    </row>
    <row r="7752" spans="34:37" x14ac:dyDescent="0.25">
      <c r="AH7752" s="75"/>
      <c r="AK7752" s="75"/>
    </row>
    <row r="7753" spans="34:37" x14ac:dyDescent="0.25">
      <c r="AH7753" s="75"/>
      <c r="AK7753" s="75"/>
    </row>
    <row r="7754" spans="34:37" x14ac:dyDescent="0.25">
      <c r="AH7754" s="75"/>
      <c r="AK7754" s="75"/>
    </row>
    <row r="7755" spans="34:37" x14ac:dyDescent="0.25">
      <c r="AH7755" s="75"/>
      <c r="AK7755" s="75"/>
    </row>
    <row r="7756" spans="34:37" x14ac:dyDescent="0.25">
      <c r="AH7756" s="75"/>
      <c r="AK7756" s="75"/>
    </row>
    <row r="7757" spans="34:37" x14ac:dyDescent="0.25">
      <c r="AH7757" s="75"/>
      <c r="AK7757" s="75"/>
    </row>
    <row r="7758" spans="34:37" x14ac:dyDescent="0.25">
      <c r="AH7758" s="75"/>
      <c r="AK7758" s="75"/>
    </row>
    <row r="7759" spans="34:37" x14ac:dyDescent="0.25">
      <c r="AH7759" s="75"/>
      <c r="AK7759" s="75"/>
    </row>
    <row r="7760" spans="34:37" x14ac:dyDescent="0.25">
      <c r="AH7760" s="75"/>
      <c r="AK7760" s="75"/>
    </row>
    <row r="7761" spans="34:37" x14ac:dyDescent="0.25">
      <c r="AH7761" s="75"/>
      <c r="AK7761" s="75"/>
    </row>
    <row r="7762" spans="34:37" x14ac:dyDescent="0.25">
      <c r="AH7762" s="75"/>
      <c r="AK7762" s="75"/>
    </row>
    <row r="7763" spans="34:37" x14ac:dyDescent="0.25">
      <c r="AH7763" s="75"/>
      <c r="AK7763" s="75"/>
    </row>
    <row r="7764" spans="34:37" x14ac:dyDescent="0.25">
      <c r="AH7764" s="75"/>
      <c r="AK7764" s="75"/>
    </row>
    <row r="7765" spans="34:37" x14ac:dyDescent="0.25">
      <c r="AH7765" s="75"/>
      <c r="AK7765" s="75"/>
    </row>
    <row r="7766" spans="34:37" x14ac:dyDescent="0.25">
      <c r="AH7766" s="75"/>
      <c r="AK7766" s="75"/>
    </row>
    <row r="7767" spans="34:37" x14ac:dyDescent="0.25">
      <c r="AH7767" s="75"/>
      <c r="AK7767" s="75"/>
    </row>
    <row r="7768" spans="34:37" x14ac:dyDescent="0.25">
      <c r="AH7768" s="75"/>
      <c r="AK7768" s="75"/>
    </row>
    <row r="7769" spans="34:37" x14ac:dyDescent="0.25">
      <c r="AH7769" s="75"/>
      <c r="AK7769" s="75"/>
    </row>
    <row r="7770" spans="34:37" x14ac:dyDescent="0.25">
      <c r="AH7770" s="75"/>
      <c r="AK7770" s="75"/>
    </row>
    <row r="7771" spans="34:37" x14ac:dyDescent="0.25">
      <c r="AH7771" s="75"/>
      <c r="AK7771" s="75"/>
    </row>
    <row r="7772" spans="34:37" x14ac:dyDescent="0.25">
      <c r="AH7772" s="75"/>
      <c r="AK7772" s="75"/>
    </row>
    <row r="7773" spans="34:37" x14ac:dyDescent="0.25">
      <c r="AH7773" s="75"/>
      <c r="AK7773" s="75"/>
    </row>
    <row r="7774" spans="34:37" x14ac:dyDescent="0.25">
      <c r="AH7774" s="75"/>
      <c r="AK7774" s="75"/>
    </row>
    <row r="7775" spans="34:37" x14ac:dyDescent="0.25">
      <c r="AH7775" s="75"/>
      <c r="AK7775" s="75"/>
    </row>
    <row r="7776" spans="34:37" x14ac:dyDescent="0.25">
      <c r="AH7776" s="75"/>
      <c r="AK7776" s="75"/>
    </row>
    <row r="7777" spans="34:37" x14ac:dyDescent="0.25">
      <c r="AH7777" s="75"/>
      <c r="AK7777" s="75"/>
    </row>
    <row r="7778" spans="34:37" x14ac:dyDescent="0.25">
      <c r="AH7778" s="75"/>
      <c r="AK7778" s="75"/>
    </row>
    <row r="7779" spans="34:37" x14ac:dyDescent="0.25">
      <c r="AH7779" s="75"/>
      <c r="AK7779" s="75"/>
    </row>
    <row r="7780" spans="34:37" x14ac:dyDescent="0.25">
      <c r="AH7780" s="75"/>
      <c r="AK7780" s="75"/>
    </row>
    <row r="7781" spans="34:37" x14ac:dyDescent="0.25">
      <c r="AH7781" s="75"/>
      <c r="AK7781" s="75"/>
    </row>
    <row r="7782" spans="34:37" x14ac:dyDescent="0.25">
      <c r="AH7782" s="75"/>
      <c r="AK7782" s="75"/>
    </row>
    <row r="7783" spans="34:37" x14ac:dyDescent="0.25">
      <c r="AH7783" s="75"/>
      <c r="AK7783" s="75"/>
    </row>
    <row r="7784" spans="34:37" x14ac:dyDescent="0.25">
      <c r="AH7784" s="75"/>
      <c r="AK7784" s="75"/>
    </row>
    <row r="7785" spans="34:37" x14ac:dyDescent="0.25">
      <c r="AH7785" s="75"/>
      <c r="AK7785" s="75"/>
    </row>
    <row r="7786" spans="34:37" x14ac:dyDescent="0.25">
      <c r="AH7786" s="75"/>
      <c r="AK7786" s="75"/>
    </row>
    <row r="7787" spans="34:37" x14ac:dyDescent="0.25">
      <c r="AH7787" s="75"/>
      <c r="AK7787" s="75"/>
    </row>
    <row r="7788" spans="34:37" x14ac:dyDescent="0.25">
      <c r="AH7788" s="75"/>
      <c r="AK7788" s="75"/>
    </row>
    <row r="7789" spans="34:37" x14ac:dyDescent="0.25">
      <c r="AH7789" s="75"/>
      <c r="AK7789" s="75"/>
    </row>
    <row r="7790" spans="34:37" x14ac:dyDescent="0.25">
      <c r="AH7790" s="75"/>
      <c r="AK7790" s="75"/>
    </row>
    <row r="7791" spans="34:37" x14ac:dyDescent="0.25">
      <c r="AH7791" s="75"/>
      <c r="AK7791" s="75"/>
    </row>
    <row r="7792" spans="34:37" x14ac:dyDescent="0.25">
      <c r="AH7792" s="75"/>
      <c r="AK7792" s="75"/>
    </row>
    <row r="7793" spans="34:37" x14ac:dyDescent="0.25">
      <c r="AH7793" s="75"/>
      <c r="AK7793" s="75"/>
    </row>
    <row r="7794" spans="34:37" x14ac:dyDescent="0.25">
      <c r="AH7794" s="75"/>
      <c r="AK7794" s="75"/>
    </row>
    <row r="7795" spans="34:37" x14ac:dyDescent="0.25">
      <c r="AH7795" s="75"/>
      <c r="AK7795" s="75"/>
    </row>
    <row r="7796" spans="34:37" x14ac:dyDescent="0.25">
      <c r="AH7796" s="75"/>
      <c r="AK7796" s="75"/>
    </row>
    <row r="7797" spans="34:37" x14ac:dyDescent="0.25">
      <c r="AH7797" s="75"/>
      <c r="AK7797" s="75"/>
    </row>
    <row r="7798" spans="34:37" x14ac:dyDescent="0.25">
      <c r="AH7798" s="75"/>
      <c r="AK7798" s="75"/>
    </row>
    <row r="7799" spans="34:37" x14ac:dyDescent="0.25">
      <c r="AH7799" s="75"/>
      <c r="AK7799" s="75"/>
    </row>
    <row r="7800" spans="34:37" x14ac:dyDescent="0.25">
      <c r="AH7800" s="75"/>
      <c r="AK7800" s="75"/>
    </row>
    <row r="7801" spans="34:37" x14ac:dyDescent="0.25">
      <c r="AH7801" s="75"/>
      <c r="AK7801" s="75"/>
    </row>
    <row r="7802" spans="34:37" x14ac:dyDescent="0.25">
      <c r="AH7802" s="75"/>
      <c r="AK7802" s="75"/>
    </row>
    <row r="7803" spans="34:37" x14ac:dyDescent="0.25">
      <c r="AH7803" s="75"/>
      <c r="AK7803" s="75"/>
    </row>
    <row r="7804" spans="34:37" x14ac:dyDescent="0.25">
      <c r="AH7804" s="75"/>
      <c r="AK7804" s="75"/>
    </row>
    <row r="7805" spans="34:37" x14ac:dyDescent="0.25">
      <c r="AH7805" s="75"/>
      <c r="AK7805" s="75"/>
    </row>
    <row r="7806" spans="34:37" x14ac:dyDescent="0.25">
      <c r="AH7806" s="75"/>
      <c r="AK7806" s="75"/>
    </row>
    <row r="7807" spans="34:37" x14ac:dyDescent="0.25">
      <c r="AH7807" s="75"/>
      <c r="AK7807" s="75"/>
    </row>
    <row r="7808" spans="34:37" x14ac:dyDescent="0.25">
      <c r="AH7808" s="75"/>
      <c r="AK7808" s="75"/>
    </row>
    <row r="7809" spans="34:37" x14ac:dyDescent="0.25">
      <c r="AH7809" s="75"/>
      <c r="AK7809" s="75"/>
    </row>
    <row r="7810" spans="34:37" x14ac:dyDescent="0.25">
      <c r="AH7810" s="75"/>
      <c r="AK7810" s="75"/>
    </row>
    <row r="7811" spans="34:37" x14ac:dyDescent="0.25">
      <c r="AH7811" s="75"/>
      <c r="AK7811" s="75"/>
    </row>
    <row r="7812" spans="34:37" x14ac:dyDescent="0.25">
      <c r="AH7812" s="75"/>
      <c r="AK7812" s="75"/>
    </row>
    <row r="7813" spans="34:37" x14ac:dyDescent="0.25">
      <c r="AH7813" s="75"/>
      <c r="AK7813" s="75"/>
    </row>
    <row r="7814" spans="34:37" x14ac:dyDescent="0.25">
      <c r="AH7814" s="75"/>
      <c r="AK7814" s="75"/>
    </row>
    <row r="7815" spans="34:37" x14ac:dyDescent="0.25">
      <c r="AH7815" s="75"/>
      <c r="AK7815" s="75"/>
    </row>
    <row r="7816" spans="34:37" x14ac:dyDescent="0.25">
      <c r="AH7816" s="75"/>
      <c r="AK7816" s="75"/>
    </row>
    <row r="7817" spans="34:37" x14ac:dyDescent="0.25">
      <c r="AH7817" s="75"/>
      <c r="AK7817" s="75"/>
    </row>
    <row r="7818" spans="34:37" x14ac:dyDescent="0.25">
      <c r="AH7818" s="75"/>
      <c r="AK7818" s="75"/>
    </row>
    <row r="7819" spans="34:37" x14ac:dyDescent="0.25">
      <c r="AH7819" s="75"/>
      <c r="AK7819" s="75"/>
    </row>
    <row r="7820" spans="34:37" x14ac:dyDescent="0.25">
      <c r="AH7820" s="75"/>
      <c r="AK7820" s="75"/>
    </row>
    <row r="7821" spans="34:37" x14ac:dyDescent="0.25">
      <c r="AH7821" s="75"/>
      <c r="AK7821" s="75"/>
    </row>
    <row r="7822" spans="34:37" x14ac:dyDescent="0.25">
      <c r="AH7822" s="75"/>
      <c r="AK7822" s="75"/>
    </row>
    <row r="7823" spans="34:37" x14ac:dyDescent="0.25">
      <c r="AH7823" s="75"/>
      <c r="AK7823" s="75"/>
    </row>
    <row r="7824" spans="34:37" x14ac:dyDescent="0.25">
      <c r="AH7824" s="75"/>
      <c r="AK7824" s="75"/>
    </row>
    <row r="7825" spans="34:37" x14ac:dyDescent="0.25">
      <c r="AH7825" s="75"/>
      <c r="AK7825" s="75"/>
    </row>
    <row r="7826" spans="34:37" x14ac:dyDescent="0.25">
      <c r="AH7826" s="75"/>
      <c r="AK7826" s="75"/>
    </row>
    <row r="7827" spans="34:37" x14ac:dyDescent="0.25">
      <c r="AH7827" s="75"/>
      <c r="AK7827" s="75"/>
    </row>
    <row r="7828" spans="34:37" x14ac:dyDescent="0.25">
      <c r="AH7828" s="75"/>
      <c r="AK7828" s="75"/>
    </row>
    <row r="7829" spans="34:37" x14ac:dyDescent="0.25">
      <c r="AH7829" s="75"/>
      <c r="AK7829" s="75"/>
    </row>
    <row r="7830" spans="34:37" x14ac:dyDescent="0.25">
      <c r="AH7830" s="75"/>
      <c r="AK7830" s="75"/>
    </row>
    <row r="7831" spans="34:37" x14ac:dyDescent="0.25">
      <c r="AH7831" s="75"/>
      <c r="AK7831" s="75"/>
    </row>
    <row r="7832" spans="34:37" x14ac:dyDescent="0.25">
      <c r="AH7832" s="75"/>
      <c r="AK7832" s="75"/>
    </row>
    <row r="7833" spans="34:37" x14ac:dyDescent="0.25">
      <c r="AH7833" s="75"/>
      <c r="AK7833" s="75"/>
    </row>
    <row r="7834" spans="34:37" x14ac:dyDescent="0.25">
      <c r="AH7834" s="75"/>
      <c r="AK7834" s="75"/>
    </row>
    <row r="7835" spans="34:37" x14ac:dyDescent="0.25">
      <c r="AH7835" s="75"/>
      <c r="AK7835" s="75"/>
    </row>
    <row r="7836" spans="34:37" x14ac:dyDescent="0.25">
      <c r="AH7836" s="75"/>
      <c r="AK7836" s="75"/>
    </row>
    <row r="7837" spans="34:37" x14ac:dyDescent="0.25">
      <c r="AH7837" s="75"/>
      <c r="AK7837" s="75"/>
    </row>
    <row r="7838" spans="34:37" x14ac:dyDescent="0.25">
      <c r="AH7838" s="75"/>
      <c r="AK7838" s="75"/>
    </row>
    <row r="7839" spans="34:37" x14ac:dyDescent="0.25">
      <c r="AH7839" s="75"/>
      <c r="AK7839" s="75"/>
    </row>
    <row r="7840" spans="34:37" x14ac:dyDescent="0.25">
      <c r="AH7840" s="75"/>
      <c r="AK7840" s="75"/>
    </row>
    <row r="7841" spans="34:37" x14ac:dyDescent="0.25">
      <c r="AH7841" s="75"/>
      <c r="AK7841" s="75"/>
    </row>
    <row r="7842" spans="34:37" x14ac:dyDescent="0.25">
      <c r="AH7842" s="75"/>
      <c r="AK7842" s="75"/>
    </row>
    <row r="7843" spans="34:37" x14ac:dyDescent="0.25">
      <c r="AH7843" s="75"/>
      <c r="AK7843" s="75"/>
    </row>
    <row r="7844" spans="34:37" x14ac:dyDescent="0.25">
      <c r="AH7844" s="75"/>
      <c r="AK7844" s="75"/>
    </row>
    <row r="7845" spans="34:37" x14ac:dyDescent="0.25">
      <c r="AH7845" s="75"/>
      <c r="AK7845" s="75"/>
    </row>
    <row r="7846" spans="34:37" x14ac:dyDescent="0.25">
      <c r="AH7846" s="75"/>
      <c r="AK7846" s="75"/>
    </row>
    <row r="7847" spans="34:37" x14ac:dyDescent="0.25">
      <c r="AH7847" s="75"/>
      <c r="AK7847" s="75"/>
    </row>
    <row r="7848" spans="34:37" x14ac:dyDescent="0.25">
      <c r="AH7848" s="75"/>
      <c r="AK7848" s="75"/>
    </row>
    <row r="7849" spans="34:37" x14ac:dyDescent="0.25">
      <c r="AH7849" s="75"/>
      <c r="AK7849" s="75"/>
    </row>
    <row r="7850" spans="34:37" x14ac:dyDescent="0.25">
      <c r="AH7850" s="75"/>
      <c r="AK7850" s="75"/>
    </row>
    <row r="7851" spans="34:37" x14ac:dyDescent="0.25">
      <c r="AH7851" s="75"/>
      <c r="AK7851" s="75"/>
    </row>
    <row r="7852" spans="34:37" x14ac:dyDescent="0.25">
      <c r="AH7852" s="75"/>
      <c r="AK7852" s="75"/>
    </row>
    <row r="7853" spans="34:37" x14ac:dyDescent="0.25">
      <c r="AH7853" s="75"/>
      <c r="AK7853" s="75"/>
    </row>
    <row r="7854" spans="34:37" x14ac:dyDescent="0.25">
      <c r="AH7854" s="75"/>
      <c r="AK7854" s="75"/>
    </row>
    <row r="7855" spans="34:37" x14ac:dyDescent="0.25">
      <c r="AH7855" s="75"/>
      <c r="AK7855" s="75"/>
    </row>
    <row r="7856" spans="34:37" x14ac:dyDescent="0.25">
      <c r="AH7856" s="75"/>
      <c r="AK7856" s="75"/>
    </row>
    <row r="7857" spans="34:37" x14ac:dyDescent="0.25">
      <c r="AH7857" s="75"/>
      <c r="AK7857" s="75"/>
    </row>
    <row r="7858" spans="34:37" x14ac:dyDescent="0.25">
      <c r="AH7858" s="75"/>
      <c r="AK7858" s="75"/>
    </row>
    <row r="7859" spans="34:37" x14ac:dyDescent="0.25">
      <c r="AH7859" s="75"/>
      <c r="AK7859" s="75"/>
    </row>
    <row r="7860" spans="34:37" x14ac:dyDescent="0.25">
      <c r="AH7860" s="75"/>
      <c r="AK7860" s="75"/>
    </row>
    <row r="7861" spans="34:37" x14ac:dyDescent="0.25">
      <c r="AH7861" s="75"/>
      <c r="AK7861" s="75"/>
    </row>
    <row r="7862" spans="34:37" x14ac:dyDescent="0.25">
      <c r="AH7862" s="75"/>
      <c r="AK7862" s="75"/>
    </row>
    <row r="7863" spans="34:37" x14ac:dyDescent="0.25">
      <c r="AH7863" s="75"/>
      <c r="AK7863" s="75"/>
    </row>
    <row r="7864" spans="34:37" x14ac:dyDescent="0.25">
      <c r="AH7864" s="75"/>
      <c r="AK7864" s="75"/>
    </row>
    <row r="7865" spans="34:37" x14ac:dyDescent="0.25">
      <c r="AH7865" s="75"/>
      <c r="AK7865" s="75"/>
    </row>
    <row r="7866" spans="34:37" x14ac:dyDescent="0.25">
      <c r="AH7866" s="75"/>
      <c r="AK7866" s="75"/>
    </row>
    <row r="7867" spans="34:37" x14ac:dyDescent="0.25">
      <c r="AH7867" s="75"/>
      <c r="AK7867" s="75"/>
    </row>
    <row r="7868" spans="34:37" x14ac:dyDescent="0.25">
      <c r="AH7868" s="75"/>
      <c r="AK7868" s="75"/>
    </row>
    <row r="7869" spans="34:37" x14ac:dyDescent="0.25">
      <c r="AH7869" s="75"/>
      <c r="AK7869" s="75"/>
    </row>
    <row r="7870" spans="34:37" x14ac:dyDescent="0.25">
      <c r="AH7870" s="75"/>
      <c r="AK7870" s="75"/>
    </row>
    <row r="7871" spans="34:37" x14ac:dyDescent="0.25">
      <c r="AH7871" s="75"/>
      <c r="AK7871" s="75"/>
    </row>
    <row r="7872" spans="34:37" x14ac:dyDescent="0.25">
      <c r="AH7872" s="75"/>
      <c r="AK7872" s="75"/>
    </row>
    <row r="7873" spans="34:37" x14ac:dyDescent="0.25">
      <c r="AH7873" s="75"/>
      <c r="AK7873" s="75"/>
    </row>
    <row r="7874" spans="34:37" x14ac:dyDescent="0.25">
      <c r="AH7874" s="75"/>
      <c r="AK7874" s="75"/>
    </row>
    <row r="7875" spans="34:37" x14ac:dyDescent="0.25">
      <c r="AH7875" s="75"/>
      <c r="AK7875" s="75"/>
    </row>
    <row r="7876" spans="34:37" x14ac:dyDescent="0.25">
      <c r="AH7876" s="75"/>
      <c r="AK7876" s="75"/>
    </row>
    <row r="7877" spans="34:37" x14ac:dyDescent="0.25">
      <c r="AH7877" s="75"/>
      <c r="AK7877" s="75"/>
    </row>
    <row r="7878" spans="34:37" x14ac:dyDescent="0.25">
      <c r="AH7878" s="75"/>
      <c r="AK7878" s="75"/>
    </row>
    <row r="7879" spans="34:37" x14ac:dyDescent="0.25">
      <c r="AH7879" s="75"/>
      <c r="AK7879" s="75"/>
    </row>
    <row r="7880" spans="34:37" x14ac:dyDescent="0.25">
      <c r="AH7880" s="75"/>
      <c r="AK7880" s="75"/>
    </row>
    <row r="7881" spans="34:37" x14ac:dyDescent="0.25">
      <c r="AH7881" s="75"/>
      <c r="AK7881" s="75"/>
    </row>
    <row r="7882" spans="34:37" x14ac:dyDescent="0.25">
      <c r="AH7882" s="75"/>
      <c r="AK7882" s="75"/>
    </row>
    <row r="7883" spans="34:37" x14ac:dyDescent="0.25">
      <c r="AH7883" s="75"/>
      <c r="AK7883" s="75"/>
    </row>
    <row r="7884" spans="34:37" x14ac:dyDescent="0.25">
      <c r="AH7884" s="75"/>
      <c r="AK7884" s="75"/>
    </row>
    <row r="7885" spans="34:37" x14ac:dyDescent="0.25">
      <c r="AH7885" s="75"/>
      <c r="AK7885" s="75"/>
    </row>
    <row r="7886" spans="34:37" x14ac:dyDescent="0.25">
      <c r="AH7886" s="75"/>
      <c r="AK7886" s="75"/>
    </row>
    <row r="7887" spans="34:37" x14ac:dyDescent="0.25">
      <c r="AH7887" s="75"/>
      <c r="AK7887" s="75"/>
    </row>
    <row r="7888" spans="34:37" x14ac:dyDescent="0.25">
      <c r="AH7888" s="75"/>
      <c r="AK7888" s="75"/>
    </row>
    <row r="7889" spans="34:37" x14ac:dyDescent="0.25">
      <c r="AH7889" s="75"/>
      <c r="AK7889" s="75"/>
    </row>
    <row r="7890" spans="34:37" x14ac:dyDescent="0.25">
      <c r="AH7890" s="75"/>
      <c r="AK7890" s="75"/>
    </row>
    <row r="7891" spans="34:37" x14ac:dyDescent="0.25">
      <c r="AH7891" s="75"/>
      <c r="AK7891" s="75"/>
    </row>
    <row r="7892" spans="34:37" x14ac:dyDescent="0.25">
      <c r="AH7892" s="75"/>
      <c r="AK7892" s="75"/>
    </row>
    <row r="7893" spans="34:37" x14ac:dyDescent="0.25">
      <c r="AH7893" s="75"/>
      <c r="AK7893" s="75"/>
    </row>
    <row r="7894" spans="34:37" x14ac:dyDescent="0.25">
      <c r="AH7894" s="75"/>
      <c r="AK7894" s="75"/>
    </row>
    <row r="7895" spans="34:37" x14ac:dyDescent="0.25">
      <c r="AH7895" s="75"/>
      <c r="AK7895" s="75"/>
    </row>
    <row r="7896" spans="34:37" x14ac:dyDescent="0.25">
      <c r="AH7896" s="75"/>
      <c r="AK7896" s="75"/>
    </row>
    <row r="7897" spans="34:37" x14ac:dyDescent="0.25">
      <c r="AH7897" s="75"/>
      <c r="AK7897" s="75"/>
    </row>
    <row r="7898" spans="34:37" x14ac:dyDescent="0.25">
      <c r="AH7898" s="75"/>
      <c r="AK7898" s="75"/>
    </row>
    <row r="7899" spans="34:37" x14ac:dyDescent="0.25">
      <c r="AH7899" s="75"/>
      <c r="AK7899" s="75"/>
    </row>
    <row r="7900" spans="34:37" x14ac:dyDescent="0.25">
      <c r="AH7900" s="75"/>
      <c r="AK7900" s="75"/>
    </row>
    <row r="7901" spans="34:37" x14ac:dyDescent="0.25">
      <c r="AH7901" s="75"/>
      <c r="AK7901" s="75"/>
    </row>
    <row r="7902" spans="34:37" x14ac:dyDescent="0.25">
      <c r="AH7902" s="75"/>
      <c r="AK7902" s="75"/>
    </row>
    <row r="7903" spans="34:37" x14ac:dyDescent="0.25">
      <c r="AH7903" s="75"/>
      <c r="AK7903" s="75"/>
    </row>
    <row r="7904" spans="34:37" x14ac:dyDescent="0.25">
      <c r="AH7904" s="75"/>
      <c r="AK7904" s="75"/>
    </row>
    <row r="7905" spans="34:37" x14ac:dyDescent="0.25">
      <c r="AH7905" s="75"/>
      <c r="AK7905" s="75"/>
    </row>
    <row r="7906" spans="34:37" x14ac:dyDescent="0.25">
      <c r="AH7906" s="75"/>
      <c r="AK7906" s="75"/>
    </row>
    <row r="7907" spans="34:37" x14ac:dyDescent="0.25">
      <c r="AH7907" s="75"/>
      <c r="AK7907" s="75"/>
    </row>
    <row r="7908" spans="34:37" x14ac:dyDescent="0.25">
      <c r="AH7908" s="75"/>
      <c r="AK7908" s="75"/>
    </row>
    <row r="7909" spans="34:37" x14ac:dyDescent="0.25">
      <c r="AH7909" s="75"/>
      <c r="AK7909" s="75"/>
    </row>
    <row r="7910" spans="34:37" x14ac:dyDescent="0.25">
      <c r="AH7910" s="75"/>
      <c r="AK7910" s="75"/>
    </row>
    <row r="7911" spans="34:37" x14ac:dyDescent="0.25">
      <c r="AH7911" s="75"/>
      <c r="AK7911" s="75"/>
    </row>
    <row r="7912" spans="34:37" x14ac:dyDescent="0.25">
      <c r="AH7912" s="75"/>
      <c r="AK7912" s="75"/>
    </row>
    <row r="7913" spans="34:37" x14ac:dyDescent="0.25">
      <c r="AH7913" s="75"/>
      <c r="AK7913" s="75"/>
    </row>
    <row r="7914" spans="34:37" x14ac:dyDescent="0.25">
      <c r="AH7914" s="75"/>
      <c r="AK7914" s="75"/>
    </row>
    <row r="7915" spans="34:37" x14ac:dyDescent="0.25">
      <c r="AH7915" s="75"/>
      <c r="AK7915" s="75"/>
    </row>
    <row r="7916" spans="34:37" x14ac:dyDescent="0.25">
      <c r="AH7916" s="75"/>
      <c r="AK7916" s="75"/>
    </row>
    <row r="7917" spans="34:37" x14ac:dyDescent="0.25">
      <c r="AH7917" s="75"/>
      <c r="AK7917" s="75"/>
    </row>
    <row r="7918" spans="34:37" x14ac:dyDescent="0.25">
      <c r="AH7918" s="75"/>
      <c r="AK7918" s="75"/>
    </row>
    <row r="7919" spans="34:37" x14ac:dyDescent="0.25">
      <c r="AH7919" s="75"/>
      <c r="AK7919" s="75"/>
    </row>
    <row r="7920" spans="34:37" x14ac:dyDescent="0.25">
      <c r="AH7920" s="75"/>
      <c r="AK7920" s="75"/>
    </row>
    <row r="7921" spans="34:37" x14ac:dyDescent="0.25">
      <c r="AH7921" s="75"/>
      <c r="AK7921" s="75"/>
    </row>
    <row r="7922" spans="34:37" x14ac:dyDescent="0.25">
      <c r="AH7922" s="75"/>
      <c r="AK7922" s="75"/>
    </row>
    <row r="7923" spans="34:37" x14ac:dyDescent="0.25">
      <c r="AH7923" s="75"/>
      <c r="AK7923" s="75"/>
    </row>
    <row r="7924" spans="34:37" x14ac:dyDescent="0.25">
      <c r="AH7924" s="75"/>
      <c r="AK7924" s="75"/>
    </row>
    <row r="7925" spans="34:37" x14ac:dyDescent="0.25">
      <c r="AH7925" s="75"/>
      <c r="AK7925" s="75"/>
    </row>
    <row r="7926" spans="34:37" x14ac:dyDescent="0.25">
      <c r="AH7926" s="75"/>
      <c r="AK7926" s="75"/>
    </row>
    <row r="7927" spans="34:37" x14ac:dyDescent="0.25">
      <c r="AH7927" s="75"/>
      <c r="AK7927" s="75"/>
    </row>
    <row r="7928" spans="34:37" x14ac:dyDescent="0.25">
      <c r="AH7928" s="75"/>
      <c r="AK7928" s="75"/>
    </row>
    <row r="7929" spans="34:37" x14ac:dyDescent="0.25">
      <c r="AH7929" s="75"/>
      <c r="AK7929" s="75"/>
    </row>
    <row r="7930" spans="34:37" x14ac:dyDescent="0.25">
      <c r="AH7930" s="75"/>
      <c r="AK7930" s="75"/>
    </row>
    <row r="7931" spans="34:37" x14ac:dyDescent="0.25">
      <c r="AH7931" s="75"/>
      <c r="AK7931" s="75"/>
    </row>
    <row r="7932" spans="34:37" x14ac:dyDescent="0.25">
      <c r="AH7932" s="75"/>
      <c r="AK7932" s="75"/>
    </row>
    <row r="7933" spans="34:37" x14ac:dyDescent="0.25">
      <c r="AH7933" s="75"/>
      <c r="AK7933" s="75"/>
    </row>
    <row r="7934" spans="34:37" x14ac:dyDescent="0.25">
      <c r="AH7934" s="75"/>
      <c r="AK7934" s="75"/>
    </row>
    <row r="7935" spans="34:37" x14ac:dyDescent="0.25">
      <c r="AH7935" s="75"/>
      <c r="AK7935" s="75"/>
    </row>
    <row r="7936" spans="34:37" x14ac:dyDescent="0.25">
      <c r="AH7936" s="75"/>
      <c r="AK7936" s="75"/>
    </row>
    <row r="7937" spans="34:37" x14ac:dyDescent="0.25">
      <c r="AH7937" s="75"/>
      <c r="AK7937" s="75"/>
    </row>
    <row r="7938" spans="34:37" x14ac:dyDescent="0.25">
      <c r="AH7938" s="75"/>
      <c r="AK7938" s="75"/>
    </row>
    <row r="7939" spans="34:37" x14ac:dyDescent="0.25">
      <c r="AH7939" s="75"/>
      <c r="AK7939" s="75"/>
    </row>
    <row r="7940" spans="34:37" x14ac:dyDescent="0.25">
      <c r="AH7940" s="75"/>
      <c r="AK7940" s="75"/>
    </row>
    <row r="7941" spans="34:37" x14ac:dyDescent="0.25">
      <c r="AH7941" s="75"/>
      <c r="AK7941" s="75"/>
    </row>
    <row r="7942" spans="34:37" x14ac:dyDescent="0.25">
      <c r="AH7942" s="75"/>
      <c r="AK7942" s="75"/>
    </row>
    <row r="7943" spans="34:37" x14ac:dyDescent="0.25">
      <c r="AH7943" s="75"/>
      <c r="AK7943" s="75"/>
    </row>
    <row r="7944" spans="34:37" x14ac:dyDescent="0.25">
      <c r="AH7944" s="75"/>
      <c r="AK7944" s="75"/>
    </row>
    <row r="7945" spans="34:37" x14ac:dyDescent="0.25">
      <c r="AH7945" s="75"/>
      <c r="AK7945" s="75"/>
    </row>
    <row r="7946" spans="34:37" x14ac:dyDescent="0.25">
      <c r="AH7946" s="75"/>
      <c r="AK7946" s="75"/>
    </row>
    <row r="7947" spans="34:37" x14ac:dyDescent="0.25">
      <c r="AH7947" s="75"/>
      <c r="AK7947" s="75"/>
    </row>
    <row r="7948" spans="34:37" x14ac:dyDescent="0.25">
      <c r="AH7948" s="75"/>
      <c r="AK7948" s="75"/>
    </row>
    <row r="7949" spans="34:37" x14ac:dyDescent="0.25">
      <c r="AH7949" s="75"/>
      <c r="AK7949" s="75"/>
    </row>
    <row r="7950" spans="34:37" x14ac:dyDescent="0.25">
      <c r="AH7950" s="75"/>
      <c r="AK7950" s="75"/>
    </row>
    <row r="7951" spans="34:37" x14ac:dyDescent="0.25">
      <c r="AH7951" s="75"/>
      <c r="AK7951" s="75"/>
    </row>
    <row r="7952" spans="34:37" x14ac:dyDescent="0.25">
      <c r="AH7952" s="75"/>
      <c r="AK7952" s="75"/>
    </row>
    <row r="7953" spans="34:37" x14ac:dyDescent="0.25">
      <c r="AH7953" s="75"/>
      <c r="AK7953" s="75"/>
    </row>
    <row r="7954" spans="34:37" x14ac:dyDescent="0.25">
      <c r="AH7954" s="75"/>
      <c r="AK7954" s="75"/>
    </row>
    <row r="7955" spans="34:37" x14ac:dyDescent="0.25">
      <c r="AH7955" s="75"/>
      <c r="AK7955" s="75"/>
    </row>
    <row r="7956" spans="34:37" x14ac:dyDescent="0.25">
      <c r="AH7956" s="75"/>
      <c r="AK7956" s="75"/>
    </row>
    <row r="7957" spans="34:37" x14ac:dyDescent="0.25">
      <c r="AH7957" s="75"/>
      <c r="AK7957" s="75"/>
    </row>
    <row r="7958" spans="34:37" x14ac:dyDescent="0.25">
      <c r="AH7958" s="75"/>
      <c r="AK7958" s="75"/>
    </row>
    <row r="7959" spans="34:37" x14ac:dyDescent="0.25">
      <c r="AH7959" s="75"/>
      <c r="AK7959" s="75"/>
    </row>
    <row r="7960" spans="34:37" x14ac:dyDescent="0.25">
      <c r="AH7960" s="75"/>
      <c r="AK7960" s="75"/>
    </row>
    <row r="7961" spans="34:37" x14ac:dyDescent="0.25">
      <c r="AH7961" s="75"/>
      <c r="AK7961" s="75"/>
    </row>
    <row r="7962" spans="34:37" x14ac:dyDescent="0.25">
      <c r="AH7962" s="75"/>
      <c r="AK7962" s="75"/>
    </row>
    <row r="7963" spans="34:37" x14ac:dyDescent="0.25">
      <c r="AH7963" s="75"/>
      <c r="AK7963" s="75"/>
    </row>
    <row r="7964" spans="34:37" x14ac:dyDescent="0.25">
      <c r="AH7964" s="75"/>
      <c r="AK7964" s="75"/>
    </row>
    <row r="7965" spans="34:37" x14ac:dyDescent="0.25">
      <c r="AH7965" s="75"/>
      <c r="AK7965" s="75"/>
    </row>
    <row r="7966" spans="34:37" x14ac:dyDescent="0.25">
      <c r="AH7966" s="75"/>
      <c r="AK7966" s="75"/>
    </row>
    <row r="7967" spans="34:37" x14ac:dyDescent="0.25">
      <c r="AH7967" s="75"/>
      <c r="AK7967" s="75"/>
    </row>
    <row r="7968" spans="34:37" x14ac:dyDescent="0.25">
      <c r="AH7968" s="75"/>
      <c r="AK7968" s="75"/>
    </row>
    <row r="7969" spans="34:37" x14ac:dyDescent="0.25">
      <c r="AH7969" s="75"/>
      <c r="AK7969" s="75"/>
    </row>
    <row r="7970" spans="34:37" x14ac:dyDescent="0.25">
      <c r="AH7970" s="75"/>
      <c r="AK7970" s="75"/>
    </row>
    <row r="7971" spans="34:37" x14ac:dyDescent="0.25">
      <c r="AH7971" s="75"/>
      <c r="AK7971" s="75"/>
    </row>
    <row r="7972" spans="34:37" x14ac:dyDescent="0.25">
      <c r="AH7972" s="75"/>
      <c r="AK7972" s="75"/>
    </row>
    <row r="7973" spans="34:37" x14ac:dyDescent="0.25">
      <c r="AH7973" s="75"/>
      <c r="AK7973" s="75"/>
    </row>
    <row r="7974" spans="34:37" x14ac:dyDescent="0.25">
      <c r="AH7974" s="75"/>
      <c r="AK7974" s="75"/>
    </row>
    <row r="7975" spans="34:37" x14ac:dyDescent="0.25">
      <c r="AH7975" s="75"/>
      <c r="AK7975" s="75"/>
    </row>
    <row r="7976" spans="34:37" x14ac:dyDescent="0.25">
      <c r="AH7976" s="75"/>
      <c r="AK7976" s="75"/>
    </row>
    <row r="7977" spans="34:37" x14ac:dyDescent="0.25">
      <c r="AH7977" s="75"/>
      <c r="AK7977" s="75"/>
    </row>
    <row r="7978" spans="34:37" x14ac:dyDescent="0.25">
      <c r="AH7978" s="75"/>
      <c r="AK7978" s="75"/>
    </row>
    <row r="7979" spans="34:37" x14ac:dyDescent="0.25">
      <c r="AH7979" s="75"/>
      <c r="AK7979" s="75"/>
    </row>
    <row r="7980" spans="34:37" x14ac:dyDescent="0.25">
      <c r="AH7980" s="75"/>
      <c r="AK7980" s="75"/>
    </row>
    <row r="7981" spans="34:37" x14ac:dyDescent="0.25">
      <c r="AH7981" s="75"/>
      <c r="AK7981" s="75"/>
    </row>
    <row r="7982" spans="34:37" x14ac:dyDescent="0.25">
      <c r="AH7982" s="75"/>
      <c r="AK7982" s="75"/>
    </row>
    <row r="7983" spans="34:37" x14ac:dyDescent="0.25">
      <c r="AH7983" s="75"/>
      <c r="AK7983" s="75"/>
    </row>
    <row r="7984" spans="34:37" x14ac:dyDescent="0.25">
      <c r="AH7984" s="75"/>
      <c r="AK7984" s="75"/>
    </row>
    <row r="7985" spans="34:37" x14ac:dyDescent="0.25">
      <c r="AH7985" s="75"/>
      <c r="AK7985" s="75"/>
    </row>
    <row r="7986" spans="34:37" x14ac:dyDescent="0.25">
      <c r="AH7986" s="75"/>
      <c r="AK7986" s="75"/>
    </row>
    <row r="7987" spans="34:37" x14ac:dyDescent="0.25">
      <c r="AH7987" s="75"/>
      <c r="AK7987" s="75"/>
    </row>
    <row r="7988" spans="34:37" x14ac:dyDescent="0.25">
      <c r="AH7988" s="75"/>
      <c r="AK7988" s="75"/>
    </row>
    <row r="7989" spans="34:37" x14ac:dyDescent="0.25">
      <c r="AH7989" s="75"/>
      <c r="AK7989" s="75"/>
    </row>
    <row r="7990" spans="34:37" x14ac:dyDescent="0.25">
      <c r="AH7990" s="75"/>
      <c r="AK7990" s="75"/>
    </row>
    <row r="7991" spans="34:37" x14ac:dyDescent="0.25">
      <c r="AH7991" s="75"/>
      <c r="AK7991" s="75"/>
    </row>
    <row r="7992" spans="34:37" x14ac:dyDescent="0.25">
      <c r="AH7992" s="75"/>
      <c r="AK7992" s="75"/>
    </row>
    <row r="7993" spans="34:37" x14ac:dyDescent="0.25">
      <c r="AH7993" s="75"/>
      <c r="AK7993" s="75"/>
    </row>
    <row r="7994" spans="34:37" x14ac:dyDescent="0.25">
      <c r="AH7994" s="75"/>
      <c r="AK7994" s="75"/>
    </row>
    <row r="7995" spans="34:37" x14ac:dyDescent="0.25">
      <c r="AH7995" s="75"/>
      <c r="AK7995" s="75"/>
    </row>
    <row r="7996" spans="34:37" x14ac:dyDescent="0.25">
      <c r="AH7996" s="75"/>
      <c r="AK7996" s="75"/>
    </row>
    <row r="7997" spans="34:37" x14ac:dyDescent="0.25">
      <c r="AH7997" s="75"/>
      <c r="AK7997" s="75"/>
    </row>
    <row r="7998" spans="34:37" x14ac:dyDescent="0.25">
      <c r="AH7998" s="75"/>
      <c r="AK7998" s="75"/>
    </row>
    <row r="7999" spans="34:37" x14ac:dyDescent="0.25">
      <c r="AH7999" s="75"/>
      <c r="AK7999" s="75"/>
    </row>
    <row r="8000" spans="34:37" x14ac:dyDescent="0.25">
      <c r="AH8000" s="75"/>
      <c r="AK8000" s="75"/>
    </row>
    <row r="8001" spans="34:37" x14ac:dyDescent="0.25">
      <c r="AH8001" s="75"/>
      <c r="AK8001" s="75"/>
    </row>
    <row r="8002" spans="34:37" x14ac:dyDescent="0.25">
      <c r="AH8002" s="75"/>
      <c r="AK8002" s="75"/>
    </row>
    <row r="8003" spans="34:37" x14ac:dyDescent="0.25">
      <c r="AH8003" s="75"/>
      <c r="AK8003" s="75"/>
    </row>
    <row r="8004" spans="34:37" x14ac:dyDescent="0.25">
      <c r="AH8004" s="75"/>
      <c r="AK8004" s="75"/>
    </row>
    <row r="8005" spans="34:37" x14ac:dyDescent="0.25">
      <c r="AH8005" s="75"/>
      <c r="AK8005" s="75"/>
    </row>
    <row r="8006" spans="34:37" x14ac:dyDescent="0.25">
      <c r="AH8006" s="75"/>
      <c r="AK8006" s="75"/>
    </row>
    <row r="8007" spans="34:37" x14ac:dyDescent="0.25">
      <c r="AH8007" s="75"/>
      <c r="AK8007" s="75"/>
    </row>
    <row r="8008" spans="34:37" x14ac:dyDescent="0.25">
      <c r="AH8008" s="75"/>
      <c r="AK8008" s="75"/>
    </row>
    <row r="8009" spans="34:37" x14ac:dyDescent="0.25">
      <c r="AH8009" s="75"/>
      <c r="AK8009" s="75"/>
    </row>
    <row r="8010" spans="34:37" x14ac:dyDescent="0.25">
      <c r="AH8010" s="75"/>
      <c r="AK8010" s="75"/>
    </row>
    <row r="8011" spans="34:37" x14ac:dyDescent="0.25">
      <c r="AH8011" s="75"/>
      <c r="AK8011" s="75"/>
    </row>
    <row r="8012" spans="34:37" x14ac:dyDescent="0.25">
      <c r="AH8012" s="75"/>
      <c r="AK8012" s="75"/>
    </row>
    <row r="8013" spans="34:37" x14ac:dyDescent="0.25">
      <c r="AH8013" s="75"/>
      <c r="AK8013" s="75"/>
    </row>
    <row r="8014" spans="34:37" x14ac:dyDescent="0.25">
      <c r="AH8014" s="75"/>
      <c r="AK8014" s="75"/>
    </row>
    <row r="8015" spans="34:37" x14ac:dyDescent="0.25">
      <c r="AH8015" s="75"/>
      <c r="AK8015" s="75"/>
    </row>
    <row r="8016" spans="34:37" x14ac:dyDescent="0.25">
      <c r="AH8016" s="75"/>
      <c r="AK8016" s="75"/>
    </row>
    <row r="8017" spans="34:37" x14ac:dyDescent="0.25">
      <c r="AH8017" s="75"/>
      <c r="AK8017" s="75"/>
    </row>
    <row r="8018" spans="34:37" x14ac:dyDescent="0.25">
      <c r="AH8018" s="75"/>
      <c r="AK8018" s="75"/>
    </row>
    <row r="8019" spans="34:37" x14ac:dyDescent="0.25">
      <c r="AH8019" s="75"/>
      <c r="AK8019" s="75"/>
    </row>
    <row r="8020" spans="34:37" x14ac:dyDescent="0.25">
      <c r="AH8020" s="75"/>
      <c r="AK8020" s="75"/>
    </row>
    <row r="8021" spans="34:37" x14ac:dyDescent="0.25">
      <c r="AH8021" s="75"/>
      <c r="AK8021" s="75"/>
    </row>
    <row r="8022" spans="34:37" x14ac:dyDescent="0.25">
      <c r="AH8022" s="75"/>
      <c r="AK8022" s="75"/>
    </row>
    <row r="8023" spans="34:37" x14ac:dyDescent="0.25">
      <c r="AH8023" s="75"/>
      <c r="AK8023" s="75"/>
    </row>
    <row r="8024" spans="34:37" x14ac:dyDescent="0.25">
      <c r="AH8024" s="75"/>
      <c r="AK8024" s="75"/>
    </row>
    <row r="8025" spans="34:37" x14ac:dyDescent="0.25">
      <c r="AH8025" s="75"/>
      <c r="AK8025" s="75"/>
    </row>
    <row r="8026" spans="34:37" x14ac:dyDescent="0.25">
      <c r="AH8026" s="75"/>
      <c r="AK8026" s="75"/>
    </row>
    <row r="8027" spans="34:37" x14ac:dyDescent="0.25">
      <c r="AH8027" s="75"/>
      <c r="AK8027" s="75"/>
    </row>
    <row r="8028" spans="34:37" x14ac:dyDescent="0.25">
      <c r="AH8028" s="75"/>
      <c r="AK8028" s="75"/>
    </row>
    <row r="8029" spans="34:37" x14ac:dyDescent="0.25">
      <c r="AH8029" s="75"/>
      <c r="AK8029" s="75"/>
    </row>
    <row r="8030" spans="34:37" x14ac:dyDescent="0.25">
      <c r="AH8030" s="75"/>
      <c r="AK8030" s="75"/>
    </row>
    <row r="8031" spans="34:37" x14ac:dyDescent="0.25">
      <c r="AH8031" s="75"/>
      <c r="AK8031" s="75"/>
    </row>
    <row r="8032" spans="34:37" x14ac:dyDescent="0.25">
      <c r="AH8032" s="75"/>
      <c r="AK8032" s="75"/>
    </row>
    <row r="8033" spans="34:37" x14ac:dyDescent="0.25">
      <c r="AH8033" s="75"/>
      <c r="AK8033" s="75"/>
    </row>
    <row r="8034" spans="34:37" x14ac:dyDescent="0.25">
      <c r="AH8034" s="75"/>
      <c r="AK8034" s="75"/>
    </row>
    <row r="8035" spans="34:37" x14ac:dyDescent="0.25">
      <c r="AH8035" s="75"/>
      <c r="AK8035" s="75"/>
    </row>
    <row r="8036" spans="34:37" x14ac:dyDescent="0.25">
      <c r="AH8036" s="75"/>
      <c r="AK8036" s="75"/>
    </row>
    <row r="8037" spans="34:37" x14ac:dyDescent="0.25">
      <c r="AH8037" s="75"/>
      <c r="AK8037" s="75"/>
    </row>
    <row r="8038" spans="34:37" x14ac:dyDescent="0.25">
      <c r="AH8038" s="75"/>
      <c r="AK8038" s="75"/>
    </row>
    <row r="8039" spans="34:37" x14ac:dyDescent="0.25">
      <c r="AH8039" s="75"/>
      <c r="AK8039" s="75"/>
    </row>
    <row r="8040" spans="34:37" x14ac:dyDescent="0.25">
      <c r="AH8040" s="75"/>
      <c r="AK8040" s="75"/>
    </row>
    <row r="8041" spans="34:37" x14ac:dyDescent="0.25">
      <c r="AH8041" s="75"/>
      <c r="AK8041" s="75"/>
    </row>
    <row r="8042" spans="34:37" x14ac:dyDescent="0.25">
      <c r="AH8042" s="75"/>
      <c r="AK8042" s="75"/>
    </row>
    <row r="8043" spans="34:37" x14ac:dyDescent="0.25">
      <c r="AH8043" s="75"/>
      <c r="AK8043" s="75"/>
    </row>
    <row r="8044" spans="34:37" x14ac:dyDescent="0.25">
      <c r="AH8044" s="75"/>
      <c r="AK8044" s="75"/>
    </row>
    <row r="8045" spans="34:37" x14ac:dyDescent="0.25">
      <c r="AH8045" s="75"/>
      <c r="AK8045" s="75"/>
    </row>
    <row r="8046" spans="34:37" x14ac:dyDescent="0.25">
      <c r="AH8046" s="75"/>
      <c r="AK8046" s="75"/>
    </row>
    <row r="8047" spans="34:37" x14ac:dyDescent="0.25">
      <c r="AH8047" s="75"/>
      <c r="AK8047" s="75"/>
    </row>
    <row r="8048" spans="34:37" x14ac:dyDescent="0.25">
      <c r="AH8048" s="75"/>
      <c r="AK8048" s="75"/>
    </row>
    <row r="8049" spans="34:37" x14ac:dyDescent="0.25">
      <c r="AH8049" s="75"/>
      <c r="AK8049" s="75"/>
    </row>
    <row r="8050" spans="34:37" x14ac:dyDescent="0.25">
      <c r="AH8050" s="75"/>
      <c r="AK8050" s="75"/>
    </row>
    <row r="8051" spans="34:37" x14ac:dyDescent="0.25">
      <c r="AH8051" s="75"/>
      <c r="AK8051" s="75"/>
    </row>
    <row r="8052" spans="34:37" x14ac:dyDescent="0.25">
      <c r="AH8052" s="75"/>
      <c r="AK8052" s="75"/>
    </row>
    <row r="8053" spans="34:37" x14ac:dyDescent="0.25">
      <c r="AH8053" s="75"/>
      <c r="AK8053" s="75"/>
    </row>
    <row r="8054" spans="34:37" x14ac:dyDescent="0.25">
      <c r="AH8054" s="75"/>
      <c r="AK8054" s="75"/>
    </row>
    <row r="8055" spans="34:37" x14ac:dyDescent="0.25">
      <c r="AH8055" s="75"/>
      <c r="AK8055" s="75"/>
    </row>
    <row r="8056" spans="34:37" x14ac:dyDescent="0.25">
      <c r="AH8056" s="75"/>
      <c r="AK8056" s="75"/>
    </row>
    <row r="8057" spans="34:37" x14ac:dyDescent="0.25">
      <c r="AH8057" s="75"/>
      <c r="AK8057" s="75"/>
    </row>
    <row r="8058" spans="34:37" x14ac:dyDescent="0.25">
      <c r="AH8058" s="75"/>
      <c r="AK8058" s="75"/>
    </row>
    <row r="8059" spans="34:37" x14ac:dyDescent="0.25">
      <c r="AH8059" s="75"/>
      <c r="AK8059" s="75"/>
    </row>
    <row r="8060" spans="34:37" x14ac:dyDescent="0.25">
      <c r="AH8060" s="75"/>
      <c r="AK8060" s="75"/>
    </row>
    <row r="8061" spans="34:37" x14ac:dyDescent="0.25">
      <c r="AH8061" s="75"/>
      <c r="AK8061" s="75"/>
    </row>
    <row r="8062" spans="34:37" x14ac:dyDescent="0.25">
      <c r="AH8062" s="75"/>
      <c r="AK8062" s="75"/>
    </row>
    <row r="8063" spans="34:37" x14ac:dyDescent="0.25">
      <c r="AH8063" s="75"/>
      <c r="AK8063" s="75"/>
    </row>
    <row r="8064" spans="34:37" x14ac:dyDescent="0.25">
      <c r="AH8064" s="75"/>
      <c r="AK8064" s="75"/>
    </row>
    <row r="8065" spans="34:37" x14ac:dyDescent="0.25">
      <c r="AH8065" s="75"/>
      <c r="AK8065" s="75"/>
    </row>
    <row r="8066" spans="34:37" x14ac:dyDescent="0.25">
      <c r="AH8066" s="75"/>
      <c r="AK8066" s="75"/>
    </row>
    <row r="8067" spans="34:37" x14ac:dyDescent="0.25">
      <c r="AH8067" s="75"/>
      <c r="AK8067" s="75"/>
    </row>
    <row r="8068" spans="34:37" x14ac:dyDescent="0.25">
      <c r="AH8068" s="75"/>
      <c r="AK8068" s="75"/>
    </row>
    <row r="8069" spans="34:37" x14ac:dyDescent="0.25">
      <c r="AH8069" s="75"/>
      <c r="AK8069" s="75"/>
    </row>
    <row r="8070" spans="34:37" x14ac:dyDescent="0.25">
      <c r="AH8070" s="75"/>
      <c r="AK8070" s="75"/>
    </row>
    <row r="8071" spans="34:37" x14ac:dyDescent="0.25">
      <c r="AH8071" s="75"/>
      <c r="AK8071" s="75"/>
    </row>
    <row r="8072" spans="34:37" x14ac:dyDescent="0.25">
      <c r="AH8072" s="75"/>
      <c r="AK8072" s="75"/>
    </row>
    <row r="8073" spans="34:37" x14ac:dyDescent="0.25">
      <c r="AH8073" s="75"/>
      <c r="AK8073" s="75"/>
    </row>
    <row r="8074" spans="34:37" x14ac:dyDescent="0.25">
      <c r="AH8074" s="75"/>
      <c r="AK8074" s="75"/>
    </row>
    <row r="8075" spans="34:37" x14ac:dyDescent="0.25">
      <c r="AH8075" s="75"/>
      <c r="AK8075" s="75"/>
    </row>
    <row r="8076" spans="34:37" x14ac:dyDescent="0.25">
      <c r="AH8076" s="75"/>
      <c r="AK8076" s="75"/>
    </row>
    <row r="8077" spans="34:37" x14ac:dyDescent="0.25">
      <c r="AH8077" s="75"/>
      <c r="AK8077" s="75"/>
    </row>
    <row r="8078" spans="34:37" x14ac:dyDescent="0.25">
      <c r="AH8078" s="75"/>
      <c r="AK8078" s="75"/>
    </row>
    <row r="8079" spans="34:37" x14ac:dyDescent="0.25">
      <c r="AH8079" s="75"/>
      <c r="AK8079" s="75"/>
    </row>
    <row r="8080" spans="34:37" x14ac:dyDescent="0.25">
      <c r="AH8080" s="75"/>
      <c r="AK8080" s="75"/>
    </row>
    <row r="8081" spans="34:37" x14ac:dyDescent="0.25">
      <c r="AH8081" s="75"/>
      <c r="AK8081" s="75"/>
    </row>
    <row r="8082" spans="34:37" x14ac:dyDescent="0.25">
      <c r="AH8082" s="75"/>
      <c r="AK8082" s="75"/>
    </row>
    <row r="8083" spans="34:37" x14ac:dyDescent="0.25">
      <c r="AH8083" s="75"/>
      <c r="AK8083" s="75"/>
    </row>
    <row r="8084" spans="34:37" x14ac:dyDescent="0.25">
      <c r="AH8084" s="75"/>
      <c r="AK8084" s="75"/>
    </row>
    <row r="8085" spans="34:37" x14ac:dyDescent="0.25">
      <c r="AH8085" s="75"/>
      <c r="AK8085" s="75"/>
    </row>
    <row r="8086" spans="34:37" x14ac:dyDescent="0.25">
      <c r="AH8086" s="75"/>
      <c r="AK8086" s="75"/>
    </row>
    <row r="8087" spans="34:37" x14ac:dyDescent="0.25">
      <c r="AH8087" s="75"/>
      <c r="AK8087" s="75"/>
    </row>
    <row r="8088" spans="34:37" x14ac:dyDescent="0.25">
      <c r="AH8088" s="75"/>
      <c r="AK8088" s="75"/>
    </row>
    <row r="8089" spans="34:37" x14ac:dyDescent="0.25">
      <c r="AH8089" s="75"/>
      <c r="AK8089" s="75"/>
    </row>
    <row r="8090" spans="34:37" x14ac:dyDescent="0.25">
      <c r="AH8090" s="75"/>
      <c r="AK8090" s="75"/>
    </row>
    <row r="8091" spans="34:37" x14ac:dyDescent="0.25">
      <c r="AH8091" s="75"/>
      <c r="AK8091" s="75"/>
    </row>
    <row r="8092" spans="34:37" x14ac:dyDescent="0.25">
      <c r="AH8092" s="75"/>
      <c r="AK8092" s="75"/>
    </row>
    <row r="8093" spans="34:37" x14ac:dyDescent="0.25">
      <c r="AH8093" s="75"/>
      <c r="AK8093" s="75"/>
    </row>
    <row r="8094" spans="34:37" x14ac:dyDescent="0.25">
      <c r="AH8094" s="75"/>
      <c r="AK8094" s="75"/>
    </row>
    <row r="8095" spans="34:37" x14ac:dyDescent="0.25">
      <c r="AH8095" s="75"/>
      <c r="AK8095" s="75"/>
    </row>
    <row r="8096" spans="34:37" x14ac:dyDescent="0.25">
      <c r="AH8096" s="75"/>
      <c r="AK8096" s="75"/>
    </row>
    <row r="8097" spans="34:37" x14ac:dyDescent="0.25">
      <c r="AH8097" s="75"/>
      <c r="AK8097" s="75"/>
    </row>
    <row r="8098" spans="34:37" x14ac:dyDescent="0.25">
      <c r="AH8098" s="75"/>
      <c r="AK8098" s="75"/>
    </row>
    <row r="8099" spans="34:37" x14ac:dyDescent="0.25">
      <c r="AH8099" s="75"/>
      <c r="AK8099" s="75"/>
    </row>
    <row r="8100" spans="34:37" x14ac:dyDescent="0.25">
      <c r="AH8100" s="75"/>
      <c r="AK8100" s="75"/>
    </row>
    <row r="8101" spans="34:37" x14ac:dyDescent="0.25">
      <c r="AH8101" s="75"/>
      <c r="AK8101" s="75"/>
    </row>
    <row r="8102" spans="34:37" x14ac:dyDescent="0.25">
      <c r="AH8102" s="75"/>
      <c r="AK8102" s="75"/>
    </row>
    <row r="8103" spans="34:37" x14ac:dyDescent="0.25">
      <c r="AH8103" s="75"/>
      <c r="AK8103" s="75"/>
    </row>
    <row r="8104" spans="34:37" x14ac:dyDescent="0.25">
      <c r="AH8104" s="75"/>
      <c r="AK8104" s="75"/>
    </row>
    <row r="8105" spans="34:37" x14ac:dyDescent="0.25">
      <c r="AH8105" s="75"/>
      <c r="AK8105" s="75"/>
    </row>
    <row r="8106" spans="34:37" x14ac:dyDescent="0.25">
      <c r="AH8106" s="75"/>
      <c r="AK8106" s="75"/>
    </row>
    <row r="8107" spans="34:37" x14ac:dyDescent="0.25">
      <c r="AH8107" s="75"/>
      <c r="AK8107" s="75"/>
    </row>
    <row r="8108" spans="34:37" x14ac:dyDescent="0.25">
      <c r="AH8108" s="75"/>
      <c r="AK8108" s="75"/>
    </row>
    <row r="8109" spans="34:37" x14ac:dyDescent="0.25">
      <c r="AH8109" s="75"/>
      <c r="AK8109" s="75"/>
    </row>
    <row r="8110" spans="34:37" x14ac:dyDescent="0.25">
      <c r="AH8110" s="75"/>
      <c r="AK8110" s="75"/>
    </row>
    <row r="8111" spans="34:37" x14ac:dyDescent="0.25">
      <c r="AH8111" s="75"/>
      <c r="AK8111" s="75"/>
    </row>
    <row r="8112" spans="34:37" x14ac:dyDescent="0.25">
      <c r="AH8112" s="75"/>
      <c r="AK8112" s="75"/>
    </row>
    <row r="8113" spans="34:37" x14ac:dyDescent="0.25">
      <c r="AH8113" s="75"/>
      <c r="AK8113" s="75"/>
    </row>
    <row r="8114" spans="34:37" x14ac:dyDescent="0.25">
      <c r="AH8114" s="75"/>
      <c r="AK8114" s="75"/>
    </row>
    <row r="8115" spans="34:37" x14ac:dyDescent="0.25">
      <c r="AH8115" s="75"/>
      <c r="AK8115" s="75"/>
    </row>
    <row r="8116" spans="34:37" x14ac:dyDescent="0.25">
      <c r="AH8116" s="75"/>
      <c r="AK8116" s="75"/>
    </row>
    <row r="8117" spans="34:37" x14ac:dyDescent="0.25">
      <c r="AH8117" s="75"/>
      <c r="AK8117" s="75"/>
    </row>
    <row r="8118" spans="34:37" x14ac:dyDescent="0.25">
      <c r="AH8118" s="75"/>
      <c r="AK8118" s="75"/>
    </row>
    <row r="8119" spans="34:37" x14ac:dyDescent="0.25">
      <c r="AH8119" s="75"/>
      <c r="AK8119" s="75"/>
    </row>
    <row r="8120" spans="34:37" x14ac:dyDescent="0.25">
      <c r="AH8120" s="75"/>
      <c r="AK8120" s="75"/>
    </row>
    <row r="8121" spans="34:37" x14ac:dyDescent="0.25">
      <c r="AH8121" s="75"/>
      <c r="AK8121" s="75"/>
    </row>
    <row r="8122" spans="34:37" x14ac:dyDescent="0.25">
      <c r="AH8122" s="75"/>
      <c r="AK8122" s="75"/>
    </row>
    <row r="8123" spans="34:37" x14ac:dyDescent="0.25">
      <c r="AH8123" s="75"/>
      <c r="AK8123" s="75"/>
    </row>
    <row r="8124" spans="34:37" x14ac:dyDescent="0.25">
      <c r="AH8124" s="75"/>
      <c r="AK8124" s="75"/>
    </row>
    <row r="8125" spans="34:37" x14ac:dyDescent="0.25">
      <c r="AH8125" s="75"/>
      <c r="AK8125" s="75"/>
    </row>
    <row r="8126" spans="34:37" x14ac:dyDescent="0.25">
      <c r="AH8126" s="75"/>
      <c r="AK8126" s="75"/>
    </row>
    <row r="8127" spans="34:37" x14ac:dyDescent="0.25">
      <c r="AH8127" s="75"/>
      <c r="AK8127" s="75"/>
    </row>
    <row r="8128" spans="34:37" x14ac:dyDescent="0.25">
      <c r="AH8128" s="75"/>
      <c r="AK8128" s="75"/>
    </row>
    <row r="8129" spans="34:37" x14ac:dyDescent="0.25">
      <c r="AH8129" s="75"/>
      <c r="AK8129" s="75"/>
    </row>
    <row r="8130" spans="34:37" x14ac:dyDescent="0.25">
      <c r="AH8130" s="75"/>
      <c r="AK8130" s="75"/>
    </row>
    <row r="8131" spans="34:37" x14ac:dyDescent="0.25">
      <c r="AH8131" s="75"/>
      <c r="AK8131" s="75"/>
    </row>
    <row r="8132" spans="34:37" x14ac:dyDescent="0.25">
      <c r="AH8132" s="75"/>
      <c r="AK8132" s="75"/>
    </row>
    <row r="8133" spans="34:37" x14ac:dyDescent="0.25">
      <c r="AH8133" s="75"/>
      <c r="AK8133" s="75"/>
    </row>
    <row r="8134" spans="34:37" x14ac:dyDescent="0.25">
      <c r="AH8134" s="75"/>
      <c r="AK8134" s="75"/>
    </row>
    <row r="8135" spans="34:37" x14ac:dyDescent="0.25">
      <c r="AH8135" s="75"/>
      <c r="AK8135" s="75"/>
    </row>
    <row r="8136" spans="34:37" x14ac:dyDescent="0.25">
      <c r="AH8136" s="75"/>
      <c r="AK8136" s="75"/>
    </row>
    <row r="8137" spans="34:37" x14ac:dyDescent="0.25">
      <c r="AH8137" s="75"/>
      <c r="AK8137" s="75"/>
    </row>
    <row r="8138" spans="34:37" x14ac:dyDescent="0.25">
      <c r="AH8138" s="75"/>
      <c r="AK8138" s="75"/>
    </row>
    <row r="8139" spans="34:37" x14ac:dyDescent="0.25">
      <c r="AH8139" s="75"/>
      <c r="AK8139" s="75"/>
    </row>
    <row r="8140" spans="34:37" x14ac:dyDescent="0.25">
      <c r="AH8140" s="75"/>
      <c r="AK8140" s="75"/>
    </row>
    <row r="8141" spans="34:37" x14ac:dyDescent="0.25">
      <c r="AH8141" s="75"/>
      <c r="AK8141" s="75"/>
    </row>
    <row r="8142" spans="34:37" x14ac:dyDescent="0.25">
      <c r="AH8142" s="75"/>
      <c r="AK8142" s="75"/>
    </row>
    <row r="8143" spans="34:37" x14ac:dyDescent="0.25">
      <c r="AH8143" s="75"/>
      <c r="AK8143" s="75"/>
    </row>
    <row r="8144" spans="34:37" x14ac:dyDescent="0.25">
      <c r="AH8144" s="75"/>
      <c r="AK8144" s="75"/>
    </row>
    <row r="8145" spans="34:37" x14ac:dyDescent="0.25">
      <c r="AH8145" s="75"/>
      <c r="AK8145" s="75"/>
    </row>
    <row r="8146" spans="34:37" x14ac:dyDescent="0.25">
      <c r="AH8146" s="75"/>
      <c r="AK8146" s="75"/>
    </row>
    <row r="8147" spans="34:37" x14ac:dyDescent="0.25">
      <c r="AH8147" s="75"/>
      <c r="AK8147" s="75"/>
    </row>
    <row r="8148" spans="34:37" x14ac:dyDescent="0.25">
      <c r="AH8148" s="75"/>
      <c r="AK8148" s="75"/>
    </row>
    <row r="8149" spans="34:37" x14ac:dyDescent="0.25">
      <c r="AH8149" s="75"/>
      <c r="AK8149" s="75"/>
    </row>
    <row r="8150" spans="34:37" x14ac:dyDescent="0.25">
      <c r="AH8150" s="75"/>
      <c r="AK8150" s="75"/>
    </row>
    <row r="8151" spans="34:37" x14ac:dyDescent="0.25">
      <c r="AH8151" s="75"/>
      <c r="AK8151" s="75"/>
    </row>
    <row r="8152" spans="34:37" x14ac:dyDescent="0.25">
      <c r="AH8152" s="75"/>
      <c r="AK8152" s="75"/>
    </row>
    <row r="8153" spans="34:37" x14ac:dyDescent="0.25">
      <c r="AH8153" s="75"/>
      <c r="AK8153" s="75"/>
    </row>
    <row r="8154" spans="34:37" x14ac:dyDescent="0.25">
      <c r="AH8154" s="75"/>
      <c r="AK8154" s="75"/>
    </row>
    <row r="8155" spans="34:37" x14ac:dyDescent="0.25">
      <c r="AH8155" s="75"/>
      <c r="AK8155" s="75"/>
    </row>
    <row r="8156" spans="34:37" x14ac:dyDescent="0.25">
      <c r="AH8156" s="75"/>
      <c r="AK8156" s="75"/>
    </row>
    <row r="8157" spans="34:37" x14ac:dyDescent="0.25">
      <c r="AH8157" s="75"/>
      <c r="AK8157" s="75"/>
    </row>
    <row r="8158" spans="34:37" x14ac:dyDescent="0.25">
      <c r="AH8158" s="75"/>
      <c r="AK8158" s="75"/>
    </row>
    <row r="8159" spans="34:37" x14ac:dyDescent="0.25">
      <c r="AH8159" s="75"/>
      <c r="AK8159" s="75"/>
    </row>
    <row r="8160" spans="34:37" x14ac:dyDescent="0.25">
      <c r="AH8160" s="75"/>
      <c r="AK8160" s="75"/>
    </row>
    <row r="8161" spans="34:37" x14ac:dyDescent="0.25">
      <c r="AH8161" s="75"/>
      <c r="AK8161" s="75"/>
    </row>
    <row r="8162" spans="34:37" x14ac:dyDescent="0.25">
      <c r="AH8162" s="75"/>
      <c r="AK8162" s="75"/>
    </row>
    <row r="8163" spans="34:37" x14ac:dyDescent="0.25">
      <c r="AH8163" s="75"/>
      <c r="AK8163" s="75"/>
    </row>
    <row r="8164" spans="34:37" x14ac:dyDescent="0.25">
      <c r="AH8164" s="75"/>
      <c r="AK8164" s="75"/>
    </row>
    <row r="8165" spans="34:37" x14ac:dyDescent="0.25">
      <c r="AH8165" s="75"/>
      <c r="AK8165" s="75"/>
    </row>
    <row r="8166" spans="34:37" x14ac:dyDescent="0.25">
      <c r="AH8166" s="75"/>
      <c r="AK8166" s="75"/>
    </row>
    <row r="8167" spans="34:37" x14ac:dyDescent="0.25">
      <c r="AH8167" s="75"/>
      <c r="AK8167" s="75"/>
    </row>
    <row r="8168" spans="34:37" x14ac:dyDescent="0.25">
      <c r="AH8168" s="75"/>
      <c r="AK8168" s="75"/>
    </row>
    <row r="8169" spans="34:37" x14ac:dyDescent="0.25">
      <c r="AH8169" s="75"/>
      <c r="AK8169" s="75"/>
    </row>
    <row r="8170" spans="34:37" x14ac:dyDescent="0.25">
      <c r="AH8170" s="75"/>
      <c r="AK8170" s="75"/>
    </row>
    <row r="8171" spans="34:37" x14ac:dyDescent="0.25">
      <c r="AH8171" s="75"/>
      <c r="AK8171" s="75"/>
    </row>
    <row r="8172" spans="34:37" x14ac:dyDescent="0.25">
      <c r="AH8172" s="75"/>
      <c r="AK8172" s="75"/>
    </row>
    <row r="8173" spans="34:37" x14ac:dyDescent="0.25">
      <c r="AH8173" s="75"/>
      <c r="AK8173" s="75"/>
    </row>
    <row r="8174" spans="34:37" x14ac:dyDescent="0.25">
      <c r="AH8174" s="75"/>
      <c r="AK8174" s="75"/>
    </row>
    <row r="8175" spans="34:37" x14ac:dyDescent="0.25">
      <c r="AH8175" s="75"/>
      <c r="AK8175" s="75"/>
    </row>
    <row r="8176" spans="34:37" x14ac:dyDescent="0.25">
      <c r="AH8176" s="75"/>
      <c r="AK8176" s="75"/>
    </row>
    <row r="8177" spans="34:37" x14ac:dyDescent="0.25">
      <c r="AH8177" s="75"/>
      <c r="AK8177" s="75"/>
    </row>
    <row r="8178" spans="34:37" x14ac:dyDescent="0.25">
      <c r="AH8178" s="75"/>
      <c r="AK8178" s="75"/>
    </row>
    <row r="8179" spans="34:37" x14ac:dyDescent="0.25">
      <c r="AH8179" s="75"/>
      <c r="AK8179" s="75"/>
    </row>
    <row r="8180" spans="34:37" x14ac:dyDescent="0.25">
      <c r="AH8180" s="75"/>
      <c r="AK8180" s="75"/>
    </row>
    <row r="8181" spans="34:37" x14ac:dyDescent="0.25">
      <c r="AH8181" s="75"/>
      <c r="AK8181" s="75"/>
    </row>
    <row r="8182" spans="34:37" x14ac:dyDescent="0.25">
      <c r="AH8182" s="75"/>
      <c r="AK8182" s="75"/>
    </row>
    <row r="8183" spans="34:37" x14ac:dyDescent="0.25">
      <c r="AH8183" s="75"/>
      <c r="AK8183" s="75"/>
    </row>
    <row r="8184" spans="34:37" x14ac:dyDescent="0.25">
      <c r="AH8184" s="75"/>
      <c r="AK8184" s="75"/>
    </row>
    <row r="8185" spans="34:37" x14ac:dyDescent="0.25">
      <c r="AH8185" s="75"/>
      <c r="AK8185" s="75"/>
    </row>
    <row r="8186" spans="34:37" x14ac:dyDescent="0.25">
      <c r="AH8186" s="75"/>
      <c r="AK8186" s="75"/>
    </row>
    <row r="8187" spans="34:37" x14ac:dyDescent="0.25">
      <c r="AH8187" s="75"/>
      <c r="AK8187" s="75"/>
    </row>
    <row r="8188" spans="34:37" x14ac:dyDescent="0.25">
      <c r="AH8188" s="75"/>
      <c r="AK8188" s="75"/>
    </row>
    <row r="8189" spans="34:37" x14ac:dyDescent="0.25">
      <c r="AH8189" s="75"/>
      <c r="AK8189" s="75"/>
    </row>
    <row r="8190" spans="34:37" x14ac:dyDescent="0.25">
      <c r="AH8190" s="75"/>
      <c r="AK8190" s="75"/>
    </row>
    <row r="8191" spans="34:37" x14ac:dyDescent="0.25">
      <c r="AH8191" s="75"/>
      <c r="AK8191" s="75"/>
    </row>
    <row r="8192" spans="34:37" x14ac:dyDescent="0.25">
      <c r="AH8192" s="75"/>
      <c r="AK8192" s="75"/>
    </row>
    <row r="8193" spans="34:37" x14ac:dyDescent="0.25">
      <c r="AH8193" s="75"/>
      <c r="AK8193" s="75"/>
    </row>
    <row r="8194" spans="34:37" x14ac:dyDescent="0.25">
      <c r="AH8194" s="75"/>
      <c r="AK8194" s="75"/>
    </row>
    <row r="8195" spans="34:37" x14ac:dyDescent="0.25">
      <c r="AH8195" s="75"/>
      <c r="AK8195" s="75"/>
    </row>
    <row r="8196" spans="34:37" x14ac:dyDescent="0.25">
      <c r="AH8196" s="75"/>
      <c r="AK8196" s="75"/>
    </row>
    <row r="8197" spans="34:37" x14ac:dyDescent="0.25">
      <c r="AH8197" s="75"/>
      <c r="AK8197" s="75"/>
    </row>
    <row r="8198" spans="34:37" x14ac:dyDescent="0.25">
      <c r="AH8198" s="75"/>
      <c r="AK8198" s="75"/>
    </row>
    <row r="8199" spans="34:37" x14ac:dyDescent="0.25">
      <c r="AH8199" s="75"/>
      <c r="AK8199" s="75"/>
    </row>
    <row r="8200" spans="34:37" x14ac:dyDescent="0.25">
      <c r="AH8200" s="75"/>
      <c r="AK8200" s="75"/>
    </row>
    <row r="8201" spans="34:37" x14ac:dyDescent="0.25">
      <c r="AH8201" s="75"/>
      <c r="AK8201" s="75"/>
    </row>
    <row r="8202" spans="34:37" x14ac:dyDescent="0.25">
      <c r="AH8202" s="75"/>
      <c r="AK8202" s="75"/>
    </row>
    <row r="8203" spans="34:37" x14ac:dyDescent="0.25">
      <c r="AH8203" s="75"/>
      <c r="AK8203" s="75"/>
    </row>
    <row r="8204" spans="34:37" x14ac:dyDescent="0.25">
      <c r="AH8204" s="75"/>
      <c r="AK8204" s="75"/>
    </row>
    <row r="8205" spans="34:37" x14ac:dyDescent="0.25">
      <c r="AH8205" s="75"/>
      <c r="AK8205" s="75"/>
    </row>
    <row r="8206" spans="34:37" x14ac:dyDescent="0.25">
      <c r="AH8206" s="75"/>
      <c r="AK8206" s="75"/>
    </row>
    <row r="8207" spans="34:37" x14ac:dyDescent="0.25">
      <c r="AH8207" s="75"/>
      <c r="AK8207" s="75"/>
    </row>
    <row r="8208" spans="34:37" x14ac:dyDescent="0.25">
      <c r="AH8208" s="75"/>
      <c r="AK8208" s="75"/>
    </row>
    <row r="8209" spans="34:37" x14ac:dyDescent="0.25">
      <c r="AH8209" s="75"/>
      <c r="AK8209" s="75"/>
    </row>
    <row r="8210" spans="34:37" x14ac:dyDescent="0.25">
      <c r="AH8210" s="75"/>
      <c r="AK8210" s="75"/>
    </row>
    <row r="8211" spans="34:37" x14ac:dyDescent="0.25">
      <c r="AH8211" s="75"/>
      <c r="AK8211" s="75"/>
    </row>
    <row r="8212" spans="34:37" x14ac:dyDescent="0.25">
      <c r="AH8212" s="75"/>
      <c r="AK8212" s="75"/>
    </row>
    <row r="8213" spans="34:37" x14ac:dyDescent="0.25">
      <c r="AH8213" s="75"/>
      <c r="AK8213" s="75"/>
    </row>
    <row r="8214" spans="34:37" x14ac:dyDescent="0.25">
      <c r="AH8214" s="75"/>
      <c r="AK8214" s="75"/>
    </row>
    <row r="8215" spans="34:37" x14ac:dyDescent="0.25">
      <c r="AH8215" s="75"/>
      <c r="AK8215" s="75"/>
    </row>
    <row r="8216" spans="34:37" x14ac:dyDescent="0.25">
      <c r="AH8216" s="75"/>
      <c r="AK8216" s="75"/>
    </row>
    <row r="8217" spans="34:37" x14ac:dyDescent="0.25">
      <c r="AH8217" s="75"/>
      <c r="AK8217" s="75"/>
    </row>
    <row r="8218" spans="34:37" x14ac:dyDescent="0.25">
      <c r="AH8218" s="75"/>
      <c r="AK8218" s="75"/>
    </row>
    <row r="8219" spans="34:37" x14ac:dyDescent="0.25">
      <c r="AH8219" s="75"/>
      <c r="AK8219" s="75"/>
    </row>
    <row r="8220" spans="34:37" x14ac:dyDescent="0.25">
      <c r="AH8220" s="75"/>
      <c r="AK8220" s="75"/>
    </row>
    <row r="8221" spans="34:37" x14ac:dyDescent="0.25">
      <c r="AH8221" s="75"/>
      <c r="AK8221" s="75"/>
    </row>
    <row r="8222" spans="34:37" x14ac:dyDescent="0.25">
      <c r="AH8222" s="75"/>
      <c r="AK8222" s="75"/>
    </row>
    <row r="8223" spans="34:37" x14ac:dyDescent="0.25">
      <c r="AH8223" s="75"/>
      <c r="AK8223" s="75"/>
    </row>
    <row r="8224" spans="34:37" x14ac:dyDescent="0.25">
      <c r="AH8224" s="75"/>
      <c r="AK8224" s="75"/>
    </row>
    <row r="8225" spans="34:37" x14ac:dyDescent="0.25">
      <c r="AH8225" s="75"/>
      <c r="AK8225" s="75"/>
    </row>
    <row r="8226" spans="34:37" x14ac:dyDescent="0.25">
      <c r="AH8226" s="75"/>
      <c r="AK8226" s="75"/>
    </row>
    <row r="8227" spans="34:37" x14ac:dyDescent="0.25">
      <c r="AH8227" s="75"/>
      <c r="AK8227" s="75"/>
    </row>
    <row r="8228" spans="34:37" x14ac:dyDescent="0.25">
      <c r="AH8228" s="75"/>
      <c r="AK8228" s="75"/>
    </row>
    <row r="8229" spans="34:37" x14ac:dyDescent="0.25">
      <c r="AH8229" s="75"/>
      <c r="AK8229" s="75"/>
    </row>
    <row r="8230" spans="34:37" x14ac:dyDescent="0.25">
      <c r="AH8230" s="75"/>
      <c r="AK8230" s="75"/>
    </row>
    <row r="8231" spans="34:37" x14ac:dyDescent="0.25">
      <c r="AH8231" s="75"/>
      <c r="AK8231" s="75"/>
    </row>
    <row r="8232" spans="34:37" x14ac:dyDescent="0.25">
      <c r="AH8232" s="75"/>
      <c r="AK8232" s="75"/>
    </row>
    <row r="8233" spans="34:37" x14ac:dyDescent="0.25">
      <c r="AH8233" s="75"/>
      <c r="AK8233" s="75"/>
    </row>
    <row r="8234" spans="34:37" x14ac:dyDescent="0.25">
      <c r="AH8234" s="75"/>
      <c r="AK8234" s="75"/>
    </row>
    <row r="8235" spans="34:37" x14ac:dyDescent="0.25">
      <c r="AH8235" s="75"/>
      <c r="AK8235" s="75"/>
    </row>
    <row r="8236" spans="34:37" x14ac:dyDescent="0.25">
      <c r="AH8236" s="75"/>
      <c r="AK8236" s="75"/>
    </row>
    <row r="8237" spans="34:37" x14ac:dyDescent="0.25">
      <c r="AH8237" s="75"/>
      <c r="AK8237" s="75"/>
    </row>
    <row r="8238" spans="34:37" x14ac:dyDescent="0.25">
      <c r="AH8238" s="75"/>
      <c r="AK8238" s="75"/>
    </row>
    <row r="8239" spans="34:37" x14ac:dyDescent="0.25">
      <c r="AH8239" s="75"/>
      <c r="AK8239" s="75"/>
    </row>
    <row r="8240" spans="34:37" x14ac:dyDescent="0.25">
      <c r="AH8240" s="75"/>
      <c r="AK8240" s="75"/>
    </row>
    <row r="8241" spans="34:37" x14ac:dyDescent="0.25">
      <c r="AH8241" s="75"/>
      <c r="AK8241" s="75"/>
    </row>
    <row r="8242" spans="34:37" x14ac:dyDescent="0.25">
      <c r="AH8242" s="75"/>
      <c r="AK8242" s="75"/>
    </row>
    <row r="8243" spans="34:37" x14ac:dyDescent="0.25">
      <c r="AH8243" s="75"/>
      <c r="AK8243" s="75"/>
    </row>
    <row r="8244" spans="34:37" x14ac:dyDescent="0.25">
      <c r="AH8244" s="75"/>
      <c r="AK8244" s="75"/>
    </row>
    <row r="8245" spans="34:37" x14ac:dyDescent="0.25">
      <c r="AH8245" s="75"/>
      <c r="AK8245" s="75"/>
    </row>
    <row r="8246" spans="34:37" x14ac:dyDescent="0.25">
      <c r="AH8246" s="75"/>
      <c r="AK8246" s="75"/>
    </row>
    <row r="8247" spans="34:37" x14ac:dyDescent="0.25">
      <c r="AH8247" s="75"/>
      <c r="AK8247" s="75"/>
    </row>
    <row r="8248" spans="34:37" x14ac:dyDescent="0.25">
      <c r="AH8248" s="75"/>
      <c r="AK8248" s="75"/>
    </row>
    <row r="8249" spans="34:37" x14ac:dyDescent="0.25">
      <c r="AH8249" s="75"/>
      <c r="AK8249" s="75"/>
    </row>
    <row r="8250" spans="34:37" x14ac:dyDescent="0.25">
      <c r="AH8250" s="75"/>
      <c r="AK8250" s="75"/>
    </row>
    <row r="8251" spans="34:37" x14ac:dyDescent="0.25">
      <c r="AH8251" s="75"/>
      <c r="AK8251" s="75"/>
    </row>
    <row r="8252" spans="34:37" x14ac:dyDescent="0.25">
      <c r="AH8252" s="75"/>
      <c r="AK8252" s="75"/>
    </row>
    <row r="8253" spans="34:37" x14ac:dyDescent="0.25">
      <c r="AH8253" s="75"/>
      <c r="AK8253" s="75"/>
    </row>
    <row r="8254" spans="34:37" x14ac:dyDescent="0.25">
      <c r="AH8254" s="75"/>
      <c r="AK8254" s="75"/>
    </row>
    <row r="8255" spans="34:37" x14ac:dyDescent="0.25">
      <c r="AH8255" s="75"/>
      <c r="AK8255" s="75"/>
    </row>
    <row r="8256" spans="34:37" x14ac:dyDescent="0.25">
      <c r="AH8256" s="75"/>
      <c r="AK8256" s="75"/>
    </row>
    <row r="8257" spans="34:37" x14ac:dyDescent="0.25">
      <c r="AH8257" s="75"/>
      <c r="AK8257" s="75"/>
    </row>
    <row r="8258" spans="34:37" x14ac:dyDescent="0.25">
      <c r="AH8258" s="75"/>
      <c r="AK8258" s="75"/>
    </row>
    <row r="8259" spans="34:37" x14ac:dyDescent="0.25">
      <c r="AH8259" s="75"/>
      <c r="AK8259" s="75"/>
    </row>
    <row r="8260" spans="34:37" x14ac:dyDescent="0.25">
      <c r="AH8260" s="75"/>
      <c r="AK8260" s="75"/>
    </row>
    <row r="8261" spans="34:37" x14ac:dyDescent="0.25">
      <c r="AH8261" s="75"/>
      <c r="AK8261" s="75"/>
    </row>
    <row r="8262" spans="34:37" x14ac:dyDescent="0.25">
      <c r="AH8262" s="75"/>
      <c r="AK8262" s="75"/>
    </row>
    <row r="8263" spans="34:37" x14ac:dyDescent="0.25">
      <c r="AH8263" s="75"/>
      <c r="AK8263" s="75"/>
    </row>
    <row r="8264" spans="34:37" x14ac:dyDescent="0.25">
      <c r="AH8264" s="75"/>
      <c r="AK8264" s="75"/>
    </row>
    <row r="8265" spans="34:37" x14ac:dyDescent="0.25">
      <c r="AH8265" s="75"/>
      <c r="AK8265" s="75"/>
    </row>
    <row r="8266" spans="34:37" x14ac:dyDescent="0.25">
      <c r="AH8266" s="75"/>
      <c r="AK8266" s="75"/>
    </row>
    <row r="8267" spans="34:37" x14ac:dyDescent="0.25">
      <c r="AH8267" s="75"/>
      <c r="AK8267" s="75"/>
    </row>
    <row r="8268" spans="34:37" x14ac:dyDescent="0.25">
      <c r="AH8268" s="75"/>
      <c r="AK8268" s="75"/>
    </row>
    <row r="8269" spans="34:37" x14ac:dyDescent="0.25">
      <c r="AH8269" s="75"/>
      <c r="AK8269" s="75"/>
    </row>
    <row r="8270" spans="34:37" x14ac:dyDescent="0.25">
      <c r="AH8270" s="75"/>
      <c r="AK8270" s="75"/>
    </row>
    <row r="8271" spans="34:37" x14ac:dyDescent="0.25">
      <c r="AH8271" s="75"/>
      <c r="AK8271" s="75"/>
    </row>
    <row r="8272" spans="34:37" x14ac:dyDescent="0.25">
      <c r="AH8272" s="75"/>
      <c r="AK8272" s="75"/>
    </row>
    <row r="8273" spans="34:37" x14ac:dyDescent="0.25">
      <c r="AH8273" s="75"/>
      <c r="AK8273" s="75"/>
    </row>
    <row r="8274" spans="34:37" x14ac:dyDescent="0.25">
      <c r="AH8274" s="75"/>
      <c r="AK8274" s="75"/>
    </row>
    <row r="8275" spans="34:37" x14ac:dyDescent="0.25">
      <c r="AH8275" s="75"/>
      <c r="AK8275" s="75"/>
    </row>
    <row r="8276" spans="34:37" x14ac:dyDescent="0.25">
      <c r="AH8276" s="75"/>
      <c r="AK8276" s="75"/>
    </row>
    <row r="8277" spans="34:37" x14ac:dyDescent="0.25">
      <c r="AH8277" s="75"/>
      <c r="AK8277" s="75"/>
    </row>
    <row r="8278" spans="34:37" x14ac:dyDescent="0.25">
      <c r="AH8278" s="75"/>
      <c r="AK8278" s="75"/>
    </row>
    <row r="8279" spans="34:37" x14ac:dyDescent="0.25">
      <c r="AH8279" s="75"/>
      <c r="AK8279" s="75"/>
    </row>
    <row r="8280" spans="34:37" x14ac:dyDescent="0.25">
      <c r="AH8280" s="75"/>
      <c r="AK8280" s="75"/>
    </row>
    <row r="8281" spans="34:37" x14ac:dyDescent="0.25">
      <c r="AH8281" s="75"/>
      <c r="AK8281" s="75"/>
    </row>
    <row r="8282" spans="34:37" x14ac:dyDescent="0.25">
      <c r="AH8282" s="75"/>
      <c r="AK8282" s="75"/>
    </row>
    <row r="8283" spans="34:37" x14ac:dyDescent="0.25">
      <c r="AH8283" s="75"/>
      <c r="AK8283" s="75"/>
    </row>
    <row r="8284" spans="34:37" x14ac:dyDescent="0.25">
      <c r="AH8284" s="75"/>
      <c r="AK8284" s="75"/>
    </row>
    <row r="8285" spans="34:37" x14ac:dyDescent="0.25">
      <c r="AH8285" s="75"/>
      <c r="AK8285" s="75"/>
    </row>
    <row r="8286" spans="34:37" x14ac:dyDescent="0.25">
      <c r="AH8286" s="75"/>
      <c r="AK8286" s="75"/>
    </row>
    <row r="8287" spans="34:37" x14ac:dyDescent="0.25">
      <c r="AH8287" s="75"/>
      <c r="AK8287" s="75"/>
    </row>
    <row r="8288" spans="34:37" x14ac:dyDescent="0.25">
      <c r="AH8288" s="75"/>
      <c r="AK8288" s="75"/>
    </row>
    <row r="8289" spans="34:37" x14ac:dyDescent="0.25">
      <c r="AH8289" s="75"/>
      <c r="AK8289" s="75"/>
    </row>
    <row r="8290" spans="34:37" x14ac:dyDescent="0.25">
      <c r="AH8290" s="75"/>
      <c r="AK8290" s="75"/>
    </row>
    <row r="8291" spans="34:37" x14ac:dyDescent="0.25">
      <c r="AH8291" s="75"/>
      <c r="AK8291" s="75"/>
    </row>
    <row r="8292" spans="34:37" x14ac:dyDescent="0.25">
      <c r="AH8292" s="75"/>
      <c r="AK8292" s="75"/>
    </row>
    <row r="8293" spans="34:37" x14ac:dyDescent="0.25">
      <c r="AH8293" s="75"/>
      <c r="AK8293" s="75"/>
    </row>
    <row r="8294" spans="34:37" x14ac:dyDescent="0.25">
      <c r="AH8294" s="75"/>
      <c r="AK8294" s="75"/>
    </row>
    <row r="8295" spans="34:37" x14ac:dyDescent="0.25">
      <c r="AH8295" s="75"/>
      <c r="AK8295" s="75"/>
    </row>
    <row r="8296" spans="34:37" x14ac:dyDescent="0.25">
      <c r="AH8296" s="75"/>
      <c r="AK8296" s="75"/>
    </row>
    <row r="8297" spans="34:37" x14ac:dyDescent="0.25">
      <c r="AH8297" s="75"/>
      <c r="AK8297" s="75"/>
    </row>
    <row r="8298" spans="34:37" x14ac:dyDescent="0.25">
      <c r="AH8298" s="75"/>
      <c r="AK8298" s="75"/>
    </row>
    <row r="8299" spans="34:37" x14ac:dyDescent="0.25">
      <c r="AH8299" s="75"/>
      <c r="AK8299" s="75"/>
    </row>
    <row r="8300" spans="34:37" x14ac:dyDescent="0.25">
      <c r="AH8300" s="75"/>
      <c r="AK8300" s="75"/>
    </row>
    <row r="8301" spans="34:37" x14ac:dyDescent="0.25">
      <c r="AH8301" s="75"/>
      <c r="AK8301" s="75"/>
    </row>
    <row r="8302" spans="34:37" x14ac:dyDescent="0.25">
      <c r="AH8302" s="75"/>
      <c r="AK8302" s="75"/>
    </row>
    <row r="8303" spans="34:37" x14ac:dyDescent="0.25">
      <c r="AH8303" s="75"/>
      <c r="AK8303" s="75"/>
    </row>
    <row r="8304" spans="34:37" x14ac:dyDescent="0.25">
      <c r="AH8304" s="75"/>
      <c r="AK8304" s="75"/>
    </row>
    <row r="8305" spans="34:37" x14ac:dyDescent="0.25">
      <c r="AH8305" s="75"/>
      <c r="AK8305" s="75"/>
    </row>
    <row r="8306" spans="34:37" x14ac:dyDescent="0.25">
      <c r="AH8306" s="75"/>
      <c r="AK8306" s="75"/>
    </row>
    <row r="8307" spans="34:37" x14ac:dyDescent="0.25">
      <c r="AH8307" s="75"/>
      <c r="AK8307" s="75"/>
    </row>
    <row r="8308" spans="34:37" x14ac:dyDescent="0.25">
      <c r="AH8308" s="75"/>
      <c r="AK8308" s="75"/>
    </row>
    <row r="8309" spans="34:37" x14ac:dyDescent="0.25">
      <c r="AH8309" s="75"/>
      <c r="AK8309" s="75"/>
    </row>
    <row r="8310" spans="34:37" x14ac:dyDescent="0.25">
      <c r="AH8310" s="75"/>
      <c r="AK8310" s="75"/>
    </row>
    <row r="8311" spans="34:37" x14ac:dyDescent="0.25">
      <c r="AH8311" s="75"/>
      <c r="AK8311" s="75"/>
    </row>
    <row r="8312" spans="34:37" x14ac:dyDescent="0.25">
      <c r="AH8312" s="75"/>
      <c r="AK8312" s="75"/>
    </row>
    <row r="8313" spans="34:37" x14ac:dyDescent="0.25">
      <c r="AH8313" s="75"/>
      <c r="AK8313" s="75"/>
    </row>
    <row r="8314" spans="34:37" x14ac:dyDescent="0.25">
      <c r="AH8314" s="75"/>
      <c r="AK8314" s="75"/>
    </row>
    <row r="8315" spans="34:37" x14ac:dyDescent="0.25">
      <c r="AH8315" s="75"/>
      <c r="AK8315" s="75"/>
    </row>
    <row r="8316" spans="34:37" x14ac:dyDescent="0.25">
      <c r="AH8316" s="75"/>
      <c r="AK8316" s="75"/>
    </row>
    <row r="8317" spans="34:37" x14ac:dyDescent="0.25">
      <c r="AH8317" s="75"/>
      <c r="AK8317" s="75"/>
    </row>
    <row r="8318" spans="34:37" x14ac:dyDescent="0.25">
      <c r="AH8318" s="75"/>
      <c r="AK8318" s="75"/>
    </row>
    <row r="8319" spans="34:37" x14ac:dyDescent="0.25">
      <c r="AH8319" s="75"/>
      <c r="AK8319" s="75"/>
    </row>
    <row r="8320" spans="34:37" x14ac:dyDescent="0.25">
      <c r="AH8320" s="75"/>
      <c r="AK8320" s="75"/>
    </row>
    <row r="8321" spans="34:37" x14ac:dyDescent="0.25">
      <c r="AH8321" s="75"/>
      <c r="AK8321" s="75"/>
    </row>
    <row r="8322" spans="34:37" x14ac:dyDescent="0.25">
      <c r="AH8322" s="75"/>
      <c r="AK8322" s="75"/>
    </row>
    <row r="8323" spans="34:37" x14ac:dyDescent="0.25">
      <c r="AH8323" s="75"/>
      <c r="AK8323" s="75"/>
    </row>
    <row r="8324" spans="34:37" x14ac:dyDescent="0.25">
      <c r="AH8324" s="75"/>
      <c r="AK8324" s="75"/>
    </row>
    <row r="8325" spans="34:37" x14ac:dyDescent="0.25">
      <c r="AH8325" s="75"/>
      <c r="AK8325" s="75"/>
    </row>
    <row r="8326" spans="34:37" x14ac:dyDescent="0.25">
      <c r="AH8326" s="75"/>
      <c r="AK8326" s="75"/>
    </row>
    <row r="8327" spans="34:37" x14ac:dyDescent="0.25">
      <c r="AH8327" s="75"/>
      <c r="AK8327" s="75"/>
    </row>
    <row r="8328" spans="34:37" x14ac:dyDescent="0.25">
      <c r="AH8328" s="75"/>
      <c r="AK8328" s="75"/>
    </row>
    <row r="8329" spans="34:37" x14ac:dyDescent="0.25">
      <c r="AH8329" s="75"/>
      <c r="AK8329" s="75"/>
    </row>
    <row r="8330" spans="34:37" x14ac:dyDescent="0.25">
      <c r="AH8330" s="75"/>
      <c r="AK8330" s="75"/>
    </row>
    <row r="8331" spans="34:37" x14ac:dyDescent="0.25">
      <c r="AH8331" s="75"/>
      <c r="AK8331" s="75"/>
    </row>
    <row r="8332" spans="34:37" x14ac:dyDescent="0.25">
      <c r="AH8332" s="75"/>
      <c r="AK8332" s="75"/>
    </row>
    <row r="8333" spans="34:37" x14ac:dyDescent="0.25">
      <c r="AH8333" s="75"/>
      <c r="AK8333" s="75"/>
    </row>
    <row r="8334" spans="34:37" x14ac:dyDescent="0.25">
      <c r="AH8334" s="75"/>
      <c r="AK8334" s="75"/>
    </row>
    <row r="8335" spans="34:37" x14ac:dyDescent="0.25">
      <c r="AH8335" s="75"/>
      <c r="AK8335" s="75"/>
    </row>
    <row r="8336" spans="34:37" x14ac:dyDescent="0.25">
      <c r="AH8336" s="75"/>
      <c r="AK8336" s="75"/>
    </row>
    <row r="8337" spans="34:37" x14ac:dyDescent="0.25">
      <c r="AH8337" s="75"/>
      <c r="AK8337" s="75"/>
    </row>
    <row r="8338" spans="34:37" x14ac:dyDescent="0.25">
      <c r="AH8338" s="75"/>
      <c r="AK8338" s="75"/>
    </row>
    <row r="8339" spans="34:37" x14ac:dyDescent="0.25">
      <c r="AH8339" s="75"/>
      <c r="AK8339" s="75"/>
    </row>
    <row r="8340" spans="34:37" x14ac:dyDescent="0.25">
      <c r="AH8340" s="75"/>
      <c r="AK8340" s="75"/>
    </row>
    <row r="8341" spans="34:37" x14ac:dyDescent="0.25">
      <c r="AH8341" s="75"/>
      <c r="AK8341" s="75"/>
    </row>
    <row r="8342" spans="34:37" x14ac:dyDescent="0.25">
      <c r="AH8342" s="75"/>
      <c r="AK8342" s="75"/>
    </row>
    <row r="8343" spans="34:37" x14ac:dyDescent="0.25">
      <c r="AH8343" s="75"/>
      <c r="AK8343" s="75"/>
    </row>
    <row r="8344" spans="34:37" x14ac:dyDescent="0.25">
      <c r="AH8344" s="75"/>
      <c r="AK8344" s="75"/>
    </row>
    <row r="8345" spans="34:37" x14ac:dyDescent="0.25">
      <c r="AH8345" s="75"/>
      <c r="AK8345" s="75"/>
    </row>
    <row r="8346" spans="34:37" x14ac:dyDescent="0.25">
      <c r="AH8346" s="75"/>
      <c r="AK8346" s="75"/>
    </row>
    <row r="8347" spans="34:37" x14ac:dyDescent="0.25">
      <c r="AH8347" s="75"/>
      <c r="AK8347" s="75"/>
    </row>
    <row r="8348" spans="34:37" x14ac:dyDescent="0.25">
      <c r="AH8348" s="75"/>
      <c r="AK8348" s="75"/>
    </row>
    <row r="8349" spans="34:37" x14ac:dyDescent="0.25">
      <c r="AH8349" s="75"/>
      <c r="AK8349" s="75"/>
    </row>
    <row r="8350" spans="34:37" x14ac:dyDescent="0.25">
      <c r="AH8350" s="75"/>
      <c r="AK8350" s="75"/>
    </row>
    <row r="8351" spans="34:37" x14ac:dyDescent="0.25">
      <c r="AH8351" s="75"/>
      <c r="AK8351" s="75"/>
    </row>
    <row r="8352" spans="34:37" x14ac:dyDescent="0.25">
      <c r="AH8352" s="75"/>
      <c r="AK8352" s="75"/>
    </row>
    <row r="8353" spans="34:37" x14ac:dyDescent="0.25">
      <c r="AH8353" s="75"/>
      <c r="AK8353" s="75"/>
    </row>
    <row r="8354" spans="34:37" x14ac:dyDescent="0.25">
      <c r="AH8354" s="75"/>
      <c r="AK8354" s="75"/>
    </row>
    <row r="8355" spans="34:37" x14ac:dyDescent="0.25">
      <c r="AH8355" s="75"/>
      <c r="AK8355" s="75"/>
    </row>
    <row r="8356" spans="34:37" x14ac:dyDescent="0.25">
      <c r="AH8356" s="75"/>
      <c r="AK8356" s="75"/>
    </row>
    <row r="8357" spans="34:37" x14ac:dyDescent="0.25">
      <c r="AH8357" s="75"/>
      <c r="AK8357" s="75"/>
    </row>
    <row r="8358" spans="34:37" x14ac:dyDescent="0.25">
      <c r="AH8358" s="75"/>
      <c r="AK8358" s="75"/>
    </row>
    <row r="8359" spans="34:37" x14ac:dyDescent="0.25">
      <c r="AH8359" s="75"/>
      <c r="AK8359" s="75"/>
    </row>
    <row r="8360" spans="34:37" x14ac:dyDescent="0.25">
      <c r="AH8360" s="75"/>
      <c r="AK8360" s="75"/>
    </row>
    <row r="8361" spans="34:37" x14ac:dyDescent="0.25">
      <c r="AH8361" s="75"/>
      <c r="AK8361" s="75"/>
    </row>
    <row r="8362" spans="34:37" x14ac:dyDescent="0.25">
      <c r="AH8362" s="75"/>
      <c r="AK8362" s="75"/>
    </row>
    <row r="8363" spans="34:37" x14ac:dyDescent="0.25">
      <c r="AH8363" s="75"/>
      <c r="AK8363" s="75"/>
    </row>
    <row r="8364" spans="34:37" x14ac:dyDescent="0.25">
      <c r="AH8364" s="75"/>
      <c r="AK8364" s="75"/>
    </row>
    <row r="8365" spans="34:37" x14ac:dyDescent="0.25">
      <c r="AH8365" s="75"/>
      <c r="AK8365" s="75"/>
    </row>
    <row r="8366" spans="34:37" x14ac:dyDescent="0.25">
      <c r="AH8366" s="75"/>
      <c r="AK8366" s="75"/>
    </row>
    <row r="8367" spans="34:37" x14ac:dyDescent="0.25">
      <c r="AH8367" s="75"/>
      <c r="AK8367" s="75"/>
    </row>
    <row r="8368" spans="34:37" x14ac:dyDescent="0.25">
      <c r="AH8368" s="75"/>
      <c r="AK8368" s="75"/>
    </row>
    <row r="8369" spans="34:37" x14ac:dyDescent="0.25">
      <c r="AH8369" s="75"/>
      <c r="AK8369" s="75"/>
    </row>
    <row r="8370" spans="34:37" x14ac:dyDescent="0.25">
      <c r="AH8370" s="75"/>
      <c r="AK8370" s="75"/>
    </row>
    <row r="8371" spans="34:37" x14ac:dyDescent="0.25">
      <c r="AH8371" s="75"/>
      <c r="AK8371" s="75"/>
    </row>
    <row r="8372" spans="34:37" x14ac:dyDescent="0.25">
      <c r="AH8372" s="75"/>
      <c r="AK8372" s="75"/>
    </row>
    <row r="8373" spans="34:37" x14ac:dyDescent="0.25">
      <c r="AH8373" s="75"/>
      <c r="AK8373" s="75"/>
    </row>
    <row r="8374" spans="34:37" x14ac:dyDescent="0.25">
      <c r="AH8374" s="75"/>
      <c r="AK8374" s="75"/>
    </row>
    <row r="8375" spans="34:37" x14ac:dyDescent="0.25">
      <c r="AH8375" s="75"/>
      <c r="AK8375" s="75"/>
    </row>
    <row r="8376" spans="34:37" x14ac:dyDescent="0.25">
      <c r="AH8376" s="75"/>
      <c r="AK8376" s="75"/>
    </row>
    <row r="8377" spans="34:37" x14ac:dyDescent="0.25">
      <c r="AH8377" s="75"/>
      <c r="AK8377" s="75"/>
    </row>
    <row r="8378" spans="34:37" x14ac:dyDescent="0.25">
      <c r="AH8378" s="75"/>
      <c r="AK8378" s="75"/>
    </row>
    <row r="8379" spans="34:37" x14ac:dyDescent="0.25">
      <c r="AH8379" s="75"/>
      <c r="AK8379" s="75"/>
    </row>
    <row r="8380" spans="34:37" x14ac:dyDescent="0.25">
      <c r="AH8380" s="75"/>
      <c r="AK8380" s="75"/>
    </row>
    <row r="8381" spans="34:37" x14ac:dyDescent="0.25">
      <c r="AH8381" s="75"/>
      <c r="AK8381" s="75"/>
    </row>
    <row r="8382" spans="34:37" x14ac:dyDescent="0.25">
      <c r="AH8382" s="75"/>
      <c r="AK8382" s="75"/>
    </row>
    <row r="8383" spans="34:37" x14ac:dyDescent="0.25">
      <c r="AH8383" s="75"/>
      <c r="AK8383" s="75"/>
    </row>
    <row r="8384" spans="34:37" x14ac:dyDescent="0.25">
      <c r="AH8384" s="75"/>
      <c r="AK8384" s="75"/>
    </row>
    <row r="8385" spans="34:37" x14ac:dyDescent="0.25">
      <c r="AH8385" s="75"/>
      <c r="AK8385" s="75"/>
    </row>
    <row r="8386" spans="34:37" x14ac:dyDescent="0.25">
      <c r="AH8386" s="75"/>
      <c r="AK8386" s="75"/>
    </row>
    <row r="8387" spans="34:37" x14ac:dyDescent="0.25">
      <c r="AH8387" s="75"/>
      <c r="AK8387" s="75"/>
    </row>
    <row r="8388" spans="34:37" x14ac:dyDescent="0.25">
      <c r="AH8388" s="75"/>
      <c r="AK8388" s="75"/>
    </row>
    <row r="8389" spans="34:37" x14ac:dyDescent="0.25">
      <c r="AH8389" s="75"/>
      <c r="AK8389" s="75"/>
    </row>
    <row r="8390" spans="34:37" x14ac:dyDescent="0.25">
      <c r="AH8390" s="75"/>
      <c r="AK8390" s="75"/>
    </row>
    <row r="8391" spans="34:37" x14ac:dyDescent="0.25">
      <c r="AH8391" s="75"/>
      <c r="AK8391" s="75"/>
    </row>
    <row r="8392" spans="34:37" x14ac:dyDescent="0.25">
      <c r="AH8392" s="75"/>
      <c r="AK8392" s="75"/>
    </row>
    <row r="8393" spans="34:37" x14ac:dyDescent="0.25">
      <c r="AH8393" s="75"/>
      <c r="AK8393" s="75"/>
    </row>
    <row r="8394" spans="34:37" x14ac:dyDescent="0.25">
      <c r="AH8394" s="75"/>
      <c r="AK8394" s="75"/>
    </row>
    <row r="8395" spans="34:37" x14ac:dyDescent="0.25">
      <c r="AH8395" s="75"/>
      <c r="AK8395" s="75"/>
    </row>
    <row r="8396" spans="34:37" x14ac:dyDescent="0.25">
      <c r="AH8396" s="75"/>
      <c r="AK8396" s="75"/>
    </row>
    <row r="8397" spans="34:37" x14ac:dyDescent="0.25">
      <c r="AH8397" s="75"/>
      <c r="AK8397" s="75"/>
    </row>
    <row r="8398" spans="34:37" x14ac:dyDescent="0.25">
      <c r="AH8398" s="75"/>
      <c r="AK8398" s="75"/>
    </row>
    <row r="8399" spans="34:37" x14ac:dyDescent="0.25">
      <c r="AH8399" s="75"/>
      <c r="AK8399" s="75"/>
    </row>
    <row r="8400" spans="34:37" x14ac:dyDescent="0.25">
      <c r="AH8400" s="75"/>
      <c r="AK8400" s="75"/>
    </row>
    <row r="8401" spans="34:37" x14ac:dyDescent="0.25">
      <c r="AH8401" s="75"/>
      <c r="AK8401" s="75"/>
    </row>
    <row r="8402" spans="34:37" x14ac:dyDescent="0.25">
      <c r="AH8402" s="75"/>
      <c r="AK8402" s="75"/>
    </row>
    <row r="8403" spans="34:37" x14ac:dyDescent="0.25">
      <c r="AH8403" s="75"/>
      <c r="AK8403" s="75"/>
    </row>
    <row r="8404" spans="34:37" x14ac:dyDescent="0.25">
      <c r="AH8404" s="75"/>
      <c r="AK8404" s="75"/>
    </row>
    <row r="8405" spans="34:37" x14ac:dyDescent="0.25">
      <c r="AH8405" s="75"/>
      <c r="AK8405" s="75"/>
    </row>
    <row r="8406" spans="34:37" x14ac:dyDescent="0.25">
      <c r="AH8406" s="75"/>
      <c r="AK8406" s="75"/>
    </row>
    <row r="8407" spans="34:37" x14ac:dyDescent="0.25">
      <c r="AH8407" s="75"/>
      <c r="AK8407" s="75"/>
    </row>
    <row r="8408" spans="34:37" x14ac:dyDescent="0.25">
      <c r="AH8408" s="75"/>
      <c r="AK8408" s="75"/>
    </row>
    <row r="8409" spans="34:37" x14ac:dyDescent="0.25">
      <c r="AH8409" s="75"/>
      <c r="AK8409" s="75"/>
    </row>
    <row r="8410" spans="34:37" x14ac:dyDescent="0.25">
      <c r="AH8410" s="75"/>
      <c r="AK8410" s="75"/>
    </row>
    <row r="8411" spans="34:37" x14ac:dyDescent="0.25">
      <c r="AH8411" s="75"/>
      <c r="AK8411" s="75"/>
    </row>
    <row r="8412" spans="34:37" x14ac:dyDescent="0.25">
      <c r="AH8412" s="75"/>
      <c r="AK8412" s="75"/>
    </row>
    <row r="8413" spans="34:37" x14ac:dyDescent="0.25">
      <c r="AH8413" s="75"/>
      <c r="AK8413" s="75"/>
    </row>
    <row r="8414" spans="34:37" x14ac:dyDescent="0.25">
      <c r="AH8414" s="75"/>
      <c r="AK8414" s="75"/>
    </row>
    <row r="8415" spans="34:37" x14ac:dyDescent="0.25">
      <c r="AH8415" s="75"/>
      <c r="AK8415" s="75"/>
    </row>
    <row r="8416" spans="34:37" x14ac:dyDescent="0.25">
      <c r="AH8416" s="75"/>
      <c r="AK8416" s="75"/>
    </row>
    <row r="8417" spans="34:37" x14ac:dyDescent="0.25">
      <c r="AH8417" s="75"/>
      <c r="AK8417" s="75"/>
    </row>
    <row r="8418" spans="34:37" x14ac:dyDescent="0.25">
      <c r="AH8418" s="75"/>
      <c r="AK8418" s="75"/>
    </row>
    <row r="8419" spans="34:37" x14ac:dyDescent="0.25">
      <c r="AH8419" s="75"/>
      <c r="AK8419" s="75"/>
    </row>
    <row r="8420" spans="34:37" x14ac:dyDescent="0.25">
      <c r="AH8420" s="75"/>
      <c r="AK8420" s="75"/>
    </row>
    <row r="8421" spans="34:37" x14ac:dyDescent="0.25">
      <c r="AH8421" s="75"/>
      <c r="AK8421" s="75"/>
    </row>
    <row r="8422" spans="34:37" x14ac:dyDescent="0.25">
      <c r="AH8422" s="75"/>
      <c r="AK8422" s="75"/>
    </row>
    <row r="8423" spans="34:37" x14ac:dyDescent="0.25">
      <c r="AH8423" s="75"/>
      <c r="AK8423" s="75"/>
    </row>
    <row r="8424" spans="34:37" x14ac:dyDescent="0.25">
      <c r="AH8424" s="75"/>
      <c r="AK8424" s="75"/>
    </row>
    <row r="8425" spans="34:37" x14ac:dyDescent="0.25">
      <c r="AH8425" s="75"/>
      <c r="AK8425" s="75"/>
    </row>
    <row r="8426" spans="34:37" x14ac:dyDescent="0.25">
      <c r="AH8426" s="75"/>
      <c r="AK8426" s="75"/>
    </row>
    <row r="8427" spans="34:37" x14ac:dyDescent="0.25">
      <c r="AH8427" s="75"/>
      <c r="AK8427" s="75"/>
    </row>
    <row r="8428" spans="34:37" x14ac:dyDescent="0.25">
      <c r="AH8428" s="75"/>
      <c r="AK8428" s="75"/>
    </row>
    <row r="8429" spans="34:37" x14ac:dyDescent="0.25">
      <c r="AH8429" s="75"/>
      <c r="AK8429" s="75"/>
    </row>
    <row r="8430" spans="34:37" x14ac:dyDescent="0.25">
      <c r="AH8430" s="75"/>
      <c r="AK8430" s="75"/>
    </row>
    <row r="8431" spans="34:37" x14ac:dyDescent="0.25">
      <c r="AH8431" s="75"/>
      <c r="AK8431" s="75"/>
    </row>
    <row r="8432" spans="34:37" x14ac:dyDescent="0.25">
      <c r="AH8432" s="75"/>
      <c r="AK8432" s="75"/>
    </row>
    <row r="8433" spans="34:37" x14ac:dyDescent="0.25">
      <c r="AH8433" s="75"/>
      <c r="AK8433" s="75"/>
    </row>
    <row r="8434" spans="34:37" x14ac:dyDescent="0.25">
      <c r="AH8434" s="75"/>
      <c r="AK8434" s="75"/>
    </row>
    <row r="8435" spans="34:37" x14ac:dyDescent="0.25">
      <c r="AH8435" s="75"/>
      <c r="AK8435" s="75"/>
    </row>
    <row r="8436" spans="34:37" x14ac:dyDescent="0.25">
      <c r="AH8436" s="75"/>
      <c r="AK8436" s="75"/>
    </row>
    <row r="8437" spans="34:37" x14ac:dyDescent="0.25">
      <c r="AH8437" s="75"/>
      <c r="AK8437" s="75"/>
    </row>
    <row r="8438" spans="34:37" x14ac:dyDescent="0.25">
      <c r="AH8438" s="75"/>
      <c r="AK8438" s="75"/>
    </row>
    <row r="8439" spans="34:37" x14ac:dyDescent="0.25">
      <c r="AH8439" s="75"/>
      <c r="AK8439" s="75"/>
    </row>
    <row r="8440" spans="34:37" x14ac:dyDescent="0.25">
      <c r="AH8440" s="75"/>
      <c r="AK8440" s="75"/>
    </row>
    <row r="8441" spans="34:37" x14ac:dyDescent="0.25">
      <c r="AH8441" s="75"/>
      <c r="AK8441" s="75"/>
    </row>
    <row r="8442" spans="34:37" x14ac:dyDescent="0.25">
      <c r="AH8442" s="75"/>
      <c r="AK8442" s="75"/>
    </row>
    <row r="8443" spans="34:37" x14ac:dyDescent="0.25">
      <c r="AH8443" s="75"/>
      <c r="AK8443" s="75"/>
    </row>
    <row r="8444" spans="34:37" x14ac:dyDescent="0.25">
      <c r="AH8444" s="75"/>
      <c r="AK8444" s="75"/>
    </row>
    <row r="8445" spans="34:37" x14ac:dyDescent="0.25">
      <c r="AH8445" s="75"/>
      <c r="AK8445" s="75"/>
    </row>
    <row r="8446" spans="34:37" x14ac:dyDescent="0.25">
      <c r="AH8446" s="75"/>
      <c r="AK8446" s="75"/>
    </row>
    <row r="8447" spans="34:37" x14ac:dyDescent="0.25">
      <c r="AH8447" s="75"/>
      <c r="AK8447" s="75"/>
    </row>
    <row r="8448" spans="34:37" x14ac:dyDescent="0.25">
      <c r="AH8448" s="75"/>
      <c r="AK8448" s="75"/>
    </row>
    <row r="8449" spans="34:37" x14ac:dyDescent="0.25">
      <c r="AH8449" s="75"/>
      <c r="AK8449" s="75"/>
    </row>
    <row r="8450" spans="34:37" x14ac:dyDescent="0.25">
      <c r="AH8450" s="75"/>
      <c r="AK8450" s="75"/>
    </row>
    <row r="8451" spans="34:37" x14ac:dyDescent="0.25">
      <c r="AH8451" s="75"/>
      <c r="AK8451" s="75"/>
    </row>
    <row r="8452" spans="34:37" x14ac:dyDescent="0.25">
      <c r="AH8452" s="75"/>
      <c r="AK8452" s="75"/>
    </row>
    <row r="8453" spans="34:37" x14ac:dyDescent="0.25">
      <c r="AH8453" s="75"/>
      <c r="AK8453" s="75"/>
    </row>
    <row r="8454" spans="34:37" x14ac:dyDescent="0.25">
      <c r="AH8454" s="75"/>
      <c r="AK8454" s="75"/>
    </row>
    <row r="8455" spans="34:37" x14ac:dyDescent="0.25">
      <c r="AH8455" s="75"/>
      <c r="AK8455" s="75"/>
    </row>
    <row r="8456" spans="34:37" x14ac:dyDescent="0.25">
      <c r="AH8456" s="75"/>
      <c r="AK8456" s="75"/>
    </row>
    <row r="8457" spans="34:37" x14ac:dyDescent="0.25">
      <c r="AH8457" s="75"/>
      <c r="AK8457" s="75"/>
    </row>
    <row r="8458" spans="34:37" x14ac:dyDescent="0.25">
      <c r="AH8458" s="75"/>
      <c r="AK8458" s="75"/>
    </row>
    <row r="8459" spans="34:37" x14ac:dyDescent="0.25">
      <c r="AH8459" s="75"/>
      <c r="AK8459" s="75"/>
    </row>
    <row r="8460" spans="34:37" x14ac:dyDescent="0.25">
      <c r="AH8460" s="75"/>
      <c r="AK8460" s="75"/>
    </row>
    <row r="8461" spans="34:37" x14ac:dyDescent="0.25">
      <c r="AH8461" s="75"/>
      <c r="AK8461" s="75"/>
    </row>
    <row r="8462" spans="34:37" x14ac:dyDescent="0.25">
      <c r="AH8462" s="75"/>
      <c r="AK8462" s="75"/>
    </row>
    <row r="8463" spans="34:37" x14ac:dyDescent="0.25">
      <c r="AH8463" s="75"/>
      <c r="AK8463" s="75"/>
    </row>
    <row r="8464" spans="34:37" x14ac:dyDescent="0.25">
      <c r="AH8464" s="75"/>
      <c r="AK8464" s="75"/>
    </row>
    <row r="8465" spans="34:37" x14ac:dyDescent="0.25">
      <c r="AH8465" s="75"/>
      <c r="AK8465" s="75"/>
    </row>
    <row r="8466" spans="34:37" x14ac:dyDescent="0.25">
      <c r="AH8466" s="75"/>
      <c r="AK8466" s="75"/>
    </row>
    <row r="8467" spans="34:37" x14ac:dyDescent="0.25">
      <c r="AH8467" s="75"/>
      <c r="AK8467" s="75"/>
    </row>
    <row r="8468" spans="34:37" x14ac:dyDescent="0.25">
      <c r="AH8468" s="75"/>
      <c r="AK8468" s="75"/>
    </row>
    <row r="8469" spans="34:37" x14ac:dyDescent="0.25">
      <c r="AH8469" s="75"/>
      <c r="AK8469" s="75"/>
    </row>
    <row r="8470" spans="34:37" x14ac:dyDescent="0.25">
      <c r="AH8470" s="75"/>
      <c r="AK8470" s="75"/>
    </row>
    <row r="8471" spans="34:37" x14ac:dyDescent="0.25">
      <c r="AH8471" s="75"/>
      <c r="AK8471" s="75"/>
    </row>
    <row r="8472" spans="34:37" x14ac:dyDescent="0.25">
      <c r="AH8472" s="75"/>
      <c r="AK8472" s="75"/>
    </row>
    <row r="8473" spans="34:37" x14ac:dyDescent="0.25">
      <c r="AH8473" s="75"/>
      <c r="AK8473" s="75"/>
    </row>
    <row r="8474" spans="34:37" x14ac:dyDescent="0.25">
      <c r="AH8474" s="75"/>
      <c r="AK8474" s="75"/>
    </row>
    <row r="8475" spans="34:37" x14ac:dyDescent="0.25">
      <c r="AH8475" s="75"/>
      <c r="AK8475" s="75"/>
    </row>
    <row r="8476" spans="34:37" x14ac:dyDescent="0.25">
      <c r="AH8476" s="75"/>
      <c r="AK8476" s="75"/>
    </row>
    <row r="8477" spans="34:37" x14ac:dyDescent="0.25">
      <c r="AH8477" s="75"/>
      <c r="AK8477" s="75"/>
    </row>
    <row r="8478" spans="34:37" x14ac:dyDescent="0.25">
      <c r="AH8478" s="75"/>
      <c r="AK8478" s="75"/>
    </row>
    <row r="8479" spans="34:37" x14ac:dyDescent="0.25">
      <c r="AH8479" s="75"/>
      <c r="AK8479" s="75"/>
    </row>
    <row r="8480" spans="34:37" x14ac:dyDescent="0.25">
      <c r="AH8480" s="75"/>
      <c r="AK8480" s="75"/>
    </row>
    <row r="8481" spans="34:37" x14ac:dyDescent="0.25">
      <c r="AH8481" s="75"/>
      <c r="AK8481" s="75"/>
    </row>
    <row r="8482" spans="34:37" x14ac:dyDescent="0.25">
      <c r="AH8482" s="75"/>
      <c r="AK8482" s="75"/>
    </row>
    <row r="8483" spans="34:37" x14ac:dyDescent="0.25">
      <c r="AH8483" s="75"/>
      <c r="AK8483" s="75"/>
    </row>
    <row r="8484" spans="34:37" x14ac:dyDescent="0.25">
      <c r="AH8484" s="75"/>
      <c r="AK8484" s="75"/>
    </row>
    <row r="8485" spans="34:37" x14ac:dyDescent="0.25">
      <c r="AH8485" s="75"/>
      <c r="AK8485" s="75"/>
    </row>
    <row r="8486" spans="34:37" x14ac:dyDescent="0.25">
      <c r="AH8486" s="75"/>
      <c r="AK8486" s="75"/>
    </row>
    <row r="8487" spans="34:37" x14ac:dyDescent="0.25">
      <c r="AH8487" s="75"/>
      <c r="AK8487" s="75"/>
    </row>
    <row r="8488" spans="34:37" x14ac:dyDescent="0.25">
      <c r="AH8488" s="75"/>
      <c r="AK8488" s="75"/>
    </row>
    <row r="8489" spans="34:37" x14ac:dyDescent="0.25">
      <c r="AH8489" s="75"/>
      <c r="AK8489" s="75"/>
    </row>
    <row r="8490" spans="34:37" x14ac:dyDescent="0.25">
      <c r="AH8490" s="75"/>
      <c r="AK8490" s="75"/>
    </row>
    <row r="8491" spans="34:37" x14ac:dyDescent="0.25">
      <c r="AH8491" s="75"/>
      <c r="AK8491" s="75"/>
    </row>
    <row r="8492" spans="34:37" x14ac:dyDescent="0.25">
      <c r="AH8492" s="75"/>
      <c r="AK8492" s="75"/>
    </row>
    <row r="8493" spans="34:37" x14ac:dyDescent="0.25">
      <c r="AH8493" s="75"/>
      <c r="AK8493" s="75"/>
    </row>
    <row r="8494" spans="34:37" x14ac:dyDescent="0.25">
      <c r="AH8494" s="75"/>
      <c r="AK8494" s="75"/>
    </row>
    <row r="8495" spans="34:37" x14ac:dyDescent="0.25">
      <c r="AH8495" s="75"/>
      <c r="AK8495" s="75"/>
    </row>
    <row r="8496" spans="34:37" x14ac:dyDescent="0.25">
      <c r="AH8496" s="75"/>
      <c r="AK8496" s="75"/>
    </row>
    <row r="8497" spans="34:37" x14ac:dyDescent="0.25">
      <c r="AH8497" s="75"/>
      <c r="AK8497" s="75"/>
    </row>
    <row r="8498" spans="34:37" x14ac:dyDescent="0.25">
      <c r="AH8498" s="75"/>
      <c r="AK8498" s="75"/>
    </row>
    <row r="8499" spans="34:37" x14ac:dyDescent="0.25">
      <c r="AH8499" s="75"/>
      <c r="AK8499" s="75"/>
    </row>
    <row r="8500" spans="34:37" x14ac:dyDescent="0.25">
      <c r="AH8500" s="75"/>
      <c r="AK8500" s="75"/>
    </row>
    <row r="8501" spans="34:37" x14ac:dyDescent="0.25">
      <c r="AH8501" s="75"/>
      <c r="AK8501" s="75"/>
    </row>
    <row r="8502" spans="34:37" x14ac:dyDescent="0.25">
      <c r="AH8502" s="75"/>
      <c r="AK8502" s="75"/>
    </row>
    <row r="8503" spans="34:37" x14ac:dyDescent="0.25">
      <c r="AH8503" s="75"/>
      <c r="AK8503" s="75"/>
    </row>
    <row r="8504" spans="34:37" x14ac:dyDescent="0.25">
      <c r="AH8504" s="75"/>
      <c r="AK8504" s="75"/>
    </row>
    <row r="8505" spans="34:37" x14ac:dyDescent="0.25">
      <c r="AH8505" s="75"/>
      <c r="AK8505" s="75"/>
    </row>
    <row r="8506" spans="34:37" x14ac:dyDescent="0.25">
      <c r="AH8506" s="75"/>
      <c r="AK8506" s="75"/>
    </row>
    <row r="8507" spans="34:37" x14ac:dyDescent="0.25">
      <c r="AH8507" s="75"/>
      <c r="AK8507" s="75"/>
    </row>
    <row r="8508" spans="34:37" x14ac:dyDescent="0.25">
      <c r="AH8508" s="75"/>
      <c r="AK8508" s="75"/>
    </row>
    <row r="8509" spans="34:37" x14ac:dyDescent="0.25">
      <c r="AH8509" s="75"/>
      <c r="AK8509" s="75"/>
    </row>
    <row r="8510" spans="34:37" x14ac:dyDescent="0.25">
      <c r="AH8510" s="75"/>
      <c r="AK8510" s="75"/>
    </row>
    <row r="8511" spans="34:37" x14ac:dyDescent="0.25">
      <c r="AH8511" s="75"/>
      <c r="AK8511" s="75"/>
    </row>
    <row r="8512" spans="34:37" x14ac:dyDescent="0.25">
      <c r="AH8512" s="75"/>
      <c r="AK8512" s="75"/>
    </row>
    <row r="8513" spans="34:37" x14ac:dyDescent="0.25">
      <c r="AH8513" s="75"/>
      <c r="AK8513" s="75"/>
    </row>
    <row r="8514" spans="34:37" x14ac:dyDescent="0.25">
      <c r="AH8514" s="75"/>
      <c r="AK8514" s="75"/>
    </row>
    <row r="8515" spans="34:37" x14ac:dyDescent="0.25">
      <c r="AH8515" s="75"/>
      <c r="AK8515" s="75"/>
    </row>
    <row r="8516" spans="34:37" x14ac:dyDescent="0.25">
      <c r="AH8516" s="75"/>
      <c r="AK8516" s="75"/>
    </row>
    <row r="8517" spans="34:37" x14ac:dyDescent="0.25">
      <c r="AH8517" s="75"/>
      <c r="AK8517" s="75"/>
    </row>
    <row r="8518" spans="34:37" x14ac:dyDescent="0.25">
      <c r="AH8518" s="75"/>
      <c r="AK8518" s="75"/>
    </row>
    <row r="8519" spans="34:37" x14ac:dyDescent="0.25">
      <c r="AH8519" s="75"/>
      <c r="AK8519" s="75"/>
    </row>
    <row r="8520" spans="34:37" x14ac:dyDescent="0.25">
      <c r="AH8520" s="75"/>
      <c r="AK8520" s="75"/>
    </row>
    <row r="8521" spans="34:37" x14ac:dyDescent="0.25">
      <c r="AH8521" s="75"/>
      <c r="AK8521" s="75"/>
    </row>
    <row r="8522" spans="34:37" x14ac:dyDescent="0.25">
      <c r="AH8522" s="75"/>
      <c r="AK8522" s="75"/>
    </row>
    <row r="8523" spans="34:37" x14ac:dyDescent="0.25">
      <c r="AH8523" s="75"/>
      <c r="AK8523" s="75"/>
    </row>
    <row r="8524" spans="34:37" x14ac:dyDescent="0.25">
      <c r="AH8524" s="75"/>
      <c r="AK8524" s="75"/>
    </row>
    <row r="8525" spans="34:37" x14ac:dyDescent="0.25">
      <c r="AH8525" s="75"/>
      <c r="AK8525" s="75"/>
    </row>
    <row r="8526" spans="34:37" x14ac:dyDescent="0.25">
      <c r="AH8526" s="75"/>
      <c r="AK8526" s="75"/>
    </row>
    <row r="8527" spans="34:37" x14ac:dyDescent="0.25">
      <c r="AH8527" s="75"/>
      <c r="AK8527" s="75"/>
    </row>
    <row r="8528" spans="34:37" x14ac:dyDescent="0.25">
      <c r="AH8528" s="75"/>
      <c r="AK8528" s="75"/>
    </row>
    <row r="8529" spans="34:37" x14ac:dyDescent="0.25">
      <c r="AH8529" s="75"/>
      <c r="AK8529" s="75"/>
    </row>
    <row r="8530" spans="34:37" x14ac:dyDescent="0.25">
      <c r="AH8530" s="75"/>
      <c r="AK8530" s="75"/>
    </row>
    <row r="8531" spans="34:37" x14ac:dyDescent="0.25">
      <c r="AH8531" s="75"/>
      <c r="AK8531" s="75"/>
    </row>
    <row r="8532" spans="34:37" x14ac:dyDescent="0.25">
      <c r="AH8532" s="75"/>
      <c r="AK8532" s="75"/>
    </row>
    <row r="8533" spans="34:37" x14ac:dyDescent="0.25">
      <c r="AH8533" s="75"/>
      <c r="AK8533" s="75"/>
    </row>
    <row r="8534" spans="34:37" x14ac:dyDescent="0.25">
      <c r="AH8534" s="75"/>
      <c r="AK8534" s="75"/>
    </row>
    <row r="8535" spans="34:37" x14ac:dyDescent="0.25">
      <c r="AH8535" s="75"/>
      <c r="AK8535" s="75"/>
    </row>
    <row r="8536" spans="34:37" x14ac:dyDescent="0.25">
      <c r="AH8536" s="75"/>
      <c r="AK8536" s="75"/>
    </row>
    <row r="8537" spans="34:37" x14ac:dyDescent="0.25">
      <c r="AH8537" s="75"/>
      <c r="AK8537" s="75"/>
    </row>
    <row r="8538" spans="34:37" x14ac:dyDescent="0.25">
      <c r="AH8538" s="75"/>
      <c r="AK8538" s="75"/>
    </row>
    <row r="8539" spans="34:37" x14ac:dyDescent="0.25">
      <c r="AH8539" s="75"/>
      <c r="AK8539" s="75"/>
    </row>
    <row r="8540" spans="34:37" x14ac:dyDescent="0.25">
      <c r="AH8540" s="75"/>
      <c r="AK8540" s="75"/>
    </row>
    <row r="8541" spans="34:37" x14ac:dyDescent="0.25">
      <c r="AH8541" s="75"/>
      <c r="AK8541" s="75"/>
    </row>
    <row r="8542" spans="34:37" x14ac:dyDescent="0.25">
      <c r="AH8542" s="75"/>
      <c r="AK8542" s="75"/>
    </row>
    <row r="8543" spans="34:37" x14ac:dyDescent="0.25">
      <c r="AH8543" s="75"/>
      <c r="AK8543" s="75"/>
    </row>
    <row r="8544" spans="34:37" x14ac:dyDescent="0.25">
      <c r="AH8544" s="75"/>
      <c r="AK8544" s="75"/>
    </row>
    <row r="8545" spans="34:37" x14ac:dyDescent="0.25">
      <c r="AH8545" s="75"/>
      <c r="AK8545" s="75"/>
    </row>
    <row r="8546" spans="34:37" x14ac:dyDescent="0.25">
      <c r="AH8546" s="75"/>
      <c r="AK8546" s="75"/>
    </row>
    <row r="8547" spans="34:37" x14ac:dyDescent="0.25">
      <c r="AH8547" s="75"/>
      <c r="AK8547" s="75"/>
    </row>
    <row r="8548" spans="34:37" x14ac:dyDescent="0.25">
      <c r="AH8548" s="75"/>
      <c r="AK8548" s="75"/>
    </row>
    <row r="8549" spans="34:37" x14ac:dyDescent="0.25">
      <c r="AH8549" s="75"/>
      <c r="AK8549" s="75"/>
    </row>
    <row r="8550" spans="34:37" x14ac:dyDescent="0.25">
      <c r="AH8550" s="75"/>
      <c r="AK8550" s="75"/>
    </row>
    <row r="8551" spans="34:37" x14ac:dyDescent="0.25">
      <c r="AH8551" s="75"/>
      <c r="AK8551" s="75"/>
    </row>
    <row r="8552" spans="34:37" x14ac:dyDescent="0.25">
      <c r="AH8552" s="75"/>
      <c r="AK8552" s="75"/>
    </row>
    <row r="8553" spans="34:37" x14ac:dyDescent="0.25">
      <c r="AH8553" s="75"/>
      <c r="AK8553" s="75"/>
    </row>
    <row r="8554" spans="34:37" x14ac:dyDescent="0.25">
      <c r="AH8554" s="75"/>
      <c r="AK8554" s="75"/>
    </row>
    <row r="8555" spans="34:37" x14ac:dyDescent="0.25">
      <c r="AH8555" s="75"/>
      <c r="AK8555" s="75"/>
    </row>
    <row r="8556" spans="34:37" x14ac:dyDescent="0.25">
      <c r="AH8556" s="75"/>
      <c r="AK8556" s="75"/>
    </row>
    <row r="8557" spans="34:37" x14ac:dyDescent="0.25">
      <c r="AH8557" s="75"/>
      <c r="AK8557" s="75"/>
    </row>
    <row r="8558" spans="34:37" x14ac:dyDescent="0.25">
      <c r="AH8558" s="75"/>
      <c r="AK8558" s="75"/>
    </row>
    <row r="8559" spans="34:37" x14ac:dyDescent="0.25">
      <c r="AH8559" s="75"/>
      <c r="AK8559" s="75"/>
    </row>
    <row r="8560" spans="34:37" x14ac:dyDescent="0.25">
      <c r="AH8560" s="75"/>
      <c r="AK8560" s="75"/>
    </row>
    <row r="8561" spans="34:37" x14ac:dyDescent="0.25">
      <c r="AH8561" s="75"/>
      <c r="AK8561" s="75"/>
    </row>
    <row r="8562" spans="34:37" x14ac:dyDescent="0.25">
      <c r="AH8562" s="75"/>
      <c r="AK8562" s="75"/>
    </row>
    <row r="8563" spans="34:37" x14ac:dyDescent="0.25">
      <c r="AH8563" s="75"/>
      <c r="AK8563" s="75"/>
    </row>
    <row r="8564" spans="34:37" x14ac:dyDescent="0.25">
      <c r="AH8564" s="75"/>
      <c r="AK8564" s="75"/>
    </row>
    <row r="8565" spans="34:37" x14ac:dyDescent="0.25">
      <c r="AH8565" s="75"/>
      <c r="AK8565" s="75"/>
    </row>
    <row r="8566" spans="34:37" x14ac:dyDescent="0.25">
      <c r="AH8566" s="75"/>
      <c r="AK8566" s="75"/>
    </row>
    <row r="8567" spans="34:37" x14ac:dyDescent="0.25">
      <c r="AH8567" s="75"/>
      <c r="AK8567" s="75"/>
    </row>
    <row r="8568" spans="34:37" x14ac:dyDescent="0.25">
      <c r="AH8568" s="75"/>
      <c r="AK8568" s="75"/>
    </row>
    <row r="8569" spans="34:37" x14ac:dyDescent="0.25">
      <c r="AH8569" s="75"/>
      <c r="AK8569" s="75"/>
    </row>
    <row r="8570" spans="34:37" x14ac:dyDescent="0.25">
      <c r="AH8570" s="75"/>
      <c r="AK8570" s="75"/>
    </row>
    <row r="8571" spans="34:37" x14ac:dyDescent="0.25">
      <c r="AH8571" s="75"/>
      <c r="AK8571" s="75"/>
    </row>
    <row r="8572" spans="34:37" x14ac:dyDescent="0.25">
      <c r="AH8572" s="75"/>
      <c r="AK8572" s="75"/>
    </row>
    <row r="8573" spans="34:37" x14ac:dyDescent="0.25">
      <c r="AH8573" s="75"/>
      <c r="AK8573" s="75"/>
    </row>
    <row r="8574" spans="34:37" x14ac:dyDescent="0.25">
      <c r="AH8574" s="75"/>
      <c r="AK8574" s="75"/>
    </row>
    <row r="8575" spans="34:37" x14ac:dyDescent="0.25">
      <c r="AH8575" s="75"/>
      <c r="AK8575" s="75"/>
    </row>
    <row r="8576" spans="34:37" x14ac:dyDescent="0.25">
      <c r="AH8576" s="75"/>
      <c r="AK8576" s="75"/>
    </row>
    <row r="8577" spans="34:37" x14ac:dyDescent="0.25">
      <c r="AH8577" s="75"/>
      <c r="AK8577" s="75"/>
    </row>
    <row r="8578" spans="34:37" x14ac:dyDescent="0.25">
      <c r="AH8578" s="75"/>
      <c r="AK8578" s="75"/>
    </row>
    <row r="8579" spans="34:37" x14ac:dyDescent="0.25">
      <c r="AH8579" s="75"/>
      <c r="AK8579" s="75"/>
    </row>
    <row r="8580" spans="34:37" x14ac:dyDescent="0.25">
      <c r="AH8580" s="75"/>
      <c r="AK8580" s="75"/>
    </row>
    <row r="8581" spans="34:37" x14ac:dyDescent="0.25">
      <c r="AH8581" s="75"/>
      <c r="AK8581" s="75"/>
    </row>
    <row r="8582" spans="34:37" x14ac:dyDescent="0.25">
      <c r="AH8582" s="75"/>
      <c r="AK8582" s="75"/>
    </row>
    <row r="8583" spans="34:37" x14ac:dyDescent="0.25">
      <c r="AH8583" s="75"/>
      <c r="AK8583" s="75"/>
    </row>
    <row r="8584" spans="34:37" x14ac:dyDescent="0.25">
      <c r="AH8584" s="75"/>
      <c r="AK8584" s="75"/>
    </row>
    <row r="8585" spans="34:37" x14ac:dyDescent="0.25">
      <c r="AH8585" s="75"/>
      <c r="AK8585" s="75"/>
    </row>
    <row r="8586" spans="34:37" x14ac:dyDescent="0.25">
      <c r="AH8586" s="75"/>
      <c r="AK8586" s="75"/>
    </row>
    <row r="8587" spans="34:37" x14ac:dyDescent="0.25">
      <c r="AH8587" s="75"/>
      <c r="AK8587" s="75"/>
    </row>
    <row r="8588" spans="34:37" x14ac:dyDescent="0.25">
      <c r="AH8588" s="75"/>
      <c r="AK8588" s="75"/>
    </row>
    <row r="8589" spans="34:37" x14ac:dyDescent="0.25">
      <c r="AH8589" s="75"/>
      <c r="AK8589" s="75"/>
    </row>
    <row r="8590" spans="34:37" x14ac:dyDescent="0.25">
      <c r="AH8590" s="75"/>
      <c r="AK8590" s="75"/>
    </row>
    <row r="8591" spans="34:37" x14ac:dyDescent="0.25">
      <c r="AH8591" s="75"/>
      <c r="AK8591" s="75"/>
    </row>
    <row r="8592" spans="34:37" x14ac:dyDescent="0.25">
      <c r="AH8592" s="75"/>
      <c r="AK8592" s="75"/>
    </row>
    <row r="8593" spans="34:37" x14ac:dyDescent="0.25">
      <c r="AH8593" s="75"/>
      <c r="AK8593" s="75"/>
    </row>
    <row r="8594" spans="34:37" x14ac:dyDescent="0.25">
      <c r="AH8594" s="75"/>
      <c r="AK8594" s="75"/>
    </row>
    <row r="8595" spans="34:37" x14ac:dyDescent="0.25">
      <c r="AH8595" s="75"/>
      <c r="AK8595" s="75"/>
    </row>
    <row r="8596" spans="34:37" x14ac:dyDescent="0.25">
      <c r="AH8596" s="75"/>
      <c r="AK8596" s="75"/>
    </row>
    <row r="8597" spans="34:37" x14ac:dyDescent="0.25">
      <c r="AH8597" s="75"/>
      <c r="AK8597" s="75"/>
    </row>
    <row r="8598" spans="34:37" x14ac:dyDescent="0.25">
      <c r="AH8598" s="75"/>
      <c r="AK8598" s="75"/>
    </row>
    <row r="8599" spans="34:37" x14ac:dyDescent="0.25">
      <c r="AH8599" s="75"/>
      <c r="AK8599" s="75"/>
    </row>
    <row r="8600" spans="34:37" x14ac:dyDescent="0.25">
      <c r="AH8600" s="75"/>
      <c r="AK8600" s="75"/>
    </row>
    <row r="8601" spans="34:37" x14ac:dyDescent="0.25">
      <c r="AH8601" s="75"/>
      <c r="AK8601" s="75"/>
    </row>
    <row r="8602" spans="34:37" x14ac:dyDescent="0.25">
      <c r="AH8602" s="75"/>
      <c r="AK8602" s="75"/>
    </row>
    <row r="8603" spans="34:37" x14ac:dyDescent="0.25">
      <c r="AH8603" s="75"/>
      <c r="AK8603" s="75"/>
    </row>
    <row r="8604" spans="34:37" x14ac:dyDescent="0.25">
      <c r="AH8604" s="75"/>
      <c r="AK8604" s="75"/>
    </row>
    <row r="8605" spans="34:37" x14ac:dyDescent="0.25">
      <c r="AH8605" s="75"/>
      <c r="AK8605" s="75"/>
    </row>
    <row r="8606" spans="34:37" x14ac:dyDescent="0.25">
      <c r="AH8606" s="75"/>
      <c r="AK8606" s="75"/>
    </row>
    <row r="8607" spans="34:37" x14ac:dyDescent="0.25">
      <c r="AH8607" s="75"/>
      <c r="AK8607" s="75"/>
    </row>
    <row r="8608" spans="34:37" x14ac:dyDescent="0.25">
      <c r="AH8608" s="75"/>
      <c r="AK8608" s="75"/>
    </row>
    <row r="8609" spans="34:37" x14ac:dyDescent="0.25">
      <c r="AH8609" s="75"/>
      <c r="AK8609" s="75"/>
    </row>
    <row r="8610" spans="34:37" x14ac:dyDescent="0.25">
      <c r="AH8610" s="75"/>
      <c r="AK8610" s="75"/>
    </row>
    <row r="8611" spans="34:37" x14ac:dyDescent="0.25">
      <c r="AH8611" s="75"/>
      <c r="AK8611" s="75"/>
    </row>
    <row r="8612" spans="34:37" x14ac:dyDescent="0.25">
      <c r="AH8612" s="75"/>
      <c r="AK8612" s="75"/>
    </row>
    <row r="8613" spans="34:37" x14ac:dyDescent="0.25">
      <c r="AH8613" s="75"/>
      <c r="AK8613" s="75"/>
    </row>
    <row r="8614" spans="34:37" x14ac:dyDescent="0.25">
      <c r="AH8614" s="75"/>
      <c r="AK8614" s="75"/>
    </row>
    <row r="8615" spans="34:37" x14ac:dyDescent="0.25">
      <c r="AH8615" s="75"/>
      <c r="AK8615" s="75"/>
    </row>
    <row r="8616" spans="34:37" x14ac:dyDescent="0.25">
      <c r="AH8616" s="75"/>
      <c r="AK8616" s="75"/>
    </row>
    <row r="8617" spans="34:37" x14ac:dyDescent="0.25">
      <c r="AH8617" s="75"/>
      <c r="AK8617" s="75"/>
    </row>
    <row r="8618" spans="34:37" x14ac:dyDescent="0.25">
      <c r="AH8618" s="75"/>
      <c r="AK8618" s="75"/>
    </row>
    <row r="8619" spans="34:37" x14ac:dyDescent="0.25">
      <c r="AH8619" s="75"/>
      <c r="AK8619" s="75"/>
    </row>
    <row r="8620" spans="34:37" x14ac:dyDescent="0.25">
      <c r="AH8620" s="75"/>
      <c r="AK8620" s="75"/>
    </row>
    <row r="8621" spans="34:37" x14ac:dyDescent="0.25">
      <c r="AH8621" s="75"/>
      <c r="AK8621" s="75"/>
    </row>
    <row r="8622" spans="34:37" x14ac:dyDescent="0.25">
      <c r="AH8622" s="75"/>
      <c r="AK8622" s="75"/>
    </row>
    <row r="8623" spans="34:37" x14ac:dyDescent="0.25">
      <c r="AH8623" s="75"/>
      <c r="AK8623" s="75"/>
    </row>
    <row r="8624" spans="34:37" x14ac:dyDescent="0.25">
      <c r="AH8624" s="75"/>
      <c r="AK8624" s="75"/>
    </row>
    <row r="8625" spans="34:37" x14ac:dyDescent="0.25">
      <c r="AH8625" s="75"/>
      <c r="AK8625" s="75"/>
    </row>
    <row r="8626" spans="34:37" x14ac:dyDescent="0.25">
      <c r="AH8626" s="75"/>
      <c r="AK8626" s="75"/>
    </row>
    <row r="8627" spans="34:37" x14ac:dyDescent="0.25">
      <c r="AH8627" s="75"/>
      <c r="AK8627" s="75"/>
    </row>
    <row r="8628" spans="34:37" x14ac:dyDescent="0.25">
      <c r="AH8628" s="75"/>
      <c r="AK8628" s="75"/>
    </row>
    <row r="8629" spans="34:37" x14ac:dyDescent="0.25">
      <c r="AH8629" s="75"/>
      <c r="AK8629" s="75"/>
    </row>
    <row r="8630" spans="34:37" x14ac:dyDescent="0.25">
      <c r="AH8630" s="75"/>
      <c r="AK8630" s="75"/>
    </row>
    <row r="8631" spans="34:37" x14ac:dyDescent="0.25">
      <c r="AH8631" s="75"/>
      <c r="AK8631" s="75"/>
    </row>
    <row r="8632" spans="34:37" x14ac:dyDescent="0.25">
      <c r="AH8632" s="75"/>
      <c r="AK8632" s="75"/>
    </row>
    <row r="8633" spans="34:37" x14ac:dyDescent="0.25">
      <c r="AH8633" s="75"/>
      <c r="AK8633" s="75"/>
    </row>
    <row r="8634" spans="34:37" x14ac:dyDescent="0.25">
      <c r="AH8634" s="75"/>
      <c r="AK8634" s="75"/>
    </row>
    <row r="8635" spans="34:37" x14ac:dyDescent="0.25">
      <c r="AH8635" s="75"/>
      <c r="AK8635" s="75"/>
    </row>
    <row r="8636" spans="34:37" x14ac:dyDescent="0.25">
      <c r="AH8636" s="75"/>
      <c r="AK8636" s="75"/>
    </row>
    <row r="8637" spans="34:37" x14ac:dyDescent="0.25">
      <c r="AH8637" s="75"/>
      <c r="AK8637" s="75"/>
    </row>
    <row r="8638" spans="34:37" x14ac:dyDescent="0.25">
      <c r="AH8638" s="75"/>
      <c r="AK8638" s="75"/>
    </row>
    <row r="8639" spans="34:37" x14ac:dyDescent="0.25">
      <c r="AH8639" s="75"/>
      <c r="AK8639" s="75"/>
    </row>
    <row r="8640" spans="34:37" x14ac:dyDescent="0.25">
      <c r="AH8640" s="75"/>
      <c r="AK8640" s="75"/>
    </row>
    <row r="8641" spans="34:37" x14ac:dyDescent="0.25">
      <c r="AH8641" s="75"/>
      <c r="AK8641" s="75"/>
    </row>
    <row r="8642" spans="34:37" x14ac:dyDescent="0.25">
      <c r="AH8642" s="75"/>
      <c r="AK8642" s="75"/>
    </row>
    <row r="8643" spans="34:37" x14ac:dyDescent="0.25">
      <c r="AH8643" s="75"/>
      <c r="AK8643" s="75"/>
    </row>
    <row r="8644" spans="34:37" x14ac:dyDescent="0.25">
      <c r="AH8644" s="75"/>
      <c r="AK8644" s="75"/>
    </row>
    <row r="8645" spans="34:37" x14ac:dyDescent="0.25">
      <c r="AH8645" s="75"/>
      <c r="AK8645" s="75"/>
    </row>
    <row r="8646" spans="34:37" x14ac:dyDescent="0.25">
      <c r="AH8646" s="75"/>
      <c r="AK8646" s="75"/>
    </row>
    <row r="8647" spans="34:37" x14ac:dyDescent="0.25">
      <c r="AH8647" s="75"/>
      <c r="AK8647" s="75"/>
    </row>
    <row r="8648" spans="34:37" x14ac:dyDescent="0.25">
      <c r="AH8648" s="75"/>
      <c r="AK8648" s="75"/>
    </row>
    <row r="8649" spans="34:37" x14ac:dyDescent="0.25">
      <c r="AH8649" s="75"/>
      <c r="AK8649" s="75"/>
    </row>
    <row r="8650" spans="34:37" x14ac:dyDescent="0.25">
      <c r="AH8650" s="75"/>
      <c r="AK8650" s="75"/>
    </row>
    <row r="8651" spans="34:37" x14ac:dyDescent="0.25">
      <c r="AH8651" s="75"/>
      <c r="AK8651" s="75"/>
    </row>
    <row r="8652" spans="34:37" x14ac:dyDescent="0.25">
      <c r="AH8652" s="75"/>
      <c r="AK8652" s="75"/>
    </row>
    <row r="8653" spans="34:37" x14ac:dyDescent="0.25">
      <c r="AH8653" s="75"/>
      <c r="AK8653" s="75"/>
    </row>
    <row r="8654" spans="34:37" x14ac:dyDescent="0.25">
      <c r="AH8654" s="75"/>
      <c r="AK8654" s="75"/>
    </row>
    <row r="8655" spans="34:37" x14ac:dyDescent="0.25">
      <c r="AH8655" s="75"/>
      <c r="AK8655" s="75"/>
    </row>
    <row r="8656" spans="34:37" x14ac:dyDescent="0.25">
      <c r="AH8656" s="75"/>
      <c r="AK8656" s="75"/>
    </row>
    <row r="8657" spans="34:37" x14ac:dyDescent="0.25">
      <c r="AH8657" s="75"/>
      <c r="AK8657" s="75"/>
    </row>
    <row r="8658" spans="34:37" x14ac:dyDescent="0.25">
      <c r="AH8658" s="75"/>
      <c r="AK8658" s="75"/>
    </row>
    <row r="8659" spans="34:37" x14ac:dyDescent="0.25">
      <c r="AH8659" s="75"/>
      <c r="AK8659" s="75"/>
    </row>
    <row r="8660" spans="34:37" x14ac:dyDescent="0.25">
      <c r="AH8660" s="75"/>
      <c r="AK8660" s="75"/>
    </row>
    <row r="8661" spans="34:37" x14ac:dyDescent="0.25">
      <c r="AH8661" s="75"/>
      <c r="AK8661" s="75"/>
    </row>
    <row r="8662" spans="34:37" x14ac:dyDescent="0.25">
      <c r="AH8662" s="75"/>
      <c r="AK8662" s="75"/>
    </row>
    <row r="8663" spans="34:37" x14ac:dyDescent="0.25">
      <c r="AH8663" s="75"/>
      <c r="AK8663" s="75"/>
    </row>
    <row r="8664" spans="34:37" x14ac:dyDescent="0.25">
      <c r="AH8664" s="75"/>
      <c r="AK8664" s="75"/>
    </row>
    <row r="8665" spans="34:37" x14ac:dyDescent="0.25">
      <c r="AH8665" s="75"/>
      <c r="AK8665" s="75"/>
    </row>
    <row r="8666" spans="34:37" x14ac:dyDescent="0.25">
      <c r="AH8666" s="75"/>
      <c r="AK8666" s="75"/>
    </row>
    <row r="8667" spans="34:37" x14ac:dyDescent="0.25">
      <c r="AH8667" s="75"/>
      <c r="AK8667" s="75"/>
    </row>
    <row r="8668" spans="34:37" x14ac:dyDescent="0.25">
      <c r="AH8668" s="75"/>
      <c r="AK8668" s="75"/>
    </row>
    <row r="8669" spans="34:37" x14ac:dyDescent="0.25">
      <c r="AH8669" s="75"/>
      <c r="AK8669" s="75"/>
    </row>
    <row r="8670" spans="34:37" x14ac:dyDescent="0.25">
      <c r="AH8670" s="75"/>
      <c r="AK8670" s="75"/>
    </row>
    <row r="8671" spans="34:37" x14ac:dyDescent="0.25">
      <c r="AH8671" s="75"/>
      <c r="AK8671" s="75"/>
    </row>
    <row r="8672" spans="34:37" x14ac:dyDescent="0.25">
      <c r="AH8672" s="75"/>
      <c r="AK8672" s="75"/>
    </row>
    <row r="8673" spans="34:37" x14ac:dyDescent="0.25">
      <c r="AH8673" s="75"/>
      <c r="AK8673" s="75"/>
    </row>
    <row r="8674" spans="34:37" x14ac:dyDescent="0.25">
      <c r="AH8674" s="75"/>
      <c r="AK8674" s="75"/>
    </row>
    <row r="8675" spans="34:37" x14ac:dyDescent="0.25">
      <c r="AH8675" s="75"/>
      <c r="AK8675" s="75"/>
    </row>
    <row r="8676" spans="34:37" x14ac:dyDescent="0.25">
      <c r="AH8676" s="75"/>
      <c r="AK8676" s="75"/>
    </row>
    <row r="8677" spans="34:37" x14ac:dyDescent="0.25">
      <c r="AH8677" s="75"/>
      <c r="AK8677" s="75"/>
    </row>
    <row r="8678" spans="34:37" x14ac:dyDescent="0.25">
      <c r="AH8678" s="75"/>
      <c r="AK8678" s="75"/>
    </row>
    <row r="8679" spans="34:37" x14ac:dyDescent="0.25">
      <c r="AH8679" s="75"/>
      <c r="AK8679" s="75"/>
    </row>
    <row r="8680" spans="34:37" x14ac:dyDescent="0.25">
      <c r="AH8680" s="75"/>
      <c r="AK8680" s="75"/>
    </row>
    <row r="8681" spans="34:37" x14ac:dyDescent="0.25">
      <c r="AH8681" s="75"/>
      <c r="AK8681" s="75"/>
    </row>
    <row r="8682" spans="34:37" x14ac:dyDescent="0.25">
      <c r="AH8682" s="75"/>
      <c r="AK8682" s="75"/>
    </row>
    <row r="8683" spans="34:37" x14ac:dyDescent="0.25">
      <c r="AH8683" s="75"/>
      <c r="AK8683" s="75"/>
    </row>
    <row r="8684" spans="34:37" x14ac:dyDescent="0.25">
      <c r="AH8684" s="75"/>
      <c r="AK8684" s="75"/>
    </row>
    <row r="8685" spans="34:37" x14ac:dyDescent="0.25">
      <c r="AH8685" s="75"/>
      <c r="AK8685" s="75"/>
    </row>
    <row r="8686" spans="34:37" x14ac:dyDescent="0.25">
      <c r="AH8686" s="75"/>
      <c r="AK8686" s="75"/>
    </row>
    <row r="8687" spans="34:37" x14ac:dyDescent="0.25">
      <c r="AH8687" s="75"/>
      <c r="AK8687" s="75"/>
    </row>
    <row r="8688" spans="34:37" x14ac:dyDescent="0.25">
      <c r="AH8688" s="75"/>
      <c r="AK8688" s="75"/>
    </row>
    <row r="8689" spans="34:37" x14ac:dyDescent="0.25">
      <c r="AH8689" s="75"/>
      <c r="AK8689" s="75"/>
    </row>
    <row r="8690" spans="34:37" x14ac:dyDescent="0.25">
      <c r="AH8690" s="75"/>
      <c r="AK8690" s="75"/>
    </row>
    <row r="8691" spans="34:37" x14ac:dyDescent="0.25">
      <c r="AH8691" s="75"/>
      <c r="AK8691" s="75"/>
    </row>
    <row r="8692" spans="34:37" x14ac:dyDescent="0.25">
      <c r="AH8692" s="75"/>
      <c r="AK8692" s="75"/>
    </row>
    <row r="8693" spans="34:37" x14ac:dyDescent="0.25">
      <c r="AH8693" s="75"/>
      <c r="AK8693" s="75"/>
    </row>
    <row r="8694" spans="34:37" x14ac:dyDescent="0.25">
      <c r="AH8694" s="75"/>
      <c r="AK8694" s="75"/>
    </row>
    <row r="8695" spans="34:37" x14ac:dyDescent="0.25">
      <c r="AH8695" s="75"/>
      <c r="AK8695" s="75"/>
    </row>
    <row r="8696" spans="34:37" x14ac:dyDescent="0.25">
      <c r="AH8696" s="75"/>
      <c r="AK8696" s="75"/>
    </row>
    <row r="8697" spans="34:37" x14ac:dyDescent="0.25">
      <c r="AH8697" s="75"/>
      <c r="AK8697" s="75"/>
    </row>
    <row r="8698" spans="34:37" x14ac:dyDescent="0.25">
      <c r="AH8698" s="75"/>
      <c r="AK8698" s="75"/>
    </row>
    <row r="8699" spans="34:37" x14ac:dyDescent="0.25">
      <c r="AH8699" s="75"/>
      <c r="AK8699" s="75"/>
    </row>
    <row r="8700" spans="34:37" x14ac:dyDescent="0.25">
      <c r="AH8700" s="75"/>
      <c r="AK8700" s="75"/>
    </row>
    <row r="8701" spans="34:37" x14ac:dyDescent="0.25">
      <c r="AH8701" s="75"/>
      <c r="AK8701" s="75"/>
    </row>
    <row r="8702" spans="34:37" x14ac:dyDescent="0.25">
      <c r="AH8702" s="75"/>
      <c r="AK8702" s="75"/>
    </row>
    <row r="8703" spans="34:37" x14ac:dyDescent="0.25">
      <c r="AH8703" s="75"/>
      <c r="AK8703" s="75"/>
    </row>
    <row r="8704" spans="34:37" x14ac:dyDescent="0.25">
      <c r="AH8704" s="75"/>
      <c r="AK8704" s="75"/>
    </row>
    <row r="8705" spans="34:37" x14ac:dyDescent="0.25">
      <c r="AH8705" s="75"/>
      <c r="AK8705" s="75"/>
    </row>
    <row r="8706" spans="34:37" x14ac:dyDescent="0.25">
      <c r="AH8706" s="75"/>
      <c r="AK8706" s="75"/>
    </row>
    <row r="8707" spans="34:37" x14ac:dyDescent="0.25">
      <c r="AH8707" s="75"/>
      <c r="AK8707" s="75"/>
    </row>
    <row r="8708" spans="34:37" x14ac:dyDescent="0.25">
      <c r="AH8708" s="75"/>
      <c r="AK8708" s="75"/>
    </row>
    <row r="8709" spans="34:37" x14ac:dyDescent="0.25">
      <c r="AH8709" s="75"/>
      <c r="AK8709" s="75"/>
    </row>
    <row r="8710" spans="34:37" x14ac:dyDescent="0.25">
      <c r="AH8710" s="75"/>
      <c r="AK8710" s="75"/>
    </row>
    <row r="8711" spans="34:37" x14ac:dyDescent="0.25">
      <c r="AH8711" s="75"/>
      <c r="AK8711" s="75"/>
    </row>
    <row r="8712" spans="34:37" x14ac:dyDescent="0.25">
      <c r="AH8712" s="75"/>
      <c r="AK8712" s="75"/>
    </row>
    <row r="8713" spans="34:37" x14ac:dyDescent="0.25">
      <c r="AH8713" s="75"/>
      <c r="AK8713" s="75"/>
    </row>
    <row r="8714" spans="34:37" x14ac:dyDescent="0.25">
      <c r="AH8714" s="75"/>
      <c r="AK8714" s="75"/>
    </row>
    <row r="8715" spans="34:37" x14ac:dyDescent="0.25">
      <c r="AH8715" s="75"/>
      <c r="AK8715" s="75"/>
    </row>
    <row r="8716" spans="34:37" x14ac:dyDescent="0.25">
      <c r="AH8716" s="75"/>
      <c r="AK8716" s="75"/>
    </row>
    <row r="8717" spans="34:37" x14ac:dyDescent="0.25">
      <c r="AH8717" s="75"/>
      <c r="AK8717" s="75"/>
    </row>
    <row r="8718" spans="34:37" x14ac:dyDescent="0.25">
      <c r="AH8718" s="75"/>
      <c r="AK8718" s="75"/>
    </row>
    <row r="8719" spans="34:37" x14ac:dyDescent="0.25">
      <c r="AH8719" s="75"/>
      <c r="AK8719" s="75"/>
    </row>
    <row r="8720" spans="34:37" x14ac:dyDescent="0.25">
      <c r="AH8720" s="75"/>
      <c r="AK8720" s="75"/>
    </row>
    <row r="8721" spans="34:37" x14ac:dyDescent="0.25">
      <c r="AH8721" s="75"/>
      <c r="AK8721" s="75"/>
    </row>
    <row r="8722" spans="34:37" x14ac:dyDescent="0.25">
      <c r="AH8722" s="75"/>
      <c r="AK8722" s="75"/>
    </row>
    <row r="8723" spans="34:37" x14ac:dyDescent="0.25">
      <c r="AH8723" s="75"/>
      <c r="AK8723" s="75"/>
    </row>
    <row r="8724" spans="34:37" x14ac:dyDescent="0.25">
      <c r="AH8724" s="75"/>
      <c r="AK8724" s="75"/>
    </row>
    <row r="8725" spans="34:37" x14ac:dyDescent="0.25">
      <c r="AH8725" s="75"/>
      <c r="AK8725" s="75"/>
    </row>
    <row r="8726" spans="34:37" x14ac:dyDescent="0.25">
      <c r="AH8726" s="75"/>
      <c r="AK8726" s="75"/>
    </row>
    <row r="8727" spans="34:37" x14ac:dyDescent="0.25">
      <c r="AH8727" s="75"/>
      <c r="AK8727" s="75"/>
    </row>
    <row r="8728" spans="34:37" x14ac:dyDescent="0.25">
      <c r="AH8728" s="75"/>
      <c r="AK8728" s="75"/>
    </row>
    <row r="8729" spans="34:37" x14ac:dyDescent="0.25">
      <c r="AH8729" s="75"/>
      <c r="AK8729" s="75"/>
    </row>
    <row r="8730" spans="34:37" x14ac:dyDescent="0.25">
      <c r="AH8730" s="75"/>
      <c r="AK8730" s="75"/>
    </row>
    <row r="8731" spans="34:37" x14ac:dyDescent="0.25">
      <c r="AH8731" s="75"/>
      <c r="AK8731" s="75"/>
    </row>
    <row r="8732" spans="34:37" x14ac:dyDescent="0.25">
      <c r="AH8732" s="75"/>
      <c r="AK8732" s="75"/>
    </row>
    <row r="8733" spans="34:37" x14ac:dyDescent="0.25">
      <c r="AH8733" s="75"/>
      <c r="AK8733" s="75"/>
    </row>
    <row r="8734" spans="34:37" x14ac:dyDescent="0.25">
      <c r="AH8734" s="75"/>
      <c r="AK8734" s="75"/>
    </row>
    <row r="8735" spans="34:37" x14ac:dyDescent="0.25">
      <c r="AH8735" s="75"/>
      <c r="AK8735" s="75"/>
    </row>
    <row r="8736" spans="34:37" x14ac:dyDescent="0.25">
      <c r="AH8736" s="75"/>
      <c r="AK8736" s="75"/>
    </row>
    <row r="8737" spans="34:37" x14ac:dyDescent="0.25">
      <c r="AH8737" s="75"/>
      <c r="AK8737" s="75"/>
    </row>
    <row r="8738" spans="34:37" x14ac:dyDescent="0.25">
      <c r="AH8738" s="75"/>
      <c r="AK8738" s="75"/>
    </row>
    <row r="8739" spans="34:37" x14ac:dyDescent="0.25">
      <c r="AH8739" s="75"/>
      <c r="AK8739" s="75"/>
    </row>
    <row r="8740" spans="34:37" x14ac:dyDescent="0.25">
      <c r="AH8740" s="75"/>
      <c r="AK8740" s="75"/>
    </row>
    <row r="8741" spans="34:37" x14ac:dyDescent="0.25">
      <c r="AH8741" s="75"/>
      <c r="AK8741" s="75"/>
    </row>
    <row r="8742" spans="34:37" x14ac:dyDescent="0.25">
      <c r="AH8742" s="75"/>
      <c r="AK8742" s="75"/>
    </row>
    <row r="8743" spans="34:37" x14ac:dyDescent="0.25">
      <c r="AH8743" s="75"/>
      <c r="AK8743" s="75"/>
    </row>
    <row r="8744" spans="34:37" x14ac:dyDescent="0.25">
      <c r="AH8744" s="75"/>
      <c r="AK8744" s="75"/>
    </row>
    <row r="8745" spans="34:37" x14ac:dyDescent="0.25">
      <c r="AH8745" s="75"/>
      <c r="AK8745" s="75"/>
    </row>
    <row r="8746" spans="34:37" x14ac:dyDescent="0.25">
      <c r="AH8746" s="75"/>
      <c r="AK8746" s="75"/>
    </row>
    <row r="8747" spans="34:37" x14ac:dyDescent="0.25">
      <c r="AH8747" s="75"/>
      <c r="AK8747" s="75"/>
    </row>
    <row r="8748" spans="34:37" x14ac:dyDescent="0.25">
      <c r="AH8748" s="75"/>
      <c r="AK8748" s="75"/>
    </row>
    <row r="8749" spans="34:37" x14ac:dyDescent="0.25">
      <c r="AH8749" s="75"/>
      <c r="AK8749" s="75"/>
    </row>
    <row r="8750" spans="34:37" x14ac:dyDescent="0.25">
      <c r="AH8750" s="75"/>
      <c r="AK8750" s="75"/>
    </row>
    <row r="8751" spans="34:37" x14ac:dyDescent="0.25">
      <c r="AH8751" s="75"/>
      <c r="AK8751" s="75"/>
    </row>
    <row r="8752" spans="34:37" x14ac:dyDescent="0.25">
      <c r="AH8752" s="75"/>
      <c r="AK8752" s="75"/>
    </row>
    <row r="8753" spans="34:37" x14ac:dyDescent="0.25">
      <c r="AH8753" s="75"/>
      <c r="AK8753" s="75"/>
    </row>
    <row r="8754" spans="34:37" x14ac:dyDescent="0.25">
      <c r="AH8754" s="75"/>
      <c r="AK8754" s="75"/>
    </row>
    <row r="8755" spans="34:37" x14ac:dyDescent="0.25">
      <c r="AH8755" s="75"/>
      <c r="AK8755" s="75"/>
    </row>
    <row r="8756" spans="34:37" x14ac:dyDescent="0.25">
      <c r="AH8756" s="75"/>
      <c r="AK8756" s="75"/>
    </row>
    <row r="8757" spans="34:37" x14ac:dyDescent="0.25">
      <c r="AH8757" s="75"/>
      <c r="AK8757" s="75"/>
    </row>
    <row r="8758" spans="34:37" x14ac:dyDescent="0.25">
      <c r="AH8758" s="75"/>
      <c r="AK8758" s="75"/>
    </row>
    <row r="8759" spans="34:37" x14ac:dyDescent="0.25">
      <c r="AH8759" s="75"/>
      <c r="AK8759" s="75"/>
    </row>
    <row r="8760" spans="34:37" x14ac:dyDescent="0.25">
      <c r="AH8760" s="75"/>
      <c r="AK8760" s="75"/>
    </row>
    <row r="8761" spans="34:37" x14ac:dyDescent="0.25">
      <c r="AH8761" s="75"/>
      <c r="AK8761" s="75"/>
    </row>
    <row r="8762" spans="34:37" x14ac:dyDescent="0.25">
      <c r="AH8762" s="75"/>
      <c r="AK8762" s="75"/>
    </row>
    <row r="8763" spans="34:37" x14ac:dyDescent="0.25">
      <c r="AH8763" s="75"/>
      <c r="AK8763" s="75"/>
    </row>
    <row r="8764" spans="34:37" x14ac:dyDescent="0.25">
      <c r="AH8764" s="75"/>
      <c r="AK8764" s="75"/>
    </row>
    <row r="8765" spans="34:37" x14ac:dyDescent="0.25">
      <c r="AH8765" s="75"/>
      <c r="AK8765" s="75"/>
    </row>
    <row r="8766" spans="34:37" x14ac:dyDescent="0.25">
      <c r="AH8766" s="75"/>
      <c r="AK8766" s="75"/>
    </row>
    <row r="8767" spans="34:37" x14ac:dyDescent="0.25">
      <c r="AH8767" s="75"/>
      <c r="AK8767" s="75"/>
    </row>
    <row r="8768" spans="34:37" x14ac:dyDescent="0.25">
      <c r="AH8768" s="75"/>
      <c r="AK8768" s="75"/>
    </row>
    <row r="8769" spans="34:37" x14ac:dyDescent="0.25">
      <c r="AH8769" s="75"/>
      <c r="AK8769" s="75"/>
    </row>
    <row r="8770" spans="34:37" x14ac:dyDescent="0.25">
      <c r="AH8770" s="75"/>
      <c r="AK8770" s="75"/>
    </row>
    <row r="8771" spans="34:37" x14ac:dyDescent="0.25">
      <c r="AH8771" s="75"/>
      <c r="AK8771" s="75"/>
    </row>
    <row r="8772" spans="34:37" x14ac:dyDescent="0.25">
      <c r="AH8772" s="75"/>
      <c r="AK8772" s="75"/>
    </row>
    <row r="8773" spans="34:37" x14ac:dyDescent="0.25">
      <c r="AH8773" s="75"/>
      <c r="AK8773" s="75"/>
    </row>
    <row r="8774" spans="34:37" x14ac:dyDescent="0.25">
      <c r="AH8774" s="75"/>
      <c r="AK8774" s="75"/>
    </row>
    <row r="8775" spans="34:37" x14ac:dyDescent="0.25">
      <c r="AH8775" s="75"/>
      <c r="AK8775" s="75"/>
    </row>
    <row r="8776" spans="34:37" x14ac:dyDescent="0.25">
      <c r="AH8776" s="75"/>
      <c r="AK8776" s="75"/>
    </row>
    <row r="8777" spans="34:37" x14ac:dyDescent="0.25">
      <c r="AH8777" s="75"/>
      <c r="AK8777" s="75"/>
    </row>
    <row r="8778" spans="34:37" x14ac:dyDescent="0.25">
      <c r="AH8778" s="75"/>
      <c r="AK8778" s="75"/>
    </row>
    <row r="8779" spans="34:37" x14ac:dyDescent="0.25">
      <c r="AH8779" s="75"/>
      <c r="AK8779" s="75"/>
    </row>
    <row r="8780" spans="34:37" x14ac:dyDescent="0.25">
      <c r="AH8780" s="75"/>
      <c r="AK8780" s="75"/>
    </row>
    <row r="8781" spans="34:37" x14ac:dyDescent="0.25">
      <c r="AH8781" s="75"/>
      <c r="AK8781" s="75"/>
    </row>
    <row r="8782" spans="34:37" x14ac:dyDescent="0.25">
      <c r="AH8782" s="75"/>
      <c r="AK8782" s="75"/>
    </row>
    <row r="8783" spans="34:37" x14ac:dyDescent="0.25">
      <c r="AH8783" s="75"/>
      <c r="AK8783" s="75"/>
    </row>
    <row r="8784" spans="34:37" x14ac:dyDescent="0.25">
      <c r="AH8784" s="75"/>
      <c r="AK8784" s="75"/>
    </row>
    <row r="8785" spans="34:37" x14ac:dyDescent="0.25">
      <c r="AH8785" s="75"/>
      <c r="AK8785" s="75"/>
    </row>
    <row r="8786" spans="34:37" x14ac:dyDescent="0.25">
      <c r="AH8786" s="75"/>
      <c r="AK8786" s="75"/>
    </row>
    <row r="8787" spans="34:37" x14ac:dyDescent="0.25">
      <c r="AH8787" s="75"/>
      <c r="AK8787" s="75"/>
    </row>
    <row r="8788" spans="34:37" x14ac:dyDescent="0.25">
      <c r="AH8788" s="75"/>
      <c r="AK8788" s="75"/>
    </row>
    <row r="8789" spans="34:37" x14ac:dyDescent="0.25">
      <c r="AH8789" s="75"/>
      <c r="AK8789" s="75"/>
    </row>
    <row r="8790" spans="34:37" x14ac:dyDescent="0.25">
      <c r="AH8790" s="75"/>
      <c r="AK8790" s="75"/>
    </row>
    <row r="8791" spans="34:37" x14ac:dyDescent="0.25">
      <c r="AH8791" s="75"/>
      <c r="AK8791" s="75"/>
    </row>
    <row r="8792" spans="34:37" x14ac:dyDescent="0.25">
      <c r="AH8792" s="75"/>
      <c r="AK8792" s="75"/>
    </row>
    <row r="8793" spans="34:37" x14ac:dyDescent="0.25">
      <c r="AH8793" s="75"/>
      <c r="AK8793" s="75"/>
    </row>
    <row r="8794" spans="34:37" x14ac:dyDescent="0.25">
      <c r="AH8794" s="75"/>
      <c r="AK8794" s="75"/>
    </row>
    <row r="8795" spans="34:37" x14ac:dyDescent="0.25">
      <c r="AH8795" s="75"/>
      <c r="AK8795" s="75"/>
    </row>
    <row r="8796" spans="34:37" x14ac:dyDescent="0.25">
      <c r="AH8796" s="75"/>
      <c r="AK8796" s="75"/>
    </row>
    <row r="8797" spans="34:37" x14ac:dyDescent="0.25">
      <c r="AH8797" s="75"/>
      <c r="AK8797" s="75"/>
    </row>
    <row r="8798" spans="34:37" x14ac:dyDescent="0.25">
      <c r="AH8798" s="75"/>
      <c r="AK8798" s="75"/>
    </row>
    <row r="8799" spans="34:37" x14ac:dyDescent="0.25">
      <c r="AH8799" s="75"/>
      <c r="AK8799" s="75"/>
    </row>
    <row r="8800" spans="34:37" x14ac:dyDescent="0.25">
      <c r="AH8800" s="75"/>
      <c r="AK8800" s="75"/>
    </row>
    <row r="8801" spans="34:37" x14ac:dyDescent="0.25">
      <c r="AH8801" s="75"/>
      <c r="AK8801" s="75"/>
    </row>
    <row r="8802" spans="34:37" x14ac:dyDescent="0.25">
      <c r="AH8802" s="75"/>
      <c r="AK8802" s="75"/>
    </row>
    <row r="8803" spans="34:37" x14ac:dyDescent="0.25">
      <c r="AH8803" s="75"/>
      <c r="AK8803" s="75"/>
    </row>
    <row r="8804" spans="34:37" x14ac:dyDescent="0.25">
      <c r="AH8804" s="75"/>
      <c r="AK8804" s="75"/>
    </row>
    <row r="8805" spans="34:37" x14ac:dyDescent="0.25">
      <c r="AH8805" s="75"/>
      <c r="AK8805" s="75"/>
    </row>
    <row r="8806" spans="34:37" x14ac:dyDescent="0.25">
      <c r="AH8806" s="75"/>
      <c r="AK8806" s="75"/>
    </row>
    <row r="8807" spans="34:37" x14ac:dyDescent="0.25">
      <c r="AH8807" s="75"/>
      <c r="AK8807" s="75"/>
    </row>
    <row r="8808" spans="34:37" x14ac:dyDescent="0.25">
      <c r="AH8808" s="75"/>
      <c r="AK8808" s="75"/>
    </row>
    <row r="8809" spans="34:37" x14ac:dyDescent="0.25">
      <c r="AH8809" s="75"/>
      <c r="AK8809" s="75"/>
    </row>
    <row r="8810" spans="34:37" x14ac:dyDescent="0.25">
      <c r="AH8810" s="75"/>
      <c r="AK8810" s="75"/>
    </row>
    <row r="8811" spans="34:37" x14ac:dyDescent="0.25">
      <c r="AH8811" s="75"/>
      <c r="AK8811" s="75"/>
    </row>
    <row r="8812" spans="34:37" x14ac:dyDescent="0.25">
      <c r="AH8812" s="75"/>
      <c r="AK8812" s="75"/>
    </row>
    <row r="8813" spans="34:37" x14ac:dyDescent="0.25">
      <c r="AH8813" s="75"/>
      <c r="AK8813" s="75"/>
    </row>
    <row r="8814" spans="34:37" x14ac:dyDescent="0.25">
      <c r="AH8814" s="75"/>
      <c r="AK8814" s="75"/>
    </row>
    <row r="8815" spans="34:37" x14ac:dyDescent="0.25">
      <c r="AH8815" s="75"/>
      <c r="AK8815" s="75"/>
    </row>
    <row r="8816" spans="34:37" x14ac:dyDescent="0.25">
      <c r="AH8816" s="75"/>
      <c r="AK8816" s="75"/>
    </row>
    <row r="8817" spans="34:37" x14ac:dyDescent="0.25">
      <c r="AH8817" s="75"/>
      <c r="AK8817" s="75"/>
    </row>
    <row r="8818" spans="34:37" x14ac:dyDescent="0.25">
      <c r="AH8818" s="75"/>
      <c r="AK8818" s="75"/>
    </row>
    <row r="8819" spans="34:37" x14ac:dyDescent="0.25">
      <c r="AH8819" s="75"/>
      <c r="AK8819" s="75"/>
    </row>
    <row r="8820" spans="34:37" x14ac:dyDescent="0.25">
      <c r="AH8820" s="75"/>
      <c r="AK8820" s="75"/>
    </row>
    <row r="8821" spans="34:37" x14ac:dyDescent="0.25">
      <c r="AH8821" s="75"/>
      <c r="AK8821" s="75"/>
    </row>
    <row r="8822" spans="34:37" x14ac:dyDescent="0.25">
      <c r="AH8822" s="75"/>
      <c r="AK8822" s="75"/>
    </row>
    <row r="8823" spans="34:37" x14ac:dyDescent="0.25">
      <c r="AH8823" s="75"/>
      <c r="AK8823" s="75"/>
    </row>
    <row r="8824" spans="34:37" x14ac:dyDescent="0.25">
      <c r="AH8824" s="75"/>
      <c r="AK8824" s="75"/>
    </row>
    <row r="8825" spans="34:37" x14ac:dyDescent="0.25">
      <c r="AH8825" s="75"/>
      <c r="AK8825" s="75"/>
    </row>
    <row r="8826" spans="34:37" x14ac:dyDescent="0.25">
      <c r="AH8826" s="75"/>
      <c r="AK8826" s="75"/>
    </row>
    <row r="8827" spans="34:37" x14ac:dyDescent="0.25">
      <c r="AH8827" s="75"/>
      <c r="AK8827" s="75"/>
    </row>
    <row r="8828" spans="34:37" x14ac:dyDescent="0.25">
      <c r="AH8828" s="75"/>
      <c r="AK8828" s="75"/>
    </row>
    <row r="8829" spans="34:37" x14ac:dyDescent="0.25">
      <c r="AH8829" s="75"/>
      <c r="AK8829" s="75"/>
    </row>
    <row r="8830" spans="34:37" x14ac:dyDescent="0.25">
      <c r="AH8830" s="75"/>
      <c r="AK8830" s="75"/>
    </row>
    <row r="8831" spans="34:37" x14ac:dyDescent="0.25">
      <c r="AH8831" s="75"/>
      <c r="AK8831" s="75"/>
    </row>
    <row r="8832" spans="34:37" x14ac:dyDescent="0.25">
      <c r="AH8832" s="75"/>
      <c r="AK8832" s="75"/>
    </row>
    <row r="8833" spans="34:37" x14ac:dyDescent="0.25">
      <c r="AH8833" s="75"/>
      <c r="AK8833" s="75"/>
    </row>
    <row r="8834" spans="34:37" x14ac:dyDescent="0.25">
      <c r="AH8834" s="75"/>
      <c r="AK8834" s="75"/>
    </row>
    <row r="8835" spans="34:37" x14ac:dyDescent="0.25">
      <c r="AH8835" s="75"/>
      <c r="AK8835" s="75"/>
    </row>
    <row r="8836" spans="34:37" x14ac:dyDescent="0.25">
      <c r="AH8836" s="75"/>
      <c r="AK8836" s="75"/>
    </row>
    <row r="8837" spans="34:37" x14ac:dyDescent="0.25">
      <c r="AH8837" s="75"/>
      <c r="AK8837" s="75"/>
    </row>
    <row r="8838" spans="34:37" x14ac:dyDescent="0.25">
      <c r="AH8838" s="75"/>
      <c r="AK8838" s="75"/>
    </row>
    <row r="8839" spans="34:37" x14ac:dyDescent="0.25">
      <c r="AH8839" s="75"/>
      <c r="AK8839" s="75"/>
    </row>
    <row r="8840" spans="34:37" x14ac:dyDescent="0.25">
      <c r="AH8840" s="75"/>
      <c r="AK8840" s="75"/>
    </row>
    <row r="8841" spans="34:37" x14ac:dyDescent="0.25">
      <c r="AH8841" s="75"/>
      <c r="AK8841" s="75"/>
    </row>
    <row r="8842" spans="34:37" x14ac:dyDescent="0.25">
      <c r="AH8842" s="75"/>
      <c r="AK8842" s="75"/>
    </row>
    <row r="8843" spans="34:37" x14ac:dyDescent="0.25">
      <c r="AH8843" s="75"/>
      <c r="AK8843" s="75"/>
    </row>
    <row r="8844" spans="34:37" x14ac:dyDescent="0.25">
      <c r="AH8844" s="75"/>
      <c r="AK8844" s="75"/>
    </row>
    <row r="8845" spans="34:37" x14ac:dyDescent="0.25">
      <c r="AH8845" s="75"/>
      <c r="AK8845" s="75"/>
    </row>
    <row r="8846" spans="34:37" x14ac:dyDescent="0.25">
      <c r="AH8846" s="75"/>
      <c r="AK8846" s="75"/>
    </row>
    <row r="8847" spans="34:37" x14ac:dyDescent="0.25">
      <c r="AH8847" s="75"/>
      <c r="AK8847" s="75"/>
    </row>
    <row r="8848" spans="34:37" x14ac:dyDescent="0.25">
      <c r="AH8848" s="75"/>
      <c r="AK8848" s="75"/>
    </row>
    <row r="8849" spans="34:37" x14ac:dyDescent="0.25">
      <c r="AH8849" s="75"/>
      <c r="AK8849" s="75"/>
    </row>
    <row r="8850" spans="34:37" x14ac:dyDescent="0.25">
      <c r="AH8850" s="75"/>
      <c r="AK8850" s="75"/>
    </row>
    <row r="8851" spans="34:37" x14ac:dyDescent="0.25">
      <c r="AH8851" s="75"/>
      <c r="AK8851" s="75"/>
    </row>
    <row r="8852" spans="34:37" x14ac:dyDescent="0.25">
      <c r="AH8852" s="75"/>
      <c r="AK8852" s="75"/>
    </row>
    <row r="8853" spans="34:37" x14ac:dyDescent="0.25">
      <c r="AH8853" s="75"/>
      <c r="AK8853" s="75"/>
    </row>
    <row r="8854" spans="34:37" x14ac:dyDescent="0.25">
      <c r="AH8854" s="75"/>
      <c r="AK8854" s="75"/>
    </row>
    <row r="8855" spans="34:37" x14ac:dyDescent="0.25">
      <c r="AH8855" s="75"/>
      <c r="AK8855" s="75"/>
    </row>
    <row r="8856" spans="34:37" x14ac:dyDescent="0.25">
      <c r="AH8856" s="75"/>
      <c r="AK8856" s="75"/>
    </row>
    <row r="8857" spans="34:37" x14ac:dyDescent="0.25">
      <c r="AH8857" s="75"/>
      <c r="AK8857" s="75"/>
    </row>
    <row r="8858" spans="34:37" x14ac:dyDescent="0.25">
      <c r="AH8858" s="75"/>
      <c r="AK8858" s="75"/>
    </row>
    <row r="8859" spans="34:37" x14ac:dyDescent="0.25">
      <c r="AH8859" s="75"/>
      <c r="AK8859" s="75"/>
    </row>
    <row r="8860" spans="34:37" x14ac:dyDescent="0.25">
      <c r="AH8860" s="75"/>
      <c r="AK8860" s="75"/>
    </row>
    <row r="8861" spans="34:37" x14ac:dyDescent="0.25">
      <c r="AH8861" s="75"/>
      <c r="AK8861" s="75"/>
    </row>
    <row r="8862" spans="34:37" x14ac:dyDescent="0.25">
      <c r="AH8862" s="75"/>
      <c r="AK8862" s="75"/>
    </row>
    <row r="8863" spans="34:37" x14ac:dyDescent="0.25">
      <c r="AH8863" s="75"/>
      <c r="AK8863" s="75"/>
    </row>
    <row r="8864" spans="34:37" x14ac:dyDescent="0.25">
      <c r="AH8864" s="75"/>
      <c r="AK8864" s="75"/>
    </row>
    <row r="8865" spans="34:37" x14ac:dyDescent="0.25">
      <c r="AH8865" s="75"/>
      <c r="AK8865" s="75"/>
    </row>
    <row r="8866" spans="34:37" x14ac:dyDescent="0.25">
      <c r="AH8866" s="75"/>
      <c r="AK8866" s="75"/>
    </row>
    <row r="8867" spans="34:37" x14ac:dyDescent="0.25">
      <c r="AH8867" s="75"/>
      <c r="AK8867" s="75"/>
    </row>
    <row r="8868" spans="34:37" x14ac:dyDescent="0.25">
      <c r="AH8868" s="75"/>
      <c r="AK8868" s="75"/>
    </row>
    <row r="8869" spans="34:37" x14ac:dyDescent="0.25">
      <c r="AH8869" s="75"/>
      <c r="AK8869" s="75"/>
    </row>
    <row r="8870" spans="34:37" x14ac:dyDescent="0.25">
      <c r="AH8870" s="75"/>
      <c r="AK8870" s="75"/>
    </row>
    <row r="8871" spans="34:37" x14ac:dyDescent="0.25">
      <c r="AH8871" s="75"/>
      <c r="AK8871" s="75"/>
    </row>
    <row r="8872" spans="34:37" x14ac:dyDescent="0.25">
      <c r="AH8872" s="75"/>
      <c r="AK8872" s="75"/>
    </row>
    <row r="8873" spans="34:37" x14ac:dyDescent="0.25">
      <c r="AH8873" s="75"/>
      <c r="AK8873" s="75"/>
    </row>
    <row r="8874" spans="34:37" x14ac:dyDescent="0.25">
      <c r="AH8874" s="75"/>
      <c r="AK8874" s="75"/>
    </row>
    <row r="8875" spans="34:37" x14ac:dyDescent="0.25">
      <c r="AH8875" s="75"/>
      <c r="AK8875" s="75"/>
    </row>
    <row r="8876" spans="34:37" x14ac:dyDescent="0.25">
      <c r="AH8876" s="75"/>
      <c r="AK8876" s="75"/>
    </row>
    <row r="8877" spans="34:37" x14ac:dyDescent="0.25">
      <c r="AH8877" s="75"/>
      <c r="AK8877" s="75"/>
    </row>
    <row r="8878" spans="34:37" x14ac:dyDescent="0.25">
      <c r="AH8878" s="75"/>
      <c r="AK8878" s="75"/>
    </row>
    <row r="8879" spans="34:37" x14ac:dyDescent="0.25">
      <c r="AH8879" s="75"/>
      <c r="AK8879" s="75"/>
    </row>
    <row r="8880" spans="34:37" x14ac:dyDescent="0.25">
      <c r="AH8880" s="75"/>
      <c r="AK8880" s="75"/>
    </row>
    <row r="8881" spans="34:37" x14ac:dyDescent="0.25">
      <c r="AH8881" s="75"/>
      <c r="AK8881" s="75"/>
    </row>
    <row r="8882" spans="34:37" x14ac:dyDescent="0.25">
      <c r="AH8882" s="75"/>
      <c r="AK8882" s="75"/>
    </row>
    <row r="8883" spans="34:37" x14ac:dyDescent="0.25">
      <c r="AH8883" s="75"/>
      <c r="AK8883" s="75"/>
    </row>
    <row r="8884" spans="34:37" x14ac:dyDescent="0.25">
      <c r="AH8884" s="75"/>
      <c r="AK8884" s="75"/>
    </row>
    <row r="8885" spans="34:37" x14ac:dyDescent="0.25">
      <c r="AH8885" s="75"/>
      <c r="AK8885" s="75"/>
    </row>
    <row r="8886" spans="34:37" x14ac:dyDescent="0.25">
      <c r="AH8886" s="75"/>
      <c r="AK8886" s="75"/>
    </row>
    <row r="8887" spans="34:37" x14ac:dyDescent="0.25">
      <c r="AH8887" s="75"/>
      <c r="AK8887" s="75"/>
    </row>
    <row r="8888" spans="34:37" x14ac:dyDescent="0.25">
      <c r="AH8888" s="75"/>
      <c r="AK8888" s="75"/>
    </row>
    <row r="8889" spans="34:37" x14ac:dyDescent="0.25">
      <c r="AH8889" s="75"/>
      <c r="AK8889" s="75"/>
    </row>
    <row r="8890" spans="34:37" x14ac:dyDescent="0.25">
      <c r="AH8890" s="75"/>
      <c r="AK8890" s="75"/>
    </row>
    <row r="8891" spans="34:37" x14ac:dyDescent="0.25">
      <c r="AH8891" s="75"/>
      <c r="AK8891" s="75"/>
    </row>
    <row r="8892" spans="34:37" x14ac:dyDescent="0.25">
      <c r="AH8892" s="75"/>
      <c r="AK8892" s="75"/>
    </row>
    <row r="8893" spans="34:37" x14ac:dyDescent="0.25">
      <c r="AH8893" s="75"/>
      <c r="AK8893" s="75"/>
    </row>
    <row r="8894" spans="34:37" x14ac:dyDescent="0.25">
      <c r="AH8894" s="75"/>
      <c r="AK8894" s="75"/>
    </row>
    <row r="8895" spans="34:37" x14ac:dyDescent="0.25">
      <c r="AH8895" s="75"/>
      <c r="AK8895" s="75"/>
    </row>
    <row r="8896" spans="34:37" x14ac:dyDescent="0.25">
      <c r="AH8896" s="75"/>
      <c r="AK8896" s="75"/>
    </row>
    <row r="8897" spans="34:37" x14ac:dyDescent="0.25">
      <c r="AH8897" s="75"/>
      <c r="AK8897" s="75"/>
    </row>
    <row r="8898" spans="34:37" x14ac:dyDescent="0.25">
      <c r="AH8898" s="75"/>
      <c r="AK8898" s="75"/>
    </row>
    <row r="8899" spans="34:37" x14ac:dyDescent="0.25">
      <c r="AH8899" s="75"/>
      <c r="AK8899" s="75"/>
    </row>
    <row r="8900" spans="34:37" x14ac:dyDescent="0.25">
      <c r="AH8900" s="75"/>
      <c r="AK8900" s="75"/>
    </row>
    <row r="8901" spans="34:37" x14ac:dyDescent="0.25">
      <c r="AH8901" s="75"/>
      <c r="AK8901" s="75"/>
    </row>
    <row r="8902" spans="34:37" x14ac:dyDescent="0.25">
      <c r="AH8902" s="75"/>
      <c r="AK8902" s="75"/>
    </row>
    <row r="8903" spans="34:37" x14ac:dyDescent="0.25">
      <c r="AH8903" s="75"/>
      <c r="AK8903" s="75"/>
    </row>
    <row r="8904" spans="34:37" x14ac:dyDescent="0.25">
      <c r="AH8904" s="75"/>
      <c r="AK8904" s="75"/>
    </row>
    <row r="8905" spans="34:37" x14ac:dyDescent="0.25">
      <c r="AH8905" s="75"/>
      <c r="AK8905" s="75"/>
    </row>
    <row r="8906" spans="34:37" x14ac:dyDescent="0.25">
      <c r="AH8906" s="75"/>
      <c r="AK8906" s="75"/>
    </row>
    <row r="8907" spans="34:37" x14ac:dyDescent="0.25">
      <c r="AH8907" s="75"/>
      <c r="AK8907" s="75"/>
    </row>
    <row r="8908" spans="34:37" x14ac:dyDescent="0.25">
      <c r="AH8908" s="75"/>
      <c r="AK8908" s="75"/>
    </row>
    <row r="8909" spans="34:37" x14ac:dyDescent="0.25">
      <c r="AH8909" s="75"/>
      <c r="AK8909" s="75"/>
    </row>
    <row r="8910" spans="34:37" x14ac:dyDescent="0.25">
      <c r="AH8910" s="75"/>
      <c r="AK8910" s="75"/>
    </row>
    <row r="8911" spans="34:37" x14ac:dyDescent="0.25">
      <c r="AH8911" s="75"/>
      <c r="AK8911" s="75"/>
    </row>
    <row r="8912" spans="34:37" x14ac:dyDescent="0.25">
      <c r="AH8912" s="75"/>
      <c r="AK8912" s="75"/>
    </row>
    <row r="8913" spans="34:37" x14ac:dyDescent="0.25">
      <c r="AH8913" s="75"/>
      <c r="AK8913" s="75"/>
    </row>
    <row r="8914" spans="34:37" x14ac:dyDescent="0.25">
      <c r="AH8914" s="75"/>
      <c r="AK8914" s="75"/>
    </row>
    <row r="8915" spans="34:37" x14ac:dyDescent="0.25">
      <c r="AH8915" s="75"/>
      <c r="AK8915" s="75"/>
    </row>
    <row r="8916" spans="34:37" x14ac:dyDescent="0.25">
      <c r="AH8916" s="75"/>
      <c r="AK8916" s="75"/>
    </row>
    <row r="8917" spans="34:37" x14ac:dyDescent="0.25">
      <c r="AH8917" s="75"/>
      <c r="AK8917" s="75"/>
    </row>
    <row r="8918" spans="34:37" x14ac:dyDescent="0.25">
      <c r="AH8918" s="75"/>
      <c r="AK8918" s="75"/>
    </row>
    <row r="8919" spans="34:37" x14ac:dyDescent="0.25">
      <c r="AH8919" s="75"/>
      <c r="AK8919" s="75"/>
    </row>
    <row r="8920" spans="34:37" x14ac:dyDescent="0.25">
      <c r="AH8920" s="75"/>
      <c r="AK8920" s="75"/>
    </row>
    <row r="8921" spans="34:37" x14ac:dyDescent="0.25">
      <c r="AH8921" s="75"/>
      <c r="AK8921" s="75"/>
    </row>
    <row r="8922" spans="34:37" x14ac:dyDescent="0.25">
      <c r="AH8922" s="75"/>
      <c r="AK8922" s="75"/>
    </row>
    <row r="8923" spans="34:37" x14ac:dyDescent="0.25">
      <c r="AH8923" s="75"/>
      <c r="AK8923" s="75"/>
    </row>
    <row r="8924" spans="34:37" x14ac:dyDescent="0.25">
      <c r="AH8924" s="75"/>
      <c r="AK8924" s="75"/>
    </row>
    <row r="8925" spans="34:37" x14ac:dyDescent="0.25">
      <c r="AH8925" s="75"/>
      <c r="AK8925" s="75"/>
    </row>
    <row r="8926" spans="34:37" x14ac:dyDescent="0.25">
      <c r="AH8926" s="75"/>
      <c r="AK8926" s="75"/>
    </row>
    <row r="8927" spans="34:37" x14ac:dyDescent="0.25">
      <c r="AH8927" s="75"/>
      <c r="AK8927" s="75"/>
    </row>
    <row r="8928" spans="34:37" x14ac:dyDescent="0.25">
      <c r="AH8928" s="75"/>
      <c r="AK8928" s="75"/>
    </row>
    <row r="8929" spans="34:37" x14ac:dyDescent="0.25">
      <c r="AH8929" s="75"/>
      <c r="AK8929" s="75"/>
    </row>
    <row r="8930" spans="34:37" x14ac:dyDescent="0.25">
      <c r="AH8930" s="75"/>
      <c r="AK8930" s="75"/>
    </row>
    <row r="8931" spans="34:37" x14ac:dyDescent="0.25">
      <c r="AH8931" s="75"/>
      <c r="AK8931" s="75"/>
    </row>
    <row r="8932" spans="34:37" x14ac:dyDescent="0.25">
      <c r="AH8932" s="75"/>
      <c r="AK8932" s="75"/>
    </row>
    <row r="8933" spans="34:37" x14ac:dyDescent="0.25">
      <c r="AH8933" s="75"/>
      <c r="AK8933" s="75"/>
    </row>
    <row r="8934" spans="34:37" x14ac:dyDescent="0.25">
      <c r="AH8934" s="75"/>
      <c r="AK8934" s="75"/>
    </row>
    <row r="8935" spans="34:37" x14ac:dyDescent="0.25">
      <c r="AH8935" s="75"/>
      <c r="AK8935" s="75"/>
    </row>
    <row r="8936" spans="34:37" x14ac:dyDescent="0.25">
      <c r="AH8936" s="75"/>
      <c r="AK8936" s="75"/>
    </row>
    <row r="8937" spans="34:37" x14ac:dyDescent="0.25">
      <c r="AH8937" s="75"/>
      <c r="AK8937" s="75"/>
    </row>
    <row r="8938" spans="34:37" x14ac:dyDescent="0.25">
      <c r="AH8938" s="75"/>
      <c r="AK8938" s="75"/>
    </row>
    <row r="8939" spans="34:37" x14ac:dyDescent="0.25">
      <c r="AH8939" s="75"/>
      <c r="AK8939" s="75"/>
    </row>
    <row r="8940" spans="34:37" x14ac:dyDescent="0.25">
      <c r="AH8940" s="75"/>
      <c r="AK8940" s="75"/>
    </row>
    <row r="8941" spans="34:37" x14ac:dyDescent="0.25">
      <c r="AH8941" s="75"/>
      <c r="AK8941" s="75"/>
    </row>
    <row r="8942" spans="34:37" x14ac:dyDescent="0.25">
      <c r="AH8942" s="75"/>
      <c r="AK8942" s="75"/>
    </row>
    <row r="8943" spans="34:37" x14ac:dyDescent="0.25">
      <c r="AH8943" s="75"/>
      <c r="AK8943" s="75"/>
    </row>
    <row r="8944" spans="34:37" x14ac:dyDescent="0.25">
      <c r="AH8944" s="75"/>
      <c r="AK8944" s="75"/>
    </row>
    <row r="8945" spans="34:37" x14ac:dyDescent="0.25">
      <c r="AH8945" s="75"/>
      <c r="AK8945" s="75"/>
    </row>
    <row r="8946" spans="34:37" x14ac:dyDescent="0.25">
      <c r="AH8946" s="75"/>
      <c r="AK8946" s="75"/>
    </row>
    <row r="8947" spans="34:37" x14ac:dyDescent="0.25">
      <c r="AH8947" s="75"/>
      <c r="AK8947" s="75"/>
    </row>
    <row r="8948" spans="34:37" x14ac:dyDescent="0.25">
      <c r="AH8948" s="75"/>
      <c r="AK8948" s="75"/>
    </row>
    <row r="8949" spans="34:37" x14ac:dyDescent="0.25">
      <c r="AH8949" s="75"/>
      <c r="AK8949" s="75"/>
    </row>
    <row r="8950" spans="34:37" x14ac:dyDescent="0.25">
      <c r="AH8950" s="75"/>
      <c r="AK8950" s="75"/>
    </row>
    <row r="8951" spans="34:37" x14ac:dyDescent="0.25">
      <c r="AH8951" s="75"/>
      <c r="AK8951" s="75"/>
    </row>
    <row r="8952" spans="34:37" x14ac:dyDescent="0.25">
      <c r="AH8952" s="75"/>
      <c r="AK8952" s="75"/>
    </row>
    <row r="8953" spans="34:37" x14ac:dyDescent="0.25">
      <c r="AH8953" s="75"/>
      <c r="AK8953" s="75"/>
    </row>
    <row r="8954" spans="34:37" x14ac:dyDescent="0.25">
      <c r="AH8954" s="75"/>
      <c r="AK8954" s="75"/>
    </row>
    <row r="8955" spans="34:37" x14ac:dyDescent="0.25">
      <c r="AH8955" s="75"/>
      <c r="AK8955" s="75"/>
    </row>
    <row r="8956" spans="34:37" x14ac:dyDescent="0.25">
      <c r="AH8956" s="75"/>
      <c r="AK8956" s="75"/>
    </row>
    <row r="8957" spans="34:37" x14ac:dyDescent="0.25">
      <c r="AH8957" s="75"/>
      <c r="AK8957" s="75"/>
    </row>
    <row r="8958" spans="34:37" x14ac:dyDescent="0.25">
      <c r="AH8958" s="75"/>
      <c r="AK8958" s="75"/>
    </row>
    <row r="8959" spans="34:37" x14ac:dyDescent="0.25">
      <c r="AH8959" s="75"/>
      <c r="AK8959" s="75"/>
    </row>
    <row r="8960" spans="34:37" x14ac:dyDescent="0.25">
      <c r="AH8960" s="75"/>
      <c r="AK8960" s="75"/>
    </row>
    <row r="8961" spans="34:37" x14ac:dyDescent="0.25">
      <c r="AH8961" s="75"/>
      <c r="AK8961" s="75"/>
    </row>
    <row r="8962" spans="34:37" x14ac:dyDescent="0.25">
      <c r="AH8962" s="75"/>
      <c r="AK8962" s="75"/>
    </row>
    <row r="8963" spans="34:37" x14ac:dyDescent="0.25">
      <c r="AH8963" s="75"/>
      <c r="AK8963" s="75"/>
    </row>
    <row r="8964" spans="34:37" x14ac:dyDescent="0.25">
      <c r="AH8964" s="75"/>
      <c r="AK8964" s="75"/>
    </row>
    <row r="8965" spans="34:37" x14ac:dyDescent="0.25">
      <c r="AH8965" s="75"/>
      <c r="AK8965" s="75"/>
    </row>
    <row r="8966" spans="34:37" x14ac:dyDescent="0.25">
      <c r="AH8966" s="75"/>
      <c r="AK8966" s="75"/>
    </row>
    <row r="8967" spans="34:37" x14ac:dyDescent="0.25">
      <c r="AH8967" s="75"/>
      <c r="AK8967" s="75"/>
    </row>
    <row r="8968" spans="34:37" x14ac:dyDescent="0.25">
      <c r="AH8968" s="75"/>
      <c r="AK8968" s="75"/>
    </row>
    <row r="8969" spans="34:37" x14ac:dyDescent="0.25">
      <c r="AH8969" s="75"/>
      <c r="AK8969" s="75"/>
    </row>
    <row r="8970" spans="34:37" x14ac:dyDescent="0.25">
      <c r="AH8970" s="75"/>
      <c r="AK8970" s="75"/>
    </row>
    <row r="8971" spans="34:37" x14ac:dyDescent="0.25">
      <c r="AH8971" s="75"/>
      <c r="AK8971" s="75"/>
    </row>
    <row r="8972" spans="34:37" x14ac:dyDescent="0.25">
      <c r="AH8972" s="75"/>
      <c r="AK8972" s="75"/>
    </row>
    <row r="8973" spans="34:37" x14ac:dyDescent="0.25">
      <c r="AH8973" s="75"/>
      <c r="AK8973" s="75"/>
    </row>
    <row r="8974" spans="34:37" x14ac:dyDescent="0.25">
      <c r="AH8974" s="75"/>
      <c r="AK8974" s="75"/>
    </row>
    <row r="8975" spans="34:37" x14ac:dyDescent="0.25">
      <c r="AH8975" s="75"/>
      <c r="AK8975" s="75"/>
    </row>
    <row r="8976" spans="34:37" x14ac:dyDescent="0.25">
      <c r="AH8976" s="75"/>
      <c r="AK8976" s="75"/>
    </row>
    <row r="8977" spans="34:37" x14ac:dyDescent="0.25">
      <c r="AH8977" s="75"/>
      <c r="AK8977" s="75"/>
    </row>
    <row r="8978" spans="34:37" x14ac:dyDescent="0.25">
      <c r="AH8978" s="75"/>
      <c r="AK8978" s="75"/>
    </row>
    <row r="8979" spans="34:37" x14ac:dyDescent="0.25">
      <c r="AH8979" s="75"/>
      <c r="AK8979" s="75"/>
    </row>
    <row r="8980" spans="34:37" x14ac:dyDescent="0.25">
      <c r="AH8980" s="75"/>
      <c r="AK8980" s="75"/>
    </row>
    <row r="8981" spans="34:37" x14ac:dyDescent="0.25">
      <c r="AH8981" s="75"/>
      <c r="AK8981" s="75"/>
    </row>
    <row r="8982" spans="34:37" x14ac:dyDescent="0.25">
      <c r="AH8982" s="75"/>
      <c r="AK8982" s="75"/>
    </row>
    <row r="8983" spans="34:37" x14ac:dyDescent="0.25">
      <c r="AH8983" s="75"/>
      <c r="AK8983" s="75"/>
    </row>
    <row r="8984" spans="34:37" x14ac:dyDescent="0.25">
      <c r="AH8984" s="75"/>
      <c r="AK8984" s="75"/>
    </row>
    <row r="8985" spans="34:37" x14ac:dyDescent="0.25">
      <c r="AH8985" s="75"/>
      <c r="AK8985" s="75"/>
    </row>
    <row r="8986" spans="34:37" x14ac:dyDescent="0.25">
      <c r="AH8986" s="75"/>
      <c r="AK8986" s="75"/>
    </row>
    <row r="8987" spans="34:37" x14ac:dyDescent="0.25">
      <c r="AH8987" s="75"/>
      <c r="AK8987" s="75"/>
    </row>
    <row r="8988" spans="34:37" x14ac:dyDescent="0.25">
      <c r="AH8988" s="75"/>
      <c r="AK8988" s="75"/>
    </row>
    <row r="8989" spans="34:37" x14ac:dyDescent="0.25">
      <c r="AH8989" s="75"/>
      <c r="AK8989" s="75"/>
    </row>
    <row r="8990" spans="34:37" x14ac:dyDescent="0.25">
      <c r="AH8990" s="75"/>
      <c r="AK8990" s="75"/>
    </row>
    <row r="8991" spans="34:37" x14ac:dyDescent="0.25">
      <c r="AH8991" s="75"/>
      <c r="AK8991" s="75"/>
    </row>
    <row r="8992" spans="34:37" x14ac:dyDescent="0.25">
      <c r="AH8992" s="75"/>
      <c r="AK8992" s="75"/>
    </row>
    <row r="8993" spans="34:37" x14ac:dyDescent="0.25">
      <c r="AH8993" s="75"/>
      <c r="AK8993" s="75"/>
    </row>
    <row r="8994" spans="34:37" x14ac:dyDescent="0.25">
      <c r="AH8994" s="75"/>
      <c r="AK8994" s="75"/>
    </row>
    <row r="8995" spans="34:37" x14ac:dyDescent="0.25">
      <c r="AH8995" s="75"/>
      <c r="AK8995" s="75"/>
    </row>
    <row r="8996" spans="34:37" x14ac:dyDescent="0.25">
      <c r="AH8996" s="75"/>
      <c r="AK8996" s="75"/>
    </row>
    <row r="8997" spans="34:37" x14ac:dyDescent="0.25">
      <c r="AH8997" s="75"/>
      <c r="AK8997" s="75"/>
    </row>
    <row r="8998" spans="34:37" x14ac:dyDescent="0.25">
      <c r="AH8998" s="75"/>
      <c r="AK8998" s="75"/>
    </row>
    <row r="8999" spans="34:37" x14ac:dyDescent="0.25">
      <c r="AH8999" s="75"/>
      <c r="AK8999" s="75"/>
    </row>
    <row r="9000" spans="34:37" x14ac:dyDescent="0.25">
      <c r="AH9000" s="75"/>
      <c r="AK9000" s="75"/>
    </row>
    <row r="9001" spans="34:37" x14ac:dyDescent="0.25">
      <c r="AH9001" s="75"/>
      <c r="AK9001" s="75"/>
    </row>
    <row r="9002" spans="34:37" x14ac:dyDescent="0.25">
      <c r="AH9002" s="75"/>
      <c r="AK9002" s="75"/>
    </row>
    <row r="9003" spans="34:37" x14ac:dyDescent="0.25">
      <c r="AH9003" s="75"/>
      <c r="AK9003" s="75"/>
    </row>
    <row r="9004" spans="34:37" x14ac:dyDescent="0.25">
      <c r="AH9004" s="75"/>
      <c r="AK9004" s="75"/>
    </row>
    <row r="9005" spans="34:37" x14ac:dyDescent="0.25">
      <c r="AH9005" s="75"/>
      <c r="AK9005" s="75"/>
    </row>
    <row r="9006" spans="34:37" x14ac:dyDescent="0.25">
      <c r="AH9006" s="75"/>
      <c r="AK9006" s="75"/>
    </row>
    <row r="9007" spans="34:37" x14ac:dyDescent="0.25">
      <c r="AH9007" s="75"/>
      <c r="AK9007" s="75"/>
    </row>
    <row r="9008" spans="34:37" x14ac:dyDescent="0.25">
      <c r="AH9008" s="75"/>
      <c r="AK9008" s="75"/>
    </row>
    <row r="9009" spans="34:37" x14ac:dyDescent="0.25">
      <c r="AH9009" s="75"/>
      <c r="AK9009" s="75"/>
    </row>
    <row r="9010" spans="34:37" x14ac:dyDescent="0.25">
      <c r="AH9010" s="75"/>
      <c r="AK9010" s="75"/>
    </row>
    <row r="9011" spans="34:37" x14ac:dyDescent="0.25">
      <c r="AH9011" s="75"/>
      <c r="AK9011" s="75"/>
    </row>
    <row r="9012" spans="34:37" x14ac:dyDescent="0.25">
      <c r="AH9012" s="75"/>
      <c r="AK9012" s="75"/>
    </row>
    <row r="9013" spans="34:37" x14ac:dyDescent="0.25">
      <c r="AH9013" s="75"/>
      <c r="AK9013" s="75"/>
    </row>
    <row r="9014" spans="34:37" x14ac:dyDescent="0.25">
      <c r="AH9014" s="75"/>
      <c r="AK9014" s="75"/>
    </row>
    <row r="9015" spans="34:37" x14ac:dyDescent="0.25">
      <c r="AH9015" s="75"/>
      <c r="AK9015" s="75"/>
    </row>
    <row r="9016" spans="34:37" x14ac:dyDescent="0.25">
      <c r="AH9016" s="75"/>
      <c r="AK9016" s="75"/>
    </row>
    <row r="9017" spans="34:37" x14ac:dyDescent="0.25">
      <c r="AH9017" s="75"/>
      <c r="AK9017" s="75"/>
    </row>
    <row r="9018" spans="34:37" x14ac:dyDescent="0.25">
      <c r="AH9018" s="75"/>
      <c r="AK9018" s="75"/>
    </row>
    <row r="9019" spans="34:37" x14ac:dyDescent="0.25">
      <c r="AH9019" s="75"/>
      <c r="AK9019" s="75"/>
    </row>
    <row r="9020" spans="34:37" x14ac:dyDescent="0.25">
      <c r="AH9020" s="75"/>
      <c r="AK9020" s="75"/>
    </row>
    <row r="9021" spans="34:37" x14ac:dyDescent="0.25">
      <c r="AH9021" s="75"/>
      <c r="AK9021" s="75"/>
    </row>
    <row r="9022" spans="34:37" x14ac:dyDescent="0.25">
      <c r="AH9022" s="75"/>
      <c r="AK9022" s="75"/>
    </row>
    <row r="9023" spans="34:37" x14ac:dyDescent="0.25">
      <c r="AH9023" s="75"/>
      <c r="AK9023" s="75"/>
    </row>
    <row r="9024" spans="34:37" x14ac:dyDescent="0.25">
      <c r="AH9024" s="75"/>
      <c r="AK9024" s="75"/>
    </row>
    <row r="9025" spans="34:37" x14ac:dyDescent="0.25">
      <c r="AH9025" s="75"/>
      <c r="AK9025" s="75"/>
    </row>
    <row r="9026" spans="34:37" x14ac:dyDescent="0.25">
      <c r="AH9026" s="75"/>
      <c r="AK9026" s="75"/>
    </row>
    <row r="9027" spans="34:37" x14ac:dyDescent="0.25">
      <c r="AH9027" s="75"/>
      <c r="AK9027" s="75"/>
    </row>
    <row r="9028" spans="34:37" x14ac:dyDescent="0.25">
      <c r="AH9028" s="75"/>
      <c r="AK9028" s="75"/>
    </row>
    <row r="9029" spans="34:37" x14ac:dyDescent="0.25">
      <c r="AH9029" s="75"/>
      <c r="AK9029" s="75"/>
    </row>
    <row r="9030" spans="34:37" x14ac:dyDescent="0.25">
      <c r="AH9030" s="75"/>
      <c r="AK9030" s="75"/>
    </row>
    <row r="9031" spans="34:37" x14ac:dyDescent="0.25">
      <c r="AH9031" s="75"/>
      <c r="AK9031" s="75"/>
    </row>
    <row r="9032" spans="34:37" x14ac:dyDescent="0.25">
      <c r="AH9032" s="75"/>
      <c r="AK9032" s="75"/>
    </row>
    <row r="9033" spans="34:37" x14ac:dyDescent="0.25">
      <c r="AH9033" s="75"/>
      <c r="AK9033" s="75"/>
    </row>
    <row r="9034" spans="34:37" x14ac:dyDescent="0.25">
      <c r="AH9034" s="75"/>
      <c r="AK9034" s="75"/>
    </row>
    <row r="9035" spans="34:37" x14ac:dyDescent="0.25">
      <c r="AH9035" s="75"/>
      <c r="AK9035" s="75"/>
    </row>
    <row r="9036" spans="34:37" x14ac:dyDescent="0.25">
      <c r="AH9036" s="75"/>
      <c r="AK9036" s="75"/>
    </row>
    <row r="9037" spans="34:37" x14ac:dyDescent="0.25">
      <c r="AH9037" s="75"/>
      <c r="AK9037" s="75"/>
    </row>
    <row r="9038" spans="34:37" x14ac:dyDescent="0.25">
      <c r="AH9038" s="75"/>
      <c r="AK9038" s="75"/>
    </row>
    <row r="9039" spans="34:37" x14ac:dyDescent="0.25">
      <c r="AH9039" s="75"/>
      <c r="AK9039" s="75"/>
    </row>
    <row r="9040" spans="34:37" x14ac:dyDescent="0.25">
      <c r="AH9040" s="75"/>
      <c r="AK9040" s="75"/>
    </row>
    <row r="9041" spans="34:37" x14ac:dyDescent="0.25">
      <c r="AH9041" s="75"/>
      <c r="AK9041" s="75"/>
    </row>
    <row r="9042" spans="34:37" x14ac:dyDescent="0.25">
      <c r="AH9042" s="75"/>
      <c r="AK9042" s="75"/>
    </row>
    <row r="9043" spans="34:37" x14ac:dyDescent="0.25">
      <c r="AH9043" s="75"/>
      <c r="AK9043" s="75"/>
    </row>
    <row r="9044" spans="34:37" x14ac:dyDescent="0.25">
      <c r="AH9044" s="75"/>
      <c r="AK9044" s="75"/>
    </row>
    <row r="9045" spans="34:37" x14ac:dyDescent="0.25">
      <c r="AH9045" s="75"/>
      <c r="AK9045" s="75"/>
    </row>
    <row r="9046" spans="34:37" x14ac:dyDescent="0.25">
      <c r="AH9046" s="75"/>
      <c r="AK9046" s="75"/>
    </row>
    <row r="9047" spans="34:37" x14ac:dyDescent="0.25">
      <c r="AH9047" s="75"/>
      <c r="AK9047" s="75"/>
    </row>
    <row r="9048" spans="34:37" x14ac:dyDescent="0.25">
      <c r="AH9048" s="75"/>
      <c r="AK9048" s="75"/>
    </row>
    <row r="9049" spans="34:37" x14ac:dyDescent="0.25">
      <c r="AH9049" s="75"/>
      <c r="AK9049" s="75"/>
    </row>
    <row r="9050" spans="34:37" x14ac:dyDescent="0.25">
      <c r="AH9050" s="75"/>
      <c r="AK9050" s="75"/>
    </row>
    <row r="9051" spans="34:37" x14ac:dyDescent="0.25">
      <c r="AH9051" s="75"/>
      <c r="AK9051" s="75"/>
    </row>
    <row r="9052" spans="34:37" x14ac:dyDescent="0.25">
      <c r="AH9052" s="75"/>
      <c r="AK9052" s="75"/>
    </row>
    <row r="9053" spans="34:37" x14ac:dyDescent="0.25">
      <c r="AH9053" s="75"/>
      <c r="AK9053" s="75"/>
    </row>
    <row r="9054" spans="34:37" x14ac:dyDescent="0.25">
      <c r="AH9054" s="75"/>
      <c r="AK9054" s="75"/>
    </row>
    <row r="9055" spans="34:37" x14ac:dyDescent="0.25">
      <c r="AH9055" s="75"/>
      <c r="AK9055" s="75"/>
    </row>
    <row r="9056" spans="34:37" x14ac:dyDescent="0.25">
      <c r="AH9056" s="75"/>
      <c r="AK9056" s="75"/>
    </row>
    <row r="9057" spans="34:37" x14ac:dyDescent="0.25">
      <c r="AH9057" s="75"/>
      <c r="AK9057" s="75"/>
    </row>
    <row r="9058" spans="34:37" x14ac:dyDescent="0.25">
      <c r="AH9058" s="75"/>
      <c r="AK9058" s="75"/>
    </row>
    <row r="9059" spans="34:37" x14ac:dyDescent="0.25">
      <c r="AH9059" s="75"/>
      <c r="AK9059" s="75"/>
    </row>
    <row r="9060" spans="34:37" x14ac:dyDescent="0.25">
      <c r="AH9060" s="75"/>
      <c r="AK9060" s="75"/>
    </row>
    <row r="9061" spans="34:37" x14ac:dyDescent="0.25">
      <c r="AH9061" s="75"/>
      <c r="AK9061" s="75"/>
    </row>
    <row r="9062" spans="34:37" x14ac:dyDescent="0.25">
      <c r="AH9062" s="75"/>
      <c r="AK9062" s="75"/>
    </row>
    <row r="9063" spans="34:37" x14ac:dyDescent="0.25">
      <c r="AH9063" s="75"/>
      <c r="AK9063" s="75"/>
    </row>
    <row r="9064" spans="34:37" x14ac:dyDescent="0.25">
      <c r="AH9064" s="75"/>
      <c r="AK9064" s="75"/>
    </row>
    <row r="9065" spans="34:37" x14ac:dyDescent="0.25">
      <c r="AH9065" s="75"/>
      <c r="AK9065" s="75"/>
    </row>
    <row r="9066" spans="34:37" x14ac:dyDescent="0.25">
      <c r="AH9066" s="75"/>
      <c r="AK9066" s="75"/>
    </row>
    <row r="9067" spans="34:37" x14ac:dyDescent="0.25">
      <c r="AH9067" s="75"/>
      <c r="AK9067" s="75"/>
    </row>
    <row r="9068" spans="34:37" x14ac:dyDescent="0.25">
      <c r="AH9068" s="75"/>
      <c r="AK9068" s="75"/>
    </row>
    <row r="9069" spans="34:37" x14ac:dyDescent="0.25">
      <c r="AH9069" s="75"/>
      <c r="AK9069" s="75"/>
    </row>
    <row r="9070" spans="34:37" x14ac:dyDescent="0.25">
      <c r="AH9070" s="75"/>
      <c r="AK9070" s="75"/>
    </row>
    <row r="9071" spans="34:37" x14ac:dyDescent="0.25">
      <c r="AH9071" s="75"/>
      <c r="AK9071" s="75"/>
    </row>
    <row r="9072" spans="34:37" x14ac:dyDescent="0.25">
      <c r="AH9072" s="75"/>
      <c r="AK9072" s="75"/>
    </row>
    <row r="9073" spans="34:37" x14ac:dyDescent="0.25">
      <c r="AH9073" s="75"/>
      <c r="AK9073" s="75"/>
    </row>
    <row r="9074" spans="34:37" x14ac:dyDescent="0.25">
      <c r="AH9074" s="75"/>
      <c r="AK9074" s="75"/>
    </row>
    <row r="9075" spans="34:37" x14ac:dyDescent="0.25">
      <c r="AH9075" s="75"/>
      <c r="AK9075" s="75"/>
    </row>
    <row r="9076" spans="34:37" x14ac:dyDescent="0.25">
      <c r="AH9076" s="75"/>
      <c r="AK9076" s="75"/>
    </row>
    <row r="9077" spans="34:37" x14ac:dyDescent="0.25">
      <c r="AH9077" s="75"/>
      <c r="AK9077" s="75"/>
    </row>
    <row r="9078" spans="34:37" x14ac:dyDescent="0.25">
      <c r="AH9078" s="75"/>
      <c r="AK9078" s="75"/>
    </row>
    <row r="9079" spans="34:37" x14ac:dyDescent="0.25">
      <c r="AH9079" s="75"/>
      <c r="AK9079" s="75"/>
    </row>
    <row r="9080" spans="34:37" x14ac:dyDescent="0.25">
      <c r="AH9080" s="75"/>
      <c r="AK9080" s="75"/>
    </row>
    <row r="9081" spans="34:37" x14ac:dyDescent="0.25">
      <c r="AH9081" s="75"/>
      <c r="AK9081" s="75"/>
    </row>
    <row r="9082" spans="34:37" x14ac:dyDescent="0.25">
      <c r="AH9082" s="75"/>
      <c r="AK9082" s="75"/>
    </row>
    <row r="9083" spans="34:37" x14ac:dyDescent="0.25">
      <c r="AH9083" s="75"/>
      <c r="AK9083" s="75"/>
    </row>
    <row r="9084" spans="34:37" x14ac:dyDescent="0.25">
      <c r="AH9084" s="75"/>
      <c r="AK9084" s="75"/>
    </row>
    <row r="9085" spans="34:37" x14ac:dyDescent="0.25">
      <c r="AH9085" s="75"/>
      <c r="AK9085" s="75"/>
    </row>
    <row r="9086" spans="34:37" x14ac:dyDescent="0.25">
      <c r="AH9086" s="75"/>
      <c r="AK9086" s="75"/>
    </row>
    <row r="9087" spans="34:37" x14ac:dyDescent="0.25">
      <c r="AH9087" s="75"/>
      <c r="AK9087" s="75"/>
    </row>
    <row r="9088" spans="34:37" x14ac:dyDescent="0.25">
      <c r="AH9088" s="75"/>
      <c r="AK9088" s="75"/>
    </row>
    <row r="9089" spans="34:37" x14ac:dyDescent="0.25">
      <c r="AH9089" s="75"/>
      <c r="AK9089" s="75"/>
    </row>
    <row r="9090" spans="34:37" x14ac:dyDescent="0.25">
      <c r="AH9090" s="75"/>
      <c r="AK9090" s="75"/>
    </row>
    <row r="9091" spans="34:37" x14ac:dyDescent="0.25">
      <c r="AH9091" s="75"/>
      <c r="AK9091" s="75"/>
    </row>
    <row r="9092" spans="34:37" x14ac:dyDescent="0.25">
      <c r="AH9092" s="75"/>
      <c r="AK9092" s="75"/>
    </row>
    <row r="9093" spans="34:37" x14ac:dyDescent="0.25">
      <c r="AH9093" s="75"/>
      <c r="AK9093" s="75"/>
    </row>
    <row r="9094" spans="34:37" x14ac:dyDescent="0.25">
      <c r="AH9094" s="75"/>
      <c r="AK9094" s="75"/>
    </row>
    <row r="9095" spans="34:37" x14ac:dyDescent="0.25">
      <c r="AH9095" s="75"/>
      <c r="AK9095" s="75"/>
    </row>
    <row r="9096" spans="34:37" x14ac:dyDescent="0.25">
      <c r="AH9096" s="75"/>
      <c r="AK9096" s="75"/>
    </row>
    <row r="9097" spans="34:37" x14ac:dyDescent="0.25">
      <c r="AH9097" s="75"/>
      <c r="AK9097" s="75"/>
    </row>
    <row r="9098" spans="34:37" x14ac:dyDescent="0.25">
      <c r="AH9098" s="75"/>
      <c r="AK9098" s="75"/>
    </row>
    <row r="9099" spans="34:37" x14ac:dyDescent="0.25">
      <c r="AH9099" s="75"/>
      <c r="AK9099" s="75"/>
    </row>
    <row r="9100" spans="34:37" x14ac:dyDescent="0.25">
      <c r="AH9100" s="75"/>
      <c r="AK9100" s="75"/>
    </row>
    <row r="9101" spans="34:37" x14ac:dyDescent="0.25">
      <c r="AH9101" s="75"/>
      <c r="AK9101" s="75"/>
    </row>
    <row r="9102" spans="34:37" x14ac:dyDescent="0.25">
      <c r="AH9102" s="75"/>
      <c r="AK9102" s="75"/>
    </row>
    <row r="9103" spans="34:37" x14ac:dyDescent="0.25">
      <c r="AH9103" s="75"/>
      <c r="AK9103" s="75"/>
    </row>
    <row r="9104" spans="34:37" x14ac:dyDescent="0.25">
      <c r="AH9104" s="75"/>
      <c r="AK9104" s="75"/>
    </row>
    <row r="9105" spans="34:37" x14ac:dyDescent="0.25">
      <c r="AH9105" s="75"/>
      <c r="AK9105" s="75"/>
    </row>
    <row r="9106" spans="34:37" x14ac:dyDescent="0.25">
      <c r="AH9106" s="75"/>
      <c r="AK9106" s="75"/>
    </row>
    <row r="9107" spans="34:37" x14ac:dyDescent="0.25">
      <c r="AH9107" s="75"/>
      <c r="AK9107" s="75"/>
    </row>
    <row r="9108" spans="34:37" x14ac:dyDescent="0.25">
      <c r="AH9108" s="75"/>
      <c r="AK9108" s="75"/>
    </row>
    <row r="9109" spans="34:37" x14ac:dyDescent="0.25">
      <c r="AH9109" s="75"/>
      <c r="AK9109" s="75"/>
    </row>
    <row r="9110" spans="34:37" x14ac:dyDescent="0.25">
      <c r="AH9110" s="75"/>
      <c r="AK9110" s="75"/>
    </row>
    <row r="9111" spans="34:37" x14ac:dyDescent="0.25">
      <c r="AH9111" s="75"/>
      <c r="AK9111" s="75"/>
    </row>
    <row r="9112" spans="34:37" x14ac:dyDescent="0.25">
      <c r="AH9112" s="75"/>
      <c r="AK9112" s="75"/>
    </row>
    <row r="9113" spans="34:37" x14ac:dyDescent="0.25">
      <c r="AH9113" s="75"/>
      <c r="AK9113" s="75"/>
    </row>
    <row r="9114" spans="34:37" x14ac:dyDescent="0.25">
      <c r="AH9114" s="75"/>
      <c r="AK9114" s="75"/>
    </row>
    <row r="9115" spans="34:37" x14ac:dyDescent="0.25">
      <c r="AH9115" s="75"/>
      <c r="AK9115" s="75"/>
    </row>
    <row r="9116" spans="34:37" x14ac:dyDescent="0.25">
      <c r="AH9116" s="75"/>
      <c r="AK9116" s="75"/>
    </row>
    <row r="9117" spans="34:37" x14ac:dyDescent="0.25">
      <c r="AH9117" s="75"/>
      <c r="AK9117" s="75"/>
    </row>
    <row r="9118" spans="34:37" x14ac:dyDescent="0.25">
      <c r="AH9118" s="75"/>
      <c r="AK9118" s="75"/>
    </row>
    <row r="9119" spans="34:37" x14ac:dyDescent="0.25">
      <c r="AH9119" s="75"/>
      <c r="AK9119" s="75"/>
    </row>
    <row r="9120" spans="34:37" x14ac:dyDescent="0.25">
      <c r="AH9120" s="75"/>
      <c r="AK9120" s="75"/>
    </row>
    <row r="9121" spans="34:37" x14ac:dyDescent="0.25">
      <c r="AH9121" s="75"/>
      <c r="AK9121" s="75"/>
    </row>
    <row r="9122" spans="34:37" x14ac:dyDescent="0.25">
      <c r="AH9122" s="75"/>
      <c r="AK9122" s="75"/>
    </row>
    <row r="9123" spans="34:37" x14ac:dyDescent="0.25">
      <c r="AH9123" s="75"/>
      <c r="AK9123" s="75"/>
    </row>
    <row r="9124" spans="34:37" x14ac:dyDescent="0.25">
      <c r="AH9124" s="75"/>
      <c r="AK9124" s="75"/>
    </row>
    <row r="9125" spans="34:37" x14ac:dyDescent="0.25">
      <c r="AH9125" s="75"/>
      <c r="AK9125" s="75"/>
    </row>
    <row r="9126" spans="34:37" x14ac:dyDescent="0.25">
      <c r="AH9126" s="75"/>
      <c r="AK9126" s="75"/>
    </row>
    <row r="9127" spans="34:37" x14ac:dyDescent="0.25">
      <c r="AH9127" s="75"/>
      <c r="AK9127" s="75"/>
    </row>
    <row r="9128" spans="34:37" x14ac:dyDescent="0.25">
      <c r="AH9128" s="75"/>
      <c r="AK9128" s="75"/>
    </row>
    <row r="9129" spans="34:37" x14ac:dyDescent="0.25">
      <c r="AH9129" s="75"/>
      <c r="AK9129" s="75"/>
    </row>
    <row r="9130" spans="34:37" x14ac:dyDescent="0.25">
      <c r="AH9130" s="75"/>
      <c r="AK9130" s="75"/>
    </row>
    <row r="9131" spans="34:37" x14ac:dyDescent="0.25">
      <c r="AH9131" s="75"/>
      <c r="AK9131" s="75"/>
    </row>
    <row r="9132" spans="34:37" x14ac:dyDescent="0.25">
      <c r="AH9132" s="75"/>
      <c r="AK9132" s="75"/>
    </row>
    <row r="9133" spans="34:37" x14ac:dyDescent="0.25">
      <c r="AH9133" s="75"/>
      <c r="AK9133" s="75"/>
    </row>
    <row r="9134" spans="34:37" x14ac:dyDescent="0.25">
      <c r="AH9134" s="75"/>
      <c r="AK9134" s="75"/>
    </row>
    <row r="9135" spans="34:37" x14ac:dyDescent="0.25">
      <c r="AH9135" s="75"/>
      <c r="AK9135" s="75"/>
    </row>
    <row r="9136" spans="34:37" x14ac:dyDescent="0.25">
      <c r="AH9136" s="75"/>
      <c r="AK9136" s="75"/>
    </row>
    <row r="9137" spans="34:37" x14ac:dyDescent="0.25">
      <c r="AH9137" s="75"/>
      <c r="AK9137" s="75"/>
    </row>
    <row r="9138" spans="34:37" x14ac:dyDescent="0.25">
      <c r="AH9138" s="75"/>
      <c r="AK9138" s="75"/>
    </row>
    <row r="9139" spans="34:37" x14ac:dyDescent="0.25">
      <c r="AH9139" s="75"/>
      <c r="AK9139" s="75"/>
    </row>
    <row r="9140" spans="34:37" x14ac:dyDescent="0.25">
      <c r="AH9140" s="75"/>
      <c r="AK9140" s="75"/>
    </row>
    <row r="9141" spans="34:37" x14ac:dyDescent="0.25">
      <c r="AH9141" s="75"/>
      <c r="AK9141" s="75"/>
    </row>
    <row r="9142" spans="34:37" x14ac:dyDescent="0.25">
      <c r="AH9142" s="75"/>
      <c r="AK9142" s="75"/>
    </row>
    <row r="9143" spans="34:37" x14ac:dyDescent="0.25">
      <c r="AH9143" s="75"/>
      <c r="AK9143" s="75"/>
    </row>
    <row r="9144" spans="34:37" x14ac:dyDescent="0.25">
      <c r="AH9144" s="75"/>
      <c r="AK9144" s="75"/>
    </row>
    <row r="9145" spans="34:37" x14ac:dyDescent="0.25">
      <c r="AH9145" s="75"/>
      <c r="AK9145" s="75"/>
    </row>
    <row r="9146" spans="34:37" x14ac:dyDescent="0.25">
      <c r="AH9146" s="75"/>
      <c r="AK9146" s="75"/>
    </row>
    <row r="9147" spans="34:37" x14ac:dyDescent="0.25">
      <c r="AH9147" s="75"/>
      <c r="AK9147" s="75"/>
    </row>
    <row r="9148" spans="34:37" x14ac:dyDescent="0.25">
      <c r="AH9148" s="75"/>
      <c r="AK9148" s="75"/>
    </row>
    <row r="9149" spans="34:37" x14ac:dyDescent="0.25">
      <c r="AH9149" s="75"/>
      <c r="AK9149" s="75"/>
    </row>
    <row r="9150" spans="34:37" x14ac:dyDescent="0.25">
      <c r="AH9150" s="75"/>
      <c r="AK9150" s="75"/>
    </row>
    <row r="9151" spans="34:37" x14ac:dyDescent="0.25">
      <c r="AH9151" s="75"/>
      <c r="AK9151" s="75"/>
    </row>
    <row r="9152" spans="34:37" x14ac:dyDescent="0.25">
      <c r="AH9152" s="75"/>
      <c r="AK9152" s="75"/>
    </row>
    <row r="9153" spans="34:37" x14ac:dyDescent="0.25">
      <c r="AH9153" s="75"/>
      <c r="AK9153" s="75"/>
    </row>
    <row r="9154" spans="34:37" x14ac:dyDescent="0.25">
      <c r="AH9154" s="75"/>
      <c r="AK9154" s="75"/>
    </row>
    <row r="9155" spans="34:37" x14ac:dyDescent="0.25">
      <c r="AH9155" s="75"/>
      <c r="AK9155" s="75"/>
    </row>
    <row r="9156" spans="34:37" x14ac:dyDescent="0.25">
      <c r="AH9156" s="75"/>
      <c r="AK9156" s="75"/>
    </row>
    <row r="9157" spans="34:37" x14ac:dyDescent="0.25">
      <c r="AH9157" s="75"/>
      <c r="AK9157" s="75"/>
    </row>
    <row r="9158" spans="34:37" x14ac:dyDescent="0.25">
      <c r="AH9158" s="75"/>
      <c r="AK9158" s="75"/>
    </row>
    <row r="9159" spans="34:37" x14ac:dyDescent="0.25">
      <c r="AH9159" s="75"/>
      <c r="AK9159" s="75"/>
    </row>
    <row r="9160" spans="34:37" x14ac:dyDescent="0.25">
      <c r="AH9160" s="75"/>
      <c r="AK9160" s="75"/>
    </row>
    <row r="9161" spans="34:37" x14ac:dyDescent="0.25">
      <c r="AH9161" s="75"/>
      <c r="AK9161" s="75"/>
    </row>
    <row r="9162" spans="34:37" x14ac:dyDescent="0.25">
      <c r="AH9162" s="75"/>
      <c r="AK9162" s="75"/>
    </row>
    <row r="9163" spans="34:37" x14ac:dyDescent="0.25">
      <c r="AH9163" s="75"/>
      <c r="AK9163" s="75"/>
    </row>
    <row r="9164" spans="34:37" x14ac:dyDescent="0.25">
      <c r="AH9164" s="75"/>
      <c r="AK9164" s="75"/>
    </row>
    <row r="9165" spans="34:37" x14ac:dyDescent="0.25">
      <c r="AH9165" s="75"/>
      <c r="AK9165" s="75"/>
    </row>
    <row r="9166" spans="34:37" x14ac:dyDescent="0.25">
      <c r="AH9166" s="75"/>
      <c r="AK9166" s="75"/>
    </row>
    <row r="9167" spans="34:37" x14ac:dyDescent="0.25">
      <c r="AH9167" s="75"/>
      <c r="AK9167" s="75"/>
    </row>
    <row r="9168" spans="34:37" x14ac:dyDescent="0.25">
      <c r="AH9168" s="75"/>
      <c r="AK9168" s="75"/>
    </row>
    <row r="9169" spans="34:37" x14ac:dyDescent="0.25">
      <c r="AH9169" s="75"/>
      <c r="AK9169" s="75"/>
    </row>
    <row r="9170" spans="34:37" x14ac:dyDescent="0.25">
      <c r="AH9170" s="75"/>
      <c r="AK9170" s="75"/>
    </row>
    <row r="9171" spans="34:37" x14ac:dyDescent="0.25">
      <c r="AH9171" s="75"/>
      <c r="AK9171" s="75"/>
    </row>
    <row r="9172" spans="34:37" x14ac:dyDescent="0.25">
      <c r="AH9172" s="75"/>
      <c r="AK9172" s="75"/>
    </row>
    <row r="9173" spans="34:37" x14ac:dyDescent="0.25">
      <c r="AH9173" s="75"/>
      <c r="AK9173" s="75"/>
    </row>
    <row r="9174" spans="34:37" x14ac:dyDescent="0.25">
      <c r="AH9174" s="75"/>
      <c r="AK9174" s="75"/>
    </row>
    <row r="9175" spans="34:37" x14ac:dyDescent="0.25">
      <c r="AH9175" s="75"/>
      <c r="AK9175" s="75"/>
    </row>
    <row r="9176" spans="34:37" x14ac:dyDescent="0.25">
      <c r="AH9176" s="75"/>
      <c r="AK9176" s="75"/>
    </row>
    <row r="9177" spans="34:37" x14ac:dyDescent="0.25">
      <c r="AH9177" s="75"/>
      <c r="AK9177" s="75"/>
    </row>
    <row r="9178" spans="34:37" x14ac:dyDescent="0.25">
      <c r="AH9178" s="75"/>
      <c r="AK9178" s="75"/>
    </row>
    <row r="9179" spans="34:37" x14ac:dyDescent="0.25">
      <c r="AH9179" s="75"/>
      <c r="AK9179" s="75"/>
    </row>
    <row r="9180" spans="34:37" x14ac:dyDescent="0.25">
      <c r="AH9180" s="75"/>
      <c r="AK9180" s="75"/>
    </row>
    <row r="9181" spans="34:37" x14ac:dyDescent="0.25">
      <c r="AH9181" s="75"/>
      <c r="AK9181" s="75"/>
    </row>
    <row r="9182" spans="34:37" x14ac:dyDescent="0.25">
      <c r="AH9182" s="75"/>
      <c r="AK9182" s="75"/>
    </row>
    <row r="9183" spans="34:37" x14ac:dyDescent="0.25">
      <c r="AH9183" s="75"/>
      <c r="AK9183" s="75"/>
    </row>
    <row r="9184" spans="34:37" x14ac:dyDescent="0.25">
      <c r="AH9184" s="75"/>
      <c r="AK9184" s="75"/>
    </row>
    <row r="9185" spans="34:37" x14ac:dyDescent="0.25">
      <c r="AH9185" s="75"/>
      <c r="AK9185" s="75"/>
    </row>
    <row r="9186" spans="34:37" x14ac:dyDescent="0.25">
      <c r="AH9186" s="75"/>
      <c r="AK9186" s="75"/>
    </row>
    <row r="9187" spans="34:37" x14ac:dyDescent="0.25">
      <c r="AH9187" s="75"/>
      <c r="AK9187" s="75"/>
    </row>
    <row r="9188" spans="34:37" x14ac:dyDescent="0.25">
      <c r="AH9188" s="75"/>
      <c r="AK9188" s="75"/>
    </row>
    <row r="9189" spans="34:37" x14ac:dyDescent="0.25">
      <c r="AH9189" s="75"/>
      <c r="AK9189" s="75"/>
    </row>
    <row r="9190" spans="34:37" x14ac:dyDescent="0.25">
      <c r="AH9190" s="75"/>
      <c r="AK9190" s="75"/>
    </row>
    <row r="9191" spans="34:37" x14ac:dyDescent="0.25">
      <c r="AH9191" s="75"/>
      <c r="AK9191" s="75"/>
    </row>
    <row r="9192" spans="34:37" x14ac:dyDescent="0.25">
      <c r="AH9192" s="75"/>
      <c r="AK9192" s="75"/>
    </row>
    <row r="9193" spans="34:37" x14ac:dyDescent="0.25">
      <c r="AH9193" s="75"/>
      <c r="AK9193" s="75"/>
    </row>
    <row r="9194" spans="34:37" x14ac:dyDescent="0.25">
      <c r="AH9194" s="75"/>
      <c r="AK9194" s="75"/>
    </row>
    <row r="9195" spans="34:37" x14ac:dyDescent="0.25">
      <c r="AH9195" s="75"/>
      <c r="AK9195" s="75"/>
    </row>
    <row r="9196" spans="34:37" x14ac:dyDescent="0.25">
      <c r="AH9196" s="75"/>
      <c r="AK9196" s="75"/>
    </row>
    <row r="9197" spans="34:37" x14ac:dyDescent="0.25">
      <c r="AH9197" s="75"/>
      <c r="AK9197" s="75"/>
    </row>
    <row r="9198" spans="34:37" x14ac:dyDescent="0.25">
      <c r="AH9198" s="75"/>
      <c r="AK9198" s="75"/>
    </row>
    <row r="9199" spans="34:37" x14ac:dyDescent="0.25">
      <c r="AH9199" s="75"/>
      <c r="AK9199" s="75"/>
    </row>
    <row r="9200" spans="34:37" x14ac:dyDescent="0.25">
      <c r="AH9200" s="75"/>
      <c r="AK9200" s="75"/>
    </row>
    <row r="9201" spans="34:37" x14ac:dyDescent="0.25">
      <c r="AH9201" s="75"/>
      <c r="AK9201" s="75"/>
    </row>
    <row r="9202" spans="34:37" x14ac:dyDescent="0.25">
      <c r="AH9202" s="75"/>
      <c r="AK9202" s="75"/>
    </row>
    <row r="9203" spans="34:37" x14ac:dyDescent="0.25">
      <c r="AH9203" s="75"/>
      <c r="AK9203" s="75"/>
    </row>
    <row r="9204" spans="34:37" x14ac:dyDescent="0.25">
      <c r="AH9204" s="75"/>
      <c r="AK9204" s="75"/>
    </row>
    <row r="9205" spans="34:37" x14ac:dyDescent="0.25">
      <c r="AH9205" s="75"/>
      <c r="AK9205" s="75"/>
    </row>
    <row r="9206" spans="34:37" x14ac:dyDescent="0.25">
      <c r="AH9206" s="75"/>
      <c r="AK9206" s="75"/>
    </row>
    <row r="9207" spans="34:37" x14ac:dyDescent="0.25">
      <c r="AH9207" s="75"/>
      <c r="AK9207" s="75"/>
    </row>
    <row r="9208" spans="34:37" x14ac:dyDescent="0.25">
      <c r="AH9208" s="75"/>
      <c r="AK9208" s="75"/>
    </row>
    <row r="9209" spans="34:37" x14ac:dyDescent="0.25">
      <c r="AH9209" s="75"/>
      <c r="AK9209" s="75"/>
    </row>
    <row r="9210" spans="34:37" x14ac:dyDescent="0.25">
      <c r="AH9210" s="75"/>
      <c r="AK9210" s="75"/>
    </row>
    <row r="9211" spans="34:37" x14ac:dyDescent="0.25">
      <c r="AH9211" s="75"/>
      <c r="AK9211" s="75"/>
    </row>
    <row r="9212" spans="34:37" x14ac:dyDescent="0.25">
      <c r="AH9212" s="75"/>
      <c r="AK9212" s="75"/>
    </row>
    <row r="9213" spans="34:37" x14ac:dyDescent="0.25">
      <c r="AH9213" s="75"/>
      <c r="AK9213" s="75"/>
    </row>
    <row r="9214" spans="34:37" x14ac:dyDescent="0.25">
      <c r="AH9214" s="75"/>
      <c r="AK9214" s="75"/>
    </row>
    <row r="9215" spans="34:37" x14ac:dyDescent="0.25">
      <c r="AH9215" s="75"/>
      <c r="AK9215" s="75"/>
    </row>
    <row r="9216" spans="34:37" x14ac:dyDescent="0.25">
      <c r="AH9216" s="75"/>
      <c r="AK9216" s="75"/>
    </row>
    <row r="9217" spans="34:37" x14ac:dyDescent="0.25">
      <c r="AH9217" s="75"/>
      <c r="AK9217" s="75"/>
    </row>
    <row r="9218" spans="34:37" x14ac:dyDescent="0.25">
      <c r="AH9218" s="75"/>
      <c r="AK9218" s="75"/>
    </row>
    <row r="9219" spans="34:37" x14ac:dyDescent="0.25">
      <c r="AH9219" s="75"/>
      <c r="AK9219" s="75"/>
    </row>
    <row r="9220" spans="34:37" x14ac:dyDescent="0.25">
      <c r="AH9220" s="75"/>
      <c r="AK9220" s="75"/>
    </row>
    <row r="9221" spans="34:37" x14ac:dyDescent="0.25">
      <c r="AH9221" s="75"/>
      <c r="AK9221" s="75"/>
    </row>
    <row r="9222" spans="34:37" x14ac:dyDescent="0.25">
      <c r="AH9222" s="75"/>
      <c r="AK9222" s="75"/>
    </row>
    <row r="9223" spans="34:37" x14ac:dyDescent="0.25">
      <c r="AH9223" s="75"/>
      <c r="AK9223" s="75"/>
    </row>
    <row r="9224" spans="34:37" x14ac:dyDescent="0.25">
      <c r="AH9224" s="75"/>
      <c r="AK9224" s="75"/>
    </row>
    <row r="9225" spans="34:37" x14ac:dyDescent="0.25">
      <c r="AH9225" s="75"/>
      <c r="AK9225" s="75"/>
    </row>
    <row r="9226" spans="34:37" x14ac:dyDescent="0.25">
      <c r="AH9226" s="75"/>
      <c r="AK9226" s="75"/>
    </row>
    <row r="9227" spans="34:37" x14ac:dyDescent="0.25">
      <c r="AH9227" s="75"/>
      <c r="AK9227" s="75"/>
    </row>
    <row r="9228" spans="34:37" x14ac:dyDescent="0.25">
      <c r="AH9228" s="75"/>
      <c r="AK9228" s="75"/>
    </row>
    <row r="9229" spans="34:37" x14ac:dyDescent="0.25">
      <c r="AH9229" s="75"/>
      <c r="AK9229" s="75"/>
    </row>
    <row r="9230" spans="34:37" x14ac:dyDescent="0.25">
      <c r="AH9230" s="75"/>
      <c r="AK9230" s="75"/>
    </row>
    <row r="9231" spans="34:37" x14ac:dyDescent="0.25">
      <c r="AH9231" s="75"/>
      <c r="AK9231" s="75"/>
    </row>
    <row r="9232" spans="34:37" x14ac:dyDescent="0.25">
      <c r="AH9232" s="75"/>
      <c r="AK9232" s="75"/>
    </row>
    <row r="9233" spans="34:37" x14ac:dyDescent="0.25">
      <c r="AH9233" s="75"/>
      <c r="AK9233" s="75"/>
    </row>
    <row r="9234" spans="34:37" x14ac:dyDescent="0.25">
      <c r="AH9234" s="75"/>
      <c r="AK9234" s="75"/>
    </row>
    <row r="9235" spans="34:37" x14ac:dyDescent="0.25">
      <c r="AH9235" s="75"/>
      <c r="AK9235" s="75"/>
    </row>
    <row r="9236" spans="34:37" x14ac:dyDescent="0.25">
      <c r="AH9236" s="75"/>
      <c r="AK9236" s="75"/>
    </row>
    <row r="9237" spans="34:37" x14ac:dyDescent="0.25">
      <c r="AH9237" s="75"/>
      <c r="AK9237" s="75"/>
    </row>
    <row r="9238" spans="34:37" x14ac:dyDescent="0.25">
      <c r="AH9238" s="75"/>
      <c r="AK9238" s="75"/>
    </row>
    <row r="9239" spans="34:37" x14ac:dyDescent="0.25">
      <c r="AH9239" s="75"/>
      <c r="AK9239" s="75"/>
    </row>
    <row r="9240" spans="34:37" x14ac:dyDescent="0.25">
      <c r="AH9240" s="75"/>
      <c r="AK9240" s="75"/>
    </row>
    <row r="9241" spans="34:37" x14ac:dyDescent="0.25">
      <c r="AH9241" s="75"/>
      <c r="AK9241" s="75"/>
    </row>
    <row r="9242" spans="34:37" x14ac:dyDescent="0.25">
      <c r="AH9242" s="75"/>
      <c r="AK9242" s="75"/>
    </row>
    <row r="9243" spans="34:37" x14ac:dyDescent="0.25">
      <c r="AH9243" s="75"/>
      <c r="AK9243" s="75"/>
    </row>
    <row r="9244" spans="34:37" x14ac:dyDescent="0.25">
      <c r="AH9244" s="75"/>
      <c r="AK9244" s="75"/>
    </row>
    <row r="9245" spans="34:37" x14ac:dyDescent="0.25">
      <c r="AH9245" s="75"/>
      <c r="AK9245" s="75"/>
    </row>
    <row r="9246" spans="34:37" x14ac:dyDescent="0.25">
      <c r="AH9246" s="75"/>
      <c r="AK9246" s="75"/>
    </row>
    <row r="9247" spans="34:37" x14ac:dyDescent="0.25">
      <c r="AH9247" s="75"/>
      <c r="AK9247" s="75"/>
    </row>
    <row r="9248" spans="34:37" x14ac:dyDescent="0.25">
      <c r="AH9248" s="75"/>
      <c r="AK9248" s="75"/>
    </row>
    <row r="9249" spans="34:37" x14ac:dyDescent="0.25">
      <c r="AH9249" s="75"/>
      <c r="AK9249" s="75"/>
    </row>
    <row r="9250" spans="34:37" x14ac:dyDescent="0.25">
      <c r="AH9250" s="75"/>
      <c r="AK9250" s="75"/>
    </row>
    <row r="9251" spans="34:37" x14ac:dyDescent="0.25">
      <c r="AH9251" s="75"/>
      <c r="AK9251" s="75"/>
    </row>
    <row r="9252" spans="34:37" x14ac:dyDescent="0.25">
      <c r="AH9252" s="75"/>
      <c r="AK9252" s="75"/>
    </row>
    <row r="9253" spans="34:37" x14ac:dyDescent="0.25">
      <c r="AH9253" s="75"/>
      <c r="AK9253" s="75"/>
    </row>
    <row r="9254" spans="34:37" x14ac:dyDescent="0.25">
      <c r="AH9254" s="75"/>
      <c r="AK9254" s="75"/>
    </row>
    <row r="9255" spans="34:37" x14ac:dyDescent="0.25">
      <c r="AH9255" s="75"/>
      <c r="AK9255" s="75"/>
    </row>
    <row r="9256" spans="34:37" x14ac:dyDescent="0.25">
      <c r="AH9256" s="75"/>
      <c r="AK9256" s="75"/>
    </row>
    <row r="9257" spans="34:37" x14ac:dyDescent="0.25">
      <c r="AH9257" s="75"/>
      <c r="AK9257" s="75"/>
    </row>
    <row r="9258" spans="34:37" x14ac:dyDescent="0.25">
      <c r="AH9258" s="75"/>
      <c r="AK9258" s="75"/>
    </row>
    <row r="9259" spans="34:37" x14ac:dyDescent="0.25">
      <c r="AH9259" s="75"/>
      <c r="AK9259" s="75"/>
    </row>
    <row r="9260" spans="34:37" x14ac:dyDescent="0.25">
      <c r="AH9260" s="75"/>
      <c r="AK9260" s="75"/>
    </row>
    <row r="9261" spans="34:37" x14ac:dyDescent="0.25">
      <c r="AH9261" s="75"/>
      <c r="AK9261" s="75"/>
    </row>
    <row r="9262" spans="34:37" x14ac:dyDescent="0.25">
      <c r="AH9262" s="75"/>
      <c r="AK9262" s="75"/>
    </row>
    <row r="9263" spans="34:37" x14ac:dyDescent="0.25">
      <c r="AH9263" s="75"/>
      <c r="AK9263" s="75"/>
    </row>
    <row r="9264" spans="34:37" x14ac:dyDescent="0.25">
      <c r="AH9264" s="75"/>
      <c r="AK9264" s="75"/>
    </row>
    <row r="9265" spans="34:37" x14ac:dyDescent="0.25">
      <c r="AH9265" s="75"/>
      <c r="AK9265" s="75"/>
    </row>
    <row r="9266" spans="34:37" x14ac:dyDescent="0.25">
      <c r="AH9266" s="75"/>
      <c r="AK9266" s="75"/>
    </row>
    <row r="9267" spans="34:37" x14ac:dyDescent="0.25">
      <c r="AH9267" s="75"/>
      <c r="AK9267" s="75"/>
    </row>
    <row r="9268" spans="34:37" x14ac:dyDescent="0.25">
      <c r="AH9268" s="75"/>
      <c r="AK9268" s="75"/>
    </row>
    <row r="9269" spans="34:37" x14ac:dyDescent="0.25">
      <c r="AH9269" s="75"/>
      <c r="AK9269" s="75"/>
    </row>
    <row r="9270" spans="34:37" x14ac:dyDescent="0.25">
      <c r="AH9270" s="75"/>
      <c r="AK9270" s="75"/>
    </row>
    <row r="9271" spans="34:37" x14ac:dyDescent="0.25">
      <c r="AH9271" s="75"/>
      <c r="AK9271" s="75"/>
    </row>
    <row r="9272" spans="34:37" x14ac:dyDescent="0.25">
      <c r="AH9272" s="75"/>
      <c r="AK9272" s="75"/>
    </row>
    <row r="9273" spans="34:37" x14ac:dyDescent="0.25">
      <c r="AH9273" s="75"/>
      <c r="AK9273" s="75"/>
    </row>
    <row r="9274" spans="34:37" x14ac:dyDescent="0.25">
      <c r="AH9274" s="75"/>
      <c r="AK9274" s="75"/>
    </row>
    <row r="9275" spans="34:37" x14ac:dyDescent="0.25">
      <c r="AH9275" s="75"/>
      <c r="AK9275" s="75"/>
    </row>
    <row r="9276" spans="34:37" x14ac:dyDescent="0.25">
      <c r="AH9276" s="75"/>
      <c r="AK9276" s="75"/>
    </row>
    <row r="9277" spans="34:37" x14ac:dyDescent="0.25">
      <c r="AH9277" s="75"/>
      <c r="AK9277" s="75"/>
    </row>
    <row r="9278" spans="34:37" x14ac:dyDescent="0.25">
      <c r="AH9278" s="75"/>
      <c r="AK9278" s="75"/>
    </row>
    <row r="9279" spans="34:37" x14ac:dyDescent="0.25">
      <c r="AH9279" s="75"/>
      <c r="AK9279" s="75"/>
    </row>
    <row r="9280" spans="34:37" x14ac:dyDescent="0.25">
      <c r="AH9280" s="75"/>
      <c r="AK9280" s="75"/>
    </row>
    <row r="9281" spans="34:37" x14ac:dyDescent="0.25">
      <c r="AH9281" s="75"/>
      <c r="AK9281" s="75"/>
    </row>
    <row r="9282" spans="34:37" x14ac:dyDescent="0.25">
      <c r="AH9282" s="75"/>
      <c r="AK9282" s="75"/>
    </row>
    <row r="9283" spans="34:37" x14ac:dyDescent="0.25">
      <c r="AH9283" s="75"/>
      <c r="AK9283" s="75"/>
    </row>
    <row r="9284" spans="34:37" x14ac:dyDescent="0.25">
      <c r="AH9284" s="75"/>
      <c r="AK9284" s="75"/>
    </row>
    <row r="9285" spans="34:37" x14ac:dyDescent="0.25">
      <c r="AH9285" s="75"/>
      <c r="AK9285" s="75"/>
    </row>
    <row r="9286" spans="34:37" x14ac:dyDescent="0.25">
      <c r="AH9286" s="75"/>
      <c r="AK9286" s="75"/>
    </row>
    <row r="9287" spans="34:37" x14ac:dyDescent="0.25">
      <c r="AH9287" s="75"/>
      <c r="AK9287" s="75"/>
    </row>
    <row r="9288" spans="34:37" x14ac:dyDescent="0.25">
      <c r="AH9288" s="75"/>
      <c r="AK9288" s="75"/>
    </row>
    <row r="9289" spans="34:37" x14ac:dyDescent="0.25">
      <c r="AH9289" s="75"/>
      <c r="AK9289" s="75"/>
    </row>
    <row r="9290" spans="34:37" x14ac:dyDescent="0.25">
      <c r="AH9290" s="75"/>
      <c r="AK9290" s="75"/>
    </row>
    <row r="9291" spans="34:37" x14ac:dyDescent="0.25">
      <c r="AH9291" s="75"/>
      <c r="AK9291" s="75"/>
    </row>
    <row r="9292" spans="34:37" x14ac:dyDescent="0.25">
      <c r="AH9292" s="75"/>
      <c r="AK9292" s="75"/>
    </row>
    <row r="9293" spans="34:37" x14ac:dyDescent="0.25">
      <c r="AH9293" s="75"/>
      <c r="AK9293" s="75"/>
    </row>
    <row r="9294" spans="34:37" x14ac:dyDescent="0.25">
      <c r="AH9294" s="75"/>
      <c r="AK9294" s="75"/>
    </row>
    <row r="9295" spans="34:37" x14ac:dyDescent="0.25">
      <c r="AH9295" s="75"/>
      <c r="AK9295" s="75"/>
    </row>
    <row r="9296" spans="34:37" x14ac:dyDescent="0.25">
      <c r="AH9296" s="75"/>
      <c r="AK9296" s="75"/>
    </row>
    <row r="9297" spans="34:37" x14ac:dyDescent="0.25">
      <c r="AH9297" s="75"/>
      <c r="AK9297" s="75"/>
    </row>
    <row r="9298" spans="34:37" x14ac:dyDescent="0.25">
      <c r="AH9298" s="75"/>
      <c r="AK9298" s="75"/>
    </row>
    <row r="9299" spans="34:37" x14ac:dyDescent="0.25">
      <c r="AH9299" s="75"/>
      <c r="AK9299" s="75"/>
    </row>
    <row r="9300" spans="34:37" x14ac:dyDescent="0.25">
      <c r="AH9300" s="75"/>
      <c r="AK9300" s="75"/>
    </row>
    <row r="9301" spans="34:37" x14ac:dyDescent="0.25">
      <c r="AH9301" s="75"/>
      <c r="AK9301" s="75"/>
    </row>
    <row r="9302" spans="34:37" x14ac:dyDescent="0.25">
      <c r="AH9302" s="75"/>
      <c r="AK9302" s="75"/>
    </row>
    <row r="9303" spans="34:37" x14ac:dyDescent="0.25">
      <c r="AH9303" s="75"/>
      <c r="AK9303" s="75"/>
    </row>
    <row r="9304" spans="34:37" x14ac:dyDescent="0.25">
      <c r="AH9304" s="75"/>
      <c r="AK9304" s="75"/>
    </row>
    <row r="9305" spans="34:37" x14ac:dyDescent="0.25">
      <c r="AH9305" s="75"/>
      <c r="AK9305" s="75"/>
    </row>
    <row r="9306" spans="34:37" x14ac:dyDescent="0.25">
      <c r="AH9306" s="75"/>
      <c r="AK9306" s="75"/>
    </row>
    <row r="9307" spans="34:37" x14ac:dyDescent="0.25">
      <c r="AH9307" s="75"/>
      <c r="AK9307" s="75"/>
    </row>
    <row r="9308" spans="34:37" x14ac:dyDescent="0.25">
      <c r="AH9308" s="75"/>
      <c r="AK9308" s="75"/>
    </row>
    <row r="9309" spans="34:37" x14ac:dyDescent="0.25">
      <c r="AH9309" s="75"/>
      <c r="AK9309" s="75"/>
    </row>
    <row r="9310" spans="34:37" x14ac:dyDescent="0.25">
      <c r="AH9310" s="75"/>
      <c r="AK9310" s="75"/>
    </row>
    <row r="9311" spans="34:37" x14ac:dyDescent="0.25">
      <c r="AH9311" s="75"/>
      <c r="AK9311" s="75"/>
    </row>
    <row r="9312" spans="34:37" x14ac:dyDescent="0.25">
      <c r="AH9312" s="75"/>
      <c r="AK9312" s="75"/>
    </row>
    <row r="9313" spans="34:37" x14ac:dyDescent="0.25">
      <c r="AH9313" s="75"/>
      <c r="AK9313" s="75"/>
    </row>
    <row r="9314" spans="34:37" x14ac:dyDescent="0.25">
      <c r="AH9314" s="75"/>
      <c r="AK9314" s="75"/>
    </row>
    <row r="9315" spans="34:37" x14ac:dyDescent="0.25">
      <c r="AH9315" s="75"/>
      <c r="AK9315" s="75"/>
    </row>
    <row r="9316" spans="34:37" x14ac:dyDescent="0.25">
      <c r="AH9316" s="75"/>
      <c r="AK9316" s="75"/>
    </row>
    <row r="9317" spans="34:37" x14ac:dyDescent="0.25">
      <c r="AH9317" s="75"/>
      <c r="AK9317" s="75"/>
    </row>
    <row r="9318" spans="34:37" x14ac:dyDescent="0.25">
      <c r="AH9318" s="75"/>
      <c r="AK9318" s="75"/>
    </row>
    <row r="9319" spans="34:37" x14ac:dyDescent="0.25">
      <c r="AH9319" s="75"/>
      <c r="AK9319" s="75"/>
    </row>
    <row r="9320" spans="34:37" x14ac:dyDescent="0.25">
      <c r="AH9320" s="75"/>
      <c r="AK9320" s="75"/>
    </row>
    <row r="9321" spans="34:37" x14ac:dyDescent="0.25">
      <c r="AH9321" s="75"/>
      <c r="AK9321" s="75"/>
    </row>
    <row r="9322" spans="34:37" x14ac:dyDescent="0.25">
      <c r="AH9322" s="75"/>
      <c r="AK9322" s="75"/>
    </row>
    <row r="9323" spans="34:37" x14ac:dyDescent="0.25">
      <c r="AH9323" s="75"/>
      <c r="AK9323" s="75"/>
    </row>
    <row r="9324" spans="34:37" x14ac:dyDescent="0.25">
      <c r="AH9324" s="75"/>
      <c r="AK9324" s="75"/>
    </row>
    <row r="9325" spans="34:37" x14ac:dyDescent="0.25">
      <c r="AH9325" s="75"/>
      <c r="AK9325" s="75"/>
    </row>
    <row r="9326" spans="34:37" x14ac:dyDescent="0.25">
      <c r="AH9326" s="75"/>
      <c r="AK9326" s="75"/>
    </row>
    <row r="9327" spans="34:37" x14ac:dyDescent="0.25">
      <c r="AH9327" s="75"/>
      <c r="AK9327" s="75"/>
    </row>
    <row r="9328" spans="34:37" x14ac:dyDescent="0.25">
      <c r="AH9328" s="75"/>
      <c r="AK9328" s="75"/>
    </row>
    <row r="9329" spans="34:37" x14ac:dyDescent="0.25">
      <c r="AH9329" s="75"/>
      <c r="AK9329" s="75"/>
    </row>
    <row r="9330" spans="34:37" x14ac:dyDescent="0.25">
      <c r="AH9330" s="75"/>
      <c r="AK9330" s="75"/>
    </row>
    <row r="9331" spans="34:37" x14ac:dyDescent="0.25">
      <c r="AH9331" s="75"/>
      <c r="AK9331" s="75"/>
    </row>
    <row r="9332" spans="34:37" x14ac:dyDescent="0.25">
      <c r="AH9332" s="75"/>
      <c r="AK9332" s="75"/>
    </row>
    <row r="9333" spans="34:37" x14ac:dyDescent="0.25">
      <c r="AH9333" s="75"/>
      <c r="AK9333" s="75"/>
    </row>
    <row r="9334" spans="34:37" x14ac:dyDescent="0.25">
      <c r="AH9334" s="75"/>
      <c r="AK9334" s="75"/>
    </row>
    <row r="9335" spans="34:37" x14ac:dyDescent="0.25">
      <c r="AH9335" s="75"/>
      <c r="AK9335" s="75"/>
    </row>
    <row r="9336" spans="34:37" x14ac:dyDescent="0.25">
      <c r="AH9336" s="75"/>
      <c r="AK9336" s="75"/>
    </row>
    <row r="9337" spans="34:37" x14ac:dyDescent="0.25">
      <c r="AH9337" s="75"/>
      <c r="AK9337" s="75"/>
    </row>
    <row r="9338" spans="34:37" x14ac:dyDescent="0.25">
      <c r="AH9338" s="75"/>
      <c r="AK9338" s="75"/>
    </row>
    <row r="9339" spans="34:37" x14ac:dyDescent="0.25">
      <c r="AH9339" s="75"/>
      <c r="AK9339" s="75"/>
    </row>
    <row r="9340" spans="34:37" x14ac:dyDescent="0.25">
      <c r="AH9340" s="75"/>
      <c r="AK9340" s="75"/>
    </row>
    <row r="9341" spans="34:37" x14ac:dyDescent="0.25">
      <c r="AH9341" s="75"/>
      <c r="AK9341" s="75"/>
    </row>
    <row r="9342" spans="34:37" x14ac:dyDescent="0.25">
      <c r="AH9342" s="75"/>
      <c r="AK9342" s="75"/>
    </row>
    <row r="9343" spans="34:37" x14ac:dyDescent="0.25">
      <c r="AH9343" s="75"/>
      <c r="AK9343" s="75"/>
    </row>
    <row r="9344" spans="34:37" x14ac:dyDescent="0.25">
      <c r="AH9344" s="75"/>
      <c r="AK9344" s="75"/>
    </row>
    <row r="9345" spans="34:37" x14ac:dyDescent="0.25">
      <c r="AH9345" s="75"/>
      <c r="AK9345" s="75"/>
    </row>
    <row r="9346" spans="34:37" x14ac:dyDescent="0.25">
      <c r="AH9346" s="75"/>
      <c r="AK9346" s="75"/>
    </row>
    <row r="9347" spans="34:37" x14ac:dyDescent="0.25">
      <c r="AH9347" s="75"/>
      <c r="AK9347" s="75"/>
    </row>
    <row r="9348" spans="34:37" x14ac:dyDescent="0.25">
      <c r="AH9348" s="75"/>
      <c r="AK9348" s="75"/>
    </row>
    <row r="9349" spans="34:37" x14ac:dyDescent="0.25">
      <c r="AH9349" s="75"/>
      <c r="AK9349" s="75"/>
    </row>
    <row r="9350" spans="34:37" x14ac:dyDescent="0.25">
      <c r="AH9350" s="75"/>
      <c r="AK9350" s="75"/>
    </row>
    <row r="9351" spans="34:37" x14ac:dyDescent="0.25">
      <c r="AH9351" s="75"/>
      <c r="AK9351" s="75"/>
    </row>
    <row r="9352" spans="34:37" x14ac:dyDescent="0.25">
      <c r="AH9352" s="75"/>
      <c r="AK9352" s="75"/>
    </row>
    <row r="9353" spans="34:37" x14ac:dyDescent="0.25">
      <c r="AH9353" s="75"/>
      <c r="AK9353" s="75"/>
    </row>
    <row r="9354" spans="34:37" x14ac:dyDescent="0.25">
      <c r="AH9354" s="75"/>
      <c r="AK9354" s="75"/>
    </row>
    <row r="9355" spans="34:37" x14ac:dyDescent="0.25">
      <c r="AH9355" s="75"/>
      <c r="AK9355" s="75"/>
    </row>
    <row r="9356" spans="34:37" x14ac:dyDescent="0.25">
      <c r="AH9356" s="75"/>
      <c r="AK9356" s="75"/>
    </row>
    <row r="9357" spans="34:37" x14ac:dyDescent="0.25">
      <c r="AH9357" s="75"/>
      <c r="AK9357" s="75"/>
    </row>
    <row r="9358" spans="34:37" x14ac:dyDescent="0.25">
      <c r="AH9358" s="75"/>
      <c r="AK9358" s="75"/>
    </row>
    <row r="9359" spans="34:37" x14ac:dyDescent="0.25">
      <c r="AH9359" s="75"/>
      <c r="AK9359" s="75"/>
    </row>
    <row r="9360" spans="34:37" x14ac:dyDescent="0.25">
      <c r="AH9360" s="75"/>
      <c r="AK9360" s="75"/>
    </row>
    <row r="9361" spans="34:37" x14ac:dyDescent="0.25">
      <c r="AH9361" s="75"/>
      <c r="AK9361" s="75"/>
    </row>
    <row r="9362" spans="34:37" x14ac:dyDescent="0.25">
      <c r="AH9362" s="75"/>
      <c r="AK9362" s="75"/>
    </row>
    <row r="9363" spans="34:37" x14ac:dyDescent="0.25">
      <c r="AH9363" s="75"/>
      <c r="AK9363" s="75"/>
    </row>
    <row r="9364" spans="34:37" x14ac:dyDescent="0.25">
      <c r="AH9364" s="75"/>
      <c r="AK9364" s="75"/>
    </row>
    <row r="9365" spans="34:37" x14ac:dyDescent="0.25">
      <c r="AH9365" s="75"/>
      <c r="AK9365" s="75"/>
    </row>
    <row r="9366" spans="34:37" x14ac:dyDescent="0.25">
      <c r="AH9366" s="75"/>
      <c r="AK9366" s="75"/>
    </row>
    <row r="9367" spans="34:37" x14ac:dyDescent="0.25">
      <c r="AH9367" s="75"/>
      <c r="AK9367" s="75"/>
    </row>
    <row r="9368" spans="34:37" x14ac:dyDescent="0.25">
      <c r="AH9368" s="75"/>
      <c r="AK9368" s="75"/>
    </row>
    <row r="9369" spans="34:37" x14ac:dyDescent="0.25">
      <c r="AH9369" s="75"/>
      <c r="AK9369" s="75"/>
    </row>
    <row r="9370" spans="34:37" x14ac:dyDescent="0.25">
      <c r="AH9370" s="75"/>
      <c r="AK9370" s="75"/>
    </row>
    <row r="9371" spans="34:37" x14ac:dyDescent="0.25">
      <c r="AH9371" s="75"/>
      <c r="AK9371" s="75"/>
    </row>
    <row r="9372" spans="34:37" x14ac:dyDescent="0.25">
      <c r="AH9372" s="75"/>
      <c r="AK9372" s="75"/>
    </row>
    <row r="9373" spans="34:37" x14ac:dyDescent="0.25">
      <c r="AH9373" s="75"/>
      <c r="AK9373" s="75"/>
    </row>
    <row r="9374" spans="34:37" x14ac:dyDescent="0.25">
      <c r="AH9374" s="75"/>
      <c r="AK9374" s="75"/>
    </row>
    <row r="9375" spans="34:37" x14ac:dyDescent="0.25">
      <c r="AH9375" s="75"/>
      <c r="AK9375" s="75"/>
    </row>
    <row r="9376" spans="34:37" x14ac:dyDescent="0.25">
      <c r="AH9376" s="75"/>
      <c r="AK9376" s="75"/>
    </row>
    <row r="9377" spans="34:37" x14ac:dyDescent="0.25">
      <c r="AH9377" s="75"/>
      <c r="AK9377" s="75"/>
    </row>
    <row r="9378" spans="34:37" x14ac:dyDescent="0.25">
      <c r="AH9378" s="75"/>
      <c r="AK9378" s="75"/>
    </row>
    <row r="9379" spans="34:37" x14ac:dyDescent="0.25">
      <c r="AH9379" s="75"/>
      <c r="AK9379" s="75"/>
    </row>
    <row r="9380" spans="34:37" x14ac:dyDescent="0.25">
      <c r="AH9380" s="75"/>
      <c r="AK9380" s="75"/>
    </row>
    <row r="9381" spans="34:37" x14ac:dyDescent="0.25">
      <c r="AH9381" s="75"/>
      <c r="AK9381" s="75"/>
    </row>
    <row r="9382" spans="34:37" x14ac:dyDescent="0.25">
      <c r="AH9382" s="75"/>
      <c r="AK9382" s="75"/>
    </row>
    <row r="9383" spans="34:37" x14ac:dyDescent="0.25">
      <c r="AH9383" s="75"/>
      <c r="AK9383" s="75"/>
    </row>
    <row r="9384" spans="34:37" x14ac:dyDescent="0.25">
      <c r="AH9384" s="75"/>
      <c r="AK9384" s="75"/>
    </row>
    <row r="9385" spans="34:37" x14ac:dyDescent="0.25">
      <c r="AH9385" s="75"/>
      <c r="AK9385" s="75"/>
    </row>
    <row r="9386" spans="34:37" x14ac:dyDescent="0.25">
      <c r="AH9386" s="75"/>
      <c r="AK9386" s="75"/>
    </row>
    <row r="9387" spans="34:37" x14ac:dyDescent="0.25">
      <c r="AH9387" s="75"/>
      <c r="AK9387" s="75"/>
    </row>
    <row r="9388" spans="34:37" x14ac:dyDescent="0.25">
      <c r="AH9388" s="75"/>
      <c r="AK9388" s="75"/>
    </row>
    <row r="9389" spans="34:37" x14ac:dyDescent="0.25">
      <c r="AH9389" s="75"/>
      <c r="AK9389" s="75"/>
    </row>
    <row r="9390" spans="34:37" x14ac:dyDescent="0.25">
      <c r="AH9390" s="75"/>
      <c r="AK9390" s="75"/>
    </row>
    <row r="9391" spans="34:37" x14ac:dyDescent="0.25">
      <c r="AH9391" s="75"/>
      <c r="AK9391" s="75"/>
    </row>
    <row r="9392" spans="34:37" x14ac:dyDescent="0.25">
      <c r="AH9392" s="75"/>
      <c r="AK9392" s="75"/>
    </row>
    <row r="9393" spans="34:37" x14ac:dyDescent="0.25">
      <c r="AH9393" s="75"/>
      <c r="AK9393" s="75"/>
    </row>
    <row r="9394" spans="34:37" x14ac:dyDescent="0.25">
      <c r="AH9394" s="75"/>
      <c r="AK9394" s="75"/>
    </row>
    <row r="9395" spans="34:37" x14ac:dyDescent="0.25">
      <c r="AH9395" s="75"/>
      <c r="AK9395" s="75"/>
    </row>
    <row r="9396" spans="34:37" x14ac:dyDescent="0.25">
      <c r="AH9396" s="75"/>
      <c r="AK9396" s="75"/>
    </row>
    <row r="9397" spans="34:37" x14ac:dyDescent="0.25">
      <c r="AH9397" s="75"/>
      <c r="AK9397" s="75"/>
    </row>
    <row r="9398" spans="34:37" x14ac:dyDescent="0.25">
      <c r="AH9398" s="75"/>
      <c r="AK9398" s="75"/>
    </row>
    <row r="9399" spans="34:37" x14ac:dyDescent="0.25">
      <c r="AH9399" s="75"/>
      <c r="AK9399" s="75"/>
    </row>
    <row r="9400" spans="34:37" x14ac:dyDescent="0.25">
      <c r="AH9400" s="75"/>
      <c r="AK9400" s="75"/>
    </row>
    <row r="9401" spans="34:37" x14ac:dyDescent="0.25">
      <c r="AH9401" s="75"/>
      <c r="AK9401" s="75"/>
    </row>
    <row r="9402" spans="34:37" x14ac:dyDescent="0.25">
      <c r="AH9402" s="75"/>
      <c r="AK9402" s="75"/>
    </row>
    <row r="9403" spans="34:37" x14ac:dyDescent="0.25">
      <c r="AH9403" s="75"/>
      <c r="AK9403" s="75"/>
    </row>
    <row r="9404" spans="34:37" x14ac:dyDescent="0.25">
      <c r="AH9404" s="75"/>
      <c r="AK9404" s="75"/>
    </row>
    <row r="9405" spans="34:37" x14ac:dyDescent="0.25">
      <c r="AH9405" s="75"/>
      <c r="AK9405" s="75"/>
    </row>
    <row r="9406" spans="34:37" x14ac:dyDescent="0.25">
      <c r="AH9406" s="75"/>
      <c r="AK9406" s="75"/>
    </row>
    <row r="9407" spans="34:37" x14ac:dyDescent="0.25">
      <c r="AH9407" s="75"/>
      <c r="AK9407" s="75"/>
    </row>
    <row r="9408" spans="34:37" x14ac:dyDescent="0.25">
      <c r="AH9408" s="75"/>
      <c r="AK9408" s="75"/>
    </row>
    <row r="9409" spans="34:37" x14ac:dyDescent="0.25">
      <c r="AH9409" s="75"/>
      <c r="AK9409" s="75"/>
    </row>
    <row r="9410" spans="34:37" x14ac:dyDescent="0.25">
      <c r="AH9410" s="75"/>
      <c r="AK9410" s="75"/>
    </row>
    <row r="9411" spans="34:37" x14ac:dyDescent="0.25">
      <c r="AH9411" s="75"/>
      <c r="AK9411" s="75"/>
    </row>
    <row r="9412" spans="34:37" x14ac:dyDescent="0.25">
      <c r="AH9412" s="75"/>
      <c r="AK9412" s="75"/>
    </row>
    <row r="9413" spans="34:37" x14ac:dyDescent="0.25">
      <c r="AH9413" s="75"/>
      <c r="AK9413" s="75"/>
    </row>
    <row r="9414" spans="34:37" x14ac:dyDescent="0.25">
      <c r="AH9414" s="75"/>
      <c r="AK9414" s="75"/>
    </row>
    <row r="9415" spans="34:37" x14ac:dyDescent="0.25">
      <c r="AH9415" s="75"/>
      <c r="AK9415" s="75"/>
    </row>
    <row r="9416" spans="34:37" x14ac:dyDescent="0.25">
      <c r="AH9416" s="75"/>
      <c r="AK9416" s="75"/>
    </row>
    <row r="9417" spans="34:37" x14ac:dyDescent="0.25">
      <c r="AH9417" s="75"/>
      <c r="AK9417" s="75"/>
    </row>
    <row r="9418" spans="34:37" x14ac:dyDescent="0.25">
      <c r="AH9418" s="75"/>
      <c r="AK9418" s="75"/>
    </row>
    <row r="9419" spans="34:37" x14ac:dyDescent="0.25">
      <c r="AH9419" s="75"/>
      <c r="AK9419" s="75"/>
    </row>
    <row r="9420" spans="34:37" x14ac:dyDescent="0.25">
      <c r="AH9420" s="75"/>
      <c r="AK9420" s="75"/>
    </row>
    <row r="9421" spans="34:37" x14ac:dyDescent="0.25">
      <c r="AH9421" s="75"/>
      <c r="AK9421" s="75"/>
    </row>
    <row r="9422" spans="34:37" x14ac:dyDescent="0.25">
      <c r="AH9422" s="75"/>
      <c r="AK9422" s="75"/>
    </row>
    <row r="9423" spans="34:37" x14ac:dyDescent="0.25">
      <c r="AH9423" s="75"/>
      <c r="AK9423" s="75"/>
    </row>
    <row r="9424" spans="34:37" x14ac:dyDescent="0.25">
      <c r="AH9424" s="75"/>
      <c r="AK9424" s="75"/>
    </row>
    <row r="9425" spans="34:37" x14ac:dyDescent="0.25">
      <c r="AH9425" s="75"/>
      <c r="AK9425" s="75"/>
    </row>
    <row r="9426" spans="34:37" x14ac:dyDescent="0.25">
      <c r="AH9426" s="75"/>
      <c r="AK9426" s="75"/>
    </row>
    <row r="9427" spans="34:37" x14ac:dyDescent="0.25">
      <c r="AH9427" s="75"/>
      <c r="AK9427" s="75"/>
    </row>
    <row r="9428" spans="34:37" x14ac:dyDescent="0.25">
      <c r="AH9428" s="75"/>
      <c r="AK9428" s="75"/>
    </row>
    <row r="9429" spans="34:37" x14ac:dyDescent="0.25">
      <c r="AH9429" s="75"/>
      <c r="AK9429" s="75"/>
    </row>
    <row r="9430" spans="34:37" x14ac:dyDescent="0.25">
      <c r="AH9430" s="75"/>
      <c r="AK9430" s="75"/>
    </row>
    <row r="9431" spans="34:37" x14ac:dyDescent="0.25">
      <c r="AH9431" s="75"/>
      <c r="AK9431" s="75"/>
    </row>
    <row r="9432" spans="34:37" x14ac:dyDescent="0.25">
      <c r="AH9432" s="75"/>
      <c r="AK9432" s="75"/>
    </row>
    <row r="9433" spans="34:37" x14ac:dyDescent="0.25">
      <c r="AH9433" s="75"/>
      <c r="AK9433" s="75"/>
    </row>
    <row r="9434" spans="34:37" x14ac:dyDescent="0.25">
      <c r="AH9434" s="75"/>
      <c r="AK9434" s="75"/>
    </row>
    <row r="9435" spans="34:37" x14ac:dyDescent="0.25">
      <c r="AH9435" s="75"/>
      <c r="AK9435" s="75"/>
    </row>
    <row r="9436" spans="34:37" x14ac:dyDescent="0.25">
      <c r="AH9436" s="75"/>
      <c r="AK9436" s="75"/>
    </row>
    <row r="9437" spans="34:37" x14ac:dyDescent="0.25">
      <c r="AH9437" s="75"/>
      <c r="AK9437" s="75"/>
    </row>
    <row r="9438" spans="34:37" x14ac:dyDescent="0.25">
      <c r="AH9438" s="75"/>
      <c r="AK9438" s="75"/>
    </row>
    <row r="9439" spans="34:37" x14ac:dyDescent="0.25">
      <c r="AH9439" s="75"/>
      <c r="AK9439" s="75"/>
    </row>
    <row r="9440" spans="34:37" x14ac:dyDescent="0.25">
      <c r="AH9440" s="75"/>
      <c r="AK9440" s="75"/>
    </row>
    <row r="9441" spans="34:37" x14ac:dyDescent="0.25">
      <c r="AH9441" s="75"/>
      <c r="AK9441" s="75"/>
    </row>
    <row r="9442" spans="34:37" x14ac:dyDescent="0.25">
      <c r="AH9442" s="75"/>
      <c r="AK9442" s="75"/>
    </row>
    <row r="9443" spans="34:37" x14ac:dyDescent="0.25">
      <c r="AH9443" s="75"/>
      <c r="AK9443" s="75"/>
    </row>
    <row r="9444" spans="34:37" x14ac:dyDescent="0.25">
      <c r="AH9444" s="75"/>
      <c r="AK9444" s="75"/>
    </row>
    <row r="9445" spans="34:37" x14ac:dyDescent="0.25">
      <c r="AH9445" s="75"/>
      <c r="AK9445" s="75"/>
    </row>
    <row r="9446" spans="34:37" x14ac:dyDescent="0.25">
      <c r="AH9446" s="75"/>
      <c r="AK9446" s="75"/>
    </row>
    <row r="9447" spans="34:37" x14ac:dyDescent="0.25">
      <c r="AH9447" s="75"/>
      <c r="AK9447" s="75"/>
    </row>
    <row r="9448" spans="34:37" x14ac:dyDescent="0.25">
      <c r="AH9448" s="75"/>
      <c r="AK9448" s="75"/>
    </row>
    <row r="9449" spans="34:37" x14ac:dyDescent="0.25">
      <c r="AH9449" s="75"/>
      <c r="AK9449" s="75"/>
    </row>
    <row r="9450" spans="34:37" x14ac:dyDescent="0.25">
      <c r="AH9450" s="75"/>
      <c r="AK9450" s="75"/>
    </row>
    <row r="9451" spans="34:37" x14ac:dyDescent="0.25">
      <c r="AH9451" s="75"/>
      <c r="AK9451" s="75"/>
    </row>
    <row r="9452" spans="34:37" x14ac:dyDescent="0.25">
      <c r="AH9452" s="75"/>
      <c r="AK9452" s="75"/>
    </row>
    <row r="9453" spans="34:37" x14ac:dyDescent="0.25">
      <c r="AH9453" s="75"/>
      <c r="AK9453" s="75"/>
    </row>
    <row r="9454" spans="34:37" x14ac:dyDescent="0.25">
      <c r="AH9454" s="75"/>
      <c r="AK9454" s="75"/>
    </row>
    <row r="9455" spans="34:37" x14ac:dyDescent="0.25">
      <c r="AH9455" s="75"/>
      <c r="AK9455" s="75"/>
    </row>
    <row r="9456" spans="34:37" x14ac:dyDescent="0.25">
      <c r="AH9456" s="75"/>
      <c r="AK9456" s="75"/>
    </row>
    <row r="9457" spans="34:37" x14ac:dyDescent="0.25">
      <c r="AH9457" s="75"/>
      <c r="AK9457" s="75"/>
    </row>
    <row r="9458" spans="34:37" x14ac:dyDescent="0.25">
      <c r="AH9458" s="75"/>
      <c r="AK9458" s="75"/>
    </row>
    <row r="9459" spans="34:37" x14ac:dyDescent="0.25">
      <c r="AH9459" s="75"/>
      <c r="AK9459" s="75"/>
    </row>
    <row r="9460" spans="34:37" x14ac:dyDescent="0.25">
      <c r="AH9460" s="75"/>
      <c r="AK9460" s="75"/>
    </row>
    <row r="9461" spans="34:37" x14ac:dyDescent="0.25">
      <c r="AH9461" s="75"/>
      <c r="AK9461" s="75"/>
    </row>
    <row r="9462" spans="34:37" x14ac:dyDescent="0.25">
      <c r="AH9462" s="75"/>
      <c r="AK9462" s="75"/>
    </row>
    <row r="9463" spans="34:37" x14ac:dyDescent="0.25">
      <c r="AH9463" s="75"/>
      <c r="AK9463" s="75"/>
    </row>
    <row r="9464" spans="34:37" x14ac:dyDescent="0.25">
      <c r="AH9464" s="75"/>
      <c r="AK9464" s="75"/>
    </row>
    <row r="9465" spans="34:37" x14ac:dyDescent="0.25">
      <c r="AH9465" s="75"/>
      <c r="AK9465" s="75"/>
    </row>
    <row r="9466" spans="34:37" x14ac:dyDescent="0.25">
      <c r="AH9466" s="75"/>
      <c r="AK9466" s="75"/>
    </row>
    <row r="9467" spans="34:37" x14ac:dyDescent="0.25">
      <c r="AH9467" s="75"/>
      <c r="AK9467" s="75"/>
    </row>
    <row r="9468" spans="34:37" x14ac:dyDescent="0.25">
      <c r="AH9468" s="75"/>
      <c r="AK9468" s="75"/>
    </row>
    <row r="9469" spans="34:37" x14ac:dyDescent="0.25">
      <c r="AH9469" s="75"/>
      <c r="AK9469" s="75"/>
    </row>
    <row r="9470" spans="34:37" x14ac:dyDescent="0.25">
      <c r="AH9470" s="75"/>
      <c r="AK9470" s="75"/>
    </row>
    <row r="9471" spans="34:37" x14ac:dyDescent="0.25">
      <c r="AH9471" s="75"/>
      <c r="AK9471" s="75"/>
    </row>
    <row r="9472" spans="34:37" x14ac:dyDescent="0.25">
      <c r="AH9472" s="75"/>
      <c r="AK9472" s="75"/>
    </row>
    <row r="9473" spans="34:37" x14ac:dyDescent="0.25">
      <c r="AH9473" s="75"/>
      <c r="AK9473" s="75"/>
    </row>
    <row r="9474" spans="34:37" x14ac:dyDescent="0.25">
      <c r="AH9474" s="75"/>
      <c r="AK9474" s="75"/>
    </row>
    <row r="9475" spans="34:37" x14ac:dyDescent="0.25">
      <c r="AH9475" s="75"/>
      <c r="AK9475" s="75"/>
    </row>
    <row r="9476" spans="34:37" x14ac:dyDescent="0.25">
      <c r="AH9476" s="75"/>
      <c r="AK9476" s="75"/>
    </row>
    <row r="9477" spans="34:37" x14ac:dyDescent="0.25">
      <c r="AH9477" s="75"/>
      <c r="AK9477" s="75"/>
    </row>
    <row r="9478" spans="34:37" x14ac:dyDescent="0.25">
      <c r="AH9478" s="75"/>
      <c r="AK9478" s="75"/>
    </row>
    <row r="9479" spans="34:37" x14ac:dyDescent="0.25">
      <c r="AH9479" s="75"/>
      <c r="AK9479" s="75"/>
    </row>
    <row r="9480" spans="34:37" x14ac:dyDescent="0.25">
      <c r="AH9480" s="75"/>
      <c r="AK9480" s="75"/>
    </row>
    <row r="9481" spans="34:37" x14ac:dyDescent="0.25">
      <c r="AH9481" s="75"/>
      <c r="AK9481" s="75"/>
    </row>
    <row r="9482" spans="34:37" x14ac:dyDescent="0.25">
      <c r="AH9482" s="75"/>
      <c r="AK9482" s="75"/>
    </row>
    <row r="9483" spans="34:37" x14ac:dyDescent="0.25">
      <c r="AH9483" s="75"/>
      <c r="AK9483" s="75"/>
    </row>
    <row r="9484" spans="34:37" x14ac:dyDescent="0.25">
      <c r="AH9484" s="75"/>
      <c r="AK9484" s="75"/>
    </row>
    <row r="9485" spans="34:37" x14ac:dyDescent="0.25">
      <c r="AH9485" s="75"/>
      <c r="AK9485" s="75"/>
    </row>
    <row r="9486" spans="34:37" x14ac:dyDescent="0.25">
      <c r="AH9486" s="75"/>
      <c r="AK9486" s="75"/>
    </row>
    <row r="9487" spans="34:37" x14ac:dyDescent="0.25">
      <c r="AH9487" s="75"/>
      <c r="AK9487" s="75"/>
    </row>
    <row r="9488" spans="34:37" x14ac:dyDescent="0.25">
      <c r="AH9488" s="75"/>
      <c r="AK9488" s="75"/>
    </row>
    <row r="9489" spans="34:37" x14ac:dyDescent="0.25">
      <c r="AH9489" s="75"/>
      <c r="AK9489" s="75"/>
    </row>
    <row r="9490" spans="34:37" x14ac:dyDescent="0.25">
      <c r="AH9490" s="75"/>
      <c r="AK9490" s="75"/>
    </row>
    <row r="9491" spans="34:37" x14ac:dyDescent="0.25">
      <c r="AH9491" s="75"/>
      <c r="AK9491" s="75"/>
    </row>
    <row r="9492" spans="34:37" x14ac:dyDescent="0.25">
      <c r="AH9492" s="75"/>
      <c r="AK9492" s="75"/>
    </row>
    <row r="9493" spans="34:37" x14ac:dyDescent="0.25">
      <c r="AH9493" s="75"/>
      <c r="AK9493" s="75"/>
    </row>
    <row r="9494" spans="34:37" x14ac:dyDescent="0.25">
      <c r="AH9494" s="75"/>
      <c r="AK9494" s="75"/>
    </row>
    <row r="9495" spans="34:37" x14ac:dyDescent="0.25">
      <c r="AH9495" s="75"/>
      <c r="AK9495" s="75"/>
    </row>
    <row r="9496" spans="34:37" x14ac:dyDescent="0.25">
      <c r="AH9496" s="75"/>
      <c r="AK9496" s="75"/>
    </row>
    <row r="9497" spans="34:37" x14ac:dyDescent="0.25">
      <c r="AH9497" s="75"/>
      <c r="AK9497" s="75"/>
    </row>
    <row r="9498" spans="34:37" x14ac:dyDescent="0.25">
      <c r="AH9498" s="75"/>
      <c r="AK9498" s="75"/>
    </row>
    <row r="9499" spans="34:37" x14ac:dyDescent="0.25">
      <c r="AH9499" s="75"/>
      <c r="AK9499" s="75"/>
    </row>
    <row r="9500" spans="34:37" x14ac:dyDescent="0.25">
      <c r="AH9500" s="75"/>
      <c r="AK9500" s="75"/>
    </row>
    <row r="9501" spans="34:37" x14ac:dyDescent="0.25">
      <c r="AH9501" s="75"/>
      <c r="AK9501" s="75"/>
    </row>
    <row r="9502" spans="34:37" x14ac:dyDescent="0.25">
      <c r="AH9502" s="75"/>
      <c r="AK9502" s="75"/>
    </row>
    <row r="9503" spans="34:37" x14ac:dyDescent="0.25">
      <c r="AH9503" s="75"/>
      <c r="AK9503" s="75"/>
    </row>
    <row r="9504" spans="34:37" x14ac:dyDescent="0.25">
      <c r="AH9504" s="75"/>
      <c r="AK9504" s="75"/>
    </row>
    <row r="9505" spans="34:37" x14ac:dyDescent="0.25">
      <c r="AH9505" s="75"/>
      <c r="AK9505" s="75"/>
    </row>
    <row r="9506" spans="34:37" x14ac:dyDescent="0.25">
      <c r="AH9506" s="75"/>
      <c r="AK9506" s="75"/>
    </row>
    <row r="9507" spans="34:37" x14ac:dyDescent="0.25">
      <c r="AH9507" s="75"/>
      <c r="AK9507" s="75"/>
    </row>
    <row r="9508" spans="34:37" x14ac:dyDescent="0.25">
      <c r="AH9508" s="75"/>
      <c r="AK9508" s="75"/>
    </row>
    <row r="9509" spans="34:37" x14ac:dyDescent="0.25">
      <c r="AH9509" s="75"/>
      <c r="AK9509" s="75"/>
    </row>
    <row r="9510" spans="34:37" x14ac:dyDescent="0.25">
      <c r="AH9510" s="75"/>
      <c r="AK9510" s="75"/>
    </row>
    <row r="9511" spans="34:37" x14ac:dyDescent="0.25">
      <c r="AH9511" s="75"/>
      <c r="AK9511" s="75"/>
    </row>
    <row r="9512" spans="34:37" x14ac:dyDescent="0.25">
      <c r="AH9512" s="75"/>
      <c r="AK9512" s="75"/>
    </row>
    <row r="9513" spans="34:37" x14ac:dyDescent="0.25">
      <c r="AH9513" s="75"/>
      <c r="AK9513" s="75"/>
    </row>
    <row r="9514" spans="34:37" x14ac:dyDescent="0.25">
      <c r="AH9514" s="75"/>
      <c r="AK9514" s="75"/>
    </row>
    <row r="9515" spans="34:37" x14ac:dyDescent="0.25">
      <c r="AH9515" s="75"/>
      <c r="AK9515" s="75"/>
    </row>
    <row r="9516" spans="34:37" x14ac:dyDescent="0.25">
      <c r="AH9516" s="75"/>
      <c r="AK9516" s="75"/>
    </row>
    <row r="9517" spans="34:37" x14ac:dyDescent="0.25">
      <c r="AH9517" s="75"/>
      <c r="AK9517" s="75"/>
    </row>
    <row r="9518" spans="34:37" x14ac:dyDescent="0.25">
      <c r="AH9518" s="75"/>
      <c r="AK9518" s="75"/>
    </row>
    <row r="9519" spans="34:37" x14ac:dyDescent="0.25">
      <c r="AH9519" s="75"/>
      <c r="AK9519" s="75"/>
    </row>
    <row r="9520" spans="34:37" x14ac:dyDescent="0.25">
      <c r="AH9520" s="75"/>
      <c r="AK9520" s="75"/>
    </row>
    <row r="9521" spans="34:37" x14ac:dyDescent="0.25">
      <c r="AH9521" s="75"/>
      <c r="AK9521" s="75"/>
    </row>
    <row r="9522" spans="34:37" x14ac:dyDescent="0.25">
      <c r="AH9522" s="75"/>
      <c r="AK9522" s="75"/>
    </row>
    <row r="9523" spans="34:37" x14ac:dyDescent="0.25">
      <c r="AH9523" s="75"/>
      <c r="AK9523" s="75"/>
    </row>
    <row r="9524" spans="34:37" x14ac:dyDescent="0.25">
      <c r="AH9524" s="75"/>
      <c r="AK9524" s="75"/>
    </row>
    <row r="9525" spans="34:37" x14ac:dyDescent="0.25">
      <c r="AH9525" s="75"/>
      <c r="AK9525" s="75"/>
    </row>
    <row r="9526" spans="34:37" x14ac:dyDescent="0.25">
      <c r="AH9526" s="75"/>
      <c r="AK9526" s="75"/>
    </row>
    <row r="9527" spans="34:37" x14ac:dyDescent="0.25">
      <c r="AH9527" s="75"/>
      <c r="AK9527" s="75"/>
    </row>
    <row r="9528" spans="34:37" x14ac:dyDescent="0.25">
      <c r="AH9528" s="75"/>
      <c r="AK9528" s="75"/>
    </row>
    <row r="9529" spans="34:37" x14ac:dyDescent="0.25">
      <c r="AH9529" s="75"/>
      <c r="AK9529" s="75"/>
    </row>
    <row r="9530" spans="34:37" x14ac:dyDescent="0.25">
      <c r="AH9530" s="75"/>
      <c r="AK9530" s="75"/>
    </row>
    <row r="9531" spans="34:37" x14ac:dyDescent="0.25">
      <c r="AH9531" s="75"/>
      <c r="AK9531" s="75"/>
    </row>
    <row r="9532" spans="34:37" x14ac:dyDescent="0.25">
      <c r="AH9532" s="75"/>
      <c r="AK9532" s="75"/>
    </row>
    <row r="9533" spans="34:37" x14ac:dyDescent="0.25">
      <c r="AH9533" s="75"/>
      <c r="AK9533" s="75"/>
    </row>
    <row r="9534" spans="34:37" x14ac:dyDescent="0.25">
      <c r="AH9534" s="75"/>
      <c r="AK9534" s="75"/>
    </row>
    <row r="9535" spans="34:37" x14ac:dyDescent="0.25">
      <c r="AH9535" s="75"/>
      <c r="AK9535" s="75"/>
    </row>
    <row r="9536" spans="34:37" x14ac:dyDescent="0.25">
      <c r="AH9536" s="75"/>
      <c r="AK9536" s="75"/>
    </row>
    <row r="9537" spans="34:37" x14ac:dyDescent="0.25">
      <c r="AH9537" s="75"/>
      <c r="AK9537" s="75"/>
    </row>
    <row r="9538" spans="34:37" x14ac:dyDescent="0.25">
      <c r="AH9538" s="75"/>
      <c r="AK9538" s="75"/>
    </row>
    <row r="9539" spans="34:37" x14ac:dyDescent="0.25">
      <c r="AH9539" s="75"/>
      <c r="AK9539" s="75"/>
    </row>
    <row r="9540" spans="34:37" x14ac:dyDescent="0.25">
      <c r="AH9540" s="75"/>
      <c r="AK9540" s="75"/>
    </row>
    <row r="9541" spans="34:37" x14ac:dyDescent="0.25">
      <c r="AH9541" s="75"/>
      <c r="AK9541" s="75"/>
    </row>
    <row r="9542" spans="34:37" x14ac:dyDescent="0.25">
      <c r="AH9542" s="75"/>
      <c r="AK9542" s="75"/>
    </row>
    <row r="9543" spans="34:37" x14ac:dyDescent="0.25">
      <c r="AH9543" s="75"/>
      <c r="AK9543" s="75"/>
    </row>
    <row r="9544" spans="34:37" x14ac:dyDescent="0.25">
      <c r="AH9544" s="75"/>
      <c r="AK9544" s="75"/>
    </row>
    <row r="9545" spans="34:37" x14ac:dyDescent="0.25">
      <c r="AH9545" s="75"/>
      <c r="AK9545" s="75"/>
    </row>
    <row r="9546" spans="34:37" x14ac:dyDescent="0.25">
      <c r="AH9546" s="75"/>
      <c r="AK9546" s="75"/>
    </row>
    <row r="9547" spans="34:37" x14ac:dyDescent="0.25">
      <c r="AH9547" s="75"/>
      <c r="AK9547" s="75"/>
    </row>
    <row r="9548" spans="34:37" x14ac:dyDescent="0.25">
      <c r="AH9548" s="75"/>
      <c r="AK9548" s="75"/>
    </row>
    <row r="9549" spans="34:37" x14ac:dyDescent="0.25">
      <c r="AH9549" s="75"/>
      <c r="AK9549" s="75"/>
    </row>
    <row r="9550" spans="34:37" x14ac:dyDescent="0.25">
      <c r="AH9550" s="75"/>
      <c r="AK9550" s="75"/>
    </row>
    <row r="9551" spans="34:37" x14ac:dyDescent="0.25">
      <c r="AH9551" s="75"/>
      <c r="AK9551" s="75"/>
    </row>
    <row r="9552" spans="34:37" x14ac:dyDescent="0.25">
      <c r="AH9552" s="75"/>
      <c r="AK9552" s="75"/>
    </row>
    <row r="9553" spans="34:37" x14ac:dyDescent="0.25">
      <c r="AH9553" s="75"/>
      <c r="AK9553" s="75"/>
    </row>
    <row r="9554" spans="34:37" x14ac:dyDescent="0.25">
      <c r="AH9554" s="75"/>
      <c r="AK9554" s="75"/>
    </row>
    <row r="9555" spans="34:37" x14ac:dyDescent="0.25">
      <c r="AH9555" s="75"/>
      <c r="AK9555" s="75"/>
    </row>
    <row r="9556" spans="34:37" x14ac:dyDescent="0.25">
      <c r="AH9556" s="75"/>
      <c r="AK9556" s="75"/>
    </row>
    <row r="9557" spans="34:37" x14ac:dyDescent="0.25">
      <c r="AH9557" s="75"/>
      <c r="AK9557" s="75"/>
    </row>
    <row r="9558" spans="34:37" x14ac:dyDescent="0.25">
      <c r="AH9558" s="75"/>
      <c r="AK9558" s="75"/>
    </row>
    <row r="9559" spans="34:37" x14ac:dyDescent="0.25">
      <c r="AH9559" s="75"/>
      <c r="AK9559" s="75"/>
    </row>
    <row r="9560" spans="34:37" x14ac:dyDescent="0.25">
      <c r="AH9560" s="75"/>
      <c r="AK9560" s="75"/>
    </row>
    <row r="9561" spans="34:37" x14ac:dyDescent="0.25">
      <c r="AH9561" s="75"/>
      <c r="AK9561" s="75"/>
    </row>
    <row r="9562" spans="34:37" x14ac:dyDescent="0.25">
      <c r="AH9562" s="75"/>
      <c r="AK9562" s="75"/>
    </row>
    <row r="9563" spans="34:37" x14ac:dyDescent="0.25">
      <c r="AH9563" s="75"/>
      <c r="AK9563" s="75"/>
    </row>
    <row r="9564" spans="34:37" x14ac:dyDescent="0.25">
      <c r="AH9564" s="75"/>
      <c r="AK9564" s="75"/>
    </row>
    <row r="9565" spans="34:37" x14ac:dyDescent="0.25">
      <c r="AH9565" s="75"/>
      <c r="AK9565" s="75"/>
    </row>
    <row r="9566" spans="34:37" x14ac:dyDescent="0.25">
      <c r="AH9566" s="75"/>
      <c r="AK9566" s="75"/>
    </row>
    <row r="9567" spans="34:37" x14ac:dyDescent="0.25">
      <c r="AH9567" s="75"/>
      <c r="AK9567" s="75"/>
    </row>
    <row r="9568" spans="34:37" x14ac:dyDescent="0.25">
      <c r="AH9568" s="75"/>
      <c r="AK9568" s="75"/>
    </row>
    <row r="9569" spans="34:37" x14ac:dyDescent="0.25">
      <c r="AH9569" s="75"/>
      <c r="AK9569" s="75"/>
    </row>
    <row r="9570" spans="34:37" x14ac:dyDescent="0.25">
      <c r="AH9570" s="75"/>
      <c r="AK9570" s="75"/>
    </row>
    <row r="9571" spans="34:37" x14ac:dyDescent="0.25">
      <c r="AH9571" s="75"/>
      <c r="AK9571" s="75"/>
    </row>
    <row r="9572" spans="34:37" x14ac:dyDescent="0.25">
      <c r="AH9572" s="75"/>
      <c r="AK9572" s="75"/>
    </row>
    <row r="9573" spans="34:37" x14ac:dyDescent="0.25">
      <c r="AH9573" s="75"/>
      <c r="AK9573" s="75"/>
    </row>
    <row r="9574" spans="34:37" x14ac:dyDescent="0.25">
      <c r="AH9574" s="75"/>
      <c r="AK9574" s="75"/>
    </row>
    <row r="9575" spans="34:37" x14ac:dyDescent="0.25">
      <c r="AH9575" s="75"/>
      <c r="AK9575" s="75"/>
    </row>
    <row r="9576" spans="34:37" x14ac:dyDescent="0.25">
      <c r="AH9576" s="75"/>
      <c r="AK9576" s="75"/>
    </row>
    <row r="9577" spans="34:37" x14ac:dyDescent="0.25">
      <c r="AH9577" s="75"/>
      <c r="AK9577" s="75"/>
    </row>
    <row r="9578" spans="34:37" x14ac:dyDescent="0.25">
      <c r="AH9578" s="75"/>
      <c r="AK9578" s="75"/>
    </row>
    <row r="9579" spans="34:37" x14ac:dyDescent="0.25">
      <c r="AH9579" s="75"/>
      <c r="AK9579" s="75"/>
    </row>
    <row r="9580" spans="34:37" x14ac:dyDescent="0.25">
      <c r="AH9580" s="75"/>
      <c r="AK9580" s="75"/>
    </row>
    <row r="9581" spans="34:37" x14ac:dyDescent="0.25">
      <c r="AH9581" s="75"/>
      <c r="AK9581" s="75"/>
    </row>
    <row r="9582" spans="34:37" x14ac:dyDescent="0.25">
      <c r="AH9582" s="75"/>
      <c r="AK9582" s="75"/>
    </row>
    <row r="9583" spans="34:37" x14ac:dyDescent="0.25">
      <c r="AH9583" s="75"/>
      <c r="AK9583" s="75"/>
    </row>
    <row r="9584" spans="34:37" x14ac:dyDescent="0.25">
      <c r="AH9584" s="75"/>
      <c r="AK9584" s="75"/>
    </row>
    <row r="9585" spans="34:37" x14ac:dyDescent="0.25">
      <c r="AH9585" s="75"/>
      <c r="AK9585" s="75"/>
    </row>
    <row r="9586" spans="34:37" x14ac:dyDescent="0.25">
      <c r="AH9586" s="75"/>
      <c r="AK9586" s="75"/>
    </row>
    <row r="9587" spans="34:37" x14ac:dyDescent="0.25">
      <c r="AH9587" s="75"/>
      <c r="AK9587" s="75"/>
    </row>
    <row r="9588" spans="34:37" x14ac:dyDescent="0.25">
      <c r="AH9588" s="75"/>
      <c r="AK9588" s="75"/>
    </row>
    <row r="9589" spans="34:37" x14ac:dyDescent="0.25">
      <c r="AH9589" s="75"/>
      <c r="AK9589" s="75"/>
    </row>
    <row r="9590" spans="34:37" x14ac:dyDescent="0.25">
      <c r="AH9590" s="75"/>
      <c r="AK9590" s="75"/>
    </row>
    <row r="9591" spans="34:37" x14ac:dyDescent="0.25">
      <c r="AH9591" s="75"/>
      <c r="AK9591" s="75"/>
    </row>
    <row r="9592" spans="34:37" x14ac:dyDescent="0.25">
      <c r="AH9592" s="75"/>
      <c r="AK9592" s="75"/>
    </row>
    <row r="9593" spans="34:37" x14ac:dyDescent="0.25">
      <c r="AH9593" s="75"/>
      <c r="AK9593" s="75"/>
    </row>
    <row r="9594" spans="34:37" x14ac:dyDescent="0.25">
      <c r="AH9594" s="75"/>
      <c r="AK9594" s="75"/>
    </row>
    <row r="9595" spans="34:37" x14ac:dyDescent="0.25">
      <c r="AH9595" s="75"/>
      <c r="AK9595" s="75"/>
    </row>
    <row r="9596" spans="34:37" x14ac:dyDescent="0.25">
      <c r="AH9596" s="75"/>
      <c r="AK9596" s="75"/>
    </row>
    <row r="9597" spans="34:37" x14ac:dyDescent="0.25">
      <c r="AH9597" s="75"/>
      <c r="AK9597" s="75"/>
    </row>
    <row r="9598" spans="34:37" x14ac:dyDescent="0.25">
      <c r="AH9598" s="75"/>
      <c r="AK9598" s="75"/>
    </row>
    <row r="9599" spans="34:37" x14ac:dyDescent="0.25">
      <c r="AH9599" s="75"/>
      <c r="AK9599" s="75"/>
    </row>
    <row r="9600" spans="34:37" x14ac:dyDescent="0.25">
      <c r="AH9600" s="75"/>
      <c r="AK9600" s="75"/>
    </row>
    <row r="9601" spans="34:37" x14ac:dyDescent="0.25">
      <c r="AH9601" s="75"/>
      <c r="AK9601" s="75"/>
    </row>
    <row r="9602" spans="34:37" x14ac:dyDescent="0.25">
      <c r="AH9602" s="75"/>
      <c r="AK9602" s="75"/>
    </row>
    <row r="9603" spans="34:37" x14ac:dyDescent="0.25">
      <c r="AH9603" s="75"/>
      <c r="AK9603" s="75"/>
    </row>
    <row r="9604" spans="34:37" x14ac:dyDescent="0.25">
      <c r="AH9604" s="75"/>
      <c r="AK9604" s="75"/>
    </row>
    <row r="9605" spans="34:37" x14ac:dyDescent="0.25">
      <c r="AH9605" s="75"/>
      <c r="AK9605" s="75"/>
    </row>
    <row r="9606" spans="34:37" x14ac:dyDescent="0.25">
      <c r="AH9606" s="75"/>
      <c r="AK9606" s="75"/>
    </row>
    <row r="9607" spans="34:37" x14ac:dyDescent="0.25">
      <c r="AH9607" s="75"/>
      <c r="AK9607" s="75"/>
    </row>
    <row r="9608" spans="34:37" x14ac:dyDescent="0.25">
      <c r="AH9608" s="75"/>
      <c r="AK9608" s="75"/>
    </row>
    <row r="9609" spans="34:37" x14ac:dyDescent="0.25">
      <c r="AH9609" s="75"/>
      <c r="AK9609" s="75"/>
    </row>
    <row r="9610" spans="34:37" x14ac:dyDescent="0.25">
      <c r="AH9610" s="75"/>
      <c r="AK9610" s="75"/>
    </row>
    <row r="9611" spans="34:37" x14ac:dyDescent="0.25">
      <c r="AH9611" s="75"/>
      <c r="AK9611" s="75"/>
    </row>
    <row r="9612" spans="34:37" x14ac:dyDescent="0.25">
      <c r="AH9612" s="75"/>
      <c r="AK9612" s="75"/>
    </row>
    <row r="9613" spans="34:37" x14ac:dyDescent="0.25">
      <c r="AH9613" s="75"/>
      <c r="AK9613" s="75"/>
    </row>
    <row r="9614" spans="34:37" x14ac:dyDescent="0.25">
      <c r="AH9614" s="75"/>
      <c r="AK9614" s="75"/>
    </row>
    <row r="9615" spans="34:37" x14ac:dyDescent="0.25">
      <c r="AH9615" s="75"/>
      <c r="AK9615" s="75"/>
    </row>
    <row r="9616" spans="34:37" x14ac:dyDescent="0.25">
      <c r="AH9616" s="75"/>
      <c r="AK9616" s="75"/>
    </row>
    <row r="9617" spans="34:37" x14ac:dyDescent="0.25">
      <c r="AH9617" s="75"/>
      <c r="AK9617" s="75"/>
    </row>
    <row r="9618" spans="34:37" x14ac:dyDescent="0.25">
      <c r="AH9618" s="75"/>
      <c r="AK9618" s="75"/>
    </row>
    <row r="9619" spans="34:37" x14ac:dyDescent="0.25">
      <c r="AH9619" s="75"/>
      <c r="AK9619" s="75"/>
    </row>
    <row r="9620" spans="34:37" x14ac:dyDescent="0.25">
      <c r="AH9620" s="75"/>
      <c r="AK9620" s="75"/>
    </row>
    <row r="9621" spans="34:37" x14ac:dyDescent="0.25">
      <c r="AH9621" s="75"/>
      <c r="AK9621" s="75"/>
    </row>
    <row r="9622" spans="34:37" x14ac:dyDescent="0.25">
      <c r="AH9622" s="75"/>
      <c r="AK9622" s="75"/>
    </row>
    <row r="9623" spans="34:37" x14ac:dyDescent="0.25">
      <c r="AH9623" s="75"/>
      <c r="AK9623" s="75"/>
    </row>
    <row r="9624" spans="34:37" x14ac:dyDescent="0.25">
      <c r="AH9624" s="75"/>
      <c r="AK9624" s="75"/>
    </row>
    <row r="9625" spans="34:37" x14ac:dyDescent="0.25">
      <c r="AH9625" s="75"/>
      <c r="AK9625" s="75"/>
    </row>
    <row r="9626" spans="34:37" x14ac:dyDescent="0.25">
      <c r="AH9626" s="75"/>
      <c r="AK9626" s="75"/>
    </row>
    <row r="9627" spans="34:37" x14ac:dyDescent="0.25">
      <c r="AH9627" s="75"/>
      <c r="AK9627" s="75"/>
    </row>
    <row r="9628" spans="34:37" x14ac:dyDescent="0.25">
      <c r="AH9628" s="75"/>
      <c r="AK9628" s="75"/>
    </row>
    <row r="9629" spans="34:37" x14ac:dyDescent="0.25">
      <c r="AH9629" s="75"/>
      <c r="AK9629" s="75"/>
    </row>
    <row r="9630" spans="34:37" x14ac:dyDescent="0.25">
      <c r="AH9630" s="75"/>
      <c r="AK9630" s="75"/>
    </row>
    <row r="9631" spans="34:37" x14ac:dyDescent="0.25">
      <c r="AH9631" s="75"/>
      <c r="AK9631" s="75"/>
    </row>
    <row r="9632" spans="34:37" x14ac:dyDescent="0.25">
      <c r="AH9632" s="75"/>
      <c r="AK9632" s="75"/>
    </row>
    <row r="9633" spans="34:37" x14ac:dyDescent="0.25">
      <c r="AH9633" s="75"/>
      <c r="AK9633" s="75"/>
    </row>
    <row r="9634" spans="34:37" x14ac:dyDescent="0.25">
      <c r="AH9634" s="75"/>
      <c r="AK9634" s="75"/>
    </row>
    <row r="9635" spans="34:37" x14ac:dyDescent="0.25">
      <c r="AH9635" s="75"/>
      <c r="AK9635" s="75"/>
    </row>
    <row r="9636" spans="34:37" x14ac:dyDescent="0.25">
      <c r="AH9636" s="75"/>
      <c r="AK9636" s="75"/>
    </row>
    <row r="9637" spans="34:37" x14ac:dyDescent="0.25">
      <c r="AH9637" s="75"/>
      <c r="AK9637" s="75"/>
    </row>
    <row r="9638" spans="34:37" x14ac:dyDescent="0.25">
      <c r="AH9638" s="75"/>
      <c r="AK9638" s="75"/>
    </row>
    <row r="9639" spans="34:37" x14ac:dyDescent="0.25">
      <c r="AH9639" s="75"/>
      <c r="AK9639" s="75"/>
    </row>
    <row r="9640" spans="34:37" x14ac:dyDescent="0.25">
      <c r="AH9640" s="75"/>
      <c r="AK9640" s="75"/>
    </row>
    <row r="9641" spans="34:37" x14ac:dyDescent="0.25">
      <c r="AH9641" s="75"/>
      <c r="AK9641" s="75"/>
    </row>
    <row r="9642" spans="34:37" x14ac:dyDescent="0.25">
      <c r="AH9642" s="75"/>
      <c r="AK9642" s="75"/>
    </row>
    <row r="9643" spans="34:37" x14ac:dyDescent="0.25">
      <c r="AH9643" s="75"/>
      <c r="AK9643" s="75"/>
    </row>
    <row r="9644" spans="34:37" x14ac:dyDescent="0.25">
      <c r="AH9644" s="75"/>
      <c r="AK9644" s="75"/>
    </row>
    <row r="9645" spans="34:37" x14ac:dyDescent="0.25">
      <c r="AH9645" s="75"/>
      <c r="AK9645" s="75"/>
    </row>
    <row r="9646" spans="34:37" x14ac:dyDescent="0.25">
      <c r="AH9646" s="75"/>
      <c r="AK9646" s="75"/>
    </row>
    <row r="9647" spans="34:37" x14ac:dyDescent="0.25">
      <c r="AH9647" s="75"/>
      <c r="AK9647" s="75"/>
    </row>
    <row r="9648" spans="34:37" x14ac:dyDescent="0.25">
      <c r="AH9648" s="75"/>
      <c r="AK9648" s="75"/>
    </row>
    <row r="9649" spans="34:37" x14ac:dyDescent="0.25">
      <c r="AH9649" s="75"/>
      <c r="AK9649" s="75"/>
    </row>
    <row r="9650" spans="34:37" x14ac:dyDescent="0.25">
      <c r="AH9650" s="75"/>
      <c r="AK9650" s="75"/>
    </row>
    <row r="9651" spans="34:37" x14ac:dyDescent="0.25">
      <c r="AH9651" s="75"/>
      <c r="AK9651" s="75"/>
    </row>
    <row r="9652" spans="34:37" x14ac:dyDescent="0.25">
      <c r="AH9652" s="75"/>
      <c r="AK9652" s="75"/>
    </row>
    <row r="9653" spans="34:37" x14ac:dyDescent="0.25">
      <c r="AH9653" s="75"/>
      <c r="AK9653" s="75"/>
    </row>
    <row r="9654" spans="34:37" x14ac:dyDescent="0.25">
      <c r="AH9654" s="75"/>
      <c r="AK9654" s="75"/>
    </row>
    <row r="9655" spans="34:37" x14ac:dyDescent="0.25">
      <c r="AH9655" s="75"/>
      <c r="AK9655" s="75"/>
    </row>
    <row r="9656" spans="34:37" x14ac:dyDescent="0.25">
      <c r="AH9656" s="75"/>
      <c r="AK9656" s="75"/>
    </row>
    <row r="9657" spans="34:37" x14ac:dyDescent="0.25">
      <c r="AH9657" s="75"/>
      <c r="AK9657" s="75"/>
    </row>
    <row r="9658" spans="34:37" x14ac:dyDescent="0.25">
      <c r="AH9658" s="75"/>
      <c r="AK9658" s="75"/>
    </row>
    <row r="9659" spans="34:37" x14ac:dyDescent="0.25">
      <c r="AH9659" s="75"/>
      <c r="AK9659" s="75"/>
    </row>
    <row r="9660" spans="34:37" x14ac:dyDescent="0.25">
      <c r="AH9660" s="75"/>
      <c r="AK9660" s="75"/>
    </row>
    <row r="9661" spans="34:37" x14ac:dyDescent="0.25">
      <c r="AH9661" s="75"/>
      <c r="AK9661" s="75"/>
    </row>
    <row r="9662" spans="34:37" x14ac:dyDescent="0.25">
      <c r="AH9662" s="75"/>
      <c r="AK9662" s="75"/>
    </row>
    <row r="9663" spans="34:37" x14ac:dyDescent="0.25">
      <c r="AH9663" s="75"/>
      <c r="AK9663" s="75"/>
    </row>
    <row r="9664" spans="34:37" x14ac:dyDescent="0.25">
      <c r="AH9664" s="75"/>
      <c r="AK9664" s="75"/>
    </row>
    <row r="9665" spans="34:37" x14ac:dyDescent="0.25">
      <c r="AH9665" s="75"/>
      <c r="AK9665" s="75"/>
    </row>
    <row r="9666" spans="34:37" x14ac:dyDescent="0.25">
      <c r="AH9666" s="75"/>
      <c r="AK9666" s="75"/>
    </row>
    <row r="9667" spans="34:37" x14ac:dyDescent="0.25">
      <c r="AH9667" s="75"/>
      <c r="AK9667" s="75"/>
    </row>
    <row r="9668" spans="34:37" x14ac:dyDescent="0.25">
      <c r="AH9668" s="75"/>
      <c r="AK9668" s="75"/>
    </row>
    <row r="9669" spans="34:37" x14ac:dyDescent="0.25">
      <c r="AH9669" s="75"/>
      <c r="AK9669" s="75"/>
    </row>
    <row r="9670" spans="34:37" x14ac:dyDescent="0.25">
      <c r="AH9670" s="75"/>
      <c r="AK9670" s="75"/>
    </row>
    <row r="9671" spans="34:37" x14ac:dyDescent="0.25">
      <c r="AH9671" s="75"/>
      <c r="AK9671" s="75"/>
    </row>
    <row r="9672" spans="34:37" x14ac:dyDescent="0.25">
      <c r="AH9672" s="75"/>
      <c r="AK9672" s="75"/>
    </row>
    <row r="9673" spans="34:37" x14ac:dyDescent="0.25">
      <c r="AH9673" s="75"/>
      <c r="AK9673" s="75"/>
    </row>
    <row r="9674" spans="34:37" x14ac:dyDescent="0.25">
      <c r="AH9674" s="75"/>
      <c r="AK9674" s="75"/>
    </row>
    <row r="9675" spans="34:37" x14ac:dyDescent="0.25">
      <c r="AH9675" s="75"/>
      <c r="AK9675" s="75"/>
    </row>
    <row r="9676" spans="34:37" x14ac:dyDescent="0.25">
      <c r="AH9676" s="75"/>
      <c r="AK9676" s="75"/>
    </row>
    <row r="9677" spans="34:37" x14ac:dyDescent="0.25">
      <c r="AH9677" s="75"/>
      <c r="AK9677" s="75"/>
    </row>
    <row r="9678" spans="34:37" x14ac:dyDescent="0.25">
      <c r="AH9678" s="75"/>
      <c r="AK9678" s="75"/>
    </row>
    <row r="9679" spans="34:37" x14ac:dyDescent="0.25">
      <c r="AH9679" s="75"/>
      <c r="AK9679" s="75"/>
    </row>
    <row r="9680" spans="34:37" x14ac:dyDescent="0.25">
      <c r="AH9680" s="75"/>
      <c r="AK9680" s="75"/>
    </row>
    <row r="9681" spans="34:37" x14ac:dyDescent="0.25">
      <c r="AH9681" s="75"/>
      <c r="AK9681" s="75"/>
    </row>
    <row r="9682" spans="34:37" x14ac:dyDescent="0.25">
      <c r="AH9682" s="75"/>
      <c r="AK9682" s="75"/>
    </row>
    <row r="9683" spans="34:37" x14ac:dyDescent="0.25">
      <c r="AH9683" s="75"/>
      <c r="AK9683" s="75"/>
    </row>
    <row r="9684" spans="34:37" x14ac:dyDescent="0.25">
      <c r="AH9684" s="75"/>
      <c r="AK9684" s="75"/>
    </row>
    <row r="9685" spans="34:37" x14ac:dyDescent="0.25">
      <c r="AH9685" s="75"/>
      <c r="AK9685" s="75"/>
    </row>
    <row r="9686" spans="34:37" x14ac:dyDescent="0.25">
      <c r="AH9686" s="75"/>
      <c r="AK9686" s="75"/>
    </row>
    <row r="9687" spans="34:37" x14ac:dyDescent="0.25">
      <c r="AH9687" s="75"/>
      <c r="AK9687" s="75"/>
    </row>
    <row r="9688" spans="34:37" x14ac:dyDescent="0.25">
      <c r="AH9688" s="75"/>
      <c r="AK9688" s="75"/>
    </row>
    <row r="9689" spans="34:37" x14ac:dyDescent="0.25">
      <c r="AH9689" s="75"/>
      <c r="AK9689" s="75"/>
    </row>
    <row r="9690" spans="34:37" x14ac:dyDescent="0.25">
      <c r="AH9690" s="75"/>
      <c r="AK9690" s="75"/>
    </row>
    <row r="9691" spans="34:37" x14ac:dyDescent="0.25">
      <c r="AH9691" s="75"/>
      <c r="AK9691" s="75"/>
    </row>
    <row r="9692" spans="34:37" x14ac:dyDescent="0.25">
      <c r="AH9692" s="75"/>
      <c r="AK9692" s="75"/>
    </row>
    <row r="9693" spans="34:37" x14ac:dyDescent="0.25">
      <c r="AH9693" s="75"/>
      <c r="AK9693" s="75"/>
    </row>
    <row r="9694" spans="34:37" x14ac:dyDescent="0.25">
      <c r="AH9694" s="75"/>
      <c r="AK9694" s="75"/>
    </row>
    <row r="9695" spans="34:37" x14ac:dyDescent="0.25">
      <c r="AH9695" s="75"/>
      <c r="AK9695" s="75"/>
    </row>
    <row r="9696" spans="34:37" x14ac:dyDescent="0.25">
      <c r="AH9696" s="75"/>
      <c r="AK9696" s="75"/>
    </row>
    <row r="9697" spans="34:37" x14ac:dyDescent="0.25">
      <c r="AH9697" s="75"/>
      <c r="AK9697" s="75"/>
    </row>
    <row r="9698" spans="34:37" x14ac:dyDescent="0.25">
      <c r="AH9698" s="75"/>
      <c r="AK9698" s="75"/>
    </row>
    <row r="9699" spans="34:37" x14ac:dyDescent="0.25">
      <c r="AH9699" s="75"/>
      <c r="AK9699" s="75"/>
    </row>
    <row r="9700" spans="34:37" x14ac:dyDescent="0.25">
      <c r="AH9700" s="75"/>
      <c r="AK9700" s="75"/>
    </row>
    <row r="9701" spans="34:37" x14ac:dyDescent="0.25">
      <c r="AH9701" s="75"/>
      <c r="AK9701" s="75"/>
    </row>
    <row r="9702" spans="34:37" x14ac:dyDescent="0.25">
      <c r="AH9702" s="75"/>
      <c r="AK9702" s="75"/>
    </row>
    <row r="9703" spans="34:37" x14ac:dyDescent="0.25">
      <c r="AH9703" s="75"/>
      <c r="AK9703" s="75"/>
    </row>
    <row r="9704" spans="34:37" x14ac:dyDescent="0.25">
      <c r="AH9704" s="75"/>
      <c r="AK9704" s="75"/>
    </row>
    <row r="9705" spans="34:37" x14ac:dyDescent="0.25">
      <c r="AH9705" s="75"/>
      <c r="AK9705" s="75"/>
    </row>
    <row r="9706" spans="34:37" x14ac:dyDescent="0.25">
      <c r="AH9706" s="75"/>
      <c r="AK9706" s="75"/>
    </row>
    <row r="9707" spans="34:37" x14ac:dyDescent="0.25">
      <c r="AH9707" s="75"/>
      <c r="AK9707" s="75"/>
    </row>
    <row r="9708" spans="34:37" x14ac:dyDescent="0.25">
      <c r="AH9708" s="75"/>
      <c r="AK9708" s="75"/>
    </row>
    <row r="9709" spans="34:37" x14ac:dyDescent="0.25">
      <c r="AH9709" s="75"/>
      <c r="AK9709" s="75"/>
    </row>
    <row r="9710" spans="34:37" x14ac:dyDescent="0.25">
      <c r="AH9710" s="75"/>
      <c r="AK9710" s="75"/>
    </row>
    <row r="9711" spans="34:37" x14ac:dyDescent="0.25">
      <c r="AH9711" s="75"/>
      <c r="AK9711" s="75"/>
    </row>
    <row r="9712" spans="34:37" x14ac:dyDescent="0.25">
      <c r="AH9712" s="75"/>
      <c r="AK9712" s="75"/>
    </row>
    <row r="9713" spans="34:37" x14ac:dyDescent="0.25">
      <c r="AH9713" s="75"/>
      <c r="AK9713" s="75"/>
    </row>
    <row r="9714" spans="34:37" x14ac:dyDescent="0.25">
      <c r="AH9714" s="75"/>
      <c r="AK9714" s="75"/>
    </row>
    <row r="9715" spans="34:37" x14ac:dyDescent="0.25">
      <c r="AH9715" s="75"/>
      <c r="AK9715" s="75"/>
    </row>
    <row r="9716" spans="34:37" x14ac:dyDescent="0.25">
      <c r="AH9716" s="75"/>
      <c r="AK9716" s="75"/>
    </row>
    <row r="9717" spans="34:37" x14ac:dyDescent="0.25">
      <c r="AH9717" s="75"/>
      <c r="AK9717" s="75"/>
    </row>
    <row r="9718" spans="34:37" x14ac:dyDescent="0.25">
      <c r="AH9718" s="75"/>
      <c r="AK9718" s="75"/>
    </row>
    <row r="9719" spans="34:37" x14ac:dyDescent="0.25">
      <c r="AH9719" s="75"/>
      <c r="AK9719" s="75"/>
    </row>
    <row r="9720" spans="34:37" x14ac:dyDescent="0.25">
      <c r="AH9720" s="75"/>
      <c r="AK9720" s="75"/>
    </row>
    <row r="9721" spans="34:37" x14ac:dyDescent="0.25">
      <c r="AH9721" s="75"/>
      <c r="AK9721" s="75"/>
    </row>
    <row r="9722" spans="34:37" x14ac:dyDescent="0.25">
      <c r="AH9722" s="75"/>
      <c r="AK9722" s="75"/>
    </row>
    <row r="9723" spans="34:37" x14ac:dyDescent="0.25">
      <c r="AH9723" s="75"/>
      <c r="AK9723" s="75"/>
    </row>
    <row r="9724" spans="34:37" x14ac:dyDescent="0.25">
      <c r="AH9724" s="75"/>
      <c r="AK9724" s="75"/>
    </row>
    <row r="9725" spans="34:37" x14ac:dyDescent="0.25">
      <c r="AH9725" s="75"/>
      <c r="AK9725" s="75"/>
    </row>
    <row r="9726" spans="34:37" x14ac:dyDescent="0.25">
      <c r="AH9726" s="75"/>
      <c r="AK9726" s="75"/>
    </row>
    <row r="9727" spans="34:37" x14ac:dyDescent="0.25">
      <c r="AH9727" s="75"/>
      <c r="AK9727" s="75"/>
    </row>
    <row r="9728" spans="34:37" x14ac:dyDescent="0.25">
      <c r="AH9728" s="75"/>
      <c r="AK9728" s="75"/>
    </row>
    <row r="9729" spans="34:37" x14ac:dyDescent="0.25">
      <c r="AH9729" s="75"/>
      <c r="AK9729" s="75"/>
    </row>
    <row r="9730" spans="34:37" x14ac:dyDescent="0.25">
      <c r="AH9730" s="75"/>
      <c r="AK9730" s="75"/>
    </row>
    <row r="9731" spans="34:37" x14ac:dyDescent="0.25">
      <c r="AH9731" s="75"/>
      <c r="AK9731" s="75"/>
    </row>
    <row r="9732" spans="34:37" x14ac:dyDescent="0.25">
      <c r="AH9732" s="75"/>
      <c r="AK9732" s="75"/>
    </row>
    <row r="9733" spans="34:37" x14ac:dyDescent="0.25">
      <c r="AH9733" s="75"/>
      <c r="AK9733" s="75"/>
    </row>
    <row r="9734" spans="34:37" x14ac:dyDescent="0.25">
      <c r="AH9734" s="75"/>
      <c r="AK9734" s="75"/>
    </row>
    <row r="9735" spans="34:37" x14ac:dyDescent="0.25">
      <c r="AH9735" s="75"/>
      <c r="AK9735" s="75"/>
    </row>
    <row r="9736" spans="34:37" x14ac:dyDescent="0.25">
      <c r="AH9736" s="75"/>
      <c r="AK9736" s="75"/>
    </row>
    <row r="9737" spans="34:37" x14ac:dyDescent="0.25">
      <c r="AH9737" s="75"/>
      <c r="AK9737" s="75"/>
    </row>
    <row r="9738" spans="34:37" x14ac:dyDescent="0.25">
      <c r="AH9738" s="75"/>
      <c r="AK9738" s="75"/>
    </row>
    <row r="9739" spans="34:37" x14ac:dyDescent="0.25">
      <c r="AH9739" s="75"/>
      <c r="AK9739" s="75"/>
    </row>
    <row r="9740" spans="34:37" x14ac:dyDescent="0.25">
      <c r="AH9740" s="75"/>
      <c r="AK9740" s="75"/>
    </row>
    <row r="9741" spans="34:37" x14ac:dyDescent="0.25">
      <c r="AH9741" s="75"/>
      <c r="AK9741" s="75"/>
    </row>
    <row r="9742" spans="34:37" x14ac:dyDescent="0.25">
      <c r="AH9742" s="75"/>
      <c r="AK9742" s="75"/>
    </row>
    <row r="9743" spans="34:37" x14ac:dyDescent="0.25">
      <c r="AH9743" s="75"/>
      <c r="AK9743" s="75"/>
    </row>
    <row r="9744" spans="34:37" x14ac:dyDescent="0.25">
      <c r="AH9744" s="75"/>
      <c r="AK9744" s="75"/>
    </row>
    <row r="9745" spans="34:37" x14ac:dyDescent="0.25">
      <c r="AH9745" s="75"/>
      <c r="AK9745" s="75"/>
    </row>
    <row r="9746" spans="34:37" x14ac:dyDescent="0.25">
      <c r="AH9746" s="75"/>
      <c r="AK9746" s="75"/>
    </row>
    <row r="9747" spans="34:37" x14ac:dyDescent="0.25">
      <c r="AH9747" s="75"/>
      <c r="AK9747" s="75"/>
    </row>
    <row r="9748" spans="34:37" x14ac:dyDescent="0.25">
      <c r="AH9748" s="75"/>
      <c r="AK9748" s="75"/>
    </row>
    <row r="9749" spans="34:37" x14ac:dyDescent="0.25">
      <c r="AH9749" s="75"/>
      <c r="AK9749" s="75"/>
    </row>
    <row r="9750" spans="34:37" x14ac:dyDescent="0.25">
      <c r="AH9750" s="75"/>
      <c r="AK9750" s="75"/>
    </row>
    <row r="9751" spans="34:37" x14ac:dyDescent="0.25">
      <c r="AH9751" s="75"/>
      <c r="AK9751" s="75"/>
    </row>
    <row r="9752" spans="34:37" x14ac:dyDescent="0.25">
      <c r="AH9752" s="75"/>
      <c r="AK9752" s="75"/>
    </row>
    <row r="9753" spans="34:37" x14ac:dyDescent="0.25">
      <c r="AH9753" s="75"/>
      <c r="AK9753" s="75"/>
    </row>
    <row r="9754" spans="34:37" x14ac:dyDescent="0.25">
      <c r="AH9754" s="75"/>
      <c r="AK9754" s="75"/>
    </row>
    <row r="9755" spans="34:37" x14ac:dyDescent="0.25">
      <c r="AH9755" s="75"/>
      <c r="AK9755" s="75"/>
    </row>
    <row r="9756" spans="34:37" x14ac:dyDescent="0.25">
      <c r="AH9756" s="75"/>
      <c r="AK9756" s="75"/>
    </row>
    <row r="9757" spans="34:37" x14ac:dyDescent="0.25">
      <c r="AH9757" s="75"/>
      <c r="AK9757" s="75"/>
    </row>
    <row r="9758" spans="34:37" x14ac:dyDescent="0.25">
      <c r="AH9758" s="75"/>
      <c r="AK9758" s="75"/>
    </row>
    <row r="9759" spans="34:37" x14ac:dyDescent="0.25">
      <c r="AH9759" s="75"/>
      <c r="AK9759" s="75"/>
    </row>
    <row r="9760" spans="34:37" x14ac:dyDescent="0.25">
      <c r="AH9760" s="75"/>
      <c r="AK9760" s="75"/>
    </row>
    <row r="9761" spans="34:37" x14ac:dyDescent="0.25">
      <c r="AH9761" s="75"/>
      <c r="AK9761" s="75"/>
    </row>
    <row r="9762" spans="34:37" x14ac:dyDescent="0.25">
      <c r="AH9762" s="75"/>
      <c r="AK9762" s="75"/>
    </row>
    <row r="9763" spans="34:37" x14ac:dyDescent="0.25">
      <c r="AH9763" s="75"/>
      <c r="AK9763" s="75"/>
    </row>
    <row r="9764" spans="34:37" x14ac:dyDescent="0.25">
      <c r="AH9764" s="75"/>
      <c r="AK9764" s="75"/>
    </row>
    <row r="9765" spans="34:37" x14ac:dyDescent="0.25">
      <c r="AH9765" s="75"/>
      <c r="AK9765" s="75"/>
    </row>
    <row r="9766" spans="34:37" x14ac:dyDescent="0.25">
      <c r="AH9766" s="75"/>
      <c r="AK9766" s="75"/>
    </row>
    <row r="9767" spans="34:37" x14ac:dyDescent="0.25">
      <c r="AH9767" s="75"/>
      <c r="AK9767" s="75"/>
    </row>
    <row r="9768" spans="34:37" x14ac:dyDescent="0.25">
      <c r="AH9768" s="75"/>
      <c r="AK9768" s="75"/>
    </row>
    <row r="9769" spans="34:37" x14ac:dyDescent="0.25">
      <c r="AH9769" s="75"/>
      <c r="AK9769" s="75"/>
    </row>
    <row r="9770" spans="34:37" x14ac:dyDescent="0.25">
      <c r="AH9770" s="75"/>
      <c r="AK9770" s="75"/>
    </row>
    <row r="9771" spans="34:37" x14ac:dyDescent="0.25">
      <c r="AH9771" s="75"/>
      <c r="AK9771" s="75"/>
    </row>
    <row r="9772" spans="34:37" x14ac:dyDescent="0.25">
      <c r="AH9772" s="75"/>
      <c r="AK9772" s="75"/>
    </row>
    <row r="9773" spans="34:37" x14ac:dyDescent="0.25">
      <c r="AH9773" s="75"/>
      <c r="AK9773" s="75"/>
    </row>
    <row r="9774" spans="34:37" x14ac:dyDescent="0.25">
      <c r="AH9774" s="75"/>
      <c r="AK9774" s="75"/>
    </row>
    <row r="9775" spans="34:37" x14ac:dyDescent="0.25">
      <c r="AH9775" s="75"/>
      <c r="AK9775" s="75"/>
    </row>
    <row r="9776" spans="34:37" x14ac:dyDescent="0.25">
      <c r="AH9776" s="75"/>
      <c r="AK9776" s="75"/>
    </row>
    <row r="9777" spans="34:37" x14ac:dyDescent="0.25">
      <c r="AH9777" s="75"/>
      <c r="AK9777" s="75"/>
    </row>
    <row r="9778" spans="34:37" x14ac:dyDescent="0.25">
      <c r="AH9778" s="75"/>
      <c r="AK9778" s="75"/>
    </row>
    <row r="9779" spans="34:37" x14ac:dyDescent="0.25">
      <c r="AH9779" s="75"/>
      <c r="AK9779" s="75"/>
    </row>
    <row r="9780" spans="34:37" x14ac:dyDescent="0.25">
      <c r="AH9780" s="75"/>
      <c r="AK9780" s="75"/>
    </row>
    <row r="9781" spans="34:37" x14ac:dyDescent="0.25">
      <c r="AH9781" s="75"/>
      <c r="AK9781" s="75"/>
    </row>
    <row r="9782" spans="34:37" x14ac:dyDescent="0.25">
      <c r="AH9782" s="75"/>
      <c r="AK9782" s="75"/>
    </row>
    <row r="9783" spans="34:37" x14ac:dyDescent="0.25">
      <c r="AH9783" s="75"/>
      <c r="AK9783" s="75"/>
    </row>
    <row r="9784" spans="34:37" x14ac:dyDescent="0.25">
      <c r="AH9784" s="75"/>
      <c r="AK9784" s="75"/>
    </row>
    <row r="9785" spans="34:37" x14ac:dyDescent="0.25">
      <c r="AH9785" s="75"/>
      <c r="AK9785" s="75"/>
    </row>
    <row r="9786" spans="34:37" x14ac:dyDescent="0.25">
      <c r="AH9786" s="75"/>
      <c r="AK9786" s="75"/>
    </row>
    <row r="9787" spans="34:37" x14ac:dyDescent="0.25">
      <c r="AH9787" s="75"/>
      <c r="AK9787" s="75"/>
    </row>
    <row r="9788" spans="34:37" x14ac:dyDescent="0.25">
      <c r="AH9788" s="75"/>
      <c r="AK9788" s="75"/>
    </row>
    <row r="9789" spans="34:37" x14ac:dyDescent="0.25">
      <c r="AH9789" s="75"/>
      <c r="AK9789" s="75"/>
    </row>
    <row r="9790" spans="34:37" x14ac:dyDescent="0.25">
      <c r="AH9790" s="75"/>
      <c r="AK9790" s="75"/>
    </row>
    <row r="9791" spans="34:37" x14ac:dyDescent="0.25">
      <c r="AH9791" s="75"/>
      <c r="AK9791" s="75"/>
    </row>
    <row r="9792" spans="34:37" x14ac:dyDescent="0.25">
      <c r="AH9792" s="75"/>
      <c r="AK9792" s="75"/>
    </row>
    <row r="9793" spans="34:37" x14ac:dyDescent="0.25">
      <c r="AH9793" s="75"/>
      <c r="AK9793" s="75"/>
    </row>
    <row r="9794" spans="34:37" x14ac:dyDescent="0.25">
      <c r="AH9794" s="75"/>
      <c r="AK9794" s="75"/>
    </row>
    <row r="9795" spans="34:37" x14ac:dyDescent="0.25">
      <c r="AH9795" s="75"/>
      <c r="AK9795" s="75"/>
    </row>
    <row r="9796" spans="34:37" x14ac:dyDescent="0.25">
      <c r="AH9796" s="75"/>
      <c r="AK9796" s="75"/>
    </row>
    <row r="9797" spans="34:37" x14ac:dyDescent="0.25">
      <c r="AH9797" s="75"/>
      <c r="AK9797" s="75"/>
    </row>
    <row r="9798" spans="34:37" x14ac:dyDescent="0.25">
      <c r="AH9798" s="75"/>
      <c r="AK9798" s="75"/>
    </row>
    <row r="9799" spans="34:37" x14ac:dyDescent="0.25">
      <c r="AH9799" s="75"/>
      <c r="AK9799" s="75"/>
    </row>
    <row r="9800" spans="34:37" x14ac:dyDescent="0.25">
      <c r="AH9800" s="75"/>
      <c r="AK9800" s="75"/>
    </row>
    <row r="9801" spans="34:37" x14ac:dyDescent="0.25">
      <c r="AH9801" s="75"/>
      <c r="AK9801" s="75"/>
    </row>
    <row r="9802" spans="34:37" x14ac:dyDescent="0.25">
      <c r="AH9802" s="75"/>
      <c r="AK9802" s="75"/>
    </row>
    <row r="9803" spans="34:37" x14ac:dyDescent="0.25">
      <c r="AH9803" s="75"/>
      <c r="AK9803" s="75"/>
    </row>
    <row r="9804" spans="34:37" x14ac:dyDescent="0.25">
      <c r="AH9804" s="75"/>
      <c r="AK9804" s="75"/>
    </row>
    <row r="9805" spans="34:37" x14ac:dyDescent="0.25">
      <c r="AH9805" s="75"/>
      <c r="AK9805" s="75"/>
    </row>
    <row r="9806" spans="34:37" x14ac:dyDescent="0.25">
      <c r="AH9806" s="75"/>
      <c r="AK9806" s="75"/>
    </row>
    <row r="9807" spans="34:37" x14ac:dyDescent="0.25">
      <c r="AH9807" s="75"/>
      <c r="AK9807" s="75"/>
    </row>
    <row r="9808" spans="34:37" x14ac:dyDescent="0.25">
      <c r="AH9808" s="75"/>
      <c r="AK9808" s="75"/>
    </row>
    <row r="9809" spans="34:37" x14ac:dyDescent="0.25">
      <c r="AH9809" s="75"/>
      <c r="AK9809" s="75"/>
    </row>
    <row r="9810" spans="34:37" x14ac:dyDescent="0.25">
      <c r="AH9810" s="75"/>
      <c r="AK9810" s="75"/>
    </row>
    <row r="9811" spans="34:37" x14ac:dyDescent="0.25">
      <c r="AH9811" s="75"/>
      <c r="AK9811" s="75"/>
    </row>
    <row r="9812" spans="34:37" x14ac:dyDescent="0.25">
      <c r="AH9812" s="75"/>
      <c r="AK9812" s="75"/>
    </row>
    <row r="9813" spans="34:37" x14ac:dyDescent="0.25">
      <c r="AH9813" s="75"/>
      <c r="AK9813" s="75"/>
    </row>
    <row r="9814" spans="34:37" x14ac:dyDescent="0.25">
      <c r="AH9814" s="75"/>
      <c r="AK9814" s="75"/>
    </row>
    <row r="9815" spans="34:37" x14ac:dyDescent="0.25">
      <c r="AH9815" s="75"/>
      <c r="AK9815" s="75"/>
    </row>
    <row r="9816" spans="34:37" x14ac:dyDescent="0.25">
      <c r="AH9816" s="75"/>
      <c r="AK9816" s="75"/>
    </row>
    <row r="9817" spans="34:37" x14ac:dyDescent="0.25">
      <c r="AH9817" s="75"/>
      <c r="AK9817" s="75"/>
    </row>
    <row r="9818" spans="34:37" x14ac:dyDescent="0.25">
      <c r="AH9818" s="75"/>
      <c r="AK9818" s="75"/>
    </row>
    <row r="9819" spans="34:37" x14ac:dyDescent="0.25">
      <c r="AH9819" s="75"/>
      <c r="AK9819" s="75"/>
    </row>
    <row r="9820" spans="34:37" x14ac:dyDescent="0.25">
      <c r="AH9820" s="75"/>
      <c r="AK9820" s="75"/>
    </row>
    <row r="9821" spans="34:37" x14ac:dyDescent="0.25">
      <c r="AH9821" s="75"/>
      <c r="AK9821" s="75"/>
    </row>
    <row r="9822" spans="34:37" x14ac:dyDescent="0.25">
      <c r="AH9822" s="75"/>
      <c r="AK9822" s="75"/>
    </row>
    <row r="9823" spans="34:37" x14ac:dyDescent="0.25">
      <c r="AH9823" s="75"/>
      <c r="AK9823" s="75"/>
    </row>
    <row r="9824" spans="34:37" x14ac:dyDescent="0.25">
      <c r="AH9824" s="75"/>
      <c r="AK9824" s="75"/>
    </row>
    <row r="9825" spans="34:37" x14ac:dyDescent="0.25">
      <c r="AH9825" s="75"/>
      <c r="AK9825" s="75"/>
    </row>
    <row r="9826" spans="34:37" x14ac:dyDescent="0.25">
      <c r="AH9826" s="75"/>
      <c r="AK9826" s="75"/>
    </row>
    <row r="9827" spans="34:37" x14ac:dyDescent="0.25">
      <c r="AH9827" s="75"/>
      <c r="AK9827" s="75"/>
    </row>
    <row r="9828" spans="34:37" x14ac:dyDescent="0.25">
      <c r="AH9828" s="75"/>
      <c r="AK9828" s="75"/>
    </row>
    <row r="9829" spans="34:37" x14ac:dyDescent="0.25">
      <c r="AH9829" s="75"/>
      <c r="AK9829" s="75"/>
    </row>
    <row r="9830" spans="34:37" x14ac:dyDescent="0.25">
      <c r="AH9830" s="75"/>
      <c r="AK9830" s="75"/>
    </row>
    <row r="9831" spans="34:37" x14ac:dyDescent="0.25">
      <c r="AH9831" s="75"/>
      <c r="AK9831" s="75"/>
    </row>
    <row r="9832" spans="34:37" x14ac:dyDescent="0.25">
      <c r="AH9832" s="75"/>
      <c r="AK9832" s="75"/>
    </row>
    <row r="9833" spans="34:37" x14ac:dyDescent="0.25">
      <c r="AH9833" s="75"/>
      <c r="AK9833" s="75"/>
    </row>
    <row r="9834" spans="34:37" x14ac:dyDescent="0.25">
      <c r="AH9834" s="75"/>
      <c r="AK9834" s="75"/>
    </row>
    <row r="9835" spans="34:37" x14ac:dyDescent="0.25">
      <c r="AH9835" s="75"/>
      <c r="AK9835" s="75"/>
    </row>
    <row r="9836" spans="34:37" x14ac:dyDescent="0.25">
      <c r="AH9836" s="75"/>
      <c r="AK9836" s="75"/>
    </row>
    <row r="9837" spans="34:37" x14ac:dyDescent="0.25">
      <c r="AH9837" s="75"/>
      <c r="AK9837" s="75"/>
    </row>
    <row r="9838" spans="34:37" x14ac:dyDescent="0.25">
      <c r="AH9838" s="75"/>
      <c r="AK9838" s="75"/>
    </row>
    <row r="9839" spans="34:37" x14ac:dyDescent="0.25">
      <c r="AH9839" s="75"/>
      <c r="AK9839" s="75"/>
    </row>
    <row r="9840" spans="34:37" x14ac:dyDescent="0.25">
      <c r="AH9840" s="75"/>
      <c r="AK9840" s="75"/>
    </row>
    <row r="9841" spans="34:37" x14ac:dyDescent="0.25">
      <c r="AH9841" s="75"/>
      <c r="AK9841" s="75"/>
    </row>
    <row r="9842" spans="34:37" x14ac:dyDescent="0.25">
      <c r="AH9842" s="75"/>
      <c r="AK9842" s="75"/>
    </row>
    <row r="9843" spans="34:37" x14ac:dyDescent="0.25">
      <c r="AH9843" s="75"/>
      <c r="AK9843" s="75"/>
    </row>
    <row r="9844" spans="34:37" x14ac:dyDescent="0.25">
      <c r="AH9844" s="75"/>
      <c r="AK9844" s="75"/>
    </row>
    <row r="9845" spans="34:37" x14ac:dyDescent="0.25">
      <c r="AH9845" s="75"/>
      <c r="AK9845" s="75"/>
    </row>
    <row r="9846" spans="34:37" x14ac:dyDescent="0.25">
      <c r="AH9846" s="75"/>
      <c r="AK9846" s="75"/>
    </row>
    <row r="9847" spans="34:37" x14ac:dyDescent="0.25">
      <c r="AH9847" s="75"/>
      <c r="AK9847" s="75"/>
    </row>
    <row r="9848" spans="34:37" x14ac:dyDescent="0.25">
      <c r="AH9848" s="75"/>
      <c r="AK9848" s="75"/>
    </row>
    <row r="9849" spans="34:37" x14ac:dyDescent="0.25">
      <c r="AH9849" s="75"/>
      <c r="AK9849" s="75"/>
    </row>
    <row r="9850" spans="34:37" x14ac:dyDescent="0.25">
      <c r="AH9850" s="75"/>
      <c r="AK9850" s="75"/>
    </row>
    <row r="9851" spans="34:37" x14ac:dyDescent="0.25">
      <c r="AH9851" s="75"/>
      <c r="AK9851" s="75"/>
    </row>
    <row r="9852" spans="34:37" x14ac:dyDescent="0.25">
      <c r="AH9852" s="75"/>
      <c r="AK9852" s="75"/>
    </row>
    <row r="9853" spans="34:37" x14ac:dyDescent="0.25">
      <c r="AH9853" s="75"/>
      <c r="AK9853" s="75"/>
    </row>
    <row r="9854" spans="34:37" x14ac:dyDescent="0.25">
      <c r="AH9854" s="75"/>
      <c r="AK9854" s="75"/>
    </row>
    <row r="9855" spans="34:37" x14ac:dyDescent="0.25">
      <c r="AH9855" s="75"/>
      <c r="AK9855" s="75"/>
    </row>
    <row r="9856" spans="34:37" x14ac:dyDescent="0.25">
      <c r="AH9856" s="75"/>
      <c r="AK9856" s="75"/>
    </row>
    <row r="9857" spans="34:37" x14ac:dyDescent="0.25">
      <c r="AH9857" s="75"/>
      <c r="AK9857" s="75"/>
    </row>
    <row r="9858" spans="34:37" x14ac:dyDescent="0.25">
      <c r="AH9858" s="75"/>
      <c r="AK9858" s="75"/>
    </row>
    <row r="9859" spans="34:37" x14ac:dyDescent="0.25">
      <c r="AH9859" s="75"/>
      <c r="AK9859" s="75"/>
    </row>
    <row r="9860" spans="34:37" x14ac:dyDescent="0.25">
      <c r="AH9860" s="75"/>
      <c r="AK9860" s="75"/>
    </row>
    <row r="9861" spans="34:37" x14ac:dyDescent="0.25">
      <c r="AH9861" s="75"/>
      <c r="AK9861" s="75"/>
    </row>
    <row r="9862" spans="34:37" x14ac:dyDescent="0.25">
      <c r="AH9862" s="75"/>
      <c r="AK9862" s="75"/>
    </row>
    <row r="9863" spans="34:37" x14ac:dyDescent="0.25">
      <c r="AH9863" s="75"/>
      <c r="AK9863" s="75"/>
    </row>
    <row r="9864" spans="34:37" x14ac:dyDescent="0.25">
      <c r="AH9864" s="75"/>
      <c r="AK9864" s="75"/>
    </row>
    <row r="9865" spans="34:37" x14ac:dyDescent="0.25">
      <c r="AH9865" s="75"/>
      <c r="AK9865" s="75"/>
    </row>
    <row r="9866" spans="34:37" x14ac:dyDescent="0.25">
      <c r="AH9866" s="75"/>
      <c r="AK9866" s="75"/>
    </row>
    <row r="9867" spans="34:37" x14ac:dyDescent="0.25">
      <c r="AH9867" s="75"/>
      <c r="AK9867" s="75"/>
    </row>
    <row r="9868" spans="34:37" x14ac:dyDescent="0.25">
      <c r="AH9868" s="75"/>
      <c r="AK9868" s="75"/>
    </row>
    <row r="9869" spans="34:37" x14ac:dyDescent="0.25">
      <c r="AH9869" s="75"/>
      <c r="AK9869" s="75"/>
    </row>
    <row r="9870" spans="34:37" x14ac:dyDescent="0.25">
      <c r="AH9870" s="75"/>
      <c r="AK9870" s="75"/>
    </row>
    <row r="9871" spans="34:37" x14ac:dyDescent="0.25">
      <c r="AH9871" s="75"/>
      <c r="AK9871" s="75"/>
    </row>
    <row r="9872" spans="34:37" x14ac:dyDescent="0.25">
      <c r="AH9872" s="75"/>
      <c r="AK9872" s="75"/>
    </row>
    <row r="9873" spans="34:37" x14ac:dyDescent="0.25">
      <c r="AH9873" s="75"/>
      <c r="AK9873" s="75"/>
    </row>
    <row r="9874" spans="34:37" x14ac:dyDescent="0.25">
      <c r="AH9874" s="75"/>
      <c r="AK9874" s="75"/>
    </row>
    <row r="9875" spans="34:37" x14ac:dyDescent="0.25">
      <c r="AH9875" s="75"/>
      <c r="AK9875" s="75"/>
    </row>
    <row r="9876" spans="34:37" x14ac:dyDescent="0.25">
      <c r="AH9876" s="75"/>
      <c r="AK9876" s="75"/>
    </row>
    <row r="9877" spans="34:37" x14ac:dyDescent="0.25">
      <c r="AH9877" s="75"/>
      <c r="AK9877" s="75"/>
    </row>
    <row r="9878" spans="34:37" x14ac:dyDescent="0.25">
      <c r="AH9878" s="75"/>
      <c r="AK9878" s="75"/>
    </row>
    <row r="9879" spans="34:37" x14ac:dyDescent="0.25">
      <c r="AH9879" s="75"/>
      <c r="AK9879" s="75"/>
    </row>
    <row r="9880" spans="34:37" x14ac:dyDescent="0.25">
      <c r="AH9880" s="75"/>
      <c r="AK9880" s="75"/>
    </row>
    <row r="9881" spans="34:37" x14ac:dyDescent="0.25">
      <c r="AH9881" s="75"/>
      <c r="AK9881" s="75"/>
    </row>
    <row r="9882" spans="34:37" x14ac:dyDescent="0.25">
      <c r="AH9882" s="75"/>
      <c r="AK9882" s="75"/>
    </row>
    <row r="9883" spans="34:37" x14ac:dyDescent="0.25">
      <c r="AH9883" s="75"/>
      <c r="AK9883" s="75"/>
    </row>
    <row r="9884" spans="34:37" x14ac:dyDescent="0.25">
      <c r="AH9884" s="75"/>
      <c r="AK9884" s="75"/>
    </row>
    <row r="9885" spans="34:37" x14ac:dyDescent="0.25">
      <c r="AH9885" s="75"/>
      <c r="AK9885" s="75"/>
    </row>
    <row r="9886" spans="34:37" x14ac:dyDescent="0.25">
      <c r="AH9886" s="75"/>
      <c r="AK9886" s="75"/>
    </row>
    <row r="9887" spans="34:37" x14ac:dyDescent="0.25">
      <c r="AH9887" s="75"/>
      <c r="AK9887" s="75"/>
    </row>
    <row r="9888" spans="34:37" x14ac:dyDescent="0.25">
      <c r="AH9888" s="75"/>
      <c r="AK9888" s="75"/>
    </row>
    <row r="9889" spans="34:37" x14ac:dyDescent="0.25">
      <c r="AH9889" s="75"/>
      <c r="AK9889" s="75"/>
    </row>
    <row r="9890" spans="34:37" x14ac:dyDescent="0.25">
      <c r="AH9890" s="75"/>
      <c r="AK9890" s="75"/>
    </row>
    <row r="9891" spans="34:37" x14ac:dyDescent="0.25">
      <c r="AH9891" s="75"/>
      <c r="AK9891" s="75"/>
    </row>
    <row r="9892" spans="34:37" x14ac:dyDescent="0.25">
      <c r="AH9892" s="75"/>
      <c r="AK9892" s="75"/>
    </row>
    <row r="9893" spans="34:37" x14ac:dyDescent="0.25">
      <c r="AH9893" s="75"/>
      <c r="AK9893" s="75"/>
    </row>
    <row r="9894" spans="34:37" x14ac:dyDescent="0.25">
      <c r="AH9894" s="75"/>
      <c r="AK9894" s="75"/>
    </row>
    <row r="9895" spans="34:37" x14ac:dyDescent="0.25">
      <c r="AH9895" s="75"/>
      <c r="AK9895" s="75"/>
    </row>
    <row r="9896" spans="34:37" x14ac:dyDescent="0.25">
      <c r="AH9896" s="75"/>
      <c r="AK9896" s="75"/>
    </row>
    <row r="9897" spans="34:37" x14ac:dyDescent="0.25">
      <c r="AH9897" s="75"/>
      <c r="AK9897" s="75"/>
    </row>
    <row r="9898" spans="34:37" x14ac:dyDescent="0.25">
      <c r="AH9898" s="75"/>
      <c r="AK9898" s="75"/>
    </row>
    <row r="9899" spans="34:37" x14ac:dyDescent="0.25">
      <c r="AH9899" s="75"/>
      <c r="AK9899" s="75"/>
    </row>
    <row r="9900" spans="34:37" x14ac:dyDescent="0.25">
      <c r="AH9900" s="75"/>
      <c r="AK9900" s="75"/>
    </row>
    <row r="9901" spans="34:37" x14ac:dyDescent="0.25">
      <c r="AH9901" s="75"/>
      <c r="AK9901" s="75"/>
    </row>
    <row r="9902" spans="34:37" x14ac:dyDescent="0.25">
      <c r="AH9902" s="75"/>
      <c r="AK9902" s="75"/>
    </row>
    <row r="9903" spans="34:37" x14ac:dyDescent="0.25">
      <c r="AH9903" s="75"/>
      <c r="AK9903" s="75"/>
    </row>
    <row r="9904" spans="34:37" x14ac:dyDescent="0.25">
      <c r="AH9904" s="75"/>
      <c r="AK9904" s="75"/>
    </row>
    <row r="9905" spans="34:37" x14ac:dyDescent="0.25">
      <c r="AH9905" s="75"/>
      <c r="AK9905" s="75"/>
    </row>
    <row r="9906" spans="34:37" x14ac:dyDescent="0.25">
      <c r="AH9906" s="75"/>
      <c r="AK9906" s="75"/>
    </row>
    <row r="9907" spans="34:37" x14ac:dyDescent="0.25">
      <c r="AH9907" s="75"/>
      <c r="AK9907" s="75"/>
    </row>
    <row r="9908" spans="34:37" x14ac:dyDescent="0.25">
      <c r="AH9908" s="75"/>
      <c r="AK9908" s="75"/>
    </row>
    <row r="9909" spans="34:37" x14ac:dyDescent="0.25">
      <c r="AH9909" s="75"/>
      <c r="AK9909" s="75"/>
    </row>
    <row r="9910" spans="34:37" x14ac:dyDescent="0.25">
      <c r="AH9910" s="75"/>
      <c r="AK9910" s="75"/>
    </row>
    <row r="9911" spans="34:37" x14ac:dyDescent="0.25">
      <c r="AH9911" s="75"/>
      <c r="AK9911" s="75"/>
    </row>
    <row r="9912" spans="34:37" x14ac:dyDescent="0.25">
      <c r="AH9912" s="75"/>
      <c r="AK9912" s="75"/>
    </row>
    <row r="9913" spans="34:37" x14ac:dyDescent="0.25">
      <c r="AH9913" s="75"/>
      <c r="AK9913" s="75"/>
    </row>
    <row r="9914" spans="34:37" x14ac:dyDescent="0.25">
      <c r="AH9914" s="75"/>
      <c r="AK9914" s="75"/>
    </row>
    <row r="9915" spans="34:37" x14ac:dyDescent="0.25">
      <c r="AH9915" s="75"/>
      <c r="AK9915" s="75"/>
    </row>
    <row r="9916" spans="34:37" x14ac:dyDescent="0.25">
      <c r="AH9916" s="75"/>
      <c r="AK9916" s="75"/>
    </row>
    <row r="9917" spans="34:37" x14ac:dyDescent="0.25">
      <c r="AH9917" s="75"/>
      <c r="AK9917" s="75"/>
    </row>
    <row r="9918" spans="34:37" x14ac:dyDescent="0.25">
      <c r="AH9918" s="75"/>
      <c r="AK9918" s="75"/>
    </row>
    <row r="9919" spans="34:37" x14ac:dyDescent="0.25">
      <c r="AH9919" s="75"/>
      <c r="AK9919" s="75"/>
    </row>
    <row r="9920" spans="34:37" x14ac:dyDescent="0.25">
      <c r="AH9920" s="75"/>
      <c r="AK9920" s="75"/>
    </row>
    <row r="9921" spans="34:37" x14ac:dyDescent="0.25">
      <c r="AH9921" s="75"/>
      <c r="AK9921" s="75"/>
    </row>
    <row r="9922" spans="34:37" x14ac:dyDescent="0.25">
      <c r="AH9922" s="75"/>
      <c r="AK9922" s="75"/>
    </row>
    <row r="9923" spans="34:37" x14ac:dyDescent="0.25">
      <c r="AH9923" s="75"/>
      <c r="AK9923" s="75"/>
    </row>
    <row r="9924" spans="34:37" x14ac:dyDescent="0.25">
      <c r="AH9924" s="75"/>
      <c r="AK9924" s="75"/>
    </row>
    <row r="9925" spans="34:37" x14ac:dyDescent="0.25">
      <c r="AH9925" s="75"/>
      <c r="AK9925" s="75"/>
    </row>
    <row r="9926" spans="34:37" x14ac:dyDescent="0.25">
      <c r="AH9926" s="75"/>
      <c r="AK9926" s="75"/>
    </row>
    <row r="9927" spans="34:37" x14ac:dyDescent="0.25">
      <c r="AH9927" s="75"/>
      <c r="AK9927" s="75"/>
    </row>
    <row r="9928" spans="34:37" x14ac:dyDescent="0.25">
      <c r="AH9928" s="75"/>
      <c r="AK9928" s="75"/>
    </row>
    <row r="9929" spans="34:37" x14ac:dyDescent="0.25">
      <c r="AH9929" s="75"/>
      <c r="AK9929" s="75"/>
    </row>
    <row r="9930" spans="34:37" x14ac:dyDescent="0.25">
      <c r="AH9930" s="75"/>
      <c r="AK9930" s="75"/>
    </row>
    <row r="9931" spans="34:37" x14ac:dyDescent="0.25">
      <c r="AH9931" s="75"/>
      <c r="AK9931" s="75"/>
    </row>
    <row r="9932" spans="34:37" x14ac:dyDescent="0.25">
      <c r="AH9932" s="75"/>
      <c r="AK9932" s="75"/>
    </row>
    <row r="9933" spans="34:37" x14ac:dyDescent="0.25">
      <c r="AH9933" s="75"/>
      <c r="AK9933" s="75"/>
    </row>
    <row r="9934" spans="34:37" x14ac:dyDescent="0.25">
      <c r="AH9934" s="75"/>
      <c r="AK9934" s="75"/>
    </row>
    <row r="9935" spans="34:37" x14ac:dyDescent="0.25">
      <c r="AH9935" s="75"/>
      <c r="AK9935" s="75"/>
    </row>
    <row r="9936" spans="34:37" x14ac:dyDescent="0.25">
      <c r="AH9936" s="75"/>
      <c r="AK9936" s="75"/>
    </row>
    <row r="9937" spans="34:37" x14ac:dyDescent="0.25">
      <c r="AH9937" s="75"/>
      <c r="AK9937" s="75"/>
    </row>
    <row r="9938" spans="34:37" x14ac:dyDescent="0.25">
      <c r="AH9938" s="75"/>
      <c r="AK9938" s="75"/>
    </row>
    <row r="9939" spans="34:37" x14ac:dyDescent="0.25">
      <c r="AH9939" s="75"/>
      <c r="AK9939" s="75"/>
    </row>
    <row r="9940" spans="34:37" x14ac:dyDescent="0.25">
      <c r="AH9940" s="75"/>
      <c r="AK9940" s="75"/>
    </row>
    <row r="9941" spans="34:37" x14ac:dyDescent="0.25">
      <c r="AH9941" s="75"/>
      <c r="AK9941" s="75"/>
    </row>
    <row r="9942" spans="34:37" x14ac:dyDescent="0.25">
      <c r="AH9942" s="75"/>
      <c r="AK9942" s="75"/>
    </row>
    <row r="9943" spans="34:37" x14ac:dyDescent="0.25">
      <c r="AH9943" s="75"/>
      <c r="AK9943" s="75"/>
    </row>
    <row r="9944" spans="34:37" x14ac:dyDescent="0.25">
      <c r="AH9944" s="75"/>
      <c r="AK9944" s="75"/>
    </row>
    <row r="9945" spans="34:37" x14ac:dyDescent="0.25">
      <c r="AH9945" s="75"/>
      <c r="AK9945" s="75"/>
    </row>
    <row r="9946" spans="34:37" x14ac:dyDescent="0.25">
      <c r="AH9946" s="75"/>
      <c r="AK9946" s="75"/>
    </row>
    <row r="9947" spans="34:37" x14ac:dyDescent="0.25">
      <c r="AH9947" s="75"/>
      <c r="AK9947" s="75"/>
    </row>
    <row r="9948" spans="34:37" x14ac:dyDescent="0.25">
      <c r="AH9948" s="75"/>
      <c r="AK9948" s="75"/>
    </row>
    <row r="9949" spans="34:37" x14ac:dyDescent="0.25">
      <c r="AH9949" s="75"/>
      <c r="AK9949" s="75"/>
    </row>
    <row r="9950" spans="34:37" x14ac:dyDescent="0.25">
      <c r="AH9950" s="75"/>
      <c r="AK9950" s="75"/>
    </row>
    <row r="9951" spans="34:37" x14ac:dyDescent="0.25">
      <c r="AH9951" s="75"/>
      <c r="AK9951" s="75"/>
    </row>
    <row r="9952" spans="34:37" x14ac:dyDescent="0.25">
      <c r="AH9952" s="75"/>
      <c r="AK9952" s="75"/>
    </row>
    <row r="9953" spans="34:37" x14ac:dyDescent="0.25">
      <c r="AH9953" s="75"/>
      <c r="AK9953" s="75"/>
    </row>
    <row r="9954" spans="34:37" x14ac:dyDescent="0.25">
      <c r="AH9954" s="75"/>
      <c r="AK9954" s="75"/>
    </row>
    <row r="9955" spans="34:37" x14ac:dyDescent="0.25">
      <c r="AH9955" s="75"/>
      <c r="AK9955" s="75"/>
    </row>
    <row r="9956" spans="34:37" x14ac:dyDescent="0.25">
      <c r="AH9956" s="75"/>
      <c r="AK9956" s="75"/>
    </row>
    <row r="9957" spans="34:37" x14ac:dyDescent="0.25">
      <c r="AH9957" s="75"/>
      <c r="AK9957" s="75"/>
    </row>
    <row r="9958" spans="34:37" x14ac:dyDescent="0.25">
      <c r="AH9958" s="75"/>
      <c r="AK9958" s="75"/>
    </row>
    <row r="9959" spans="34:37" x14ac:dyDescent="0.25">
      <c r="AH9959" s="75"/>
      <c r="AK9959" s="75"/>
    </row>
    <row r="9960" spans="34:37" x14ac:dyDescent="0.25">
      <c r="AH9960" s="75"/>
      <c r="AK9960" s="75"/>
    </row>
    <row r="9961" spans="34:37" x14ac:dyDescent="0.25">
      <c r="AH9961" s="75"/>
      <c r="AK9961" s="75"/>
    </row>
    <row r="9962" spans="34:37" x14ac:dyDescent="0.25">
      <c r="AH9962" s="75"/>
      <c r="AK9962" s="75"/>
    </row>
    <row r="9963" spans="34:37" x14ac:dyDescent="0.25">
      <c r="AH9963" s="75"/>
      <c r="AK9963" s="75"/>
    </row>
    <row r="9964" spans="34:37" x14ac:dyDescent="0.25">
      <c r="AH9964" s="75"/>
      <c r="AK9964" s="75"/>
    </row>
    <row r="9965" spans="34:37" x14ac:dyDescent="0.25">
      <c r="AH9965" s="75"/>
      <c r="AK9965" s="75"/>
    </row>
    <row r="9966" spans="34:37" x14ac:dyDescent="0.25">
      <c r="AH9966" s="75"/>
      <c r="AK9966" s="75"/>
    </row>
    <row r="9967" spans="34:37" x14ac:dyDescent="0.25">
      <c r="AH9967" s="75"/>
      <c r="AK9967" s="75"/>
    </row>
    <row r="9968" spans="34:37" x14ac:dyDescent="0.25">
      <c r="AH9968" s="75"/>
      <c r="AK9968" s="75"/>
    </row>
    <row r="9969" spans="34:37" x14ac:dyDescent="0.25">
      <c r="AH9969" s="75"/>
      <c r="AK9969" s="75"/>
    </row>
    <row r="9970" spans="34:37" x14ac:dyDescent="0.25">
      <c r="AH9970" s="75"/>
      <c r="AK9970" s="75"/>
    </row>
    <row r="9971" spans="34:37" x14ac:dyDescent="0.25">
      <c r="AH9971" s="75"/>
      <c r="AK9971" s="75"/>
    </row>
    <row r="9972" spans="34:37" x14ac:dyDescent="0.25">
      <c r="AH9972" s="75"/>
      <c r="AK9972" s="75"/>
    </row>
    <row r="9973" spans="34:37" x14ac:dyDescent="0.25">
      <c r="AH9973" s="75"/>
      <c r="AK9973" s="75"/>
    </row>
    <row r="9974" spans="34:37" x14ac:dyDescent="0.25">
      <c r="AH9974" s="75"/>
      <c r="AK9974" s="75"/>
    </row>
    <row r="9975" spans="34:37" x14ac:dyDescent="0.25">
      <c r="AH9975" s="75"/>
      <c r="AK9975" s="75"/>
    </row>
    <row r="9976" spans="34:37" x14ac:dyDescent="0.25">
      <c r="AH9976" s="75"/>
      <c r="AK9976" s="75"/>
    </row>
    <row r="9977" spans="34:37" x14ac:dyDescent="0.25">
      <c r="AH9977" s="75"/>
      <c r="AK9977" s="75"/>
    </row>
    <row r="9978" spans="34:37" x14ac:dyDescent="0.25">
      <c r="AH9978" s="75"/>
      <c r="AK9978" s="75"/>
    </row>
    <row r="9979" spans="34:37" x14ac:dyDescent="0.25">
      <c r="AH9979" s="75"/>
      <c r="AK9979" s="75"/>
    </row>
    <row r="9980" spans="34:37" x14ac:dyDescent="0.25">
      <c r="AH9980" s="75"/>
      <c r="AK9980" s="75"/>
    </row>
    <row r="9981" spans="34:37" x14ac:dyDescent="0.25">
      <c r="AH9981" s="75"/>
      <c r="AK9981" s="75"/>
    </row>
    <row r="9982" spans="34:37" x14ac:dyDescent="0.25">
      <c r="AH9982" s="75"/>
      <c r="AK9982" s="75"/>
    </row>
    <row r="9983" spans="34:37" x14ac:dyDescent="0.25">
      <c r="AH9983" s="75"/>
      <c r="AK9983" s="75"/>
    </row>
    <row r="9984" spans="34:37" x14ac:dyDescent="0.25">
      <c r="AH9984" s="75"/>
      <c r="AK9984" s="75"/>
    </row>
    <row r="9985" spans="34:37" x14ac:dyDescent="0.25">
      <c r="AH9985" s="75"/>
      <c r="AK9985" s="75"/>
    </row>
    <row r="9986" spans="34:37" x14ac:dyDescent="0.25">
      <c r="AH9986" s="75"/>
      <c r="AK9986" s="75"/>
    </row>
    <row r="9987" spans="34:37" x14ac:dyDescent="0.25">
      <c r="AH9987" s="75"/>
      <c r="AK9987" s="75"/>
    </row>
    <row r="9988" spans="34:37" x14ac:dyDescent="0.25">
      <c r="AH9988" s="75"/>
      <c r="AK9988" s="75"/>
    </row>
    <row r="9989" spans="34:37" x14ac:dyDescent="0.25">
      <c r="AH9989" s="75"/>
      <c r="AK9989" s="75"/>
    </row>
    <row r="9990" spans="34:37" x14ac:dyDescent="0.25">
      <c r="AH9990" s="75"/>
      <c r="AK9990" s="75"/>
    </row>
    <row r="9991" spans="34:37" x14ac:dyDescent="0.25">
      <c r="AH9991" s="75"/>
      <c r="AK9991" s="75"/>
    </row>
    <row r="9992" spans="34:37" x14ac:dyDescent="0.25">
      <c r="AH9992" s="75"/>
      <c r="AK9992" s="75"/>
    </row>
    <row r="9993" spans="34:37" x14ac:dyDescent="0.25">
      <c r="AH9993" s="75"/>
      <c r="AK9993" s="75"/>
    </row>
    <row r="9994" spans="34:37" x14ac:dyDescent="0.25">
      <c r="AH9994" s="75"/>
      <c r="AK9994" s="75"/>
    </row>
    <row r="9995" spans="34:37" x14ac:dyDescent="0.25">
      <c r="AH9995" s="75"/>
      <c r="AK9995" s="75"/>
    </row>
    <row r="9996" spans="34:37" x14ac:dyDescent="0.25">
      <c r="AH9996" s="75"/>
      <c r="AK9996" s="75"/>
    </row>
    <row r="9997" spans="34:37" x14ac:dyDescent="0.25">
      <c r="AH9997" s="75"/>
      <c r="AK9997" s="75"/>
    </row>
    <row r="9998" spans="34:37" x14ac:dyDescent="0.25">
      <c r="AH9998" s="75"/>
      <c r="AK9998" s="75"/>
    </row>
    <row r="9999" spans="34:37" x14ac:dyDescent="0.25">
      <c r="AH9999" s="75"/>
      <c r="AK9999" s="75"/>
    </row>
    <row r="10000" spans="34:37" x14ac:dyDescent="0.25">
      <c r="AH10000" s="75"/>
      <c r="AK10000" s="75"/>
    </row>
    <row r="10001" spans="34:37" x14ac:dyDescent="0.25">
      <c r="AH10001" s="75"/>
      <c r="AK10001" s="75"/>
    </row>
    <row r="10002" spans="34:37" x14ac:dyDescent="0.25">
      <c r="AH10002" s="75"/>
      <c r="AK10002" s="75"/>
    </row>
    <row r="10003" spans="34:37" x14ac:dyDescent="0.25">
      <c r="AH10003" s="75"/>
      <c r="AK10003" s="75"/>
    </row>
  </sheetData>
  <mergeCells count="3">
    <mergeCell ref="B7:B17"/>
    <mergeCell ref="B18:B25"/>
    <mergeCell ref="B2:W2"/>
  </mergeCells>
  <phoneticPr fontId="1" type="noConversion"/>
  <pageMargins left="0.7" right="0.7" top="0.75" bottom="0.75" header="0.3" footer="0.3"/>
  <pageSetup paperSize="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6" r:id="rId4" name="Drop Down 2">
              <controlPr defaultSize="0" autoLine="0" autoPict="0">
                <anchor moveWithCells="1">
                  <from>
                    <xdr:col>15</xdr:col>
                    <xdr:colOff>76200</xdr:colOff>
                    <xdr:row>1</xdr:row>
                    <xdr:rowOff>438150</xdr:rowOff>
                  </from>
                  <to>
                    <xdr:col>16</xdr:col>
                    <xdr:colOff>304800</xdr:colOff>
                    <xdr:row>3</xdr:row>
                    <xdr:rowOff>9525</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15</xdr:col>
                    <xdr:colOff>66675</xdr:colOff>
                    <xdr:row>18</xdr:row>
                    <xdr:rowOff>38100</xdr:rowOff>
                  </from>
                  <to>
                    <xdr:col>16</xdr:col>
                    <xdr:colOff>295275</xdr:colOff>
                    <xdr:row>19</xdr:row>
                    <xdr:rowOff>66675</xdr:rowOff>
                  </to>
                </anchor>
              </controlPr>
            </control>
          </mc:Choice>
        </mc:AlternateContent>
        <mc:AlternateContent xmlns:mc="http://schemas.openxmlformats.org/markup-compatibility/2006">
          <mc:Choice Requires="x14">
            <control shapeId="1029" r:id="rId6" name="Check Box 5">
              <controlPr defaultSize="0" autoFill="0" autoLine="0" autoPict="0">
                <anchor moveWithCells="1">
                  <from>
                    <xdr:col>15</xdr:col>
                    <xdr:colOff>76200</xdr:colOff>
                    <xdr:row>19</xdr:row>
                    <xdr:rowOff>95250</xdr:rowOff>
                  </from>
                  <to>
                    <xdr:col>16</xdr:col>
                    <xdr:colOff>0</xdr:colOff>
                    <xdr:row>20</xdr:row>
                    <xdr:rowOff>114300</xdr:rowOff>
                  </to>
                </anchor>
              </controlPr>
            </control>
          </mc:Choice>
        </mc:AlternateContent>
        <mc:AlternateContent xmlns:mc="http://schemas.openxmlformats.org/markup-compatibility/2006">
          <mc:Choice Requires="x14">
            <control shapeId="1030" r:id="rId7" name="Check Box 6">
              <controlPr defaultSize="0" autoFill="0" autoLine="0" autoPict="0">
                <anchor moveWithCells="1">
                  <from>
                    <xdr:col>16</xdr:col>
                    <xdr:colOff>85725</xdr:colOff>
                    <xdr:row>19</xdr:row>
                    <xdr:rowOff>95250</xdr:rowOff>
                  </from>
                  <to>
                    <xdr:col>17</xdr:col>
                    <xdr:colOff>142875</xdr:colOff>
                    <xdr:row>20</xdr:row>
                    <xdr:rowOff>114300</xdr:rowOff>
                  </to>
                </anchor>
              </controlPr>
            </control>
          </mc:Choice>
        </mc:AlternateContent>
        <mc:AlternateContent xmlns:mc="http://schemas.openxmlformats.org/markup-compatibility/2006">
          <mc:Choice Requires="x14">
            <control shapeId="1031" r:id="rId8" name="Check Box 7">
              <controlPr defaultSize="0" autoFill="0" autoLine="0" autoPict="0">
                <anchor moveWithCells="1">
                  <from>
                    <xdr:col>17</xdr:col>
                    <xdr:colOff>28575</xdr:colOff>
                    <xdr:row>19</xdr:row>
                    <xdr:rowOff>95250</xdr:rowOff>
                  </from>
                  <to>
                    <xdr:col>18</xdr:col>
                    <xdr:colOff>85725</xdr:colOff>
                    <xdr:row>20</xdr:row>
                    <xdr:rowOff>114300</xdr:rowOff>
                  </to>
                </anchor>
              </controlPr>
            </control>
          </mc:Choice>
        </mc:AlternateContent>
        <mc:AlternateContent xmlns:mc="http://schemas.openxmlformats.org/markup-compatibility/2006">
          <mc:Choice Requires="x14">
            <control shapeId="1032" r:id="rId9" name="Check Box 8">
              <controlPr defaultSize="0" autoFill="0" autoLine="0" autoPict="0">
                <anchor moveWithCells="1">
                  <from>
                    <xdr:col>18</xdr:col>
                    <xdr:colOff>57150</xdr:colOff>
                    <xdr:row>19</xdr:row>
                    <xdr:rowOff>85725</xdr:rowOff>
                  </from>
                  <to>
                    <xdr:col>19</xdr:col>
                    <xdr:colOff>114300</xdr:colOff>
                    <xdr:row>20</xdr:row>
                    <xdr:rowOff>104775</xdr:rowOff>
                  </to>
                </anchor>
              </controlPr>
            </control>
          </mc:Choice>
        </mc:AlternateContent>
        <mc:AlternateContent xmlns:mc="http://schemas.openxmlformats.org/markup-compatibility/2006">
          <mc:Choice Requires="x14">
            <control shapeId="1033" r:id="rId10" name="Check Box 9">
              <controlPr defaultSize="0" autoFill="0" autoLine="0" autoPict="0">
                <anchor moveWithCells="1">
                  <from>
                    <xdr:col>19</xdr:col>
                    <xdr:colOff>57150</xdr:colOff>
                    <xdr:row>19</xdr:row>
                    <xdr:rowOff>85725</xdr:rowOff>
                  </from>
                  <to>
                    <xdr:col>20</xdr:col>
                    <xdr:colOff>114300</xdr:colOff>
                    <xdr:row>20</xdr:row>
                    <xdr:rowOff>104775</xdr:rowOff>
                  </to>
                </anchor>
              </controlPr>
            </control>
          </mc:Choice>
        </mc:AlternateContent>
        <mc:AlternateContent xmlns:mc="http://schemas.openxmlformats.org/markup-compatibility/2006">
          <mc:Choice Requires="x14">
            <control shapeId="1034" r:id="rId11" name="Check Box 10">
              <controlPr defaultSize="0" autoFill="0" autoLine="0" autoPict="0">
                <anchor moveWithCells="1">
                  <from>
                    <xdr:col>20</xdr:col>
                    <xdr:colOff>57150</xdr:colOff>
                    <xdr:row>19</xdr:row>
                    <xdr:rowOff>85725</xdr:rowOff>
                  </from>
                  <to>
                    <xdr:col>20</xdr:col>
                    <xdr:colOff>723900</xdr:colOff>
                    <xdr:row>20</xdr:row>
                    <xdr:rowOff>104775</xdr:rowOff>
                  </to>
                </anchor>
              </controlPr>
            </control>
          </mc:Choice>
        </mc:AlternateContent>
        <mc:AlternateContent xmlns:mc="http://schemas.openxmlformats.org/markup-compatibility/2006">
          <mc:Choice Requires="x14">
            <control shapeId="1035" r:id="rId12" name="Check Box 11">
              <controlPr defaultSize="0" autoFill="0" autoLine="0" autoPict="0">
                <anchor moveWithCells="1">
                  <from>
                    <xdr:col>20</xdr:col>
                    <xdr:colOff>676275</xdr:colOff>
                    <xdr:row>19</xdr:row>
                    <xdr:rowOff>95250</xdr:rowOff>
                  </from>
                  <to>
                    <xdr:col>21</xdr:col>
                    <xdr:colOff>590550</xdr:colOff>
                    <xdr:row>20</xdr:row>
                    <xdr:rowOff>114300</xdr:rowOff>
                  </to>
                </anchor>
              </controlPr>
            </control>
          </mc:Choice>
        </mc:AlternateContent>
        <mc:AlternateContent xmlns:mc="http://schemas.openxmlformats.org/markup-compatibility/2006">
          <mc:Choice Requires="x14">
            <control shapeId="1036" r:id="rId13" name="Check Box 12">
              <controlPr defaultSize="0" autoFill="0" autoLine="0" autoPict="0">
                <anchor moveWithCells="1">
                  <from>
                    <xdr:col>22</xdr:col>
                    <xdr:colOff>57150</xdr:colOff>
                    <xdr:row>19</xdr:row>
                    <xdr:rowOff>85725</xdr:rowOff>
                  </from>
                  <to>
                    <xdr:col>22</xdr:col>
                    <xdr:colOff>723900</xdr:colOff>
                    <xdr:row>20</xdr:row>
                    <xdr:rowOff>104775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B1:NUF10008"/>
  <sheetViews>
    <sheetView showGridLines="0" zoomScaleNormal="100" workbookViewId="0"/>
  </sheetViews>
  <sheetFormatPr defaultRowHeight="13.5" x14ac:dyDescent="0.25"/>
  <cols>
    <col min="1" max="1" width="1.85546875" customWidth="1"/>
    <col min="2" max="2" width="18.42578125" customWidth="1"/>
    <col min="3" max="3" width="13.7109375" customWidth="1"/>
    <col min="4" max="4" width="5.140625" customWidth="1"/>
    <col min="5" max="5" width="16.85546875" customWidth="1"/>
    <col min="6" max="8" width="11.140625" customWidth="1"/>
    <col min="9" max="9" width="12.140625" customWidth="1"/>
    <col min="10" max="10" width="11.28515625" bestFit="1" customWidth="1"/>
    <col min="11" max="12" width="11.28515625" customWidth="1"/>
    <col min="13" max="13" width="11.28515625" bestFit="1" customWidth="1"/>
    <col min="14" max="14" width="11.28515625" customWidth="1"/>
    <col min="15" max="15" width="1.42578125" customWidth="1"/>
    <col min="16" max="16" width="6.7109375" customWidth="1"/>
    <col min="17" max="17" width="14.7109375" customWidth="1"/>
    <col min="18" max="27" width="6.7109375" customWidth="1"/>
    <col min="28" max="28" width="11.140625" bestFit="1" customWidth="1"/>
    <col min="33" max="33" width="11.28515625" bestFit="1" customWidth="1"/>
    <col min="35" max="35" width="11.28515625" bestFit="1" customWidth="1"/>
    <col min="37" max="37" width="9" style="69" customWidth="1"/>
    <col min="38" max="38" width="7.42578125" style="72" customWidth="1"/>
    <col min="39" max="43" width="9.42578125" style="72" customWidth="1"/>
    <col min="44" max="44" width="9.42578125" style="100" customWidth="1"/>
    <col min="45" max="45" width="9.140625" style="100"/>
    <col min="46" max="46" width="12.28515625" style="72" customWidth="1"/>
    <col min="47" max="47" width="9.28515625" style="72" bestFit="1" customWidth="1"/>
    <col min="48" max="48" width="9.140625" style="100"/>
    <col min="49" max="49" width="11.42578125" style="72" bestFit="1" customWidth="1"/>
    <col min="50" max="50" width="17.7109375" style="72" hidden="1" customWidth="1"/>
    <col min="51" max="55" width="9.7109375" style="72" hidden="1" customWidth="1"/>
    <col min="56" max="56" width="16.28515625" style="72" hidden="1" customWidth="1"/>
    <col min="57" max="57" width="9" style="72" hidden="1" customWidth="1"/>
    <col min="58" max="58" width="12.85546875" style="72" hidden="1" customWidth="1"/>
    <col min="59" max="66" width="9.28515625" style="72" customWidth="1"/>
    <col min="67" max="68" width="9.28515625" style="100" customWidth="1"/>
    <col min="69" max="69" width="9.140625" style="100"/>
    <col min="70" max="70" width="11.42578125" style="100" hidden="1" customWidth="1"/>
    <col min="71" max="71" width="12.7109375" style="100" hidden="1" customWidth="1"/>
    <col min="72" max="72" width="9.42578125" style="100" hidden="1" customWidth="1"/>
    <col min="73" max="78" width="11.140625" style="100" hidden="1" customWidth="1"/>
    <col min="79" max="79" width="9.140625" style="100"/>
  </cols>
  <sheetData>
    <row r="1" spans="2:10016" s="2" customFormat="1" ht="9.75" customHeight="1" x14ac:dyDescent="0.25">
      <c r="B1"/>
      <c r="C1"/>
      <c r="D1"/>
      <c r="E1"/>
      <c r="F1"/>
      <c r="G1"/>
      <c r="H1"/>
      <c r="I1"/>
      <c r="J1"/>
      <c r="K1"/>
      <c r="L1"/>
      <c r="M1"/>
      <c r="N1"/>
      <c r="O1"/>
      <c r="P1"/>
      <c r="Q1"/>
      <c r="R1"/>
      <c r="S1"/>
      <c r="T1"/>
      <c r="U1"/>
      <c r="V1"/>
      <c r="W1"/>
      <c r="X1"/>
      <c r="Y1"/>
      <c r="Z1"/>
      <c r="AA1"/>
      <c r="AB1"/>
      <c r="AC1"/>
      <c r="AD1"/>
      <c r="AE1"/>
      <c r="AF1"/>
      <c r="AG1"/>
      <c r="AH1"/>
      <c r="AI1"/>
      <c r="AK1" s="68"/>
      <c r="AL1" s="71"/>
      <c r="AM1" s="71"/>
      <c r="AN1" s="71"/>
      <c r="AO1" s="71"/>
      <c r="AP1" s="71"/>
      <c r="AQ1" s="71"/>
      <c r="AR1" s="99"/>
      <c r="AS1" s="99"/>
      <c r="AT1" s="71"/>
      <c r="AU1" s="71"/>
      <c r="AV1" s="99"/>
      <c r="AW1" s="71"/>
      <c r="AX1" s="71"/>
      <c r="AY1" s="71"/>
      <c r="AZ1" s="71"/>
      <c r="BA1" s="71"/>
      <c r="BB1" s="71"/>
      <c r="BC1" s="71"/>
      <c r="BD1" s="71"/>
      <c r="BE1" s="71"/>
      <c r="BF1" s="71"/>
      <c r="BG1" s="71"/>
      <c r="BH1" s="71"/>
      <c r="BI1" s="71"/>
      <c r="BJ1" s="71"/>
      <c r="BK1" s="71"/>
      <c r="BL1" s="71"/>
      <c r="BM1" s="71"/>
      <c r="BN1" s="71"/>
      <c r="BO1" s="99"/>
      <c r="BP1" s="99"/>
      <c r="BQ1" s="99"/>
      <c r="BR1" s="99"/>
      <c r="BS1" s="99"/>
      <c r="BT1" s="99"/>
      <c r="BU1" s="99"/>
      <c r="BV1" s="99"/>
      <c r="BW1" s="99"/>
      <c r="BX1" s="99"/>
      <c r="BY1" s="99"/>
      <c r="BZ1" s="99"/>
      <c r="CA1" s="99"/>
    </row>
    <row r="2" spans="2:10016" s="2" customFormat="1" ht="60" customHeight="1" x14ac:dyDescent="0.25">
      <c r="B2" s="134" t="s">
        <v>168</v>
      </c>
      <c r="C2"/>
      <c r="D2"/>
      <c r="E2"/>
      <c r="F2"/>
      <c r="G2"/>
      <c r="H2"/>
      <c r="I2"/>
      <c r="J2"/>
      <c r="K2"/>
      <c r="L2"/>
      <c r="M2"/>
      <c r="N2"/>
      <c r="O2"/>
      <c r="P2"/>
      <c r="Q2"/>
      <c r="R2"/>
      <c r="S2"/>
      <c r="T2"/>
      <c r="U2"/>
      <c r="V2"/>
      <c r="W2"/>
      <c r="X2"/>
      <c r="Y2"/>
      <c r="Z2"/>
      <c r="AA2"/>
      <c r="AB2"/>
      <c r="AC2"/>
      <c r="AD2"/>
      <c r="AE2"/>
      <c r="AF2"/>
      <c r="AG2"/>
      <c r="AH2"/>
      <c r="AI2"/>
      <c r="AK2" s="68"/>
      <c r="AL2" s="71"/>
      <c r="AM2" s="71"/>
      <c r="AN2" s="71"/>
      <c r="AO2" s="71"/>
      <c r="AP2" s="71"/>
      <c r="AQ2" s="71"/>
      <c r="AR2" s="99"/>
      <c r="AS2" s="99"/>
      <c r="AT2" s="71"/>
      <c r="AU2" s="71"/>
      <c r="AV2" s="99"/>
      <c r="AW2" s="71"/>
      <c r="AX2" s="71"/>
      <c r="AY2" s="71"/>
      <c r="AZ2" s="71"/>
      <c r="BA2" s="71"/>
      <c r="BB2" s="71"/>
      <c r="BC2" s="71"/>
      <c r="BD2" s="71"/>
      <c r="BE2" s="71"/>
      <c r="BF2" s="71"/>
      <c r="BG2" s="71"/>
      <c r="BH2" s="71"/>
      <c r="BI2" s="71"/>
      <c r="BJ2" s="71"/>
      <c r="BK2" s="71"/>
      <c r="BL2" s="71"/>
      <c r="BM2" s="71"/>
      <c r="BN2" s="71"/>
      <c r="BO2" s="99"/>
      <c r="BP2" s="99"/>
      <c r="BQ2" s="99"/>
      <c r="BR2" s="99"/>
      <c r="BS2" s="99"/>
      <c r="BT2" s="99"/>
      <c r="BU2" s="99"/>
      <c r="BV2" s="99"/>
      <c r="BW2" s="99"/>
      <c r="BX2" s="99"/>
      <c r="BY2" s="99"/>
      <c r="BZ2" s="99"/>
      <c r="CA2" s="99"/>
    </row>
    <row r="3" spans="2:10016" s="2" customFormat="1" ht="65.25" customHeight="1" x14ac:dyDescent="0.25">
      <c r="B3" s="134" t="s">
        <v>167</v>
      </c>
      <c r="C3"/>
      <c r="D3"/>
      <c r="E3"/>
      <c r="F3"/>
      <c r="G3"/>
      <c r="H3"/>
      <c r="I3"/>
      <c r="J3"/>
      <c r="K3"/>
      <c r="L3"/>
      <c r="M3"/>
      <c r="N3"/>
      <c r="O3"/>
      <c r="P3"/>
      <c r="Q3"/>
      <c r="R3"/>
      <c r="S3"/>
      <c r="T3"/>
      <c r="U3"/>
      <c r="V3"/>
      <c r="W3"/>
      <c r="X3"/>
      <c r="Y3"/>
      <c r="Z3"/>
      <c r="AA3"/>
      <c r="AB3"/>
      <c r="AC3"/>
      <c r="AD3"/>
      <c r="AE3"/>
      <c r="AF3"/>
      <c r="AG3"/>
      <c r="AH3"/>
      <c r="AI3"/>
      <c r="AK3" s="68"/>
      <c r="AL3" s="71"/>
      <c r="AM3" s="71"/>
      <c r="AN3" s="71"/>
      <c r="AO3" s="71"/>
      <c r="AP3" s="71"/>
      <c r="AQ3" s="71"/>
      <c r="AR3" s="99"/>
      <c r="AS3" s="99"/>
      <c r="AT3" s="71"/>
      <c r="AU3" s="71"/>
      <c r="AV3" s="99"/>
      <c r="AW3" s="71"/>
      <c r="AX3" s="71"/>
      <c r="AY3" s="71"/>
      <c r="AZ3" s="71"/>
      <c r="BA3" s="71"/>
      <c r="BB3" s="71"/>
      <c r="BC3" s="71"/>
      <c r="BD3" s="71"/>
      <c r="BE3" s="71"/>
      <c r="BF3" s="71"/>
      <c r="BG3" s="71"/>
      <c r="BH3" s="71"/>
      <c r="BI3" s="71"/>
      <c r="BJ3" s="71"/>
      <c r="BK3" s="71"/>
      <c r="BL3" s="71"/>
      <c r="BM3" s="71"/>
      <c r="BN3" s="71"/>
      <c r="BO3" s="99"/>
      <c r="BP3" s="99"/>
      <c r="BQ3" s="99"/>
      <c r="BR3" s="99"/>
      <c r="BS3" s="99"/>
      <c r="BT3" s="99"/>
      <c r="BU3" s="99"/>
      <c r="BV3" s="99"/>
      <c r="BW3" s="99"/>
      <c r="BX3" s="99"/>
      <c r="BY3" s="99"/>
      <c r="BZ3" s="99"/>
      <c r="CA3" s="99"/>
    </row>
    <row r="4" spans="2:10016" s="2" customFormat="1" ht="35.25" customHeight="1" x14ac:dyDescent="0.25">
      <c r="B4" s="182" t="s">
        <v>7</v>
      </c>
      <c r="C4" s="182"/>
      <c r="D4" s="182"/>
      <c r="E4" s="182"/>
      <c r="F4" s="182"/>
      <c r="G4" s="182"/>
      <c r="H4" s="182"/>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K4" s="68"/>
      <c r="AL4" s="71"/>
      <c r="AM4" s="71"/>
      <c r="AN4" s="71"/>
      <c r="AO4" s="71"/>
      <c r="AP4" s="71"/>
      <c r="AQ4" s="71"/>
      <c r="AR4" s="99"/>
      <c r="AS4" s="99"/>
      <c r="AT4" s="153" t="str">
        <f>INDEX($AM$6:$AP$22,$AN$5,3)</f>
        <v>001</v>
      </c>
      <c r="AU4" s="71"/>
      <c r="AV4" s="99"/>
      <c r="AW4" s="153" t="str">
        <f>INDEX($AO$6:$AO$22,$AN$5,1)</f>
        <v>001</v>
      </c>
      <c r="AX4" s="71"/>
      <c r="AY4" s="71"/>
      <c r="AZ4" s="71"/>
      <c r="BA4" s="71"/>
      <c r="BB4" s="71"/>
      <c r="BC4" s="71"/>
      <c r="BD4" s="71"/>
      <c r="BE4" s="71"/>
      <c r="BF4" s="71"/>
      <c r="BG4" s="71"/>
      <c r="BH4" s="71"/>
      <c r="BI4" s="71"/>
      <c r="BJ4" s="71"/>
      <c r="BK4" s="71"/>
      <c r="BL4" s="71"/>
      <c r="BM4" s="71"/>
      <c r="BN4" s="71"/>
      <c r="BO4" s="99"/>
      <c r="BP4" s="99"/>
      <c r="BQ4" s="99"/>
      <c r="BR4" s="99"/>
      <c r="BS4" s="99"/>
      <c r="BT4" s="99"/>
      <c r="BU4" s="99"/>
      <c r="BV4" s="99"/>
      <c r="BW4" s="99"/>
      <c r="BX4" s="99"/>
      <c r="BY4" s="99"/>
      <c r="BZ4" s="99"/>
      <c r="CA4" s="99"/>
    </row>
    <row r="5" spans="2:10016" s="2" customFormat="1" ht="14.25" customHeight="1" x14ac:dyDescent="0.25">
      <c r="B5" s="3"/>
      <c r="C5" s="3"/>
      <c r="D5" s="3"/>
      <c r="E5" s="3"/>
      <c r="F5" s="3"/>
      <c r="G5" s="3"/>
      <c r="H5" s="3"/>
      <c r="I5" s="3"/>
      <c r="J5" s="3"/>
      <c r="K5" s="3"/>
      <c r="M5" s="6" t="s">
        <v>42</v>
      </c>
      <c r="N5" s="4">
        <f ca="1">WORKDAY(TODAY(),-1)</f>
        <v>44950</v>
      </c>
      <c r="O5" s="3"/>
      <c r="P5" s="3"/>
      <c r="Q5" s="3"/>
      <c r="R5" s="3"/>
      <c r="S5" s="3"/>
      <c r="T5" s="3"/>
      <c r="U5" s="3"/>
      <c r="V5" s="3"/>
      <c r="W5" s="3"/>
      <c r="X5" s="3"/>
      <c r="Y5" s="3"/>
      <c r="Z5" s="3"/>
      <c r="AA5" s="3"/>
      <c r="AF5" s="6"/>
      <c r="AG5" s="5">
        <f ca="1">AI5-365</f>
        <v>44585</v>
      </c>
      <c r="AH5" s="6" t="s">
        <v>44</v>
      </c>
      <c r="AI5" s="5">
        <f ca="1">TODAY()-1</f>
        <v>44950</v>
      </c>
      <c r="AK5" s="68"/>
      <c r="AL5" s="163"/>
      <c r="AM5" s="163"/>
      <c r="AN5" s="160">
        <v>1</v>
      </c>
      <c r="AO5" s="163"/>
      <c r="AP5" s="160"/>
      <c r="AQ5" s="71"/>
      <c r="AR5" s="99"/>
      <c r="AS5" s="99"/>
      <c r="AT5" s="154" t="str">
        <f ca="1">_xll.IMDH(INDEX(AN6:$AN$22,$AN$5,1),INDEX($AO$6:$AO$22,$AN$5,1),$AT$6:$AU$6,$AG$5,$AI$5,9999,"Per=일,sort=D,real=false,Bizday=0,Quote=종가,Pos=20,Orient=V,Title="&amp;INDEX($AM$6:$AM$22,$AN$5,1)&amp;",DtFmt=1,TmFmt=1,unit=true")</f>
        <v>KOSPI</v>
      </c>
      <c r="AU5" s="71"/>
      <c r="AV5" s="99"/>
      <c r="AW5" s="154" t="str">
        <f ca="1">_xll.IMDH(INDEX($AM25:AM$30,$AL$24,1),INDEX($AN$25:$AN$30,$AL$24,1),$AW$6:$BE$6,$AG$21,$AI$21,9999,"Per=일,sort=D,real=false,Bizday=0,Quote=종가,Pos=20,Orient=V,Title="&amp;INDEX($AL$25:$AL$30,$AL$24,1)&amp;",DtFmt=1,TmFmt=1,unit=true")</f>
        <v>KOSPI</v>
      </c>
      <c r="AX5" s="71"/>
      <c r="AY5" s="71"/>
      <c r="AZ5" s="71"/>
      <c r="BA5" s="71"/>
      <c r="BB5" s="71"/>
      <c r="BC5" s="71"/>
      <c r="BD5" s="71"/>
      <c r="BE5" s="71"/>
      <c r="BF5" s="71"/>
      <c r="BG5" s="72" t="b">
        <v>1</v>
      </c>
      <c r="BH5" s="72" t="b">
        <v>0</v>
      </c>
      <c r="BI5" s="72" t="b">
        <v>0</v>
      </c>
      <c r="BJ5" s="72" t="b">
        <v>0</v>
      </c>
      <c r="BK5" s="72" t="b">
        <v>0</v>
      </c>
      <c r="BL5" s="72" t="b">
        <v>0</v>
      </c>
      <c r="BM5" s="72" t="b">
        <v>0</v>
      </c>
      <c r="BN5" s="72" t="b">
        <v>0</v>
      </c>
      <c r="BO5" s="99"/>
      <c r="BP5" s="99"/>
      <c r="BQ5" s="99"/>
      <c r="BR5" s="99"/>
      <c r="BS5" s="99"/>
      <c r="BT5" s="99"/>
      <c r="BU5" s="99"/>
      <c r="BV5" s="99"/>
      <c r="BW5" s="99"/>
      <c r="BX5" s="99"/>
      <c r="BY5" s="99"/>
      <c r="BZ5" s="99"/>
      <c r="CA5" s="99"/>
    </row>
    <row r="6" spans="2:10016" s="2" customFormat="1" ht="16.5" customHeight="1" x14ac:dyDescent="0.25">
      <c r="B6" s="3"/>
      <c r="C6" s="3"/>
      <c r="D6" s="3"/>
      <c r="E6" s="3"/>
      <c r="F6" s="3"/>
      <c r="G6" s="3"/>
      <c r="H6" s="3"/>
      <c r="R6" s="149"/>
      <c r="S6" s="149"/>
      <c r="T6" s="149"/>
      <c r="U6" s="149"/>
      <c r="V6" s="149"/>
      <c r="W6" s="149"/>
      <c r="X6" s="149"/>
      <c r="Y6" s="149"/>
      <c r="Z6" s="149"/>
      <c r="AA6" s="149"/>
      <c r="AB6" s="149"/>
      <c r="AC6" s="149"/>
      <c r="AD6" s="149"/>
      <c r="AE6" s="149"/>
      <c r="AF6" s="149"/>
      <c r="AG6" s="149"/>
      <c r="AH6" s="149"/>
      <c r="AI6" s="149"/>
      <c r="AJ6" s="149"/>
      <c r="AK6" s="150"/>
      <c r="AL6" s="160">
        <v>1</v>
      </c>
      <c r="AM6" s="160" t="s">
        <v>45</v>
      </c>
      <c r="AN6" s="160" t="s">
        <v>61</v>
      </c>
      <c r="AO6" s="164" t="s">
        <v>169</v>
      </c>
      <c r="AP6" s="160" t="s">
        <v>80</v>
      </c>
      <c r="AQ6" s="74"/>
      <c r="AR6" s="133"/>
      <c r="AS6" s="133"/>
      <c r="AT6" s="74" t="s">
        <v>171</v>
      </c>
      <c r="AU6" s="157" t="str">
        <f>INDEX($AM$6:$AP$22,AN5,4)</f>
        <v>현재가</v>
      </c>
      <c r="AV6" s="152"/>
      <c r="AW6" s="74" t="s">
        <v>171</v>
      </c>
      <c r="AX6" s="73" t="str">
        <f>INDEX($AM$33:$AR$40,1,$AL$24)</f>
        <v>외국인합순매수금액</v>
      </c>
      <c r="AY6" s="73" t="str">
        <f>INDEX($AM$33:$AR$40,2,$AL$24)</f>
        <v>증권/선물순매수금액</v>
      </c>
      <c r="AZ6" s="73" t="str">
        <f>INDEX($AM$33:$AR$40,3,$AL$24)</f>
        <v>은행순매수금액</v>
      </c>
      <c r="BA6" s="155" t="str">
        <f>INDEX($AM$33:$AR$40,4,$AL$24)</f>
        <v>보험순매수금액</v>
      </c>
      <c r="BB6" s="73" t="str">
        <f>INDEX($AM$33:$AR$40,5,$AL$24)</f>
        <v>투신순매수금액</v>
      </c>
      <c r="BC6" s="73" t="str">
        <f>INDEX($AM$33:$AR$40,6,$AL$24)</f>
        <v>종신금순매수금액</v>
      </c>
      <c r="BD6" s="73" t="str">
        <f>INDEX($AM$33:$AR$40,7,$AL$24)</f>
        <v>연기금순매수금액</v>
      </c>
      <c r="BE6" s="73" t="str">
        <f>INDEX($AM$33:$AR$40,8,$AL$24)</f>
        <v>개인순매수금액</v>
      </c>
      <c r="BF6" s="155"/>
      <c r="BG6" s="156" t="s">
        <v>159</v>
      </c>
      <c r="BH6" s="156" t="s">
        <v>172</v>
      </c>
      <c r="BI6" s="156" t="s">
        <v>158</v>
      </c>
      <c r="BJ6" s="156" t="s">
        <v>156</v>
      </c>
      <c r="BK6" s="156" t="s">
        <v>157</v>
      </c>
      <c r="BL6" s="156" t="s">
        <v>173</v>
      </c>
      <c r="BM6" s="156" t="s">
        <v>154</v>
      </c>
      <c r="BN6" s="156" t="s">
        <v>155</v>
      </c>
      <c r="BO6" s="151"/>
      <c r="BP6" s="151"/>
      <c r="BQ6" s="152"/>
      <c r="BR6" s="133"/>
      <c r="BS6" s="152"/>
      <c r="BT6" s="152"/>
      <c r="BU6" s="152"/>
      <c r="BV6" s="152"/>
      <c r="BW6" s="152"/>
      <c r="BX6" s="152"/>
      <c r="BY6" s="152"/>
      <c r="BZ6" s="152"/>
      <c r="CA6" s="152"/>
      <c r="CB6" s="149"/>
      <c r="CC6" s="149"/>
      <c r="CD6" s="149"/>
      <c r="CE6" s="149"/>
      <c r="CF6" s="149"/>
      <c r="CG6" s="149"/>
      <c r="CH6" s="149"/>
      <c r="CI6" s="149"/>
      <c r="CJ6" s="149"/>
      <c r="CK6" s="149"/>
      <c r="CL6" s="149"/>
      <c r="CM6" s="149"/>
      <c r="CN6" s="149"/>
      <c r="CO6" s="149"/>
      <c r="CP6" s="149"/>
      <c r="CQ6" s="149"/>
      <c r="CR6" s="149"/>
      <c r="CS6" s="149"/>
      <c r="CT6" s="149"/>
      <c r="CU6" s="149"/>
      <c r="CV6" s="149"/>
      <c r="CW6" s="149"/>
      <c r="CX6" s="149"/>
      <c r="CY6" s="149"/>
      <c r="CZ6" s="149"/>
      <c r="DA6" s="149"/>
      <c r="DB6" s="149"/>
      <c r="DC6" s="149"/>
      <c r="DD6" s="149"/>
      <c r="DE6" s="149"/>
      <c r="DF6" s="149"/>
      <c r="DG6" s="149"/>
      <c r="DH6" s="149"/>
      <c r="DI6" s="149"/>
      <c r="DJ6" s="149"/>
      <c r="DK6" s="149"/>
      <c r="DL6" s="149"/>
      <c r="DM6" s="149"/>
      <c r="DN6" s="149"/>
      <c r="DO6" s="149"/>
      <c r="DP6" s="149"/>
      <c r="DQ6" s="149"/>
      <c r="DR6" s="149"/>
      <c r="DS6" s="149"/>
      <c r="DT6" s="149"/>
      <c r="DU6" s="149"/>
      <c r="DV6" s="149"/>
      <c r="DW6" s="149"/>
      <c r="DX6" s="149"/>
      <c r="DY6" s="149"/>
      <c r="DZ6" s="149"/>
      <c r="EA6" s="149"/>
      <c r="EB6" s="149"/>
      <c r="EC6" s="149"/>
      <c r="ED6" s="149"/>
      <c r="EE6" s="149"/>
      <c r="EF6" s="149"/>
      <c r="EG6" s="149"/>
      <c r="EH6" s="149"/>
      <c r="EI6" s="149"/>
      <c r="EJ6" s="149"/>
      <c r="EK6" s="149"/>
      <c r="EL6" s="149"/>
      <c r="EM6" s="149"/>
      <c r="EN6" s="149"/>
      <c r="EO6" s="149"/>
      <c r="EP6" s="149"/>
      <c r="EQ6" s="149"/>
      <c r="ER6" s="149"/>
      <c r="ES6" s="149"/>
      <c r="ET6" s="149"/>
      <c r="EU6" s="149"/>
      <c r="EV6" s="149"/>
      <c r="EW6" s="149"/>
      <c r="EX6" s="149"/>
      <c r="EY6" s="149"/>
      <c r="EZ6" s="149"/>
      <c r="FA6" s="149"/>
      <c r="FB6" s="149"/>
      <c r="FC6" s="149"/>
      <c r="FD6" s="149"/>
      <c r="FE6" s="149"/>
      <c r="FF6" s="149"/>
      <c r="FG6" s="149"/>
      <c r="FH6" s="149"/>
      <c r="FI6" s="149"/>
      <c r="FJ6" s="149"/>
      <c r="FK6" s="149"/>
      <c r="FL6" s="149"/>
      <c r="FM6" s="149"/>
      <c r="FN6" s="149"/>
      <c r="FO6" s="149"/>
      <c r="FP6" s="149"/>
      <c r="FQ6" s="149"/>
      <c r="FR6" s="149"/>
      <c r="FS6" s="149"/>
      <c r="FT6" s="149"/>
      <c r="FU6" s="149"/>
      <c r="FV6" s="149"/>
      <c r="FW6" s="149"/>
      <c r="FX6" s="149"/>
      <c r="FY6" s="149"/>
      <c r="FZ6" s="149"/>
      <c r="GA6" s="149"/>
      <c r="GB6" s="149"/>
      <c r="GC6" s="149"/>
      <c r="GD6" s="149"/>
      <c r="GE6" s="149"/>
      <c r="GF6" s="149"/>
      <c r="GG6" s="149"/>
      <c r="GH6" s="149"/>
      <c r="GI6" s="149"/>
      <c r="GJ6" s="149"/>
      <c r="GK6" s="149"/>
      <c r="GL6" s="149"/>
      <c r="GM6" s="149"/>
      <c r="GN6" s="149"/>
      <c r="GO6" s="149"/>
      <c r="GP6" s="149"/>
      <c r="GQ6" s="149"/>
      <c r="GR6" s="149"/>
      <c r="GS6" s="149"/>
      <c r="GT6" s="149"/>
      <c r="GU6" s="149"/>
      <c r="GV6" s="149"/>
      <c r="GW6" s="149"/>
      <c r="GX6" s="149"/>
      <c r="GY6" s="149"/>
      <c r="GZ6" s="149"/>
      <c r="HA6" s="149"/>
      <c r="HB6" s="149"/>
      <c r="HC6" s="149"/>
      <c r="HD6" s="149"/>
      <c r="HE6" s="149"/>
      <c r="HF6" s="149"/>
      <c r="HG6" s="149"/>
      <c r="HH6" s="149"/>
      <c r="HI6" s="149"/>
      <c r="HJ6" s="149"/>
      <c r="HK6" s="149"/>
      <c r="HL6" s="149"/>
      <c r="HM6" s="149"/>
      <c r="HN6" s="149"/>
      <c r="HO6" s="149"/>
      <c r="HP6" s="149"/>
      <c r="HQ6" s="149"/>
      <c r="HR6" s="149"/>
      <c r="HS6" s="149"/>
      <c r="HT6" s="149"/>
      <c r="HU6" s="149"/>
      <c r="HV6" s="149"/>
      <c r="HW6" s="149"/>
      <c r="HX6" s="149"/>
      <c r="HY6" s="149"/>
      <c r="HZ6" s="149"/>
      <c r="IA6" s="149"/>
      <c r="IB6" s="149"/>
      <c r="IC6" s="149"/>
      <c r="ID6" s="149"/>
      <c r="IE6" s="149"/>
      <c r="IF6" s="149"/>
      <c r="IG6" s="149"/>
      <c r="IH6" s="149"/>
      <c r="II6" s="149"/>
      <c r="IJ6" s="149"/>
      <c r="IK6" s="149"/>
      <c r="IL6" s="149"/>
      <c r="IM6" s="149"/>
      <c r="IN6" s="149"/>
      <c r="IO6" s="149"/>
      <c r="IP6" s="149"/>
      <c r="IQ6" s="149"/>
      <c r="IR6" s="149"/>
      <c r="IS6" s="149"/>
      <c r="IT6" s="149"/>
      <c r="IU6" s="149"/>
      <c r="IV6" s="149"/>
      <c r="IW6" s="149"/>
      <c r="IX6" s="149"/>
      <c r="IY6" s="149"/>
      <c r="IZ6" s="149"/>
      <c r="JA6" s="149"/>
      <c r="JB6" s="149"/>
      <c r="JC6" s="149"/>
      <c r="JD6" s="149"/>
      <c r="JE6" s="149"/>
      <c r="JF6" s="149"/>
      <c r="JG6" s="149"/>
      <c r="JH6" s="149"/>
      <c r="JI6" s="149"/>
      <c r="JJ6" s="149"/>
      <c r="JK6" s="149"/>
      <c r="JL6" s="149"/>
      <c r="JM6" s="149"/>
      <c r="JN6" s="149"/>
      <c r="JO6" s="149"/>
      <c r="JP6" s="149"/>
      <c r="JQ6" s="149"/>
      <c r="JR6" s="149"/>
      <c r="JS6" s="149"/>
      <c r="JT6" s="149"/>
      <c r="JU6" s="149"/>
      <c r="JV6" s="149"/>
      <c r="JW6" s="149"/>
      <c r="JX6" s="149"/>
      <c r="JY6" s="149"/>
      <c r="JZ6" s="149"/>
      <c r="KA6" s="149"/>
      <c r="KB6" s="149"/>
      <c r="KC6" s="149"/>
      <c r="KD6" s="149"/>
      <c r="KE6" s="149"/>
      <c r="KF6" s="149"/>
      <c r="KG6" s="149"/>
      <c r="KH6" s="149"/>
      <c r="KI6" s="149"/>
      <c r="KJ6" s="149"/>
      <c r="KK6" s="149"/>
      <c r="KL6" s="149"/>
      <c r="KM6" s="149"/>
      <c r="KN6" s="149"/>
      <c r="KO6" s="149"/>
      <c r="KP6" s="149"/>
      <c r="KQ6" s="149"/>
      <c r="KR6" s="149"/>
      <c r="KS6" s="149"/>
      <c r="KT6" s="149"/>
      <c r="KU6" s="149"/>
      <c r="KV6" s="149"/>
      <c r="KW6" s="149"/>
      <c r="KX6" s="149"/>
      <c r="KY6" s="149"/>
      <c r="KZ6" s="149"/>
      <c r="LA6" s="149"/>
      <c r="LB6" s="149"/>
      <c r="LC6" s="149"/>
      <c r="LD6" s="149"/>
      <c r="LE6" s="149"/>
      <c r="LF6" s="149"/>
      <c r="LG6" s="149"/>
      <c r="LH6" s="149"/>
      <c r="LI6" s="149"/>
      <c r="LJ6" s="149"/>
      <c r="LK6" s="149"/>
      <c r="LL6" s="149"/>
      <c r="LM6" s="149"/>
      <c r="LN6" s="149"/>
      <c r="LO6" s="149"/>
      <c r="LP6" s="149"/>
      <c r="LQ6" s="149"/>
      <c r="LR6" s="149"/>
      <c r="LS6" s="149"/>
      <c r="LT6" s="149"/>
      <c r="LU6" s="149"/>
      <c r="LV6" s="149"/>
      <c r="LW6" s="149"/>
      <c r="LX6" s="149"/>
      <c r="LY6" s="149"/>
      <c r="LZ6" s="149"/>
      <c r="MA6" s="149"/>
      <c r="MB6" s="149"/>
      <c r="MC6" s="149"/>
      <c r="MD6" s="149"/>
      <c r="ME6" s="149"/>
      <c r="MF6" s="149"/>
      <c r="MG6" s="149"/>
      <c r="MH6" s="149"/>
      <c r="MI6" s="149"/>
      <c r="MJ6" s="149"/>
      <c r="MK6" s="149"/>
      <c r="ML6" s="149"/>
      <c r="MM6" s="149"/>
      <c r="MN6" s="149"/>
      <c r="MO6" s="149"/>
      <c r="MP6" s="149"/>
      <c r="MQ6" s="149"/>
      <c r="MR6" s="149"/>
      <c r="MS6" s="149"/>
      <c r="MT6" s="149"/>
      <c r="MU6" s="149"/>
      <c r="MV6" s="149"/>
      <c r="MW6" s="149"/>
      <c r="MX6" s="149"/>
      <c r="MY6" s="149"/>
      <c r="MZ6" s="149"/>
      <c r="NA6" s="149"/>
      <c r="NB6" s="149"/>
      <c r="NC6" s="149"/>
      <c r="ND6" s="149"/>
      <c r="NE6" s="149"/>
      <c r="NF6" s="149"/>
      <c r="NG6" s="149"/>
      <c r="NH6" s="149"/>
      <c r="NI6" s="149"/>
      <c r="NJ6" s="149"/>
      <c r="NK6" s="149"/>
      <c r="NL6" s="149"/>
      <c r="NM6" s="149"/>
      <c r="NN6" s="149"/>
      <c r="NO6" s="149"/>
      <c r="NP6" s="149"/>
      <c r="NQ6" s="149"/>
      <c r="NR6" s="149"/>
      <c r="NS6" s="149"/>
      <c r="NT6" s="149"/>
      <c r="NU6" s="149"/>
      <c r="NV6" s="149"/>
      <c r="NW6" s="149"/>
      <c r="NX6" s="149"/>
      <c r="NY6" s="149"/>
      <c r="NZ6" s="149"/>
      <c r="OA6" s="149"/>
      <c r="OB6" s="149"/>
      <c r="OC6" s="149"/>
      <c r="OD6" s="149"/>
      <c r="OE6" s="149"/>
      <c r="OF6" s="149"/>
      <c r="OG6" s="149"/>
      <c r="OH6" s="149"/>
      <c r="OI6" s="149"/>
      <c r="OJ6" s="149"/>
      <c r="OK6" s="149"/>
      <c r="OL6" s="149"/>
      <c r="OM6" s="149"/>
      <c r="ON6" s="149"/>
      <c r="OO6" s="149"/>
      <c r="OP6" s="149"/>
      <c r="OQ6" s="149"/>
      <c r="OR6" s="149"/>
      <c r="OS6" s="149"/>
      <c r="OT6" s="149"/>
      <c r="OU6" s="149"/>
      <c r="OV6" s="149"/>
      <c r="OW6" s="149"/>
      <c r="OX6" s="149"/>
      <c r="OY6" s="149"/>
      <c r="OZ6" s="149"/>
      <c r="PA6" s="149"/>
      <c r="PB6" s="149"/>
      <c r="PC6" s="149"/>
      <c r="PD6" s="149"/>
      <c r="PE6" s="149"/>
      <c r="PF6" s="149"/>
      <c r="PG6" s="149"/>
      <c r="PH6" s="149"/>
      <c r="PI6" s="149"/>
      <c r="PJ6" s="149"/>
      <c r="PK6" s="149"/>
      <c r="PL6" s="149"/>
      <c r="PM6" s="149"/>
      <c r="PN6" s="149"/>
      <c r="PO6" s="149"/>
      <c r="PP6" s="149"/>
      <c r="PQ6" s="149"/>
      <c r="PR6" s="149"/>
      <c r="PS6" s="149"/>
      <c r="PT6" s="149"/>
      <c r="PU6" s="149"/>
      <c r="PV6" s="149"/>
      <c r="PW6" s="149"/>
      <c r="PX6" s="149"/>
      <c r="PY6" s="149"/>
      <c r="PZ6" s="149"/>
      <c r="QA6" s="149"/>
      <c r="QB6" s="149"/>
      <c r="QC6" s="149"/>
      <c r="QD6" s="149"/>
      <c r="QE6" s="149"/>
      <c r="QF6" s="149"/>
      <c r="QG6" s="149"/>
      <c r="QH6" s="149"/>
      <c r="QI6" s="149"/>
      <c r="QJ6" s="149"/>
      <c r="QK6" s="149"/>
      <c r="QL6" s="149"/>
      <c r="QM6" s="149"/>
      <c r="QN6" s="149"/>
      <c r="QO6" s="149"/>
      <c r="QP6" s="149"/>
      <c r="QQ6" s="149"/>
      <c r="QR6" s="149"/>
      <c r="QS6" s="149"/>
      <c r="QT6" s="149"/>
      <c r="QU6" s="149"/>
      <c r="QV6" s="149"/>
      <c r="QW6" s="149"/>
      <c r="QX6" s="149"/>
      <c r="QY6" s="149"/>
      <c r="QZ6" s="149"/>
      <c r="RA6" s="149"/>
      <c r="RB6" s="149"/>
      <c r="RC6" s="149"/>
      <c r="RD6" s="149"/>
      <c r="RE6" s="149"/>
      <c r="RF6" s="149"/>
      <c r="RG6" s="149"/>
      <c r="RH6" s="149"/>
      <c r="RI6" s="149"/>
      <c r="RJ6" s="149"/>
      <c r="RK6" s="149"/>
      <c r="RL6" s="149"/>
      <c r="RM6" s="149"/>
      <c r="RN6" s="149"/>
      <c r="RO6" s="149"/>
      <c r="RP6" s="149"/>
      <c r="RQ6" s="149"/>
      <c r="RR6" s="149"/>
      <c r="RS6" s="149"/>
      <c r="RT6" s="149"/>
      <c r="RU6" s="149"/>
      <c r="RV6" s="149"/>
      <c r="RW6" s="149"/>
      <c r="RX6" s="149"/>
      <c r="RY6" s="149"/>
      <c r="RZ6" s="149"/>
      <c r="SA6" s="149"/>
      <c r="SB6" s="149"/>
      <c r="SC6" s="149"/>
      <c r="SD6" s="149"/>
      <c r="SE6" s="149"/>
      <c r="SF6" s="149"/>
      <c r="SG6" s="149"/>
      <c r="SH6" s="149"/>
      <c r="SI6" s="149"/>
      <c r="SJ6" s="149"/>
      <c r="SK6" s="149"/>
      <c r="SL6" s="149"/>
      <c r="SM6" s="149"/>
      <c r="SN6" s="149"/>
      <c r="SO6" s="149"/>
      <c r="SP6" s="149"/>
      <c r="SQ6" s="149"/>
      <c r="SR6" s="149"/>
      <c r="SS6" s="149"/>
      <c r="ST6" s="149"/>
      <c r="SU6" s="149"/>
      <c r="SV6" s="149"/>
      <c r="SW6" s="149"/>
      <c r="SX6" s="149"/>
      <c r="SY6" s="149"/>
      <c r="SZ6" s="149"/>
      <c r="TA6" s="149"/>
      <c r="TB6" s="149"/>
      <c r="TC6" s="149"/>
      <c r="TD6" s="149"/>
      <c r="TE6" s="149"/>
      <c r="TF6" s="149"/>
      <c r="TG6" s="149"/>
      <c r="TH6" s="149"/>
      <c r="TI6" s="149"/>
      <c r="TJ6" s="149"/>
      <c r="TK6" s="149"/>
      <c r="TL6" s="149"/>
      <c r="TM6" s="149"/>
      <c r="TN6" s="149"/>
      <c r="TO6" s="149"/>
      <c r="TP6" s="149"/>
      <c r="TQ6" s="149"/>
      <c r="TR6" s="149"/>
      <c r="TS6" s="149"/>
      <c r="TT6" s="149"/>
      <c r="TU6" s="149"/>
      <c r="TV6" s="149"/>
      <c r="TW6" s="149"/>
      <c r="TX6" s="149"/>
      <c r="TY6" s="149"/>
      <c r="TZ6" s="149"/>
      <c r="UA6" s="149"/>
      <c r="UB6" s="149"/>
      <c r="UC6" s="149"/>
      <c r="UD6" s="149"/>
      <c r="UE6" s="149"/>
      <c r="UF6" s="149"/>
      <c r="UG6" s="149"/>
      <c r="UH6" s="149"/>
      <c r="UI6" s="149"/>
      <c r="UJ6" s="149"/>
      <c r="UK6" s="149"/>
      <c r="UL6" s="149"/>
      <c r="UM6" s="149"/>
      <c r="UN6" s="149"/>
      <c r="UO6" s="149"/>
      <c r="UP6" s="149"/>
      <c r="UQ6" s="149"/>
      <c r="UR6" s="149"/>
      <c r="US6" s="149"/>
      <c r="UT6" s="149"/>
      <c r="UU6" s="149"/>
      <c r="UV6" s="149"/>
      <c r="UW6" s="149"/>
      <c r="UX6" s="149"/>
      <c r="UY6" s="149"/>
      <c r="UZ6" s="149"/>
      <c r="VA6" s="149"/>
      <c r="VB6" s="149"/>
      <c r="VC6" s="149"/>
      <c r="VD6" s="149"/>
      <c r="VE6" s="149"/>
      <c r="VF6" s="149"/>
      <c r="VG6" s="149"/>
      <c r="VH6" s="149"/>
      <c r="VI6" s="149"/>
      <c r="VJ6" s="149"/>
      <c r="VK6" s="149"/>
      <c r="VL6" s="149"/>
      <c r="VM6" s="149"/>
      <c r="VN6" s="149"/>
      <c r="VO6" s="149"/>
      <c r="VP6" s="149"/>
      <c r="VQ6" s="149"/>
      <c r="VR6" s="149"/>
      <c r="VS6" s="149"/>
      <c r="VT6" s="149"/>
      <c r="VU6" s="149"/>
      <c r="VV6" s="149"/>
      <c r="VW6" s="149"/>
      <c r="VX6" s="149"/>
      <c r="VY6" s="149"/>
      <c r="VZ6" s="149"/>
      <c r="WA6" s="149"/>
      <c r="WB6" s="149"/>
      <c r="WC6" s="149"/>
      <c r="WD6" s="149"/>
      <c r="WE6" s="149"/>
      <c r="WF6" s="149"/>
      <c r="WG6" s="149"/>
      <c r="WH6" s="149"/>
      <c r="WI6" s="149"/>
      <c r="WJ6" s="149"/>
      <c r="WK6" s="149"/>
      <c r="WL6" s="149"/>
      <c r="WM6" s="149"/>
      <c r="WN6" s="149"/>
      <c r="WO6" s="149"/>
      <c r="WP6" s="149"/>
      <c r="WQ6" s="149"/>
      <c r="WR6" s="149"/>
      <c r="WS6" s="149"/>
      <c r="WT6" s="149"/>
      <c r="WU6" s="149"/>
      <c r="WV6" s="149"/>
      <c r="WW6" s="149"/>
      <c r="WX6" s="149"/>
      <c r="WY6" s="149"/>
      <c r="WZ6" s="149"/>
      <c r="XA6" s="149"/>
      <c r="XB6" s="149"/>
      <c r="XC6" s="149"/>
      <c r="XD6" s="149"/>
      <c r="XE6" s="149"/>
      <c r="XF6" s="149"/>
      <c r="XG6" s="149"/>
      <c r="XH6" s="149"/>
      <c r="XI6" s="149"/>
      <c r="XJ6" s="149"/>
      <c r="XK6" s="149"/>
      <c r="XL6" s="149"/>
      <c r="XM6" s="149"/>
      <c r="XN6" s="149"/>
      <c r="XO6" s="149"/>
      <c r="XP6" s="149"/>
      <c r="XQ6" s="149"/>
      <c r="XR6" s="149"/>
      <c r="XS6" s="149"/>
      <c r="XT6" s="149"/>
      <c r="XU6" s="149"/>
      <c r="XV6" s="149"/>
      <c r="XW6" s="149"/>
      <c r="XX6" s="149"/>
      <c r="XY6" s="149"/>
      <c r="XZ6" s="149"/>
      <c r="YA6" s="149"/>
      <c r="YB6" s="149"/>
      <c r="YC6" s="149"/>
      <c r="YD6" s="149"/>
      <c r="YE6" s="149"/>
      <c r="YF6" s="149"/>
      <c r="YG6" s="149"/>
      <c r="YH6" s="149"/>
      <c r="YI6" s="149"/>
      <c r="YJ6" s="149"/>
      <c r="YK6" s="149"/>
      <c r="YL6" s="149"/>
      <c r="YM6" s="149"/>
      <c r="YN6" s="149"/>
      <c r="YO6" s="149"/>
      <c r="YP6" s="149"/>
      <c r="YQ6" s="149"/>
      <c r="YR6" s="149"/>
      <c r="YS6" s="149"/>
      <c r="YT6" s="149"/>
      <c r="YU6" s="149"/>
      <c r="YV6" s="149"/>
      <c r="YW6" s="149"/>
      <c r="YX6" s="149"/>
      <c r="YY6" s="149"/>
      <c r="YZ6" s="149"/>
      <c r="ZA6" s="149"/>
      <c r="ZB6" s="149"/>
      <c r="ZC6" s="149"/>
      <c r="ZD6" s="149"/>
      <c r="ZE6" s="149"/>
      <c r="ZF6" s="149"/>
      <c r="ZG6" s="149"/>
      <c r="ZH6" s="149"/>
      <c r="ZI6" s="149"/>
      <c r="ZJ6" s="149"/>
      <c r="ZK6" s="149"/>
      <c r="ZL6" s="149"/>
      <c r="ZM6" s="149"/>
      <c r="ZN6" s="149"/>
      <c r="ZO6" s="149"/>
      <c r="ZP6" s="149"/>
      <c r="ZQ6" s="149"/>
      <c r="ZR6" s="149"/>
      <c r="ZS6" s="149"/>
      <c r="ZT6" s="149"/>
      <c r="ZU6" s="149"/>
      <c r="ZV6" s="149"/>
      <c r="ZW6" s="149"/>
      <c r="ZX6" s="149"/>
      <c r="ZY6" s="149"/>
      <c r="ZZ6" s="149"/>
      <c r="AAA6" s="149"/>
      <c r="AAB6" s="149"/>
      <c r="AAC6" s="149"/>
      <c r="AAD6" s="149"/>
      <c r="AAE6" s="149"/>
      <c r="AAF6" s="149"/>
      <c r="AAG6" s="149"/>
      <c r="AAH6" s="149"/>
      <c r="AAI6" s="149"/>
      <c r="AAJ6" s="149"/>
      <c r="AAK6" s="149"/>
      <c r="AAL6" s="149"/>
      <c r="AAM6" s="149"/>
      <c r="AAN6" s="149"/>
      <c r="AAO6" s="149"/>
      <c r="AAP6" s="149"/>
      <c r="AAQ6" s="149"/>
      <c r="AAR6" s="149"/>
      <c r="AAS6" s="149"/>
      <c r="AAT6" s="149"/>
      <c r="AAU6" s="149"/>
      <c r="AAV6" s="149"/>
      <c r="AAW6" s="149"/>
      <c r="AAX6" s="149"/>
      <c r="AAY6" s="149"/>
      <c r="AAZ6" s="149"/>
      <c r="ABA6" s="149"/>
      <c r="ABB6" s="149"/>
      <c r="ABC6" s="149"/>
      <c r="ABD6" s="149"/>
      <c r="ABE6" s="149"/>
      <c r="ABF6" s="149"/>
      <c r="ABG6" s="149"/>
      <c r="ABH6" s="149"/>
      <c r="ABI6" s="149"/>
      <c r="ABJ6" s="149"/>
      <c r="ABK6" s="149"/>
      <c r="ABL6" s="149"/>
      <c r="ABM6" s="149"/>
      <c r="ABN6" s="149"/>
      <c r="ABO6" s="149"/>
      <c r="ABP6" s="149"/>
      <c r="ABQ6" s="149"/>
      <c r="ABR6" s="149"/>
      <c r="ABS6" s="149"/>
      <c r="ABT6" s="149"/>
      <c r="ABU6" s="149"/>
      <c r="ABV6" s="149"/>
      <c r="ABW6" s="149"/>
      <c r="ABX6" s="149"/>
      <c r="ABY6" s="149"/>
      <c r="ABZ6" s="149"/>
      <c r="ACA6" s="149"/>
      <c r="ACB6" s="149"/>
      <c r="ACC6" s="149"/>
      <c r="ACD6" s="149"/>
      <c r="ACE6" s="149"/>
      <c r="ACF6" s="149"/>
      <c r="ACG6" s="149"/>
      <c r="ACH6" s="149"/>
      <c r="ACI6" s="149"/>
      <c r="ACJ6" s="149"/>
      <c r="ACK6" s="149"/>
      <c r="ACL6" s="149"/>
      <c r="ACM6" s="149"/>
      <c r="ACN6" s="149"/>
      <c r="ACO6" s="149"/>
      <c r="ACP6" s="149"/>
      <c r="ACQ6" s="149"/>
      <c r="ACR6" s="149"/>
      <c r="ACS6" s="149"/>
      <c r="ACT6" s="149"/>
      <c r="ACU6" s="149"/>
      <c r="ACV6" s="149"/>
      <c r="ACW6" s="149"/>
      <c r="ACX6" s="149"/>
      <c r="ACY6" s="149"/>
      <c r="ACZ6" s="149"/>
      <c r="ADA6" s="149"/>
      <c r="ADB6" s="149"/>
      <c r="ADC6" s="149"/>
      <c r="ADD6" s="149"/>
      <c r="ADE6" s="149"/>
      <c r="ADF6" s="149"/>
      <c r="ADG6" s="149"/>
      <c r="ADH6" s="149"/>
      <c r="ADI6" s="149"/>
      <c r="ADJ6" s="149"/>
      <c r="ADK6" s="149"/>
      <c r="ADL6" s="149"/>
      <c r="ADM6" s="149"/>
      <c r="ADN6" s="149"/>
      <c r="ADO6" s="149"/>
      <c r="ADP6" s="149"/>
      <c r="ADQ6" s="149"/>
      <c r="ADR6" s="149"/>
      <c r="ADS6" s="149"/>
      <c r="ADT6" s="149"/>
      <c r="ADU6" s="149"/>
      <c r="ADV6" s="149"/>
      <c r="ADW6" s="149"/>
      <c r="ADX6" s="149"/>
      <c r="ADY6" s="149"/>
      <c r="ADZ6" s="149"/>
      <c r="AEA6" s="149"/>
      <c r="AEB6" s="149"/>
      <c r="AEC6" s="149"/>
      <c r="AED6" s="149"/>
      <c r="AEE6" s="149"/>
      <c r="AEF6" s="149"/>
      <c r="AEG6" s="149"/>
      <c r="AEH6" s="149"/>
      <c r="AEI6" s="149"/>
      <c r="AEJ6" s="149"/>
      <c r="AEK6" s="149"/>
      <c r="AEL6" s="149"/>
      <c r="AEM6" s="149"/>
      <c r="AEN6" s="149"/>
      <c r="AEO6" s="149"/>
      <c r="AEP6" s="149"/>
      <c r="AEQ6" s="149"/>
      <c r="AER6" s="149"/>
      <c r="AES6" s="149"/>
      <c r="AET6" s="149"/>
      <c r="AEU6" s="149"/>
      <c r="AEV6" s="149"/>
      <c r="AEW6" s="149"/>
      <c r="AEX6" s="149"/>
      <c r="AEY6" s="149"/>
      <c r="AEZ6" s="149"/>
      <c r="AFA6" s="149"/>
      <c r="AFB6" s="149"/>
      <c r="AFC6" s="149"/>
      <c r="AFD6" s="149"/>
      <c r="AFE6" s="149"/>
      <c r="AFF6" s="149"/>
      <c r="AFG6" s="149"/>
      <c r="AFH6" s="149"/>
      <c r="AFI6" s="149"/>
      <c r="AFJ6" s="149"/>
      <c r="AFK6" s="149"/>
      <c r="AFL6" s="149"/>
      <c r="AFM6" s="149"/>
      <c r="AFN6" s="149"/>
      <c r="AFO6" s="149"/>
      <c r="AFP6" s="149"/>
      <c r="AFQ6" s="149"/>
      <c r="AFR6" s="149"/>
      <c r="AFS6" s="149"/>
      <c r="AFT6" s="149"/>
      <c r="AFU6" s="149"/>
      <c r="AFV6" s="149"/>
      <c r="AFW6" s="149"/>
      <c r="AFX6" s="149"/>
      <c r="AFY6" s="149"/>
      <c r="AFZ6" s="149"/>
      <c r="AGA6" s="149"/>
      <c r="AGB6" s="149"/>
      <c r="AGC6" s="149"/>
      <c r="AGD6" s="149"/>
      <c r="AGE6" s="149"/>
      <c r="AGF6" s="149"/>
      <c r="AGG6" s="149"/>
      <c r="AGH6" s="149"/>
      <c r="AGI6" s="149"/>
      <c r="AGJ6" s="149"/>
      <c r="AGK6" s="149"/>
      <c r="AGL6" s="149"/>
      <c r="AGM6" s="149"/>
      <c r="AGN6" s="149"/>
      <c r="AGO6" s="149"/>
      <c r="AGP6" s="149"/>
      <c r="AGQ6" s="149"/>
      <c r="AGR6" s="149"/>
      <c r="AGS6" s="149"/>
      <c r="AGT6" s="149"/>
      <c r="AGU6" s="149"/>
      <c r="AGV6" s="149"/>
      <c r="AGW6" s="149"/>
      <c r="AGX6" s="149"/>
      <c r="AGY6" s="149"/>
      <c r="AGZ6" s="149"/>
      <c r="AHA6" s="149"/>
      <c r="AHB6" s="149"/>
      <c r="AHC6" s="149"/>
      <c r="AHD6" s="149"/>
      <c r="AHE6" s="149"/>
      <c r="AHF6" s="149"/>
      <c r="AHG6" s="149"/>
      <c r="AHH6" s="149"/>
      <c r="AHI6" s="149"/>
      <c r="AHJ6" s="149"/>
      <c r="AHK6" s="149"/>
      <c r="AHL6" s="149"/>
      <c r="AHM6" s="149"/>
      <c r="AHN6" s="149"/>
      <c r="AHO6" s="149"/>
      <c r="AHP6" s="149"/>
      <c r="AHQ6" s="149"/>
      <c r="AHR6" s="149"/>
      <c r="AHS6" s="149"/>
      <c r="AHT6" s="149"/>
      <c r="AHU6" s="149"/>
      <c r="AHV6" s="149"/>
      <c r="AHW6" s="149"/>
      <c r="AHX6" s="149"/>
      <c r="AHY6" s="149"/>
      <c r="AHZ6" s="149"/>
      <c r="AIA6" s="149"/>
      <c r="AIB6" s="149"/>
      <c r="AIC6" s="149"/>
      <c r="AID6" s="149"/>
      <c r="AIE6" s="149"/>
      <c r="AIF6" s="149"/>
      <c r="AIG6" s="149"/>
      <c r="AIH6" s="149"/>
      <c r="AII6" s="149"/>
      <c r="AIJ6" s="149"/>
      <c r="AIK6" s="149"/>
      <c r="AIL6" s="149"/>
      <c r="AIM6" s="149"/>
      <c r="AIN6" s="149"/>
      <c r="AIO6" s="149"/>
      <c r="AIP6" s="149"/>
      <c r="AIQ6" s="149"/>
      <c r="AIR6" s="149"/>
      <c r="AIS6" s="149"/>
      <c r="AIT6" s="149"/>
      <c r="AIU6" s="149"/>
      <c r="AIV6" s="149"/>
      <c r="AIW6" s="149"/>
      <c r="AIX6" s="149"/>
      <c r="AIY6" s="149"/>
      <c r="AIZ6" s="149"/>
      <c r="AJA6" s="149"/>
      <c r="AJB6" s="149"/>
      <c r="AJC6" s="149"/>
      <c r="AJD6" s="149"/>
      <c r="AJE6" s="149"/>
      <c r="AJF6" s="149"/>
      <c r="AJG6" s="149"/>
      <c r="AJH6" s="149"/>
      <c r="AJI6" s="149"/>
      <c r="AJJ6" s="149"/>
      <c r="AJK6" s="149"/>
      <c r="AJL6" s="149"/>
      <c r="AJM6" s="149"/>
      <c r="AJN6" s="149"/>
      <c r="AJO6" s="149"/>
      <c r="AJP6" s="149"/>
      <c r="AJQ6" s="149"/>
      <c r="AJR6" s="149"/>
      <c r="AJS6" s="149"/>
      <c r="AJT6" s="149"/>
      <c r="AJU6" s="149"/>
      <c r="AJV6" s="149"/>
      <c r="AJW6" s="149"/>
      <c r="AJX6" s="149"/>
      <c r="AJY6" s="149"/>
      <c r="AJZ6" s="149"/>
      <c r="AKA6" s="149"/>
      <c r="AKB6" s="149"/>
      <c r="AKC6" s="149"/>
      <c r="AKD6" s="149"/>
      <c r="AKE6" s="149"/>
      <c r="AKF6" s="149"/>
      <c r="AKG6" s="149"/>
      <c r="AKH6" s="149"/>
      <c r="AKI6" s="149"/>
      <c r="AKJ6" s="149"/>
      <c r="AKK6" s="149"/>
      <c r="AKL6" s="149"/>
      <c r="AKM6" s="149"/>
      <c r="AKN6" s="149"/>
      <c r="AKO6" s="149"/>
      <c r="AKP6" s="149"/>
      <c r="AKQ6" s="149"/>
      <c r="AKR6" s="149"/>
      <c r="AKS6" s="149"/>
      <c r="AKT6" s="149"/>
      <c r="AKU6" s="149"/>
      <c r="AKV6" s="149"/>
      <c r="AKW6" s="149"/>
      <c r="AKX6" s="149"/>
      <c r="AKY6" s="149"/>
      <c r="AKZ6" s="149"/>
      <c r="ALA6" s="149"/>
      <c r="ALB6" s="149"/>
      <c r="ALC6" s="149"/>
      <c r="ALD6" s="149"/>
      <c r="ALE6" s="149"/>
      <c r="ALF6" s="149"/>
      <c r="ALG6" s="149"/>
      <c r="ALH6" s="149"/>
      <c r="ALI6" s="149"/>
      <c r="ALJ6" s="149"/>
      <c r="ALK6" s="149"/>
      <c r="ALL6" s="149"/>
      <c r="ALM6" s="149"/>
      <c r="ALN6" s="149"/>
      <c r="ALO6" s="149"/>
      <c r="ALP6" s="149"/>
      <c r="ALQ6" s="149"/>
      <c r="ALR6" s="149"/>
      <c r="ALS6" s="149"/>
      <c r="ALT6" s="149"/>
      <c r="ALU6" s="149"/>
      <c r="ALV6" s="149"/>
      <c r="ALW6" s="149"/>
      <c r="ALX6" s="149"/>
      <c r="ALY6" s="149"/>
      <c r="ALZ6" s="149"/>
      <c r="AMA6" s="149"/>
      <c r="AMB6" s="149"/>
      <c r="AMC6" s="149"/>
      <c r="AMD6" s="149"/>
      <c r="AME6" s="149"/>
      <c r="AMF6" s="149"/>
      <c r="AMG6" s="149"/>
      <c r="AMH6" s="149"/>
      <c r="AMI6" s="149"/>
      <c r="AMJ6" s="149"/>
      <c r="AMK6" s="149"/>
      <c r="AML6" s="149"/>
      <c r="AMM6" s="149"/>
      <c r="AMN6" s="149"/>
      <c r="AMO6" s="149"/>
      <c r="AMP6" s="149"/>
      <c r="AMQ6" s="149"/>
      <c r="AMR6" s="149"/>
      <c r="AMS6" s="149"/>
      <c r="AMT6" s="149"/>
      <c r="AMU6" s="149"/>
      <c r="AMV6" s="149"/>
      <c r="AMW6" s="149"/>
      <c r="AMX6" s="149"/>
      <c r="AMY6" s="149"/>
      <c r="AMZ6" s="149"/>
      <c r="ANA6" s="149"/>
      <c r="ANB6" s="149"/>
      <c r="ANC6" s="149"/>
      <c r="AND6" s="149"/>
      <c r="ANE6" s="149"/>
      <c r="ANF6" s="149"/>
      <c r="ANG6" s="149"/>
      <c r="ANH6" s="149"/>
      <c r="ANI6" s="149"/>
      <c r="ANJ6" s="149"/>
      <c r="ANK6" s="149"/>
      <c r="ANL6" s="149"/>
      <c r="ANM6" s="149"/>
      <c r="ANN6" s="149"/>
      <c r="ANO6" s="149"/>
      <c r="ANP6" s="149"/>
      <c r="ANQ6" s="149"/>
      <c r="ANR6" s="149"/>
      <c r="ANS6" s="149"/>
      <c r="ANT6" s="149"/>
      <c r="ANU6" s="149"/>
      <c r="ANV6" s="149"/>
      <c r="ANW6" s="149"/>
      <c r="ANX6" s="149"/>
      <c r="ANY6" s="149"/>
      <c r="ANZ6" s="149"/>
      <c r="AOA6" s="149"/>
      <c r="AOB6" s="149"/>
      <c r="AOC6" s="149"/>
      <c r="AOD6" s="149"/>
      <c r="AOE6" s="149"/>
      <c r="AOF6" s="149"/>
      <c r="AOG6" s="149"/>
      <c r="AOH6" s="149"/>
      <c r="AOI6" s="149"/>
      <c r="AOJ6" s="149"/>
      <c r="AOK6" s="149"/>
      <c r="AOL6" s="149"/>
      <c r="AOM6" s="149"/>
      <c r="AON6" s="149"/>
      <c r="AOO6" s="149"/>
      <c r="AOP6" s="149"/>
      <c r="AOQ6" s="149"/>
      <c r="AOR6" s="149"/>
      <c r="AOS6" s="149"/>
      <c r="AOT6" s="149"/>
      <c r="AOU6" s="149"/>
      <c r="AOV6" s="149"/>
      <c r="AOW6" s="149"/>
      <c r="AOX6" s="149"/>
      <c r="AOY6" s="149"/>
      <c r="AOZ6" s="149"/>
      <c r="APA6" s="149"/>
      <c r="APB6" s="149"/>
      <c r="APC6" s="149"/>
      <c r="APD6" s="149"/>
      <c r="APE6" s="149"/>
      <c r="APF6" s="149"/>
      <c r="APG6" s="149"/>
      <c r="APH6" s="149"/>
      <c r="API6" s="149"/>
      <c r="APJ6" s="149"/>
      <c r="APK6" s="149"/>
      <c r="APL6" s="149"/>
      <c r="APM6" s="149"/>
      <c r="APN6" s="149"/>
      <c r="APO6" s="149"/>
      <c r="APP6" s="149"/>
      <c r="APQ6" s="149"/>
      <c r="APR6" s="149"/>
      <c r="APS6" s="149"/>
      <c r="APT6" s="149"/>
      <c r="APU6" s="149"/>
      <c r="APV6" s="149"/>
      <c r="APW6" s="149"/>
      <c r="APX6" s="149"/>
      <c r="APY6" s="149"/>
      <c r="APZ6" s="149"/>
      <c r="AQA6" s="149"/>
      <c r="AQB6" s="149"/>
      <c r="AQC6" s="149"/>
      <c r="AQD6" s="149"/>
      <c r="AQE6" s="149"/>
      <c r="AQF6" s="149"/>
      <c r="AQG6" s="149"/>
      <c r="AQH6" s="149"/>
      <c r="AQI6" s="149"/>
      <c r="AQJ6" s="149"/>
      <c r="AQK6" s="149"/>
      <c r="AQL6" s="149"/>
      <c r="AQM6" s="149"/>
      <c r="AQN6" s="149"/>
      <c r="AQO6" s="149"/>
      <c r="AQP6" s="149"/>
      <c r="AQQ6" s="149"/>
      <c r="AQR6" s="149"/>
      <c r="AQS6" s="149"/>
      <c r="AQT6" s="149"/>
      <c r="AQU6" s="149"/>
      <c r="AQV6" s="149"/>
      <c r="AQW6" s="149"/>
      <c r="AQX6" s="149"/>
      <c r="AQY6" s="149"/>
      <c r="AQZ6" s="149"/>
      <c r="ARA6" s="149"/>
      <c r="ARB6" s="149"/>
      <c r="ARC6" s="149"/>
      <c r="ARD6" s="149"/>
      <c r="ARE6" s="149"/>
      <c r="ARF6" s="149"/>
      <c r="ARG6" s="149"/>
      <c r="ARH6" s="149"/>
      <c r="ARI6" s="149"/>
      <c r="ARJ6" s="149"/>
      <c r="ARK6" s="149"/>
      <c r="ARL6" s="149"/>
      <c r="ARM6" s="149"/>
      <c r="ARN6" s="149"/>
      <c r="ARO6" s="149"/>
      <c r="ARP6" s="149"/>
      <c r="ARQ6" s="149"/>
      <c r="ARR6" s="149"/>
      <c r="ARS6" s="149"/>
      <c r="ART6" s="149"/>
      <c r="ARU6" s="149"/>
      <c r="ARV6" s="149"/>
      <c r="ARW6" s="149"/>
      <c r="ARX6" s="149"/>
      <c r="ARY6" s="149"/>
      <c r="ARZ6" s="149"/>
      <c r="ASA6" s="149"/>
      <c r="ASB6" s="149"/>
      <c r="ASC6" s="149"/>
      <c r="ASD6" s="149"/>
      <c r="ASE6" s="149"/>
      <c r="ASF6" s="149"/>
      <c r="ASG6" s="149"/>
      <c r="ASH6" s="149"/>
      <c r="ASI6" s="149"/>
      <c r="ASJ6" s="149"/>
      <c r="ASK6" s="149"/>
      <c r="ASL6" s="149"/>
      <c r="ASM6" s="149"/>
      <c r="ASN6" s="149"/>
      <c r="ASO6" s="149"/>
      <c r="ASP6" s="149"/>
      <c r="ASQ6" s="149"/>
      <c r="ASR6" s="149"/>
      <c r="ASS6" s="149"/>
      <c r="AST6" s="149"/>
      <c r="ASU6" s="149"/>
      <c r="ASV6" s="149"/>
      <c r="ASW6" s="149"/>
      <c r="ASX6" s="149"/>
      <c r="ASY6" s="149"/>
      <c r="ASZ6" s="149"/>
      <c r="ATA6" s="149"/>
      <c r="ATB6" s="149"/>
      <c r="ATC6" s="149"/>
      <c r="ATD6" s="149"/>
      <c r="ATE6" s="149"/>
      <c r="ATF6" s="149"/>
      <c r="ATG6" s="149"/>
      <c r="ATH6" s="149"/>
      <c r="ATI6" s="149"/>
      <c r="ATJ6" s="149"/>
      <c r="ATK6" s="149"/>
      <c r="ATL6" s="149"/>
      <c r="ATM6" s="149"/>
      <c r="ATN6" s="149"/>
      <c r="ATO6" s="149"/>
      <c r="ATP6" s="149"/>
      <c r="ATQ6" s="149"/>
      <c r="ATR6" s="149"/>
      <c r="ATS6" s="149"/>
      <c r="ATT6" s="149"/>
      <c r="ATU6" s="149"/>
      <c r="ATV6" s="149"/>
      <c r="ATW6" s="149"/>
      <c r="ATX6" s="149"/>
      <c r="ATY6" s="149"/>
      <c r="ATZ6" s="149"/>
      <c r="AUA6" s="149"/>
      <c r="AUB6" s="149"/>
      <c r="AUC6" s="149"/>
      <c r="AUD6" s="149"/>
      <c r="AUE6" s="149"/>
      <c r="AUF6" s="149"/>
      <c r="AUG6" s="149"/>
      <c r="AUH6" s="149"/>
      <c r="AUI6" s="149"/>
      <c r="AUJ6" s="149"/>
      <c r="AUK6" s="149"/>
      <c r="AUL6" s="149"/>
      <c r="AUM6" s="149"/>
      <c r="AUN6" s="149"/>
      <c r="AUO6" s="149"/>
      <c r="AUP6" s="149"/>
      <c r="AUQ6" s="149"/>
      <c r="AUR6" s="149"/>
      <c r="AUS6" s="149"/>
      <c r="AUT6" s="149"/>
      <c r="AUU6" s="149"/>
      <c r="AUV6" s="149"/>
      <c r="AUW6" s="149"/>
      <c r="AUX6" s="149"/>
      <c r="AUY6" s="149"/>
      <c r="AUZ6" s="149"/>
      <c r="AVA6" s="149"/>
      <c r="AVB6" s="149"/>
      <c r="AVC6" s="149"/>
      <c r="AVD6" s="149"/>
      <c r="AVE6" s="149"/>
      <c r="AVF6" s="149"/>
      <c r="AVG6" s="149"/>
      <c r="AVH6" s="149"/>
      <c r="AVI6" s="149"/>
      <c r="AVJ6" s="149"/>
      <c r="AVK6" s="149"/>
      <c r="AVL6" s="149"/>
      <c r="AVM6" s="149"/>
      <c r="AVN6" s="149"/>
      <c r="AVO6" s="149"/>
      <c r="AVP6" s="149"/>
      <c r="AVQ6" s="149"/>
      <c r="AVR6" s="149"/>
      <c r="AVS6" s="149"/>
      <c r="AVT6" s="149"/>
      <c r="AVU6" s="149"/>
      <c r="AVV6" s="149"/>
      <c r="AVW6" s="149"/>
      <c r="AVX6" s="149"/>
      <c r="AVY6" s="149"/>
      <c r="AVZ6" s="149"/>
      <c r="AWA6" s="149"/>
      <c r="AWB6" s="149"/>
      <c r="AWC6" s="149"/>
      <c r="AWD6" s="149"/>
      <c r="AWE6" s="149"/>
      <c r="AWF6" s="149"/>
      <c r="AWG6" s="149"/>
      <c r="AWH6" s="149"/>
      <c r="AWI6" s="149"/>
      <c r="AWJ6" s="149"/>
      <c r="AWK6" s="149"/>
      <c r="AWL6" s="149"/>
      <c r="AWM6" s="149"/>
      <c r="AWN6" s="149"/>
      <c r="AWO6" s="149"/>
      <c r="AWP6" s="149"/>
      <c r="AWQ6" s="149"/>
      <c r="AWR6" s="149"/>
      <c r="AWS6" s="149"/>
      <c r="AWT6" s="149"/>
      <c r="AWU6" s="149"/>
      <c r="AWV6" s="149"/>
      <c r="AWW6" s="149"/>
      <c r="AWX6" s="149"/>
      <c r="AWY6" s="149"/>
      <c r="AWZ6" s="149"/>
      <c r="AXA6" s="149"/>
      <c r="AXB6" s="149"/>
      <c r="AXC6" s="149"/>
      <c r="AXD6" s="149"/>
      <c r="AXE6" s="149"/>
      <c r="AXF6" s="149"/>
      <c r="AXG6" s="149"/>
      <c r="AXH6" s="149"/>
      <c r="AXI6" s="149"/>
      <c r="AXJ6" s="149"/>
      <c r="AXK6" s="149"/>
      <c r="AXL6" s="149"/>
      <c r="AXM6" s="149"/>
      <c r="AXN6" s="149"/>
      <c r="AXO6" s="149"/>
      <c r="AXP6" s="149"/>
      <c r="AXQ6" s="149"/>
      <c r="AXR6" s="149"/>
      <c r="AXS6" s="149"/>
      <c r="AXT6" s="149"/>
      <c r="AXU6" s="149"/>
      <c r="AXV6" s="149"/>
      <c r="AXW6" s="149"/>
      <c r="AXX6" s="149"/>
      <c r="AXY6" s="149"/>
      <c r="AXZ6" s="149"/>
      <c r="AYA6" s="149"/>
      <c r="AYB6" s="149"/>
      <c r="AYC6" s="149"/>
      <c r="AYD6" s="149"/>
      <c r="AYE6" s="149"/>
      <c r="AYF6" s="149"/>
      <c r="AYG6" s="149"/>
      <c r="AYH6" s="149"/>
      <c r="AYI6" s="149"/>
      <c r="AYJ6" s="149"/>
      <c r="AYK6" s="149"/>
      <c r="AYL6" s="149"/>
      <c r="AYM6" s="149"/>
      <c r="AYN6" s="149"/>
      <c r="AYO6" s="149"/>
      <c r="AYP6" s="149"/>
      <c r="AYQ6" s="149"/>
      <c r="AYR6" s="149"/>
      <c r="AYS6" s="149"/>
      <c r="AYT6" s="149"/>
      <c r="AYU6" s="149"/>
      <c r="AYV6" s="149"/>
      <c r="AYW6" s="149"/>
      <c r="AYX6" s="149"/>
      <c r="AYY6" s="149"/>
      <c r="AYZ6" s="149"/>
      <c r="AZA6" s="149"/>
      <c r="AZB6" s="149"/>
      <c r="AZC6" s="149"/>
      <c r="AZD6" s="149"/>
      <c r="AZE6" s="149"/>
      <c r="AZF6" s="149"/>
      <c r="AZG6" s="149"/>
      <c r="AZH6" s="149"/>
      <c r="AZI6" s="149"/>
      <c r="AZJ6" s="149"/>
      <c r="AZK6" s="149"/>
      <c r="AZL6" s="149"/>
      <c r="AZM6" s="149"/>
      <c r="AZN6" s="149"/>
      <c r="AZO6" s="149"/>
      <c r="AZP6" s="149"/>
      <c r="AZQ6" s="149"/>
      <c r="AZR6" s="149"/>
      <c r="AZS6" s="149"/>
      <c r="AZT6" s="149"/>
      <c r="AZU6" s="149"/>
      <c r="AZV6" s="149"/>
      <c r="AZW6" s="149"/>
      <c r="AZX6" s="149"/>
      <c r="AZY6" s="149"/>
      <c r="AZZ6" s="149"/>
      <c r="BAA6" s="149"/>
      <c r="BAB6" s="149"/>
      <c r="BAC6" s="149"/>
      <c r="BAD6" s="149"/>
      <c r="BAE6" s="149"/>
      <c r="BAF6" s="149"/>
      <c r="BAG6" s="149"/>
      <c r="BAH6" s="149"/>
      <c r="BAI6" s="149"/>
      <c r="BAJ6" s="149"/>
      <c r="BAK6" s="149"/>
      <c r="BAL6" s="149"/>
      <c r="BAM6" s="149"/>
      <c r="BAN6" s="149"/>
      <c r="BAO6" s="149"/>
      <c r="BAP6" s="149"/>
      <c r="BAQ6" s="149"/>
      <c r="BAR6" s="149"/>
      <c r="BAS6" s="149"/>
      <c r="BAT6" s="149"/>
      <c r="BAU6" s="149"/>
      <c r="BAV6" s="149"/>
      <c r="BAW6" s="149"/>
      <c r="BAX6" s="149"/>
      <c r="BAY6" s="149"/>
      <c r="BAZ6" s="149"/>
      <c r="BBA6" s="149"/>
      <c r="BBB6" s="149"/>
      <c r="BBC6" s="149"/>
      <c r="BBD6" s="149"/>
      <c r="BBE6" s="149"/>
      <c r="BBF6" s="149"/>
      <c r="BBG6" s="149"/>
      <c r="BBH6" s="149"/>
      <c r="BBI6" s="149"/>
      <c r="BBJ6" s="149"/>
      <c r="BBK6" s="149"/>
      <c r="BBL6" s="149"/>
      <c r="BBM6" s="149"/>
      <c r="BBN6" s="149"/>
      <c r="BBO6" s="149"/>
      <c r="BBP6" s="149"/>
      <c r="BBQ6" s="149"/>
      <c r="BBR6" s="149"/>
      <c r="BBS6" s="149"/>
      <c r="BBT6" s="149"/>
      <c r="BBU6" s="149"/>
      <c r="BBV6" s="149"/>
      <c r="BBW6" s="149"/>
      <c r="BBX6" s="149"/>
      <c r="BBY6" s="149"/>
      <c r="BBZ6" s="149"/>
      <c r="BCA6" s="149"/>
      <c r="BCB6" s="149"/>
      <c r="BCC6" s="149"/>
      <c r="BCD6" s="149"/>
      <c r="BCE6" s="149"/>
      <c r="BCF6" s="149"/>
      <c r="BCG6" s="149"/>
      <c r="BCH6" s="149"/>
      <c r="BCI6" s="149"/>
      <c r="BCJ6" s="149"/>
      <c r="BCK6" s="149"/>
      <c r="BCL6" s="149"/>
      <c r="BCM6" s="149"/>
      <c r="BCN6" s="149"/>
      <c r="BCO6" s="149"/>
      <c r="BCP6" s="149"/>
      <c r="BCQ6" s="149"/>
      <c r="BCR6" s="149"/>
      <c r="BCS6" s="149"/>
      <c r="BCT6" s="149"/>
      <c r="BCU6" s="149"/>
      <c r="BCV6" s="149"/>
      <c r="BCW6" s="149"/>
      <c r="BCX6" s="149"/>
      <c r="BCY6" s="149"/>
      <c r="BCZ6" s="149"/>
      <c r="BDA6" s="149"/>
      <c r="BDB6" s="149"/>
      <c r="BDC6" s="149"/>
      <c r="BDD6" s="149"/>
      <c r="BDE6" s="149"/>
      <c r="BDF6" s="149"/>
      <c r="BDG6" s="149"/>
      <c r="BDH6" s="149"/>
      <c r="BDI6" s="149"/>
      <c r="BDJ6" s="149"/>
      <c r="BDK6" s="149"/>
      <c r="BDL6" s="149"/>
      <c r="BDM6" s="149"/>
      <c r="BDN6" s="149"/>
      <c r="BDO6" s="149"/>
      <c r="BDP6" s="149"/>
      <c r="BDQ6" s="149"/>
      <c r="BDR6" s="149"/>
      <c r="BDS6" s="149"/>
      <c r="BDT6" s="149"/>
      <c r="BDU6" s="149"/>
      <c r="BDV6" s="149"/>
      <c r="BDW6" s="149"/>
      <c r="BDX6" s="149"/>
      <c r="BDY6" s="149"/>
      <c r="BDZ6" s="149"/>
      <c r="BEA6" s="149"/>
      <c r="BEB6" s="149"/>
      <c r="BEC6" s="149"/>
      <c r="BED6" s="149"/>
      <c r="BEE6" s="149"/>
      <c r="BEF6" s="149"/>
      <c r="BEG6" s="149"/>
      <c r="BEH6" s="149"/>
      <c r="BEI6" s="149"/>
      <c r="BEJ6" s="149"/>
      <c r="BEK6" s="149"/>
      <c r="BEL6" s="149"/>
      <c r="BEM6" s="149"/>
      <c r="BEN6" s="149"/>
      <c r="BEO6" s="149"/>
      <c r="BEP6" s="149"/>
      <c r="BEQ6" s="149"/>
      <c r="BER6" s="149"/>
      <c r="BES6" s="149"/>
      <c r="BET6" s="149"/>
      <c r="BEU6" s="149"/>
      <c r="BEV6" s="149"/>
      <c r="BEW6" s="149"/>
      <c r="BEX6" s="149"/>
      <c r="BEY6" s="149"/>
      <c r="BEZ6" s="149"/>
      <c r="BFA6" s="149"/>
      <c r="BFB6" s="149"/>
      <c r="BFC6" s="149"/>
      <c r="BFD6" s="149"/>
      <c r="BFE6" s="149"/>
      <c r="BFF6" s="149"/>
      <c r="BFG6" s="149"/>
      <c r="BFH6" s="149"/>
      <c r="BFI6" s="149"/>
      <c r="BFJ6" s="149"/>
      <c r="BFK6" s="149"/>
      <c r="BFL6" s="149"/>
      <c r="BFM6" s="149"/>
      <c r="BFN6" s="149"/>
      <c r="BFO6" s="149"/>
      <c r="BFP6" s="149"/>
      <c r="BFQ6" s="149"/>
      <c r="BFR6" s="149"/>
      <c r="BFS6" s="149"/>
      <c r="BFT6" s="149"/>
      <c r="BFU6" s="149"/>
      <c r="BFV6" s="149"/>
      <c r="BFW6" s="149"/>
      <c r="BFX6" s="149"/>
      <c r="BFY6" s="149"/>
      <c r="BFZ6" s="149"/>
      <c r="BGA6" s="149"/>
      <c r="BGB6" s="149"/>
      <c r="BGC6" s="149"/>
      <c r="BGD6" s="149"/>
      <c r="BGE6" s="149"/>
      <c r="BGF6" s="149"/>
      <c r="BGG6" s="149"/>
      <c r="BGH6" s="149"/>
      <c r="BGI6" s="149"/>
      <c r="BGJ6" s="149"/>
      <c r="BGK6" s="149"/>
      <c r="BGL6" s="149"/>
      <c r="BGM6" s="149"/>
      <c r="BGN6" s="149"/>
      <c r="BGO6" s="149"/>
      <c r="BGP6" s="149"/>
      <c r="BGQ6" s="149"/>
      <c r="BGR6" s="149"/>
      <c r="BGS6" s="149"/>
      <c r="BGT6" s="149"/>
      <c r="BGU6" s="149"/>
      <c r="BGV6" s="149"/>
      <c r="BGW6" s="149"/>
      <c r="BGX6" s="149"/>
      <c r="BGY6" s="149"/>
      <c r="BGZ6" s="149"/>
      <c r="BHA6" s="149"/>
      <c r="BHB6" s="149"/>
      <c r="BHC6" s="149"/>
      <c r="BHD6" s="149"/>
      <c r="BHE6" s="149"/>
      <c r="BHF6" s="149"/>
      <c r="BHG6" s="149"/>
      <c r="BHH6" s="149"/>
      <c r="BHI6" s="149"/>
      <c r="BHJ6" s="149"/>
      <c r="BHK6" s="149"/>
      <c r="BHL6" s="149"/>
      <c r="BHM6" s="149"/>
      <c r="BHN6" s="149"/>
      <c r="BHO6" s="149"/>
      <c r="BHP6" s="149"/>
      <c r="BHQ6" s="149"/>
      <c r="BHR6" s="149"/>
      <c r="BHS6" s="149"/>
      <c r="BHT6" s="149"/>
      <c r="BHU6" s="149"/>
      <c r="BHV6" s="149"/>
      <c r="BHW6" s="149"/>
      <c r="BHX6" s="149"/>
      <c r="BHY6" s="149"/>
      <c r="BHZ6" s="149"/>
      <c r="BIA6" s="149"/>
      <c r="BIB6" s="149"/>
      <c r="BIC6" s="149"/>
      <c r="BID6" s="149"/>
      <c r="BIE6" s="149"/>
      <c r="BIF6" s="149"/>
      <c r="BIG6" s="149"/>
      <c r="BIH6" s="149"/>
      <c r="BII6" s="149"/>
      <c r="BIJ6" s="149"/>
      <c r="BIK6" s="149"/>
      <c r="BIL6" s="149"/>
      <c r="BIM6" s="149"/>
      <c r="BIN6" s="149"/>
      <c r="BIO6" s="149"/>
      <c r="BIP6" s="149"/>
      <c r="BIQ6" s="149"/>
      <c r="BIR6" s="149"/>
      <c r="BIS6" s="149"/>
      <c r="BIT6" s="149"/>
      <c r="BIU6" s="149"/>
      <c r="BIV6" s="149"/>
      <c r="BIW6" s="149"/>
      <c r="BIX6" s="149"/>
      <c r="BIY6" s="149"/>
      <c r="BIZ6" s="149"/>
      <c r="BJA6" s="149"/>
      <c r="BJB6" s="149"/>
      <c r="BJC6" s="149"/>
      <c r="BJD6" s="149"/>
      <c r="BJE6" s="149"/>
      <c r="BJF6" s="149"/>
      <c r="BJG6" s="149"/>
      <c r="BJH6" s="149"/>
      <c r="BJI6" s="149"/>
      <c r="BJJ6" s="149"/>
      <c r="BJK6" s="149"/>
      <c r="BJL6" s="149"/>
      <c r="BJM6" s="149"/>
      <c r="BJN6" s="149"/>
      <c r="BJO6" s="149"/>
      <c r="BJP6" s="149"/>
      <c r="BJQ6" s="149"/>
      <c r="BJR6" s="149"/>
      <c r="BJS6" s="149"/>
      <c r="BJT6" s="149"/>
      <c r="BJU6" s="149"/>
      <c r="BJV6" s="149"/>
      <c r="BJW6" s="149"/>
      <c r="BJX6" s="149"/>
      <c r="BJY6" s="149"/>
      <c r="BJZ6" s="149"/>
      <c r="BKA6" s="149"/>
      <c r="BKB6" s="149"/>
      <c r="BKC6" s="149"/>
      <c r="BKD6" s="149"/>
      <c r="BKE6" s="149"/>
      <c r="BKF6" s="149"/>
      <c r="BKG6" s="149"/>
      <c r="BKH6" s="149"/>
      <c r="BKI6" s="149"/>
      <c r="BKJ6" s="149"/>
      <c r="BKK6" s="149"/>
      <c r="BKL6" s="149"/>
      <c r="BKM6" s="149"/>
      <c r="BKN6" s="149"/>
      <c r="BKO6" s="149"/>
      <c r="BKP6" s="149"/>
      <c r="BKQ6" s="149"/>
      <c r="BKR6" s="149"/>
      <c r="BKS6" s="149"/>
      <c r="BKT6" s="149"/>
      <c r="BKU6" s="149"/>
      <c r="BKV6" s="149"/>
      <c r="BKW6" s="149"/>
      <c r="BKX6" s="149"/>
      <c r="BKY6" s="149"/>
      <c r="BKZ6" s="149"/>
      <c r="BLA6" s="149"/>
      <c r="BLB6" s="149"/>
      <c r="BLC6" s="149"/>
      <c r="BLD6" s="149"/>
      <c r="BLE6" s="149"/>
      <c r="BLF6" s="149"/>
      <c r="BLG6" s="149"/>
      <c r="BLH6" s="149"/>
      <c r="BLI6" s="149"/>
      <c r="BLJ6" s="149"/>
      <c r="BLK6" s="149"/>
      <c r="BLL6" s="149"/>
      <c r="BLM6" s="149"/>
      <c r="BLN6" s="149"/>
      <c r="BLO6" s="149"/>
      <c r="BLP6" s="149"/>
      <c r="BLQ6" s="149"/>
      <c r="BLR6" s="149"/>
      <c r="BLS6" s="149"/>
      <c r="BLT6" s="149"/>
      <c r="BLU6" s="149"/>
      <c r="BLV6" s="149"/>
      <c r="BLW6" s="149"/>
      <c r="BLX6" s="149"/>
      <c r="BLY6" s="149"/>
      <c r="BLZ6" s="149"/>
      <c r="BMA6" s="149"/>
      <c r="BMB6" s="149"/>
      <c r="BMC6" s="149"/>
      <c r="BMD6" s="149"/>
      <c r="BME6" s="149"/>
      <c r="BMF6" s="149"/>
      <c r="BMG6" s="149"/>
      <c r="BMH6" s="149"/>
      <c r="BMI6" s="149"/>
      <c r="BMJ6" s="149"/>
      <c r="BMK6" s="149"/>
      <c r="BML6" s="149"/>
      <c r="BMM6" s="149"/>
      <c r="BMN6" s="149"/>
      <c r="BMO6" s="149"/>
      <c r="BMP6" s="149"/>
      <c r="BMQ6" s="149"/>
      <c r="BMR6" s="149"/>
      <c r="BMS6" s="149"/>
      <c r="BMT6" s="149"/>
      <c r="BMU6" s="149"/>
      <c r="BMV6" s="149"/>
      <c r="BMW6" s="149"/>
      <c r="BMX6" s="149"/>
      <c r="BMY6" s="149"/>
      <c r="BMZ6" s="149"/>
      <c r="BNA6" s="149"/>
      <c r="BNB6" s="149"/>
      <c r="BNC6" s="149"/>
      <c r="BND6" s="149"/>
      <c r="BNE6" s="149"/>
      <c r="BNF6" s="149"/>
      <c r="BNG6" s="149"/>
      <c r="BNH6" s="149"/>
      <c r="BNI6" s="149"/>
      <c r="BNJ6" s="149"/>
      <c r="BNK6" s="149"/>
      <c r="BNL6" s="149"/>
      <c r="BNM6" s="149"/>
      <c r="BNN6" s="149"/>
      <c r="BNO6" s="149"/>
      <c r="BNP6" s="149"/>
      <c r="BNQ6" s="149"/>
      <c r="BNR6" s="149"/>
      <c r="BNS6" s="149"/>
      <c r="BNT6" s="149"/>
      <c r="BNU6" s="149"/>
      <c r="BNV6" s="149"/>
      <c r="BNW6" s="149"/>
      <c r="BNX6" s="149"/>
      <c r="BNY6" s="149"/>
      <c r="BNZ6" s="149"/>
      <c r="BOA6" s="149"/>
      <c r="BOB6" s="149"/>
      <c r="BOC6" s="149"/>
      <c r="BOD6" s="149"/>
      <c r="BOE6" s="149"/>
      <c r="BOF6" s="149"/>
      <c r="BOG6" s="149"/>
      <c r="BOH6" s="149"/>
      <c r="BOI6" s="149"/>
      <c r="BOJ6" s="149"/>
      <c r="BOK6" s="149"/>
      <c r="BOL6" s="149"/>
      <c r="BOM6" s="149"/>
      <c r="BON6" s="149"/>
      <c r="BOO6" s="149"/>
      <c r="BOP6" s="149"/>
      <c r="BOQ6" s="149"/>
      <c r="BOR6" s="149"/>
      <c r="BOS6" s="149"/>
      <c r="BOT6" s="149"/>
      <c r="BOU6" s="149"/>
      <c r="BOV6" s="149"/>
      <c r="BOW6" s="149"/>
      <c r="BOX6" s="149"/>
      <c r="BOY6" s="149"/>
      <c r="BOZ6" s="149"/>
      <c r="BPA6" s="149"/>
      <c r="BPB6" s="149"/>
      <c r="BPC6" s="149"/>
      <c r="BPD6" s="149"/>
      <c r="BPE6" s="149"/>
      <c r="BPF6" s="149"/>
      <c r="BPG6" s="149"/>
      <c r="BPH6" s="149"/>
      <c r="BPI6" s="149"/>
      <c r="BPJ6" s="149"/>
      <c r="BPK6" s="149"/>
      <c r="BPL6" s="149"/>
      <c r="BPM6" s="149"/>
      <c r="BPN6" s="149"/>
      <c r="BPO6" s="149"/>
      <c r="BPP6" s="149"/>
      <c r="BPQ6" s="149"/>
      <c r="BPR6" s="149"/>
      <c r="BPS6" s="149"/>
      <c r="BPT6" s="149"/>
      <c r="BPU6" s="149"/>
      <c r="BPV6" s="149"/>
      <c r="BPW6" s="149"/>
      <c r="BPX6" s="149"/>
      <c r="BPY6" s="149"/>
      <c r="BPZ6" s="149"/>
      <c r="BQA6" s="149"/>
      <c r="BQB6" s="149"/>
      <c r="BQC6" s="149"/>
      <c r="BQD6" s="149"/>
      <c r="BQE6" s="149"/>
      <c r="BQF6" s="149"/>
      <c r="BQG6" s="149"/>
      <c r="BQH6" s="149"/>
      <c r="BQI6" s="149"/>
      <c r="BQJ6" s="149"/>
      <c r="BQK6" s="149"/>
      <c r="BQL6" s="149"/>
      <c r="BQM6" s="149"/>
      <c r="BQN6" s="149"/>
      <c r="BQO6" s="149"/>
      <c r="BQP6" s="149"/>
      <c r="BQQ6" s="149"/>
      <c r="BQR6" s="149"/>
      <c r="BQS6" s="149"/>
      <c r="BQT6" s="149"/>
      <c r="BQU6" s="149"/>
      <c r="BQV6" s="149"/>
      <c r="BQW6" s="149"/>
      <c r="BQX6" s="149"/>
      <c r="BQY6" s="149"/>
      <c r="BQZ6" s="149"/>
      <c r="BRA6" s="149"/>
      <c r="BRB6" s="149"/>
      <c r="BRC6" s="149"/>
      <c r="BRD6" s="149"/>
      <c r="BRE6" s="149"/>
      <c r="BRF6" s="149"/>
      <c r="BRG6" s="149"/>
      <c r="BRH6" s="149"/>
      <c r="BRI6" s="149"/>
      <c r="BRJ6" s="149"/>
      <c r="BRK6" s="149"/>
      <c r="BRL6" s="149"/>
      <c r="BRM6" s="149"/>
      <c r="BRN6" s="149"/>
      <c r="BRO6" s="149"/>
      <c r="BRP6" s="149"/>
      <c r="BRQ6" s="149"/>
      <c r="BRR6" s="149"/>
      <c r="BRS6" s="149"/>
      <c r="BRT6" s="149"/>
      <c r="BRU6" s="149"/>
      <c r="BRV6" s="149"/>
      <c r="BRW6" s="149"/>
      <c r="BRX6" s="149"/>
      <c r="BRY6" s="149"/>
      <c r="BRZ6" s="149"/>
      <c r="BSA6" s="149"/>
      <c r="BSB6" s="149"/>
      <c r="BSC6" s="149"/>
      <c r="BSD6" s="149"/>
      <c r="BSE6" s="149"/>
      <c r="BSF6" s="149"/>
      <c r="BSG6" s="149"/>
      <c r="BSH6" s="149"/>
      <c r="BSI6" s="149"/>
      <c r="BSJ6" s="149"/>
      <c r="BSK6" s="149"/>
      <c r="BSL6" s="149"/>
      <c r="BSM6" s="149"/>
      <c r="BSN6" s="149"/>
      <c r="BSO6" s="149"/>
      <c r="BSP6" s="149"/>
      <c r="BSQ6" s="149"/>
      <c r="BSR6" s="149"/>
      <c r="BSS6" s="149"/>
      <c r="BST6" s="149"/>
      <c r="BSU6" s="149"/>
      <c r="BSV6" s="149"/>
      <c r="BSW6" s="149"/>
      <c r="BSX6" s="149"/>
      <c r="BSY6" s="149"/>
      <c r="BSZ6" s="149"/>
      <c r="BTA6" s="149"/>
      <c r="BTB6" s="149"/>
      <c r="BTC6" s="149"/>
      <c r="BTD6" s="149"/>
      <c r="BTE6" s="149"/>
      <c r="BTF6" s="149"/>
      <c r="BTG6" s="149"/>
      <c r="BTH6" s="149"/>
      <c r="BTI6" s="149"/>
      <c r="BTJ6" s="149"/>
      <c r="BTK6" s="149"/>
      <c r="BTL6" s="149"/>
      <c r="BTM6" s="149"/>
      <c r="BTN6" s="149"/>
      <c r="BTO6" s="149"/>
      <c r="BTP6" s="149"/>
      <c r="BTQ6" s="149"/>
      <c r="BTR6" s="149"/>
      <c r="BTS6" s="149"/>
      <c r="BTT6" s="149"/>
      <c r="BTU6" s="149"/>
      <c r="BTV6" s="149"/>
      <c r="BTW6" s="149"/>
      <c r="BTX6" s="149"/>
      <c r="BTY6" s="149"/>
      <c r="BTZ6" s="149"/>
      <c r="BUA6" s="149"/>
      <c r="BUB6" s="149"/>
      <c r="BUC6" s="149"/>
      <c r="BUD6" s="149"/>
      <c r="BUE6" s="149"/>
      <c r="BUF6" s="149"/>
      <c r="BUG6" s="149"/>
      <c r="BUH6" s="149"/>
      <c r="BUI6" s="149"/>
      <c r="BUJ6" s="149"/>
      <c r="BUK6" s="149"/>
      <c r="BUL6" s="149"/>
      <c r="BUM6" s="149"/>
      <c r="BUN6" s="149"/>
      <c r="BUO6" s="149"/>
      <c r="BUP6" s="149"/>
      <c r="BUQ6" s="149"/>
      <c r="BUR6" s="149"/>
      <c r="BUS6" s="149"/>
      <c r="BUT6" s="149"/>
      <c r="BUU6" s="149"/>
      <c r="BUV6" s="149"/>
      <c r="BUW6" s="149"/>
      <c r="BUX6" s="149"/>
      <c r="BUY6" s="149"/>
      <c r="BUZ6" s="149"/>
      <c r="BVA6" s="149"/>
      <c r="BVB6" s="149"/>
      <c r="BVC6" s="149"/>
      <c r="BVD6" s="149"/>
      <c r="BVE6" s="149"/>
      <c r="BVF6" s="149"/>
      <c r="BVG6" s="149"/>
      <c r="BVH6" s="149"/>
      <c r="BVI6" s="149"/>
      <c r="BVJ6" s="149"/>
      <c r="BVK6" s="149"/>
      <c r="BVL6" s="149"/>
      <c r="BVM6" s="149"/>
      <c r="BVN6" s="149"/>
      <c r="BVO6" s="149"/>
      <c r="BVP6" s="149"/>
      <c r="BVQ6" s="149"/>
      <c r="BVR6" s="149"/>
      <c r="BVS6" s="149"/>
      <c r="BVT6" s="149"/>
      <c r="BVU6" s="149"/>
      <c r="BVV6" s="149"/>
      <c r="BVW6" s="149"/>
      <c r="BVX6" s="149"/>
      <c r="BVY6" s="149"/>
      <c r="BVZ6" s="149"/>
      <c r="BWA6" s="149"/>
      <c r="BWB6" s="149"/>
      <c r="BWC6" s="149"/>
      <c r="BWD6" s="149"/>
      <c r="BWE6" s="149"/>
      <c r="BWF6" s="149"/>
      <c r="BWG6" s="149"/>
      <c r="BWH6" s="149"/>
      <c r="BWI6" s="149"/>
      <c r="BWJ6" s="149"/>
      <c r="BWK6" s="149"/>
      <c r="BWL6" s="149"/>
      <c r="BWM6" s="149"/>
      <c r="BWN6" s="149"/>
      <c r="BWO6" s="149"/>
      <c r="BWP6" s="149"/>
      <c r="BWQ6" s="149"/>
      <c r="BWR6" s="149"/>
      <c r="BWS6" s="149"/>
      <c r="BWT6" s="149"/>
      <c r="BWU6" s="149"/>
      <c r="BWV6" s="149"/>
      <c r="BWW6" s="149"/>
      <c r="BWX6" s="149"/>
      <c r="BWY6" s="149"/>
      <c r="BWZ6" s="149"/>
      <c r="BXA6" s="149"/>
      <c r="BXB6" s="149"/>
      <c r="BXC6" s="149"/>
      <c r="BXD6" s="149"/>
      <c r="BXE6" s="149"/>
      <c r="BXF6" s="149"/>
      <c r="BXG6" s="149"/>
      <c r="BXH6" s="149"/>
      <c r="BXI6" s="149"/>
      <c r="BXJ6" s="149"/>
      <c r="BXK6" s="149"/>
      <c r="BXL6" s="149"/>
      <c r="BXM6" s="149"/>
      <c r="BXN6" s="149"/>
      <c r="BXO6" s="149"/>
      <c r="BXP6" s="149"/>
      <c r="BXQ6" s="149"/>
      <c r="BXR6" s="149"/>
      <c r="BXS6" s="149"/>
      <c r="BXT6" s="149"/>
      <c r="BXU6" s="149"/>
      <c r="BXV6" s="149"/>
      <c r="BXW6" s="149"/>
      <c r="BXX6" s="149"/>
      <c r="BXY6" s="149"/>
      <c r="BXZ6" s="149"/>
      <c r="BYA6" s="149"/>
      <c r="BYB6" s="149"/>
      <c r="BYC6" s="149"/>
      <c r="BYD6" s="149"/>
      <c r="BYE6" s="149"/>
      <c r="BYF6" s="149"/>
      <c r="BYG6" s="149"/>
      <c r="BYH6" s="149"/>
      <c r="BYI6" s="149"/>
      <c r="BYJ6" s="149"/>
      <c r="BYK6" s="149"/>
      <c r="BYL6" s="149"/>
      <c r="BYM6" s="149"/>
      <c r="BYN6" s="149"/>
      <c r="BYO6" s="149"/>
      <c r="BYP6" s="149"/>
      <c r="BYQ6" s="149"/>
      <c r="BYR6" s="149"/>
      <c r="BYS6" s="149"/>
      <c r="BYT6" s="149"/>
      <c r="BYU6" s="149"/>
      <c r="BYV6" s="149"/>
      <c r="BYW6" s="149"/>
      <c r="BYX6" s="149"/>
      <c r="BYY6" s="149"/>
      <c r="BYZ6" s="149"/>
      <c r="BZA6" s="149"/>
      <c r="BZB6" s="149"/>
      <c r="BZC6" s="149"/>
      <c r="BZD6" s="149"/>
      <c r="BZE6" s="149"/>
      <c r="BZF6" s="149"/>
      <c r="BZG6" s="149"/>
      <c r="BZH6" s="149"/>
      <c r="BZI6" s="149"/>
      <c r="BZJ6" s="149"/>
      <c r="BZK6" s="149"/>
      <c r="BZL6" s="149"/>
      <c r="BZM6" s="149"/>
      <c r="BZN6" s="149"/>
      <c r="BZO6" s="149"/>
      <c r="BZP6" s="149"/>
      <c r="BZQ6" s="149"/>
      <c r="BZR6" s="149"/>
      <c r="BZS6" s="149"/>
      <c r="BZT6" s="149"/>
      <c r="BZU6" s="149"/>
      <c r="BZV6" s="149"/>
      <c r="BZW6" s="149"/>
      <c r="BZX6" s="149"/>
      <c r="BZY6" s="149"/>
      <c r="BZZ6" s="149"/>
      <c r="CAA6" s="149"/>
      <c r="CAB6" s="149"/>
      <c r="CAC6" s="149"/>
      <c r="CAD6" s="149"/>
      <c r="CAE6" s="149"/>
      <c r="CAF6" s="149"/>
      <c r="CAG6" s="149"/>
      <c r="CAH6" s="149"/>
      <c r="CAI6" s="149"/>
      <c r="CAJ6" s="149"/>
      <c r="CAK6" s="149"/>
      <c r="CAL6" s="149"/>
      <c r="CAM6" s="149"/>
      <c r="CAN6" s="149"/>
      <c r="CAO6" s="149"/>
      <c r="CAP6" s="149"/>
      <c r="CAQ6" s="149"/>
      <c r="CAR6" s="149"/>
      <c r="CAS6" s="149"/>
      <c r="CAT6" s="149"/>
      <c r="CAU6" s="149"/>
      <c r="CAV6" s="149"/>
      <c r="CAW6" s="149"/>
      <c r="CAX6" s="149"/>
      <c r="CAY6" s="149"/>
      <c r="CAZ6" s="149"/>
      <c r="CBA6" s="149"/>
      <c r="CBB6" s="149"/>
      <c r="CBC6" s="149"/>
      <c r="CBD6" s="149"/>
      <c r="CBE6" s="149"/>
      <c r="CBF6" s="149"/>
      <c r="CBG6" s="149"/>
      <c r="CBH6" s="149"/>
      <c r="CBI6" s="149"/>
      <c r="CBJ6" s="149"/>
      <c r="CBK6" s="149"/>
      <c r="CBL6" s="149"/>
      <c r="CBM6" s="149"/>
      <c r="CBN6" s="149"/>
      <c r="CBO6" s="149"/>
      <c r="CBP6" s="149"/>
      <c r="CBQ6" s="149"/>
      <c r="CBR6" s="149"/>
      <c r="CBS6" s="149"/>
      <c r="CBT6" s="149"/>
      <c r="CBU6" s="149"/>
      <c r="CBV6" s="149"/>
      <c r="CBW6" s="149"/>
      <c r="CBX6" s="149"/>
      <c r="CBY6" s="149"/>
      <c r="CBZ6" s="149"/>
      <c r="CCA6" s="149"/>
      <c r="CCB6" s="149"/>
      <c r="CCC6" s="149"/>
      <c r="CCD6" s="149"/>
      <c r="CCE6" s="149"/>
      <c r="CCF6" s="149"/>
      <c r="CCG6" s="149"/>
      <c r="CCH6" s="149"/>
      <c r="CCI6" s="149"/>
      <c r="CCJ6" s="149"/>
      <c r="CCK6" s="149"/>
      <c r="CCL6" s="149"/>
      <c r="CCM6" s="149"/>
      <c r="CCN6" s="149"/>
      <c r="CCO6" s="149"/>
      <c r="CCP6" s="149"/>
      <c r="CCQ6" s="149"/>
      <c r="CCR6" s="149"/>
      <c r="CCS6" s="149"/>
      <c r="CCT6" s="149"/>
      <c r="CCU6" s="149"/>
      <c r="CCV6" s="149"/>
      <c r="CCW6" s="149"/>
      <c r="CCX6" s="149"/>
      <c r="CCY6" s="149"/>
      <c r="CCZ6" s="149"/>
      <c r="CDA6" s="149"/>
      <c r="CDB6" s="149"/>
      <c r="CDC6" s="149"/>
      <c r="CDD6" s="149"/>
      <c r="CDE6" s="149"/>
      <c r="CDF6" s="149"/>
      <c r="CDG6" s="149"/>
      <c r="CDH6" s="149"/>
      <c r="CDI6" s="149"/>
      <c r="CDJ6" s="149"/>
      <c r="CDK6" s="149"/>
      <c r="CDL6" s="149"/>
      <c r="CDM6" s="149"/>
      <c r="CDN6" s="149"/>
      <c r="CDO6" s="149"/>
      <c r="CDP6" s="149"/>
      <c r="CDQ6" s="149"/>
      <c r="CDR6" s="149"/>
      <c r="CDS6" s="149"/>
      <c r="CDT6" s="149"/>
      <c r="CDU6" s="149"/>
      <c r="CDV6" s="149"/>
      <c r="CDW6" s="149"/>
      <c r="CDX6" s="149"/>
      <c r="CDY6" s="149"/>
      <c r="CDZ6" s="149"/>
      <c r="CEA6" s="149"/>
      <c r="CEB6" s="149"/>
      <c r="CEC6" s="149"/>
      <c r="CED6" s="149"/>
      <c r="CEE6" s="149"/>
      <c r="CEF6" s="149"/>
      <c r="CEG6" s="149"/>
      <c r="CEH6" s="149"/>
      <c r="CEI6" s="149"/>
      <c r="CEJ6" s="149"/>
      <c r="CEK6" s="149"/>
      <c r="CEL6" s="149"/>
      <c r="CEM6" s="149"/>
      <c r="CEN6" s="149"/>
      <c r="CEO6" s="149"/>
      <c r="CEP6" s="149"/>
      <c r="CEQ6" s="149"/>
      <c r="CER6" s="149"/>
      <c r="CES6" s="149"/>
      <c r="CET6" s="149"/>
      <c r="CEU6" s="149"/>
      <c r="CEV6" s="149"/>
      <c r="CEW6" s="149"/>
      <c r="CEX6" s="149"/>
      <c r="CEY6" s="149"/>
      <c r="CEZ6" s="149"/>
      <c r="CFA6" s="149"/>
      <c r="CFB6" s="149"/>
      <c r="CFC6" s="149"/>
      <c r="CFD6" s="149"/>
      <c r="CFE6" s="149"/>
      <c r="CFF6" s="149"/>
      <c r="CFG6" s="149"/>
      <c r="CFH6" s="149"/>
      <c r="CFI6" s="149"/>
      <c r="CFJ6" s="149"/>
      <c r="CFK6" s="149"/>
      <c r="CFL6" s="149"/>
      <c r="CFM6" s="149"/>
      <c r="CFN6" s="149"/>
      <c r="CFO6" s="149"/>
      <c r="CFP6" s="149"/>
      <c r="CFQ6" s="149"/>
      <c r="CFR6" s="149"/>
      <c r="CFS6" s="149"/>
      <c r="CFT6" s="149"/>
      <c r="CFU6" s="149"/>
      <c r="CFV6" s="149"/>
      <c r="CFW6" s="149"/>
      <c r="CFX6" s="149"/>
      <c r="CFY6" s="149"/>
      <c r="CFZ6" s="149"/>
      <c r="CGA6" s="149"/>
      <c r="CGB6" s="149"/>
      <c r="CGC6" s="149"/>
      <c r="CGD6" s="149"/>
      <c r="CGE6" s="149"/>
      <c r="CGF6" s="149"/>
      <c r="CGG6" s="149"/>
      <c r="CGH6" s="149"/>
      <c r="CGI6" s="149"/>
      <c r="CGJ6" s="149"/>
      <c r="CGK6" s="149"/>
      <c r="CGL6" s="149"/>
      <c r="CGM6" s="149"/>
      <c r="CGN6" s="149"/>
      <c r="CGO6" s="149"/>
      <c r="CGP6" s="149"/>
      <c r="CGQ6" s="149"/>
      <c r="CGR6" s="149"/>
      <c r="CGS6" s="149"/>
      <c r="CGT6" s="149"/>
      <c r="CGU6" s="149"/>
      <c r="CGV6" s="149"/>
      <c r="CGW6" s="149"/>
      <c r="CGX6" s="149"/>
      <c r="CGY6" s="149"/>
      <c r="CGZ6" s="149"/>
      <c r="CHA6" s="149"/>
      <c r="CHB6" s="149"/>
      <c r="CHC6" s="149"/>
      <c r="CHD6" s="149"/>
      <c r="CHE6" s="149"/>
      <c r="CHF6" s="149"/>
      <c r="CHG6" s="149"/>
      <c r="CHH6" s="149"/>
      <c r="CHI6" s="149"/>
      <c r="CHJ6" s="149"/>
      <c r="CHK6" s="149"/>
      <c r="CHL6" s="149"/>
      <c r="CHM6" s="149"/>
      <c r="CHN6" s="149"/>
      <c r="CHO6" s="149"/>
      <c r="CHP6" s="149"/>
      <c r="CHQ6" s="149"/>
      <c r="CHR6" s="149"/>
      <c r="CHS6" s="149"/>
      <c r="CHT6" s="149"/>
      <c r="CHU6" s="149"/>
      <c r="CHV6" s="149"/>
      <c r="CHW6" s="149"/>
      <c r="CHX6" s="149"/>
      <c r="CHY6" s="149"/>
      <c r="CHZ6" s="149"/>
      <c r="CIA6" s="149"/>
      <c r="CIB6" s="149"/>
      <c r="CIC6" s="149"/>
      <c r="CID6" s="149"/>
      <c r="CIE6" s="149"/>
      <c r="CIF6" s="149"/>
      <c r="CIG6" s="149"/>
      <c r="CIH6" s="149"/>
      <c r="CII6" s="149"/>
      <c r="CIJ6" s="149"/>
      <c r="CIK6" s="149"/>
      <c r="CIL6" s="149"/>
      <c r="CIM6" s="149"/>
      <c r="CIN6" s="149"/>
      <c r="CIO6" s="149"/>
      <c r="CIP6" s="149"/>
      <c r="CIQ6" s="149"/>
      <c r="CIR6" s="149"/>
      <c r="CIS6" s="149"/>
      <c r="CIT6" s="149"/>
      <c r="CIU6" s="149"/>
      <c r="CIV6" s="149"/>
      <c r="CIW6" s="149"/>
      <c r="CIX6" s="149"/>
      <c r="CIY6" s="149"/>
      <c r="CIZ6" s="149"/>
      <c r="CJA6" s="149"/>
      <c r="CJB6" s="149"/>
      <c r="CJC6" s="149"/>
      <c r="CJD6" s="149"/>
      <c r="CJE6" s="149"/>
      <c r="CJF6" s="149"/>
      <c r="CJG6" s="149"/>
      <c r="CJH6" s="149"/>
      <c r="CJI6" s="149"/>
      <c r="CJJ6" s="149"/>
      <c r="CJK6" s="149"/>
      <c r="CJL6" s="149"/>
      <c r="CJM6" s="149"/>
      <c r="CJN6" s="149"/>
      <c r="CJO6" s="149"/>
      <c r="CJP6" s="149"/>
      <c r="CJQ6" s="149"/>
      <c r="CJR6" s="149"/>
      <c r="CJS6" s="149"/>
      <c r="CJT6" s="149"/>
      <c r="CJU6" s="149"/>
      <c r="CJV6" s="149"/>
      <c r="CJW6" s="149"/>
      <c r="CJX6" s="149"/>
      <c r="CJY6" s="149"/>
      <c r="CJZ6" s="149"/>
      <c r="CKA6" s="149"/>
      <c r="CKB6" s="149"/>
      <c r="CKC6" s="149"/>
      <c r="CKD6" s="149"/>
      <c r="CKE6" s="149"/>
      <c r="CKF6" s="149"/>
      <c r="CKG6" s="149"/>
      <c r="CKH6" s="149"/>
      <c r="CKI6" s="149"/>
      <c r="CKJ6" s="149"/>
      <c r="CKK6" s="149"/>
      <c r="CKL6" s="149"/>
      <c r="CKM6" s="149"/>
      <c r="CKN6" s="149"/>
      <c r="CKO6" s="149"/>
      <c r="CKP6" s="149"/>
      <c r="CKQ6" s="149"/>
      <c r="CKR6" s="149"/>
      <c r="CKS6" s="149"/>
      <c r="CKT6" s="149"/>
      <c r="CKU6" s="149"/>
      <c r="CKV6" s="149"/>
      <c r="CKW6" s="149"/>
      <c r="CKX6" s="149"/>
      <c r="CKY6" s="149"/>
      <c r="CKZ6" s="149"/>
      <c r="CLA6" s="149"/>
      <c r="CLB6" s="149"/>
      <c r="CLC6" s="149"/>
      <c r="CLD6" s="149"/>
      <c r="CLE6" s="149"/>
      <c r="CLF6" s="149"/>
      <c r="CLG6" s="149"/>
      <c r="CLH6" s="149"/>
      <c r="CLI6" s="149"/>
      <c r="CLJ6" s="149"/>
      <c r="CLK6" s="149"/>
      <c r="CLL6" s="149"/>
      <c r="CLM6" s="149"/>
      <c r="CLN6" s="149"/>
      <c r="CLO6" s="149"/>
      <c r="CLP6" s="149"/>
      <c r="CLQ6" s="149"/>
      <c r="CLR6" s="149"/>
      <c r="CLS6" s="149"/>
      <c r="CLT6" s="149"/>
      <c r="CLU6" s="149"/>
      <c r="CLV6" s="149"/>
      <c r="CLW6" s="149"/>
      <c r="CLX6" s="149"/>
      <c r="CLY6" s="149"/>
      <c r="CLZ6" s="149"/>
      <c r="CMA6" s="149"/>
      <c r="CMB6" s="149"/>
      <c r="CMC6" s="149"/>
      <c r="CMD6" s="149"/>
      <c r="CME6" s="149"/>
      <c r="CMF6" s="149"/>
      <c r="CMG6" s="149"/>
      <c r="CMH6" s="149"/>
      <c r="CMI6" s="149"/>
      <c r="CMJ6" s="149"/>
      <c r="CMK6" s="149"/>
      <c r="CML6" s="149"/>
      <c r="CMM6" s="149"/>
      <c r="CMN6" s="149"/>
      <c r="CMO6" s="149"/>
      <c r="CMP6" s="149"/>
      <c r="CMQ6" s="149"/>
      <c r="CMR6" s="149"/>
      <c r="CMS6" s="149"/>
      <c r="CMT6" s="149"/>
      <c r="CMU6" s="149"/>
      <c r="CMV6" s="149"/>
      <c r="CMW6" s="149"/>
      <c r="CMX6" s="149"/>
      <c r="CMY6" s="149"/>
      <c r="CMZ6" s="149"/>
      <c r="CNA6" s="149"/>
      <c r="CNB6" s="149"/>
      <c r="CNC6" s="149"/>
      <c r="CND6" s="149"/>
      <c r="CNE6" s="149"/>
      <c r="CNF6" s="149"/>
      <c r="CNG6" s="149"/>
      <c r="CNH6" s="149"/>
      <c r="CNI6" s="149"/>
      <c r="CNJ6" s="149"/>
      <c r="CNK6" s="149"/>
      <c r="CNL6" s="149"/>
      <c r="CNM6" s="149"/>
      <c r="CNN6" s="149"/>
      <c r="CNO6" s="149"/>
      <c r="CNP6" s="149"/>
      <c r="CNQ6" s="149"/>
      <c r="CNR6" s="149"/>
      <c r="CNS6" s="149"/>
      <c r="CNT6" s="149"/>
      <c r="CNU6" s="149"/>
      <c r="CNV6" s="149"/>
      <c r="CNW6" s="149"/>
      <c r="CNX6" s="149"/>
      <c r="CNY6" s="149"/>
      <c r="CNZ6" s="149"/>
      <c r="COA6" s="149"/>
      <c r="COB6" s="149"/>
      <c r="COC6" s="149"/>
      <c r="COD6" s="149"/>
      <c r="COE6" s="149"/>
      <c r="COF6" s="149"/>
      <c r="COG6" s="149"/>
      <c r="COH6" s="149"/>
      <c r="COI6" s="149"/>
      <c r="COJ6" s="149"/>
      <c r="COK6" s="149"/>
      <c r="COL6" s="149"/>
      <c r="COM6" s="149"/>
      <c r="CON6" s="149"/>
      <c r="COO6" s="149"/>
      <c r="COP6" s="149"/>
      <c r="COQ6" s="149"/>
      <c r="COR6" s="149"/>
      <c r="COS6" s="149"/>
      <c r="COT6" s="149"/>
      <c r="COU6" s="149"/>
      <c r="COV6" s="149"/>
      <c r="COW6" s="149"/>
      <c r="COX6" s="149"/>
      <c r="COY6" s="149"/>
      <c r="COZ6" s="149"/>
      <c r="CPA6" s="149"/>
      <c r="CPB6" s="149"/>
      <c r="CPC6" s="149"/>
      <c r="CPD6" s="149"/>
      <c r="CPE6" s="149"/>
      <c r="CPF6" s="149"/>
      <c r="CPG6" s="149"/>
      <c r="CPH6" s="149"/>
      <c r="CPI6" s="149"/>
      <c r="CPJ6" s="149"/>
      <c r="CPK6" s="149"/>
      <c r="CPL6" s="149"/>
      <c r="CPM6" s="149"/>
      <c r="CPN6" s="149"/>
      <c r="CPO6" s="149"/>
      <c r="CPP6" s="149"/>
      <c r="CPQ6" s="149"/>
      <c r="CPR6" s="149"/>
      <c r="CPS6" s="149"/>
      <c r="CPT6" s="149"/>
      <c r="CPU6" s="149"/>
      <c r="CPV6" s="149"/>
      <c r="CPW6" s="149"/>
      <c r="CPX6" s="149"/>
      <c r="CPY6" s="149"/>
      <c r="CPZ6" s="149"/>
      <c r="CQA6" s="149"/>
      <c r="CQB6" s="149"/>
      <c r="CQC6" s="149"/>
      <c r="CQD6" s="149"/>
      <c r="CQE6" s="149"/>
      <c r="CQF6" s="149"/>
      <c r="CQG6" s="149"/>
      <c r="CQH6" s="149"/>
      <c r="CQI6" s="149"/>
      <c r="CQJ6" s="149"/>
      <c r="CQK6" s="149"/>
      <c r="CQL6" s="149"/>
      <c r="CQM6" s="149"/>
      <c r="CQN6" s="149"/>
      <c r="CQO6" s="149"/>
      <c r="CQP6" s="149"/>
      <c r="CQQ6" s="149"/>
      <c r="CQR6" s="149"/>
      <c r="CQS6" s="149"/>
      <c r="CQT6" s="149"/>
      <c r="CQU6" s="149"/>
      <c r="CQV6" s="149"/>
      <c r="CQW6" s="149"/>
      <c r="CQX6" s="149"/>
      <c r="CQY6" s="149"/>
      <c r="CQZ6" s="149"/>
      <c r="CRA6" s="149"/>
      <c r="CRB6" s="149"/>
      <c r="CRC6" s="149"/>
      <c r="CRD6" s="149"/>
      <c r="CRE6" s="149"/>
      <c r="CRF6" s="149"/>
      <c r="CRG6" s="149"/>
      <c r="CRH6" s="149"/>
      <c r="CRI6" s="149"/>
      <c r="CRJ6" s="149"/>
      <c r="CRK6" s="149"/>
      <c r="CRL6" s="149"/>
      <c r="CRM6" s="149"/>
      <c r="CRN6" s="149"/>
      <c r="CRO6" s="149"/>
      <c r="CRP6" s="149"/>
      <c r="CRQ6" s="149"/>
      <c r="CRR6" s="149"/>
      <c r="CRS6" s="149"/>
      <c r="CRT6" s="149"/>
      <c r="CRU6" s="149"/>
      <c r="CRV6" s="149"/>
      <c r="CRW6" s="149"/>
      <c r="CRX6" s="149"/>
      <c r="CRY6" s="149"/>
      <c r="CRZ6" s="149"/>
      <c r="CSA6" s="149"/>
      <c r="CSB6" s="149"/>
      <c r="CSC6" s="149"/>
      <c r="CSD6" s="149"/>
      <c r="CSE6" s="149"/>
      <c r="CSF6" s="149"/>
      <c r="CSG6" s="149"/>
      <c r="CSH6" s="149"/>
      <c r="CSI6" s="149"/>
      <c r="CSJ6" s="149"/>
      <c r="CSK6" s="149"/>
      <c r="CSL6" s="149"/>
      <c r="CSM6" s="149"/>
      <c r="CSN6" s="149"/>
      <c r="CSO6" s="149"/>
      <c r="CSP6" s="149"/>
      <c r="CSQ6" s="149"/>
      <c r="CSR6" s="149"/>
      <c r="CSS6" s="149"/>
      <c r="CST6" s="149"/>
      <c r="CSU6" s="149"/>
      <c r="CSV6" s="149"/>
      <c r="CSW6" s="149"/>
      <c r="CSX6" s="149"/>
      <c r="CSY6" s="149"/>
      <c r="CSZ6" s="149"/>
      <c r="CTA6" s="149"/>
      <c r="CTB6" s="149"/>
      <c r="CTC6" s="149"/>
      <c r="CTD6" s="149"/>
      <c r="CTE6" s="149"/>
      <c r="CTF6" s="149"/>
      <c r="CTG6" s="149"/>
      <c r="CTH6" s="149"/>
      <c r="CTI6" s="149"/>
      <c r="CTJ6" s="149"/>
      <c r="CTK6" s="149"/>
      <c r="CTL6" s="149"/>
      <c r="CTM6" s="149"/>
      <c r="CTN6" s="149"/>
      <c r="CTO6" s="149"/>
      <c r="CTP6" s="149"/>
      <c r="CTQ6" s="149"/>
      <c r="CTR6" s="149"/>
      <c r="CTS6" s="149"/>
      <c r="CTT6" s="149"/>
      <c r="CTU6" s="149"/>
      <c r="CTV6" s="149"/>
      <c r="CTW6" s="149"/>
      <c r="CTX6" s="149"/>
      <c r="CTY6" s="149"/>
      <c r="CTZ6" s="149"/>
      <c r="CUA6" s="149"/>
      <c r="CUB6" s="149"/>
      <c r="CUC6" s="149"/>
      <c r="CUD6" s="149"/>
      <c r="CUE6" s="149"/>
      <c r="CUF6" s="149"/>
      <c r="CUG6" s="149"/>
      <c r="CUH6" s="149"/>
      <c r="CUI6" s="149"/>
      <c r="CUJ6" s="149"/>
      <c r="CUK6" s="149"/>
      <c r="CUL6" s="149"/>
      <c r="CUM6" s="149"/>
      <c r="CUN6" s="149"/>
      <c r="CUO6" s="149"/>
      <c r="CUP6" s="149"/>
      <c r="CUQ6" s="149"/>
      <c r="CUR6" s="149"/>
      <c r="CUS6" s="149"/>
      <c r="CUT6" s="149"/>
      <c r="CUU6" s="149"/>
      <c r="CUV6" s="149"/>
      <c r="CUW6" s="149"/>
      <c r="CUX6" s="149"/>
      <c r="CUY6" s="149"/>
      <c r="CUZ6" s="149"/>
      <c r="CVA6" s="149"/>
      <c r="CVB6" s="149"/>
      <c r="CVC6" s="149"/>
      <c r="CVD6" s="149"/>
      <c r="CVE6" s="149"/>
      <c r="CVF6" s="149"/>
      <c r="CVG6" s="149"/>
      <c r="CVH6" s="149"/>
      <c r="CVI6" s="149"/>
      <c r="CVJ6" s="149"/>
      <c r="CVK6" s="149"/>
      <c r="CVL6" s="149"/>
      <c r="CVM6" s="149"/>
      <c r="CVN6" s="149"/>
      <c r="CVO6" s="149"/>
      <c r="CVP6" s="149"/>
      <c r="CVQ6" s="149"/>
      <c r="CVR6" s="149"/>
      <c r="CVS6" s="149"/>
      <c r="CVT6" s="149"/>
      <c r="CVU6" s="149"/>
      <c r="CVV6" s="149"/>
      <c r="CVW6" s="149"/>
      <c r="CVX6" s="149"/>
      <c r="CVY6" s="149"/>
      <c r="CVZ6" s="149"/>
      <c r="CWA6" s="149"/>
      <c r="CWB6" s="149"/>
      <c r="CWC6" s="149"/>
      <c r="CWD6" s="149"/>
      <c r="CWE6" s="149"/>
      <c r="CWF6" s="149"/>
      <c r="CWG6" s="149"/>
      <c r="CWH6" s="149"/>
      <c r="CWI6" s="149"/>
      <c r="CWJ6" s="149"/>
      <c r="CWK6" s="149"/>
      <c r="CWL6" s="149"/>
      <c r="CWM6" s="149"/>
      <c r="CWN6" s="149"/>
      <c r="CWO6" s="149"/>
      <c r="CWP6" s="149"/>
      <c r="CWQ6" s="149"/>
      <c r="CWR6" s="149"/>
      <c r="CWS6" s="149"/>
      <c r="CWT6" s="149"/>
      <c r="CWU6" s="149"/>
      <c r="CWV6" s="149"/>
      <c r="CWW6" s="149"/>
      <c r="CWX6" s="149"/>
      <c r="CWY6" s="149"/>
      <c r="CWZ6" s="149"/>
      <c r="CXA6" s="149"/>
      <c r="CXB6" s="149"/>
      <c r="CXC6" s="149"/>
      <c r="CXD6" s="149"/>
      <c r="CXE6" s="149"/>
      <c r="CXF6" s="149"/>
      <c r="CXG6" s="149"/>
      <c r="CXH6" s="149"/>
      <c r="CXI6" s="149"/>
      <c r="CXJ6" s="149"/>
      <c r="CXK6" s="149"/>
      <c r="CXL6" s="149"/>
      <c r="CXM6" s="149"/>
      <c r="CXN6" s="149"/>
      <c r="CXO6" s="149"/>
      <c r="CXP6" s="149"/>
      <c r="CXQ6" s="149"/>
      <c r="CXR6" s="149"/>
      <c r="CXS6" s="149"/>
      <c r="CXT6" s="149"/>
      <c r="CXU6" s="149"/>
      <c r="CXV6" s="149"/>
      <c r="CXW6" s="149"/>
      <c r="CXX6" s="149"/>
      <c r="CXY6" s="149"/>
      <c r="CXZ6" s="149"/>
      <c r="CYA6" s="149"/>
      <c r="CYB6" s="149"/>
      <c r="CYC6" s="149"/>
      <c r="CYD6" s="149"/>
      <c r="CYE6" s="149"/>
      <c r="CYF6" s="149"/>
      <c r="CYG6" s="149"/>
      <c r="CYH6" s="149"/>
      <c r="CYI6" s="149"/>
      <c r="CYJ6" s="149"/>
      <c r="CYK6" s="149"/>
      <c r="CYL6" s="149"/>
      <c r="CYM6" s="149"/>
      <c r="CYN6" s="149"/>
      <c r="CYO6" s="149"/>
      <c r="CYP6" s="149"/>
      <c r="CYQ6" s="149"/>
      <c r="CYR6" s="149"/>
      <c r="CYS6" s="149"/>
      <c r="CYT6" s="149"/>
      <c r="CYU6" s="149"/>
      <c r="CYV6" s="149"/>
      <c r="CYW6" s="149"/>
      <c r="CYX6" s="149"/>
      <c r="CYY6" s="149"/>
      <c r="CYZ6" s="149"/>
      <c r="CZA6" s="149"/>
      <c r="CZB6" s="149"/>
      <c r="CZC6" s="149"/>
      <c r="CZD6" s="149"/>
      <c r="CZE6" s="149"/>
      <c r="CZF6" s="149"/>
      <c r="CZG6" s="149"/>
      <c r="CZH6" s="149"/>
      <c r="CZI6" s="149"/>
      <c r="CZJ6" s="149"/>
      <c r="CZK6" s="149"/>
      <c r="CZL6" s="149"/>
      <c r="CZM6" s="149"/>
      <c r="CZN6" s="149"/>
      <c r="CZO6" s="149"/>
      <c r="CZP6" s="149"/>
      <c r="CZQ6" s="149"/>
      <c r="CZR6" s="149"/>
      <c r="CZS6" s="149"/>
      <c r="CZT6" s="149"/>
      <c r="CZU6" s="149"/>
      <c r="CZV6" s="149"/>
      <c r="CZW6" s="149"/>
      <c r="CZX6" s="149"/>
      <c r="CZY6" s="149"/>
      <c r="CZZ6" s="149"/>
      <c r="DAA6" s="149"/>
      <c r="DAB6" s="149"/>
      <c r="DAC6" s="149"/>
      <c r="DAD6" s="149"/>
      <c r="DAE6" s="149"/>
      <c r="DAF6" s="149"/>
      <c r="DAG6" s="149"/>
      <c r="DAH6" s="149"/>
      <c r="DAI6" s="149"/>
      <c r="DAJ6" s="149"/>
      <c r="DAK6" s="149"/>
      <c r="DAL6" s="149"/>
      <c r="DAM6" s="149"/>
      <c r="DAN6" s="149"/>
      <c r="DAO6" s="149"/>
      <c r="DAP6" s="149"/>
      <c r="DAQ6" s="149"/>
      <c r="DAR6" s="149"/>
      <c r="DAS6" s="149"/>
      <c r="DAT6" s="149"/>
      <c r="DAU6" s="149"/>
      <c r="DAV6" s="149"/>
      <c r="DAW6" s="149"/>
      <c r="DAX6" s="149"/>
      <c r="DAY6" s="149"/>
      <c r="DAZ6" s="149"/>
      <c r="DBA6" s="149"/>
      <c r="DBB6" s="149"/>
      <c r="DBC6" s="149"/>
      <c r="DBD6" s="149"/>
      <c r="DBE6" s="149"/>
      <c r="DBF6" s="149"/>
      <c r="DBG6" s="149"/>
      <c r="DBH6" s="149"/>
      <c r="DBI6" s="149"/>
      <c r="DBJ6" s="149"/>
      <c r="DBK6" s="149"/>
      <c r="DBL6" s="149"/>
      <c r="DBM6" s="149"/>
      <c r="DBN6" s="149"/>
      <c r="DBO6" s="149"/>
      <c r="DBP6" s="149"/>
      <c r="DBQ6" s="149"/>
      <c r="DBR6" s="149"/>
      <c r="DBS6" s="149"/>
      <c r="DBT6" s="149"/>
      <c r="DBU6" s="149"/>
      <c r="DBV6" s="149"/>
      <c r="DBW6" s="149"/>
      <c r="DBX6" s="149"/>
      <c r="DBY6" s="149"/>
      <c r="DBZ6" s="149"/>
      <c r="DCA6" s="149"/>
      <c r="DCB6" s="149"/>
      <c r="DCC6" s="149"/>
      <c r="DCD6" s="149"/>
      <c r="DCE6" s="149"/>
      <c r="DCF6" s="149"/>
      <c r="DCG6" s="149"/>
      <c r="DCH6" s="149"/>
      <c r="DCI6" s="149"/>
      <c r="DCJ6" s="149"/>
      <c r="DCK6" s="149"/>
      <c r="DCL6" s="149"/>
      <c r="DCM6" s="149"/>
      <c r="DCN6" s="149"/>
      <c r="DCO6" s="149"/>
      <c r="DCP6" s="149"/>
      <c r="DCQ6" s="149"/>
      <c r="DCR6" s="149"/>
      <c r="DCS6" s="149"/>
      <c r="DCT6" s="149"/>
      <c r="DCU6" s="149"/>
      <c r="DCV6" s="149"/>
      <c r="DCW6" s="149"/>
      <c r="DCX6" s="149"/>
      <c r="DCY6" s="149"/>
      <c r="DCZ6" s="149"/>
      <c r="DDA6" s="149"/>
      <c r="DDB6" s="149"/>
      <c r="DDC6" s="149"/>
      <c r="DDD6" s="149"/>
      <c r="DDE6" s="149"/>
      <c r="DDF6" s="149"/>
      <c r="DDG6" s="149"/>
      <c r="DDH6" s="149"/>
      <c r="DDI6" s="149"/>
      <c r="DDJ6" s="149"/>
      <c r="DDK6" s="149"/>
      <c r="DDL6" s="149"/>
      <c r="DDM6" s="149"/>
      <c r="DDN6" s="149"/>
      <c r="DDO6" s="149"/>
      <c r="DDP6" s="149"/>
      <c r="DDQ6" s="149"/>
      <c r="DDR6" s="149"/>
      <c r="DDS6" s="149"/>
      <c r="DDT6" s="149"/>
      <c r="DDU6" s="149"/>
      <c r="DDV6" s="149"/>
      <c r="DDW6" s="149"/>
      <c r="DDX6" s="149"/>
      <c r="DDY6" s="149"/>
      <c r="DDZ6" s="149"/>
      <c r="DEA6" s="149"/>
      <c r="DEB6" s="149"/>
      <c r="DEC6" s="149"/>
      <c r="DED6" s="149"/>
      <c r="DEE6" s="149"/>
      <c r="DEF6" s="149"/>
      <c r="DEG6" s="149"/>
      <c r="DEH6" s="149"/>
      <c r="DEI6" s="149"/>
      <c r="DEJ6" s="149"/>
      <c r="DEK6" s="149"/>
      <c r="DEL6" s="149"/>
      <c r="DEM6" s="149"/>
      <c r="DEN6" s="149"/>
      <c r="DEO6" s="149"/>
      <c r="DEP6" s="149"/>
      <c r="DEQ6" s="149"/>
      <c r="DER6" s="149"/>
      <c r="DES6" s="149"/>
      <c r="DET6" s="149"/>
      <c r="DEU6" s="149"/>
      <c r="DEV6" s="149"/>
      <c r="DEW6" s="149"/>
      <c r="DEX6" s="149"/>
      <c r="DEY6" s="149"/>
      <c r="DEZ6" s="149"/>
      <c r="DFA6" s="149"/>
      <c r="DFB6" s="149"/>
      <c r="DFC6" s="149"/>
      <c r="DFD6" s="149"/>
      <c r="DFE6" s="149"/>
      <c r="DFF6" s="149"/>
      <c r="DFG6" s="149"/>
      <c r="DFH6" s="149"/>
      <c r="DFI6" s="149"/>
      <c r="DFJ6" s="149"/>
      <c r="DFK6" s="149"/>
      <c r="DFL6" s="149"/>
      <c r="DFM6" s="149"/>
      <c r="DFN6" s="149"/>
      <c r="DFO6" s="149"/>
      <c r="DFP6" s="149"/>
      <c r="DFQ6" s="149"/>
      <c r="DFR6" s="149"/>
      <c r="DFS6" s="149"/>
      <c r="DFT6" s="149"/>
      <c r="DFU6" s="149"/>
      <c r="DFV6" s="149"/>
      <c r="DFW6" s="149"/>
      <c r="DFX6" s="149"/>
      <c r="DFY6" s="149"/>
      <c r="DFZ6" s="149"/>
      <c r="DGA6" s="149"/>
      <c r="DGB6" s="149"/>
      <c r="DGC6" s="149"/>
      <c r="DGD6" s="149"/>
      <c r="DGE6" s="149"/>
      <c r="DGF6" s="149"/>
      <c r="DGG6" s="149"/>
      <c r="DGH6" s="149"/>
      <c r="DGI6" s="149"/>
      <c r="DGJ6" s="149"/>
      <c r="DGK6" s="149"/>
      <c r="DGL6" s="149"/>
      <c r="DGM6" s="149"/>
      <c r="DGN6" s="149"/>
      <c r="DGO6" s="149"/>
      <c r="DGP6" s="149"/>
      <c r="DGQ6" s="149"/>
      <c r="DGR6" s="149"/>
      <c r="DGS6" s="149"/>
      <c r="DGT6" s="149"/>
      <c r="DGU6" s="149"/>
      <c r="DGV6" s="149"/>
      <c r="DGW6" s="149"/>
      <c r="DGX6" s="149"/>
      <c r="DGY6" s="149"/>
      <c r="DGZ6" s="149"/>
      <c r="DHA6" s="149"/>
      <c r="DHB6" s="149"/>
      <c r="DHC6" s="149"/>
      <c r="DHD6" s="149"/>
      <c r="DHE6" s="149"/>
      <c r="DHF6" s="149"/>
      <c r="DHG6" s="149"/>
      <c r="DHH6" s="149"/>
      <c r="DHI6" s="149"/>
      <c r="DHJ6" s="149"/>
      <c r="DHK6" s="149"/>
      <c r="DHL6" s="149"/>
      <c r="DHM6" s="149"/>
      <c r="DHN6" s="149"/>
      <c r="DHO6" s="149"/>
      <c r="DHP6" s="149"/>
      <c r="DHQ6" s="149"/>
      <c r="DHR6" s="149"/>
      <c r="DHS6" s="149"/>
      <c r="DHT6" s="149"/>
      <c r="DHU6" s="149"/>
      <c r="DHV6" s="149"/>
      <c r="DHW6" s="149"/>
      <c r="DHX6" s="149"/>
      <c r="DHY6" s="149"/>
      <c r="DHZ6" s="149"/>
      <c r="DIA6" s="149"/>
      <c r="DIB6" s="149"/>
      <c r="DIC6" s="149"/>
      <c r="DID6" s="149"/>
      <c r="DIE6" s="149"/>
      <c r="DIF6" s="149"/>
      <c r="DIG6" s="149"/>
      <c r="DIH6" s="149"/>
      <c r="DII6" s="149"/>
      <c r="DIJ6" s="149"/>
      <c r="DIK6" s="149"/>
      <c r="DIL6" s="149"/>
      <c r="DIM6" s="149"/>
      <c r="DIN6" s="149"/>
      <c r="DIO6" s="149"/>
      <c r="DIP6" s="149"/>
      <c r="DIQ6" s="149"/>
      <c r="DIR6" s="149"/>
      <c r="DIS6" s="149"/>
      <c r="DIT6" s="149"/>
      <c r="DIU6" s="149"/>
      <c r="DIV6" s="149"/>
      <c r="DIW6" s="149"/>
      <c r="DIX6" s="149"/>
      <c r="DIY6" s="149"/>
      <c r="DIZ6" s="149"/>
      <c r="DJA6" s="149"/>
      <c r="DJB6" s="149"/>
      <c r="DJC6" s="149"/>
      <c r="DJD6" s="149"/>
      <c r="DJE6" s="149"/>
      <c r="DJF6" s="149"/>
      <c r="DJG6" s="149"/>
      <c r="DJH6" s="149"/>
      <c r="DJI6" s="149"/>
      <c r="DJJ6" s="149"/>
      <c r="DJK6" s="149"/>
      <c r="DJL6" s="149"/>
      <c r="DJM6" s="149"/>
      <c r="DJN6" s="149"/>
      <c r="DJO6" s="149"/>
      <c r="DJP6" s="149"/>
      <c r="DJQ6" s="149"/>
      <c r="DJR6" s="149"/>
      <c r="DJS6" s="149"/>
      <c r="DJT6" s="149"/>
      <c r="DJU6" s="149"/>
      <c r="DJV6" s="149"/>
      <c r="DJW6" s="149"/>
      <c r="DJX6" s="149"/>
      <c r="DJY6" s="149"/>
      <c r="DJZ6" s="149"/>
      <c r="DKA6" s="149"/>
      <c r="DKB6" s="149"/>
      <c r="DKC6" s="149"/>
      <c r="DKD6" s="149"/>
      <c r="DKE6" s="149"/>
      <c r="DKF6" s="149"/>
      <c r="DKG6" s="149"/>
      <c r="DKH6" s="149"/>
      <c r="DKI6" s="149"/>
      <c r="DKJ6" s="149"/>
      <c r="DKK6" s="149"/>
      <c r="DKL6" s="149"/>
      <c r="DKM6" s="149"/>
      <c r="DKN6" s="149"/>
      <c r="DKO6" s="149"/>
      <c r="DKP6" s="149"/>
      <c r="DKQ6" s="149"/>
      <c r="DKR6" s="149"/>
      <c r="DKS6" s="149"/>
      <c r="DKT6" s="149"/>
      <c r="DKU6" s="149"/>
      <c r="DKV6" s="149"/>
      <c r="DKW6" s="149"/>
      <c r="DKX6" s="149"/>
      <c r="DKY6" s="149"/>
      <c r="DKZ6" s="149"/>
      <c r="DLA6" s="149"/>
      <c r="DLB6" s="149"/>
      <c r="DLC6" s="149"/>
      <c r="DLD6" s="149"/>
      <c r="DLE6" s="149"/>
      <c r="DLF6" s="149"/>
      <c r="DLG6" s="149"/>
      <c r="DLH6" s="149"/>
      <c r="DLI6" s="149"/>
      <c r="DLJ6" s="149"/>
      <c r="DLK6" s="149"/>
      <c r="DLL6" s="149"/>
      <c r="DLM6" s="149"/>
      <c r="DLN6" s="149"/>
      <c r="DLO6" s="149"/>
      <c r="DLP6" s="149"/>
      <c r="DLQ6" s="149"/>
      <c r="DLR6" s="149"/>
      <c r="DLS6" s="149"/>
      <c r="DLT6" s="149"/>
      <c r="DLU6" s="149"/>
      <c r="DLV6" s="149"/>
      <c r="DLW6" s="149"/>
      <c r="DLX6" s="149"/>
      <c r="DLY6" s="149"/>
      <c r="DLZ6" s="149"/>
      <c r="DMA6" s="149"/>
      <c r="DMB6" s="149"/>
      <c r="DMC6" s="149"/>
      <c r="DMD6" s="149"/>
      <c r="DME6" s="149"/>
      <c r="DMF6" s="149"/>
      <c r="DMG6" s="149"/>
      <c r="DMH6" s="149"/>
      <c r="DMI6" s="149"/>
      <c r="DMJ6" s="149"/>
      <c r="DMK6" s="149"/>
      <c r="DML6" s="149"/>
      <c r="DMM6" s="149"/>
      <c r="DMN6" s="149"/>
      <c r="DMO6" s="149"/>
      <c r="DMP6" s="149"/>
      <c r="DMQ6" s="149"/>
      <c r="DMR6" s="149"/>
      <c r="DMS6" s="149"/>
      <c r="DMT6" s="149"/>
      <c r="DMU6" s="149"/>
      <c r="DMV6" s="149"/>
      <c r="DMW6" s="149"/>
      <c r="DMX6" s="149"/>
      <c r="DMY6" s="149"/>
      <c r="DMZ6" s="149"/>
      <c r="DNA6" s="149"/>
      <c r="DNB6" s="149"/>
      <c r="DNC6" s="149"/>
      <c r="DND6" s="149"/>
      <c r="DNE6" s="149"/>
      <c r="DNF6" s="149"/>
      <c r="DNG6" s="149"/>
      <c r="DNH6" s="149"/>
      <c r="DNI6" s="149"/>
      <c r="DNJ6" s="149"/>
      <c r="DNK6" s="149"/>
      <c r="DNL6" s="149"/>
      <c r="DNM6" s="149"/>
      <c r="DNN6" s="149"/>
      <c r="DNO6" s="149"/>
      <c r="DNP6" s="149"/>
      <c r="DNQ6" s="149"/>
      <c r="DNR6" s="149"/>
      <c r="DNS6" s="149"/>
      <c r="DNT6" s="149"/>
      <c r="DNU6" s="149"/>
      <c r="DNV6" s="149"/>
      <c r="DNW6" s="149"/>
      <c r="DNX6" s="149"/>
      <c r="DNY6" s="149"/>
      <c r="DNZ6" s="149"/>
      <c r="DOA6" s="149"/>
      <c r="DOB6" s="149"/>
      <c r="DOC6" s="149"/>
      <c r="DOD6" s="149"/>
      <c r="DOE6" s="149"/>
      <c r="DOF6" s="149"/>
      <c r="DOG6" s="149"/>
      <c r="DOH6" s="149"/>
      <c r="DOI6" s="149"/>
      <c r="DOJ6" s="149"/>
      <c r="DOK6" s="149"/>
      <c r="DOL6" s="149"/>
      <c r="DOM6" s="149"/>
      <c r="DON6" s="149"/>
      <c r="DOO6" s="149"/>
      <c r="DOP6" s="149"/>
      <c r="DOQ6" s="149"/>
      <c r="DOR6" s="149"/>
      <c r="DOS6" s="149"/>
      <c r="DOT6" s="149"/>
      <c r="DOU6" s="149"/>
      <c r="DOV6" s="149"/>
      <c r="DOW6" s="149"/>
      <c r="DOX6" s="149"/>
      <c r="DOY6" s="149"/>
      <c r="DOZ6" s="149"/>
      <c r="DPA6" s="149"/>
      <c r="DPB6" s="149"/>
      <c r="DPC6" s="149"/>
      <c r="DPD6" s="149"/>
      <c r="DPE6" s="149"/>
      <c r="DPF6" s="149"/>
      <c r="DPG6" s="149"/>
      <c r="DPH6" s="149"/>
      <c r="DPI6" s="149"/>
      <c r="DPJ6" s="149"/>
      <c r="DPK6" s="149"/>
      <c r="DPL6" s="149"/>
      <c r="DPM6" s="149"/>
      <c r="DPN6" s="149"/>
      <c r="DPO6" s="149"/>
      <c r="DPP6" s="149"/>
      <c r="DPQ6" s="149"/>
      <c r="DPR6" s="149"/>
      <c r="DPS6" s="149"/>
      <c r="DPT6" s="149"/>
      <c r="DPU6" s="149"/>
      <c r="DPV6" s="149"/>
      <c r="DPW6" s="149"/>
      <c r="DPX6" s="149"/>
      <c r="DPY6" s="149"/>
      <c r="DPZ6" s="149"/>
      <c r="DQA6" s="149"/>
      <c r="DQB6" s="149"/>
      <c r="DQC6" s="149"/>
      <c r="DQD6" s="149"/>
      <c r="DQE6" s="149"/>
      <c r="DQF6" s="149"/>
      <c r="DQG6" s="149"/>
      <c r="DQH6" s="149"/>
      <c r="DQI6" s="149"/>
      <c r="DQJ6" s="149"/>
      <c r="DQK6" s="149"/>
      <c r="DQL6" s="149"/>
      <c r="DQM6" s="149"/>
      <c r="DQN6" s="149"/>
      <c r="DQO6" s="149"/>
      <c r="DQP6" s="149"/>
      <c r="DQQ6" s="149"/>
      <c r="DQR6" s="149"/>
      <c r="DQS6" s="149"/>
      <c r="DQT6" s="149"/>
      <c r="DQU6" s="149"/>
      <c r="DQV6" s="149"/>
      <c r="DQW6" s="149"/>
      <c r="DQX6" s="149"/>
      <c r="DQY6" s="149"/>
      <c r="DQZ6" s="149"/>
      <c r="DRA6" s="149"/>
      <c r="DRB6" s="149"/>
      <c r="DRC6" s="149"/>
      <c r="DRD6" s="149"/>
      <c r="DRE6" s="149"/>
      <c r="DRF6" s="149"/>
      <c r="DRG6" s="149"/>
      <c r="DRH6" s="149"/>
      <c r="DRI6" s="149"/>
      <c r="DRJ6" s="149"/>
      <c r="DRK6" s="149"/>
      <c r="DRL6" s="149"/>
      <c r="DRM6" s="149"/>
      <c r="DRN6" s="149"/>
      <c r="DRO6" s="149"/>
      <c r="DRP6" s="149"/>
      <c r="DRQ6" s="149"/>
      <c r="DRR6" s="149"/>
      <c r="DRS6" s="149"/>
      <c r="DRT6" s="149"/>
      <c r="DRU6" s="149"/>
      <c r="DRV6" s="149"/>
      <c r="DRW6" s="149"/>
      <c r="DRX6" s="149"/>
      <c r="DRY6" s="149"/>
      <c r="DRZ6" s="149"/>
      <c r="DSA6" s="149"/>
      <c r="DSB6" s="149"/>
      <c r="DSC6" s="149"/>
      <c r="DSD6" s="149"/>
      <c r="DSE6" s="149"/>
      <c r="DSF6" s="149"/>
      <c r="DSG6" s="149"/>
      <c r="DSH6" s="149"/>
      <c r="DSI6" s="149"/>
      <c r="DSJ6" s="149"/>
      <c r="DSK6" s="149"/>
      <c r="DSL6" s="149"/>
      <c r="DSM6" s="149"/>
      <c r="DSN6" s="149"/>
      <c r="DSO6" s="149"/>
      <c r="DSP6" s="149"/>
      <c r="DSQ6" s="149"/>
      <c r="DSR6" s="149"/>
      <c r="DSS6" s="149"/>
      <c r="DST6" s="149"/>
      <c r="DSU6" s="149"/>
      <c r="DSV6" s="149"/>
      <c r="DSW6" s="149"/>
      <c r="DSX6" s="149"/>
      <c r="DSY6" s="149"/>
      <c r="DSZ6" s="149"/>
      <c r="DTA6" s="149"/>
      <c r="DTB6" s="149"/>
      <c r="DTC6" s="149"/>
      <c r="DTD6" s="149"/>
      <c r="DTE6" s="149"/>
      <c r="DTF6" s="149"/>
      <c r="DTG6" s="149"/>
      <c r="DTH6" s="149"/>
      <c r="DTI6" s="149"/>
      <c r="DTJ6" s="149"/>
      <c r="DTK6" s="149"/>
      <c r="DTL6" s="149"/>
      <c r="DTM6" s="149"/>
      <c r="DTN6" s="149"/>
      <c r="DTO6" s="149"/>
      <c r="DTP6" s="149"/>
      <c r="DTQ6" s="149"/>
      <c r="DTR6" s="149"/>
      <c r="DTS6" s="149"/>
      <c r="DTT6" s="149"/>
      <c r="DTU6" s="149"/>
      <c r="DTV6" s="149"/>
      <c r="DTW6" s="149"/>
      <c r="DTX6" s="149"/>
      <c r="DTY6" s="149"/>
      <c r="DTZ6" s="149"/>
      <c r="DUA6" s="149"/>
      <c r="DUB6" s="149"/>
      <c r="DUC6" s="149"/>
      <c r="DUD6" s="149"/>
      <c r="DUE6" s="149"/>
      <c r="DUF6" s="149"/>
      <c r="DUG6" s="149"/>
      <c r="DUH6" s="149"/>
      <c r="DUI6" s="149"/>
      <c r="DUJ6" s="149"/>
      <c r="DUK6" s="149"/>
      <c r="DUL6" s="149"/>
      <c r="DUM6" s="149"/>
      <c r="DUN6" s="149"/>
      <c r="DUO6" s="149"/>
      <c r="DUP6" s="149"/>
      <c r="DUQ6" s="149"/>
      <c r="DUR6" s="149"/>
      <c r="DUS6" s="149"/>
      <c r="DUT6" s="149"/>
      <c r="DUU6" s="149"/>
      <c r="DUV6" s="149"/>
      <c r="DUW6" s="149"/>
      <c r="DUX6" s="149"/>
      <c r="DUY6" s="149"/>
      <c r="DUZ6" s="149"/>
      <c r="DVA6" s="149"/>
      <c r="DVB6" s="149"/>
      <c r="DVC6" s="149"/>
      <c r="DVD6" s="149"/>
      <c r="DVE6" s="149"/>
      <c r="DVF6" s="149"/>
      <c r="DVG6" s="149"/>
      <c r="DVH6" s="149"/>
      <c r="DVI6" s="149"/>
      <c r="DVJ6" s="149"/>
      <c r="DVK6" s="149"/>
      <c r="DVL6" s="149"/>
      <c r="DVM6" s="149"/>
      <c r="DVN6" s="149"/>
      <c r="DVO6" s="149"/>
      <c r="DVP6" s="149"/>
      <c r="DVQ6" s="149"/>
      <c r="DVR6" s="149"/>
      <c r="DVS6" s="149"/>
      <c r="DVT6" s="149"/>
      <c r="DVU6" s="149"/>
      <c r="DVV6" s="149"/>
      <c r="DVW6" s="149"/>
      <c r="DVX6" s="149"/>
      <c r="DVY6" s="149"/>
      <c r="DVZ6" s="149"/>
      <c r="DWA6" s="149"/>
      <c r="DWB6" s="149"/>
      <c r="DWC6" s="149"/>
      <c r="DWD6" s="149"/>
      <c r="DWE6" s="149"/>
      <c r="DWF6" s="149"/>
      <c r="DWG6" s="149"/>
      <c r="DWH6" s="149"/>
      <c r="DWI6" s="149"/>
      <c r="DWJ6" s="149"/>
      <c r="DWK6" s="149"/>
      <c r="DWL6" s="149"/>
      <c r="DWM6" s="149"/>
      <c r="DWN6" s="149"/>
      <c r="DWO6" s="149"/>
      <c r="DWP6" s="149"/>
      <c r="DWQ6" s="149"/>
      <c r="DWR6" s="149"/>
      <c r="DWS6" s="149"/>
      <c r="DWT6" s="149"/>
      <c r="DWU6" s="149"/>
      <c r="DWV6" s="149"/>
      <c r="DWW6" s="149"/>
      <c r="DWX6" s="149"/>
      <c r="DWY6" s="149"/>
      <c r="DWZ6" s="149"/>
      <c r="DXA6" s="149"/>
      <c r="DXB6" s="149"/>
      <c r="DXC6" s="149"/>
      <c r="DXD6" s="149"/>
      <c r="DXE6" s="149"/>
      <c r="DXF6" s="149"/>
      <c r="DXG6" s="149"/>
      <c r="DXH6" s="149"/>
      <c r="DXI6" s="149"/>
      <c r="DXJ6" s="149"/>
      <c r="DXK6" s="149"/>
      <c r="DXL6" s="149"/>
      <c r="DXM6" s="149"/>
      <c r="DXN6" s="149"/>
      <c r="DXO6" s="149"/>
      <c r="DXP6" s="149"/>
      <c r="DXQ6" s="149"/>
      <c r="DXR6" s="149"/>
      <c r="DXS6" s="149"/>
      <c r="DXT6" s="149"/>
      <c r="DXU6" s="149"/>
      <c r="DXV6" s="149"/>
      <c r="DXW6" s="149"/>
      <c r="DXX6" s="149"/>
      <c r="DXY6" s="149"/>
      <c r="DXZ6" s="149"/>
      <c r="DYA6" s="149"/>
      <c r="DYB6" s="149"/>
      <c r="DYC6" s="149"/>
      <c r="DYD6" s="149"/>
      <c r="DYE6" s="149"/>
      <c r="DYF6" s="149"/>
      <c r="DYG6" s="149"/>
      <c r="DYH6" s="149"/>
      <c r="DYI6" s="149"/>
      <c r="DYJ6" s="149"/>
      <c r="DYK6" s="149"/>
      <c r="DYL6" s="149"/>
      <c r="DYM6" s="149"/>
      <c r="DYN6" s="149"/>
      <c r="DYO6" s="149"/>
      <c r="DYP6" s="149"/>
      <c r="DYQ6" s="149"/>
      <c r="DYR6" s="149"/>
      <c r="DYS6" s="149"/>
      <c r="DYT6" s="149"/>
      <c r="DYU6" s="149"/>
      <c r="DYV6" s="149"/>
      <c r="DYW6" s="149"/>
      <c r="DYX6" s="149"/>
      <c r="DYY6" s="149"/>
      <c r="DYZ6" s="149"/>
      <c r="DZA6" s="149"/>
      <c r="DZB6" s="149"/>
      <c r="DZC6" s="149"/>
      <c r="DZD6" s="149"/>
      <c r="DZE6" s="149"/>
      <c r="DZF6" s="149"/>
      <c r="DZG6" s="149"/>
      <c r="DZH6" s="149"/>
      <c r="DZI6" s="149"/>
      <c r="DZJ6" s="149"/>
      <c r="DZK6" s="149"/>
      <c r="DZL6" s="149"/>
      <c r="DZM6" s="149"/>
      <c r="DZN6" s="149"/>
      <c r="DZO6" s="149"/>
      <c r="DZP6" s="149"/>
      <c r="DZQ6" s="149"/>
      <c r="DZR6" s="149"/>
      <c r="DZS6" s="149"/>
      <c r="DZT6" s="149"/>
      <c r="DZU6" s="149"/>
      <c r="DZV6" s="149"/>
      <c r="DZW6" s="149"/>
      <c r="DZX6" s="149"/>
      <c r="DZY6" s="149"/>
      <c r="DZZ6" s="149"/>
      <c r="EAA6" s="149"/>
      <c r="EAB6" s="149"/>
      <c r="EAC6" s="149"/>
      <c r="EAD6" s="149"/>
      <c r="EAE6" s="149"/>
      <c r="EAF6" s="149"/>
      <c r="EAG6" s="149"/>
      <c r="EAH6" s="149"/>
      <c r="EAI6" s="149"/>
      <c r="EAJ6" s="149"/>
      <c r="EAK6" s="149"/>
      <c r="EAL6" s="149"/>
      <c r="EAM6" s="149"/>
      <c r="EAN6" s="149"/>
      <c r="EAO6" s="149"/>
      <c r="EAP6" s="149"/>
      <c r="EAQ6" s="149"/>
      <c r="EAR6" s="149"/>
      <c r="EAS6" s="149"/>
      <c r="EAT6" s="149"/>
      <c r="EAU6" s="149"/>
      <c r="EAV6" s="149"/>
      <c r="EAW6" s="149"/>
      <c r="EAX6" s="149"/>
      <c r="EAY6" s="149"/>
      <c r="EAZ6" s="149"/>
      <c r="EBA6" s="149"/>
      <c r="EBB6" s="149"/>
      <c r="EBC6" s="149"/>
      <c r="EBD6" s="149"/>
      <c r="EBE6" s="149"/>
      <c r="EBF6" s="149"/>
      <c r="EBG6" s="149"/>
      <c r="EBH6" s="149"/>
      <c r="EBI6" s="149"/>
      <c r="EBJ6" s="149"/>
      <c r="EBK6" s="149"/>
      <c r="EBL6" s="149"/>
      <c r="EBM6" s="149"/>
      <c r="EBN6" s="149"/>
      <c r="EBO6" s="149"/>
      <c r="EBP6" s="149"/>
      <c r="EBQ6" s="149"/>
      <c r="EBR6" s="149"/>
      <c r="EBS6" s="149"/>
      <c r="EBT6" s="149"/>
      <c r="EBU6" s="149"/>
      <c r="EBV6" s="149"/>
      <c r="EBW6" s="149"/>
      <c r="EBX6" s="149"/>
      <c r="EBY6" s="149"/>
      <c r="EBZ6" s="149"/>
      <c r="ECA6" s="149"/>
      <c r="ECB6" s="149"/>
      <c r="ECC6" s="149"/>
      <c r="ECD6" s="149"/>
      <c r="ECE6" s="149"/>
      <c r="ECF6" s="149"/>
      <c r="ECG6" s="149"/>
      <c r="ECH6" s="149"/>
      <c r="ECI6" s="149"/>
      <c r="ECJ6" s="149"/>
      <c r="ECK6" s="149"/>
      <c r="ECL6" s="149"/>
      <c r="ECM6" s="149"/>
      <c r="ECN6" s="149"/>
      <c r="ECO6" s="149"/>
      <c r="ECP6" s="149"/>
      <c r="ECQ6" s="149"/>
      <c r="ECR6" s="149"/>
      <c r="ECS6" s="149"/>
      <c r="ECT6" s="149"/>
      <c r="ECU6" s="149"/>
      <c r="ECV6" s="149"/>
      <c r="ECW6" s="149"/>
      <c r="ECX6" s="149"/>
      <c r="ECY6" s="149"/>
      <c r="ECZ6" s="149"/>
      <c r="EDA6" s="149"/>
      <c r="EDB6" s="149"/>
      <c r="EDC6" s="149"/>
      <c r="EDD6" s="149"/>
      <c r="EDE6" s="149"/>
      <c r="EDF6" s="149"/>
      <c r="EDG6" s="149"/>
      <c r="EDH6" s="149"/>
      <c r="EDI6" s="149"/>
      <c r="EDJ6" s="149"/>
      <c r="EDK6" s="149"/>
      <c r="EDL6" s="149"/>
      <c r="EDM6" s="149"/>
      <c r="EDN6" s="149"/>
      <c r="EDO6" s="149"/>
      <c r="EDP6" s="149"/>
      <c r="EDQ6" s="149"/>
      <c r="EDR6" s="149"/>
      <c r="EDS6" s="149"/>
      <c r="EDT6" s="149"/>
      <c r="EDU6" s="149"/>
      <c r="EDV6" s="149"/>
      <c r="EDW6" s="149"/>
      <c r="EDX6" s="149"/>
      <c r="EDY6" s="149"/>
      <c r="EDZ6" s="149"/>
      <c r="EEA6" s="149"/>
      <c r="EEB6" s="149"/>
      <c r="EEC6" s="149"/>
      <c r="EED6" s="149"/>
      <c r="EEE6" s="149"/>
      <c r="EEF6" s="149"/>
      <c r="EEG6" s="149"/>
      <c r="EEH6" s="149"/>
      <c r="EEI6" s="149"/>
      <c r="EEJ6" s="149"/>
      <c r="EEK6" s="149"/>
      <c r="EEL6" s="149"/>
      <c r="EEM6" s="149"/>
      <c r="EEN6" s="149"/>
      <c r="EEO6" s="149"/>
      <c r="EEP6" s="149"/>
      <c r="EEQ6" s="149"/>
      <c r="EER6" s="149"/>
      <c r="EES6" s="149"/>
      <c r="EET6" s="149"/>
      <c r="EEU6" s="149"/>
      <c r="EEV6" s="149"/>
      <c r="EEW6" s="149"/>
      <c r="EEX6" s="149"/>
      <c r="EEY6" s="149"/>
      <c r="EEZ6" s="149"/>
      <c r="EFA6" s="149"/>
      <c r="EFB6" s="149"/>
      <c r="EFC6" s="149"/>
      <c r="EFD6" s="149"/>
      <c r="EFE6" s="149"/>
      <c r="EFF6" s="149"/>
      <c r="EFG6" s="149"/>
      <c r="EFH6" s="149"/>
      <c r="EFI6" s="149"/>
      <c r="EFJ6" s="149"/>
      <c r="EFK6" s="149"/>
      <c r="EFL6" s="149"/>
      <c r="EFM6" s="149"/>
      <c r="EFN6" s="149"/>
      <c r="EFO6" s="149"/>
      <c r="EFP6" s="149"/>
      <c r="EFQ6" s="149"/>
      <c r="EFR6" s="149"/>
      <c r="EFS6" s="149"/>
      <c r="EFT6" s="149"/>
      <c r="EFU6" s="149"/>
      <c r="EFV6" s="149"/>
      <c r="EFW6" s="149"/>
      <c r="EFX6" s="149"/>
      <c r="EFY6" s="149"/>
      <c r="EFZ6" s="149"/>
      <c r="EGA6" s="149"/>
      <c r="EGB6" s="149"/>
      <c r="EGC6" s="149"/>
      <c r="EGD6" s="149"/>
      <c r="EGE6" s="149"/>
      <c r="EGF6" s="149"/>
      <c r="EGG6" s="149"/>
      <c r="EGH6" s="149"/>
      <c r="EGI6" s="149"/>
      <c r="EGJ6" s="149"/>
      <c r="EGK6" s="149"/>
      <c r="EGL6" s="149"/>
      <c r="EGM6" s="149"/>
      <c r="EGN6" s="149"/>
      <c r="EGO6" s="149"/>
      <c r="EGP6" s="149"/>
      <c r="EGQ6" s="149"/>
      <c r="EGR6" s="149"/>
      <c r="EGS6" s="149"/>
      <c r="EGT6" s="149"/>
      <c r="EGU6" s="149"/>
      <c r="EGV6" s="149"/>
      <c r="EGW6" s="149"/>
      <c r="EGX6" s="149"/>
      <c r="EGY6" s="149"/>
      <c r="EGZ6" s="149"/>
      <c r="EHA6" s="149"/>
      <c r="EHB6" s="149"/>
      <c r="EHC6" s="149"/>
      <c r="EHD6" s="149"/>
      <c r="EHE6" s="149"/>
      <c r="EHF6" s="149"/>
      <c r="EHG6" s="149"/>
      <c r="EHH6" s="149"/>
      <c r="EHI6" s="149"/>
      <c r="EHJ6" s="149"/>
      <c r="EHK6" s="149"/>
      <c r="EHL6" s="149"/>
      <c r="EHM6" s="149"/>
      <c r="EHN6" s="149"/>
      <c r="EHO6" s="149"/>
      <c r="EHP6" s="149"/>
      <c r="EHQ6" s="149"/>
      <c r="EHR6" s="149"/>
      <c r="EHS6" s="149"/>
      <c r="EHT6" s="149"/>
      <c r="EHU6" s="149"/>
      <c r="EHV6" s="149"/>
      <c r="EHW6" s="149"/>
      <c r="EHX6" s="149"/>
      <c r="EHY6" s="149"/>
      <c r="EHZ6" s="149"/>
      <c r="EIA6" s="149"/>
      <c r="EIB6" s="149"/>
      <c r="EIC6" s="149"/>
      <c r="EID6" s="149"/>
      <c r="EIE6" s="149"/>
      <c r="EIF6" s="149"/>
      <c r="EIG6" s="149"/>
      <c r="EIH6" s="149"/>
      <c r="EII6" s="149"/>
      <c r="EIJ6" s="149"/>
      <c r="EIK6" s="149"/>
      <c r="EIL6" s="149"/>
      <c r="EIM6" s="149"/>
      <c r="EIN6" s="149"/>
      <c r="EIO6" s="149"/>
      <c r="EIP6" s="149"/>
      <c r="EIQ6" s="149"/>
      <c r="EIR6" s="149"/>
      <c r="EIS6" s="149"/>
      <c r="EIT6" s="149"/>
      <c r="EIU6" s="149"/>
      <c r="EIV6" s="149"/>
      <c r="EIW6" s="149"/>
      <c r="EIX6" s="149"/>
      <c r="EIY6" s="149"/>
      <c r="EIZ6" s="149"/>
      <c r="EJA6" s="149"/>
      <c r="EJB6" s="149"/>
      <c r="EJC6" s="149"/>
      <c r="EJD6" s="149"/>
      <c r="EJE6" s="149"/>
      <c r="EJF6" s="149"/>
      <c r="EJG6" s="149"/>
      <c r="EJH6" s="149"/>
      <c r="EJI6" s="149"/>
      <c r="EJJ6" s="149"/>
      <c r="EJK6" s="149"/>
      <c r="EJL6" s="149"/>
      <c r="EJM6" s="149"/>
      <c r="EJN6" s="149"/>
      <c r="EJO6" s="149"/>
      <c r="EJP6" s="149"/>
      <c r="EJQ6" s="149"/>
      <c r="EJR6" s="149"/>
      <c r="EJS6" s="149"/>
      <c r="EJT6" s="149"/>
      <c r="EJU6" s="149"/>
      <c r="EJV6" s="149"/>
      <c r="EJW6" s="149"/>
      <c r="EJX6" s="149"/>
      <c r="EJY6" s="149"/>
      <c r="EJZ6" s="149"/>
      <c r="EKA6" s="149"/>
      <c r="EKB6" s="149"/>
      <c r="EKC6" s="149"/>
      <c r="EKD6" s="149"/>
      <c r="EKE6" s="149"/>
      <c r="EKF6" s="149"/>
      <c r="EKG6" s="149"/>
      <c r="EKH6" s="149"/>
      <c r="EKI6" s="149"/>
      <c r="EKJ6" s="149"/>
      <c r="EKK6" s="149"/>
      <c r="EKL6" s="149"/>
      <c r="EKM6" s="149"/>
      <c r="EKN6" s="149"/>
      <c r="EKO6" s="149"/>
      <c r="EKP6" s="149"/>
      <c r="EKQ6" s="149"/>
      <c r="EKR6" s="149"/>
      <c r="EKS6" s="149"/>
      <c r="EKT6" s="149"/>
      <c r="EKU6" s="149"/>
      <c r="EKV6" s="149"/>
      <c r="EKW6" s="149"/>
      <c r="EKX6" s="149"/>
      <c r="EKY6" s="149"/>
      <c r="EKZ6" s="149"/>
      <c r="ELA6" s="149"/>
      <c r="ELB6" s="149"/>
      <c r="ELC6" s="149"/>
      <c r="ELD6" s="149"/>
      <c r="ELE6" s="149"/>
      <c r="ELF6" s="149"/>
      <c r="ELG6" s="149"/>
      <c r="ELH6" s="149"/>
      <c r="ELI6" s="149"/>
      <c r="ELJ6" s="149"/>
      <c r="ELK6" s="149"/>
      <c r="ELL6" s="149"/>
      <c r="ELM6" s="149"/>
      <c r="ELN6" s="149"/>
      <c r="ELO6" s="149"/>
      <c r="ELP6" s="149"/>
      <c r="ELQ6" s="149"/>
      <c r="ELR6" s="149"/>
      <c r="ELS6" s="149"/>
      <c r="ELT6" s="149"/>
      <c r="ELU6" s="149"/>
      <c r="ELV6" s="149"/>
      <c r="ELW6" s="149"/>
      <c r="ELX6" s="149"/>
      <c r="ELY6" s="149"/>
      <c r="ELZ6" s="149"/>
      <c r="EMA6" s="149"/>
      <c r="EMB6" s="149"/>
      <c r="EMC6" s="149"/>
      <c r="EMD6" s="149"/>
      <c r="EME6" s="149"/>
      <c r="EMF6" s="149"/>
      <c r="EMG6" s="149"/>
      <c r="EMH6" s="149"/>
      <c r="EMI6" s="149"/>
      <c r="EMJ6" s="149"/>
      <c r="EMK6" s="149"/>
      <c r="EML6" s="149"/>
      <c r="EMM6" s="149"/>
      <c r="EMN6" s="149"/>
      <c r="EMO6" s="149"/>
      <c r="EMP6" s="149"/>
      <c r="EMQ6" s="149"/>
      <c r="EMR6" s="149"/>
      <c r="EMS6" s="149"/>
      <c r="EMT6" s="149"/>
      <c r="EMU6" s="149"/>
      <c r="EMV6" s="149"/>
      <c r="EMW6" s="149"/>
      <c r="EMX6" s="149"/>
      <c r="EMY6" s="149"/>
      <c r="EMZ6" s="149"/>
      <c r="ENA6" s="149"/>
      <c r="ENB6" s="149"/>
      <c r="ENC6" s="149"/>
      <c r="END6" s="149"/>
      <c r="ENE6" s="149"/>
      <c r="ENF6" s="149"/>
      <c r="ENG6" s="149"/>
      <c r="ENH6" s="149"/>
      <c r="ENI6" s="149"/>
      <c r="ENJ6" s="149"/>
      <c r="ENK6" s="149"/>
      <c r="ENL6" s="149"/>
      <c r="ENM6" s="149"/>
      <c r="ENN6" s="149"/>
      <c r="ENO6" s="149"/>
      <c r="ENP6" s="149"/>
      <c r="ENQ6" s="149"/>
      <c r="ENR6" s="149"/>
      <c r="ENS6" s="149"/>
      <c r="ENT6" s="149"/>
      <c r="ENU6" s="149"/>
      <c r="ENV6" s="149"/>
      <c r="ENW6" s="149"/>
      <c r="ENX6" s="149"/>
      <c r="ENY6" s="149"/>
      <c r="ENZ6" s="149"/>
      <c r="EOA6" s="149"/>
      <c r="EOB6" s="149"/>
      <c r="EOC6" s="149"/>
      <c r="EOD6" s="149"/>
      <c r="EOE6" s="149"/>
      <c r="EOF6" s="149"/>
      <c r="EOG6" s="149"/>
      <c r="EOH6" s="149"/>
      <c r="EOI6" s="149"/>
      <c r="EOJ6" s="149"/>
      <c r="EOK6" s="149"/>
      <c r="EOL6" s="149"/>
      <c r="EOM6" s="149"/>
      <c r="EON6" s="149"/>
      <c r="EOO6" s="149"/>
      <c r="EOP6" s="149"/>
      <c r="EOQ6" s="149"/>
      <c r="EOR6" s="149"/>
      <c r="EOS6" s="149"/>
      <c r="EOT6" s="149"/>
      <c r="EOU6" s="149"/>
      <c r="EOV6" s="149"/>
      <c r="EOW6" s="149"/>
      <c r="EOX6" s="149"/>
      <c r="EOY6" s="149"/>
      <c r="EOZ6" s="149"/>
      <c r="EPA6" s="149"/>
      <c r="EPB6" s="149"/>
      <c r="EPC6" s="149"/>
      <c r="EPD6" s="149"/>
      <c r="EPE6" s="149"/>
      <c r="EPF6" s="149"/>
      <c r="EPG6" s="149"/>
      <c r="EPH6" s="149"/>
      <c r="EPI6" s="149"/>
      <c r="EPJ6" s="149"/>
      <c r="EPK6" s="149"/>
      <c r="EPL6" s="149"/>
      <c r="EPM6" s="149"/>
      <c r="EPN6" s="149"/>
      <c r="EPO6" s="149"/>
      <c r="EPP6" s="149"/>
      <c r="EPQ6" s="149"/>
      <c r="EPR6" s="149"/>
      <c r="EPS6" s="149"/>
      <c r="EPT6" s="149"/>
      <c r="EPU6" s="149"/>
      <c r="EPV6" s="149"/>
      <c r="EPW6" s="149"/>
      <c r="EPX6" s="149"/>
      <c r="EPY6" s="149"/>
      <c r="EPZ6" s="149"/>
      <c r="EQA6" s="149"/>
      <c r="EQB6" s="149"/>
      <c r="EQC6" s="149"/>
      <c r="EQD6" s="149"/>
      <c r="EQE6" s="149"/>
      <c r="EQF6" s="149"/>
      <c r="EQG6" s="149"/>
      <c r="EQH6" s="149"/>
      <c r="EQI6" s="149"/>
      <c r="EQJ6" s="149"/>
      <c r="EQK6" s="149"/>
      <c r="EQL6" s="149"/>
      <c r="EQM6" s="149"/>
      <c r="EQN6" s="149"/>
      <c r="EQO6" s="149"/>
      <c r="EQP6" s="149"/>
      <c r="EQQ6" s="149"/>
      <c r="EQR6" s="149"/>
      <c r="EQS6" s="149"/>
      <c r="EQT6" s="149"/>
      <c r="EQU6" s="149"/>
      <c r="EQV6" s="149"/>
      <c r="EQW6" s="149"/>
      <c r="EQX6" s="149"/>
      <c r="EQY6" s="149"/>
      <c r="EQZ6" s="149"/>
      <c r="ERA6" s="149"/>
      <c r="ERB6" s="149"/>
      <c r="ERC6" s="149"/>
      <c r="ERD6" s="149"/>
      <c r="ERE6" s="149"/>
      <c r="ERF6" s="149"/>
      <c r="ERG6" s="149"/>
      <c r="ERH6" s="149"/>
      <c r="ERI6" s="149"/>
      <c r="ERJ6" s="149"/>
      <c r="ERK6" s="149"/>
      <c r="ERL6" s="149"/>
      <c r="ERM6" s="149"/>
      <c r="ERN6" s="149"/>
      <c r="ERO6" s="149"/>
      <c r="ERP6" s="149"/>
      <c r="ERQ6" s="149"/>
      <c r="ERR6" s="149"/>
      <c r="ERS6" s="149"/>
      <c r="ERT6" s="149"/>
      <c r="ERU6" s="149"/>
      <c r="ERV6" s="149"/>
      <c r="ERW6" s="149"/>
      <c r="ERX6" s="149"/>
      <c r="ERY6" s="149"/>
      <c r="ERZ6" s="149"/>
      <c r="ESA6" s="149"/>
      <c r="ESB6" s="149"/>
      <c r="ESC6" s="149"/>
      <c r="ESD6" s="149"/>
      <c r="ESE6" s="149"/>
      <c r="ESF6" s="149"/>
      <c r="ESG6" s="149"/>
      <c r="ESH6" s="149"/>
      <c r="ESI6" s="149"/>
      <c r="ESJ6" s="149"/>
      <c r="ESK6" s="149"/>
      <c r="ESL6" s="149"/>
      <c r="ESM6" s="149"/>
      <c r="ESN6" s="149"/>
      <c r="ESO6" s="149"/>
      <c r="ESP6" s="149"/>
      <c r="ESQ6" s="149"/>
      <c r="ESR6" s="149"/>
      <c r="ESS6" s="149"/>
      <c r="EST6" s="149"/>
      <c r="ESU6" s="149"/>
      <c r="ESV6" s="149"/>
      <c r="ESW6" s="149"/>
      <c r="ESX6" s="149"/>
      <c r="ESY6" s="149"/>
      <c r="ESZ6" s="149"/>
      <c r="ETA6" s="149"/>
      <c r="ETB6" s="149"/>
      <c r="ETC6" s="149"/>
      <c r="ETD6" s="149"/>
      <c r="ETE6" s="149"/>
      <c r="ETF6" s="149"/>
      <c r="ETG6" s="149"/>
      <c r="ETH6" s="149"/>
      <c r="ETI6" s="149"/>
      <c r="ETJ6" s="149"/>
      <c r="ETK6" s="149"/>
      <c r="ETL6" s="149"/>
      <c r="ETM6" s="149"/>
      <c r="ETN6" s="149"/>
      <c r="ETO6" s="149"/>
      <c r="ETP6" s="149"/>
      <c r="ETQ6" s="149"/>
      <c r="ETR6" s="149"/>
      <c r="ETS6" s="149"/>
      <c r="ETT6" s="149"/>
      <c r="ETU6" s="149"/>
      <c r="ETV6" s="149"/>
      <c r="ETW6" s="149"/>
      <c r="ETX6" s="149"/>
      <c r="ETY6" s="149"/>
      <c r="ETZ6" s="149"/>
      <c r="EUA6" s="149"/>
      <c r="EUB6" s="149"/>
      <c r="EUC6" s="149"/>
      <c r="EUD6" s="149"/>
      <c r="EUE6" s="149"/>
      <c r="EUF6" s="149"/>
      <c r="EUG6" s="149"/>
      <c r="EUH6" s="149"/>
      <c r="EUI6" s="149"/>
      <c r="EUJ6" s="149"/>
      <c r="EUK6" s="149"/>
      <c r="EUL6" s="149"/>
      <c r="EUM6" s="149"/>
      <c r="EUN6" s="149"/>
      <c r="EUO6" s="149"/>
      <c r="EUP6" s="149"/>
      <c r="EUQ6" s="149"/>
      <c r="EUR6" s="149"/>
      <c r="EUS6" s="149"/>
      <c r="EUT6" s="149"/>
      <c r="EUU6" s="149"/>
      <c r="EUV6" s="149"/>
      <c r="EUW6" s="149"/>
      <c r="EUX6" s="149"/>
      <c r="EUY6" s="149"/>
      <c r="EUZ6" s="149"/>
      <c r="EVA6" s="149"/>
      <c r="EVB6" s="149"/>
      <c r="EVC6" s="149"/>
      <c r="EVD6" s="149"/>
      <c r="EVE6" s="149"/>
      <c r="EVF6" s="149"/>
      <c r="EVG6" s="149"/>
      <c r="EVH6" s="149"/>
      <c r="EVI6" s="149"/>
      <c r="EVJ6" s="149"/>
      <c r="EVK6" s="149"/>
      <c r="EVL6" s="149"/>
      <c r="EVM6" s="149"/>
      <c r="EVN6" s="149"/>
      <c r="EVO6" s="149"/>
      <c r="EVP6" s="149"/>
      <c r="EVQ6" s="149"/>
      <c r="EVR6" s="149"/>
      <c r="EVS6" s="149"/>
      <c r="EVT6" s="149"/>
      <c r="EVU6" s="149"/>
      <c r="EVV6" s="149"/>
      <c r="EVW6" s="149"/>
      <c r="EVX6" s="149"/>
      <c r="EVY6" s="149"/>
      <c r="EVZ6" s="149"/>
      <c r="EWA6" s="149"/>
      <c r="EWB6" s="149"/>
      <c r="EWC6" s="149"/>
      <c r="EWD6" s="149"/>
      <c r="EWE6" s="149"/>
      <c r="EWF6" s="149"/>
      <c r="EWG6" s="149"/>
      <c r="EWH6" s="149"/>
      <c r="EWI6" s="149"/>
      <c r="EWJ6" s="149"/>
      <c r="EWK6" s="149"/>
      <c r="EWL6" s="149"/>
      <c r="EWM6" s="149"/>
      <c r="EWN6" s="149"/>
      <c r="EWO6" s="149"/>
      <c r="EWP6" s="149"/>
      <c r="EWQ6" s="149"/>
      <c r="EWR6" s="149"/>
      <c r="EWS6" s="149"/>
      <c r="EWT6" s="149"/>
      <c r="EWU6" s="149"/>
      <c r="EWV6" s="149"/>
      <c r="EWW6" s="149"/>
      <c r="EWX6" s="149"/>
      <c r="EWY6" s="149"/>
      <c r="EWZ6" s="149"/>
      <c r="EXA6" s="149"/>
      <c r="EXB6" s="149"/>
      <c r="EXC6" s="149"/>
      <c r="EXD6" s="149"/>
      <c r="EXE6" s="149"/>
      <c r="EXF6" s="149"/>
      <c r="EXG6" s="149"/>
      <c r="EXH6" s="149"/>
      <c r="EXI6" s="149"/>
      <c r="EXJ6" s="149"/>
      <c r="EXK6" s="149"/>
      <c r="EXL6" s="149"/>
      <c r="EXM6" s="149"/>
      <c r="EXN6" s="149"/>
      <c r="EXO6" s="149"/>
      <c r="EXP6" s="149"/>
      <c r="EXQ6" s="149"/>
      <c r="EXR6" s="149"/>
      <c r="EXS6" s="149"/>
      <c r="EXT6" s="149"/>
      <c r="EXU6" s="149"/>
      <c r="EXV6" s="149"/>
      <c r="EXW6" s="149"/>
      <c r="EXX6" s="149"/>
      <c r="EXY6" s="149"/>
      <c r="EXZ6" s="149"/>
      <c r="EYA6" s="149"/>
      <c r="EYB6" s="149"/>
      <c r="EYC6" s="149"/>
      <c r="EYD6" s="149"/>
      <c r="EYE6" s="149"/>
      <c r="EYF6" s="149"/>
      <c r="EYG6" s="149"/>
      <c r="EYH6" s="149"/>
      <c r="EYI6" s="149"/>
      <c r="EYJ6" s="149"/>
      <c r="EYK6" s="149"/>
      <c r="EYL6" s="149"/>
      <c r="EYM6" s="149"/>
      <c r="EYN6" s="149"/>
      <c r="EYO6" s="149"/>
      <c r="EYP6" s="149"/>
      <c r="EYQ6" s="149"/>
      <c r="EYR6" s="149"/>
      <c r="EYS6" s="149"/>
      <c r="EYT6" s="149"/>
      <c r="EYU6" s="149"/>
      <c r="EYV6" s="149"/>
      <c r="EYW6" s="149"/>
      <c r="EYX6" s="149"/>
      <c r="EYY6" s="149"/>
      <c r="EYZ6" s="149"/>
      <c r="EZA6" s="149"/>
      <c r="EZB6" s="149"/>
      <c r="EZC6" s="149"/>
      <c r="EZD6" s="149"/>
      <c r="EZE6" s="149"/>
      <c r="EZF6" s="149"/>
      <c r="EZG6" s="149"/>
      <c r="EZH6" s="149"/>
      <c r="EZI6" s="149"/>
      <c r="EZJ6" s="149"/>
      <c r="EZK6" s="149"/>
      <c r="EZL6" s="149"/>
      <c r="EZM6" s="149"/>
      <c r="EZN6" s="149"/>
      <c r="EZO6" s="149"/>
      <c r="EZP6" s="149"/>
      <c r="EZQ6" s="149"/>
      <c r="EZR6" s="149"/>
      <c r="EZS6" s="149"/>
      <c r="EZT6" s="149"/>
      <c r="EZU6" s="149"/>
      <c r="EZV6" s="149"/>
      <c r="EZW6" s="149"/>
      <c r="EZX6" s="149"/>
      <c r="EZY6" s="149"/>
      <c r="EZZ6" s="149"/>
      <c r="FAA6" s="149"/>
      <c r="FAB6" s="149"/>
      <c r="FAC6" s="149"/>
      <c r="FAD6" s="149"/>
      <c r="FAE6" s="149"/>
      <c r="FAF6" s="149"/>
      <c r="FAG6" s="149"/>
      <c r="FAH6" s="149"/>
      <c r="FAI6" s="149"/>
      <c r="FAJ6" s="149"/>
      <c r="FAK6" s="149"/>
      <c r="FAL6" s="149"/>
      <c r="FAM6" s="149"/>
      <c r="FAN6" s="149"/>
      <c r="FAO6" s="149"/>
      <c r="FAP6" s="149"/>
      <c r="FAQ6" s="149"/>
      <c r="FAR6" s="149"/>
      <c r="FAS6" s="149"/>
      <c r="FAT6" s="149"/>
      <c r="FAU6" s="149"/>
      <c r="FAV6" s="149"/>
      <c r="FAW6" s="149"/>
      <c r="FAX6" s="149"/>
      <c r="FAY6" s="149"/>
      <c r="FAZ6" s="149"/>
      <c r="FBA6" s="149"/>
      <c r="FBB6" s="149"/>
      <c r="FBC6" s="149"/>
      <c r="FBD6" s="149"/>
      <c r="FBE6" s="149"/>
      <c r="FBF6" s="149"/>
      <c r="FBG6" s="149"/>
      <c r="FBH6" s="149"/>
      <c r="FBI6" s="149"/>
      <c r="FBJ6" s="149"/>
      <c r="FBK6" s="149"/>
      <c r="FBL6" s="149"/>
      <c r="FBM6" s="149"/>
      <c r="FBN6" s="149"/>
      <c r="FBO6" s="149"/>
      <c r="FBP6" s="149"/>
      <c r="FBQ6" s="149"/>
      <c r="FBR6" s="149"/>
      <c r="FBS6" s="149"/>
      <c r="FBT6" s="149"/>
      <c r="FBU6" s="149"/>
      <c r="FBV6" s="149"/>
      <c r="FBW6" s="149"/>
      <c r="FBX6" s="149"/>
      <c r="FBY6" s="149"/>
      <c r="FBZ6" s="149"/>
      <c r="FCA6" s="149"/>
      <c r="FCB6" s="149"/>
      <c r="FCC6" s="149"/>
      <c r="FCD6" s="149"/>
      <c r="FCE6" s="149"/>
      <c r="FCF6" s="149"/>
      <c r="FCG6" s="149"/>
      <c r="FCH6" s="149"/>
      <c r="FCI6" s="149"/>
      <c r="FCJ6" s="149"/>
      <c r="FCK6" s="149"/>
      <c r="FCL6" s="149"/>
      <c r="FCM6" s="149"/>
      <c r="FCN6" s="149"/>
      <c r="FCO6" s="149"/>
      <c r="FCP6" s="149"/>
      <c r="FCQ6" s="149"/>
      <c r="FCR6" s="149"/>
      <c r="FCS6" s="149"/>
      <c r="FCT6" s="149"/>
      <c r="FCU6" s="149"/>
      <c r="FCV6" s="149"/>
      <c r="FCW6" s="149"/>
      <c r="FCX6" s="149"/>
      <c r="FCY6" s="149"/>
      <c r="FCZ6" s="149"/>
      <c r="FDA6" s="149"/>
      <c r="FDB6" s="149"/>
      <c r="FDC6" s="149"/>
      <c r="FDD6" s="149"/>
      <c r="FDE6" s="149"/>
      <c r="FDF6" s="149"/>
      <c r="FDG6" s="149"/>
      <c r="FDH6" s="149"/>
      <c r="FDI6" s="149"/>
      <c r="FDJ6" s="149"/>
      <c r="FDK6" s="149"/>
      <c r="FDL6" s="149"/>
      <c r="FDM6" s="149"/>
      <c r="FDN6" s="149"/>
      <c r="FDO6" s="149"/>
      <c r="FDP6" s="149"/>
      <c r="FDQ6" s="149"/>
      <c r="FDR6" s="149"/>
      <c r="FDS6" s="149"/>
      <c r="FDT6" s="149"/>
      <c r="FDU6" s="149"/>
      <c r="FDV6" s="149"/>
      <c r="FDW6" s="149"/>
      <c r="FDX6" s="149"/>
      <c r="FDY6" s="149"/>
      <c r="FDZ6" s="149"/>
      <c r="FEA6" s="149"/>
      <c r="FEB6" s="149"/>
      <c r="FEC6" s="149"/>
      <c r="FED6" s="149"/>
      <c r="FEE6" s="149"/>
      <c r="FEF6" s="149"/>
      <c r="FEG6" s="149"/>
      <c r="FEH6" s="149"/>
      <c r="FEI6" s="149"/>
      <c r="FEJ6" s="149"/>
      <c r="FEK6" s="149"/>
      <c r="FEL6" s="149"/>
      <c r="FEM6" s="149"/>
      <c r="FEN6" s="149"/>
      <c r="FEO6" s="149"/>
      <c r="FEP6" s="149"/>
      <c r="FEQ6" s="149"/>
      <c r="FER6" s="149"/>
      <c r="FES6" s="149"/>
      <c r="FET6" s="149"/>
      <c r="FEU6" s="149"/>
      <c r="FEV6" s="149"/>
      <c r="FEW6" s="149"/>
      <c r="FEX6" s="149"/>
      <c r="FEY6" s="149"/>
      <c r="FEZ6" s="149"/>
      <c r="FFA6" s="149"/>
      <c r="FFB6" s="149"/>
      <c r="FFC6" s="149"/>
      <c r="FFD6" s="149"/>
      <c r="FFE6" s="149"/>
      <c r="FFF6" s="149"/>
      <c r="FFG6" s="149"/>
      <c r="FFH6" s="149"/>
      <c r="FFI6" s="149"/>
      <c r="FFJ6" s="149"/>
      <c r="FFK6" s="149"/>
      <c r="FFL6" s="149"/>
      <c r="FFM6" s="149"/>
      <c r="FFN6" s="149"/>
      <c r="FFO6" s="149"/>
      <c r="FFP6" s="149"/>
      <c r="FFQ6" s="149"/>
      <c r="FFR6" s="149"/>
      <c r="FFS6" s="149"/>
      <c r="FFT6" s="149"/>
      <c r="FFU6" s="149"/>
      <c r="FFV6" s="149"/>
      <c r="FFW6" s="149"/>
      <c r="FFX6" s="149"/>
      <c r="FFY6" s="149"/>
      <c r="FFZ6" s="149"/>
      <c r="FGA6" s="149"/>
      <c r="FGB6" s="149"/>
      <c r="FGC6" s="149"/>
      <c r="FGD6" s="149"/>
      <c r="FGE6" s="149"/>
      <c r="FGF6" s="149"/>
      <c r="FGG6" s="149"/>
      <c r="FGH6" s="149"/>
      <c r="FGI6" s="149"/>
      <c r="FGJ6" s="149"/>
      <c r="FGK6" s="149"/>
      <c r="FGL6" s="149"/>
      <c r="FGM6" s="149"/>
      <c r="FGN6" s="149"/>
      <c r="FGO6" s="149"/>
      <c r="FGP6" s="149"/>
      <c r="FGQ6" s="149"/>
      <c r="FGR6" s="149"/>
      <c r="FGS6" s="149"/>
      <c r="FGT6" s="149"/>
      <c r="FGU6" s="149"/>
      <c r="FGV6" s="149"/>
      <c r="FGW6" s="149"/>
      <c r="FGX6" s="149"/>
      <c r="FGY6" s="149"/>
      <c r="FGZ6" s="149"/>
      <c r="FHA6" s="149"/>
      <c r="FHB6" s="149"/>
      <c r="FHC6" s="149"/>
      <c r="FHD6" s="149"/>
      <c r="FHE6" s="149"/>
      <c r="FHF6" s="149"/>
      <c r="FHG6" s="149"/>
      <c r="FHH6" s="149"/>
      <c r="FHI6" s="149"/>
      <c r="FHJ6" s="149"/>
      <c r="FHK6" s="149"/>
      <c r="FHL6" s="149"/>
      <c r="FHM6" s="149"/>
      <c r="FHN6" s="149"/>
      <c r="FHO6" s="149"/>
      <c r="FHP6" s="149"/>
      <c r="FHQ6" s="149"/>
      <c r="FHR6" s="149"/>
      <c r="FHS6" s="149"/>
      <c r="FHT6" s="149"/>
      <c r="FHU6" s="149"/>
      <c r="FHV6" s="149"/>
      <c r="FHW6" s="149"/>
      <c r="FHX6" s="149"/>
      <c r="FHY6" s="149"/>
      <c r="FHZ6" s="149"/>
      <c r="FIA6" s="149"/>
      <c r="FIB6" s="149"/>
      <c r="FIC6" s="149"/>
      <c r="FID6" s="149"/>
      <c r="FIE6" s="149"/>
      <c r="FIF6" s="149"/>
      <c r="FIG6" s="149"/>
      <c r="FIH6" s="149"/>
      <c r="FII6" s="149"/>
      <c r="FIJ6" s="149"/>
      <c r="FIK6" s="149"/>
      <c r="FIL6" s="149"/>
      <c r="FIM6" s="149"/>
      <c r="FIN6" s="149"/>
      <c r="FIO6" s="149"/>
      <c r="FIP6" s="149"/>
      <c r="FIQ6" s="149"/>
      <c r="FIR6" s="149"/>
      <c r="FIS6" s="149"/>
      <c r="FIT6" s="149"/>
      <c r="FIU6" s="149"/>
      <c r="FIV6" s="149"/>
      <c r="FIW6" s="149"/>
      <c r="FIX6" s="149"/>
      <c r="FIY6" s="149"/>
      <c r="FIZ6" s="149"/>
      <c r="FJA6" s="149"/>
      <c r="FJB6" s="149"/>
      <c r="FJC6" s="149"/>
      <c r="FJD6" s="149"/>
      <c r="FJE6" s="149"/>
      <c r="FJF6" s="149"/>
      <c r="FJG6" s="149"/>
      <c r="FJH6" s="149"/>
      <c r="FJI6" s="149"/>
      <c r="FJJ6" s="149"/>
      <c r="FJK6" s="149"/>
      <c r="FJL6" s="149"/>
      <c r="FJM6" s="149"/>
      <c r="FJN6" s="149"/>
      <c r="FJO6" s="149"/>
      <c r="FJP6" s="149"/>
      <c r="FJQ6" s="149"/>
      <c r="FJR6" s="149"/>
      <c r="FJS6" s="149"/>
      <c r="FJT6" s="149"/>
      <c r="FJU6" s="149"/>
      <c r="FJV6" s="149"/>
      <c r="FJW6" s="149"/>
      <c r="FJX6" s="149"/>
      <c r="FJY6" s="149"/>
      <c r="FJZ6" s="149"/>
      <c r="FKA6" s="149"/>
      <c r="FKB6" s="149"/>
      <c r="FKC6" s="149"/>
      <c r="FKD6" s="149"/>
      <c r="FKE6" s="149"/>
      <c r="FKF6" s="149"/>
      <c r="FKG6" s="149"/>
      <c r="FKH6" s="149"/>
      <c r="FKI6" s="149"/>
      <c r="FKJ6" s="149"/>
      <c r="FKK6" s="149"/>
      <c r="FKL6" s="149"/>
      <c r="FKM6" s="149"/>
      <c r="FKN6" s="149"/>
      <c r="FKO6" s="149"/>
      <c r="FKP6" s="149"/>
      <c r="FKQ6" s="149"/>
      <c r="FKR6" s="149"/>
      <c r="FKS6" s="149"/>
      <c r="FKT6" s="149"/>
      <c r="FKU6" s="149"/>
      <c r="FKV6" s="149"/>
      <c r="FKW6" s="149"/>
      <c r="FKX6" s="149"/>
      <c r="FKY6" s="149"/>
      <c r="FKZ6" s="149"/>
      <c r="FLA6" s="149"/>
      <c r="FLB6" s="149"/>
      <c r="FLC6" s="149"/>
      <c r="FLD6" s="149"/>
      <c r="FLE6" s="149"/>
      <c r="FLF6" s="149"/>
      <c r="FLG6" s="149"/>
      <c r="FLH6" s="149"/>
      <c r="FLI6" s="149"/>
      <c r="FLJ6" s="149"/>
      <c r="FLK6" s="149"/>
      <c r="FLL6" s="149"/>
      <c r="FLM6" s="149"/>
      <c r="FLN6" s="149"/>
      <c r="FLO6" s="149"/>
      <c r="FLP6" s="149"/>
      <c r="FLQ6" s="149"/>
      <c r="FLR6" s="149"/>
      <c r="FLS6" s="149"/>
      <c r="FLT6" s="149"/>
      <c r="FLU6" s="149"/>
      <c r="FLV6" s="149"/>
      <c r="FLW6" s="149"/>
      <c r="FLX6" s="149"/>
      <c r="FLY6" s="149"/>
      <c r="FLZ6" s="149"/>
      <c r="FMA6" s="149"/>
      <c r="FMB6" s="149"/>
      <c r="FMC6" s="149"/>
      <c r="FMD6" s="149"/>
      <c r="FME6" s="149"/>
      <c r="FMF6" s="149"/>
      <c r="FMG6" s="149"/>
      <c r="FMH6" s="149"/>
      <c r="FMI6" s="149"/>
      <c r="FMJ6" s="149"/>
      <c r="FMK6" s="149"/>
      <c r="FML6" s="149"/>
      <c r="FMM6" s="149"/>
      <c r="FMN6" s="149"/>
      <c r="FMO6" s="149"/>
      <c r="FMP6" s="149"/>
      <c r="FMQ6" s="149"/>
      <c r="FMR6" s="149"/>
      <c r="FMS6" s="149"/>
      <c r="FMT6" s="149"/>
      <c r="FMU6" s="149"/>
      <c r="FMV6" s="149"/>
      <c r="FMW6" s="149"/>
      <c r="FMX6" s="149"/>
      <c r="FMY6" s="149"/>
      <c r="FMZ6" s="149"/>
      <c r="FNA6" s="149"/>
      <c r="FNB6" s="149"/>
      <c r="FNC6" s="149"/>
      <c r="FND6" s="149"/>
      <c r="FNE6" s="149"/>
      <c r="FNF6" s="149"/>
      <c r="FNG6" s="149"/>
      <c r="FNH6" s="149"/>
      <c r="FNI6" s="149"/>
      <c r="FNJ6" s="149"/>
      <c r="FNK6" s="149"/>
      <c r="FNL6" s="149"/>
      <c r="FNM6" s="149"/>
      <c r="FNN6" s="149"/>
      <c r="FNO6" s="149"/>
      <c r="FNP6" s="149"/>
      <c r="FNQ6" s="149"/>
      <c r="FNR6" s="149"/>
      <c r="FNS6" s="149"/>
      <c r="FNT6" s="149"/>
      <c r="FNU6" s="149"/>
      <c r="FNV6" s="149"/>
      <c r="FNW6" s="149"/>
      <c r="FNX6" s="149"/>
      <c r="FNY6" s="149"/>
      <c r="FNZ6" s="149"/>
      <c r="FOA6" s="149"/>
      <c r="FOB6" s="149"/>
      <c r="FOC6" s="149"/>
      <c r="FOD6" s="149"/>
      <c r="FOE6" s="149"/>
      <c r="FOF6" s="149"/>
      <c r="FOG6" s="149"/>
      <c r="FOH6" s="149"/>
      <c r="FOI6" s="149"/>
      <c r="FOJ6" s="149"/>
      <c r="FOK6" s="149"/>
      <c r="FOL6" s="149"/>
      <c r="FOM6" s="149"/>
      <c r="FON6" s="149"/>
      <c r="FOO6" s="149"/>
      <c r="FOP6" s="149"/>
      <c r="FOQ6" s="149"/>
      <c r="FOR6" s="149"/>
      <c r="FOS6" s="149"/>
      <c r="FOT6" s="149"/>
      <c r="FOU6" s="149"/>
      <c r="FOV6" s="149"/>
      <c r="FOW6" s="149"/>
      <c r="FOX6" s="149"/>
      <c r="FOY6" s="149"/>
      <c r="FOZ6" s="149"/>
      <c r="FPA6" s="149"/>
      <c r="FPB6" s="149"/>
      <c r="FPC6" s="149"/>
      <c r="FPD6" s="149"/>
      <c r="FPE6" s="149"/>
      <c r="FPF6" s="149"/>
      <c r="FPG6" s="149"/>
      <c r="FPH6" s="149"/>
      <c r="FPI6" s="149"/>
      <c r="FPJ6" s="149"/>
      <c r="FPK6" s="149"/>
      <c r="FPL6" s="149"/>
      <c r="FPM6" s="149"/>
      <c r="FPN6" s="149"/>
      <c r="FPO6" s="149"/>
      <c r="FPP6" s="149"/>
      <c r="FPQ6" s="149"/>
      <c r="FPR6" s="149"/>
      <c r="FPS6" s="149"/>
      <c r="FPT6" s="149"/>
      <c r="FPU6" s="149"/>
      <c r="FPV6" s="149"/>
      <c r="FPW6" s="149"/>
      <c r="FPX6" s="149"/>
      <c r="FPY6" s="149"/>
      <c r="FPZ6" s="149"/>
      <c r="FQA6" s="149"/>
      <c r="FQB6" s="149"/>
      <c r="FQC6" s="149"/>
      <c r="FQD6" s="149"/>
      <c r="FQE6" s="149"/>
      <c r="FQF6" s="149"/>
      <c r="FQG6" s="149"/>
      <c r="FQH6" s="149"/>
      <c r="FQI6" s="149"/>
      <c r="FQJ6" s="149"/>
      <c r="FQK6" s="149"/>
      <c r="FQL6" s="149"/>
      <c r="FQM6" s="149"/>
      <c r="FQN6" s="149"/>
      <c r="FQO6" s="149"/>
      <c r="FQP6" s="149"/>
      <c r="FQQ6" s="149"/>
      <c r="FQR6" s="149"/>
      <c r="FQS6" s="149"/>
      <c r="FQT6" s="149"/>
      <c r="FQU6" s="149"/>
      <c r="FQV6" s="149"/>
      <c r="FQW6" s="149"/>
      <c r="FQX6" s="149"/>
      <c r="FQY6" s="149"/>
      <c r="FQZ6" s="149"/>
      <c r="FRA6" s="149"/>
      <c r="FRB6" s="149"/>
      <c r="FRC6" s="149"/>
      <c r="FRD6" s="149"/>
      <c r="FRE6" s="149"/>
      <c r="FRF6" s="149"/>
      <c r="FRG6" s="149"/>
      <c r="FRH6" s="149"/>
      <c r="FRI6" s="149"/>
      <c r="FRJ6" s="149"/>
      <c r="FRK6" s="149"/>
      <c r="FRL6" s="149"/>
      <c r="FRM6" s="149"/>
      <c r="FRN6" s="149"/>
      <c r="FRO6" s="149"/>
      <c r="FRP6" s="149"/>
      <c r="FRQ6" s="149"/>
      <c r="FRR6" s="149"/>
      <c r="FRS6" s="149"/>
      <c r="FRT6" s="149"/>
      <c r="FRU6" s="149"/>
      <c r="FRV6" s="149"/>
      <c r="FRW6" s="149"/>
      <c r="FRX6" s="149"/>
      <c r="FRY6" s="149"/>
      <c r="FRZ6" s="149"/>
      <c r="FSA6" s="149"/>
      <c r="FSB6" s="149"/>
      <c r="FSC6" s="149"/>
      <c r="FSD6" s="149"/>
      <c r="FSE6" s="149"/>
      <c r="FSF6" s="149"/>
      <c r="FSG6" s="149"/>
      <c r="FSH6" s="149"/>
      <c r="FSI6" s="149"/>
      <c r="FSJ6" s="149"/>
      <c r="FSK6" s="149"/>
      <c r="FSL6" s="149"/>
      <c r="FSM6" s="149"/>
      <c r="FSN6" s="149"/>
      <c r="FSO6" s="149"/>
      <c r="FSP6" s="149"/>
      <c r="FSQ6" s="149"/>
      <c r="FSR6" s="149"/>
      <c r="FSS6" s="149"/>
      <c r="FST6" s="149"/>
      <c r="FSU6" s="149"/>
      <c r="FSV6" s="149"/>
      <c r="FSW6" s="149"/>
      <c r="FSX6" s="149"/>
      <c r="FSY6" s="149"/>
      <c r="FSZ6" s="149"/>
      <c r="FTA6" s="149"/>
      <c r="FTB6" s="149"/>
      <c r="FTC6" s="149"/>
      <c r="FTD6" s="149"/>
      <c r="FTE6" s="149"/>
      <c r="FTF6" s="149"/>
      <c r="FTG6" s="149"/>
      <c r="FTH6" s="149"/>
      <c r="FTI6" s="149"/>
      <c r="FTJ6" s="149"/>
      <c r="FTK6" s="149"/>
      <c r="FTL6" s="149"/>
      <c r="FTM6" s="149"/>
      <c r="FTN6" s="149"/>
      <c r="FTO6" s="149"/>
      <c r="FTP6" s="149"/>
      <c r="FTQ6" s="149"/>
      <c r="FTR6" s="149"/>
      <c r="FTS6" s="149"/>
      <c r="FTT6" s="149"/>
      <c r="FTU6" s="149"/>
      <c r="FTV6" s="149"/>
      <c r="FTW6" s="149"/>
      <c r="FTX6" s="149"/>
      <c r="FTY6" s="149"/>
      <c r="FTZ6" s="149"/>
      <c r="FUA6" s="149"/>
      <c r="FUB6" s="149"/>
      <c r="FUC6" s="149"/>
      <c r="FUD6" s="149"/>
      <c r="FUE6" s="149"/>
      <c r="FUF6" s="149"/>
      <c r="FUG6" s="149"/>
      <c r="FUH6" s="149"/>
      <c r="FUI6" s="149"/>
      <c r="FUJ6" s="149"/>
      <c r="FUK6" s="149"/>
      <c r="FUL6" s="149"/>
      <c r="FUM6" s="149"/>
      <c r="FUN6" s="149"/>
      <c r="FUO6" s="149"/>
      <c r="FUP6" s="149"/>
      <c r="FUQ6" s="149"/>
      <c r="FUR6" s="149"/>
      <c r="FUS6" s="149"/>
      <c r="FUT6" s="149"/>
      <c r="FUU6" s="149"/>
      <c r="FUV6" s="149"/>
      <c r="FUW6" s="149"/>
      <c r="FUX6" s="149"/>
      <c r="FUY6" s="149"/>
      <c r="FUZ6" s="149"/>
      <c r="FVA6" s="149"/>
      <c r="FVB6" s="149"/>
      <c r="FVC6" s="149"/>
      <c r="FVD6" s="149"/>
      <c r="FVE6" s="149"/>
      <c r="FVF6" s="149"/>
      <c r="FVG6" s="149"/>
      <c r="FVH6" s="149"/>
      <c r="FVI6" s="149"/>
      <c r="FVJ6" s="149"/>
      <c r="FVK6" s="149"/>
      <c r="FVL6" s="149"/>
      <c r="FVM6" s="149"/>
      <c r="FVN6" s="149"/>
      <c r="FVO6" s="149"/>
      <c r="FVP6" s="149"/>
      <c r="FVQ6" s="149"/>
      <c r="FVR6" s="149"/>
      <c r="FVS6" s="149"/>
      <c r="FVT6" s="149"/>
      <c r="FVU6" s="149"/>
      <c r="FVV6" s="149"/>
      <c r="FVW6" s="149"/>
      <c r="FVX6" s="149"/>
      <c r="FVY6" s="149"/>
      <c r="FVZ6" s="149"/>
      <c r="FWA6" s="149"/>
      <c r="FWB6" s="149"/>
      <c r="FWC6" s="149"/>
      <c r="FWD6" s="149"/>
      <c r="FWE6" s="149"/>
      <c r="FWF6" s="149"/>
      <c r="FWG6" s="149"/>
      <c r="FWH6" s="149"/>
      <c r="FWI6" s="149"/>
      <c r="FWJ6" s="149"/>
      <c r="FWK6" s="149"/>
      <c r="FWL6" s="149"/>
      <c r="FWM6" s="149"/>
      <c r="FWN6" s="149"/>
      <c r="FWO6" s="149"/>
      <c r="FWP6" s="149"/>
      <c r="FWQ6" s="149"/>
      <c r="FWR6" s="149"/>
      <c r="FWS6" s="149"/>
      <c r="FWT6" s="149"/>
      <c r="FWU6" s="149"/>
      <c r="FWV6" s="149"/>
      <c r="FWW6" s="149"/>
      <c r="FWX6" s="149"/>
      <c r="FWY6" s="149"/>
      <c r="FWZ6" s="149"/>
      <c r="FXA6" s="149"/>
      <c r="FXB6" s="149"/>
      <c r="FXC6" s="149"/>
      <c r="FXD6" s="149"/>
      <c r="FXE6" s="149"/>
      <c r="FXF6" s="149"/>
      <c r="FXG6" s="149"/>
      <c r="FXH6" s="149"/>
      <c r="FXI6" s="149"/>
      <c r="FXJ6" s="149"/>
      <c r="FXK6" s="149"/>
      <c r="FXL6" s="149"/>
      <c r="FXM6" s="149"/>
      <c r="FXN6" s="149"/>
      <c r="FXO6" s="149"/>
      <c r="FXP6" s="149"/>
      <c r="FXQ6" s="149"/>
      <c r="FXR6" s="149"/>
      <c r="FXS6" s="149"/>
      <c r="FXT6" s="149"/>
      <c r="FXU6" s="149"/>
      <c r="FXV6" s="149"/>
      <c r="FXW6" s="149"/>
      <c r="FXX6" s="149"/>
      <c r="FXY6" s="149"/>
      <c r="FXZ6" s="149"/>
      <c r="FYA6" s="149"/>
      <c r="FYB6" s="149"/>
      <c r="FYC6" s="149"/>
      <c r="FYD6" s="149"/>
      <c r="FYE6" s="149"/>
      <c r="FYF6" s="149"/>
      <c r="FYG6" s="149"/>
      <c r="FYH6" s="149"/>
      <c r="FYI6" s="149"/>
      <c r="FYJ6" s="149"/>
      <c r="FYK6" s="149"/>
      <c r="FYL6" s="149"/>
      <c r="FYM6" s="149"/>
      <c r="FYN6" s="149"/>
      <c r="FYO6" s="149"/>
      <c r="FYP6" s="149"/>
      <c r="FYQ6" s="149"/>
      <c r="FYR6" s="149"/>
      <c r="FYS6" s="149"/>
      <c r="FYT6" s="149"/>
      <c r="FYU6" s="149"/>
      <c r="FYV6" s="149"/>
      <c r="FYW6" s="149"/>
      <c r="FYX6" s="149"/>
      <c r="FYY6" s="149"/>
      <c r="FYZ6" s="149"/>
      <c r="FZA6" s="149"/>
      <c r="FZB6" s="149"/>
      <c r="FZC6" s="149"/>
      <c r="FZD6" s="149"/>
      <c r="FZE6" s="149"/>
      <c r="FZF6" s="149"/>
      <c r="FZG6" s="149"/>
      <c r="FZH6" s="149"/>
      <c r="FZI6" s="149"/>
      <c r="FZJ6" s="149"/>
      <c r="FZK6" s="149"/>
      <c r="FZL6" s="149"/>
      <c r="FZM6" s="149"/>
      <c r="FZN6" s="149"/>
      <c r="FZO6" s="149"/>
      <c r="FZP6" s="149"/>
      <c r="FZQ6" s="149"/>
      <c r="FZR6" s="149"/>
      <c r="FZS6" s="149"/>
      <c r="FZT6" s="149"/>
      <c r="FZU6" s="149"/>
      <c r="FZV6" s="149"/>
      <c r="FZW6" s="149"/>
      <c r="FZX6" s="149"/>
      <c r="FZY6" s="149"/>
      <c r="FZZ6" s="149"/>
      <c r="GAA6" s="149"/>
      <c r="GAB6" s="149"/>
      <c r="GAC6" s="149"/>
      <c r="GAD6" s="149"/>
      <c r="GAE6" s="149"/>
      <c r="GAF6" s="149"/>
      <c r="GAG6" s="149"/>
      <c r="GAH6" s="149"/>
      <c r="GAI6" s="149"/>
      <c r="GAJ6" s="149"/>
      <c r="GAK6" s="149"/>
      <c r="GAL6" s="149"/>
      <c r="GAM6" s="149"/>
      <c r="GAN6" s="149"/>
      <c r="GAO6" s="149"/>
      <c r="GAP6" s="149"/>
      <c r="GAQ6" s="149"/>
      <c r="GAR6" s="149"/>
      <c r="GAS6" s="149"/>
      <c r="GAT6" s="149"/>
      <c r="GAU6" s="149"/>
      <c r="GAV6" s="149"/>
      <c r="GAW6" s="149"/>
      <c r="GAX6" s="149"/>
      <c r="GAY6" s="149"/>
      <c r="GAZ6" s="149"/>
      <c r="GBA6" s="149"/>
      <c r="GBB6" s="149"/>
      <c r="GBC6" s="149"/>
      <c r="GBD6" s="149"/>
      <c r="GBE6" s="149"/>
      <c r="GBF6" s="149"/>
      <c r="GBG6" s="149"/>
      <c r="GBH6" s="149"/>
      <c r="GBI6" s="149"/>
      <c r="GBJ6" s="149"/>
      <c r="GBK6" s="149"/>
      <c r="GBL6" s="149"/>
      <c r="GBM6" s="149"/>
      <c r="GBN6" s="149"/>
      <c r="GBO6" s="149"/>
      <c r="GBP6" s="149"/>
      <c r="GBQ6" s="149"/>
      <c r="GBR6" s="149"/>
      <c r="GBS6" s="149"/>
      <c r="GBT6" s="149"/>
      <c r="GBU6" s="149"/>
      <c r="GBV6" s="149"/>
      <c r="GBW6" s="149"/>
      <c r="GBX6" s="149"/>
      <c r="GBY6" s="149"/>
      <c r="GBZ6" s="149"/>
      <c r="GCA6" s="149"/>
      <c r="GCB6" s="149"/>
      <c r="GCC6" s="149"/>
      <c r="GCD6" s="149"/>
      <c r="GCE6" s="149"/>
      <c r="GCF6" s="149"/>
      <c r="GCG6" s="149"/>
      <c r="GCH6" s="149"/>
      <c r="GCI6" s="149"/>
      <c r="GCJ6" s="149"/>
      <c r="GCK6" s="149"/>
      <c r="GCL6" s="149"/>
      <c r="GCM6" s="149"/>
      <c r="GCN6" s="149"/>
      <c r="GCO6" s="149"/>
      <c r="GCP6" s="149"/>
      <c r="GCQ6" s="149"/>
      <c r="GCR6" s="149"/>
      <c r="GCS6" s="149"/>
      <c r="GCT6" s="149"/>
      <c r="GCU6" s="149"/>
      <c r="GCV6" s="149"/>
      <c r="GCW6" s="149"/>
      <c r="GCX6" s="149"/>
      <c r="GCY6" s="149"/>
      <c r="GCZ6" s="149"/>
      <c r="GDA6" s="149"/>
      <c r="GDB6" s="149"/>
      <c r="GDC6" s="149"/>
      <c r="GDD6" s="149"/>
      <c r="GDE6" s="149"/>
      <c r="GDF6" s="149"/>
      <c r="GDG6" s="149"/>
      <c r="GDH6" s="149"/>
      <c r="GDI6" s="149"/>
      <c r="GDJ6" s="149"/>
      <c r="GDK6" s="149"/>
      <c r="GDL6" s="149"/>
      <c r="GDM6" s="149"/>
      <c r="GDN6" s="149"/>
      <c r="GDO6" s="149"/>
      <c r="GDP6" s="149"/>
      <c r="GDQ6" s="149"/>
      <c r="GDR6" s="149"/>
      <c r="GDS6" s="149"/>
      <c r="GDT6" s="149"/>
      <c r="GDU6" s="149"/>
      <c r="GDV6" s="149"/>
      <c r="GDW6" s="149"/>
      <c r="GDX6" s="149"/>
      <c r="GDY6" s="149"/>
      <c r="GDZ6" s="149"/>
      <c r="GEA6" s="149"/>
      <c r="GEB6" s="149"/>
      <c r="GEC6" s="149"/>
      <c r="GED6" s="149"/>
      <c r="GEE6" s="149"/>
      <c r="GEF6" s="149"/>
      <c r="GEG6" s="149"/>
      <c r="GEH6" s="149"/>
      <c r="GEI6" s="149"/>
      <c r="GEJ6" s="149"/>
      <c r="GEK6" s="149"/>
      <c r="GEL6" s="149"/>
      <c r="GEM6" s="149"/>
      <c r="GEN6" s="149"/>
      <c r="GEO6" s="149"/>
      <c r="GEP6" s="149"/>
      <c r="GEQ6" s="149"/>
      <c r="GER6" s="149"/>
      <c r="GES6" s="149"/>
      <c r="GET6" s="149"/>
      <c r="GEU6" s="149"/>
      <c r="GEV6" s="149"/>
      <c r="GEW6" s="149"/>
      <c r="GEX6" s="149"/>
      <c r="GEY6" s="149"/>
      <c r="GEZ6" s="149"/>
      <c r="GFA6" s="149"/>
      <c r="GFB6" s="149"/>
      <c r="GFC6" s="149"/>
      <c r="GFD6" s="149"/>
      <c r="GFE6" s="149"/>
      <c r="GFF6" s="149"/>
      <c r="GFG6" s="149"/>
      <c r="GFH6" s="149"/>
      <c r="GFI6" s="149"/>
      <c r="GFJ6" s="149"/>
      <c r="GFK6" s="149"/>
      <c r="GFL6" s="149"/>
      <c r="GFM6" s="149"/>
      <c r="GFN6" s="149"/>
      <c r="GFO6" s="149"/>
      <c r="GFP6" s="149"/>
      <c r="GFQ6" s="149"/>
      <c r="GFR6" s="149"/>
      <c r="GFS6" s="149"/>
      <c r="GFT6" s="149"/>
      <c r="GFU6" s="149"/>
      <c r="GFV6" s="149"/>
      <c r="GFW6" s="149"/>
      <c r="GFX6" s="149"/>
      <c r="GFY6" s="149"/>
      <c r="GFZ6" s="149"/>
      <c r="GGA6" s="149"/>
      <c r="GGB6" s="149"/>
      <c r="GGC6" s="149"/>
      <c r="GGD6" s="149"/>
      <c r="GGE6" s="149"/>
      <c r="GGF6" s="149"/>
      <c r="GGG6" s="149"/>
      <c r="GGH6" s="149"/>
      <c r="GGI6" s="149"/>
      <c r="GGJ6" s="149"/>
      <c r="GGK6" s="149"/>
      <c r="GGL6" s="149"/>
      <c r="GGM6" s="149"/>
      <c r="GGN6" s="149"/>
      <c r="GGO6" s="149"/>
      <c r="GGP6" s="149"/>
      <c r="GGQ6" s="149"/>
      <c r="GGR6" s="149"/>
      <c r="GGS6" s="149"/>
      <c r="GGT6" s="149"/>
      <c r="GGU6" s="149"/>
      <c r="GGV6" s="149"/>
      <c r="GGW6" s="149"/>
      <c r="GGX6" s="149"/>
      <c r="GGY6" s="149"/>
      <c r="GGZ6" s="149"/>
      <c r="GHA6" s="149"/>
      <c r="GHB6" s="149"/>
      <c r="GHC6" s="149"/>
      <c r="GHD6" s="149"/>
      <c r="GHE6" s="149"/>
      <c r="GHF6" s="149"/>
      <c r="GHG6" s="149"/>
      <c r="GHH6" s="149"/>
      <c r="GHI6" s="149"/>
      <c r="GHJ6" s="149"/>
      <c r="GHK6" s="149"/>
      <c r="GHL6" s="149"/>
      <c r="GHM6" s="149"/>
      <c r="GHN6" s="149"/>
      <c r="GHO6" s="149"/>
      <c r="GHP6" s="149"/>
      <c r="GHQ6" s="149"/>
      <c r="GHR6" s="149"/>
      <c r="GHS6" s="149"/>
      <c r="GHT6" s="149"/>
      <c r="GHU6" s="149"/>
      <c r="GHV6" s="149"/>
      <c r="GHW6" s="149"/>
      <c r="GHX6" s="149"/>
      <c r="GHY6" s="149"/>
      <c r="GHZ6" s="149"/>
      <c r="GIA6" s="149"/>
      <c r="GIB6" s="149"/>
      <c r="GIC6" s="149"/>
      <c r="GID6" s="149"/>
      <c r="GIE6" s="149"/>
      <c r="GIF6" s="149"/>
      <c r="GIG6" s="149"/>
      <c r="GIH6" s="149"/>
      <c r="GII6" s="149"/>
      <c r="GIJ6" s="149"/>
      <c r="GIK6" s="149"/>
      <c r="GIL6" s="149"/>
      <c r="GIM6" s="149"/>
      <c r="GIN6" s="149"/>
      <c r="GIO6" s="149"/>
      <c r="GIP6" s="149"/>
      <c r="GIQ6" s="149"/>
      <c r="GIR6" s="149"/>
      <c r="GIS6" s="149"/>
      <c r="GIT6" s="149"/>
      <c r="GIU6" s="149"/>
      <c r="GIV6" s="149"/>
      <c r="GIW6" s="149"/>
      <c r="GIX6" s="149"/>
      <c r="GIY6" s="149"/>
      <c r="GIZ6" s="149"/>
      <c r="GJA6" s="149"/>
      <c r="GJB6" s="149"/>
      <c r="GJC6" s="149"/>
      <c r="GJD6" s="149"/>
      <c r="GJE6" s="149"/>
      <c r="GJF6" s="149"/>
      <c r="GJG6" s="149"/>
      <c r="GJH6" s="149"/>
      <c r="GJI6" s="149"/>
      <c r="GJJ6" s="149"/>
      <c r="GJK6" s="149"/>
      <c r="GJL6" s="149"/>
      <c r="GJM6" s="149"/>
      <c r="GJN6" s="149"/>
      <c r="GJO6" s="149"/>
      <c r="GJP6" s="149"/>
      <c r="GJQ6" s="149"/>
      <c r="GJR6" s="149"/>
      <c r="GJS6" s="149"/>
      <c r="GJT6" s="149"/>
      <c r="GJU6" s="149"/>
      <c r="GJV6" s="149"/>
      <c r="GJW6" s="149"/>
      <c r="GJX6" s="149"/>
      <c r="GJY6" s="149"/>
      <c r="GJZ6" s="149"/>
      <c r="GKA6" s="149"/>
      <c r="GKB6" s="149"/>
      <c r="GKC6" s="149"/>
      <c r="GKD6" s="149"/>
      <c r="GKE6" s="149"/>
      <c r="GKF6" s="149"/>
      <c r="GKG6" s="149"/>
      <c r="GKH6" s="149"/>
      <c r="GKI6" s="149"/>
      <c r="GKJ6" s="149"/>
      <c r="GKK6" s="149"/>
      <c r="GKL6" s="149"/>
      <c r="GKM6" s="149"/>
      <c r="GKN6" s="149"/>
      <c r="GKO6" s="149"/>
      <c r="GKP6" s="149"/>
      <c r="GKQ6" s="149"/>
      <c r="GKR6" s="149"/>
      <c r="GKS6" s="149"/>
      <c r="GKT6" s="149"/>
      <c r="GKU6" s="149"/>
      <c r="GKV6" s="149"/>
      <c r="GKW6" s="149"/>
      <c r="GKX6" s="149"/>
      <c r="GKY6" s="149"/>
      <c r="GKZ6" s="149"/>
      <c r="GLA6" s="149"/>
      <c r="GLB6" s="149"/>
      <c r="GLC6" s="149"/>
      <c r="GLD6" s="149"/>
      <c r="GLE6" s="149"/>
      <c r="GLF6" s="149"/>
      <c r="GLG6" s="149"/>
      <c r="GLH6" s="149"/>
      <c r="GLI6" s="149"/>
      <c r="GLJ6" s="149"/>
      <c r="GLK6" s="149"/>
      <c r="GLL6" s="149"/>
      <c r="GLM6" s="149"/>
      <c r="GLN6" s="149"/>
      <c r="GLO6" s="149"/>
      <c r="GLP6" s="149"/>
      <c r="GLQ6" s="149"/>
      <c r="GLR6" s="149"/>
      <c r="GLS6" s="149"/>
      <c r="GLT6" s="149"/>
      <c r="GLU6" s="149"/>
      <c r="GLV6" s="149"/>
      <c r="GLW6" s="149"/>
      <c r="GLX6" s="149"/>
      <c r="GLY6" s="149"/>
      <c r="GLZ6" s="149"/>
      <c r="GMA6" s="149"/>
      <c r="GMB6" s="149"/>
      <c r="GMC6" s="149"/>
      <c r="GMD6" s="149"/>
      <c r="GME6" s="149"/>
      <c r="GMF6" s="149"/>
      <c r="GMG6" s="149"/>
      <c r="GMH6" s="149"/>
      <c r="GMI6" s="149"/>
      <c r="GMJ6" s="149"/>
      <c r="GMK6" s="149"/>
      <c r="GML6" s="149"/>
      <c r="GMM6" s="149"/>
      <c r="GMN6" s="149"/>
      <c r="GMO6" s="149"/>
      <c r="GMP6" s="149"/>
      <c r="GMQ6" s="149"/>
      <c r="GMR6" s="149"/>
      <c r="GMS6" s="149"/>
      <c r="GMT6" s="149"/>
      <c r="GMU6" s="149"/>
      <c r="GMV6" s="149"/>
      <c r="GMW6" s="149"/>
      <c r="GMX6" s="149"/>
      <c r="GMY6" s="149"/>
      <c r="GMZ6" s="149"/>
      <c r="GNA6" s="149"/>
      <c r="GNB6" s="149"/>
      <c r="GNC6" s="149"/>
      <c r="GND6" s="149"/>
      <c r="GNE6" s="149"/>
      <c r="GNF6" s="149"/>
      <c r="GNG6" s="149"/>
      <c r="GNH6" s="149"/>
      <c r="GNI6" s="149"/>
      <c r="GNJ6" s="149"/>
      <c r="GNK6" s="149"/>
      <c r="GNL6" s="149"/>
      <c r="GNM6" s="149"/>
      <c r="GNN6" s="149"/>
      <c r="GNO6" s="149"/>
      <c r="GNP6" s="149"/>
      <c r="GNQ6" s="149"/>
      <c r="GNR6" s="149"/>
      <c r="GNS6" s="149"/>
      <c r="GNT6" s="149"/>
      <c r="GNU6" s="149"/>
      <c r="GNV6" s="149"/>
      <c r="GNW6" s="149"/>
      <c r="GNX6" s="149"/>
      <c r="GNY6" s="149"/>
      <c r="GNZ6" s="149"/>
      <c r="GOA6" s="149"/>
      <c r="GOB6" s="149"/>
      <c r="GOC6" s="149"/>
      <c r="GOD6" s="149"/>
      <c r="GOE6" s="149"/>
      <c r="GOF6" s="149"/>
      <c r="GOG6" s="149"/>
      <c r="GOH6" s="149"/>
      <c r="GOI6" s="149"/>
      <c r="GOJ6" s="149"/>
      <c r="GOK6" s="149"/>
      <c r="GOL6" s="149"/>
      <c r="GOM6" s="149"/>
      <c r="GON6" s="149"/>
      <c r="GOO6" s="149"/>
      <c r="GOP6" s="149"/>
      <c r="GOQ6" s="149"/>
      <c r="GOR6" s="149"/>
      <c r="GOS6" s="149"/>
      <c r="GOT6" s="149"/>
      <c r="GOU6" s="149"/>
      <c r="GOV6" s="149"/>
      <c r="GOW6" s="149"/>
      <c r="GOX6" s="149"/>
      <c r="GOY6" s="149"/>
      <c r="GOZ6" s="149"/>
      <c r="GPA6" s="149"/>
      <c r="GPB6" s="149"/>
      <c r="GPC6" s="149"/>
      <c r="GPD6" s="149"/>
      <c r="GPE6" s="149"/>
      <c r="GPF6" s="149"/>
      <c r="GPG6" s="149"/>
      <c r="GPH6" s="149"/>
      <c r="GPI6" s="149"/>
      <c r="GPJ6" s="149"/>
      <c r="GPK6" s="149"/>
      <c r="GPL6" s="149"/>
      <c r="GPM6" s="149"/>
      <c r="GPN6" s="149"/>
      <c r="GPO6" s="149"/>
      <c r="GPP6" s="149"/>
      <c r="GPQ6" s="149"/>
      <c r="GPR6" s="149"/>
      <c r="GPS6" s="149"/>
      <c r="GPT6" s="149"/>
      <c r="GPU6" s="149"/>
      <c r="GPV6" s="149"/>
      <c r="GPW6" s="149"/>
      <c r="GPX6" s="149"/>
      <c r="GPY6" s="149"/>
      <c r="GPZ6" s="149"/>
      <c r="GQA6" s="149"/>
      <c r="GQB6" s="149"/>
      <c r="GQC6" s="149"/>
      <c r="GQD6" s="149"/>
      <c r="GQE6" s="149"/>
      <c r="GQF6" s="149"/>
      <c r="GQG6" s="149"/>
      <c r="GQH6" s="149"/>
      <c r="GQI6" s="149"/>
      <c r="GQJ6" s="149"/>
      <c r="GQK6" s="149"/>
      <c r="GQL6" s="149"/>
      <c r="GQM6" s="149"/>
      <c r="GQN6" s="149"/>
      <c r="GQO6" s="149"/>
      <c r="GQP6" s="149"/>
      <c r="GQQ6" s="149"/>
      <c r="GQR6" s="149"/>
      <c r="GQS6" s="149"/>
      <c r="GQT6" s="149"/>
      <c r="GQU6" s="149"/>
      <c r="GQV6" s="149"/>
      <c r="GQW6" s="149"/>
      <c r="GQX6" s="149"/>
      <c r="GQY6" s="149"/>
      <c r="GQZ6" s="149"/>
      <c r="GRA6" s="149"/>
      <c r="GRB6" s="149"/>
      <c r="GRC6" s="149"/>
      <c r="GRD6" s="149"/>
      <c r="GRE6" s="149"/>
      <c r="GRF6" s="149"/>
      <c r="GRG6" s="149"/>
      <c r="GRH6" s="149"/>
      <c r="GRI6" s="149"/>
      <c r="GRJ6" s="149"/>
      <c r="GRK6" s="149"/>
      <c r="GRL6" s="149"/>
      <c r="GRM6" s="149"/>
      <c r="GRN6" s="149"/>
      <c r="GRO6" s="149"/>
      <c r="GRP6" s="149"/>
      <c r="GRQ6" s="149"/>
      <c r="GRR6" s="149"/>
      <c r="GRS6" s="149"/>
      <c r="GRT6" s="149"/>
      <c r="GRU6" s="149"/>
      <c r="GRV6" s="149"/>
      <c r="GRW6" s="149"/>
      <c r="GRX6" s="149"/>
      <c r="GRY6" s="149"/>
      <c r="GRZ6" s="149"/>
      <c r="GSA6" s="149"/>
      <c r="GSB6" s="149"/>
      <c r="GSC6" s="149"/>
      <c r="GSD6" s="149"/>
      <c r="GSE6" s="149"/>
      <c r="GSF6" s="149"/>
      <c r="GSG6" s="149"/>
      <c r="GSH6" s="149"/>
      <c r="GSI6" s="149"/>
      <c r="GSJ6" s="149"/>
      <c r="GSK6" s="149"/>
      <c r="GSL6" s="149"/>
      <c r="GSM6" s="149"/>
      <c r="GSN6" s="149"/>
      <c r="GSO6" s="149"/>
      <c r="GSP6" s="149"/>
      <c r="GSQ6" s="149"/>
      <c r="GSR6" s="149"/>
      <c r="GSS6" s="149"/>
      <c r="GST6" s="149"/>
      <c r="GSU6" s="149"/>
      <c r="GSV6" s="149"/>
      <c r="GSW6" s="149"/>
      <c r="GSX6" s="149"/>
      <c r="GSY6" s="149"/>
      <c r="GSZ6" s="149"/>
      <c r="GTA6" s="149"/>
      <c r="GTB6" s="149"/>
      <c r="GTC6" s="149"/>
      <c r="GTD6" s="149"/>
      <c r="GTE6" s="149"/>
      <c r="GTF6" s="149"/>
      <c r="GTG6" s="149"/>
      <c r="GTH6" s="149"/>
      <c r="GTI6" s="149"/>
      <c r="GTJ6" s="149"/>
      <c r="GTK6" s="149"/>
      <c r="GTL6" s="149"/>
      <c r="GTM6" s="149"/>
      <c r="GTN6" s="149"/>
      <c r="GTO6" s="149"/>
      <c r="GTP6" s="149"/>
      <c r="GTQ6" s="149"/>
      <c r="GTR6" s="149"/>
      <c r="GTS6" s="149"/>
      <c r="GTT6" s="149"/>
      <c r="GTU6" s="149"/>
      <c r="GTV6" s="149"/>
      <c r="GTW6" s="149"/>
      <c r="GTX6" s="149"/>
      <c r="GTY6" s="149"/>
      <c r="GTZ6" s="149"/>
      <c r="GUA6" s="149"/>
      <c r="GUB6" s="149"/>
      <c r="GUC6" s="149"/>
      <c r="GUD6" s="149"/>
      <c r="GUE6" s="149"/>
      <c r="GUF6" s="149"/>
      <c r="GUG6" s="149"/>
      <c r="GUH6" s="149"/>
      <c r="GUI6" s="149"/>
      <c r="GUJ6" s="149"/>
      <c r="GUK6" s="149"/>
      <c r="GUL6" s="149"/>
      <c r="GUM6" s="149"/>
      <c r="GUN6" s="149"/>
      <c r="GUO6" s="149"/>
      <c r="GUP6" s="149"/>
      <c r="GUQ6" s="149"/>
      <c r="GUR6" s="149"/>
      <c r="GUS6" s="149"/>
      <c r="GUT6" s="149"/>
      <c r="GUU6" s="149"/>
      <c r="GUV6" s="149"/>
      <c r="GUW6" s="149"/>
      <c r="GUX6" s="149"/>
      <c r="GUY6" s="149"/>
      <c r="GUZ6" s="149"/>
      <c r="GVA6" s="149"/>
      <c r="GVB6" s="149"/>
      <c r="GVC6" s="149"/>
      <c r="GVD6" s="149"/>
      <c r="GVE6" s="149"/>
      <c r="GVF6" s="149"/>
      <c r="GVG6" s="149"/>
      <c r="GVH6" s="149"/>
      <c r="GVI6" s="149"/>
      <c r="GVJ6" s="149"/>
      <c r="GVK6" s="149"/>
      <c r="GVL6" s="149"/>
      <c r="GVM6" s="149"/>
      <c r="GVN6" s="149"/>
      <c r="GVO6" s="149"/>
      <c r="GVP6" s="149"/>
      <c r="GVQ6" s="149"/>
      <c r="GVR6" s="149"/>
      <c r="GVS6" s="149"/>
      <c r="GVT6" s="149"/>
      <c r="GVU6" s="149"/>
      <c r="GVV6" s="149"/>
      <c r="GVW6" s="149"/>
      <c r="GVX6" s="149"/>
      <c r="GVY6" s="149"/>
      <c r="GVZ6" s="149"/>
      <c r="GWA6" s="149"/>
      <c r="GWB6" s="149"/>
      <c r="GWC6" s="149"/>
      <c r="GWD6" s="149"/>
      <c r="GWE6" s="149"/>
      <c r="GWF6" s="149"/>
      <c r="GWG6" s="149"/>
      <c r="GWH6" s="149"/>
      <c r="GWI6" s="149"/>
      <c r="GWJ6" s="149"/>
      <c r="GWK6" s="149"/>
      <c r="GWL6" s="149"/>
      <c r="GWM6" s="149"/>
      <c r="GWN6" s="149"/>
      <c r="GWO6" s="149"/>
      <c r="GWP6" s="149"/>
      <c r="GWQ6" s="149"/>
      <c r="GWR6" s="149"/>
      <c r="GWS6" s="149"/>
      <c r="GWT6" s="149"/>
      <c r="GWU6" s="149"/>
      <c r="GWV6" s="149"/>
      <c r="GWW6" s="149"/>
      <c r="GWX6" s="149"/>
      <c r="GWY6" s="149"/>
      <c r="GWZ6" s="149"/>
      <c r="GXA6" s="149"/>
      <c r="GXB6" s="149"/>
      <c r="GXC6" s="149"/>
      <c r="GXD6" s="149"/>
      <c r="GXE6" s="149"/>
      <c r="GXF6" s="149"/>
      <c r="GXG6" s="149"/>
      <c r="GXH6" s="149"/>
      <c r="GXI6" s="149"/>
      <c r="GXJ6" s="149"/>
      <c r="GXK6" s="149"/>
      <c r="GXL6" s="149"/>
      <c r="GXM6" s="149"/>
      <c r="GXN6" s="149"/>
      <c r="GXO6" s="149"/>
      <c r="GXP6" s="149"/>
      <c r="GXQ6" s="149"/>
      <c r="GXR6" s="149"/>
      <c r="GXS6" s="149"/>
      <c r="GXT6" s="149"/>
      <c r="GXU6" s="149"/>
      <c r="GXV6" s="149"/>
      <c r="GXW6" s="149"/>
      <c r="GXX6" s="149"/>
      <c r="GXY6" s="149"/>
      <c r="GXZ6" s="149"/>
      <c r="GYA6" s="149"/>
      <c r="GYB6" s="149"/>
      <c r="GYC6" s="149"/>
      <c r="GYD6" s="149"/>
      <c r="GYE6" s="149"/>
      <c r="GYF6" s="149"/>
      <c r="GYG6" s="149"/>
      <c r="GYH6" s="149"/>
      <c r="GYI6" s="149"/>
      <c r="GYJ6" s="149"/>
      <c r="GYK6" s="149"/>
      <c r="GYL6" s="149"/>
      <c r="GYM6" s="149"/>
      <c r="GYN6" s="149"/>
      <c r="GYO6" s="149"/>
      <c r="GYP6" s="149"/>
      <c r="GYQ6" s="149"/>
      <c r="GYR6" s="149"/>
      <c r="GYS6" s="149"/>
      <c r="GYT6" s="149"/>
      <c r="GYU6" s="149"/>
      <c r="GYV6" s="149"/>
      <c r="GYW6" s="149"/>
      <c r="GYX6" s="149"/>
      <c r="GYY6" s="149"/>
      <c r="GYZ6" s="149"/>
      <c r="GZA6" s="149"/>
      <c r="GZB6" s="149"/>
      <c r="GZC6" s="149"/>
      <c r="GZD6" s="149"/>
      <c r="GZE6" s="149"/>
      <c r="GZF6" s="149"/>
      <c r="GZG6" s="149"/>
      <c r="GZH6" s="149"/>
      <c r="GZI6" s="149"/>
      <c r="GZJ6" s="149"/>
      <c r="GZK6" s="149"/>
      <c r="GZL6" s="149"/>
      <c r="GZM6" s="149"/>
      <c r="GZN6" s="149"/>
      <c r="GZO6" s="149"/>
      <c r="GZP6" s="149"/>
      <c r="GZQ6" s="149"/>
      <c r="GZR6" s="149"/>
      <c r="GZS6" s="149"/>
      <c r="GZT6" s="149"/>
      <c r="GZU6" s="149"/>
      <c r="GZV6" s="149"/>
      <c r="GZW6" s="149"/>
      <c r="GZX6" s="149"/>
      <c r="GZY6" s="149"/>
      <c r="GZZ6" s="149"/>
      <c r="HAA6" s="149"/>
      <c r="HAB6" s="149"/>
      <c r="HAC6" s="149"/>
      <c r="HAD6" s="149"/>
      <c r="HAE6" s="149"/>
      <c r="HAF6" s="149"/>
      <c r="HAG6" s="149"/>
      <c r="HAH6" s="149"/>
      <c r="HAI6" s="149"/>
      <c r="HAJ6" s="149"/>
      <c r="HAK6" s="149"/>
      <c r="HAL6" s="149"/>
      <c r="HAM6" s="149"/>
      <c r="HAN6" s="149"/>
      <c r="HAO6" s="149"/>
      <c r="HAP6" s="149"/>
      <c r="HAQ6" s="149"/>
      <c r="HAR6" s="149"/>
      <c r="HAS6" s="149"/>
      <c r="HAT6" s="149"/>
      <c r="HAU6" s="149"/>
      <c r="HAV6" s="149"/>
      <c r="HAW6" s="149"/>
      <c r="HAX6" s="149"/>
      <c r="HAY6" s="149"/>
      <c r="HAZ6" s="149"/>
      <c r="HBA6" s="149"/>
      <c r="HBB6" s="149"/>
      <c r="HBC6" s="149"/>
      <c r="HBD6" s="149"/>
      <c r="HBE6" s="149"/>
      <c r="HBF6" s="149"/>
      <c r="HBG6" s="149"/>
      <c r="HBH6" s="149"/>
      <c r="HBI6" s="149"/>
      <c r="HBJ6" s="149"/>
      <c r="HBK6" s="149"/>
      <c r="HBL6" s="149"/>
      <c r="HBM6" s="149"/>
      <c r="HBN6" s="149"/>
      <c r="HBO6" s="149"/>
      <c r="HBP6" s="149"/>
      <c r="HBQ6" s="149"/>
      <c r="HBR6" s="149"/>
      <c r="HBS6" s="149"/>
      <c r="HBT6" s="149"/>
      <c r="HBU6" s="149"/>
      <c r="HBV6" s="149"/>
      <c r="HBW6" s="149"/>
      <c r="HBX6" s="149"/>
      <c r="HBY6" s="149"/>
      <c r="HBZ6" s="149"/>
      <c r="HCA6" s="149"/>
      <c r="HCB6" s="149"/>
      <c r="HCC6" s="149"/>
      <c r="HCD6" s="149"/>
      <c r="HCE6" s="149"/>
      <c r="HCF6" s="149"/>
      <c r="HCG6" s="149"/>
      <c r="HCH6" s="149"/>
      <c r="HCI6" s="149"/>
      <c r="HCJ6" s="149"/>
      <c r="HCK6" s="149"/>
      <c r="HCL6" s="149"/>
      <c r="HCM6" s="149"/>
      <c r="HCN6" s="149"/>
      <c r="HCO6" s="149"/>
      <c r="HCP6" s="149"/>
      <c r="HCQ6" s="149"/>
      <c r="HCR6" s="149"/>
      <c r="HCS6" s="149"/>
      <c r="HCT6" s="149"/>
      <c r="HCU6" s="149"/>
      <c r="HCV6" s="149"/>
      <c r="HCW6" s="149"/>
      <c r="HCX6" s="149"/>
      <c r="HCY6" s="149"/>
      <c r="HCZ6" s="149"/>
      <c r="HDA6" s="149"/>
      <c r="HDB6" s="149"/>
      <c r="HDC6" s="149"/>
      <c r="HDD6" s="149"/>
      <c r="HDE6" s="149"/>
      <c r="HDF6" s="149"/>
      <c r="HDG6" s="149"/>
      <c r="HDH6" s="149"/>
      <c r="HDI6" s="149"/>
      <c r="HDJ6" s="149"/>
      <c r="HDK6" s="149"/>
      <c r="HDL6" s="149"/>
      <c r="HDM6" s="149"/>
      <c r="HDN6" s="149"/>
      <c r="HDO6" s="149"/>
      <c r="HDP6" s="149"/>
      <c r="HDQ6" s="149"/>
      <c r="HDR6" s="149"/>
      <c r="HDS6" s="149"/>
      <c r="HDT6" s="149"/>
      <c r="HDU6" s="149"/>
      <c r="HDV6" s="149"/>
      <c r="HDW6" s="149"/>
      <c r="HDX6" s="149"/>
      <c r="HDY6" s="149"/>
      <c r="HDZ6" s="149"/>
      <c r="HEA6" s="149"/>
      <c r="HEB6" s="149"/>
      <c r="HEC6" s="149"/>
      <c r="HED6" s="149"/>
      <c r="HEE6" s="149"/>
      <c r="HEF6" s="149"/>
      <c r="HEG6" s="149"/>
      <c r="HEH6" s="149"/>
      <c r="HEI6" s="149"/>
      <c r="HEJ6" s="149"/>
      <c r="HEK6" s="149"/>
      <c r="HEL6" s="149"/>
      <c r="HEM6" s="149"/>
      <c r="HEN6" s="149"/>
      <c r="HEO6" s="149"/>
      <c r="HEP6" s="149"/>
      <c r="HEQ6" s="149"/>
      <c r="HER6" s="149"/>
      <c r="HES6" s="149"/>
      <c r="HET6" s="149"/>
      <c r="HEU6" s="149"/>
      <c r="HEV6" s="149"/>
      <c r="HEW6" s="149"/>
      <c r="HEX6" s="149"/>
      <c r="HEY6" s="149"/>
      <c r="HEZ6" s="149"/>
      <c r="HFA6" s="149"/>
      <c r="HFB6" s="149"/>
      <c r="HFC6" s="149"/>
      <c r="HFD6" s="149"/>
      <c r="HFE6" s="149"/>
      <c r="HFF6" s="149"/>
      <c r="HFG6" s="149"/>
      <c r="HFH6" s="149"/>
      <c r="HFI6" s="149"/>
      <c r="HFJ6" s="149"/>
      <c r="HFK6" s="149"/>
      <c r="HFL6" s="149"/>
      <c r="HFM6" s="149"/>
      <c r="HFN6" s="149"/>
      <c r="HFO6" s="149"/>
      <c r="HFP6" s="149"/>
      <c r="HFQ6" s="149"/>
      <c r="HFR6" s="149"/>
      <c r="HFS6" s="149"/>
      <c r="HFT6" s="149"/>
      <c r="HFU6" s="149"/>
      <c r="HFV6" s="149"/>
      <c r="HFW6" s="149"/>
      <c r="HFX6" s="149"/>
      <c r="HFY6" s="149"/>
      <c r="HFZ6" s="149"/>
      <c r="HGA6" s="149"/>
      <c r="HGB6" s="149"/>
      <c r="HGC6" s="149"/>
      <c r="HGD6" s="149"/>
      <c r="HGE6" s="149"/>
      <c r="HGF6" s="149"/>
      <c r="HGG6" s="149"/>
      <c r="HGH6" s="149"/>
      <c r="HGI6" s="149"/>
      <c r="HGJ6" s="149"/>
      <c r="HGK6" s="149"/>
      <c r="HGL6" s="149"/>
      <c r="HGM6" s="149"/>
      <c r="HGN6" s="149"/>
      <c r="HGO6" s="149"/>
      <c r="HGP6" s="149"/>
      <c r="HGQ6" s="149"/>
      <c r="HGR6" s="149"/>
      <c r="HGS6" s="149"/>
      <c r="HGT6" s="149"/>
      <c r="HGU6" s="149"/>
      <c r="HGV6" s="149"/>
      <c r="HGW6" s="149"/>
      <c r="HGX6" s="149"/>
      <c r="HGY6" s="149"/>
      <c r="HGZ6" s="149"/>
      <c r="HHA6" s="149"/>
      <c r="HHB6" s="149"/>
      <c r="HHC6" s="149"/>
      <c r="HHD6" s="149"/>
      <c r="HHE6" s="149"/>
      <c r="HHF6" s="149"/>
      <c r="HHG6" s="149"/>
      <c r="HHH6" s="149"/>
      <c r="HHI6" s="149"/>
      <c r="HHJ6" s="149"/>
      <c r="HHK6" s="149"/>
      <c r="HHL6" s="149"/>
      <c r="HHM6" s="149"/>
      <c r="HHN6" s="149"/>
      <c r="HHO6" s="149"/>
      <c r="HHP6" s="149"/>
      <c r="HHQ6" s="149"/>
      <c r="HHR6" s="149"/>
      <c r="HHS6" s="149"/>
      <c r="HHT6" s="149"/>
      <c r="HHU6" s="149"/>
      <c r="HHV6" s="149"/>
      <c r="HHW6" s="149"/>
      <c r="HHX6" s="149"/>
      <c r="HHY6" s="149"/>
      <c r="HHZ6" s="149"/>
      <c r="HIA6" s="149"/>
      <c r="HIB6" s="149"/>
      <c r="HIC6" s="149"/>
      <c r="HID6" s="149"/>
      <c r="HIE6" s="149"/>
      <c r="HIF6" s="149"/>
      <c r="HIG6" s="149"/>
      <c r="HIH6" s="149"/>
      <c r="HII6" s="149"/>
      <c r="HIJ6" s="149"/>
      <c r="HIK6" s="149"/>
      <c r="HIL6" s="149"/>
      <c r="HIM6" s="149"/>
      <c r="HIN6" s="149"/>
      <c r="HIO6" s="149"/>
      <c r="HIP6" s="149"/>
      <c r="HIQ6" s="149"/>
      <c r="HIR6" s="149"/>
      <c r="HIS6" s="149"/>
      <c r="HIT6" s="149"/>
      <c r="HIU6" s="149"/>
      <c r="HIV6" s="149"/>
      <c r="HIW6" s="149"/>
      <c r="HIX6" s="149"/>
      <c r="HIY6" s="149"/>
      <c r="HIZ6" s="149"/>
      <c r="HJA6" s="149"/>
      <c r="HJB6" s="149"/>
      <c r="HJC6" s="149"/>
      <c r="HJD6" s="149"/>
      <c r="HJE6" s="149"/>
      <c r="HJF6" s="149"/>
      <c r="HJG6" s="149"/>
      <c r="HJH6" s="149"/>
      <c r="HJI6" s="149"/>
      <c r="HJJ6" s="149"/>
      <c r="HJK6" s="149"/>
      <c r="HJL6" s="149"/>
      <c r="HJM6" s="149"/>
      <c r="HJN6" s="149"/>
      <c r="HJO6" s="149"/>
      <c r="HJP6" s="149"/>
      <c r="HJQ6" s="149"/>
      <c r="HJR6" s="149"/>
      <c r="HJS6" s="149"/>
      <c r="HJT6" s="149"/>
      <c r="HJU6" s="149"/>
      <c r="HJV6" s="149"/>
      <c r="HJW6" s="149"/>
      <c r="HJX6" s="149"/>
      <c r="HJY6" s="149"/>
      <c r="HJZ6" s="149"/>
      <c r="HKA6" s="149"/>
      <c r="HKB6" s="149"/>
      <c r="HKC6" s="149"/>
      <c r="HKD6" s="149"/>
      <c r="HKE6" s="149"/>
      <c r="HKF6" s="149"/>
      <c r="HKG6" s="149"/>
      <c r="HKH6" s="149"/>
      <c r="HKI6" s="149"/>
      <c r="HKJ6" s="149"/>
      <c r="HKK6" s="149"/>
      <c r="HKL6" s="149"/>
      <c r="HKM6" s="149"/>
      <c r="HKN6" s="149"/>
      <c r="HKO6" s="149"/>
      <c r="HKP6" s="149"/>
      <c r="HKQ6" s="149"/>
      <c r="HKR6" s="149"/>
      <c r="HKS6" s="149"/>
      <c r="HKT6" s="149"/>
      <c r="HKU6" s="149"/>
      <c r="HKV6" s="149"/>
      <c r="HKW6" s="149"/>
      <c r="HKX6" s="149"/>
      <c r="HKY6" s="149"/>
      <c r="HKZ6" s="149"/>
      <c r="HLA6" s="149"/>
      <c r="HLB6" s="149"/>
      <c r="HLC6" s="149"/>
      <c r="HLD6" s="149"/>
      <c r="HLE6" s="149"/>
      <c r="HLF6" s="149"/>
      <c r="HLG6" s="149"/>
      <c r="HLH6" s="149"/>
      <c r="HLI6" s="149"/>
      <c r="HLJ6" s="149"/>
      <c r="HLK6" s="149"/>
      <c r="HLL6" s="149"/>
      <c r="HLM6" s="149"/>
      <c r="HLN6" s="149"/>
      <c r="HLO6" s="149"/>
      <c r="HLP6" s="149"/>
      <c r="HLQ6" s="149"/>
      <c r="HLR6" s="149"/>
      <c r="HLS6" s="149"/>
      <c r="HLT6" s="149"/>
      <c r="HLU6" s="149"/>
      <c r="HLV6" s="149"/>
      <c r="HLW6" s="149"/>
      <c r="HLX6" s="149"/>
      <c r="HLY6" s="149"/>
      <c r="HLZ6" s="149"/>
      <c r="HMA6" s="149"/>
      <c r="HMB6" s="149"/>
      <c r="HMC6" s="149"/>
      <c r="HMD6" s="149"/>
      <c r="HME6" s="149"/>
      <c r="HMF6" s="149"/>
      <c r="HMG6" s="149"/>
      <c r="HMH6" s="149"/>
      <c r="HMI6" s="149"/>
      <c r="HMJ6" s="149"/>
      <c r="HMK6" s="149"/>
      <c r="HML6" s="149"/>
      <c r="HMM6" s="149"/>
      <c r="HMN6" s="149"/>
      <c r="HMO6" s="149"/>
      <c r="HMP6" s="149"/>
      <c r="HMQ6" s="149"/>
      <c r="HMR6" s="149"/>
      <c r="HMS6" s="149"/>
      <c r="HMT6" s="149"/>
      <c r="HMU6" s="149"/>
      <c r="HMV6" s="149"/>
      <c r="HMW6" s="149"/>
      <c r="HMX6" s="149"/>
      <c r="HMY6" s="149"/>
      <c r="HMZ6" s="149"/>
      <c r="HNA6" s="149"/>
      <c r="HNB6" s="149"/>
      <c r="HNC6" s="149"/>
      <c r="HND6" s="149"/>
      <c r="HNE6" s="149"/>
      <c r="HNF6" s="149"/>
      <c r="HNG6" s="149"/>
      <c r="HNH6" s="149"/>
      <c r="HNI6" s="149"/>
      <c r="HNJ6" s="149"/>
      <c r="HNK6" s="149"/>
      <c r="HNL6" s="149"/>
      <c r="HNM6" s="149"/>
      <c r="HNN6" s="149"/>
      <c r="HNO6" s="149"/>
      <c r="HNP6" s="149"/>
      <c r="HNQ6" s="149"/>
      <c r="HNR6" s="149"/>
      <c r="HNS6" s="149"/>
      <c r="HNT6" s="149"/>
      <c r="HNU6" s="149"/>
      <c r="HNV6" s="149"/>
      <c r="HNW6" s="149"/>
      <c r="HNX6" s="149"/>
      <c r="HNY6" s="149"/>
      <c r="HNZ6" s="149"/>
      <c r="HOA6" s="149"/>
      <c r="HOB6" s="149"/>
      <c r="HOC6" s="149"/>
      <c r="HOD6" s="149"/>
      <c r="HOE6" s="149"/>
      <c r="HOF6" s="149"/>
      <c r="HOG6" s="149"/>
      <c r="HOH6" s="149"/>
      <c r="HOI6" s="149"/>
      <c r="HOJ6" s="149"/>
      <c r="HOK6" s="149"/>
      <c r="HOL6" s="149"/>
      <c r="HOM6" s="149"/>
      <c r="HON6" s="149"/>
      <c r="HOO6" s="149"/>
      <c r="HOP6" s="149"/>
      <c r="HOQ6" s="149"/>
      <c r="HOR6" s="149"/>
      <c r="HOS6" s="149"/>
      <c r="HOT6" s="149"/>
      <c r="HOU6" s="149"/>
      <c r="HOV6" s="149"/>
      <c r="HOW6" s="149"/>
      <c r="HOX6" s="149"/>
      <c r="HOY6" s="149"/>
      <c r="HOZ6" s="149"/>
      <c r="HPA6" s="149"/>
      <c r="HPB6" s="149"/>
      <c r="HPC6" s="149"/>
      <c r="HPD6" s="149"/>
      <c r="HPE6" s="149"/>
      <c r="HPF6" s="149"/>
      <c r="HPG6" s="149"/>
      <c r="HPH6" s="149"/>
      <c r="HPI6" s="149"/>
      <c r="HPJ6" s="149"/>
      <c r="HPK6" s="149"/>
      <c r="HPL6" s="149"/>
      <c r="HPM6" s="149"/>
      <c r="HPN6" s="149"/>
      <c r="HPO6" s="149"/>
      <c r="HPP6" s="149"/>
      <c r="HPQ6" s="149"/>
      <c r="HPR6" s="149"/>
      <c r="HPS6" s="149"/>
      <c r="HPT6" s="149"/>
      <c r="HPU6" s="149"/>
      <c r="HPV6" s="149"/>
      <c r="HPW6" s="149"/>
      <c r="HPX6" s="149"/>
      <c r="HPY6" s="149"/>
      <c r="HPZ6" s="149"/>
      <c r="HQA6" s="149"/>
      <c r="HQB6" s="149"/>
      <c r="HQC6" s="149"/>
      <c r="HQD6" s="149"/>
      <c r="HQE6" s="149"/>
      <c r="HQF6" s="149"/>
      <c r="HQG6" s="149"/>
      <c r="HQH6" s="149"/>
      <c r="HQI6" s="149"/>
      <c r="HQJ6" s="149"/>
      <c r="HQK6" s="149"/>
      <c r="HQL6" s="149"/>
      <c r="HQM6" s="149"/>
      <c r="HQN6" s="149"/>
      <c r="HQO6" s="149"/>
      <c r="HQP6" s="149"/>
      <c r="HQQ6" s="149"/>
      <c r="HQR6" s="149"/>
      <c r="HQS6" s="149"/>
      <c r="HQT6" s="149"/>
      <c r="HQU6" s="149"/>
      <c r="HQV6" s="149"/>
      <c r="HQW6" s="149"/>
      <c r="HQX6" s="149"/>
      <c r="HQY6" s="149"/>
      <c r="HQZ6" s="149"/>
      <c r="HRA6" s="149"/>
      <c r="HRB6" s="149"/>
      <c r="HRC6" s="149"/>
      <c r="HRD6" s="149"/>
      <c r="HRE6" s="149"/>
      <c r="HRF6" s="149"/>
      <c r="HRG6" s="149"/>
      <c r="HRH6" s="149"/>
      <c r="HRI6" s="149"/>
      <c r="HRJ6" s="149"/>
      <c r="HRK6" s="149"/>
      <c r="HRL6" s="149"/>
      <c r="HRM6" s="149"/>
      <c r="HRN6" s="149"/>
      <c r="HRO6" s="149"/>
      <c r="HRP6" s="149"/>
      <c r="HRQ6" s="149"/>
      <c r="HRR6" s="149"/>
      <c r="HRS6" s="149"/>
      <c r="HRT6" s="149"/>
      <c r="HRU6" s="149"/>
      <c r="HRV6" s="149"/>
      <c r="HRW6" s="149"/>
      <c r="HRX6" s="149"/>
      <c r="HRY6" s="149"/>
      <c r="HRZ6" s="149"/>
      <c r="HSA6" s="149"/>
      <c r="HSB6" s="149"/>
      <c r="HSC6" s="149"/>
      <c r="HSD6" s="149"/>
      <c r="HSE6" s="149"/>
      <c r="HSF6" s="149"/>
      <c r="HSG6" s="149"/>
      <c r="HSH6" s="149"/>
      <c r="HSI6" s="149"/>
      <c r="HSJ6" s="149"/>
      <c r="HSK6" s="149"/>
      <c r="HSL6" s="149"/>
      <c r="HSM6" s="149"/>
      <c r="HSN6" s="149"/>
      <c r="HSO6" s="149"/>
      <c r="HSP6" s="149"/>
      <c r="HSQ6" s="149"/>
      <c r="HSR6" s="149"/>
      <c r="HSS6" s="149"/>
      <c r="HST6" s="149"/>
      <c r="HSU6" s="149"/>
      <c r="HSV6" s="149"/>
      <c r="HSW6" s="149"/>
      <c r="HSX6" s="149"/>
      <c r="HSY6" s="149"/>
      <c r="HSZ6" s="149"/>
      <c r="HTA6" s="149"/>
      <c r="HTB6" s="149"/>
      <c r="HTC6" s="149"/>
      <c r="HTD6" s="149"/>
      <c r="HTE6" s="149"/>
      <c r="HTF6" s="149"/>
      <c r="HTG6" s="149"/>
      <c r="HTH6" s="149"/>
      <c r="HTI6" s="149"/>
      <c r="HTJ6" s="149"/>
      <c r="HTK6" s="149"/>
      <c r="HTL6" s="149"/>
      <c r="HTM6" s="149"/>
      <c r="HTN6" s="149"/>
      <c r="HTO6" s="149"/>
      <c r="HTP6" s="149"/>
      <c r="HTQ6" s="149"/>
      <c r="HTR6" s="149"/>
      <c r="HTS6" s="149"/>
      <c r="HTT6" s="149"/>
      <c r="HTU6" s="149"/>
      <c r="HTV6" s="149"/>
      <c r="HTW6" s="149"/>
      <c r="HTX6" s="149"/>
      <c r="HTY6" s="149"/>
      <c r="HTZ6" s="149"/>
      <c r="HUA6" s="149"/>
      <c r="HUB6" s="149"/>
      <c r="HUC6" s="149"/>
      <c r="HUD6" s="149"/>
      <c r="HUE6" s="149"/>
      <c r="HUF6" s="149"/>
      <c r="HUG6" s="149"/>
      <c r="HUH6" s="149"/>
      <c r="HUI6" s="149"/>
      <c r="HUJ6" s="149"/>
      <c r="HUK6" s="149"/>
      <c r="HUL6" s="149"/>
      <c r="HUM6" s="149"/>
      <c r="HUN6" s="149"/>
      <c r="HUO6" s="149"/>
      <c r="HUP6" s="149"/>
      <c r="HUQ6" s="149"/>
      <c r="HUR6" s="149"/>
      <c r="HUS6" s="149"/>
      <c r="HUT6" s="149"/>
      <c r="HUU6" s="149"/>
      <c r="HUV6" s="149"/>
      <c r="HUW6" s="149"/>
      <c r="HUX6" s="149"/>
      <c r="HUY6" s="149"/>
      <c r="HUZ6" s="149"/>
      <c r="HVA6" s="149"/>
      <c r="HVB6" s="149"/>
      <c r="HVC6" s="149"/>
      <c r="HVD6" s="149"/>
      <c r="HVE6" s="149"/>
      <c r="HVF6" s="149"/>
      <c r="HVG6" s="149"/>
      <c r="HVH6" s="149"/>
      <c r="HVI6" s="149"/>
      <c r="HVJ6" s="149"/>
      <c r="HVK6" s="149"/>
      <c r="HVL6" s="149"/>
      <c r="HVM6" s="149"/>
      <c r="HVN6" s="149"/>
      <c r="HVO6" s="149"/>
      <c r="HVP6" s="149"/>
      <c r="HVQ6" s="149"/>
      <c r="HVR6" s="149"/>
      <c r="HVS6" s="149"/>
      <c r="HVT6" s="149"/>
      <c r="HVU6" s="149"/>
      <c r="HVV6" s="149"/>
      <c r="HVW6" s="149"/>
      <c r="HVX6" s="149"/>
      <c r="HVY6" s="149"/>
      <c r="HVZ6" s="149"/>
      <c r="HWA6" s="149"/>
      <c r="HWB6" s="149"/>
      <c r="HWC6" s="149"/>
      <c r="HWD6" s="149"/>
      <c r="HWE6" s="149"/>
      <c r="HWF6" s="149"/>
      <c r="HWG6" s="149"/>
      <c r="HWH6" s="149"/>
      <c r="HWI6" s="149"/>
      <c r="HWJ6" s="149"/>
      <c r="HWK6" s="149"/>
      <c r="HWL6" s="149"/>
      <c r="HWM6" s="149"/>
      <c r="HWN6" s="149"/>
      <c r="HWO6" s="149"/>
      <c r="HWP6" s="149"/>
      <c r="HWQ6" s="149"/>
      <c r="HWR6" s="149"/>
      <c r="HWS6" s="149"/>
      <c r="HWT6" s="149"/>
      <c r="HWU6" s="149"/>
      <c r="HWV6" s="149"/>
      <c r="HWW6" s="149"/>
      <c r="HWX6" s="149"/>
      <c r="HWY6" s="149"/>
      <c r="HWZ6" s="149"/>
      <c r="HXA6" s="149"/>
      <c r="HXB6" s="149"/>
      <c r="HXC6" s="149"/>
      <c r="HXD6" s="149"/>
      <c r="HXE6" s="149"/>
      <c r="HXF6" s="149"/>
      <c r="HXG6" s="149"/>
      <c r="HXH6" s="149"/>
      <c r="HXI6" s="149"/>
      <c r="HXJ6" s="149"/>
      <c r="HXK6" s="149"/>
      <c r="HXL6" s="149"/>
      <c r="HXM6" s="149"/>
      <c r="HXN6" s="149"/>
      <c r="HXO6" s="149"/>
      <c r="HXP6" s="149"/>
      <c r="HXQ6" s="149"/>
      <c r="HXR6" s="149"/>
      <c r="HXS6" s="149"/>
      <c r="HXT6" s="149"/>
      <c r="HXU6" s="149"/>
      <c r="HXV6" s="149"/>
      <c r="HXW6" s="149"/>
      <c r="HXX6" s="149"/>
      <c r="HXY6" s="149"/>
      <c r="HXZ6" s="149"/>
      <c r="HYA6" s="149"/>
      <c r="HYB6" s="149"/>
      <c r="HYC6" s="149"/>
      <c r="HYD6" s="149"/>
      <c r="HYE6" s="149"/>
      <c r="HYF6" s="149"/>
      <c r="HYG6" s="149"/>
      <c r="HYH6" s="149"/>
      <c r="HYI6" s="149"/>
      <c r="HYJ6" s="149"/>
      <c r="HYK6" s="149"/>
      <c r="HYL6" s="149"/>
      <c r="HYM6" s="149"/>
      <c r="HYN6" s="149"/>
      <c r="HYO6" s="149"/>
      <c r="HYP6" s="149"/>
      <c r="HYQ6" s="149"/>
      <c r="HYR6" s="149"/>
      <c r="HYS6" s="149"/>
      <c r="HYT6" s="149"/>
      <c r="HYU6" s="149"/>
      <c r="HYV6" s="149"/>
      <c r="HYW6" s="149"/>
      <c r="HYX6" s="149"/>
      <c r="HYY6" s="149"/>
      <c r="HYZ6" s="149"/>
      <c r="HZA6" s="149"/>
      <c r="HZB6" s="149"/>
      <c r="HZC6" s="149"/>
      <c r="HZD6" s="149"/>
      <c r="HZE6" s="149"/>
      <c r="HZF6" s="149"/>
      <c r="HZG6" s="149"/>
      <c r="HZH6" s="149"/>
      <c r="HZI6" s="149"/>
      <c r="HZJ6" s="149"/>
      <c r="HZK6" s="149"/>
      <c r="HZL6" s="149"/>
      <c r="HZM6" s="149"/>
      <c r="HZN6" s="149"/>
      <c r="HZO6" s="149"/>
      <c r="HZP6" s="149"/>
      <c r="HZQ6" s="149"/>
      <c r="HZR6" s="149"/>
      <c r="HZS6" s="149"/>
      <c r="HZT6" s="149"/>
      <c r="HZU6" s="149"/>
      <c r="HZV6" s="149"/>
      <c r="HZW6" s="149"/>
      <c r="HZX6" s="149"/>
      <c r="HZY6" s="149"/>
      <c r="HZZ6" s="149"/>
      <c r="IAA6" s="149"/>
      <c r="IAB6" s="149"/>
      <c r="IAC6" s="149"/>
      <c r="IAD6" s="149"/>
      <c r="IAE6" s="149"/>
      <c r="IAF6" s="149"/>
      <c r="IAG6" s="149"/>
      <c r="IAH6" s="149"/>
      <c r="IAI6" s="149"/>
      <c r="IAJ6" s="149"/>
      <c r="IAK6" s="149"/>
      <c r="IAL6" s="149"/>
      <c r="IAM6" s="149"/>
      <c r="IAN6" s="149"/>
      <c r="IAO6" s="149"/>
      <c r="IAP6" s="149"/>
      <c r="IAQ6" s="149"/>
      <c r="IAR6" s="149"/>
      <c r="IAS6" s="149"/>
      <c r="IAT6" s="149"/>
      <c r="IAU6" s="149"/>
      <c r="IAV6" s="149"/>
      <c r="IAW6" s="149"/>
      <c r="IAX6" s="149"/>
      <c r="IAY6" s="149"/>
      <c r="IAZ6" s="149"/>
      <c r="IBA6" s="149"/>
      <c r="IBB6" s="149"/>
      <c r="IBC6" s="149"/>
      <c r="IBD6" s="149"/>
      <c r="IBE6" s="149"/>
      <c r="IBF6" s="149"/>
      <c r="IBG6" s="149"/>
      <c r="IBH6" s="149"/>
      <c r="IBI6" s="149"/>
      <c r="IBJ6" s="149"/>
      <c r="IBK6" s="149"/>
      <c r="IBL6" s="149"/>
      <c r="IBM6" s="149"/>
      <c r="IBN6" s="149"/>
      <c r="IBO6" s="149"/>
      <c r="IBP6" s="149"/>
      <c r="IBQ6" s="149"/>
      <c r="IBR6" s="149"/>
      <c r="IBS6" s="149"/>
      <c r="IBT6" s="149"/>
      <c r="IBU6" s="149"/>
      <c r="IBV6" s="149"/>
      <c r="IBW6" s="149"/>
      <c r="IBX6" s="149"/>
      <c r="IBY6" s="149"/>
      <c r="IBZ6" s="149"/>
      <c r="ICA6" s="149"/>
      <c r="ICB6" s="149"/>
      <c r="ICC6" s="149"/>
      <c r="ICD6" s="149"/>
      <c r="ICE6" s="149"/>
      <c r="ICF6" s="149"/>
      <c r="ICG6" s="149"/>
      <c r="ICH6" s="149"/>
      <c r="ICI6" s="149"/>
      <c r="ICJ6" s="149"/>
      <c r="ICK6" s="149"/>
      <c r="ICL6" s="149"/>
      <c r="ICM6" s="149"/>
      <c r="ICN6" s="149"/>
      <c r="ICO6" s="149"/>
      <c r="ICP6" s="149"/>
      <c r="ICQ6" s="149"/>
      <c r="ICR6" s="149"/>
      <c r="ICS6" s="149"/>
      <c r="ICT6" s="149"/>
      <c r="ICU6" s="149"/>
      <c r="ICV6" s="149"/>
      <c r="ICW6" s="149"/>
      <c r="ICX6" s="149"/>
      <c r="ICY6" s="149"/>
      <c r="ICZ6" s="149"/>
      <c r="IDA6" s="149"/>
      <c r="IDB6" s="149"/>
      <c r="IDC6" s="149"/>
      <c r="IDD6" s="149"/>
      <c r="IDE6" s="149"/>
      <c r="IDF6" s="149"/>
      <c r="IDG6" s="149"/>
      <c r="IDH6" s="149"/>
      <c r="IDI6" s="149"/>
      <c r="IDJ6" s="149"/>
      <c r="IDK6" s="149"/>
      <c r="IDL6" s="149"/>
      <c r="IDM6" s="149"/>
      <c r="IDN6" s="149"/>
      <c r="IDO6" s="149"/>
      <c r="IDP6" s="149"/>
      <c r="IDQ6" s="149"/>
      <c r="IDR6" s="149"/>
      <c r="IDS6" s="149"/>
      <c r="IDT6" s="149"/>
      <c r="IDU6" s="149"/>
      <c r="IDV6" s="149"/>
      <c r="IDW6" s="149"/>
      <c r="IDX6" s="149"/>
      <c r="IDY6" s="149"/>
      <c r="IDZ6" s="149"/>
      <c r="IEA6" s="149"/>
      <c r="IEB6" s="149"/>
      <c r="IEC6" s="149"/>
      <c r="IED6" s="149"/>
      <c r="IEE6" s="149"/>
      <c r="IEF6" s="149"/>
      <c r="IEG6" s="149"/>
      <c r="IEH6" s="149"/>
      <c r="IEI6" s="149"/>
      <c r="IEJ6" s="149"/>
      <c r="IEK6" s="149"/>
      <c r="IEL6" s="149"/>
      <c r="IEM6" s="149"/>
      <c r="IEN6" s="149"/>
      <c r="IEO6" s="149"/>
      <c r="IEP6" s="149"/>
      <c r="IEQ6" s="149"/>
      <c r="IER6" s="149"/>
      <c r="IES6" s="149"/>
      <c r="IET6" s="149"/>
      <c r="IEU6" s="149"/>
      <c r="IEV6" s="149"/>
      <c r="IEW6" s="149"/>
      <c r="IEX6" s="149"/>
      <c r="IEY6" s="149"/>
      <c r="IEZ6" s="149"/>
      <c r="IFA6" s="149"/>
      <c r="IFB6" s="149"/>
      <c r="IFC6" s="149"/>
      <c r="IFD6" s="149"/>
      <c r="IFE6" s="149"/>
      <c r="IFF6" s="149"/>
      <c r="IFG6" s="149"/>
      <c r="IFH6" s="149"/>
      <c r="IFI6" s="149"/>
      <c r="IFJ6" s="149"/>
      <c r="IFK6" s="149"/>
      <c r="IFL6" s="149"/>
      <c r="IFM6" s="149"/>
      <c r="IFN6" s="149"/>
      <c r="IFO6" s="149"/>
      <c r="IFP6" s="149"/>
      <c r="IFQ6" s="149"/>
      <c r="IFR6" s="149"/>
      <c r="IFS6" s="149"/>
      <c r="IFT6" s="149"/>
      <c r="IFU6" s="149"/>
      <c r="IFV6" s="149"/>
      <c r="IFW6" s="149"/>
      <c r="IFX6" s="149"/>
      <c r="IFY6" s="149"/>
      <c r="IFZ6" s="149"/>
      <c r="IGA6" s="149"/>
      <c r="IGB6" s="149"/>
      <c r="IGC6" s="149"/>
      <c r="IGD6" s="149"/>
      <c r="IGE6" s="149"/>
      <c r="IGF6" s="149"/>
      <c r="IGG6" s="149"/>
      <c r="IGH6" s="149"/>
      <c r="IGI6" s="149"/>
      <c r="IGJ6" s="149"/>
      <c r="IGK6" s="149"/>
      <c r="IGL6" s="149"/>
      <c r="IGM6" s="149"/>
      <c r="IGN6" s="149"/>
      <c r="IGO6" s="149"/>
      <c r="IGP6" s="149"/>
      <c r="IGQ6" s="149"/>
      <c r="IGR6" s="149"/>
      <c r="IGS6" s="149"/>
      <c r="IGT6" s="149"/>
      <c r="IGU6" s="149"/>
      <c r="IGV6" s="149"/>
      <c r="IGW6" s="149"/>
      <c r="IGX6" s="149"/>
      <c r="IGY6" s="149"/>
      <c r="IGZ6" s="149"/>
      <c r="IHA6" s="149"/>
      <c r="IHB6" s="149"/>
      <c r="IHC6" s="149"/>
      <c r="IHD6" s="149"/>
      <c r="IHE6" s="149"/>
      <c r="IHF6" s="149"/>
      <c r="IHG6" s="149"/>
      <c r="IHH6" s="149"/>
      <c r="IHI6" s="149"/>
      <c r="IHJ6" s="149"/>
      <c r="IHK6" s="149"/>
      <c r="IHL6" s="149"/>
      <c r="IHM6" s="149"/>
      <c r="IHN6" s="149"/>
      <c r="IHO6" s="149"/>
      <c r="IHP6" s="149"/>
      <c r="IHQ6" s="149"/>
      <c r="IHR6" s="149"/>
      <c r="IHS6" s="149"/>
      <c r="IHT6" s="149"/>
      <c r="IHU6" s="149"/>
      <c r="IHV6" s="149"/>
      <c r="IHW6" s="149"/>
      <c r="IHX6" s="149"/>
      <c r="IHY6" s="149"/>
      <c r="IHZ6" s="149"/>
      <c r="IIA6" s="149"/>
      <c r="IIB6" s="149"/>
      <c r="IIC6" s="149"/>
      <c r="IID6" s="149"/>
      <c r="IIE6" s="149"/>
      <c r="IIF6" s="149"/>
      <c r="IIG6" s="149"/>
      <c r="IIH6" s="149"/>
      <c r="III6" s="149"/>
      <c r="IIJ6" s="149"/>
      <c r="IIK6" s="149"/>
      <c r="IIL6" s="149"/>
      <c r="IIM6" s="149"/>
      <c r="IIN6" s="149"/>
      <c r="IIO6" s="149"/>
      <c r="IIP6" s="149"/>
      <c r="IIQ6" s="149"/>
      <c r="IIR6" s="149"/>
      <c r="IIS6" s="149"/>
      <c r="IIT6" s="149"/>
      <c r="IIU6" s="149"/>
      <c r="IIV6" s="149"/>
      <c r="IIW6" s="149"/>
      <c r="IIX6" s="149"/>
      <c r="IIY6" s="149"/>
      <c r="IIZ6" s="149"/>
      <c r="IJA6" s="149"/>
      <c r="IJB6" s="149"/>
      <c r="IJC6" s="149"/>
      <c r="IJD6" s="149"/>
      <c r="IJE6" s="149"/>
      <c r="IJF6" s="149"/>
      <c r="IJG6" s="149"/>
      <c r="IJH6" s="149"/>
      <c r="IJI6" s="149"/>
      <c r="IJJ6" s="149"/>
      <c r="IJK6" s="149"/>
      <c r="IJL6" s="149"/>
      <c r="IJM6" s="149"/>
      <c r="IJN6" s="149"/>
      <c r="IJO6" s="149"/>
      <c r="IJP6" s="149"/>
      <c r="IJQ6" s="149"/>
      <c r="IJR6" s="149"/>
      <c r="IJS6" s="149"/>
      <c r="IJT6" s="149"/>
      <c r="IJU6" s="149"/>
      <c r="IJV6" s="149"/>
      <c r="IJW6" s="149"/>
      <c r="IJX6" s="149"/>
      <c r="IJY6" s="149"/>
      <c r="IJZ6" s="149"/>
      <c r="IKA6" s="149"/>
      <c r="IKB6" s="149"/>
      <c r="IKC6" s="149"/>
      <c r="IKD6" s="149"/>
      <c r="IKE6" s="149"/>
      <c r="IKF6" s="149"/>
      <c r="IKG6" s="149"/>
      <c r="IKH6" s="149"/>
      <c r="IKI6" s="149"/>
      <c r="IKJ6" s="149"/>
      <c r="IKK6" s="149"/>
      <c r="IKL6" s="149"/>
      <c r="IKM6" s="149"/>
      <c r="IKN6" s="149"/>
      <c r="IKO6" s="149"/>
      <c r="IKP6" s="149"/>
      <c r="IKQ6" s="149"/>
      <c r="IKR6" s="149"/>
      <c r="IKS6" s="149"/>
      <c r="IKT6" s="149"/>
      <c r="IKU6" s="149"/>
      <c r="IKV6" s="149"/>
      <c r="IKW6" s="149"/>
      <c r="IKX6" s="149"/>
      <c r="IKY6" s="149"/>
      <c r="IKZ6" s="149"/>
      <c r="ILA6" s="149"/>
      <c r="ILB6" s="149"/>
      <c r="ILC6" s="149"/>
      <c r="ILD6" s="149"/>
      <c r="ILE6" s="149"/>
      <c r="ILF6" s="149"/>
      <c r="ILG6" s="149"/>
      <c r="ILH6" s="149"/>
      <c r="ILI6" s="149"/>
      <c r="ILJ6" s="149"/>
      <c r="ILK6" s="149"/>
      <c r="ILL6" s="149"/>
      <c r="ILM6" s="149"/>
      <c r="ILN6" s="149"/>
      <c r="ILO6" s="149"/>
      <c r="ILP6" s="149"/>
      <c r="ILQ6" s="149"/>
      <c r="ILR6" s="149"/>
      <c r="ILS6" s="149"/>
      <c r="ILT6" s="149"/>
      <c r="ILU6" s="149"/>
      <c r="ILV6" s="149"/>
      <c r="ILW6" s="149"/>
      <c r="ILX6" s="149"/>
      <c r="ILY6" s="149"/>
      <c r="ILZ6" s="149"/>
      <c r="IMA6" s="149"/>
      <c r="IMB6" s="149"/>
      <c r="IMC6" s="149"/>
      <c r="IMD6" s="149"/>
      <c r="IME6" s="149"/>
      <c r="IMF6" s="149"/>
      <c r="IMG6" s="149"/>
      <c r="IMH6" s="149"/>
      <c r="IMI6" s="149"/>
      <c r="IMJ6" s="149"/>
      <c r="IMK6" s="149"/>
      <c r="IML6" s="149"/>
      <c r="IMM6" s="149"/>
      <c r="IMN6" s="149"/>
      <c r="IMO6" s="149"/>
      <c r="IMP6" s="149"/>
      <c r="IMQ6" s="149"/>
      <c r="IMR6" s="149"/>
      <c r="IMS6" s="149"/>
      <c r="IMT6" s="149"/>
      <c r="IMU6" s="149"/>
      <c r="IMV6" s="149"/>
      <c r="IMW6" s="149"/>
      <c r="IMX6" s="149"/>
      <c r="IMY6" s="149"/>
      <c r="IMZ6" s="149"/>
      <c r="INA6" s="149"/>
      <c r="INB6" s="149"/>
      <c r="INC6" s="149"/>
      <c r="IND6" s="149"/>
      <c r="INE6" s="149"/>
      <c r="INF6" s="149"/>
      <c r="ING6" s="149"/>
      <c r="INH6" s="149"/>
      <c r="INI6" s="149"/>
      <c r="INJ6" s="149"/>
      <c r="INK6" s="149"/>
      <c r="INL6" s="149"/>
      <c r="INM6" s="149"/>
      <c r="INN6" s="149"/>
      <c r="INO6" s="149"/>
      <c r="INP6" s="149"/>
      <c r="INQ6" s="149"/>
      <c r="INR6" s="149"/>
      <c r="INS6" s="149"/>
      <c r="INT6" s="149"/>
      <c r="INU6" s="149"/>
      <c r="INV6" s="149"/>
      <c r="INW6" s="149"/>
      <c r="INX6" s="149"/>
      <c r="INY6" s="149"/>
      <c r="INZ6" s="149"/>
      <c r="IOA6" s="149"/>
      <c r="IOB6" s="149"/>
      <c r="IOC6" s="149"/>
      <c r="IOD6" s="149"/>
      <c r="IOE6" s="149"/>
      <c r="IOF6" s="149"/>
      <c r="IOG6" s="149"/>
      <c r="IOH6" s="149"/>
      <c r="IOI6" s="149"/>
      <c r="IOJ6" s="149"/>
      <c r="IOK6" s="149"/>
      <c r="IOL6" s="149"/>
      <c r="IOM6" s="149"/>
      <c r="ION6" s="149"/>
      <c r="IOO6" s="149"/>
      <c r="IOP6" s="149"/>
      <c r="IOQ6" s="149"/>
      <c r="IOR6" s="149"/>
      <c r="IOS6" s="149"/>
      <c r="IOT6" s="149"/>
      <c r="IOU6" s="149"/>
      <c r="IOV6" s="149"/>
      <c r="IOW6" s="149"/>
      <c r="IOX6" s="149"/>
      <c r="IOY6" s="149"/>
      <c r="IOZ6" s="149"/>
      <c r="IPA6" s="149"/>
      <c r="IPB6" s="149"/>
      <c r="IPC6" s="149"/>
      <c r="IPD6" s="149"/>
      <c r="IPE6" s="149"/>
      <c r="IPF6" s="149"/>
      <c r="IPG6" s="149"/>
      <c r="IPH6" s="149"/>
      <c r="IPI6" s="149"/>
      <c r="IPJ6" s="149"/>
      <c r="IPK6" s="149"/>
      <c r="IPL6" s="149"/>
      <c r="IPM6" s="149"/>
      <c r="IPN6" s="149"/>
      <c r="IPO6" s="149"/>
      <c r="IPP6" s="149"/>
      <c r="IPQ6" s="149"/>
      <c r="IPR6" s="149"/>
      <c r="IPS6" s="149"/>
      <c r="IPT6" s="149"/>
      <c r="IPU6" s="149"/>
      <c r="IPV6" s="149"/>
      <c r="IPW6" s="149"/>
      <c r="IPX6" s="149"/>
      <c r="IPY6" s="149"/>
      <c r="IPZ6" s="149"/>
      <c r="IQA6" s="149"/>
      <c r="IQB6" s="149"/>
      <c r="IQC6" s="149"/>
      <c r="IQD6" s="149"/>
      <c r="IQE6" s="149"/>
      <c r="IQF6" s="149"/>
      <c r="IQG6" s="149"/>
      <c r="IQH6" s="149"/>
      <c r="IQI6" s="149"/>
      <c r="IQJ6" s="149"/>
      <c r="IQK6" s="149"/>
      <c r="IQL6" s="149"/>
      <c r="IQM6" s="149"/>
      <c r="IQN6" s="149"/>
      <c r="IQO6" s="149"/>
      <c r="IQP6" s="149"/>
      <c r="IQQ6" s="149"/>
      <c r="IQR6" s="149"/>
      <c r="IQS6" s="149"/>
      <c r="IQT6" s="149"/>
      <c r="IQU6" s="149"/>
      <c r="IQV6" s="149"/>
      <c r="IQW6" s="149"/>
      <c r="IQX6" s="149"/>
      <c r="IQY6" s="149"/>
      <c r="IQZ6" s="149"/>
      <c r="IRA6" s="149"/>
      <c r="IRB6" s="149"/>
      <c r="IRC6" s="149"/>
      <c r="IRD6" s="149"/>
      <c r="IRE6" s="149"/>
      <c r="IRF6" s="149"/>
      <c r="IRG6" s="149"/>
      <c r="IRH6" s="149"/>
      <c r="IRI6" s="149"/>
      <c r="IRJ6" s="149"/>
      <c r="IRK6" s="149"/>
      <c r="IRL6" s="149"/>
      <c r="IRM6" s="149"/>
      <c r="IRN6" s="149"/>
      <c r="IRO6" s="149"/>
      <c r="IRP6" s="149"/>
      <c r="IRQ6" s="149"/>
      <c r="IRR6" s="149"/>
      <c r="IRS6" s="149"/>
      <c r="IRT6" s="149"/>
      <c r="IRU6" s="149"/>
      <c r="IRV6" s="149"/>
      <c r="IRW6" s="149"/>
      <c r="IRX6" s="149"/>
      <c r="IRY6" s="149"/>
      <c r="IRZ6" s="149"/>
      <c r="ISA6" s="149"/>
      <c r="ISB6" s="149"/>
      <c r="ISC6" s="149"/>
      <c r="ISD6" s="149"/>
      <c r="ISE6" s="149"/>
      <c r="ISF6" s="149"/>
      <c r="ISG6" s="149"/>
      <c r="ISH6" s="149"/>
      <c r="ISI6" s="149"/>
      <c r="ISJ6" s="149"/>
      <c r="ISK6" s="149"/>
      <c r="ISL6" s="149"/>
      <c r="ISM6" s="149"/>
      <c r="ISN6" s="149"/>
      <c r="ISO6" s="149"/>
      <c r="ISP6" s="149"/>
      <c r="ISQ6" s="149"/>
      <c r="ISR6" s="149"/>
      <c r="ISS6" s="149"/>
      <c r="IST6" s="149"/>
      <c r="ISU6" s="149"/>
      <c r="ISV6" s="149"/>
      <c r="ISW6" s="149"/>
      <c r="ISX6" s="149"/>
      <c r="ISY6" s="149"/>
      <c r="ISZ6" s="149"/>
      <c r="ITA6" s="149"/>
      <c r="ITB6" s="149"/>
      <c r="ITC6" s="149"/>
      <c r="ITD6" s="149"/>
      <c r="ITE6" s="149"/>
      <c r="ITF6" s="149"/>
      <c r="ITG6" s="149"/>
      <c r="ITH6" s="149"/>
      <c r="ITI6" s="149"/>
      <c r="ITJ6" s="149"/>
      <c r="ITK6" s="149"/>
      <c r="ITL6" s="149"/>
      <c r="ITM6" s="149"/>
      <c r="ITN6" s="149"/>
      <c r="ITO6" s="149"/>
      <c r="ITP6" s="149"/>
      <c r="ITQ6" s="149"/>
      <c r="ITR6" s="149"/>
      <c r="ITS6" s="149"/>
      <c r="ITT6" s="149"/>
      <c r="ITU6" s="149"/>
      <c r="ITV6" s="149"/>
      <c r="ITW6" s="149"/>
      <c r="ITX6" s="149"/>
      <c r="ITY6" s="149"/>
      <c r="ITZ6" s="149"/>
      <c r="IUA6" s="149"/>
      <c r="IUB6" s="149"/>
      <c r="IUC6" s="149"/>
      <c r="IUD6" s="149"/>
      <c r="IUE6" s="149"/>
      <c r="IUF6" s="149"/>
      <c r="IUG6" s="149"/>
      <c r="IUH6" s="149"/>
      <c r="IUI6" s="149"/>
      <c r="IUJ6" s="149"/>
      <c r="IUK6" s="149"/>
      <c r="IUL6" s="149"/>
      <c r="IUM6" s="149"/>
      <c r="IUN6" s="149"/>
      <c r="IUO6" s="149"/>
      <c r="IUP6" s="149"/>
      <c r="IUQ6" s="149"/>
      <c r="IUR6" s="149"/>
      <c r="IUS6" s="149"/>
      <c r="IUT6" s="149"/>
      <c r="IUU6" s="149"/>
      <c r="IUV6" s="149"/>
      <c r="IUW6" s="149"/>
      <c r="IUX6" s="149"/>
      <c r="IUY6" s="149"/>
      <c r="IUZ6" s="149"/>
      <c r="IVA6" s="149"/>
      <c r="IVB6" s="149"/>
      <c r="IVC6" s="149"/>
      <c r="IVD6" s="149"/>
      <c r="IVE6" s="149"/>
      <c r="IVF6" s="149"/>
      <c r="IVG6" s="149"/>
      <c r="IVH6" s="149"/>
      <c r="IVI6" s="149"/>
      <c r="IVJ6" s="149"/>
      <c r="IVK6" s="149"/>
      <c r="IVL6" s="149"/>
      <c r="IVM6" s="149"/>
      <c r="IVN6" s="149"/>
      <c r="IVO6" s="149"/>
      <c r="IVP6" s="149"/>
      <c r="IVQ6" s="149"/>
      <c r="IVR6" s="149"/>
      <c r="IVS6" s="149"/>
      <c r="IVT6" s="149"/>
      <c r="IVU6" s="149"/>
      <c r="IVV6" s="149"/>
      <c r="IVW6" s="149"/>
      <c r="IVX6" s="149"/>
      <c r="IVY6" s="149"/>
      <c r="IVZ6" s="149"/>
      <c r="IWA6" s="149"/>
      <c r="IWB6" s="149"/>
      <c r="IWC6" s="149"/>
      <c r="IWD6" s="149"/>
      <c r="IWE6" s="149"/>
      <c r="IWF6" s="149"/>
      <c r="IWG6" s="149"/>
      <c r="IWH6" s="149"/>
      <c r="IWI6" s="149"/>
      <c r="IWJ6" s="149"/>
      <c r="IWK6" s="149"/>
      <c r="IWL6" s="149"/>
      <c r="IWM6" s="149"/>
      <c r="IWN6" s="149"/>
      <c r="IWO6" s="149"/>
      <c r="IWP6" s="149"/>
      <c r="IWQ6" s="149"/>
      <c r="IWR6" s="149"/>
      <c r="IWS6" s="149"/>
      <c r="IWT6" s="149"/>
      <c r="IWU6" s="149"/>
      <c r="IWV6" s="149"/>
      <c r="IWW6" s="149"/>
      <c r="IWX6" s="149"/>
      <c r="IWY6" s="149"/>
      <c r="IWZ6" s="149"/>
      <c r="IXA6" s="149"/>
      <c r="IXB6" s="149"/>
      <c r="IXC6" s="149"/>
      <c r="IXD6" s="149"/>
      <c r="IXE6" s="149"/>
      <c r="IXF6" s="149"/>
      <c r="IXG6" s="149"/>
      <c r="IXH6" s="149"/>
      <c r="IXI6" s="149"/>
      <c r="IXJ6" s="149"/>
      <c r="IXK6" s="149"/>
      <c r="IXL6" s="149"/>
      <c r="IXM6" s="149"/>
      <c r="IXN6" s="149"/>
      <c r="IXO6" s="149"/>
      <c r="IXP6" s="149"/>
      <c r="IXQ6" s="149"/>
      <c r="IXR6" s="149"/>
      <c r="IXS6" s="149"/>
      <c r="IXT6" s="149"/>
      <c r="IXU6" s="149"/>
      <c r="IXV6" s="149"/>
      <c r="IXW6" s="149"/>
      <c r="IXX6" s="149"/>
      <c r="IXY6" s="149"/>
      <c r="IXZ6" s="149"/>
      <c r="IYA6" s="149"/>
      <c r="IYB6" s="149"/>
      <c r="IYC6" s="149"/>
      <c r="IYD6" s="149"/>
      <c r="IYE6" s="149"/>
      <c r="IYF6" s="149"/>
      <c r="IYG6" s="149"/>
      <c r="IYH6" s="149"/>
      <c r="IYI6" s="149"/>
      <c r="IYJ6" s="149"/>
      <c r="IYK6" s="149"/>
      <c r="IYL6" s="149"/>
      <c r="IYM6" s="149"/>
      <c r="IYN6" s="149"/>
      <c r="IYO6" s="149"/>
      <c r="IYP6" s="149"/>
      <c r="IYQ6" s="149"/>
      <c r="IYR6" s="149"/>
      <c r="IYS6" s="149"/>
      <c r="IYT6" s="149"/>
      <c r="IYU6" s="149"/>
      <c r="IYV6" s="149"/>
      <c r="IYW6" s="149"/>
      <c r="IYX6" s="149"/>
      <c r="IYY6" s="149"/>
      <c r="IYZ6" s="149"/>
      <c r="IZA6" s="149"/>
      <c r="IZB6" s="149"/>
      <c r="IZC6" s="149"/>
      <c r="IZD6" s="149"/>
      <c r="IZE6" s="149"/>
      <c r="IZF6" s="149"/>
      <c r="IZG6" s="149"/>
      <c r="IZH6" s="149"/>
      <c r="IZI6" s="149"/>
      <c r="IZJ6" s="149"/>
      <c r="IZK6" s="149"/>
      <c r="IZL6" s="149"/>
      <c r="IZM6" s="149"/>
      <c r="IZN6" s="149"/>
      <c r="IZO6" s="149"/>
      <c r="IZP6" s="149"/>
      <c r="IZQ6" s="149"/>
      <c r="IZR6" s="149"/>
      <c r="IZS6" s="149"/>
      <c r="IZT6" s="149"/>
      <c r="IZU6" s="149"/>
      <c r="IZV6" s="149"/>
      <c r="IZW6" s="149"/>
      <c r="IZX6" s="149"/>
      <c r="IZY6" s="149"/>
      <c r="IZZ6" s="149"/>
      <c r="JAA6" s="149"/>
      <c r="JAB6" s="149"/>
      <c r="JAC6" s="149"/>
      <c r="JAD6" s="149"/>
      <c r="JAE6" s="149"/>
      <c r="JAF6" s="149"/>
      <c r="JAG6" s="149"/>
      <c r="JAH6" s="149"/>
      <c r="JAI6" s="149"/>
      <c r="JAJ6" s="149"/>
      <c r="JAK6" s="149"/>
      <c r="JAL6" s="149"/>
      <c r="JAM6" s="149"/>
      <c r="JAN6" s="149"/>
      <c r="JAO6" s="149"/>
      <c r="JAP6" s="149"/>
      <c r="JAQ6" s="149"/>
      <c r="JAR6" s="149"/>
      <c r="JAS6" s="149"/>
      <c r="JAT6" s="149"/>
      <c r="JAU6" s="149"/>
      <c r="JAV6" s="149"/>
      <c r="JAW6" s="149"/>
      <c r="JAX6" s="149"/>
      <c r="JAY6" s="149"/>
      <c r="JAZ6" s="149"/>
      <c r="JBA6" s="149"/>
      <c r="JBB6" s="149"/>
      <c r="JBC6" s="149"/>
      <c r="JBD6" s="149"/>
      <c r="JBE6" s="149"/>
      <c r="JBF6" s="149"/>
      <c r="JBG6" s="149"/>
      <c r="JBH6" s="149"/>
      <c r="JBI6" s="149"/>
      <c r="JBJ6" s="149"/>
      <c r="JBK6" s="149"/>
      <c r="JBL6" s="149"/>
      <c r="JBM6" s="149"/>
      <c r="JBN6" s="149"/>
      <c r="JBO6" s="149"/>
      <c r="JBP6" s="149"/>
      <c r="JBQ6" s="149"/>
      <c r="JBR6" s="149"/>
      <c r="JBS6" s="149"/>
      <c r="JBT6" s="149"/>
      <c r="JBU6" s="149"/>
      <c r="JBV6" s="149"/>
      <c r="JBW6" s="149"/>
      <c r="JBX6" s="149"/>
      <c r="JBY6" s="149"/>
      <c r="JBZ6" s="149"/>
      <c r="JCA6" s="149"/>
      <c r="JCB6" s="149"/>
      <c r="JCC6" s="149"/>
      <c r="JCD6" s="149"/>
      <c r="JCE6" s="149"/>
      <c r="JCF6" s="149"/>
      <c r="JCG6" s="149"/>
      <c r="JCH6" s="149"/>
      <c r="JCI6" s="149"/>
      <c r="JCJ6" s="149"/>
      <c r="JCK6" s="149"/>
      <c r="JCL6" s="149"/>
      <c r="JCM6" s="149"/>
      <c r="JCN6" s="149"/>
      <c r="JCO6" s="149"/>
      <c r="JCP6" s="149"/>
      <c r="JCQ6" s="149"/>
      <c r="JCR6" s="149"/>
      <c r="JCS6" s="149"/>
      <c r="JCT6" s="149"/>
      <c r="JCU6" s="149"/>
      <c r="JCV6" s="149"/>
      <c r="JCW6" s="149"/>
      <c r="JCX6" s="149"/>
      <c r="JCY6" s="149"/>
      <c r="JCZ6" s="149"/>
      <c r="JDA6" s="149"/>
      <c r="JDB6" s="149"/>
      <c r="JDC6" s="149"/>
      <c r="JDD6" s="149"/>
      <c r="JDE6" s="149"/>
      <c r="JDF6" s="149"/>
      <c r="JDG6" s="149"/>
      <c r="JDH6" s="149"/>
      <c r="JDI6" s="149"/>
      <c r="JDJ6" s="149"/>
      <c r="JDK6" s="149"/>
      <c r="JDL6" s="149"/>
      <c r="JDM6" s="149"/>
      <c r="JDN6" s="149"/>
      <c r="JDO6" s="149"/>
      <c r="JDP6" s="149"/>
      <c r="JDQ6" s="149"/>
      <c r="JDR6" s="149"/>
      <c r="JDS6" s="149"/>
      <c r="JDT6" s="149"/>
      <c r="JDU6" s="149"/>
      <c r="JDV6" s="149"/>
      <c r="JDW6" s="149"/>
      <c r="JDX6" s="149"/>
      <c r="JDY6" s="149"/>
      <c r="JDZ6" s="149"/>
      <c r="JEA6" s="149"/>
      <c r="JEB6" s="149"/>
      <c r="JEC6" s="149"/>
      <c r="JED6" s="149"/>
      <c r="JEE6" s="149"/>
      <c r="JEF6" s="149"/>
      <c r="JEG6" s="149"/>
      <c r="JEH6" s="149"/>
      <c r="JEI6" s="149"/>
      <c r="JEJ6" s="149"/>
      <c r="JEK6" s="149"/>
      <c r="JEL6" s="149"/>
      <c r="JEM6" s="149"/>
      <c r="JEN6" s="149"/>
      <c r="JEO6" s="149"/>
      <c r="JEP6" s="149"/>
      <c r="JEQ6" s="149"/>
      <c r="JER6" s="149"/>
      <c r="JES6" s="149"/>
      <c r="JET6" s="149"/>
      <c r="JEU6" s="149"/>
      <c r="JEV6" s="149"/>
      <c r="JEW6" s="149"/>
      <c r="JEX6" s="149"/>
      <c r="JEY6" s="149"/>
      <c r="JEZ6" s="149"/>
      <c r="JFA6" s="149"/>
      <c r="JFB6" s="149"/>
      <c r="JFC6" s="149"/>
      <c r="JFD6" s="149"/>
      <c r="JFE6" s="149"/>
      <c r="JFF6" s="149"/>
      <c r="JFG6" s="149"/>
      <c r="JFH6" s="149"/>
      <c r="JFI6" s="149"/>
      <c r="JFJ6" s="149"/>
      <c r="JFK6" s="149"/>
      <c r="JFL6" s="149"/>
      <c r="JFM6" s="149"/>
      <c r="JFN6" s="149"/>
      <c r="JFO6" s="149"/>
      <c r="JFP6" s="149"/>
      <c r="JFQ6" s="149"/>
      <c r="JFR6" s="149"/>
      <c r="JFS6" s="149"/>
      <c r="JFT6" s="149"/>
      <c r="JFU6" s="149"/>
      <c r="JFV6" s="149"/>
      <c r="JFW6" s="149"/>
      <c r="JFX6" s="149"/>
      <c r="JFY6" s="149"/>
      <c r="JFZ6" s="149"/>
      <c r="JGA6" s="149"/>
      <c r="JGB6" s="149"/>
      <c r="JGC6" s="149"/>
      <c r="JGD6" s="149"/>
      <c r="JGE6" s="149"/>
      <c r="JGF6" s="149"/>
      <c r="JGG6" s="149"/>
      <c r="JGH6" s="149"/>
      <c r="JGI6" s="149"/>
      <c r="JGJ6" s="149"/>
      <c r="JGK6" s="149"/>
      <c r="JGL6" s="149"/>
      <c r="JGM6" s="149"/>
      <c r="JGN6" s="149"/>
      <c r="JGO6" s="149"/>
      <c r="JGP6" s="149"/>
      <c r="JGQ6" s="149"/>
      <c r="JGR6" s="149"/>
      <c r="JGS6" s="149"/>
      <c r="JGT6" s="149"/>
      <c r="JGU6" s="149"/>
      <c r="JGV6" s="149"/>
      <c r="JGW6" s="149"/>
      <c r="JGX6" s="149"/>
      <c r="JGY6" s="149"/>
      <c r="JGZ6" s="149"/>
      <c r="JHA6" s="149"/>
      <c r="JHB6" s="149"/>
      <c r="JHC6" s="149"/>
      <c r="JHD6" s="149"/>
      <c r="JHE6" s="149"/>
      <c r="JHF6" s="149"/>
      <c r="JHG6" s="149"/>
      <c r="JHH6" s="149"/>
      <c r="JHI6" s="149"/>
      <c r="JHJ6" s="149"/>
      <c r="JHK6" s="149"/>
      <c r="JHL6" s="149"/>
      <c r="JHM6" s="149"/>
      <c r="JHN6" s="149"/>
      <c r="JHO6" s="149"/>
      <c r="JHP6" s="149"/>
      <c r="JHQ6" s="149"/>
      <c r="JHR6" s="149"/>
      <c r="JHS6" s="149"/>
      <c r="JHT6" s="149"/>
      <c r="JHU6" s="149"/>
      <c r="JHV6" s="149"/>
      <c r="JHW6" s="149"/>
      <c r="JHX6" s="149"/>
      <c r="JHY6" s="149"/>
      <c r="JHZ6" s="149"/>
      <c r="JIA6" s="149"/>
      <c r="JIB6" s="149"/>
      <c r="JIC6" s="149"/>
      <c r="JID6" s="149"/>
      <c r="JIE6" s="149"/>
      <c r="JIF6" s="149"/>
      <c r="JIG6" s="149"/>
      <c r="JIH6" s="149"/>
      <c r="JII6" s="149"/>
      <c r="JIJ6" s="149"/>
      <c r="JIK6" s="149"/>
      <c r="JIL6" s="149"/>
      <c r="JIM6" s="149"/>
      <c r="JIN6" s="149"/>
      <c r="JIO6" s="149"/>
      <c r="JIP6" s="149"/>
      <c r="JIQ6" s="149"/>
      <c r="JIR6" s="149"/>
      <c r="JIS6" s="149"/>
      <c r="JIT6" s="149"/>
      <c r="JIU6" s="149"/>
      <c r="JIV6" s="149"/>
      <c r="JIW6" s="149"/>
      <c r="JIX6" s="149"/>
      <c r="JIY6" s="149"/>
      <c r="JIZ6" s="149"/>
      <c r="JJA6" s="149"/>
      <c r="JJB6" s="149"/>
      <c r="JJC6" s="149"/>
      <c r="JJD6" s="149"/>
      <c r="JJE6" s="149"/>
      <c r="JJF6" s="149"/>
      <c r="JJG6" s="149"/>
      <c r="JJH6" s="149"/>
      <c r="JJI6" s="149"/>
      <c r="JJJ6" s="149"/>
      <c r="JJK6" s="149"/>
      <c r="JJL6" s="149"/>
      <c r="JJM6" s="149"/>
      <c r="JJN6" s="149"/>
      <c r="JJO6" s="149"/>
      <c r="JJP6" s="149"/>
      <c r="JJQ6" s="149"/>
      <c r="JJR6" s="149"/>
      <c r="JJS6" s="149"/>
      <c r="JJT6" s="149"/>
      <c r="JJU6" s="149"/>
      <c r="JJV6" s="149"/>
      <c r="JJW6" s="149"/>
      <c r="JJX6" s="149"/>
      <c r="JJY6" s="149"/>
      <c r="JJZ6" s="149"/>
      <c r="JKA6" s="149"/>
      <c r="JKB6" s="149"/>
      <c r="JKC6" s="149"/>
      <c r="JKD6" s="149"/>
      <c r="JKE6" s="149"/>
      <c r="JKF6" s="149"/>
      <c r="JKG6" s="149"/>
      <c r="JKH6" s="149"/>
      <c r="JKI6" s="149"/>
      <c r="JKJ6" s="149"/>
      <c r="JKK6" s="149"/>
      <c r="JKL6" s="149"/>
      <c r="JKM6" s="149"/>
      <c r="JKN6" s="149"/>
      <c r="JKO6" s="149"/>
      <c r="JKP6" s="149"/>
      <c r="JKQ6" s="149"/>
      <c r="JKR6" s="149"/>
      <c r="JKS6" s="149"/>
      <c r="JKT6" s="149"/>
      <c r="JKU6" s="149"/>
      <c r="JKV6" s="149"/>
      <c r="JKW6" s="149"/>
      <c r="JKX6" s="149"/>
      <c r="JKY6" s="149"/>
      <c r="JKZ6" s="149"/>
      <c r="JLA6" s="149"/>
      <c r="JLB6" s="149"/>
      <c r="JLC6" s="149"/>
      <c r="JLD6" s="149"/>
      <c r="JLE6" s="149"/>
      <c r="JLF6" s="149"/>
      <c r="JLG6" s="149"/>
      <c r="JLH6" s="149"/>
      <c r="JLI6" s="149"/>
      <c r="JLJ6" s="149"/>
      <c r="JLK6" s="149"/>
      <c r="JLL6" s="149"/>
      <c r="JLM6" s="149"/>
      <c r="JLN6" s="149"/>
      <c r="JLO6" s="149"/>
      <c r="JLP6" s="149"/>
      <c r="JLQ6" s="149"/>
      <c r="JLR6" s="149"/>
      <c r="JLS6" s="149"/>
      <c r="JLT6" s="149"/>
      <c r="JLU6" s="149"/>
      <c r="JLV6" s="149"/>
      <c r="JLW6" s="149"/>
      <c r="JLX6" s="149"/>
      <c r="JLY6" s="149"/>
      <c r="JLZ6" s="149"/>
      <c r="JMA6" s="149"/>
      <c r="JMB6" s="149"/>
      <c r="JMC6" s="149"/>
      <c r="JMD6" s="149"/>
      <c r="JME6" s="149"/>
      <c r="JMF6" s="149"/>
      <c r="JMG6" s="149"/>
      <c r="JMH6" s="149"/>
      <c r="JMI6" s="149"/>
      <c r="JMJ6" s="149"/>
      <c r="JMK6" s="149"/>
      <c r="JML6" s="149"/>
      <c r="JMM6" s="149"/>
      <c r="JMN6" s="149"/>
      <c r="JMO6" s="149"/>
      <c r="JMP6" s="149"/>
      <c r="JMQ6" s="149"/>
      <c r="JMR6" s="149"/>
      <c r="JMS6" s="149"/>
      <c r="JMT6" s="149"/>
      <c r="JMU6" s="149"/>
      <c r="JMV6" s="149"/>
      <c r="JMW6" s="149"/>
      <c r="JMX6" s="149"/>
      <c r="JMY6" s="149"/>
      <c r="JMZ6" s="149"/>
      <c r="JNA6" s="149"/>
      <c r="JNB6" s="149"/>
      <c r="JNC6" s="149"/>
      <c r="JND6" s="149"/>
      <c r="JNE6" s="149"/>
      <c r="JNF6" s="149"/>
      <c r="JNG6" s="149"/>
      <c r="JNH6" s="149"/>
      <c r="JNI6" s="149"/>
      <c r="JNJ6" s="149"/>
      <c r="JNK6" s="149"/>
      <c r="JNL6" s="149"/>
      <c r="JNM6" s="149"/>
      <c r="JNN6" s="149"/>
      <c r="JNO6" s="149"/>
      <c r="JNP6" s="149"/>
      <c r="JNQ6" s="149"/>
      <c r="JNR6" s="149"/>
      <c r="JNS6" s="149"/>
      <c r="JNT6" s="149"/>
      <c r="JNU6" s="149"/>
      <c r="JNV6" s="149"/>
      <c r="JNW6" s="149"/>
      <c r="JNX6" s="149"/>
      <c r="JNY6" s="149"/>
      <c r="JNZ6" s="149"/>
      <c r="JOA6" s="149"/>
      <c r="JOB6" s="149"/>
      <c r="JOC6" s="149"/>
      <c r="JOD6" s="149"/>
      <c r="JOE6" s="149"/>
      <c r="JOF6" s="149"/>
      <c r="JOG6" s="149"/>
      <c r="JOH6" s="149"/>
      <c r="JOI6" s="149"/>
      <c r="JOJ6" s="149"/>
      <c r="JOK6" s="149"/>
      <c r="JOL6" s="149"/>
      <c r="JOM6" s="149"/>
      <c r="JON6" s="149"/>
      <c r="JOO6" s="149"/>
      <c r="JOP6" s="149"/>
      <c r="JOQ6" s="149"/>
      <c r="JOR6" s="149"/>
      <c r="JOS6" s="149"/>
      <c r="JOT6" s="149"/>
      <c r="JOU6" s="149"/>
      <c r="JOV6" s="149"/>
      <c r="JOW6" s="149"/>
      <c r="JOX6" s="149"/>
      <c r="JOY6" s="149"/>
      <c r="JOZ6" s="149"/>
      <c r="JPA6" s="149"/>
      <c r="JPB6" s="149"/>
      <c r="JPC6" s="149"/>
      <c r="JPD6" s="149"/>
      <c r="JPE6" s="149"/>
      <c r="JPF6" s="149"/>
      <c r="JPG6" s="149"/>
      <c r="JPH6" s="149"/>
      <c r="JPI6" s="149"/>
      <c r="JPJ6" s="149"/>
      <c r="JPK6" s="149"/>
      <c r="JPL6" s="149"/>
      <c r="JPM6" s="149"/>
      <c r="JPN6" s="149"/>
      <c r="JPO6" s="149"/>
      <c r="JPP6" s="149"/>
      <c r="JPQ6" s="149"/>
      <c r="JPR6" s="149"/>
      <c r="JPS6" s="149"/>
      <c r="JPT6" s="149"/>
      <c r="JPU6" s="149"/>
      <c r="JPV6" s="149"/>
      <c r="JPW6" s="149"/>
      <c r="JPX6" s="149"/>
      <c r="JPY6" s="149"/>
      <c r="JPZ6" s="149"/>
      <c r="JQA6" s="149"/>
      <c r="JQB6" s="149"/>
      <c r="JQC6" s="149"/>
      <c r="JQD6" s="149"/>
      <c r="JQE6" s="149"/>
      <c r="JQF6" s="149"/>
      <c r="JQG6" s="149"/>
      <c r="JQH6" s="149"/>
      <c r="JQI6" s="149"/>
      <c r="JQJ6" s="149"/>
      <c r="JQK6" s="149"/>
      <c r="JQL6" s="149"/>
      <c r="JQM6" s="149"/>
      <c r="JQN6" s="149"/>
      <c r="JQO6" s="149"/>
      <c r="JQP6" s="149"/>
      <c r="JQQ6" s="149"/>
      <c r="JQR6" s="149"/>
      <c r="JQS6" s="149"/>
      <c r="JQT6" s="149"/>
      <c r="JQU6" s="149"/>
      <c r="JQV6" s="149"/>
      <c r="JQW6" s="149"/>
      <c r="JQX6" s="149"/>
      <c r="JQY6" s="149"/>
      <c r="JQZ6" s="149"/>
      <c r="JRA6" s="149"/>
      <c r="JRB6" s="149"/>
      <c r="JRC6" s="149"/>
      <c r="JRD6" s="149"/>
      <c r="JRE6" s="149"/>
      <c r="JRF6" s="149"/>
      <c r="JRG6" s="149"/>
      <c r="JRH6" s="149"/>
      <c r="JRI6" s="149"/>
      <c r="JRJ6" s="149"/>
      <c r="JRK6" s="149"/>
      <c r="JRL6" s="149"/>
      <c r="JRM6" s="149"/>
      <c r="JRN6" s="149"/>
      <c r="JRO6" s="149"/>
      <c r="JRP6" s="149"/>
      <c r="JRQ6" s="149"/>
      <c r="JRR6" s="149"/>
      <c r="JRS6" s="149"/>
      <c r="JRT6" s="149"/>
      <c r="JRU6" s="149"/>
      <c r="JRV6" s="149"/>
      <c r="JRW6" s="149"/>
      <c r="JRX6" s="149"/>
      <c r="JRY6" s="149"/>
      <c r="JRZ6" s="149"/>
      <c r="JSA6" s="149"/>
      <c r="JSB6" s="149"/>
      <c r="JSC6" s="149"/>
      <c r="JSD6" s="149"/>
      <c r="JSE6" s="149"/>
      <c r="JSF6" s="149"/>
      <c r="JSG6" s="149"/>
      <c r="JSH6" s="149"/>
      <c r="JSI6" s="149"/>
      <c r="JSJ6" s="149"/>
      <c r="JSK6" s="149"/>
      <c r="JSL6" s="149"/>
      <c r="JSM6" s="149"/>
      <c r="JSN6" s="149"/>
      <c r="JSO6" s="149"/>
      <c r="JSP6" s="149"/>
      <c r="JSQ6" s="149"/>
      <c r="JSR6" s="149"/>
      <c r="JSS6" s="149"/>
      <c r="JST6" s="149"/>
      <c r="JSU6" s="149"/>
      <c r="JSV6" s="149"/>
      <c r="JSW6" s="149"/>
      <c r="JSX6" s="149"/>
      <c r="JSY6" s="149"/>
      <c r="JSZ6" s="149"/>
      <c r="JTA6" s="149"/>
      <c r="JTB6" s="149"/>
      <c r="JTC6" s="149"/>
      <c r="JTD6" s="149"/>
      <c r="JTE6" s="149"/>
      <c r="JTF6" s="149"/>
      <c r="JTG6" s="149"/>
      <c r="JTH6" s="149"/>
      <c r="JTI6" s="149"/>
      <c r="JTJ6" s="149"/>
      <c r="JTK6" s="149"/>
      <c r="JTL6" s="149"/>
      <c r="JTM6" s="149"/>
      <c r="JTN6" s="149"/>
      <c r="JTO6" s="149"/>
      <c r="JTP6" s="149"/>
      <c r="JTQ6" s="149"/>
      <c r="JTR6" s="149"/>
      <c r="JTS6" s="149"/>
      <c r="JTT6" s="149"/>
      <c r="JTU6" s="149"/>
      <c r="JTV6" s="149"/>
      <c r="JTW6" s="149"/>
      <c r="JTX6" s="149"/>
      <c r="JTY6" s="149"/>
      <c r="JTZ6" s="149"/>
      <c r="JUA6" s="149"/>
      <c r="JUB6" s="149"/>
      <c r="JUC6" s="149"/>
      <c r="JUD6" s="149"/>
      <c r="JUE6" s="149"/>
      <c r="JUF6" s="149"/>
      <c r="JUG6" s="149"/>
      <c r="JUH6" s="149"/>
      <c r="JUI6" s="149"/>
      <c r="JUJ6" s="149"/>
      <c r="JUK6" s="149"/>
      <c r="JUL6" s="149"/>
      <c r="JUM6" s="149"/>
      <c r="JUN6" s="149"/>
      <c r="JUO6" s="149"/>
      <c r="JUP6" s="149"/>
      <c r="JUQ6" s="149"/>
      <c r="JUR6" s="149"/>
      <c r="JUS6" s="149"/>
      <c r="JUT6" s="149"/>
      <c r="JUU6" s="149"/>
      <c r="JUV6" s="149"/>
      <c r="JUW6" s="149"/>
      <c r="JUX6" s="149"/>
      <c r="JUY6" s="149"/>
      <c r="JUZ6" s="149"/>
      <c r="JVA6" s="149"/>
      <c r="JVB6" s="149"/>
      <c r="JVC6" s="149"/>
      <c r="JVD6" s="149"/>
      <c r="JVE6" s="149"/>
      <c r="JVF6" s="149"/>
      <c r="JVG6" s="149"/>
      <c r="JVH6" s="149"/>
      <c r="JVI6" s="149"/>
      <c r="JVJ6" s="149"/>
      <c r="JVK6" s="149"/>
      <c r="JVL6" s="149"/>
      <c r="JVM6" s="149"/>
      <c r="JVN6" s="149"/>
      <c r="JVO6" s="149"/>
      <c r="JVP6" s="149"/>
      <c r="JVQ6" s="149"/>
      <c r="JVR6" s="149"/>
      <c r="JVS6" s="149"/>
      <c r="JVT6" s="149"/>
      <c r="JVU6" s="149"/>
      <c r="JVV6" s="149"/>
      <c r="JVW6" s="149"/>
      <c r="JVX6" s="149"/>
      <c r="JVY6" s="149"/>
      <c r="JVZ6" s="149"/>
      <c r="JWA6" s="149"/>
      <c r="JWB6" s="149"/>
      <c r="JWC6" s="149"/>
      <c r="JWD6" s="149"/>
      <c r="JWE6" s="149"/>
      <c r="JWF6" s="149"/>
      <c r="JWG6" s="149"/>
      <c r="JWH6" s="149"/>
      <c r="JWI6" s="149"/>
      <c r="JWJ6" s="149"/>
      <c r="JWK6" s="149"/>
      <c r="JWL6" s="149"/>
      <c r="JWM6" s="149"/>
      <c r="JWN6" s="149"/>
      <c r="JWO6" s="149"/>
      <c r="JWP6" s="149"/>
      <c r="JWQ6" s="149"/>
      <c r="JWR6" s="149"/>
      <c r="JWS6" s="149"/>
      <c r="JWT6" s="149"/>
      <c r="JWU6" s="149"/>
      <c r="JWV6" s="149"/>
      <c r="JWW6" s="149"/>
      <c r="JWX6" s="149"/>
      <c r="JWY6" s="149"/>
      <c r="JWZ6" s="149"/>
      <c r="JXA6" s="149"/>
      <c r="JXB6" s="149"/>
      <c r="JXC6" s="149"/>
      <c r="JXD6" s="149"/>
      <c r="JXE6" s="149"/>
      <c r="JXF6" s="149"/>
      <c r="JXG6" s="149"/>
      <c r="JXH6" s="149"/>
      <c r="JXI6" s="149"/>
      <c r="JXJ6" s="149"/>
      <c r="JXK6" s="149"/>
      <c r="JXL6" s="149"/>
      <c r="JXM6" s="149"/>
      <c r="JXN6" s="149"/>
      <c r="JXO6" s="149"/>
      <c r="JXP6" s="149"/>
      <c r="JXQ6" s="149"/>
      <c r="JXR6" s="149"/>
      <c r="JXS6" s="149"/>
      <c r="JXT6" s="149"/>
      <c r="JXU6" s="149"/>
      <c r="JXV6" s="149"/>
      <c r="JXW6" s="149"/>
      <c r="JXX6" s="149"/>
      <c r="JXY6" s="149"/>
      <c r="JXZ6" s="149"/>
      <c r="JYA6" s="149"/>
      <c r="JYB6" s="149"/>
      <c r="JYC6" s="149"/>
      <c r="JYD6" s="149"/>
      <c r="JYE6" s="149"/>
      <c r="JYF6" s="149"/>
      <c r="JYG6" s="149"/>
      <c r="JYH6" s="149"/>
      <c r="JYI6" s="149"/>
      <c r="JYJ6" s="149"/>
      <c r="JYK6" s="149"/>
      <c r="JYL6" s="149"/>
      <c r="JYM6" s="149"/>
      <c r="JYN6" s="149"/>
      <c r="JYO6" s="149"/>
      <c r="JYP6" s="149"/>
      <c r="JYQ6" s="149"/>
      <c r="JYR6" s="149"/>
      <c r="JYS6" s="149"/>
      <c r="JYT6" s="149"/>
      <c r="JYU6" s="149"/>
      <c r="JYV6" s="149"/>
      <c r="JYW6" s="149"/>
      <c r="JYX6" s="149"/>
      <c r="JYY6" s="149"/>
      <c r="JYZ6" s="149"/>
      <c r="JZA6" s="149"/>
      <c r="JZB6" s="149"/>
      <c r="JZC6" s="149"/>
      <c r="JZD6" s="149"/>
      <c r="JZE6" s="149"/>
      <c r="JZF6" s="149"/>
      <c r="JZG6" s="149"/>
      <c r="JZH6" s="149"/>
      <c r="JZI6" s="149"/>
      <c r="JZJ6" s="149"/>
      <c r="JZK6" s="149"/>
      <c r="JZL6" s="149"/>
      <c r="JZM6" s="149"/>
      <c r="JZN6" s="149"/>
      <c r="JZO6" s="149"/>
      <c r="JZP6" s="149"/>
      <c r="JZQ6" s="149"/>
      <c r="JZR6" s="149"/>
      <c r="JZS6" s="149"/>
      <c r="JZT6" s="149"/>
      <c r="JZU6" s="149"/>
      <c r="JZV6" s="149"/>
      <c r="JZW6" s="149"/>
      <c r="JZX6" s="149"/>
      <c r="JZY6" s="149"/>
      <c r="JZZ6" s="149"/>
      <c r="KAA6" s="149"/>
      <c r="KAB6" s="149"/>
      <c r="KAC6" s="149"/>
      <c r="KAD6" s="149"/>
      <c r="KAE6" s="149"/>
      <c r="KAF6" s="149"/>
      <c r="KAG6" s="149"/>
      <c r="KAH6" s="149"/>
      <c r="KAI6" s="149"/>
      <c r="KAJ6" s="149"/>
      <c r="KAK6" s="149"/>
      <c r="KAL6" s="149"/>
      <c r="KAM6" s="149"/>
      <c r="KAN6" s="149"/>
      <c r="KAO6" s="149"/>
      <c r="KAP6" s="149"/>
      <c r="KAQ6" s="149"/>
      <c r="KAR6" s="149"/>
      <c r="KAS6" s="149"/>
      <c r="KAT6" s="149"/>
      <c r="KAU6" s="149"/>
      <c r="KAV6" s="149"/>
      <c r="KAW6" s="149"/>
      <c r="KAX6" s="149"/>
      <c r="KAY6" s="149"/>
      <c r="KAZ6" s="149"/>
      <c r="KBA6" s="149"/>
      <c r="KBB6" s="149"/>
      <c r="KBC6" s="149"/>
      <c r="KBD6" s="149"/>
      <c r="KBE6" s="149"/>
      <c r="KBF6" s="149"/>
      <c r="KBG6" s="149"/>
      <c r="KBH6" s="149"/>
      <c r="KBI6" s="149"/>
      <c r="KBJ6" s="149"/>
      <c r="KBK6" s="149"/>
      <c r="KBL6" s="149"/>
      <c r="KBM6" s="149"/>
      <c r="KBN6" s="149"/>
      <c r="KBO6" s="149"/>
      <c r="KBP6" s="149"/>
      <c r="KBQ6" s="149"/>
      <c r="KBR6" s="149"/>
      <c r="KBS6" s="149"/>
      <c r="KBT6" s="149"/>
      <c r="KBU6" s="149"/>
      <c r="KBV6" s="149"/>
      <c r="KBW6" s="149"/>
      <c r="KBX6" s="149"/>
      <c r="KBY6" s="149"/>
      <c r="KBZ6" s="149"/>
      <c r="KCA6" s="149"/>
      <c r="KCB6" s="149"/>
      <c r="KCC6" s="149"/>
      <c r="KCD6" s="149"/>
      <c r="KCE6" s="149"/>
      <c r="KCF6" s="149"/>
      <c r="KCG6" s="149"/>
      <c r="KCH6" s="149"/>
      <c r="KCI6" s="149"/>
      <c r="KCJ6" s="149"/>
      <c r="KCK6" s="149"/>
      <c r="KCL6" s="149"/>
      <c r="KCM6" s="149"/>
      <c r="KCN6" s="149"/>
      <c r="KCO6" s="149"/>
      <c r="KCP6" s="149"/>
      <c r="KCQ6" s="149"/>
      <c r="KCR6" s="149"/>
      <c r="KCS6" s="149"/>
      <c r="KCT6" s="149"/>
      <c r="KCU6" s="149"/>
      <c r="KCV6" s="149"/>
      <c r="KCW6" s="149"/>
      <c r="KCX6" s="149"/>
      <c r="KCY6" s="149"/>
      <c r="KCZ6" s="149"/>
      <c r="KDA6" s="149"/>
      <c r="KDB6" s="149"/>
      <c r="KDC6" s="149"/>
      <c r="KDD6" s="149"/>
      <c r="KDE6" s="149"/>
      <c r="KDF6" s="149"/>
      <c r="KDG6" s="149"/>
      <c r="KDH6" s="149"/>
      <c r="KDI6" s="149"/>
      <c r="KDJ6" s="149"/>
      <c r="KDK6" s="149"/>
      <c r="KDL6" s="149"/>
      <c r="KDM6" s="149"/>
      <c r="KDN6" s="149"/>
      <c r="KDO6" s="149"/>
      <c r="KDP6" s="149"/>
      <c r="KDQ6" s="149"/>
      <c r="KDR6" s="149"/>
      <c r="KDS6" s="149"/>
      <c r="KDT6" s="149"/>
      <c r="KDU6" s="149"/>
      <c r="KDV6" s="149"/>
      <c r="KDW6" s="149"/>
      <c r="KDX6" s="149"/>
      <c r="KDY6" s="149"/>
      <c r="KDZ6" s="149"/>
      <c r="KEA6" s="149"/>
      <c r="KEB6" s="149"/>
      <c r="KEC6" s="149"/>
      <c r="KED6" s="149"/>
      <c r="KEE6" s="149"/>
      <c r="KEF6" s="149"/>
      <c r="KEG6" s="149"/>
      <c r="KEH6" s="149"/>
      <c r="KEI6" s="149"/>
      <c r="KEJ6" s="149"/>
      <c r="KEK6" s="149"/>
      <c r="KEL6" s="149"/>
      <c r="KEM6" s="149"/>
      <c r="KEN6" s="149"/>
      <c r="KEO6" s="149"/>
      <c r="KEP6" s="149"/>
      <c r="KEQ6" s="149"/>
      <c r="KER6" s="149"/>
      <c r="KES6" s="149"/>
      <c r="KET6" s="149"/>
      <c r="KEU6" s="149"/>
      <c r="KEV6" s="149"/>
      <c r="KEW6" s="149"/>
      <c r="KEX6" s="149"/>
      <c r="KEY6" s="149"/>
      <c r="KEZ6" s="149"/>
      <c r="KFA6" s="149"/>
      <c r="KFB6" s="149"/>
      <c r="KFC6" s="149"/>
      <c r="KFD6" s="149"/>
      <c r="KFE6" s="149"/>
      <c r="KFF6" s="149"/>
      <c r="KFG6" s="149"/>
      <c r="KFH6" s="149"/>
      <c r="KFI6" s="149"/>
      <c r="KFJ6" s="149"/>
      <c r="KFK6" s="149"/>
      <c r="KFL6" s="149"/>
      <c r="KFM6" s="149"/>
      <c r="KFN6" s="149"/>
      <c r="KFO6" s="149"/>
      <c r="KFP6" s="149"/>
      <c r="KFQ6" s="149"/>
      <c r="KFR6" s="149"/>
      <c r="KFS6" s="149"/>
      <c r="KFT6" s="149"/>
      <c r="KFU6" s="149"/>
      <c r="KFV6" s="149"/>
      <c r="KFW6" s="149"/>
      <c r="KFX6" s="149"/>
      <c r="KFY6" s="149"/>
      <c r="KFZ6" s="149"/>
      <c r="KGA6" s="149"/>
      <c r="KGB6" s="149"/>
      <c r="KGC6" s="149"/>
      <c r="KGD6" s="149"/>
      <c r="KGE6" s="149"/>
      <c r="KGF6" s="149"/>
      <c r="KGG6" s="149"/>
      <c r="KGH6" s="149"/>
      <c r="KGI6" s="149"/>
      <c r="KGJ6" s="149"/>
      <c r="KGK6" s="149"/>
      <c r="KGL6" s="149"/>
      <c r="KGM6" s="149"/>
      <c r="KGN6" s="149"/>
      <c r="KGO6" s="149"/>
      <c r="KGP6" s="149"/>
      <c r="KGQ6" s="149"/>
      <c r="KGR6" s="149"/>
      <c r="KGS6" s="149"/>
      <c r="KGT6" s="149"/>
      <c r="KGU6" s="149"/>
      <c r="KGV6" s="149"/>
      <c r="KGW6" s="149"/>
      <c r="KGX6" s="149"/>
      <c r="KGY6" s="149"/>
      <c r="KGZ6" s="149"/>
      <c r="KHA6" s="149"/>
      <c r="KHB6" s="149"/>
      <c r="KHC6" s="149"/>
      <c r="KHD6" s="149"/>
      <c r="KHE6" s="149"/>
      <c r="KHF6" s="149"/>
      <c r="KHG6" s="149"/>
      <c r="KHH6" s="149"/>
      <c r="KHI6" s="149"/>
      <c r="KHJ6" s="149"/>
      <c r="KHK6" s="149"/>
      <c r="KHL6" s="149"/>
      <c r="KHM6" s="149"/>
      <c r="KHN6" s="149"/>
      <c r="KHO6" s="149"/>
      <c r="KHP6" s="149"/>
      <c r="KHQ6" s="149"/>
      <c r="KHR6" s="149"/>
      <c r="KHS6" s="149"/>
      <c r="KHT6" s="149"/>
      <c r="KHU6" s="149"/>
      <c r="KHV6" s="149"/>
      <c r="KHW6" s="149"/>
      <c r="KHX6" s="149"/>
      <c r="KHY6" s="149"/>
      <c r="KHZ6" s="149"/>
      <c r="KIA6" s="149"/>
      <c r="KIB6" s="149"/>
      <c r="KIC6" s="149"/>
      <c r="KID6" s="149"/>
      <c r="KIE6" s="149"/>
      <c r="KIF6" s="149"/>
      <c r="KIG6" s="149"/>
      <c r="KIH6" s="149"/>
      <c r="KII6" s="149"/>
      <c r="KIJ6" s="149"/>
      <c r="KIK6" s="149"/>
      <c r="KIL6" s="149"/>
      <c r="KIM6" s="149"/>
      <c r="KIN6" s="149"/>
      <c r="KIO6" s="149"/>
      <c r="KIP6" s="149"/>
      <c r="KIQ6" s="149"/>
      <c r="KIR6" s="149"/>
      <c r="KIS6" s="149"/>
      <c r="KIT6" s="149"/>
      <c r="KIU6" s="149"/>
      <c r="KIV6" s="149"/>
      <c r="KIW6" s="149"/>
      <c r="KIX6" s="149"/>
      <c r="KIY6" s="149"/>
      <c r="KIZ6" s="149"/>
      <c r="KJA6" s="149"/>
      <c r="KJB6" s="149"/>
      <c r="KJC6" s="149"/>
      <c r="KJD6" s="149"/>
      <c r="KJE6" s="149"/>
      <c r="KJF6" s="149"/>
      <c r="KJG6" s="149"/>
      <c r="KJH6" s="149"/>
      <c r="KJI6" s="149"/>
      <c r="KJJ6" s="149"/>
      <c r="KJK6" s="149"/>
      <c r="KJL6" s="149"/>
      <c r="KJM6" s="149"/>
      <c r="KJN6" s="149"/>
      <c r="KJO6" s="149"/>
      <c r="KJP6" s="149"/>
      <c r="KJQ6" s="149"/>
      <c r="KJR6" s="149"/>
      <c r="KJS6" s="149"/>
      <c r="KJT6" s="149"/>
      <c r="KJU6" s="149"/>
      <c r="KJV6" s="149"/>
      <c r="KJW6" s="149"/>
      <c r="KJX6" s="149"/>
      <c r="KJY6" s="149"/>
      <c r="KJZ6" s="149"/>
      <c r="KKA6" s="149"/>
      <c r="KKB6" s="149"/>
      <c r="KKC6" s="149"/>
      <c r="KKD6" s="149"/>
      <c r="KKE6" s="149"/>
      <c r="KKF6" s="149"/>
      <c r="KKG6" s="149"/>
      <c r="KKH6" s="149"/>
      <c r="KKI6" s="149"/>
      <c r="KKJ6" s="149"/>
      <c r="KKK6" s="149"/>
      <c r="KKL6" s="149"/>
      <c r="KKM6" s="149"/>
      <c r="KKN6" s="149"/>
      <c r="KKO6" s="149"/>
      <c r="KKP6" s="149"/>
      <c r="KKQ6" s="149"/>
      <c r="KKR6" s="149"/>
      <c r="KKS6" s="149"/>
      <c r="KKT6" s="149"/>
      <c r="KKU6" s="149"/>
      <c r="KKV6" s="149"/>
      <c r="KKW6" s="149"/>
      <c r="KKX6" s="149"/>
      <c r="KKY6" s="149"/>
      <c r="KKZ6" s="149"/>
      <c r="KLA6" s="149"/>
      <c r="KLB6" s="149"/>
      <c r="KLC6" s="149"/>
      <c r="KLD6" s="149"/>
      <c r="KLE6" s="149"/>
      <c r="KLF6" s="149"/>
      <c r="KLG6" s="149"/>
      <c r="KLH6" s="149"/>
      <c r="KLI6" s="149"/>
      <c r="KLJ6" s="149"/>
      <c r="KLK6" s="149"/>
      <c r="KLL6" s="149"/>
      <c r="KLM6" s="149"/>
      <c r="KLN6" s="149"/>
      <c r="KLO6" s="149"/>
      <c r="KLP6" s="149"/>
      <c r="KLQ6" s="149"/>
      <c r="KLR6" s="149"/>
      <c r="KLS6" s="149"/>
      <c r="KLT6" s="149"/>
      <c r="KLU6" s="149"/>
      <c r="KLV6" s="149"/>
      <c r="KLW6" s="149"/>
      <c r="KLX6" s="149"/>
      <c r="KLY6" s="149"/>
      <c r="KLZ6" s="149"/>
      <c r="KMA6" s="149"/>
      <c r="KMB6" s="149"/>
      <c r="KMC6" s="149"/>
      <c r="KMD6" s="149"/>
      <c r="KME6" s="149"/>
      <c r="KMF6" s="149"/>
      <c r="KMG6" s="149"/>
      <c r="KMH6" s="149"/>
      <c r="KMI6" s="149"/>
      <c r="KMJ6" s="149"/>
      <c r="KMK6" s="149"/>
      <c r="KML6" s="149"/>
      <c r="KMM6" s="149"/>
      <c r="KMN6" s="149"/>
      <c r="KMO6" s="149"/>
      <c r="KMP6" s="149"/>
      <c r="KMQ6" s="149"/>
      <c r="KMR6" s="149"/>
      <c r="KMS6" s="149"/>
      <c r="KMT6" s="149"/>
      <c r="KMU6" s="149"/>
      <c r="KMV6" s="149"/>
      <c r="KMW6" s="149"/>
      <c r="KMX6" s="149"/>
      <c r="KMY6" s="149"/>
      <c r="KMZ6" s="149"/>
      <c r="KNA6" s="149"/>
      <c r="KNB6" s="149"/>
      <c r="KNC6" s="149"/>
      <c r="KND6" s="149"/>
      <c r="KNE6" s="149"/>
      <c r="KNF6" s="149"/>
      <c r="KNG6" s="149"/>
      <c r="KNH6" s="149"/>
      <c r="KNI6" s="149"/>
      <c r="KNJ6" s="149"/>
      <c r="KNK6" s="149"/>
      <c r="KNL6" s="149"/>
      <c r="KNM6" s="149"/>
      <c r="KNN6" s="149"/>
      <c r="KNO6" s="149"/>
      <c r="KNP6" s="149"/>
      <c r="KNQ6" s="149"/>
      <c r="KNR6" s="149"/>
      <c r="KNS6" s="149"/>
      <c r="KNT6" s="149"/>
      <c r="KNU6" s="149"/>
      <c r="KNV6" s="149"/>
      <c r="KNW6" s="149"/>
      <c r="KNX6" s="149"/>
      <c r="KNY6" s="149"/>
      <c r="KNZ6" s="149"/>
      <c r="KOA6" s="149"/>
      <c r="KOB6" s="149"/>
      <c r="KOC6" s="149"/>
      <c r="KOD6" s="149"/>
      <c r="KOE6" s="149"/>
      <c r="KOF6" s="149"/>
      <c r="KOG6" s="149"/>
      <c r="KOH6" s="149"/>
      <c r="KOI6" s="149"/>
      <c r="KOJ6" s="149"/>
      <c r="KOK6" s="149"/>
      <c r="KOL6" s="149"/>
      <c r="KOM6" s="149"/>
      <c r="KON6" s="149"/>
      <c r="KOO6" s="149"/>
      <c r="KOP6" s="149"/>
      <c r="KOQ6" s="149"/>
      <c r="KOR6" s="149"/>
      <c r="KOS6" s="149"/>
      <c r="KOT6" s="149"/>
      <c r="KOU6" s="149"/>
      <c r="KOV6" s="149"/>
      <c r="KOW6" s="149"/>
      <c r="KOX6" s="149"/>
      <c r="KOY6" s="149"/>
      <c r="KOZ6" s="149"/>
      <c r="KPA6" s="149"/>
      <c r="KPB6" s="149"/>
      <c r="KPC6" s="149"/>
      <c r="KPD6" s="149"/>
      <c r="KPE6" s="149"/>
      <c r="KPF6" s="149"/>
      <c r="KPG6" s="149"/>
      <c r="KPH6" s="149"/>
      <c r="KPI6" s="149"/>
      <c r="KPJ6" s="149"/>
      <c r="KPK6" s="149"/>
      <c r="KPL6" s="149"/>
      <c r="KPM6" s="149"/>
      <c r="KPN6" s="149"/>
      <c r="KPO6" s="149"/>
      <c r="KPP6" s="149"/>
      <c r="KPQ6" s="149"/>
      <c r="KPR6" s="149"/>
      <c r="KPS6" s="149"/>
      <c r="KPT6" s="149"/>
      <c r="KPU6" s="149"/>
      <c r="KPV6" s="149"/>
      <c r="KPW6" s="149"/>
      <c r="KPX6" s="149"/>
      <c r="KPY6" s="149"/>
      <c r="KPZ6" s="149"/>
      <c r="KQA6" s="149"/>
      <c r="KQB6" s="149"/>
      <c r="KQC6" s="149"/>
      <c r="KQD6" s="149"/>
      <c r="KQE6" s="149"/>
      <c r="KQF6" s="149"/>
      <c r="KQG6" s="149"/>
      <c r="KQH6" s="149"/>
      <c r="KQI6" s="149"/>
      <c r="KQJ6" s="149"/>
      <c r="KQK6" s="149"/>
      <c r="KQL6" s="149"/>
      <c r="KQM6" s="149"/>
      <c r="KQN6" s="149"/>
      <c r="KQO6" s="149"/>
      <c r="KQP6" s="149"/>
      <c r="KQQ6" s="149"/>
      <c r="KQR6" s="149"/>
      <c r="KQS6" s="149"/>
      <c r="KQT6" s="149"/>
      <c r="KQU6" s="149"/>
      <c r="KQV6" s="149"/>
      <c r="KQW6" s="149"/>
      <c r="KQX6" s="149"/>
      <c r="KQY6" s="149"/>
      <c r="KQZ6" s="149"/>
      <c r="KRA6" s="149"/>
      <c r="KRB6" s="149"/>
      <c r="KRC6" s="149"/>
      <c r="KRD6" s="149"/>
      <c r="KRE6" s="149"/>
      <c r="KRF6" s="149"/>
      <c r="KRG6" s="149"/>
      <c r="KRH6" s="149"/>
      <c r="KRI6" s="149"/>
      <c r="KRJ6" s="149"/>
      <c r="KRK6" s="149"/>
      <c r="KRL6" s="149"/>
      <c r="KRM6" s="149"/>
      <c r="KRN6" s="149"/>
      <c r="KRO6" s="149"/>
      <c r="KRP6" s="149"/>
      <c r="KRQ6" s="149"/>
      <c r="KRR6" s="149"/>
      <c r="KRS6" s="149"/>
      <c r="KRT6" s="149"/>
      <c r="KRU6" s="149"/>
      <c r="KRV6" s="149"/>
      <c r="KRW6" s="149"/>
      <c r="KRX6" s="149"/>
      <c r="KRY6" s="149"/>
      <c r="KRZ6" s="149"/>
      <c r="KSA6" s="149"/>
      <c r="KSB6" s="149"/>
      <c r="KSC6" s="149"/>
      <c r="KSD6" s="149"/>
      <c r="KSE6" s="149"/>
      <c r="KSF6" s="149"/>
      <c r="KSG6" s="149"/>
      <c r="KSH6" s="149"/>
      <c r="KSI6" s="149"/>
      <c r="KSJ6" s="149"/>
      <c r="KSK6" s="149"/>
      <c r="KSL6" s="149"/>
      <c r="KSM6" s="149"/>
      <c r="KSN6" s="149"/>
      <c r="KSO6" s="149"/>
      <c r="KSP6" s="149"/>
      <c r="KSQ6" s="149"/>
      <c r="KSR6" s="149"/>
      <c r="KSS6" s="149"/>
      <c r="KST6" s="149"/>
      <c r="KSU6" s="149"/>
      <c r="KSV6" s="149"/>
      <c r="KSW6" s="149"/>
      <c r="KSX6" s="149"/>
      <c r="KSY6" s="149"/>
      <c r="KSZ6" s="149"/>
      <c r="KTA6" s="149"/>
      <c r="KTB6" s="149"/>
      <c r="KTC6" s="149"/>
      <c r="KTD6" s="149"/>
      <c r="KTE6" s="149"/>
      <c r="KTF6" s="149"/>
      <c r="KTG6" s="149"/>
      <c r="KTH6" s="149"/>
      <c r="KTI6" s="149"/>
      <c r="KTJ6" s="149"/>
      <c r="KTK6" s="149"/>
      <c r="KTL6" s="149"/>
      <c r="KTM6" s="149"/>
      <c r="KTN6" s="149"/>
      <c r="KTO6" s="149"/>
      <c r="KTP6" s="149"/>
      <c r="KTQ6" s="149"/>
      <c r="KTR6" s="149"/>
      <c r="KTS6" s="149"/>
      <c r="KTT6" s="149"/>
      <c r="KTU6" s="149"/>
      <c r="KTV6" s="149"/>
      <c r="KTW6" s="149"/>
      <c r="KTX6" s="149"/>
      <c r="KTY6" s="149"/>
      <c r="KTZ6" s="149"/>
      <c r="KUA6" s="149"/>
      <c r="KUB6" s="149"/>
      <c r="KUC6" s="149"/>
      <c r="KUD6" s="149"/>
      <c r="KUE6" s="149"/>
      <c r="KUF6" s="149"/>
      <c r="KUG6" s="149"/>
      <c r="KUH6" s="149"/>
      <c r="KUI6" s="149"/>
      <c r="KUJ6" s="149"/>
      <c r="KUK6" s="149"/>
      <c r="KUL6" s="149"/>
      <c r="KUM6" s="149"/>
      <c r="KUN6" s="149"/>
      <c r="KUO6" s="149"/>
      <c r="KUP6" s="149"/>
      <c r="KUQ6" s="149"/>
      <c r="KUR6" s="149"/>
      <c r="KUS6" s="149"/>
      <c r="KUT6" s="149"/>
      <c r="KUU6" s="149"/>
      <c r="KUV6" s="149"/>
      <c r="KUW6" s="149"/>
      <c r="KUX6" s="149"/>
      <c r="KUY6" s="149"/>
      <c r="KUZ6" s="149"/>
      <c r="KVA6" s="149"/>
      <c r="KVB6" s="149"/>
      <c r="KVC6" s="149"/>
      <c r="KVD6" s="149"/>
      <c r="KVE6" s="149"/>
      <c r="KVF6" s="149"/>
      <c r="KVG6" s="149"/>
      <c r="KVH6" s="149"/>
      <c r="KVI6" s="149"/>
      <c r="KVJ6" s="149"/>
      <c r="KVK6" s="149"/>
      <c r="KVL6" s="149"/>
      <c r="KVM6" s="149"/>
      <c r="KVN6" s="149"/>
      <c r="KVO6" s="149"/>
      <c r="KVP6" s="149"/>
      <c r="KVQ6" s="149"/>
      <c r="KVR6" s="149"/>
      <c r="KVS6" s="149"/>
      <c r="KVT6" s="149"/>
      <c r="KVU6" s="149"/>
      <c r="KVV6" s="149"/>
      <c r="KVW6" s="149"/>
      <c r="KVX6" s="149"/>
      <c r="KVY6" s="149"/>
      <c r="KVZ6" s="149"/>
      <c r="KWA6" s="149"/>
      <c r="KWB6" s="149"/>
      <c r="KWC6" s="149"/>
      <c r="KWD6" s="149"/>
      <c r="KWE6" s="149"/>
      <c r="KWF6" s="149"/>
      <c r="KWG6" s="149"/>
      <c r="KWH6" s="149"/>
      <c r="KWI6" s="149"/>
      <c r="KWJ6" s="149"/>
      <c r="KWK6" s="149"/>
      <c r="KWL6" s="149"/>
      <c r="KWM6" s="149"/>
      <c r="KWN6" s="149"/>
      <c r="KWO6" s="149"/>
      <c r="KWP6" s="149"/>
      <c r="KWQ6" s="149"/>
      <c r="KWR6" s="149"/>
      <c r="KWS6" s="149"/>
      <c r="KWT6" s="149"/>
      <c r="KWU6" s="149"/>
      <c r="KWV6" s="149"/>
      <c r="KWW6" s="149"/>
      <c r="KWX6" s="149"/>
      <c r="KWY6" s="149"/>
      <c r="KWZ6" s="149"/>
      <c r="KXA6" s="149"/>
      <c r="KXB6" s="149"/>
      <c r="KXC6" s="149"/>
      <c r="KXD6" s="149"/>
      <c r="KXE6" s="149"/>
      <c r="KXF6" s="149"/>
      <c r="KXG6" s="149"/>
      <c r="KXH6" s="149"/>
      <c r="KXI6" s="149"/>
      <c r="KXJ6" s="149"/>
      <c r="KXK6" s="149"/>
      <c r="KXL6" s="149"/>
      <c r="KXM6" s="149"/>
      <c r="KXN6" s="149"/>
      <c r="KXO6" s="149"/>
      <c r="KXP6" s="149"/>
      <c r="KXQ6" s="149"/>
      <c r="KXR6" s="149"/>
      <c r="KXS6" s="149"/>
      <c r="KXT6" s="149"/>
      <c r="KXU6" s="149"/>
      <c r="KXV6" s="149"/>
      <c r="KXW6" s="149"/>
      <c r="KXX6" s="149"/>
      <c r="KXY6" s="149"/>
      <c r="KXZ6" s="149"/>
      <c r="KYA6" s="149"/>
      <c r="KYB6" s="149"/>
      <c r="KYC6" s="149"/>
      <c r="KYD6" s="149"/>
      <c r="KYE6" s="149"/>
      <c r="KYF6" s="149"/>
      <c r="KYG6" s="149"/>
      <c r="KYH6" s="149"/>
      <c r="KYI6" s="149"/>
      <c r="KYJ6" s="149"/>
      <c r="KYK6" s="149"/>
      <c r="KYL6" s="149"/>
      <c r="KYM6" s="149"/>
      <c r="KYN6" s="149"/>
      <c r="KYO6" s="149"/>
      <c r="KYP6" s="149"/>
      <c r="KYQ6" s="149"/>
      <c r="KYR6" s="149"/>
      <c r="KYS6" s="149"/>
      <c r="KYT6" s="149"/>
      <c r="KYU6" s="149"/>
      <c r="KYV6" s="149"/>
      <c r="KYW6" s="149"/>
      <c r="KYX6" s="149"/>
      <c r="KYY6" s="149"/>
      <c r="KYZ6" s="149"/>
      <c r="KZA6" s="149"/>
      <c r="KZB6" s="149"/>
      <c r="KZC6" s="149"/>
      <c r="KZD6" s="149"/>
      <c r="KZE6" s="149"/>
      <c r="KZF6" s="149"/>
      <c r="KZG6" s="149"/>
      <c r="KZH6" s="149"/>
      <c r="KZI6" s="149"/>
      <c r="KZJ6" s="149"/>
      <c r="KZK6" s="149"/>
      <c r="KZL6" s="149"/>
      <c r="KZM6" s="149"/>
      <c r="KZN6" s="149"/>
      <c r="KZO6" s="149"/>
      <c r="KZP6" s="149"/>
      <c r="KZQ6" s="149"/>
      <c r="KZR6" s="149"/>
      <c r="KZS6" s="149"/>
      <c r="KZT6" s="149"/>
      <c r="KZU6" s="149"/>
      <c r="KZV6" s="149"/>
      <c r="KZW6" s="149"/>
      <c r="KZX6" s="149"/>
      <c r="KZY6" s="149"/>
      <c r="KZZ6" s="149"/>
      <c r="LAA6" s="149"/>
      <c r="LAB6" s="149"/>
      <c r="LAC6" s="149"/>
      <c r="LAD6" s="149"/>
      <c r="LAE6" s="149"/>
      <c r="LAF6" s="149"/>
      <c r="LAG6" s="149"/>
      <c r="LAH6" s="149"/>
      <c r="LAI6" s="149"/>
      <c r="LAJ6" s="149"/>
      <c r="LAK6" s="149"/>
      <c r="LAL6" s="149"/>
      <c r="LAM6" s="149"/>
      <c r="LAN6" s="149"/>
      <c r="LAO6" s="149"/>
      <c r="LAP6" s="149"/>
      <c r="LAQ6" s="149"/>
      <c r="LAR6" s="149"/>
      <c r="LAS6" s="149"/>
      <c r="LAT6" s="149"/>
      <c r="LAU6" s="149"/>
      <c r="LAV6" s="149"/>
      <c r="LAW6" s="149"/>
      <c r="LAX6" s="149"/>
      <c r="LAY6" s="149"/>
      <c r="LAZ6" s="149"/>
      <c r="LBA6" s="149"/>
      <c r="LBB6" s="149"/>
      <c r="LBC6" s="149"/>
      <c r="LBD6" s="149"/>
      <c r="LBE6" s="149"/>
      <c r="LBF6" s="149"/>
      <c r="LBG6" s="149"/>
      <c r="LBH6" s="149"/>
      <c r="LBI6" s="149"/>
      <c r="LBJ6" s="149"/>
      <c r="LBK6" s="149"/>
      <c r="LBL6" s="149"/>
      <c r="LBM6" s="149"/>
      <c r="LBN6" s="149"/>
      <c r="LBO6" s="149"/>
      <c r="LBP6" s="149"/>
      <c r="LBQ6" s="149"/>
      <c r="LBR6" s="149"/>
      <c r="LBS6" s="149"/>
      <c r="LBT6" s="149"/>
      <c r="LBU6" s="149"/>
      <c r="LBV6" s="149"/>
      <c r="LBW6" s="149"/>
      <c r="LBX6" s="149"/>
      <c r="LBY6" s="149"/>
      <c r="LBZ6" s="149"/>
      <c r="LCA6" s="149"/>
      <c r="LCB6" s="149"/>
      <c r="LCC6" s="149"/>
      <c r="LCD6" s="149"/>
      <c r="LCE6" s="149"/>
      <c r="LCF6" s="149"/>
      <c r="LCG6" s="149"/>
      <c r="LCH6" s="149"/>
      <c r="LCI6" s="149"/>
      <c r="LCJ6" s="149"/>
      <c r="LCK6" s="149"/>
      <c r="LCL6" s="149"/>
      <c r="LCM6" s="149"/>
      <c r="LCN6" s="149"/>
      <c r="LCO6" s="149"/>
      <c r="LCP6" s="149"/>
      <c r="LCQ6" s="149"/>
      <c r="LCR6" s="149"/>
      <c r="LCS6" s="149"/>
      <c r="LCT6" s="149"/>
      <c r="LCU6" s="149"/>
      <c r="LCV6" s="149"/>
      <c r="LCW6" s="149"/>
      <c r="LCX6" s="149"/>
      <c r="LCY6" s="149"/>
      <c r="LCZ6" s="149"/>
      <c r="LDA6" s="149"/>
      <c r="LDB6" s="149"/>
      <c r="LDC6" s="149"/>
      <c r="LDD6" s="149"/>
      <c r="LDE6" s="149"/>
      <c r="LDF6" s="149"/>
      <c r="LDG6" s="149"/>
      <c r="LDH6" s="149"/>
      <c r="LDI6" s="149"/>
      <c r="LDJ6" s="149"/>
      <c r="LDK6" s="149"/>
      <c r="LDL6" s="149"/>
      <c r="LDM6" s="149"/>
      <c r="LDN6" s="149"/>
      <c r="LDO6" s="149"/>
      <c r="LDP6" s="149"/>
      <c r="LDQ6" s="149"/>
      <c r="LDR6" s="149"/>
      <c r="LDS6" s="149"/>
      <c r="LDT6" s="149"/>
      <c r="LDU6" s="149"/>
      <c r="LDV6" s="149"/>
      <c r="LDW6" s="149"/>
      <c r="LDX6" s="149"/>
      <c r="LDY6" s="149"/>
      <c r="LDZ6" s="149"/>
      <c r="LEA6" s="149"/>
      <c r="LEB6" s="149"/>
      <c r="LEC6" s="149"/>
      <c r="LED6" s="149"/>
      <c r="LEE6" s="149"/>
      <c r="LEF6" s="149"/>
      <c r="LEG6" s="149"/>
      <c r="LEH6" s="149"/>
      <c r="LEI6" s="149"/>
      <c r="LEJ6" s="149"/>
      <c r="LEK6" s="149"/>
      <c r="LEL6" s="149"/>
      <c r="LEM6" s="149"/>
      <c r="LEN6" s="149"/>
      <c r="LEO6" s="149"/>
      <c r="LEP6" s="149"/>
      <c r="LEQ6" s="149"/>
      <c r="LER6" s="149"/>
      <c r="LES6" s="149"/>
      <c r="LET6" s="149"/>
      <c r="LEU6" s="149"/>
      <c r="LEV6" s="149"/>
      <c r="LEW6" s="149"/>
      <c r="LEX6" s="149"/>
      <c r="LEY6" s="149"/>
      <c r="LEZ6" s="149"/>
      <c r="LFA6" s="149"/>
      <c r="LFB6" s="149"/>
      <c r="LFC6" s="149"/>
      <c r="LFD6" s="149"/>
      <c r="LFE6" s="149"/>
      <c r="LFF6" s="149"/>
      <c r="LFG6" s="149"/>
      <c r="LFH6" s="149"/>
      <c r="LFI6" s="149"/>
      <c r="LFJ6" s="149"/>
      <c r="LFK6" s="149"/>
      <c r="LFL6" s="149"/>
      <c r="LFM6" s="149"/>
      <c r="LFN6" s="149"/>
      <c r="LFO6" s="149"/>
      <c r="LFP6" s="149"/>
      <c r="LFQ6" s="149"/>
      <c r="LFR6" s="149"/>
      <c r="LFS6" s="149"/>
      <c r="LFT6" s="149"/>
      <c r="LFU6" s="149"/>
      <c r="LFV6" s="149"/>
      <c r="LFW6" s="149"/>
      <c r="LFX6" s="149"/>
      <c r="LFY6" s="149"/>
      <c r="LFZ6" s="149"/>
      <c r="LGA6" s="149"/>
      <c r="LGB6" s="149"/>
      <c r="LGC6" s="149"/>
      <c r="LGD6" s="149"/>
      <c r="LGE6" s="149"/>
      <c r="LGF6" s="149"/>
      <c r="LGG6" s="149"/>
      <c r="LGH6" s="149"/>
      <c r="LGI6" s="149"/>
      <c r="LGJ6" s="149"/>
      <c r="LGK6" s="149"/>
      <c r="LGL6" s="149"/>
      <c r="LGM6" s="149"/>
      <c r="LGN6" s="149"/>
      <c r="LGO6" s="149"/>
      <c r="LGP6" s="149"/>
      <c r="LGQ6" s="149"/>
      <c r="LGR6" s="149"/>
      <c r="LGS6" s="149"/>
      <c r="LGT6" s="149"/>
      <c r="LGU6" s="149"/>
      <c r="LGV6" s="149"/>
      <c r="LGW6" s="149"/>
      <c r="LGX6" s="149"/>
      <c r="LGY6" s="149"/>
      <c r="LGZ6" s="149"/>
      <c r="LHA6" s="149"/>
      <c r="LHB6" s="149"/>
      <c r="LHC6" s="149"/>
      <c r="LHD6" s="149"/>
      <c r="LHE6" s="149"/>
      <c r="LHF6" s="149"/>
      <c r="LHG6" s="149"/>
      <c r="LHH6" s="149"/>
      <c r="LHI6" s="149"/>
      <c r="LHJ6" s="149"/>
      <c r="LHK6" s="149"/>
      <c r="LHL6" s="149"/>
      <c r="LHM6" s="149"/>
      <c r="LHN6" s="149"/>
      <c r="LHO6" s="149"/>
      <c r="LHP6" s="149"/>
      <c r="LHQ6" s="149"/>
      <c r="LHR6" s="149"/>
      <c r="LHS6" s="149"/>
      <c r="LHT6" s="149"/>
      <c r="LHU6" s="149"/>
      <c r="LHV6" s="149"/>
      <c r="LHW6" s="149"/>
      <c r="LHX6" s="149"/>
      <c r="LHY6" s="149"/>
      <c r="LHZ6" s="149"/>
      <c r="LIA6" s="149"/>
      <c r="LIB6" s="149"/>
      <c r="LIC6" s="149"/>
      <c r="LID6" s="149"/>
      <c r="LIE6" s="149"/>
      <c r="LIF6" s="149"/>
      <c r="LIG6" s="149"/>
      <c r="LIH6" s="149"/>
      <c r="LII6" s="149"/>
      <c r="LIJ6" s="149"/>
      <c r="LIK6" s="149"/>
      <c r="LIL6" s="149"/>
      <c r="LIM6" s="149"/>
      <c r="LIN6" s="149"/>
      <c r="LIO6" s="149"/>
      <c r="LIP6" s="149"/>
      <c r="LIQ6" s="149"/>
      <c r="LIR6" s="149"/>
      <c r="LIS6" s="149"/>
      <c r="LIT6" s="149"/>
      <c r="LIU6" s="149"/>
      <c r="LIV6" s="149"/>
      <c r="LIW6" s="149"/>
      <c r="LIX6" s="149"/>
      <c r="LIY6" s="149"/>
      <c r="LIZ6" s="149"/>
      <c r="LJA6" s="149"/>
      <c r="LJB6" s="149"/>
      <c r="LJC6" s="149"/>
      <c r="LJD6" s="149"/>
      <c r="LJE6" s="149"/>
      <c r="LJF6" s="149"/>
      <c r="LJG6" s="149"/>
      <c r="LJH6" s="149"/>
      <c r="LJI6" s="149"/>
      <c r="LJJ6" s="149"/>
      <c r="LJK6" s="149"/>
      <c r="LJL6" s="149"/>
      <c r="LJM6" s="149"/>
      <c r="LJN6" s="149"/>
      <c r="LJO6" s="149"/>
      <c r="LJP6" s="149"/>
      <c r="LJQ6" s="149"/>
      <c r="LJR6" s="149"/>
      <c r="LJS6" s="149"/>
      <c r="LJT6" s="149"/>
      <c r="LJU6" s="149"/>
      <c r="LJV6" s="149"/>
      <c r="LJW6" s="149"/>
      <c r="LJX6" s="149"/>
      <c r="LJY6" s="149"/>
      <c r="LJZ6" s="149"/>
      <c r="LKA6" s="149"/>
      <c r="LKB6" s="149"/>
      <c r="LKC6" s="149"/>
      <c r="LKD6" s="149"/>
      <c r="LKE6" s="149"/>
      <c r="LKF6" s="149"/>
      <c r="LKG6" s="149"/>
      <c r="LKH6" s="149"/>
      <c r="LKI6" s="149"/>
      <c r="LKJ6" s="149"/>
      <c r="LKK6" s="149"/>
      <c r="LKL6" s="149"/>
      <c r="LKM6" s="149"/>
      <c r="LKN6" s="149"/>
      <c r="LKO6" s="149"/>
      <c r="LKP6" s="149"/>
      <c r="LKQ6" s="149"/>
      <c r="LKR6" s="149"/>
      <c r="LKS6" s="149"/>
      <c r="LKT6" s="149"/>
      <c r="LKU6" s="149"/>
      <c r="LKV6" s="149"/>
      <c r="LKW6" s="149"/>
      <c r="LKX6" s="149"/>
      <c r="LKY6" s="149"/>
      <c r="LKZ6" s="149"/>
      <c r="LLA6" s="149"/>
      <c r="LLB6" s="149"/>
      <c r="LLC6" s="149"/>
      <c r="LLD6" s="149"/>
      <c r="LLE6" s="149"/>
      <c r="LLF6" s="149"/>
      <c r="LLG6" s="149"/>
      <c r="LLH6" s="149"/>
      <c r="LLI6" s="149"/>
      <c r="LLJ6" s="149"/>
      <c r="LLK6" s="149"/>
      <c r="LLL6" s="149"/>
      <c r="LLM6" s="149"/>
      <c r="LLN6" s="149"/>
      <c r="LLO6" s="149"/>
      <c r="LLP6" s="149"/>
      <c r="LLQ6" s="149"/>
      <c r="LLR6" s="149"/>
      <c r="LLS6" s="149"/>
      <c r="LLT6" s="149"/>
      <c r="LLU6" s="149"/>
      <c r="LLV6" s="149"/>
      <c r="LLW6" s="149"/>
      <c r="LLX6" s="149"/>
      <c r="LLY6" s="149"/>
      <c r="LLZ6" s="149"/>
      <c r="LMA6" s="149"/>
      <c r="LMB6" s="149"/>
      <c r="LMC6" s="149"/>
      <c r="LMD6" s="149"/>
      <c r="LME6" s="149"/>
      <c r="LMF6" s="149"/>
      <c r="LMG6" s="149"/>
      <c r="LMH6" s="149"/>
      <c r="LMI6" s="149"/>
      <c r="LMJ6" s="149"/>
      <c r="LMK6" s="149"/>
      <c r="LML6" s="149"/>
      <c r="LMM6" s="149"/>
      <c r="LMN6" s="149"/>
      <c r="LMO6" s="149"/>
      <c r="LMP6" s="149"/>
      <c r="LMQ6" s="149"/>
      <c r="LMR6" s="149"/>
      <c r="LMS6" s="149"/>
      <c r="LMT6" s="149"/>
      <c r="LMU6" s="149"/>
      <c r="LMV6" s="149"/>
      <c r="LMW6" s="149"/>
      <c r="LMX6" s="149"/>
      <c r="LMY6" s="149"/>
      <c r="LMZ6" s="149"/>
      <c r="LNA6" s="149"/>
      <c r="LNB6" s="149"/>
      <c r="LNC6" s="149"/>
      <c r="LND6" s="149"/>
      <c r="LNE6" s="149"/>
      <c r="LNF6" s="149"/>
      <c r="LNG6" s="149"/>
      <c r="LNH6" s="149"/>
      <c r="LNI6" s="149"/>
      <c r="LNJ6" s="149"/>
      <c r="LNK6" s="149"/>
      <c r="LNL6" s="149"/>
      <c r="LNM6" s="149"/>
      <c r="LNN6" s="149"/>
      <c r="LNO6" s="149"/>
      <c r="LNP6" s="149"/>
      <c r="LNQ6" s="149"/>
      <c r="LNR6" s="149"/>
      <c r="LNS6" s="149"/>
      <c r="LNT6" s="149"/>
      <c r="LNU6" s="149"/>
      <c r="LNV6" s="149"/>
      <c r="LNW6" s="149"/>
      <c r="LNX6" s="149"/>
      <c r="LNY6" s="149"/>
      <c r="LNZ6" s="149"/>
      <c r="LOA6" s="149"/>
      <c r="LOB6" s="149"/>
      <c r="LOC6" s="149"/>
      <c r="LOD6" s="149"/>
      <c r="LOE6" s="149"/>
      <c r="LOF6" s="149"/>
      <c r="LOG6" s="149"/>
      <c r="LOH6" s="149"/>
      <c r="LOI6" s="149"/>
      <c r="LOJ6" s="149"/>
      <c r="LOK6" s="149"/>
      <c r="LOL6" s="149"/>
      <c r="LOM6" s="149"/>
      <c r="LON6" s="149"/>
      <c r="LOO6" s="149"/>
      <c r="LOP6" s="149"/>
      <c r="LOQ6" s="149"/>
      <c r="LOR6" s="149"/>
      <c r="LOS6" s="149"/>
      <c r="LOT6" s="149"/>
      <c r="LOU6" s="149"/>
      <c r="LOV6" s="149"/>
      <c r="LOW6" s="149"/>
      <c r="LOX6" s="149"/>
      <c r="LOY6" s="149"/>
      <c r="LOZ6" s="149"/>
      <c r="LPA6" s="149"/>
      <c r="LPB6" s="149"/>
      <c r="LPC6" s="149"/>
      <c r="LPD6" s="149"/>
      <c r="LPE6" s="149"/>
      <c r="LPF6" s="149"/>
      <c r="LPG6" s="149"/>
      <c r="LPH6" s="149"/>
      <c r="LPI6" s="149"/>
      <c r="LPJ6" s="149"/>
      <c r="LPK6" s="149"/>
      <c r="LPL6" s="149"/>
      <c r="LPM6" s="149"/>
      <c r="LPN6" s="149"/>
      <c r="LPO6" s="149"/>
      <c r="LPP6" s="149"/>
      <c r="LPQ6" s="149"/>
      <c r="LPR6" s="149"/>
      <c r="LPS6" s="149"/>
      <c r="LPT6" s="149"/>
      <c r="LPU6" s="149"/>
      <c r="LPV6" s="149"/>
      <c r="LPW6" s="149"/>
      <c r="LPX6" s="149"/>
      <c r="LPY6" s="149"/>
      <c r="LPZ6" s="149"/>
      <c r="LQA6" s="149"/>
      <c r="LQB6" s="149"/>
      <c r="LQC6" s="149"/>
      <c r="LQD6" s="149"/>
      <c r="LQE6" s="149"/>
      <c r="LQF6" s="149"/>
      <c r="LQG6" s="149"/>
      <c r="LQH6" s="149"/>
      <c r="LQI6" s="149"/>
      <c r="LQJ6" s="149"/>
      <c r="LQK6" s="149"/>
      <c r="LQL6" s="149"/>
      <c r="LQM6" s="149"/>
      <c r="LQN6" s="149"/>
      <c r="LQO6" s="149"/>
      <c r="LQP6" s="149"/>
      <c r="LQQ6" s="149"/>
      <c r="LQR6" s="149"/>
      <c r="LQS6" s="149"/>
      <c r="LQT6" s="149"/>
      <c r="LQU6" s="149"/>
      <c r="LQV6" s="149"/>
      <c r="LQW6" s="149"/>
      <c r="LQX6" s="149"/>
      <c r="LQY6" s="149"/>
      <c r="LQZ6" s="149"/>
      <c r="LRA6" s="149"/>
      <c r="LRB6" s="149"/>
      <c r="LRC6" s="149"/>
      <c r="LRD6" s="149"/>
      <c r="LRE6" s="149"/>
      <c r="LRF6" s="149"/>
      <c r="LRG6" s="149"/>
      <c r="LRH6" s="149"/>
      <c r="LRI6" s="149"/>
      <c r="LRJ6" s="149"/>
      <c r="LRK6" s="149"/>
      <c r="LRL6" s="149"/>
      <c r="LRM6" s="149"/>
      <c r="LRN6" s="149"/>
      <c r="LRO6" s="149"/>
      <c r="LRP6" s="149"/>
      <c r="LRQ6" s="149"/>
      <c r="LRR6" s="149"/>
      <c r="LRS6" s="149"/>
      <c r="LRT6" s="149"/>
      <c r="LRU6" s="149"/>
      <c r="LRV6" s="149"/>
      <c r="LRW6" s="149"/>
      <c r="LRX6" s="149"/>
      <c r="LRY6" s="149"/>
      <c r="LRZ6" s="149"/>
      <c r="LSA6" s="149"/>
      <c r="LSB6" s="149"/>
      <c r="LSC6" s="149"/>
      <c r="LSD6" s="149"/>
      <c r="LSE6" s="149"/>
      <c r="LSF6" s="149"/>
      <c r="LSG6" s="149"/>
      <c r="LSH6" s="149"/>
      <c r="LSI6" s="149"/>
      <c r="LSJ6" s="149"/>
      <c r="LSK6" s="149"/>
      <c r="LSL6" s="149"/>
      <c r="LSM6" s="149"/>
      <c r="LSN6" s="149"/>
      <c r="LSO6" s="149"/>
      <c r="LSP6" s="149"/>
      <c r="LSQ6" s="149"/>
      <c r="LSR6" s="149"/>
      <c r="LSS6" s="149"/>
      <c r="LST6" s="149"/>
      <c r="LSU6" s="149"/>
      <c r="LSV6" s="149"/>
      <c r="LSW6" s="149"/>
      <c r="LSX6" s="149"/>
      <c r="LSY6" s="149"/>
      <c r="LSZ6" s="149"/>
      <c r="LTA6" s="149"/>
      <c r="LTB6" s="149"/>
      <c r="LTC6" s="149"/>
      <c r="LTD6" s="149"/>
      <c r="LTE6" s="149"/>
      <c r="LTF6" s="149"/>
      <c r="LTG6" s="149"/>
      <c r="LTH6" s="149"/>
      <c r="LTI6" s="149"/>
      <c r="LTJ6" s="149"/>
      <c r="LTK6" s="149"/>
      <c r="LTL6" s="149"/>
      <c r="LTM6" s="149"/>
      <c r="LTN6" s="149"/>
      <c r="LTO6" s="149"/>
      <c r="LTP6" s="149"/>
      <c r="LTQ6" s="149"/>
      <c r="LTR6" s="149"/>
      <c r="LTS6" s="149"/>
      <c r="LTT6" s="149"/>
      <c r="LTU6" s="149"/>
      <c r="LTV6" s="149"/>
      <c r="LTW6" s="149"/>
      <c r="LTX6" s="149"/>
      <c r="LTY6" s="149"/>
      <c r="LTZ6" s="149"/>
      <c r="LUA6" s="149"/>
      <c r="LUB6" s="149"/>
      <c r="LUC6" s="149"/>
      <c r="LUD6" s="149"/>
      <c r="LUE6" s="149"/>
      <c r="LUF6" s="149"/>
      <c r="LUG6" s="149"/>
      <c r="LUH6" s="149"/>
      <c r="LUI6" s="149"/>
      <c r="LUJ6" s="149"/>
      <c r="LUK6" s="149"/>
      <c r="LUL6" s="149"/>
      <c r="LUM6" s="149"/>
      <c r="LUN6" s="149"/>
      <c r="LUO6" s="149"/>
      <c r="LUP6" s="149"/>
      <c r="LUQ6" s="149"/>
      <c r="LUR6" s="149"/>
      <c r="LUS6" s="149"/>
      <c r="LUT6" s="149"/>
      <c r="LUU6" s="149"/>
      <c r="LUV6" s="149"/>
      <c r="LUW6" s="149"/>
      <c r="LUX6" s="149"/>
      <c r="LUY6" s="149"/>
      <c r="LUZ6" s="149"/>
      <c r="LVA6" s="149"/>
      <c r="LVB6" s="149"/>
      <c r="LVC6" s="149"/>
      <c r="LVD6" s="149"/>
      <c r="LVE6" s="149"/>
      <c r="LVF6" s="149"/>
      <c r="LVG6" s="149"/>
      <c r="LVH6" s="149"/>
      <c r="LVI6" s="149"/>
      <c r="LVJ6" s="149"/>
      <c r="LVK6" s="149"/>
      <c r="LVL6" s="149"/>
      <c r="LVM6" s="149"/>
      <c r="LVN6" s="149"/>
      <c r="LVO6" s="149"/>
      <c r="LVP6" s="149"/>
      <c r="LVQ6" s="149"/>
      <c r="LVR6" s="149"/>
      <c r="LVS6" s="149"/>
      <c r="LVT6" s="149"/>
      <c r="LVU6" s="149"/>
      <c r="LVV6" s="149"/>
      <c r="LVW6" s="149"/>
      <c r="LVX6" s="149"/>
      <c r="LVY6" s="149"/>
      <c r="LVZ6" s="149"/>
      <c r="LWA6" s="149"/>
      <c r="LWB6" s="149"/>
      <c r="LWC6" s="149"/>
      <c r="LWD6" s="149"/>
      <c r="LWE6" s="149"/>
      <c r="LWF6" s="149"/>
      <c r="LWG6" s="149"/>
      <c r="LWH6" s="149"/>
      <c r="LWI6" s="149"/>
      <c r="LWJ6" s="149"/>
      <c r="LWK6" s="149"/>
      <c r="LWL6" s="149"/>
      <c r="LWM6" s="149"/>
      <c r="LWN6" s="149"/>
      <c r="LWO6" s="149"/>
      <c r="LWP6" s="149"/>
      <c r="LWQ6" s="149"/>
      <c r="LWR6" s="149"/>
      <c r="LWS6" s="149"/>
      <c r="LWT6" s="149"/>
      <c r="LWU6" s="149"/>
      <c r="LWV6" s="149"/>
      <c r="LWW6" s="149"/>
      <c r="LWX6" s="149"/>
      <c r="LWY6" s="149"/>
      <c r="LWZ6" s="149"/>
      <c r="LXA6" s="149"/>
      <c r="LXB6" s="149"/>
      <c r="LXC6" s="149"/>
      <c r="LXD6" s="149"/>
      <c r="LXE6" s="149"/>
      <c r="LXF6" s="149"/>
      <c r="LXG6" s="149"/>
      <c r="LXH6" s="149"/>
      <c r="LXI6" s="149"/>
      <c r="LXJ6" s="149"/>
      <c r="LXK6" s="149"/>
      <c r="LXL6" s="149"/>
      <c r="LXM6" s="149"/>
      <c r="LXN6" s="149"/>
      <c r="LXO6" s="149"/>
      <c r="LXP6" s="149"/>
      <c r="LXQ6" s="149"/>
      <c r="LXR6" s="149"/>
      <c r="LXS6" s="149"/>
      <c r="LXT6" s="149"/>
      <c r="LXU6" s="149"/>
      <c r="LXV6" s="149"/>
      <c r="LXW6" s="149"/>
      <c r="LXX6" s="149"/>
      <c r="LXY6" s="149"/>
      <c r="LXZ6" s="149"/>
      <c r="LYA6" s="149"/>
      <c r="LYB6" s="149"/>
      <c r="LYC6" s="149"/>
      <c r="LYD6" s="149"/>
      <c r="LYE6" s="149"/>
      <c r="LYF6" s="149"/>
      <c r="LYG6" s="149"/>
      <c r="LYH6" s="149"/>
      <c r="LYI6" s="149"/>
      <c r="LYJ6" s="149"/>
      <c r="LYK6" s="149"/>
      <c r="LYL6" s="149"/>
      <c r="LYM6" s="149"/>
      <c r="LYN6" s="149"/>
      <c r="LYO6" s="149"/>
      <c r="LYP6" s="149"/>
      <c r="LYQ6" s="149"/>
      <c r="LYR6" s="149"/>
      <c r="LYS6" s="149"/>
      <c r="LYT6" s="149"/>
      <c r="LYU6" s="149"/>
      <c r="LYV6" s="149"/>
      <c r="LYW6" s="149"/>
      <c r="LYX6" s="149"/>
      <c r="LYY6" s="149"/>
      <c r="LYZ6" s="149"/>
      <c r="LZA6" s="149"/>
      <c r="LZB6" s="149"/>
      <c r="LZC6" s="149"/>
      <c r="LZD6" s="149"/>
      <c r="LZE6" s="149"/>
      <c r="LZF6" s="149"/>
      <c r="LZG6" s="149"/>
      <c r="LZH6" s="149"/>
      <c r="LZI6" s="149"/>
      <c r="LZJ6" s="149"/>
      <c r="LZK6" s="149"/>
      <c r="LZL6" s="149"/>
      <c r="LZM6" s="149"/>
      <c r="LZN6" s="149"/>
      <c r="LZO6" s="149"/>
      <c r="LZP6" s="149"/>
      <c r="LZQ6" s="149"/>
      <c r="LZR6" s="149"/>
      <c r="LZS6" s="149"/>
      <c r="LZT6" s="149"/>
      <c r="LZU6" s="149"/>
      <c r="LZV6" s="149"/>
      <c r="LZW6" s="149"/>
      <c r="LZX6" s="149"/>
      <c r="LZY6" s="149"/>
      <c r="LZZ6" s="149"/>
      <c r="MAA6" s="149"/>
      <c r="MAB6" s="149"/>
      <c r="MAC6" s="149"/>
      <c r="MAD6" s="149"/>
      <c r="MAE6" s="149"/>
      <c r="MAF6" s="149"/>
      <c r="MAG6" s="149"/>
      <c r="MAH6" s="149"/>
      <c r="MAI6" s="149"/>
      <c r="MAJ6" s="149"/>
      <c r="MAK6" s="149"/>
      <c r="MAL6" s="149"/>
      <c r="MAM6" s="149"/>
      <c r="MAN6" s="149"/>
      <c r="MAO6" s="149"/>
      <c r="MAP6" s="149"/>
      <c r="MAQ6" s="149"/>
      <c r="MAR6" s="149"/>
      <c r="MAS6" s="149"/>
      <c r="MAT6" s="149"/>
      <c r="MAU6" s="149"/>
      <c r="MAV6" s="149"/>
      <c r="MAW6" s="149"/>
      <c r="MAX6" s="149"/>
      <c r="MAY6" s="149"/>
      <c r="MAZ6" s="149"/>
      <c r="MBA6" s="149"/>
      <c r="MBB6" s="149"/>
      <c r="MBC6" s="149"/>
      <c r="MBD6" s="149"/>
      <c r="MBE6" s="149"/>
      <c r="MBF6" s="149"/>
      <c r="MBG6" s="149"/>
      <c r="MBH6" s="149"/>
      <c r="MBI6" s="149"/>
      <c r="MBJ6" s="149"/>
      <c r="MBK6" s="149"/>
      <c r="MBL6" s="149"/>
      <c r="MBM6" s="149"/>
      <c r="MBN6" s="149"/>
      <c r="MBO6" s="149"/>
      <c r="MBP6" s="149"/>
      <c r="MBQ6" s="149"/>
      <c r="MBR6" s="149"/>
      <c r="MBS6" s="149"/>
      <c r="MBT6" s="149"/>
      <c r="MBU6" s="149"/>
      <c r="MBV6" s="149"/>
      <c r="MBW6" s="149"/>
      <c r="MBX6" s="149"/>
      <c r="MBY6" s="149"/>
      <c r="MBZ6" s="149"/>
      <c r="MCA6" s="149"/>
      <c r="MCB6" s="149"/>
      <c r="MCC6" s="149"/>
      <c r="MCD6" s="149"/>
      <c r="MCE6" s="149"/>
      <c r="MCF6" s="149"/>
      <c r="MCG6" s="149"/>
      <c r="MCH6" s="149"/>
      <c r="MCI6" s="149"/>
      <c r="MCJ6" s="149"/>
      <c r="MCK6" s="149"/>
      <c r="MCL6" s="149"/>
      <c r="MCM6" s="149"/>
      <c r="MCN6" s="149"/>
      <c r="MCO6" s="149"/>
      <c r="MCP6" s="149"/>
      <c r="MCQ6" s="149"/>
      <c r="MCR6" s="149"/>
      <c r="MCS6" s="149"/>
      <c r="MCT6" s="149"/>
      <c r="MCU6" s="149"/>
      <c r="MCV6" s="149"/>
      <c r="MCW6" s="149"/>
      <c r="MCX6" s="149"/>
      <c r="MCY6" s="149"/>
      <c r="MCZ6" s="149"/>
      <c r="MDA6" s="149"/>
      <c r="MDB6" s="149"/>
      <c r="MDC6" s="149"/>
      <c r="MDD6" s="149"/>
      <c r="MDE6" s="149"/>
      <c r="MDF6" s="149"/>
      <c r="MDG6" s="149"/>
      <c r="MDH6" s="149"/>
      <c r="MDI6" s="149"/>
      <c r="MDJ6" s="149"/>
      <c r="MDK6" s="149"/>
      <c r="MDL6" s="149"/>
      <c r="MDM6" s="149"/>
      <c r="MDN6" s="149"/>
      <c r="MDO6" s="149"/>
      <c r="MDP6" s="149"/>
      <c r="MDQ6" s="149"/>
      <c r="MDR6" s="149"/>
      <c r="MDS6" s="149"/>
      <c r="MDT6" s="149"/>
      <c r="MDU6" s="149"/>
      <c r="MDV6" s="149"/>
      <c r="MDW6" s="149"/>
      <c r="MDX6" s="149"/>
      <c r="MDY6" s="149"/>
      <c r="MDZ6" s="149"/>
      <c r="MEA6" s="149"/>
      <c r="MEB6" s="149"/>
      <c r="MEC6" s="149"/>
      <c r="MED6" s="149"/>
      <c r="MEE6" s="149"/>
      <c r="MEF6" s="149"/>
      <c r="MEG6" s="149"/>
      <c r="MEH6" s="149"/>
      <c r="MEI6" s="149"/>
      <c r="MEJ6" s="149"/>
      <c r="MEK6" s="149"/>
      <c r="MEL6" s="149"/>
      <c r="MEM6" s="149"/>
      <c r="MEN6" s="149"/>
      <c r="MEO6" s="149"/>
      <c r="MEP6" s="149"/>
      <c r="MEQ6" s="149"/>
      <c r="MER6" s="149"/>
      <c r="MES6" s="149"/>
      <c r="MET6" s="149"/>
      <c r="MEU6" s="149"/>
      <c r="MEV6" s="149"/>
      <c r="MEW6" s="149"/>
      <c r="MEX6" s="149"/>
      <c r="MEY6" s="149"/>
      <c r="MEZ6" s="149"/>
      <c r="MFA6" s="149"/>
      <c r="MFB6" s="149"/>
      <c r="MFC6" s="149"/>
      <c r="MFD6" s="149"/>
      <c r="MFE6" s="149"/>
      <c r="MFF6" s="149"/>
      <c r="MFG6" s="149"/>
      <c r="MFH6" s="149"/>
      <c r="MFI6" s="149"/>
      <c r="MFJ6" s="149"/>
      <c r="MFK6" s="149"/>
      <c r="MFL6" s="149"/>
      <c r="MFM6" s="149"/>
      <c r="MFN6" s="149"/>
      <c r="MFO6" s="149"/>
      <c r="MFP6" s="149"/>
      <c r="MFQ6" s="149"/>
      <c r="MFR6" s="149"/>
      <c r="MFS6" s="149"/>
      <c r="MFT6" s="149"/>
      <c r="MFU6" s="149"/>
      <c r="MFV6" s="149"/>
      <c r="MFW6" s="149"/>
      <c r="MFX6" s="149"/>
      <c r="MFY6" s="149"/>
      <c r="MFZ6" s="149"/>
      <c r="MGA6" s="149"/>
      <c r="MGB6" s="149"/>
      <c r="MGC6" s="149"/>
      <c r="MGD6" s="149"/>
      <c r="MGE6" s="149"/>
      <c r="MGF6" s="149"/>
      <c r="MGG6" s="149"/>
      <c r="MGH6" s="149"/>
      <c r="MGI6" s="149"/>
      <c r="MGJ6" s="149"/>
      <c r="MGK6" s="149"/>
      <c r="MGL6" s="149"/>
      <c r="MGM6" s="149"/>
      <c r="MGN6" s="149"/>
      <c r="MGO6" s="149"/>
      <c r="MGP6" s="149"/>
      <c r="MGQ6" s="149"/>
      <c r="MGR6" s="149"/>
      <c r="MGS6" s="149"/>
      <c r="MGT6" s="149"/>
      <c r="MGU6" s="149"/>
      <c r="MGV6" s="149"/>
      <c r="MGW6" s="149"/>
      <c r="MGX6" s="149"/>
      <c r="MGY6" s="149"/>
      <c r="MGZ6" s="149"/>
      <c r="MHA6" s="149"/>
      <c r="MHB6" s="149"/>
      <c r="MHC6" s="149"/>
      <c r="MHD6" s="149"/>
      <c r="MHE6" s="149"/>
      <c r="MHF6" s="149"/>
      <c r="MHG6" s="149"/>
      <c r="MHH6" s="149"/>
      <c r="MHI6" s="149"/>
      <c r="MHJ6" s="149"/>
      <c r="MHK6" s="149"/>
      <c r="MHL6" s="149"/>
      <c r="MHM6" s="149"/>
      <c r="MHN6" s="149"/>
      <c r="MHO6" s="149"/>
      <c r="MHP6" s="149"/>
      <c r="MHQ6" s="149"/>
      <c r="MHR6" s="149"/>
      <c r="MHS6" s="149"/>
      <c r="MHT6" s="149"/>
      <c r="MHU6" s="149"/>
      <c r="MHV6" s="149"/>
      <c r="MHW6" s="149"/>
      <c r="MHX6" s="149"/>
      <c r="MHY6" s="149"/>
      <c r="MHZ6" s="149"/>
      <c r="MIA6" s="149"/>
      <c r="MIB6" s="149"/>
      <c r="MIC6" s="149"/>
      <c r="MID6" s="149"/>
      <c r="MIE6" s="149"/>
      <c r="MIF6" s="149"/>
      <c r="MIG6" s="149"/>
      <c r="MIH6" s="149"/>
      <c r="MII6" s="149"/>
      <c r="MIJ6" s="149"/>
      <c r="MIK6" s="149"/>
      <c r="MIL6" s="149"/>
      <c r="MIM6" s="149"/>
      <c r="MIN6" s="149"/>
      <c r="MIO6" s="149"/>
      <c r="MIP6" s="149"/>
      <c r="MIQ6" s="149"/>
      <c r="MIR6" s="149"/>
      <c r="MIS6" s="149"/>
      <c r="MIT6" s="149"/>
      <c r="MIU6" s="149"/>
      <c r="MIV6" s="149"/>
      <c r="MIW6" s="149"/>
      <c r="MIX6" s="149"/>
      <c r="MIY6" s="149"/>
      <c r="MIZ6" s="149"/>
      <c r="MJA6" s="149"/>
      <c r="MJB6" s="149"/>
      <c r="MJC6" s="149"/>
      <c r="MJD6" s="149"/>
      <c r="MJE6" s="149"/>
      <c r="MJF6" s="149"/>
      <c r="MJG6" s="149"/>
      <c r="MJH6" s="149"/>
      <c r="MJI6" s="149"/>
      <c r="MJJ6" s="149"/>
      <c r="MJK6" s="149"/>
      <c r="MJL6" s="149"/>
      <c r="MJM6" s="149"/>
      <c r="MJN6" s="149"/>
      <c r="MJO6" s="149"/>
      <c r="MJP6" s="149"/>
      <c r="MJQ6" s="149"/>
      <c r="MJR6" s="149"/>
      <c r="MJS6" s="149"/>
      <c r="MJT6" s="149"/>
      <c r="MJU6" s="149"/>
      <c r="MJV6" s="149"/>
      <c r="MJW6" s="149"/>
      <c r="MJX6" s="149"/>
      <c r="MJY6" s="149"/>
      <c r="MJZ6" s="149"/>
      <c r="MKA6" s="149"/>
      <c r="MKB6" s="149"/>
      <c r="MKC6" s="149"/>
      <c r="MKD6" s="149"/>
      <c r="MKE6" s="149"/>
      <c r="MKF6" s="149"/>
      <c r="MKG6" s="149"/>
      <c r="MKH6" s="149"/>
      <c r="MKI6" s="149"/>
      <c r="MKJ6" s="149"/>
      <c r="MKK6" s="149"/>
      <c r="MKL6" s="149"/>
      <c r="MKM6" s="149"/>
      <c r="MKN6" s="149"/>
      <c r="MKO6" s="149"/>
      <c r="MKP6" s="149"/>
      <c r="MKQ6" s="149"/>
      <c r="MKR6" s="149"/>
      <c r="MKS6" s="149"/>
      <c r="MKT6" s="149"/>
      <c r="MKU6" s="149"/>
      <c r="MKV6" s="149"/>
      <c r="MKW6" s="149"/>
      <c r="MKX6" s="149"/>
      <c r="MKY6" s="149"/>
      <c r="MKZ6" s="149"/>
      <c r="MLA6" s="149"/>
      <c r="MLB6" s="149"/>
      <c r="MLC6" s="149"/>
      <c r="MLD6" s="149"/>
      <c r="MLE6" s="149"/>
      <c r="MLF6" s="149"/>
      <c r="MLG6" s="149"/>
      <c r="MLH6" s="149"/>
      <c r="MLI6" s="149"/>
      <c r="MLJ6" s="149"/>
      <c r="MLK6" s="149"/>
      <c r="MLL6" s="149"/>
      <c r="MLM6" s="149"/>
      <c r="MLN6" s="149"/>
      <c r="MLO6" s="149"/>
      <c r="MLP6" s="149"/>
      <c r="MLQ6" s="149"/>
      <c r="MLR6" s="149"/>
      <c r="MLS6" s="149"/>
      <c r="MLT6" s="149"/>
      <c r="MLU6" s="149"/>
      <c r="MLV6" s="149"/>
      <c r="MLW6" s="149"/>
      <c r="MLX6" s="149"/>
      <c r="MLY6" s="149"/>
      <c r="MLZ6" s="149"/>
      <c r="MMA6" s="149"/>
      <c r="MMB6" s="149"/>
      <c r="MMC6" s="149"/>
      <c r="MMD6" s="149"/>
      <c r="MME6" s="149"/>
      <c r="MMF6" s="149"/>
      <c r="MMG6" s="149"/>
      <c r="MMH6" s="149"/>
      <c r="MMI6" s="149"/>
      <c r="MMJ6" s="149"/>
      <c r="MMK6" s="149"/>
      <c r="MML6" s="149"/>
      <c r="MMM6" s="149"/>
      <c r="MMN6" s="149"/>
      <c r="MMO6" s="149"/>
      <c r="MMP6" s="149"/>
      <c r="MMQ6" s="149"/>
      <c r="MMR6" s="149"/>
      <c r="MMS6" s="149"/>
      <c r="MMT6" s="149"/>
      <c r="MMU6" s="149"/>
      <c r="MMV6" s="149"/>
      <c r="MMW6" s="149"/>
      <c r="MMX6" s="149"/>
      <c r="MMY6" s="149"/>
      <c r="MMZ6" s="149"/>
      <c r="MNA6" s="149"/>
      <c r="MNB6" s="149"/>
      <c r="MNC6" s="149"/>
      <c r="MND6" s="149"/>
      <c r="MNE6" s="149"/>
      <c r="MNF6" s="149"/>
      <c r="MNG6" s="149"/>
      <c r="MNH6" s="149"/>
      <c r="MNI6" s="149"/>
      <c r="MNJ6" s="149"/>
      <c r="MNK6" s="149"/>
      <c r="MNL6" s="149"/>
      <c r="MNM6" s="149"/>
      <c r="MNN6" s="149"/>
      <c r="MNO6" s="149"/>
      <c r="MNP6" s="149"/>
      <c r="MNQ6" s="149"/>
      <c r="MNR6" s="149"/>
      <c r="MNS6" s="149"/>
      <c r="MNT6" s="149"/>
      <c r="MNU6" s="149"/>
      <c r="MNV6" s="149"/>
      <c r="MNW6" s="149"/>
      <c r="MNX6" s="149"/>
      <c r="MNY6" s="149"/>
      <c r="MNZ6" s="149"/>
      <c r="MOA6" s="149"/>
      <c r="MOB6" s="149"/>
      <c r="MOC6" s="149"/>
      <c r="MOD6" s="149"/>
      <c r="MOE6" s="149"/>
      <c r="MOF6" s="149"/>
      <c r="MOG6" s="149"/>
      <c r="MOH6" s="149"/>
      <c r="MOI6" s="149"/>
      <c r="MOJ6" s="149"/>
      <c r="MOK6" s="149"/>
      <c r="MOL6" s="149"/>
      <c r="MOM6" s="149"/>
      <c r="MON6" s="149"/>
      <c r="MOO6" s="149"/>
      <c r="MOP6" s="149"/>
      <c r="MOQ6" s="149"/>
      <c r="MOR6" s="149"/>
      <c r="MOS6" s="149"/>
      <c r="MOT6" s="149"/>
      <c r="MOU6" s="149"/>
      <c r="MOV6" s="149"/>
      <c r="MOW6" s="149"/>
      <c r="MOX6" s="149"/>
      <c r="MOY6" s="149"/>
      <c r="MOZ6" s="149"/>
      <c r="MPA6" s="149"/>
      <c r="MPB6" s="149"/>
      <c r="MPC6" s="149"/>
      <c r="MPD6" s="149"/>
      <c r="MPE6" s="149"/>
      <c r="MPF6" s="149"/>
      <c r="MPG6" s="149"/>
      <c r="MPH6" s="149"/>
      <c r="MPI6" s="149"/>
      <c r="MPJ6" s="149"/>
      <c r="MPK6" s="149"/>
      <c r="MPL6" s="149"/>
      <c r="MPM6" s="149"/>
      <c r="MPN6" s="149"/>
      <c r="MPO6" s="149"/>
      <c r="MPP6" s="149"/>
      <c r="MPQ6" s="149"/>
      <c r="MPR6" s="149"/>
      <c r="MPS6" s="149"/>
      <c r="MPT6" s="149"/>
      <c r="MPU6" s="149"/>
      <c r="MPV6" s="149"/>
      <c r="MPW6" s="149"/>
      <c r="MPX6" s="149"/>
      <c r="MPY6" s="149"/>
      <c r="MPZ6" s="149"/>
      <c r="MQA6" s="149"/>
      <c r="MQB6" s="149"/>
      <c r="MQC6" s="149"/>
      <c r="MQD6" s="149"/>
      <c r="MQE6" s="149"/>
      <c r="MQF6" s="149"/>
      <c r="MQG6" s="149"/>
      <c r="MQH6" s="149"/>
      <c r="MQI6" s="149"/>
      <c r="MQJ6" s="149"/>
      <c r="MQK6" s="149"/>
      <c r="MQL6" s="149"/>
      <c r="MQM6" s="149"/>
      <c r="MQN6" s="149"/>
      <c r="MQO6" s="149"/>
      <c r="MQP6" s="149"/>
      <c r="MQQ6" s="149"/>
      <c r="MQR6" s="149"/>
      <c r="MQS6" s="149"/>
      <c r="MQT6" s="149"/>
      <c r="MQU6" s="149"/>
      <c r="MQV6" s="149"/>
      <c r="MQW6" s="149"/>
      <c r="MQX6" s="149"/>
      <c r="MQY6" s="149"/>
      <c r="MQZ6" s="149"/>
      <c r="MRA6" s="149"/>
      <c r="MRB6" s="149"/>
      <c r="MRC6" s="149"/>
      <c r="MRD6" s="149"/>
      <c r="MRE6" s="149"/>
      <c r="MRF6" s="149"/>
      <c r="MRG6" s="149"/>
      <c r="MRH6" s="149"/>
      <c r="MRI6" s="149"/>
      <c r="MRJ6" s="149"/>
      <c r="MRK6" s="149"/>
      <c r="MRL6" s="149"/>
      <c r="MRM6" s="149"/>
      <c r="MRN6" s="149"/>
      <c r="MRO6" s="149"/>
      <c r="MRP6" s="149"/>
      <c r="MRQ6" s="149"/>
      <c r="MRR6" s="149"/>
      <c r="MRS6" s="149"/>
      <c r="MRT6" s="149"/>
      <c r="MRU6" s="149"/>
      <c r="MRV6" s="149"/>
      <c r="MRW6" s="149"/>
      <c r="MRX6" s="149"/>
      <c r="MRY6" s="149"/>
      <c r="MRZ6" s="149"/>
      <c r="MSA6" s="149"/>
      <c r="MSB6" s="149"/>
      <c r="MSC6" s="149"/>
      <c r="MSD6" s="149"/>
      <c r="MSE6" s="149"/>
      <c r="MSF6" s="149"/>
      <c r="MSG6" s="149"/>
      <c r="MSH6" s="149"/>
      <c r="MSI6" s="149"/>
      <c r="MSJ6" s="149"/>
      <c r="MSK6" s="149"/>
      <c r="MSL6" s="149"/>
      <c r="MSM6" s="149"/>
      <c r="MSN6" s="149"/>
      <c r="MSO6" s="149"/>
      <c r="MSP6" s="149"/>
      <c r="MSQ6" s="149"/>
      <c r="MSR6" s="149"/>
      <c r="MSS6" s="149"/>
      <c r="MST6" s="149"/>
      <c r="MSU6" s="149"/>
      <c r="MSV6" s="149"/>
      <c r="MSW6" s="149"/>
      <c r="MSX6" s="149"/>
      <c r="MSY6" s="149"/>
      <c r="MSZ6" s="149"/>
      <c r="MTA6" s="149"/>
      <c r="MTB6" s="149"/>
      <c r="MTC6" s="149"/>
      <c r="MTD6" s="149"/>
      <c r="MTE6" s="149"/>
      <c r="MTF6" s="149"/>
      <c r="MTG6" s="149"/>
      <c r="MTH6" s="149"/>
      <c r="MTI6" s="149"/>
      <c r="MTJ6" s="149"/>
      <c r="MTK6" s="149"/>
      <c r="MTL6" s="149"/>
      <c r="MTM6" s="149"/>
      <c r="MTN6" s="149"/>
      <c r="MTO6" s="149"/>
      <c r="MTP6" s="149"/>
      <c r="MTQ6" s="149"/>
      <c r="MTR6" s="149"/>
      <c r="MTS6" s="149"/>
      <c r="MTT6" s="149"/>
      <c r="MTU6" s="149"/>
      <c r="MTV6" s="149"/>
      <c r="MTW6" s="149"/>
      <c r="MTX6" s="149"/>
      <c r="MTY6" s="149"/>
      <c r="MTZ6" s="149"/>
      <c r="MUA6" s="149"/>
      <c r="MUB6" s="149"/>
      <c r="MUC6" s="149"/>
      <c r="MUD6" s="149"/>
      <c r="MUE6" s="149"/>
      <c r="MUF6" s="149"/>
      <c r="MUG6" s="149"/>
      <c r="MUH6" s="149"/>
      <c r="MUI6" s="149"/>
      <c r="MUJ6" s="149"/>
      <c r="MUK6" s="149"/>
      <c r="MUL6" s="149"/>
      <c r="MUM6" s="149"/>
      <c r="MUN6" s="149"/>
      <c r="MUO6" s="149"/>
      <c r="MUP6" s="149"/>
      <c r="MUQ6" s="149"/>
      <c r="MUR6" s="149"/>
      <c r="MUS6" s="149"/>
      <c r="MUT6" s="149"/>
      <c r="MUU6" s="149"/>
      <c r="MUV6" s="149"/>
      <c r="MUW6" s="149"/>
      <c r="MUX6" s="149"/>
      <c r="MUY6" s="149"/>
      <c r="MUZ6" s="149"/>
      <c r="MVA6" s="149"/>
      <c r="MVB6" s="149"/>
      <c r="MVC6" s="149"/>
      <c r="MVD6" s="149"/>
      <c r="MVE6" s="149"/>
      <c r="MVF6" s="149"/>
      <c r="MVG6" s="149"/>
      <c r="MVH6" s="149"/>
      <c r="MVI6" s="149"/>
      <c r="MVJ6" s="149"/>
      <c r="MVK6" s="149"/>
      <c r="MVL6" s="149"/>
      <c r="MVM6" s="149"/>
      <c r="MVN6" s="149"/>
      <c r="MVO6" s="149"/>
      <c r="MVP6" s="149"/>
      <c r="MVQ6" s="149"/>
      <c r="MVR6" s="149"/>
      <c r="MVS6" s="149"/>
      <c r="MVT6" s="149"/>
      <c r="MVU6" s="149"/>
      <c r="MVV6" s="149"/>
      <c r="MVW6" s="149"/>
      <c r="MVX6" s="149"/>
      <c r="MVY6" s="149"/>
      <c r="MVZ6" s="149"/>
      <c r="MWA6" s="149"/>
      <c r="MWB6" s="149"/>
      <c r="MWC6" s="149"/>
      <c r="MWD6" s="149"/>
      <c r="MWE6" s="149"/>
      <c r="MWF6" s="149"/>
      <c r="MWG6" s="149"/>
      <c r="MWH6" s="149"/>
      <c r="MWI6" s="149"/>
      <c r="MWJ6" s="149"/>
      <c r="MWK6" s="149"/>
      <c r="MWL6" s="149"/>
      <c r="MWM6" s="149"/>
      <c r="MWN6" s="149"/>
      <c r="MWO6" s="149"/>
      <c r="MWP6" s="149"/>
      <c r="MWQ6" s="149"/>
      <c r="MWR6" s="149"/>
      <c r="MWS6" s="149"/>
      <c r="MWT6" s="149"/>
      <c r="MWU6" s="149"/>
      <c r="MWV6" s="149"/>
      <c r="MWW6" s="149"/>
      <c r="MWX6" s="149"/>
      <c r="MWY6" s="149"/>
      <c r="MWZ6" s="149"/>
      <c r="MXA6" s="149"/>
      <c r="MXB6" s="149"/>
      <c r="MXC6" s="149"/>
      <c r="MXD6" s="149"/>
      <c r="MXE6" s="149"/>
      <c r="MXF6" s="149"/>
      <c r="MXG6" s="149"/>
      <c r="MXH6" s="149"/>
      <c r="MXI6" s="149"/>
      <c r="MXJ6" s="149"/>
      <c r="MXK6" s="149"/>
      <c r="MXL6" s="149"/>
      <c r="MXM6" s="149"/>
      <c r="MXN6" s="149"/>
      <c r="MXO6" s="149"/>
      <c r="MXP6" s="149"/>
      <c r="MXQ6" s="149"/>
      <c r="MXR6" s="149"/>
      <c r="MXS6" s="149"/>
      <c r="MXT6" s="149"/>
      <c r="MXU6" s="149"/>
      <c r="MXV6" s="149"/>
      <c r="MXW6" s="149"/>
      <c r="MXX6" s="149"/>
      <c r="MXY6" s="149"/>
      <c r="MXZ6" s="149"/>
      <c r="MYA6" s="149"/>
      <c r="MYB6" s="149"/>
      <c r="MYC6" s="149"/>
      <c r="MYD6" s="149"/>
      <c r="MYE6" s="149"/>
      <c r="MYF6" s="149"/>
      <c r="MYG6" s="149"/>
      <c r="MYH6" s="149"/>
      <c r="MYI6" s="149"/>
      <c r="MYJ6" s="149"/>
      <c r="MYK6" s="149"/>
      <c r="MYL6" s="149"/>
      <c r="MYM6" s="149"/>
      <c r="MYN6" s="149"/>
      <c r="MYO6" s="149"/>
      <c r="MYP6" s="149"/>
      <c r="MYQ6" s="149"/>
      <c r="MYR6" s="149"/>
      <c r="MYS6" s="149"/>
      <c r="MYT6" s="149"/>
      <c r="MYU6" s="149"/>
      <c r="MYV6" s="149"/>
      <c r="MYW6" s="149"/>
      <c r="MYX6" s="149"/>
      <c r="MYY6" s="149"/>
      <c r="MYZ6" s="149"/>
      <c r="MZA6" s="149"/>
      <c r="MZB6" s="149"/>
      <c r="MZC6" s="149"/>
      <c r="MZD6" s="149"/>
      <c r="MZE6" s="149"/>
      <c r="MZF6" s="149"/>
      <c r="MZG6" s="149"/>
      <c r="MZH6" s="149"/>
      <c r="MZI6" s="149"/>
      <c r="MZJ6" s="149"/>
      <c r="MZK6" s="149"/>
      <c r="MZL6" s="149"/>
      <c r="MZM6" s="149"/>
      <c r="MZN6" s="149"/>
      <c r="MZO6" s="149"/>
      <c r="MZP6" s="149"/>
      <c r="MZQ6" s="149"/>
      <c r="MZR6" s="149"/>
      <c r="MZS6" s="149"/>
      <c r="MZT6" s="149"/>
      <c r="MZU6" s="149"/>
      <c r="MZV6" s="149"/>
      <c r="MZW6" s="149"/>
      <c r="MZX6" s="149"/>
      <c r="MZY6" s="149"/>
      <c r="MZZ6" s="149"/>
      <c r="NAA6" s="149"/>
      <c r="NAB6" s="149"/>
      <c r="NAC6" s="149"/>
      <c r="NAD6" s="149"/>
      <c r="NAE6" s="149"/>
      <c r="NAF6" s="149"/>
      <c r="NAG6" s="149"/>
      <c r="NAH6" s="149"/>
      <c r="NAI6" s="149"/>
      <c r="NAJ6" s="149"/>
      <c r="NAK6" s="149"/>
      <c r="NAL6" s="149"/>
      <c r="NAM6" s="149"/>
      <c r="NAN6" s="149"/>
      <c r="NAO6" s="149"/>
      <c r="NAP6" s="149"/>
      <c r="NAQ6" s="149"/>
      <c r="NAR6" s="149"/>
      <c r="NAS6" s="149"/>
      <c r="NAT6" s="149"/>
      <c r="NAU6" s="149"/>
      <c r="NAV6" s="149"/>
      <c r="NAW6" s="149"/>
      <c r="NAX6" s="149"/>
      <c r="NAY6" s="149"/>
      <c r="NAZ6" s="149"/>
      <c r="NBA6" s="149"/>
      <c r="NBB6" s="149"/>
      <c r="NBC6" s="149"/>
      <c r="NBD6" s="149"/>
      <c r="NBE6" s="149"/>
      <c r="NBF6" s="149"/>
      <c r="NBG6" s="149"/>
      <c r="NBH6" s="149"/>
      <c r="NBI6" s="149"/>
      <c r="NBJ6" s="149"/>
      <c r="NBK6" s="149"/>
      <c r="NBL6" s="149"/>
      <c r="NBM6" s="149"/>
      <c r="NBN6" s="149"/>
      <c r="NBO6" s="149"/>
      <c r="NBP6" s="149"/>
      <c r="NBQ6" s="149"/>
      <c r="NBR6" s="149"/>
      <c r="NBS6" s="149"/>
      <c r="NBT6" s="149"/>
      <c r="NBU6" s="149"/>
      <c r="NBV6" s="149"/>
      <c r="NBW6" s="149"/>
      <c r="NBX6" s="149"/>
      <c r="NBY6" s="149"/>
      <c r="NBZ6" s="149"/>
      <c r="NCA6" s="149"/>
      <c r="NCB6" s="149"/>
      <c r="NCC6" s="149"/>
      <c r="NCD6" s="149"/>
      <c r="NCE6" s="149"/>
      <c r="NCF6" s="149"/>
      <c r="NCG6" s="149"/>
      <c r="NCH6" s="149"/>
      <c r="NCI6" s="149"/>
      <c r="NCJ6" s="149"/>
      <c r="NCK6" s="149"/>
      <c r="NCL6" s="149"/>
      <c r="NCM6" s="149"/>
      <c r="NCN6" s="149"/>
      <c r="NCO6" s="149"/>
      <c r="NCP6" s="149"/>
      <c r="NCQ6" s="149"/>
      <c r="NCR6" s="149"/>
      <c r="NCS6" s="149"/>
      <c r="NCT6" s="149"/>
      <c r="NCU6" s="149"/>
      <c r="NCV6" s="149"/>
      <c r="NCW6" s="149"/>
      <c r="NCX6" s="149"/>
      <c r="NCY6" s="149"/>
      <c r="NCZ6" s="149"/>
      <c r="NDA6" s="149"/>
      <c r="NDB6" s="149"/>
      <c r="NDC6" s="149"/>
      <c r="NDD6" s="149"/>
      <c r="NDE6" s="149"/>
      <c r="NDF6" s="149"/>
      <c r="NDG6" s="149"/>
      <c r="NDH6" s="149"/>
      <c r="NDI6" s="149"/>
      <c r="NDJ6" s="149"/>
      <c r="NDK6" s="149"/>
      <c r="NDL6" s="149"/>
      <c r="NDM6" s="149"/>
      <c r="NDN6" s="149"/>
      <c r="NDO6" s="149"/>
      <c r="NDP6" s="149"/>
      <c r="NDQ6" s="149"/>
      <c r="NDR6" s="149"/>
      <c r="NDS6" s="149"/>
      <c r="NDT6" s="149"/>
      <c r="NDU6" s="149"/>
      <c r="NDV6" s="149"/>
      <c r="NDW6" s="149"/>
      <c r="NDX6" s="149"/>
      <c r="NDY6" s="149"/>
      <c r="NDZ6" s="149"/>
      <c r="NEA6" s="149"/>
      <c r="NEB6" s="149"/>
      <c r="NEC6" s="149"/>
      <c r="NED6" s="149"/>
      <c r="NEE6" s="149"/>
      <c r="NEF6" s="149"/>
      <c r="NEG6" s="149"/>
      <c r="NEH6" s="149"/>
      <c r="NEI6" s="149"/>
      <c r="NEJ6" s="149"/>
      <c r="NEK6" s="149"/>
      <c r="NEL6" s="149"/>
      <c r="NEM6" s="149"/>
      <c r="NEN6" s="149"/>
      <c r="NEO6" s="149"/>
      <c r="NEP6" s="149"/>
      <c r="NEQ6" s="149"/>
      <c r="NER6" s="149"/>
      <c r="NES6" s="149"/>
      <c r="NET6" s="149"/>
      <c r="NEU6" s="149"/>
      <c r="NEV6" s="149"/>
      <c r="NEW6" s="149"/>
      <c r="NEX6" s="149"/>
      <c r="NEY6" s="149"/>
      <c r="NEZ6" s="149"/>
      <c r="NFA6" s="149"/>
      <c r="NFB6" s="149"/>
      <c r="NFC6" s="149"/>
      <c r="NFD6" s="149"/>
      <c r="NFE6" s="149"/>
      <c r="NFF6" s="149"/>
      <c r="NFG6" s="149"/>
      <c r="NFH6" s="149"/>
      <c r="NFI6" s="149"/>
      <c r="NFJ6" s="149"/>
      <c r="NFK6" s="149"/>
      <c r="NFL6" s="149"/>
      <c r="NFM6" s="149"/>
      <c r="NFN6" s="149"/>
      <c r="NFO6" s="149"/>
      <c r="NFP6" s="149"/>
      <c r="NFQ6" s="149"/>
      <c r="NFR6" s="149"/>
      <c r="NFS6" s="149"/>
      <c r="NFT6" s="149"/>
      <c r="NFU6" s="149"/>
      <c r="NFV6" s="149"/>
      <c r="NFW6" s="149"/>
      <c r="NFX6" s="149"/>
      <c r="NFY6" s="149"/>
      <c r="NFZ6" s="149"/>
      <c r="NGA6" s="149"/>
      <c r="NGB6" s="149"/>
      <c r="NGC6" s="149"/>
      <c r="NGD6" s="149"/>
      <c r="NGE6" s="149"/>
      <c r="NGF6" s="149"/>
      <c r="NGG6" s="149"/>
      <c r="NGH6" s="149"/>
      <c r="NGI6" s="149"/>
      <c r="NGJ6" s="149"/>
      <c r="NGK6" s="149"/>
      <c r="NGL6" s="149"/>
      <c r="NGM6" s="149"/>
      <c r="NGN6" s="149"/>
      <c r="NGO6" s="149"/>
      <c r="NGP6" s="149"/>
      <c r="NGQ6" s="149"/>
      <c r="NGR6" s="149"/>
      <c r="NGS6" s="149"/>
      <c r="NGT6" s="149"/>
      <c r="NGU6" s="149"/>
      <c r="NGV6" s="149"/>
      <c r="NGW6" s="149"/>
      <c r="NGX6" s="149"/>
      <c r="NGY6" s="149"/>
      <c r="NGZ6" s="149"/>
      <c r="NHA6" s="149"/>
      <c r="NHB6" s="149"/>
      <c r="NHC6" s="149"/>
      <c r="NHD6" s="149"/>
      <c r="NHE6" s="149"/>
      <c r="NHF6" s="149"/>
      <c r="NHG6" s="149"/>
      <c r="NHH6" s="149"/>
      <c r="NHI6" s="149"/>
      <c r="NHJ6" s="149"/>
      <c r="NHK6" s="149"/>
      <c r="NHL6" s="149"/>
      <c r="NHM6" s="149"/>
      <c r="NHN6" s="149"/>
      <c r="NHO6" s="149"/>
      <c r="NHP6" s="149"/>
      <c r="NHQ6" s="149"/>
      <c r="NHR6" s="149"/>
      <c r="NHS6" s="149"/>
      <c r="NHT6" s="149"/>
      <c r="NHU6" s="149"/>
      <c r="NHV6" s="149"/>
      <c r="NHW6" s="149"/>
      <c r="NHX6" s="149"/>
      <c r="NHY6" s="149"/>
      <c r="NHZ6" s="149"/>
      <c r="NIA6" s="149"/>
      <c r="NIB6" s="149"/>
      <c r="NIC6" s="149"/>
      <c r="NID6" s="149"/>
      <c r="NIE6" s="149"/>
      <c r="NIF6" s="149"/>
      <c r="NIG6" s="149"/>
      <c r="NIH6" s="149"/>
      <c r="NII6" s="149"/>
      <c r="NIJ6" s="149"/>
      <c r="NIK6" s="149"/>
      <c r="NIL6" s="149"/>
      <c r="NIM6" s="149"/>
      <c r="NIN6" s="149"/>
      <c r="NIO6" s="149"/>
      <c r="NIP6" s="149"/>
      <c r="NIQ6" s="149"/>
      <c r="NIR6" s="149"/>
      <c r="NIS6" s="149"/>
      <c r="NIT6" s="149"/>
      <c r="NIU6" s="149"/>
      <c r="NIV6" s="149"/>
      <c r="NIW6" s="149"/>
      <c r="NIX6" s="149"/>
      <c r="NIY6" s="149"/>
      <c r="NIZ6" s="149"/>
      <c r="NJA6" s="149"/>
      <c r="NJB6" s="149"/>
      <c r="NJC6" s="149"/>
      <c r="NJD6" s="149"/>
      <c r="NJE6" s="149"/>
      <c r="NJF6" s="149"/>
      <c r="NJG6" s="149"/>
      <c r="NJH6" s="149"/>
      <c r="NJI6" s="149"/>
      <c r="NJJ6" s="149"/>
      <c r="NJK6" s="149"/>
      <c r="NJL6" s="149"/>
      <c r="NJM6" s="149"/>
      <c r="NJN6" s="149"/>
      <c r="NJO6" s="149"/>
      <c r="NJP6" s="149"/>
      <c r="NJQ6" s="149"/>
      <c r="NJR6" s="149"/>
      <c r="NJS6" s="149"/>
      <c r="NJT6" s="149"/>
      <c r="NJU6" s="149"/>
      <c r="NJV6" s="149"/>
      <c r="NJW6" s="149"/>
      <c r="NJX6" s="149"/>
      <c r="NJY6" s="149"/>
      <c r="NJZ6" s="149"/>
      <c r="NKA6" s="149"/>
      <c r="NKB6" s="149"/>
      <c r="NKC6" s="149"/>
      <c r="NKD6" s="149"/>
      <c r="NKE6" s="149"/>
      <c r="NKF6" s="149"/>
      <c r="NKG6" s="149"/>
      <c r="NKH6" s="149"/>
      <c r="NKI6" s="149"/>
      <c r="NKJ6" s="149"/>
      <c r="NKK6" s="149"/>
      <c r="NKL6" s="149"/>
      <c r="NKM6" s="149"/>
      <c r="NKN6" s="149"/>
      <c r="NKO6" s="149"/>
      <c r="NKP6" s="149"/>
      <c r="NKQ6" s="149"/>
      <c r="NKR6" s="149"/>
      <c r="NKS6" s="149"/>
      <c r="NKT6" s="149"/>
      <c r="NKU6" s="149"/>
      <c r="NKV6" s="149"/>
      <c r="NKW6" s="149"/>
      <c r="NKX6" s="149"/>
      <c r="NKY6" s="149"/>
      <c r="NKZ6" s="149"/>
      <c r="NLA6" s="149"/>
      <c r="NLB6" s="149"/>
      <c r="NLC6" s="149"/>
      <c r="NLD6" s="149"/>
      <c r="NLE6" s="149"/>
      <c r="NLF6" s="149"/>
      <c r="NLG6" s="149"/>
      <c r="NLH6" s="149"/>
      <c r="NLI6" s="149"/>
      <c r="NLJ6" s="149"/>
      <c r="NLK6" s="149"/>
      <c r="NLL6" s="149"/>
      <c r="NLM6" s="149"/>
      <c r="NLN6" s="149"/>
      <c r="NLO6" s="149"/>
      <c r="NLP6" s="149"/>
      <c r="NLQ6" s="149"/>
      <c r="NLR6" s="149"/>
      <c r="NLS6" s="149"/>
      <c r="NLT6" s="149"/>
      <c r="NLU6" s="149"/>
      <c r="NLV6" s="149"/>
      <c r="NLW6" s="149"/>
      <c r="NLX6" s="149"/>
      <c r="NLY6" s="149"/>
      <c r="NLZ6" s="149"/>
      <c r="NMA6" s="149"/>
      <c r="NMB6" s="149"/>
      <c r="NMC6" s="149"/>
      <c r="NMD6" s="149"/>
      <c r="NME6" s="149"/>
      <c r="NMF6" s="149"/>
      <c r="NMG6" s="149"/>
      <c r="NMH6" s="149"/>
      <c r="NMI6" s="149"/>
      <c r="NMJ6" s="149"/>
      <c r="NMK6" s="149"/>
      <c r="NML6" s="149"/>
      <c r="NMM6" s="149"/>
      <c r="NMN6" s="149"/>
      <c r="NMO6" s="149"/>
      <c r="NMP6" s="149"/>
      <c r="NMQ6" s="149"/>
      <c r="NMR6" s="149"/>
      <c r="NMS6" s="149"/>
      <c r="NMT6" s="149"/>
      <c r="NMU6" s="149"/>
      <c r="NMV6" s="149"/>
      <c r="NMW6" s="149"/>
      <c r="NMX6" s="149"/>
      <c r="NMY6" s="149"/>
      <c r="NMZ6" s="149"/>
      <c r="NNA6" s="149"/>
      <c r="NNB6" s="149"/>
      <c r="NNC6" s="149"/>
      <c r="NND6" s="149"/>
      <c r="NNE6" s="149"/>
      <c r="NNF6" s="149"/>
      <c r="NNG6" s="149"/>
      <c r="NNH6" s="149"/>
      <c r="NNI6" s="149"/>
      <c r="NNJ6" s="149"/>
      <c r="NNK6" s="149"/>
      <c r="NNL6" s="149"/>
      <c r="NNM6" s="149"/>
      <c r="NNN6" s="149"/>
      <c r="NNO6" s="149"/>
      <c r="NNP6" s="149"/>
      <c r="NNQ6" s="149"/>
      <c r="NNR6" s="149"/>
      <c r="NNS6" s="149"/>
      <c r="NNT6" s="149"/>
      <c r="NNU6" s="149"/>
      <c r="NNV6" s="149"/>
      <c r="NNW6" s="149"/>
      <c r="NNX6" s="149"/>
      <c r="NNY6" s="149"/>
      <c r="NNZ6" s="149"/>
      <c r="NOA6" s="149"/>
      <c r="NOB6" s="149"/>
      <c r="NOC6" s="149"/>
      <c r="NOD6" s="149"/>
      <c r="NOE6" s="149"/>
      <c r="NOF6" s="149"/>
      <c r="NOG6" s="149"/>
      <c r="NOH6" s="149"/>
      <c r="NOI6" s="149"/>
      <c r="NOJ6" s="149"/>
      <c r="NOK6" s="149"/>
      <c r="NOL6" s="149"/>
      <c r="NOM6" s="149"/>
      <c r="NON6" s="149"/>
      <c r="NOO6" s="149"/>
      <c r="NOP6" s="149"/>
      <c r="NOQ6" s="149"/>
      <c r="NOR6" s="149"/>
      <c r="NOS6" s="149"/>
      <c r="NOT6" s="149"/>
      <c r="NOU6" s="149"/>
      <c r="NOV6" s="149"/>
      <c r="NOW6" s="149"/>
      <c r="NOX6" s="149"/>
      <c r="NOY6" s="149"/>
      <c r="NOZ6" s="149"/>
      <c r="NPA6" s="149"/>
      <c r="NPB6" s="149"/>
      <c r="NPC6" s="149"/>
      <c r="NPD6" s="149"/>
      <c r="NPE6" s="149"/>
      <c r="NPF6" s="149"/>
      <c r="NPG6" s="149"/>
      <c r="NPH6" s="149"/>
      <c r="NPI6" s="149"/>
      <c r="NPJ6" s="149"/>
      <c r="NPK6" s="149"/>
      <c r="NPL6" s="149"/>
      <c r="NPM6" s="149"/>
      <c r="NPN6" s="149"/>
      <c r="NPO6" s="149"/>
      <c r="NPP6" s="149"/>
      <c r="NPQ6" s="149"/>
      <c r="NPR6" s="149"/>
      <c r="NPS6" s="149"/>
      <c r="NPT6" s="149"/>
      <c r="NPU6" s="149"/>
      <c r="NPV6" s="149"/>
      <c r="NPW6" s="149"/>
      <c r="NPX6" s="149"/>
      <c r="NPY6" s="149"/>
      <c r="NPZ6" s="149"/>
      <c r="NQA6" s="149"/>
      <c r="NQB6" s="149"/>
      <c r="NQC6" s="149"/>
      <c r="NQD6" s="149"/>
      <c r="NQE6" s="149"/>
      <c r="NQF6" s="149"/>
      <c r="NQG6" s="149"/>
      <c r="NQH6" s="149"/>
      <c r="NQI6" s="149"/>
      <c r="NQJ6" s="149"/>
      <c r="NQK6" s="149"/>
      <c r="NQL6" s="149"/>
      <c r="NQM6" s="149"/>
      <c r="NQN6" s="149"/>
      <c r="NQO6" s="149"/>
      <c r="NQP6" s="149"/>
      <c r="NQQ6" s="149"/>
      <c r="NQR6" s="149"/>
      <c r="NQS6" s="149"/>
      <c r="NQT6" s="149"/>
      <c r="NQU6" s="149"/>
      <c r="NQV6" s="149"/>
      <c r="NQW6" s="149"/>
      <c r="NQX6" s="149"/>
      <c r="NQY6" s="149"/>
      <c r="NQZ6" s="149"/>
      <c r="NRA6" s="149"/>
      <c r="NRB6" s="149"/>
      <c r="NRC6" s="149"/>
      <c r="NRD6" s="149"/>
      <c r="NRE6" s="149"/>
      <c r="NRF6" s="149"/>
      <c r="NRG6" s="149"/>
      <c r="NRH6" s="149"/>
      <c r="NRI6" s="149"/>
      <c r="NRJ6" s="149"/>
      <c r="NRK6" s="149"/>
      <c r="NRL6" s="149"/>
      <c r="NRM6" s="149"/>
      <c r="NRN6" s="149"/>
      <c r="NRO6" s="149"/>
      <c r="NRP6" s="149"/>
      <c r="NRQ6" s="149"/>
      <c r="NRR6" s="149"/>
      <c r="NRS6" s="149"/>
      <c r="NRT6" s="149"/>
      <c r="NRU6" s="149"/>
      <c r="NRV6" s="149"/>
      <c r="NRW6" s="149"/>
      <c r="NRX6" s="149"/>
      <c r="NRY6" s="149"/>
      <c r="NRZ6" s="149"/>
      <c r="NSA6" s="149"/>
      <c r="NSB6" s="149"/>
      <c r="NSC6" s="149"/>
      <c r="NSD6" s="149"/>
      <c r="NSE6" s="149"/>
      <c r="NSF6" s="149"/>
      <c r="NSG6" s="149"/>
      <c r="NSH6" s="149"/>
      <c r="NSI6" s="149"/>
      <c r="NSJ6" s="149"/>
      <c r="NSK6" s="149"/>
      <c r="NSL6" s="149"/>
      <c r="NSM6" s="149"/>
      <c r="NSN6" s="149"/>
      <c r="NSO6" s="149"/>
      <c r="NSP6" s="149"/>
      <c r="NSQ6" s="149"/>
      <c r="NSR6" s="149"/>
      <c r="NSS6" s="149"/>
      <c r="NST6" s="149"/>
      <c r="NSU6" s="149"/>
      <c r="NSV6" s="149"/>
      <c r="NSW6" s="149"/>
      <c r="NSX6" s="149"/>
      <c r="NSY6" s="149"/>
      <c r="NSZ6" s="149"/>
      <c r="NTA6" s="149"/>
      <c r="NTB6" s="149"/>
      <c r="NTC6" s="149"/>
      <c r="NTD6" s="149"/>
      <c r="NTE6" s="149"/>
      <c r="NTF6" s="149"/>
      <c r="NTG6" s="149"/>
      <c r="NTH6" s="149"/>
      <c r="NTI6" s="149"/>
      <c r="NTJ6" s="149"/>
      <c r="NTK6" s="149"/>
      <c r="NTL6" s="149"/>
      <c r="NTM6" s="149"/>
      <c r="NTN6" s="149"/>
      <c r="NTO6" s="149"/>
      <c r="NTP6" s="149"/>
      <c r="NTQ6" s="149"/>
      <c r="NTR6" s="149"/>
      <c r="NTS6" s="149"/>
      <c r="NTT6" s="149"/>
      <c r="NTU6" s="149"/>
      <c r="NTV6" s="149"/>
      <c r="NTW6" s="149"/>
      <c r="NTX6" s="149"/>
      <c r="NTY6" s="149"/>
      <c r="NTZ6" s="149"/>
      <c r="NUA6" s="149"/>
      <c r="NUB6" s="149"/>
      <c r="NUC6" s="149"/>
      <c r="NUD6" s="149"/>
      <c r="NUE6" s="149"/>
      <c r="NUF6" s="149"/>
    </row>
    <row r="7" spans="2:10016" ht="21" customHeight="1" thickBot="1" x14ac:dyDescent="0.3">
      <c r="B7" s="3"/>
      <c r="C7" s="3"/>
      <c r="D7" s="3"/>
      <c r="E7" s="3"/>
      <c r="F7" s="2"/>
      <c r="G7" s="12">
        <f ca="1">DATE(YEAR(N5)-1,12,31)</f>
        <v>44926</v>
      </c>
      <c r="H7" s="12">
        <f ca="1">EOMONTH(N5,-1)</f>
        <v>44926</v>
      </c>
      <c r="I7" s="2"/>
      <c r="J7" s="3"/>
      <c r="K7" s="12">
        <f ca="1">N5-1</f>
        <v>44949</v>
      </c>
      <c r="L7" s="13">
        <f ca="1">N5-(WEEKDAY(N5,16))</f>
        <v>44946</v>
      </c>
      <c r="M7" s="12">
        <f ca="1">EOMONTH(N5,-1)</f>
        <v>44926</v>
      </c>
      <c r="N7" s="12">
        <f ca="1">DATE(YEAR(N5)-1,12,31)</f>
        <v>44926</v>
      </c>
      <c r="O7" s="3"/>
      <c r="P7" s="3"/>
      <c r="Q7" s="148"/>
      <c r="R7" s="3"/>
      <c r="S7" s="3"/>
      <c r="T7" s="3"/>
      <c r="U7" s="3"/>
      <c r="V7" s="3"/>
      <c r="W7" s="3"/>
      <c r="X7" s="3"/>
      <c r="Y7" s="3"/>
      <c r="Z7" s="3"/>
      <c r="AA7" s="3"/>
      <c r="AB7" s="2"/>
      <c r="AC7" s="2"/>
      <c r="AD7" s="2"/>
      <c r="AE7" s="2"/>
      <c r="AF7" s="2"/>
      <c r="AG7" s="2"/>
      <c r="AH7" s="2"/>
      <c r="AI7" s="2"/>
      <c r="AL7" s="160">
        <v>2</v>
      </c>
      <c r="AM7" s="160" t="s">
        <v>46</v>
      </c>
      <c r="AN7" s="160" t="s">
        <v>61</v>
      </c>
      <c r="AO7" s="165" t="s">
        <v>170</v>
      </c>
      <c r="AP7" s="160" t="s">
        <v>80</v>
      </c>
      <c r="AT7" s="74">
        <v>44946</v>
      </c>
      <c r="AU7" s="158">
        <v>2395.2600000000002</v>
      </c>
      <c r="AW7" s="74">
        <v>44946</v>
      </c>
      <c r="AX7" s="72">
        <v>230834</v>
      </c>
      <c r="AY7" s="72">
        <v>-14319</v>
      </c>
      <c r="AZ7" s="72">
        <v>7145</v>
      </c>
      <c r="BA7" s="72">
        <v>5611</v>
      </c>
      <c r="BB7" s="72">
        <v>5361</v>
      </c>
      <c r="BC7" s="72">
        <v>2314</v>
      </c>
      <c r="BD7" s="72">
        <v>-18699</v>
      </c>
      <c r="BE7" s="72">
        <v>-246516</v>
      </c>
      <c r="BF7" s="74">
        <f>AW7</f>
        <v>44946</v>
      </c>
      <c r="BG7" s="72">
        <f>IF(BG$5=TRUE,AX7,"")</f>
        <v>230834</v>
      </c>
      <c r="BH7" s="72" t="str">
        <f t="shared" ref="BH7:BN7" si="0">IF(BH$5=TRUE,AY7,"")</f>
        <v/>
      </c>
      <c r="BI7" s="72" t="str">
        <f t="shared" si="0"/>
        <v/>
      </c>
      <c r="BJ7" s="72" t="str">
        <f t="shared" si="0"/>
        <v/>
      </c>
      <c r="BK7" s="72" t="str">
        <f t="shared" si="0"/>
        <v/>
      </c>
      <c r="BL7" s="72" t="str">
        <f t="shared" si="0"/>
        <v/>
      </c>
      <c r="BM7" s="72" t="str">
        <f t="shared" si="0"/>
        <v/>
      </c>
      <c r="BN7" s="72" t="str">
        <f t="shared" si="0"/>
        <v/>
      </c>
    </row>
    <row r="8" spans="2:10016" ht="14.25" thickBot="1" x14ac:dyDescent="0.3">
      <c r="B8" s="15" t="s">
        <v>78</v>
      </c>
      <c r="C8" s="16" t="s">
        <v>79</v>
      </c>
      <c r="D8" s="14"/>
      <c r="E8" s="14"/>
      <c r="F8" s="14"/>
      <c r="G8" s="41" t="s">
        <v>108</v>
      </c>
      <c r="H8" s="41" t="s">
        <v>109</v>
      </c>
      <c r="I8" s="39" t="s">
        <v>81</v>
      </c>
      <c r="J8" s="41" t="s">
        <v>82</v>
      </c>
      <c r="K8" s="41" t="s">
        <v>83</v>
      </c>
      <c r="L8" s="41" t="s">
        <v>84</v>
      </c>
      <c r="M8" s="41" t="s">
        <v>85</v>
      </c>
      <c r="N8" s="42" t="s">
        <v>90</v>
      </c>
      <c r="O8" s="11"/>
      <c r="P8" s="11"/>
      <c r="Q8" s="11"/>
      <c r="R8" s="11"/>
      <c r="S8" s="11"/>
      <c r="T8" s="11"/>
      <c r="U8" s="11"/>
      <c r="V8" s="11"/>
      <c r="W8" s="11"/>
      <c r="X8" s="11"/>
      <c r="Y8" s="11"/>
      <c r="Z8" s="11"/>
      <c r="AA8" s="11"/>
      <c r="AL8" s="160">
        <v>3</v>
      </c>
      <c r="AM8" s="160" t="s">
        <v>47</v>
      </c>
      <c r="AN8" s="160" t="s">
        <v>61</v>
      </c>
      <c r="AO8" s="160" t="s">
        <v>2</v>
      </c>
      <c r="AP8" s="160" t="s">
        <v>80</v>
      </c>
      <c r="AT8" s="74">
        <v>44945</v>
      </c>
      <c r="AU8" s="72">
        <v>2380.34</v>
      </c>
      <c r="AW8" s="74">
        <v>44945</v>
      </c>
      <c r="AX8" s="72">
        <v>570305</v>
      </c>
      <c r="AY8" s="72">
        <v>-174860</v>
      </c>
      <c r="AZ8" s="72">
        <v>-707</v>
      </c>
      <c r="BA8" s="72">
        <v>-13209</v>
      </c>
      <c r="BB8" s="72">
        <v>-10880</v>
      </c>
      <c r="BC8" s="72">
        <v>-424</v>
      </c>
      <c r="BD8" s="72">
        <v>-80966</v>
      </c>
      <c r="BE8" s="72">
        <v>-260223</v>
      </c>
      <c r="BF8" s="74">
        <f>AW8</f>
        <v>44945</v>
      </c>
      <c r="BG8" s="72">
        <f>IF(BG$5=TRUE,AX8,"")</f>
        <v>570305</v>
      </c>
      <c r="BH8" s="72" t="str">
        <f>IF(BH$5=TRUE,AY8,"")</f>
        <v/>
      </c>
      <c r="BI8" s="72" t="str">
        <f t="shared" ref="BI8:BN8" si="1">IF(BI$5=TRUE,AZ8,"")</f>
        <v/>
      </c>
      <c r="BJ8" s="72" t="str">
        <f t="shared" si="1"/>
        <v/>
      </c>
      <c r="BK8" s="72" t="str">
        <f t="shared" si="1"/>
        <v/>
      </c>
      <c r="BL8" s="72" t="str">
        <f t="shared" si="1"/>
        <v/>
      </c>
      <c r="BM8" s="72" t="str">
        <f t="shared" si="1"/>
        <v/>
      </c>
      <c r="BN8" s="72" t="str">
        <f t="shared" si="1"/>
        <v/>
      </c>
      <c r="BR8" s="133">
        <f>IF(AW8="","",AW8)</f>
        <v>44945</v>
      </c>
      <c r="BS8" s="100">
        <f>IF($BG$5=TRUE,IF(AX8="","",SUM(AX8:$AX$68)),"")</f>
        <v>7222431</v>
      </c>
      <c r="BT8" s="100" t="str">
        <f>IF($BH$5=TRUE,IF(AY8="","",SUM($AY8:AY$68)),"")</f>
        <v/>
      </c>
      <c r="BU8" s="100" t="str">
        <f>IF($BI$5=TRUE,IF(AZ8="","",SUM($AZ8:AZ$68)),"")</f>
        <v/>
      </c>
      <c r="BV8" s="100" t="str">
        <f>IF($BJ$5=TRUE,IF(BA8="","",SUM($BA8:BA$68)),"")</f>
        <v/>
      </c>
      <c r="BW8" s="100" t="str">
        <f>IF($BK$5=TRUE,IF(BB8="","",SUM($BB8:BB$68)),"")</f>
        <v/>
      </c>
      <c r="BX8" s="100" t="str">
        <f>IF($BL$5=TRUE,IF(BC8="","",SUM($BC8:BC$68)),"")</f>
        <v/>
      </c>
      <c r="BY8" s="100" t="str">
        <f>IF($BM$5=TRUE,IF(BD8="","",SUM($BD8:BD$68)),"")</f>
        <v/>
      </c>
      <c r="BZ8" s="100" t="str">
        <f>IF($BN$5=TRUE,IF(BE8="","",SUM($BE8:BE$68)),"")</f>
        <v/>
      </c>
    </row>
    <row r="9" spans="2:10016" x14ac:dyDescent="0.25">
      <c r="B9" s="179" t="s">
        <v>40</v>
      </c>
      <c r="C9" s="101" t="s">
        <v>3</v>
      </c>
      <c r="D9" s="76"/>
      <c r="E9" s="77"/>
      <c r="F9" s="78"/>
      <c r="G9" s="17"/>
      <c r="H9" s="17"/>
      <c r="I9" s="46"/>
      <c r="J9" s="17"/>
      <c r="K9" s="24"/>
      <c r="L9" s="24"/>
      <c r="M9" s="24"/>
      <c r="N9" s="25"/>
      <c r="O9" s="10"/>
      <c r="P9" s="10"/>
      <c r="Q9" s="173"/>
      <c r="R9" s="10"/>
      <c r="S9" s="10"/>
      <c r="T9" s="10"/>
      <c r="U9" s="10"/>
      <c r="V9" s="10"/>
      <c r="W9" s="10"/>
      <c r="X9" s="10"/>
      <c r="Y9" s="10"/>
      <c r="Z9" s="10"/>
      <c r="AA9" s="10"/>
      <c r="AL9" s="160">
        <v>4</v>
      </c>
      <c r="AM9" s="160" t="s">
        <v>48</v>
      </c>
      <c r="AN9" s="160" t="s">
        <v>62</v>
      </c>
      <c r="AO9" s="160" t="s">
        <v>8</v>
      </c>
      <c r="AP9" s="160" t="s">
        <v>80</v>
      </c>
      <c r="AT9" s="74">
        <v>44944</v>
      </c>
      <c r="AU9" s="72">
        <v>2368.3200000000002</v>
      </c>
      <c r="AW9" s="74">
        <v>44944</v>
      </c>
      <c r="AX9" s="72">
        <v>72844</v>
      </c>
      <c r="AY9" s="72">
        <v>-66671</v>
      </c>
      <c r="AZ9" s="72">
        <v>669</v>
      </c>
      <c r="BA9" s="72">
        <v>-19252</v>
      </c>
      <c r="BB9" s="72">
        <v>-52748</v>
      </c>
      <c r="BC9" s="72">
        <v>-8324</v>
      </c>
      <c r="BD9" s="72">
        <v>-36943</v>
      </c>
      <c r="BE9" s="72">
        <v>148970</v>
      </c>
      <c r="BF9" s="74">
        <f t="shared" ref="BF9:BF68" si="2">AW9</f>
        <v>44944</v>
      </c>
      <c r="BG9" s="72">
        <f t="shared" ref="BG9:BG54" si="3">IF(BG$5=TRUE,AX9,"")</f>
        <v>72844</v>
      </c>
      <c r="BH9" s="72" t="str">
        <f t="shared" ref="BH9:BH28" si="4">IF(BH$5=TRUE,AY9,"")</f>
        <v/>
      </c>
      <c r="BI9" s="72" t="str">
        <f t="shared" ref="BI9:BI29" si="5">IF(BI$5=TRUE,AZ9,"")</f>
        <v/>
      </c>
      <c r="BJ9" s="72" t="str">
        <f t="shared" ref="BJ9:BJ29" si="6">IF(BJ$5=TRUE,BA9,"")</f>
        <v/>
      </c>
      <c r="BK9" s="72" t="str">
        <f t="shared" ref="BK9:BK29" si="7">IF(BK$5=TRUE,BB9,"")</f>
        <v/>
      </c>
      <c r="BL9" s="72" t="str">
        <f t="shared" ref="BL9:BL29" si="8">IF(BL$5=TRUE,BC9,"")</f>
        <v/>
      </c>
      <c r="BM9" s="72" t="str">
        <f t="shared" ref="BM9:BM29" si="9">IF(BM$5=TRUE,BD9,"")</f>
        <v/>
      </c>
      <c r="BN9" s="72" t="str">
        <f t="shared" ref="BN9:BN29" si="10">IF(BN$5=TRUE,BE9,"")</f>
        <v/>
      </c>
      <c r="BR9" s="133">
        <f t="shared" ref="BR9:BR74" si="11">IF(AW9="","",AW9)</f>
        <v>44944</v>
      </c>
      <c r="BS9" s="100">
        <f>IF($BG$5=TRUE,IF(AX9="","",SUM(AX9:$AX$68)),"")</f>
        <v>6652126</v>
      </c>
      <c r="BT9" s="100" t="str">
        <f>IF($BH$5=TRUE,IF(AY9="","",SUM($AY9:AY$68)),"")</f>
        <v/>
      </c>
      <c r="BU9" s="100" t="str">
        <f>IF($BI$5=TRUE,IF(AZ9="","",SUM($AZ9:AZ$68)),"")</f>
        <v/>
      </c>
      <c r="BV9" s="100" t="str">
        <f>IF($BJ$5=TRUE,IF(BA9="","",SUM($BA9:BA$68)),"")</f>
        <v/>
      </c>
      <c r="BW9" s="100" t="str">
        <f>IF($BK$5=TRUE,IF(BB9="","",SUM($BB9:BB$68)),"")</f>
        <v/>
      </c>
      <c r="BX9" s="100" t="str">
        <f>IF($BL$5=TRUE,IF(BC9="","",SUM($BC9:BC$68)),"")</f>
        <v/>
      </c>
      <c r="BY9" s="100" t="str">
        <f>IF($BM$5=TRUE,IF(BD9="","",SUM($BD9:BD$68)),"")</f>
        <v/>
      </c>
      <c r="BZ9" s="100" t="str">
        <f>IF($BN$5=TRUE,IF(BE9="","",SUM($BE9:BE$68)),"")</f>
        <v/>
      </c>
    </row>
    <row r="10" spans="2:10016" x14ac:dyDescent="0.25">
      <c r="B10" s="180"/>
      <c r="C10" s="102" t="s">
        <v>4</v>
      </c>
      <c r="D10" s="79"/>
      <c r="E10" s="80"/>
      <c r="F10" s="81"/>
      <c r="G10" s="51"/>
      <c r="H10" s="51"/>
      <c r="I10" s="47"/>
      <c r="J10" s="18"/>
      <c r="K10" s="26"/>
      <c r="L10" s="26"/>
      <c r="M10" s="26"/>
      <c r="N10" s="27"/>
      <c r="O10" s="10"/>
      <c r="P10" s="10"/>
      <c r="Q10" s="10"/>
      <c r="R10" s="10"/>
      <c r="S10" s="10"/>
      <c r="T10" s="10"/>
      <c r="U10" s="10"/>
      <c r="V10" s="10"/>
      <c r="W10" s="10"/>
      <c r="X10" s="10"/>
      <c r="Y10" s="10"/>
      <c r="Z10" s="10"/>
      <c r="AA10" s="10"/>
      <c r="AL10" s="160">
        <v>5</v>
      </c>
      <c r="AM10" s="160" t="s">
        <v>49</v>
      </c>
      <c r="AN10" s="160" t="s">
        <v>62</v>
      </c>
      <c r="AO10" s="160" t="s">
        <v>8</v>
      </c>
      <c r="AP10" s="160" t="s">
        <v>80</v>
      </c>
      <c r="AT10" s="74">
        <v>44943</v>
      </c>
      <c r="AU10" s="72">
        <v>2379.39</v>
      </c>
      <c r="AW10" s="74">
        <v>44943</v>
      </c>
      <c r="AX10" s="72">
        <v>177097</v>
      </c>
      <c r="AY10" s="72">
        <v>-164859</v>
      </c>
      <c r="AZ10" s="72">
        <v>-1152</v>
      </c>
      <c r="BA10" s="72">
        <v>-25375</v>
      </c>
      <c r="BB10" s="72">
        <v>-7530</v>
      </c>
      <c r="BC10" s="72">
        <v>1472</v>
      </c>
      <c r="BD10" s="72">
        <v>-53370</v>
      </c>
      <c r="BE10" s="72">
        <v>128211</v>
      </c>
      <c r="BF10" s="74">
        <f t="shared" si="2"/>
        <v>44943</v>
      </c>
      <c r="BG10" s="72">
        <f t="shared" si="3"/>
        <v>177097</v>
      </c>
      <c r="BH10" s="72" t="str">
        <f t="shared" si="4"/>
        <v/>
      </c>
      <c r="BI10" s="72" t="str">
        <f t="shared" si="5"/>
        <v/>
      </c>
      <c r="BJ10" s="72" t="str">
        <f t="shared" si="6"/>
        <v/>
      </c>
      <c r="BK10" s="72" t="str">
        <f t="shared" si="7"/>
        <v/>
      </c>
      <c r="BL10" s="72" t="str">
        <f t="shared" si="8"/>
        <v/>
      </c>
      <c r="BM10" s="72" t="str">
        <f t="shared" si="9"/>
        <v/>
      </c>
      <c r="BN10" s="72" t="str">
        <f t="shared" si="10"/>
        <v/>
      </c>
      <c r="BR10" s="133">
        <f t="shared" si="11"/>
        <v>44943</v>
      </c>
      <c r="BS10" s="100">
        <f>IF($BG$5=TRUE,IF(AX10="","",SUM(AX10:$AX$68)),"")</f>
        <v>6579282</v>
      </c>
      <c r="BT10" s="100" t="str">
        <f>IF($BH$5=TRUE,IF(AY10="","",SUM($AY10:AY$68)),"")</f>
        <v/>
      </c>
      <c r="BU10" s="100" t="str">
        <f>IF($BI$5=TRUE,IF(AZ10="","",SUM($AZ10:AZ$68)),"")</f>
        <v/>
      </c>
      <c r="BV10" s="100" t="str">
        <f>IF($BJ$5=TRUE,IF(BA10="","",SUM($BA10:BA$68)),"")</f>
        <v/>
      </c>
      <c r="BW10" s="100" t="str">
        <f>IF($BK$5=TRUE,IF(BB10="","",SUM($BB10:BB$68)),"")</f>
        <v/>
      </c>
      <c r="BX10" s="100" t="str">
        <f>IF($BL$5=TRUE,IF(BC10="","",SUM($BC10:BC$68)),"")</f>
        <v/>
      </c>
      <c r="BY10" s="100" t="str">
        <f>IF($BM$5=TRUE,IF(BD10="","",SUM($BD10:BD$68)),"")</f>
        <v/>
      </c>
      <c r="BZ10" s="100" t="str">
        <f>IF($BN$5=TRUE,IF(BE10="","",SUM($BE10:BE$68)),"")</f>
        <v/>
      </c>
    </row>
    <row r="11" spans="2:10016" x14ac:dyDescent="0.25">
      <c r="B11" s="180"/>
      <c r="C11" s="102" t="s">
        <v>5</v>
      </c>
      <c r="D11" s="79"/>
      <c r="E11" s="80"/>
      <c r="F11" s="81"/>
      <c r="G11" s="51"/>
      <c r="H11" s="51"/>
      <c r="I11" s="47"/>
      <c r="J11" s="18"/>
      <c r="K11" s="26"/>
      <c r="L11" s="26"/>
      <c r="M11" s="26"/>
      <c r="N11" s="27"/>
      <c r="O11" s="10"/>
      <c r="P11" s="10"/>
      <c r="Q11" s="10"/>
      <c r="R11" s="10"/>
      <c r="S11" s="10"/>
      <c r="T11" s="10"/>
      <c r="U11" s="10"/>
      <c r="V11" s="10"/>
      <c r="W11" s="10"/>
      <c r="X11" s="10"/>
      <c r="Y11" s="10"/>
      <c r="Z11" s="10"/>
      <c r="AA11" s="10"/>
      <c r="AL11" s="160">
        <v>6</v>
      </c>
      <c r="AM11" s="160" t="s">
        <v>9</v>
      </c>
      <c r="AN11" s="160" t="s">
        <v>62</v>
      </c>
      <c r="AO11" s="160" t="s">
        <v>9</v>
      </c>
      <c r="AP11" s="160" t="s">
        <v>80</v>
      </c>
      <c r="AT11" s="74">
        <v>44942</v>
      </c>
      <c r="AU11" s="72">
        <v>2399.86</v>
      </c>
      <c r="AW11" s="74">
        <v>44942</v>
      </c>
      <c r="AX11" s="72">
        <v>287875</v>
      </c>
      <c r="AY11" s="72">
        <v>186226</v>
      </c>
      <c r="AZ11" s="72">
        <v>-2331</v>
      </c>
      <c r="BA11" s="72">
        <v>12508</v>
      </c>
      <c r="BB11" s="72">
        <v>15197</v>
      </c>
      <c r="BC11" s="72">
        <v>-4284</v>
      </c>
      <c r="BD11" s="72">
        <v>-552</v>
      </c>
      <c r="BE11" s="72">
        <v>-490636</v>
      </c>
      <c r="BF11" s="74">
        <f t="shared" si="2"/>
        <v>44942</v>
      </c>
      <c r="BG11" s="72">
        <f t="shared" si="3"/>
        <v>287875</v>
      </c>
      <c r="BH11" s="72" t="str">
        <f t="shared" si="4"/>
        <v/>
      </c>
      <c r="BI11" s="72" t="str">
        <f t="shared" si="5"/>
        <v/>
      </c>
      <c r="BJ11" s="72" t="str">
        <f t="shared" si="6"/>
        <v/>
      </c>
      <c r="BK11" s="72" t="str">
        <f t="shared" si="7"/>
        <v/>
      </c>
      <c r="BL11" s="72" t="str">
        <f t="shared" si="8"/>
        <v/>
      </c>
      <c r="BM11" s="72" t="str">
        <f t="shared" si="9"/>
        <v/>
      </c>
      <c r="BN11" s="72" t="str">
        <f t="shared" si="10"/>
        <v/>
      </c>
      <c r="BR11" s="133">
        <f t="shared" si="11"/>
        <v>44942</v>
      </c>
      <c r="BS11" s="100">
        <f>IF($BG$5=TRUE,IF(AX11="","",SUM(AX11:$AX$68)),"")</f>
        <v>6402185</v>
      </c>
      <c r="BT11" s="100" t="str">
        <f>IF($BH$5=TRUE,IF(AY11="","",SUM($AY11:AY$68)),"")</f>
        <v/>
      </c>
      <c r="BU11" s="100" t="str">
        <f>IF($BI$5=TRUE,IF(AZ11="","",SUM($AZ11:AZ$68)),"")</f>
        <v/>
      </c>
      <c r="BV11" s="100" t="str">
        <f>IF($BJ$5=TRUE,IF(BA11="","",SUM($BA11:BA$68)),"")</f>
        <v/>
      </c>
      <c r="BW11" s="100" t="str">
        <f>IF($BK$5=TRUE,IF(BB11="","",SUM($BB11:BB$68)),"")</f>
        <v/>
      </c>
      <c r="BX11" s="100" t="str">
        <f>IF($BL$5=TRUE,IF(BC11="","",SUM($BC11:BC$68)),"")</f>
        <v/>
      </c>
      <c r="BY11" s="100" t="str">
        <f>IF($BM$5=TRUE,IF(BD11="","",SUM($BD11:BD$68)),"")</f>
        <v/>
      </c>
      <c r="BZ11" s="100" t="str">
        <f>IF($BN$5=TRUE,IF(BE11="","",SUM($BE11:BE$68)),"")</f>
        <v/>
      </c>
    </row>
    <row r="12" spans="2:10016" x14ac:dyDescent="0.25">
      <c r="B12" s="180"/>
      <c r="C12" s="103" t="s">
        <v>6</v>
      </c>
      <c r="D12" s="80"/>
      <c r="E12" s="80"/>
      <c r="F12" s="81"/>
      <c r="G12" s="51"/>
      <c r="H12" s="51"/>
      <c r="I12" s="47"/>
      <c r="J12" s="18"/>
      <c r="K12" s="26"/>
      <c r="L12" s="26"/>
      <c r="M12" s="26"/>
      <c r="N12" s="27"/>
      <c r="O12" s="10"/>
      <c r="P12" s="10"/>
      <c r="Q12" s="10"/>
      <c r="R12" s="10"/>
      <c r="S12" s="10"/>
      <c r="T12" s="10"/>
      <c r="U12" s="10"/>
      <c r="V12" s="10"/>
      <c r="W12" s="10"/>
      <c r="X12" s="10"/>
      <c r="Y12" s="10"/>
      <c r="Z12" s="10"/>
      <c r="AA12" s="10"/>
      <c r="AL12" s="160">
        <v>7</v>
      </c>
      <c r="AM12" s="160" t="s">
        <v>50</v>
      </c>
      <c r="AN12" s="160" t="s">
        <v>63</v>
      </c>
      <c r="AO12" s="160" t="s">
        <v>12</v>
      </c>
      <c r="AP12" s="160" t="s">
        <v>87</v>
      </c>
      <c r="AT12" s="74">
        <v>44939</v>
      </c>
      <c r="AU12" s="72">
        <v>2386.09</v>
      </c>
      <c r="AW12" s="74">
        <v>44939</v>
      </c>
      <c r="AX12" s="72">
        <v>568167</v>
      </c>
      <c r="AY12" s="72">
        <v>159462</v>
      </c>
      <c r="AZ12" s="72">
        <v>749</v>
      </c>
      <c r="BA12" s="72">
        <v>5104</v>
      </c>
      <c r="BB12" s="72">
        <v>22933</v>
      </c>
      <c r="BC12" s="72">
        <v>-1086</v>
      </c>
      <c r="BD12" s="72">
        <v>30440</v>
      </c>
      <c r="BE12" s="72">
        <v>-777380</v>
      </c>
      <c r="BF12" s="74">
        <f t="shared" si="2"/>
        <v>44939</v>
      </c>
      <c r="BG12" s="72">
        <f t="shared" si="3"/>
        <v>568167</v>
      </c>
      <c r="BH12" s="72" t="str">
        <f t="shared" si="4"/>
        <v/>
      </c>
      <c r="BI12" s="72" t="str">
        <f t="shared" si="5"/>
        <v/>
      </c>
      <c r="BJ12" s="72" t="str">
        <f t="shared" si="6"/>
        <v/>
      </c>
      <c r="BK12" s="72" t="str">
        <f t="shared" si="7"/>
        <v/>
      </c>
      <c r="BL12" s="72" t="str">
        <f t="shared" si="8"/>
        <v/>
      </c>
      <c r="BM12" s="72" t="str">
        <f t="shared" si="9"/>
        <v/>
      </c>
      <c r="BN12" s="72" t="str">
        <f t="shared" si="10"/>
        <v/>
      </c>
      <c r="BR12" s="133">
        <f t="shared" si="11"/>
        <v>44939</v>
      </c>
      <c r="BS12" s="100">
        <f>IF($BG$5=TRUE,IF(AX12="","",SUM(AX12:$AX$68)),"")</f>
        <v>6114310</v>
      </c>
      <c r="BT12" s="100" t="str">
        <f>IF($BH$5=TRUE,IF(AY12="","",SUM($AY12:AY$68)),"")</f>
        <v/>
      </c>
      <c r="BU12" s="100" t="str">
        <f>IF($BI$5=TRUE,IF(AZ12="","",SUM($AZ12:AZ$68)),"")</f>
        <v/>
      </c>
      <c r="BV12" s="100" t="str">
        <f>IF($BJ$5=TRUE,IF(BA12="","",SUM($BA12:BA$68)),"")</f>
        <v/>
      </c>
      <c r="BW12" s="100" t="str">
        <f>IF($BK$5=TRUE,IF(BB12="","",SUM($BB12:BB$68)),"")</f>
        <v/>
      </c>
      <c r="BX12" s="100" t="str">
        <f>IF($BL$5=TRUE,IF(BC12="","",SUM($BC12:BC$68)),"")</f>
        <v/>
      </c>
      <c r="BY12" s="100" t="str">
        <f>IF($BM$5=TRUE,IF(BD12="","",SUM($BD12:BD$68)),"")</f>
        <v/>
      </c>
      <c r="BZ12" s="100" t="str">
        <f>IF($BN$5=TRUE,IF(BE12="","",SUM($BE12:BE$68)),"")</f>
        <v/>
      </c>
    </row>
    <row r="13" spans="2:10016" x14ac:dyDescent="0.25">
      <c r="B13" s="180"/>
      <c r="C13" s="103" t="s">
        <v>11</v>
      </c>
      <c r="D13" s="80"/>
      <c r="E13" s="80"/>
      <c r="F13" s="81"/>
      <c r="G13" s="51"/>
      <c r="H13" s="51"/>
      <c r="I13" s="47"/>
      <c r="J13" s="18"/>
      <c r="K13" s="26"/>
      <c r="L13" s="26"/>
      <c r="M13" s="26"/>
      <c r="N13" s="27"/>
      <c r="O13" s="10"/>
      <c r="P13" s="10"/>
      <c r="Q13" s="10"/>
      <c r="R13" s="10"/>
      <c r="S13" s="10"/>
      <c r="T13" s="10"/>
      <c r="U13" s="10"/>
      <c r="V13" s="10"/>
      <c r="W13" s="10"/>
      <c r="X13" s="10"/>
      <c r="Y13" s="10"/>
      <c r="Z13" s="10"/>
      <c r="AA13" s="10"/>
      <c r="AL13" s="160">
        <v>8</v>
      </c>
      <c r="AM13" s="160" t="s">
        <v>51</v>
      </c>
      <c r="AN13" s="160" t="s">
        <v>63</v>
      </c>
      <c r="AO13" s="160" t="s">
        <v>13</v>
      </c>
      <c r="AP13" s="160" t="s">
        <v>87</v>
      </c>
      <c r="AT13" s="74">
        <v>44938</v>
      </c>
      <c r="AU13" s="72">
        <v>2365.1</v>
      </c>
      <c r="AW13" s="74">
        <v>44938</v>
      </c>
      <c r="AX13" s="72">
        <v>484324</v>
      </c>
      <c r="AY13" s="72">
        <v>-417452</v>
      </c>
      <c r="AZ13" s="72">
        <v>-5169</v>
      </c>
      <c r="BA13" s="72">
        <v>10979</v>
      </c>
      <c r="BB13" s="72">
        <v>30053</v>
      </c>
      <c r="BC13" s="72">
        <v>2051</v>
      </c>
      <c r="BD13" s="72">
        <v>-59584</v>
      </c>
      <c r="BE13" s="72">
        <v>-48896</v>
      </c>
      <c r="BF13" s="74">
        <f t="shared" si="2"/>
        <v>44938</v>
      </c>
      <c r="BG13" s="72">
        <f t="shared" si="3"/>
        <v>484324</v>
      </c>
      <c r="BH13" s="72" t="str">
        <f t="shared" si="4"/>
        <v/>
      </c>
      <c r="BI13" s="72" t="str">
        <f t="shared" si="5"/>
        <v/>
      </c>
      <c r="BJ13" s="72" t="str">
        <f t="shared" si="6"/>
        <v/>
      </c>
      <c r="BK13" s="72" t="str">
        <f t="shared" si="7"/>
        <v/>
      </c>
      <c r="BL13" s="72" t="str">
        <f t="shared" si="8"/>
        <v/>
      </c>
      <c r="BM13" s="72" t="str">
        <f t="shared" si="9"/>
        <v/>
      </c>
      <c r="BN13" s="72" t="str">
        <f t="shared" si="10"/>
        <v/>
      </c>
      <c r="BR13" s="133">
        <f t="shared" si="11"/>
        <v>44938</v>
      </c>
      <c r="BS13" s="100">
        <f>IF($BG$5=TRUE,IF(AX13="","",SUM(AX13:$AX$68)),"")</f>
        <v>5546143</v>
      </c>
      <c r="BT13" s="100" t="str">
        <f>IF($BH$5=TRUE,IF(AY13="","",SUM($AY13:AY$68)),"")</f>
        <v/>
      </c>
      <c r="BU13" s="100" t="str">
        <f>IF($BI$5=TRUE,IF(AZ13="","",SUM($AZ13:AZ$68)),"")</f>
        <v/>
      </c>
      <c r="BV13" s="100" t="str">
        <f>IF($BJ$5=TRUE,IF(BA13="","",SUM($BA13:BA$68)),"")</f>
        <v/>
      </c>
      <c r="BW13" s="100" t="str">
        <f>IF($BK$5=TRUE,IF(BB13="","",SUM($BB13:BB$68)),"")</f>
        <v/>
      </c>
      <c r="BX13" s="100" t="str">
        <f>IF($BL$5=TRUE,IF(BC13="","",SUM($BC13:BC$68)),"")</f>
        <v/>
      </c>
      <c r="BY13" s="100" t="str">
        <f>IF($BM$5=TRUE,IF(BD13="","",SUM($BD13:BD$68)),"")</f>
        <v/>
      </c>
      <c r="BZ13" s="100" t="str">
        <f>IF($BN$5=TRUE,IF(BE13="","",SUM($BE13:BE$68)),"")</f>
        <v/>
      </c>
    </row>
    <row r="14" spans="2:10016" x14ac:dyDescent="0.25">
      <c r="B14" s="180"/>
      <c r="C14" s="103" t="s">
        <v>10</v>
      </c>
      <c r="D14" s="80"/>
      <c r="E14" s="80"/>
      <c r="F14" s="81"/>
      <c r="G14" s="51"/>
      <c r="H14" s="98"/>
      <c r="I14" s="47"/>
      <c r="J14" s="18"/>
      <c r="K14" s="26"/>
      <c r="L14" s="26"/>
      <c r="M14" s="26"/>
      <c r="N14" s="27"/>
      <c r="O14" s="10"/>
      <c r="P14" s="10"/>
      <c r="Q14" s="10"/>
      <c r="R14" s="10"/>
      <c r="S14" s="10"/>
      <c r="T14" s="10"/>
      <c r="U14" s="10"/>
      <c r="V14" s="10"/>
      <c r="W14" s="10"/>
      <c r="X14" s="10"/>
      <c r="Y14" s="10"/>
      <c r="Z14" s="10"/>
      <c r="AA14" s="10"/>
      <c r="AL14" s="160">
        <v>9</v>
      </c>
      <c r="AM14" s="160" t="s">
        <v>52</v>
      </c>
      <c r="AN14" s="160" t="s">
        <v>63</v>
      </c>
      <c r="AO14" s="160" t="s">
        <v>14</v>
      </c>
      <c r="AP14" s="160" t="s">
        <v>87</v>
      </c>
      <c r="AT14" s="74">
        <v>44937</v>
      </c>
      <c r="AU14" s="72">
        <v>2359.5300000000002</v>
      </c>
      <c r="AW14" s="74">
        <v>44937</v>
      </c>
      <c r="AX14" s="72">
        <v>33623</v>
      </c>
      <c r="AY14" s="72">
        <v>209296</v>
      </c>
      <c r="AZ14" s="72">
        <v>-1215</v>
      </c>
      <c r="BA14" s="72">
        <v>-5469</v>
      </c>
      <c r="BB14" s="72">
        <v>13945</v>
      </c>
      <c r="BC14" s="72">
        <v>2416</v>
      </c>
      <c r="BD14" s="72">
        <v>888</v>
      </c>
      <c r="BE14" s="72">
        <v>-206390</v>
      </c>
      <c r="BF14" s="74">
        <f t="shared" si="2"/>
        <v>44937</v>
      </c>
      <c r="BG14" s="72">
        <f t="shared" si="3"/>
        <v>33623</v>
      </c>
      <c r="BH14" s="72" t="str">
        <f t="shared" si="4"/>
        <v/>
      </c>
      <c r="BI14" s="72" t="str">
        <f t="shared" si="5"/>
        <v/>
      </c>
      <c r="BJ14" s="72" t="str">
        <f t="shared" si="6"/>
        <v/>
      </c>
      <c r="BK14" s="72" t="str">
        <f t="shared" si="7"/>
        <v/>
      </c>
      <c r="BL14" s="72" t="str">
        <f t="shared" si="8"/>
        <v/>
      </c>
      <c r="BM14" s="72" t="str">
        <f t="shared" si="9"/>
        <v/>
      </c>
      <c r="BN14" s="72" t="str">
        <f t="shared" si="10"/>
        <v/>
      </c>
      <c r="BR14" s="133">
        <f t="shared" si="11"/>
        <v>44937</v>
      </c>
      <c r="BS14" s="100">
        <f>IF($BG$5=TRUE,IF(AX14="","",SUM(AX14:$AX$68)),"")</f>
        <v>5061819</v>
      </c>
      <c r="BT14" s="100" t="str">
        <f>IF($BH$5=TRUE,IF(AY14="","",SUM($AY14:AY$68)),"")</f>
        <v/>
      </c>
      <c r="BU14" s="100" t="str">
        <f>IF($BI$5=TRUE,IF(AZ14="","",SUM($AZ14:AZ$68)),"")</f>
        <v/>
      </c>
      <c r="BV14" s="100" t="str">
        <f>IF($BJ$5=TRUE,IF(BA14="","",SUM($BA14:BA$68)),"")</f>
        <v/>
      </c>
      <c r="BW14" s="100" t="str">
        <f>IF($BK$5=TRUE,IF(BB14="","",SUM($BB14:BB$68)),"")</f>
        <v/>
      </c>
      <c r="BX14" s="100" t="str">
        <f>IF($BL$5=TRUE,IF(BC14="","",SUM($BC14:BC$68)),"")</f>
        <v/>
      </c>
      <c r="BY14" s="100" t="str">
        <f>IF($BM$5=TRUE,IF(BD14="","",SUM($BD14:BD$68)),"")</f>
        <v/>
      </c>
      <c r="BZ14" s="100" t="str">
        <f>IF($BN$5=TRUE,IF(BE14="","",SUM($BE14:BE$68)),"")</f>
        <v/>
      </c>
    </row>
    <row r="15" spans="2:10016" x14ac:dyDescent="0.25">
      <c r="B15" s="180"/>
      <c r="C15" s="103" t="s">
        <v>15</v>
      </c>
      <c r="D15" s="80"/>
      <c r="E15" s="80"/>
      <c r="F15" s="81"/>
      <c r="G15" s="51"/>
      <c r="H15" s="51"/>
      <c r="I15" s="47"/>
      <c r="J15" s="18"/>
      <c r="K15" s="26"/>
      <c r="L15" s="26"/>
      <c r="M15" s="26"/>
      <c r="N15" s="27"/>
      <c r="O15" s="10"/>
      <c r="P15" s="10"/>
      <c r="Q15" s="10"/>
      <c r="R15" s="10"/>
      <c r="S15" s="10"/>
      <c r="T15" s="10"/>
      <c r="U15" s="10"/>
      <c r="V15" s="10"/>
      <c r="W15" s="10"/>
      <c r="X15" s="10"/>
      <c r="Y15" s="10"/>
      <c r="Z15" s="10"/>
      <c r="AA15" s="10"/>
      <c r="AL15" s="160">
        <v>10</v>
      </c>
      <c r="AM15" s="160" t="s">
        <v>53</v>
      </c>
      <c r="AN15" s="160" t="s">
        <v>64</v>
      </c>
      <c r="AO15" s="160" t="s">
        <v>65</v>
      </c>
      <c r="AP15" s="160" t="s">
        <v>80</v>
      </c>
      <c r="AT15" s="74">
        <v>44936</v>
      </c>
      <c r="AU15" s="72">
        <v>2351.31</v>
      </c>
      <c r="AW15" s="74">
        <v>44936</v>
      </c>
      <c r="AX15" s="72">
        <v>-2229</v>
      </c>
      <c r="AY15" s="72">
        <v>226599</v>
      </c>
      <c r="AZ15" s="72">
        <v>5970</v>
      </c>
      <c r="BA15" s="72">
        <v>23269</v>
      </c>
      <c r="BB15" s="72">
        <v>36569</v>
      </c>
      <c r="BC15" s="72">
        <v>-417</v>
      </c>
      <c r="BD15" s="72">
        <v>1707</v>
      </c>
      <c r="BE15" s="72">
        <v>-298768</v>
      </c>
      <c r="BF15" s="74">
        <f t="shared" si="2"/>
        <v>44936</v>
      </c>
      <c r="BG15" s="72">
        <f t="shared" si="3"/>
        <v>-2229</v>
      </c>
      <c r="BH15" s="72" t="str">
        <f t="shared" si="4"/>
        <v/>
      </c>
      <c r="BI15" s="72" t="str">
        <f t="shared" si="5"/>
        <v/>
      </c>
      <c r="BJ15" s="72" t="str">
        <f t="shared" si="6"/>
        <v/>
      </c>
      <c r="BK15" s="72" t="str">
        <f t="shared" si="7"/>
        <v/>
      </c>
      <c r="BL15" s="72" t="str">
        <f t="shared" si="8"/>
        <v/>
      </c>
      <c r="BM15" s="72" t="str">
        <f t="shared" si="9"/>
        <v/>
      </c>
      <c r="BN15" s="72" t="str">
        <f t="shared" si="10"/>
        <v/>
      </c>
      <c r="BR15" s="133">
        <f t="shared" si="11"/>
        <v>44936</v>
      </c>
      <c r="BS15" s="100">
        <f>IF($BG$5=TRUE,IF(AX15="","",SUM(AX15:$AX$68)),"")</f>
        <v>5028196</v>
      </c>
      <c r="BT15" s="100" t="str">
        <f>IF($BH$5=TRUE,IF(AY15="","",SUM($AY15:AY$68)),"")</f>
        <v/>
      </c>
      <c r="BU15" s="100" t="str">
        <f>IF($BI$5=TRUE,IF(AZ15="","",SUM($AZ15:AZ$68)),"")</f>
        <v/>
      </c>
      <c r="BV15" s="100" t="str">
        <f>IF($BJ$5=TRUE,IF(BA15="","",SUM($BA15:BA$68)),"")</f>
        <v/>
      </c>
      <c r="BW15" s="100" t="str">
        <f>IF($BK$5=TRUE,IF(BB15="","",SUM($BB15:BB$68)),"")</f>
        <v/>
      </c>
      <c r="BX15" s="100" t="str">
        <f>IF($BL$5=TRUE,IF(BC15="","",SUM($BC15:BC$68)),"")</f>
        <v/>
      </c>
      <c r="BY15" s="100" t="str">
        <f>IF($BM$5=TRUE,IF(BD15="","",SUM($BD15:BD$68)),"")</f>
        <v/>
      </c>
      <c r="BZ15" s="100" t="str">
        <f>IF($BN$5=TRUE,IF(BE15="","",SUM($BE15:BE$68)),"")</f>
        <v/>
      </c>
    </row>
    <row r="16" spans="2:10016" x14ac:dyDescent="0.25">
      <c r="B16" s="180"/>
      <c r="C16" s="103" t="s">
        <v>16</v>
      </c>
      <c r="D16" s="80"/>
      <c r="E16" s="80"/>
      <c r="F16" s="81"/>
      <c r="G16" s="51"/>
      <c r="H16" s="51"/>
      <c r="I16" s="47"/>
      <c r="J16" s="18"/>
      <c r="K16" s="26"/>
      <c r="L16" s="26"/>
      <c r="M16" s="26"/>
      <c r="N16" s="27"/>
      <c r="O16" s="10"/>
      <c r="P16" s="10"/>
      <c r="Q16" s="10"/>
      <c r="R16" s="10"/>
      <c r="S16" s="10"/>
      <c r="T16" s="10"/>
      <c r="U16" s="10"/>
      <c r="V16" s="10"/>
      <c r="W16" s="10"/>
      <c r="X16" s="10"/>
      <c r="Y16" s="10"/>
      <c r="Z16" s="10"/>
      <c r="AA16" s="10"/>
      <c r="AL16" s="160">
        <v>11</v>
      </c>
      <c r="AM16" s="160" t="s">
        <v>54</v>
      </c>
      <c r="AN16" s="160" t="s">
        <v>64</v>
      </c>
      <c r="AO16" s="160" t="s">
        <v>20</v>
      </c>
      <c r="AP16" s="160" t="s">
        <v>80</v>
      </c>
      <c r="AT16" s="74">
        <v>44935</v>
      </c>
      <c r="AU16" s="72">
        <v>2350.19</v>
      </c>
      <c r="AW16" s="74">
        <v>44935</v>
      </c>
      <c r="AX16" s="72">
        <v>651748</v>
      </c>
      <c r="AY16" s="72">
        <v>390789</v>
      </c>
      <c r="AZ16" s="72">
        <v>5545</v>
      </c>
      <c r="BA16" s="72">
        <v>135027</v>
      </c>
      <c r="BB16" s="72">
        <v>86465</v>
      </c>
      <c r="BC16" s="72">
        <v>12100</v>
      </c>
      <c r="BD16" s="72">
        <v>47349</v>
      </c>
      <c r="BE16" s="72">
        <v>-1395183</v>
      </c>
      <c r="BF16" s="74">
        <f t="shared" si="2"/>
        <v>44935</v>
      </c>
      <c r="BG16" s="72">
        <f t="shared" si="3"/>
        <v>651748</v>
      </c>
      <c r="BH16" s="72" t="str">
        <f t="shared" si="4"/>
        <v/>
      </c>
      <c r="BI16" s="72" t="str">
        <f t="shared" si="5"/>
        <v/>
      </c>
      <c r="BJ16" s="72" t="str">
        <f t="shared" si="6"/>
        <v/>
      </c>
      <c r="BK16" s="72" t="str">
        <f t="shared" si="7"/>
        <v/>
      </c>
      <c r="BL16" s="72" t="str">
        <f t="shared" si="8"/>
        <v/>
      </c>
      <c r="BM16" s="72" t="str">
        <f t="shared" si="9"/>
        <v/>
      </c>
      <c r="BN16" s="72" t="str">
        <f t="shared" si="10"/>
        <v/>
      </c>
      <c r="BR16" s="133">
        <f t="shared" si="11"/>
        <v>44935</v>
      </c>
      <c r="BS16" s="100">
        <f>IF($BG$5=TRUE,IF(AX16="","",SUM(AX16:$AX$68)),"")</f>
        <v>5030425</v>
      </c>
      <c r="BT16" s="100" t="str">
        <f>IF($BH$5=TRUE,IF(AY16="","",SUM($AY16:AY$68)),"")</f>
        <v/>
      </c>
      <c r="BU16" s="100" t="str">
        <f>IF($BI$5=TRUE,IF(AZ16="","",SUM($AZ16:AZ$68)),"")</f>
        <v/>
      </c>
      <c r="BV16" s="100" t="str">
        <f>IF($BJ$5=TRUE,IF(BA16="","",SUM($BA16:BA$68)),"")</f>
        <v/>
      </c>
      <c r="BW16" s="100" t="str">
        <f>IF($BK$5=TRUE,IF(BB16="","",SUM($BB16:BB$68)),"")</f>
        <v/>
      </c>
      <c r="BX16" s="100" t="str">
        <f>IF($BL$5=TRUE,IF(BC16="","",SUM($BC16:BC$68)),"")</f>
        <v/>
      </c>
      <c r="BY16" s="100" t="str">
        <f>IF($BM$5=TRUE,IF(BD16="","",SUM($BD16:BD$68)),"")</f>
        <v/>
      </c>
      <c r="BZ16" s="100" t="str">
        <f>IF($BN$5=TRUE,IF(BE16="","",SUM($BE16:BE$68)),"")</f>
        <v/>
      </c>
    </row>
    <row r="17" spans="2:78" x14ac:dyDescent="0.25">
      <c r="B17" s="180"/>
      <c r="C17" s="104" t="s">
        <v>17</v>
      </c>
      <c r="D17" s="82"/>
      <c r="E17" s="82"/>
      <c r="F17" s="83"/>
      <c r="G17" s="52"/>
      <c r="H17" s="52"/>
      <c r="I17" s="48"/>
      <c r="J17" s="19"/>
      <c r="K17" s="28"/>
      <c r="L17" s="28"/>
      <c r="M17" s="28"/>
      <c r="N17" s="29"/>
      <c r="O17" s="10"/>
      <c r="P17" s="10"/>
      <c r="Q17" s="10"/>
      <c r="R17" s="10"/>
      <c r="S17" s="10"/>
      <c r="T17" s="10"/>
      <c r="U17" s="10"/>
      <c r="V17" s="10"/>
      <c r="W17" s="10"/>
      <c r="X17" s="10"/>
      <c r="Y17" s="10"/>
      <c r="Z17" s="10"/>
      <c r="AA17" s="10"/>
      <c r="AL17" s="160">
        <v>12</v>
      </c>
      <c r="AM17" s="160" t="s">
        <v>55</v>
      </c>
      <c r="AN17" s="160" t="s">
        <v>64</v>
      </c>
      <c r="AO17" s="160" t="s">
        <v>22</v>
      </c>
      <c r="AP17" s="160" t="s">
        <v>80</v>
      </c>
      <c r="AT17" s="74">
        <v>44932</v>
      </c>
      <c r="AU17" s="72">
        <v>2289.9699999999998</v>
      </c>
      <c r="AW17" s="74">
        <v>44932</v>
      </c>
      <c r="AX17" s="72">
        <v>314060</v>
      </c>
      <c r="AY17" s="72">
        <v>-25424</v>
      </c>
      <c r="AZ17" s="72">
        <v>-2176</v>
      </c>
      <c r="BA17" s="72">
        <v>57293</v>
      </c>
      <c r="BB17" s="72">
        <v>76575</v>
      </c>
      <c r="BC17" s="72">
        <v>1039</v>
      </c>
      <c r="BD17" s="72">
        <v>88457</v>
      </c>
      <c r="BE17" s="72">
        <v>-564022</v>
      </c>
      <c r="BF17" s="74">
        <f t="shared" si="2"/>
        <v>44932</v>
      </c>
      <c r="BG17" s="72">
        <f t="shared" si="3"/>
        <v>314060</v>
      </c>
      <c r="BH17" s="72" t="str">
        <f t="shared" si="4"/>
        <v/>
      </c>
      <c r="BI17" s="72" t="str">
        <f t="shared" si="5"/>
        <v/>
      </c>
      <c r="BJ17" s="72" t="str">
        <f t="shared" si="6"/>
        <v/>
      </c>
      <c r="BK17" s="72" t="str">
        <f t="shared" si="7"/>
        <v/>
      </c>
      <c r="BL17" s="72" t="str">
        <f t="shared" si="8"/>
        <v/>
      </c>
      <c r="BM17" s="72" t="str">
        <f t="shared" si="9"/>
        <v/>
      </c>
      <c r="BN17" s="72" t="str">
        <f t="shared" si="10"/>
        <v/>
      </c>
      <c r="BR17" s="133">
        <f t="shared" si="11"/>
        <v>44932</v>
      </c>
      <c r="BS17" s="100">
        <f>IF($BG$5=TRUE,IF(AX17="","",SUM(AX17:$AX$68)),"")</f>
        <v>4378677</v>
      </c>
      <c r="BT17" s="100" t="str">
        <f>IF($BH$5=TRUE,IF(AY17="","",SUM($AY17:AY$68)),"")</f>
        <v/>
      </c>
      <c r="BU17" s="100" t="str">
        <f>IF($BI$5=TRUE,IF(AZ17="","",SUM($AZ17:AZ$68)),"")</f>
        <v/>
      </c>
      <c r="BV17" s="100" t="str">
        <f>IF($BJ$5=TRUE,IF(BA17="","",SUM($BA17:BA$68)),"")</f>
        <v/>
      </c>
      <c r="BW17" s="100" t="str">
        <f>IF($BK$5=TRUE,IF(BB17="","",SUM($BB17:BB$68)),"")</f>
        <v/>
      </c>
      <c r="BX17" s="100" t="str">
        <f>IF($BL$5=TRUE,IF(BC17="","",SUM($BC17:BC$68)),"")</f>
        <v/>
      </c>
      <c r="BY17" s="100" t="str">
        <f>IF($BM$5=TRUE,IF(BD17="","",SUM($BD17:BD$68)),"")</f>
        <v/>
      </c>
      <c r="BZ17" s="100" t="str">
        <f>IF($BN$5=TRUE,IF(BE17="","",SUM($BE17:BE$68)),"")</f>
        <v/>
      </c>
    </row>
    <row r="18" spans="2:78" x14ac:dyDescent="0.25">
      <c r="B18" s="180"/>
      <c r="C18" s="103" t="s">
        <v>92</v>
      </c>
      <c r="D18" s="80"/>
      <c r="E18" s="80"/>
      <c r="F18" s="81"/>
      <c r="G18" s="53"/>
      <c r="H18" s="53"/>
      <c r="I18" s="49"/>
      <c r="J18" s="20"/>
      <c r="K18" s="26"/>
      <c r="L18" s="26"/>
      <c r="M18" s="26"/>
      <c r="N18" s="27"/>
      <c r="O18" s="10"/>
      <c r="P18" s="10"/>
      <c r="Q18" s="10"/>
      <c r="R18" s="10"/>
      <c r="S18" s="10"/>
      <c r="T18" s="10"/>
      <c r="U18" s="10"/>
      <c r="V18" s="10"/>
      <c r="W18" s="10"/>
      <c r="X18" s="10"/>
      <c r="Y18" s="10"/>
      <c r="Z18" s="10"/>
      <c r="AA18" s="10"/>
      <c r="AL18" s="160">
        <v>13</v>
      </c>
      <c r="AM18" s="160" t="s">
        <v>56</v>
      </c>
      <c r="AN18" s="160" t="s">
        <v>64</v>
      </c>
      <c r="AO18" s="160" t="s">
        <v>24</v>
      </c>
      <c r="AP18" s="160" t="s">
        <v>80</v>
      </c>
      <c r="AT18" s="74">
        <v>44931</v>
      </c>
      <c r="AU18" s="72">
        <v>2264.65</v>
      </c>
      <c r="AW18" s="74">
        <v>44931</v>
      </c>
      <c r="AX18" s="72">
        <v>503160</v>
      </c>
      <c r="AY18" s="72">
        <v>-382313</v>
      </c>
      <c r="AZ18" s="72">
        <v>-699</v>
      </c>
      <c r="BA18" s="72">
        <v>663</v>
      </c>
      <c r="BB18" s="72">
        <v>21569</v>
      </c>
      <c r="BC18" s="72">
        <v>121</v>
      </c>
      <c r="BD18" s="72">
        <v>41987</v>
      </c>
      <c r="BE18" s="72">
        <v>-164545</v>
      </c>
      <c r="BF18" s="74">
        <f t="shared" si="2"/>
        <v>44931</v>
      </c>
      <c r="BG18" s="72">
        <f t="shared" si="3"/>
        <v>503160</v>
      </c>
      <c r="BH18" s="72" t="str">
        <f t="shared" si="4"/>
        <v/>
      </c>
      <c r="BI18" s="72" t="str">
        <f t="shared" si="5"/>
        <v/>
      </c>
      <c r="BJ18" s="72" t="str">
        <f t="shared" si="6"/>
        <v/>
      </c>
      <c r="BK18" s="72" t="str">
        <f t="shared" si="7"/>
        <v/>
      </c>
      <c r="BL18" s="72" t="str">
        <f t="shared" si="8"/>
        <v/>
      </c>
      <c r="BM18" s="72" t="str">
        <f t="shared" si="9"/>
        <v/>
      </c>
      <c r="BN18" s="72" t="str">
        <f t="shared" si="10"/>
        <v/>
      </c>
      <c r="BR18" s="133">
        <f t="shared" si="11"/>
        <v>44931</v>
      </c>
      <c r="BS18" s="100">
        <f>IF($BG$5=TRUE,IF(AX18="","",SUM(AX18:$AX$68)),"")</f>
        <v>4064617</v>
      </c>
      <c r="BT18" s="100" t="str">
        <f>IF($BH$5=TRUE,IF(AY18="","",SUM($AY18:AY$68)),"")</f>
        <v/>
      </c>
      <c r="BU18" s="100" t="str">
        <f>IF($BI$5=TRUE,IF(AZ18="","",SUM($AZ18:AZ$68)),"")</f>
        <v/>
      </c>
      <c r="BV18" s="100" t="str">
        <f>IF($BJ$5=TRUE,IF(BA18="","",SUM($BA18:BA$68)),"")</f>
        <v/>
      </c>
      <c r="BW18" s="100" t="str">
        <f>IF($BK$5=TRUE,IF(BB18="","",SUM($BB18:BB$68)),"")</f>
        <v/>
      </c>
      <c r="BX18" s="100" t="str">
        <f>IF($BL$5=TRUE,IF(BC18="","",SUM($BC18:BC$68)),"")</f>
        <v/>
      </c>
      <c r="BY18" s="100" t="str">
        <f>IF($BM$5=TRUE,IF(BD18="","",SUM($BD18:BD$68)),"")</f>
        <v/>
      </c>
      <c r="BZ18" s="100" t="str">
        <f>IF($BN$5=TRUE,IF(BE18="","",SUM($BE18:BE$68)),"")</f>
        <v/>
      </c>
    </row>
    <row r="19" spans="2:78" ht="14.25" thickBot="1" x14ac:dyDescent="0.3">
      <c r="B19" s="181"/>
      <c r="C19" s="105" t="s">
        <v>94</v>
      </c>
      <c r="D19" s="84"/>
      <c r="E19" s="84"/>
      <c r="F19" s="85"/>
      <c r="G19" s="54"/>
      <c r="H19" s="54"/>
      <c r="I19" s="50"/>
      <c r="J19" s="21"/>
      <c r="K19" s="44"/>
      <c r="L19" s="44"/>
      <c r="M19" s="44"/>
      <c r="N19" s="45"/>
      <c r="O19" s="10"/>
      <c r="P19" s="10"/>
      <c r="Q19" s="10"/>
      <c r="R19" s="10"/>
      <c r="S19" s="10"/>
      <c r="T19" s="10"/>
      <c r="U19" s="10"/>
      <c r="V19" s="10"/>
      <c r="W19" s="10"/>
      <c r="X19" s="10"/>
      <c r="Y19" s="10"/>
      <c r="Z19" s="10"/>
      <c r="AA19" s="10"/>
      <c r="AL19" s="160">
        <v>14</v>
      </c>
      <c r="AM19" s="160" t="s">
        <v>57</v>
      </c>
      <c r="AN19" s="160" t="s">
        <v>165</v>
      </c>
      <c r="AO19" s="160" t="s">
        <v>31</v>
      </c>
      <c r="AP19" s="160" t="s">
        <v>80</v>
      </c>
      <c r="AT19" s="74">
        <v>44930</v>
      </c>
      <c r="AU19" s="72">
        <v>2255.98</v>
      </c>
      <c r="AW19" s="74">
        <v>44930</v>
      </c>
      <c r="AX19" s="72">
        <v>260666</v>
      </c>
      <c r="AY19" s="72">
        <v>-189658</v>
      </c>
      <c r="AZ19" s="72">
        <v>-2578</v>
      </c>
      <c r="BA19" s="72">
        <v>-1753</v>
      </c>
      <c r="BB19" s="72">
        <v>122391</v>
      </c>
      <c r="BC19" s="72">
        <v>11086</v>
      </c>
      <c r="BD19" s="72">
        <v>39545</v>
      </c>
      <c r="BE19" s="72">
        <v>-295934</v>
      </c>
      <c r="BF19" s="74">
        <f t="shared" si="2"/>
        <v>44930</v>
      </c>
      <c r="BG19" s="72">
        <f t="shared" si="3"/>
        <v>260666</v>
      </c>
      <c r="BH19" s="72" t="str">
        <f t="shared" si="4"/>
        <v/>
      </c>
      <c r="BI19" s="72" t="str">
        <f t="shared" si="5"/>
        <v/>
      </c>
      <c r="BJ19" s="72" t="str">
        <f t="shared" si="6"/>
        <v/>
      </c>
      <c r="BK19" s="72" t="str">
        <f t="shared" si="7"/>
        <v/>
      </c>
      <c r="BL19" s="72" t="str">
        <f t="shared" si="8"/>
        <v/>
      </c>
      <c r="BM19" s="72" t="str">
        <f t="shared" si="9"/>
        <v/>
      </c>
      <c r="BN19" s="72" t="str">
        <f t="shared" si="10"/>
        <v/>
      </c>
      <c r="BR19" s="133">
        <f t="shared" si="11"/>
        <v>44930</v>
      </c>
      <c r="BS19" s="100">
        <f>IF($BG$5=TRUE,IF(AX19="","",SUM(AX19:$AX$68)),"")</f>
        <v>3561457</v>
      </c>
      <c r="BT19" s="100" t="str">
        <f>IF($BH$5=TRUE,IF(AY19="","",SUM($AY19:AY$68)),"")</f>
        <v/>
      </c>
      <c r="BU19" s="100" t="str">
        <f>IF($BI$5=TRUE,IF(AZ19="","",SUM($AZ19:AZ$68)),"")</f>
        <v/>
      </c>
      <c r="BV19" s="100" t="str">
        <f>IF($BJ$5=TRUE,IF(BA19="","",SUM($BA19:BA$68)),"")</f>
        <v/>
      </c>
      <c r="BW19" s="100" t="str">
        <f>IF($BK$5=TRUE,IF(BB19="","",SUM($BB19:BB$68)),"")</f>
        <v/>
      </c>
      <c r="BX19" s="100" t="str">
        <f>IF($BL$5=TRUE,IF(BC19="","",SUM($BC19:BC$68)),"")</f>
        <v/>
      </c>
      <c r="BY19" s="100" t="str">
        <f>IF($BM$5=TRUE,IF(BD19="","",SUM($BD19:BD$68)),"")</f>
        <v/>
      </c>
      <c r="BZ19" s="100" t="str">
        <f>IF($BN$5=TRUE,IF(BE19="","",SUM($BE19:BE$68)),"")</f>
        <v/>
      </c>
    </row>
    <row r="20" spans="2:78" x14ac:dyDescent="0.25">
      <c r="B20" s="179" t="s">
        <v>41</v>
      </c>
      <c r="C20" s="106" t="s">
        <v>19</v>
      </c>
      <c r="D20" s="86"/>
      <c r="E20" s="86"/>
      <c r="F20" s="86"/>
      <c r="G20" s="55"/>
      <c r="H20" s="55"/>
      <c r="I20" s="30"/>
      <c r="J20" s="30"/>
      <c r="K20" s="31"/>
      <c r="L20" s="31"/>
      <c r="M20" s="31"/>
      <c r="N20" s="32"/>
      <c r="O20" s="10"/>
      <c r="P20" s="10"/>
      <c r="Q20" s="10"/>
      <c r="R20" s="10"/>
      <c r="S20" s="10"/>
      <c r="T20" s="10"/>
      <c r="U20" s="10"/>
      <c r="V20" s="10"/>
      <c r="W20" s="10"/>
      <c r="X20" s="10"/>
      <c r="Y20" s="10"/>
      <c r="Z20" s="10"/>
      <c r="AA20" s="10"/>
      <c r="AL20" s="160">
        <v>15</v>
      </c>
      <c r="AM20" s="160" t="s">
        <v>166</v>
      </c>
      <c r="AN20" s="160" t="s">
        <v>63</v>
      </c>
      <c r="AO20" s="160" t="s">
        <v>66</v>
      </c>
      <c r="AP20" s="160" t="s">
        <v>160</v>
      </c>
      <c r="AT20" s="74">
        <v>44929</v>
      </c>
      <c r="AU20" s="72">
        <v>2218.6799999999998</v>
      </c>
      <c r="AW20" s="74">
        <v>44929</v>
      </c>
      <c r="AX20" s="72">
        <v>91761</v>
      </c>
      <c r="AY20" s="72">
        <v>-353593</v>
      </c>
      <c r="AZ20" s="72">
        <v>25</v>
      </c>
      <c r="BA20" s="72">
        <v>8215</v>
      </c>
      <c r="BB20" s="72">
        <v>-1798</v>
      </c>
      <c r="BC20" s="72">
        <v>9945</v>
      </c>
      <c r="BD20" s="72">
        <v>6457</v>
      </c>
      <c r="BE20" s="72">
        <v>274820</v>
      </c>
      <c r="BF20" s="74">
        <f t="shared" si="2"/>
        <v>44929</v>
      </c>
      <c r="BG20" s="72">
        <f t="shared" si="3"/>
        <v>91761</v>
      </c>
      <c r="BH20" s="72" t="str">
        <f t="shared" si="4"/>
        <v/>
      </c>
      <c r="BI20" s="72" t="str">
        <f t="shared" si="5"/>
        <v/>
      </c>
      <c r="BJ20" s="72" t="str">
        <f t="shared" si="6"/>
        <v/>
      </c>
      <c r="BK20" s="72" t="str">
        <f t="shared" si="7"/>
        <v/>
      </c>
      <c r="BL20" s="72" t="str">
        <f t="shared" si="8"/>
        <v/>
      </c>
      <c r="BM20" s="72" t="str">
        <f t="shared" si="9"/>
        <v/>
      </c>
      <c r="BN20" s="72" t="str">
        <f t="shared" si="10"/>
        <v/>
      </c>
      <c r="BR20" s="133">
        <f t="shared" si="11"/>
        <v>44929</v>
      </c>
      <c r="BS20" s="100">
        <f>IF($BG$5=TRUE,IF(AX20="","",SUM(AX20:$AX$68)),"")</f>
        <v>3300791</v>
      </c>
      <c r="BT20" s="100" t="str">
        <f>IF($BH$5=TRUE,IF(AY20="","",SUM($AY20:AY$68)),"")</f>
        <v/>
      </c>
      <c r="BU20" s="100" t="str">
        <f>IF($BI$5=TRUE,IF(AZ20="","",SUM($AZ20:AZ$68)),"")</f>
        <v/>
      </c>
      <c r="BV20" s="100" t="str">
        <f>IF($BJ$5=TRUE,IF(BA20="","",SUM($BA20:BA$68)),"")</f>
        <v/>
      </c>
      <c r="BW20" s="100" t="str">
        <f>IF($BK$5=TRUE,IF(BB20="","",SUM($BB20:BB$68)),"")</f>
        <v/>
      </c>
      <c r="BX20" s="100" t="str">
        <f>IF($BL$5=TRUE,IF(BC20="","",SUM($BC20:BC$68)),"")</f>
        <v/>
      </c>
      <c r="BY20" s="100" t="str">
        <f>IF($BM$5=TRUE,IF(BD20="","",SUM($BD20:BD$68)),"")</f>
        <v/>
      </c>
      <c r="BZ20" s="100" t="str">
        <f>IF($BN$5=TRUE,IF(BE20="","",SUM($BE20:BE$68)),"")</f>
        <v/>
      </c>
    </row>
    <row r="21" spans="2:78" x14ac:dyDescent="0.25">
      <c r="B21" s="180"/>
      <c r="C21" s="107" t="s">
        <v>21</v>
      </c>
      <c r="D21" s="87"/>
      <c r="E21" s="87"/>
      <c r="F21" s="87"/>
      <c r="G21" s="56"/>
      <c r="H21" s="56"/>
      <c r="I21" s="33"/>
      <c r="J21" s="33"/>
      <c r="K21" s="34"/>
      <c r="L21" s="34"/>
      <c r="M21" s="34"/>
      <c r="N21" s="35"/>
      <c r="O21" s="10"/>
      <c r="P21" s="10"/>
      <c r="Q21" s="10"/>
      <c r="R21" s="10"/>
      <c r="S21" s="10"/>
      <c r="T21" s="10"/>
      <c r="U21" s="10"/>
      <c r="V21" s="10"/>
      <c r="W21" s="10"/>
      <c r="X21" s="10"/>
      <c r="Y21" s="10"/>
      <c r="Z21" s="10"/>
      <c r="AA21" s="10"/>
      <c r="AF21" s="6" t="s">
        <v>43</v>
      </c>
      <c r="AG21" s="5">
        <f ca="1">AI21-90</f>
        <v>44860</v>
      </c>
      <c r="AH21" s="6" t="s">
        <v>44</v>
      </c>
      <c r="AI21" s="5">
        <f ca="1">TODAY()-1</f>
        <v>44950</v>
      </c>
      <c r="AL21" s="160">
        <v>16</v>
      </c>
      <c r="AM21" s="160" t="s">
        <v>59</v>
      </c>
      <c r="AN21" s="160" t="s">
        <v>63</v>
      </c>
      <c r="AO21" s="160" t="s">
        <v>67</v>
      </c>
      <c r="AP21" s="160" t="s">
        <v>160</v>
      </c>
      <c r="AT21" s="74">
        <v>44928</v>
      </c>
      <c r="AU21" s="72">
        <v>2225.67</v>
      </c>
      <c r="AW21" s="74">
        <v>44928</v>
      </c>
      <c r="AX21" s="72">
        <v>6601</v>
      </c>
      <c r="AY21" s="72">
        <v>-166669</v>
      </c>
      <c r="AZ21" s="72">
        <v>-766</v>
      </c>
      <c r="BA21" s="72">
        <v>-48618</v>
      </c>
      <c r="BB21" s="72">
        <v>13170</v>
      </c>
      <c r="BC21" s="72">
        <v>798</v>
      </c>
      <c r="BD21" s="72">
        <v>-23713</v>
      </c>
      <c r="BE21" s="72">
        <v>222970</v>
      </c>
      <c r="BF21" s="74">
        <f t="shared" si="2"/>
        <v>44928</v>
      </c>
      <c r="BG21" s="72">
        <f t="shared" si="3"/>
        <v>6601</v>
      </c>
      <c r="BH21" s="72" t="str">
        <f t="shared" si="4"/>
        <v/>
      </c>
      <c r="BI21" s="72" t="str">
        <f t="shared" si="5"/>
        <v/>
      </c>
      <c r="BJ21" s="72" t="str">
        <f t="shared" si="6"/>
        <v/>
      </c>
      <c r="BK21" s="72" t="str">
        <f t="shared" si="7"/>
        <v/>
      </c>
      <c r="BL21" s="72" t="str">
        <f t="shared" si="8"/>
        <v/>
      </c>
      <c r="BM21" s="72" t="str">
        <f t="shared" si="9"/>
        <v/>
      </c>
      <c r="BN21" s="72" t="str">
        <f t="shared" si="10"/>
        <v/>
      </c>
      <c r="BR21" s="133">
        <f t="shared" si="11"/>
        <v>44928</v>
      </c>
      <c r="BS21" s="100">
        <f>IF($BG$5=TRUE,IF(AX21="","",SUM(AX21:$AX$68)),"")</f>
        <v>3209030</v>
      </c>
      <c r="BT21" s="100" t="str">
        <f>IF($BH$5=TRUE,IF(AY21="","",SUM($AY21:AY$68)),"")</f>
        <v/>
      </c>
      <c r="BU21" s="100" t="str">
        <f>IF($BI$5=TRUE,IF(AZ21="","",SUM($AZ21:AZ$68)),"")</f>
        <v/>
      </c>
      <c r="BV21" s="100" t="str">
        <f>IF($BJ$5=TRUE,IF(BA21="","",SUM($BA21:BA$68)),"")</f>
        <v/>
      </c>
      <c r="BW21" s="100" t="str">
        <f>IF($BK$5=TRUE,IF(BB21="","",SUM($BB21:BB$68)),"")</f>
        <v/>
      </c>
      <c r="BX21" s="100" t="str">
        <f>IF($BL$5=TRUE,IF(BC21="","",SUM($BC21:BC$68)),"")</f>
        <v/>
      </c>
      <c r="BY21" s="100" t="str">
        <f>IF($BM$5=TRUE,IF(BD21="","",SUM($BD21:BD$68)),"")</f>
        <v/>
      </c>
      <c r="BZ21" s="100" t="str">
        <f>IF($BN$5=TRUE,IF(BE21="","",SUM($BE21:BE$68)),"")</f>
        <v/>
      </c>
    </row>
    <row r="22" spans="2:78" x14ac:dyDescent="0.25">
      <c r="B22" s="180"/>
      <c r="C22" s="107" t="s">
        <v>23</v>
      </c>
      <c r="D22" s="87"/>
      <c r="E22" s="87"/>
      <c r="F22" s="87"/>
      <c r="G22" s="56"/>
      <c r="H22" s="56"/>
      <c r="I22" s="33"/>
      <c r="J22" s="33"/>
      <c r="K22" s="34"/>
      <c r="L22" s="34"/>
      <c r="M22" s="34"/>
      <c r="N22" s="35"/>
      <c r="O22" s="10"/>
      <c r="P22" s="10"/>
      <c r="Q22" s="10"/>
      <c r="R22" s="10"/>
      <c r="S22" s="10"/>
      <c r="T22" s="10"/>
      <c r="U22" s="10"/>
      <c r="V22" s="10"/>
      <c r="W22" s="10"/>
      <c r="X22" s="10"/>
      <c r="Y22" s="10"/>
      <c r="Z22" s="10"/>
      <c r="AA22" s="10"/>
      <c r="AL22" s="160">
        <v>17</v>
      </c>
      <c r="AM22" s="160" t="s">
        <v>60</v>
      </c>
      <c r="AN22" s="160" t="s">
        <v>63</v>
      </c>
      <c r="AO22" s="160" t="s">
        <v>25</v>
      </c>
      <c r="AP22" s="160" t="s">
        <v>160</v>
      </c>
      <c r="AT22" s="74">
        <v>44924</v>
      </c>
      <c r="AU22" s="72">
        <v>2236.4</v>
      </c>
      <c r="AW22" s="74">
        <v>44924</v>
      </c>
      <c r="AX22" s="72">
        <v>-140280</v>
      </c>
      <c r="AY22" s="72">
        <v>-566108</v>
      </c>
      <c r="AZ22" s="72">
        <v>5999</v>
      </c>
      <c r="BA22" s="72">
        <v>-4431</v>
      </c>
      <c r="BB22" s="72">
        <v>14269</v>
      </c>
      <c r="BC22" s="72">
        <v>7756</v>
      </c>
      <c r="BD22" s="72">
        <v>-1006</v>
      </c>
      <c r="BE22" s="72">
        <v>670970</v>
      </c>
      <c r="BF22" s="74">
        <f t="shared" si="2"/>
        <v>44924</v>
      </c>
      <c r="BG22" s="72">
        <f t="shared" si="3"/>
        <v>-140280</v>
      </c>
      <c r="BH22" s="72" t="str">
        <f t="shared" si="4"/>
        <v/>
      </c>
      <c r="BI22" s="72" t="str">
        <f t="shared" si="5"/>
        <v/>
      </c>
      <c r="BJ22" s="72" t="str">
        <f t="shared" si="6"/>
        <v/>
      </c>
      <c r="BK22" s="72" t="str">
        <f t="shared" si="7"/>
        <v/>
      </c>
      <c r="BL22" s="72" t="str">
        <f t="shared" si="8"/>
        <v/>
      </c>
      <c r="BM22" s="72" t="str">
        <f t="shared" si="9"/>
        <v/>
      </c>
      <c r="BN22" s="72" t="str">
        <f t="shared" si="10"/>
        <v/>
      </c>
      <c r="BR22" s="133">
        <f t="shared" si="11"/>
        <v>44924</v>
      </c>
      <c r="BS22" s="100">
        <f>IF($BG$5=TRUE,IF(AX22="","",SUM(AX22:$AX$68)),"")</f>
        <v>3202429</v>
      </c>
      <c r="BT22" s="100" t="str">
        <f>IF($BH$5=TRUE,IF(AY22="","",SUM($AY22:AY$68)),"")</f>
        <v/>
      </c>
      <c r="BU22" s="100" t="str">
        <f>IF($BI$5=TRUE,IF(AZ22="","",SUM($AZ22:AZ$68)),"")</f>
        <v/>
      </c>
      <c r="BV22" s="100" t="str">
        <f>IF($BJ$5=TRUE,IF(BA22="","",SUM($BA22:BA$68)),"")</f>
        <v/>
      </c>
      <c r="BW22" s="100" t="str">
        <f>IF($BK$5=TRUE,IF(BB22="","",SUM($BB22:BB$68)),"")</f>
        <v/>
      </c>
      <c r="BX22" s="100" t="str">
        <f>IF($BL$5=TRUE,IF(BC22="","",SUM($BC22:BC$68)),"")</f>
        <v/>
      </c>
      <c r="BY22" s="100" t="str">
        <f>IF($BM$5=TRUE,IF(BD22="","",SUM($BD22:BD$68)),"")</f>
        <v/>
      </c>
      <c r="BZ22" s="100" t="str">
        <f>IF($BN$5=TRUE,IF(BE22="","",SUM($BE22:BE$68)),"")</f>
        <v/>
      </c>
    </row>
    <row r="23" spans="2:78" x14ac:dyDescent="0.25">
      <c r="B23" s="180"/>
      <c r="C23" s="107" t="s">
        <v>32</v>
      </c>
      <c r="D23" s="87"/>
      <c r="E23" s="87"/>
      <c r="F23" s="87"/>
      <c r="G23" s="56"/>
      <c r="H23" s="56"/>
      <c r="I23" s="33"/>
      <c r="J23" s="33"/>
      <c r="K23" s="34"/>
      <c r="L23" s="34"/>
      <c r="M23" s="34"/>
      <c r="N23" s="35"/>
      <c r="O23" s="10"/>
      <c r="P23" s="10"/>
      <c r="Q23" s="10"/>
      <c r="R23" s="10"/>
      <c r="S23" s="10"/>
      <c r="T23" s="10"/>
      <c r="U23" s="10"/>
      <c r="V23" s="10"/>
      <c r="W23" s="10"/>
      <c r="X23" s="10"/>
      <c r="Y23" s="10"/>
      <c r="Z23" s="10"/>
      <c r="AA23" s="10"/>
      <c r="AT23" s="74">
        <v>44923</v>
      </c>
      <c r="AU23" s="72">
        <v>2280.4499999999998</v>
      </c>
      <c r="AW23" s="74">
        <v>44923</v>
      </c>
      <c r="AX23" s="72">
        <v>-303408</v>
      </c>
      <c r="AY23" s="72">
        <v>-768702</v>
      </c>
      <c r="AZ23" s="72">
        <v>-9179</v>
      </c>
      <c r="BA23" s="72">
        <v>-13731</v>
      </c>
      <c r="BB23" s="72">
        <v>56865</v>
      </c>
      <c r="BC23" s="72">
        <v>8014</v>
      </c>
      <c r="BD23" s="72">
        <v>-624</v>
      </c>
      <c r="BE23" s="72">
        <v>1077391</v>
      </c>
      <c r="BF23" s="74">
        <f t="shared" si="2"/>
        <v>44923</v>
      </c>
      <c r="BG23" s="72">
        <f t="shared" si="3"/>
        <v>-303408</v>
      </c>
      <c r="BH23" s="72" t="str">
        <f t="shared" si="4"/>
        <v/>
      </c>
      <c r="BI23" s="72" t="str">
        <f t="shared" si="5"/>
        <v/>
      </c>
      <c r="BJ23" s="72" t="str">
        <f t="shared" si="6"/>
        <v/>
      </c>
      <c r="BK23" s="72" t="str">
        <f t="shared" si="7"/>
        <v/>
      </c>
      <c r="BL23" s="72" t="str">
        <f t="shared" si="8"/>
        <v/>
      </c>
      <c r="BM23" s="72" t="str">
        <f t="shared" si="9"/>
        <v/>
      </c>
      <c r="BN23" s="72" t="str">
        <f t="shared" si="10"/>
        <v/>
      </c>
      <c r="BR23" s="133">
        <f t="shared" si="11"/>
        <v>44923</v>
      </c>
      <c r="BS23" s="100">
        <f>IF($BG$5=TRUE,IF(AX23="","",SUM(AX23:$AX$68)),"")</f>
        <v>3342709</v>
      </c>
      <c r="BT23" s="100" t="str">
        <f>IF($BH$5=TRUE,IF(AY23="","",SUM($AY23:AY$68)),"")</f>
        <v/>
      </c>
      <c r="BU23" s="100" t="str">
        <f>IF($BI$5=TRUE,IF(AZ23="","",SUM($AZ23:AZ$68)),"")</f>
        <v/>
      </c>
      <c r="BV23" s="100" t="str">
        <f>IF($BJ$5=TRUE,IF(BA23="","",SUM($BA23:BA$68)),"")</f>
        <v/>
      </c>
      <c r="BW23" s="100" t="str">
        <f>IF($BK$5=TRUE,IF(BB23="","",SUM($BB23:BB$68)),"")</f>
        <v/>
      </c>
      <c r="BX23" s="100" t="str">
        <f>IF($BL$5=TRUE,IF(BC23="","",SUM($BC23:BC$68)),"")</f>
        <v/>
      </c>
      <c r="BY23" s="100" t="str">
        <f>IF($BM$5=TRUE,IF(BD23="","",SUM($BD23:BD$68)),"")</f>
        <v/>
      </c>
      <c r="BZ23" s="100" t="str">
        <f>IF($BN$5=TRUE,IF(BE23="","",SUM($BE23:BE$68)),"")</f>
        <v/>
      </c>
    </row>
    <row r="24" spans="2:78" x14ac:dyDescent="0.25">
      <c r="B24" s="180"/>
      <c r="C24" s="107" t="s">
        <v>33</v>
      </c>
      <c r="D24" s="87"/>
      <c r="E24" s="87"/>
      <c r="F24" s="87"/>
      <c r="G24" s="56"/>
      <c r="H24" s="56"/>
      <c r="I24" s="33"/>
      <c r="J24" s="33"/>
      <c r="K24" s="34"/>
      <c r="L24" s="34"/>
      <c r="M24" s="34"/>
      <c r="N24" s="35"/>
      <c r="O24" s="10"/>
      <c r="P24" s="10"/>
      <c r="Q24" s="10"/>
      <c r="R24" s="10"/>
      <c r="S24" s="10"/>
      <c r="T24" s="10"/>
      <c r="U24" s="10"/>
      <c r="V24" s="10"/>
      <c r="W24" s="10"/>
      <c r="X24" s="10"/>
      <c r="Y24" s="10"/>
      <c r="Z24" s="10"/>
      <c r="AA24" s="10"/>
      <c r="AL24" s="160">
        <v>1</v>
      </c>
      <c r="AM24" s="167"/>
      <c r="AN24" s="168"/>
      <c r="AO24" s="169"/>
      <c r="AT24" s="74">
        <v>44922</v>
      </c>
      <c r="AU24" s="72">
        <v>2332.79</v>
      </c>
      <c r="AW24" s="74">
        <v>44922</v>
      </c>
      <c r="AX24" s="72">
        <v>48276</v>
      </c>
      <c r="AY24" s="72">
        <v>942397</v>
      </c>
      <c r="AZ24" s="72">
        <v>-964</v>
      </c>
      <c r="BA24" s="72">
        <v>42147</v>
      </c>
      <c r="BB24" s="72">
        <v>60738</v>
      </c>
      <c r="BC24" s="72">
        <v>-5974</v>
      </c>
      <c r="BD24" s="72">
        <v>-66863</v>
      </c>
      <c r="BE24" s="72">
        <v>-1133118</v>
      </c>
      <c r="BF24" s="74">
        <f t="shared" si="2"/>
        <v>44922</v>
      </c>
      <c r="BG24" s="72">
        <f t="shared" si="3"/>
        <v>48276</v>
      </c>
      <c r="BH24" s="72" t="str">
        <f t="shared" si="4"/>
        <v/>
      </c>
      <c r="BI24" s="72" t="str">
        <f t="shared" si="5"/>
        <v/>
      </c>
      <c r="BJ24" s="72" t="str">
        <f t="shared" si="6"/>
        <v/>
      </c>
      <c r="BK24" s="72" t="str">
        <f t="shared" si="7"/>
        <v/>
      </c>
      <c r="BL24" s="72" t="str">
        <f t="shared" si="8"/>
        <v/>
      </c>
      <c r="BM24" s="72" t="str">
        <f t="shared" si="9"/>
        <v/>
      </c>
      <c r="BN24" s="72" t="str">
        <f t="shared" si="10"/>
        <v/>
      </c>
      <c r="BR24" s="133">
        <f t="shared" si="11"/>
        <v>44922</v>
      </c>
      <c r="BS24" s="100">
        <f>IF($BG$5=TRUE,IF(AX24="","",SUM(AX24:$AX$68)),"")</f>
        <v>3646117</v>
      </c>
      <c r="BT24" s="100" t="str">
        <f>IF($BH$5=TRUE,IF(AY24="","",SUM($AY24:AY$68)),"")</f>
        <v/>
      </c>
      <c r="BU24" s="100" t="str">
        <f>IF($BI$5=TRUE,IF(AZ24="","",SUM($AZ24:AZ$68)),"")</f>
        <v/>
      </c>
      <c r="BV24" s="100" t="str">
        <f>IF($BJ$5=TRUE,IF(BA24="","",SUM($BA24:BA$68)),"")</f>
        <v/>
      </c>
      <c r="BW24" s="100" t="str">
        <f>IF($BK$5=TRUE,IF(BB24="","",SUM($BB24:BB$68)),"")</f>
        <v/>
      </c>
      <c r="BX24" s="100" t="str">
        <f>IF($BL$5=TRUE,IF(BC24="","",SUM($BC24:BC$68)),"")</f>
        <v/>
      </c>
      <c r="BY24" s="100" t="str">
        <f>IF($BM$5=TRUE,IF(BD24="","",SUM($BD24:BD$68)),"")</f>
        <v/>
      </c>
      <c r="BZ24" s="100" t="str">
        <f>IF($BN$5=TRUE,IF(BE24="","",SUM($BE24:BE$68)),"")</f>
        <v/>
      </c>
    </row>
    <row r="25" spans="2:78" x14ac:dyDescent="0.25">
      <c r="B25" s="180"/>
      <c r="C25" s="107" t="s">
        <v>26</v>
      </c>
      <c r="D25" s="87"/>
      <c r="E25" s="87"/>
      <c r="F25" s="87"/>
      <c r="G25" s="56"/>
      <c r="H25" s="56"/>
      <c r="I25" s="33"/>
      <c r="J25" s="33"/>
      <c r="K25" s="34"/>
      <c r="L25" s="34"/>
      <c r="M25" s="34"/>
      <c r="N25" s="35"/>
      <c r="O25" s="10"/>
      <c r="P25" s="10"/>
      <c r="Q25" s="10"/>
      <c r="R25" s="10"/>
      <c r="S25" s="10"/>
      <c r="T25" s="10"/>
      <c r="U25" s="10"/>
      <c r="V25" s="10"/>
      <c r="W25" s="10"/>
      <c r="X25" s="10"/>
      <c r="Y25" s="10"/>
      <c r="Z25" s="10"/>
      <c r="AA25" s="10"/>
      <c r="AL25" s="160" t="s">
        <v>45</v>
      </c>
      <c r="AM25" s="160" t="s">
        <v>34</v>
      </c>
      <c r="AN25" s="160" t="s">
        <v>0</v>
      </c>
      <c r="AO25" s="166" t="s">
        <v>105</v>
      </c>
      <c r="AT25" s="74">
        <v>44921</v>
      </c>
      <c r="AU25" s="72">
        <v>2317.14</v>
      </c>
      <c r="AW25" s="74">
        <v>44921</v>
      </c>
      <c r="AX25" s="72">
        <v>-40576</v>
      </c>
      <c r="AY25" s="72">
        <v>473269</v>
      </c>
      <c r="AZ25" s="72">
        <v>4980</v>
      </c>
      <c r="BA25" s="72">
        <v>90187</v>
      </c>
      <c r="BB25" s="72">
        <v>26484</v>
      </c>
      <c r="BC25" s="72">
        <v>2692</v>
      </c>
      <c r="BD25" s="72">
        <v>-17765</v>
      </c>
      <c r="BE25" s="72">
        <v>-614136</v>
      </c>
      <c r="BF25" s="74">
        <f t="shared" si="2"/>
        <v>44921</v>
      </c>
      <c r="BG25" s="72">
        <f t="shared" si="3"/>
        <v>-40576</v>
      </c>
      <c r="BH25" s="72" t="str">
        <f t="shared" si="4"/>
        <v/>
      </c>
      <c r="BI25" s="72" t="str">
        <f t="shared" si="5"/>
        <v/>
      </c>
      <c r="BJ25" s="72" t="str">
        <f t="shared" si="6"/>
        <v/>
      </c>
      <c r="BK25" s="72" t="str">
        <f t="shared" si="7"/>
        <v/>
      </c>
      <c r="BL25" s="72" t="str">
        <f t="shared" si="8"/>
        <v/>
      </c>
      <c r="BM25" s="72" t="str">
        <f t="shared" si="9"/>
        <v/>
      </c>
      <c r="BN25" s="72" t="str">
        <f t="shared" si="10"/>
        <v/>
      </c>
      <c r="BR25" s="133">
        <f t="shared" si="11"/>
        <v>44921</v>
      </c>
      <c r="BS25" s="100">
        <f>IF($BG$5=TRUE,IF(AX25="","",SUM(AX25:$AX$68)),"")</f>
        <v>3597841</v>
      </c>
      <c r="BT25" s="100" t="str">
        <f>IF($BH$5=TRUE,IF(AY25="","",SUM($AY25:AY$68)),"")</f>
        <v/>
      </c>
      <c r="BU25" s="100" t="str">
        <f>IF($BI$5=TRUE,IF(AZ25="","",SUM($AZ25:AZ$68)),"")</f>
        <v/>
      </c>
      <c r="BV25" s="100" t="str">
        <f>IF($BJ$5=TRUE,IF(BA25="","",SUM($BA25:BA$68)),"")</f>
        <v/>
      </c>
      <c r="BW25" s="100" t="str">
        <f>IF($BK$5=TRUE,IF(BB25="","",SUM($BB25:BB$68)),"")</f>
        <v/>
      </c>
      <c r="BX25" s="100" t="str">
        <f>IF($BL$5=TRUE,IF(BC25="","",SUM($BC25:BC$68)),"")</f>
        <v/>
      </c>
      <c r="BY25" s="100" t="str">
        <f>IF($BM$5=TRUE,IF(BD25="","",SUM($BD25:BD$68)),"")</f>
        <v/>
      </c>
      <c r="BZ25" s="100" t="str">
        <f>IF($BN$5=TRUE,IF(BE25="","",SUM($BE25:BE$68)),"")</f>
        <v/>
      </c>
    </row>
    <row r="26" spans="2:78" x14ac:dyDescent="0.25">
      <c r="B26" s="180"/>
      <c r="C26" s="107" t="s">
        <v>27</v>
      </c>
      <c r="D26" s="87"/>
      <c r="E26" s="87"/>
      <c r="F26" s="87"/>
      <c r="G26" s="56"/>
      <c r="H26" s="56"/>
      <c r="I26" s="33"/>
      <c r="J26" s="33"/>
      <c r="K26" s="34"/>
      <c r="L26" s="34"/>
      <c r="M26" s="34"/>
      <c r="N26" s="35"/>
      <c r="AL26" s="160" t="s">
        <v>46</v>
      </c>
      <c r="AM26" s="160" t="s">
        <v>61</v>
      </c>
      <c r="AN26" s="160" t="s">
        <v>1</v>
      </c>
      <c r="AO26" s="166" t="s">
        <v>104</v>
      </c>
      <c r="AT26" s="74">
        <v>44918</v>
      </c>
      <c r="AU26" s="72">
        <v>2313.69</v>
      </c>
      <c r="AW26" s="74">
        <v>44918</v>
      </c>
      <c r="AX26" s="72">
        <v>-69635</v>
      </c>
      <c r="AY26" s="72">
        <v>277286</v>
      </c>
      <c r="AZ26" s="72">
        <v>2828</v>
      </c>
      <c r="BA26" s="72">
        <v>-1098</v>
      </c>
      <c r="BB26" s="72">
        <v>2888</v>
      </c>
      <c r="BC26" s="72">
        <v>-2710</v>
      </c>
      <c r="BD26" s="72">
        <v>20398</v>
      </c>
      <c r="BE26" s="72">
        <v>-185001</v>
      </c>
      <c r="BF26" s="74">
        <f t="shared" si="2"/>
        <v>44918</v>
      </c>
      <c r="BG26" s="72">
        <f t="shared" si="3"/>
        <v>-69635</v>
      </c>
      <c r="BH26" s="72" t="str">
        <f t="shared" si="4"/>
        <v/>
      </c>
      <c r="BI26" s="72" t="str">
        <f t="shared" si="5"/>
        <v/>
      </c>
      <c r="BJ26" s="72" t="str">
        <f t="shared" si="6"/>
        <v/>
      </c>
      <c r="BK26" s="72" t="str">
        <f t="shared" si="7"/>
        <v/>
      </c>
      <c r="BL26" s="72" t="str">
        <f t="shared" si="8"/>
        <v/>
      </c>
      <c r="BM26" s="72" t="str">
        <f t="shared" si="9"/>
        <v/>
      </c>
      <c r="BN26" s="72" t="str">
        <f t="shared" si="10"/>
        <v/>
      </c>
      <c r="BR26" s="133">
        <f t="shared" si="11"/>
        <v>44918</v>
      </c>
      <c r="BS26" s="100">
        <f>IF($BG$5=TRUE,IF(AX26="","",SUM(AX26:$AX$68)),"")</f>
        <v>3638417</v>
      </c>
      <c r="BT26" s="100" t="str">
        <f>IF($BH$5=TRUE,IF(AY26="","",SUM($AY26:AY$68)),"")</f>
        <v/>
      </c>
      <c r="BU26" s="100" t="str">
        <f>IF($BI$5=TRUE,IF(AZ26="","",SUM($AZ26:AZ$68)),"")</f>
        <v/>
      </c>
      <c r="BV26" s="100" t="str">
        <f>IF($BJ$5=TRUE,IF(BA26="","",SUM($BA26:BA$68)),"")</f>
        <v/>
      </c>
      <c r="BW26" s="100" t="str">
        <f>IF($BK$5=TRUE,IF(BB26="","",SUM($BB26:BB$68)),"")</f>
        <v/>
      </c>
      <c r="BX26" s="100" t="str">
        <f>IF($BL$5=TRUE,IF(BC26="","",SUM($BC26:BC$68)),"")</f>
        <v/>
      </c>
      <c r="BY26" s="100" t="str">
        <f>IF($BM$5=TRUE,IF(BD26="","",SUM($BD26:BD$68)),"")</f>
        <v/>
      </c>
      <c r="BZ26" s="100" t="str">
        <f>IF($BN$5=TRUE,IF(BE26="","",SUM($BE26:BE$68)),"")</f>
        <v/>
      </c>
    </row>
    <row r="27" spans="2:78" ht="14.25" thickBot="1" x14ac:dyDescent="0.3">
      <c r="B27" s="181"/>
      <c r="C27" s="108" t="s">
        <v>28</v>
      </c>
      <c r="D27" s="88"/>
      <c r="E27" s="88"/>
      <c r="F27" s="88"/>
      <c r="G27" s="57"/>
      <c r="H27" s="57"/>
      <c r="I27" s="36"/>
      <c r="J27" s="36"/>
      <c r="K27" s="37"/>
      <c r="L27" s="37"/>
      <c r="M27" s="37"/>
      <c r="N27" s="38"/>
      <c r="AL27" s="160" t="s">
        <v>47</v>
      </c>
      <c r="AM27" s="160" t="s">
        <v>61</v>
      </c>
      <c r="AN27" s="160" t="s">
        <v>2</v>
      </c>
      <c r="AO27" s="166" t="s">
        <v>104</v>
      </c>
      <c r="AT27" s="74">
        <v>44917</v>
      </c>
      <c r="AU27" s="72">
        <v>2356.73</v>
      </c>
      <c r="AW27" s="74">
        <v>44917</v>
      </c>
      <c r="AX27" s="72">
        <v>-5702</v>
      </c>
      <c r="AY27" s="72">
        <v>1002998</v>
      </c>
      <c r="AZ27" s="72">
        <v>965</v>
      </c>
      <c r="BA27" s="72">
        <v>-12216</v>
      </c>
      <c r="BB27" s="72">
        <v>79589</v>
      </c>
      <c r="BC27" s="72">
        <v>-504005</v>
      </c>
      <c r="BD27" s="72">
        <v>7019</v>
      </c>
      <c r="BE27" s="72">
        <v>-565979</v>
      </c>
      <c r="BF27" s="74">
        <f t="shared" si="2"/>
        <v>44917</v>
      </c>
      <c r="BG27" s="72">
        <f t="shared" si="3"/>
        <v>-5702</v>
      </c>
      <c r="BH27" s="72" t="str">
        <f t="shared" si="4"/>
        <v/>
      </c>
      <c r="BI27" s="72" t="str">
        <f t="shared" si="5"/>
        <v/>
      </c>
      <c r="BJ27" s="72" t="str">
        <f t="shared" si="6"/>
        <v/>
      </c>
      <c r="BK27" s="72" t="str">
        <f t="shared" si="7"/>
        <v/>
      </c>
      <c r="BL27" s="72" t="str">
        <f t="shared" si="8"/>
        <v/>
      </c>
      <c r="BM27" s="72" t="str">
        <f t="shared" si="9"/>
        <v/>
      </c>
      <c r="BN27" s="72" t="str">
        <f t="shared" si="10"/>
        <v/>
      </c>
      <c r="BR27" s="133">
        <f t="shared" si="11"/>
        <v>44917</v>
      </c>
      <c r="BS27" s="100">
        <f>IF($BG$5=TRUE,IF(AX27="","",SUM(AX27:$AX$68)),"")</f>
        <v>3708052</v>
      </c>
      <c r="BT27" s="100" t="str">
        <f>IF($BH$5=TRUE,IF(AY27="","",SUM($AY27:AY$68)),"")</f>
        <v/>
      </c>
      <c r="BU27" s="100" t="str">
        <f>IF($BI$5=TRUE,IF(AZ27="","",SUM($AZ27:AZ$68)),"")</f>
        <v/>
      </c>
      <c r="BV27" s="100" t="str">
        <f>IF($BJ$5=TRUE,IF(BA27="","",SUM($BA27:BA$68)),"")</f>
        <v/>
      </c>
      <c r="BW27" s="100" t="str">
        <f>IF($BK$5=TRUE,IF(BB27="","",SUM($BB27:BB$68)),"")</f>
        <v/>
      </c>
      <c r="BX27" s="100" t="str">
        <f>IF($BL$5=TRUE,IF(BC27="","",SUM($BC27:BC$68)),"")</f>
        <v/>
      </c>
      <c r="BY27" s="100" t="str">
        <f>IF($BM$5=TRUE,IF(BD27="","",SUM($BD27:BD$68)),"")</f>
        <v/>
      </c>
      <c r="BZ27" s="100" t="str">
        <f>IF($BN$5=TRUE,IF(BE27="","",SUM($BE27:BE$68)),"")</f>
        <v/>
      </c>
    </row>
    <row r="28" spans="2:78" ht="18" customHeight="1" thickBot="1" x14ac:dyDescent="0.3">
      <c r="B28" s="179" t="s">
        <v>100</v>
      </c>
      <c r="C28" s="109" t="s">
        <v>107</v>
      </c>
      <c r="D28" s="89"/>
      <c r="E28" s="89"/>
      <c r="F28" s="89"/>
      <c r="G28" s="41" t="s">
        <v>110</v>
      </c>
      <c r="H28" s="41" t="s">
        <v>112</v>
      </c>
      <c r="I28" s="40" t="s">
        <v>111</v>
      </c>
      <c r="J28" s="40" t="s">
        <v>113</v>
      </c>
      <c r="K28" s="41" t="s">
        <v>115</v>
      </c>
      <c r="L28" s="41" t="s">
        <v>116</v>
      </c>
      <c r="M28" s="41" t="s">
        <v>114</v>
      </c>
      <c r="N28" s="42" t="s">
        <v>117</v>
      </c>
      <c r="O28" s="1"/>
      <c r="P28" s="1"/>
      <c r="Q28" s="1"/>
      <c r="R28" s="1"/>
      <c r="S28" s="1"/>
      <c r="T28" s="1"/>
      <c r="U28" s="1"/>
      <c r="V28" s="1"/>
      <c r="W28" s="1"/>
      <c r="X28" s="1"/>
      <c r="Y28" s="1"/>
      <c r="Z28" s="1"/>
      <c r="AA28" s="1"/>
      <c r="AL28" s="160" t="s">
        <v>91</v>
      </c>
      <c r="AM28" s="160" t="s">
        <v>95</v>
      </c>
      <c r="AN28" s="160" t="s">
        <v>96</v>
      </c>
      <c r="AO28" s="166" t="s">
        <v>104</v>
      </c>
      <c r="AT28" s="74">
        <v>44916</v>
      </c>
      <c r="AU28" s="72">
        <v>2328.9499999999998</v>
      </c>
      <c r="AW28" s="74">
        <v>44916</v>
      </c>
      <c r="AX28" s="72">
        <v>-103302</v>
      </c>
      <c r="AY28" s="72">
        <v>150210</v>
      </c>
      <c r="AZ28" s="72">
        <v>3380</v>
      </c>
      <c r="BA28" s="72">
        <v>-2085</v>
      </c>
      <c r="BB28" s="72">
        <v>5930</v>
      </c>
      <c r="BC28" s="72">
        <v>-50</v>
      </c>
      <c r="BD28" s="72">
        <v>-4930</v>
      </c>
      <c r="BE28" s="72">
        <v>-89186</v>
      </c>
      <c r="BF28" s="74">
        <f t="shared" si="2"/>
        <v>44916</v>
      </c>
      <c r="BG28" s="72">
        <f t="shared" si="3"/>
        <v>-103302</v>
      </c>
      <c r="BH28" s="72" t="str">
        <f t="shared" si="4"/>
        <v/>
      </c>
      <c r="BI28" s="72" t="str">
        <f t="shared" si="5"/>
        <v/>
      </c>
      <c r="BJ28" s="72" t="str">
        <f t="shared" si="6"/>
        <v/>
      </c>
      <c r="BK28" s="72" t="str">
        <f t="shared" si="7"/>
        <v/>
      </c>
      <c r="BL28" s="72" t="str">
        <f t="shared" si="8"/>
        <v/>
      </c>
      <c r="BM28" s="72" t="str">
        <f t="shared" si="9"/>
        <v/>
      </c>
      <c r="BN28" s="72" t="str">
        <f t="shared" si="10"/>
        <v/>
      </c>
      <c r="BR28" s="133">
        <f t="shared" si="11"/>
        <v>44916</v>
      </c>
      <c r="BS28" s="100">
        <f>IF($BG$5=TRUE,IF(AX28="","",SUM(AX28:$AX$68)),"")</f>
        <v>3713754</v>
      </c>
      <c r="BT28" s="100" t="str">
        <f>IF($BH$5=TRUE,IF(AY28="","",SUM($AY28:AY$68)),"")</f>
        <v/>
      </c>
      <c r="BU28" s="100" t="str">
        <f>IF($BI$5=TRUE,IF(AZ28="","",SUM($AZ28:AZ$68)),"")</f>
        <v/>
      </c>
      <c r="BV28" s="100" t="str">
        <f>IF($BJ$5=TRUE,IF(BA28="","",SUM($BA28:BA$68)),"")</f>
        <v/>
      </c>
      <c r="BW28" s="100" t="str">
        <f>IF($BK$5=TRUE,IF(BB28="","",SUM($BB28:BB$68)),"")</f>
        <v/>
      </c>
      <c r="BX28" s="100" t="str">
        <f>IF($BL$5=TRUE,IF(BC28="","",SUM($BC28:BC$68)),"")</f>
        <v/>
      </c>
      <c r="BY28" s="100" t="str">
        <f>IF($BM$5=TRUE,IF(BD28="","",SUM($BD28:BD$68)),"")</f>
        <v/>
      </c>
      <c r="BZ28" s="100" t="str">
        <f>IF($BN$5=TRUE,IF(BE28="","",SUM($BE28:BE$68)),"")</f>
        <v/>
      </c>
    </row>
    <row r="29" spans="2:78" ht="18" customHeight="1" x14ac:dyDescent="0.25">
      <c r="B29" s="180"/>
      <c r="C29" s="118"/>
      <c r="D29" s="119"/>
      <c r="E29" s="120"/>
      <c r="F29" s="120"/>
      <c r="G29" s="124"/>
      <c r="H29" s="124"/>
      <c r="I29" s="125"/>
      <c r="J29" s="126"/>
      <c r="K29" s="127"/>
      <c r="L29" s="127"/>
      <c r="M29" s="127"/>
      <c r="N29" s="124"/>
      <c r="O29" s="1"/>
      <c r="P29" s="1"/>
      <c r="Q29" s="1"/>
      <c r="R29" s="1"/>
      <c r="S29" s="1"/>
      <c r="T29" s="1"/>
      <c r="U29" s="1"/>
      <c r="V29" s="1"/>
      <c r="W29" s="1"/>
      <c r="X29" s="1"/>
      <c r="Y29" s="1"/>
      <c r="Z29" s="1"/>
      <c r="AA29" s="1"/>
      <c r="AL29" s="160" t="s">
        <v>93</v>
      </c>
      <c r="AM29" s="160" t="s">
        <v>95</v>
      </c>
      <c r="AN29" s="160" t="s">
        <v>98</v>
      </c>
      <c r="AO29" s="166" t="s">
        <v>104</v>
      </c>
      <c r="AT29" s="74">
        <v>44915</v>
      </c>
      <c r="AU29" s="72">
        <v>2333.29</v>
      </c>
      <c r="AW29" s="74">
        <v>44915</v>
      </c>
      <c r="AX29" s="72">
        <v>-104468</v>
      </c>
      <c r="AY29" s="72">
        <v>33909</v>
      </c>
      <c r="AZ29" s="72">
        <v>-516</v>
      </c>
      <c r="BA29" s="72">
        <v>-11594</v>
      </c>
      <c r="BB29" s="72">
        <v>-10257</v>
      </c>
      <c r="BC29" s="72">
        <v>-929</v>
      </c>
      <c r="BD29" s="72">
        <v>-31076</v>
      </c>
      <c r="BE29" s="72">
        <v>103480</v>
      </c>
      <c r="BF29" s="74"/>
      <c r="BG29" s="72">
        <f>IF(BG$5=TRUE,AX29,"")</f>
        <v>-104468</v>
      </c>
      <c r="BH29" s="72" t="str">
        <f>IF(BH$5=TRUE,AY29,"")</f>
        <v/>
      </c>
      <c r="BI29" s="72" t="str">
        <f t="shared" si="5"/>
        <v/>
      </c>
      <c r="BJ29" s="72" t="str">
        <f t="shared" si="6"/>
        <v/>
      </c>
      <c r="BK29" s="72" t="str">
        <f t="shared" si="7"/>
        <v/>
      </c>
      <c r="BL29" s="72" t="str">
        <f t="shared" si="8"/>
        <v/>
      </c>
      <c r="BM29" s="72" t="str">
        <f t="shared" si="9"/>
        <v/>
      </c>
      <c r="BN29" s="72" t="str">
        <f t="shared" si="10"/>
        <v/>
      </c>
      <c r="BR29" s="133"/>
    </row>
    <row r="30" spans="2:78" ht="18" customHeight="1" x14ac:dyDescent="0.25">
      <c r="B30" s="180"/>
      <c r="C30" s="121"/>
      <c r="D30" s="122"/>
      <c r="E30" s="123"/>
      <c r="F30" s="123"/>
      <c r="G30" s="128"/>
      <c r="H30" s="128"/>
      <c r="I30" s="129"/>
      <c r="J30" s="130"/>
      <c r="K30" s="131"/>
      <c r="L30" s="131"/>
      <c r="M30" s="131"/>
      <c r="N30" s="128"/>
      <c r="O30" s="1"/>
      <c r="P30" s="1"/>
      <c r="Q30" s="1"/>
      <c r="R30" s="1"/>
      <c r="S30" s="1"/>
      <c r="T30" s="1"/>
      <c r="U30" s="1"/>
      <c r="V30" s="1"/>
      <c r="W30" s="1"/>
      <c r="X30" s="1"/>
      <c r="Y30" s="1"/>
      <c r="Z30" s="1"/>
      <c r="AA30" s="1"/>
      <c r="AL30" s="160" t="s">
        <v>101</v>
      </c>
      <c r="AM30" s="160" t="s">
        <v>36</v>
      </c>
      <c r="AN30" s="160" t="s">
        <v>103</v>
      </c>
      <c r="AO30" s="166" t="s">
        <v>174</v>
      </c>
      <c r="AT30" s="74">
        <v>44914</v>
      </c>
      <c r="AU30" s="72">
        <v>2352.17</v>
      </c>
      <c r="AW30" s="74">
        <v>44914</v>
      </c>
      <c r="AX30" s="72">
        <v>-24134</v>
      </c>
      <c r="AY30" s="72">
        <v>86623</v>
      </c>
      <c r="AZ30" s="72">
        <v>-189</v>
      </c>
      <c r="BA30" s="72">
        <v>-14020</v>
      </c>
      <c r="BB30" s="72">
        <v>-9265</v>
      </c>
      <c r="BC30" s="72">
        <v>233</v>
      </c>
      <c r="BD30" s="72">
        <v>-7252</v>
      </c>
      <c r="BE30" s="72">
        <v>-17651</v>
      </c>
      <c r="BF30" s="74"/>
      <c r="BG30" s="72">
        <f>IF(BG$5=TRUE,AX30,"")</f>
        <v>-24134</v>
      </c>
      <c r="BH30" s="72" t="str">
        <f t="shared" ref="BH30:BH52" si="12">IF(BH$5=TRUE,AY30,"")</f>
        <v/>
      </c>
      <c r="BI30" s="72" t="str">
        <f t="shared" ref="BI30:BI52" si="13">IF(BI$5=TRUE,AZ30,"")</f>
        <v/>
      </c>
      <c r="BJ30" s="72" t="str">
        <f t="shared" ref="BJ30:BJ52" si="14">IF(BJ$5=TRUE,BA30,"")</f>
        <v/>
      </c>
      <c r="BK30" s="72" t="str">
        <f t="shared" ref="BK30:BK52" si="15">IF(BK$5=TRUE,BB30,"")</f>
        <v/>
      </c>
      <c r="BL30" s="72" t="str">
        <f t="shared" ref="BL30:BL52" si="16">IF(BL$5=TRUE,BC30,"")</f>
        <v/>
      </c>
      <c r="BM30" s="72" t="str">
        <f t="shared" ref="BM30:BM52" si="17">IF(BM$5=TRUE,BD30,"")</f>
        <v/>
      </c>
      <c r="BN30" s="72" t="str">
        <f t="shared" ref="BN30:BN52" si="18">IF(BN$5=TRUE,BE30,"")</f>
        <v/>
      </c>
      <c r="BR30" s="133"/>
    </row>
    <row r="31" spans="2:78" ht="18" customHeight="1" x14ac:dyDescent="0.25">
      <c r="B31" s="180"/>
      <c r="C31" s="111" t="s">
        <v>45</v>
      </c>
      <c r="D31" s="112"/>
      <c r="E31" s="113"/>
      <c r="F31" s="114"/>
      <c r="G31" s="115"/>
      <c r="H31" s="115"/>
      <c r="I31" s="115"/>
      <c r="J31" s="116"/>
      <c r="K31" s="116"/>
      <c r="L31" s="116"/>
      <c r="M31" s="116"/>
      <c r="N31" s="117"/>
      <c r="AT31" s="74">
        <v>44911</v>
      </c>
      <c r="AU31" s="72">
        <v>2360.02</v>
      </c>
      <c r="AW31" s="74">
        <v>44911</v>
      </c>
      <c r="AX31" s="72">
        <v>292220</v>
      </c>
      <c r="AY31" s="72">
        <v>-284645</v>
      </c>
      <c r="AZ31" s="72">
        <v>-8708</v>
      </c>
      <c r="BA31" s="72">
        <v>-10251</v>
      </c>
      <c r="BB31" s="72">
        <v>-29030</v>
      </c>
      <c r="BC31" s="72">
        <v>1699</v>
      </c>
      <c r="BD31" s="72">
        <v>701</v>
      </c>
      <c r="BE31" s="72">
        <v>26264</v>
      </c>
      <c r="BF31" s="74">
        <f t="shared" si="2"/>
        <v>44911</v>
      </c>
      <c r="BG31" s="72">
        <f>IF(BG$5=TRUE,AX31,"")</f>
        <v>292220</v>
      </c>
      <c r="BH31" s="72" t="str">
        <f t="shared" si="12"/>
        <v/>
      </c>
      <c r="BI31" s="72" t="str">
        <f t="shared" si="13"/>
        <v/>
      </c>
      <c r="BJ31" s="72" t="str">
        <f t="shared" si="14"/>
        <v/>
      </c>
      <c r="BK31" s="72" t="str">
        <f t="shared" si="15"/>
        <v/>
      </c>
      <c r="BL31" s="72" t="str">
        <f t="shared" si="16"/>
        <v/>
      </c>
      <c r="BM31" s="72" t="str">
        <f t="shared" si="17"/>
        <v/>
      </c>
      <c r="BN31" s="72" t="str">
        <f t="shared" si="18"/>
        <v/>
      </c>
      <c r="BR31" s="133">
        <f t="shared" si="11"/>
        <v>44911</v>
      </c>
      <c r="BS31" s="100">
        <f>IF($BG$5=TRUE,IF(AX31="","",SUM(AX31:$AX$68)),"")</f>
        <v>3945658</v>
      </c>
      <c r="BT31" s="100" t="str">
        <f>IF($BH$5=TRUE,IF(AY31="","",SUM($AY31:AY$68)),"")</f>
        <v/>
      </c>
      <c r="BU31" s="100" t="str">
        <f>IF($BI$5=TRUE,IF(AZ31="","",SUM($AZ31:AZ$68)),"")</f>
        <v/>
      </c>
      <c r="BV31" s="100" t="str">
        <f>IF($BJ$5=TRUE,IF(BA31="","",SUM($BA31:BA$68)),"")</f>
        <v/>
      </c>
      <c r="BW31" s="100" t="str">
        <f>IF($BK$5=TRUE,IF(BB31="","",SUM($BB31:BB$68)),"")</f>
        <v/>
      </c>
      <c r="BX31" s="100" t="str">
        <f>IF($BL$5=TRUE,IF(BC31="","",SUM($BC31:BC$68)),"")</f>
        <v/>
      </c>
      <c r="BY31" s="100" t="str">
        <f>IF($BM$5=TRUE,IF(BD31="","",SUM($BD31:BD$68)),"")</f>
        <v/>
      </c>
      <c r="BZ31" s="100" t="str">
        <f>IF($BN$5=TRUE,IF(BE31="","",SUM($BE31:BE$68)),"")</f>
        <v/>
      </c>
    </row>
    <row r="32" spans="2:78" ht="18" customHeight="1" x14ac:dyDescent="0.25">
      <c r="B32" s="180"/>
      <c r="C32" s="102" t="s">
        <v>46</v>
      </c>
      <c r="D32" s="93"/>
      <c r="E32" s="93"/>
      <c r="F32" s="94"/>
      <c r="G32" s="61"/>
      <c r="H32" s="61"/>
      <c r="I32" s="62"/>
      <c r="J32" s="62"/>
      <c r="K32" s="62"/>
      <c r="L32" s="62"/>
      <c r="M32" s="62"/>
      <c r="N32" s="63"/>
      <c r="AL32" s="160" t="s">
        <v>175</v>
      </c>
      <c r="AM32" s="161" t="s">
        <v>131</v>
      </c>
      <c r="AN32" s="161" t="s">
        <v>132</v>
      </c>
      <c r="AO32" s="161" t="s">
        <v>133</v>
      </c>
      <c r="AP32" s="161" t="s">
        <v>134</v>
      </c>
      <c r="AQ32" s="161" t="s">
        <v>135</v>
      </c>
      <c r="AR32" s="161" t="s">
        <v>130</v>
      </c>
      <c r="AT32" s="74">
        <v>44910</v>
      </c>
      <c r="AU32" s="72">
        <v>2360.9699999999998</v>
      </c>
      <c r="AW32" s="74">
        <v>44910</v>
      </c>
      <c r="AX32" s="72">
        <v>-56186</v>
      </c>
      <c r="AY32" s="72">
        <v>-298291</v>
      </c>
      <c r="AZ32" s="72">
        <v>1555</v>
      </c>
      <c r="BA32" s="72">
        <v>-31040</v>
      </c>
      <c r="BB32" s="72">
        <v>-8719</v>
      </c>
      <c r="BC32" s="72">
        <v>1577</v>
      </c>
      <c r="BD32" s="72">
        <v>-32841</v>
      </c>
      <c r="BE32" s="72">
        <v>457838</v>
      </c>
      <c r="BF32" s="74">
        <f t="shared" si="2"/>
        <v>44910</v>
      </c>
      <c r="BG32" s="72">
        <f>IF(BG$5=TRUE,AX32,"")</f>
        <v>-56186</v>
      </c>
      <c r="BH32" s="72" t="str">
        <f t="shared" si="12"/>
        <v/>
      </c>
      <c r="BI32" s="72" t="str">
        <f t="shared" si="13"/>
        <v/>
      </c>
      <c r="BJ32" s="72" t="str">
        <f t="shared" si="14"/>
        <v/>
      </c>
      <c r="BK32" s="72" t="str">
        <f t="shared" si="15"/>
        <v/>
      </c>
      <c r="BL32" s="72" t="str">
        <f t="shared" si="16"/>
        <v/>
      </c>
      <c r="BM32" s="72" t="str">
        <f t="shared" si="17"/>
        <v/>
      </c>
      <c r="BN32" s="72" t="str">
        <f t="shared" si="18"/>
        <v/>
      </c>
      <c r="BR32" s="133">
        <f t="shared" si="11"/>
        <v>44910</v>
      </c>
      <c r="BS32" s="100">
        <f>IF($BG$5=TRUE,IF(AX32="","",SUM(AX32:$AX$68)),"")</f>
        <v>3653438</v>
      </c>
      <c r="BT32" s="100" t="str">
        <f>IF($BH$5=TRUE,IF(AY32="","",SUM($AY32:AY$68)),"")</f>
        <v/>
      </c>
      <c r="BU32" s="100" t="str">
        <f>IF($BI$5=TRUE,IF(AZ32="","",SUM($AZ32:AZ$68)),"")</f>
        <v/>
      </c>
      <c r="BV32" s="100" t="str">
        <f>IF($BJ$5=TRUE,IF(BA32="","",SUM($BA32:BA$68)),"")</f>
        <v/>
      </c>
      <c r="BW32" s="100" t="str">
        <f>IF($BK$5=TRUE,IF(BB32="","",SUM($BB32:BB$68)),"")</f>
        <v/>
      </c>
      <c r="BX32" s="100" t="str">
        <f>IF($BL$5=TRUE,IF(BC32="","",SUM($BC32:BC$68)),"")</f>
        <v/>
      </c>
      <c r="BY32" s="100" t="str">
        <f>IF($BM$5=TRUE,IF(BD32="","",SUM($BD32:BD$68)),"")</f>
        <v/>
      </c>
      <c r="BZ32" s="100" t="str">
        <f>IF($BN$5=TRUE,IF(BE32="","",SUM($BE32:BE$68)),"")</f>
        <v/>
      </c>
    </row>
    <row r="33" spans="2:78" x14ac:dyDescent="0.25">
      <c r="B33" s="180"/>
      <c r="C33" s="102" t="s">
        <v>47</v>
      </c>
      <c r="D33" s="93"/>
      <c r="E33" s="93"/>
      <c r="F33" s="95"/>
      <c r="G33" s="64"/>
      <c r="H33" s="64"/>
      <c r="I33" s="62"/>
      <c r="J33" s="62"/>
      <c r="K33" s="62"/>
      <c r="L33" s="62"/>
      <c r="M33" s="62"/>
      <c r="N33" s="63"/>
      <c r="AL33" s="160" t="s">
        <v>143</v>
      </c>
      <c r="AM33" s="162" t="s">
        <v>121</v>
      </c>
      <c r="AN33" s="162" t="s">
        <v>121</v>
      </c>
      <c r="AO33" s="162" t="s">
        <v>121</v>
      </c>
      <c r="AP33" s="162" t="s">
        <v>121</v>
      </c>
      <c r="AQ33" s="162" t="s">
        <v>121</v>
      </c>
      <c r="AR33" s="162" t="s">
        <v>136</v>
      </c>
      <c r="AT33" s="74">
        <v>44909</v>
      </c>
      <c r="AU33" s="72">
        <v>2399.25</v>
      </c>
      <c r="AW33" s="74">
        <v>44909</v>
      </c>
      <c r="AX33" s="72">
        <v>231782</v>
      </c>
      <c r="AY33" s="72">
        <v>199204</v>
      </c>
      <c r="AZ33" s="72">
        <v>-2413</v>
      </c>
      <c r="BA33" s="72">
        <v>-4630</v>
      </c>
      <c r="BB33" s="72">
        <v>8908</v>
      </c>
      <c r="BC33" s="72">
        <v>1533</v>
      </c>
      <c r="BD33" s="72">
        <v>2849</v>
      </c>
      <c r="BE33" s="72">
        <v>-452214</v>
      </c>
      <c r="BF33" s="74">
        <f t="shared" si="2"/>
        <v>44909</v>
      </c>
      <c r="BG33" s="72">
        <f>IF(BG$5=TRUE,AX33,"")</f>
        <v>231782</v>
      </c>
      <c r="BH33" s="72" t="str">
        <f t="shared" si="12"/>
        <v/>
      </c>
      <c r="BI33" s="72" t="str">
        <f t="shared" si="13"/>
        <v/>
      </c>
      <c r="BJ33" s="72" t="str">
        <f t="shared" si="14"/>
        <v/>
      </c>
      <c r="BK33" s="72" t="str">
        <f t="shared" si="15"/>
        <v/>
      </c>
      <c r="BL33" s="72" t="str">
        <f t="shared" si="16"/>
        <v/>
      </c>
      <c r="BM33" s="72" t="str">
        <f t="shared" si="17"/>
        <v/>
      </c>
      <c r="BN33" s="72" t="str">
        <f t="shared" si="18"/>
        <v/>
      </c>
      <c r="BR33" s="133">
        <f t="shared" si="11"/>
        <v>44909</v>
      </c>
      <c r="BS33" s="100">
        <f>IF($BG$5=TRUE,IF(AX33="","",SUM(AX33:$AX$68)),"")</f>
        <v>3709624</v>
      </c>
      <c r="BT33" s="100" t="str">
        <f>IF($BH$5=TRUE,IF(AY33="","",SUM($AY33:AY$68)),"")</f>
        <v/>
      </c>
      <c r="BU33" s="100" t="str">
        <f>IF($BI$5=TRUE,IF(AZ33="","",SUM($AZ33:AZ$68)),"")</f>
        <v/>
      </c>
      <c r="BV33" s="100" t="str">
        <f>IF($BJ$5=TRUE,IF(BA33="","",SUM($BA33:BA$68)),"")</f>
        <v/>
      </c>
      <c r="BW33" s="100" t="str">
        <f>IF($BK$5=TRUE,IF(BB33="","",SUM($BB33:BB$68)),"")</f>
        <v/>
      </c>
      <c r="BX33" s="100" t="str">
        <f>IF($BL$5=TRUE,IF(BC33="","",SUM($BC33:BC$68)),"")</f>
        <v/>
      </c>
      <c r="BY33" s="100" t="str">
        <f>IF($BM$5=TRUE,IF(BD33="","",SUM($BD33:BD$68)),"")</f>
        <v/>
      </c>
      <c r="BZ33" s="100" t="str">
        <f>IF($BN$5=TRUE,IF(BE33="","",SUM($BE33:BE$68)),"")</f>
        <v/>
      </c>
    </row>
    <row r="34" spans="2:78" x14ac:dyDescent="0.25">
      <c r="B34" s="180"/>
      <c r="C34" s="102" t="s">
        <v>91</v>
      </c>
      <c r="D34" s="93"/>
      <c r="E34" s="93"/>
      <c r="F34" s="95"/>
      <c r="G34" s="64"/>
      <c r="H34" s="64"/>
      <c r="I34" s="64"/>
      <c r="J34" s="62"/>
      <c r="K34" s="62"/>
      <c r="L34" s="62"/>
      <c r="M34" s="62"/>
      <c r="N34" s="63"/>
      <c r="AL34" s="160" t="s">
        <v>112</v>
      </c>
      <c r="AM34" s="162" t="s">
        <v>122</v>
      </c>
      <c r="AN34" s="162" t="s">
        <v>122</v>
      </c>
      <c r="AO34" s="162" t="s">
        <v>122</v>
      </c>
      <c r="AP34" s="162" t="s">
        <v>122</v>
      </c>
      <c r="AQ34" s="162" t="s">
        <v>122</v>
      </c>
      <c r="AR34" s="162" t="s">
        <v>137</v>
      </c>
      <c r="AT34" s="74">
        <v>44908</v>
      </c>
      <c r="AU34" s="72">
        <v>2372.4</v>
      </c>
      <c r="AW34" s="74">
        <v>44908</v>
      </c>
      <c r="AX34" s="72">
        <v>-111780</v>
      </c>
      <c r="AY34" s="72">
        <v>35771</v>
      </c>
      <c r="AZ34" s="72">
        <v>-152</v>
      </c>
      <c r="BA34" s="72">
        <v>-10623</v>
      </c>
      <c r="BB34" s="72">
        <v>18275</v>
      </c>
      <c r="BC34" s="72">
        <v>-835</v>
      </c>
      <c r="BD34" s="72">
        <v>-4857</v>
      </c>
      <c r="BE34" s="72">
        <v>34875</v>
      </c>
      <c r="BF34" s="74">
        <f t="shared" si="2"/>
        <v>44908</v>
      </c>
      <c r="BG34" s="72">
        <f t="shared" si="3"/>
        <v>-111780</v>
      </c>
      <c r="BH34" s="72" t="str">
        <f t="shared" si="12"/>
        <v/>
      </c>
      <c r="BI34" s="72" t="str">
        <f t="shared" si="13"/>
        <v/>
      </c>
      <c r="BJ34" s="72" t="str">
        <f t="shared" si="14"/>
        <v/>
      </c>
      <c r="BK34" s="72" t="str">
        <f t="shared" si="15"/>
        <v/>
      </c>
      <c r="BL34" s="72" t="str">
        <f t="shared" si="16"/>
        <v/>
      </c>
      <c r="BM34" s="72" t="str">
        <f t="shared" si="17"/>
        <v/>
      </c>
      <c r="BN34" s="72" t="str">
        <f t="shared" si="18"/>
        <v/>
      </c>
      <c r="BR34" s="133">
        <f t="shared" si="11"/>
        <v>44908</v>
      </c>
      <c r="BS34" s="100">
        <f>IF($BG$5=TRUE,IF(AX34="","",SUM(AX34:$AX$68)),"")</f>
        <v>3477842</v>
      </c>
      <c r="BT34" s="100" t="str">
        <f>IF($BH$5=TRUE,IF(AY34="","",SUM($AY34:AY$68)),"")</f>
        <v/>
      </c>
      <c r="BU34" s="100" t="str">
        <f>IF($BI$5=TRUE,IF(AZ34="","",SUM($AZ34:AZ$68)),"")</f>
        <v/>
      </c>
      <c r="BV34" s="100" t="str">
        <f>IF($BJ$5=TRUE,IF(BA34="","",SUM($BA34:BA$68)),"")</f>
        <v/>
      </c>
      <c r="BW34" s="100" t="str">
        <f>IF($BK$5=TRUE,IF(BB34="","",SUM($BB34:BB$68)),"")</f>
        <v/>
      </c>
      <c r="BX34" s="100" t="str">
        <f>IF($BL$5=TRUE,IF(BC34="","",SUM($BC34:BC$68)),"")</f>
        <v/>
      </c>
      <c r="BY34" s="100" t="str">
        <f>IF($BM$5=TRUE,IF(BD34="","",SUM($BD34:BD$68)),"")</f>
        <v/>
      </c>
      <c r="BZ34" s="100" t="str">
        <f>IF($BN$5=TRUE,IF(BE34="","",SUM($BE34:BE$68)),"")</f>
        <v/>
      </c>
    </row>
    <row r="35" spans="2:78" x14ac:dyDescent="0.25">
      <c r="B35" s="180"/>
      <c r="C35" s="102" t="s">
        <v>93</v>
      </c>
      <c r="D35" s="93"/>
      <c r="E35" s="93"/>
      <c r="F35" s="95"/>
      <c r="G35" s="64"/>
      <c r="H35" s="64"/>
      <c r="I35" s="64"/>
      <c r="J35" s="62"/>
      <c r="K35" s="62"/>
      <c r="L35" s="62"/>
      <c r="M35" s="62"/>
      <c r="N35" s="63"/>
      <c r="AL35" s="160" t="s">
        <v>118</v>
      </c>
      <c r="AM35" s="162" t="s">
        <v>123</v>
      </c>
      <c r="AN35" s="162" t="s">
        <v>123</v>
      </c>
      <c r="AO35" s="162" t="s">
        <v>123</v>
      </c>
      <c r="AP35" s="162" t="s">
        <v>123</v>
      </c>
      <c r="AQ35" s="162" t="s">
        <v>123</v>
      </c>
      <c r="AR35" s="162" t="s">
        <v>138</v>
      </c>
      <c r="AT35" s="74">
        <v>44907</v>
      </c>
      <c r="AU35" s="72">
        <v>2373.02</v>
      </c>
      <c r="AW35" s="74">
        <v>44907</v>
      </c>
      <c r="AX35" s="72">
        <v>17103</v>
      </c>
      <c r="AY35" s="72">
        <v>24393</v>
      </c>
      <c r="AZ35" s="72">
        <v>-1380</v>
      </c>
      <c r="BA35" s="72">
        <v>-9891</v>
      </c>
      <c r="BB35" s="72">
        <v>2756</v>
      </c>
      <c r="BC35" s="72">
        <v>-71</v>
      </c>
      <c r="BD35" s="72">
        <v>-13375</v>
      </c>
      <c r="BE35" s="72">
        <v>-39</v>
      </c>
      <c r="BF35" s="74">
        <f t="shared" si="2"/>
        <v>44907</v>
      </c>
      <c r="BG35" s="72">
        <f t="shared" si="3"/>
        <v>17103</v>
      </c>
      <c r="BH35" s="72" t="str">
        <f t="shared" si="12"/>
        <v/>
      </c>
      <c r="BI35" s="72" t="str">
        <f t="shared" si="13"/>
        <v/>
      </c>
      <c r="BJ35" s="72" t="str">
        <f t="shared" si="14"/>
        <v/>
      </c>
      <c r="BK35" s="72" t="str">
        <f t="shared" si="15"/>
        <v/>
      </c>
      <c r="BL35" s="72" t="str">
        <f t="shared" si="16"/>
        <v/>
      </c>
      <c r="BM35" s="72" t="str">
        <f t="shared" si="17"/>
        <v/>
      </c>
      <c r="BN35" s="72" t="str">
        <f t="shared" si="18"/>
        <v/>
      </c>
      <c r="BR35" s="133">
        <f t="shared" si="11"/>
        <v>44907</v>
      </c>
      <c r="BS35" s="100">
        <f>IF($BG$5=TRUE,IF(AX35="","",SUM(AX35:$AX$68)),"")</f>
        <v>3589622</v>
      </c>
      <c r="BT35" s="100" t="str">
        <f>IF($BH$5=TRUE,IF(AY35="","",SUM($AY35:AY$68)),"")</f>
        <v/>
      </c>
      <c r="BU35" s="100" t="str">
        <f>IF($BI$5=TRUE,IF(AZ35="","",SUM($AZ35:AZ$68)),"")</f>
        <v/>
      </c>
      <c r="BV35" s="100" t="str">
        <f>IF($BJ$5=TRUE,IF(BA35="","",SUM($BA35:BA$68)),"")</f>
        <v/>
      </c>
      <c r="BW35" s="100" t="str">
        <f>IF($BK$5=TRUE,IF(BB35="","",SUM($BB35:BB$68)),"")</f>
        <v/>
      </c>
      <c r="BX35" s="100" t="str">
        <f>IF($BL$5=TRUE,IF(BC35="","",SUM($BC35:BC$68)),"")</f>
        <v/>
      </c>
      <c r="BY35" s="100" t="str">
        <f>IF($BM$5=TRUE,IF(BD35="","",SUM($BD35:BD$68)),"")</f>
        <v/>
      </c>
      <c r="BZ35" s="100" t="str">
        <f>IF($BN$5=TRUE,IF(BE35="","",SUM($BE35:BE$68)),"")</f>
        <v/>
      </c>
    </row>
    <row r="36" spans="2:78" ht="14.25" thickBot="1" x14ac:dyDescent="0.3">
      <c r="B36" s="181"/>
      <c r="C36" s="110" t="s">
        <v>101</v>
      </c>
      <c r="D36" s="96"/>
      <c r="E36" s="96"/>
      <c r="F36" s="97"/>
      <c r="G36" s="65"/>
      <c r="H36" s="65"/>
      <c r="I36" s="66"/>
      <c r="J36" s="66"/>
      <c r="K36" s="66"/>
      <c r="L36" s="66"/>
      <c r="M36" s="66"/>
      <c r="N36" s="67"/>
      <c r="AL36" s="160" t="s">
        <v>113</v>
      </c>
      <c r="AM36" s="162" t="s">
        <v>124</v>
      </c>
      <c r="AN36" s="162" t="s">
        <v>124</v>
      </c>
      <c r="AO36" s="162" t="s">
        <v>124</v>
      </c>
      <c r="AP36" s="162" t="s">
        <v>124</v>
      </c>
      <c r="AQ36" s="162" t="s">
        <v>124</v>
      </c>
      <c r="AR36" s="162" t="s">
        <v>139</v>
      </c>
      <c r="AT36" s="74">
        <v>44904</v>
      </c>
      <c r="AU36" s="72">
        <v>2389.04</v>
      </c>
      <c r="AW36" s="74">
        <v>44904</v>
      </c>
      <c r="AX36" s="72">
        <v>99500</v>
      </c>
      <c r="AY36" s="72">
        <v>389532</v>
      </c>
      <c r="AZ36" s="72">
        <v>-269</v>
      </c>
      <c r="BA36" s="72">
        <v>-10380</v>
      </c>
      <c r="BB36" s="72">
        <v>-11711</v>
      </c>
      <c r="BC36" s="72">
        <v>-42</v>
      </c>
      <c r="BD36" s="72">
        <v>22275</v>
      </c>
      <c r="BE36" s="72">
        <v>-509641</v>
      </c>
      <c r="BF36" s="74">
        <f t="shared" si="2"/>
        <v>44904</v>
      </c>
      <c r="BG36" s="72">
        <f t="shared" si="3"/>
        <v>99500</v>
      </c>
      <c r="BH36" s="72" t="str">
        <f t="shared" si="12"/>
        <v/>
      </c>
      <c r="BI36" s="72" t="str">
        <f t="shared" si="13"/>
        <v/>
      </c>
      <c r="BJ36" s="72" t="str">
        <f t="shared" si="14"/>
        <v/>
      </c>
      <c r="BK36" s="72" t="str">
        <f t="shared" si="15"/>
        <v/>
      </c>
      <c r="BL36" s="72" t="str">
        <f t="shared" si="16"/>
        <v/>
      </c>
      <c r="BM36" s="72" t="str">
        <f t="shared" si="17"/>
        <v/>
      </c>
      <c r="BN36" s="72" t="str">
        <f t="shared" si="18"/>
        <v/>
      </c>
      <c r="BR36" s="133">
        <f t="shared" si="11"/>
        <v>44904</v>
      </c>
      <c r="BS36" s="100">
        <f>IF($BG$5=TRUE,IF(AX36="","",SUM(AX36:$AX$68)),"")</f>
        <v>3572519</v>
      </c>
      <c r="BT36" s="100" t="str">
        <f>IF($BH$5=TRUE,IF(AY36="","",SUM($AY36:AY$68)),"")</f>
        <v/>
      </c>
      <c r="BU36" s="100" t="str">
        <f>IF($BI$5=TRUE,IF(AZ36="","",SUM($AZ36:AZ$68)),"")</f>
        <v/>
      </c>
      <c r="BV36" s="100" t="str">
        <f>IF($BJ$5=TRUE,IF(BA36="","",SUM($BA36:BA$68)),"")</f>
        <v/>
      </c>
      <c r="BW36" s="100" t="str">
        <f>IF($BK$5=TRUE,IF(BB36="","",SUM($BB36:BB$68)),"")</f>
        <v/>
      </c>
      <c r="BX36" s="100" t="str">
        <f>IF($BL$5=TRUE,IF(BC36="","",SUM($BC36:BC$68)),"")</f>
        <v/>
      </c>
      <c r="BY36" s="100" t="str">
        <f>IF($BM$5=TRUE,IF(BD36="","",SUM($BD36:BD$68)),"")</f>
        <v/>
      </c>
      <c r="BZ36" s="100" t="str">
        <f>IF($BN$5=TRUE,IF(BE36="","",SUM($BE36:BE$68)),"")</f>
        <v/>
      </c>
    </row>
    <row r="37" spans="2:78" x14ac:dyDescent="0.25">
      <c r="AL37" s="160" t="s">
        <v>115</v>
      </c>
      <c r="AM37" s="162" t="s">
        <v>125</v>
      </c>
      <c r="AN37" s="162" t="s">
        <v>125</v>
      </c>
      <c r="AO37" s="162" t="s">
        <v>125</v>
      </c>
      <c r="AP37" s="162" t="s">
        <v>125</v>
      </c>
      <c r="AQ37" s="162" t="s">
        <v>125</v>
      </c>
      <c r="AR37" s="162" t="s">
        <v>140</v>
      </c>
      <c r="AT37" s="74">
        <v>44903</v>
      </c>
      <c r="AU37" s="72">
        <v>2371.08</v>
      </c>
      <c r="AW37" s="74">
        <v>44903</v>
      </c>
      <c r="AX37" s="72">
        <v>-476145</v>
      </c>
      <c r="AY37" s="72">
        <v>207809</v>
      </c>
      <c r="AZ37" s="72">
        <v>-5031</v>
      </c>
      <c r="BA37" s="72">
        <v>61452</v>
      </c>
      <c r="BB37" s="72">
        <v>61787</v>
      </c>
      <c r="BC37" s="72">
        <v>4172</v>
      </c>
      <c r="BD37" s="72">
        <v>-70779</v>
      </c>
      <c r="BE37" s="72">
        <v>206384</v>
      </c>
      <c r="BF37" s="74">
        <f t="shared" si="2"/>
        <v>44903</v>
      </c>
      <c r="BG37" s="72">
        <f t="shared" si="3"/>
        <v>-476145</v>
      </c>
      <c r="BH37" s="72" t="str">
        <f t="shared" si="12"/>
        <v/>
      </c>
      <c r="BI37" s="72" t="str">
        <f t="shared" si="13"/>
        <v/>
      </c>
      <c r="BJ37" s="72" t="str">
        <f t="shared" si="14"/>
        <v/>
      </c>
      <c r="BK37" s="72" t="str">
        <f t="shared" si="15"/>
        <v/>
      </c>
      <c r="BL37" s="72" t="str">
        <f t="shared" si="16"/>
        <v/>
      </c>
      <c r="BM37" s="72" t="str">
        <f t="shared" si="17"/>
        <v/>
      </c>
      <c r="BN37" s="72" t="str">
        <f t="shared" si="18"/>
        <v/>
      </c>
      <c r="BR37" s="133">
        <f t="shared" si="11"/>
        <v>44903</v>
      </c>
      <c r="BS37" s="100">
        <f>IF($BG$5=TRUE,IF(AX37="","",SUM(AX37:$AX$68)),"")</f>
        <v>3473019</v>
      </c>
      <c r="BT37" s="100" t="str">
        <f>IF($BH$5=TRUE,IF(AY37="","",SUM($AY37:AY$68)),"")</f>
        <v/>
      </c>
      <c r="BU37" s="100" t="str">
        <f>IF($BI$5=TRUE,IF(AZ37="","",SUM($AZ37:AZ$68)),"")</f>
        <v/>
      </c>
      <c r="BV37" s="100" t="str">
        <f>IF($BJ$5=TRUE,IF(BA37="","",SUM($BA37:BA$68)),"")</f>
        <v/>
      </c>
      <c r="BW37" s="100" t="str">
        <f>IF($BK$5=TRUE,IF(BB37="","",SUM($BB37:BB$68)),"")</f>
        <v/>
      </c>
      <c r="BX37" s="100" t="str">
        <f>IF($BL$5=TRUE,IF(BC37="","",SUM($BC37:BC$68)),"")</f>
        <v/>
      </c>
      <c r="BY37" s="100" t="str">
        <f>IF($BM$5=TRUE,IF(BD37="","",SUM($BD37:BD$68)),"")</f>
        <v/>
      </c>
      <c r="BZ37" s="100" t="str">
        <f>IF($BN$5=TRUE,IF(BE37="","",SUM($BE37:BE$68)),"")</f>
        <v/>
      </c>
    </row>
    <row r="38" spans="2:78" x14ac:dyDescent="0.25">
      <c r="AL38" s="160" t="s">
        <v>116</v>
      </c>
      <c r="AM38" s="162" t="s">
        <v>127</v>
      </c>
      <c r="AN38" s="162" t="s">
        <v>127</v>
      </c>
      <c r="AO38" s="162" t="s">
        <v>127</v>
      </c>
      <c r="AP38" s="162" t="s">
        <v>127</v>
      </c>
      <c r="AQ38" s="162" t="s">
        <v>127</v>
      </c>
      <c r="AR38" s="162" t="s">
        <v>141</v>
      </c>
      <c r="AT38" s="74">
        <v>44902</v>
      </c>
      <c r="AU38" s="72">
        <v>2382.81</v>
      </c>
      <c r="AW38" s="74">
        <v>44902</v>
      </c>
      <c r="AX38" s="72">
        <v>-196153</v>
      </c>
      <c r="AY38" s="72">
        <v>130417</v>
      </c>
      <c r="AZ38" s="72">
        <v>2001</v>
      </c>
      <c r="BA38" s="72">
        <v>-4957</v>
      </c>
      <c r="BB38" s="72">
        <v>-12347</v>
      </c>
      <c r="BC38" s="72">
        <v>4175</v>
      </c>
      <c r="BD38" s="72">
        <v>-25820</v>
      </c>
      <c r="BE38" s="72">
        <v>181436</v>
      </c>
      <c r="BF38" s="74">
        <f t="shared" si="2"/>
        <v>44902</v>
      </c>
      <c r="BG38" s="72">
        <f t="shared" si="3"/>
        <v>-196153</v>
      </c>
      <c r="BH38" s="72" t="str">
        <f t="shared" si="12"/>
        <v/>
      </c>
      <c r="BI38" s="72" t="str">
        <f t="shared" si="13"/>
        <v/>
      </c>
      <c r="BJ38" s="72" t="str">
        <f t="shared" si="14"/>
        <v/>
      </c>
      <c r="BK38" s="72" t="str">
        <f t="shared" si="15"/>
        <v/>
      </c>
      <c r="BL38" s="72" t="str">
        <f t="shared" si="16"/>
        <v/>
      </c>
      <c r="BM38" s="72" t="str">
        <f t="shared" si="17"/>
        <v/>
      </c>
      <c r="BN38" s="72" t="str">
        <f t="shared" si="18"/>
        <v/>
      </c>
      <c r="BR38" s="133">
        <f t="shared" si="11"/>
        <v>44902</v>
      </c>
      <c r="BS38" s="100">
        <f>IF($BG$5=TRUE,IF(AX38="","",SUM(AX38:$AX$68)),"")</f>
        <v>3949164</v>
      </c>
      <c r="BT38" s="100" t="str">
        <f>IF($BH$5=TRUE,IF(AY38="","",SUM($AY38:AY$68)),"")</f>
        <v/>
      </c>
      <c r="BU38" s="100" t="str">
        <f>IF($BI$5=TRUE,IF(AZ38="","",SUM($AZ38:AZ$68)),"")</f>
        <v/>
      </c>
      <c r="BV38" s="100" t="str">
        <f>IF($BJ$5=TRUE,IF(BA38="","",SUM($BA38:BA$68)),"")</f>
        <v/>
      </c>
      <c r="BW38" s="100" t="str">
        <f>IF($BK$5=TRUE,IF(BB38="","",SUM($BB38:BB$68)),"")</f>
        <v/>
      </c>
      <c r="BX38" s="100" t="str">
        <f>IF($BL$5=TRUE,IF(BC38="","",SUM($BC38:BC$68)),"")</f>
        <v/>
      </c>
      <c r="BY38" s="100" t="str">
        <f>IF($BM$5=TRUE,IF(BD38="","",SUM($BD38:BD$68)),"")</f>
        <v/>
      </c>
      <c r="BZ38" s="100" t="str">
        <f>IF($BN$5=TRUE,IF(BE38="","",SUM($BE38:BE$68)),"")</f>
        <v/>
      </c>
    </row>
    <row r="39" spans="2:78" x14ac:dyDescent="0.25">
      <c r="B39" s="70"/>
      <c r="AL39" s="160" t="s">
        <v>114</v>
      </c>
      <c r="AM39" s="162" t="s">
        <v>128</v>
      </c>
      <c r="AN39" s="162" t="s">
        <v>128</v>
      </c>
      <c r="AO39" s="162" t="s">
        <v>128</v>
      </c>
      <c r="AP39" s="162" t="s">
        <v>128</v>
      </c>
      <c r="AQ39" s="162" t="s">
        <v>128</v>
      </c>
      <c r="AR39" s="162" t="s">
        <v>153</v>
      </c>
      <c r="AT39" s="74">
        <v>44901</v>
      </c>
      <c r="AU39" s="72">
        <v>2393.16</v>
      </c>
      <c r="AW39" s="74">
        <v>44901</v>
      </c>
      <c r="AX39" s="72">
        <v>-96803</v>
      </c>
      <c r="AY39" s="72">
        <v>-111572</v>
      </c>
      <c r="AZ39" s="72">
        <v>-4728</v>
      </c>
      <c r="BA39" s="72">
        <v>-14144</v>
      </c>
      <c r="BB39" s="72">
        <v>-39289</v>
      </c>
      <c r="BC39" s="72">
        <v>-5932</v>
      </c>
      <c r="BD39" s="72">
        <v>-54027</v>
      </c>
      <c r="BE39" s="72">
        <v>381059</v>
      </c>
      <c r="BF39" s="74">
        <f t="shared" si="2"/>
        <v>44901</v>
      </c>
      <c r="BG39" s="72">
        <f t="shared" si="3"/>
        <v>-96803</v>
      </c>
      <c r="BH39" s="72" t="str">
        <f t="shared" si="12"/>
        <v/>
      </c>
      <c r="BI39" s="72" t="str">
        <f t="shared" si="13"/>
        <v/>
      </c>
      <c r="BJ39" s="72" t="str">
        <f t="shared" si="14"/>
        <v/>
      </c>
      <c r="BK39" s="72" t="str">
        <f t="shared" si="15"/>
        <v/>
      </c>
      <c r="BL39" s="72" t="str">
        <f t="shared" si="16"/>
        <v/>
      </c>
      <c r="BM39" s="72" t="str">
        <f t="shared" si="17"/>
        <v/>
      </c>
      <c r="BN39" s="72" t="str">
        <f t="shared" si="18"/>
        <v/>
      </c>
      <c r="BR39" s="133">
        <f t="shared" si="11"/>
        <v>44901</v>
      </c>
      <c r="BS39" s="100">
        <f>IF($BG$5=TRUE,IF(AX39="","",SUM(AX39:$AX$68)),"")</f>
        <v>4145317</v>
      </c>
      <c r="BT39" s="100" t="str">
        <f>IF($BH$5=TRUE,IF(AY39="","",SUM($AY39:AY$68)),"")</f>
        <v/>
      </c>
      <c r="BU39" s="100" t="str">
        <f>IF($BI$5=TRUE,IF(AZ39="","",SUM($AZ39:AZ$68)),"")</f>
        <v/>
      </c>
      <c r="BV39" s="100" t="str">
        <f>IF($BJ$5=TRUE,IF(BA39="","",SUM($BA39:BA$68)),"")</f>
        <v/>
      </c>
      <c r="BW39" s="100" t="str">
        <f>IF($BK$5=TRUE,IF(BB39="","",SUM($BB39:BB$68)),"")</f>
        <v/>
      </c>
      <c r="BX39" s="100" t="str">
        <f>IF($BL$5=TRUE,IF(BC39="","",SUM($BC39:BC$68)),"")</f>
        <v/>
      </c>
      <c r="BY39" s="100" t="str">
        <f>IF($BM$5=TRUE,IF(BD39="","",SUM($BD39:BD$68)),"")</f>
        <v/>
      </c>
      <c r="BZ39" s="100" t="str">
        <f>IF($BN$5=TRUE,IF(BE39="","",SUM($BE39:BE$68)),"")</f>
        <v/>
      </c>
    </row>
    <row r="40" spans="2:78" x14ac:dyDescent="0.25">
      <c r="B40" s="43"/>
      <c r="C40" s="43"/>
      <c r="D40" s="43"/>
      <c r="E40" s="43"/>
      <c r="F40" s="43"/>
      <c r="N40" s="43"/>
      <c r="O40" s="43"/>
      <c r="P40" s="43"/>
      <c r="Q40" s="43"/>
      <c r="R40" s="43"/>
      <c r="S40" s="43"/>
      <c r="T40" s="43"/>
      <c r="U40" s="43"/>
      <c r="V40" s="43"/>
      <c r="W40" s="43"/>
      <c r="X40" s="43"/>
      <c r="Y40" s="43"/>
      <c r="Z40" s="43"/>
      <c r="AA40" s="43"/>
      <c r="AB40" s="43"/>
      <c r="AL40" s="160" t="s">
        <v>117</v>
      </c>
      <c r="AM40" s="162" t="s">
        <v>129</v>
      </c>
      <c r="AN40" s="162" t="s">
        <v>129</v>
      </c>
      <c r="AO40" s="162" t="s">
        <v>129</v>
      </c>
      <c r="AP40" s="162" t="s">
        <v>129</v>
      </c>
      <c r="AQ40" s="162" t="s">
        <v>129</v>
      </c>
      <c r="AR40" s="162" t="s">
        <v>142</v>
      </c>
      <c r="AT40" s="74">
        <v>44900</v>
      </c>
      <c r="AU40" s="72">
        <v>2419.3200000000002</v>
      </c>
      <c r="AW40" s="74">
        <v>44900</v>
      </c>
      <c r="AX40" s="72">
        <v>-293118</v>
      </c>
      <c r="AY40" s="72">
        <v>113227</v>
      </c>
      <c r="AZ40" s="72">
        <v>811</v>
      </c>
      <c r="BA40" s="72">
        <v>-11958</v>
      </c>
      <c r="BB40" s="72">
        <v>-28897</v>
      </c>
      <c r="BC40" s="72">
        <v>5512</v>
      </c>
      <c r="BD40" s="72">
        <v>-2312</v>
      </c>
      <c r="BE40" s="72">
        <v>302194</v>
      </c>
      <c r="BF40" s="74">
        <f t="shared" si="2"/>
        <v>44900</v>
      </c>
      <c r="BG40" s="72">
        <f t="shared" si="3"/>
        <v>-293118</v>
      </c>
      <c r="BH40" s="72" t="str">
        <f t="shared" si="12"/>
        <v/>
      </c>
      <c r="BI40" s="72" t="str">
        <f t="shared" si="13"/>
        <v/>
      </c>
      <c r="BJ40" s="72" t="str">
        <f t="shared" si="14"/>
        <v/>
      </c>
      <c r="BK40" s="72" t="str">
        <f t="shared" si="15"/>
        <v/>
      </c>
      <c r="BL40" s="72" t="str">
        <f t="shared" si="16"/>
        <v/>
      </c>
      <c r="BM40" s="72" t="str">
        <f t="shared" si="17"/>
        <v/>
      </c>
      <c r="BN40" s="72" t="str">
        <f t="shared" si="18"/>
        <v/>
      </c>
      <c r="BR40" s="133">
        <f t="shared" si="11"/>
        <v>44900</v>
      </c>
      <c r="BS40" s="100">
        <f>IF($BG$5=TRUE,IF(AX40="","",SUM(AX40:$AX$68)),"")</f>
        <v>4242120</v>
      </c>
      <c r="BT40" s="100" t="str">
        <f>IF($BH$5=TRUE,IF(AY40="","",SUM($AY40:AY$68)),"")</f>
        <v/>
      </c>
      <c r="BU40" s="100" t="str">
        <f>IF($BI$5=TRUE,IF(AZ40="","",SUM($AZ40:AZ$68)),"")</f>
        <v/>
      </c>
      <c r="BV40" s="100" t="str">
        <f>IF($BJ$5=TRUE,IF(BA40="","",SUM($BA40:BA$68)),"")</f>
        <v/>
      </c>
      <c r="BW40" s="100" t="str">
        <f>IF($BK$5=TRUE,IF(BB40="","",SUM($BB40:BB$68)),"")</f>
        <v/>
      </c>
      <c r="BX40" s="100" t="str">
        <f>IF($BL$5=TRUE,IF(BC40="","",SUM($BC40:BC$68)),"")</f>
        <v/>
      </c>
      <c r="BY40" s="100" t="str">
        <f>IF($BM$5=TRUE,IF(BD40="","",SUM($BD40:BD$68)),"")</f>
        <v/>
      </c>
      <c r="BZ40" s="100" t="str">
        <f>IF($BN$5=TRUE,IF(BE40="","",SUM($BE40:BE$68)),"")</f>
        <v/>
      </c>
    </row>
    <row r="41" spans="2:78" x14ac:dyDescent="0.25">
      <c r="B41" s="43"/>
      <c r="C41" s="43"/>
      <c r="D41" s="43"/>
      <c r="E41" s="43"/>
      <c r="F41" s="43"/>
      <c r="N41" s="43"/>
      <c r="O41" s="43"/>
      <c r="P41" s="43"/>
      <c r="Q41" s="43"/>
      <c r="R41" s="43"/>
      <c r="S41" s="43"/>
      <c r="T41" s="43"/>
      <c r="U41" s="43"/>
      <c r="V41" s="43"/>
      <c r="W41" s="43"/>
      <c r="X41" s="43"/>
      <c r="Y41" s="43"/>
      <c r="Z41" s="43"/>
      <c r="AA41" s="43"/>
      <c r="AB41" s="43"/>
      <c r="AT41" s="74">
        <v>44897</v>
      </c>
      <c r="AU41" s="72">
        <v>2434.33</v>
      </c>
      <c r="AW41" s="74">
        <v>44897</v>
      </c>
      <c r="AX41" s="72">
        <v>-403398</v>
      </c>
      <c r="AY41" s="72">
        <v>-332597</v>
      </c>
      <c r="AZ41" s="72">
        <v>1441</v>
      </c>
      <c r="BA41" s="72">
        <v>-22242</v>
      </c>
      <c r="BB41" s="72">
        <v>-32513</v>
      </c>
      <c r="BC41" s="72">
        <v>-4527</v>
      </c>
      <c r="BD41" s="72">
        <v>-41186</v>
      </c>
      <c r="BE41" s="72">
        <v>909541</v>
      </c>
      <c r="BF41" s="74">
        <f t="shared" si="2"/>
        <v>44897</v>
      </c>
      <c r="BG41" s="72">
        <f t="shared" si="3"/>
        <v>-403398</v>
      </c>
      <c r="BH41" s="72" t="str">
        <f t="shared" si="12"/>
        <v/>
      </c>
      <c r="BI41" s="72" t="str">
        <f t="shared" si="13"/>
        <v/>
      </c>
      <c r="BJ41" s="72" t="str">
        <f t="shared" si="14"/>
        <v/>
      </c>
      <c r="BK41" s="72" t="str">
        <f t="shared" si="15"/>
        <v/>
      </c>
      <c r="BL41" s="72" t="str">
        <f t="shared" si="16"/>
        <v/>
      </c>
      <c r="BM41" s="72" t="str">
        <f t="shared" si="17"/>
        <v/>
      </c>
      <c r="BN41" s="72" t="str">
        <f t="shared" si="18"/>
        <v/>
      </c>
      <c r="BR41" s="133">
        <f t="shared" si="11"/>
        <v>44897</v>
      </c>
      <c r="BS41" s="100">
        <f>IF($BG$5=TRUE,IF(AX41="","",SUM(AX41:$AX$68)),"")</f>
        <v>4535238</v>
      </c>
      <c r="BT41" s="100" t="str">
        <f>IF($BH$5=TRUE,IF(AY41="","",SUM($AY41:AY$68)),"")</f>
        <v/>
      </c>
      <c r="BU41" s="100" t="str">
        <f>IF($BI$5=TRUE,IF(AZ41="","",SUM($AZ41:AZ$68)),"")</f>
        <v/>
      </c>
      <c r="BV41" s="100" t="str">
        <f>IF($BJ$5=TRUE,IF(BA41="","",SUM($BA41:BA$68)),"")</f>
        <v/>
      </c>
      <c r="BW41" s="100" t="str">
        <f>IF($BK$5=TRUE,IF(BB41="","",SUM($BB41:BB$68)),"")</f>
        <v/>
      </c>
      <c r="BX41" s="100" t="str">
        <f>IF($BL$5=TRUE,IF(BC41="","",SUM($BC41:BC$68)),"")</f>
        <v/>
      </c>
      <c r="BY41" s="100" t="str">
        <f>IF($BM$5=TRUE,IF(BD41="","",SUM($BD41:BD$68)),"")</f>
        <v/>
      </c>
      <c r="BZ41" s="100" t="str">
        <f>IF($BN$5=TRUE,IF(BE41="","",SUM($BE41:BE$68)),"")</f>
        <v/>
      </c>
    </row>
    <row r="42" spans="2:78" x14ac:dyDescent="0.25">
      <c r="B42" s="43"/>
      <c r="C42" s="43"/>
      <c r="D42" s="43"/>
      <c r="E42" s="43"/>
      <c r="F42" s="43"/>
      <c r="N42" s="43"/>
      <c r="O42" s="43"/>
      <c r="P42" s="43"/>
      <c r="Q42" s="43"/>
      <c r="R42" s="43"/>
      <c r="S42" s="43"/>
      <c r="T42" s="43"/>
      <c r="U42" s="43"/>
      <c r="V42" s="43"/>
      <c r="W42" s="43"/>
      <c r="X42" s="43"/>
      <c r="Y42" s="43"/>
      <c r="Z42" s="43"/>
      <c r="AA42" s="43"/>
      <c r="AB42" s="43"/>
      <c r="AT42" s="74">
        <v>44896</v>
      </c>
      <c r="AU42" s="72">
        <v>2479.84</v>
      </c>
      <c r="AW42" s="74">
        <v>44896</v>
      </c>
      <c r="AX42" s="72">
        <v>32557</v>
      </c>
      <c r="AY42" s="72">
        <v>252225</v>
      </c>
      <c r="AZ42" s="72">
        <v>-2366</v>
      </c>
      <c r="BA42" s="72">
        <v>-1618</v>
      </c>
      <c r="BB42" s="72">
        <v>4082</v>
      </c>
      <c r="BC42" s="72">
        <v>-2221</v>
      </c>
      <c r="BD42" s="72">
        <v>-18757</v>
      </c>
      <c r="BE42" s="72">
        <v>-279288</v>
      </c>
      <c r="BF42" s="74">
        <f t="shared" si="2"/>
        <v>44896</v>
      </c>
      <c r="BG42" s="72">
        <f t="shared" si="3"/>
        <v>32557</v>
      </c>
      <c r="BH42" s="72" t="str">
        <f t="shared" si="12"/>
        <v/>
      </c>
      <c r="BI42" s="72" t="str">
        <f t="shared" si="13"/>
        <v/>
      </c>
      <c r="BJ42" s="72" t="str">
        <f t="shared" si="14"/>
        <v/>
      </c>
      <c r="BK42" s="72" t="str">
        <f t="shared" si="15"/>
        <v/>
      </c>
      <c r="BL42" s="72" t="str">
        <f t="shared" si="16"/>
        <v/>
      </c>
      <c r="BM42" s="72" t="str">
        <f t="shared" si="17"/>
        <v/>
      </c>
      <c r="BN42" s="72" t="str">
        <f t="shared" si="18"/>
        <v/>
      </c>
      <c r="BR42" s="133">
        <f t="shared" si="11"/>
        <v>44896</v>
      </c>
      <c r="BS42" s="100">
        <f>IF($BG$5=TRUE,IF(AX42="","",SUM(AX42:$AX$68)),"")</f>
        <v>4938636</v>
      </c>
      <c r="BT42" s="100" t="str">
        <f>IF($BH$5=TRUE,IF(AY42="","",SUM($AY42:AY$68)),"")</f>
        <v/>
      </c>
      <c r="BU42" s="100" t="str">
        <f>IF($BI$5=TRUE,IF(AZ42="","",SUM($AZ42:AZ$68)),"")</f>
        <v/>
      </c>
      <c r="BV42" s="100" t="str">
        <f>IF($BJ$5=TRUE,IF(BA42="","",SUM($BA42:BA$68)),"")</f>
        <v/>
      </c>
      <c r="BW42" s="100" t="str">
        <f>IF($BK$5=TRUE,IF(BB42="","",SUM($BB42:BB$68)),"")</f>
        <v/>
      </c>
      <c r="BX42" s="100" t="str">
        <f>IF($BL$5=TRUE,IF(BC42="","",SUM($BC42:BC$68)),"")</f>
        <v/>
      </c>
      <c r="BY42" s="100" t="str">
        <f>IF($BM$5=TRUE,IF(BD42="","",SUM($BD42:BD$68)),"")</f>
        <v/>
      </c>
      <c r="BZ42" s="100" t="str">
        <f>IF($BN$5=TRUE,IF(BE42="","",SUM($BE42:BE$68)),"")</f>
        <v/>
      </c>
    </row>
    <row r="43" spans="2:78" x14ac:dyDescent="0.25">
      <c r="B43" s="43"/>
      <c r="C43" s="43"/>
      <c r="D43" s="43"/>
      <c r="E43" s="43"/>
      <c r="F43" s="43"/>
      <c r="N43" s="43"/>
      <c r="O43" s="43"/>
      <c r="P43" s="43"/>
      <c r="Q43" s="43"/>
      <c r="R43" s="43"/>
      <c r="S43" s="43"/>
      <c r="T43" s="43"/>
      <c r="U43" s="43"/>
      <c r="V43" s="43"/>
      <c r="W43" s="43"/>
      <c r="X43" s="43"/>
      <c r="Y43" s="43"/>
      <c r="Z43" s="43"/>
      <c r="AA43" s="43"/>
      <c r="AB43" s="43"/>
      <c r="AK43" s="72"/>
      <c r="AT43" s="74">
        <v>44895</v>
      </c>
      <c r="AU43" s="72">
        <v>2472.5300000000002</v>
      </c>
      <c r="AW43" s="74">
        <v>44895</v>
      </c>
      <c r="AX43" s="72">
        <v>1128604</v>
      </c>
      <c r="AY43" s="72">
        <v>-586221</v>
      </c>
      <c r="AZ43" s="72">
        <v>-634</v>
      </c>
      <c r="BA43" s="72">
        <v>10187</v>
      </c>
      <c r="BB43" s="72">
        <v>29643</v>
      </c>
      <c r="BC43" s="72">
        <v>-1217</v>
      </c>
      <c r="BD43" s="72">
        <v>-2248</v>
      </c>
      <c r="BE43" s="72">
        <v>-610036</v>
      </c>
      <c r="BF43" s="74">
        <f t="shared" si="2"/>
        <v>44895</v>
      </c>
      <c r="BG43" s="72">
        <f t="shared" si="3"/>
        <v>1128604</v>
      </c>
      <c r="BH43" s="72" t="str">
        <f t="shared" si="12"/>
        <v/>
      </c>
      <c r="BI43" s="72" t="str">
        <f t="shared" si="13"/>
        <v/>
      </c>
      <c r="BJ43" s="72" t="str">
        <f t="shared" si="14"/>
        <v/>
      </c>
      <c r="BK43" s="72" t="str">
        <f t="shared" si="15"/>
        <v/>
      </c>
      <c r="BL43" s="72" t="str">
        <f t="shared" si="16"/>
        <v/>
      </c>
      <c r="BM43" s="72" t="str">
        <f t="shared" si="17"/>
        <v/>
      </c>
      <c r="BN43" s="72" t="str">
        <f t="shared" si="18"/>
        <v/>
      </c>
      <c r="BR43" s="133">
        <f t="shared" si="11"/>
        <v>44895</v>
      </c>
      <c r="BS43" s="100">
        <f>IF($BG$5=TRUE,IF(AX43="","",SUM(AX43:$AX$68)),"")</f>
        <v>4906079</v>
      </c>
      <c r="BT43" s="100" t="str">
        <f>IF($BH$5=TRUE,IF(AY43="","",SUM($AY43:AY$68)),"")</f>
        <v/>
      </c>
      <c r="BU43" s="100" t="str">
        <f>IF($BI$5=TRUE,IF(AZ43="","",SUM($AZ43:AZ$68)),"")</f>
        <v/>
      </c>
      <c r="BV43" s="100" t="str">
        <f>IF($BJ$5=TRUE,IF(BA43="","",SUM($BA43:BA$68)),"")</f>
        <v/>
      </c>
      <c r="BW43" s="100" t="str">
        <f>IF($BK$5=TRUE,IF(BB43="","",SUM($BB43:BB$68)),"")</f>
        <v/>
      </c>
      <c r="BX43" s="100" t="str">
        <f>IF($BL$5=TRUE,IF(BC43="","",SUM($BC43:BC$68)),"")</f>
        <v/>
      </c>
      <c r="BY43" s="100" t="str">
        <f>IF($BM$5=TRUE,IF(BD43="","",SUM($BD43:BD$68)),"")</f>
        <v/>
      </c>
      <c r="BZ43" s="100" t="str">
        <f>IF($BN$5=TRUE,IF(BE43="","",SUM($BE43:BE$68)),"")</f>
        <v/>
      </c>
    </row>
    <row r="44" spans="2:78" x14ac:dyDescent="0.25">
      <c r="B44" s="43"/>
      <c r="C44" s="43"/>
      <c r="D44" s="43"/>
      <c r="E44" s="43"/>
      <c r="F44" s="43"/>
      <c r="N44" s="43"/>
      <c r="O44" s="43"/>
      <c r="P44" s="43"/>
      <c r="Q44" s="43"/>
      <c r="R44" s="43"/>
      <c r="S44" s="43"/>
      <c r="T44" s="43"/>
      <c r="U44" s="43"/>
      <c r="V44" s="43"/>
      <c r="W44" s="43"/>
      <c r="X44" s="43"/>
      <c r="Y44" s="43"/>
      <c r="Z44" s="43"/>
      <c r="AA44" s="43"/>
      <c r="AB44" s="43"/>
      <c r="AT44" s="74">
        <v>44894</v>
      </c>
      <c r="AU44" s="72">
        <v>2433.39</v>
      </c>
      <c r="AW44" s="74">
        <v>44894</v>
      </c>
      <c r="AX44" s="72">
        <v>60107</v>
      </c>
      <c r="AY44" s="72">
        <v>186132</v>
      </c>
      <c r="AZ44" s="72">
        <v>183</v>
      </c>
      <c r="BA44" s="72">
        <v>10596</v>
      </c>
      <c r="BB44" s="72">
        <v>25530</v>
      </c>
      <c r="BC44" s="72">
        <v>-1771</v>
      </c>
      <c r="BD44" s="72">
        <v>61976</v>
      </c>
      <c r="BE44" s="72">
        <v>-390917</v>
      </c>
      <c r="BF44" s="74">
        <f t="shared" si="2"/>
        <v>44894</v>
      </c>
      <c r="BG44" s="72">
        <f t="shared" si="3"/>
        <v>60107</v>
      </c>
      <c r="BH44" s="72" t="str">
        <f t="shared" si="12"/>
        <v/>
      </c>
      <c r="BI44" s="72" t="str">
        <f t="shared" si="13"/>
        <v/>
      </c>
      <c r="BJ44" s="72" t="str">
        <f t="shared" si="14"/>
        <v/>
      </c>
      <c r="BK44" s="72" t="str">
        <f t="shared" si="15"/>
        <v/>
      </c>
      <c r="BL44" s="72" t="str">
        <f t="shared" si="16"/>
        <v/>
      </c>
      <c r="BM44" s="72" t="str">
        <f t="shared" si="17"/>
        <v/>
      </c>
      <c r="BN44" s="72" t="str">
        <f t="shared" si="18"/>
        <v/>
      </c>
      <c r="BR44" s="133">
        <f t="shared" si="11"/>
        <v>44894</v>
      </c>
      <c r="BS44" s="100">
        <f>IF($BG$5=TRUE,IF(AX44="","",SUM(AX44:$AX$68)),"")</f>
        <v>3777475</v>
      </c>
      <c r="BT44" s="100" t="str">
        <f>IF($BH$5=TRUE,IF(AY44="","",SUM($AY44:AY$68)),"")</f>
        <v/>
      </c>
      <c r="BU44" s="100" t="str">
        <f>IF($BI$5=TRUE,IF(AZ44="","",SUM($AZ44:AZ$68)),"")</f>
        <v/>
      </c>
      <c r="BV44" s="100" t="str">
        <f>IF($BJ$5=TRUE,IF(BA44="","",SUM($BA44:BA$68)),"")</f>
        <v/>
      </c>
      <c r="BW44" s="100" t="str">
        <f>IF($BK$5=TRUE,IF(BB44="","",SUM($BB44:BB$68)),"")</f>
        <v/>
      </c>
      <c r="BX44" s="100" t="str">
        <f>IF($BL$5=TRUE,IF(BC44="","",SUM($BC44:BC$68)),"")</f>
        <v/>
      </c>
      <c r="BY44" s="100" t="str">
        <f>IF($BM$5=TRUE,IF(BD44="","",SUM($BD44:BD$68)),"")</f>
        <v/>
      </c>
      <c r="BZ44" s="100" t="str">
        <f>IF($BN$5=TRUE,IF(BE44="","",SUM($BE44:BE$68)),"")</f>
        <v/>
      </c>
    </row>
    <row r="45" spans="2:78" x14ac:dyDescent="0.25">
      <c r="B45" s="43"/>
      <c r="C45" s="43"/>
      <c r="D45" s="43"/>
      <c r="E45" s="43"/>
      <c r="F45" s="43"/>
      <c r="N45" s="43"/>
      <c r="O45" s="43"/>
      <c r="P45" s="43"/>
      <c r="Q45" s="43"/>
      <c r="R45" s="43"/>
      <c r="S45" s="43"/>
      <c r="T45" s="43"/>
      <c r="U45" s="43"/>
      <c r="V45" s="43"/>
      <c r="W45" s="43"/>
      <c r="X45" s="43"/>
      <c r="Y45" s="43"/>
      <c r="Z45" s="43"/>
      <c r="AA45" s="43"/>
      <c r="AB45" s="43"/>
      <c r="AR45" s="132"/>
      <c r="AT45" s="74">
        <v>44893</v>
      </c>
      <c r="AU45" s="72">
        <v>2408.27</v>
      </c>
      <c r="AW45" s="74">
        <v>44893</v>
      </c>
      <c r="AX45" s="72">
        <v>-122562</v>
      </c>
      <c r="AY45" s="72">
        <v>-118995</v>
      </c>
      <c r="AZ45" s="72">
        <v>18</v>
      </c>
      <c r="BA45" s="72">
        <v>-14172</v>
      </c>
      <c r="BB45" s="72">
        <v>-38458</v>
      </c>
      <c r="BC45" s="72">
        <v>1710</v>
      </c>
      <c r="BD45" s="72">
        <v>-67050</v>
      </c>
      <c r="BE45" s="72">
        <v>353372</v>
      </c>
      <c r="BF45" s="74">
        <f t="shared" si="2"/>
        <v>44893</v>
      </c>
      <c r="BG45" s="72">
        <f t="shared" si="3"/>
        <v>-122562</v>
      </c>
      <c r="BH45" s="72" t="str">
        <f t="shared" si="12"/>
        <v/>
      </c>
      <c r="BI45" s="72" t="str">
        <f t="shared" si="13"/>
        <v/>
      </c>
      <c r="BJ45" s="72" t="str">
        <f t="shared" si="14"/>
        <v/>
      </c>
      <c r="BK45" s="72" t="str">
        <f t="shared" si="15"/>
        <v/>
      </c>
      <c r="BL45" s="72" t="str">
        <f t="shared" si="16"/>
        <v/>
      </c>
      <c r="BM45" s="72" t="str">
        <f t="shared" si="17"/>
        <v/>
      </c>
      <c r="BN45" s="72" t="str">
        <f t="shared" si="18"/>
        <v/>
      </c>
      <c r="BR45" s="133">
        <f t="shared" si="11"/>
        <v>44893</v>
      </c>
      <c r="BS45" s="100">
        <f>IF($BG$5=TRUE,IF(AX45="","",SUM(AX45:$AX$68)),"")</f>
        <v>3717368</v>
      </c>
      <c r="BT45" s="100" t="str">
        <f>IF($BH$5=TRUE,IF(AY45="","",SUM($AY45:AY$68)),"")</f>
        <v/>
      </c>
      <c r="BU45" s="100" t="str">
        <f>IF($BI$5=TRUE,IF(AZ45="","",SUM($AZ45:AZ$68)),"")</f>
        <v/>
      </c>
      <c r="BV45" s="100" t="str">
        <f>IF($BJ$5=TRUE,IF(BA45="","",SUM($BA45:BA$68)),"")</f>
        <v/>
      </c>
      <c r="BW45" s="100" t="str">
        <f>IF($BK$5=TRUE,IF(BB45="","",SUM($BB45:BB$68)),"")</f>
        <v/>
      </c>
      <c r="BX45" s="100" t="str">
        <f>IF($BL$5=TRUE,IF(BC45="","",SUM($BC45:BC$68)),"")</f>
        <v/>
      </c>
      <c r="BY45" s="100" t="str">
        <f>IF($BM$5=TRUE,IF(BD45="","",SUM($BD45:BD$68)),"")</f>
        <v/>
      </c>
      <c r="BZ45" s="100" t="str">
        <f>IF($BN$5=TRUE,IF(BE45="","",SUM($BE45:BE$68)),"")</f>
        <v/>
      </c>
    </row>
    <row r="46" spans="2:78" x14ac:dyDescent="0.25">
      <c r="B46" s="43"/>
      <c r="C46" s="43"/>
      <c r="D46" s="43"/>
      <c r="E46" s="43"/>
      <c r="F46" s="43"/>
      <c r="N46" s="43"/>
      <c r="O46" s="43"/>
      <c r="P46" s="43"/>
      <c r="Q46" s="43"/>
      <c r="R46" s="43"/>
      <c r="S46" s="43"/>
      <c r="T46" s="43"/>
      <c r="U46" s="43"/>
      <c r="V46" s="43"/>
      <c r="W46" s="43"/>
      <c r="X46" s="43"/>
      <c r="Y46" s="43"/>
      <c r="Z46" s="43"/>
      <c r="AA46" s="43"/>
      <c r="AB46" s="43"/>
      <c r="AR46" s="132"/>
      <c r="AT46" s="74">
        <v>44890</v>
      </c>
      <c r="AU46" s="72">
        <v>2437.86</v>
      </c>
      <c r="AW46" s="74">
        <v>44890</v>
      </c>
      <c r="AX46" s="72">
        <v>313052</v>
      </c>
      <c r="AY46" s="72">
        <v>-3866</v>
      </c>
      <c r="AZ46" s="72">
        <v>653</v>
      </c>
      <c r="BA46" s="72">
        <v>1555</v>
      </c>
      <c r="BB46" s="72">
        <v>7450</v>
      </c>
      <c r="BC46" s="72">
        <v>-1334</v>
      </c>
      <c r="BD46" s="72">
        <v>-5032</v>
      </c>
      <c r="BE46" s="72">
        <v>-115888</v>
      </c>
      <c r="BF46" s="74">
        <f t="shared" si="2"/>
        <v>44890</v>
      </c>
      <c r="BG46" s="72">
        <f t="shared" si="3"/>
        <v>313052</v>
      </c>
      <c r="BH46" s="72" t="str">
        <f t="shared" si="12"/>
        <v/>
      </c>
      <c r="BI46" s="72" t="str">
        <f t="shared" si="13"/>
        <v/>
      </c>
      <c r="BJ46" s="72" t="str">
        <f t="shared" si="14"/>
        <v/>
      </c>
      <c r="BK46" s="72" t="str">
        <f t="shared" si="15"/>
        <v/>
      </c>
      <c r="BL46" s="72" t="str">
        <f t="shared" si="16"/>
        <v/>
      </c>
      <c r="BM46" s="72" t="str">
        <f t="shared" si="17"/>
        <v/>
      </c>
      <c r="BN46" s="72" t="str">
        <f t="shared" si="18"/>
        <v/>
      </c>
      <c r="BR46" s="133">
        <f t="shared" si="11"/>
        <v>44890</v>
      </c>
      <c r="BS46" s="100">
        <f>IF($BG$5=TRUE,IF(AX46="","",SUM(AX46:$AX$68)),"")</f>
        <v>3839930</v>
      </c>
      <c r="BT46" s="100" t="str">
        <f>IF($BH$5=TRUE,IF(AY46="","",SUM($AY46:AY$68)),"")</f>
        <v/>
      </c>
      <c r="BU46" s="100" t="str">
        <f>IF($BI$5=TRUE,IF(AZ46="","",SUM($AZ46:AZ$68)),"")</f>
        <v/>
      </c>
      <c r="BV46" s="100" t="str">
        <f>IF($BJ$5=TRUE,IF(BA46="","",SUM($BA46:BA$68)),"")</f>
        <v/>
      </c>
      <c r="BW46" s="100" t="str">
        <f>IF($BK$5=TRUE,IF(BB46="","",SUM($BB46:BB$68)),"")</f>
        <v/>
      </c>
      <c r="BX46" s="100" t="str">
        <f>IF($BL$5=TRUE,IF(BC46="","",SUM($BC46:BC$68)),"")</f>
        <v/>
      </c>
      <c r="BY46" s="100" t="str">
        <f>IF($BM$5=TRUE,IF(BD46="","",SUM($BD46:BD$68)),"")</f>
        <v/>
      </c>
      <c r="BZ46" s="100" t="str">
        <f>IF($BN$5=TRUE,IF(BE46="","",SUM($BE46:BE$68)),"")</f>
        <v/>
      </c>
    </row>
    <row r="47" spans="2:78" x14ac:dyDescent="0.25">
      <c r="B47" s="43"/>
      <c r="C47" s="43"/>
      <c r="D47" s="43"/>
      <c r="E47" s="43"/>
      <c r="F47" s="43"/>
      <c r="N47" s="43"/>
      <c r="O47" s="43"/>
      <c r="P47" s="43"/>
      <c r="Q47" s="43"/>
      <c r="R47" s="43"/>
      <c r="S47" s="43"/>
      <c r="T47" s="43"/>
      <c r="U47" s="43"/>
      <c r="V47" s="43"/>
      <c r="W47" s="43"/>
      <c r="X47" s="43"/>
      <c r="Y47" s="43"/>
      <c r="Z47" s="43"/>
      <c r="AA47" s="43"/>
      <c r="AB47" s="43"/>
      <c r="AR47" s="132"/>
      <c r="AT47" s="74">
        <v>44889</v>
      </c>
      <c r="AU47" s="72">
        <v>2441.33</v>
      </c>
      <c r="AW47" s="74">
        <v>44889</v>
      </c>
      <c r="AX47" s="72">
        <v>126297</v>
      </c>
      <c r="AY47" s="72">
        <v>-11525</v>
      </c>
      <c r="AZ47" s="72">
        <v>3451</v>
      </c>
      <c r="BA47" s="72">
        <v>-4706</v>
      </c>
      <c r="BB47" s="72">
        <v>34575</v>
      </c>
      <c r="BC47" s="72">
        <v>-265</v>
      </c>
      <c r="BD47" s="72">
        <v>11434</v>
      </c>
      <c r="BE47" s="72">
        <v>-217792</v>
      </c>
      <c r="BF47" s="74">
        <f t="shared" si="2"/>
        <v>44889</v>
      </c>
      <c r="BG47" s="72">
        <f t="shared" si="3"/>
        <v>126297</v>
      </c>
      <c r="BH47" s="72" t="str">
        <f t="shared" si="12"/>
        <v/>
      </c>
      <c r="BI47" s="72" t="str">
        <f t="shared" si="13"/>
        <v/>
      </c>
      <c r="BJ47" s="72" t="str">
        <f t="shared" si="14"/>
        <v/>
      </c>
      <c r="BK47" s="72" t="str">
        <f t="shared" si="15"/>
        <v/>
      </c>
      <c r="BL47" s="72" t="str">
        <f t="shared" si="16"/>
        <v/>
      </c>
      <c r="BM47" s="72" t="str">
        <f t="shared" si="17"/>
        <v/>
      </c>
      <c r="BN47" s="72" t="str">
        <f t="shared" si="18"/>
        <v/>
      </c>
      <c r="BR47" s="133">
        <f t="shared" si="11"/>
        <v>44889</v>
      </c>
      <c r="BS47" s="100">
        <f>IF($BG$5=TRUE,IF(AX47="","",SUM(AX47:$AX$68)),"")</f>
        <v>3526878</v>
      </c>
      <c r="BT47" s="100" t="str">
        <f>IF($BH$5=TRUE,IF(AY47="","",SUM($AY47:AY$68)),"")</f>
        <v/>
      </c>
      <c r="BU47" s="100" t="str">
        <f>IF($BI$5=TRUE,IF(AZ47="","",SUM($AZ47:AZ$68)),"")</f>
        <v/>
      </c>
      <c r="BV47" s="100" t="str">
        <f>IF($BJ$5=TRUE,IF(BA47="","",SUM($BA47:BA$68)),"")</f>
        <v/>
      </c>
      <c r="BW47" s="100" t="str">
        <f>IF($BK$5=TRUE,IF(BB47="","",SUM($BB47:BB$68)),"")</f>
        <v/>
      </c>
      <c r="BX47" s="100" t="str">
        <f>IF($BL$5=TRUE,IF(BC47="","",SUM($BC47:BC$68)),"")</f>
        <v/>
      </c>
      <c r="BY47" s="100" t="str">
        <f>IF($BM$5=TRUE,IF(BD47="","",SUM($BD47:BD$68)),"")</f>
        <v/>
      </c>
      <c r="BZ47" s="100" t="str">
        <f>IF($BN$5=TRUE,IF(BE47="","",SUM($BE47:BE$68)),"")</f>
        <v/>
      </c>
    </row>
    <row r="48" spans="2:78" x14ac:dyDescent="0.25">
      <c r="B48" s="43"/>
      <c r="C48" s="43"/>
      <c r="D48" s="43"/>
      <c r="E48" s="43"/>
      <c r="F48" s="43"/>
      <c r="N48" s="43"/>
      <c r="O48" s="43"/>
      <c r="P48" s="43"/>
      <c r="Q48" s="43"/>
      <c r="R48" s="43"/>
      <c r="S48" s="43"/>
      <c r="T48" s="43"/>
      <c r="U48" s="43"/>
      <c r="V48" s="43"/>
      <c r="W48" s="43"/>
      <c r="X48" s="43"/>
      <c r="Y48" s="43"/>
      <c r="Z48" s="43"/>
      <c r="AA48" s="43"/>
      <c r="AB48" s="43"/>
      <c r="AR48" s="132"/>
      <c r="AT48" s="74">
        <v>44888</v>
      </c>
      <c r="AU48" s="72">
        <v>2418.0100000000002</v>
      </c>
      <c r="AW48" s="74">
        <v>44888</v>
      </c>
      <c r="AX48" s="72">
        <v>90288</v>
      </c>
      <c r="AY48" s="72">
        <v>81827</v>
      </c>
      <c r="AZ48" s="72">
        <v>-7478</v>
      </c>
      <c r="BA48" s="72">
        <v>-4418</v>
      </c>
      <c r="BB48" s="72">
        <v>-2978</v>
      </c>
      <c r="BC48" s="72">
        <v>-638</v>
      </c>
      <c r="BD48" s="72">
        <v>-71926</v>
      </c>
      <c r="BE48" s="72">
        <v>-96726</v>
      </c>
      <c r="BF48" s="74">
        <f t="shared" si="2"/>
        <v>44888</v>
      </c>
      <c r="BG48" s="72">
        <f t="shared" si="3"/>
        <v>90288</v>
      </c>
      <c r="BH48" s="72" t="str">
        <f t="shared" si="12"/>
        <v/>
      </c>
      <c r="BI48" s="72" t="str">
        <f t="shared" si="13"/>
        <v/>
      </c>
      <c r="BJ48" s="72" t="str">
        <f t="shared" si="14"/>
        <v/>
      </c>
      <c r="BK48" s="72" t="str">
        <f t="shared" si="15"/>
        <v/>
      </c>
      <c r="BL48" s="72" t="str">
        <f t="shared" si="16"/>
        <v/>
      </c>
      <c r="BM48" s="72" t="str">
        <f t="shared" si="17"/>
        <v/>
      </c>
      <c r="BN48" s="72" t="str">
        <f t="shared" si="18"/>
        <v/>
      </c>
      <c r="BR48" s="133">
        <f t="shared" si="11"/>
        <v>44888</v>
      </c>
      <c r="BS48" s="100">
        <f>IF($BG$5=TRUE,IF(AX48="","",SUM(AX48:$AX$68)),"")</f>
        <v>3400581</v>
      </c>
      <c r="BT48" s="100" t="str">
        <f>IF($BH$5=TRUE,IF(AY48="","",SUM($AY48:AY$68)),"")</f>
        <v/>
      </c>
      <c r="BU48" s="100" t="str">
        <f>IF($BI$5=TRUE,IF(AZ48="","",SUM($AZ48:AZ$68)),"")</f>
        <v/>
      </c>
      <c r="BV48" s="100" t="str">
        <f>IF($BJ$5=TRUE,IF(BA48="","",SUM($BA48:BA$68)),"")</f>
        <v/>
      </c>
      <c r="BW48" s="100" t="str">
        <f>IF($BK$5=TRUE,IF(BB48="","",SUM($BB48:BB$68)),"")</f>
        <v/>
      </c>
      <c r="BX48" s="100" t="str">
        <f>IF($BL$5=TRUE,IF(BC48="","",SUM($BC48:BC$68)),"")</f>
        <v/>
      </c>
      <c r="BY48" s="100" t="str">
        <f>IF($BM$5=TRUE,IF(BD48="","",SUM($BD48:BD$68)),"")</f>
        <v/>
      </c>
      <c r="BZ48" s="100" t="str">
        <f>IF($BN$5=TRUE,IF(BE48="","",SUM($BE48:BE$68)),"")</f>
        <v/>
      </c>
    </row>
    <row r="49" spans="2:78" x14ac:dyDescent="0.25">
      <c r="F49" s="43"/>
      <c r="G49" s="43"/>
      <c r="H49" s="43"/>
      <c r="I49" s="43"/>
      <c r="J49" s="43"/>
      <c r="K49" s="43"/>
      <c r="L49" s="43"/>
      <c r="M49" s="43"/>
      <c r="AE49" s="1"/>
      <c r="AR49" s="132"/>
      <c r="AT49" s="74">
        <v>44887</v>
      </c>
      <c r="AU49" s="72">
        <v>2405.27</v>
      </c>
      <c r="AW49" s="74">
        <v>44887</v>
      </c>
      <c r="AX49" s="72">
        <v>15747</v>
      </c>
      <c r="AY49" s="72">
        <v>102793</v>
      </c>
      <c r="AZ49" s="72">
        <v>1894</v>
      </c>
      <c r="BA49" s="72">
        <v>-5757</v>
      </c>
      <c r="BB49" s="72">
        <v>17028</v>
      </c>
      <c r="BC49" s="72">
        <v>-10928</v>
      </c>
      <c r="BD49" s="72">
        <v>-61190</v>
      </c>
      <c r="BE49" s="72">
        <v>-24199</v>
      </c>
      <c r="BF49" s="74">
        <f t="shared" si="2"/>
        <v>44887</v>
      </c>
      <c r="BG49" s="72">
        <f t="shared" si="3"/>
        <v>15747</v>
      </c>
      <c r="BH49" s="72" t="str">
        <f t="shared" si="12"/>
        <v/>
      </c>
      <c r="BI49" s="72" t="str">
        <f t="shared" si="13"/>
        <v/>
      </c>
      <c r="BJ49" s="72" t="str">
        <f t="shared" si="14"/>
        <v/>
      </c>
      <c r="BK49" s="72" t="str">
        <f t="shared" si="15"/>
        <v/>
      </c>
      <c r="BL49" s="72" t="str">
        <f t="shared" si="16"/>
        <v/>
      </c>
      <c r="BM49" s="72" t="str">
        <f t="shared" si="17"/>
        <v/>
      </c>
      <c r="BN49" s="72" t="str">
        <f t="shared" si="18"/>
        <v/>
      </c>
      <c r="BR49" s="133">
        <f t="shared" si="11"/>
        <v>44887</v>
      </c>
      <c r="BS49" s="100">
        <f>IF($BG$5=TRUE,IF(AX49="","",SUM(AX49:$AX$68)),"")</f>
        <v>3310293</v>
      </c>
      <c r="BT49" s="100" t="str">
        <f>IF($BH$5=TRUE,IF(AY49="","",SUM($AY49:AY$68)),"")</f>
        <v/>
      </c>
      <c r="BU49" s="100" t="str">
        <f>IF($BI$5=TRUE,IF(AZ49="","",SUM($AZ49:AZ$68)),"")</f>
        <v/>
      </c>
      <c r="BV49" s="100" t="str">
        <f>IF($BJ$5=TRUE,IF(BA49="","",SUM($BA49:BA$68)),"")</f>
        <v/>
      </c>
      <c r="BW49" s="100" t="str">
        <f>IF($BK$5=TRUE,IF(BB49="","",SUM($BB49:BB$68)),"")</f>
        <v/>
      </c>
      <c r="BX49" s="100" t="str">
        <f>IF($BL$5=TRUE,IF(BC49="","",SUM($BC49:BC$68)),"")</f>
        <v/>
      </c>
      <c r="BY49" s="100" t="str">
        <f>IF($BM$5=TRUE,IF(BD49="","",SUM($BD49:BD$68)),"")</f>
        <v/>
      </c>
      <c r="BZ49" s="100" t="str">
        <f>IF($BN$5=TRUE,IF(BE49="","",SUM($BE49:BE$68)),"")</f>
        <v/>
      </c>
    </row>
    <row r="50" spans="2:78" x14ac:dyDescent="0.25">
      <c r="F50" s="43"/>
      <c r="G50" s="43"/>
      <c r="H50" s="43"/>
      <c r="I50" s="43"/>
      <c r="J50" s="43"/>
      <c r="K50" s="43"/>
      <c r="L50" s="43"/>
      <c r="M50" s="43"/>
      <c r="AR50" s="132"/>
      <c r="AT50" s="74">
        <v>44886</v>
      </c>
      <c r="AU50" s="72">
        <v>2419.5</v>
      </c>
      <c r="AW50" s="74">
        <v>44886</v>
      </c>
      <c r="AX50" s="72">
        <v>-164942</v>
      </c>
      <c r="AY50" s="72">
        <v>280078</v>
      </c>
      <c r="AZ50" s="72">
        <v>119</v>
      </c>
      <c r="BA50" s="72">
        <v>-4239</v>
      </c>
      <c r="BB50" s="72">
        <v>-18371</v>
      </c>
      <c r="BC50" s="72">
        <v>-805</v>
      </c>
      <c r="BD50" s="72">
        <v>-54440</v>
      </c>
      <c r="BE50" s="72">
        <v>66295</v>
      </c>
      <c r="BF50" s="74">
        <f t="shared" si="2"/>
        <v>44886</v>
      </c>
      <c r="BG50" s="72">
        <f t="shared" si="3"/>
        <v>-164942</v>
      </c>
      <c r="BH50" s="72" t="str">
        <f t="shared" si="12"/>
        <v/>
      </c>
      <c r="BI50" s="72" t="str">
        <f t="shared" si="13"/>
        <v/>
      </c>
      <c r="BJ50" s="72" t="str">
        <f t="shared" si="14"/>
        <v/>
      </c>
      <c r="BK50" s="72" t="str">
        <f t="shared" si="15"/>
        <v/>
      </c>
      <c r="BL50" s="72" t="str">
        <f t="shared" si="16"/>
        <v/>
      </c>
      <c r="BM50" s="72" t="str">
        <f t="shared" si="17"/>
        <v/>
      </c>
      <c r="BN50" s="72" t="str">
        <f t="shared" si="18"/>
        <v/>
      </c>
      <c r="BR50" s="133">
        <f t="shared" si="11"/>
        <v>44886</v>
      </c>
      <c r="BS50" s="100">
        <f>IF($BG$5=TRUE,IF(AX50="","",SUM(AX50:$AX$68)),"")</f>
        <v>3294546</v>
      </c>
      <c r="BT50" s="100" t="str">
        <f>IF($BH$5=TRUE,IF(AY50="","",SUM($AY50:AY$68)),"")</f>
        <v/>
      </c>
      <c r="BU50" s="100" t="str">
        <f>IF($BI$5=TRUE,IF(AZ50="","",SUM($AZ50:AZ$68)),"")</f>
        <v/>
      </c>
      <c r="BV50" s="100" t="str">
        <f>IF($BJ$5=TRUE,IF(BA50="","",SUM($BA50:BA$68)),"")</f>
        <v/>
      </c>
      <c r="BW50" s="100" t="str">
        <f>IF($BK$5=TRUE,IF(BB50="","",SUM($BB50:BB$68)),"")</f>
        <v/>
      </c>
      <c r="BX50" s="100" t="str">
        <f>IF($BL$5=TRUE,IF(BC50="","",SUM($BC50:BC$68)),"")</f>
        <v/>
      </c>
      <c r="BY50" s="100" t="str">
        <f>IF($BM$5=TRUE,IF(BD50="","",SUM($BD50:BD$68)),"")</f>
        <v/>
      </c>
      <c r="BZ50" s="100" t="str">
        <f>IF($BN$5=TRUE,IF(BE50="","",SUM($BE50:BE$68)),"")</f>
        <v/>
      </c>
    </row>
    <row r="51" spans="2:78" x14ac:dyDescent="0.25">
      <c r="F51" s="43"/>
      <c r="G51" s="43"/>
      <c r="H51" s="43"/>
      <c r="I51" s="43"/>
      <c r="J51" s="43"/>
      <c r="K51" s="43"/>
      <c r="L51" s="43"/>
      <c r="M51" s="43"/>
      <c r="AR51" s="132"/>
      <c r="AT51" s="74">
        <v>44883</v>
      </c>
      <c r="AU51" s="72">
        <v>2444.48</v>
      </c>
      <c r="AW51" s="74">
        <v>44883</v>
      </c>
      <c r="AX51" s="72">
        <v>199529</v>
      </c>
      <c r="AY51" s="72">
        <v>-6658</v>
      </c>
      <c r="AZ51" s="72">
        <v>1276</v>
      </c>
      <c r="BA51" s="72">
        <v>-13950</v>
      </c>
      <c r="BB51" s="72">
        <v>46905</v>
      </c>
      <c r="BC51" s="72">
        <v>2381</v>
      </c>
      <c r="BD51" s="72">
        <v>-57105</v>
      </c>
      <c r="BE51" s="72">
        <v>-150259</v>
      </c>
      <c r="BF51" s="74">
        <f t="shared" si="2"/>
        <v>44883</v>
      </c>
      <c r="BG51" s="72">
        <f t="shared" si="3"/>
        <v>199529</v>
      </c>
      <c r="BH51" s="72" t="str">
        <f t="shared" si="12"/>
        <v/>
      </c>
      <c r="BI51" s="72" t="str">
        <f t="shared" si="13"/>
        <v/>
      </c>
      <c r="BJ51" s="72" t="str">
        <f t="shared" si="14"/>
        <v/>
      </c>
      <c r="BK51" s="72" t="str">
        <f t="shared" si="15"/>
        <v/>
      </c>
      <c r="BL51" s="72" t="str">
        <f t="shared" si="16"/>
        <v/>
      </c>
      <c r="BM51" s="72" t="str">
        <f t="shared" si="17"/>
        <v/>
      </c>
      <c r="BN51" s="72" t="str">
        <f t="shared" si="18"/>
        <v/>
      </c>
      <c r="BR51" s="133">
        <f t="shared" si="11"/>
        <v>44883</v>
      </c>
      <c r="BS51" s="100">
        <f>IF($BG$5=TRUE,IF(AX51="","",SUM(AX51:$AX$68)),"")</f>
        <v>3459488</v>
      </c>
      <c r="BT51" s="100" t="str">
        <f>IF($BH$5=TRUE,IF(AY51="","",SUM($AY51:AY$68)),"")</f>
        <v/>
      </c>
      <c r="BU51" s="100" t="str">
        <f>IF($BI$5=TRUE,IF(AZ51="","",SUM($AZ51:AZ$68)),"")</f>
        <v/>
      </c>
      <c r="BV51" s="100" t="str">
        <f>IF($BJ$5=TRUE,IF(BA51="","",SUM($BA51:BA$68)),"")</f>
        <v/>
      </c>
      <c r="BW51" s="100" t="str">
        <f>IF($BK$5=TRUE,IF(BB51="","",SUM($BB51:BB$68)),"")</f>
        <v/>
      </c>
      <c r="BX51" s="100" t="str">
        <f>IF($BL$5=TRUE,IF(BC51="","",SUM($BC51:BC$68)),"")</f>
        <v/>
      </c>
      <c r="BY51" s="100" t="str">
        <f>IF($BM$5=TRUE,IF(BD51="","",SUM($BD51:BD$68)),"")</f>
        <v/>
      </c>
      <c r="BZ51" s="100" t="str">
        <f>IF($BN$5=TRUE,IF(BE51="","",SUM($BE51:BE$68)),"")</f>
        <v/>
      </c>
    </row>
    <row r="52" spans="2:78" x14ac:dyDescent="0.25">
      <c r="F52" s="43"/>
      <c r="G52" s="43"/>
      <c r="H52" s="43"/>
      <c r="I52" s="43"/>
      <c r="J52" s="43"/>
      <c r="K52" s="43"/>
      <c r="L52" s="43"/>
      <c r="M52" s="43"/>
      <c r="N52" s="43"/>
      <c r="AR52" s="132"/>
      <c r="AT52" s="74">
        <v>44882</v>
      </c>
      <c r="AU52" s="72">
        <v>2442.9</v>
      </c>
      <c r="AW52" s="74">
        <v>44882</v>
      </c>
      <c r="AX52" s="72">
        <v>-382029</v>
      </c>
      <c r="AY52" s="72">
        <v>22703</v>
      </c>
      <c r="AZ52" s="72">
        <v>-72</v>
      </c>
      <c r="BA52" s="72">
        <v>-22131</v>
      </c>
      <c r="BB52" s="72">
        <v>-13244</v>
      </c>
      <c r="BC52" s="72">
        <v>-1775</v>
      </c>
      <c r="BD52" s="72">
        <v>-49874</v>
      </c>
      <c r="BE52" s="72">
        <v>487911</v>
      </c>
      <c r="BF52" s="74">
        <f t="shared" si="2"/>
        <v>44882</v>
      </c>
      <c r="BG52" s="72">
        <f t="shared" si="3"/>
        <v>-382029</v>
      </c>
      <c r="BH52" s="72" t="str">
        <f t="shared" si="12"/>
        <v/>
      </c>
      <c r="BI52" s="72" t="str">
        <f t="shared" si="13"/>
        <v/>
      </c>
      <c r="BJ52" s="72" t="str">
        <f t="shared" si="14"/>
        <v/>
      </c>
      <c r="BK52" s="72" t="str">
        <f t="shared" si="15"/>
        <v/>
      </c>
      <c r="BL52" s="72" t="str">
        <f t="shared" si="16"/>
        <v/>
      </c>
      <c r="BM52" s="72" t="str">
        <f t="shared" si="17"/>
        <v/>
      </c>
      <c r="BN52" s="72" t="str">
        <f t="shared" si="18"/>
        <v/>
      </c>
      <c r="BR52" s="133">
        <f t="shared" si="11"/>
        <v>44882</v>
      </c>
      <c r="BS52" s="100">
        <f>IF($BG$5=TRUE,IF(AX52="","",SUM(AX52:$AX$68)),"")</f>
        <v>3259959</v>
      </c>
      <c r="BT52" s="100" t="str">
        <f>IF($BH$5=TRUE,IF(AY52="","",SUM($AY52:AY$68)),"")</f>
        <v/>
      </c>
      <c r="BU52" s="100" t="str">
        <f>IF($BI$5=TRUE,IF(AZ52="","",SUM($AZ52:AZ$68)),"")</f>
        <v/>
      </c>
      <c r="BV52" s="100" t="str">
        <f>IF($BJ$5=TRUE,IF(BA52="","",SUM($BA52:BA$68)),"")</f>
        <v/>
      </c>
      <c r="BW52" s="100" t="str">
        <f>IF($BK$5=TRUE,IF(BB52="","",SUM($BB52:BB$68)),"")</f>
        <v/>
      </c>
      <c r="BX52" s="100" t="str">
        <f>IF($BL$5=TRUE,IF(BC52="","",SUM($BC52:BC$68)),"")</f>
        <v/>
      </c>
      <c r="BY52" s="100" t="str">
        <f>IF($BM$5=TRUE,IF(BD52="","",SUM($BD52:BD$68)),"")</f>
        <v/>
      </c>
      <c r="BZ52" s="100" t="str">
        <f>IF($BN$5=TRUE,IF(BE52="","",SUM($BE52:BE$68)),"")</f>
        <v/>
      </c>
    </row>
    <row r="53" spans="2:78" x14ac:dyDescent="0.25">
      <c r="B53" s="7"/>
      <c r="F53" s="43"/>
      <c r="G53" s="43"/>
      <c r="H53" s="43"/>
      <c r="I53" s="43"/>
      <c r="J53" s="43"/>
      <c r="K53" s="43"/>
      <c r="L53" s="43"/>
      <c r="M53" s="43"/>
      <c r="N53" s="43"/>
      <c r="AB53" s="43"/>
      <c r="AK53" s="72"/>
      <c r="AL53" s="159"/>
      <c r="AM53" s="159"/>
      <c r="AN53" s="159"/>
      <c r="AO53" s="159"/>
      <c r="AP53" s="159"/>
      <c r="AQ53" s="159"/>
      <c r="AR53" s="132"/>
      <c r="AT53" s="74">
        <v>44881</v>
      </c>
      <c r="AU53" s="72">
        <v>2477.4499999999998</v>
      </c>
      <c r="AW53" s="74">
        <v>44881</v>
      </c>
      <c r="AX53" s="72">
        <v>88400</v>
      </c>
      <c r="AY53" s="72">
        <v>69714</v>
      </c>
      <c r="AZ53" s="72">
        <v>-1237</v>
      </c>
      <c r="BA53" s="72">
        <v>-3848</v>
      </c>
      <c r="BB53" s="72">
        <v>-85304</v>
      </c>
      <c r="BC53" s="72">
        <v>-3589</v>
      </c>
      <c r="BD53" s="72">
        <v>-122575</v>
      </c>
      <c r="BE53" s="72">
        <v>178235</v>
      </c>
      <c r="BF53" s="74">
        <f t="shared" si="2"/>
        <v>44881</v>
      </c>
      <c r="BG53" s="72">
        <f t="shared" si="3"/>
        <v>88400</v>
      </c>
      <c r="BH53" s="72" t="str">
        <f t="shared" ref="BH53:BH68" si="19">IF(BH$5=TRUE,AY53,"")</f>
        <v/>
      </c>
      <c r="BI53" s="72" t="str">
        <f t="shared" ref="BI53:BI68" si="20">IF(BI$5=TRUE,AZ53,"")</f>
        <v/>
      </c>
      <c r="BJ53" s="72" t="str">
        <f t="shared" ref="BJ53:BJ68" si="21">IF(BJ$5=TRUE,BA53,"")</f>
        <v/>
      </c>
      <c r="BK53" s="72" t="str">
        <f t="shared" ref="BK53:BK68" si="22">IF(BK$5=TRUE,BB53,"")</f>
        <v/>
      </c>
      <c r="BL53" s="72" t="str">
        <f t="shared" ref="BL53:BL68" si="23">IF(BL$5=TRUE,BC53,"")</f>
        <v/>
      </c>
      <c r="BM53" s="72" t="str">
        <f t="shared" ref="BM53:BM68" si="24">IF(BM$5=TRUE,BD53,"")</f>
        <v/>
      </c>
      <c r="BN53" s="72" t="str">
        <f t="shared" ref="BN53:BN68" si="25">IF(BN$5=TRUE,BE53,"")</f>
        <v/>
      </c>
      <c r="BR53" s="133">
        <f t="shared" si="11"/>
        <v>44881</v>
      </c>
      <c r="BS53" s="100">
        <f>IF($BG$5=TRUE,IF(AX53="","",SUM(AX53:$AX$68)),"")</f>
        <v>3641988</v>
      </c>
      <c r="BT53" s="100" t="str">
        <f>IF($BH$5=TRUE,IF(AY53="","",SUM($AY53:AY$68)),"")</f>
        <v/>
      </c>
      <c r="BU53" s="100" t="str">
        <f>IF($BI$5=TRUE,IF(AZ53="","",SUM($AZ53:AZ$68)),"")</f>
        <v/>
      </c>
      <c r="BV53" s="100" t="str">
        <f>IF($BJ$5=TRUE,IF(BA53="","",SUM($BA53:BA$68)),"")</f>
        <v/>
      </c>
      <c r="BW53" s="100" t="str">
        <f>IF($BK$5=TRUE,IF(BB53="","",SUM($BB53:BB$68)),"")</f>
        <v/>
      </c>
      <c r="BX53" s="100" t="str">
        <f>IF($BL$5=TRUE,IF(BC53="","",SUM($BC53:BC$68)),"")</f>
        <v/>
      </c>
      <c r="BY53" s="100" t="str">
        <f>IF($BM$5=TRUE,IF(BD53="","",SUM($BD53:BD$68)),"")</f>
        <v/>
      </c>
      <c r="BZ53" s="100" t="str">
        <f>IF($BN$5=TRUE,IF(BE53="","",SUM($BE53:BE$68)),"")</f>
        <v/>
      </c>
    </row>
    <row r="54" spans="2:78" x14ac:dyDescent="0.25">
      <c r="B54" s="7"/>
      <c r="F54" s="43"/>
      <c r="G54" s="43"/>
      <c r="H54" s="43"/>
      <c r="I54" s="43"/>
      <c r="J54" s="43"/>
      <c r="K54" s="43"/>
      <c r="L54" s="43"/>
      <c r="M54" s="43"/>
      <c r="AK54" s="72"/>
      <c r="AT54" s="74">
        <v>44880</v>
      </c>
      <c r="AU54" s="72">
        <v>2480.33</v>
      </c>
      <c r="AW54" s="74">
        <v>44880</v>
      </c>
      <c r="AX54" s="72">
        <v>-235609</v>
      </c>
      <c r="AY54" s="72">
        <v>225899</v>
      </c>
      <c r="AZ54" s="72">
        <v>1028</v>
      </c>
      <c r="BA54" s="72">
        <v>-6155</v>
      </c>
      <c r="BB54" s="72">
        <v>-105625</v>
      </c>
      <c r="BC54" s="72">
        <v>-12486</v>
      </c>
      <c r="BD54" s="72">
        <v>-76850</v>
      </c>
      <c r="BE54" s="72">
        <v>325806</v>
      </c>
      <c r="BF54" s="74">
        <f t="shared" si="2"/>
        <v>44880</v>
      </c>
      <c r="BG54" s="72">
        <f t="shared" si="3"/>
        <v>-235609</v>
      </c>
      <c r="BH54" s="72" t="str">
        <f t="shared" si="19"/>
        <v/>
      </c>
      <c r="BI54" s="72" t="str">
        <f t="shared" si="20"/>
        <v/>
      </c>
      <c r="BJ54" s="72" t="str">
        <f t="shared" si="21"/>
        <v/>
      </c>
      <c r="BK54" s="72" t="str">
        <f t="shared" si="22"/>
        <v/>
      </c>
      <c r="BL54" s="72" t="str">
        <f t="shared" si="23"/>
        <v/>
      </c>
      <c r="BM54" s="72" t="str">
        <f t="shared" si="24"/>
        <v/>
      </c>
      <c r="BN54" s="72" t="str">
        <f t="shared" si="25"/>
        <v/>
      </c>
      <c r="BR54" s="133">
        <f t="shared" si="11"/>
        <v>44880</v>
      </c>
      <c r="BS54" s="100">
        <f>IF($BG$5=TRUE,IF(AX54="","",SUM(AX54:$AX$68)),"")</f>
        <v>3553588</v>
      </c>
      <c r="BT54" s="100" t="str">
        <f>IF($BH$5=TRUE,IF(AY54="","",SUM($AY54:AY$68)),"")</f>
        <v/>
      </c>
      <c r="BU54" s="100" t="str">
        <f>IF($BI$5=TRUE,IF(AZ54="","",SUM($AZ54:AZ$68)),"")</f>
        <v/>
      </c>
      <c r="BV54" s="100" t="str">
        <f>IF($BJ$5=TRUE,IF(BA54="","",SUM($BA54:BA$68)),"")</f>
        <v/>
      </c>
      <c r="BW54" s="100" t="str">
        <f>IF($BK$5=TRUE,IF(BB54="","",SUM($BB54:BB$68)),"")</f>
        <v/>
      </c>
      <c r="BX54" s="100" t="str">
        <f>IF($BL$5=TRUE,IF(BC54="","",SUM($BC54:BC$68)),"")</f>
        <v/>
      </c>
      <c r="BY54" s="100" t="str">
        <f>IF($BM$5=TRUE,IF(BD54="","",SUM($BD54:BD$68)),"")</f>
        <v/>
      </c>
      <c r="BZ54" s="100" t="str">
        <f>IF($BN$5=TRUE,IF(BE54="","",SUM($BE54:BE$68)),"")</f>
        <v/>
      </c>
    </row>
    <row r="55" spans="2:78" x14ac:dyDescent="0.25">
      <c r="B55" s="7"/>
      <c r="F55" s="43"/>
      <c r="G55" s="43"/>
      <c r="H55" s="43"/>
      <c r="I55" s="43"/>
      <c r="J55" s="43"/>
      <c r="K55" s="43"/>
      <c r="L55" s="43"/>
      <c r="M55" s="43"/>
      <c r="AK55" s="100"/>
      <c r="AT55" s="74">
        <v>44879</v>
      </c>
      <c r="AU55" s="72">
        <v>2474.65</v>
      </c>
      <c r="AW55" s="74">
        <v>44879</v>
      </c>
      <c r="AX55" s="72">
        <v>143156</v>
      </c>
      <c r="AY55" s="72">
        <v>16794</v>
      </c>
      <c r="AZ55" s="72">
        <v>165</v>
      </c>
      <c r="BA55" s="72">
        <v>-15979</v>
      </c>
      <c r="BB55" s="72">
        <v>-37630</v>
      </c>
      <c r="BC55" s="72">
        <v>3345</v>
      </c>
      <c r="BD55" s="72">
        <v>-65716</v>
      </c>
      <c r="BE55" s="72">
        <v>19449</v>
      </c>
      <c r="BF55" s="74">
        <f t="shared" si="2"/>
        <v>44879</v>
      </c>
      <c r="BG55" s="72">
        <f t="shared" ref="BG55:BG68" si="26">IF(BG$5=TRUE,AX55,"")</f>
        <v>143156</v>
      </c>
      <c r="BH55" s="72" t="str">
        <f t="shared" si="19"/>
        <v/>
      </c>
      <c r="BI55" s="72" t="str">
        <f t="shared" si="20"/>
        <v/>
      </c>
      <c r="BJ55" s="72" t="str">
        <f t="shared" si="21"/>
        <v/>
      </c>
      <c r="BK55" s="72" t="str">
        <f t="shared" si="22"/>
        <v/>
      </c>
      <c r="BL55" s="72" t="str">
        <f t="shared" si="23"/>
        <v/>
      </c>
      <c r="BM55" s="72" t="str">
        <f t="shared" si="24"/>
        <v/>
      </c>
      <c r="BN55" s="72" t="str">
        <f t="shared" si="25"/>
        <v/>
      </c>
      <c r="BR55" s="133">
        <f t="shared" si="11"/>
        <v>44879</v>
      </c>
      <c r="BS55" s="100">
        <f>IF($BG$5=TRUE,IF(AX55="","",SUM(AX55:$AX$68)),"")</f>
        <v>3789197</v>
      </c>
      <c r="BT55" s="100" t="str">
        <f>IF($BH$5=TRUE,IF(AY55="","",SUM($AY55:AY$68)),"")</f>
        <v/>
      </c>
      <c r="BU55" s="100" t="str">
        <f>IF($BI$5=TRUE,IF(AZ55="","",SUM($AZ55:AZ$68)),"")</f>
        <v/>
      </c>
      <c r="BV55" s="100" t="str">
        <f>IF($BJ$5=TRUE,IF(BA55="","",SUM($BA55:BA$68)),"")</f>
        <v/>
      </c>
      <c r="BW55" s="100" t="str">
        <f>IF($BK$5=TRUE,IF(BB55="","",SUM($BB55:BB$68)),"")</f>
        <v/>
      </c>
      <c r="BX55" s="100" t="str">
        <f>IF($BL$5=TRUE,IF(BC55="","",SUM($BC55:BC$68)),"")</f>
        <v/>
      </c>
      <c r="BY55" s="100" t="str">
        <f>IF($BM$5=TRUE,IF(BD55="","",SUM($BD55:BD$68)),"")</f>
        <v/>
      </c>
      <c r="BZ55" s="100" t="str">
        <f>IF($BN$5=TRUE,IF(BE55="","",SUM($BE55:BE$68)),"")</f>
        <v/>
      </c>
    </row>
    <row r="56" spans="2:78" x14ac:dyDescent="0.25">
      <c r="B56" s="7"/>
      <c r="F56" s="43"/>
      <c r="G56" s="43"/>
      <c r="H56" s="43"/>
      <c r="I56" s="43"/>
      <c r="J56" s="43"/>
      <c r="K56" s="43"/>
      <c r="L56" s="43"/>
      <c r="M56" s="43"/>
      <c r="AK56" s="100"/>
      <c r="AT56" s="74">
        <v>44876</v>
      </c>
      <c r="AU56" s="72">
        <v>2483.16</v>
      </c>
      <c r="AW56" s="74">
        <v>44876</v>
      </c>
      <c r="AX56" s="72">
        <v>700349</v>
      </c>
      <c r="AY56" s="72">
        <v>842837</v>
      </c>
      <c r="AZ56" s="72">
        <v>-1331</v>
      </c>
      <c r="BA56" s="72">
        <v>15183</v>
      </c>
      <c r="BB56" s="72">
        <v>51688</v>
      </c>
      <c r="BC56" s="72">
        <v>-1617</v>
      </c>
      <c r="BD56" s="72">
        <v>6365</v>
      </c>
      <c r="BE56" s="72">
        <v>-1673170</v>
      </c>
      <c r="BF56" s="74">
        <f t="shared" si="2"/>
        <v>44876</v>
      </c>
      <c r="BG56" s="72">
        <f t="shared" si="26"/>
        <v>700349</v>
      </c>
      <c r="BH56" s="72" t="str">
        <f t="shared" si="19"/>
        <v/>
      </c>
      <c r="BI56" s="72" t="str">
        <f t="shared" si="20"/>
        <v/>
      </c>
      <c r="BJ56" s="72" t="str">
        <f t="shared" si="21"/>
        <v/>
      </c>
      <c r="BK56" s="72" t="str">
        <f t="shared" si="22"/>
        <v/>
      </c>
      <c r="BL56" s="72" t="str">
        <f t="shared" si="23"/>
        <v/>
      </c>
      <c r="BM56" s="72" t="str">
        <f t="shared" si="24"/>
        <v/>
      </c>
      <c r="BN56" s="72" t="str">
        <f t="shared" si="25"/>
        <v/>
      </c>
      <c r="BR56" s="133">
        <f t="shared" si="11"/>
        <v>44876</v>
      </c>
      <c r="BS56" s="100">
        <f>IF($BG$5=TRUE,IF(AX56="","",SUM(AX56:$AX$68)),"")</f>
        <v>3646041</v>
      </c>
      <c r="BT56" s="100" t="str">
        <f>IF($BH$5=TRUE,IF(AY56="","",SUM($AY56:AY$68)),"")</f>
        <v/>
      </c>
      <c r="BU56" s="100" t="str">
        <f>IF($BI$5=TRUE,IF(AZ56="","",SUM($AZ56:AZ$68)),"")</f>
        <v/>
      </c>
      <c r="BV56" s="100" t="str">
        <f>IF($BJ$5=TRUE,IF(BA56="","",SUM($BA56:BA$68)),"")</f>
        <v/>
      </c>
      <c r="BW56" s="100" t="str">
        <f>IF($BK$5=TRUE,IF(BB56="","",SUM($BB56:BB$68)),"")</f>
        <v/>
      </c>
      <c r="BX56" s="100" t="str">
        <f>IF($BL$5=TRUE,IF(BC56="","",SUM($BC56:BC$68)),"")</f>
        <v/>
      </c>
      <c r="BY56" s="100" t="str">
        <f>IF($BM$5=TRUE,IF(BD56="","",SUM($BD56:BD$68)),"")</f>
        <v/>
      </c>
      <c r="BZ56" s="100" t="str">
        <f>IF($BN$5=TRUE,IF(BE56="","",SUM($BE56:BE$68)),"")</f>
        <v/>
      </c>
    </row>
    <row r="57" spans="2:78" x14ac:dyDescent="0.25">
      <c r="B57" s="7"/>
      <c r="F57" s="43"/>
      <c r="G57" s="43"/>
      <c r="H57" s="43"/>
      <c r="I57" s="43"/>
      <c r="J57" s="43"/>
      <c r="K57" s="43"/>
      <c r="L57" s="43"/>
      <c r="M57" s="43"/>
      <c r="N57" s="43"/>
      <c r="AK57" s="100"/>
      <c r="AT57" s="74">
        <v>44875</v>
      </c>
      <c r="AU57" s="72">
        <v>2402.23</v>
      </c>
      <c r="AW57" s="74">
        <v>44875</v>
      </c>
      <c r="AX57" s="72">
        <v>-108199</v>
      </c>
      <c r="AY57" s="72">
        <v>4442</v>
      </c>
      <c r="AZ57" s="72">
        <v>-1049</v>
      </c>
      <c r="BA57" s="72">
        <v>-12066</v>
      </c>
      <c r="BB57" s="72">
        <v>-28008</v>
      </c>
      <c r="BC57" s="72">
        <v>3125</v>
      </c>
      <c r="BD57" s="72">
        <v>-55406</v>
      </c>
      <c r="BE57" s="72">
        <v>239380</v>
      </c>
      <c r="BF57" s="74">
        <f t="shared" si="2"/>
        <v>44875</v>
      </c>
      <c r="BG57" s="72">
        <f t="shared" si="26"/>
        <v>-108199</v>
      </c>
      <c r="BH57" s="72" t="str">
        <f t="shared" si="19"/>
        <v/>
      </c>
      <c r="BI57" s="72" t="str">
        <f t="shared" si="20"/>
        <v/>
      </c>
      <c r="BJ57" s="72" t="str">
        <f t="shared" si="21"/>
        <v/>
      </c>
      <c r="BK57" s="72" t="str">
        <f t="shared" si="22"/>
        <v/>
      </c>
      <c r="BL57" s="72" t="str">
        <f t="shared" si="23"/>
        <v/>
      </c>
      <c r="BM57" s="72" t="str">
        <f t="shared" si="24"/>
        <v/>
      </c>
      <c r="BN57" s="72" t="str">
        <f t="shared" si="25"/>
        <v/>
      </c>
      <c r="BR57" s="133">
        <f t="shared" si="11"/>
        <v>44875</v>
      </c>
      <c r="BS57" s="100">
        <f>IF($BG$5=TRUE,IF(AX57="","",SUM(AX57:$AX$68)),"")</f>
        <v>2945692</v>
      </c>
      <c r="BT57" s="100" t="str">
        <f>IF($BH$5=TRUE,IF(AY57="","",SUM($AY57:AY$68)),"")</f>
        <v/>
      </c>
      <c r="BU57" s="100" t="str">
        <f>IF($BI$5=TRUE,IF(AZ57="","",SUM($AZ57:AZ$68)),"")</f>
        <v/>
      </c>
      <c r="BV57" s="100" t="str">
        <f>IF($BJ$5=TRUE,IF(BA57="","",SUM($BA57:BA$68)),"")</f>
        <v/>
      </c>
      <c r="BW57" s="100" t="str">
        <f>IF($BK$5=TRUE,IF(BB57="","",SUM($BB57:BB$68)),"")</f>
        <v/>
      </c>
      <c r="BX57" s="100" t="str">
        <f>IF($BL$5=TRUE,IF(BC57="","",SUM($BC57:BC$68)),"")</f>
        <v/>
      </c>
      <c r="BY57" s="100" t="str">
        <f>IF($BM$5=TRUE,IF(BD57="","",SUM($BD57:BD$68)),"")</f>
        <v/>
      </c>
      <c r="BZ57" s="100" t="str">
        <f>IF($BN$5=TRUE,IF(BE57="","",SUM($BE57:BE$68)),"")</f>
        <v/>
      </c>
    </row>
    <row r="58" spans="2:78" x14ac:dyDescent="0.25">
      <c r="B58" s="7"/>
      <c r="F58" s="43"/>
      <c r="G58" s="43"/>
      <c r="H58" s="43"/>
      <c r="I58" s="43"/>
      <c r="J58" s="43"/>
      <c r="K58" s="43"/>
      <c r="L58" s="43"/>
      <c r="M58" s="43"/>
      <c r="AK58" s="100"/>
      <c r="AT58" s="74">
        <v>44874</v>
      </c>
      <c r="AU58" s="72">
        <v>2424.41</v>
      </c>
      <c r="AW58" s="74">
        <v>44874</v>
      </c>
      <c r="AX58" s="72">
        <v>414668</v>
      </c>
      <c r="AY58" s="72">
        <v>398511</v>
      </c>
      <c r="AZ58" s="72">
        <v>-8794</v>
      </c>
      <c r="BA58" s="72">
        <v>-8524</v>
      </c>
      <c r="BB58" s="72">
        <v>-101</v>
      </c>
      <c r="BC58" s="72">
        <v>9339</v>
      </c>
      <c r="BD58" s="72">
        <v>-10604</v>
      </c>
      <c r="BE58" s="72">
        <v>-776952</v>
      </c>
      <c r="BF58" s="74">
        <f t="shared" si="2"/>
        <v>44874</v>
      </c>
      <c r="BG58" s="72">
        <f t="shared" si="26"/>
        <v>414668</v>
      </c>
      <c r="BH58" s="72" t="str">
        <f t="shared" si="19"/>
        <v/>
      </c>
      <c r="BI58" s="72" t="str">
        <f t="shared" si="20"/>
        <v/>
      </c>
      <c r="BJ58" s="72" t="str">
        <f t="shared" si="21"/>
        <v/>
      </c>
      <c r="BK58" s="72" t="str">
        <f t="shared" si="22"/>
        <v/>
      </c>
      <c r="BL58" s="72" t="str">
        <f t="shared" si="23"/>
        <v/>
      </c>
      <c r="BM58" s="72" t="str">
        <f t="shared" si="24"/>
        <v/>
      </c>
      <c r="BN58" s="72" t="str">
        <f t="shared" si="25"/>
        <v/>
      </c>
      <c r="BR58" s="133">
        <f t="shared" si="11"/>
        <v>44874</v>
      </c>
      <c r="BS58" s="100">
        <f>IF($BG$5=TRUE,IF(AX58="","",SUM(AX58:$AX$68)),"")</f>
        <v>3053891</v>
      </c>
      <c r="BT58" s="100" t="str">
        <f>IF($BH$5=TRUE,IF(AY58="","",SUM($AY58:AY$68)),"")</f>
        <v/>
      </c>
      <c r="BU58" s="100" t="str">
        <f>IF($BI$5=TRUE,IF(AZ58="","",SUM($AZ58:AZ$68)),"")</f>
        <v/>
      </c>
      <c r="BV58" s="100" t="str">
        <f>IF($BJ$5=TRUE,IF(BA58="","",SUM($BA58:BA$68)),"")</f>
        <v/>
      </c>
      <c r="BW58" s="100" t="str">
        <f>IF($BK$5=TRUE,IF(BB58="","",SUM($BB58:BB$68)),"")</f>
        <v/>
      </c>
      <c r="BX58" s="100" t="str">
        <f>IF($BL$5=TRUE,IF(BC58="","",SUM($BC58:BC$68)),"")</f>
        <v/>
      </c>
      <c r="BY58" s="100" t="str">
        <f>IF($BM$5=TRUE,IF(BD58="","",SUM($BD58:BD$68)),"")</f>
        <v/>
      </c>
      <c r="BZ58" s="100" t="str">
        <f>IF($BN$5=TRUE,IF(BE58="","",SUM($BE58:BE$68)),"")</f>
        <v/>
      </c>
    </row>
    <row r="59" spans="2:78" x14ac:dyDescent="0.25">
      <c r="B59" s="7"/>
      <c r="F59" s="43"/>
      <c r="G59" s="43"/>
      <c r="H59" s="43"/>
      <c r="I59" s="43"/>
      <c r="J59" s="43"/>
      <c r="K59" s="43"/>
      <c r="L59" s="43"/>
      <c r="M59" s="43"/>
      <c r="AK59" s="100"/>
      <c r="AT59" s="74">
        <v>44873</v>
      </c>
      <c r="AU59" s="72">
        <v>2399.04</v>
      </c>
      <c r="AW59" s="74">
        <v>44873</v>
      </c>
      <c r="AX59" s="72">
        <v>278067</v>
      </c>
      <c r="AY59" s="72">
        <v>490165</v>
      </c>
      <c r="AZ59" s="72">
        <v>-2078</v>
      </c>
      <c r="BA59" s="72">
        <v>5743</v>
      </c>
      <c r="BB59" s="72">
        <v>-4490</v>
      </c>
      <c r="BC59" s="72">
        <v>2350</v>
      </c>
      <c r="BD59" s="72">
        <v>-10201</v>
      </c>
      <c r="BE59" s="72">
        <v>-723862</v>
      </c>
      <c r="BF59" s="74">
        <f t="shared" si="2"/>
        <v>44873</v>
      </c>
      <c r="BG59" s="72">
        <f t="shared" si="26"/>
        <v>278067</v>
      </c>
      <c r="BH59" s="72" t="str">
        <f t="shared" si="19"/>
        <v/>
      </c>
      <c r="BI59" s="72" t="str">
        <f t="shared" si="20"/>
        <v/>
      </c>
      <c r="BJ59" s="72" t="str">
        <f t="shared" si="21"/>
        <v/>
      </c>
      <c r="BK59" s="72" t="str">
        <f t="shared" si="22"/>
        <v/>
      </c>
      <c r="BL59" s="72" t="str">
        <f t="shared" si="23"/>
        <v/>
      </c>
      <c r="BM59" s="72" t="str">
        <f t="shared" si="24"/>
        <v/>
      </c>
      <c r="BN59" s="72" t="str">
        <f t="shared" si="25"/>
        <v/>
      </c>
      <c r="BR59" s="133">
        <f t="shared" si="11"/>
        <v>44873</v>
      </c>
      <c r="BS59" s="100">
        <f>IF($BG$5=TRUE,IF(AX59="","",SUM(AX59:$AX$68)),"")</f>
        <v>2639223</v>
      </c>
      <c r="BT59" s="100" t="str">
        <f>IF($BH$5=TRUE,IF(AY59="","",SUM($AY59:AY$68)),"")</f>
        <v/>
      </c>
      <c r="BU59" s="100" t="str">
        <f>IF($BI$5=TRUE,IF(AZ59="","",SUM($AZ59:AZ$68)),"")</f>
        <v/>
      </c>
      <c r="BV59" s="100" t="str">
        <f>IF($BJ$5=TRUE,IF(BA59="","",SUM($BA59:BA$68)),"")</f>
        <v/>
      </c>
      <c r="BW59" s="100" t="str">
        <f>IF($BK$5=TRUE,IF(BB59="","",SUM($BB59:BB$68)),"")</f>
        <v/>
      </c>
      <c r="BX59" s="100" t="str">
        <f>IF($BL$5=TRUE,IF(BC59="","",SUM($BC59:BC$68)),"")</f>
        <v/>
      </c>
      <c r="BY59" s="100" t="str">
        <f>IF($BM$5=TRUE,IF(BD59="","",SUM($BD59:BD$68)),"")</f>
        <v/>
      </c>
      <c r="BZ59" s="100" t="str">
        <f>IF($BN$5=TRUE,IF(BE59="","",SUM($BE59:BE$68)),"")</f>
        <v/>
      </c>
    </row>
    <row r="60" spans="2:78" x14ac:dyDescent="0.25">
      <c r="F60" s="43"/>
      <c r="G60" s="43"/>
      <c r="H60" s="43"/>
      <c r="I60" s="43"/>
      <c r="J60" s="43"/>
      <c r="K60" s="43"/>
      <c r="L60" s="43"/>
      <c r="M60" s="43"/>
      <c r="AT60" s="74">
        <v>44872</v>
      </c>
      <c r="AU60" s="72">
        <v>2371.79</v>
      </c>
      <c r="AW60" s="74">
        <v>44872</v>
      </c>
      <c r="AX60" s="72">
        <v>111968</v>
      </c>
      <c r="AY60" s="72">
        <v>253985</v>
      </c>
      <c r="AZ60" s="72">
        <v>-1639</v>
      </c>
      <c r="BA60" s="72">
        <v>-5563</v>
      </c>
      <c r="BB60" s="72">
        <v>50840</v>
      </c>
      <c r="BC60" s="72">
        <v>6028</v>
      </c>
      <c r="BD60" s="72">
        <v>-56973</v>
      </c>
      <c r="BE60" s="72">
        <v>-404992</v>
      </c>
      <c r="BF60" s="74">
        <f t="shared" si="2"/>
        <v>44872</v>
      </c>
      <c r="BG60" s="72">
        <f t="shared" si="26"/>
        <v>111968</v>
      </c>
      <c r="BH60" s="72" t="str">
        <f t="shared" si="19"/>
        <v/>
      </c>
      <c r="BI60" s="72" t="str">
        <f t="shared" si="20"/>
        <v/>
      </c>
      <c r="BJ60" s="72" t="str">
        <f t="shared" si="21"/>
        <v/>
      </c>
      <c r="BK60" s="72" t="str">
        <f t="shared" si="22"/>
        <v/>
      </c>
      <c r="BL60" s="72" t="str">
        <f t="shared" si="23"/>
        <v/>
      </c>
      <c r="BM60" s="72" t="str">
        <f t="shared" si="24"/>
        <v/>
      </c>
      <c r="BN60" s="72" t="str">
        <f t="shared" si="25"/>
        <v/>
      </c>
      <c r="BR60" s="133">
        <f t="shared" si="11"/>
        <v>44872</v>
      </c>
      <c r="BS60" s="100">
        <f>IF($BG$5=TRUE,IF(AX60="","",SUM(AX60:$AX$68)),"")</f>
        <v>2361156</v>
      </c>
      <c r="BT60" s="100" t="str">
        <f>IF($BH$5=TRUE,IF(AY60="","",SUM($AY60:AY$68)),"")</f>
        <v/>
      </c>
      <c r="BU60" s="100" t="str">
        <f>IF($BI$5=TRUE,IF(AZ60="","",SUM($AZ60:AZ$68)),"")</f>
        <v/>
      </c>
      <c r="BV60" s="100" t="str">
        <f>IF($BJ$5=TRUE,IF(BA60="","",SUM($BA60:BA$68)),"")</f>
        <v/>
      </c>
      <c r="BW60" s="100" t="str">
        <f>IF($BK$5=TRUE,IF(BB60="","",SUM($BB60:BB$68)),"")</f>
        <v/>
      </c>
      <c r="BX60" s="100" t="str">
        <f>IF($BL$5=TRUE,IF(BC60="","",SUM($BC60:BC$68)),"")</f>
        <v/>
      </c>
      <c r="BY60" s="100" t="str">
        <f>IF($BM$5=TRUE,IF(BD60="","",SUM($BD60:BD$68)),"")</f>
        <v/>
      </c>
      <c r="BZ60" s="100" t="str">
        <f>IF($BN$5=TRUE,IF(BE60="","",SUM($BE60:BE$68)),"")</f>
        <v/>
      </c>
    </row>
    <row r="61" spans="2:78" x14ac:dyDescent="0.25">
      <c r="F61" s="43"/>
      <c r="G61" s="43"/>
      <c r="H61" s="43"/>
      <c r="I61" s="43"/>
      <c r="J61" s="43"/>
      <c r="K61" s="43"/>
      <c r="L61" s="43"/>
      <c r="M61" s="43"/>
      <c r="AT61" s="74">
        <v>44869</v>
      </c>
      <c r="AU61" s="72">
        <v>2348.4299999999998</v>
      </c>
      <c r="AW61" s="74">
        <v>44869</v>
      </c>
      <c r="AX61" s="72">
        <v>42045</v>
      </c>
      <c r="AY61" s="72">
        <v>89163</v>
      </c>
      <c r="AZ61" s="72">
        <v>1842</v>
      </c>
      <c r="BA61" s="72">
        <v>4885</v>
      </c>
      <c r="BB61" s="72">
        <v>29910</v>
      </c>
      <c r="BC61" s="72">
        <v>4505</v>
      </c>
      <c r="BD61" s="72">
        <v>-35224</v>
      </c>
      <c r="BE61" s="72">
        <v>-145786</v>
      </c>
      <c r="BF61" s="74">
        <f t="shared" si="2"/>
        <v>44869</v>
      </c>
      <c r="BG61" s="72">
        <f t="shared" si="26"/>
        <v>42045</v>
      </c>
      <c r="BH61" s="72" t="str">
        <f t="shared" si="19"/>
        <v/>
      </c>
      <c r="BI61" s="72" t="str">
        <f t="shared" si="20"/>
        <v/>
      </c>
      <c r="BJ61" s="72" t="str">
        <f t="shared" si="21"/>
        <v/>
      </c>
      <c r="BK61" s="72" t="str">
        <f t="shared" si="22"/>
        <v/>
      </c>
      <c r="BL61" s="72" t="str">
        <f t="shared" si="23"/>
        <v/>
      </c>
      <c r="BM61" s="72" t="str">
        <f t="shared" si="24"/>
        <v/>
      </c>
      <c r="BN61" s="72" t="str">
        <f t="shared" si="25"/>
        <v/>
      </c>
      <c r="BR61" s="133">
        <f t="shared" si="11"/>
        <v>44869</v>
      </c>
      <c r="BS61" s="100">
        <f>IF($BG$5=TRUE,IF(AX61="","",SUM(AX61:$AX$68)),"")</f>
        <v>2249188</v>
      </c>
      <c r="BT61" s="100" t="str">
        <f>IF($BH$5=TRUE,IF(AY61="","",SUM($AY61:AY$68)),"")</f>
        <v/>
      </c>
      <c r="BU61" s="100" t="str">
        <f>IF($BI$5=TRUE,IF(AZ61="","",SUM($AZ61:AZ$68)),"")</f>
        <v/>
      </c>
      <c r="BV61" s="100" t="str">
        <f>IF($BJ$5=TRUE,IF(BA61="","",SUM($BA61:BA$68)),"")</f>
        <v/>
      </c>
      <c r="BW61" s="100" t="str">
        <f>IF($BK$5=TRUE,IF(BB61="","",SUM($BB61:BB$68)),"")</f>
        <v/>
      </c>
      <c r="BX61" s="100" t="str">
        <f>IF($BL$5=TRUE,IF(BC61="","",SUM($BC61:BC$68)),"")</f>
        <v/>
      </c>
      <c r="BY61" s="100" t="str">
        <f>IF($BM$5=TRUE,IF(BD61="","",SUM($BD61:BD$68)),"")</f>
        <v/>
      </c>
      <c r="BZ61" s="100" t="str">
        <f>IF($BN$5=TRUE,IF(BE61="","",SUM($BE61:BE$68)),"")</f>
        <v/>
      </c>
    </row>
    <row r="62" spans="2:78" x14ac:dyDescent="0.25">
      <c r="F62" s="43"/>
      <c r="G62" s="43"/>
      <c r="H62" s="43"/>
      <c r="I62" s="43"/>
      <c r="J62" s="43"/>
      <c r="K62" s="43"/>
      <c r="L62" s="43"/>
      <c r="M62" s="43"/>
      <c r="AT62" s="74">
        <v>44868</v>
      </c>
      <c r="AU62" s="72">
        <v>2329.17</v>
      </c>
      <c r="AW62" s="74">
        <v>44868</v>
      </c>
      <c r="AX62" s="72">
        <v>173497</v>
      </c>
      <c r="AY62" s="72">
        <v>-685574</v>
      </c>
      <c r="AZ62" s="72">
        <v>-314</v>
      </c>
      <c r="BA62" s="72">
        <v>19452</v>
      </c>
      <c r="BB62" s="72">
        <v>31813</v>
      </c>
      <c r="BC62" s="72">
        <v>4636</v>
      </c>
      <c r="BD62" s="72">
        <v>81730</v>
      </c>
      <c r="BE62" s="72">
        <v>387539</v>
      </c>
      <c r="BF62" s="74">
        <f t="shared" si="2"/>
        <v>44868</v>
      </c>
      <c r="BG62" s="72">
        <f t="shared" si="26"/>
        <v>173497</v>
      </c>
      <c r="BH62" s="72" t="str">
        <f t="shared" si="19"/>
        <v/>
      </c>
      <c r="BI62" s="72" t="str">
        <f t="shared" si="20"/>
        <v/>
      </c>
      <c r="BJ62" s="72" t="str">
        <f t="shared" si="21"/>
        <v/>
      </c>
      <c r="BK62" s="72" t="str">
        <f t="shared" si="22"/>
        <v/>
      </c>
      <c r="BL62" s="72" t="str">
        <f t="shared" si="23"/>
        <v/>
      </c>
      <c r="BM62" s="72" t="str">
        <f t="shared" si="24"/>
        <v/>
      </c>
      <c r="BN62" s="72" t="str">
        <f t="shared" si="25"/>
        <v/>
      </c>
      <c r="BR62" s="133">
        <f t="shared" si="11"/>
        <v>44868</v>
      </c>
      <c r="BS62" s="100">
        <f>IF($BG$5=TRUE,IF(AX62="","",SUM(AX62:$AX$68)),"")</f>
        <v>2207143</v>
      </c>
      <c r="BT62" s="100" t="str">
        <f>IF($BH$5=TRUE,IF(AY62="","",SUM($AY62:AY$68)),"")</f>
        <v/>
      </c>
      <c r="BU62" s="100" t="str">
        <f>IF($BI$5=TRUE,IF(AZ62="","",SUM($AZ62:AZ$68)),"")</f>
        <v/>
      </c>
      <c r="BV62" s="100" t="str">
        <f>IF($BJ$5=TRUE,IF(BA62="","",SUM($BA62:BA$68)),"")</f>
        <v/>
      </c>
      <c r="BW62" s="100" t="str">
        <f>IF($BK$5=TRUE,IF(BB62="","",SUM($BB62:BB$68)),"")</f>
        <v/>
      </c>
      <c r="BX62" s="100" t="str">
        <f>IF($BL$5=TRUE,IF(BC62="","",SUM($BC62:BC$68)),"")</f>
        <v/>
      </c>
      <c r="BY62" s="100" t="str">
        <f>IF($BM$5=TRUE,IF(BD62="","",SUM($BD62:BD$68)),"")</f>
        <v/>
      </c>
      <c r="BZ62" s="100" t="str">
        <f>IF($BN$5=TRUE,IF(BE62="","",SUM($BE62:BE$68)),"")</f>
        <v/>
      </c>
    </row>
    <row r="63" spans="2:78" x14ac:dyDescent="0.25">
      <c r="F63" s="43"/>
      <c r="G63" s="43"/>
      <c r="H63" s="43"/>
      <c r="I63" s="43"/>
      <c r="J63" s="43"/>
      <c r="K63" s="43"/>
      <c r="L63" s="43"/>
      <c r="M63" s="43"/>
      <c r="AT63" s="74">
        <v>44867</v>
      </c>
      <c r="AU63" s="72">
        <v>2336.87</v>
      </c>
      <c r="AW63" s="74">
        <v>44867</v>
      </c>
      <c r="AX63" s="72">
        <v>524088</v>
      </c>
      <c r="AY63" s="72">
        <v>-354068</v>
      </c>
      <c r="AZ63" s="72">
        <v>-933</v>
      </c>
      <c r="BA63" s="72">
        <v>4216</v>
      </c>
      <c r="BB63" s="72">
        <v>24272</v>
      </c>
      <c r="BC63" s="72">
        <v>5250</v>
      </c>
      <c r="BD63" s="72">
        <v>-23487</v>
      </c>
      <c r="BE63" s="72">
        <v>-181762</v>
      </c>
      <c r="BF63" s="74">
        <f t="shared" si="2"/>
        <v>44867</v>
      </c>
      <c r="BG63" s="72">
        <f t="shared" si="26"/>
        <v>524088</v>
      </c>
      <c r="BH63" s="72" t="str">
        <f t="shared" si="19"/>
        <v/>
      </c>
      <c r="BI63" s="72" t="str">
        <f t="shared" si="20"/>
        <v/>
      </c>
      <c r="BJ63" s="72" t="str">
        <f t="shared" si="21"/>
        <v/>
      </c>
      <c r="BK63" s="72" t="str">
        <f t="shared" si="22"/>
        <v/>
      </c>
      <c r="BL63" s="72" t="str">
        <f t="shared" si="23"/>
        <v/>
      </c>
      <c r="BM63" s="72" t="str">
        <f t="shared" si="24"/>
        <v/>
      </c>
      <c r="BN63" s="72" t="str">
        <f t="shared" si="25"/>
        <v/>
      </c>
      <c r="BR63" s="133">
        <f t="shared" si="11"/>
        <v>44867</v>
      </c>
      <c r="BS63" s="100">
        <f>IF($BG$5=TRUE,IF(AX63="","",SUM(AX63:$AX$68)),"")</f>
        <v>2033646</v>
      </c>
      <c r="BT63" s="100" t="str">
        <f>IF($BH$5=TRUE,IF(AY63="","",SUM($AY63:AY$68)),"")</f>
        <v/>
      </c>
      <c r="BU63" s="100" t="str">
        <f>IF($BI$5=TRUE,IF(AZ63="","",SUM($AZ63:AZ$68)),"")</f>
        <v/>
      </c>
      <c r="BV63" s="100" t="str">
        <f>IF($BJ$5=TRUE,IF(BA63="","",SUM($BA63:BA$68)),"")</f>
        <v/>
      </c>
      <c r="BW63" s="100" t="str">
        <f>IF($BK$5=TRUE,IF(BB63="","",SUM($BB63:BB$68)),"")</f>
        <v/>
      </c>
      <c r="BX63" s="100" t="str">
        <f>IF($BL$5=TRUE,IF(BC63="","",SUM($BC63:BC$68)),"")</f>
        <v/>
      </c>
      <c r="BY63" s="100" t="str">
        <f>IF($BM$5=TRUE,IF(BD63="","",SUM($BD63:BD$68)),"")</f>
        <v/>
      </c>
      <c r="BZ63" s="100" t="str">
        <f>IF($BN$5=TRUE,IF(BE63="","",SUM($BE63:BE$68)),"")</f>
        <v/>
      </c>
    </row>
    <row r="64" spans="2:78" x14ac:dyDescent="0.25">
      <c r="AT64" s="74">
        <v>44866</v>
      </c>
      <c r="AU64" s="72">
        <v>2335.2199999999998</v>
      </c>
      <c r="AW64" s="74">
        <v>44866</v>
      </c>
      <c r="AX64" s="72">
        <v>492385</v>
      </c>
      <c r="AY64" s="72">
        <v>135394</v>
      </c>
      <c r="AZ64" s="72">
        <v>1462</v>
      </c>
      <c r="BA64" s="72">
        <v>-2036</v>
      </c>
      <c r="BB64" s="72">
        <v>32168</v>
      </c>
      <c r="BC64" s="72">
        <v>5299</v>
      </c>
      <c r="BD64" s="72">
        <v>5348</v>
      </c>
      <c r="BE64" s="72">
        <v>-723357</v>
      </c>
      <c r="BF64" s="74">
        <f t="shared" si="2"/>
        <v>44866</v>
      </c>
      <c r="BG64" s="72">
        <f t="shared" si="26"/>
        <v>492385</v>
      </c>
      <c r="BH64" s="72" t="str">
        <f t="shared" si="19"/>
        <v/>
      </c>
      <c r="BI64" s="72" t="str">
        <f t="shared" si="20"/>
        <v/>
      </c>
      <c r="BJ64" s="72" t="str">
        <f t="shared" si="21"/>
        <v/>
      </c>
      <c r="BK64" s="72" t="str">
        <f t="shared" si="22"/>
        <v/>
      </c>
      <c r="BL64" s="72" t="str">
        <f t="shared" si="23"/>
        <v/>
      </c>
      <c r="BM64" s="72" t="str">
        <f t="shared" si="24"/>
        <v/>
      </c>
      <c r="BN64" s="72" t="str">
        <f t="shared" si="25"/>
        <v/>
      </c>
      <c r="BR64" s="133">
        <f t="shared" si="11"/>
        <v>44866</v>
      </c>
      <c r="BS64" s="100">
        <f>IF($BG$5=TRUE,IF(AX64="","",SUM(AX64:$AX$68)),"")</f>
        <v>1509558</v>
      </c>
      <c r="BT64" s="100" t="str">
        <f>IF($BH$5=TRUE,IF(AY64="","",SUM($AY64:AY$68)),"")</f>
        <v/>
      </c>
      <c r="BU64" s="100" t="str">
        <f>IF($BI$5=TRUE,IF(AZ64="","",SUM($AZ64:AZ$68)),"")</f>
        <v/>
      </c>
      <c r="BV64" s="100" t="str">
        <f>IF($BJ$5=TRUE,IF(BA64="","",SUM($BA64:BA$68)),"")</f>
        <v/>
      </c>
      <c r="BW64" s="100" t="str">
        <f>IF($BK$5=TRUE,IF(BB64="","",SUM($BB64:BB$68)),"")</f>
        <v/>
      </c>
      <c r="BX64" s="100" t="str">
        <f>IF($BL$5=TRUE,IF(BC64="","",SUM($BC64:BC$68)),"")</f>
        <v/>
      </c>
      <c r="BY64" s="100" t="str">
        <f>IF($BM$5=TRUE,IF(BD64="","",SUM($BD64:BD$68)),"")</f>
        <v/>
      </c>
      <c r="BZ64" s="100" t="str">
        <f>IF($BN$5=TRUE,IF(BE64="","",SUM($BE64:BE$68)),"")</f>
        <v/>
      </c>
    </row>
    <row r="65" spans="46:78" x14ac:dyDescent="0.25">
      <c r="AT65" s="74">
        <v>44865</v>
      </c>
      <c r="AU65" s="72">
        <v>2293.61</v>
      </c>
      <c r="AW65" s="74">
        <v>44865</v>
      </c>
      <c r="AX65" s="72">
        <v>230291</v>
      </c>
      <c r="AY65" s="72">
        <v>-10524</v>
      </c>
      <c r="AZ65" s="72">
        <v>-2812</v>
      </c>
      <c r="BA65" s="72">
        <v>23029</v>
      </c>
      <c r="BB65" s="72">
        <v>5759</v>
      </c>
      <c r="BC65" s="72">
        <v>4482</v>
      </c>
      <c r="BD65" s="72">
        <v>-44487</v>
      </c>
      <c r="BE65" s="72">
        <v>-205782</v>
      </c>
      <c r="BF65" s="74">
        <f t="shared" si="2"/>
        <v>44865</v>
      </c>
      <c r="BG65" s="72">
        <f t="shared" si="26"/>
        <v>230291</v>
      </c>
      <c r="BH65" s="72" t="str">
        <f t="shared" si="19"/>
        <v/>
      </c>
      <c r="BI65" s="72" t="str">
        <f t="shared" si="20"/>
        <v/>
      </c>
      <c r="BJ65" s="72" t="str">
        <f t="shared" si="21"/>
        <v/>
      </c>
      <c r="BK65" s="72" t="str">
        <f t="shared" si="22"/>
        <v/>
      </c>
      <c r="BL65" s="72" t="str">
        <f t="shared" si="23"/>
        <v/>
      </c>
      <c r="BM65" s="72" t="str">
        <f t="shared" si="24"/>
        <v/>
      </c>
      <c r="BN65" s="72" t="str">
        <f t="shared" si="25"/>
        <v/>
      </c>
      <c r="BR65" s="133">
        <f t="shared" si="11"/>
        <v>44865</v>
      </c>
      <c r="BS65" s="100">
        <f>IF($BG$5=TRUE,IF(AX65="","",SUM(AX65:$AX$68)),"")</f>
        <v>1017173</v>
      </c>
      <c r="BT65" s="100" t="str">
        <f>IF($BH$5=TRUE,IF(AY65="","",SUM($AY65:AY$68)),"")</f>
        <v/>
      </c>
      <c r="BU65" s="100" t="str">
        <f>IF($BI$5=TRUE,IF(AZ65="","",SUM($AZ65:AZ$68)),"")</f>
        <v/>
      </c>
      <c r="BV65" s="100" t="str">
        <f>IF($BJ$5=TRUE,IF(BA65="","",SUM($BA65:BA$68)),"")</f>
        <v/>
      </c>
      <c r="BW65" s="100" t="str">
        <f>IF($BK$5=TRUE,IF(BB65="","",SUM($BB65:BB$68)),"")</f>
        <v/>
      </c>
      <c r="BX65" s="100" t="str">
        <f>IF($BL$5=TRUE,IF(BC65="","",SUM($BC65:BC$68)),"")</f>
        <v/>
      </c>
      <c r="BY65" s="100" t="str">
        <f>IF($BM$5=TRUE,IF(BD65="","",SUM($BD65:BD$68)),"")</f>
        <v/>
      </c>
      <c r="BZ65" s="100" t="str">
        <f>IF($BN$5=TRUE,IF(BE65="","",SUM($BE65:BE$68)),"")</f>
        <v/>
      </c>
    </row>
    <row r="66" spans="46:78" x14ac:dyDescent="0.25">
      <c r="AT66" s="74">
        <v>44862</v>
      </c>
      <c r="AU66" s="72">
        <v>2268.4</v>
      </c>
      <c r="AW66" s="74">
        <v>44862</v>
      </c>
      <c r="AX66" s="72">
        <v>-192115</v>
      </c>
      <c r="AY66" s="72">
        <v>426048</v>
      </c>
      <c r="AZ66" s="72">
        <v>2530</v>
      </c>
      <c r="BA66" s="72">
        <v>14585</v>
      </c>
      <c r="BB66" s="72">
        <v>-52831</v>
      </c>
      <c r="BC66" s="72">
        <v>-2835</v>
      </c>
      <c r="BD66" s="72">
        <v>-58486</v>
      </c>
      <c r="BE66" s="72">
        <v>-67948</v>
      </c>
      <c r="BF66" s="74">
        <f t="shared" si="2"/>
        <v>44862</v>
      </c>
      <c r="BG66" s="72">
        <f t="shared" si="26"/>
        <v>-192115</v>
      </c>
      <c r="BH66" s="72" t="str">
        <f t="shared" si="19"/>
        <v/>
      </c>
      <c r="BI66" s="72" t="str">
        <f t="shared" si="20"/>
        <v/>
      </c>
      <c r="BJ66" s="72" t="str">
        <f t="shared" si="21"/>
        <v/>
      </c>
      <c r="BK66" s="72" t="str">
        <f t="shared" si="22"/>
        <v/>
      </c>
      <c r="BL66" s="72" t="str">
        <f t="shared" si="23"/>
        <v/>
      </c>
      <c r="BM66" s="72" t="str">
        <f t="shared" si="24"/>
        <v/>
      </c>
      <c r="BN66" s="72" t="str">
        <f t="shared" si="25"/>
        <v/>
      </c>
      <c r="BR66" s="133">
        <f t="shared" si="11"/>
        <v>44862</v>
      </c>
      <c r="BS66" s="100">
        <f>IF($BG$5=TRUE,IF(AX66="","",SUM(AX66:$AX$68)),"")</f>
        <v>786882</v>
      </c>
      <c r="BT66" s="100" t="str">
        <f>IF($BH$5=TRUE,IF(AY66="","",SUM($AY66:AY$68)),"")</f>
        <v/>
      </c>
      <c r="BU66" s="100" t="str">
        <f>IF($BI$5=TRUE,IF(AZ66="","",SUM($AZ66:AZ$68)),"")</f>
        <v/>
      </c>
      <c r="BV66" s="100" t="str">
        <f>IF($BJ$5=TRUE,IF(BA66="","",SUM($BA66:BA$68)),"")</f>
        <v/>
      </c>
      <c r="BW66" s="100" t="str">
        <f>IF($BK$5=TRUE,IF(BB66="","",SUM($BB66:BB$68)),"")</f>
        <v/>
      </c>
      <c r="BX66" s="100" t="str">
        <f>IF($BL$5=TRUE,IF(BC66="","",SUM($BC66:BC$68)),"")</f>
        <v/>
      </c>
      <c r="BY66" s="100" t="str">
        <f>IF($BM$5=TRUE,IF(BD66="","",SUM($BD66:BD$68)),"")</f>
        <v/>
      </c>
      <c r="BZ66" s="100" t="str">
        <f>IF($BN$5=TRUE,IF(BE66="","",SUM($BE66:BE$68)),"")</f>
        <v/>
      </c>
    </row>
    <row r="67" spans="46:78" x14ac:dyDescent="0.25">
      <c r="AT67" s="74">
        <v>44861</v>
      </c>
      <c r="AU67" s="72">
        <v>2288.7800000000002</v>
      </c>
      <c r="AW67" s="74">
        <v>44861</v>
      </c>
      <c r="AX67" s="72">
        <v>378686</v>
      </c>
      <c r="AY67" s="72">
        <v>550070</v>
      </c>
      <c r="AZ67" s="72">
        <v>1036</v>
      </c>
      <c r="BA67" s="72">
        <v>9513</v>
      </c>
      <c r="BB67" s="72">
        <v>18689</v>
      </c>
      <c r="BC67" s="72">
        <v>4032</v>
      </c>
      <c r="BD67" s="72">
        <v>-52390</v>
      </c>
      <c r="BE67" s="72">
        <v>-903796</v>
      </c>
      <c r="BF67" s="74">
        <f t="shared" si="2"/>
        <v>44861</v>
      </c>
      <c r="BG67" s="72">
        <f t="shared" si="26"/>
        <v>378686</v>
      </c>
      <c r="BH67" s="72" t="str">
        <f t="shared" si="19"/>
        <v/>
      </c>
      <c r="BI67" s="72" t="str">
        <f t="shared" si="20"/>
        <v/>
      </c>
      <c r="BJ67" s="72" t="str">
        <f t="shared" si="21"/>
        <v/>
      </c>
      <c r="BK67" s="72" t="str">
        <f t="shared" si="22"/>
        <v/>
      </c>
      <c r="BL67" s="72" t="str">
        <f t="shared" si="23"/>
        <v/>
      </c>
      <c r="BM67" s="72" t="str">
        <f t="shared" si="24"/>
        <v/>
      </c>
      <c r="BN67" s="72" t="str">
        <f t="shared" si="25"/>
        <v/>
      </c>
      <c r="BR67" s="133">
        <f t="shared" si="11"/>
        <v>44861</v>
      </c>
      <c r="BS67" s="100">
        <f>IF($BG$5=TRUE,IF(AX67="","",SUM(AX67:$AX$68)),"")</f>
        <v>978997</v>
      </c>
      <c r="BT67" s="100" t="str">
        <f>IF($BH$5=TRUE,IF(AY67="","",SUM($AY67:AY$68)),"")</f>
        <v/>
      </c>
      <c r="BU67" s="100" t="str">
        <f>IF($BI$5=TRUE,IF(AZ67="","",SUM($AZ67:AZ$68)),"")</f>
        <v/>
      </c>
      <c r="BV67" s="100" t="str">
        <f>IF($BJ$5=TRUE,IF(BA67="","",SUM($BA67:BA$68)),"")</f>
        <v/>
      </c>
      <c r="BW67" s="100" t="str">
        <f>IF($BK$5=TRUE,IF(BB67="","",SUM($BB67:BB$68)),"")</f>
        <v/>
      </c>
      <c r="BX67" s="100" t="str">
        <f>IF($BL$5=TRUE,IF(BC67="","",SUM($BC67:BC$68)),"")</f>
        <v/>
      </c>
      <c r="BY67" s="100" t="str">
        <f>IF($BM$5=TRUE,IF(BD67="","",SUM($BD67:BD$68)),"")</f>
        <v/>
      </c>
      <c r="BZ67" s="100" t="str">
        <f>IF($BN$5=TRUE,IF(BE67="","",SUM($BE67:BE$68)),"")</f>
        <v/>
      </c>
    </row>
    <row r="68" spans="46:78" x14ac:dyDescent="0.25">
      <c r="AT68" s="74">
        <v>44860</v>
      </c>
      <c r="AU68" s="72">
        <v>2249.56</v>
      </c>
      <c r="AW68" s="74">
        <v>44860</v>
      </c>
      <c r="AX68" s="72">
        <v>600311</v>
      </c>
      <c r="AY68" s="72">
        <v>-116791</v>
      </c>
      <c r="AZ68" s="72">
        <v>-1992</v>
      </c>
      <c r="BA68" s="72">
        <v>11239</v>
      </c>
      <c r="BB68" s="72">
        <v>32029</v>
      </c>
      <c r="BC68" s="72">
        <v>1178</v>
      </c>
      <c r="BD68" s="72">
        <v>-47679</v>
      </c>
      <c r="BE68" s="72">
        <v>-496989</v>
      </c>
      <c r="BF68" s="74">
        <f t="shared" si="2"/>
        <v>44860</v>
      </c>
      <c r="BG68" s="72">
        <f t="shared" si="26"/>
        <v>600311</v>
      </c>
      <c r="BH68" s="72" t="str">
        <f t="shared" si="19"/>
        <v/>
      </c>
      <c r="BI68" s="72" t="str">
        <f t="shared" si="20"/>
        <v/>
      </c>
      <c r="BJ68" s="72" t="str">
        <f t="shared" si="21"/>
        <v/>
      </c>
      <c r="BK68" s="72" t="str">
        <f t="shared" si="22"/>
        <v/>
      </c>
      <c r="BL68" s="72" t="str">
        <f t="shared" si="23"/>
        <v/>
      </c>
      <c r="BM68" s="72" t="str">
        <f t="shared" si="24"/>
        <v/>
      </c>
      <c r="BN68" s="72" t="str">
        <f t="shared" si="25"/>
        <v/>
      </c>
      <c r="BR68" s="133">
        <f t="shared" si="11"/>
        <v>44860</v>
      </c>
      <c r="BS68" s="100">
        <f>IF($BG$5=TRUE,IF(AX68="","",SUM(AX68:$AX$68)),"")</f>
        <v>600311</v>
      </c>
      <c r="BT68" s="100" t="str">
        <f>IF($BH$5=TRUE,IF(AY68="","",SUM($AY$68:AY68)),"")</f>
        <v/>
      </c>
      <c r="BU68" s="100" t="str">
        <f>IF($BI$5=TRUE,IF(AZ68="","",SUM($AZ$68:AZ68)),"")</f>
        <v/>
      </c>
      <c r="BV68" s="100" t="str">
        <f>IF($BJ$5=TRUE,IF(BA68="","",SUM($BA$68:BA68)),"")</f>
        <v/>
      </c>
      <c r="BW68" s="100" t="str">
        <f>IF($BK$5=TRUE,IF(BB68="","",SUM($BB$68:BB68)),"")</f>
        <v/>
      </c>
      <c r="BX68" s="100" t="str">
        <f>IF($BL$5=TRUE,IF(BC68="","",SUM($BC$68:BC68)),"")</f>
        <v/>
      </c>
      <c r="BY68" s="100" t="str">
        <f>IF($BM$5=TRUE,IF(BD68="","",SUM($BD$68:BD68)),"")</f>
        <v/>
      </c>
      <c r="BZ68" s="100" t="str">
        <f>IF($BN$5=TRUE,IF(BE68="","",SUM($BE$68:BE68)),"")</f>
        <v/>
      </c>
    </row>
    <row r="69" spans="46:78" x14ac:dyDescent="0.25">
      <c r="AT69" s="74">
        <v>44859</v>
      </c>
      <c r="AU69" s="72">
        <v>2235.0700000000002</v>
      </c>
      <c r="AW69" s="74"/>
      <c r="BR69" s="133" t="str">
        <f t="shared" si="11"/>
        <v/>
      </c>
      <c r="BS69" s="100" t="str">
        <f>IF($BG$5=TRUE,IF(AX69="","",SUM(AX$68:$AX69)),"")</f>
        <v/>
      </c>
      <c r="BT69" s="100" t="str">
        <f>IF($BH$5=TRUE,IF(AY69="","",SUM($AY$8:AY69)),"")</f>
        <v/>
      </c>
      <c r="BU69" s="100" t="str">
        <f>IF($BI$5=TRUE,IF(AZ69="","",SUM($AZ$8:AZ69)),"")</f>
        <v/>
      </c>
      <c r="BV69" s="100" t="str">
        <f>IF($BJ$5=TRUE,IF(BA69="","",SUM($BA$8:BA69)),"")</f>
        <v/>
      </c>
      <c r="BW69" s="100" t="str">
        <f>IF($BK$5=TRUE,IF(BB69="","",SUM($BB$8:BB69)),"")</f>
        <v/>
      </c>
      <c r="BX69" s="100" t="str">
        <f>IF($BL$5=TRUE,IF(BC69="","",SUM($BC$8:BC69)),"")</f>
        <v/>
      </c>
      <c r="BY69" s="100" t="str">
        <f>IF($BM$5=TRUE,IF(BD69="","",SUM($BD$8:BD69)),"")</f>
        <v/>
      </c>
      <c r="BZ69" s="100" t="str">
        <f>IF($BN$5=TRUE,IF(BE69="","",SUM($BE$8:BE69)),"")</f>
        <v/>
      </c>
    </row>
    <row r="70" spans="46:78" x14ac:dyDescent="0.25">
      <c r="AT70" s="74">
        <v>44858</v>
      </c>
      <c r="AU70" s="72">
        <v>2236.16</v>
      </c>
      <c r="AW70" s="74"/>
      <c r="BR70" s="133" t="str">
        <f t="shared" si="11"/>
        <v/>
      </c>
      <c r="BS70" s="100" t="str">
        <f>IF($BG$5=TRUE,IF(AX70="","",SUM(AX$68:$AX70)),"")</f>
        <v/>
      </c>
      <c r="BT70" s="100" t="str">
        <f>IF($BH$5=TRUE,IF(AY70="","",SUM($AY$8:AY70)),"")</f>
        <v/>
      </c>
      <c r="BU70" s="100" t="str">
        <f>IF($BI$5=TRUE,IF(AZ70="","",SUM($AZ$8:AZ70)),"")</f>
        <v/>
      </c>
      <c r="BV70" s="100" t="str">
        <f>IF($BJ$5=TRUE,IF(BA70="","",SUM($BA$8:BA70)),"")</f>
        <v/>
      </c>
      <c r="BW70" s="100" t="str">
        <f>IF($BK$5=TRUE,IF(BB70="","",SUM($BB$8:BB70)),"")</f>
        <v/>
      </c>
      <c r="BX70" s="100" t="str">
        <f>IF($BL$5=TRUE,IF(BC70="","",SUM($BC$8:BC70)),"")</f>
        <v/>
      </c>
      <c r="BY70" s="100" t="str">
        <f>IF($BM$5=TRUE,IF(BD70="","",SUM($BD$8:BD70)),"")</f>
        <v/>
      </c>
      <c r="BZ70" s="100" t="str">
        <f>IF($BN$5=TRUE,IF(BE70="","",SUM($BE$8:BE70)),"")</f>
        <v/>
      </c>
    </row>
    <row r="71" spans="46:78" x14ac:dyDescent="0.25">
      <c r="AT71" s="74">
        <v>44855</v>
      </c>
      <c r="AU71" s="72">
        <v>2213.12</v>
      </c>
      <c r="AW71" s="74"/>
      <c r="BR71" s="133" t="str">
        <f t="shared" si="11"/>
        <v/>
      </c>
      <c r="BS71" s="100" t="str">
        <f>IF($BG$5=TRUE,IF(AX71="","",SUM(AX$68:$AX71)),"")</f>
        <v/>
      </c>
      <c r="BT71" s="100" t="str">
        <f>IF($BH$5=TRUE,IF(AY71="","",SUM($AY$8:AY71)),"")</f>
        <v/>
      </c>
      <c r="BU71" s="100" t="str">
        <f>IF($BI$5=TRUE,IF(AZ71="","",SUM($AZ$8:AZ71)),"")</f>
        <v/>
      </c>
      <c r="BV71" s="100" t="str">
        <f>IF($BJ$5=TRUE,IF(BA71="","",SUM($BA$8:BA71)),"")</f>
        <v/>
      </c>
      <c r="BW71" s="100" t="str">
        <f>IF($BK$5=TRUE,IF(BB71="","",SUM($BB$8:BB71)),"")</f>
        <v/>
      </c>
      <c r="BX71" s="100" t="str">
        <f>IF($BL$5=TRUE,IF(BC71="","",SUM($BC$8:BC71)),"")</f>
        <v/>
      </c>
      <c r="BY71" s="100" t="str">
        <f>IF($BM$5=TRUE,IF(BD71="","",SUM($BD$8:BD71)),"")</f>
        <v/>
      </c>
      <c r="BZ71" s="100" t="str">
        <f>IF($BN$5=TRUE,IF(BE71="","",SUM($BE$8:BE71)),"")</f>
        <v/>
      </c>
    </row>
    <row r="72" spans="46:78" x14ac:dyDescent="0.25">
      <c r="AT72" s="74">
        <v>44854</v>
      </c>
      <c r="AU72" s="72">
        <v>2218.09</v>
      </c>
      <c r="AW72" s="74"/>
      <c r="BR72" s="133" t="str">
        <f t="shared" si="11"/>
        <v/>
      </c>
      <c r="BS72" s="100" t="str">
        <f>IF($BG$5=TRUE,IF(AX72="","",SUM(AX$68:$AX72)),"")</f>
        <v/>
      </c>
      <c r="BT72" s="100" t="str">
        <f>IF($BH$5=TRUE,IF(AY72="","",SUM($AY$8:AY72)),"")</f>
        <v/>
      </c>
      <c r="BU72" s="100" t="str">
        <f>IF($BI$5=TRUE,IF(AZ72="","",SUM($AZ$8:AZ72)),"")</f>
        <v/>
      </c>
      <c r="BV72" s="100" t="str">
        <f>IF($BJ$5=TRUE,IF(BA72="","",SUM($BA$8:BA72)),"")</f>
        <v/>
      </c>
      <c r="BW72" s="100" t="str">
        <f>IF($BK$5=TRUE,IF(BB72="","",SUM($BB$8:BB72)),"")</f>
        <v/>
      </c>
      <c r="BX72" s="100" t="str">
        <f>IF($BL$5=TRUE,IF(BC72="","",SUM($BC$8:BC72)),"")</f>
        <v/>
      </c>
      <c r="BY72" s="100" t="str">
        <f>IF($BM$5=TRUE,IF(BD72="","",SUM($BD$8:BD72)),"")</f>
        <v/>
      </c>
      <c r="BZ72" s="100" t="str">
        <f>IF($BN$5=TRUE,IF(BE72="","",SUM($BE$8:BE72)),"")</f>
        <v/>
      </c>
    </row>
    <row r="73" spans="46:78" x14ac:dyDescent="0.25">
      <c r="AT73" s="74">
        <v>44853</v>
      </c>
      <c r="AU73" s="72">
        <v>2237.44</v>
      </c>
      <c r="AW73" s="74"/>
      <c r="BR73" s="133" t="str">
        <f t="shared" si="11"/>
        <v/>
      </c>
      <c r="BS73" s="100" t="str">
        <f>IF($BG$5=TRUE,IF(AX73="","",SUM(AX$68:$AX73)),"")</f>
        <v/>
      </c>
      <c r="BT73" s="100" t="str">
        <f>IF($BH$5=TRUE,IF(AY73="","",SUM($AY$8:AY73)),"")</f>
        <v/>
      </c>
      <c r="BU73" s="100" t="str">
        <f>IF($BI$5=TRUE,IF(AZ73="","",SUM($AZ$8:AZ73)),"")</f>
        <v/>
      </c>
      <c r="BV73" s="100" t="str">
        <f>IF($BJ$5=TRUE,IF(BA73="","",SUM($BA$8:BA73)),"")</f>
        <v/>
      </c>
      <c r="BW73" s="100" t="str">
        <f>IF($BK$5=TRUE,IF(BB73="","",SUM($BB$8:BB73)),"")</f>
        <v/>
      </c>
      <c r="BX73" s="100" t="str">
        <f>IF($BL$5=TRUE,IF(BC73="","",SUM($BC$8:BC73)),"")</f>
        <v/>
      </c>
      <c r="BY73" s="100" t="str">
        <f>IF($BM$5=TRUE,IF(BD73="","",SUM($BD$8:BD73)),"")</f>
        <v/>
      </c>
      <c r="BZ73" s="100" t="str">
        <f>IF($BN$5=TRUE,IF(BE73="","",SUM($BE$8:BE73)),"")</f>
        <v/>
      </c>
    </row>
    <row r="74" spans="46:78" x14ac:dyDescent="0.25">
      <c r="AT74" s="74">
        <v>44852</v>
      </c>
      <c r="AU74" s="72">
        <v>2249.9499999999998</v>
      </c>
      <c r="AW74" s="74"/>
      <c r="BR74" s="133" t="str">
        <f t="shared" si="11"/>
        <v/>
      </c>
      <c r="BS74" s="100" t="str">
        <f>IF($BG$5=TRUE,IF(AX74="","",SUM(AX$68:$AX74)),"")</f>
        <v/>
      </c>
      <c r="BT74" s="100" t="str">
        <f>IF($BH$5=TRUE,IF(AY74="","",SUM($AY$8:AY74)),"")</f>
        <v/>
      </c>
      <c r="BU74" s="100" t="str">
        <f>IF($BI$5=TRUE,IF(AZ74="","",SUM($AZ$8:AZ74)),"")</f>
        <v/>
      </c>
      <c r="BV74" s="100" t="str">
        <f>IF($BJ$5=TRUE,IF(BA74="","",SUM($BA$8:BA74)),"")</f>
        <v/>
      </c>
      <c r="BW74" s="100" t="str">
        <f>IF($BK$5=TRUE,IF(BB74="","",SUM($BB$8:BB74)),"")</f>
        <v/>
      </c>
      <c r="BX74" s="100" t="str">
        <f>IF($BL$5=TRUE,IF(BC74="","",SUM($BC$8:BC74)),"")</f>
        <v/>
      </c>
      <c r="BY74" s="100" t="str">
        <f>IF($BM$5=TRUE,IF(BD74="","",SUM($BD$8:BD74)),"")</f>
        <v/>
      </c>
      <c r="BZ74" s="100" t="str">
        <f>IF($BN$5=TRUE,IF(BE74="","",SUM($BE$8:BE74)),"")</f>
        <v/>
      </c>
    </row>
    <row r="75" spans="46:78" x14ac:dyDescent="0.25">
      <c r="AT75" s="74">
        <v>44851</v>
      </c>
      <c r="AU75" s="72">
        <v>2219.71</v>
      </c>
      <c r="AW75" s="74"/>
      <c r="BR75" s="133" t="str">
        <f t="shared" ref="BR75:BR138" si="27">IF(AW75="","",AW75)</f>
        <v/>
      </c>
      <c r="BS75" s="100" t="str">
        <f>IF($BG$5=TRUE,IF(AX75="","",SUM(AX$68:$AX75)),"")</f>
        <v/>
      </c>
      <c r="BT75" s="100" t="str">
        <f>IF($BH$5=TRUE,IF(AY75="","",SUM($AY$8:AY75)),"")</f>
        <v/>
      </c>
      <c r="BU75" s="100" t="str">
        <f>IF($BI$5=TRUE,IF(AZ75="","",SUM($AZ$8:AZ75)),"")</f>
        <v/>
      </c>
      <c r="BV75" s="100" t="str">
        <f>IF($BJ$5=TRUE,IF(BA75="","",SUM($BA$8:BA75)),"")</f>
        <v/>
      </c>
      <c r="BW75" s="100" t="str">
        <f>IF($BK$5=TRUE,IF(BB75="","",SUM($BB$8:BB75)),"")</f>
        <v/>
      </c>
      <c r="BX75" s="100" t="str">
        <f>IF($BL$5=TRUE,IF(BC75="","",SUM($BC$8:BC75)),"")</f>
        <v/>
      </c>
      <c r="BY75" s="100" t="str">
        <f>IF($BM$5=TRUE,IF(BD75="","",SUM($BD$8:BD75)),"")</f>
        <v/>
      </c>
      <c r="BZ75" s="100" t="str">
        <f>IF($BN$5=TRUE,IF(BE75="","",SUM($BE$8:BE75)),"")</f>
        <v/>
      </c>
    </row>
    <row r="76" spans="46:78" x14ac:dyDescent="0.25">
      <c r="AT76" s="74">
        <v>44848</v>
      </c>
      <c r="AU76" s="72">
        <v>2212.5500000000002</v>
      </c>
      <c r="AW76" s="74"/>
      <c r="BR76" s="133" t="str">
        <f t="shared" si="27"/>
        <v/>
      </c>
      <c r="BS76" s="100" t="str">
        <f>IF($BG$5=TRUE,IF(AX76="","",SUM(AX$68:$AX76)),"")</f>
        <v/>
      </c>
      <c r="BT76" s="100" t="str">
        <f>IF($BH$5=TRUE,IF(AY76="","",SUM($AY$8:AY76)),"")</f>
        <v/>
      </c>
      <c r="BU76" s="100" t="str">
        <f>IF($BI$5=TRUE,IF(AZ76="","",SUM($AZ$8:AZ76)),"")</f>
        <v/>
      </c>
      <c r="BV76" s="100" t="str">
        <f>IF($BJ$5=TRUE,IF(BA76="","",SUM($BA$8:BA76)),"")</f>
        <v/>
      </c>
      <c r="BW76" s="100" t="str">
        <f>IF($BK$5=TRUE,IF(BB76="","",SUM($BB$8:BB76)),"")</f>
        <v/>
      </c>
      <c r="BX76" s="100" t="str">
        <f>IF($BL$5=TRUE,IF(BC76="","",SUM($BC$8:BC76)),"")</f>
        <v/>
      </c>
      <c r="BY76" s="100" t="str">
        <f>IF($BM$5=TRUE,IF(BD76="","",SUM($BD$8:BD76)),"")</f>
        <v/>
      </c>
      <c r="BZ76" s="100" t="str">
        <f>IF($BN$5=TRUE,IF(BE76="","",SUM($BE$8:BE76)),"")</f>
        <v/>
      </c>
    </row>
    <row r="77" spans="46:78" x14ac:dyDescent="0.25">
      <c r="AT77" s="74">
        <v>44847</v>
      </c>
      <c r="AU77" s="72">
        <v>2162.87</v>
      </c>
      <c r="AW77" s="74"/>
      <c r="BR77" s="133" t="str">
        <f t="shared" si="27"/>
        <v/>
      </c>
      <c r="BS77" s="100" t="str">
        <f>IF($BG$5=TRUE,IF(AX77="","",SUM(AX$68:$AX77)),"")</f>
        <v/>
      </c>
      <c r="BT77" s="100" t="str">
        <f>IF($BH$5=TRUE,IF(AY77="","",SUM($AY$8:AY77)),"")</f>
        <v/>
      </c>
      <c r="BU77" s="100" t="str">
        <f>IF($BI$5=TRUE,IF(AZ77="","",SUM($AZ$8:AZ77)),"")</f>
        <v/>
      </c>
      <c r="BV77" s="100" t="str">
        <f>IF($BJ$5=TRUE,IF(BA77="","",SUM($BA$8:BA77)),"")</f>
        <v/>
      </c>
      <c r="BW77" s="100" t="str">
        <f>IF($BK$5=TRUE,IF(BB77="","",SUM($BB$8:BB77)),"")</f>
        <v/>
      </c>
      <c r="BX77" s="100" t="str">
        <f>IF($BL$5=TRUE,IF(BC77="","",SUM($BC$8:BC77)),"")</f>
        <v/>
      </c>
      <c r="BY77" s="100" t="str">
        <f>IF($BM$5=TRUE,IF(BD77="","",SUM($BD$8:BD77)),"")</f>
        <v/>
      </c>
      <c r="BZ77" s="100" t="str">
        <f>IF($BN$5=TRUE,IF(BE77="","",SUM($BE$8:BE77)),"")</f>
        <v/>
      </c>
    </row>
    <row r="78" spans="46:78" x14ac:dyDescent="0.25">
      <c r="AT78" s="74">
        <v>44846</v>
      </c>
      <c r="AU78" s="72">
        <v>2202.4699999999998</v>
      </c>
      <c r="AW78" s="74"/>
      <c r="BR78" s="133" t="str">
        <f t="shared" si="27"/>
        <v/>
      </c>
      <c r="BS78" s="100" t="str">
        <f>IF($BG$5=TRUE,IF(AX78="","",SUM(AX$68:$AX78)),"")</f>
        <v/>
      </c>
      <c r="BT78" s="100" t="str">
        <f>IF($BH$5=TRUE,IF(AY78="","",SUM($AY$8:AY78)),"")</f>
        <v/>
      </c>
      <c r="BU78" s="100" t="str">
        <f>IF($BI$5=TRUE,IF(AZ78="","",SUM($AZ$8:AZ78)),"")</f>
        <v/>
      </c>
      <c r="BV78" s="100" t="str">
        <f>IF($BJ$5=TRUE,IF(BA78="","",SUM($BA$8:BA78)),"")</f>
        <v/>
      </c>
      <c r="BW78" s="100" t="str">
        <f>IF($BK$5=TRUE,IF(BB78="","",SUM($BB$8:BB78)),"")</f>
        <v/>
      </c>
      <c r="BX78" s="100" t="str">
        <f>IF($BL$5=TRUE,IF(BC78="","",SUM($BC$8:BC78)),"")</f>
        <v/>
      </c>
      <c r="BY78" s="100" t="str">
        <f>IF($BM$5=TRUE,IF(BD78="","",SUM($BD$8:BD78)),"")</f>
        <v/>
      </c>
      <c r="BZ78" s="100" t="str">
        <f>IF($BN$5=TRUE,IF(BE78="","",SUM($BE$8:BE78)),"")</f>
        <v/>
      </c>
    </row>
    <row r="79" spans="46:78" x14ac:dyDescent="0.25">
      <c r="AT79" s="74">
        <v>44845</v>
      </c>
      <c r="AU79" s="72">
        <v>2192.0700000000002</v>
      </c>
      <c r="AW79" s="74"/>
      <c r="BR79" s="133" t="str">
        <f t="shared" si="27"/>
        <v/>
      </c>
      <c r="BS79" s="100" t="str">
        <f>IF($BG$5=TRUE,IF(AX79="","",SUM(AX$68:$AX79)),"")</f>
        <v/>
      </c>
      <c r="BT79" s="100" t="str">
        <f>IF($BH$5=TRUE,IF(AY79="","",SUM($AY$8:AY79)),"")</f>
        <v/>
      </c>
      <c r="BU79" s="100" t="str">
        <f>IF($BI$5=TRUE,IF(AZ79="","",SUM($AZ$8:AZ79)),"")</f>
        <v/>
      </c>
      <c r="BV79" s="100" t="str">
        <f>IF($BJ$5=TRUE,IF(BA79="","",SUM($BA$8:BA79)),"")</f>
        <v/>
      </c>
      <c r="BW79" s="100" t="str">
        <f>IF($BK$5=TRUE,IF(BB79="","",SUM($BB$8:BB79)),"")</f>
        <v/>
      </c>
      <c r="BX79" s="100" t="str">
        <f>IF($BL$5=TRUE,IF(BC79="","",SUM($BC$8:BC79)),"")</f>
        <v/>
      </c>
      <c r="BY79" s="100" t="str">
        <f>IF($BM$5=TRUE,IF(BD79="","",SUM($BD$8:BD79)),"")</f>
        <v/>
      </c>
      <c r="BZ79" s="100" t="str">
        <f>IF($BN$5=TRUE,IF(BE79="","",SUM($BE$8:BE79)),"")</f>
        <v/>
      </c>
    </row>
    <row r="80" spans="46:78" x14ac:dyDescent="0.25">
      <c r="AT80" s="74">
        <v>44841</v>
      </c>
      <c r="AU80" s="72">
        <v>2232.84</v>
      </c>
      <c r="AW80" s="74"/>
      <c r="BR80" s="133" t="str">
        <f t="shared" si="27"/>
        <v/>
      </c>
      <c r="BS80" s="100" t="str">
        <f>IF($BG$5=TRUE,IF(AX80="","",SUM(AX$68:$AX80)),"")</f>
        <v/>
      </c>
      <c r="BT80" s="100" t="str">
        <f>IF($BH$5=TRUE,IF(AY80="","",SUM($AY$8:AY80)),"")</f>
        <v/>
      </c>
      <c r="BU80" s="100" t="str">
        <f>IF($BI$5=TRUE,IF(AZ80="","",SUM($AZ$8:AZ80)),"")</f>
        <v/>
      </c>
      <c r="BV80" s="100" t="str">
        <f>IF($BJ$5=TRUE,IF(BA80="","",SUM($BA$8:BA80)),"")</f>
        <v/>
      </c>
      <c r="BW80" s="100" t="str">
        <f>IF($BK$5=TRUE,IF(BB80="","",SUM($BB$8:BB80)),"")</f>
        <v/>
      </c>
      <c r="BX80" s="100" t="str">
        <f>IF($BL$5=TRUE,IF(BC80="","",SUM($BC$8:BC80)),"")</f>
        <v/>
      </c>
      <c r="BY80" s="100" t="str">
        <f>IF($BM$5=TRUE,IF(BD80="","",SUM($BD$8:BD80)),"")</f>
        <v/>
      </c>
      <c r="BZ80" s="100" t="str">
        <f>IF($BN$5=TRUE,IF(BE80="","",SUM($BE$8:BE80)),"")</f>
        <v/>
      </c>
    </row>
    <row r="81" spans="46:78" x14ac:dyDescent="0.25">
      <c r="AT81" s="74">
        <v>44840</v>
      </c>
      <c r="AU81" s="72">
        <v>2237.86</v>
      </c>
      <c r="AW81" s="74"/>
      <c r="BR81" s="133" t="str">
        <f t="shared" si="27"/>
        <v/>
      </c>
      <c r="BS81" s="100" t="str">
        <f>IF($BG$5=TRUE,IF(AX81="","",SUM($AX$8:AX81)),"")</f>
        <v/>
      </c>
      <c r="BT81" s="100" t="str">
        <f>IF($BH$5=TRUE,IF(AY81="","",SUM($AY$8:AY81)),"")</f>
        <v/>
      </c>
      <c r="BU81" s="100" t="str">
        <f>IF($BI$5=TRUE,IF(AZ81="","",SUM($AZ$8:AZ81)),"")</f>
        <v/>
      </c>
      <c r="BV81" s="100" t="str">
        <f>IF($BJ$5=TRUE,IF(BA81="","",SUM($BA$8:BA81)),"")</f>
        <v/>
      </c>
      <c r="BW81" s="100" t="str">
        <f>IF($BK$5=TRUE,IF(BB81="","",SUM($BB$8:BB81)),"")</f>
        <v/>
      </c>
      <c r="BX81" s="100" t="str">
        <f>IF($BL$5=TRUE,IF(BC81="","",SUM($BC$8:BC81)),"")</f>
        <v/>
      </c>
      <c r="BY81" s="100" t="str">
        <f>IF($BM$5=TRUE,IF(BD81="","",SUM($BD$8:BD81)),"")</f>
        <v/>
      </c>
      <c r="BZ81" s="100" t="str">
        <f>IF($BN$5=TRUE,IF(BE81="","",SUM($BE$8:BE81)),"")</f>
        <v/>
      </c>
    </row>
    <row r="82" spans="46:78" x14ac:dyDescent="0.25">
      <c r="AT82" s="74">
        <v>44839</v>
      </c>
      <c r="AU82" s="72">
        <v>2215.2199999999998</v>
      </c>
      <c r="AW82" s="74"/>
      <c r="BR82" s="133" t="str">
        <f t="shared" si="27"/>
        <v/>
      </c>
      <c r="BS82" s="100" t="str">
        <f>IF($BG$5=TRUE,IF(AX82="","",SUM($AX$8:AX82)),"")</f>
        <v/>
      </c>
      <c r="BT82" s="100" t="str">
        <f>IF($BH$5=TRUE,IF(AY82="","",SUM($AY$8:AY82)),"")</f>
        <v/>
      </c>
      <c r="BU82" s="100" t="str">
        <f>IF($BI$5=TRUE,IF(AZ82="","",SUM($AZ$8:AZ82)),"")</f>
        <v/>
      </c>
      <c r="BV82" s="100" t="str">
        <f>IF($BJ$5=TRUE,IF(BA82="","",SUM($BA$8:BA82)),"")</f>
        <v/>
      </c>
      <c r="BW82" s="100" t="str">
        <f>IF($BK$5=TRUE,IF(BB82="","",SUM($BB$8:BB82)),"")</f>
        <v/>
      </c>
      <c r="BX82" s="100" t="str">
        <f>IF($BL$5=TRUE,IF(BC82="","",SUM($BC$8:BC82)),"")</f>
        <v/>
      </c>
      <c r="BY82" s="100" t="str">
        <f>IF($BM$5=TRUE,IF(BD82="","",SUM($BD$8:BD82)),"")</f>
        <v/>
      </c>
      <c r="BZ82" s="100" t="str">
        <f>IF($BN$5=TRUE,IF(BE82="","",SUM($BE$8:BE82)),"")</f>
        <v/>
      </c>
    </row>
    <row r="83" spans="46:78" x14ac:dyDescent="0.25">
      <c r="AT83" s="74">
        <v>44838</v>
      </c>
      <c r="AU83" s="72">
        <v>2209.38</v>
      </c>
      <c r="AW83" s="74"/>
      <c r="BR83" s="133" t="str">
        <f t="shared" si="27"/>
        <v/>
      </c>
      <c r="BS83" s="100" t="str">
        <f>IF($BG$5=TRUE,IF(AX83="","",SUM($AX$8:AX83)),"")</f>
        <v/>
      </c>
      <c r="BT83" s="100" t="str">
        <f>IF($BH$5=TRUE,IF(AY83="","",SUM($AY$8:AY83)),"")</f>
        <v/>
      </c>
      <c r="BU83" s="100" t="str">
        <f>IF($BI$5=TRUE,IF(AZ83="","",SUM($AZ$8:AZ83)),"")</f>
        <v/>
      </c>
      <c r="BV83" s="100" t="str">
        <f>IF($BJ$5=TRUE,IF(BA83="","",SUM($BA$8:BA83)),"")</f>
        <v/>
      </c>
      <c r="BW83" s="100" t="str">
        <f>IF($BK$5=TRUE,IF(BB83="","",SUM($BB$8:BB83)),"")</f>
        <v/>
      </c>
      <c r="BX83" s="100" t="str">
        <f>IF($BL$5=TRUE,IF(BC83="","",SUM($BC$8:BC83)),"")</f>
        <v/>
      </c>
      <c r="BY83" s="100" t="str">
        <f>IF($BM$5=TRUE,IF(BD83="","",SUM($BD$8:BD83)),"")</f>
        <v/>
      </c>
      <c r="BZ83" s="100" t="str">
        <f>IF($BN$5=TRUE,IF(BE83="","",SUM($BE$8:BE83)),"")</f>
        <v/>
      </c>
    </row>
    <row r="84" spans="46:78" x14ac:dyDescent="0.25">
      <c r="AT84" s="74">
        <v>44834</v>
      </c>
      <c r="AU84" s="72">
        <v>2155.4899999999998</v>
      </c>
      <c r="AW84" s="74"/>
      <c r="BR84" s="133" t="str">
        <f t="shared" si="27"/>
        <v/>
      </c>
      <c r="BS84" s="100" t="str">
        <f>IF($BG$5=TRUE,IF(AX84="","",SUM($AX$8:AX84)),"")</f>
        <v/>
      </c>
      <c r="BT84" s="100" t="str">
        <f>IF($BH$5=TRUE,IF(AY84="","",SUM($AY$8:AY84)),"")</f>
        <v/>
      </c>
      <c r="BU84" s="100" t="str">
        <f>IF($BI$5=TRUE,IF(AZ84="","",SUM($AZ$8:AZ84)),"")</f>
        <v/>
      </c>
      <c r="BV84" s="100" t="str">
        <f>IF($BJ$5=TRUE,IF(BA84="","",SUM($BA$8:BA84)),"")</f>
        <v/>
      </c>
      <c r="BW84" s="100" t="str">
        <f>IF($BK$5=TRUE,IF(BB84="","",SUM($BB$8:BB84)),"")</f>
        <v/>
      </c>
      <c r="BX84" s="100" t="str">
        <f>IF($BL$5=TRUE,IF(BC84="","",SUM($BC$8:BC84)),"")</f>
        <v/>
      </c>
      <c r="BY84" s="100" t="str">
        <f>IF($BM$5=TRUE,IF(BD84="","",SUM($BD$8:BD84)),"")</f>
        <v/>
      </c>
      <c r="BZ84" s="100" t="str">
        <f>IF($BN$5=TRUE,IF(BE84="","",SUM($BE$8:BE84)),"")</f>
        <v/>
      </c>
    </row>
    <row r="85" spans="46:78" x14ac:dyDescent="0.25">
      <c r="AT85" s="74">
        <v>44833</v>
      </c>
      <c r="AU85" s="72">
        <v>2170.9299999999998</v>
      </c>
      <c r="AW85" s="74"/>
      <c r="BR85" s="133" t="str">
        <f t="shared" si="27"/>
        <v/>
      </c>
      <c r="BS85" s="100" t="str">
        <f>IF($BG$5=TRUE,IF(AX85="","",SUM($AX$8:AX85)),"")</f>
        <v/>
      </c>
      <c r="BT85" s="100" t="str">
        <f>IF($BH$5=TRUE,IF(AY85="","",SUM($AY$8:AY85)),"")</f>
        <v/>
      </c>
      <c r="BU85" s="100" t="str">
        <f>IF($BI$5=TRUE,IF(AZ85="","",SUM($AZ$8:AZ85)),"")</f>
        <v/>
      </c>
      <c r="BV85" s="100" t="str">
        <f>IF($BJ$5=TRUE,IF(BA85="","",SUM($BA$8:BA85)),"")</f>
        <v/>
      </c>
      <c r="BW85" s="100" t="str">
        <f>IF($BK$5=TRUE,IF(BB85="","",SUM($BB$8:BB85)),"")</f>
        <v/>
      </c>
      <c r="BX85" s="100" t="str">
        <f>IF($BL$5=TRUE,IF(BC85="","",SUM($BC$8:BC85)),"")</f>
        <v/>
      </c>
      <c r="BY85" s="100" t="str">
        <f>IF($BM$5=TRUE,IF(BD85="","",SUM($BD$8:BD85)),"")</f>
        <v/>
      </c>
      <c r="BZ85" s="100" t="str">
        <f>IF($BN$5=TRUE,IF(BE85="","",SUM($BE$8:BE85)),"")</f>
        <v/>
      </c>
    </row>
    <row r="86" spans="46:78" x14ac:dyDescent="0.25">
      <c r="AT86" s="74">
        <v>44832</v>
      </c>
      <c r="AU86" s="72">
        <v>2169.29</v>
      </c>
      <c r="AW86" s="74"/>
      <c r="BR86" s="133" t="str">
        <f t="shared" si="27"/>
        <v/>
      </c>
      <c r="BS86" s="100" t="str">
        <f>IF($BG$5=TRUE,IF(AX86="","",SUM($AX$8:AX86)),"")</f>
        <v/>
      </c>
      <c r="BT86" s="100" t="str">
        <f>IF($BH$5=TRUE,IF(AY86="","",SUM($AY$8:AY86)),"")</f>
        <v/>
      </c>
      <c r="BU86" s="100" t="str">
        <f>IF($BI$5=TRUE,IF(AZ86="","",SUM($AZ$8:AZ86)),"")</f>
        <v/>
      </c>
      <c r="BV86" s="100" t="str">
        <f>IF($BJ$5=TRUE,IF(BA86="","",SUM($BA$8:BA86)),"")</f>
        <v/>
      </c>
      <c r="BW86" s="100" t="str">
        <f>IF($BK$5=TRUE,IF(BB86="","",SUM($BB$8:BB86)),"")</f>
        <v/>
      </c>
      <c r="BX86" s="100" t="str">
        <f>IF($BL$5=TRUE,IF(BC86="","",SUM($BC$8:BC86)),"")</f>
        <v/>
      </c>
      <c r="BY86" s="100" t="str">
        <f>IF($BM$5=TRUE,IF(BD86="","",SUM($BD$8:BD86)),"")</f>
        <v/>
      </c>
      <c r="BZ86" s="100" t="str">
        <f>IF($BN$5=TRUE,IF(BE86="","",SUM($BE$8:BE86)),"")</f>
        <v/>
      </c>
    </row>
    <row r="87" spans="46:78" x14ac:dyDescent="0.25">
      <c r="AT87" s="74">
        <v>44831</v>
      </c>
      <c r="AU87" s="72">
        <v>2223.86</v>
      </c>
      <c r="AW87" s="74"/>
      <c r="BR87" s="133" t="str">
        <f t="shared" si="27"/>
        <v/>
      </c>
      <c r="BS87" s="100" t="str">
        <f>IF($BG$5=TRUE,IF(AX87="","",SUM($AX$8:AX87)),"")</f>
        <v/>
      </c>
      <c r="BT87" s="100" t="str">
        <f>IF($BH$5=TRUE,IF(AY87="","",SUM($AY$8:AY87)),"")</f>
        <v/>
      </c>
      <c r="BU87" s="100" t="str">
        <f>IF($BI$5=TRUE,IF(AZ87="","",SUM($AZ$8:AZ87)),"")</f>
        <v/>
      </c>
      <c r="BV87" s="100" t="str">
        <f>IF($BJ$5=TRUE,IF(BA87="","",SUM($BA$8:BA87)),"")</f>
        <v/>
      </c>
      <c r="BW87" s="100" t="str">
        <f>IF($BK$5=TRUE,IF(BB87="","",SUM($BB$8:BB87)),"")</f>
        <v/>
      </c>
      <c r="BX87" s="100" t="str">
        <f>IF($BL$5=TRUE,IF(BC87="","",SUM($BC$8:BC87)),"")</f>
        <v/>
      </c>
      <c r="BY87" s="100" t="str">
        <f>IF($BM$5=TRUE,IF(BD87="","",SUM($BD$8:BD87)),"")</f>
        <v/>
      </c>
      <c r="BZ87" s="100" t="str">
        <f>IF($BN$5=TRUE,IF(BE87="","",SUM($BE$8:BE87)),"")</f>
        <v/>
      </c>
    </row>
    <row r="88" spans="46:78" x14ac:dyDescent="0.25">
      <c r="AT88" s="74">
        <v>44830</v>
      </c>
      <c r="AU88" s="72">
        <v>2220.94</v>
      </c>
      <c r="AW88" s="74"/>
      <c r="BR88" s="133" t="str">
        <f t="shared" si="27"/>
        <v/>
      </c>
      <c r="BS88" s="100" t="str">
        <f>IF($BG$5=TRUE,IF(AX88="","",SUM($AX$8:AX88)),"")</f>
        <v/>
      </c>
      <c r="BT88" s="100" t="str">
        <f>IF($BH$5=TRUE,IF(AY88="","",SUM($AY$8:AY88)),"")</f>
        <v/>
      </c>
      <c r="BU88" s="100" t="str">
        <f>IF($BI$5=TRUE,IF(AZ88="","",SUM($AZ$8:AZ88)),"")</f>
        <v/>
      </c>
      <c r="BV88" s="100" t="str">
        <f>IF($BJ$5=TRUE,IF(BA88="","",SUM($BA$8:BA88)),"")</f>
        <v/>
      </c>
      <c r="BW88" s="100" t="str">
        <f>IF($BK$5=TRUE,IF(BB88="","",SUM($BB$8:BB88)),"")</f>
        <v/>
      </c>
      <c r="BX88" s="100" t="str">
        <f>IF($BL$5=TRUE,IF(BC88="","",SUM($BC$8:BC88)),"")</f>
        <v/>
      </c>
      <c r="BY88" s="100" t="str">
        <f>IF($BM$5=TRUE,IF(BD88="","",SUM($BD$8:BD88)),"")</f>
        <v/>
      </c>
      <c r="BZ88" s="100" t="str">
        <f>IF($BN$5=TRUE,IF(BE88="","",SUM($BE$8:BE88)),"")</f>
        <v/>
      </c>
    </row>
    <row r="89" spans="46:78" x14ac:dyDescent="0.25">
      <c r="AT89" s="74">
        <v>44827</v>
      </c>
      <c r="AU89" s="72">
        <v>2290</v>
      </c>
      <c r="AW89" s="74"/>
      <c r="BR89" s="133" t="str">
        <f t="shared" si="27"/>
        <v/>
      </c>
      <c r="BS89" s="100" t="str">
        <f>IF($BG$5=TRUE,IF(AX89="","",SUM($AX$8:AX89)),"")</f>
        <v/>
      </c>
      <c r="BT89" s="100" t="str">
        <f>IF($BH$5=TRUE,IF(AY89="","",SUM($AY$8:AY89)),"")</f>
        <v/>
      </c>
      <c r="BU89" s="100" t="str">
        <f>IF($BI$5=TRUE,IF(AZ89="","",SUM($AZ$8:AZ89)),"")</f>
        <v/>
      </c>
      <c r="BV89" s="100" t="str">
        <f>IF($BJ$5=TRUE,IF(BA89="","",SUM($BA$8:BA89)),"")</f>
        <v/>
      </c>
      <c r="BW89" s="100" t="str">
        <f>IF($BK$5=TRUE,IF(BB89="","",SUM($BB$8:BB89)),"")</f>
        <v/>
      </c>
      <c r="BX89" s="100" t="str">
        <f>IF($BL$5=TRUE,IF(BC89="","",SUM($BC$8:BC89)),"")</f>
        <v/>
      </c>
      <c r="BY89" s="100" t="str">
        <f>IF($BM$5=TRUE,IF(BD89="","",SUM($BD$8:BD89)),"")</f>
        <v/>
      </c>
      <c r="BZ89" s="100" t="str">
        <f>IF($BN$5=TRUE,IF(BE89="","",SUM($BE$8:BE89)),"")</f>
        <v/>
      </c>
    </row>
    <row r="90" spans="46:78" x14ac:dyDescent="0.25">
      <c r="AT90" s="74">
        <v>44826</v>
      </c>
      <c r="AU90" s="72">
        <v>2332.31</v>
      </c>
      <c r="AW90" s="74"/>
      <c r="BR90" s="133" t="str">
        <f t="shared" si="27"/>
        <v/>
      </c>
      <c r="BS90" s="100" t="str">
        <f>IF($BG$5=TRUE,IF(AX90="","",SUM($AX$8:AX90)),"")</f>
        <v/>
      </c>
      <c r="BT90" s="100" t="str">
        <f>IF($BH$5=TRUE,IF(AY90="","",SUM($AY$8:AY90)),"")</f>
        <v/>
      </c>
      <c r="BU90" s="100" t="str">
        <f>IF($BI$5=TRUE,IF(AZ90="","",SUM($AZ$8:AZ90)),"")</f>
        <v/>
      </c>
      <c r="BV90" s="100" t="str">
        <f>IF($BJ$5=TRUE,IF(BA90="","",SUM($BA$8:BA90)),"")</f>
        <v/>
      </c>
      <c r="BW90" s="100" t="str">
        <f>IF($BK$5=TRUE,IF(BB90="","",SUM($BB$8:BB90)),"")</f>
        <v/>
      </c>
      <c r="BX90" s="100" t="str">
        <f>IF($BL$5=TRUE,IF(BC90="","",SUM($BC$8:BC90)),"")</f>
        <v/>
      </c>
      <c r="BY90" s="100" t="str">
        <f>IF($BM$5=TRUE,IF(BD90="","",SUM($BD$8:BD90)),"")</f>
        <v/>
      </c>
      <c r="BZ90" s="100" t="str">
        <f>IF($BN$5=TRUE,IF(BE90="","",SUM($BE$8:BE90)),"")</f>
        <v/>
      </c>
    </row>
    <row r="91" spans="46:78" x14ac:dyDescent="0.25">
      <c r="AT91" s="74">
        <v>44825</v>
      </c>
      <c r="AU91" s="72">
        <v>2347.21</v>
      </c>
      <c r="AW91" s="74"/>
      <c r="BR91" s="133" t="str">
        <f t="shared" si="27"/>
        <v/>
      </c>
      <c r="BS91" s="100" t="str">
        <f>IF($BG$5=TRUE,IF(AX91="","",SUM($AX$8:AX91)),"")</f>
        <v/>
      </c>
      <c r="BT91" s="100" t="str">
        <f>IF($BH$5=TRUE,IF(AY91="","",SUM($AY$8:AY91)),"")</f>
        <v/>
      </c>
      <c r="BU91" s="100" t="str">
        <f>IF($BI$5=TRUE,IF(AZ91="","",SUM($AZ$8:AZ91)),"")</f>
        <v/>
      </c>
      <c r="BV91" s="100" t="str">
        <f>IF($BJ$5=TRUE,IF(BA91="","",SUM($BA$8:BA91)),"")</f>
        <v/>
      </c>
      <c r="BW91" s="100" t="str">
        <f>IF($BK$5=TRUE,IF(BB91="","",SUM($BB$8:BB91)),"")</f>
        <v/>
      </c>
      <c r="BX91" s="100" t="str">
        <f>IF($BL$5=TRUE,IF(BC91="","",SUM($BC$8:BC91)),"")</f>
        <v/>
      </c>
      <c r="BY91" s="100" t="str">
        <f>IF($BM$5=TRUE,IF(BD91="","",SUM($BD$8:BD91)),"")</f>
        <v/>
      </c>
      <c r="BZ91" s="100" t="str">
        <f>IF($BN$5=TRUE,IF(BE91="","",SUM($BE$8:BE91)),"")</f>
        <v/>
      </c>
    </row>
    <row r="92" spans="46:78" x14ac:dyDescent="0.25">
      <c r="AT92" s="74">
        <v>44824</v>
      </c>
      <c r="AU92" s="72">
        <v>2367.85</v>
      </c>
      <c r="AW92" s="74"/>
      <c r="BR92" s="133" t="str">
        <f t="shared" si="27"/>
        <v/>
      </c>
      <c r="BS92" s="100" t="str">
        <f>IF($BG$5=TRUE,IF(AX92="","",SUM($AX$8:AX92)),"")</f>
        <v/>
      </c>
      <c r="BT92" s="100" t="str">
        <f>IF($BH$5=TRUE,IF(AY92="","",SUM($AY$8:AY92)),"")</f>
        <v/>
      </c>
      <c r="BU92" s="100" t="str">
        <f>IF($BI$5=TRUE,IF(AZ92="","",SUM($AZ$8:AZ92)),"")</f>
        <v/>
      </c>
      <c r="BV92" s="100" t="str">
        <f>IF($BJ$5=TRUE,IF(BA92="","",SUM($BA$8:BA92)),"")</f>
        <v/>
      </c>
      <c r="BW92" s="100" t="str">
        <f>IF($BK$5=TRUE,IF(BB92="","",SUM($BB$8:BB92)),"")</f>
        <v/>
      </c>
      <c r="BX92" s="100" t="str">
        <f>IF($BL$5=TRUE,IF(BC92="","",SUM($BC$8:BC92)),"")</f>
        <v/>
      </c>
      <c r="BY92" s="100" t="str">
        <f>IF($BM$5=TRUE,IF(BD92="","",SUM($BD$8:BD92)),"")</f>
        <v/>
      </c>
      <c r="BZ92" s="100" t="str">
        <f>IF($BN$5=TRUE,IF(BE92="","",SUM($BE$8:BE92)),"")</f>
        <v/>
      </c>
    </row>
    <row r="93" spans="46:78" x14ac:dyDescent="0.25">
      <c r="AT93" s="74">
        <v>44823</v>
      </c>
      <c r="AU93" s="72">
        <v>2355.66</v>
      </c>
      <c r="AW93" s="74"/>
      <c r="BR93" s="133" t="str">
        <f t="shared" si="27"/>
        <v/>
      </c>
      <c r="BS93" s="100" t="str">
        <f>IF($BG$5=TRUE,IF(AX93="","",SUM($AX$8:AX93)),"")</f>
        <v/>
      </c>
      <c r="BT93" s="100" t="str">
        <f>IF($BH$5=TRUE,IF(AY93="","",SUM($AY$8:AY93)),"")</f>
        <v/>
      </c>
      <c r="BU93" s="100" t="str">
        <f>IF($BI$5=TRUE,IF(AZ93="","",SUM($AZ$8:AZ93)),"")</f>
        <v/>
      </c>
      <c r="BV93" s="100" t="str">
        <f>IF($BJ$5=TRUE,IF(BA93="","",SUM($BA$8:BA93)),"")</f>
        <v/>
      </c>
      <c r="BW93" s="100" t="str">
        <f>IF($BK$5=TRUE,IF(BB93="","",SUM($BB$8:BB93)),"")</f>
        <v/>
      </c>
      <c r="BX93" s="100" t="str">
        <f>IF($BL$5=TRUE,IF(BC93="","",SUM($BC$8:BC93)),"")</f>
        <v/>
      </c>
      <c r="BY93" s="100" t="str">
        <f>IF($BM$5=TRUE,IF(BD93="","",SUM($BD$8:BD93)),"")</f>
        <v/>
      </c>
      <c r="BZ93" s="100" t="str">
        <f>IF($BN$5=TRUE,IF(BE93="","",SUM($BE$8:BE93)),"")</f>
        <v/>
      </c>
    </row>
    <row r="94" spans="46:78" x14ac:dyDescent="0.25">
      <c r="AT94" s="74">
        <v>44820</v>
      </c>
      <c r="AU94" s="72">
        <v>2382.7800000000002</v>
      </c>
      <c r="AW94" s="74"/>
      <c r="BR94" s="133" t="str">
        <f t="shared" si="27"/>
        <v/>
      </c>
      <c r="BS94" s="100" t="str">
        <f>IF($BG$5=TRUE,IF(AX94="","",SUM($AX$8:AX94)),"")</f>
        <v/>
      </c>
      <c r="BT94" s="100" t="str">
        <f>IF($BH$5=TRUE,IF(AY94="","",SUM($AY$8:AY94)),"")</f>
        <v/>
      </c>
      <c r="BU94" s="100" t="str">
        <f>IF($BI$5=TRUE,IF(AZ94="","",SUM($AZ$8:AZ94)),"")</f>
        <v/>
      </c>
      <c r="BV94" s="100" t="str">
        <f>IF($BJ$5=TRUE,IF(BA94="","",SUM($BA$8:BA94)),"")</f>
        <v/>
      </c>
      <c r="BW94" s="100" t="str">
        <f>IF($BK$5=TRUE,IF(BB94="","",SUM($BB$8:BB94)),"")</f>
        <v/>
      </c>
      <c r="BX94" s="100" t="str">
        <f>IF($BL$5=TRUE,IF(BC94="","",SUM($BC$8:BC94)),"")</f>
        <v/>
      </c>
      <c r="BY94" s="100" t="str">
        <f>IF($BM$5=TRUE,IF(BD94="","",SUM($BD$8:BD94)),"")</f>
        <v/>
      </c>
      <c r="BZ94" s="100" t="str">
        <f>IF($BN$5=TRUE,IF(BE94="","",SUM($BE$8:BE94)),"")</f>
        <v/>
      </c>
    </row>
    <row r="95" spans="46:78" x14ac:dyDescent="0.25">
      <c r="AT95" s="74">
        <v>44819</v>
      </c>
      <c r="AU95" s="72">
        <v>2401.83</v>
      </c>
      <c r="AW95" s="74"/>
      <c r="BR95" s="133" t="str">
        <f t="shared" si="27"/>
        <v/>
      </c>
      <c r="BS95" s="100" t="str">
        <f>IF($BG$5=TRUE,IF(AX95="","",SUM($AX$8:AX95)),"")</f>
        <v/>
      </c>
      <c r="BT95" s="100" t="str">
        <f>IF($BH$5=TRUE,IF(AY95="","",SUM($AY$8:AY95)),"")</f>
        <v/>
      </c>
      <c r="BU95" s="100" t="str">
        <f>IF($BI$5=TRUE,IF(AZ95="","",SUM($AZ$8:AZ95)),"")</f>
        <v/>
      </c>
      <c r="BV95" s="100" t="str">
        <f>IF($BJ$5=TRUE,IF(BA95="","",SUM($BA$8:BA95)),"")</f>
        <v/>
      </c>
      <c r="BW95" s="100" t="str">
        <f>IF($BK$5=TRUE,IF(BB95="","",SUM($BB$8:BB95)),"")</f>
        <v/>
      </c>
      <c r="BX95" s="100" t="str">
        <f>IF($BL$5=TRUE,IF(BC95="","",SUM($BC$8:BC95)),"")</f>
        <v/>
      </c>
      <c r="BY95" s="100" t="str">
        <f>IF($BM$5=TRUE,IF(BD95="","",SUM($BD$8:BD95)),"")</f>
        <v/>
      </c>
      <c r="BZ95" s="100" t="str">
        <f>IF($BN$5=TRUE,IF(BE95="","",SUM($BE$8:BE95)),"")</f>
        <v/>
      </c>
    </row>
    <row r="96" spans="46:78" x14ac:dyDescent="0.25">
      <c r="AT96" s="74">
        <v>44818</v>
      </c>
      <c r="AU96" s="72">
        <v>2411.42</v>
      </c>
      <c r="AW96" s="74"/>
      <c r="BR96" s="133" t="str">
        <f t="shared" si="27"/>
        <v/>
      </c>
      <c r="BS96" s="100" t="str">
        <f>IF($BG$5=TRUE,IF(AX96="","",SUM($AX$8:AX96)),"")</f>
        <v/>
      </c>
      <c r="BT96" s="100" t="str">
        <f>IF($BH$5=TRUE,IF(AY96="","",SUM($AY$8:AY96)),"")</f>
        <v/>
      </c>
      <c r="BU96" s="100" t="str">
        <f>IF($BI$5=TRUE,IF(AZ96="","",SUM($AZ$8:AZ96)),"")</f>
        <v/>
      </c>
      <c r="BV96" s="100" t="str">
        <f>IF($BJ$5=TRUE,IF(BA96="","",SUM($BA$8:BA96)),"")</f>
        <v/>
      </c>
      <c r="BW96" s="100" t="str">
        <f>IF($BK$5=TRUE,IF(BB96="","",SUM($BB$8:BB96)),"")</f>
        <v/>
      </c>
      <c r="BX96" s="100" t="str">
        <f>IF($BL$5=TRUE,IF(BC96="","",SUM($BC$8:BC96)),"")</f>
        <v/>
      </c>
      <c r="BY96" s="100" t="str">
        <f>IF($BM$5=TRUE,IF(BD96="","",SUM($BD$8:BD96)),"")</f>
        <v/>
      </c>
      <c r="BZ96" s="100" t="str">
        <f>IF($BN$5=TRUE,IF(BE96="","",SUM($BE$8:BE96)),"")</f>
        <v/>
      </c>
    </row>
    <row r="97" spans="46:78" x14ac:dyDescent="0.25">
      <c r="AT97" s="74">
        <v>44817</v>
      </c>
      <c r="AU97" s="72">
        <v>2449.54</v>
      </c>
      <c r="AW97" s="74"/>
      <c r="BR97" s="133" t="str">
        <f t="shared" si="27"/>
        <v/>
      </c>
      <c r="BS97" s="100" t="str">
        <f>IF($BG$5=TRUE,IF(AX97="","",SUM($AX$8:AX97)),"")</f>
        <v/>
      </c>
      <c r="BT97" s="100" t="str">
        <f>IF($BH$5=TRUE,IF(AY97="","",SUM($AY$8:AY97)),"")</f>
        <v/>
      </c>
      <c r="BU97" s="100" t="str">
        <f>IF($BI$5=TRUE,IF(AZ97="","",SUM($AZ$8:AZ97)),"")</f>
        <v/>
      </c>
      <c r="BV97" s="100" t="str">
        <f>IF($BJ$5=TRUE,IF(BA97="","",SUM($BA$8:BA97)),"")</f>
        <v/>
      </c>
      <c r="BW97" s="100" t="str">
        <f>IF($BK$5=TRUE,IF(BB97="","",SUM($BB$8:BB97)),"")</f>
        <v/>
      </c>
      <c r="BX97" s="100" t="str">
        <f>IF($BL$5=TRUE,IF(BC97="","",SUM($BC$8:BC97)),"")</f>
        <v/>
      </c>
      <c r="BY97" s="100" t="str">
        <f>IF($BM$5=TRUE,IF(BD97="","",SUM($BD$8:BD97)),"")</f>
        <v/>
      </c>
      <c r="BZ97" s="100" t="str">
        <f>IF($BN$5=TRUE,IF(BE97="","",SUM($BE$8:BE97)),"")</f>
        <v/>
      </c>
    </row>
    <row r="98" spans="46:78" x14ac:dyDescent="0.25">
      <c r="AT98" s="74">
        <v>44812</v>
      </c>
      <c r="AU98" s="72">
        <v>2384.2800000000002</v>
      </c>
      <c r="AW98" s="74"/>
      <c r="BR98" s="133" t="str">
        <f t="shared" si="27"/>
        <v/>
      </c>
      <c r="BS98" s="100" t="str">
        <f>IF($BG$5=TRUE,IF(AX98="","",SUM($AX$8:AX98)),"")</f>
        <v/>
      </c>
      <c r="BT98" s="100" t="str">
        <f>IF($BH$5=TRUE,IF(AY98="","",SUM($AY$8:AY98)),"")</f>
        <v/>
      </c>
      <c r="BU98" s="100" t="str">
        <f>IF($BI$5=TRUE,IF(AZ98="","",SUM($AZ$8:AZ98)),"")</f>
        <v/>
      </c>
      <c r="BV98" s="100" t="str">
        <f>IF($BJ$5=TRUE,IF(BA98="","",SUM($BA$8:BA98)),"")</f>
        <v/>
      </c>
      <c r="BW98" s="100" t="str">
        <f>IF($BK$5=TRUE,IF(BB98="","",SUM($BB$8:BB98)),"")</f>
        <v/>
      </c>
      <c r="BX98" s="100" t="str">
        <f>IF($BL$5=TRUE,IF(BC98="","",SUM($BC$8:BC98)),"")</f>
        <v/>
      </c>
      <c r="BY98" s="100" t="str">
        <f>IF($BM$5=TRUE,IF(BD98="","",SUM($BD$8:BD98)),"")</f>
        <v/>
      </c>
      <c r="BZ98" s="100" t="str">
        <f>IF($BN$5=TRUE,IF(BE98="","",SUM($BE$8:BE98)),"")</f>
        <v/>
      </c>
    </row>
    <row r="99" spans="46:78" x14ac:dyDescent="0.25">
      <c r="AT99" s="74">
        <v>44811</v>
      </c>
      <c r="AU99" s="72">
        <v>2376.46</v>
      </c>
      <c r="AW99" s="74"/>
      <c r="BR99" s="133" t="str">
        <f t="shared" si="27"/>
        <v/>
      </c>
      <c r="BS99" s="100" t="str">
        <f>IF($BG$5=TRUE,IF(AX99="","",SUM($AX$8:AX99)),"")</f>
        <v/>
      </c>
      <c r="BT99" s="100" t="str">
        <f>IF($BH$5=TRUE,IF(AY99="","",SUM($AY$8:AY99)),"")</f>
        <v/>
      </c>
      <c r="BU99" s="100" t="str">
        <f>IF($BI$5=TRUE,IF(AZ99="","",SUM($AZ$8:AZ99)),"")</f>
        <v/>
      </c>
      <c r="BV99" s="100" t="str">
        <f>IF($BJ$5=TRUE,IF(BA99="","",SUM($BA$8:BA99)),"")</f>
        <v/>
      </c>
      <c r="BW99" s="100" t="str">
        <f>IF($BK$5=TRUE,IF(BB99="","",SUM($BB$8:BB99)),"")</f>
        <v/>
      </c>
      <c r="BX99" s="100" t="str">
        <f>IF($BL$5=TRUE,IF(BC99="","",SUM($BC$8:BC99)),"")</f>
        <v/>
      </c>
      <c r="BY99" s="100" t="str">
        <f>IF($BM$5=TRUE,IF(BD99="","",SUM($BD$8:BD99)),"")</f>
        <v/>
      </c>
      <c r="BZ99" s="100" t="str">
        <f>IF($BN$5=TRUE,IF(BE99="","",SUM($BE$8:BE99)),"")</f>
        <v/>
      </c>
    </row>
    <row r="100" spans="46:78" x14ac:dyDescent="0.25">
      <c r="AT100" s="74">
        <v>44810</v>
      </c>
      <c r="AU100" s="72">
        <v>2410.02</v>
      </c>
      <c r="AW100" s="74"/>
      <c r="BR100" s="133" t="str">
        <f t="shared" si="27"/>
        <v/>
      </c>
      <c r="BS100" s="100" t="str">
        <f>IF($BG$5=TRUE,IF(AX100="","",SUM($AX$8:AX100)),"")</f>
        <v/>
      </c>
      <c r="BT100" s="100" t="str">
        <f>IF($BH$5=TRUE,IF(AY100="","",SUM($AY$8:AY100)),"")</f>
        <v/>
      </c>
      <c r="BU100" s="100" t="str">
        <f>IF($BI$5=TRUE,IF(AZ100="","",SUM($AZ$8:AZ100)),"")</f>
        <v/>
      </c>
      <c r="BV100" s="100" t="str">
        <f>IF($BJ$5=TRUE,IF(BA100="","",SUM($BA$8:BA100)),"")</f>
        <v/>
      </c>
      <c r="BW100" s="100" t="str">
        <f>IF($BK$5=TRUE,IF(BB100="","",SUM($BB$8:BB100)),"")</f>
        <v/>
      </c>
      <c r="BX100" s="100" t="str">
        <f>IF($BL$5=TRUE,IF(BC100="","",SUM($BC$8:BC100)),"")</f>
        <v/>
      </c>
      <c r="BY100" s="100" t="str">
        <f>IF($BM$5=TRUE,IF(BD100="","",SUM($BD$8:BD100)),"")</f>
        <v/>
      </c>
      <c r="BZ100" s="100" t="str">
        <f>IF($BN$5=TRUE,IF(BE100="","",SUM($BE$8:BE100)),"")</f>
        <v/>
      </c>
    </row>
    <row r="101" spans="46:78" x14ac:dyDescent="0.25">
      <c r="AT101" s="74">
        <v>44809</v>
      </c>
      <c r="AU101" s="72">
        <v>2403.6799999999998</v>
      </c>
      <c r="AW101" s="74"/>
      <c r="BR101" s="133" t="str">
        <f t="shared" si="27"/>
        <v/>
      </c>
      <c r="BS101" s="100" t="str">
        <f>IF($BG$5=TRUE,IF(AX101="","",SUM($AX$8:AX101)),"")</f>
        <v/>
      </c>
      <c r="BT101" s="100" t="str">
        <f>IF($BH$5=TRUE,IF(AY101="","",SUM($AY$8:AY101)),"")</f>
        <v/>
      </c>
      <c r="BU101" s="100" t="str">
        <f>IF($BI$5=TRUE,IF(AZ101="","",SUM($AZ$8:AZ101)),"")</f>
        <v/>
      </c>
      <c r="BV101" s="100" t="str">
        <f>IF($BJ$5=TRUE,IF(BA101="","",SUM($BA$8:BA101)),"")</f>
        <v/>
      </c>
      <c r="BW101" s="100" t="str">
        <f>IF($BK$5=TRUE,IF(BB101="","",SUM($BB$8:BB101)),"")</f>
        <v/>
      </c>
      <c r="BX101" s="100" t="str">
        <f>IF($BL$5=TRUE,IF(BC101="","",SUM($BC$8:BC101)),"")</f>
        <v/>
      </c>
      <c r="BY101" s="100" t="str">
        <f>IF($BM$5=TRUE,IF(BD101="","",SUM($BD$8:BD101)),"")</f>
        <v/>
      </c>
      <c r="BZ101" s="100" t="str">
        <f>IF($BN$5=TRUE,IF(BE101="","",SUM($BE$8:BE101)),"")</f>
        <v/>
      </c>
    </row>
    <row r="102" spans="46:78" x14ac:dyDescent="0.25">
      <c r="AT102" s="74">
        <v>44806</v>
      </c>
      <c r="AU102" s="72">
        <v>2409.41</v>
      </c>
      <c r="AW102" s="74"/>
      <c r="BR102" s="133" t="str">
        <f t="shared" si="27"/>
        <v/>
      </c>
      <c r="BS102" s="100" t="str">
        <f>IF($BG$5=TRUE,IF(AX102="","",SUM($AX$8:AX102)),"")</f>
        <v/>
      </c>
      <c r="BT102" s="100" t="str">
        <f>IF($BH$5=TRUE,IF(AY102="","",SUM($AY$8:AY102)),"")</f>
        <v/>
      </c>
      <c r="BU102" s="100" t="str">
        <f>IF($BI$5=TRUE,IF(AZ102="","",SUM($AZ$8:AZ102)),"")</f>
        <v/>
      </c>
      <c r="BV102" s="100" t="str">
        <f>IF($BJ$5=TRUE,IF(BA102="","",SUM($BA$8:BA102)),"")</f>
        <v/>
      </c>
      <c r="BW102" s="100" t="str">
        <f>IF($BK$5=TRUE,IF(BB102="","",SUM($BB$8:BB102)),"")</f>
        <v/>
      </c>
      <c r="BX102" s="100" t="str">
        <f>IF($BL$5=TRUE,IF(BC102="","",SUM($BC$8:BC102)),"")</f>
        <v/>
      </c>
      <c r="BY102" s="100" t="str">
        <f>IF($BM$5=TRUE,IF(BD102="","",SUM($BD$8:BD102)),"")</f>
        <v/>
      </c>
      <c r="BZ102" s="100" t="str">
        <f>IF($BN$5=TRUE,IF(BE102="","",SUM($BE$8:BE102)),"")</f>
        <v/>
      </c>
    </row>
    <row r="103" spans="46:78" x14ac:dyDescent="0.25">
      <c r="AT103" s="74">
        <v>44805</v>
      </c>
      <c r="AU103" s="72">
        <v>2415.61</v>
      </c>
      <c r="AW103" s="74"/>
      <c r="BR103" s="133" t="str">
        <f t="shared" si="27"/>
        <v/>
      </c>
      <c r="BS103" s="100" t="str">
        <f>IF($BG$5=TRUE,IF(AX103="","",SUM($AX$8:AX103)),"")</f>
        <v/>
      </c>
      <c r="BT103" s="100" t="str">
        <f>IF($BH$5=TRUE,IF(AY103="","",SUM($AY$8:AY103)),"")</f>
        <v/>
      </c>
      <c r="BU103" s="100" t="str">
        <f>IF($BI$5=TRUE,IF(AZ103="","",SUM($AZ$8:AZ103)),"")</f>
        <v/>
      </c>
      <c r="BV103" s="100" t="str">
        <f>IF($BJ$5=TRUE,IF(BA103="","",SUM($BA$8:BA103)),"")</f>
        <v/>
      </c>
      <c r="BW103" s="100" t="str">
        <f>IF($BK$5=TRUE,IF(BB103="","",SUM($BB$8:BB103)),"")</f>
        <v/>
      </c>
      <c r="BX103" s="100" t="str">
        <f>IF($BL$5=TRUE,IF(BC103="","",SUM($BC$8:BC103)),"")</f>
        <v/>
      </c>
      <c r="BY103" s="100" t="str">
        <f>IF($BM$5=TRUE,IF(BD103="","",SUM($BD$8:BD103)),"")</f>
        <v/>
      </c>
      <c r="BZ103" s="100" t="str">
        <f>IF($BN$5=TRUE,IF(BE103="","",SUM($BE$8:BE103)),"")</f>
        <v/>
      </c>
    </row>
    <row r="104" spans="46:78" x14ac:dyDescent="0.25">
      <c r="AT104" s="74">
        <v>44804</v>
      </c>
      <c r="AU104" s="72">
        <v>2472.0500000000002</v>
      </c>
      <c r="AW104" s="74"/>
      <c r="BR104" s="133" t="str">
        <f t="shared" si="27"/>
        <v/>
      </c>
      <c r="BS104" s="100" t="str">
        <f>IF($BG$5=TRUE,IF(AX104="","",SUM($AX$8:AX104)),"")</f>
        <v/>
      </c>
      <c r="BT104" s="100" t="str">
        <f>IF($BH$5=TRUE,IF(AY104="","",SUM($AY$8:AY104)),"")</f>
        <v/>
      </c>
      <c r="BU104" s="100" t="str">
        <f>IF($BI$5=TRUE,IF(AZ104="","",SUM($AZ$8:AZ104)),"")</f>
        <v/>
      </c>
      <c r="BV104" s="100" t="str">
        <f>IF($BJ$5=TRUE,IF(BA104="","",SUM($BA$8:BA104)),"")</f>
        <v/>
      </c>
      <c r="BW104" s="100" t="str">
        <f>IF($BK$5=TRUE,IF(BB104="","",SUM($BB$8:BB104)),"")</f>
        <v/>
      </c>
      <c r="BX104" s="100" t="str">
        <f>IF($BL$5=TRUE,IF(BC104="","",SUM($BC$8:BC104)),"")</f>
        <v/>
      </c>
      <c r="BY104" s="100" t="str">
        <f>IF($BM$5=TRUE,IF(BD104="","",SUM($BD$8:BD104)),"")</f>
        <v/>
      </c>
      <c r="BZ104" s="100" t="str">
        <f>IF($BN$5=TRUE,IF(BE104="","",SUM($BE$8:BE104)),"")</f>
        <v/>
      </c>
    </row>
    <row r="105" spans="46:78" x14ac:dyDescent="0.25">
      <c r="AT105" s="74">
        <v>44803</v>
      </c>
      <c r="AU105" s="72">
        <v>2450.9299999999998</v>
      </c>
      <c r="AW105" s="74"/>
      <c r="BR105" s="133" t="str">
        <f t="shared" si="27"/>
        <v/>
      </c>
      <c r="BS105" s="100" t="str">
        <f>IF($BG$5=TRUE,IF(AX105="","",SUM($AX$8:AX105)),"")</f>
        <v/>
      </c>
      <c r="BT105" s="100" t="str">
        <f>IF($BH$5=TRUE,IF(AY105="","",SUM($AY$8:AY105)),"")</f>
        <v/>
      </c>
      <c r="BU105" s="100" t="str">
        <f>IF($BI$5=TRUE,IF(AZ105="","",SUM($AZ$8:AZ105)),"")</f>
        <v/>
      </c>
      <c r="BV105" s="100" t="str">
        <f>IF($BJ$5=TRUE,IF(BA105="","",SUM($BA$8:BA105)),"")</f>
        <v/>
      </c>
      <c r="BW105" s="100" t="str">
        <f>IF($BK$5=TRUE,IF(BB105="","",SUM($BB$8:BB105)),"")</f>
        <v/>
      </c>
      <c r="BX105" s="100" t="str">
        <f>IF($BL$5=TRUE,IF(BC105="","",SUM($BC$8:BC105)),"")</f>
        <v/>
      </c>
      <c r="BY105" s="100" t="str">
        <f>IF($BM$5=TRUE,IF(BD105="","",SUM($BD$8:BD105)),"")</f>
        <v/>
      </c>
      <c r="BZ105" s="100" t="str">
        <f>IF($BN$5=TRUE,IF(BE105="","",SUM($BE$8:BE105)),"")</f>
        <v/>
      </c>
    </row>
    <row r="106" spans="46:78" x14ac:dyDescent="0.25">
      <c r="AT106" s="74">
        <v>44802</v>
      </c>
      <c r="AU106" s="72">
        <v>2426.89</v>
      </c>
      <c r="AW106" s="74"/>
      <c r="BR106" s="133" t="str">
        <f t="shared" si="27"/>
        <v/>
      </c>
      <c r="BS106" s="100" t="str">
        <f>IF($BG$5=TRUE,IF(AX106="","",SUM($AX$8:AX106)),"")</f>
        <v/>
      </c>
      <c r="BT106" s="100" t="str">
        <f>IF($BH$5=TRUE,IF(AY106="","",SUM($AY$8:AY106)),"")</f>
        <v/>
      </c>
      <c r="BU106" s="100" t="str">
        <f>IF($BI$5=TRUE,IF(AZ106="","",SUM($AZ$8:AZ106)),"")</f>
        <v/>
      </c>
      <c r="BV106" s="100" t="str">
        <f>IF($BJ$5=TRUE,IF(BA106="","",SUM($BA$8:BA106)),"")</f>
        <v/>
      </c>
      <c r="BW106" s="100" t="str">
        <f>IF($BK$5=TRUE,IF(BB106="","",SUM($BB$8:BB106)),"")</f>
        <v/>
      </c>
      <c r="BX106" s="100" t="str">
        <f>IF($BL$5=TRUE,IF(BC106="","",SUM($BC$8:BC106)),"")</f>
        <v/>
      </c>
      <c r="BY106" s="100" t="str">
        <f>IF($BM$5=TRUE,IF(BD106="","",SUM($BD$8:BD106)),"")</f>
        <v/>
      </c>
      <c r="BZ106" s="100" t="str">
        <f>IF($BN$5=TRUE,IF(BE106="","",SUM($BE$8:BE106)),"")</f>
        <v/>
      </c>
    </row>
    <row r="107" spans="46:78" x14ac:dyDescent="0.25">
      <c r="AT107" s="74">
        <v>44799</v>
      </c>
      <c r="AU107" s="72">
        <v>2481.0300000000002</v>
      </c>
      <c r="AW107" s="74"/>
      <c r="BR107" s="133" t="str">
        <f t="shared" si="27"/>
        <v/>
      </c>
      <c r="BS107" s="100" t="str">
        <f>IF($BG$5=TRUE,IF(AX107="","",SUM($AX$8:AX107)),"")</f>
        <v/>
      </c>
      <c r="BT107" s="100" t="str">
        <f>IF($BH$5=TRUE,IF(AY107="","",SUM($AY$8:AY107)),"")</f>
        <v/>
      </c>
      <c r="BU107" s="100" t="str">
        <f>IF($BI$5=TRUE,IF(AZ107="","",SUM($AZ$8:AZ107)),"")</f>
        <v/>
      </c>
      <c r="BV107" s="100" t="str">
        <f>IF($BJ$5=TRUE,IF(BA107="","",SUM($BA$8:BA107)),"")</f>
        <v/>
      </c>
      <c r="BW107" s="100" t="str">
        <f>IF($BK$5=TRUE,IF(BB107="","",SUM($BB$8:BB107)),"")</f>
        <v/>
      </c>
      <c r="BX107" s="100" t="str">
        <f>IF($BL$5=TRUE,IF(BC107="","",SUM($BC$8:BC107)),"")</f>
        <v/>
      </c>
      <c r="BY107" s="100" t="str">
        <f>IF($BM$5=TRUE,IF(BD107="","",SUM($BD$8:BD107)),"")</f>
        <v/>
      </c>
      <c r="BZ107" s="100" t="str">
        <f>IF($BN$5=TRUE,IF(BE107="","",SUM($BE$8:BE107)),"")</f>
        <v/>
      </c>
    </row>
    <row r="108" spans="46:78" x14ac:dyDescent="0.25">
      <c r="AT108" s="74">
        <v>44798</v>
      </c>
      <c r="AU108" s="72">
        <v>2477.2600000000002</v>
      </c>
      <c r="AW108" s="74"/>
      <c r="BR108" s="133" t="str">
        <f t="shared" si="27"/>
        <v/>
      </c>
      <c r="BS108" s="100" t="str">
        <f>IF($BG$5=TRUE,IF(AX108="","",SUM($AX$8:AX108)),"")</f>
        <v/>
      </c>
      <c r="BT108" s="100" t="str">
        <f>IF($BH$5=TRUE,IF(AY108="","",SUM($AY$8:AY108)),"")</f>
        <v/>
      </c>
      <c r="BU108" s="100" t="str">
        <f>IF($BI$5=TRUE,IF(AZ108="","",SUM($AZ$8:AZ108)),"")</f>
        <v/>
      </c>
      <c r="BV108" s="100" t="str">
        <f>IF($BJ$5=TRUE,IF(BA108="","",SUM($BA$8:BA108)),"")</f>
        <v/>
      </c>
      <c r="BW108" s="100" t="str">
        <f>IF($BK$5=TRUE,IF(BB108="","",SUM($BB$8:BB108)),"")</f>
        <v/>
      </c>
      <c r="BX108" s="100" t="str">
        <f>IF($BL$5=TRUE,IF(BC108="","",SUM($BC$8:BC108)),"")</f>
        <v/>
      </c>
      <c r="BY108" s="100" t="str">
        <f>IF($BM$5=TRUE,IF(BD108="","",SUM($BD$8:BD108)),"")</f>
        <v/>
      </c>
      <c r="BZ108" s="100" t="str">
        <f>IF($BN$5=TRUE,IF(BE108="","",SUM($BE$8:BE108)),"")</f>
        <v/>
      </c>
    </row>
    <row r="109" spans="46:78" x14ac:dyDescent="0.25">
      <c r="AT109" s="74">
        <v>44797</v>
      </c>
      <c r="AU109" s="72">
        <v>2447.4499999999998</v>
      </c>
      <c r="AW109" s="74"/>
      <c r="BR109" s="133" t="str">
        <f t="shared" si="27"/>
        <v/>
      </c>
      <c r="BS109" s="100" t="str">
        <f>IF($BG$5=TRUE,IF(AX109="","",SUM($AX$8:AX109)),"")</f>
        <v/>
      </c>
      <c r="BT109" s="100" t="str">
        <f>IF($BH$5=TRUE,IF(AY109="","",SUM($AY$8:AY109)),"")</f>
        <v/>
      </c>
      <c r="BU109" s="100" t="str">
        <f>IF($BI$5=TRUE,IF(AZ109="","",SUM($AZ$8:AZ109)),"")</f>
        <v/>
      </c>
      <c r="BV109" s="100" t="str">
        <f>IF($BJ$5=TRUE,IF(BA109="","",SUM($BA$8:BA109)),"")</f>
        <v/>
      </c>
      <c r="BW109" s="100" t="str">
        <f>IF($BK$5=TRUE,IF(BB109="","",SUM($BB$8:BB109)),"")</f>
        <v/>
      </c>
      <c r="BX109" s="100" t="str">
        <f>IF($BL$5=TRUE,IF(BC109="","",SUM($BC$8:BC109)),"")</f>
        <v/>
      </c>
      <c r="BY109" s="100" t="str">
        <f>IF($BM$5=TRUE,IF(BD109="","",SUM($BD$8:BD109)),"")</f>
        <v/>
      </c>
      <c r="BZ109" s="100" t="str">
        <f>IF($BN$5=TRUE,IF(BE109="","",SUM($BE$8:BE109)),"")</f>
        <v/>
      </c>
    </row>
    <row r="110" spans="46:78" x14ac:dyDescent="0.25">
      <c r="AT110" s="74">
        <v>44796</v>
      </c>
      <c r="AU110" s="72">
        <v>2435.34</v>
      </c>
      <c r="AW110" s="74"/>
      <c r="BR110" s="133" t="str">
        <f t="shared" si="27"/>
        <v/>
      </c>
      <c r="BS110" s="100" t="str">
        <f>IF($BG$5=TRUE,IF(AX110="","",SUM($AX$8:AX110)),"")</f>
        <v/>
      </c>
      <c r="BT110" s="100" t="str">
        <f>IF($BH$5=TRUE,IF(AY110="","",SUM($AY$8:AY110)),"")</f>
        <v/>
      </c>
      <c r="BU110" s="100" t="str">
        <f>IF($BI$5=TRUE,IF(AZ110="","",SUM($AZ$8:AZ110)),"")</f>
        <v/>
      </c>
      <c r="BV110" s="100" t="str">
        <f>IF($BJ$5=TRUE,IF(BA110="","",SUM($BA$8:BA110)),"")</f>
        <v/>
      </c>
      <c r="BW110" s="100" t="str">
        <f>IF($BK$5=TRUE,IF(BB110="","",SUM($BB$8:BB110)),"")</f>
        <v/>
      </c>
      <c r="BX110" s="100" t="str">
        <f>IF($BL$5=TRUE,IF(BC110="","",SUM($BC$8:BC110)),"")</f>
        <v/>
      </c>
      <c r="BY110" s="100" t="str">
        <f>IF($BM$5=TRUE,IF(BD110="","",SUM($BD$8:BD110)),"")</f>
        <v/>
      </c>
      <c r="BZ110" s="100" t="str">
        <f>IF($BN$5=TRUE,IF(BE110="","",SUM($BE$8:BE110)),"")</f>
        <v/>
      </c>
    </row>
    <row r="111" spans="46:78" x14ac:dyDescent="0.25">
      <c r="AT111" s="74">
        <v>44795</v>
      </c>
      <c r="AU111" s="72">
        <v>2462.5</v>
      </c>
      <c r="AW111" s="74"/>
      <c r="BR111" s="133" t="str">
        <f t="shared" si="27"/>
        <v/>
      </c>
      <c r="BS111" s="100" t="str">
        <f>IF($BG$5=TRUE,IF(AX111="","",SUM($AX$8:AX111)),"")</f>
        <v/>
      </c>
      <c r="BT111" s="100" t="str">
        <f>IF($BH$5=TRUE,IF(AY111="","",SUM($AY$8:AY111)),"")</f>
        <v/>
      </c>
      <c r="BU111" s="100" t="str">
        <f>IF($BI$5=TRUE,IF(AZ111="","",SUM($AZ$8:AZ111)),"")</f>
        <v/>
      </c>
      <c r="BV111" s="100" t="str">
        <f>IF($BJ$5=TRUE,IF(BA111="","",SUM($BA$8:BA111)),"")</f>
        <v/>
      </c>
      <c r="BW111" s="100" t="str">
        <f>IF($BK$5=TRUE,IF(BB111="","",SUM($BB$8:BB111)),"")</f>
        <v/>
      </c>
      <c r="BX111" s="100" t="str">
        <f>IF($BL$5=TRUE,IF(BC111="","",SUM($BC$8:BC111)),"")</f>
        <v/>
      </c>
      <c r="BY111" s="100" t="str">
        <f>IF($BM$5=TRUE,IF(BD111="","",SUM($BD$8:BD111)),"")</f>
        <v/>
      </c>
      <c r="BZ111" s="100" t="str">
        <f>IF($BN$5=TRUE,IF(BE111="","",SUM($BE$8:BE111)),"")</f>
        <v/>
      </c>
    </row>
    <row r="112" spans="46:78" x14ac:dyDescent="0.25">
      <c r="AT112" s="74">
        <v>44792</v>
      </c>
      <c r="AU112" s="72">
        <v>2492.69</v>
      </c>
      <c r="AW112" s="74"/>
      <c r="BR112" s="133" t="str">
        <f t="shared" si="27"/>
        <v/>
      </c>
      <c r="BS112" s="100" t="str">
        <f>IF($BG$5=TRUE,IF(AX112="","",SUM($AX$8:AX112)),"")</f>
        <v/>
      </c>
      <c r="BT112" s="100" t="str">
        <f>IF($BH$5=TRUE,IF(AY112="","",SUM($AY$8:AY112)),"")</f>
        <v/>
      </c>
      <c r="BU112" s="100" t="str">
        <f>IF($BI$5=TRUE,IF(AZ112="","",SUM($AZ$8:AZ112)),"")</f>
        <v/>
      </c>
      <c r="BV112" s="100" t="str">
        <f>IF($BJ$5=TRUE,IF(BA112="","",SUM($BA$8:BA112)),"")</f>
        <v/>
      </c>
      <c r="BW112" s="100" t="str">
        <f>IF($BK$5=TRUE,IF(BB112="","",SUM($BB$8:BB112)),"")</f>
        <v/>
      </c>
      <c r="BX112" s="100" t="str">
        <f>IF($BL$5=TRUE,IF(BC112="","",SUM($BC$8:BC112)),"")</f>
        <v/>
      </c>
      <c r="BY112" s="100" t="str">
        <f>IF($BM$5=TRUE,IF(BD112="","",SUM($BD$8:BD112)),"")</f>
        <v/>
      </c>
      <c r="BZ112" s="100" t="str">
        <f>IF($BN$5=TRUE,IF(BE112="","",SUM($BE$8:BE112)),"")</f>
        <v/>
      </c>
    </row>
    <row r="113" spans="46:78" x14ac:dyDescent="0.25">
      <c r="AT113" s="74">
        <v>44791</v>
      </c>
      <c r="AU113" s="72">
        <v>2508.0500000000002</v>
      </c>
      <c r="AW113" s="74"/>
      <c r="BR113" s="133" t="str">
        <f t="shared" si="27"/>
        <v/>
      </c>
      <c r="BS113" s="100" t="str">
        <f>IF($BG$5=TRUE,IF(AX113="","",SUM($AX$8:AX113)),"")</f>
        <v/>
      </c>
      <c r="BT113" s="100" t="str">
        <f>IF($BH$5=TRUE,IF(AY113="","",SUM($AY$8:AY113)),"")</f>
        <v/>
      </c>
      <c r="BU113" s="100" t="str">
        <f>IF($BI$5=TRUE,IF(AZ113="","",SUM($AZ$8:AZ113)),"")</f>
        <v/>
      </c>
      <c r="BV113" s="100" t="str">
        <f>IF($BJ$5=TRUE,IF(BA113="","",SUM($BA$8:BA113)),"")</f>
        <v/>
      </c>
      <c r="BW113" s="100" t="str">
        <f>IF($BK$5=TRUE,IF(BB113="","",SUM($BB$8:BB113)),"")</f>
        <v/>
      </c>
      <c r="BX113" s="100" t="str">
        <f>IF($BL$5=TRUE,IF(BC113="","",SUM($BC$8:BC113)),"")</f>
        <v/>
      </c>
      <c r="BY113" s="100" t="str">
        <f>IF($BM$5=TRUE,IF(BD113="","",SUM($BD$8:BD113)),"")</f>
        <v/>
      </c>
      <c r="BZ113" s="100" t="str">
        <f>IF($BN$5=TRUE,IF(BE113="","",SUM($BE$8:BE113)),"")</f>
        <v/>
      </c>
    </row>
    <row r="114" spans="46:78" x14ac:dyDescent="0.25">
      <c r="AT114" s="74">
        <v>44790</v>
      </c>
      <c r="AU114" s="72">
        <v>2516.4699999999998</v>
      </c>
      <c r="AW114" s="74"/>
      <c r="BR114" s="133" t="str">
        <f t="shared" si="27"/>
        <v/>
      </c>
      <c r="BS114" s="100" t="str">
        <f>IF($BG$5=TRUE,IF(AX114="","",SUM($AX$8:AX114)),"")</f>
        <v/>
      </c>
      <c r="BT114" s="100" t="str">
        <f>IF($BH$5=TRUE,IF(AY114="","",SUM($AY$8:AY114)),"")</f>
        <v/>
      </c>
      <c r="BU114" s="100" t="str">
        <f>IF($BI$5=TRUE,IF(AZ114="","",SUM($AZ$8:AZ114)),"")</f>
        <v/>
      </c>
      <c r="BV114" s="100" t="str">
        <f>IF($BJ$5=TRUE,IF(BA114="","",SUM($BA$8:BA114)),"")</f>
        <v/>
      </c>
      <c r="BW114" s="100" t="str">
        <f>IF($BK$5=TRUE,IF(BB114="","",SUM($BB$8:BB114)),"")</f>
        <v/>
      </c>
      <c r="BX114" s="100" t="str">
        <f>IF($BL$5=TRUE,IF(BC114="","",SUM($BC$8:BC114)),"")</f>
        <v/>
      </c>
      <c r="BY114" s="100" t="str">
        <f>IF($BM$5=TRUE,IF(BD114="","",SUM($BD$8:BD114)),"")</f>
        <v/>
      </c>
      <c r="BZ114" s="100" t="str">
        <f>IF($BN$5=TRUE,IF(BE114="","",SUM($BE$8:BE114)),"")</f>
        <v/>
      </c>
    </row>
    <row r="115" spans="46:78" x14ac:dyDescent="0.25">
      <c r="AT115" s="74">
        <v>44789</v>
      </c>
      <c r="AU115" s="72">
        <v>2533.52</v>
      </c>
      <c r="AW115" s="74"/>
      <c r="BR115" s="133" t="str">
        <f t="shared" si="27"/>
        <v/>
      </c>
      <c r="BS115" s="100" t="str">
        <f>IF($BG$5=TRUE,IF(AX115="","",SUM($AX$8:AX115)),"")</f>
        <v/>
      </c>
      <c r="BT115" s="100" t="str">
        <f>IF($BH$5=TRUE,IF(AY115="","",SUM($AY$8:AY115)),"")</f>
        <v/>
      </c>
      <c r="BU115" s="100" t="str">
        <f>IF($BI$5=TRUE,IF(AZ115="","",SUM($AZ$8:AZ115)),"")</f>
        <v/>
      </c>
      <c r="BV115" s="100" t="str">
        <f>IF($BJ$5=TRUE,IF(BA115="","",SUM($BA$8:BA115)),"")</f>
        <v/>
      </c>
      <c r="BW115" s="100" t="str">
        <f>IF($BK$5=TRUE,IF(BB115="","",SUM($BB$8:BB115)),"")</f>
        <v/>
      </c>
      <c r="BX115" s="100" t="str">
        <f>IF($BL$5=TRUE,IF(BC115="","",SUM($BC$8:BC115)),"")</f>
        <v/>
      </c>
      <c r="BY115" s="100" t="str">
        <f>IF($BM$5=TRUE,IF(BD115="","",SUM($BD$8:BD115)),"")</f>
        <v/>
      </c>
      <c r="BZ115" s="100" t="str">
        <f>IF($BN$5=TRUE,IF(BE115="","",SUM($BE$8:BE115)),"")</f>
        <v/>
      </c>
    </row>
    <row r="116" spans="46:78" x14ac:dyDescent="0.25">
      <c r="AT116" s="74">
        <v>44785</v>
      </c>
      <c r="AU116" s="72">
        <v>2527.94</v>
      </c>
      <c r="AW116" s="74"/>
      <c r="BR116" s="133" t="str">
        <f t="shared" si="27"/>
        <v/>
      </c>
      <c r="BS116" s="100" t="str">
        <f>IF($BG$5=TRUE,IF(AX116="","",SUM($AX$8:AX116)),"")</f>
        <v/>
      </c>
      <c r="BT116" s="100" t="str">
        <f>IF($BH$5=TRUE,IF(AY116="","",SUM($AY$8:AY116)),"")</f>
        <v/>
      </c>
      <c r="BU116" s="100" t="str">
        <f>IF($BI$5=TRUE,IF(AZ116="","",SUM($AZ$8:AZ116)),"")</f>
        <v/>
      </c>
      <c r="BV116" s="100" t="str">
        <f>IF($BJ$5=TRUE,IF(BA116="","",SUM($BA$8:BA116)),"")</f>
        <v/>
      </c>
      <c r="BW116" s="100" t="str">
        <f>IF($BK$5=TRUE,IF(BB116="","",SUM($BB$8:BB116)),"")</f>
        <v/>
      </c>
      <c r="BX116" s="100" t="str">
        <f>IF($BL$5=TRUE,IF(BC116="","",SUM($BC$8:BC116)),"")</f>
        <v/>
      </c>
      <c r="BY116" s="100" t="str">
        <f>IF($BM$5=TRUE,IF(BD116="","",SUM($BD$8:BD116)),"")</f>
        <v/>
      </c>
      <c r="BZ116" s="100" t="str">
        <f>IF($BN$5=TRUE,IF(BE116="","",SUM($BE$8:BE116)),"")</f>
        <v/>
      </c>
    </row>
    <row r="117" spans="46:78" x14ac:dyDescent="0.25">
      <c r="AT117" s="74">
        <v>44784</v>
      </c>
      <c r="AU117" s="72">
        <v>2523.7800000000002</v>
      </c>
      <c r="AW117" s="74"/>
      <c r="BR117" s="133" t="str">
        <f t="shared" si="27"/>
        <v/>
      </c>
      <c r="BS117" s="100" t="str">
        <f>IF($BG$5=TRUE,IF(AX117="","",SUM($AX$8:AX117)),"")</f>
        <v/>
      </c>
      <c r="BT117" s="100" t="str">
        <f>IF($BH$5=TRUE,IF(AY117="","",SUM($AY$8:AY117)),"")</f>
        <v/>
      </c>
      <c r="BU117" s="100" t="str">
        <f>IF($BI$5=TRUE,IF(AZ117="","",SUM($AZ$8:AZ117)),"")</f>
        <v/>
      </c>
      <c r="BV117" s="100" t="str">
        <f>IF($BJ$5=TRUE,IF(BA117="","",SUM($BA$8:BA117)),"")</f>
        <v/>
      </c>
      <c r="BW117" s="100" t="str">
        <f>IF($BK$5=TRUE,IF(BB117="","",SUM($BB$8:BB117)),"")</f>
        <v/>
      </c>
      <c r="BX117" s="100" t="str">
        <f>IF($BL$5=TRUE,IF(BC117="","",SUM($BC$8:BC117)),"")</f>
        <v/>
      </c>
      <c r="BY117" s="100" t="str">
        <f>IF($BM$5=TRUE,IF(BD117="","",SUM($BD$8:BD117)),"")</f>
        <v/>
      </c>
      <c r="BZ117" s="100" t="str">
        <f>IF($BN$5=TRUE,IF(BE117="","",SUM($BE$8:BE117)),"")</f>
        <v/>
      </c>
    </row>
    <row r="118" spans="46:78" x14ac:dyDescent="0.25">
      <c r="AT118" s="74">
        <v>44783</v>
      </c>
      <c r="AU118" s="72">
        <v>2480.88</v>
      </c>
      <c r="AW118" s="74"/>
      <c r="BR118" s="133" t="str">
        <f t="shared" si="27"/>
        <v/>
      </c>
      <c r="BS118" s="100" t="str">
        <f>IF($BG$5=TRUE,IF(AX118="","",SUM($AX$8:AX118)),"")</f>
        <v/>
      </c>
      <c r="BT118" s="100" t="str">
        <f>IF($BH$5=TRUE,IF(AY118="","",SUM($AY$8:AY118)),"")</f>
        <v/>
      </c>
      <c r="BU118" s="100" t="str">
        <f>IF($BI$5=TRUE,IF(AZ118="","",SUM($AZ$8:AZ118)),"")</f>
        <v/>
      </c>
      <c r="BV118" s="100" t="str">
        <f>IF($BJ$5=TRUE,IF(BA118="","",SUM($BA$8:BA118)),"")</f>
        <v/>
      </c>
      <c r="BW118" s="100" t="str">
        <f>IF($BK$5=TRUE,IF(BB118="","",SUM($BB$8:BB118)),"")</f>
        <v/>
      </c>
      <c r="BX118" s="100" t="str">
        <f>IF($BL$5=TRUE,IF(BC118="","",SUM($BC$8:BC118)),"")</f>
        <v/>
      </c>
      <c r="BY118" s="100" t="str">
        <f>IF($BM$5=TRUE,IF(BD118="","",SUM($BD$8:BD118)),"")</f>
        <v/>
      </c>
      <c r="BZ118" s="100" t="str">
        <f>IF($BN$5=TRUE,IF(BE118="","",SUM($BE$8:BE118)),"")</f>
        <v/>
      </c>
    </row>
    <row r="119" spans="46:78" x14ac:dyDescent="0.25">
      <c r="AT119" s="74">
        <v>44782</v>
      </c>
      <c r="AU119" s="72">
        <v>2503.46</v>
      </c>
      <c r="AW119" s="74"/>
      <c r="BR119" s="133" t="str">
        <f t="shared" si="27"/>
        <v/>
      </c>
      <c r="BS119" s="100" t="str">
        <f>IF($BG$5=TRUE,IF(AX119="","",SUM($AX$8:AX119)),"")</f>
        <v/>
      </c>
      <c r="BT119" s="100" t="str">
        <f>IF($BH$5=TRUE,IF(AY119="","",SUM($AY$8:AY119)),"")</f>
        <v/>
      </c>
      <c r="BU119" s="100" t="str">
        <f>IF($BI$5=TRUE,IF(AZ119="","",SUM($AZ$8:AZ119)),"")</f>
        <v/>
      </c>
      <c r="BV119" s="100" t="str">
        <f>IF($BJ$5=TRUE,IF(BA119="","",SUM($BA$8:BA119)),"")</f>
        <v/>
      </c>
      <c r="BW119" s="100" t="str">
        <f>IF($BK$5=TRUE,IF(BB119="","",SUM($BB$8:BB119)),"")</f>
        <v/>
      </c>
      <c r="BX119" s="100" t="str">
        <f>IF($BL$5=TRUE,IF(BC119="","",SUM($BC$8:BC119)),"")</f>
        <v/>
      </c>
      <c r="BY119" s="100" t="str">
        <f>IF($BM$5=TRUE,IF(BD119="","",SUM($BD$8:BD119)),"")</f>
        <v/>
      </c>
      <c r="BZ119" s="100" t="str">
        <f>IF($BN$5=TRUE,IF(BE119="","",SUM($BE$8:BE119)),"")</f>
        <v/>
      </c>
    </row>
    <row r="120" spans="46:78" x14ac:dyDescent="0.25">
      <c r="AT120" s="74">
        <v>44781</v>
      </c>
      <c r="AU120" s="72">
        <v>2493.1</v>
      </c>
      <c r="AW120" s="74"/>
      <c r="BR120" s="133" t="str">
        <f t="shared" si="27"/>
        <v/>
      </c>
      <c r="BS120" s="100" t="str">
        <f>IF($BG$5=TRUE,IF(AX120="","",SUM($AX$8:AX120)),"")</f>
        <v/>
      </c>
      <c r="BT120" s="100" t="str">
        <f>IF($BH$5=TRUE,IF(AY120="","",SUM($AY$8:AY120)),"")</f>
        <v/>
      </c>
      <c r="BU120" s="100" t="str">
        <f>IF($BI$5=TRUE,IF(AZ120="","",SUM($AZ$8:AZ120)),"")</f>
        <v/>
      </c>
      <c r="BV120" s="100" t="str">
        <f>IF($BJ$5=TRUE,IF(BA120="","",SUM($BA$8:BA120)),"")</f>
        <v/>
      </c>
      <c r="BW120" s="100" t="str">
        <f>IF($BK$5=TRUE,IF(BB120="","",SUM($BB$8:BB120)),"")</f>
        <v/>
      </c>
      <c r="BX120" s="100" t="str">
        <f>IF($BL$5=TRUE,IF(BC120="","",SUM($BC$8:BC120)),"")</f>
        <v/>
      </c>
      <c r="BY120" s="100" t="str">
        <f>IF($BM$5=TRUE,IF(BD120="","",SUM($BD$8:BD120)),"")</f>
        <v/>
      </c>
      <c r="BZ120" s="100" t="str">
        <f>IF($BN$5=TRUE,IF(BE120="","",SUM($BE$8:BE120)),"")</f>
        <v/>
      </c>
    </row>
    <row r="121" spans="46:78" x14ac:dyDescent="0.25">
      <c r="AT121" s="74">
        <v>44778</v>
      </c>
      <c r="AU121" s="72">
        <v>2490.8000000000002</v>
      </c>
      <c r="AW121" s="74"/>
      <c r="BR121" s="133" t="str">
        <f t="shared" si="27"/>
        <v/>
      </c>
      <c r="BS121" s="100" t="str">
        <f>IF($BG$5=TRUE,IF(AX121="","",SUM($AX$8:AX121)),"")</f>
        <v/>
      </c>
      <c r="BT121" s="100" t="str">
        <f>IF($BH$5=TRUE,IF(AY121="","",SUM($AY$8:AY121)),"")</f>
        <v/>
      </c>
      <c r="BU121" s="100" t="str">
        <f>IF($BI$5=TRUE,IF(AZ121="","",SUM($AZ$8:AZ121)),"")</f>
        <v/>
      </c>
      <c r="BV121" s="100" t="str">
        <f>IF($BJ$5=TRUE,IF(BA121="","",SUM($BA$8:BA121)),"")</f>
        <v/>
      </c>
      <c r="BW121" s="100" t="str">
        <f>IF($BK$5=TRUE,IF(BB121="","",SUM($BB$8:BB121)),"")</f>
        <v/>
      </c>
      <c r="BX121" s="100" t="str">
        <f>IF($BL$5=TRUE,IF(BC121="","",SUM($BC$8:BC121)),"")</f>
        <v/>
      </c>
      <c r="BY121" s="100" t="str">
        <f>IF($BM$5=TRUE,IF(BD121="","",SUM($BD$8:BD121)),"")</f>
        <v/>
      </c>
      <c r="BZ121" s="100" t="str">
        <f>IF($BN$5=TRUE,IF(BE121="","",SUM($BE$8:BE121)),"")</f>
        <v/>
      </c>
    </row>
    <row r="122" spans="46:78" x14ac:dyDescent="0.25">
      <c r="AT122" s="74">
        <v>44777</v>
      </c>
      <c r="AU122" s="72">
        <v>2473.11</v>
      </c>
      <c r="AW122" s="74"/>
      <c r="BR122" s="133" t="str">
        <f t="shared" si="27"/>
        <v/>
      </c>
      <c r="BS122" s="100" t="str">
        <f>IF($BG$5=TRUE,IF(AX122="","",SUM($AX$8:AX122)),"")</f>
        <v/>
      </c>
      <c r="BT122" s="100" t="str">
        <f>IF($BH$5=TRUE,IF(AY122="","",SUM($AY$8:AY122)),"")</f>
        <v/>
      </c>
      <c r="BU122" s="100" t="str">
        <f>IF($BI$5=TRUE,IF(AZ122="","",SUM($AZ$8:AZ122)),"")</f>
        <v/>
      </c>
      <c r="BV122" s="100" t="str">
        <f>IF($BJ$5=TRUE,IF(BA122="","",SUM($BA$8:BA122)),"")</f>
        <v/>
      </c>
      <c r="BW122" s="100" t="str">
        <f>IF($BK$5=TRUE,IF(BB122="","",SUM($BB$8:BB122)),"")</f>
        <v/>
      </c>
      <c r="BX122" s="100" t="str">
        <f>IF($BL$5=TRUE,IF(BC122="","",SUM($BC$8:BC122)),"")</f>
        <v/>
      </c>
      <c r="BY122" s="100" t="str">
        <f>IF($BM$5=TRUE,IF(BD122="","",SUM($BD$8:BD122)),"")</f>
        <v/>
      </c>
      <c r="BZ122" s="100" t="str">
        <f>IF($BN$5=TRUE,IF(BE122="","",SUM($BE$8:BE122)),"")</f>
        <v/>
      </c>
    </row>
    <row r="123" spans="46:78" x14ac:dyDescent="0.25">
      <c r="AT123" s="74">
        <v>44776</v>
      </c>
      <c r="AU123" s="72">
        <v>2461.4499999999998</v>
      </c>
      <c r="AW123" s="74"/>
      <c r="BR123" s="133" t="str">
        <f t="shared" si="27"/>
        <v/>
      </c>
      <c r="BS123" s="100" t="str">
        <f>IF($BG$5=TRUE,IF(AX123="","",SUM($AX$8:AX123)),"")</f>
        <v/>
      </c>
      <c r="BT123" s="100" t="str">
        <f>IF($BH$5=TRUE,IF(AY123="","",SUM($AY$8:AY123)),"")</f>
        <v/>
      </c>
      <c r="BU123" s="100" t="str">
        <f>IF($BI$5=TRUE,IF(AZ123="","",SUM($AZ$8:AZ123)),"")</f>
        <v/>
      </c>
      <c r="BV123" s="100" t="str">
        <f>IF($BJ$5=TRUE,IF(BA123="","",SUM($BA$8:BA123)),"")</f>
        <v/>
      </c>
      <c r="BW123" s="100" t="str">
        <f>IF($BK$5=TRUE,IF(BB123="","",SUM($BB$8:BB123)),"")</f>
        <v/>
      </c>
      <c r="BX123" s="100" t="str">
        <f>IF($BL$5=TRUE,IF(BC123="","",SUM($BC$8:BC123)),"")</f>
        <v/>
      </c>
      <c r="BY123" s="100" t="str">
        <f>IF($BM$5=TRUE,IF(BD123="","",SUM($BD$8:BD123)),"")</f>
        <v/>
      </c>
      <c r="BZ123" s="100" t="str">
        <f>IF($BN$5=TRUE,IF(BE123="","",SUM($BE$8:BE123)),"")</f>
        <v/>
      </c>
    </row>
    <row r="124" spans="46:78" x14ac:dyDescent="0.25">
      <c r="AT124" s="74">
        <v>44775</v>
      </c>
      <c r="AU124" s="72">
        <v>2439.62</v>
      </c>
      <c r="AW124" s="74"/>
      <c r="BR124" s="133" t="str">
        <f t="shared" si="27"/>
        <v/>
      </c>
      <c r="BS124" s="100" t="str">
        <f>IF($BG$5=TRUE,IF(AX124="","",SUM($AX$8:AX124)),"")</f>
        <v/>
      </c>
      <c r="BT124" s="100" t="str">
        <f>IF($BH$5=TRUE,IF(AY124="","",SUM($AY$8:AY124)),"")</f>
        <v/>
      </c>
      <c r="BU124" s="100" t="str">
        <f>IF($BI$5=TRUE,IF(AZ124="","",SUM($AZ$8:AZ124)),"")</f>
        <v/>
      </c>
      <c r="BV124" s="100" t="str">
        <f>IF($BJ$5=TRUE,IF(BA124="","",SUM($BA$8:BA124)),"")</f>
        <v/>
      </c>
      <c r="BW124" s="100" t="str">
        <f>IF($BK$5=TRUE,IF(BB124="","",SUM($BB$8:BB124)),"")</f>
        <v/>
      </c>
      <c r="BX124" s="100" t="str">
        <f>IF($BL$5=TRUE,IF(BC124="","",SUM($BC$8:BC124)),"")</f>
        <v/>
      </c>
      <c r="BY124" s="100" t="str">
        <f>IF($BM$5=TRUE,IF(BD124="","",SUM($BD$8:BD124)),"")</f>
        <v/>
      </c>
      <c r="BZ124" s="100" t="str">
        <f>IF($BN$5=TRUE,IF(BE124="","",SUM($BE$8:BE124)),"")</f>
        <v/>
      </c>
    </row>
    <row r="125" spans="46:78" x14ac:dyDescent="0.25">
      <c r="AT125" s="74">
        <v>44774</v>
      </c>
      <c r="AU125" s="72">
        <v>2452.25</v>
      </c>
      <c r="AW125" s="74"/>
      <c r="BR125" s="133" t="str">
        <f t="shared" si="27"/>
        <v/>
      </c>
      <c r="BS125" s="100" t="str">
        <f>IF($BG$5=TRUE,IF(AX125="","",SUM($AX$8:AX125)),"")</f>
        <v/>
      </c>
      <c r="BT125" s="100" t="str">
        <f>IF($BH$5=TRUE,IF(AY125="","",SUM($AY$8:AY125)),"")</f>
        <v/>
      </c>
      <c r="BU125" s="100" t="str">
        <f>IF($BI$5=TRUE,IF(AZ125="","",SUM($AZ$8:AZ125)),"")</f>
        <v/>
      </c>
      <c r="BV125" s="100" t="str">
        <f>IF($BJ$5=TRUE,IF(BA125="","",SUM($BA$8:BA125)),"")</f>
        <v/>
      </c>
      <c r="BW125" s="100" t="str">
        <f>IF($BK$5=TRUE,IF(BB125="","",SUM($BB$8:BB125)),"")</f>
        <v/>
      </c>
      <c r="BX125" s="100" t="str">
        <f>IF($BL$5=TRUE,IF(BC125="","",SUM($BC$8:BC125)),"")</f>
        <v/>
      </c>
      <c r="BY125" s="100" t="str">
        <f>IF($BM$5=TRUE,IF(BD125="","",SUM($BD$8:BD125)),"")</f>
        <v/>
      </c>
      <c r="BZ125" s="100" t="str">
        <f>IF($BN$5=TRUE,IF(BE125="","",SUM($BE$8:BE125)),"")</f>
        <v/>
      </c>
    </row>
    <row r="126" spans="46:78" x14ac:dyDescent="0.25">
      <c r="AT126" s="74">
        <v>44771</v>
      </c>
      <c r="AU126" s="72">
        <v>2451.5</v>
      </c>
      <c r="AW126" s="74"/>
      <c r="BR126" s="133" t="str">
        <f t="shared" si="27"/>
        <v/>
      </c>
      <c r="BS126" s="100" t="str">
        <f>IF($BG$5=TRUE,IF(AX126="","",SUM($AX$8:AX126)),"")</f>
        <v/>
      </c>
      <c r="BT126" s="100" t="str">
        <f>IF($BH$5=TRUE,IF(AY126="","",SUM($AY$8:AY126)),"")</f>
        <v/>
      </c>
      <c r="BU126" s="100" t="str">
        <f>IF($BI$5=TRUE,IF(AZ126="","",SUM($AZ$8:AZ126)),"")</f>
        <v/>
      </c>
      <c r="BV126" s="100" t="str">
        <f>IF($BJ$5=TRUE,IF(BA126="","",SUM($BA$8:BA126)),"")</f>
        <v/>
      </c>
      <c r="BW126" s="100" t="str">
        <f>IF($BK$5=TRUE,IF(BB126="","",SUM($BB$8:BB126)),"")</f>
        <v/>
      </c>
      <c r="BX126" s="100" t="str">
        <f>IF($BL$5=TRUE,IF(BC126="","",SUM($BC$8:BC126)),"")</f>
        <v/>
      </c>
      <c r="BY126" s="100" t="str">
        <f>IF($BM$5=TRUE,IF(BD126="","",SUM($BD$8:BD126)),"")</f>
        <v/>
      </c>
      <c r="BZ126" s="100" t="str">
        <f>IF($BN$5=TRUE,IF(BE126="","",SUM($BE$8:BE126)),"")</f>
        <v/>
      </c>
    </row>
    <row r="127" spans="46:78" x14ac:dyDescent="0.25">
      <c r="AT127" s="74">
        <v>44770</v>
      </c>
      <c r="AU127" s="72">
        <v>2435.27</v>
      </c>
      <c r="AW127" s="74"/>
      <c r="BR127" s="133" t="str">
        <f t="shared" si="27"/>
        <v/>
      </c>
      <c r="BS127" s="100" t="str">
        <f>IF($BG$5=TRUE,IF(AX127="","",SUM($AX$8:AX127)),"")</f>
        <v/>
      </c>
      <c r="BT127" s="100" t="str">
        <f>IF($BH$5=TRUE,IF(AY127="","",SUM($AY$8:AY127)),"")</f>
        <v/>
      </c>
      <c r="BU127" s="100" t="str">
        <f>IF($BI$5=TRUE,IF(AZ127="","",SUM($AZ$8:AZ127)),"")</f>
        <v/>
      </c>
      <c r="BV127" s="100" t="str">
        <f>IF($BJ$5=TRUE,IF(BA127="","",SUM($BA$8:BA127)),"")</f>
        <v/>
      </c>
      <c r="BW127" s="100" t="str">
        <f>IF($BK$5=TRUE,IF(BB127="","",SUM($BB$8:BB127)),"")</f>
        <v/>
      </c>
      <c r="BX127" s="100" t="str">
        <f>IF($BL$5=TRUE,IF(BC127="","",SUM($BC$8:BC127)),"")</f>
        <v/>
      </c>
      <c r="BY127" s="100" t="str">
        <f>IF($BM$5=TRUE,IF(BD127="","",SUM($BD$8:BD127)),"")</f>
        <v/>
      </c>
      <c r="BZ127" s="100" t="str">
        <f>IF($BN$5=TRUE,IF(BE127="","",SUM($BE$8:BE127)),"")</f>
        <v/>
      </c>
    </row>
    <row r="128" spans="46:78" x14ac:dyDescent="0.25">
      <c r="AT128" s="74">
        <v>44769</v>
      </c>
      <c r="AU128" s="72">
        <v>2415.5300000000002</v>
      </c>
      <c r="AW128" s="74"/>
      <c r="BR128" s="133" t="str">
        <f t="shared" si="27"/>
        <v/>
      </c>
      <c r="BS128" s="100" t="str">
        <f>IF($BG$5=TRUE,IF(AX128="","",SUM($AX$8:AX128)),"")</f>
        <v/>
      </c>
      <c r="BT128" s="100" t="str">
        <f>IF($BH$5=TRUE,IF(AY128="","",SUM($AY$8:AY128)),"")</f>
        <v/>
      </c>
      <c r="BU128" s="100" t="str">
        <f>IF($BI$5=TRUE,IF(AZ128="","",SUM($AZ$8:AZ128)),"")</f>
        <v/>
      </c>
      <c r="BV128" s="100" t="str">
        <f>IF($BJ$5=TRUE,IF(BA128="","",SUM($BA$8:BA128)),"")</f>
        <v/>
      </c>
      <c r="BW128" s="100" t="str">
        <f>IF($BK$5=TRUE,IF(BB128="","",SUM($BB$8:BB128)),"")</f>
        <v/>
      </c>
      <c r="BX128" s="100" t="str">
        <f>IF($BL$5=TRUE,IF(BC128="","",SUM($BC$8:BC128)),"")</f>
        <v/>
      </c>
      <c r="BY128" s="100" t="str">
        <f>IF($BM$5=TRUE,IF(BD128="","",SUM($BD$8:BD128)),"")</f>
        <v/>
      </c>
      <c r="BZ128" s="100" t="str">
        <f>IF($BN$5=TRUE,IF(BE128="","",SUM($BE$8:BE128)),"")</f>
        <v/>
      </c>
    </row>
    <row r="129" spans="46:78" x14ac:dyDescent="0.25">
      <c r="AT129" s="74">
        <v>44768</v>
      </c>
      <c r="AU129" s="72">
        <v>2412.96</v>
      </c>
      <c r="AW129" s="74"/>
      <c r="BR129" s="133" t="str">
        <f t="shared" si="27"/>
        <v/>
      </c>
      <c r="BS129" s="100" t="str">
        <f>IF($BG$5=TRUE,IF(AX129="","",SUM($AX$8:AX129)),"")</f>
        <v/>
      </c>
      <c r="BT129" s="100" t="str">
        <f>IF($BH$5=TRUE,IF(AY129="","",SUM($AY$8:AY129)),"")</f>
        <v/>
      </c>
      <c r="BU129" s="100" t="str">
        <f>IF($BI$5=TRUE,IF(AZ129="","",SUM($AZ$8:AZ129)),"")</f>
        <v/>
      </c>
      <c r="BV129" s="100" t="str">
        <f>IF($BJ$5=TRUE,IF(BA129="","",SUM($BA$8:BA129)),"")</f>
        <v/>
      </c>
      <c r="BW129" s="100" t="str">
        <f>IF($BK$5=TRUE,IF(BB129="","",SUM($BB$8:BB129)),"")</f>
        <v/>
      </c>
      <c r="BX129" s="100" t="str">
        <f>IF($BL$5=TRUE,IF(BC129="","",SUM($BC$8:BC129)),"")</f>
        <v/>
      </c>
      <c r="BY129" s="100" t="str">
        <f>IF($BM$5=TRUE,IF(BD129="","",SUM($BD$8:BD129)),"")</f>
        <v/>
      </c>
      <c r="BZ129" s="100" t="str">
        <f>IF($BN$5=TRUE,IF(BE129="","",SUM($BE$8:BE129)),"")</f>
        <v/>
      </c>
    </row>
    <row r="130" spans="46:78" x14ac:dyDescent="0.25">
      <c r="AT130" s="74">
        <v>44767</v>
      </c>
      <c r="AU130" s="72">
        <v>2403.69</v>
      </c>
      <c r="AW130" s="74"/>
      <c r="BR130" s="133" t="str">
        <f t="shared" si="27"/>
        <v/>
      </c>
      <c r="BS130" s="100" t="str">
        <f>IF($BG$5=TRUE,IF(AX130="","",SUM($AX$8:AX130)),"")</f>
        <v/>
      </c>
      <c r="BT130" s="100" t="str">
        <f>IF($BH$5=TRUE,IF(AY130="","",SUM($AY$8:AY130)),"")</f>
        <v/>
      </c>
      <c r="BU130" s="100" t="str">
        <f>IF($BI$5=TRUE,IF(AZ130="","",SUM($AZ$8:AZ130)),"")</f>
        <v/>
      </c>
      <c r="BV130" s="100" t="str">
        <f>IF($BJ$5=TRUE,IF(BA130="","",SUM($BA$8:BA130)),"")</f>
        <v/>
      </c>
      <c r="BW130" s="100" t="str">
        <f>IF($BK$5=TRUE,IF(BB130="","",SUM($BB$8:BB130)),"")</f>
        <v/>
      </c>
      <c r="BX130" s="100" t="str">
        <f>IF($BL$5=TRUE,IF(BC130="","",SUM($BC$8:BC130)),"")</f>
        <v/>
      </c>
      <c r="BY130" s="100" t="str">
        <f>IF($BM$5=TRUE,IF(BD130="","",SUM($BD$8:BD130)),"")</f>
        <v/>
      </c>
      <c r="BZ130" s="100" t="str">
        <f>IF($BN$5=TRUE,IF(BE130="","",SUM($BE$8:BE130)),"")</f>
        <v/>
      </c>
    </row>
    <row r="131" spans="46:78" x14ac:dyDescent="0.25">
      <c r="AT131" s="74">
        <v>44764</v>
      </c>
      <c r="AU131" s="72">
        <v>2393.14</v>
      </c>
      <c r="AW131" s="74"/>
      <c r="BR131" s="133" t="str">
        <f t="shared" si="27"/>
        <v/>
      </c>
      <c r="BS131" s="100" t="str">
        <f>IF($BG$5=TRUE,IF(AX131="","",SUM($AX$8:AX131)),"")</f>
        <v/>
      </c>
      <c r="BT131" s="100" t="str">
        <f>IF($BH$5=TRUE,IF(AY131="","",SUM($AY$8:AY131)),"")</f>
        <v/>
      </c>
      <c r="BU131" s="100" t="str">
        <f>IF($BI$5=TRUE,IF(AZ131="","",SUM($AZ$8:AZ131)),"")</f>
        <v/>
      </c>
      <c r="BV131" s="100" t="str">
        <f>IF($BJ$5=TRUE,IF(BA131="","",SUM($BA$8:BA131)),"")</f>
        <v/>
      </c>
      <c r="BW131" s="100" t="str">
        <f>IF($BK$5=TRUE,IF(BB131="","",SUM($BB$8:BB131)),"")</f>
        <v/>
      </c>
      <c r="BX131" s="100" t="str">
        <f>IF($BL$5=TRUE,IF(BC131="","",SUM($BC$8:BC131)),"")</f>
        <v/>
      </c>
      <c r="BY131" s="100" t="str">
        <f>IF($BM$5=TRUE,IF(BD131="","",SUM($BD$8:BD131)),"")</f>
        <v/>
      </c>
      <c r="BZ131" s="100" t="str">
        <f>IF($BN$5=TRUE,IF(BE131="","",SUM($BE$8:BE131)),"")</f>
        <v/>
      </c>
    </row>
    <row r="132" spans="46:78" x14ac:dyDescent="0.25">
      <c r="AT132" s="74">
        <v>44763</v>
      </c>
      <c r="AU132" s="72">
        <v>2409.16</v>
      </c>
      <c r="AW132" s="74"/>
      <c r="BR132" s="133" t="str">
        <f t="shared" si="27"/>
        <v/>
      </c>
      <c r="BS132" s="100" t="str">
        <f>IF($BG$5=TRUE,IF(AX132="","",SUM($AX$8:AX132)),"")</f>
        <v/>
      </c>
      <c r="BT132" s="100" t="str">
        <f>IF($BH$5=TRUE,IF(AY132="","",SUM($AY$8:AY132)),"")</f>
        <v/>
      </c>
      <c r="BU132" s="100" t="str">
        <f>IF($BI$5=TRUE,IF(AZ132="","",SUM($AZ$8:AZ132)),"")</f>
        <v/>
      </c>
      <c r="BV132" s="100" t="str">
        <f>IF($BJ$5=TRUE,IF(BA132="","",SUM($BA$8:BA132)),"")</f>
        <v/>
      </c>
      <c r="BW132" s="100" t="str">
        <f>IF($BK$5=TRUE,IF(BB132="","",SUM($BB$8:BB132)),"")</f>
        <v/>
      </c>
      <c r="BX132" s="100" t="str">
        <f>IF($BL$5=TRUE,IF(BC132="","",SUM($BC$8:BC132)),"")</f>
        <v/>
      </c>
      <c r="BY132" s="100" t="str">
        <f>IF($BM$5=TRUE,IF(BD132="","",SUM($BD$8:BD132)),"")</f>
        <v/>
      </c>
      <c r="BZ132" s="100" t="str">
        <f>IF($BN$5=TRUE,IF(BE132="","",SUM($BE$8:BE132)),"")</f>
        <v/>
      </c>
    </row>
    <row r="133" spans="46:78" x14ac:dyDescent="0.25">
      <c r="AT133" s="74">
        <v>44762</v>
      </c>
      <c r="AU133" s="72">
        <v>2386.85</v>
      </c>
      <c r="AW133" s="74"/>
      <c r="BR133" s="133" t="str">
        <f t="shared" si="27"/>
        <v/>
      </c>
      <c r="BS133" s="100" t="str">
        <f>IF($BG$5=TRUE,IF(AX133="","",SUM($AX$8:AX133)),"")</f>
        <v/>
      </c>
      <c r="BT133" s="100" t="str">
        <f>IF($BH$5=TRUE,IF(AY133="","",SUM($AY$8:AY133)),"")</f>
        <v/>
      </c>
      <c r="BU133" s="100" t="str">
        <f>IF($BI$5=TRUE,IF(AZ133="","",SUM($AZ$8:AZ133)),"")</f>
        <v/>
      </c>
      <c r="BV133" s="100" t="str">
        <f>IF($BJ$5=TRUE,IF(BA133="","",SUM($BA$8:BA133)),"")</f>
        <v/>
      </c>
      <c r="BW133" s="100" t="str">
        <f>IF($BK$5=TRUE,IF(BB133="","",SUM($BB$8:BB133)),"")</f>
        <v/>
      </c>
      <c r="BX133" s="100" t="str">
        <f>IF($BL$5=TRUE,IF(BC133="","",SUM($BC$8:BC133)),"")</f>
        <v/>
      </c>
      <c r="BY133" s="100" t="str">
        <f>IF($BM$5=TRUE,IF(BD133="","",SUM($BD$8:BD133)),"")</f>
        <v/>
      </c>
      <c r="BZ133" s="100" t="str">
        <f>IF($BN$5=TRUE,IF(BE133="","",SUM($BE$8:BE133)),"")</f>
        <v/>
      </c>
    </row>
    <row r="134" spans="46:78" x14ac:dyDescent="0.25">
      <c r="AT134" s="74">
        <v>44761</v>
      </c>
      <c r="AU134" s="72">
        <v>2370.9699999999998</v>
      </c>
      <c r="AW134" s="74"/>
      <c r="BR134" s="133" t="str">
        <f t="shared" si="27"/>
        <v/>
      </c>
      <c r="BS134" s="100" t="str">
        <f>IF($BG$5=TRUE,IF(AX134="","",SUM($AX$8:AX134)),"")</f>
        <v/>
      </c>
      <c r="BT134" s="100" t="str">
        <f>IF($BH$5=TRUE,IF(AY134="","",SUM($AY$8:AY134)),"")</f>
        <v/>
      </c>
      <c r="BU134" s="100" t="str">
        <f>IF($BI$5=TRUE,IF(AZ134="","",SUM($AZ$8:AZ134)),"")</f>
        <v/>
      </c>
      <c r="BV134" s="100" t="str">
        <f>IF($BJ$5=TRUE,IF(BA134="","",SUM($BA$8:BA134)),"")</f>
        <v/>
      </c>
      <c r="BW134" s="100" t="str">
        <f>IF($BK$5=TRUE,IF(BB134="","",SUM($BB$8:BB134)),"")</f>
        <v/>
      </c>
      <c r="BX134" s="100" t="str">
        <f>IF($BL$5=TRUE,IF(BC134="","",SUM($BC$8:BC134)),"")</f>
        <v/>
      </c>
      <c r="BY134" s="100" t="str">
        <f>IF($BM$5=TRUE,IF(BD134="","",SUM($BD$8:BD134)),"")</f>
        <v/>
      </c>
      <c r="BZ134" s="100" t="str">
        <f>IF($BN$5=TRUE,IF(BE134="","",SUM($BE$8:BE134)),"")</f>
        <v/>
      </c>
    </row>
    <row r="135" spans="46:78" x14ac:dyDescent="0.25">
      <c r="AT135" s="74">
        <v>44760</v>
      </c>
      <c r="AU135" s="72">
        <v>2375.25</v>
      </c>
      <c r="AW135" s="74"/>
      <c r="BR135" s="133" t="str">
        <f t="shared" si="27"/>
        <v/>
      </c>
      <c r="BS135" s="100" t="str">
        <f>IF($BG$5=TRUE,IF(AX135="","",SUM($AX$8:AX135)),"")</f>
        <v/>
      </c>
      <c r="BT135" s="100" t="str">
        <f>IF($BH$5=TRUE,IF(AY135="","",SUM($AY$8:AY135)),"")</f>
        <v/>
      </c>
      <c r="BU135" s="100" t="str">
        <f>IF($BI$5=TRUE,IF(AZ135="","",SUM($AZ$8:AZ135)),"")</f>
        <v/>
      </c>
      <c r="BV135" s="100" t="str">
        <f>IF($BJ$5=TRUE,IF(BA135="","",SUM($BA$8:BA135)),"")</f>
        <v/>
      </c>
      <c r="BW135" s="100" t="str">
        <f>IF($BK$5=TRUE,IF(BB135="","",SUM($BB$8:BB135)),"")</f>
        <v/>
      </c>
      <c r="BX135" s="100" t="str">
        <f>IF($BL$5=TRUE,IF(BC135="","",SUM($BC$8:BC135)),"")</f>
        <v/>
      </c>
      <c r="BY135" s="100" t="str">
        <f>IF($BM$5=TRUE,IF(BD135="","",SUM($BD$8:BD135)),"")</f>
        <v/>
      </c>
      <c r="BZ135" s="100" t="str">
        <f>IF($BN$5=TRUE,IF(BE135="","",SUM($BE$8:BE135)),"")</f>
        <v/>
      </c>
    </row>
    <row r="136" spans="46:78" x14ac:dyDescent="0.25">
      <c r="AT136" s="74">
        <v>44757</v>
      </c>
      <c r="AU136" s="72">
        <v>2330.98</v>
      </c>
      <c r="AW136" s="74"/>
      <c r="BR136" s="133" t="str">
        <f t="shared" si="27"/>
        <v/>
      </c>
      <c r="BS136" s="100" t="str">
        <f>IF($BG$5=TRUE,IF(AX136="","",SUM($AX$8:AX136)),"")</f>
        <v/>
      </c>
      <c r="BT136" s="100" t="str">
        <f>IF($BH$5=TRUE,IF(AY136="","",SUM($AY$8:AY136)),"")</f>
        <v/>
      </c>
      <c r="BU136" s="100" t="str">
        <f>IF($BI$5=TRUE,IF(AZ136="","",SUM($AZ$8:AZ136)),"")</f>
        <v/>
      </c>
      <c r="BV136" s="100" t="str">
        <f>IF($BJ$5=TRUE,IF(BA136="","",SUM($BA$8:BA136)),"")</f>
        <v/>
      </c>
      <c r="BW136" s="100" t="str">
        <f>IF($BK$5=TRUE,IF(BB136="","",SUM($BB$8:BB136)),"")</f>
        <v/>
      </c>
      <c r="BX136" s="100" t="str">
        <f>IF($BL$5=TRUE,IF(BC136="","",SUM($BC$8:BC136)),"")</f>
        <v/>
      </c>
      <c r="BY136" s="100" t="str">
        <f>IF($BM$5=TRUE,IF(BD136="","",SUM($BD$8:BD136)),"")</f>
        <v/>
      </c>
      <c r="BZ136" s="100" t="str">
        <f>IF($BN$5=TRUE,IF(BE136="","",SUM($BE$8:BE136)),"")</f>
        <v/>
      </c>
    </row>
    <row r="137" spans="46:78" x14ac:dyDescent="0.25">
      <c r="AT137" s="74">
        <v>44756</v>
      </c>
      <c r="AU137" s="72">
        <v>2322.3200000000002</v>
      </c>
      <c r="AW137" s="74"/>
      <c r="BR137" s="133" t="str">
        <f t="shared" si="27"/>
        <v/>
      </c>
      <c r="BS137" s="100" t="str">
        <f>IF($BG$5=TRUE,IF(AX137="","",SUM($AX$8:AX137)),"")</f>
        <v/>
      </c>
      <c r="BT137" s="100" t="str">
        <f>IF($BH$5=TRUE,IF(AY137="","",SUM($AY$8:AY137)),"")</f>
        <v/>
      </c>
      <c r="BU137" s="100" t="str">
        <f>IF($BI$5=TRUE,IF(AZ137="","",SUM($AZ$8:AZ137)),"")</f>
        <v/>
      </c>
      <c r="BV137" s="100" t="str">
        <f>IF($BJ$5=TRUE,IF(BA137="","",SUM($BA$8:BA137)),"")</f>
        <v/>
      </c>
      <c r="BW137" s="100" t="str">
        <f>IF($BK$5=TRUE,IF(BB137="","",SUM($BB$8:BB137)),"")</f>
        <v/>
      </c>
      <c r="BX137" s="100" t="str">
        <f>IF($BL$5=TRUE,IF(BC137="","",SUM($BC$8:BC137)),"")</f>
        <v/>
      </c>
      <c r="BY137" s="100" t="str">
        <f>IF($BM$5=TRUE,IF(BD137="","",SUM($BD$8:BD137)),"")</f>
        <v/>
      </c>
      <c r="BZ137" s="100" t="str">
        <f>IF($BN$5=TRUE,IF(BE137="","",SUM($BE$8:BE137)),"")</f>
        <v/>
      </c>
    </row>
    <row r="138" spans="46:78" x14ac:dyDescent="0.25">
      <c r="AT138" s="74">
        <v>44755</v>
      </c>
      <c r="AU138" s="72">
        <v>2328.61</v>
      </c>
      <c r="AW138" s="74"/>
      <c r="BR138" s="133" t="str">
        <f t="shared" si="27"/>
        <v/>
      </c>
      <c r="BS138" s="100" t="str">
        <f>IF($BG$5=TRUE,IF(AX138="","",SUM($AX$8:AX138)),"")</f>
        <v/>
      </c>
      <c r="BT138" s="100" t="str">
        <f>IF($BH$5=TRUE,IF(AY138="","",SUM($AY$8:AY138)),"")</f>
        <v/>
      </c>
      <c r="BU138" s="100" t="str">
        <f>IF($BI$5=TRUE,IF(AZ138="","",SUM($AZ$8:AZ138)),"")</f>
        <v/>
      </c>
      <c r="BV138" s="100" t="str">
        <f>IF($BJ$5=TRUE,IF(BA138="","",SUM($BA$8:BA138)),"")</f>
        <v/>
      </c>
      <c r="BW138" s="100" t="str">
        <f>IF($BK$5=TRUE,IF(BB138="","",SUM($BB$8:BB138)),"")</f>
        <v/>
      </c>
      <c r="BX138" s="100" t="str">
        <f>IF($BL$5=TRUE,IF(BC138="","",SUM($BC$8:BC138)),"")</f>
        <v/>
      </c>
      <c r="BY138" s="100" t="str">
        <f>IF($BM$5=TRUE,IF(BD138="","",SUM($BD$8:BD138)),"")</f>
        <v/>
      </c>
      <c r="BZ138" s="100" t="str">
        <f>IF($BN$5=TRUE,IF(BE138="","",SUM($BE$8:BE138)),"")</f>
        <v/>
      </c>
    </row>
    <row r="139" spans="46:78" x14ac:dyDescent="0.25">
      <c r="AT139" s="74">
        <v>44754</v>
      </c>
      <c r="AU139" s="72">
        <v>2317.7600000000002</v>
      </c>
      <c r="AW139" s="74"/>
      <c r="BR139" s="133" t="str">
        <f t="shared" ref="BR139:BR202" si="28">IF(AW139="","",AW139)</f>
        <v/>
      </c>
      <c r="BS139" s="100" t="str">
        <f>IF($BG$5=TRUE,IF(AX139="","",SUM($AX$8:AX139)),"")</f>
        <v/>
      </c>
      <c r="BT139" s="100" t="str">
        <f>IF($BH$5=TRUE,IF(AY139="","",SUM($AY$8:AY139)),"")</f>
        <v/>
      </c>
      <c r="BU139" s="100" t="str">
        <f>IF($BI$5=TRUE,IF(AZ139="","",SUM($AZ$8:AZ139)),"")</f>
        <v/>
      </c>
      <c r="BV139" s="100" t="str">
        <f>IF($BJ$5=TRUE,IF(BA139="","",SUM($BA$8:BA139)),"")</f>
        <v/>
      </c>
      <c r="BW139" s="100" t="str">
        <f>IF($BK$5=TRUE,IF(BB139="","",SUM($BB$8:BB139)),"")</f>
        <v/>
      </c>
      <c r="BX139" s="100" t="str">
        <f>IF($BL$5=TRUE,IF(BC139="","",SUM($BC$8:BC139)),"")</f>
        <v/>
      </c>
      <c r="BY139" s="100" t="str">
        <f>IF($BM$5=TRUE,IF(BD139="","",SUM($BD$8:BD139)),"")</f>
        <v/>
      </c>
      <c r="BZ139" s="100" t="str">
        <f>IF($BN$5=TRUE,IF(BE139="","",SUM($BE$8:BE139)),"")</f>
        <v/>
      </c>
    </row>
    <row r="140" spans="46:78" x14ac:dyDescent="0.25">
      <c r="AT140" s="74">
        <v>44753</v>
      </c>
      <c r="AU140" s="72">
        <v>2340.27</v>
      </c>
      <c r="AW140" s="74"/>
      <c r="BR140" s="133" t="str">
        <f t="shared" si="28"/>
        <v/>
      </c>
      <c r="BS140" s="100" t="str">
        <f>IF($BG$5=TRUE,IF(AX140="","",SUM($AX$8:AX140)),"")</f>
        <v/>
      </c>
      <c r="BT140" s="100" t="str">
        <f>IF($BH$5=TRUE,IF(AY140="","",SUM($AY$8:AY140)),"")</f>
        <v/>
      </c>
      <c r="BU140" s="100" t="str">
        <f>IF($BI$5=TRUE,IF(AZ140="","",SUM($AZ$8:AZ140)),"")</f>
        <v/>
      </c>
      <c r="BV140" s="100" t="str">
        <f>IF($BJ$5=TRUE,IF(BA140="","",SUM($BA$8:BA140)),"")</f>
        <v/>
      </c>
      <c r="BW140" s="100" t="str">
        <f>IF($BK$5=TRUE,IF(BB140="","",SUM($BB$8:BB140)),"")</f>
        <v/>
      </c>
      <c r="BX140" s="100" t="str">
        <f>IF($BL$5=TRUE,IF(BC140="","",SUM($BC$8:BC140)),"")</f>
        <v/>
      </c>
      <c r="BY140" s="100" t="str">
        <f>IF($BM$5=TRUE,IF(BD140="","",SUM($BD$8:BD140)),"")</f>
        <v/>
      </c>
      <c r="BZ140" s="100" t="str">
        <f>IF($BN$5=TRUE,IF(BE140="","",SUM($BE$8:BE140)),"")</f>
        <v/>
      </c>
    </row>
    <row r="141" spans="46:78" x14ac:dyDescent="0.25">
      <c r="AT141" s="74">
        <v>44750</v>
      </c>
      <c r="AU141" s="72">
        <v>2350.61</v>
      </c>
      <c r="AW141" s="74"/>
      <c r="BR141" s="133" t="str">
        <f t="shared" si="28"/>
        <v/>
      </c>
      <c r="BS141" s="100" t="str">
        <f>IF($BG$5=TRUE,IF(AX141="","",SUM($AX$8:AX141)),"")</f>
        <v/>
      </c>
      <c r="BT141" s="100" t="str">
        <f>IF($BH$5=TRUE,IF(AY141="","",SUM($AY$8:AY141)),"")</f>
        <v/>
      </c>
      <c r="BU141" s="100" t="str">
        <f>IF($BI$5=TRUE,IF(AZ141="","",SUM($AZ$8:AZ141)),"")</f>
        <v/>
      </c>
      <c r="BV141" s="100" t="str">
        <f>IF($BJ$5=TRUE,IF(BA141="","",SUM($BA$8:BA141)),"")</f>
        <v/>
      </c>
      <c r="BW141" s="100" t="str">
        <f>IF($BK$5=TRUE,IF(BB141="","",SUM($BB$8:BB141)),"")</f>
        <v/>
      </c>
      <c r="BX141" s="100" t="str">
        <f>IF($BL$5=TRUE,IF(BC141="","",SUM($BC$8:BC141)),"")</f>
        <v/>
      </c>
      <c r="BY141" s="100" t="str">
        <f>IF($BM$5=TRUE,IF(BD141="","",SUM($BD$8:BD141)),"")</f>
        <v/>
      </c>
      <c r="BZ141" s="100" t="str">
        <f>IF($BN$5=TRUE,IF(BE141="","",SUM($BE$8:BE141)),"")</f>
        <v/>
      </c>
    </row>
    <row r="142" spans="46:78" x14ac:dyDescent="0.25">
      <c r="AT142" s="74">
        <v>44749</v>
      </c>
      <c r="AU142" s="72">
        <v>2334.27</v>
      </c>
      <c r="AW142" s="74"/>
      <c r="BR142" s="133" t="str">
        <f t="shared" si="28"/>
        <v/>
      </c>
      <c r="BS142" s="100" t="str">
        <f>IF($BG$5=TRUE,IF(AX142="","",SUM($AX$8:AX142)),"")</f>
        <v/>
      </c>
      <c r="BT142" s="100" t="str">
        <f>IF($BH$5=TRUE,IF(AY142="","",SUM($AY$8:AY142)),"")</f>
        <v/>
      </c>
      <c r="BU142" s="100" t="str">
        <f>IF($BI$5=TRUE,IF(AZ142="","",SUM($AZ$8:AZ142)),"")</f>
        <v/>
      </c>
      <c r="BV142" s="100" t="str">
        <f>IF($BJ$5=TRUE,IF(BA142="","",SUM($BA$8:BA142)),"")</f>
        <v/>
      </c>
      <c r="BW142" s="100" t="str">
        <f>IF($BK$5=TRUE,IF(BB142="","",SUM($BB$8:BB142)),"")</f>
        <v/>
      </c>
      <c r="BX142" s="100" t="str">
        <f>IF($BL$5=TRUE,IF(BC142="","",SUM($BC$8:BC142)),"")</f>
        <v/>
      </c>
      <c r="BY142" s="100" t="str">
        <f>IF($BM$5=TRUE,IF(BD142="","",SUM($BD$8:BD142)),"")</f>
        <v/>
      </c>
      <c r="BZ142" s="100" t="str">
        <f>IF($BN$5=TRUE,IF(BE142="","",SUM($BE$8:BE142)),"")</f>
        <v/>
      </c>
    </row>
    <row r="143" spans="46:78" x14ac:dyDescent="0.25">
      <c r="AT143" s="74">
        <v>44748</v>
      </c>
      <c r="AU143" s="72">
        <v>2292.0100000000002</v>
      </c>
      <c r="AW143" s="74"/>
      <c r="BR143" s="133" t="str">
        <f t="shared" si="28"/>
        <v/>
      </c>
      <c r="BS143" s="100" t="str">
        <f>IF($BG$5=TRUE,IF(AX143="","",SUM($AX$8:AX143)),"")</f>
        <v/>
      </c>
      <c r="BT143" s="100" t="str">
        <f>IF($BH$5=TRUE,IF(AY143="","",SUM($AY$8:AY143)),"")</f>
        <v/>
      </c>
      <c r="BU143" s="100" t="str">
        <f>IF($BI$5=TRUE,IF(AZ143="","",SUM($AZ$8:AZ143)),"")</f>
        <v/>
      </c>
      <c r="BV143" s="100" t="str">
        <f>IF($BJ$5=TRUE,IF(BA143="","",SUM($BA$8:BA143)),"")</f>
        <v/>
      </c>
      <c r="BW143" s="100" t="str">
        <f>IF($BK$5=TRUE,IF(BB143="","",SUM($BB$8:BB143)),"")</f>
        <v/>
      </c>
      <c r="BX143" s="100" t="str">
        <f>IF($BL$5=TRUE,IF(BC143="","",SUM($BC$8:BC143)),"")</f>
        <v/>
      </c>
      <c r="BY143" s="100" t="str">
        <f>IF($BM$5=TRUE,IF(BD143="","",SUM($BD$8:BD143)),"")</f>
        <v/>
      </c>
      <c r="BZ143" s="100" t="str">
        <f>IF($BN$5=TRUE,IF(BE143="","",SUM($BE$8:BE143)),"")</f>
        <v/>
      </c>
    </row>
    <row r="144" spans="46:78" x14ac:dyDescent="0.25">
      <c r="AT144" s="74">
        <v>44747</v>
      </c>
      <c r="AU144" s="72">
        <v>2341.7800000000002</v>
      </c>
      <c r="AW144" s="74"/>
      <c r="BR144" s="133" t="str">
        <f t="shared" si="28"/>
        <v/>
      </c>
      <c r="BS144" s="100" t="str">
        <f>IF($BG$5=TRUE,IF(AX144="","",SUM($AX$8:AX144)),"")</f>
        <v/>
      </c>
      <c r="BT144" s="100" t="str">
        <f>IF($BH$5=TRUE,IF(AY144="","",SUM($AY$8:AY144)),"")</f>
        <v/>
      </c>
      <c r="BU144" s="100" t="str">
        <f>IF($BI$5=TRUE,IF(AZ144="","",SUM($AZ$8:AZ144)),"")</f>
        <v/>
      </c>
      <c r="BV144" s="100" t="str">
        <f>IF($BJ$5=TRUE,IF(BA144="","",SUM($BA$8:BA144)),"")</f>
        <v/>
      </c>
      <c r="BW144" s="100" t="str">
        <f>IF($BK$5=TRUE,IF(BB144="","",SUM($BB$8:BB144)),"")</f>
        <v/>
      </c>
      <c r="BX144" s="100" t="str">
        <f>IF($BL$5=TRUE,IF(BC144="","",SUM($BC$8:BC144)),"")</f>
        <v/>
      </c>
      <c r="BY144" s="100" t="str">
        <f>IF($BM$5=TRUE,IF(BD144="","",SUM($BD$8:BD144)),"")</f>
        <v/>
      </c>
      <c r="BZ144" s="100" t="str">
        <f>IF($BN$5=TRUE,IF(BE144="","",SUM($BE$8:BE144)),"")</f>
        <v/>
      </c>
    </row>
    <row r="145" spans="46:78" x14ac:dyDescent="0.25">
      <c r="AT145" s="74">
        <v>44746</v>
      </c>
      <c r="AU145" s="72">
        <v>2300.34</v>
      </c>
      <c r="AW145" s="74"/>
      <c r="BR145" s="133" t="str">
        <f t="shared" si="28"/>
        <v/>
      </c>
      <c r="BS145" s="100" t="str">
        <f>IF($BG$5=TRUE,IF(AX145="","",SUM($AX$8:AX145)),"")</f>
        <v/>
      </c>
      <c r="BT145" s="100" t="str">
        <f>IF($BH$5=TRUE,IF(AY145="","",SUM($AY$8:AY145)),"")</f>
        <v/>
      </c>
      <c r="BU145" s="100" t="str">
        <f>IF($BI$5=TRUE,IF(AZ145="","",SUM($AZ$8:AZ145)),"")</f>
        <v/>
      </c>
      <c r="BV145" s="100" t="str">
        <f>IF($BJ$5=TRUE,IF(BA145="","",SUM($BA$8:BA145)),"")</f>
        <v/>
      </c>
      <c r="BW145" s="100" t="str">
        <f>IF($BK$5=TRUE,IF(BB145="","",SUM($BB$8:BB145)),"")</f>
        <v/>
      </c>
      <c r="BX145" s="100" t="str">
        <f>IF($BL$5=TRUE,IF(BC145="","",SUM($BC$8:BC145)),"")</f>
        <v/>
      </c>
      <c r="BY145" s="100" t="str">
        <f>IF($BM$5=TRUE,IF(BD145="","",SUM($BD$8:BD145)),"")</f>
        <v/>
      </c>
      <c r="BZ145" s="100" t="str">
        <f>IF($BN$5=TRUE,IF(BE145="","",SUM($BE$8:BE145)),"")</f>
        <v/>
      </c>
    </row>
    <row r="146" spans="46:78" x14ac:dyDescent="0.25">
      <c r="AT146" s="74">
        <v>44743</v>
      </c>
      <c r="AU146" s="72">
        <v>2305.42</v>
      </c>
      <c r="AW146" s="74"/>
      <c r="BR146" s="133" t="str">
        <f t="shared" si="28"/>
        <v/>
      </c>
      <c r="BS146" s="100" t="str">
        <f>IF($BG$5=TRUE,IF(AX146="","",SUM($AX$8:AX146)),"")</f>
        <v/>
      </c>
      <c r="BT146" s="100" t="str">
        <f>IF($BH$5=TRUE,IF(AY146="","",SUM($AY$8:AY146)),"")</f>
        <v/>
      </c>
      <c r="BU146" s="100" t="str">
        <f>IF($BI$5=TRUE,IF(AZ146="","",SUM($AZ$8:AZ146)),"")</f>
        <v/>
      </c>
      <c r="BV146" s="100" t="str">
        <f>IF($BJ$5=TRUE,IF(BA146="","",SUM($BA$8:BA146)),"")</f>
        <v/>
      </c>
      <c r="BW146" s="100" t="str">
        <f>IF($BK$5=TRUE,IF(BB146="","",SUM($BB$8:BB146)),"")</f>
        <v/>
      </c>
      <c r="BX146" s="100" t="str">
        <f>IF($BL$5=TRUE,IF(BC146="","",SUM($BC$8:BC146)),"")</f>
        <v/>
      </c>
      <c r="BY146" s="100" t="str">
        <f>IF($BM$5=TRUE,IF(BD146="","",SUM($BD$8:BD146)),"")</f>
        <v/>
      </c>
      <c r="BZ146" s="100" t="str">
        <f>IF($BN$5=TRUE,IF(BE146="","",SUM($BE$8:BE146)),"")</f>
        <v/>
      </c>
    </row>
    <row r="147" spans="46:78" x14ac:dyDescent="0.25">
      <c r="AT147" s="74">
        <v>44742</v>
      </c>
      <c r="AU147" s="72">
        <v>2332.64</v>
      </c>
      <c r="AW147" s="74"/>
      <c r="BR147" s="133" t="str">
        <f t="shared" si="28"/>
        <v/>
      </c>
      <c r="BS147" s="100" t="str">
        <f>IF($BG$5=TRUE,IF(AX147="","",SUM($AX$8:AX147)),"")</f>
        <v/>
      </c>
      <c r="BT147" s="100" t="str">
        <f>IF($BH$5=TRUE,IF(AY147="","",SUM($AY$8:AY147)),"")</f>
        <v/>
      </c>
      <c r="BU147" s="100" t="str">
        <f>IF($BI$5=TRUE,IF(AZ147="","",SUM($AZ$8:AZ147)),"")</f>
        <v/>
      </c>
      <c r="BV147" s="100" t="str">
        <f>IF($BJ$5=TRUE,IF(BA147="","",SUM($BA$8:BA147)),"")</f>
        <v/>
      </c>
      <c r="BW147" s="100" t="str">
        <f>IF($BK$5=TRUE,IF(BB147="","",SUM($BB$8:BB147)),"")</f>
        <v/>
      </c>
      <c r="BX147" s="100" t="str">
        <f>IF($BL$5=TRUE,IF(BC147="","",SUM($BC$8:BC147)),"")</f>
        <v/>
      </c>
      <c r="BY147" s="100" t="str">
        <f>IF($BM$5=TRUE,IF(BD147="","",SUM($BD$8:BD147)),"")</f>
        <v/>
      </c>
      <c r="BZ147" s="100" t="str">
        <f>IF($BN$5=TRUE,IF(BE147="","",SUM($BE$8:BE147)),"")</f>
        <v/>
      </c>
    </row>
    <row r="148" spans="46:78" x14ac:dyDescent="0.25">
      <c r="AT148" s="74">
        <v>44741</v>
      </c>
      <c r="AU148" s="72">
        <v>2377.9899999999998</v>
      </c>
      <c r="AW148" s="74"/>
      <c r="BR148" s="133" t="str">
        <f t="shared" si="28"/>
        <v/>
      </c>
      <c r="BS148" s="100" t="str">
        <f>IF($BG$5=TRUE,IF(AX148="","",SUM($AX$8:AX148)),"")</f>
        <v/>
      </c>
      <c r="BT148" s="100" t="str">
        <f>IF($BH$5=TRUE,IF(AY148="","",SUM($AY$8:AY148)),"")</f>
        <v/>
      </c>
      <c r="BU148" s="100" t="str">
        <f>IF($BI$5=TRUE,IF(AZ148="","",SUM($AZ$8:AZ148)),"")</f>
        <v/>
      </c>
      <c r="BV148" s="100" t="str">
        <f>IF($BJ$5=TRUE,IF(BA148="","",SUM($BA$8:BA148)),"")</f>
        <v/>
      </c>
      <c r="BW148" s="100" t="str">
        <f>IF($BK$5=TRUE,IF(BB148="","",SUM($BB$8:BB148)),"")</f>
        <v/>
      </c>
      <c r="BX148" s="100" t="str">
        <f>IF($BL$5=TRUE,IF(BC148="","",SUM($BC$8:BC148)),"")</f>
        <v/>
      </c>
      <c r="BY148" s="100" t="str">
        <f>IF($BM$5=TRUE,IF(BD148="","",SUM($BD$8:BD148)),"")</f>
        <v/>
      </c>
      <c r="BZ148" s="100" t="str">
        <f>IF($BN$5=TRUE,IF(BE148="","",SUM($BE$8:BE148)),"")</f>
        <v/>
      </c>
    </row>
    <row r="149" spans="46:78" x14ac:dyDescent="0.25">
      <c r="AT149" s="74">
        <v>44740</v>
      </c>
      <c r="AU149" s="72">
        <v>2422.09</v>
      </c>
      <c r="AW149" s="74"/>
      <c r="BR149" s="133" t="str">
        <f t="shared" si="28"/>
        <v/>
      </c>
      <c r="BS149" s="100" t="str">
        <f>IF($BG$5=TRUE,IF(AX149="","",SUM($AX$8:AX149)),"")</f>
        <v/>
      </c>
      <c r="BT149" s="100" t="str">
        <f>IF($BH$5=TRUE,IF(AY149="","",SUM($AY$8:AY149)),"")</f>
        <v/>
      </c>
      <c r="BU149" s="100" t="str">
        <f>IF($BI$5=TRUE,IF(AZ149="","",SUM($AZ$8:AZ149)),"")</f>
        <v/>
      </c>
      <c r="BV149" s="100" t="str">
        <f>IF($BJ$5=TRUE,IF(BA149="","",SUM($BA$8:BA149)),"")</f>
        <v/>
      </c>
      <c r="BW149" s="100" t="str">
        <f>IF($BK$5=TRUE,IF(BB149="","",SUM($BB$8:BB149)),"")</f>
        <v/>
      </c>
      <c r="BX149" s="100" t="str">
        <f>IF($BL$5=TRUE,IF(BC149="","",SUM($BC$8:BC149)),"")</f>
        <v/>
      </c>
      <c r="BY149" s="100" t="str">
        <f>IF($BM$5=TRUE,IF(BD149="","",SUM($BD$8:BD149)),"")</f>
        <v/>
      </c>
      <c r="BZ149" s="100" t="str">
        <f>IF($BN$5=TRUE,IF(BE149="","",SUM($BE$8:BE149)),"")</f>
        <v/>
      </c>
    </row>
    <row r="150" spans="46:78" x14ac:dyDescent="0.25">
      <c r="AT150" s="74">
        <v>44739</v>
      </c>
      <c r="AU150" s="72">
        <v>2401.92</v>
      </c>
      <c r="AW150" s="74"/>
      <c r="BR150" s="133" t="str">
        <f t="shared" si="28"/>
        <v/>
      </c>
      <c r="BS150" s="100" t="str">
        <f>IF($BG$5=TRUE,IF(AX150="","",SUM($AX$8:AX150)),"")</f>
        <v/>
      </c>
      <c r="BT150" s="100" t="str">
        <f>IF($BH$5=TRUE,IF(AY150="","",SUM($AY$8:AY150)),"")</f>
        <v/>
      </c>
      <c r="BU150" s="100" t="str">
        <f>IF($BI$5=TRUE,IF(AZ150="","",SUM($AZ$8:AZ150)),"")</f>
        <v/>
      </c>
      <c r="BV150" s="100" t="str">
        <f>IF($BJ$5=TRUE,IF(BA150="","",SUM($BA$8:BA150)),"")</f>
        <v/>
      </c>
      <c r="BW150" s="100" t="str">
        <f>IF($BK$5=TRUE,IF(BB150="","",SUM($BB$8:BB150)),"")</f>
        <v/>
      </c>
      <c r="BX150" s="100" t="str">
        <f>IF($BL$5=TRUE,IF(BC150="","",SUM($BC$8:BC150)),"")</f>
        <v/>
      </c>
      <c r="BY150" s="100" t="str">
        <f>IF($BM$5=TRUE,IF(BD150="","",SUM($BD$8:BD150)),"")</f>
        <v/>
      </c>
      <c r="BZ150" s="100" t="str">
        <f>IF($BN$5=TRUE,IF(BE150="","",SUM($BE$8:BE150)),"")</f>
        <v/>
      </c>
    </row>
    <row r="151" spans="46:78" x14ac:dyDescent="0.25">
      <c r="AT151" s="74">
        <v>44736</v>
      </c>
      <c r="AU151" s="72">
        <v>2366.6</v>
      </c>
      <c r="AW151" s="74"/>
      <c r="BR151" s="133" t="str">
        <f t="shared" si="28"/>
        <v/>
      </c>
      <c r="BS151" s="100" t="str">
        <f>IF($BG$5=TRUE,IF(AX151="","",SUM($AX$8:AX151)),"")</f>
        <v/>
      </c>
      <c r="BT151" s="100" t="str">
        <f>IF($BH$5=TRUE,IF(AY151="","",SUM($AY$8:AY151)),"")</f>
        <v/>
      </c>
      <c r="BU151" s="100" t="str">
        <f>IF($BI$5=TRUE,IF(AZ151="","",SUM($AZ$8:AZ151)),"")</f>
        <v/>
      </c>
      <c r="BV151" s="100" t="str">
        <f>IF($BJ$5=TRUE,IF(BA151="","",SUM($BA$8:BA151)),"")</f>
        <v/>
      </c>
      <c r="BW151" s="100" t="str">
        <f>IF($BK$5=TRUE,IF(BB151="","",SUM($BB$8:BB151)),"")</f>
        <v/>
      </c>
      <c r="BX151" s="100" t="str">
        <f>IF($BL$5=TRUE,IF(BC151="","",SUM($BC$8:BC151)),"")</f>
        <v/>
      </c>
      <c r="BY151" s="100" t="str">
        <f>IF($BM$5=TRUE,IF(BD151="","",SUM($BD$8:BD151)),"")</f>
        <v/>
      </c>
      <c r="BZ151" s="100" t="str">
        <f>IF($BN$5=TRUE,IF(BE151="","",SUM($BE$8:BE151)),"")</f>
        <v/>
      </c>
    </row>
    <row r="152" spans="46:78" x14ac:dyDescent="0.25">
      <c r="AT152" s="74">
        <v>44735</v>
      </c>
      <c r="AU152" s="72">
        <v>2314.3200000000002</v>
      </c>
      <c r="AW152" s="74"/>
      <c r="BR152" s="133" t="str">
        <f t="shared" si="28"/>
        <v/>
      </c>
      <c r="BS152" s="100" t="str">
        <f>IF($BG$5=TRUE,IF(AX152="","",SUM($AX$8:AX152)),"")</f>
        <v/>
      </c>
      <c r="BT152" s="100" t="str">
        <f>IF($BH$5=TRUE,IF(AY152="","",SUM($AY$8:AY152)),"")</f>
        <v/>
      </c>
      <c r="BU152" s="100" t="str">
        <f>IF($BI$5=TRUE,IF(AZ152="","",SUM($AZ$8:AZ152)),"")</f>
        <v/>
      </c>
      <c r="BV152" s="100" t="str">
        <f>IF($BJ$5=TRUE,IF(BA152="","",SUM($BA$8:BA152)),"")</f>
        <v/>
      </c>
      <c r="BW152" s="100" t="str">
        <f>IF($BK$5=TRUE,IF(BB152="","",SUM($BB$8:BB152)),"")</f>
        <v/>
      </c>
      <c r="BX152" s="100" t="str">
        <f>IF($BL$5=TRUE,IF(BC152="","",SUM($BC$8:BC152)),"")</f>
        <v/>
      </c>
      <c r="BY152" s="100" t="str">
        <f>IF($BM$5=TRUE,IF(BD152="","",SUM($BD$8:BD152)),"")</f>
        <v/>
      </c>
      <c r="BZ152" s="100" t="str">
        <f>IF($BN$5=TRUE,IF(BE152="","",SUM($BE$8:BE152)),"")</f>
        <v/>
      </c>
    </row>
    <row r="153" spans="46:78" x14ac:dyDescent="0.25">
      <c r="AT153" s="74">
        <v>44734</v>
      </c>
      <c r="AU153" s="72">
        <v>2342.81</v>
      </c>
      <c r="AW153" s="74"/>
      <c r="BR153" s="133" t="str">
        <f t="shared" si="28"/>
        <v/>
      </c>
      <c r="BS153" s="100" t="str">
        <f>IF($BG$5=TRUE,IF(AX153="","",SUM($AX$8:AX153)),"")</f>
        <v/>
      </c>
      <c r="BT153" s="100" t="str">
        <f>IF($BH$5=TRUE,IF(AY153="","",SUM($AY$8:AY153)),"")</f>
        <v/>
      </c>
      <c r="BU153" s="100" t="str">
        <f>IF($BI$5=TRUE,IF(AZ153="","",SUM($AZ$8:AZ153)),"")</f>
        <v/>
      </c>
      <c r="BV153" s="100" t="str">
        <f>IF($BJ$5=TRUE,IF(BA153="","",SUM($BA$8:BA153)),"")</f>
        <v/>
      </c>
      <c r="BW153" s="100" t="str">
        <f>IF($BK$5=TRUE,IF(BB153="","",SUM($BB$8:BB153)),"")</f>
        <v/>
      </c>
      <c r="BX153" s="100" t="str">
        <f>IF($BL$5=TRUE,IF(BC153="","",SUM($BC$8:BC153)),"")</f>
        <v/>
      </c>
      <c r="BY153" s="100" t="str">
        <f>IF($BM$5=TRUE,IF(BD153="","",SUM($BD$8:BD153)),"")</f>
        <v/>
      </c>
      <c r="BZ153" s="100" t="str">
        <f>IF($BN$5=TRUE,IF(BE153="","",SUM($BE$8:BE153)),"")</f>
        <v/>
      </c>
    </row>
    <row r="154" spans="46:78" x14ac:dyDescent="0.25">
      <c r="AT154" s="74">
        <v>44733</v>
      </c>
      <c r="AU154" s="72">
        <v>2408.9299999999998</v>
      </c>
      <c r="AW154" s="74"/>
      <c r="BR154" s="133" t="str">
        <f t="shared" si="28"/>
        <v/>
      </c>
      <c r="BS154" s="100" t="str">
        <f>IF($BG$5=TRUE,IF(AX154="","",SUM($AX$8:AX154)),"")</f>
        <v/>
      </c>
      <c r="BT154" s="100" t="str">
        <f>IF($BH$5=TRUE,IF(AY154="","",SUM($AY$8:AY154)),"")</f>
        <v/>
      </c>
      <c r="BU154" s="100" t="str">
        <f>IF($BI$5=TRUE,IF(AZ154="","",SUM($AZ$8:AZ154)),"")</f>
        <v/>
      </c>
      <c r="BV154" s="100" t="str">
        <f>IF($BJ$5=TRUE,IF(BA154="","",SUM($BA$8:BA154)),"")</f>
        <v/>
      </c>
      <c r="BW154" s="100" t="str">
        <f>IF($BK$5=TRUE,IF(BB154="","",SUM($BB$8:BB154)),"")</f>
        <v/>
      </c>
      <c r="BX154" s="100" t="str">
        <f>IF($BL$5=TRUE,IF(BC154="","",SUM($BC$8:BC154)),"")</f>
        <v/>
      </c>
      <c r="BY154" s="100" t="str">
        <f>IF($BM$5=TRUE,IF(BD154="","",SUM($BD$8:BD154)),"")</f>
        <v/>
      </c>
      <c r="BZ154" s="100" t="str">
        <f>IF($BN$5=TRUE,IF(BE154="","",SUM($BE$8:BE154)),"")</f>
        <v/>
      </c>
    </row>
    <row r="155" spans="46:78" x14ac:dyDescent="0.25">
      <c r="AT155" s="74">
        <v>44732</v>
      </c>
      <c r="AU155" s="72">
        <v>2391.0300000000002</v>
      </c>
      <c r="AW155" s="74"/>
      <c r="BR155" s="133" t="str">
        <f t="shared" si="28"/>
        <v/>
      </c>
      <c r="BS155" s="100" t="str">
        <f>IF($BG$5=TRUE,IF(AX155="","",SUM($AX$8:AX155)),"")</f>
        <v/>
      </c>
      <c r="BT155" s="100" t="str">
        <f>IF($BH$5=TRUE,IF(AY155="","",SUM($AY$8:AY155)),"")</f>
        <v/>
      </c>
      <c r="BU155" s="100" t="str">
        <f>IF($BI$5=TRUE,IF(AZ155="","",SUM($AZ$8:AZ155)),"")</f>
        <v/>
      </c>
      <c r="BV155" s="100" t="str">
        <f>IF($BJ$5=TRUE,IF(BA155="","",SUM($BA$8:BA155)),"")</f>
        <v/>
      </c>
      <c r="BW155" s="100" t="str">
        <f>IF($BK$5=TRUE,IF(BB155="","",SUM($BB$8:BB155)),"")</f>
        <v/>
      </c>
      <c r="BX155" s="100" t="str">
        <f>IF($BL$5=TRUE,IF(BC155="","",SUM($BC$8:BC155)),"")</f>
        <v/>
      </c>
      <c r="BY155" s="100" t="str">
        <f>IF($BM$5=TRUE,IF(BD155="","",SUM($BD$8:BD155)),"")</f>
        <v/>
      </c>
      <c r="BZ155" s="100" t="str">
        <f>IF($BN$5=TRUE,IF(BE155="","",SUM($BE$8:BE155)),"")</f>
        <v/>
      </c>
    </row>
    <row r="156" spans="46:78" x14ac:dyDescent="0.25">
      <c r="AT156" s="74">
        <v>44729</v>
      </c>
      <c r="AU156" s="72">
        <v>2440.9299999999998</v>
      </c>
      <c r="AW156" s="74"/>
      <c r="BR156" s="133" t="str">
        <f t="shared" si="28"/>
        <v/>
      </c>
      <c r="BS156" s="100" t="str">
        <f>IF($BG$5=TRUE,IF(AX156="","",SUM($AX$8:AX156)),"")</f>
        <v/>
      </c>
      <c r="BT156" s="100" t="str">
        <f>IF($BH$5=TRUE,IF(AY156="","",SUM($AY$8:AY156)),"")</f>
        <v/>
      </c>
      <c r="BU156" s="100" t="str">
        <f>IF($BI$5=TRUE,IF(AZ156="","",SUM($AZ$8:AZ156)),"")</f>
        <v/>
      </c>
      <c r="BV156" s="100" t="str">
        <f>IF($BJ$5=TRUE,IF(BA156="","",SUM($BA$8:BA156)),"")</f>
        <v/>
      </c>
      <c r="BW156" s="100" t="str">
        <f>IF($BK$5=TRUE,IF(BB156="","",SUM($BB$8:BB156)),"")</f>
        <v/>
      </c>
      <c r="BX156" s="100" t="str">
        <f>IF($BL$5=TRUE,IF(BC156="","",SUM($BC$8:BC156)),"")</f>
        <v/>
      </c>
      <c r="BY156" s="100" t="str">
        <f>IF($BM$5=TRUE,IF(BD156="","",SUM($BD$8:BD156)),"")</f>
        <v/>
      </c>
      <c r="BZ156" s="100" t="str">
        <f>IF($BN$5=TRUE,IF(BE156="","",SUM($BE$8:BE156)),"")</f>
        <v/>
      </c>
    </row>
    <row r="157" spans="46:78" x14ac:dyDescent="0.25">
      <c r="AT157" s="74">
        <v>44728</v>
      </c>
      <c r="AU157" s="72">
        <v>2451.41</v>
      </c>
      <c r="AW157" s="74"/>
      <c r="BR157" s="133" t="str">
        <f t="shared" si="28"/>
        <v/>
      </c>
      <c r="BS157" s="100" t="str">
        <f>IF($BG$5=TRUE,IF(AX157="","",SUM($AX$8:AX157)),"")</f>
        <v/>
      </c>
      <c r="BT157" s="100" t="str">
        <f>IF($BH$5=TRUE,IF(AY157="","",SUM($AY$8:AY157)),"")</f>
        <v/>
      </c>
      <c r="BU157" s="100" t="str">
        <f>IF($BI$5=TRUE,IF(AZ157="","",SUM($AZ$8:AZ157)),"")</f>
        <v/>
      </c>
      <c r="BV157" s="100" t="str">
        <f>IF($BJ$5=TRUE,IF(BA157="","",SUM($BA$8:BA157)),"")</f>
        <v/>
      </c>
      <c r="BW157" s="100" t="str">
        <f>IF($BK$5=TRUE,IF(BB157="","",SUM($BB$8:BB157)),"")</f>
        <v/>
      </c>
      <c r="BX157" s="100" t="str">
        <f>IF($BL$5=TRUE,IF(BC157="","",SUM($BC$8:BC157)),"")</f>
        <v/>
      </c>
      <c r="BY157" s="100" t="str">
        <f>IF($BM$5=TRUE,IF(BD157="","",SUM($BD$8:BD157)),"")</f>
        <v/>
      </c>
      <c r="BZ157" s="100" t="str">
        <f>IF($BN$5=TRUE,IF(BE157="","",SUM($BE$8:BE157)),"")</f>
        <v/>
      </c>
    </row>
    <row r="158" spans="46:78" x14ac:dyDescent="0.25">
      <c r="AT158" s="74">
        <v>44727</v>
      </c>
      <c r="AU158" s="72">
        <v>2447.38</v>
      </c>
      <c r="AW158" s="74"/>
      <c r="BR158" s="133" t="str">
        <f t="shared" si="28"/>
        <v/>
      </c>
      <c r="BS158" s="100" t="str">
        <f>IF($BG$5=TRUE,IF(AX158="","",SUM($AX$8:AX158)),"")</f>
        <v/>
      </c>
      <c r="BT158" s="100" t="str">
        <f>IF($BH$5=TRUE,IF(AY158="","",SUM($AY$8:AY158)),"")</f>
        <v/>
      </c>
      <c r="BU158" s="100" t="str">
        <f>IF($BI$5=TRUE,IF(AZ158="","",SUM($AZ$8:AZ158)),"")</f>
        <v/>
      </c>
      <c r="BV158" s="100" t="str">
        <f>IF($BJ$5=TRUE,IF(BA158="","",SUM($BA$8:BA158)),"")</f>
        <v/>
      </c>
      <c r="BW158" s="100" t="str">
        <f>IF($BK$5=TRUE,IF(BB158="","",SUM($BB$8:BB158)),"")</f>
        <v/>
      </c>
      <c r="BX158" s="100" t="str">
        <f>IF($BL$5=TRUE,IF(BC158="","",SUM($BC$8:BC158)),"")</f>
        <v/>
      </c>
      <c r="BY158" s="100" t="str">
        <f>IF($BM$5=TRUE,IF(BD158="","",SUM($BD$8:BD158)),"")</f>
        <v/>
      </c>
      <c r="BZ158" s="100" t="str">
        <f>IF($BN$5=TRUE,IF(BE158="","",SUM($BE$8:BE158)),"")</f>
        <v/>
      </c>
    </row>
    <row r="159" spans="46:78" x14ac:dyDescent="0.25">
      <c r="AT159" s="74">
        <v>44726</v>
      </c>
      <c r="AU159" s="72">
        <v>2492.9699999999998</v>
      </c>
      <c r="AW159" s="74"/>
      <c r="BR159" s="133" t="str">
        <f t="shared" si="28"/>
        <v/>
      </c>
      <c r="BS159" s="100" t="str">
        <f>IF($BG$5=TRUE,IF(AX159="","",SUM($AX$8:AX159)),"")</f>
        <v/>
      </c>
      <c r="BT159" s="100" t="str">
        <f>IF($BH$5=TRUE,IF(AY159="","",SUM($AY$8:AY159)),"")</f>
        <v/>
      </c>
      <c r="BU159" s="100" t="str">
        <f>IF($BI$5=TRUE,IF(AZ159="","",SUM($AZ$8:AZ159)),"")</f>
        <v/>
      </c>
      <c r="BV159" s="100" t="str">
        <f>IF($BJ$5=TRUE,IF(BA159="","",SUM($BA$8:BA159)),"")</f>
        <v/>
      </c>
      <c r="BW159" s="100" t="str">
        <f>IF($BK$5=TRUE,IF(BB159="","",SUM($BB$8:BB159)),"")</f>
        <v/>
      </c>
      <c r="BX159" s="100" t="str">
        <f>IF($BL$5=TRUE,IF(BC159="","",SUM($BC$8:BC159)),"")</f>
        <v/>
      </c>
      <c r="BY159" s="100" t="str">
        <f>IF($BM$5=TRUE,IF(BD159="","",SUM($BD$8:BD159)),"")</f>
        <v/>
      </c>
      <c r="BZ159" s="100" t="str">
        <f>IF($BN$5=TRUE,IF(BE159="","",SUM($BE$8:BE159)),"")</f>
        <v/>
      </c>
    </row>
    <row r="160" spans="46:78" x14ac:dyDescent="0.25">
      <c r="AT160" s="74">
        <v>44725</v>
      </c>
      <c r="AU160" s="72">
        <v>2504.5100000000002</v>
      </c>
      <c r="AW160" s="74"/>
      <c r="BR160" s="133" t="str">
        <f t="shared" si="28"/>
        <v/>
      </c>
      <c r="BS160" s="100" t="str">
        <f>IF($BG$5=TRUE,IF(AX160="","",SUM($AX$8:AX160)),"")</f>
        <v/>
      </c>
      <c r="BT160" s="100" t="str">
        <f>IF($BH$5=TRUE,IF(AY160="","",SUM($AY$8:AY160)),"")</f>
        <v/>
      </c>
      <c r="BU160" s="100" t="str">
        <f>IF($BI$5=TRUE,IF(AZ160="","",SUM($AZ$8:AZ160)),"")</f>
        <v/>
      </c>
      <c r="BV160" s="100" t="str">
        <f>IF($BJ$5=TRUE,IF(BA160="","",SUM($BA$8:BA160)),"")</f>
        <v/>
      </c>
      <c r="BW160" s="100" t="str">
        <f>IF($BK$5=TRUE,IF(BB160="","",SUM($BB$8:BB160)),"")</f>
        <v/>
      </c>
      <c r="BX160" s="100" t="str">
        <f>IF($BL$5=TRUE,IF(BC160="","",SUM($BC$8:BC160)),"")</f>
        <v/>
      </c>
      <c r="BY160" s="100" t="str">
        <f>IF($BM$5=TRUE,IF(BD160="","",SUM($BD$8:BD160)),"")</f>
        <v/>
      </c>
      <c r="BZ160" s="100" t="str">
        <f>IF($BN$5=TRUE,IF(BE160="","",SUM($BE$8:BE160)),"")</f>
        <v/>
      </c>
    </row>
    <row r="161" spans="46:78" x14ac:dyDescent="0.25">
      <c r="AT161" s="74">
        <v>44722</v>
      </c>
      <c r="AU161" s="72">
        <v>2595.87</v>
      </c>
      <c r="AW161" s="74"/>
      <c r="BR161" s="133" t="str">
        <f t="shared" si="28"/>
        <v/>
      </c>
      <c r="BS161" s="100" t="str">
        <f>IF($BG$5=TRUE,IF(AX161="","",SUM($AX$8:AX161)),"")</f>
        <v/>
      </c>
      <c r="BT161" s="100" t="str">
        <f>IF($BH$5=TRUE,IF(AY161="","",SUM($AY$8:AY161)),"")</f>
        <v/>
      </c>
      <c r="BU161" s="100" t="str">
        <f>IF($BI$5=TRUE,IF(AZ161="","",SUM($AZ$8:AZ161)),"")</f>
        <v/>
      </c>
      <c r="BV161" s="100" t="str">
        <f>IF($BJ$5=TRUE,IF(BA161="","",SUM($BA$8:BA161)),"")</f>
        <v/>
      </c>
      <c r="BW161" s="100" t="str">
        <f>IF($BK$5=TRUE,IF(BB161="","",SUM($BB$8:BB161)),"")</f>
        <v/>
      </c>
      <c r="BX161" s="100" t="str">
        <f>IF($BL$5=TRUE,IF(BC161="","",SUM($BC$8:BC161)),"")</f>
        <v/>
      </c>
      <c r="BY161" s="100" t="str">
        <f>IF($BM$5=TRUE,IF(BD161="","",SUM($BD$8:BD161)),"")</f>
        <v/>
      </c>
      <c r="BZ161" s="100" t="str">
        <f>IF($BN$5=TRUE,IF(BE161="","",SUM($BE$8:BE161)),"")</f>
        <v/>
      </c>
    </row>
    <row r="162" spans="46:78" x14ac:dyDescent="0.25">
      <c r="AT162" s="74">
        <v>44721</v>
      </c>
      <c r="AU162" s="72">
        <v>2625.44</v>
      </c>
      <c r="AW162" s="74"/>
      <c r="BR162" s="133" t="str">
        <f t="shared" si="28"/>
        <v/>
      </c>
      <c r="BS162" s="100" t="str">
        <f>IF($BG$5=TRUE,IF(AX162="","",SUM($AX$8:AX162)),"")</f>
        <v/>
      </c>
      <c r="BT162" s="100" t="str">
        <f>IF($BH$5=TRUE,IF(AY162="","",SUM($AY$8:AY162)),"")</f>
        <v/>
      </c>
      <c r="BU162" s="100" t="str">
        <f>IF($BI$5=TRUE,IF(AZ162="","",SUM($AZ$8:AZ162)),"")</f>
        <v/>
      </c>
      <c r="BV162" s="100" t="str">
        <f>IF($BJ$5=TRUE,IF(BA162="","",SUM($BA$8:BA162)),"")</f>
        <v/>
      </c>
      <c r="BW162" s="100" t="str">
        <f>IF($BK$5=TRUE,IF(BB162="","",SUM($BB$8:BB162)),"")</f>
        <v/>
      </c>
      <c r="BX162" s="100" t="str">
        <f>IF($BL$5=TRUE,IF(BC162="","",SUM($BC$8:BC162)),"")</f>
        <v/>
      </c>
      <c r="BY162" s="100" t="str">
        <f>IF($BM$5=TRUE,IF(BD162="","",SUM($BD$8:BD162)),"")</f>
        <v/>
      </c>
      <c r="BZ162" s="100" t="str">
        <f>IF($BN$5=TRUE,IF(BE162="","",SUM($BE$8:BE162)),"")</f>
        <v/>
      </c>
    </row>
    <row r="163" spans="46:78" x14ac:dyDescent="0.25">
      <c r="AT163" s="74">
        <v>44720</v>
      </c>
      <c r="AU163" s="72">
        <v>2626.15</v>
      </c>
      <c r="AW163" s="74"/>
      <c r="BR163" s="133" t="str">
        <f t="shared" si="28"/>
        <v/>
      </c>
      <c r="BS163" s="100" t="str">
        <f>IF($BG$5=TRUE,IF(AX163="","",SUM($AX$8:AX163)),"")</f>
        <v/>
      </c>
      <c r="BT163" s="100" t="str">
        <f>IF($BH$5=TRUE,IF(AY163="","",SUM($AY$8:AY163)),"")</f>
        <v/>
      </c>
      <c r="BU163" s="100" t="str">
        <f>IF($BI$5=TRUE,IF(AZ163="","",SUM($AZ$8:AZ163)),"")</f>
        <v/>
      </c>
      <c r="BV163" s="100" t="str">
        <f>IF($BJ$5=TRUE,IF(BA163="","",SUM($BA$8:BA163)),"")</f>
        <v/>
      </c>
      <c r="BW163" s="100" t="str">
        <f>IF($BK$5=TRUE,IF(BB163="","",SUM($BB$8:BB163)),"")</f>
        <v/>
      </c>
      <c r="BX163" s="100" t="str">
        <f>IF($BL$5=TRUE,IF(BC163="","",SUM($BC$8:BC163)),"")</f>
        <v/>
      </c>
      <c r="BY163" s="100" t="str">
        <f>IF($BM$5=TRUE,IF(BD163="","",SUM($BD$8:BD163)),"")</f>
        <v/>
      </c>
      <c r="BZ163" s="100" t="str">
        <f>IF($BN$5=TRUE,IF(BE163="","",SUM($BE$8:BE163)),"")</f>
        <v/>
      </c>
    </row>
    <row r="164" spans="46:78" x14ac:dyDescent="0.25">
      <c r="AT164" s="74">
        <v>44719</v>
      </c>
      <c r="AU164" s="72">
        <v>2626.34</v>
      </c>
      <c r="AW164" s="74"/>
      <c r="BR164" s="133" t="str">
        <f t="shared" si="28"/>
        <v/>
      </c>
      <c r="BS164" s="100" t="str">
        <f>IF($BG$5=TRUE,IF(AX164="","",SUM($AX$8:AX164)),"")</f>
        <v/>
      </c>
      <c r="BT164" s="100" t="str">
        <f>IF($BH$5=TRUE,IF(AY164="","",SUM($AY$8:AY164)),"")</f>
        <v/>
      </c>
      <c r="BU164" s="100" t="str">
        <f>IF($BI$5=TRUE,IF(AZ164="","",SUM($AZ$8:AZ164)),"")</f>
        <v/>
      </c>
      <c r="BV164" s="100" t="str">
        <f>IF($BJ$5=TRUE,IF(BA164="","",SUM($BA$8:BA164)),"")</f>
        <v/>
      </c>
      <c r="BW164" s="100" t="str">
        <f>IF($BK$5=TRUE,IF(BB164="","",SUM($BB$8:BB164)),"")</f>
        <v/>
      </c>
      <c r="BX164" s="100" t="str">
        <f>IF($BL$5=TRUE,IF(BC164="","",SUM($BC$8:BC164)),"")</f>
        <v/>
      </c>
      <c r="BY164" s="100" t="str">
        <f>IF($BM$5=TRUE,IF(BD164="","",SUM($BD$8:BD164)),"")</f>
        <v/>
      </c>
      <c r="BZ164" s="100" t="str">
        <f>IF($BN$5=TRUE,IF(BE164="","",SUM($BE$8:BE164)),"")</f>
        <v/>
      </c>
    </row>
    <row r="165" spans="46:78" x14ac:dyDescent="0.25">
      <c r="AT165" s="74">
        <v>44715</v>
      </c>
      <c r="AU165" s="72">
        <v>2670.65</v>
      </c>
      <c r="AW165" s="74"/>
      <c r="BR165" s="133" t="str">
        <f t="shared" si="28"/>
        <v/>
      </c>
      <c r="BS165" s="100" t="str">
        <f>IF($BG$5=TRUE,IF(AX165="","",SUM($AX$8:AX165)),"")</f>
        <v/>
      </c>
      <c r="BT165" s="100" t="str">
        <f>IF($BH$5=TRUE,IF(AY165="","",SUM($AY$8:AY165)),"")</f>
        <v/>
      </c>
      <c r="BU165" s="100" t="str">
        <f>IF($BI$5=TRUE,IF(AZ165="","",SUM($AZ$8:AZ165)),"")</f>
        <v/>
      </c>
      <c r="BV165" s="100" t="str">
        <f>IF($BJ$5=TRUE,IF(BA165="","",SUM($BA$8:BA165)),"")</f>
        <v/>
      </c>
      <c r="BW165" s="100" t="str">
        <f>IF($BK$5=TRUE,IF(BB165="","",SUM($BB$8:BB165)),"")</f>
        <v/>
      </c>
      <c r="BX165" s="100" t="str">
        <f>IF($BL$5=TRUE,IF(BC165="","",SUM($BC$8:BC165)),"")</f>
        <v/>
      </c>
      <c r="BY165" s="100" t="str">
        <f>IF($BM$5=TRUE,IF(BD165="","",SUM($BD$8:BD165)),"")</f>
        <v/>
      </c>
      <c r="BZ165" s="100" t="str">
        <f>IF($BN$5=TRUE,IF(BE165="","",SUM($BE$8:BE165)),"")</f>
        <v/>
      </c>
    </row>
    <row r="166" spans="46:78" x14ac:dyDescent="0.25">
      <c r="AT166" s="74">
        <v>44714</v>
      </c>
      <c r="AU166" s="72">
        <v>2658.99</v>
      </c>
      <c r="AW166" s="74"/>
      <c r="BR166" s="133" t="str">
        <f t="shared" si="28"/>
        <v/>
      </c>
      <c r="BS166" s="100" t="str">
        <f>IF($BG$5=TRUE,IF(AX166="","",SUM($AX$8:AX166)),"")</f>
        <v/>
      </c>
      <c r="BT166" s="100" t="str">
        <f>IF($BH$5=TRUE,IF(AY166="","",SUM($AY$8:AY166)),"")</f>
        <v/>
      </c>
      <c r="BU166" s="100" t="str">
        <f>IF($BI$5=TRUE,IF(AZ166="","",SUM($AZ$8:AZ166)),"")</f>
        <v/>
      </c>
      <c r="BV166" s="100" t="str">
        <f>IF($BJ$5=TRUE,IF(BA166="","",SUM($BA$8:BA166)),"")</f>
        <v/>
      </c>
      <c r="BW166" s="100" t="str">
        <f>IF($BK$5=TRUE,IF(BB166="","",SUM($BB$8:BB166)),"")</f>
        <v/>
      </c>
      <c r="BX166" s="100" t="str">
        <f>IF($BL$5=TRUE,IF(BC166="","",SUM($BC$8:BC166)),"")</f>
        <v/>
      </c>
      <c r="BY166" s="100" t="str">
        <f>IF($BM$5=TRUE,IF(BD166="","",SUM($BD$8:BD166)),"")</f>
        <v/>
      </c>
      <c r="BZ166" s="100" t="str">
        <f>IF($BN$5=TRUE,IF(BE166="","",SUM($BE$8:BE166)),"")</f>
        <v/>
      </c>
    </row>
    <row r="167" spans="46:78" x14ac:dyDescent="0.25">
      <c r="AT167" s="74">
        <v>44712</v>
      </c>
      <c r="AU167" s="72">
        <v>2685.9</v>
      </c>
      <c r="AW167" s="74"/>
      <c r="BR167" s="133" t="str">
        <f t="shared" si="28"/>
        <v/>
      </c>
      <c r="BS167" s="100" t="str">
        <f>IF($BG$5=TRUE,IF(AX167="","",SUM($AX$8:AX167)),"")</f>
        <v/>
      </c>
      <c r="BT167" s="100" t="str">
        <f>IF($BH$5=TRUE,IF(AY167="","",SUM($AY$8:AY167)),"")</f>
        <v/>
      </c>
      <c r="BU167" s="100" t="str">
        <f>IF($BI$5=TRUE,IF(AZ167="","",SUM($AZ$8:AZ167)),"")</f>
        <v/>
      </c>
      <c r="BV167" s="100" t="str">
        <f>IF($BJ$5=TRUE,IF(BA167="","",SUM($BA$8:BA167)),"")</f>
        <v/>
      </c>
      <c r="BW167" s="100" t="str">
        <f>IF($BK$5=TRUE,IF(BB167="","",SUM($BB$8:BB167)),"")</f>
        <v/>
      </c>
      <c r="BX167" s="100" t="str">
        <f>IF($BL$5=TRUE,IF(BC167="","",SUM($BC$8:BC167)),"")</f>
        <v/>
      </c>
      <c r="BY167" s="100" t="str">
        <f>IF($BM$5=TRUE,IF(BD167="","",SUM($BD$8:BD167)),"")</f>
        <v/>
      </c>
      <c r="BZ167" s="100" t="str">
        <f>IF($BN$5=TRUE,IF(BE167="","",SUM($BE$8:BE167)),"")</f>
        <v/>
      </c>
    </row>
    <row r="168" spans="46:78" x14ac:dyDescent="0.25">
      <c r="AT168" s="74">
        <v>44711</v>
      </c>
      <c r="AU168" s="72">
        <v>2669.66</v>
      </c>
      <c r="AW168" s="74"/>
      <c r="BR168" s="133" t="str">
        <f t="shared" si="28"/>
        <v/>
      </c>
      <c r="BS168" s="100" t="str">
        <f>IF($BG$5=TRUE,IF(AX168="","",SUM($AX$8:AX168)),"")</f>
        <v/>
      </c>
      <c r="BT168" s="100" t="str">
        <f>IF($BH$5=TRUE,IF(AY168="","",SUM($AY$8:AY168)),"")</f>
        <v/>
      </c>
      <c r="BU168" s="100" t="str">
        <f>IF($BI$5=TRUE,IF(AZ168="","",SUM($AZ$8:AZ168)),"")</f>
        <v/>
      </c>
      <c r="BV168" s="100" t="str">
        <f>IF($BJ$5=TRUE,IF(BA168="","",SUM($BA$8:BA168)),"")</f>
        <v/>
      </c>
      <c r="BW168" s="100" t="str">
        <f>IF($BK$5=TRUE,IF(BB168="","",SUM($BB$8:BB168)),"")</f>
        <v/>
      </c>
      <c r="BX168" s="100" t="str">
        <f>IF($BL$5=TRUE,IF(BC168="","",SUM($BC$8:BC168)),"")</f>
        <v/>
      </c>
      <c r="BY168" s="100" t="str">
        <f>IF($BM$5=TRUE,IF(BD168="","",SUM($BD$8:BD168)),"")</f>
        <v/>
      </c>
      <c r="BZ168" s="100" t="str">
        <f>IF($BN$5=TRUE,IF(BE168="","",SUM($BE$8:BE168)),"")</f>
        <v/>
      </c>
    </row>
    <row r="169" spans="46:78" x14ac:dyDescent="0.25">
      <c r="AT169" s="74">
        <v>44708</v>
      </c>
      <c r="AU169" s="72">
        <v>2638.05</v>
      </c>
      <c r="AW169" s="74"/>
      <c r="BR169" s="133" t="str">
        <f t="shared" si="28"/>
        <v/>
      </c>
      <c r="BS169" s="100" t="str">
        <f>IF($BG$5=TRUE,IF(AX169="","",SUM($AX$8:AX169)),"")</f>
        <v/>
      </c>
      <c r="BT169" s="100" t="str">
        <f>IF($BH$5=TRUE,IF(AY169="","",SUM($AY$8:AY169)),"")</f>
        <v/>
      </c>
      <c r="BU169" s="100" t="str">
        <f>IF($BI$5=TRUE,IF(AZ169="","",SUM($AZ$8:AZ169)),"")</f>
        <v/>
      </c>
      <c r="BV169" s="100" t="str">
        <f>IF($BJ$5=TRUE,IF(BA169="","",SUM($BA$8:BA169)),"")</f>
        <v/>
      </c>
      <c r="BW169" s="100" t="str">
        <f>IF($BK$5=TRUE,IF(BB169="","",SUM($BB$8:BB169)),"")</f>
        <v/>
      </c>
      <c r="BX169" s="100" t="str">
        <f>IF($BL$5=TRUE,IF(BC169="","",SUM($BC$8:BC169)),"")</f>
        <v/>
      </c>
      <c r="BY169" s="100" t="str">
        <f>IF($BM$5=TRUE,IF(BD169="","",SUM($BD$8:BD169)),"")</f>
        <v/>
      </c>
      <c r="BZ169" s="100" t="str">
        <f>IF($BN$5=TRUE,IF(BE169="","",SUM($BE$8:BE169)),"")</f>
        <v/>
      </c>
    </row>
    <row r="170" spans="46:78" x14ac:dyDescent="0.25">
      <c r="AT170" s="74">
        <v>44707</v>
      </c>
      <c r="AU170" s="72">
        <v>2612.4499999999998</v>
      </c>
      <c r="AW170" s="74"/>
      <c r="BR170" s="133" t="str">
        <f t="shared" si="28"/>
        <v/>
      </c>
      <c r="BS170" s="100" t="str">
        <f>IF($BG$5=TRUE,IF(AX170="","",SUM($AX$8:AX170)),"")</f>
        <v/>
      </c>
      <c r="BT170" s="100" t="str">
        <f>IF($BH$5=TRUE,IF(AY170="","",SUM($AY$8:AY170)),"")</f>
        <v/>
      </c>
      <c r="BU170" s="100" t="str">
        <f>IF($BI$5=TRUE,IF(AZ170="","",SUM($AZ$8:AZ170)),"")</f>
        <v/>
      </c>
      <c r="BV170" s="100" t="str">
        <f>IF($BJ$5=TRUE,IF(BA170="","",SUM($BA$8:BA170)),"")</f>
        <v/>
      </c>
      <c r="BW170" s="100" t="str">
        <f>IF($BK$5=TRUE,IF(BB170="","",SUM($BB$8:BB170)),"")</f>
        <v/>
      </c>
      <c r="BX170" s="100" t="str">
        <f>IF($BL$5=TRUE,IF(BC170="","",SUM($BC$8:BC170)),"")</f>
        <v/>
      </c>
      <c r="BY170" s="100" t="str">
        <f>IF($BM$5=TRUE,IF(BD170="","",SUM($BD$8:BD170)),"")</f>
        <v/>
      </c>
      <c r="BZ170" s="100" t="str">
        <f>IF($BN$5=TRUE,IF(BE170="","",SUM($BE$8:BE170)),"")</f>
        <v/>
      </c>
    </row>
    <row r="171" spans="46:78" x14ac:dyDescent="0.25">
      <c r="AT171" s="74">
        <v>44706</v>
      </c>
      <c r="AU171" s="72">
        <v>2617.2199999999998</v>
      </c>
      <c r="AW171" s="74"/>
      <c r="BR171" s="133" t="str">
        <f t="shared" si="28"/>
        <v/>
      </c>
      <c r="BS171" s="100" t="str">
        <f>IF($BG$5=TRUE,IF(AX171="","",SUM($AX$8:AX171)),"")</f>
        <v/>
      </c>
      <c r="BT171" s="100" t="str">
        <f>IF($BH$5=TRUE,IF(AY171="","",SUM($AY$8:AY171)),"")</f>
        <v/>
      </c>
      <c r="BU171" s="100" t="str">
        <f>IF($BI$5=TRUE,IF(AZ171="","",SUM($AZ$8:AZ171)),"")</f>
        <v/>
      </c>
      <c r="BV171" s="100" t="str">
        <f>IF($BJ$5=TRUE,IF(BA171="","",SUM($BA$8:BA171)),"")</f>
        <v/>
      </c>
      <c r="BW171" s="100" t="str">
        <f>IF($BK$5=TRUE,IF(BB171="","",SUM($BB$8:BB171)),"")</f>
        <v/>
      </c>
      <c r="BX171" s="100" t="str">
        <f>IF($BL$5=TRUE,IF(BC171="","",SUM($BC$8:BC171)),"")</f>
        <v/>
      </c>
      <c r="BY171" s="100" t="str">
        <f>IF($BM$5=TRUE,IF(BD171="","",SUM($BD$8:BD171)),"")</f>
        <v/>
      </c>
      <c r="BZ171" s="100" t="str">
        <f>IF($BN$5=TRUE,IF(BE171="","",SUM($BE$8:BE171)),"")</f>
        <v/>
      </c>
    </row>
    <row r="172" spans="46:78" x14ac:dyDescent="0.25">
      <c r="AT172" s="74">
        <v>44705</v>
      </c>
      <c r="AU172" s="72">
        <v>2605.87</v>
      </c>
      <c r="AW172" s="74"/>
      <c r="BR172" s="133" t="str">
        <f t="shared" si="28"/>
        <v/>
      </c>
      <c r="BS172" s="100" t="str">
        <f>IF($BG$5=TRUE,IF(AX172="","",SUM($AX$8:AX172)),"")</f>
        <v/>
      </c>
      <c r="BT172" s="100" t="str">
        <f>IF($BH$5=TRUE,IF(AY172="","",SUM($AY$8:AY172)),"")</f>
        <v/>
      </c>
      <c r="BU172" s="100" t="str">
        <f>IF($BI$5=TRUE,IF(AZ172="","",SUM($AZ$8:AZ172)),"")</f>
        <v/>
      </c>
      <c r="BV172" s="100" t="str">
        <f>IF($BJ$5=TRUE,IF(BA172="","",SUM($BA$8:BA172)),"")</f>
        <v/>
      </c>
      <c r="BW172" s="100" t="str">
        <f>IF($BK$5=TRUE,IF(BB172="","",SUM($BB$8:BB172)),"")</f>
        <v/>
      </c>
      <c r="BX172" s="100" t="str">
        <f>IF($BL$5=TRUE,IF(BC172="","",SUM($BC$8:BC172)),"")</f>
        <v/>
      </c>
      <c r="BY172" s="100" t="str">
        <f>IF($BM$5=TRUE,IF(BD172="","",SUM($BD$8:BD172)),"")</f>
        <v/>
      </c>
      <c r="BZ172" s="100" t="str">
        <f>IF($BN$5=TRUE,IF(BE172="","",SUM($BE$8:BE172)),"")</f>
        <v/>
      </c>
    </row>
    <row r="173" spans="46:78" x14ac:dyDescent="0.25">
      <c r="AT173" s="74">
        <v>44704</v>
      </c>
      <c r="AU173" s="72">
        <v>2647.38</v>
      </c>
      <c r="AW173" s="74"/>
      <c r="BR173" s="133" t="str">
        <f t="shared" si="28"/>
        <v/>
      </c>
      <c r="BS173" s="100" t="str">
        <f>IF($BG$5=TRUE,IF(AX173="","",SUM($AX$8:AX173)),"")</f>
        <v/>
      </c>
      <c r="BT173" s="100" t="str">
        <f>IF($BH$5=TRUE,IF(AY173="","",SUM($AY$8:AY173)),"")</f>
        <v/>
      </c>
      <c r="BU173" s="100" t="str">
        <f>IF($BI$5=TRUE,IF(AZ173="","",SUM($AZ$8:AZ173)),"")</f>
        <v/>
      </c>
      <c r="BV173" s="100" t="str">
        <f>IF($BJ$5=TRUE,IF(BA173="","",SUM($BA$8:BA173)),"")</f>
        <v/>
      </c>
      <c r="BW173" s="100" t="str">
        <f>IF($BK$5=TRUE,IF(BB173="","",SUM($BB$8:BB173)),"")</f>
        <v/>
      </c>
      <c r="BX173" s="100" t="str">
        <f>IF($BL$5=TRUE,IF(BC173="","",SUM($BC$8:BC173)),"")</f>
        <v/>
      </c>
      <c r="BY173" s="100" t="str">
        <f>IF($BM$5=TRUE,IF(BD173="","",SUM($BD$8:BD173)),"")</f>
        <v/>
      </c>
      <c r="BZ173" s="100" t="str">
        <f>IF($BN$5=TRUE,IF(BE173="","",SUM($BE$8:BE173)),"")</f>
        <v/>
      </c>
    </row>
    <row r="174" spans="46:78" x14ac:dyDescent="0.25">
      <c r="AT174" s="74">
        <v>44701</v>
      </c>
      <c r="AU174" s="72">
        <v>2639.29</v>
      </c>
      <c r="AW174" s="74"/>
      <c r="BR174" s="133" t="str">
        <f t="shared" si="28"/>
        <v/>
      </c>
      <c r="BS174" s="100" t="str">
        <f>IF($BG$5=TRUE,IF(AX174="","",SUM($AX$8:AX174)),"")</f>
        <v/>
      </c>
      <c r="BT174" s="100" t="str">
        <f>IF($BH$5=TRUE,IF(AY174="","",SUM($AY$8:AY174)),"")</f>
        <v/>
      </c>
      <c r="BU174" s="100" t="str">
        <f>IF($BI$5=TRUE,IF(AZ174="","",SUM($AZ$8:AZ174)),"")</f>
        <v/>
      </c>
      <c r="BV174" s="100" t="str">
        <f>IF($BJ$5=TRUE,IF(BA174="","",SUM($BA$8:BA174)),"")</f>
        <v/>
      </c>
      <c r="BW174" s="100" t="str">
        <f>IF($BK$5=TRUE,IF(BB174="","",SUM($BB$8:BB174)),"")</f>
        <v/>
      </c>
      <c r="BX174" s="100" t="str">
        <f>IF($BL$5=TRUE,IF(BC174="","",SUM($BC$8:BC174)),"")</f>
        <v/>
      </c>
      <c r="BY174" s="100" t="str">
        <f>IF($BM$5=TRUE,IF(BD174="","",SUM($BD$8:BD174)),"")</f>
        <v/>
      </c>
      <c r="BZ174" s="100" t="str">
        <f>IF($BN$5=TRUE,IF(BE174="","",SUM($BE$8:BE174)),"")</f>
        <v/>
      </c>
    </row>
    <row r="175" spans="46:78" x14ac:dyDescent="0.25">
      <c r="AT175" s="74">
        <v>44700</v>
      </c>
      <c r="AU175" s="72">
        <v>2592.34</v>
      </c>
      <c r="AW175" s="74"/>
      <c r="BR175" s="133" t="str">
        <f t="shared" si="28"/>
        <v/>
      </c>
      <c r="BS175" s="100" t="str">
        <f>IF($BG$5=TRUE,IF(AX175="","",SUM($AX$8:AX175)),"")</f>
        <v/>
      </c>
      <c r="BT175" s="100" t="str">
        <f>IF($BH$5=TRUE,IF(AY175="","",SUM($AY$8:AY175)),"")</f>
        <v/>
      </c>
      <c r="BU175" s="100" t="str">
        <f>IF($BI$5=TRUE,IF(AZ175="","",SUM($AZ$8:AZ175)),"")</f>
        <v/>
      </c>
      <c r="BV175" s="100" t="str">
        <f>IF($BJ$5=TRUE,IF(BA175="","",SUM($BA$8:BA175)),"")</f>
        <v/>
      </c>
      <c r="BW175" s="100" t="str">
        <f>IF($BK$5=TRUE,IF(BB175="","",SUM($BB$8:BB175)),"")</f>
        <v/>
      </c>
      <c r="BX175" s="100" t="str">
        <f>IF($BL$5=TRUE,IF(BC175="","",SUM($BC$8:BC175)),"")</f>
        <v/>
      </c>
      <c r="BY175" s="100" t="str">
        <f>IF($BM$5=TRUE,IF(BD175="","",SUM($BD$8:BD175)),"")</f>
        <v/>
      </c>
      <c r="BZ175" s="100" t="str">
        <f>IF($BN$5=TRUE,IF(BE175="","",SUM($BE$8:BE175)),"")</f>
        <v/>
      </c>
    </row>
    <row r="176" spans="46:78" x14ac:dyDescent="0.25">
      <c r="AT176" s="74">
        <v>44699</v>
      </c>
      <c r="AU176" s="72">
        <v>2625.98</v>
      </c>
      <c r="AW176" s="74"/>
      <c r="BR176" s="133" t="str">
        <f t="shared" si="28"/>
        <v/>
      </c>
      <c r="BS176" s="100" t="str">
        <f>IF($BG$5=TRUE,IF(AX176="","",SUM($AX$8:AX176)),"")</f>
        <v/>
      </c>
      <c r="BT176" s="100" t="str">
        <f>IF($BH$5=TRUE,IF(AY176="","",SUM($AY$8:AY176)),"")</f>
        <v/>
      </c>
      <c r="BU176" s="100" t="str">
        <f>IF($BI$5=TRUE,IF(AZ176="","",SUM($AZ$8:AZ176)),"")</f>
        <v/>
      </c>
      <c r="BV176" s="100" t="str">
        <f>IF($BJ$5=TRUE,IF(BA176="","",SUM($BA$8:BA176)),"")</f>
        <v/>
      </c>
      <c r="BW176" s="100" t="str">
        <f>IF($BK$5=TRUE,IF(BB176="","",SUM($BB$8:BB176)),"")</f>
        <v/>
      </c>
      <c r="BX176" s="100" t="str">
        <f>IF($BL$5=TRUE,IF(BC176="","",SUM($BC$8:BC176)),"")</f>
        <v/>
      </c>
      <c r="BY176" s="100" t="str">
        <f>IF($BM$5=TRUE,IF(BD176="","",SUM($BD$8:BD176)),"")</f>
        <v/>
      </c>
      <c r="BZ176" s="100" t="str">
        <f>IF($BN$5=TRUE,IF(BE176="","",SUM($BE$8:BE176)),"")</f>
        <v/>
      </c>
    </row>
    <row r="177" spans="46:78" x14ac:dyDescent="0.25">
      <c r="AT177" s="74">
        <v>44698</v>
      </c>
      <c r="AU177" s="72">
        <v>2620.44</v>
      </c>
      <c r="AW177" s="74"/>
      <c r="BR177" s="133" t="str">
        <f t="shared" si="28"/>
        <v/>
      </c>
      <c r="BS177" s="100" t="str">
        <f>IF($BG$5=TRUE,IF(AX177="","",SUM($AX$8:AX177)),"")</f>
        <v/>
      </c>
      <c r="BT177" s="100" t="str">
        <f>IF($BH$5=TRUE,IF(AY177="","",SUM($AY$8:AY177)),"")</f>
        <v/>
      </c>
      <c r="BU177" s="100" t="str">
        <f>IF($BI$5=TRUE,IF(AZ177="","",SUM($AZ$8:AZ177)),"")</f>
        <v/>
      </c>
      <c r="BV177" s="100" t="str">
        <f>IF($BJ$5=TRUE,IF(BA177="","",SUM($BA$8:BA177)),"")</f>
        <v/>
      </c>
      <c r="BW177" s="100" t="str">
        <f>IF($BK$5=TRUE,IF(BB177="","",SUM($BB$8:BB177)),"")</f>
        <v/>
      </c>
      <c r="BX177" s="100" t="str">
        <f>IF($BL$5=TRUE,IF(BC177="","",SUM($BC$8:BC177)),"")</f>
        <v/>
      </c>
      <c r="BY177" s="100" t="str">
        <f>IF($BM$5=TRUE,IF(BD177="","",SUM($BD$8:BD177)),"")</f>
        <v/>
      </c>
      <c r="BZ177" s="100" t="str">
        <f>IF($BN$5=TRUE,IF(BE177="","",SUM($BE$8:BE177)),"")</f>
        <v/>
      </c>
    </row>
    <row r="178" spans="46:78" x14ac:dyDescent="0.25">
      <c r="AT178" s="74">
        <v>44697</v>
      </c>
      <c r="AU178" s="72">
        <v>2596.58</v>
      </c>
      <c r="AW178" s="74"/>
      <c r="BR178" s="133" t="str">
        <f t="shared" si="28"/>
        <v/>
      </c>
      <c r="BS178" s="100" t="str">
        <f>IF($BG$5=TRUE,IF(AX178="","",SUM($AX$8:AX178)),"")</f>
        <v/>
      </c>
      <c r="BT178" s="100" t="str">
        <f>IF($BH$5=TRUE,IF(AY178="","",SUM($AY$8:AY178)),"")</f>
        <v/>
      </c>
      <c r="BU178" s="100" t="str">
        <f>IF($BI$5=TRUE,IF(AZ178="","",SUM($AZ$8:AZ178)),"")</f>
        <v/>
      </c>
      <c r="BV178" s="100" t="str">
        <f>IF($BJ$5=TRUE,IF(BA178="","",SUM($BA$8:BA178)),"")</f>
        <v/>
      </c>
      <c r="BW178" s="100" t="str">
        <f>IF($BK$5=TRUE,IF(BB178="","",SUM($BB$8:BB178)),"")</f>
        <v/>
      </c>
      <c r="BX178" s="100" t="str">
        <f>IF($BL$5=TRUE,IF(BC178="","",SUM($BC$8:BC178)),"")</f>
        <v/>
      </c>
      <c r="BY178" s="100" t="str">
        <f>IF($BM$5=TRUE,IF(BD178="","",SUM($BD$8:BD178)),"")</f>
        <v/>
      </c>
      <c r="BZ178" s="100" t="str">
        <f>IF($BN$5=TRUE,IF(BE178="","",SUM($BE$8:BE178)),"")</f>
        <v/>
      </c>
    </row>
    <row r="179" spans="46:78" x14ac:dyDescent="0.25">
      <c r="AT179" s="74">
        <v>44694</v>
      </c>
      <c r="AU179" s="72">
        <v>2604.2399999999998</v>
      </c>
      <c r="AW179" s="74"/>
      <c r="BR179" s="133" t="str">
        <f t="shared" si="28"/>
        <v/>
      </c>
      <c r="BS179" s="100" t="str">
        <f>IF($BG$5=TRUE,IF(AX179="","",SUM($AX$8:AX179)),"")</f>
        <v/>
      </c>
      <c r="BT179" s="100" t="str">
        <f>IF($BH$5=TRUE,IF(AY179="","",SUM($AY$8:AY179)),"")</f>
        <v/>
      </c>
      <c r="BU179" s="100" t="str">
        <f>IF($BI$5=TRUE,IF(AZ179="","",SUM($AZ$8:AZ179)),"")</f>
        <v/>
      </c>
      <c r="BV179" s="100" t="str">
        <f>IF($BJ$5=TRUE,IF(BA179="","",SUM($BA$8:BA179)),"")</f>
        <v/>
      </c>
      <c r="BW179" s="100" t="str">
        <f>IF($BK$5=TRUE,IF(BB179="","",SUM($BB$8:BB179)),"")</f>
        <v/>
      </c>
      <c r="BX179" s="100" t="str">
        <f>IF($BL$5=TRUE,IF(BC179="","",SUM($BC$8:BC179)),"")</f>
        <v/>
      </c>
      <c r="BY179" s="100" t="str">
        <f>IF($BM$5=TRUE,IF(BD179="","",SUM($BD$8:BD179)),"")</f>
        <v/>
      </c>
      <c r="BZ179" s="100" t="str">
        <f>IF($BN$5=TRUE,IF(BE179="","",SUM($BE$8:BE179)),"")</f>
        <v/>
      </c>
    </row>
    <row r="180" spans="46:78" x14ac:dyDescent="0.25">
      <c r="AT180" s="74">
        <v>44693</v>
      </c>
      <c r="AU180" s="72">
        <v>2550.08</v>
      </c>
      <c r="AW180" s="74"/>
      <c r="BR180" s="133" t="str">
        <f t="shared" si="28"/>
        <v/>
      </c>
      <c r="BS180" s="100" t="str">
        <f>IF($BG$5=TRUE,IF(AX180="","",SUM($AX$8:AX180)),"")</f>
        <v/>
      </c>
      <c r="BT180" s="100" t="str">
        <f>IF($BH$5=TRUE,IF(AY180="","",SUM($AY$8:AY180)),"")</f>
        <v/>
      </c>
      <c r="BU180" s="100" t="str">
        <f>IF($BI$5=TRUE,IF(AZ180="","",SUM($AZ$8:AZ180)),"")</f>
        <v/>
      </c>
      <c r="BV180" s="100" t="str">
        <f>IF($BJ$5=TRUE,IF(BA180="","",SUM($BA$8:BA180)),"")</f>
        <v/>
      </c>
      <c r="BW180" s="100" t="str">
        <f>IF($BK$5=TRUE,IF(BB180="","",SUM($BB$8:BB180)),"")</f>
        <v/>
      </c>
      <c r="BX180" s="100" t="str">
        <f>IF($BL$5=TRUE,IF(BC180="","",SUM($BC$8:BC180)),"")</f>
        <v/>
      </c>
      <c r="BY180" s="100" t="str">
        <f>IF($BM$5=TRUE,IF(BD180="","",SUM($BD$8:BD180)),"")</f>
        <v/>
      </c>
      <c r="BZ180" s="100" t="str">
        <f>IF($BN$5=TRUE,IF(BE180="","",SUM($BE$8:BE180)),"")</f>
        <v/>
      </c>
    </row>
    <row r="181" spans="46:78" x14ac:dyDescent="0.25">
      <c r="AT181" s="74">
        <v>44692</v>
      </c>
      <c r="AU181" s="72">
        <v>2592.27</v>
      </c>
      <c r="AW181" s="74"/>
      <c r="BR181" s="133" t="str">
        <f t="shared" si="28"/>
        <v/>
      </c>
      <c r="BS181" s="100" t="str">
        <f>IF($BG$5=TRUE,IF(AX181="","",SUM($AX$8:AX181)),"")</f>
        <v/>
      </c>
      <c r="BT181" s="100" t="str">
        <f>IF($BH$5=TRUE,IF(AY181="","",SUM($AY$8:AY181)),"")</f>
        <v/>
      </c>
      <c r="BU181" s="100" t="str">
        <f>IF($BI$5=TRUE,IF(AZ181="","",SUM($AZ$8:AZ181)),"")</f>
        <v/>
      </c>
      <c r="BV181" s="100" t="str">
        <f>IF($BJ$5=TRUE,IF(BA181="","",SUM($BA$8:BA181)),"")</f>
        <v/>
      </c>
      <c r="BW181" s="100" t="str">
        <f>IF($BK$5=TRUE,IF(BB181="","",SUM($BB$8:BB181)),"")</f>
        <v/>
      </c>
      <c r="BX181" s="100" t="str">
        <f>IF($BL$5=TRUE,IF(BC181="","",SUM($BC$8:BC181)),"")</f>
        <v/>
      </c>
      <c r="BY181" s="100" t="str">
        <f>IF($BM$5=TRUE,IF(BD181="","",SUM($BD$8:BD181)),"")</f>
        <v/>
      </c>
      <c r="BZ181" s="100" t="str">
        <f>IF($BN$5=TRUE,IF(BE181="","",SUM($BE$8:BE181)),"")</f>
        <v/>
      </c>
    </row>
    <row r="182" spans="46:78" x14ac:dyDescent="0.25">
      <c r="AT182" s="74">
        <v>44691</v>
      </c>
      <c r="AU182" s="72">
        <v>2596.56</v>
      </c>
      <c r="AW182" s="74"/>
      <c r="BR182" s="133" t="str">
        <f t="shared" si="28"/>
        <v/>
      </c>
      <c r="BS182" s="100" t="str">
        <f>IF($BG$5=TRUE,IF(AX182="","",SUM($AX$8:AX182)),"")</f>
        <v/>
      </c>
      <c r="BT182" s="100" t="str">
        <f>IF($BH$5=TRUE,IF(AY182="","",SUM($AY$8:AY182)),"")</f>
        <v/>
      </c>
      <c r="BU182" s="100" t="str">
        <f>IF($BI$5=TRUE,IF(AZ182="","",SUM($AZ$8:AZ182)),"")</f>
        <v/>
      </c>
      <c r="BV182" s="100" t="str">
        <f>IF($BJ$5=TRUE,IF(BA182="","",SUM($BA$8:BA182)),"")</f>
        <v/>
      </c>
      <c r="BW182" s="100" t="str">
        <f>IF($BK$5=TRUE,IF(BB182="","",SUM($BB$8:BB182)),"")</f>
        <v/>
      </c>
      <c r="BX182" s="100" t="str">
        <f>IF($BL$5=TRUE,IF(BC182="","",SUM($BC$8:BC182)),"")</f>
        <v/>
      </c>
      <c r="BY182" s="100" t="str">
        <f>IF($BM$5=TRUE,IF(BD182="","",SUM($BD$8:BD182)),"")</f>
        <v/>
      </c>
      <c r="BZ182" s="100" t="str">
        <f>IF($BN$5=TRUE,IF(BE182="","",SUM($BE$8:BE182)),"")</f>
        <v/>
      </c>
    </row>
    <row r="183" spans="46:78" x14ac:dyDescent="0.25">
      <c r="AT183" s="74">
        <v>44690</v>
      </c>
      <c r="AU183" s="72">
        <v>2610.81</v>
      </c>
      <c r="AW183" s="74"/>
      <c r="BR183" s="133" t="str">
        <f t="shared" si="28"/>
        <v/>
      </c>
      <c r="BS183" s="100" t="str">
        <f>IF($BG$5=TRUE,IF(AX183="","",SUM($AX$8:AX183)),"")</f>
        <v/>
      </c>
      <c r="BT183" s="100" t="str">
        <f>IF($BH$5=TRUE,IF(AY183="","",SUM($AY$8:AY183)),"")</f>
        <v/>
      </c>
      <c r="BU183" s="100" t="str">
        <f>IF($BI$5=TRUE,IF(AZ183="","",SUM($AZ$8:AZ183)),"")</f>
        <v/>
      </c>
      <c r="BV183" s="100" t="str">
        <f>IF($BJ$5=TRUE,IF(BA183="","",SUM($BA$8:BA183)),"")</f>
        <v/>
      </c>
      <c r="BW183" s="100" t="str">
        <f>IF($BK$5=TRUE,IF(BB183="","",SUM($BB$8:BB183)),"")</f>
        <v/>
      </c>
      <c r="BX183" s="100" t="str">
        <f>IF($BL$5=TRUE,IF(BC183="","",SUM($BC$8:BC183)),"")</f>
        <v/>
      </c>
      <c r="BY183" s="100" t="str">
        <f>IF($BM$5=TRUE,IF(BD183="","",SUM($BD$8:BD183)),"")</f>
        <v/>
      </c>
      <c r="BZ183" s="100" t="str">
        <f>IF($BN$5=TRUE,IF(BE183="","",SUM($BE$8:BE183)),"")</f>
        <v/>
      </c>
    </row>
    <row r="184" spans="46:78" x14ac:dyDescent="0.25">
      <c r="AT184" s="74">
        <v>44687</v>
      </c>
      <c r="AU184" s="72">
        <v>2644.51</v>
      </c>
      <c r="AW184" s="74"/>
      <c r="BR184" s="133" t="str">
        <f t="shared" si="28"/>
        <v/>
      </c>
      <c r="BS184" s="100" t="str">
        <f>IF($BG$5=TRUE,IF(AX184="","",SUM($AX$8:AX184)),"")</f>
        <v/>
      </c>
      <c r="BT184" s="100" t="str">
        <f>IF($BH$5=TRUE,IF(AY184="","",SUM($AY$8:AY184)),"")</f>
        <v/>
      </c>
      <c r="BU184" s="100" t="str">
        <f>IF($BI$5=TRUE,IF(AZ184="","",SUM($AZ$8:AZ184)),"")</f>
        <v/>
      </c>
      <c r="BV184" s="100" t="str">
        <f>IF($BJ$5=TRUE,IF(BA184="","",SUM($BA$8:BA184)),"")</f>
        <v/>
      </c>
      <c r="BW184" s="100" t="str">
        <f>IF($BK$5=TRUE,IF(BB184="","",SUM($BB$8:BB184)),"")</f>
        <v/>
      </c>
      <c r="BX184" s="100" t="str">
        <f>IF($BL$5=TRUE,IF(BC184="","",SUM($BC$8:BC184)),"")</f>
        <v/>
      </c>
      <c r="BY184" s="100" t="str">
        <f>IF($BM$5=TRUE,IF(BD184="","",SUM($BD$8:BD184)),"")</f>
        <v/>
      </c>
      <c r="BZ184" s="100" t="str">
        <f>IF($BN$5=TRUE,IF(BE184="","",SUM($BE$8:BE184)),"")</f>
        <v/>
      </c>
    </row>
    <row r="185" spans="46:78" x14ac:dyDescent="0.25">
      <c r="AT185" s="74">
        <v>44685</v>
      </c>
      <c r="AU185" s="72">
        <v>2677.57</v>
      </c>
      <c r="AW185" s="74"/>
      <c r="BR185" s="133" t="str">
        <f t="shared" si="28"/>
        <v/>
      </c>
      <c r="BS185" s="100" t="str">
        <f>IF($BG$5=TRUE,IF(AX185="","",SUM($AX$8:AX185)),"")</f>
        <v/>
      </c>
      <c r="BT185" s="100" t="str">
        <f>IF($BH$5=TRUE,IF(AY185="","",SUM($AY$8:AY185)),"")</f>
        <v/>
      </c>
      <c r="BU185" s="100" t="str">
        <f>IF($BI$5=TRUE,IF(AZ185="","",SUM($AZ$8:AZ185)),"")</f>
        <v/>
      </c>
      <c r="BV185" s="100" t="str">
        <f>IF($BJ$5=TRUE,IF(BA185="","",SUM($BA$8:BA185)),"")</f>
        <v/>
      </c>
      <c r="BW185" s="100" t="str">
        <f>IF($BK$5=TRUE,IF(BB185="","",SUM($BB$8:BB185)),"")</f>
        <v/>
      </c>
      <c r="BX185" s="100" t="str">
        <f>IF($BL$5=TRUE,IF(BC185="","",SUM($BC$8:BC185)),"")</f>
        <v/>
      </c>
      <c r="BY185" s="100" t="str">
        <f>IF($BM$5=TRUE,IF(BD185="","",SUM($BD$8:BD185)),"")</f>
        <v/>
      </c>
      <c r="BZ185" s="100" t="str">
        <f>IF($BN$5=TRUE,IF(BE185="","",SUM($BE$8:BE185)),"")</f>
        <v/>
      </c>
    </row>
    <row r="186" spans="46:78" x14ac:dyDescent="0.25">
      <c r="AT186" s="74">
        <v>44684</v>
      </c>
      <c r="AU186" s="72">
        <v>2680.46</v>
      </c>
      <c r="AW186" s="74"/>
      <c r="BR186" s="133" t="str">
        <f t="shared" si="28"/>
        <v/>
      </c>
      <c r="BS186" s="100" t="str">
        <f>IF($BG$5=TRUE,IF(AX186="","",SUM($AX$8:AX186)),"")</f>
        <v/>
      </c>
      <c r="BT186" s="100" t="str">
        <f>IF($BH$5=TRUE,IF(AY186="","",SUM($AY$8:AY186)),"")</f>
        <v/>
      </c>
      <c r="BU186" s="100" t="str">
        <f>IF($BI$5=TRUE,IF(AZ186="","",SUM($AZ$8:AZ186)),"")</f>
        <v/>
      </c>
      <c r="BV186" s="100" t="str">
        <f>IF($BJ$5=TRUE,IF(BA186="","",SUM($BA$8:BA186)),"")</f>
        <v/>
      </c>
      <c r="BW186" s="100" t="str">
        <f>IF($BK$5=TRUE,IF(BB186="","",SUM($BB$8:BB186)),"")</f>
        <v/>
      </c>
      <c r="BX186" s="100" t="str">
        <f>IF($BL$5=TRUE,IF(BC186="","",SUM($BC$8:BC186)),"")</f>
        <v/>
      </c>
      <c r="BY186" s="100" t="str">
        <f>IF($BM$5=TRUE,IF(BD186="","",SUM($BD$8:BD186)),"")</f>
        <v/>
      </c>
      <c r="BZ186" s="100" t="str">
        <f>IF($BN$5=TRUE,IF(BE186="","",SUM($BE$8:BE186)),"")</f>
        <v/>
      </c>
    </row>
    <row r="187" spans="46:78" x14ac:dyDescent="0.25">
      <c r="AT187" s="74">
        <v>44683</v>
      </c>
      <c r="AU187" s="72">
        <v>2687.45</v>
      </c>
      <c r="AW187" s="74"/>
      <c r="BR187" s="133" t="str">
        <f t="shared" si="28"/>
        <v/>
      </c>
      <c r="BS187" s="100" t="str">
        <f>IF($BG$5=TRUE,IF(AX187="","",SUM($AX$8:AX187)),"")</f>
        <v/>
      </c>
      <c r="BT187" s="100" t="str">
        <f>IF($BH$5=TRUE,IF(AY187="","",SUM($AY$8:AY187)),"")</f>
        <v/>
      </c>
      <c r="BU187" s="100" t="str">
        <f>IF($BI$5=TRUE,IF(AZ187="","",SUM($AZ$8:AZ187)),"")</f>
        <v/>
      </c>
      <c r="BV187" s="100" t="str">
        <f>IF($BJ$5=TRUE,IF(BA187="","",SUM($BA$8:BA187)),"")</f>
        <v/>
      </c>
      <c r="BW187" s="100" t="str">
        <f>IF($BK$5=TRUE,IF(BB187="","",SUM($BB$8:BB187)),"")</f>
        <v/>
      </c>
      <c r="BX187" s="100" t="str">
        <f>IF($BL$5=TRUE,IF(BC187="","",SUM($BC$8:BC187)),"")</f>
        <v/>
      </c>
      <c r="BY187" s="100" t="str">
        <f>IF($BM$5=TRUE,IF(BD187="","",SUM($BD$8:BD187)),"")</f>
        <v/>
      </c>
      <c r="BZ187" s="100" t="str">
        <f>IF($BN$5=TRUE,IF(BE187="","",SUM($BE$8:BE187)),"")</f>
        <v/>
      </c>
    </row>
    <row r="188" spans="46:78" x14ac:dyDescent="0.25">
      <c r="AT188" s="74">
        <v>44680</v>
      </c>
      <c r="AU188" s="72">
        <v>2695.05</v>
      </c>
      <c r="AW188" s="74"/>
      <c r="BR188" s="133" t="str">
        <f t="shared" si="28"/>
        <v/>
      </c>
      <c r="BS188" s="100" t="str">
        <f>IF($BG$5=TRUE,IF(AX188="","",SUM($AX$8:AX188)),"")</f>
        <v/>
      </c>
      <c r="BT188" s="100" t="str">
        <f>IF($BH$5=TRUE,IF(AY188="","",SUM($AY$8:AY188)),"")</f>
        <v/>
      </c>
      <c r="BU188" s="100" t="str">
        <f>IF($BI$5=TRUE,IF(AZ188="","",SUM($AZ$8:AZ188)),"")</f>
        <v/>
      </c>
      <c r="BV188" s="100" t="str">
        <f>IF($BJ$5=TRUE,IF(BA188="","",SUM($BA$8:BA188)),"")</f>
        <v/>
      </c>
      <c r="BW188" s="100" t="str">
        <f>IF($BK$5=TRUE,IF(BB188="","",SUM($BB$8:BB188)),"")</f>
        <v/>
      </c>
      <c r="BX188" s="100" t="str">
        <f>IF($BL$5=TRUE,IF(BC188="","",SUM($BC$8:BC188)),"")</f>
        <v/>
      </c>
      <c r="BY188" s="100" t="str">
        <f>IF($BM$5=TRUE,IF(BD188="","",SUM($BD$8:BD188)),"")</f>
        <v/>
      </c>
      <c r="BZ188" s="100" t="str">
        <f>IF($BN$5=TRUE,IF(BE188="","",SUM($BE$8:BE188)),"")</f>
        <v/>
      </c>
    </row>
    <row r="189" spans="46:78" x14ac:dyDescent="0.25">
      <c r="AT189" s="74">
        <v>44679</v>
      </c>
      <c r="AU189" s="72">
        <v>2667.49</v>
      </c>
      <c r="AW189" s="74"/>
      <c r="BR189" s="133" t="str">
        <f t="shared" si="28"/>
        <v/>
      </c>
      <c r="BS189" s="100" t="str">
        <f>IF($BG$5=TRUE,IF(AX189="","",SUM($AX$8:AX189)),"")</f>
        <v/>
      </c>
      <c r="BT189" s="100" t="str">
        <f>IF($BH$5=TRUE,IF(AY189="","",SUM($AY$8:AY189)),"")</f>
        <v/>
      </c>
      <c r="BU189" s="100" t="str">
        <f>IF($BI$5=TRUE,IF(AZ189="","",SUM($AZ$8:AZ189)),"")</f>
        <v/>
      </c>
      <c r="BV189" s="100" t="str">
        <f>IF($BJ$5=TRUE,IF(BA189="","",SUM($BA$8:BA189)),"")</f>
        <v/>
      </c>
      <c r="BW189" s="100" t="str">
        <f>IF($BK$5=TRUE,IF(BB189="","",SUM($BB$8:BB189)),"")</f>
        <v/>
      </c>
      <c r="BX189" s="100" t="str">
        <f>IF($BL$5=TRUE,IF(BC189="","",SUM($BC$8:BC189)),"")</f>
        <v/>
      </c>
      <c r="BY189" s="100" t="str">
        <f>IF($BM$5=TRUE,IF(BD189="","",SUM($BD$8:BD189)),"")</f>
        <v/>
      </c>
      <c r="BZ189" s="100" t="str">
        <f>IF($BN$5=TRUE,IF(BE189="","",SUM($BE$8:BE189)),"")</f>
        <v/>
      </c>
    </row>
    <row r="190" spans="46:78" x14ac:dyDescent="0.25">
      <c r="AT190" s="74">
        <v>44678</v>
      </c>
      <c r="AU190" s="72">
        <v>2639.06</v>
      </c>
      <c r="AW190" s="74"/>
      <c r="BR190" s="133" t="str">
        <f t="shared" si="28"/>
        <v/>
      </c>
      <c r="BS190" s="100" t="str">
        <f>IF($BG$5=TRUE,IF(AX190="","",SUM($AX$8:AX190)),"")</f>
        <v/>
      </c>
      <c r="BT190" s="100" t="str">
        <f>IF($BH$5=TRUE,IF(AY190="","",SUM($AY$8:AY190)),"")</f>
        <v/>
      </c>
      <c r="BU190" s="100" t="str">
        <f>IF($BI$5=TRUE,IF(AZ190="","",SUM($AZ$8:AZ190)),"")</f>
        <v/>
      </c>
      <c r="BV190" s="100" t="str">
        <f>IF($BJ$5=TRUE,IF(BA190="","",SUM($BA$8:BA190)),"")</f>
        <v/>
      </c>
      <c r="BW190" s="100" t="str">
        <f>IF($BK$5=TRUE,IF(BB190="","",SUM($BB$8:BB190)),"")</f>
        <v/>
      </c>
      <c r="BX190" s="100" t="str">
        <f>IF($BL$5=TRUE,IF(BC190="","",SUM($BC$8:BC190)),"")</f>
        <v/>
      </c>
      <c r="BY190" s="100" t="str">
        <f>IF($BM$5=TRUE,IF(BD190="","",SUM($BD$8:BD190)),"")</f>
        <v/>
      </c>
      <c r="BZ190" s="100" t="str">
        <f>IF($BN$5=TRUE,IF(BE190="","",SUM($BE$8:BE190)),"")</f>
        <v/>
      </c>
    </row>
    <row r="191" spans="46:78" x14ac:dyDescent="0.25">
      <c r="AT191" s="74">
        <v>44677</v>
      </c>
      <c r="AU191" s="72">
        <v>2668.31</v>
      </c>
      <c r="AW191" s="74"/>
      <c r="BR191" s="133" t="str">
        <f t="shared" si="28"/>
        <v/>
      </c>
      <c r="BS191" s="100" t="str">
        <f>IF($BG$5=TRUE,IF(AX191="","",SUM($AX$8:AX191)),"")</f>
        <v/>
      </c>
      <c r="BT191" s="100" t="str">
        <f>IF($BH$5=TRUE,IF(AY191="","",SUM($AY$8:AY191)),"")</f>
        <v/>
      </c>
      <c r="BU191" s="100" t="str">
        <f>IF($BI$5=TRUE,IF(AZ191="","",SUM($AZ$8:AZ191)),"")</f>
        <v/>
      </c>
      <c r="BV191" s="100" t="str">
        <f>IF($BJ$5=TRUE,IF(BA191="","",SUM($BA$8:BA191)),"")</f>
        <v/>
      </c>
      <c r="BW191" s="100" t="str">
        <f>IF($BK$5=TRUE,IF(BB191="","",SUM($BB$8:BB191)),"")</f>
        <v/>
      </c>
      <c r="BX191" s="100" t="str">
        <f>IF($BL$5=TRUE,IF(BC191="","",SUM($BC$8:BC191)),"")</f>
        <v/>
      </c>
      <c r="BY191" s="100" t="str">
        <f>IF($BM$5=TRUE,IF(BD191="","",SUM($BD$8:BD191)),"")</f>
        <v/>
      </c>
      <c r="BZ191" s="100" t="str">
        <f>IF($BN$5=TRUE,IF(BE191="","",SUM($BE$8:BE191)),"")</f>
        <v/>
      </c>
    </row>
    <row r="192" spans="46:78" x14ac:dyDescent="0.25">
      <c r="AT192" s="74">
        <v>44676</v>
      </c>
      <c r="AU192" s="72">
        <v>2657.13</v>
      </c>
      <c r="AW192" s="74"/>
      <c r="BR192" s="133" t="str">
        <f t="shared" si="28"/>
        <v/>
      </c>
      <c r="BS192" s="100" t="str">
        <f>IF($BG$5=TRUE,IF(AX192="","",SUM($AX$8:AX192)),"")</f>
        <v/>
      </c>
      <c r="BT192" s="100" t="str">
        <f>IF($BH$5=TRUE,IF(AY192="","",SUM($AY$8:AY192)),"")</f>
        <v/>
      </c>
      <c r="BU192" s="100" t="str">
        <f>IF($BI$5=TRUE,IF(AZ192="","",SUM($AZ$8:AZ192)),"")</f>
        <v/>
      </c>
      <c r="BV192" s="100" t="str">
        <f>IF($BJ$5=TRUE,IF(BA192="","",SUM($BA$8:BA192)),"")</f>
        <v/>
      </c>
      <c r="BW192" s="100" t="str">
        <f>IF($BK$5=TRUE,IF(BB192="","",SUM($BB$8:BB192)),"")</f>
        <v/>
      </c>
      <c r="BX192" s="100" t="str">
        <f>IF($BL$5=TRUE,IF(BC192="","",SUM($BC$8:BC192)),"")</f>
        <v/>
      </c>
      <c r="BY192" s="100" t="str">
        <f>IF($BM$5=TRUE,IF(BD192="","",SUM($BD$8:BD192)),"")</f>
        <v/>
      </c>
      <c r="BZ192" s="100" t="str">
        <f>IF($BN$5=TRUE,IF(BE192="","",SUM($BE$8:BE192)),"")</f>
        <v/>
      </c>
    </row>
    <row r="193" spans="46:78" x14ac:dyDescent="0.25">
      <c r="AT193" s="74">
        <v>44673</v>
      </c>
      <c r="AU193" s="72">
        <v>2704.71</v>
      </c>
      <c r="AW193" s="74"/>
      <c r="BR193" s="133" t="str">
        <f t="shared" si="28"/>
        <v/>
      </c>
      <c r="BS193" s="100" t="str">
        <f>IF($BG$5=TRUE,IF(AX193="","",SUM($AX$8:AX193)),"")</f>
        <v/>
      </c>
      <c r="BT193" s="100" t="str">
        <f>IF($BH$5=TRUE,IF(AY193="","",SUM($AY$8:AY193)),"")</f>
        <v/>
      </c>
      <c r="BU193" s="100" t="str">
        <f>IF($BI$5=TRUE,IF(AZ193="","",SUM($AZ$8:AZ193)),"")</f>
        <v/>
      </c>
      <c r="BV193" s="100" t="str">
        <f>IF($BJ$5=TRUE,IF(BA193="","",SUM($BA$8:BA193)),"")</f>
        <v/>
      </c>
      <c r="BW193" s="100" t="str">
        <f>IF($BK$5=TRUE,IF(BB193="","",SUM($BB$8:BB193)),"")</f>
        <v/>
      </c>
      <c r="BX193" s="100" t="str">
        <f>IF($BL$5=TRUE,IF(BC193="","",SUM($BC$8:BC193)),"")</f>
        <v/>
      </c>
      <c r="BY193" s="100" t="str">
        <f>IF($BM$5=TRUE,IF(BD193="","",SUM($BD$8:BD193)),"")</f>
        <v/>
      </c>
      <c r="BZ193" s="100" t="str">
        <f>IF($BN$5=TRUE,IF(BE193="","",SUM($BE$8:BE193)),"")</f>
        <v/>
      </c>
    </row>
    <row r="194" spans="46:78" x14ac:dyDescent="0.25">
      <c r="AT194" s="74">
        <v>44672</v>
      </c>
      <c r="AU194" s="72">
        <v>2728.21</v>
      </c>
      <c r="AW194" s="74"/>
      <c r="BR194" s="133" t="str">
        <f t="shared" si="28"/>
        <v/>
      </c>
      <c r="BS194" s="100" t="str">
        <f>IF($BG$5=TRUE,IF(AX194="","",SUM($AX$8:AX194)),"")</f>
        <v/>
      </c>
      <c r="BT194" s="100" t="str">
        <f>IF($BH$5=TRUE,IF(AY194="","",SUM($AY$8:AY194)),"")</f>
        <v/>
      </c>
      <c r="BU194" s="100" t="str">
        <f>IF($BI$5=TRUE,IF(AZ194="","",SUM($AZ$8:AZ194)),"")</f>
        <v/>
      </c>
      <c r="BV194" s="100" t="str">
        <f>IF($BJ$5=TRUE,IF(BA194="","",SUM($BA$8:BA194)),"")</f>
        <v/>
      </c>
      <c r="BW194" s="100" t="str">
        <f>IF($BK$5=TRUE,IF(BB194="","",SUM($BB$8:BB194)),"")</f>
        <v/>
      </c>
      <c r="BX194" s="100" t="str">
        <f>IF($BL$5=TRUE,IF(BC194="","",SUM($BC$8:BC194)),"")</f>
        <v/>
      </c>
      <c r="BY194" s="100" t="str">
        <f>IF($BM$5=TRUE,IF(BD194="","",SUM($BD$8:BD194)),"")</f>
        <v/>
      </c>
      <c r="BZ194" s="100" t="str">
        <f>IF($BN$5=TRUE,IF(BE194="","",SUM($BE$8:BE194)),"")</f>
        <v/>
      </c>
    </row>
    <row r="195" spans="46:78" x14ac:dyDescent="0.25">
      <c r="AT195" s="74">
        <v>44671</v>
      </c>
      <c r="AU195" s="72">
        <v>2718.69</v>
      </c>
      <c r="AW195" s="74"/>
      <c r="BR195" s="133" t="str">
        <f t="shared" si="28"/>
        <v/>
      </c>
      <c r="BS195" s="100" t="str">
        <f>IF($BG$5=TRUE,IF(AX195="","",SUM($AX$8:AX195)),"")</f>
        <v/>
      </c>
      <c r="BT195" s="100" t="str">
        <f>IF($BH$5=TRUE,IF(AY195="","",SUM($AY$8:AY195)),"")</f>
        <v/>
      </c>
      <c r="BU195" s="100" t="str">
        <f>IF($BI$5=TRUE,IF(AZ195="","",SUM($AZ$8:AZ195)),"")</f>
        <v/>
      </c>
      <c r="BV195" s="100" t="str">
        <f>IF($BJ$5=TRUE,IF(BA195="","",SUM($BA$8:BA195)),"")</f>
        <v/>
      </c>
      <c r="BW195" s="100" t="str">
        <f>IF($BK$5=TRUE,IF(BB195="","",SUM($BB$8:BB195)),"")</f>
        <v/>
      </c>
      <c r="BX195" s="100" t="str">
        <f>IF($BL$5=TRUE,IF(BC195="","",SUM($BC$8:BC195)),"")</f>
        <v/>
      </c>
      <c r="BY195" s="100" t="str">
        <f>IF($BM$5=TRUE,IF(BD195="","",SUM($BD$8:BD195)),"")</f>
        <v/>
      </c>
      <c r="BZ195" s="100" t="str">
        <f>IF($BN$5=TRUE,IF(BE195="","",SUM($BE$8:BE195)),"")</f>
        <v/>
      </c>
    </row>
    <row r="196" spans="46:78" x14ac:dyDescent="0.25">
      <c r="AT196" s="74">
        <v>44670</v>
      </c>
      <c r="AU196" s="72">
        <v>2718.89</v>
      </c>
      <c r="AW196" s="74"/>
      <c r="BR196" s="133" t="str">
        <f t="shared" si="28"/>
        <v/>
      </c>
      <c r="BS196" s="100" t="str">
        <f>IF($BG$5=TRUE,IF(AX196="","",SUM($AX$8:AX196)),"")</f>
        <v/>
      </c>
      <c r="BT196" s="100" t="str">
        <f>IF($BH$5=TRUE,IF(AY196="","",SUM($AY$8:AY196)),"")</f>
        <v/>
      </c>
      <c r="BU196" s="100" t="str">
        <f>IF($BI$5=TRUE,IF(AZ196="","",SUM($AZ$8:AZ196)),"")</f>
        <v/>
      </c>
      <c r="BV196" s="100" t="str">
        <f>IF($BJ$5=TRUE,IF(BA196="","",SUM($BA$8:BA196)),"")</f>
        <v/>
      </c>
      <c r="BW196" s="100" t="str">
        <f>IF($BK$5=TRUE,IF(BB196="","",SUM($BB$8:BB196)),"")</f>
        <v/>
      </c>
      <c r="BX196" s="100" t="str">
        <f>IF($BL$5=TRUE,IF(BC196="","",SUM($BC$8:BC196)),"")</f>
        <v/>
      </c>
      <c r="BY196" s="100" t="str">
        <f>IF($BM$5=TRUE,IF(BD196="","",SUM($BD$8:BD196)),"")</f>
        <v/>
      </c>
      <c r="BZ196" s="100" t="str">
        <f>IF($BN$5=TRUE,IF(BE196="","",SUM($BE$8:BE196)),"")</f>
        <v/>
      </c>
    </row>
    <row r="197" spans="46:78" x14ac:dyDescent="0.25">
      <c r="AT197" s="74">
        <v>44669</v>
      </c>
      <c r="AU197" s="72">
        <v>2693.21</v>
      </c>
      <c r="AW197" s="74"/>
      <c r="BR197" s="133" t="str">
        <f t="shared" si="28"/>
        <v/>
      </c>
      <c r="BS197" s="100" t="str">
        <f>IF($BG$5=TRUE,IF(AX197="","",SUM($AX$8:AX197)),"")</f>
        <v/>
      </c>
      <c r="BT197" s="100" t="str">
        <f>IF($BH$5=TRUE,IF(AY197="","",SUM($AY$8:AY197)),"")</f>
        <v/>
      </c>
      <c r="BU197" s="100" t="str">
        <f>IF($BI$5=TRUE,IF(AZ197="","",SUM($AZ$8:AZ197)),"")</f>
        <v/>
      </c>
      <c r="BV197" s="100" t="str">
        <f>IF($BJ$5=TRUE,IF(BA197="","",SUM($BA$8:BA197)),"")</f>
        <v/>
      </c>
      <c r="BW197" s="100" t="str">
        <f>IF($BK$5=TRUE,IF(BB197="","",SUM($BB$8:BB197)),"")</f>
        <v/>
      </c>
      <c r="BX197" s="100" t="str">
        <f>IF($BL$5=TRUE,IF(BC197="","",SUM($BC$8:BC197)),"")</f>
        <v/>
      </c>
      <c r="BY197" s="100" t="str">
        <f>IF($BM$5=TRUE,IF(BD197="","",SUM($BD$8:BD197)),"")</f>
        <v/>
      </c>
      <c r="BZ197" s="100" t="str">
        <f>IF($BN$5=TRUE,IF(BE197="","",SUM($BE$8:BE197)),"")</f>
        <v/>
      </c>
    </row>
    <row r="198" spans="46:78" x14ac:dyDescent="0.25">
      <c r="AT198" s="74">
        <v>44666</v>
      </c>
      <c r="AU198" s="72">
        <v>2696.06</v>
      </c>
      <c r="AW198" s="74"/>
      <c r="BR198" s="133" t="str">
        <f t="shared" si="28"/>
        <v/>
      </c>
      <c r="BS198" s="100" t="str">
        <f>IF($BG$5=TRUE,IF(AX198="","",SUM($AX$8:AX198)),"")</f>
        <v/>
      </c>
      <c r="BT198" s="100" t="str">
        <f>IF($BH$5=TRUE,IF(AY198="","",SUM($AY$8:AY198)),"")</f>
        <v/>
      </c>
      <c r="BU198" s="100" t="str">
        <f>IF($BI$5=TRUE,IF(AZ198="","",SUM($AZ$8:AZ198)),"")</f>
        <v/>
      </c>
      <c r="BV198" s="100" t="str">
        <f>IF($BJ$5=TRUE,IF(BA198="","",SUM($BA$8:BA198)),"")</f>
        <v/>
      </c>
      <c r="BW198" s="100" t="str">
        <f>IF($BK$5=TRUE,IF(BB198="","",SUM($BB$8:BB198)),"")</f>
        <v/>
      </c>
      <c r="BX198" s="100" t="str">
        <f>IF($BL$5=TRUE,IF(BC198="","",SUM($BC$8:BC198)),"")</f>
        <v/>
      </c>
      <c r="BY198" s="100" t="str">
        <f>IF($BM$5=TRUE,IF(BD198="","",SUM($BD$8:BD198)),"")</f>
        <v/>
      </c>
      <c r="BZ198" s="100" t="str">
        <f>IF($BN$5=TRUE,IF(BE198="","",SUM($BE$8:BE198)),"")</f>
        <v/>
      </c>
    </row>
    <row r="199" spans="46:78" x14ac:dyDescent="0.25">
      <c r="AT199" s="74">
        <v>44665</v>
      </c>
      <c r="AU199" s="72">
        <v>2716.71</v>
      </c>
      <c r="AW199" s="74"/>
      <c r="BR199" s="133" t="str">
        <f t="shared" si="28"/>
        <v/>
      </c>
      <c r="BS199" s="100" t="str">
        <f>IF($BG$5=TRUE,IF(AX199="","",SUM($AX$8:AX199)),"")</f>
        <v/>
      </c>
      <c r="BT199" s="100" t="str">
        <f>IF($BH$5=TRUE,IF(AY199="","",SUM($AY$8:AY199)),"")</f>
        <v/>
      </c>
      <c r="BU199" s="100" t="str">
        <f>IF($BI$5=TRUE,IF(AZ199="","",SUM($AZ$8:AZ199)),"")</f>
        <v/>
      </c>
      <c r="BV199" s="100" t="str">
        <f>IF($BJ$5=TRUE,IF(BA199="","",SUM($BA$8:BA199)),"")</f>
        <v/>
      </c>
      <c r="BW199" s="100" t="str">
        <f>IF($BK$5=TRUE,IF(BB199="","",SUM($BB$8:BB199)),"")</f>
        <v/>
      </c>
      <c r="BX199" s="100" t="str">
        <f>IF($BL$5=TRUE,IF(BC199="","",SUM($BC$8:BC199)),"")</f>
        <v/>
      </c>
      <c r="BY199" s="100" t="str">
        <f>IF($BM$5=TRUE,IF(BD199="","",SUM($BD$8:BD199)),"")</f>
        <v/>
      </c>
      <c r="BZ199" s="100" t="str">
        <f>IF($BN$5=TRUE,IF(BE199="","",SUM($BE$8:BE199)),"")</f>
        <v/>
      </c>
    </row>
    <row r="200" spans="46:78" x14ac:dyDescent="0.25">
      <c r="AT200" s="74">
        <v>44664</v>
      </c>
      <c r="AU200" s="72">
        <v>2716.49</v>
      </c>
      <c r="AW200" s="74"/>
      <c r="BR200" s="133" t="str">
        <f t="shared" si="28"/>
        <v/>
      </c>
      <c r="BS200" s="100" t="str">
        <f>IF($BG$5=TRUE,IF(AX200="","",SUM($AX$8:AX200)),"")</f>
        <v/>
      </c>
      <c r="BT200" s="100" t="str">
        <f>IF($BH$5=TRUE,IF(AY200="","",SUM($AY$8:AY200)),"")</f>
        <v/>
      </c>
      <c r="BU200" s="100" t="str">
        <f>IF($BI$5=TRUE,IF(AZ200="","",SUM($AZ$8:AZ200)),"")</f>
        <v/>
      </c>
      <c r="BV200" s="100" t="str">
        <f>IF($BJ$5=TRUE,IF(BA200="","",SUM($BA$8:BA200)),"")</f>
        <v/>
      </c>
      <c r="BW200" s="100" t="str">
        <f>IF($BK$5=TRUE,IF(BB200="","",SUM($BB$8:BB200)),"")</f>
        <v/>
      </c>
      <c r="BX200" s="100" t="str">
        <f>IF($BL$5=TRUE,IF(BC200="","",SUM($BC$8:BC200)),"")</f>
        <v/>
      </c>
      <c r="BY200" s="100" t="str">
        <f>IF($BM$5=TRUE,IF(BD200="","",SUM($BD$8:BD200)),"")</f>
        <v/>
      </c>
      <c r="BZ200" s="100" t="str">
        <f>IF($BN$5=TRUE,IF(BE200="","",SUM($BE$8:BE200)),"")</f>
        <v/>
      </c>
    </row>
    <row r="201" spans="46:78" x14ac:dyDescent="0.25">
      <c r="AT201" s="74">
        <v>44663</v>
      </c>
      <c r="AU201" s="72">
        <v>2666.76</v>
      </c>
      <c r="AW201" s="74"/>
      <c r="BR201" s="133" t="str">
        <f t="shared" si="28"/>
        <v/>
      </c>
      <c r="BS201" s="100" t="str">
        <f>IF($BG$5=TRUE,IF(AX201="","",SUM($AX$8:AX201)),"")</f>
        <v/>
      </c>
      <c r="BT201" s="100" t="str">
        <f>IF($BH$5=TRUE,IF(AY201="","",SUM($AY$8:AY201)),"")</f>
        <v/>
      </c>
      <c r="BU201" s="100" t="str">
        <f>IF($BI$5=TRUE,IF(AZ201="","",SUM($AZ$8:AZ201)),"")</f>
        <v/>
      </c>
      <c r="BV201" s="100" t="str">
        <f>IF($BJ$5=TRUE,IF(BA201="","",SUM($BA$8:BA201)),"")</f>
        <v/>
      </c>
      <c r="BW201" s="100" t="str">
        <f>IF($BK$5=TRUE,IF(BB201="","",SUM($BB$8:BB201)),"")</f>
        <v/>
      </c>
      <c r="BX201" s="100" t="str">
        <f>IF($BL$5=TRUE,IF(BC201="","",SUM($BC$8:BC201)),"")</f>
        <v/>
      </c>
      <c r="BY201" s="100" t="str">
        <f>IF($BM$5=TRUE,IF(BD201="","",SUM($BD$8:BD201)),"")</f>
        <v/>
      </c>
      <c r="BZ201" s="100" t="str">
        <f>IF($BN$5=TRUE,IF(BE201="","",SUM($BE$8:BE201)),"")</f>
        <v/>
      </c>
    </row>
    <row r="202" spans="46:78" x14ac:dyDescent="0.25">
      <c r="AT202" s="74">
        <v>44662</v>
      </c>
      <c r="AU202" s="72">
        <v>2693.1</v>
      </c>
      <c r="AW202" s="74"/>
      <c r="BR202" s="133" t="str">
        <f t="shared" si="28"/>
        <v/>
      </c>
      <c r="BS202" s="100" t="str">
        <f>IF($BG$5=TRUE,IF(AX202="","",SUM($AX$8:AX202)),"")</f>
        <v/>
      </c>
      <c r="BT202" s="100" t="str">
        <f>IF($BH$5=TRUE,IF(AY202="","",SUM($AY$8:AY202)),"")</f>
        <v/>
      </c>
      <c r="BU202" s="100" t="str">
        <f>IF($BI$5=TRUE,IF(AZ202="","",SUM($AZ$8:AZ202)),"")</f>
        <v/>
      </c>
      <c r="BV202" s="100" t="str">
        <f>IF($BJ$5=TRUE,IF(BA202="","",SUM($BA$8:BA202)),"")</f>
        <v/>
      </c>
      <c r="BW202" s="100" t="str">
        <f>IF($BK$5=TRUE,IF(BB202="","",SUM($BB$8:BB202)),"")</f>
        <v/>
      </c>
      <c r="BX202" s="100" t="str">
        <f>IF($BL$5=TRUE,IF(BC202="","",SUM($BC$8:BC202)),"")</f>
        <v/>
      </c>
      <c r="BY202" s="100" t="str">
        <f>IF($BM$5=TRUE,IF(BD202="","",SUM($BD$8:BD202)),"")</f>
        <v/>
      </c>
      <c r="BZ202" s="100" t="str">
        <f>IF($BN$5=TRUE,IF(BE202="","",SUM($BE$8:BE202)),"")</f>
        <v/>
      </c>
    </row>
    <row r="203" spans="46:78" x14ac:dyDescent="0.25">
      <c r="AT203" s="74">
        <v>44659</v>
      </c>
      <c r="AU203" s="72">
        <v>2700.39</v>
      </c>
      <c r="AW203" s="74"/>
      <c r="BR203" s="133" t="str">
        <f t="shared" ref="BR203:BR266" si="29">IF(AW203="","",AW203)</f>
        <v/>
      </c>
      <c r="BS203" s="100" t="str">
        <f>IF($BG$5=TRUE,IF(AX203="","",SUM($AX$8:AX203)),"")</f>
        <v/>
      </c>
      <c r="BT203" s="100" t="str">
        <f>IF($BH$5=TRUE,IF(AY203="","",SUM($AY$8:AY203)),"")</f>
        <v/>
      </c>
      <c r="BU203" s="100" t="str">
        <f>IF($BI$5=TRUE,IF(AZ203="","",SUM($AZ$8:AZ203)),"")</f>
        <v/>
      </c>
      <c r="BV203" s="100" t="str">
        <f>IF($BJ$5=TRUE,IF(BA203="","",SUM($BA$8:BA203)),"")</f>
        <v/>
      </c>
      <c r="BW203" s="100" t="str">
        <f>IF($BK$5=TRUE,IF(BB203="","",SUM($BB$8:BB203)),"")</f>
        <v/>
      </c>
      <c r="BX203" s="100" t="str">
        <f>IF($BL$5=TRUE,IF(BC203="","",SUM($BC$8:BC203)),"")</f>
        <v/>
      </c>
      <c r="BY203" s="100" t="str">
        <f>IF($BM$5=TRUE,IF(BD203="","",SUM($BD$8:BD203)),"")</f>
        <v/>
      </c>
      <c r="BZ203" s="100" t="str">
        <f>IF($BN$5=TRUE,IF(BE203="","",SUM($BE$8:BE203)),"")</f>
        <v/>
      </c>
    </row>
    <row r="204" spans="46:78" x14ac:dyDescent="0.25">
      <c r="AT204" s="74">
        <v>44658</v>
      </c>
      <c r="AU204" s="72">
        <v>2695.86</v>
      </c>
      <c r="AW204" s="74"/>
      <c r="BR204" s="133" t="str">
        <f t="shared" si="29"/>
        <v/>
      </c>
      <c r="BS204" s="100" t="str">
        <f>IF($BG$5=TRUE,IF(AX204="","",SUM($AX$8:AX204)),"")</f>
        <v/>
      </c>
      <c r="BT204" s="100" t="str">
        <f>IF($BH$5=TRUE,IF(AY204="","",SUM($AY$8:AY204)),"")</f>
        <v/>
      </c>
      <c r="BU204" s="100" t="str">
        <f>IF($BI$5=TRUE,IF(AZ204="","",SUM($AZ$8:AZ204)),"")</f>
        <v/>
      </c>
      <c r="BV204" s="100" t="str">
        <f>IF($BJ$5=TRUE,IF(BA204="","",SUM($BA$8:BA204)),"")</f>
        <v/>
      </c>
      <c r="BW204" s="100" t="str">
        <f>IF($BK$5=TRUE,IF(BB204="","",SUM($BB$8:BB204)),"")</f>
        <v/>
      </c>
      <c r="BX204" s="100" t="str">
        <f>IF($BL$5=TRUE,IF(BC204="","",SUM($BC$8:BC204)),"")</f>
        <v/>
      </c>
      <c r="BY204" s="100" t="str">
        <f>IF($BM$5=TRUE,IF(BD204="","",SUM($BD$8:BD204)),"")</f>
        <v/>
      </c>
      <c r="BZ204" s="100" t="str">
        <f>IF($BN$5=TRUE,IF(BE204="","",SUM($BE$8:BE204)),"")</f>
        <v/>
      </c>
    </row>
    <row r="205" spans="46:78" x14ac:dyDescent="0.25">
      <c r="AT205" s="74">
        <v>44657</v>
      </c>
      <c r="AU205" s="72">
        <v>2735.03</v>
      </c>
      <c r="AW205" s="74"/>
      <c r="BR205" s="133" t="str">
        <f t="shared" si="29"/>
        <v/>
      </c>
      <c r="BS205" s="100" t="str">
        <f>IF($BG$5=TRUE,IF(AX205="","",SUM($AX$8:AX205)),"")</f>
        <v/>
      </c>
      <c r="BT205" s="100" t="str">
        <f>IF($BH$5=TRUE,IF(AY205="","",SUM($AY$8:AY205)),"")</f>
        <v/>
      </c>
      <c r="BU205" s="100" t="str">
        <f>IF($BI$5=TRUE,IF(AZ205="","",SUM($AZ$8:AZ205)),"")</f>
        <v/>
      </c>
      <c r="BV205" s="100" t="str">
        <f>IF($BJ$5=TRUE,IF(BA205="","",SUM($BA$8:BA205)),"")</f>
        <v/>
      </c>
      <c r="BW205" s="100" t="str">
        <f>IF($BK$5=TRUE,IF(BB205="","",SUM($BB$8:BB205)),"")</f>
        <v/>
      </c>
      <c r="BX205" s="100" t="str">
        <f>IF($BL$5=TRUE,IF(BC205="","",SUM($BC$8:BC205)),"")</f>
        <v/>
      </c>
      <c r="BY205" s="100" t="str">
        <f>IF($BM$5=TRUE,IF(BD205="","",SUM($BD$8:BD205)),"")</f>
        <v/>
      </c>
      <c r="BZ205" s="100" t="str">
        <f>IF($BN$5=TRUE,IF(BE205="","",SUM($BE$8:BE205)),"")</f>
        <v/>
      </c>
    </row>
    <row r="206" spans="46:78" x14ac:dyDescent="0.25">
      <c r="AT206" s="74">
        <v>44656</v>
      </c>
      <c r="AU206" s="72">
        <v>2759.2</v>
      </c>
      <c r="AW206" s="74"/>
      <c r="BR206" s="133" t="str">
        <f t="shared" si="29"/>
        <v/>
      </c>
      <c r="BS206" s="100" t="str">
        <f>IF($BG$5=TRUE,IF(AX206="","",SUM($AX$8:AX206)),"")</f>
        <v/>
      </c>
      <c r="BT206" s="100" t="str">
        <f>IF($BH$5=TRUE,IF(AY206="","",SUM($AY$8:AY206)),"")</f>
        <v/>
      </c>
      <c r="BU206" s="100" t="str">
        <f>IF($BI$5=TRUE,IF(AZ206="","",SUM($AZ$8:AZ206)),"")</f>
        <v/>
      </c>
      <c r="BV206" s="100" t="str">
        <f>IF($BJ$5=TRUE,IF(BA206="","",SUM($BA$8:BA206)),"")</f>
        <v/>
      </c>
      <c r="BW206" s="100" t="str">
        <f>IF($BK$5=TRUE,IF(BB206="","",SUM($BB$8:BB206)),"")</f>
        <v/>
      </c>
      <c r="BX206" s="100" t="str">
        <f>IF($BL$5=TRUE,IF(BC206="","",SUM($BC$8:BC206)),"")</f>
        <v/>
      </c>
      <c r="BY206" s="100" t="str">
        <f>IF($BM$5=TRUE,IF(BD206="","",SUM($BD$8:BD206)),"")</f>
        <v/>
      </c>
      <c r="BZ206" s="100" t="str">
        <f>IF($BN$5=TRUE,IF(BE206="","",SUM($BE$8:BE206)),"")</f>
        <v/>
      </c>
    </row>
    <row r="207" spans="46:78" x14ac:dyDescent="0.25">
      <c r="AT207" s="74">
        <v>44655</v>
      </c>
      <c r="AU207" s="72">
        <v>2757.9</v>
      </c>
      <c r="AW207" s="74"/>
      <c r="BR207" s="133" t="str">
        <f t="shared" si="29"/>
        <v/>
      </c>
      <c r="BS207" s="100" t="str">
        <f>IF($BG$5=TRUE,IF(AX207="","",SUM($AX$8:AX207)),"")</f>
        <v/>
      </c>
      <c r="BT207" s="100" t="str">
        <f>IF($BH$5=TRUE,IF(AY207="","",SUM($AY$8:AY207)),"")</f>
        <v/>
      </c>
      <c r="BU207" s="100" t="str">
        <f>IF($BI$5=TRUE,IF(AZ207="","",SUM($AZ$8:AZ207)),"")</f>
        <v/>
      </c>
      <c r="BV207" s="100" t="str">
        <f>IF($BJ$5=TRUE,IF(BA207="","",SUM($BA$8:BA207)),"")</f>
        <v/>
      </c>
      <c r="BW207" s="100" t="str">
        <f>IF($BK$5=TRUE,IF(BB207="","",SUM($BB$8:BB207)),"")</f>
        <v/>
      </c>
      <c r="BX207" s="100" t="str">
        <f>IF($BL$5=TRUE,IF(BC207="","",SUM($BC$8:BC207)),"")</f>
        <v/>
      </c>
      <c r="BY207" s="100" t="str">
        <f>IF($BM$5=TRUE,IF(BD207="","",SUM($BD$8:BD207)),"")</f>
        <v/>
      </c>
      <c r="BZ207" s="100" t="str">
        <f>IF($BN$5=TRUE,IF(BE207="","",SUM($BE$8:BE207)),"")</f>
        <v/>
      </c>
    </row>
    <row r="208" spans="46:78" x14ac:dyDescent="0.25">
      <c r="AT208" s="74">
        <v>44652</v>
      </c>
      <c r="AU208" s="72">
        <v>2739.85</v>
      </c>
      <c r="AW208" s="74"/>
      <c r="BR208" s="133" t="str">
        <f t="shared" si="29"/>
        <v/>
      </c>
      <c r="BS208" s="100" t="str">
        <f>IF($BG$5=TRUE,IF(AX208="","",SUM($AX$8:AX208)),"")</f>
        <v/>
      </c>
      <c r="BT208" s="100" t="str">
        <f>IF($BH$5=TRUE,IF(AY208="","",SUM($AY$8:AY208)),"")</f>
        <v/>
      </c>
      <c r="BU208" s="100" t="str">
        <f>IF($BI$5=TRUE,IF(AZ208="","",SUM($AZ$8:AZ208)),"")</f>
        <v/>
      </c>
      <c r="BV208" s="100" t="str">
        <f>IF($BJ$5=TRUE,IF(BA208="","",SUM($BA$8:BA208)),"")</f>
        <v/>
      </c>
      <c r="BW208" s="100" t="str">
        <f>IF($BK$5=TRUE,IF(BB208="","",SUM($BB$8:BB208)),"")</f>
        <v/>
      </c>
      <c r="BX208" s="100" t="str">
        <f>IF($BL$5=TRUE,IF(BC208="","",SUM($BC$8:BC208)),"")</f>
        <v/>
      </c>
      <c r="BY208" s="100" t="str">
        <f>IF($BM$5=TRUE,IF(BD208="","",SUM($BD$8:BD208)),"")</f>
        <v/>
      </c>
      <c r="BZ208" s="100" t="str">
        <f>IF($BN$5=TRUE,IF(BE208="","",SUM($BE$8:BE208)),"")</f>
        <v/>
      </c>
    </row>
    <row r="209" spans="46:78" x14ac:dyDescent="0.25">
      <c r="AT209" s="74">
        <v>44651</v>
      </c>
      <c r="AU209" s="72">
        <v>2757.65</v>
      </c>
      <c r="AW209" s="74"/>
      <c r="BR209" s="133" t="str">
        <f t="shared" si="29"/>
        <v/>
      </c>
      <c r="BS209" s="100" t="str">
        <f>IF($BG$5=TRUE,IF(AX209="","",SUM($AX$8:AX209)),"")</f>
        <v/>
      </c>
      <c r="BT209" s="100" t="str">
        <f>IF($BH$5=TRUE,IF(AY209="","",SUM($AY$8:AY209)),"")</f>
        <v/>
      </c>
      <c r="BU209" s="100" t="str">
        <f>IF($BI$5=TRUE,IF(AZ209="","",SUM($AZ$8:AZ209)),"")</f>
        <v/>
      </c>
      <c r="BV209" s="100" t="str">
        <f>IF($BJ$5=TRUE,IF(BA209="","",SUM($BA$8:BA209)),"")</f>
        <v/>
      </c>
      <c r="BW209" s="100" t="str">
        <f>IF($BK$5=TRUE,IF(BB209="","",SUM($BB$8:BB209)),"")</f>
        <v/>
      </c>
      <c r="BX209" s="100" t="str">
        <f>IF($BL$5=TRUE,IF(BC209="","",SUM($BC$8:BC209)),"")</f>
        <v/>
      </c>
      <c r="BY209" s="100" t="str">
        <f>IF($BM$5=TRUE,IF(BD209="","",SUM($BD$8:BD209)),"")</f>
        <v/>
      </c>
      <c r="BZ209" s="100" t="str">
        <f>IF($BN$5=TRUE,IF(BE209="","",SUM($BE$8:BE209)),"")</f>
        <v/>
      </c>
    </row>
    <row r="210" spans="46:78" x14ac:dyDescent="0.25">
      <c r="AT210" s="74">
        <v>44650</v>
      </c>
      <c r="AU210" s="72">
        <v>2746.74</v>
      </c>
      <c r="AW210" s="74"/>
      <c r="BR210" s="133" t="str">
        <f t="shared" si="29"/>
        <v/>
      </c>
      <c r="BS210" s="100" t="str">
        <f>IF($BG$5=TRUE,IF(AX210="","",SUM($AX$8:AX210)),"")</f>
        <v/>
      </c>
      <c r="BT210" s="100" t="str">
        <f>IF($BH$5=TRUE,IF(AY210="","",SUM($AY$8:AY210)),"")</f>
        <v/>
      </c>
      <c r="BU210" s="100" t="str">
        <f>IF($BI$5=TRUE,IF(AZ210="","",SUM($AZ$8:AZ210)),"")</f>
        <v/>
      </c>
      <c r="BV210" s="100" t="str">
        <f>IF($BJ$5=TRUE,IF(BA210="","",SUM($BA$8:BA210)),"")</f>
        <v/>
      </c>
      <c r="BW210" s="100" t="str">
        <f>IF($BK$5=TRUE,IF(BB210="","",SUM($BB$8:BB210)),"")</f>
        <v/>
      </c>
      <c r="BX210" s="100" t="str">
        <f>IF($BL$5=TRUE,IF(BC210="","",SUM($BC$8:BC210)),"")</f>
        <v/>
      </c>
      <c r="BY210" s="100" t="str">
        <f>IF($BM$5=TRUE,IF(BD210="","",SUM($BD$8:BD210)),"")</f>
        <v/>
      </c>
      <c r="BZ210" s="100" t="str">
        <f>IF($BN$5=TRUE,IF(BE210="","",SUM($BE$8:BE210)),"")</f>
        <v/>
      </c>
    </row>
    <row r="211" spans="46:78" x14ac:dyDescent="0.25">
      <c r="AT211" s="74">
        <v>44649</v>
      </c>
      <c r="AU211" s="72">
        <v>2741.07</v>
      </c>
      <c r="AW211" s="74"/>
      <c r="BR211" s="133" t="str">
        <f t="shared" si="29"/>
        <v/>
      </c>
      <c r="BS211" s="100" t="str">
        <f>IF($BG$5=TRUE,IF(AX211="","",SUM($AX$8:AX211)),"")</f>
        <v/>
      </c>
      <c r="BT211" s="100" t="str">
        <f>IF($BH$5=TRUE,IF(AY211="","",SUM($AY$8:AY211)),"")</f>
        <v/>
      </c>
      <c r="BU211" s="100" t="str">
        <f>IF($BI$5=TRUE,IF(AZ211="","",SUM($AZ$8:AZ211)),"")</f>
        <v/>
      </c>
      <c r="BV211" s="100" t="str">
        <f>IF($BJ$5=TRUE,IF(BA211="","",SUM($BA$8:BA211)),"")</f>
        <v/>
      </c>
      <c r="BW211" s="100" t="str">
        <f>IF($BK$5=TRUE,IF(BB211="","",SUM($BB$8:BB211)),"")</f>
        <v/>
      </c>
      <c r="BX211" s="100" t="str">
        <f>IF($BL$5=TRUE,IF(BC211="","",SUM($BC$8:BC211)),"")</f>
        <v/>
      </c>
      <c r="BY211" s="100" t="str">
        <f>IF($BM$5=TRUE,IF(BD211="","",SUM($BD$8:BD211)),"")</f>
        <v/>
      </c>
      <c r="BZ211" s="100" t="str">
        <f>IF($BN$5=TRUE,IF(BE211="","",SUM($BE$8:BE211)),"")</f>
        <v/>
      </c>
    </row>
    <row r="212" spans="46:78" x14ac:dyDescent="0.25">
      <c r="AT212" s="74">
        <v>44648</v>
      </c>
      <c r="AU212" s="72">
        <v>2729.56</v>
      </c>
      <c r="AW212" s="74"/>
      <c r="BR212" s="133" t="str">
        <f t="shared" si="29"/>
        <v/>
      </c>
      <c r="BS212" s="100" t="str">
        <f>IF($BG$5=TRUE,IF(AX212="","",SUM($AX$8:AX212)),"")</f>
        <v/>
      </c>
      <c r="BT212" s="100" t="str">
        <f>IF($BH$5=TRUE,IF(AY212="","",SUM($AY$8:AY212)),"")</f>
        <v/>
      </c>
      <c r="BU212" s="100" t="str">
        <f>IF($BI$5=TRUE,IF(AZ212="","",SUM($AZ$8:AZ212)),"")</f>
        <v/>
      </c>
      <c r="BV212" s="100" t="str">
        <f>IF($BJ$5=TRUE,IF(BA212="","",SUM($BA$8:BA212)),"")</f>
        <v/>
      </c>
      <c r="BW212" s="100" t="str">
        <f>IF($BK$5=TRUE,IF(BB212="","",SUM($BB$8:BB212)),"")</f>
        <v/>
      </c>
      <c r="BX212" s="100" t="str">
        <f>IF($BL$5=TRUE,IF(BC212="","",SUM($BC$8:BC212)),"")</f>
        <v/>
      </c>
      <c r="BY212" s="100" t="str">
        <f>IF($BM$5=TRUE,IF(BD212="","",SUM($BD$8:BD212)),"")</f>
        <v/>
      </c>
      <c r="BZ212" s="100" t="str">
        <f>IF($BN$5=TRUE,IF(BE212="","",SUM($BE$8:BE212)),"")</f>
        <v/>
      </c>
    </row>
    <row r="213" spans="46:78" x14ac:dyDescent="0.25">
      <c r="AT213" s="74">
        <v>44645</v>
      </c>
      <c r="AU213" s="72">
        <v>2729.98</v>
      </c>
      <c r="AW213" s="74"/>
      <c r="BR213" s="133" t="str">
        <f t="shared" si="29"/>
        <v/>
      </c>
      <c r="BS213" s="100" t="str">
        <f>IF($BG$5=TRUE,IF(AX213="","",SUM($AX$8:AX213)),"")</f>
        <v/>
      </c>
      <c r="BT213" s="100" t="str">
        <f>IF($BH$5=TRUE,IF(AY213="","",SUM($AY$8:AY213)),"")</f>
        <v/>
      </c>
      <c r="BU213" s="100" t="str">
        <f>IF($BI$5=TRUE,IF(AZ213="","",SUM($AZ$8:AZ213)),"")</f>
        <v/>
      </c>
      <c r="BV213" s="100" t="str">
        <f>IF($BJ$5=TRUE,IF(BA213="","",SUM($BA$8:BA213)),"")</f>
        <v/>
      </c>
      <c r="BW213" s="100" t="str">
        <f>IF($BK$5=TRUE,IF(BB213="","",SUM($BB$8:BB213)),"")</f>
        <v/>
      </c>
      <c r="BX213" s="100" t="str">
        <f>IF($BL$5=TRUE,IF(BC213="","",SUM($BC$8:BC213)),"")</f>
        <v/>
      </c>
      <c r="BY213" s="100" t="str">
        <f>IF($BM$5=TRUE,IF(BD213="","",SUM($BD$8:BD213)),"")</f>
        <v/>
      </c>
      <c r="BZ213" s="100" t="str">
        <f>IF($BN$5=TRUE,IF(BE213="","",SUM($BE$8:BE213)),"")</f>
        <v/>
      </c>
    </row>
    <row r="214" spans="46:78" x14ac:dyDescent="0.25">
      <c r="AT214" s="74">
        <v>44644</v>
      </c>
      <c r="AU214" s="72">
        <v>2729.66</v>
      </c>
      <c r="AW214" s="74"/>
      <c r="BR214" s="133" t="str">
        <f t="shared" si="29"/>
        <v/>
      </c>
      <c r="BS214" s="100" t="str">
        <f>IF($BG$5=TRUE,IF(AX214="","",SUM($AX$8:AX214)),"")</f>
        <v/>
      </c>
      <c r="BT214" s="100" t="str">
        <f>IF($BH$5=TRUE,IF(AY214="","",SUM($AY$8:AY214)),"")</f>
        <v/>
      </c>
      <c r="BU214" s="100" t="str">
        <f>IF($BI$5=TRUE,IF(AZ214="","",SUM($AZ$8:AZ214)),"")</f>
        <v/>
      </c>
      <c r="BV214" s="100" t="str">
        <f>IF($BJ$5=TRUE,IF(BA214="","",SUM($BA$8:BA214)),"")</f>
        <v/>
      </c>
      <c r="BW214" s="100" t="str">
        <f>IF($BK$5=TRUE,IF(BB214="","",SUM($BB$8:BB214)),"")</f>
        <v/>
      </c>
      <c r="BX214" s="100" t="str">
        <f>IF($BL$5=TRUE,IF(BC214="","",SUM($BC$8:BC214)),"")</f>
        <v/>
      </c>
      <c r="BY214" s="100" t="str">
        <f>IF($BM$5=TRUE,IF(BD214="","",SUM($BD$8:BD214)),"")</f>
        <v/>
      </c>
      <c r="BZ214" s="100" t="str">
        <f>IF($BN$5=TRUE,IF(BE214="","",SUM($BE$8:BE214)),"")</f>
        <v/>
      </c>
    </row>
    <row r="215" spans="46:78" x14ac:dyDescent="0.25">
      <c r="AT215" s="74">
        <v>44643</v>
      </c>
      <c r="AU215" s="72">
        <v>2735.05</v>
      </c>
      <c r="AW215" s="74"/>
      <c r="BR215" s="133" t="str">
        <f t="shared" si="29"/>
        <v/>
      </c>
      <c r="BS215" s="100" t="str">
        <f>IF($BG$5=TRUE,IF(AX215="","",SUM($AX$8:AX215)),"")</f>
        <v/>
      </c>
      <c r="BT215" s="100" t="str">
        <f>IF($BH$5=TRUE,IF(AY215="","",SUM($AY$8:AY215)),"")</f>
        <v/>
      </c>
      <c r="BU215" s="100" t="str">
        <f>IF($BI$5=TRUE,IF(AZ215="","",SUM($AZ$8:AZ215)),"")</f>
        <v/>
      </c>
      <c r="BV215" s="100" t="str">
        <f>IF($BJ$5=TRUE,IF(BA215="","",SUM($BA$8:BA215)),"")</f>
        <v/>
      </c>
      <c r="BW215" s="100" t="str">
        <f>IF($BK$5=TRUE,IF(BB215="","",SUM($BB$8:BB215)),"")</f>
        <v/>
      </c>
      <c r="BX215" s="100" t="str">
        <f>IF($BL$5=TRUE,IF(BC215="","",SUM($BC$8:BC215)),"")</f>
        <v/>
      </c>
      <c r="BY215" s="100" t="str">
        <f>IF($BM$5=TRUE,IF(BD215="","",SUM($BD$8:BD215)),"")</f>
        <v/>
      </c>
      <c r="BZ215" s="100" t="str">
        <f>IF($BN$5=TRUE,IF(BE215="","",SUM($BE$8:BE215)),"")</f>
        <v/>
      </c>
    </row>
    <row r="216" spans="46:78" x14ac:dyDescent="0.25">
      <c r="AT216" s="74">
        <v>44642</v>
      </c>
      <c r="AU216" s="72">
        <v>2710</v>
      </c>
      <c r="AW216" s="74"/>
      <c r="BR216" s="133" t="str">
        <f t="shared" si="29"/>
        <v/>
      </c>
      <c r="BS216" s="100" t="str">
        <f>IF($BG$5=TRUE,IF(AX216="","",SUM($AX$8:AX216)),"")</f>
        <v/>
      </c>
      <c r="BT216" s="100" t="str">
        <f>IF($BH$5=TRUE,IF(AY216="","",SUM($AY$8:AY216)),"")</f>
        <v/>
      </c>
      <c r="BU216" s="100" t="str">
        <f>IF($BI$5=TRUE,IF(AZ216="","",SUM($AZ$8:AZ216)),"")</f>
        <v/>
      </c>
      <c r="BV216" s="100" t="str">
        <f>IF($BJ$5=TRUE,IF(BA216="","",SUM($BA$8:BA216)),"")</f>
        <v/>
      </c>
      <c r="BW216" s="100" t="str">
        <f>IF($BK$5=TRUE,IF(BB216="","",SUM($BB$8:BB216)),"")</f>
        <v/>
      </c>
      <c r="BX216" s="100" t="str">
        <f>IF($BL$5=TRUE,IF(BC216="","",SUM($BC$8:BC216)),"")</f>
        <v/>
      </c>
      <c r="BY216" s="100" t="str">
        <f>IF($BM$5=TRUE,IF(BD216="","",SUM($BD$8:BD216)),"")</f>
        <v/>
      </c>
      <c r="BZ216" s="100" t="str">
        <f>IF($BN$5=TRUE,IF(BE216="","",SUM($BE$8:BE216)),"")</f>
        <v/>
      </c>
    </row>
    <row r="217" spans="46:78" x14ac:dyDescent="0.25">
      <c r="AT217" s="74">
        <v>44641</v>
      </c>
      <c r="AU217" s="72">
        <v>2686.05</v>
      </c>
      <c r="AW217" s="74"/>
      <c r="BR217" s="133" t="str">
        <f t="shared" si="29"/>
        <v/>
      </c>
      <c r="BS217" s="100" t="str">
        <f>IF($BG$5=TRUE,IF(AX217="","",SUM($AX$8:AX217)),"")</f>
        <v/>
      </c>
      <c r="BT217" s="100" t="str">
        <f>IF($BH$5=TRUE,IF(AY217="","",SUM($AY$8:AY217)),"")</f>
        <v/>
      </c>
      <c r="BU217" s="100" t="str">
        <f>IF($BI$5=TRUE,IF(AZ217="","",SUM($AZ$8:AZ217)),"")</f>
        <v/>
      </c>
      <c r="BV217" s="100" t="str">
        <f>IF($BJ$5=TRUE,IF(BA217="","",SUM($BA$8:BA217)),"")</f>
        <v/>
      </c>
      <c r="BW217" s="100" t="str">
        <f>IF($BK$5=TRUE,IF(BB217="","",SUM($BB$8:BB217)),"")</f>
        <v/>
      </c>
      <c r="BX217" s="100" t="str">
        <f>IF($BL$5=TRUE,IF(BC217="","",SUM($BC$8:BC217)),"")</f>
        <v/>
      </c>
      <c r="BY217" s="100" t="str">
        <f>IF($BM$5=TRUE,IF(BD217="","",SUM($BD$8:BD217)),"")</f>
        <v/>
      </c>
      <c r="BZ217" s="100" t="str">
        <f>IF($BN$5=TRUE,IF(BE217="","",SUM($BE$8:BE217)),"")</f>
        <v/>
      </c>
    </row>
    <row r="218" spans="46:78" x14ac:dyDescent="0.25">
      <c r="AT218" s="74">
        <v>44638</v>
      </c>
      <c r="AU218" s="72">
        <v>2707.02</v>
      </c>
      <c r="AW218" s="74"/>
      <c r="BR218" s="133" t="str">
        <f t="shared" si="29"/>
        <v/>
      </c>
      <c r="BS218" s="100" t="str">
        <f>IF($BG$5=TRUE,IF(AX218="","",SUM($AX$8:AX218)),"")</f>
        <v/>
      </c>
      <c r="BT218" s="100" t="str">
        <f>IF($BH$5=TRUE,IF(AY218="","",SUM($AY$8:AY218)),"")</f>
        <v/>
      </c>
      <c r="BU218" s="100" t="str">
        <f>IF($BI$5=TRUE,IF(AZ218="","",SUM($AZ$8:AZ218)),"")</f>
        <v/>
      </c>
      <c r="BV218" s="100" t="str">
        <f>IF($BJ$5=TRUE,IF(BA218="","",SUM($BA$8:BA218)),"")</f>
        <v/>
      </c>
      <c r="BW218" s="100" t="str">
        <f>IF($BK$5=TRUE,IF(BB218="","",SUM($BB$8:BB218)),"")</f>
        <v/>
      </c>
      <c r="BX218" s="100" t="str">
        <f>IF($BL$5=TRUE,IF(BC218="","",SUM($BC$8:BC218)),"")</f>
        <v/>
      </c>
      <c r="BY218" s="100" t="str">
        <f>IF($BM$5=TRUE,IF(BD218="","",SUM($BD$8:BD218)),"")</f>
        <v/>
      </c>
      <c r="BZ218" s="100" t="str">
        <f>IF($BN$5=TRUE,IF(BE218="","",SUM($BE$8:BE218)),"")</f>
        <v/>
      </c>
    </row>
    <row r="219" spans="46:78" x14ac:dyDescent="0.25">
      <c r="AT219" s="74">
        <v>44637</v>
      </c>
      <c r="AU219" s="72">
        <v>2694.51</v>
      </c>
      <c r="AW219" s="74"/>
      <c r="BR219" s="133" t="str">
        <f t="shared" si="29"/>
        <v/>
      </c>
      <c r="BS219" s="100" t="str">
        <f>IF($BG$5=TRUE,IF(AX219="","",SUM($AX$8:AX219)),"")</f>
        <v/>
      </c>
      <c r="BT219" s="100" t="str">
        <f>IF($BH$5=TRUE,IF(AY219="","",SUM($AY$8:AY219)),"")</f>
        <v/>
      </c>
      <c r="BU219" s="100" t="str">
        <f>IF($BI$5=TRUE,IF(AZ219="","",SUM($AZ$8:AZ219)),"")</f>
        <v/>
      </c>
      <c r="BV219" s="100" t="str">
        <f>IF($BJ$5=TRUE,IF(BA219="","",SUM($BA$8:BA219)),"")</f>
        <v/>
      </c>
      <c r="BW219" s="100" t="str">
        <f>IF($BK$5=TRUE,IF(BB219="","",SUM($BB$8:BB219)),"")</f>
        <v/>
      </c>
      <c r="BX219" s="100" t="str">
        <f>IF($BL$5=TRUE,IF(BC219="","",SUM($BC$8:BC219)),"")</f>
        <v/>
      </c>
      <c r="BY219" s="100" t="str">
        <f>IF($BM$5=TRUE,IF(BD219="","",SUM($BD$8:BD219)),"")</f>
        <v/>
      </c>
      <c r="BZ219" s="100" t="str">
        <f>IF($BN$5=TRUE,IF(BE219="","",SUM($BE$8:BE219)),"")</f>
        <v/>
      </c>
    </row>
    <row r="220" spans="46:78" x14ac:dyDescent="0.25">
      <c r="AT220" s="74">
        <v>44636</v>
      </c>
      <c r="AU220" s="72">
        <v>2659.23</v>
      </c>
      <c r="AW220" s="74"/>
      <c r="BR220" s="133" t="str">
        <f t="shared" si="29"/>
        <v/>
      </c>
      <c r="BS220" s="100" t="str">
        <f>IF($BG$5=TRUE,IF(AX220="","",SUM($AX$8:AX220)),"")</f>
        <v/>
      </c>
      <c r="BT220" s="100" t="str">
        <f>IF($BH$5=TRUE,IF(AY220="","",SUM($AY$8:AY220)),"")</f>
        <v/>
      </c>
      <c r="BU220" s="100" t="str">
        <f>IF($BI$5=TRUE,IF(AZ220="","",SUM($AZ$8:AZ220)),"")</f>
        <v/>
      </c>
      <c r="BV220" s="100" t="str">
        <f>IF($BJ$5=TRUE,IF(BA220="","",SUM($BA$8:BA220)),"")</f>
        <v/>
      </c>
      <c r="BW220" s="100" t="str">
        <f>IF($BK$5=TRUE,IF(BB220="","",SUM($BB$8:BB220)),"")</f>
        <v/>
      </c>
      <c r="BX220" s="100" t="str">
        <f>IF($BL$5=TRUE,IF(BC220="","",SUM($BC$8:BC220)),"")</f>
        <v/>
      </c>
      <c r="BY220" s="100" t="str">
        <f>IF($BM$5=TRUE,IF(BD220="","",SUM($BD$8:BD220)),"")</f>
        <v/>
      </c>
      <c r="BZ220" s="100" t="str">
        <f>IF($BN$5=TRUE,IF(BE220="","",SUM($BE$8:BE220)),"")</f>
        <v/>
      </c>
    </row>
    <row r="221" spans="46:78" x14ac:dyDescent="0.25">
      <c r="AT221" s="74">
        <v>44635</v>
      </c>
      <c r="AU221" s="72">
        <v>2621.53</v>
      </c>
      <c r="AW221" s="74"/>
      <c r="BR221" s="133" t="str">
        <f t="shared" si="29"/>
        <v/>
      </c>
      <c r="BS221" s="100" t="str">
        <f>IF($BG$5=TRUE,IF(AX221="","",SUM($AX$8:AX221)),"")</f>
        <v/>
      </c>
      <c r="BT221" s="100" t="str">
        <f>IF($BH$5=TRUE,IF(AY221="","",SUM($AY$8:AY221)),"")</f>
        <v/>
      </c>
      <c r="BU221" s="100" t="str">
        <f>IF($BI$5=TRUE,IF(AZ221="","",SUM($AZ$8:AZ221)),"")</f>
        <v/>
      </c>
      <c r="BV221" s="100" t="str">
        <f>IF($BJ$5=TRUE,IF(BA221="","",SUM($BA$8:BA221)),"")</f>
        <v/>
      </c>
      <c r="BW221" s="100" t="str">
        <f>IF($BK$5=TRUE,IF(BB221="","",SUM($BB$8:BB221)),"")</f>
        <v/>
      </c>
      <c r="BX221" s="100" t="str">
        <f>IF($BL$5=TRUE,IF(BC221="","",SUM($BC$8:BC221)),"")</f>
        <v/>
      </c>
      <c r="BY221" s="100" t="str">
        <f>IF($BM$5=TRUE,IF(BD221="","",SUM($BD$8:BD221)),"")</f>
        <v/>
      </c>
      <c r="BZ221" s="100" t="str">
        <f>IF($BN$5=TRUE,IF(BE221="","",SUM($BE$8:BE221)),"")</f>
        <v/>
      </c>
    </row>
    <row r="222" spans="46:78" x14ac:dyDescent="0.25">
      <c r="AT222" s="74">
        <v>44634</v>
      </c>
      <c r="AU222" s="72">
        <v>2645.65</v>
      </c>
      <c r="AW222" s="74"/>
      <c r="BR222" s="133" t="str">
        <f t="shared" si="29"/>
        <v/>
      </c>
      <c r="BS222" s="100" t="str">
        <f>IF($BG$5=TRUE,IF(AX222="","",SUM($AX$8:AX222)),"")</f>
        <v/>
      </c>
      <c r="BT222" s="100" t="str">
        <f>IF($BH$5=TRUE,IF(AY222="","",SUM($AY$8:AY222)),"")</f>
        <v/>
      </c>
      <c r="BU222" s="100" t="str">
        <f>IF($BI$5=TRUE,IF(AZ222="","",SUM($AZ$8:AZ222)),"")</f>
        <v/>
      </c>
      <c r="BV222" s="100" t="str">
        <f>IF($BJ$5=TRUE,IF(BA222="","",SUM($BA$8:BA222)),"")</f>
        <v/>
      </c>
      <c r="BW222" s="100" t="str">
        <f>IF($BK$5=TRUE,IF(BB222="","",SUM($BB$8:BB222)),"")</f>
        <v/>
      </c>
      <c r="BX222" s="100" t="str">
        <f>IF($BL$5=TRUE,IF(BC222="","",SUM($BC$8:BC222)),"")</f>
        <v/>
      </c>
      <c r="BY222" s="100" t="str">
        <f>IF($BM$5=TRUE,IF(BD222="","",SUM($BD$8:BD222)),"")</f>
        <v/>
      </c>
      <c r="BZ222" s="100" t="str">
        <f>IF($BN$5=TRUE,IF(BE222="","",SUM($BE$8:BE222)),"")</f>
        <v/>
      </c>
    </row>
    <row r="223" spans="46:78" x14ac:dyDescent="0.25">
      <c r="AT223" s="74">
        <v>44631</v>
      </c>
      <c r="AU223" s="72">
        <v>2661.28</v>
      </c>
      <c r="AW223" s="74"/>
      <c r="BR223" s="133" t="str">
        <f t="shared" si="29"/>
        <v/>
      </c>
      <c r="BS223" s="100" t="str">
        <f>IF($BG$5=TRUE,IF(AX223="","",SUM($AX$8:AX223)),"")</f>
        <v/>
      </c>
      <c r="BT223" s="100" t="str">
        <f>IF($BH$5=TRUE,IF(AY223="","",SUM($AY$8:AY223)),"")</f>
        <v/>
      </c>
      <c r="BU223" s="100" t="str">
        <f>IF($BI$5=TRUE,IF(AZ223="","",SUM($AZ$8:AZ223)),"")</f>
        <v/>
      </c>
      <c r="BV223" s="100" t="str">
        <f>IF($BJ$5=TRUE,IF(BA223="","",SUM($BA$8:BA223)),"")</f>
        <v/>
      </c>
      <c r="BW223" s="100" t="str">
        <f>IF($BK$5=TRUE,IF(BB223="","",SUM($BB$8:BB223)),"")</f>
        <v/>
      </c>
      <c r="BX223" s="100" t="str">
        <f>IF($BL$5=TRUE,IF(BC223="","",SUM($BC$8:BC223)),"")</f>
        <v/>
      </c>
      <c r="BY223" s="100" t="str">
        <f>IF($BM$5=TRUE,IF(BD223="","",SUM($BD$8:BD223)),"")</f>
        <v/>
      </c>
      <c r="BZ223" s="100" t="str">
        <f>IF($BN$5=TRUE,IF(BE223="","",SUM($BE$8:BE223)),"")</f>
        <v/>
      </c>
    </row>
    <row r="224" spans="46:78" x14ac:dyDescent="0.25">
      <c r="AT224" s="74">
        <v>44630</v>
      </c>
      <c r="AU224" s="72">
        <v>2680.32</v>
      </c>
      <c r="AW224" s="74"/>
      <c r="BR224" s="133" t="str">
        <f t="shared" si="29"/>
        <v/>
      </c>
      <c r="BS224" s="100" t="str">
        <f>IF($BG$5=TRUE,IF(AX224="","",SUM($AX$8:AX224)),"")</f>
        <v/>
      </c>
      <c r="BT224" s="100" t="str">
        <f>IF($BH$5=TRUE,IF(AY224="","",SUM($AY$8:AY224)),"")</f>
        <v/>
      </c>
      <c r="BU224" s="100" t="str">
        <f>IF($BI$5=TRUE,IF(AZ224="","",SUM($AZ$8:AZ224)),"")</f>
        <v/>
      </c>
      <c r="BV224" s="100" t="str">
        <f>IF($BJ$5=TRUE,IF(BA224="","",SUM($BA$8:BA224)),"")</f>
        <v/>
      </c>
      <c r="BW224" s="100" t="str">
        <f>IF($BK$5=TRUE,IF(BB224="","",SUM($BB$8:BB224)),"")</f>
        <v/>
      </c>
      <c r="BX224" s="100" t="str">
        <f>IF($BL$5=TRUE,IF(BC224="","",SUM($BC$8:BC224)),"")</f>
        <v/>
      </c>
      <c r="BY224" s="100" t="str">
        <f>IF($BM$5=TRUE,IF(BD224="","",SUM($BD$8:BD224)),"")</f>
        <v/>
      </c>
      <c r="BZ224" s="100" t="str">
        <f>IF($BN$5=TRUE,IF(BE224="","",SUM($BE$8:BE224)),"")</f>
        <v/>
      </c>
    </row>
    <row r="225" spans="46:78" x14ac:dyDescent="0.25">
      <c r="AT225" s="74">
        <v>44628</v>
      </c>
      <c r="AU225" s="72">
        <v>2622.4</v>
      </c>
      <c r="AW225" s="74"/>
      <c r="BR225" s="133" t="str">
        <f t="shared" si="29"/>
        <v/>
      </c>
      <c r="BS225" s="100" t="str">
        <f>IF($BG$5=TRUE,IF(AX225="","",SUM($AX$8:AX225)),"")</f>
        <v/>
      </c>
      <c r="BT225" s="100" t="str">
        <f>IF($BH$5=TRUE,IF(AY225="","",SUM($AY$8:AY225)),"")</f>
        <v/>
      </c>
      <c r="BU225" s="100" t="str">
        <f>IF($BI$5=TRUE,IF(AZ225="","",SUM($AZ$8:AZ225)),"")</f>
        <v/>
      </c>
      <c r="BV225" s="100" t="str">
        <f>IF($BJ$5=TRUE,IF(BA225="","",SUM($BA$8:BA225)),"")</f>
        <v/>
      </c>
      <c r="BW225" s="100" t="str">
        <f>IF($BK$5=TRUE,IF(BB225="","",SUM($BB$8:BB225)),"")</f>
        <v/>
      </c>
      <c r="BX225" s="100" t="str">
        <f>IF($BL$5=TRUE,IF(BC225="","",SUM($BC$8:BC225)),"")</f>
        <v/>
      </c>
      <c r="BY225" s="100" t="str">
        <f>IF($BM$5=TRUE,IF(BD225="","",SUM($BD$8:BD225)),"")</f>
        <v/>
      </c>
      <c r="BZ225" s="100" t="str">
        <f>IF($BN$5=TRUE,IF(BE225="","",SUM($BE$8:BE225)),"")</f>
        <v/>
      </c>
    </row>
    <row r="226" spans="46:78" x14ac:dyDescent="0.25">
      <c r="AT226" s="74">
        <v>44627</v>
      </c>
      <c r="AU226" s="72">
        <v>2651.31</v>
      </c>
      <c r="AW226" s="74"/>
      <c r="BR226" s="133" t="str">
        <f t="shared" si="29"/>
        <v/>
      </c>
      <c r="BS226" s="100" t="str">
        <f>IF($BG$5=TRUE,IF(AX226="","",SUM($AX$8:AX226)),"")</f>
        <v/>
      </c>
      <c r="BT226" s="100" t="str">
        <f>IF($BH$5=TRUE,IF(AY226="","",SUM($AY$8:AY226)),"")</f>
        <v/>
      </c>
      <c r="BU226" s="100" t="str">
        <f>IF($BI$5=TRUE,IF(AZ226="","",SUM($AZ$8:AZ226)),"")</f>
        <v/>
      </c>
      <c r="BV226" s="100" t="str">
        <f>IF($BJ$5=TRUE,IF(BA226="","",SUM($BA$8:BA226)),"")</f>
        <v/>
      </c>
      <c r="BW226" s="100" t="str">
        <f>IF($BK$5=TRUE,IF(BB226="","",SUM($BB$8:BB226)),"")</f>
        <v/>
      </c>
      <c r="BX226" s="100" t="str">
        <f>IF($BL$5=TRUE,IF(BC226="","",SUM($BC$8:BC226)),"")</f>
        <v/>
      </c>
      <c r="BY226" s="100" t="str">
        <f>IF($BM$5=TRUE,IF(BD226="","",SUM($BD$8:BD226)),"")</f>
        <v/>
      </c>
      <c r="BZ226" s="100" t="str">
        <f>IF($BN$5=TRUE,IF(BE226="","",SUM($BE$8:BE226)),"")</f>
        <v/>
      </c>
    </row>
    <row r="227" spans="46:78" x14ac:dyDescent="0.25">
      <c r="AT227" s="74">
        <v>44624</v>
      </c>
      <c r="AU227" s="72">
        <v>2713.43</v>
      </c>
      <c r="AW227" s="74"/>
      <c r="BR227" s="133" t="str">
        <f t="shared" si="29"/>
        <v/>
      </c>
      <c r="BS227" s="100" t="str">
        <f>IF($BG$5=TRUE,IF(AX227="","",SUM($AX$8:AX227)),"")</f>
        <v/>
      </c>
      <c r="BT227" s="100" t="str">
        <f>IF($BH$5=TRUE,IF(AY227="","",SUM($AY$8:AY227)),"")</f>
        <v/>
      </c>
      <c r="BU227" s="100" t="str">
        <f>IF($BI$5=TRUE,IF(AZ227="","",SUM($AZ$8:AZ227)),"")</f>
        <v/>
      </c>
      <c r="BV227" s="100" t="str">
        <f>IF($BJ$5=TRUE,IF(BA227="","",SUM($BA$8:BA227)),"")</f>
        <v/>
      </c>
      <c r="BW227" s="100" t="str">
        <f>IF($BK$5=TRUE,IF(BB227="","",SUM($BB$8:BB227)),"")</f>
        <v/>
      </c>
      <c r="BX227" s="100" t="str">
        <f>IF($BL$5=TRUE,IF(BC227="","",SUM($BC$8:BC227)),"")</f>
        <v/>
      </c>
      <c r="BY227" s="100" t="str">
        <f>IF($BM$5=TRUE,IF(BD227="","",SUM($BD$8:BD227)),"")</f>
        <v/>
      </c>
      <c r="BZ227" s="100" t="str">
        <f>IF($BN$5=TRUE,IF(BE227="","",SUM($BE$8:BE227)),"")</f>
        <v/>
      </c>
    </row>
    <row r="228" spans="46:78" x14ac:dyDescent="0.25">
      <c r="AT228" s="74">
        <v>44623</v>
      </c>
      <c r="AU228" s="72">
        <v>2747.08</v>
      </c>
      <c r="AW228" s="74"/>
      <c r="BR228" s="133" t="str">
        <f t="shared" si="29"/>
        <v/>
      </c>
      <c r="BS228" s="100" t="str">
        <f>IF($BG$5=TRUE,IF(AX228="","",SUM($AX$8:AX228)),"")</f>
        <v/>
      </c>
      <c r="BT228" s="100" t="str">
        <f>IF($BH$5=TRUE,IF(AY228="","",SUM($AY$8:AY228)),"")</f>
        <v/>
      </c>
      <c r="BU228" s="100" t="str">
        <f>IF($BI$5=TRUE,IF(AZ228="","",SUM($AZ$8:AZ228)),"")</f>
        <v/>
      </c>
      <c r="BV228" s="100" t="str">
        <f>IF($BJ$5=TRUE,IF(BA228="","",SUM($BA$8:BA228)),"")</f>
        <v/>
      </c>
      <c r="BW228" s="100" t="str">
        <f>IF($BK$5=TRUE,IF(BB228="","",SUM($BB$8:BB228)),"")</f>
        <v/>
      </c>
      <c r="BX228" s="100" t="str">
        <f>IF($BL$5=TRUE,IF(BC228="","",SUM($BC$8:BC228)),"")</f>
        <v/>
      </c>
      <c r="BY228" s="100" t="str">
        <f>IF($BM$5=TRUE,IF(BD228="","",SUM($BD$8:BD228)),"")</f>
        <v/>
      </c>
      <c r="BZ228" s="100" t="str">
        <f>IF($BN$5=TRUE,IF(BE228="","",SUM($BE$8:BE228)),"")</f>
        <v/>
      </c>
    </row>
    <row r="229" spans="46:78" x14ac:dyDescent="0.25">
      <c r="AT229" s="74">
        <v>44622</v>
      </c>
      <c r="AU229" s="72">
        <v>2703.52</v>
      </c>
      <c r="AW229" s="74"/>
      <c r="BR229" s="133" t="str">
        <f t="shared" si="29"/>
        <v/>
      </c>
      <c r="BS229" s="100" t="str">
        <f>IF($BG$5=TRUE,IF(AX229="","",SUM($AX$8:AX229)),"")</f>
        <v/>
      </c>
      <c r="BT229" s="100" t="str">
        <f>IF($BH$5=TRUE,IF(AY229="","",SUM($AY$8:AY229)),"")</f>
        <v/>
      </c>
      <c r="BU229" s="100" t="str">
        <f>IF($BI$5=TRUE,IF(AZ229="","",SUM($AZ$8:AZ229)),"")</f>
        <v/>
      </c>
      <c r="BV229" s="100" t="str">
        <f>IF($BJ$5=TRUE,IF(BA229="","",SUM($BA$8:BA229)),"")</f>
        <v/>
      </c>
      <c r="BW229" s="100" t="str">
        <f>IF($BK$5=TRUE,IF(BB229="","",SUM($BB$8:BB229)),"")</f>
        <v/>
      </c>
      <c r="BX229" s="100" t="str">
        <f>IF($BL$5=TRUE,IF(BC229="","",SUM($BC$8:BC229)),"")</f>
        <v/>
      </c>
      <c r="BY229" s="100" t="str">
        <f>IF($BM$5=TRUE,IF(BD229="","",SUM($BD$8:BD229)),"")</f>
        <v/>
      </c>
      <c r="BZ229" s="100" t="str">
        <f>IF($BN$5=TRUE,IF(BE229="","",SUM($BE$8:BE229)),"")</f>
        <v/>
      </c>
    </row>
    <row r="230" spans="46:78" x14ac:dyDescent="0.25">
      <c r="AT230" s="74">
        <v>44620</v>
      </c>
      <c r="AU230" s="72">
        <v>2699.18</v>
      </c>
      <c r="AW230" s="74"/>
      <c r="BR230" s="133" t="str">
        <f t="shared" si="29"/>
        <v/>
      </c>
      <c r="BS230" s="100" t="str">
        <f>IF($BG$5=TRUE,IF(AX230="","",SUM($AX$8:AX230)),"")</f>
        <v/>
      </c>
      <c r="BT230" s="100" t="str">
        <f>IF($BH$5=TRUE,IF(AY230="","",SUM($AY$8:AY230)),"")</f>
        <v/>
      </c>
      <c r="BU230" s="100" t="str">
        <f>IF($BI$5=TRUE,IF(AZ230="","",SUM($AZ$8:AZ230)),"")</f>
        <v/>
      </c>
      <c r="BV230" s="100" t="str">
        <f>IF($BJ$5=TRUE,IF(BA230="","",SUM($BA$8:BA230)),"")</f>
        <v/>
      </c>
      <c r="BW230" s="100" t="str">
        <f>IF($BK$5=TRUE,IF(BB230="","",SUM($BB$8:BB230)),"")</f>
        <v/>
      </c>
      <c r="BX230" s="100" t="str">
        <f>IF($BL$5=TRUE,IF(BC230="","",SUM($BC$8:BC230)),"")</f>
        <v/>
      </c>
      <c r="BY230" s="100" t="str">
        <f>IF($BM$5=TRUE,IF(BD230="","",SUM($BD$8:BD230)),"")</f>
        <v/>
      </c>
      <c r="BZ230" s="100" t="str">
        <f>IF($BN$5=TRUE,IF(BE230="","",SUM($BE$8:BE230)),"")</f>
        <v/>
      </c>
    </row>
    <row r="231" spans="46:78" x14ac:dyDescent="0.25">
      <c r="AT231" s="74">
        <v>44617</v>
      </c>
      <c r="AU231" s="72">
        <v>2676.76</v>
      </c>
      <c r="AW231" s="74"/>
      <c r="BR231" s="133" t="str">
        <f t="shared" si="29"/>
        <v/>
      </c>
      <c r="BS231" s="100" t="str">
        <f>IF($BG$5=TRUE,IF(AX231="","",SUM($AX$8:AX231)),"")</f>
        <v/>
      </c>
      <c r="BT231" s="100" t="str">
        <f>IF($BH$5=TRUE,IF(AY231="","",SUM($AY$8:AY231)),"")</f>
        <v/>
      </c>
      <c r="BU231" s="100" t="str">
        <f>IF($BI$5=TRUE,IF(AZ231="","",SUM($AZ$8:AZ231)),"")</f>
        <v/>
      </c>
      <c r="BV231" s="100" t="str">
        <f>IF($BJ$5=TRUE,IF(BA231="","",SUM($BA$8:BA231)),"")</f>
        <v/>
      </c>
      <c r="BW231" s="100" t="str">
        <f>IF($BK$5=TRUE,IF(BB231="","",SUM($BB$8:BB231)),"")</f>
        <v/>
      </c>
      <c r="BX231" s="100" t="str">
        <f>IF($BL$5=TRUE,IF(BC231="","",SUM($BC$8:BC231)),"")</f>
        <v/>
      </c>
      <c r="BY231" s="100" t="str">
        <f>IF($BM$5=TRUE,IF(BD231="","",SUM($BD$8:BD231)),"")</f>
        <v/>
      </c>
      <c r="BZ231" s="100" t="str">
        <f>IF($BN$5=TRUE,IF(BE231="","",SUM($BE$8:BE231)),"")</f>
        <v/>
      </c>
    </row>
    <row r="232" spans="46:78" x14ac:dyDescent="0.25">
      <c r="AT232" s="74">
        <v>44616</v>
      </c>
      <c r="AU232" s="72">
        <v>2648.8</v>
      </c>
      <c r="AW232" s="74"/>
      <c r="BR232" s="133" t="str">
        <f t="shared" si="29"/>
        <v/>
      </c>
      <c r="BS232" s="100" t="str">
        <f>IF($BG$5=TRUE,IF(AX232="","",SUM($AX$8:AX232)),"")</f>
        <v/>
      </c>
      <c r="BT232" s="100" t="str">
        <f>IF($BH$5=TRUE,IF(AY232="","",SUM($AY$8:AY232)),"")</f>
        <v/>
      </c>
      <c r="BU232" s="100" t="str">
        <f>IF($BI$5=TRUE,IF(AZ232="","",SUM($AZ$8:AZ232)),"")</f>
        <v/>
      </c>
      <c r="BV232" s="100" t="str">
        <f>IF($BJ$5=TRUE,IF(BA232="","",SUM($BA$8:BA232)),"")</f>
        <v/>
      </c>
      <c r="BW232" s="100" t="str">
        <f>IF($BK$5=TRUE,IF(BB232="","",SUM($BB$8:BB232)),"")</f>
        <v/>
      </c>
      <c r="BX232" s="100" t="str">
        <f>IF($BL$5=TRUE,IF(BC232="","",SUM($BC$8:BC232)),"")</f>
        <v/>
      </c>
      <c r="BY232" s="100" t="str">
        <f>IF($BM$5=TRUE,IF(BD232="","",SUM($BD$8:BD232)),"")</f>
        <v/>
      </c>
      <c r="BZ232" s="100" t="str">
        <f>IF($BN$5=TRUE,IF(BE232="","",SUM($BE$8:BE232)),"")</f>
        <v/>
      </c>
    </row>
    <row r="233" spans="46:78" x14ac:dyDescent="0.25">
      <c r="AT233" s="74">
        <v>44615</v>
      </c>
      <c r="AU233" s="72">
        <v>2719.53</v>
      </c>
      <c r="AW233" s="74"/>
      <c r="BR233" s="133" t="str">
        <f t="shared" si="29"/>
        <v/>
      </c>
      <c r="BS233" s="100" t="str">
        <f>IF($BG$5=TRUE,IF(AX233="","",SUM($AX$8:AX233)),"")</f>
        <v/>
      </c>
      <c r="BT233" s="100" t="str">
        <f>IF($BH$5=TRUE,IF(AY233="","",SUM($AY$8:AY233)),"")</f>
        <v/>
      </c>
      <c r="BU233" s="100" t="str">
        <f>IF($BI$5=TRUE,IF(AZ233="","",SUM($AZ$8:AZ233)),"")</f>
        <v/>
      </c>
      <c r="BV233" s="100" t="str">
        <f>IF($BJ$5=TRUE,IF(BA233="","",SUM($BA$8:BA233)),"")</f>
        <v/>
      </c>
      <c r="BW233" s="100" t="str">
        <f>IF($BK$5=TRUE,IF(BB233="","",SUM($BB$8:BB233)),"")</f>
        <v/>
      </c>
      <c r="BX233" s="100" t="str">
        <f>IF($BL$5=TRUE,IF(BC233="","",SUM($BC$8:BC233)),"")</f>
        <v/>
      </c>
      <c r="BY233" s="100" t="str">
        <f>IF($BM$5=TRUE,IF(BD233="","",SUM($BD$8:BD233)),"")</f>
        <v/>
      </c>
      <c r="BZ233" s="100" t="str">
        <f>IF($BN$5=TRUE,IF(BE233="","",SUM($BE$8:BE233)),"")</f>
        <v/>
      </c>
    </row>
    <row r="234" spans="46:78" x14ac:dyDescent="0.25">
      <c r="AT234" s="74">
        <v>44614</v>
      </c>
      <c r="AU234" s="72">
        <v>2706.79</v>
      </c>
      <c r="AW234" s="74"/>
      <c r="BR234" s="133" t="str">
        <f t="shared" si="29"/>
        <v/>
      </c>
      <c r="BS234" s="100" t="str">
        <f>IF($BG$5=TRUE,IF(AX234="","",SUM($AX$8:AX234)),"")</f>
        <v/>
      </c>
      <c r="BT234" s="100" t="str">
        <f>IF($BH$5=TRUE,IF(AY234="","",SUM($AY$8:AY234)),"")</f>
        <v/>
      </c>
      <c r="BU234" s="100" t="str">
        <f>IF($BI$5=TRUE,IF(AZ234="","",SUM($AZ$8:AZ234)),"")</f>
        <v/>
      </c>
      <c r="BV234" s="100" t="str">
        <f>IF($BJ$5=TRUE,IF(BA234="","",SUM($BA$8:BA234)),"")</f>
        <v/>
      </c>
      <c r="BW234" s="100" t="str">
        <f>IF($BK$5=TRUE,IF(BB234="","",SUM($BB$8:BB234)),"")</f>
        <v/>
      </c>
      <c r="BX234" s="100" t="str">
        <f>IF($BL$5=TRUE,IF(BC234="","",SUM($BC$8:BC234)),"")</f>
        <v/>
      </c>
      <c r="BY234" s="100" t="str">
        <f>IF($BM$5=TRUE,IF(BD234="","",SUM($BD$8:BD234)),"")</f>
        <v/>
      </c>
      <c r="BZ234" s="100" t="str">
        <f>IF($BN$5=TRUE,IF(BE234="","",SUM($BE$8:BE234)),"")</f>
        <v/>
      </c>
    </row>
    <row r="235" spans="46:78" x14ac:dyDescent="0.25">
      <c r="AT235" s="74">
        <v>44613</v>
      </c>
      <c r="AU235" s="72">
        <v>2743.8</v>
      </c>
      <c r="AW235" s="74"/>
      <c r="BR235" s="133" t="str">
        <f t="shared" si="29"/>
        <v/>
      </c>
      <c r="BS235" s="100" t="str">
        <f>IF($BG$5=TRUE,IF(AX235="","",SUM($AX$8:AX235)),"")</f>
        <v/>
      </c>
      <c r="BT235" s="100" t="str">
        <f>IF($BH$5=TRUE,IF(AY235="","",SUM($AY$8:AY235)),"")</f>
        <v/>
      </c>
      <c r="BU235" s="100" t="str">
        <f>IF($BI$5=TRUE,IF(AZ235="","",SUM($AZ$8:AZ235)),"")</f>
        <v/>
      </c>
      <c r="BV235" s="100" t="str">
        <f>IF($BJ$5=TRUE,IF(BA235="","",SUM($BA$8:BA235)),"")</f>
        <v/>
      </c>
      <c r="BW235" s="100" t="str">
        <f>IF($BK$5=TRUE,IF(BB235="","",SUM($BB$8:BB235)),"")</f>
        <v/>
      </c>
      <c r="BX235" s="100" t="str">
        <f>IF($BL$5=TRUE,IF(BC235="","",SUM($BC$8:BC235)),"")</f>
        <v/>
      </c>
      <c r="BY235" s="100" t="str">
        <f>IF($BM$5=TRUE,IF(BD235="","",SUM($BD$8:BD235)),"")</f>
        <v/>
      </c>
      <c r="BZ235" s="100" t="str">
        <f>IF($BN$5=TRUE,IF(BE235="","",SUM($BE$8:BE235)),"")</f>
        <v/>
      </c>
    </row>
    <row r="236" spans="46:78" x14ac:dyDescent="0.25">
      <c r="AT236" s="74">
        <v>44610</v>
      </c>
      <c r="AU236" s="72">
        <v>2744.52</v>
      </c>
      <c r="AW236" s="74"/>
      <c r="BR236" s="133" t="str">
        <f t="shared" si="29"/>
        <v/>
      </c>
      <c r="BS236" s="100" t="str">
        <f>IF($BG$5=TRUE,IF(AX236="","",SUM($AX$8:AX236)),"")</f>
        <v/>
      </c>
      <c r="BT236" s="100" t="str">
        <f>IF($BH$5=TRUE,IF(AY236="","",SUM($AY$8:AY236)),"")</f>
        <v/>
      </c>
      <c r="BU236" s="100" t="str">
        <f>IF($BI$5=TRUE,IF(AZ236="","",SUM($AZ$8:AZ236)),"")</f>
        <v/>
      </c>
      <c r="BV236" s="100" t="str">
        <f>IF($BJ$5=TRUE,IF(BA236="","",SUM($BA$8:BA236)),"")</f>
        <v/>
      </c>
      <c r="BW236" s="100" t="str">
        <f>IF($BK$5=TRUE,IF(BB236="","",SUM($BB$8:BB236)),"")</f>
        <v/>
      </c>
      <c r="BX236" s="100" t="str">
        <f>IF($BL$5=TRUE,IF(BC236="","",SUM($BC$8:BC236)),"")</f>
        <v/>
      </c>
      <c r="BY236" s="100" t="str">
        <f>IF($BM$5=TRUE,IF(BD236="","",SUM($BD$8:BD236)),"")</f>
        <v/>
      </c>
      <c r="BZ236" s="100" t="str">
        <f>IF($BN$5=TRUE,IF(BE236="","",SUM($BE$8:BE236)),"")</f>
        <v/>
      </c>
    </row>
    <row r="237" spans="46:78" x14ac:dyDescent="0.25">
      <c r="AT237" s="74">
        <v>44609</v>
      </c>
      <c r="AU237" s="72">
        <v>2744.09</v>
      </c>
      <c r="AW237" s="74"/>
      <c r="BR237" s="133" t="str">
        <f t="shared" si="29"/>
        <v/>
      </c>
      <c r="BS237" s="100" t="str">
        <f>IF($BG$5=TRUE,IF(AX237="","",SUM($AX$8:AX237)),"")</f>
        <v/>
      </c>
      <c r="BT237" s="100" t="str">
        <f>IF($BH$5=TRUE,IF(AY237="","",SUM($AY$8:AY237)),"")</f>
        <v/>
      </c>
      <c r="BU237" s="100" t="str">
        <f>IF($BI$5=TRUE,IF(AZ237="","",SUM($AZ$8:AZ237)),"")</f>
        <v/>
      </c>
      <c r="BV237" s="100" t="str">
        <f>IF($BJ$5=TRUE,IF(BA237="","",SUM($BA$8:BA237)),"")</f>
        <v/>
      </c>
      <c r="BW237" s="100" t="str">
        <f>IF($BK$5=TRUE,IF(BB237="","",SUM($BB$8:BB237)),"")</f>
        <v/>
      </c>
      <c r="BX237" s="100" t="str">
        <f>IF($BL$5=TRUE,IF(BC237="","",SUM($BC$8:BC237)),"")</f>
        <v/>
      </c>
      <c r="BY237" s="100" t="str">
        <f>IF($BM$5=TRUE,IF(BD237="","",SUM($BD$8:BD237)),"")</f>
        <v/>
      </c>
      <c r="BZ237" s="100" t="str">
        <f>IF($BN$5=TRUE,IF(BE237="","",SUM($BE$8:BE237)),"")</f>
        <v/>
      </c>
    </row>
    <row r="238" spans="46:78" x14ac:dyDescent="0.25">
      <c r="AT238" s="74">
        <v>44608</v>
      </c>
      <c r="AU238" s="72">
        <v>2729.68</v>
      </c>
      <c r="AW238" s="74"/>
      <c r="BR238" s="133" t="str">
        <f t="shared" si="29"/>
        <v/>
      </c>
      <c r="BS238" s="100" t="str">
        <f>IF($BG$5=TRUE,IF(AX238="","",SUM($AX$8:AX238)),"")</f>
        <v/>
      </c>
      <c r="BT238" s="100" t="str">
        <f>IF($BH$5=TRUE,IF(AY238="","",SUM($AY$8:AY238)),"")</f>
        <v/>
      </c>
      <c r="BU238" s="100" t="str">
        <f>IF($BI$5=TRUE,IF(AZ238="","",SUM($AZ$8:AZ238)),"")</f>
        <v/>
      </c>
      <c r="BV238" s="100" t="str">
        <f>IF($BJ$5=TRUE,IF(BA238="","",SUM($BA$8:BA238)),"")</f>
        <v/>
      </c>
      <c r="BW238" s="100" t="str">
        <f>IF($BK$5=TRUE,IF(BB238="","",SUM($BB$8:BB238)),"")</f>
        <v/>
      </c>
      <c r="BX238" s="100" t="str">
        <f>IF($BL$5=TRUE,IF(BC238="","",SUM($BC$8:BC238)),"")</f>
        <v/>
      </c>
      <c r="BY238" s="100" t="str">
        <f>IF($BM$5=TRUE,IF(BD238="","",SUM($BD$8:BD238)),"")</f>
        <v/>
      </c>
      <c r="BZ238" s="100" t="str">
        <f>IF($BN$5=TRUE,IF(BE238="","",SUM($BE$8:BE238)),"")</f>
        <v/>
      </c>
    </row>
    <row r="239" spans="46:78" x14ac:dyDescent="0.25">
      <c r="AT239" s="74">
        <v>44607</v>
      </c>
      <c r="AU239" s="72">
        <v>2676.54</v>
      </c>
      <c r="AW239" s="74"/>
      <c r="BR239" s="133" t="str">
        <f t="shared" si="29"/>
        <v/>
      </c>
      <c r="BS239" s="100" t="str">
        <f>IF($BG$5=TRUE,IF(AX239="","",SUM($AX$8:AX239)),"")</f>
        <v/>
      </c>
      <c r="BT239" s="100" t="str">
        <f>IF($BH$5=TRUE,IF(AY239="","",SUM($AY$8:AY239)),"")</f>
        <v/>
      </c>
      <c r="BU239" s="100" t="str">
        <f>IF($BI$5=TRUE,IF(AZ239="","",SUM($AZ$8:AZ239)),"")</f>
        <v/>
      </c>
      <c r="BV239" s="100" t="str">
        <f>IF($BJ$5=TRUE,IF(BA239="","",SUM($BA$8:BA239)),"")</f>
        <v/>
      </c>
      <c r="BW239" s="100" t="str">
        <f>IF($BK$5=TRUE,IF(BB239="","",SUM($BB$8:BB239)),"")</f>
        <v/>
      </c>
      <c r="BX239" s="100" t="str">
        <f>IF($BL$5=TRUE,IF(BC239="","",SUM($BC$8:BC239)),"")</f>
        <v/>
      </c>
      <c r="BY239" s="100" t="str">
        <f>IF($BM$5=TRUE,IF(BD239="","",SUM($BD$8:BD239)),"")</f>
        <v/>
      </c>
      <c r="BZ239" s="100" t="str">
        <f>IF($BN$5=TRUE,IF(BE239="","",SUM($BE$8:BE239)),"")</f>
        <v/>
      </c>
    </row>
    <row r="240" spans="46:78" x14ac:dyDescent="0.25">
      <c r="AT240" s="74">
        <v>44606</v>
      </c>
      <c r="AU240" s="72">
        <v>2704.48</v>
      </c>
      <c r="AW240" s="74"/>
      <c r="BR240" s="133" t="str">
        <f t="shared" si="29"/>
        <v/>
      </c>
      <c r="BS240" s="100" t="str">
        <f>IF($BG$5=TRUE,IF(AX240="","",SUM($AX$8:AX240)),"")</f>
        <v/>
      </c>
      <c r="BT240" s="100" t="str">
        <f>IF($BH$5=TRUE,IF(AY240="","",SUM($AY$8:AY240)),"")</f>
        <v/>
      </c>
      <c r="BU240" s="100" t="str">
        <f>IF($BI$5=TRUE,IF(AZ240="","",SUM($AZ$8:AZ240)),"")</f>
        <v/>
      </c>
      <c r="BV240" s="100" t="str">
        <f>IF($BJ$5=TRUE,IF(BA240="","",SUM($BA$8:BA240)),"")</f>
        <v/>
      </c>
      <c r="BW240" s="100" t="str">
        <f>IF($BK$5=TRUE,IF(BB240="","",SUM($BB$8:BB240)),"")</f>
        <v/>
      </c>
      <c r="BX240" s="100" t="str">
        <f>IF($BL$5=TRUE,IF(BC240="","",SUM($BC$8:BC240)),"")</f>
        <v/>
      </c>
      <c r="BY240" s="100" t="str">
        <f>IF($BM$5=TRUE,IF(BD240="","",SUM($BD$8:BD240)),"")</f>
        <v/>
      </c>
      <c r="BZ240" s="100" t="str">
        <f>IF($BN$5=TRUE,IF(BE240="","",SUM($BE$8:BE240)),"")</f>
        <v/>
      </c>
    </row>
    <row r="241" spans="46:78" x14ac:dyDescent="0.25">
      <c r="AT241" s="74">
        <v>44603</v>
      </c>
      <c r="AU241" s="72">
        <v>2747.71</v>
      </c>
      <c r="AW241" s="74"/>
      <c r="BR241" s="133" t="str">
        <f t="shared" si="29"/>
        <v/>
      </c>
      <c r="BS241" s="100" t="str">
        <f>IF($BG$5=TRUE,IF(AX241="","",SUM($AX$8:AX241)),"")</f>
        <v/>
      </c>
      <c r="BT241" s="100" t="str">
        <f>IF($BH$5=TRUE,IF(AY241="","",SUM($AY$8:AY241)),"")</f>
        <v/>
      </c>
      <c r="BU241" s="100" t="str">
        <f>IF($BI$5=TRUE,IF(AZ241="","",SUM($AZ$8:AZ241)),"")</f>
        <v/>
      </c>
      <c r="BV241" s="100" t="str">
        <f>IF($BJ$5=TRUE,IF(BA241="","",SUM($BA$8:BA241)),"")</f>
        <v/>
      </c>
      <c r="BW241" s="100" t="str">
        <f>IF($BK$5=TRUE,IF(BB241="","",SUM($BB$8:BB241)),"")</f>
        <v/>
      </c>
      <c r="BX241" s="100" t="str">
        <f>IF($BL$5=TRUE,IF(BC241="","",SUM($BC$8:BC241)),"")</f>
        <v/>
      </c>
      <c r="BY241" s="100" t="str">
        <f>IF($BM$5=TRUE,IF(BD241="","",SUM($BD$8:BD241)),"")</f>
        <v/>
      </c>
      <c r="BZ241" s="100" t="str">
        <f>IF($BN$5=TRUE,IF(BE241="","",SUM($BE$8:BE241)),"")</f>
        <v/>
      </c>
    </row>
    <row r="242" spans="46:78" x14ac:dyDescent="0.25">
      <c r="AT242" s="74">
        <v>44602</v>
      </c>
      <c r="AU242" s="72">
        <v>2771.93</v>
      </c>
      <c r="AW242" s="74"/>
      <c r="BR242" s="133" t="str">
        <f t="shared" si="29"/>
        <v/>
      </c>
      <c r="BS242" s="100" t="str">
        <f>IF($BG$5=TRUE,IF(AX242="","",SUM($AX$8:AX242)),"")</f>
        <v/>
      </c>
      <c r="BT242" s="100" t="str">
        <f>IF($BH$5=TRUE,IF(AY242="","",SUM($AY$8:AY242)),"")</f>
        <v/>
      </c>
      <c r="BU242" s="100" t="str">
        <f>IF($BI$5=TRUE,IF(AZ242="","",SUM($AZ$8:AZ242)),"")</f>
        <v/>
      </c>
      <c r="BV242" s="100" t="str">
        <f>IF($BJ$5=TRUE,IF(BA242="","",SUM($BA$8:BA242)),"")</f>
        <v/>
      </c>
      <c r="BW242" s="100" t="str">
        <f>IF($BK$5=TRUE,IF(BB242="","",SUM($BB$8:BB242)),"")</f>
        <v/>
      </c>
      <c r="BX242" s="100" t="str">
        <f>IF($BL$5=TRUE,IF(BC242="","",SUM($BC$8:BC242)),"")</f>
        <v/>
      </c>
      <c r="BY242" s="100" t="str">
        <f>IF($BM$5=TRUE,IF(BD242="","",SUM($BD$8:BD242)),"")</f>
        <v/>
      </c>
      <c r="BZ242" s="100" t="str">
        <f>IF($BN$5=TRUE,IF(BE242="","",SUM($BE$8:BE242)),"")</f>
        <v/>
      </c>
    </row>
    <row r="243" spans="46:78" x14ac:dyDescent="0.25">
      <c r="AT243" s="74">
        <v>44601</v>
      </c>
      <c r="AU243" s="72">
        <v>2768.85</v>
      </c>
      <c r="AW243" s="74"/>
      <c r="BR243" s="133" t="str">
        <f t="shared" si="29"/>
        <v/>
      </c>
      <c r="BS243" s="100" t="str">
        <f>IF($BG$5=TRUE,IF(AX243="","",SUM($AX$8:AX243)),"")</f>
        <v/>
      </c>
      <c r="BT243" s="100" t="str">
        <f>IF($BH$5=TRUE,IF(AY243="","",SUM($AY$8:AY243)),"")</f>
        <v/>
      </c>
      <c r="BU243" s="100" t="str">
        <f>IF($BI$5=TRUE,IF(AZ243="","",SUM($AZ$8:AZ243)),"")</f>
        <v/>
      </c>
      <c r="BV243" s="100" t="str">
        <f>IF($BJ$5=TRUE,IF(BA243="","",SUM($BA$8:BA243)),"")</f>
        <v/>
      </c>
      <c r="BW243" s="100" t="str">
        <f>IF($BK$5=TRUE,IF(BB243="","",SUM($BB$8:BB243)),"")</f>
        <v/>
      </c>
      <c r="BX243" s="100" t="str">
        <f>IF($BL$5=TRUE,IF(BC243="","",SUM($BC$8:BC243)),"")</f>
        <v/>
      </c>
      <c r="BY243" s="100" t="str">
        <f>IF($BM$5=TRUE,IF(BD243="","",SUM($BD$8:BD243)),"")</f>
        <v/>
      </c>
      <c r="BZ243" s="100" t="str">
        <f>IF($BN$5=TRUE,IF(BE243="","",SUM($BE$8:BE243)),"")</f>
        <v/>
      </c>
    </row>
    <row r="244" spans="46:78" x14ac:dyDescent="0.25">
      <c r="AT244" s="74">
        <v>44600</v>
      </c>
      <c r="AU244" s="72">
        <v>2746.47</v>
      </c>
      <c r="AW244" s="74"/>
      <c r="BR244" s="133" t="str">
        <f t="shared" si="29"/>
        <v/>
      </c>
      <c r="BS244" s="100" t="str">
        <f>IF($BG$5=TRUE,IF(AX244="","",SUM($AX$8:AX244)),"")</f>
        <v/>
      </c>
      <c r="BT244" s="100" t="str">
        <f>IF($BH$5=TRUE,IF(AY244="","",SUM($AY$8:AY244)),"")</f>
        <v/>
      </c>
      <c r="BU244" s="100" t="str">
        <f>IF($BI$5=TRUE,IF(AZ244="","",SUM($AZ$8:AZ244)),"")</f>
        <v/>
      </c>
      <c r="BV244" s="100" t="str">
        <f>IF($BJ$5=TRUE,IF(BA244="","",SUM($BA$8:BA244)),"")</f>
        <v/>
      </c>
      <c r="BW244" s="100" t="str">
        <f>IF($BK$5=TRUE,IF(BB244="","",SUM($BB$8:BB244)),"")</f>
        <v/>
      </c>
      <c r="BX244" s="100" t="str">
        <f>IF($BL$5=TRUE,IF(BC244="","",SUM($BC$8:BC244)),"")</f>
        <v/>
      </c>
      <c r="BY244" s="100" t="str">
        <f>IF($BM$5=TRUE,IF(BD244="","",SUM($BD$8:BD244)),"")</f>
        <v/>
      </c>
      <c r="BZ244" s="100" t="str">
        <f>IF($BN$5=TRUE,IF(BE244="","",SUM($BE$8:BE244)),"")</f>
        <v/>
      </c>
    </row>
    <row r="245" spans="46:78" x14ac:dyDescent="0.25">
      <c r="AT245" s="74">
        <v>44599</v>
      </c>
      <c r="AU245" s="72">
        <v>2745.06</v>
      </c>
      <c r="AW245" s="74"/>
      <c r="BR245" s="133" t="str">
        <f t="shared" si="29"/>
        <v/>
      </c>
      <c r="BS245" s="100" t="str">
        <f>IF($BG$5=TRUE,IF(AX245="","",SUM($AX$8:AX245)),"")</f>
        <v/>
      </c>
      <c r="BT245" s="100" t="str">
        <f>IF($BH$5=TRUE,IF(AY245="","",SUM($AY$8:AY245)),"")</f>
        <v/>
      </c>
      <c r="BU245" s="100" t="str">
        <f>IF($BI$5=TRUE,IF(AZ245="","",SUM($AZ$8:AZ245)),"")</f>
        <v/>
      </c>
      <c r="BV245" s="100" t="str">
        <f>IF($BJ$5=TRUE,IF(BA245="","",SUM($BA$8:BA245)),"")</f>
        <v/>
      </c>
      <c r="BW245" s="100" t="str">
        <f>IF($BK$5=TRUE,IF(BB245="","",SUM($BB$8:BB245)),"")</f>
        <v/>
      </c>
      <c r="BX245" s="100" t="str">
        <f>IF($BL$5=TRUE,IF(BC245="","",SUM($BC$8:BC245)),"")</f>
        <v/>
      </c>
      <c r="BY245" s="100" t="str">
        <f>IF($BM$5=TRUE,IF(BD245="","",SUM($BD$8:BD245)),"")</f>
        <v/>
      </c>
      <c r="BZ245" s="100" t="str">
        <f>IF($BN$5=TRUE,IF(BE245="","",SUM($BE$8:BE245)),"")</f>
        <v/>
      </c>
    </row>
    <row r="246" spans="46:78" x14ac:dyDescent="0.25">
      <c r="AT246" s="74">
        <v>44596</v>
      </c>
      <c r="AU246" s="72">
        <v>2750.26</v>
      </c>
      <c r="AW246" s="74"/>
      <c r="BR246" s="133" t="str">
        <f t="shared" si="29"/>
        <v/>
      </c>
      <c r="BS246" s="100" t="str">
        <f>IF($BG$5=TRUE,IF(AX246="","",SUM($AX$8:AX246)),"")</f>
        <v/>
      </c>
      <c r="BT246" s="100" t="str">
        <f>IF($BH$5=TRUE,IF(AY246="","",SUM($AY$8:AY246)),"")</f>
        <v/>
      </c>
      <c r="BU246" s="100" t="str">
        <f>IF($BI$5=TRUE,IF(AZ246="","",SUM($AZ$8:AZ246)),"")</f>
        <v/>
      </c>
      <c r="BV246" s="100" t="str">
        <f>IF($BJ$5=TRUE,IF(BA246="","",SUM($BA$8:BA246)),"")</f>
        <v/>
      </c>
      <c r="BW246" s="100" t="str">
        <f>IF($BK$5=TRUE,IF(BB246="","",SUM($BB$8:BB246)),"")</f>
        <v/>
      </c>
      <c r="BX246" s="100" t="str">
        <f>IF($BL$5=TRUE,IF(BC246="","",SUM($BC$8:BC246)),"")</f>
        <v/>
      </c>
      <c r="BY246" s="100" t="str">
        <f>IF($BM$5=TRUE,IF(BD246="","",SUM($BD$8:BD246)),"")</f>
        <v/>
      </c>
      <c r="BZ246" s="100" t="str">
        <f>IF($BN$5=TRUE,IF(BE246="","",SUM($BE$8:BE246)),"")</f>
        <v/>
      </c>
    </row>
    <row r="247" spans="46:78" x14ac:dyDescent="0.25">
      <c r="AT247" s="74">
        <v>44595</v>
      </c>
      <c r="AU247" s="72">
        <v>2707.82</v>
      </c>
      <c r="AW247" s="74"/>
      <c r="BR247" s="133" t="str">
        <f t="shared" si="29"/>
        <v/>
      </c>
      <c r="BS247" s="100" t="str">
        <f>IF($BG$5=TRUE,IF(AX247="","",SUM($AX$8:AX247)),"")</f>
        <v/>
      </c>
      <c r="BT247" s="100" t="str">
        <f>IF($BH$5=TRUE,IF(AY247="","",SUM($AY$8:AY247)),"")</f>
        <v/>
      </c>
      <c r="BU247" s="100" t="str">
        <f>IF($BI$5=TRUE,IF(AZ247="","",SUM($AZ$8:AZ247)),"")</f>
        <v/>
      </c>
      <c r="BV247" s="100" t="str">
        <f>IF($BJ$5=TRUE,IF(BA247="","",SUM($BA$8:BA247)),"")</f>
        <v/>
      </c>
      <c r="BW247" s="100" t="str">
        <f>IF($BK$5=TRUE,IF(BB247="","",SUM($BB$8:BB247)),"")</f>
        <v/>
      </c>
      <c r="BX247" s="100" t="str">
        <f>IF($BL$5=TRUE,IF(BC247="","",SUM($BC$8:BC247)),"")</f>
        <v/>
      </c>
      <c r="BY247" s="100" t="str">
        <f>IF($BM$5=TRUE,IF(BD247="","",SUM($BD$8:BD247)),"")</f>
        <v/>
      </c>
      <c r="BZ247" s="100" t="str">
        <f>IF($BN$5=TRUE,IF(BE247="","",SUM($BE$8:BE247)),"")</f>
        <v/>
      </c>
    </row>
    <row r="248" spans="46:78" x14ac:dyDescent="0.25">
      <c r="AT248" s="74">
        <v>44589</v>
      </c>
      <c r="AU248" s="72">
        <v>2663.34</v>
      </c>
      <c r="AW248" s="74"/>
      <c r="BR248" s="133" t="str">
        <f t="shared" si="29"/>
        <v/>
      </c>
      <c r="BS248" s="100" t="str">
        <f>IF($BG$5=TRUE,IF(AX248="","",SUM($AX$8:AX248)),"")</f>
        <v/>
      </c>
      <c r="BT248" s="100" t="str">
        <f>IF($BH$5=TRUE,IF(AY248="","",SUM($AY$8:AY248)),"")</f>
        <v/>
      </c>
      <c r="BU248" s="100" t="str">
        <f>IF($BI$5=TRUE,IF(AZ248="","",SUM($AZ$8:AZ248)),"")</f>
        <v/>
      </c>
      <c r="BV248" s="100" t="str">
        <f>IF($BJ$5=TRUE,IF(BA248="","",SUM($BA$8:BA248)),"")</f>
        <v/>
      </c>
      <c r="BW248" s="100" t="str">
        <f>IF($BK$5=TRUE,IF(BB248="","",SUM($BB$8:BB248)),"")</f>
        <v/>
      </c>
      <c r="BX248" s="100" t="str">
        <f>IF($BL$5=TRUE,IF(BC248="","",SUM($BC$8:BC248)),"")</f>
        <v/>
      </c>
      <c r="BY248" s="100" t="str">
        <f>IF($BM$5=TRUE,IF(BD248="","",SUM($BD$8:BD248)),"")</f>
        <v/>
      </c>
      <c r="BZ248" s="100" t="str">
        <f>IF($BN$5=TRUE,IF(BE248="","",SUM($BE$8:BE248)),"")</f>
        <v/>
      </c>
    </row>
    <row r="249" spans="46:78" x14ac:dyDescent="0.25">
      <c r="AT249" s="74">
        <v>44588</v>
      </c>
      <c r="AU249" s="72">
        <v>2614.4899999999998</v>
      </c>
      <c r="AW249" s="74"/>
      <c r="BR249" s="133" t="str">
        <f t="shared" si="29"/>
        <v/>
      </c>
      <c r="BS249" s="100" t="str">
        <f>IF($BG$5=TRUE,IF(AX249="","",SUM($AX$8:AX249)),"")</f>
        <v/>
      </c>
      <c r="BT249" s="100" t="str">
        <f>IF($BH$5=TRUE,IF(AY249="","",SUM($AY$8:AY249)),"")</f>
        <v/>
      </c>
      <c r="BU249" s="100" t="str">
        <f>IF($BI$5=TRUE,IF(AZ249="","",SUM($AZ$8:AZ249)),"")</f>
        <v/>
      </c>
      <c r="BV249" s="100" t="str">
        <f>IF($BJ$5=TRUE,IF(BA249="","",SUM($BA$8:BA249)),"")</f>
        <v/>
      </c>
      <c r="BW249" s="100" t="str">
        <f>IF($BK$5=TRUE,IF(BB249="","",SUM($BB$8:BB249)),"")</f>
        <v/>
      </c>
      <c r="BX249" s="100" t="str">
        <f>IF($BL$5=TRUE,IF(BC249="","",SUM($BC$8:BC249)),"")</f>
        <v/>
      </c>
      <c r="BY249" s="100" t="str">
        <f>IF($BM$5=TRUE,IF(BD249="","",SUM($BD$8:BD249)),"")</f>
        <v/>
      </c>
      <c r="BZ249" s="100" t="str">
        <f>IF($BN$5=TRUE,IF(BE249="","",SUM($BE$8:BE249)),"")</f>
        <v/>
      </c>
    </row>
    <row r="250" spans="46:78" x14ac:dyDescent="0.25">
      <c r="AT250" s="74">
        <v>44587</v>
      </c>
      <c r="AU250" s="72">
        <v>2709.24</v>
      </c>
      <c r="AW250" s="74"/>
      <c r="BR250" s="133" t="str">
        <f t="shared" si="29"/>
        <v/>
      </c>
      <c r="BS250" s="100" t="str">
        <f>IF($BG$5=TRUE,IF(AX250="","",SUM($AX$8:AX250)),"")</f>
        <v/>
      </c>
      <c r="BT250" s="100" t="str">
        <f>IF($BH$5=TRUE,IF(AY250="","",SUM($AY$8:AY250)),"")</f>
        <v/>
      </c>
      <c r="BU250" s="100" t="str">
        <f>IF($BI$5=TRUE,IF(AZ250="","",SUM($AZ$8:AZ250)),"")</f>
        <v/>
      </c>
      <c r="BV250" s="100" t="str">
        <f>IF($BJ$5=TRUE,IF(BA250="","",SUM($BA$8:BA250)),"")</f>
        <v/>
      </c>
      <c r="BW250" s="100" t="str">
        <f>IF($BK$5=TRUE,IF(BB250="","",SUM($BB$8:BB250)),"")</f>
        <v/>
      </c>
      <c r="BX250" s="100" t="str">
        <f>IF($BL$5=TRUE,IF(BC250="","",SUM($BC$8:BC250)),"")</f>
        <v/>
      </c>
      <c r="BY250" s="100" t="str">
        <f>IF($BM$5=TRUE,IF(BD250="","",SUM($BD$8:BD250)),"")</f>
        <v/>
      </c>
      <c r="BZ250" s="100" t="str">
        <f>IF($BN$5=TRUE,IF(BE250="","",SUM($BE$8:BE250)),"")</f>
        <v/>
      </c>
    </row>
    <row r="251" spans="46:78" x14ac:dyDescent="0.25">
      <c r="AT251" s="74">
        <v>44586</v>
      </c>
      <c r="AU251" s="72">
        <v>2720.39</v>
      </c>
      <c r="AW251" s="74"/>
      <c r="BR251" s="133" t="str">
        <f t="shared" si="29"/>
        <v/>
      </c>
      <c r="BS251" s="100" t="str">
        <f>IF($BG$5=TRUE,IF(AX251="","",SUM($AX$8:AX251)),"")</f>
        <v/>
      </c>
      <c r="BT251" s="100" t="str">
        <f>IF($BH$5=TRUE,IF(AY251="","",SUM($AY$8:AY251)),"")</f>
        <v/>
      </c>
      <c r="BU251" s="100" t="str">
        <f>IF($BI$5=TRUE,IF(AZ251="","",SUM($AZ$8:AZ251)),"")</f>
        <v/>
      </c>
      <c r="BV251" s="100" t="str">
        <f>IF($BJ$5=TRUE,IF(BA251="","",SUM($BA$8:BA251)),"")</f>
        <v/>
      </c>
      <c r="BW251" s="100" t="str">
        <f>IF($BK$5=TRUE,IF(BB251="","",SUM($BB$8:BB251)),"")</f>
        <v/>
      </c>
      <c r="BX251" s="100" t="str">
        <f>IF($BL$5=TRUE,IF(BC251="","",SUM($BC$8:BC251)),"")</f>
        <v/>
      </c>
      <c r="BY251" s="100" t="str">
        <f>IF($BM$5=TRUE,IF(BD251="","",SUM($BD$8:BD251)),"")</f>
        <v/>
      </c>
      <c r="BZ251" s="100" t="str">
        <f>IF($BN$5=TRUE,IF(BE251="","",SUM($BE$8:BE251)),"")</f>
        <v/>
      </c>
    </row>
    <row r="252" spans="46:78" x14ac:dyDescent="0.25">
      <c r="AT252" s="74">
        <v>44585</v>
      </c>
      <c r="AU252" s="72">
        <v>2792</v>
      </c>
      <c r="AW252" s="74"/>
      <c r="BR252" s="133" t="str">
        <f t="shared" si="29"/>
        <v/>
      </c>
      <c r="BS252" s="100" t="str">
        <f>IF($BG$5=TRUE,IF(AX252="","",SUM($AX$8:AX252)),"")</f>
        <v/>
      </c>
      <c r="BT252" s="100" t="str">
        <f>IF($BH$5=TRUE,IF(AY252="","",SUM($AY$8:AY252)),"")</f>
        <v/>
      </c>
      <c r="BU252" s="100" t="str">
        <f>IF($BI$5=TRUE,IF(AZ252="","",SUM($AZ$8:AZ252)),"")</f>
        <v/>
      </c>
      <c r="BV252" s="100" t="str">
        <f>IF($BJ$5=TRUE,IF(BA252="","",SUM($BA$8:BA252)),"")</f>
        <v/>
      </c>
      <c r="BW252" s="100" t="str">
        <f>IF($BK$5=TRUE,IF(BB252="","",SUM($BB$8:BB252)),"")</f>
        <v/>
      </c>
      <c r="BX252" s="100" t="str">
        <f>IF($BL$5=TRUE,IF(BC252="","",SUM($BC$8:BC252)),"")</f>
        <v/>
      </c>
      <c r="BY252" s="100" t="str">
        <f>IF($BM$5=TRUE,IF(BD252="","",SUM($BD$8:BD252)),"")</f>
        <v/>
      </c>
      <c r="BZ252" s="100" t="str">
        <f>IF($BN$5=TRUE,IF(BE252="","",SUM($BE$8:BE252)),"")</f>
        <v/>
      </c>
    </row>
    <row r="253" spans="46:78" x14ac:dyDescent="0.25">
      <c r="AT253" s="74"/>
      <c r="AW253" s="74"/>
      <c r="BR253" s="133" t="str">
        <f t="shared" si="29"/>
        <v/>
      </c>
      <c r="BS253" s="100" t="str">
        <f>IF($BG$5=TRUE,IF(AX253="","",SUM($AX$8:AX253)),"")</f>
        <v/>
      </c>
      <c r="BT253" s="100" t="str">
        <f>IF($BH$5=TRUE,IF(AY253="","",SUM($AY$8:AY253)),"")</f>
        <v/>
      </c>
      <c r="BU253" s="100" t="str">
        <f>IF($BI$5=TRUE,IF(AZ253="","",SUM($AZ$8:AZ253)),"")</f>
        <v/>
      </c>
      <c r="BV253" s="100" t="str">
        <f>IF($BJ$5=TRUE,IF(BA253="","",SUM($BA$8:BA253)),"")</f>
        <v/>
      </c>
      <c r="BW253" s="100" t="str">
        <f>IF($BK$5=TRUE,IF(BB253="","",SUM($BB$8:BB253)),"")</f>
        <v/>
      </c>
      <c r="BX253" s="100" t="str">
        <f>IF($BL$5=TRUE,IF(BC253="","",SUM($BC$8:BC253)),"")</f>
        <v/>
      </c>
      <c r="BY253" s="100" t="str">
        <f>IF($BM$5=TRUE,IF(BD253="","",SUM($BD$8:BD253)),"")</f>
        <v/>
      </c>
      <c r="BZ253" s="100" t="str">
        <f>IF($BN$5=TRUE,IF(BE253="","",SUM($BE$8:BE253)),"")</f>
        <v/>
      </c>
    </row>
    <row r="254" spans="46:78" x14ac:dyDescent="0.25">
      <c r="AT254" s="74"/>
      <c r="AW254" s="74"/>
      <c r="BR254" s="133" t="str">
        <f t="shared" si="29"/>
        <v/>
      </c>
      <c r="BS254" s="100" t="str">
        <f>IF($BG$5=TRUE,IF(AX254="","",SUM($AX$8:AX254)),"")</f>
        <v/>
      </c>
      <c r="BT254" s="100" t="str">
        <f>IF($BH$5=TRUE,IF(AY254="","",SUM($AY$8:AY254)),"")</f>
        <v/>
      </c>
      <c r="BU254" s="100" t="str">
        <f>IF($BI$5=TRUE,IF(AZ254="","",SUM($AZ$8:AZ254)),"")</f>
        <v/>
      </c>
      <c r="BV254" s="100" t="str">
        <f>IF($BJ$5=TRUE,IF(BA254="","",SUM($BA$8:BA254)),"")</f>
        <v/>
      </c>
      <c r="BW254" s="100" t="str">
        <f>IF($BK$5=TRUE,IF(BB254="","",SUM($BB$8:BB254)),"")</f>
        <v/>
      </c>
      <c r="BX254" s="100" t="str">
        <f>IF($BL$5=TRUE,IF(BC254="","",SUM($BC$8:BC254)),"")</f>
        <v/>
      </c>
      <c r="BY254" s="100" t="str">
        <f>IF($BM$5=TRUE,IF(BD254="","",SUM($BD$8:BD254)),"")</f>
        <v/>
      </c>
      <c r="BZ254" s="100" t="str">
        <f>IF($BN$5=TRUE,IF(BE254="","",SUM($BE$8:BE254)),"")</f>
        <v/>
      </c>
    </row>
    <row r="255" spans="46:78" x14ac:dyDescent="0.25">
      <c r="AT255" s="74"/>
      <c r="AW255" s="74"/>
      <c r="BR255" s="133" t="str">
        <f t="shared" si="29"/>
        <v/>
      </c>
      <c r="BS255" s="100" t="str">
        <f>IF($BG$5=TRUE,IF(AX255="","",SUM($AX$8:AX255)),"")</f>
        <v/>
      </c>
      <c r="BT255" s="100" t="str">
        <f>IF($BH$5=TRUE,IF(AY255="","",SUM($AY$8:AY255)),"")</f>
        <v/>
      </c>
      <c r="BU255" s="100" t="str">
        <f>IF($BI$5=TRUE,IF(AZ255="","",SUM($AZ$8:AZ255)),"")</f>
        <v/>
      </c>
      <c r="BV255" s="100" t="str">
        <f>IF($BJ$5=TRUE,IF(BA255="","",SUM($BA$8:BA255)),"")</f>
        <v/>
      </c>
      <c r="BW255" s="100" t="str">
        <f>IF($BK$5=TRUE,IF(BB255="","",SUM($BB$8:BB255)),"")</f>
        <v/>
      </c>
      <c r="BX255" s="100" t="str">
        <f>IF($BL$5=TRUE,IF(BC255="","",SUM($BC$8:BC255)),"")</f>
        <v/>
      </c>
      <c r="BY255" s="100" t="str">
        <f>IF($BM$5=TRUE,IF(BD255="","",SUM($BD$8:BD255)),"")</f>
        <v/>
      </c>
      <c r="BZ255" s="100" t="str">
        <f>IF($BN$5=TRUE,IF(BE255="","",SUM($BE$8:BE255)),"")</f>
        <v/>
      </c>
    </row>
    <row r="256" spans="46:78" x14ac:dyDescent="0.25">
      <c r="AT256" s="74"/>
      <c r="AW256" s="74"/>
      <c r="BR256" s="133" t="str">
        <f t="shared" si="29"/>
        <v/>
      </c>
      <c r="BS256" s="100" t="str">
        <f>IF($BG$5=TRUE,IF(AX256="","",SUM($AX$8:AX256)),"")</f>
        <v/>
      </c>
      <c r="BT256" s="100" t="str">
        <f>IF($BH$5=TRUE,IF(AY256="","",SUM($AY$8:AY256)),"")</f>
        <v/>
      </c>
      <c r="BU256" s="100" t="str">
        <f>IF($BI$5=TRUE,IF(AZ256="","",SUM($AZ$8:AZ256)),"")</f>
        <v/>
      </c>
      <c r="BV256" s="100" t="str">
        <f>IF($BJ$5=TRUE,IF(BA256="","",SUM($BA$8:BA256)),"")</f>
        <v/>
      </c>
      <c r="BW256" s="100" t="str">
        <f>IF($BK$5=TRUE,IF(BB256="","",SUM($BB$8:BB256)),"")</f>
        <v/>
      </c>
      <c r="BX256" s="100" t="str">
        <f>IF($BL$5=TRUE,IF(BC256="","",SUM($BC$8:BC256)),"")</f>
        <v/>
      </c>
      <c r="BY256" s="100" t="str">
        <f>IF($BM$5=TRUE,IF(BD256="","",SUM($BD$8:BD256)),"")</f>
        <v/>
      </c>
      <c r="BZ256" s="100" t="str">
        <f>IF($BN$5=TRUE,IF(BE256="","",SUM($BE$8:BE256)),"")</f>
        <v/>
      </c>
    </row>
    <row r="257" spans="46:78" x14ac:dyDescent="0.25">
      <c r="AT257" s="74"/>
      <c r="AW257" s="74"/>
      <c r="BR257" s="133" t="str">
        <f t="shared" si="29"/>
        <v/>
      </c>
      <c r="BS257" s="100" t="str">
        <f>IF($BG$5=TRUE,IF(AX257="","",SUM($AX$8:AX257)),"")</f>
        <v/>
      </c>
      <c r="BT257" s="100" t="str">
        <f>IF($BH$5=TRUE,IF(AY257="","",SUM($AY$8:AY257)),"")</f>
        <v/>
      </c>
      <c r="BU257" s="100" t="str">
        <f>IF($BI$5=TRUE,IF(AZ257="","",SUM($AZ$8:AZ257)),"")</f>
        <v/>
      </c>
      <c r="BV257" s="100" t="str">
        <f>IF($BJ$5=TRUE,IF(BA257="","",SUM($BA$8:BA257)),"")</f>
        <v/>
      </c>
      <c r="BW257" s="100" t="str">
        <f>IF($BK$5=TRUE,IF(BB257="","",SUM($BB$8:BB257)),"")</f>
        <v/>
      </c>
      <c r="BX257" s="100" t="str">
        <f>IF($BL$5=TRUE,IF(BC257="","",SUM($BC$8:BC257)),"")</f>
        <v/>
      </c>
      <c r="BY257" s="100" t="str">
        <f>IF($BM$5=TRUE,IF(BD257="","",SUM($BD$8:BD257)),"")</f>
        <v/>
      </c>
      <c r="BZ257" s="100" t="str">
        <f>IF($BN$5=TRUE,IF(BE257="","",SUM($BE$8:BE257)),"")</f>
        <v/>
      </c>
    </row>
    <row r="258" spans="46:78" x14ac:dyDescent="0.25">
      <c r="AT258" s="74"/>
      <c r="AW258" s="74"/>
      <c r="BR258" s="133" t="str">
        <f t="shared" si="29"/>
        <v/>
      </c>
      <c r="BS258" s="100" t="str">
        <f>IF($BG$5=TRUE,IF(AX258="","",SUM($AX$8:AX258)),"")</f>
        <v/>
      </c>
      <c r="BT258" s="100" t="str">
        <f>IF($BH$5=TRUE,IF(AY258="","",SUM($AY$8:AY258)),"")</f>
        <v/>
      </c>
      <c r="BU258" s="100" t="str">
        <f>IF($BI$5=TRUE,IF(AZ258="","",SUM($AZ$8:AZ258)),"")</f>
        <v/>
      </c>
      <c r="BV258" s="100" t="str">
        <f>IF($BJ$5=TRUE,IF(BA258="","",SUM($BA$8:BA258)),"")</f>
        <v/>
      </c>
      <c r="BW258" s="100" t="str">
        <f>IF($BK$5=TRUE,IF(BB258="","",SUM($BB$8:BB258)),"")</f>
        <v/>
      </c>
      <c r="BX258" s="100" t="str">
        <f>IF($BL$5=TRUE,IF(BC258="","",SUM($BC$8:BC258)),"")</f>
        <v/>
      </c>
      <c r="BY258" s="100" t="str">
        <f>IF($BM$5=TRUE,IF(BD258="","",SUM($BD$8:BD258)),"")</f>
        <v/>
      </c>
      <c r="BZ258" s="100" t="str">
        <f>IF($BN$5=TRUE,IF(BE258="","",SUM($BE$8:BE258)),"")</f>
        <v/>
      </c>
    </row>
    <row r="259" spans="46:78" x14ac:dyDescent="0.25">
      <c r="AT259" s="74"/>
      <c r="AW259" s="74"/>
      <c r="BR259" s="133" t="str">
        <f t="shared" si="29"/>
        <v/>
      </c>
      <c r="BS259" s="100" t="str">
        <f>IF($BG$5=TRUE,IF(AX259="","",SUM($AX$8:AX259)),"")</f>
        <v/>
      </c>
      <c r="BT259" s="100" t="str">
        <f>IF($BH$5=TRUE,IF(AY259="","",SUM($AY$8:AY259)),"")</f>
        <v/>
      </c>
      <c r="BU259" s="100" t="str">
        <f>IF($BI$5=TRUE,IF(AZ259="","",SUM($AZ$8:AZ259)),"")</f>
        <v/>
      </c>
      <c r="BV259" s="100" t="str">
        <f>IF($BJ$5=TRUE,IF(BA259="","",SUM($BA$8:BA259)),"")</f>
        <v/>
      </c>
      <c r="BW259" s="100" t="str">
        <f>IF($BK$5=TRUE,IF(BB259="","",SUM($BB$8:BB259)),"")</f>
        <v/>
      </c>
      <c r="BX259" s="100" t="str">
        <f>IF($BL$5=TRUE,IF(BC259="","",SUM($BC$8:BC259)),"")</f>
        <v/>
      </c>
      <c r="BY259" s="100" t="str">
        <f>IF($BM$5=TRUE,IF(BD259="","",SUM($BD$8:BD259)),"")</f>
        <v/>
      </c>
      <c r="BZ259" s="100" t="str">
        <f>IF($BN$5=TRUE,IF(BE259="","",SUM($BE$8:BE259)),"")</f>
        <v/>
      </c>
    </row>
    <row r="260" spans="46:78" x14ac:dyDescent="0.25">
      <c r="AT260" s="74"/>
      <c r="AW260" s="74"/>
      <c r="BR260" s="133" t="str">
        <f t="shared" si="29"/>
        <v/>
      </c>
      <c r="BS260" s="100" t="str">
        <f>IF($BG$5=TRUE,IF(AX260="","",SUM($AX$8:AX260)),"")</f>
        <v/>
      </c>
      <c r="BT260" s="100" t="str">
        <f>IF($BH$5=TRUE,IF(AY260="","",SUM($AY$8:AY260)),"")</f>
        <v/>
      </c>
      <c r="BU260" s="100" t="str">
        <f>IF($BI$5=TRUE,IF(AZ260="","",SUM($AZ$8:AZ260)),"")</f>
        <v/>
      </c>
      <c r="BV260" s="100" t="str">
        <f>IF($BJ$5=TRUE,IF(BA260="","",SUM($BA$8:BA260)),"")</f>
        <v/>
      </c>
      <c r="BW260" s="100" t="str">
        <f>IF($BK$5=TRUE,IF(BB260="","",SUM($BB$8:BB260)),"")</f>
        <v/>
      </c>
      <c r="BX260" s="100" t="str">
        <f>IF($BL$5=TRUE,IF(BC260="","",SUM($BC$8:BC260)),"")</f>
        <v/>
      </c>
      <c r="BY260" s="100" t="str">
        <f>IF($BM$5=TRUE,IF(BD260="","",SUM($BD$8:BD260)),"")</f>
        <v/>
      </c>
      <c r="BZ260" s="100" t="str">
        <f>IF($BN$5=TRUE,IF(BE260="","",SUM($BE$8:BE260)),"")</f>
        <v/>
      </c>
    </row>
    <row r="261" spans="46:78" x14ac:dyDescent="0.25">
      <c r="AT261" s="74"/>
      <c r="AW261" s="74"/>
      <c r="BR261" s="133" t="str">
        <f t="shared" si="29"/>
        <v/>
      </c>
      <c r="BS261" s="100" t="str">
        <f>IF($BG$5=TRUE,IF(AX261="","",SUM($AX$8:AX261)),"")</f>
        <v/>
      </c>
      <c r="BT261" s="100" t="str">
        <f>IF($BH$5=TRUE,IF(AY261="","",SUM($AY$8:AY261)),"")</f>
        <v/>
      </c>
      <c r="BU261" s="100" t="str">
        <f>IF($BI$5=TRUE,IF(AZ261="","",SUM($AZ$8:AZ261)),"")</f>
        <v/>
      </c>
      <c r="BV261" s="100" t="str">
        <f>IF($BJ$5=TRUE,IF(BA261="","",SUM($BA$8:BA261)),"")</f>
        <v/>
      </c>
      <c r="BW261" s="100" t="str">
        <f>IF($BK$5=TRUE,IF(BB261="","",SUM($BB$8:BB261)),"")</f>
        <v/>
      </c>
      <c r="BX261" s="100" t="str">
        <f>IF($BL$5=TRUE,IF(BC261="","",SUM($BC$8:BC261)),"")</f>
        <v/>
      </c>
      <c r="BY261" s="100" t="str">
        <f>IF($BM$5=TRUE,IF(BD261="","",SUM($BD$8:BD261)),"")</f>
        <v/>
      </c>
      <c r="BZ261" s="100" t="str">
        <f>IF($BN$5=TRUE,IF(BE261="","",SUM($BE$8:BE261)),"")</f>
        <v/>
      </c>
    </row>
    <row r="262" spans="46:78" x14ac:dyDescent="0.25">
      <c r="AT262" s="74"/>
      <c r="AW262" s="74"/>
      <c r="BR262" s="133" t="str">
        <f t="shared" si="29"/>
        <v/>
      </c>
      <c r="BS262" s="100" t="str">
        <f>IF($BG$5=TRUE,IF(AX262="","",SUM($AX$8:AX262)),"")</f>
        <v/>
      </c>
      <c r="BT262" s="100" t="str">
        <f>IF($BH$5=TRUE,IF(AY262="","",SUM($AY$8:AY262)),"")</f>
        <v/>
      </c>
      <c r="BU262" s="100" t="str">
        <f>IF($BI$5=TRUE,IF(AZ262="","",SUM($AZ$8:AZ262)),"")</f>
        <v/>
      </c>
      <c r="BV262" s="100" t="str">
        <f>IF($BJ$5=TRUE,IF(BA262="","",SUM($BA$8:BA262)),"")</f>
        <v/>
      </c>
      <c r="BW262" s="100" t="str">
        <f>IF($BK$5=TRUE,IF(BB262="","",SUM($BB$8:BB262)),"")</f>
        <v/>
      </c>
      <c r="BX262" s="100" t="str">
        <f>IF($BL$5=TRUE,IF(BC262="","",SUM($BC$8:BC262)),"")</f>
        <v/>
      </c>
      <c r="BY262" s="100" t="str">
        <f>IF($BM$5=TRUE,IF(BD262="","",SUM($BD$8:BD262)),"")</f>
        <v/>
      </c>
      <c r="BZ262" s="100" t="str">
        <f>IF($BN$5=TRUE,IF(BE262="","",SUM($BE$8:BE262)),"")</f>
        <v/>
      </c>
    </row>
    <row r="263" spans="46:78" x14ac:dyDescent="0.25">
      <c r="AT263" s="74"/>
      <c r="AW263" s="74"/>
      <c r="BR263" s="133" t="str">
        <f t="shared" si="29"/>
        <v/>
      </c>
      <c r="BS263" s="100" t="str">
        <f>IF($BG$5=TRUE,IF(AX263="","",SUM($AX$8:AX263)),"")</f>
        <v/>
      </c>
      <c r="BT263" s="100" t="str">
        <f>IF($BH$5=TRUE,IF(AY263="","",SUM($AY$8:AY263)),"")</f>
        <v/>
      </c>
      <c r="BU263" s="100" t="str">
        <f>IF($BI$5=TRUE,IF(AZ263="","",SUM($AZ$8:AZ263)),"")</f>
        <v/>
      </c>
      <c r="BV263" s="100" t="str">
        <f>IF($BJ$5=TRUE,IF(BA263="","",SUM($BA$8:BA263)),"")</f>
        <v/>
      </c>
      <c r="BW263" s="100" t="str">
        <f>IF($BK$5=TRUE,IF(BB263="","",SUM($BB$8:BB263)),"")</f>
        <v/>
      </c>
      <c r="BX263" s="100" t="str">
        <f>IF($BL$5=TRUE,IF(BC263="","",SUM($BC$8:BC263)),"")</f>
        <v/>
      </c>
      <c r="BY263" s="100" t="str">
        <f>IF($BM$5=TRUE,IF(BD263="","",SUM($BD$8:BD263)),"")</f>
        <v/>
      </c>
      <c r="BZ263" s="100" t="str">
        <f>IF($BN$5=TRUE,IF(BE263="","",SUM($BE$8:BE263)),"")</f>
        <v/>
      </c>
    </row>
    <row r="264" spans="46:78" x14ac:dyDescent="0.25">
      <c r="AT264" s="74"/>
      <c r="AW264" s="74"/>
      <c r="BR264" s="133" t="str">
        <f t="shared" si="29"/>
        <v/>
      </c>
      <c r="BS264" s="100" t="str">
        <f>IF($BG$5=TRUE,IF(AX264="","",SUM($AX$8:AX264)),"")</f>
        <v/>
      </c>
      <c r="BT264" s="100" t="str">
        <f>IF($BH$5=TRUE,IF(AY264="","",SUM($AY$8:AY264)),"")</f>
        <v/>
      </c>
      <c r="BU264" s="100" t="str">
        <f>IF($BI$5=TRUE,IF(AZ264="","",SUM($AZ$8:AZ264)),"")</f>
        <v/>
      </c>
      <c r="BV264" s="100" t="str">
        <f>IF($BJ$5=TRUE,IF(BA264="","",SUM($BA$8:BA264)),"")</f>
        <v/>
      </c>
      <c r="BW264" s="100" t="str">
        <f>IF($BK$5=TRUE,IF(BB264="","",SUM($BB$8:BB264)),"")</f>
        <v/>
      </c>
      <c r="BX264" s="100" t="str">
        <f>IF($BL$5=TRUE,IF(BC264="","",SUM($BC$8:BC264)),"")</f>
        <v/>
      </c>
      <c r="BY264" s="100" t="str">
        <f>IF($BM$5=TRUE,IF(BD264="","",SUM($BD$8:BD264)),"")</f>
        <v/>
      </c>
      <c r="BZ264" s="100" t="str">
        <f>IF($BN$5=TRUE,IF(BE264="","",SUM($BE$8:BE264)),"")</f>
        <v/>
      </c>
    </row>
    <row r="265" spans="46:78" x14ac:dyDescent="0.25">
      <c r="AT265" s="74"/>
      <c r="AW265" s="74"/>
      <c r="BR265" s="133" t="str">
        <f t="shared" si="29"/>
        <v/>
      </c>
      <c r="BS265" s="100" t="str">
        <f>IF($BG$5=TRUE,IF(AX265="","",SUM($AX$8:AX265)),"")</f>
        <v/>
      </c>
      <c r="BT265" s="100" t="str">
        <f>IF($BH$5=TRUE,IF(AY265="","",SUM($AY$8:AY265)),"")</f>
        <v/>
      </c>
      <c r="BU265" s="100" t="str">
        <f>IF($BI$5=TRUE,IF(AZ265="","",SUM($AZ$8:AZ265)),"")</f>
        <v/>
      </c>
      <c r="BV265" s="100" t="str">
        <f>IF($BJ$5=TRUE,IF(BA265="","",SUM($BA$8:BA265)),"")</f>
        <v/>
      </c>
      <c r="BW265" s="100" t="str">
        <f>IF($BK$5=TRUE,IF(BB265="","",SUM($BB$8:BB265)),"")</f>
        <v/>
      </c>
      <c r="BX265" s="100" t="str">
        <f>IF($BL$5=TRUE,IF(BC265="","",SUM($BC$8:BC265)),"")</f>
        <v/>
      </c>
      <c r="BY265" s="100" t="str">
        <f>IF($BM$5=TRUE,IF(BD265="","",SUM($BD$8:BD265)),"")</f>
        <v/>
      </c>
      <c r="BZ265" s="100" t="str">
        <f>IF($BN$5=TRUE,IF(BE265="","",SUM($BE$8:BE265)),"")</f>
        <v/>
      </c>
    </row>
    <row r="266" spans="46:78" x14ac:dyDescent="0.25">
      <c r="AT266" s="74"/>
      <c r="AW266" s="74"/>
      <c r="BR266" s="133" t="str">
        <f t="shared" si="29"/>
        <v/>
      </c>
      <c r="BS266" s="100" t="str">
        <f>IF($BG$5=TRUE,IF(AX266="","",SUM($AX$8:AX266)),"")</f>
        <v/>
      </c>
      <c r="BT266" s="100" t="str">
        <f>IF($BH$5=TRUE,IF(AY266="","",SUM($AY$8:AY266)),"")</f>
        <v/>
      </c>
      <c r="BU266" s="100" t="str">
        <f>IF($BI$5=TRUE,IF(AZ266="","",SUM($AZ$8:AZ266)),"")</f>
        <v/>
      </c>
      <c r="BV266" s="100" t="str">
        <f>IF($BJ$5=TRUE,IF(BA266="","",SUM($BA$8:BA266)),"")</f>
        <v/>
      </c>
      <c r="BW266" s="100" t="str">
        <f>IF($BK$5=TRUE,IF(BB266="","",SUM($BB$8:BB266)),"")</f>
        <v/>
      </c>
      <c r="BX266" s="100" t="str">
        <f>IF($BL$5=TRUE,IF(BC266="","",SUM($BC$8:BC266)),"")</f>
        <v/>
      </c>
      <c r="BY266" s="100" t="str">
        <f>IF($BM$5=TRUE,IF(BD266="","",SUM($BD$8:BD266)),"")</f>
        <v/>
      </c>
      <c r="BZ266" s="100" t="str">
        <f>IF($BN$5=TRUE,IF(BE266="","",SUM($BE$8:BE266)),"")</f>
        <v/>
      </c>
    </row>
    <row r="267" spans="46:78" x14ac:dyDescent="0.25">
      <c r="AT267" s="74"/>
      <c r="AW267" s="74"/>
      <c r="BR267" s="133" t="str">
        <f t="shared" ref="BR267:BR330" si="30">IF(AW267="","",AW267)</f>
        <v/>
      </c>
      <c r="BS267" s="100" t="str">
        <f>IF($BG$5=TRUE,IF(AX267="","",SUM($AX$8:AX267)),"")</f>
        <v/>
      </c>
      <c r="BT267" s="100" t="str">
        <f>IF($BH$5=TRUE,IF(AY267="","",SUM($AY$8:AY267)),"")</f>
        <v/>
      </c>
      <c r="BU267" s="100" t="str">
        <f>IF($BI$5=TRUE,IF(AZ267="","",SUM($AZ$8:AZ267)),"")</f>
        <v/>
      </c>
      <c r="BV267" s="100" t="str">
        <f>IF($BJ$5=TRUE,IF(BA267="","",SUM($BA$8:BA267)),"")</f>
        <v/>
      </c>
      <c r="BW267" s="100" t="str">
        <f>IF($BK$5=TRUE,IF(BB267="","",SUM($BB$8:BB267)),"")</f>
        <v/>
      </c>
      <c r="BX267" s="100" t="str">
        <f>IF($BL$5=TRUE,IF(BC267="","",SUM($BC$8:BC267)),"")</f>
        <v/>
      </c>
      <c r="BY267" s="100" t="str">
        <f>IF($BM$5=TRUE,IF(BD267="","",SUM($BD$8:BD267)),"")</f>
        <v/>
      </c>
      <c r="BZ267" s="100" t="str">
        <f>IF($BN$5=TRUE,IF(BE267="","",SUM($BE$8:BE267)),"")</f>
        <v/>
      </c>
    </row>
    <row r="268" spans="46:78" x14ac:dyDescent="0.25">
      <c r="AT268" s="74"/>
      <c r="AW268" s="74"/>
      <c r="BR268" s="133" t="str">
        <f t="shared" si="30"/>
        <v/>
      </c>
      <c r="BS268" s="100" t="str">
        <f>IF($BG$5=TRUE,IF(AX268="","",SUM($AX$8:AX268)),"")</f>
        <v/>
      </c>
      <c r="BT268" s="100" t="str">
        <f>IF($BH$5=TRUE,IF(AY268="","",SUM($AY$8:AY268)),"")</f>
        <v/>
      </c>
      <c r="BU268" s="100" t="str">
        <f>IF($BI$5=TRUE,IF(AZ268="","",SUM($AZ$8:AZ268)),"")</f>
        <v/>
      </c>
      <c r="BV268" s="100" t="str">
        <f>IF($BJ$5=TRUE,IF(BA268="","",SUM($BA$8:BA268)),"")</f>
        <v/>
      </c>
      <c r="BW268" s="100" t="str">
        <f>IF($BK$5=TRUE,IF(BB268="","",SUM($BB$8:BB268)),"")</f>
        <v/>
      </c>
      <c r="BX268" s="100" t="str">
        <f>IF($BL$5=TRUE,IF(BC268="","",SUM($BC$8:BC268)),"")</f>
        <v/>
      </c>
      <c r="BY268" s="100" t="str">
        <f>IF($BM$5=TRUE,IF(BD268="","",SUM($BD$8:BD268)),"")</f>
        <v/>
      </c>
      <c r="BZ268" s="100" t="str">
        <f>IF($BN$5=TRUE,IF(BE268="","",SUM($BE$8:BE268)),"")</f>
        <v/>
      </c>
    </row>
    <row r="269" spans="46:78" x14ac:dyDescent="0.25">
      <c r="AT269" s="74"/>
      <c r="AW269" s="74"/>
      <c r="BR269" s="133" t="str">
        <f t="shared" si="30"/>
        <v/>
      </c>
      <c r="BS269" s="100" t="str">
        <f>IF($BG$5=TRUE,IF(AX269="","",SUM($AX$8:AX269)),"")</f>
        <v/>
      </c>
      <c r="BT269" s="100" t="str">
        <f>IF($BH$5=TRUE,IF(AY269="","",SUM($AY$8:AY269)),"")</f>
        <v/>
      </c>
      <c r="BU269" s="100" t="str">
        <f>IF($BI$5=TRUE,IF(AZ269="","",SUM($AZ$8:AZ269)),"")</f>
        <v/>
      </c>
      <c r="BV269" s="100" t="str">
        <f>IF($BJ$5=TRUE,IF(BA269="","",SUM($BA$8:BA269)),"")</f>
        <v/>
      </c>
      <c r="BW269" s="100" t="str">
        <f>IF($BK$5=TRUE,IF(BB269="","",SUM($BB$8:BB269)),"")</f>
        <v/>
      </c>
      <c r="BX269" s="100" t="str">
        <f>IF($BL$5=TRUE,IF(BC269="","",SUM($BC$8:BC269)),"")</f>
        <v/>
      </c>
      <c r="BY269" s="100" t="str">
        <f>IF($BM$5=TRUE,IF(BD269="","",SUM($BD$8:BD269)),"")</f>
        <v/>
      </c>
      <c r="BZ269" s="100" t="str">
        <f>IF($BN$5=TRUE,IF(BE269="","",SUM($BE$8:BE269)),"")</f>
        <v/>
      </c>
    </row>
    <row r="270" spans="46:78" x14ac:dyDescent="0.25">
      <c r="AT270" s="74"/>
      <c r="AW270" s="74"/>
      <c r="BR270" s="133" t="str">
        <f t="shared" si="30"/>
        <v/>
      </c>
      <c r="BS270" s="100" t="str">
        <f>IF($BG$5=TRUE,IF(AX270="","",SUM($AX$8:AX270)),"")</f>
        <v/>
      </c>
      <c r="BT270" s="100" t="str">
        <f>IF($BH$5=TRUE,IF(AY270="","",SUM($AY$8:AY270)),"")</f>
        <v/>
      </c>
      <c r="BU270" s="100" t="str">
        <f>IF($BI$5=TRUE,IF(AZ270="","",SUM($AZ$8:AZ270)),"")</f>
        <v/>
      </c>
      <c r="BV270" s="100" t="str">
        <f>IF($BJ$5=TRUE,IF(BA270="","",SUM($BA$8:BA270)),"")</f>
        <v/>
      </c>
      <c r="BW270" s="100" t="str">
        <f>IF($BK$5=TRUE,IF(BB270="","",SUM($BB$8:BB270)),"")</f>
        <v/>
      </c>
      <c r="BX270" s="100" t="str">
        <f>IF($BL$5=TRUE,IF(BC270="","",SUM($BC$8:BC270)),"")</f>
        <v/>
      </c>
      <c r="BY270" s="100" t="str">
        <f>IF($BM$5=TRUE,IF(BD270="","",SUM($BD$8:BD270)),"")</f>
        <v/>
      </c>
      <c r="BZ270" s="100" t="str">
        <f>IF($BN$5=TRUE,IF(BE270="","",SUM($BE$8:BE270)),"")</f>
        <v/>
      </c>
    </row>
    <row r="271" spans="46:78" x14ac:dyDescent="0.25">
      <c r="AT271" s="74"/>
      <c r="AW271" s="74"/>
      <c r="BR271" s="133" t="str">
        <f t="shared" si="30"/>
        <v/>
      </c>
      <c r="BS271" s="100" t="str">
        <f>IF($BG$5=TRUE,IF(AX271="","",SUM($AX$8:AX271)),"")</f>
        <v/>
      </c>
      <c r="BT271" s="100" t="str">
        <f>IF($BH$5=TRUE,IF(AY271="","",SUM($AY$8:AY271)),"")</f>
        <v/>
      </c>
      <c r="BU271" s="100" t="str">
        <f>IF($BI$5=TRUE,IF(AZ271="","",SUM($AZ$8:AZ271)),"")</f>
        <v/>
      </c>
      <c r="BV271" s="100" t="str">
        <f>IF($BJ$5=TRUE,IF(BA271="","",SUM($BA$8:BA271)),"")</f>
        <v/>
      </c>
      <c r="BW271" s="100" t="str">
        <f>IF($BK$5=TRUE,IF(BB271="","",SUM($BB$8:BB271)),"")</f>
        <v/>
      </c>
      <c r="BX271" s="100" t="str">
        <f>IF($BL$5=TRUE,IF(BC271="","",SUM($BC$8:BC271)),"")</f>
        <v/>
      </c>
      <c r="BY271" s="100" t="str">
        <f>IF($BM$5=TRUE,IF(BD271="","",SUM($BD$8:BD271)),"")</f>
        <v/>
      </c>
      <c r="BZ271" s="100" t="str">
        <f>IF($BN$5=TRUE,IF(BE271="","",SUM($BE$8:BE271)),"")</f>
        <v/>
      </c>
    </row>
    <row r="272" spans="46:78" x14ac:dyDescent="0.25">
      <c r="AT272" s="74"/>
      <c r="AW272" s="74"/>
      <c r="BR272" s="133" t="str">
        <f t="shared" si="30"/>
        <v/>
      </c>
      <c r="BS272" s="100" t="str">
        <f>IF($BG$5=TRUE,IF(AX272="","",SUM($AX$8:AX272)),"")</f>
        <v/>
      </c>
      <c r="BT272" s="100" t="str">
        <f>IF($BH$5=TRUE,IF(AY272="","",SUM($AY$8:AY272)),"")</f>
        <v/>
      </c>
      <c r="BU272" s="100" t="str">
        <f>IF($BI$5=TRUE,IF(AZ272="","",SUM($AZ$8:AZ272)),"")</f>
        <v/>
      </c>
      <c r="BV272" s="100" t="str">
        <f>IF($BJ$5=TRUE,IF(BA272="","",SUM($BA$8:BA272)),"")</f>
        <v/>
      </c>
      <c r="BW272" s="100" t="str">
        <f>IF($BK$5=TRUE,IF(BB272="","",SUM($BB$8:BB272)),"")</f>
        <v/>
      </c>
      <c r="BX272" s="100" t="str">
        <f>IF($BL$5=TRUE,IF(BC272="","",SUM($BC$8:BC272)),"")</f>
        <v/>
      </c>
      <c r="BY272" s="100" t="str">
        <f>IF($BM$5=TRUE,IF(BD272="","",SUM($BD$8:BD272)),"")</f>
        <v/>
      </c>
      <c r="BZ272" s="100" t="str">
        <f>IF($BN$5=TRUE,IF(BE272="","",SUM($BE$8:BE272)),"")</f>
        <v/>
      </c>
    </row>
    <row r="273" spans="46:78" x14ac:dyDescent="0.25">
      <c r="AT273" s="74"/>
      <c r="AW273" s="74"/>
      <c r="BR273" s="133" t="str">
        <f t="shared" si="30"/>
        <v/>
      </c>
      <c r="BS273" s="100" t="str">
        <f>IF($BG$5=TRUE,IF(AX273="","",SUM($AX$8:AX273)),"")</f>
        <v/>
      </c>
      <c r="BT273" s="100" t="str">
        <f>IF($BH$5=TRUE,IF(AY273="","",SUM($AY$8:AY273)),"")</f>
        <v/>
      </c>
      <c r="BU273" s="100" t="str">
        <f>IF($BI$5=TRUE,IF(AZ273="","",SUM($AZ$8:AZ273)),"")</f>
        <v/>
      </c>
      <c r="BV273" s="100" t="str">
        <f>IF($BJ$5=TRUE,IF(BA273="","",SUM($BA$8:BA273)),"")</f>
        <v/>
      </c>
      <c r="BW273" s="100" t="str">
        <f>IF($BK$5=TRUE,IF(BB273="","",SUM($BB$8:BB273)),"")</f>
        <v/>
      </c>
      <c r="BX273" s="100" t="str">
        <f>IF($BL$5=TRUE,IF(BC273="","",SUM($BC$8:BC273)),"")</f>
        <v/>
      </c>
      <c r="BY273" s="100" t="str">
        <f>IF($BM$5=TRUE,IF(BD273="","",SUM($BD$8:BD273)),"")</f>
        <v/>
      </c>
      <c r="BZ273" s="100" t="str">
        <f>IF($BN$5=TRUE,IF(BE273="","",SUM($BE$8:BE273)),"")</f>
        <v/>
      </c>
    </row>
    <row r="274" spans="46:78" x14ac:dyDescent="0.25">
      <c r="AT274" s="74"/>
      <c r="AW274" s="74"/>
      <c r="BR274" s="133" t="str">
        <f t="shared" si="30"/>
        <v/>
      </c>
      <c r="BS274" s="100" t="str">
        <f>IF($BG$5=TRUE,IF(AX274="","",SUM($AX$8:AX274)),"")</f>
        <v/>
      </c>
      <c r="BT274" s="100" t="str">
        <f>IF($BH$5=TRUE,IF(AY274="","",SUM($AY$8:AY274)),"")</f>
        <v/>
      </c>
      <c r="BU274" s="100" t="str">
        <f>IF($BI$5=TRUE,IF(AZ274="","",SUM($AZ$8:AZ274)),"")</f>
        <v/>
      </c>
      <c r="BV274" s="100" t="str">
        <f>IF($BJ$5=TRUE,IF(BA274="","",SUM($BA$8:BA274)),"")</f>
        <v/>
      </c>
      <c r="BW274" s="100" t="str">
        <f>IF($BK$5=TRUE,IF(BB274="","",SUM($BB$8:BB274)),"")</f>
        <v/>
      </c>
      <c r="BX274" s="100" t="str">
        <f>IF($BL$5=TRUE,IF(BC274="","",SUM($BC$8:BC274)),"")</f>
        <v/>
      </c>
      <c r="BY274" s="100" t="str">
        <f>IF($BM$5=TRUE,IF(BD274="","",SUM($BD$8:BD274)),"")</f>
        <v/>
      </c>
      <c r="BZ274" s="100" t="str">
        <f>IF($BN$5=TRUE,IF(BE274="","",SUM($BE$8:BE274)),"")</f>
        <v/>
      </c>
    </row>
    <row r="275" spans="46:78" x14ac:dyDescent="0.25">
      <c r="AT275" s="74"/>
      <c r="AW275" s="74"/>
      <c r="BR275" s="133" t="str">
        <f t="shared" si="30"/>
        <v/>
      </c>
      <c r="BS275" s="100" t="str">
        <f>IF($BG$5=TRUE,IF(AX275="","",SUM($AX$8:AX275)),"")</f>
        <v/>
      </c>
      <c r="BT275" s="100" t="str">
        <f>IF($BH$5=TRUE,IF(AY275="","",SUM($AY$8:AY275)),"")</f>
        <v/>
      </c>
      <c r="BU275" s="100" t="str">
        <f>IF($BI$5=TRUE,IF(AZ275="","",SUM($AZ$8:AZ275)),"")</f>
        <v/>
      </c>
      <c r="BV275" s="100" t="str">
        <f>IF($BJ$5=TRUE,IF(BA275="","",SUM($BA$8:BA275)),"")</f>
        <v/>
      </c>
      <c r="BW275" s="100" t="str">
        <f>IF($BK$5=TRUE,IF(BB275="","",SUM($BB$8:BB275)),"")</f>
        <v/>
      </c>
      <c r="BX275" s="100" t="str">
        <f>IF($BL$5=TRUE,IF(BC275="","",SUM($BC$8:BC275)),"")</f>
        <v/>
      </c>
      <c r="BY275" s="100" t="str">
        <f>IF($BM$5=TRUE,IF(BD275="","",SUM($BD$8:BD275)),"")</f>
        <v/>
      </c>
      <c r="BZ275" s="100" t="str">
        <f>IF($BN$5=TRUE,IF(BE275="","",SUM($BE$8:BE275)),"")</f>
        <v/>
      </c>
    </row>
    <row r="276" spans="46:78" x14ac:dyDescent="0.25">
      <c r="AT276" s="74"/>
      <c r="AW276" s="74"/>
      <c r="BR276" s="133" t="str">
        <f t="shared" si="30"/>
        <v/>
      </c>
      <c r="BS276" s="100" t="str">
        <f>IF($BG$5=TRUE,IF(AX276="","",SUM($AX$8:AX276)),"")</f>
        <v/>
      </c>
      <c r="BT276" s="100" t="str">
        <f>IF($BH$5=TRUE,IF(AY276="","",SUM($AY$8:AY276)),"")</f>
        <v/>
      </c>
      <c r="BU276" s="100" t="str">
        <f>IF($BI$5=TRUE,IF(AZ276="","",SUM($AZ$8:AZ276)),"")</f>
        <v/>
      </c>
      <c r="BV276" s="100" t="str">
        <f>IF($BJ$5=TRUE,IF(BA276="","",SUM($BA$8:BA276)),"")</f>
        <v/>
      </c>
      <c r="BW276" s="100" t="str">
        <f>IF($BK$5=TRUE,IF(BB276="","",SUM($BB$8:BB276)),"")</f>
        <v/>
      </c>
      <c r="BX276" s="100" t="str">
        <f>IF($BL$5=TRUE,IF(BC276="","",SUM($BC$8:BC276)),"")</f>
        <v/>
      </c>
      <c r="BY276" s="100" t="str">
        <f>IF($BM$5=TRUE,IF(BD276="","",SUM($BD$8:BD276)),"")</f>
        <v/>
      </c>
      <c r="BZ276" s="100" t="str">
        <f>IF($BN$5=TRUE,IF(BE276="","",SUM($BE$8:BE276)),"")</f>
        <v/>
      </c>
    </row>
    <row r="277" spans="46:78" x14ac:dyDescent="0.25">
      <c r="AT277" s="74"/>
      <c r="AW277" s="74"/>
      <c r="BR277" s="133" t="str">
        <f t="shared" si="30"/>
        <v/>
      </c>
      <c r="BS277" s="100" t="str">
        <f>IF($BG$5=TRUE,IF(AX277="","",SUM($AX$8:AX277)),"")</f>
        <v/>
      </c>
      <c r="BT277" s="100" t="str">
        <f>IF($BH$5=TRUE,IF(AY277="","",SUM($AY$8:AY277)),"")</f>
        <v/>
      </c>
      <c r="BU277" s="100" t="str">
        <f>IF($BI$5=TRUE,IF(AZ277="","",SUM($AZ$8:AZ277)),"")</f>
        <v/>
      </c>
      <c r="BV277" s="100" t="str">
        <f>IF($BJ$5=TRUE,IF(BA277="","",SUM($BA$8:BA277)),"")</f>
        <v/>
      </c>
      <c r="BW277" s="100" t="str">
        <f>IF($BK$5=TRUE,IF(BB277="","",SUM($BB$8:BB277)),"")</f>
        <v/>
      </c>
      <c r="BX277" s="100" t="str">
        <f>IF($BL$5=TRUE,IF(BC277="","",SUM($BC$8:BC277)),"")</f>
        <v/>
      </c>
      <c r="BY277" s="100" t="str">
        <f>IF($BM$5=TRUE,IF(BD277="","",SUM($BD$8:BD277)),"")</f>
        <v/>
      </c>
      <c r="BZ277" s="100" t="str">
        <f>IF($BN$5=TRUE,IF(BE277="","",SUM($BE$8:BE277)),"")</f>
        <v/>
      </c>
    </row>
    <row r="278" spans="46:78" x14ac:dyDescent="0.25">
      <c r="AT278" s="74"/>
      <c r="AW278" s="74"/>
      <c r="BR278" s="133" t="str">
        <f t="shared" si="30"/>
        <v/>
      </c>
      <c r="BS278" s="100" t="str">
        <f>IF($BG$5=TRUE,IF(AX278="","",SUM($AX$8:AX278)),"")</f>
        <v/>
      </c>
      <c r="BT278" s="100" t="str">
        <f>IF($BH$5=TRUE,IF(AY278="","",SUM($AY$8:AY278)),"")</f>
        <v/>
      </c>
      <c r="BU278" s="100" t="str">
        <f>IF($BI$5=TRUE,IF(AZ278="","",SUM($AZ$8:AZ278)),"")</f>
        <v/>
      </c>
      <c r="BV278" s="100" t="str">
        <f>IF($BJ$5=TRUE,IF(BA278="","",SUM($BA$8:BA278)),"")</f>
        <v/>
      </c>
      <c r="BW278" s="100" t="str">
        <f>IF($BK$5=TRUE,IF(BB278="","",SUM($BB$8:BB278)),"")</f>
        <v/>
      </c>
      <c r="BX278" s="100" t="str">
        <f>IF($BL$5=TRUE,IF(BC278="","",SUM($BC$8:BC278)),"")</f>
        <v/>
      </c>
      <c r="BY278" s="100" t="str">
        <f>IF($BM$5=TRUE,IF(BD278="","",SUM($BD$8:BD278)),"")</f>
        <v/>
      </c>
      <c r="BZ278" s="100" t="str">
        <f>IF($BN$5=TRUE,IF(BE278="","",SUM($BE$8:BE278)),"")</f>
        <v/>
      </c>
    </row>
    <row r="279" spans="46:78" x14ac:dyDescent="0.25">
      <c r="AT279" s="74"/>
      <c r="AW279" s="74"/>
      <c r="BR279" s="133" t="str">
        <f t="shared" si="30"/>
        <v/>
      </c>
      <c r="BS279" s="100" t="str">
        <f>IF($BG$5=TRUE,IF(AX279="","",SUM($AX$8:AX279)),"")</f>
        <v/>
      </c>
      <c r="BT279" s="100" t="str">
        <f>IF($BH$5=TRUE,IF(AY279="","",SUM($AY$8:AY279)),"")</f>
        <v/>
      </c>
      <c r="BU279" s="100" t="str">
        <f>IF($BI$5=TRUE,IF(AZ279="","",SUM($AZ$8:AZ279)),"")</f>
        <v/>
      </c>
      <c r="BV279" s="100" t="str">
        <f>IF($BJ$5=TRUE,IF(BA279="","",SUM($BA$8:BA279)),"")</f>
        <v/>
      </c>
      <c r="BW279" s="100" t="str">
        <f>IF($BK$5=TRUE,IF(BB279="","",SUM($BB$8:BB279)),"")</f>
        <v/>
      </c>
      <c r="BX279" s="100" t="str">
        <f>IF($BL$5=TRUE,IF(BC279="","",SUM($BC$8:BC279)),"")</f>
        <v/>
      </c>
      <c r="BY279" s="100" t="str">
        <f>IF($BM$5=TRUE,IF(BD279="","",SUM($BD$8:BD279)),"")</f>
        <v/>
      </c>
      <c r="BZ279" s="100" t="str">
        <f>IF($BN$5=TRUE,IF(BE279="","",SUM($BE$8:BE279)),"")</f>
        <v/>
      </c>
    </row>
    <row r="280" spans="46:78" x14ac:dyDescent="0.25">
      <c r="AT280" s="74"/>
      <c r="AW280" s="74"/>
      <c r="BR280" s="133" t="str">
        <f t="shared" si="30"/>
        <v/>
      </c>
      <c r="BS280" s="100" t="str">
        <f>IF($BG$5=TRUE,IF(AX280="","",SUM($AX$8:AX280)),"")</f>
        <v/>
      </c>
      <c r="BT280" s="100" t="str">
        <f>IF($BH$5=TRUE,IF(AY280="","",SUM($AY$8:AY280)),"")</f>
        <v/>
      </c>
      <c r="BU280" s="100" t="str">
        <f>IF($BI$5=TRUE,IF(AZ280="","",SUM($AZ$8:AZ280)),"")</f>
        <v/>
      </c>
      <c r="BV280" s="100" t="str">
        <f>IF($BJ$5=TRUE,IF(BA280="","",SUM($BA$8:BA280)),"")</f>
        <v/>
      </c>
      <c r="BW280" s="100" t="str">
        <f>IF($BK$5=TRUE,IF(BB280="","",SUM($BB$8:BB280)),"")</f>
        <v/>
      </c>
      <c r="BX280" s="100" t="str">
        <f>IF($BL$5=TRUE,IF(BC280="","",SUM($BC$8:BC280)),"")</f>
        <v/>
      </c>
      <c r="BY280" s="100" t="str">
        <f>IF($BM$5=TRUE,IF(BD280="","",SUM($BD$8:BD280)),"")</f>
        <v/>
      </c>
      <c r="BZ280" s="100" t="str">
        <f>IF($BN$5=TRUE,IF(BE280="","",SUM($BE$8:BE280)),"")</f>
        <v/>
      </c>
    </row>
    <row r="281" spans="46:78" x14ac:dyDescent="0.25">
      <c r="AT281" s="74"/>
      <c r="AW281" s="74"/>
      <c r="BR281" s="133" t="str">
        <f t="shared" si="30"/>
        <v/>
      </c>
      <c r="BS281" s="100" t="str">
        <f>IF($BG$5=TRUE,IF(AX281="","",SUM($AX$8:AX281)),"")</f>
        <v/>
      </c>
      <c r="BT281" s="100" t="str">
        <f>IF($BH$5=TRUE,IF(AY281="","",SUM($AY$8:AY281)),"")</f>
        <v/>
      </c>
      <c r="BU281" s="100" t="str">
        <f>IF($BI$5=TRUE,IF(AZ281="","",SUM($AZ$8:AZ281)),"")</f>
        <v/>
      </c>
      <c r="BV281" s="100" t="str">
        <f>IF($BJ$5=TRUE,IF(BA281="","",SUM($BA$8:BA281)),"")</f>
        <v/>
      </c>
      <c r="BW281" s="100" t="str">
        <f>IF($BK$5=TRUE,IF(BB281="","",SUM($BB$8:BB281)),"")</f>
        <v/>
      </c>
      <c r="BX281" s="100" t="str">
        <f>IF($BL$5=TRUE,IF(BC281="","",SUM($BC$8:BC281)),"")</f>
        <v/>
      </c>
      <c r="BY281" s="100" t="str">
        <f>IF($BM$5=TRUE,IF(BD281="","",SUM($BD$8:BD281)),"")</f>
        <v/>
      </c>
      <c r="BZ281" s="100" t="str">
        <f>IF($BN$5=TRUE,IF(BE281="","",SUM($BE$8:BE281)),"")</f>
        <v/>
      </c>
    </row>
    <row r="282" spans="46:78" x14ac:dyDescent="0.25">
      <c r="AT282" s="74"/>
      <c r="AW282" s="74"/>
      <c r="BR282" s="133" t="str">
        <f t="shared" si="30"/>
        <v/>
      </c>
      <c r="BS282" s="100" t="str">
        <f>IF($BG$5=TRUE,IF(AX282="","",SUM($AX$8:AX282)),"")</f>
        <v/>
      </c>
      <c r="BT282" s="100" t="str">
        <f>IF($BH$5=TRUE,IF(AY282="","",SUM($AY$8:AY282)),"")</f>
        <v/>
      </c>
      <c r="BU282" s="100" t="str">
        <f>IF($BI$5=TRUE,IF(AZ282="","",SUM($AZ$8:AZ282)),"")</f>
        <v/>
      </c>
      <c r="BV282" s="100" t="str">
        <f>IF($BJ$5=TRUE,IF(BA282="","",SUM($BA$8:BA282)),"")</f>
        <v/>
      </c>
      <c r="BW282" s="100" t="str">
        <f>IF($BK$5=TRUE,IF(BB282="","",SUM($BB$8:BB282)),"")</f>
        <v/>
      </c>
      <c r="BX282" s="100" t="str">
        <f>IF($BL$5=TRUE,IF(BC282="","",SUM($BC$8:BC282)),"")</f>
        <v/>
      </c>
      <c r="BY282" s="100" t="str">
        <f>IF($BM$5=TRUE,IF(BD282="","",SUM($BD$8:BD282)),"")</f>
        <v/>
      </c>
      <c r="BZ282" s="100" t="str">
        <f>IF($BN$5=TRUE,IF(BE282="","",SUM($BE$8:BE282)),"")</f>
        <v/>
      </c>
    </row>
    <row r="283" spans="46:78" x14ac:dyDescent="0.25">
      <c r="AT283" s="74"/>
      <c r="AW283" s="74"/>
      <c r="BR283" s="133" t="str">
        <f t="shared" si="30"/>
        <v/>
      </c>
      <c r="BS283" s="100" t="str">
        <f>IF($BG$5=TRUE,IF(AX283="","",SUM($AX$8:AX283)),"")</f>
        <v/>
      </c>
      <c r="BT283" s="100" t="str">
        <f>IF($BH$5=TRUE,IF(AY283="","",SUM($AY$8:AY283)),"")</f>
        <v/>
      </c>
      <c r="BU283" s="100" t="str">
        <f>IF($BI$5=TRUE,IF(AZ283="","",SUM($AZ$8:AZ283)),"")</f>
        <v/>
      </c>
      <c r="BV283" s="100" t="str">
        <f>IF($BJ$5=TRUE,IF(BA283="","",SUM($BA$8:BA283)),"")</f>
        <v/>
      </c>
      <c r="BW283" s="100" t="str">
        <f>IF($BK$5=TRUE,IF(BB283="","",SUM($BB$8:BB283)),"")</f>
        <v/>
      </c>
      <c r="BX283" s="100" t="str">
        <f>IF($BL$5=TRUE,IF(BC283="","",SUM($BC$8:BC283)),"")</f>
        <v/>
      </c>
      <c r="BY283" s="100" t="str">
        <f>IF($BM$5=TRUE,IF(BD283="","",SUM($BD$8:BD283)),"")</f>
        <v/>
      </c>
      <c r="BZ283" s="100" t="str">
        <f>IF($BN$5=TRUE,IF(BE283="","",SUM($BE$8:BE283)),"")</f>
        <v/>
      </c>
    </row>
    <row r="284" spans="46:78" x14ac:dyDescent="0.25">
      <c r="AT284" s="74"/>
      <c r="AW284" s="74"/>
      <c r="BR284" s="133" t="str">
        <f t="shared" si="30"/>
        <v/>
      </c>
      <c r="BS284" s="100" t="str">
        <f>IF($BG$5=TRUE,IF(AX284="","",SUM($AX$8:AX284)),"")</f>
        <v/>
      </c>
      <c r="BT284" s="100" t="str">
        <f>IF($BH$5=TRUE,IF(AY284="","",SUM($AY$8:AY284)),"")</f>
        <v/>
      </c>
      <c r="BU284" s="100" t="str">
        <f>IF($BI$5=TRUE,IF(AZ284="","",SUM($AZ$8:AZ284)),"")</f>
        <v/>
      </c>
      <c r="BV284" s="100" t="str">
        <f>IF($BJ$5=TRUE,IF(BA284="","",SUM($BA$8:BA284)),"")</f>
        <v/>
      </c>
      <c r="BW284" s="100" t="str">
        <f>IF($BK$5=TRUE,IF(BB284="","",SUM($BB$8:BB284)),"")</f>
        <v/>
      </c>
      <c r="BX284" s="100" t="str">
        <f>IF($BL$5=TRUE,IF(BC284="","",SUM($BC$8:BC284)),"")</f>
        <v/>
      </c>
      <c r="BY284" s="100" t="str">
        <f>IF($BM$5=TRUE,IF(BD284="","",SUM($BD$8:BD284)),"")</f>
        <v/>
      </c>
      <c r="BZ284" s="100" t="str">
        <f>IF($BN$5=TRUE,IF(BE284="","",SUM($BE$8:BE284)),"")</f>
        <v/>
      </c>
    </row>
    <row r="285" spans="46:78" x14ac:dyDescent="0.25">
      <c r="AT285" s="74"/>
      <c r="AW285" s="74"/>
      <c r="BR285" s="133" t="str">
        <f t="shared" si="30"/>
        <v/>
      </c>
      <c r="BS285" s="100" t="str">
        <f>IF($BG$5=TRUE,IF(AX285="","",SUM($AX$8:AX285)),"")</f>
        <v/>
      </c>
      <c r="BT285" s="100" t="str">
        <f>IF($BH$5=TRUE,IF(AY285="","",SUM($AY$8:AY285)),"")</f>
        <v/>
      </c>
      <c r="BU285" s="100" t="str">
        <f>IF($BI$5=TRUE,IF(AZ285="","",SUM($AZ$8:AZ285)),"")</f>
        <v/>
      </c>
      <c r="BV285" s="100" t="str">
        <f>IF($BJ$5=TRUE,IF(BA285="","",SUM($BA$8:BA285)),"")</f>
        <v/>
      </c>
      <c r="BW285" s="100" t="str">
        <f>IF($BK$5=TRUE,IF(BB285="","",SUM($BB$8:BB285)),"")</f>
        <v/>
      </c>
      <c r="BX285" s="100" t="str">
        <f>IF($BL$5=TRUE,IF(BC285="","",SUM($BC$8:BC285)),"")</f>
        <v/>
      </c>
      <c r="BY285" s="100" t="str">
        <f>IF($BM$5=TRUE,IF(BD285="","",SUM($BD$8:BD285)),"")</f>
        <v/>
      </c>
      <c r="BZ285" s="100" t="str">
        <f>IF($BN$5=TRUE,IF(BE285="","",SUM($BE$8:BE285)),"")</f>
        <v/>
      </c>
    </row>
    <row r="286" spans="46:78" x14ac:dyDescent="0.25">
      <c r="AT286" s="74"/>
      <c r="AW286" s="74"/>
      <c r="BR286" s="133" t="str">
        <f t="shared" si="30"/>
        <v/>
      </c>
      <c r="BS286" s="100" t="str">
        <f>IF($BG$5=TRUE,IF(AX286="","",SUM($AX$8:AX286)),"")</f>
        <v/>
      </c>
      <c r="BT286" s="100" t="str">
        <f>IF($BH$5=TRUE,IF(AY286="","",SUM($AY$8:AY286)),"")</f>
        <v/>
      </c>
      <c r="BU286" s="100" t="str">
        <f>IF($BI$5=TRUE,IF(AZ286="","",SUM($AZ$8:AZ286)),"")</f>
        <v/>
      </c>
      <c r="BV286" s="100" t="str">
        <f>IF($BJ$5=TRUE,IF(BA286="","",SUM($BA$8:BA286)),"")</f>
        <v/>
      </c>
      <c r="BW286" s="100" t="str">
        <f>IF($BK$5=TRUE,IF(BB286="","",SUM($BB$8:BB286)),"")</f>
        <v/>
      </c>
      <c r="BX286" s="100" t="str">
        <f>IF($BL$5=TRUE,IF(BC286="","",SUM($BC$8:BC286)),"")</f>
        <v/>
      </c>
      <c r="BY286" s="100" t="str">
        <f>IF($BM$5=TRUE,IF(BD286="","",SUM($BD$8:BD286)),"")</f>
        <v/>
      </c>
      <c r="BZ286" s="100" t="str">
        <f>IF($BN$5=TRUE,IF(BE286="","",SUM($BE$8:BE286)),"")</f>
        <v/>
      </c>
    </row>
    <row r="287" spans="46:78" x14ac:dyDescent="0.25">
      <c r="AT287" s="74"/>
      <c r="AW287" s="74"/>
      <c r="BR287" s="133" t="str">
        <f t="shared" si="30"/>
        <v/>
      </c>
      <c r="BS287" s="100" t="str">
        <f>IF($BG$5=TRUE,IF(AX287="","",SUM($AX$8:AX287)),"")</f>
        <v/>
      </c>
      <c r="BT287" s="100" t="str">
        <f>IF($BH$5=TRUE,IF(AY287="","",SUM($AY$8:AY287)),"")</f>
        <v/>
      </c>
      <c r="BU287" s="100" t="str">
        <f>IF($BI$5=TRUE,IF(AZ287="","",SUM($AZ$8:AZ287)),"")</f>
        <v/>
      </c>
      <c r="BV287" s="100" t="str">
        <f>IF($BJ$5=TRUE,IF(BA287="","",SUM($BA$8:BA287)),"")</f>
        <v/>
      </c>
      <c r="BW287" s="100" t="str">
        <f>IF($BK$5=TRUE,IF(BB287="","",SUM($BB$8:BB287)),"")</f>
        <v/>
      </c>
      <c r="BX287" s="100" t="str">
        <f>IF($BL$5=TRUE,IF(BC287="","",SUM($BC$8:BC287)),"")</f>
        <v/>
      </c>
      <c r="BY287" s="100" t="str">
        <f>IF($BM$5=TRUE,IF(BD287="","",SUM($BD$8:BD287)),"")</f>
        <v/>
      </c>
      <c r="BZ287" s="100" t="str">
        <f>IF($BN$5=TRUE,IF(BE287="","",SUM($BE$8:BE287)),"")</f>
        <v/>
      </c>
    </row>
    <row r="288" spans="46:78" x14ac:dyDescent="0.25">
      <c r="AT288" s="74"/>
      <c r="AW288" s="74"/>
      <c r="BR288" s="133" t="str">
        <f t="shared" si="30"/>
        <v/>
      </c>
      <c r="BS288" s="100" t="str">
        <f>IF($BG$5=TRUE,IF(AX288="","",SUM($AX$8:AX288)),"")</f>
        <v/>
      </c>
      <c r="BT288" s="100" t="str">
        <f>IF($BH$5=TRUE,IF(AY288="","",SUM($AY$8:AY288)),"")</f>
        <v/>
      </c>
      <c r="BU288" s="100" t="str">
        <f>IF($BI$5=TRUE,IF(AZ288="","",SUM($AZ$8:AZ288)),"")</f>
        <v/>
      </c>
      <c r="BV288" s="100" t="str">
        <f>IF($BJ$5=TRUE,IF(BA288="","",SUM($BA$8:BA288)),"")</f>
        <v/>
      </c>
      <c r="BW288" s="100" t="str">
        <f>IF($BK$5=TRUE,IF(BB288="","",SUM($BB$8:BB288)),"")</f>
        <v/>
      </c>
      <c r="BX288" s="100" t="str">
        <f>IF($BL$5=TRUE,IF(BC288="","",SUM($BC$8:BC288)),"")</f>
        <v/>
      </c>
      <c r="BY288" s="100" t="str">
        <f>IF($BM$5=TRUE,IF(BD288="","",SUM($BD$8:BD288)),"")</f>
        <v/>
      </c>
      <c r="BZ288" s="100" t="str">
        <f>IF($BN$5=TRUE,IF(BE288="","",SUM($BE$8:BE288)),"")</f>
        <v/>
      </c>
    </row>
    <row r="289" spans="46:78" x14ac:dyDescent="0.25">
      <c r="AT289" s="74"/>
      <c r="AW289" s="74"/>
      <c r="BR289" s="133" t="str">
        <f t="shared" si="30"/>
        <v/>
      </c>
      <c r="BS289" s="100" t="str">
        <f>IF($BG$5=TRUE,IF(AX289="","",SUM($AX$8:AX289)),"")</f>
        <v/>
      </c>
      <c r="BT289" s="100" t="str">
        <f>IF($BH$5=TRUE,IF(AY289="","",SUM($AY$8:AY289)),"")</f>
        <v/>
      </c>
      <c r="BU289" s="100" t="str">
        <f>IF($BI$5=TRUE,IF(AZ289="","",SUM($AZ$8:AZ289)),"")</f>
        <v/>
      </c>
      <c r="BV289" s="100" t="str">
        <f>IF($BJ$5=TRUE,IF(BA289="","",SUM($BA$8:BA289)),"")</f>
        <v/>
      </c>
      <c r="BW289" s="100" t="str">
        <f>IF($BK$5=TRUE,IF(BB289="","",SUM($BB$8:BB289)),"")</f>
        <v/>
      </c>
      <c r="BX289" s="100" t="str">
        <f>IF($BL$5=TRUE,IF(BC289="","",SUM($BC$8:BC289)),"")</f>
        <v/>
      </c>
      <c r="BY289" s="100" t="str">
        <f>IF($BM$5=TRUE,IF(BD289="","",SUM($BD$8:BD289)),"")</f>
        <v/>
      </c>
      <c r="BZ289" s="100" t="str">
        <f>IF($BN$5=TRUE,IF(BE289="","",SUM($BE$8:BE289)),"")</f>
        <v/>
      </c>
    </row>
    <row r="290" spans="46:78" x14ac:dyDescent="0.25">
      <c r="AT290" s="74"/>
      <c r="AW290" s="74"/>
      <c r="BR290" s="133" t="str">
        <f t="shared" si="30"/>
        <v/>
      </c>
      <c r="BS290" s="100" t="str">
        <f>IF($BG$5=TRUE,IF(AX290="","",SUM($AX$8:AX290)),"")</f>
        <v/>
      </c>
      <c r="BT290" s="100" t="str">
        <f>IF($BH$5=TRUE,IF(AY290="","",SUM($AY$8:AY290)),"")</f>
        <v/>
      </c>
      <c r="BU290" s="100" t="str">
        <f>IF($BI$5=TRUE,IF(AZ290="","",SUM($AZ$8:AZ290)),"")</f>
        <v/>
      </c>
      <c r="BV290" s="100" t="str">
        <f>IF($BJ$5=TRUE,IF(BA290="","",SUM($BA$8:BA290)),"")</f>
        <v/>
      </c>
      <c r="BW290" s="100" t="str">
        <f>IF($BK$5=TRUE,IF(BB290="","",SUM($BB$8:BB290)),"")</f>
        <v/>
      </c>
      <c r="BX290" s="100" t="str">
        <f>IF($BL$5=TRUE,IF(BC290="","",SUM($BC$8:BC290)),"")</f>
        <v/>
      </c>
      <c r="BY290" s="100" t="str">
        <f>IF($BM$5=TRUE,IF(BD290="","",SUM($BD$8:BD290)),"")</f>
        <v/>
      </c>
      <c r="BZ290" s="100" t="str">
        <f>IF($BN$5=TRUE,IF(BE290="","",SUM($BE$8:BE290)),"")</f>
        <v/>
      </c>
    </row>
    <row r="291" spans="46:78" x14ac:dyDescent="0.25">
      <c r="AT291" s="74"/>
      <c r="AW291" s="74"/>
      <c r="BR291" s="133" t="str">
        <f t="shared" si="30"/>
        <v/>
      </c>
      <c r="BS291" s="100" t="str">
        <f>IF($BG$5=TRUE,IF(AX291="","",SUM($AX$8:AX291)),"")</f>
        <v/>
      </c>
      <c r="BT291" s="100" t="str">
        <f>IF($BH$5=TRUE,IF(AY291="","",SUM($AY$8:AY291)),"")</f>
        <v/>
      </c>
      <c r="BU291" s="100" t="str">
        <f>IF($BI$5=TRUE,IF(AZ291="","",SUM($AZ$8:AZ291)),"")</f>
        <v/>
      </c>
      <c r="BV291" s="100" t="str">
        <f>IF($BJ$5=TRUE,IF(BA291="","",SUM($BA$8:BA291)),"")</f>
        <v/>
      </c>
      <c r="BW291" s="100" t="str">
        <f>IF($BK$5=TRUE,IF(BB291="","",SUM($BB$8:BB291)),"")</f>
        <v/>
      </c>
      <c r="BX291" s="100" t="str">
        <f>IF($BL$5=TRUE,IF(BC291="","",SUM($BC$8:BC291)),"")</f>
        <v/>
      </c>
      <c r="BY291" s="100" t="str">
        <f>IF($BM$5=TRUE,IF(BD291="","",SUM($BD$8:BD291)),"")</f>
        <v/>
      </c>
      <c r="BZ291" s="100" t="str">
        <f>IF($BN$5=TRUE,IF(BE291="","",SUM($BE$8:BE291)),"")</f>
        <v/>
      </c>
    </row>
    <row r="292" spans="46:78" x14ac:dyDescent="0.25">
      <c r="AT292" s="74"/>
      <c r="AW292" s="74"/>
      <c r="BR292" s="133" t="str">
        <f t="shared" si="30"/>
        <v/>
      </c>
      <c r="BS292" s="100" t="str">
        <f>IF($BG$5=TRUE,IF(AX292="","",SUM($AX$8:AX292)),"")</f>
        <v/>
      </c>
      <c r="BT292" s="100" t="str">
        <f>IF($BH$5=TRUE,IF(AY292="","",SUM($AY$8:AY292)),"")</f>
        <v/>
      </c>
      <c r="BU292" s="100" t="str">
        <f>IF($BI$5=TRUE,IF(AZ292="","",SUM($AZ$8:AZ292)),"")</f>
        <v/>
      </c>
      <c r="BV292" s="100" t="str">
        <f>IF($BJ$5=TRUE,IF(BA292="","",SUM($BA$8:BA292)),"")</f>
        <v/>
      </c>
      <c r="BW292" s="100" t="str">
        <f>IF($BK$5=TRUE,IF(BB292="","",SUM($BB$8:BB292)),"")</f>
        <v/>
      </c>
      <c r="BX292" s="100" t="str">
        <f>IF($BL$5=TRUE,IF(BC292="","",SUM($BC$8:BC292)),"")</f>
        <v/>
      </c>
      <c r="BY292" s="100" t="str">
        <f>IF($BM$5=TRUE,IF(BD292="","",SUM($BD$8:BD292)),"")</f>
        <v/>
      </c>
      <c r="BZ292" s="100" t="str">
        <f>IF($BN$5=TRUE,IF(BE292="","",SUM($BE$8:BE292)),"")</f>
        <v/>
      </c>
    </row>
    <row r="293" spans="46:78" x14ac:dyDescent="0.25">
      <c r="AT293" s="74"/>
      <c r="AW293" s="74"/>
      <c r="BR293" s="133" t="str">
        <f t="shared" si="30"/>
        <v/>
      </c>
      <c r="BS293" s="100" t="str">
        <f>IF($BG$5=TRUE,IF(AX293="","",SUM($AX$8:AX293)),"")</f>
        <v/>
      </c>
      <c r="BT293" s="100" t="str">
        <f>IF($BH$5=TRUE,IF(AY293="","",SUM($AY$8:AY293)),"")</f>
        <v/>
      </c>
      <c r="BU293" s="100" t="str">
        <f>IF($BI$5=TRUE,IF(AZ293="","",SUM($AZ$8:AZ293)),"")</f>
        <v/>
      </c>
      <c r="BV293" s="100" t="str">
        <f>IF($BJ$5=TRUE,IF(BA293="","",SUM($BA$8:BA293)),"")</f>
        <v/>
      </c>
      <c r="BW293" s="100" t="str">
        <f>IF($BK$5=TRUE,IF(BB293="","",SUM($BB$8:BB293)),"")</f>
        <v/>
      </c>
      <c r="BX293" s="100" t="str">
        <f>IF($BL$5=TRUE,IF(BC293="","",SUM($BC$8:BC293)),"")</f>
        <v/>
      </c>
      <c r="BY293" s="100" t="str">
        <f>IF($BM$5=TRUE,IF(BD293="","",SUM($BD$8:BD293)),"")</f>
        <v/>
      </c>
      <c r="BZ293" s="100" t="str">
        <f>IF($BN$5=TRUE,IF(BE293="","",SUM($BE$8:BE293)),"")</f>
        <v/>
      </c>
    </row>
    <row r="294" spans="46:78" x14ac:dyDescent="0.25">
      <c r="AT294" s="74"/>
      <c r="AW294" s="74"/>
      <c r="BR294" s="133" t="str">
        <f t="shared" si="30"/>
        <v/>
      </c>
      <c r="BS294" s="100" t="str">
        <f>IF($BG$5=TRUE,IF(AX294="","",SUM($AX$8:AX294)),"")</f>
        <v/>
      </c>
      <c r="BT294" s="100" t="str">
        <f>IF($BH$5=TRUE,IF(AY294="","",SUM($AY$8:AY294)),"")</f>
        <v/>
      </c>
      <c r="BU294" s="100" t="str">
        <f>IF($BI$5=TRUE,IF(AZ294="","",SUM($AZ$8:AZ294)),"")</f>
        <v/>
      </c>
      <c r="BV294" s="100" t="str">
        <f>IF($BJ$5=TRUE,IF(BA294="","",SUM($BA$8:BA294)),"")</f>
        <v/>
      </c>
      <c r="BW294" s="100" t="str">
        <f>IF($BK$5=TRUE,IF(BB294="","",SUM($BB$8:BB294)),"")</f>
        <v/>
      </c>
      <c r="BX294" s="100" t="str">
        <f>IF($BL$5=TRUE,IF(BC294="","",SUM($BC$8:BC294)),"")</f>
        <v/>
      </c>
      <c r="BY294" s="100" t="str">
        <f>IF($BM$5=TRUE,IF(BD294="","",SUM($BD$8:BD294)),"")</f>
        <v/>
      </c>
      <c r="BZ294" s="100" t="str">
        <f>IF($BN$5=TRUE,IF(BE294="","",SUM($BE$8:BE294)),"")</f>
        <v/>
      </c>
    </row>
    <row r="295" spans="46:78" x14ac:dyDescent="0.25">
      <c r="AT295" s="74"/>
      <c r="AW295" s="74"/>
      <c r="BR295" s="133" t="str">
        <f t="shared" si="30"/>
        <v/>
      </c>
      <c r="BS295" s="100" t="str">
        <f>IF($BG$5=TRUE,IF(AX295="","",SUM($AX$8:AX295)),"")</f>
        <v/>
      </c>
      <c r="BT295" s="100" t="str">
        <f>IF($BH$5=TRUE,IF(AY295="","",SUM($AY$8:AY295)),"")</f>
        <v/>
      </c>
      <c r="BU295" s="100" t="str">
        <f>IF($BI$5=TRUE,IF(AZ295="","",SUM($AZ$8:AZ295)),"")</f>
        <v/>
      </c>
      <c r="BV295" s="100" t="str">
        <f>IF($BJ$5=TRUE,IF(BA295="","",SUM($BA$8:BA295)),"")</f>
        <v/>
      </c>
      <c r="BW295" s="100" t="str">
        <f>IF($BK$5=TRUE,IF(BB295="","",SUM($BB$8:BB295)),"")</f>
        <v/>
      </c>
      <c r="BX295" s="100" t="str">
        <f>IF($BL$5=TRUE,IF(BC295="","",SUM($BC$8:BC295)),"")</f>
        <v/>
      </c>
      <c r="BY295" s="100" t="str">
        <f>IF($BM$5=TRUE,IF(BD295="","",SUM($BD$8:BD295)),"")</f>
        <v/>
      </c>
      <c r="BZ295" s="100" t="str">
        <f>IF($BN$5=TRUE,IF(BE295="","",SUM($BE$8:BE295)),"")</f>
        <v/>
      </c>
    </row>
    <row r="296" spans="46:78" x14ac:dyDescent="0.25">
      <c r="AT296" s="74"/>
      <c r="AW296" s="74"/>
      <c r="BR296" s="133" t="str">
        <f t="shared" si="30"/>
        <v/>
      </c>
      <c r="BS296" s="100" t="str">
        <f>IF($BG$5=TRUE,IF(AX296="","",SUM($AX$8:AX296)),"")</f>
        <v/>
      </c>
      <c r="BT296" s="100" t="str">
        <f>IF($BH$5=TRUE,IF(AY296="","",SUM($AY$8:AY296)),"")</f>
        <v/>
      </c>
      <c r="BU296" s="100" t="str">
        <f>IF($BI$5=TRUE,IF(AZ296="","",SUM($AZ$8:AZ296)),"")</f>
        <v/>
      </c>
      <c r="BV296" s="100" t="str">
        <f>IF($BJ$5=TRUE,IF(BA296="","",SUM($BA$8:BA296)),"")</f>
        <v/>
      </c>
      <c r="BW296" s="100" t="str">
        <f>IF($BK$5=TRUE,IF(BB296="","",SUM($BB$8:BB296)),"")</f>
        <v/>
      </c>
      <c r="BX296" s="100" t="str">
        <f>IF($BL$5=TRUE,IF(BC296="","",SUM($BC$8:BC296)),"")</f>
        <v/>
      </c>
      <c r="BY296" s="100" t="str">
        <f>IF($BM$5=TRUE,IF(BD296="","",SUM($BD$8:BD296)),"")</f>
        <v/>
      </c>
      <c r="BZ296" s="100" t="str">
        <f>IF($BN$5=TRUE,IF(BE296="","",SUM($BE$8:BE296)),"")</f>
        <v/>
      </c>
    </row>
    <row r="297" spans="46:78" x14ac:dyDescent="0.25">
      <c r="AT297" s="74"/>
      <c r="AW297" s="74"/>
      <c r="BR297" s="133" t="str">
        <f t="shared" si="30"/>
        <v/>
      </c>
      <c r="BS297" s="100" t="str">
        <f>IF($BG$5=TRUE,IF(AX297="","",SUM($AX$8:AX297)),"")</f>
        <v/>
      </c>
      <c r="BT297" s="100" t="str">
        <f>IF($BH$5=TRUE,IF(AY297="","",SUM($AY$8:AY297)),"")</f>
        <v/>
      </c>
      <c r="BU297" s="100" t="str">
        <f>IF($BI$5=TRUE,IF(AZ297="","",SUM($AZ$8:AZ297)),"")</f>
        <v/>
      </c>
      <c r="BV297" s="100" t="str">
        <f>IF($BJ$5=TRUE,IF(BA297="","",SUM($BA$8:BA297)),"")</f>
        <v/>
      </c>
      <c r="BW297" s="100" t="str">
        <f>IF($BK$5=TRUE,IF(BB297="","",SUM($BB$8:BB297)),"")</f>
        <v/>
      </c>
      <c r="BX297" s="100" t="str">
        <f>IF($BL$5=TRUE,IF(BC297="","",SUM($BC$8:BC297)),"")</f>
        <v/>
      </c>
      <c r="BY297" s="100" t="str">
        <f>IF($BM$5=TRUE,IF(BD297="","",SUM($BD$8:BD297)),"")</f>
        <v/>
      </c>
      <c r="BZ297" s="100" t="str">
        <f>IF($BN$5=TRUE,IF(BE297="","",SUM($BE$8:BE297)),"")</f>
        <v/>
      </c>
    </row>
    <row r="298" spans="46:78" x14ac:dyDescent="0.25">
      <c r="AT298" s="74"/>
      <c r="AW298" s="74"/>
      <c r="BR298" s="133" t="str">
        <f t="shared" si="30"/>
        <v/>
      </c>
      <c r="BS298" s="100" t="str">
        <f>IF($BG$5=TRUE,IF(AX298="","",SUM($AX$8:AX298)),"")</f>
        <v/>
      </c>
      <c r="BT298" s="100" t="str">
        <f>IF($BH$5=TRUE,IF(AY298="","",SUM($AY$8:AY298)),"")</f>
        <v/>
      </c>
      <c r="BU298" s="100" t="str">
        <f>IF($BI$5=TRUE,IF(AZ298="","",SUM($AZ$8:AZ298)),"")</f>
        <v/>
      </c>
      <c r="BV298" s="100" t="str">
        <f>IF($BJ$5=TRUE,IF(BA298="","",SUM($BA$8:BA298)),"")</f>
        <v/>
      </c>
      <c r="BW298" s="100" t="str">
        <f>IF($BK$5=TRUE,IF(BB298="","",SUM($BB$8:BB298)),"")</f>
        <v/>
      </c>
      <c r="BX298" s="100" t="str">
        <f>IF($BL$5=TRUE,IF(BC298="","",SUM($BC$8:BC298)),"")</f>
        <v/>
      </c>
      <c r="BY298" s="100" t="str">
        <f>IF($BM$5=TRUE,IF(BD298="","",SUM($BD$8:BD298)),"")</f>
        <v/>
      </c>
      <c r="BZ298" s="100" t="str">
        <f>IF($BN$5=TRUE,IF(BE298="","",SUM($BE$8:BE298)),"")</f>
        <v/>
      </c>
    </row>
    <row r="299" spans="46:78" x14ac:dyDescent="0.25">
      <c r="AT299" s="74"/>
      <c r="AW299" s="74"/>
      <c r="BR299" s="133" t="str">
        <f t="shared" si="30"/>
        <v/>
      </c>
      <c r="BS299" s="100" t="str">
        <f>IF($BG$5=TRUE,IF(AX299="","",SUM($AX$8:AX299)),"")</f>
        <v/>
      </c>
      <c r="BT299" s="100" t="str">
        <f>IF($BH$5=TRUE,IF(AY299="","",SUM($AY$8:AY299)),"")</f>
        <v/>
      </c>
      <c r="BU299" s="100" t="str">
        <f>IF($BI$5=TRUE,IF(AZ299="","",SUM($AZ$8:AZ299)),"")</f>
        <v/>
      </c>
      <c r="BV299" s="100" t="str">
        <f>IF($BJ$5=TRUE,IF(BA299="","",SUM($BA$8:BA299)),"")</f>
        <v/>
      </c>
      <c r="BW299" s="100" t="str">
        <f>IF($BK$5=TRUE,IF(BB299="","",SUM($BB$8:BB299)),"")</f>
        <v/>
      </c>
      <c r="BX299" s="100" t="str">
        <f>IF($BL$5=TRUE,IF(BC299="","",SUM($BC$8:BC299)),"")</f>
        <v/>
      </c>
      <c r="BY299" s="100" t="str">
        <f>IF($BM$5=TRUE,IF(BD299="","",SUM($BD$8:BD299)),"")</f>
        <v/>
      </c>
      <c r="BZ299" s="100" t="str">
        <f>IF($BN$5=TRUE,IF(BE299="","",SUM($BE$8:BE299)),"")</f>
        <v/>
      </c>
    </row>
    <row r="300" spans="46:78" x14ac:dyDescent="0.25">
      <c r="AT300" s="74"/>
      <c r="AW300" s="74"/>
      <c r="BR300" s="133" t="str">
        <f t="shared" si="30"/>
        <v/>
      </c>
      <c r="BS300" s="100" t="str">
        <f>IF($BG$5=TRUE,IF(AX300="","",SUM($AX$8:AX300)),"")</f>
        <v/>
      </c>
      <c r="BT300" s="100" t="str">
        <f>IF($BH$5=TRUE,IF(AY300="","",SUM($AY$8:AY300)),"")</f>
        <v/>
      </c>
      <c r="BU300" s="100" t="str">
        <f>IF($BI$5=TRUE,IF(AZ300="","",SUM($AZ$8:AZ300)),"")</f>
        <v/>
      </c>
      <c r="BV300" s="100" t="str">
        <f>IF($BJ$5=TRUE,IF(BA300="","",SUM($BA$8:BA300)),"")</f>
        <v/>
      </c>
      <c r="BW300" s="100" t="str">
        <f>IF($BK$5=TRUE,IF(BB300="","",SUM($BB$8:BB300)),"")</f>
        <v/>
      </c>
      <c r="BX300" s="100" t="str">
        <f>IF($BL$5=TRUE,IF(BC300="","",SUM($BC$8:BC300)),"")</f>
        <v/>
      </c>
      <c r="BY300" s="100" t="str">
        <f>IF($BM$5=TRUE,IF(BD300="","",SUM($BD$8:BD300)),"")</f>
        <v/>
      </c>
      <c r="BZ300" s="100" t="str">
        <f>IF($BN$5=TRUE,IF(BE300="","",SUM($BE$8:BE300)),"")</f>
        <v/>
      </c>
    </row>
    <row r="301" spans="46:78" x14ac:dyDescent="0.25">
      <c r="AT301" s="74"/>
      <c r="AW301" s="74"/>
      <c r="BR301" s="133" t="str">
        <f t="shared" si="30"/>
        <v/>
      </c>
      <c r="BS301" s="100" t="str">
        <f>IF($BG$5=TRUE,IF(AX301="","",SUM($AX$8:AX301)),"")</f>
        <v/>
      </c>
      <c r="BT301" s="100" t="str">
        <f>IF($BH$5=TRUE,IF(AY301="","",SUM($AY$8:AY301)),"")</f>
        <v/>
      </c>
      <c r="BU301" s="100" t="str">
        <f>IF($BI$5=TRUE,IF(AZ301="","",SUM($AZ$8:AZ301)),"")</f>
        <v/>
      </c>
      <c r="BV301" s="100" t="str">
        <f>IF($BJ$5=TRUE,IF(BA301="","",SUM($BA$8:BA301)),"")</f>
        <v/>
      </c>
      <c r="BW301" s="100" t="str">
        <f>IF($BK$5=TRUE,IF(BB301="","",SUM($BB$8:BB301)),"")</f>
        <v/>
      </c>
      <c r="BX301" s="100" t="str">
        <f>IF($BL$5=TRUE,IF(BC301="","",SUM($BC$8:BC301)),"")</f>
        <v/>
      </c>
      <c r="BY301" s="100" t="str">
        <f>IF($BM$5=TRUE,IF(BD301="","",SUM($BD$8:BD301)),"")</f>
        <v/>
      </c>
      <c r="BZ301" s="100" t="str">
        <f>IF($BN$5=TRUE,IF(BE301="","",SUM($BE$8:BE301)),"")</f>
        <v/>
      </c>
    </row>
    <row r="302" spans="46:78" x14ac:dyDescent="0.25">
      <c r="AT302" s="74"/>
      <c r="AW302" s="74"/>
      <c r="BR302" s="133" t="str">
        <f t="shared" si="30"/>
        <v/>
      </c>
      <c r="BS302" s="100" t="str">
        <f>IF($BG$5=TRUE,IF(AX302="","",SUM($AX$8:AX302)),"")</f>
        <v/>
      </c>
      <c r="BT302" s="100" t="str">
        <f>IF($BH$5=TRUE,IF(AY302="","",SUM($AY$8:AY302)),"")</f>
        <v/>
      </c>
      <c r="BU302" s="100" t="str">
        <f>IF($BI$5=TRUE,IF(AZ302="","",SUM($AZ$8:AZ302)),"")</f>
        <v/>
      </c>
      <c r="BV302" s="100" t="str">
        <f>IF($BJ$5=TRUE,IF(BA302="","",SUM($BA$8:BA302)),"")</f>
        <v/>
      </c>
      <c r="BW302" s="100" t="str">
        <f>IF($BK$5=TRUE,IF(BB302="","",SUM($BB$8:BB302)),"")</f>
        <v/>
      </c>
      <c r="BX302" s="100" t="str">
        <f>IF($BL$5=TRUE,IF(BC302="","",SUM($BC$8:BC302)),"")</f>
        <v/>
      </c>
      <c r="BY302" s="100" t="str">
        <f>IF($BM$5=TRUE,IF(BD302="","",SUM($BD$8:BD302)),"")</f>
        <v/>
      </c>
      <c r="BZ302" s="100" t="str">
        <f>IF($BN$5=TRUE,IF(BE302="","",SUM($BE$8:BE302)),"")</f>
        <v/>
      </c>
    </row>
    <row r="303" spans="46:78" x14ac:dyDescent="0.25">
      <c r="AT303" s="74"/>
      <c r="AW303" s="74"/>
      <c r="BR303" s="133" t="str">
        <f t="shared" si="30"/>
        <v/>
      </c>
      <c r="BS303" s="100" t="str">
        <f>IF($BG$5=TRUE,IF(AX303="","",SUM($AX$8:AX303)),"")</f>
        <v/>
      </c>
      <c r="BT303" s="100" t="str">
        <f>IF($BH$5=TRUE,IF(AY303="","",SUM($AY$8:AY303)),"")</f>
        <v/>
      </c>
      <c r="BU303" s="100" t="str">
        <f>IF($BI$5=TRUE,IF(AZ303="","",SUM($AZ$8:AZ303)),"")</f>
        <v/>
      </c>
      <c r="BV303" s="100" t="str">
        <f>IF($BJ$5=TRUE,IF(BA303="","",SUM($BA$8:BA303)),"")</f>
        <v/>
      </c>
      <c r="BW303" s="100" t="str">
        <f>IF($BK$5=TRUE,IF(BB303="","",SUM($BB$8:BB303)),"")</f>
        <v/>
      </c>
      <c r="BX303" s="100" t="str">
        <f>IF($BL$5=TRUE,IF(BC303="","",SUM($BC$8:BC303)),"")</f>
        <v/>
      </c>
      <c r="BY303" s="100" t="str">
        <f>IF($BM$5=TRUE,IF(BD303="","",SUM($BD$8:BD303)),"")</f>
        <v/>
      </c>
      <c r="BZ303" s="100" t="str">
        <f>IF($BN$5=TRUE,IF(BE303="","",SUM($BE$8:BE303)),"")</f>
        <v/>
      </c>
    </row>
    <row r="304" spans="46:78" x14ac:dyDescent="0.25">
      <c r="AT304" s="74"/>
      <c r="AW304" s="74"/>
      <c r="BR304" s="133" t="str">
        <f t="shared" si="30"/>
        <v/>
      </c>
      <c r="BS304" s="100" t="str">
        <f>IF($BG$5=TRUE,IF(AX304="","",SUM($AX$8:AX304)),"")</f>
        <v/>
      </c>
      <c r="BT304" s="100" t="str">
        <f>IF($BH$5=TRUE,IF(AY304="","",SUM($AY$8:AY304)),"")</f>
        <v/>
      </c>
      <c r="BU304" s="100" t="str">
        <f>IF($BI$5=TRUE,IF(AZ304="","",SUM($AZ$8:AZ304)),"")</f>
        <v/>
      </c>
      <c r="BV304" s="100" t="str">
        <f>IF($BJ$5=TRUE,IF(BA304="","",SUM($BA$8:BA304)),"")</f>
        <v/>
      </c>
      <c r="BW304" s="100" t="str">
        <f>IF($BK$5=TRUE,IF(BB304="","",SUM($BB$8:BB304)),"")</f>
        <v/>
      </c>
      <c r="BX304" s="100" t="str">
        <f>IF($BL$5=TRUE,IF(BC304="","",SUM($BC$8:BC304)),"")</f>
        <v/>
      </c>
      <c r="BY304" s="100" t="str">
        <f>IF($BM$5=TRUE,IF(BD304="","",SUM($BD$8:BD304)),"")</f>
        <v/>
      </c>
      <c r="BZ304" s="100" t="str">
        <f>IF($BN$5=TRUE,IF(BE304="","",SUM($BE$8:BE304)),"")</f>
        <v/>
      </c>
    </row>
    <row r="305" spans="46:78" x14ac:dyDescent="0.25">
      <c r="AT305" s="74"/>
      <c r="AW305" s="74"/>
      <c r="BR305" s="133" t="str">
        <f t="shared" si="30"/>
        <v/>
      </c>
      <c r="BS305" s="100" t="str">
        <f>IF($BG$5=TRUE,IF(AX305="","",SUM($AX$8:AX305)),"")</f>
        <v/>
      </c>
      <c r="BT305" s="100" t="str">
        <f>IF($BH$5=TRUE,IF(AY305="","",SUM($AY$8:AY305)),"")</f>
        <v/>
      </c>
      <c r="BU305" s="100" t="str">
        <f>IF($BI$5=TRUE,IF(AZ305="","",SUM($AZ$8:AZ305)),"")</f>
        <v/>
      </c>
      <c r="BV305" s="100" t="str">
        <f>IF($BJ$5=TRUE,IF(BA305="","",SUM($BA$8:BA305)),"")</f>
        <v/>
      </c>
      <c r="BW305" s="100" t="str">
        <f>IF($BK$5=TRUE,IF(BB305="","",SUM($BB$8:BB305)),"")</f>
        <v/>
      </c>
      <c r="BX305" s="100" t="str">
        <f>IF($BL$5=TRUE,IF(BC305="","",SUM($BC$8:BC305)),"")</f>
        <v/>
      </c>
      <c r="BY305" s="100" t="str">
        <f>IF($BM$5=TRUE,IF(BD305="","",SUM($BD$8:BD305)),"")</f>
        <v/>
      </c>
      <c r="BZ305" s="100" t="str">
        <f>IF($BN$5=TRUE,IF(BE305="","",SUM($BE$8:BE305)),"")</f>
        <v/>
      </c>
    </row>
    <row r="306" spans="46:78" x14ac:dyDescent="0.25">
      <c r="AT306" s="74"/>
      <c r="AW306" s="74"/>
      <c r="BR306" s="133" t="str">
        <f t="shared" si="30"/>
        <v/>
      </c>
      <c r="BS306" s="100" t="str">
        <f>IF($BG$5=TRUE,IF(AX306="","",SUM($AX$8:AX306)),"")</f>
        <v/>
      </c>
      <c r="BT306" s="100" t="str">
        <f>IF($BH$5=TRUE,IF(AY306="","",SUM($AY$8:AY306)),"")</f>
        <v/>
      </c>
      <c r="BU306" s="100" t="str">
        <f>IF($BI$5=TRUE,IF(AZ306="","",SUM($AZ$8:AZ306)),"")</f>
        <v/>
      </c>
      <c r="BV306" s="100" t="str">
        <f>IF($BJ$5=TRUE,IF(BA306="","",SUM($BA$8:BA306)),"")</f>
        <v/>
      </c>
      <c r="BW306" s="100" t="str">
        <f>IF($BK$5=TRUE,IF(BB306="","",SUM($BB$8:BB306)),"")</f>
        <v/>
      </c>
      <c r="BX306" s="100" t="str">
        <f>IF($BL$5=TRUE,IF(BC306="","",SUM($BC$8:BC306)),"")</f>
        <v/>
      </c>
      <c r="BY306" s="100" t="str">
        <f>IF($BM$5=TRUE,IF(BD306="","",SUM($BD$8:BD306)),"")</f>
        <v/>
      </c>
      <c r="BZ306" s="100" t="str">
        <f>IF($BN$5=TRUE,IF(BE306="","",SUM($BE$8:BE306)),"")</f>
        <v/>
      </c>
    </row>
    <row r="307" spans="46:78" x14ac:dyDescent="0.25">
      <c r="AT307" s="74"/>
      <c r="AW307" s="74"/>
      <c r="BR307" s="133" t="str">
        <f t="shared" si="30"/>
        <v/>
      </c>
      <c r="BS307" s="100" t="str">
        <f>IF($BG$5=TRUE,IF(AX307="","",SUM($AX$8:AX307)),"")</f>
        <v/>
      </c>
      <c r="BT307" s="100" t="str">
        <f>IF($BH$5=TRUE,IF(AY307="","",SUM($AY$8:AY307)),"")</f>
        <v/>
      </c>
      <c r="BU307" s="100" t="str">
        <f>IF($BI$5=TRUE,IF(AZ307="","",SUM($AZ$8:AZ307)),"")</f>
        <v/>
      </c>
      <c r="BV307" s="100" t="str">
        <f>IF($BJ$5=TRUE,IF(BA307="","",SUM($BA$8:BA307)),"")</f>
        <v/>
      </c>
      <c r="BW307" s="100" t="str">
        <f>IF($BK$5=TRUE,IF(BB307="","",SUM($BB$8:BB307)),"")</f>
        <v/>
      </c>
      <c r="BX307" s="100" t="str">
        <f>IF($BL$5=TRUE,IF(BC307="","",SUM($BC$8:BC307)),"")</f>
        <v/>
      </c>
      <c r="BY307" s="100" t="str">
        <f>IF($BM$5=TRUE,IF(BD307="","",SUM($BD$8:BD307)),"")</f>
        <v/>
      </c>
      <c r="BZ307" s="100" t="str">
        <f>IF($BN$5=TRUE,IF(BE307="","",SUM($BE$8:BE307)),"")</f>
        <v/>
      </c>
    </row>
    <row r="308" spans="46:78" x14ac:dyDescent="0.25">
      <c r="AT308" s="74"/>
      <c r="AW308" s="74"/>
      <c r="BR308" s="133" t="str">
        <f t="shared" si="30"/>
        <v/>
      </c>
      <c r="BS308" s="100" t="str">
        <f>IF($BG$5=TRUE,IF(AX308="","",SUM($AX$8:AX308)),"")</f>
        <v/>
      </c>
      <c r="BT308" s="100" t="str">
        <f>IF($BH$5=TRUE,IF(AY308="","",SUM($AY$8:AY308)),"")</f>
        <v/>
      </c>
      <c r="BU308" s="100" t="str">
        <f>IF($BI$5=TRUE,IF(AZ308="","",SUM($AZ$8:AZ308)),"")</f>
        <v/>
      </c>
      <c r="BV308" s="100" t="str">
        <f>IF($BJ$5=TRUE,IF(BA308="","",SUM($BA$8:BA308)),"")</f>
        <v/>
      </c>
      <c r="BW308" s="100" t="str">
        <f>IF($BK$5=TRUE,IF(BB308="","",SUM($BB$8:BB308)),"")</f>
        <v/>
      </c>
      <c r="BX308" s="100" t="str">
        <f>IF($BL$5=TRUE,IF(BC308="","",SUM($BC$8:BC308)),"")</f>
        <v/>
      </c>
      <c r="BY308" s="100" t="str">
        <f>IF($BM$5=TRUE,IF(BD308="","",SUM($BD$8:BD308)),"")</f>
        <v/>
      </c>
      <c r="BZ308" s="100" t="str">
        <f>IF($BN$5=TRUE,IF(BE308="","",SUM($BE$8:BE308)),"")</f>
        <v/>
      </c>
    </row>
    <row r="309" spans="46:78" x14ac:dyDescent="0.25">
      <c r="AT309" s="74"/>
      <c r="AW309" s="74"/>
      <c r="BR309" s="133" t="str">
        <f t="shared" si="30"/>
        <v/>
      </c>
      <c r="BS309" s="100" t="str">
        <f>IF($BG$5=TRUE,IF(AX309="","",SUM($AX$8:AX309)),"")</f>
        <v/>
      </c>
      <c r="BT309" s="100" t="str">
        <f>IF($BH$5=TRUE,IF(AY309="","",SUM($AY$8:AY309)),"")</f>
        <v/>
      </c>
      <c r="BU309" s="100" t="str">
        <f>IF($BI$5=TRUE,IF(AZ309="","",SUM($AZ$8:AZ309)),"")</f>
        <v/>
      </c>
      <c r="BV309" s="100" t="str">
        <f>IF($BJ$5=TRUE,IF(BA309="","",SUM($BA$8:BA309)),"")</f>
        <v/>
      </c>
      <c r="BW309" s="100" t="str">
        <f>IF($BK$5=TRUE,IF(BB309="","",SUM($BB$8:BB309)),"")</f>
        <v/>
      </c>
      <c r="BX309" s="100" t="str">
        <f>IF($BL$5=TRUE,IF(BC309="","",SUM($BC$8:BC309)),"")</f>
        <v/>
      </c>
      <c r="BY309" s="100" t="str">
        <f>IF($BM$5=TRUE,IF(BD309="","",SUM($BD$8:BD309)),"")</f>
        <v/>
      </c>
      <c r="BZ309" s="100" t="str">
        <f>IF($BN$5=TRUE,IF(BE309="","",SUM($BE$8:BE309)),"")</f>
        <v/>
      </c>
    </row>
    <row r="310" spans="46:78" x14ac:dyDescent="0.25">
      <c r="AT310" s="74"/>
      <c r="AW310" s="74"/>
      <c r="BR310" s="133" t="str">
        <f t="shared" si="30"/>
        <v/>
      </c>
      <c r="BS310" s="100" t="str">
        <f>IF($BG$5=TRUE,IF(AX310="","",SUM($AX$8:AX310)),"")</f>
        <v/>
      </c>
      <c r="BT310" s="100" t="str">
        <f>IF($BH$5=TRUE,IF(AY310="","",SUM($AY$8:AY310)),"")</f>
        <v/>
      </c>
      <c r="BU310" s="100" t="str">
        <f>IF($BI$5=TRUE,IF(AZ310="","",SUM($AZ$8:AZ310)),"")</f>
        <v/>
      </c>
      <c r="BV310" s="100" t="str">
        <f>IF($BJ$5=TRUE,IF(BA310="","",SUM($BA$8:BA310)),"")</f>
        <v/>
      </c>
      <c r="BW310" s="100" t="str">
        <f>IF($BK$5=TRUE,IF(BB310="","",SUM($BB$8:BB310)),"")</f>
        <v/>
      </c>
      <c r="BX310" s="100" t="str">
        <f>IF($BL$5=TRUE,IF(BC310="","",SUM($BC$8:BC310)),"")</f>
        <v/>
      </c>
      <c r="BY310" s="100" t="str">
        <f>IF($BM$5=TRUE,IF(BD310="","",SUM($BD$8:BD310)),"")</f>
        <v/>
      </c>
      <c r="BZ310" s="100" t="str">
        <f>IF($BN$5=TRUE,IF(BE310="","",SUM($BE$8:BE310)),"")</f>
        <v/>
      </c>
    </row>
    <row r="311" spans="46:78" x14ac:dyDescent="0.25">
      <c r="AT311" s="74"/>
      <c r="AW311" s="74"/>
      <c r="BR311" s="133" t="str">
        <f t="shared" si="30"/>
        <v/>
      </c>
      <c r="BS311" s="100" t="str">
        <f>IF($BG$5=TRUE,IF(AX311="","",SUM($AX$8:AX311)),"")</f>
        <v/>
      </c>
      <c r="BT311" s="100" t="str">
        <f>IF($BH$5=TRUE,IF(AY311="","",SUM($AY$8:AY311)),"")</f>
        <v/>
      </c>
      <c r="BU311" s="100" t="str">
        <f>IF($BI$5=TRUE,IF(AZ311="","",SUM($AZ$8:AZ311)),"")</f>
        <v/>
      </c>
      <c r="BV311" s="100" t="str">
        <f>IF($BJ$5=TRUE,IF(BA311="","",SUM($BA$8:BA311)),"")</f>
        <v/>
      </c>
      <c r="BW311" s="100" t="str">
        <f>IF($BK$5=TRUE,IF(BB311="","",SUM($BB$8:BB311)),"")</f>
        <v/>
      </c>
      <c r="BX311" s="100" t="str">
        <f>IF($BL$5=TRUE,IF(BC311="","",SUM($BC$8:BC311)),"")</f>
        <v/>
      </c>
      <c r="BY311" s="100" t="str">
        <f>IF($BM$5=TRUE,IF(BD311="","",SUM($BD$8:BD311)),"")</f>
        <v/>
      </c>
      <c r="BZ311" s="100" t="str">
        <f>IF($BN$5=TRUE,IF(BE311="","",SUM($BE$8:BE311)),"")</f>
        <v/>
      </c>
    </row>
    <row r="312" spans="46:78" x14ac:dyDescent="0.25">
      <c r="AT312" s="74"/>
      <c r="AW312" s="74"/>
      <c r="BR312" s="133" t="str">
        <f t="shared" si="30"/>
        <v/>
      </c>
      <c r="BS312" s="100" t="str">
        <f>IF($BG$5=TRUE,IF(AX312="","",SUM($AX$8:AX312)),"")</f>
        <v/>
      </c>
      <c r="BT312" s="100" t="str">
        <f>IF($BH$5=TRUE,IF(AY312="","",SUM($AY$8:AY312)),"")</f>
        <v/>
      </c>
      <c r="BU312" s="100" t="str">
        <f>IF($BI$5=TRUE,IF(AZ312="","",SUM($AZ$8:AZ312)),"")</f>
        <v/>
      </c>
      <c r="BV312" s="100" t="str">
        <f>IF($BJ$5=TRUE,IF(BA312="","",SUM($BA$8:BA312)),"")</f>
        <v/>
      </c>
      <c r="BW312" s="100" t="str">
        <f>IF($BK$5=TRUE,IF(BB312="","",SUM($BB$8:BB312)),"")</f>
        <v/>
      </c>
      <c r="BX312" s="100" t="str">
        <f>IF($BL$5=TRUE,IF(BC312="","",SUM($BC$8:BC312)),"")</f>
        <v/>
      </c>
      <c r="BY312" s="100" t="str">
        <f>IF($BM$5=TRUE,IF(BD312="","",SUM($BD$8:BD312)),"")</f>
        <v/>
      </c>
      <c r="BZ312" s="100" t="str">
        <f>IF($BN$5=TRUE,IF(BE312="","",SUM($BE$8:BE312)),"")</f>
        <v/>
      </c>
    </row>
    <row r="313" spans="46:78" x14ac:dyDescent="0.25">
      <c r="AT313" s="74"/>
      <c r="AW313" s="74"/>
      <c r="BR313" s="133" t="str">
        <f t="shared" si="30"/>
        <v/>
      </c>
      <c r="BS313" s="100" t="str">
        <f>IF($BG$5=TRUE,IF(AX313="","",SUM($AX$8:AX313)),"")</f>
        <v/>
      </c>
      <c r="BT313" s="100" t="str">
        <f>IF($BH$5=TRUE,IF(AY313="","",SUM($AY$8:AY313)),"")</f>
        <v/>
      </c>
      <c r="BU313" s="100" t="str">
        <f>IF($BI$5=TRUE,IF(AZ313="","",SUM($AZ$8:AZ313)),"")</f>
        <v/>
      </c>
      <c r="BV313" s="100" t="str">
        <f>IF($BJ$5=TRUE,IF(BA313="","",SUM($BA$8:BA313)),"")</f>
        <v/>
      </c>
      <c r="BW313" s="100" t="str">
        <f>IF($BK$5=TRUE,IF(BB313="","",SUM($BB$8:BB313)),"")</f>
        <v/>
      </c>
      <c r="BX313" s="100" t="str">
        <f>IF($BL$5=TRUE,IF(BC313="","",SUM($BC$8:BC313)),"")</f>
        <v/>
      </c>
      <c r="BY313" s="100" t="str">
        <f>IF($BM$5=TRUE,IF(BD313="","",SUM($BD$8:BD313)),"")</f>
        <v/>
      </c>
      <c r="BZ313" s="100" t="str">
        <f>IF($BN$5=TRUE,IF(BE313="","",SUM($BE$8:BE313)),"")</f>
        <v/>
      </c>
    </row>
    <row r="314" spans="46:78" x14ac:dyDescent="0.25">
      <c r="AT314" s="74"/>
      <c r="AW314" s="74"/>
      <c r="BR314" s="133" t="str">
        <f t="shared" si="30"/>
        <v/>
      </c>
      <c r="BS314" s="100" t="str">
        <f>IF($BG$5=TRUE,IF(AX314="","",SUM($AX$8:AX314)),"")</f>
        <v/>
      </c>
      <c r="BT314" s="100" t="str">
        <f>IF($BH$5=TRUE,IF(AY314="","",SUM($AY$8:AY314)),"")</f>
        <v/>
      </c>
      <c r="BU314" s="100" t="str">
        <f>IF($BI$5=TRUE,IF(AZ314="","",SUM($AZ$8:AZ314)),"")</f>
        <v/>
      </c>
      <c r="BV314" s="100" t="str">
        <f>IF($BJ$5=TRUE,IF(BA314="","",SUM($BA$8:BA314)),"")</f>
        <v/>
      </c>
      <c r="BW314" s="100" t="str">
        <f>IF($BK$5=TRUE,IF(BB314="","",SUM($BB$8:BB314)),"")</f>
        <v/>
      </c>
      <c r="BX314" s="100" t="str">
        <f>IF($BL$5=TRUE,IF(BC314="","",SUM($BC$8:BC314)),"")</f>
        <v/>
      </c>
      <c r="BY314" s="100" t="str">
        <f>IF($BM$5=TRUE,IF(BD314="","",SUM($BD$8:BD314)),"")</f>
        <v/>
      </c>
      <c r="BZ314" s="100" t="str">
        <f>IF($BN$5=TRUE,IF(BE314="","",SUM($BE$8:BE314)),"")</f>
        <v/>
      </c>
    </row>
    <row r="315" spans="46:78" x14ac:dyDescent="0.25">
      <c r="AT315" s="74"/>
      <c r="AW315" s="74"/>
      <c r="BR315" s="133" t="str">
        <f t="shared" si="30"/>
        <v/>
      </c>
      <c r="BS315" s="100" t="str">
        <f>IF($BG$5=TRUE,IF(AX315="","",SUM($AX$8:AX315)),"")</f>
        <v/>
      </c>
      <c r="BT315" s="100" t="str">
        <f>IF($BH$5=TRUE,IF(AY315="","",SUM($AY$8:AY315)),"")</f>
        <v/>
      </c>
      <c r="BU315" s="100" t="str">
        <f>IF($BI$5=TRUE,IF(AZ315="","",SUM($AZ$8:AZ315)),"")</f>
        <v/>
      </c>
      <c r="BV315" s="100" t="str">
        <f>IF($BJ$5=TRUE,IF(BA315="","",SUM($BA$8:BA315)),"")</f>
        <v/>
      </c>
      <c r="BW315" s="100" t="str">
        <f>IF($BK$5=TRUE,IF(BB315="","",SUM($BB$8:BB315)),"")</f>
        <v/>
      </c>
      <c r="BX315" s="100" t="str">
        <f>IF($BL$5=TRUE,IF(BC315="","",SUM($BC$8:BC315)),"")</f>
        <v/>
      </c>
      <c r="BY315" s="100" t="str">
        <f>IF($BM$5=TRUE,IF(BD315="","",SUM($BD$8:BD315)),"")</f>
        <v/>
      </c>
      <c r="BZ315" s="100" t="str">
        <f>IF($BN$5=TRUE,IF(BE315="","",SUM($BE$8:BE315)),"")</f>
        <v/>
      </c>
    </row>
    <row r="316" spans="46:78" x14ac:dyDescent="0.25">
      <c r="AT316" s="74"/>
      <c r="AW316" s="74"/>
      <c r="BR316" s="133" t="str">
        <f t="shared" si="30"/>
        <v/>
      </c>
      <c r="BS316" s="100" t="str">
        <f>IF($BG$5=TRUE,IF(AX316="","",SUM($AX$8:AX316)),"")</f>
        <v/>
      </c>
      <c r="BT316" s="100" t="str">
        <f>IF($BH$5=TRUE,IF(AY316="","",SUM($AY$8:AY316)),"")</f>
        <v/>
      </c>
      <c r="BU316" s="100" t="str">
        <f>IF($BI$5=TRUE,IF(AZ316="","",SUM($AZ$8:AZ316)),"")</f>
        <v/>
      </c>
      <c r="BV316" s="100" t="str">
        <f>IF($BJ$5=TRUE,IF(BA316="","",SUM($BA$8:BA316)),"")</f>
        <v/>
      </c>
      <c r="BW316" s="100" t="str">
        <f>IF($BK$5=TRUE,IF(BB316="","",SUM($BB$8:BB316)),"")</f>
        <v/>
      </c>
      <c r="BX316" s="100" t="str">
        <f>IF($BL$5=TRUE,IF(BC316="","",SUM($BC$8:BC316)),"")</f>
        <v/>
      </c>
      <c r="BY316" s="100" t="str">
        <f>IF($BM$5=TRUE,IF(BD316="","",SUM($BD$8:BD316)),"")</f>
        <v/>
      </c>
      <c r="BZ316" s="100" t="str">
        <f>IF($BN$5=TRUE,IF(BE316="","",SUM($BE$8:BE316)),"")</f>
        <v/>
      </c>
    </row>
    <row r="317" spans="46:78" x14ac:dyDescent="0.25">
      <c r="AT317" s="74"/>
      <c r="AW317" s="74"/>
      <c r="BR317" s="133" t="str">
        <f t="shared" si="30"/>
        <v/>
      </c>
      <c r="BS317" s="100" t="str">
        <f>IF($BG$5=TRUE,IF(AX317="","",SUM($AX$8:AX317)),"")</f>
        <v/>
      </c>
      <c r="BT317" s="100" t="str">
        <f>IF($BH$5=TRUE,IF(AY317="","",SUM($AY$8:AY317)),"")</f>
        <v/>
      </c>
      <c r="BU317" s="100" t="str">
        <f>IF($BI$5=TRUE,IF(AZ317="","",SUM($AZ$8:AZ317)),"")</f>
        <v/>
      </c>
      <c r="BV317" s="100" t="str">
        <f>IF($BJ$5=TRUE,IF(BA317="","",SUM($BA$8:BA317)),"")</f>
        <v/>
      </c>
      <c r="BW317" s="100" t="str">
        <f>IF($BK$5=TRUE,IF(BB317="","",SUM($BB$8:BB317)),"")</f>
        <v/>
      </c>
      <c r="BX317" s="100" t="str">
        <f>IF($BL$5=TRUE,IF(BC317="","",SUM($BC$8:BC317)),"")</f>
        <v/>
      </c>
      <c r="BY317" s="100" t="str">
        <f>IF($BM$5=TRUE,IF(BD317="","",SUM($BD$8:BD317)),"")</f>
        <v/>
      </c>
      <c r="BZ317" s="100" t="str">
        <f>IF($BN$5=TRUE,IF(BE317="","",SUM($BE$8:BE317)),"")</f>
        <v/>
      </c>
    </row>
    <row r="318" spans="46:78" x14ac:dyDescent="0.25">
      <c r="AT318" s="74"/>
      <c r="AW318" s="74"/>
      <c r="BR318" s="133" t="str">
        <f t="shared" si="30"/>
        <v/>
      </c>
      <c r="BS318" s="100" t="str">
        <f>IF($BG$5=TRUE,IF(AX318="","",SUM($AX$8:AX318)),"")</f>
        <v/>
      </c>
      <c r="BT318" s="100" t="str">
        <f>IF($BH$5=TRUE,IF(AY318="","",SUM($AY$8:AY318)),"")</f>
        <v/>
      </c>
      <c r="BU318" s="100" t="str">
        <f>IF($BI$5=TRUE,IF(AZ318="","",SUM($AZ$8:AZ318)),"")</f>
        <v/>
      </c>
      <c r="BV318" s="100" t="str">
        <f>IF($BJ$5=TRUE,IF(BA318="","",SUM($BA$8:BA318)),"")</f>
        <v/>
      </c>
      <c r="BW318" s="100" t="str">
        <f>IF($BK$5=TRUE,IF(BB318="","",SUM($BB$8:BB318)),"")</f>
        <v/>
      </c>
      <c r="BX318" s="100" t="str">
        <f>IF($BL$5=TRUE,IF(BC318="","",SUM($BC$8:BC318)),"")</f>
        <v/>
      </c>
      <c r="BY318" s="100" t="str">
        <f>IF($BM$5=TRUE,IF(BD318="","",SUM($BD$8:BD318)),"")</f>
        <v/>
      </c>
      <c r="BZ318" s="100" t="str">
        <f>IF($BN$5=TRUE,IF(BE318="","",SUM($BE$8:BE318)),"")</f>
        <v/>
      </c>
    </row>
    <row r="319" spans="46:78" x14ac:dyDescent="0.25">
      <c r="AT319" s="74"/>
      <c r="AW319" s="74"/>
      <c r="BR319" s="133" t="str">
        <f t="shared" si="30"/>
        <v/>
      </c>
      <c r="BS319" s="100" t="str">
        <f>IF($BG$5=TRUE,IF(AX319="","",SUM($AX$8:AX319)),"")</f>
        <v/>
      </c>
      <c r="BT319" s="100" t="str">
        <f>IF($BH$5=TRUE,IF(AY319="","",SUM($AY$8:AY319)),"")</f>
        <v/>
      </c>
      <c r="BU319" s="100" t="str">
        <f>IF($BI$5=TRUE,IF(AZ319="","",SUM($AZ$8:AZ319)),"")</f>
        <v/>
      </c>
      <c r="BV319" s="100" t="str">
        <f>IF($BJ$5=TRUE,IF(BA319="","",SUM($BA$8:BA319)),"")</f>
        <v/>
      </c>
      <c r="BW319" s="100" t="str">
        <f>IF($BK$5=TRUE,IF(BB319="","",SUM($BB$8:BB319)),"")</f>
        <v/>
      </c>
      <c r="BX319" s="100" t="str">
        <f>IF($BL$5=TRUE,IF(BC319="","",SUM($BC$8:BC319)),"")</f>
        <v/>
      </c>
      <c r="BY319" s="100" t="str">
        <f>IF($BM$5=TRUE,IF(BD319="","",SUM($BD$8:BD319)),"")</f>
        <v/>
      </c>
      <c r="BZ319" s="100" t="str">
        <f>IF($BN$5=TRUE,IF(BE319="","",SUM($BE$8:BE319)),"")</f>
        <v/>
      </c>
    </row>
    <row r="320" spans="46:78" x14ac:dyDescent="0.25">
      <c r="AT320" s="74"/>
      <c r="AW320" s="74"/>
      <c r="BR320" s="133" t="str">
        <f t="shared" si="30"/>
        <v/>
      </c>
      <c r="BS320" s="100" t="str">
        <f>IF($BG$5=TRUE,IF(AX320="","",SUM($AX$8:AX320)),"")</f>
        <v/>
      </c>
      <c r="BT320" s="100" t="str">
        <f>IF($BH$5=TRUE,IF(AY320="","",SUM($AY$8:AY320)),"")</f>
        <v/>
      </c>
      <c r="BU320" s="100" t="str">
        <f>IF($BI$5=TRUE,IF(AZ320="","",SUM($AZ$8:AZ320)),"")</f>
        <v/>
      </c>
      <c r="BV320" s="100" t="str">
        <f>IF($BJ$5=TRUE,IF(BA320="","",SUM($BA$8:BA320)),"")</f>
        <v/>
      </c>
      <c r="BW320" s="100" t="str">
        <f>IF($BK$5=TRUE,IF(BB320="","",SUM($BB$8:BB320)),"")</f>
        <v/>
      </c>
      <c r="BX320" s="100" t="str">
        <f>IF($BL$5=TRUE,IF(BC320="","",SUM($BC$8:BC320)),"")</f>
        <v/>
      </c>
      <c r="BY320" s="100" t="str">
        <f>IF($BM$5=TRUE,IF(BD320="","",SUM($BD$8:BD320)),"")</f>
        <v/>
      </c>
      <c r="BZ320" s="100" t="str">
        <f>IF($BN$5=TRUE,IF(BE320="","",SUM($BE$8:BE320)),"")</f>
        <v/>
      </c>
    </row>
    <row r="321" spans="46:78" x14ac:dyDescent="0.25">
      <c r="AT321" s="74"/>
      <c r="AW321" s="74"/>
      <c r="BR321" s="133" t="str">
        <f t="shared" si="30"/>
        <v/>
      </c>
      <c r="BS321" s="100" t="str">
        <f>IF($BG$5=TRUE,IF(AX321="","",SUM($AX$8:AX321)),"")</f>
        <v/>
      </c>
      <c r="BT321" s="100" t="str">
        <f>IF($BH$5=TRUE,IF(AY321="","",SUM($AY$8:AY321)),"")</f>
        <v/>
      </c>
      <c r="BU321" s="100" t="str">
        <f>IF($BI$5=TRUE,IF(AZ321="","",SUM($AZ$8:AZ321)),"")</f>
        <v/>
      </c>
      <c r="BV321" s="100" t="str">
        <f>IF($BJ$5=TRUE,IF(BA321="","",SUM($BA$8:BA321)),"")</f>
        <v/>
      </c>
      <c r="BW321" s="100" t="str">
        <f>IF($BK$5=TRUE,IF(BB321="","",SUM($BB$8:BB321)),"")</f>
        <v/>
      </c>
      <c r="BX321" s="100" t="str">
        <f>IF($BL$5=TRUE,IF(BC321="","",SUM($BC$8:BC321)),"")</f>
        <v/>
      </c>
      <c r="BY321" s="100" t="str">
        <f>IF($BM$5=TRUE,IF(BD321="","",SUM($BD$8:BD321)),"")</f>
        <v/>
      </c>
      <c r="BZ321" s="100" t="str">
        <f>IF($BN$5=TRUE,IF(BE321="","",SUM($BE$8:BE321)),"")</f>
        <v/>
      </c>
    </row>
    <row r="322" spans="46:78" x14ac:dyDescent="0.25">
      <c r="AT322" s="74"/>
      <c r="AW322" s="74"/>
      <c r="BR322" s="133" t="str">
        <f t="shared" si="30"/>
        <v/>
      </c>
      <c r="BS322" s="100" t="str">
        <f>IF($BG$5=TRUE,IF(AX322="","",SUM($AX$8:AX322)),"")</f>
        <v/>
      </c>
      <c r="BT322" s="100" t="str">
        <f>IF($BH$5=TRUE,IF(AY322="","",SUM($AY$8:AY322)),"")</f>
        <v/>
      </c>
      <c r="BU322" s="100" t="str">
        <f>IF($BI$5=TRUE,IF(AZ322="","",SUM($AZ$8:AZ322)),"")</f>
        <v/>
      </c>
      <c r="BV322" s="100" t="str">
        <f>IF($BJ$5=TRUE,IF(BA322="","",SUM($BA$8:BA322)),"")</f>
        <v/>
      </c>
      <c r="BW322" s="100" t="str">
        <f>IF($BK$5=TRUE,IF(BB322="","",SUM($BB$8:BB322)),"")</f>
        <v/>
      </c>
      <c r="BX322" s="100" t="str">
        <f>IF($BL$5=TRUE,IF(BC322="","",SUM($BC$8:BC322)),"")</f>
        <v/>
      </c>
      <c r="BY322" s="100" t="str">
        <f>IF($BM$5=TRUE,IF(BD322="","",SUM($BD$8:BD322)),"")</f>
        <v/>
      </c>
      <c r="BZ322" s="100" t="str">
        <f>IF($BN$5=TRUE,IF(BE322="","",SUM($BE$8:BE322)),"")</f>
        <v/>
      </c>
    </row>
    <row r="323" spans="46:78" x14ac:dyDescent="0.25">
      <c r="AT323" s="74"/>
      <c r="AW323" s="74"/>
      <c r="BR323" s="133" t="str">
        <f t="shared" si="30"/>
        <v/>
      </c>
      <c r="BS323" s="100" t="str">
        <f>IF($BG$5=TRUE,IF(AX323="","",SUM($AX$8:AX323)),"")</f>
        <v/>
      </c>
      <c r="BT323" s="100" t="str">
        <f>IF($BH$5=TRUE,IF(AY323="","",SUM($AY$8:AY323)),"")</f>
        <v/>
      </c>
      <c r="BU323" s="100" t="str">
        <f>IF($BI$5=TRUE,IF(AZ323="","",SUM($AZ$8:AZ323)),"")</f>
        <v/>
      </c>
      <c r="BV323" s="100" t="str">
        <f>IF($BJ$5=TRUE,IF(BA323="","",SUM($BA$8:BA323)),"")</f>
        <v/>
      </c>
      <c r="BW323" s="100" t="str">
        <f>IF($BK$5=TRUE,IF(BB323="","",SUM($BB$8:BB323)),"")</f>
        <v/>
      </c>
      <c r="BX323" s="100" t="str">
        <f>IF($BL$5=TRUE,IF(BC323="","",SUM($BC$8:BC323)),"")</f>
        <v/>
      </c>
      <c r="BY323" s="100" t="str">
        <f>IF($BM$5=TRUE,IF(BD323="","",SUM($BD$8:BD323)),"")</f>
        <v/>
      </c>
      <c r="BZ323" s="100" t="str">
        <f>IF($BN$5=TRUE,IF(BE323="","",SUM($BE$8:BE323)),"")</f>
        <v/>
      </c>
    </row>
    <row r="324" spans="46:78" x14ac:dyDescent="0.25">
      <c r="AT324" s="74"/>
      <c r="AW324" s="74"/>
      <c r="BR324" s="133" t="str">
        <f t="shared" si="30"/>
        <v/>
      </c>
      <c r="BS324" s="100" t="str">
        <f>IF($BG$5=TRUE,IF(AX324="","",SUM($AX$8:AX324)),"")</f>
        <v/>
      </c>
      <c r="BT324" s="100" t="str">
        <f>IF($BH$5=TRUE,IF(AY324="","",SUM($AY$8:AY324)),"")</f>
        <v/>
      </c>
      <c r="BU324" s="100" t="str">
        <f>IF($BI$5=TRUE,IF(AZ324="","",SUM($AZ$8:AZ324)),"")</f>
        <v/>
      </c>
      <c r="BV324" s="100" t="str">
        <f>IF($BJ$5=TRUE,IF(BA324="","",SUM($BA$8:BA324)),"")</f>
        <v/>
      </c>
      <c r="BW324" s="100" t="str">
        <f>IF($BK$5=TRUE,IF(BB324="","",SUM($BB$8:BB324)),"")</f>
        <v/>
      </c>
      <c r="BX324" s="100" t="str">
        <f>IF($BL$5=TRUE,IF(BC324="","",SUM($BC$8:BC324)),"")</f>
        <v/>
      </c>
      <c r="BY324" s="100" t="str">
        <f>IF($BM$5=TRUE,IF(BD324="","",SUM($BD$8:BD324)),"")</f>
        <v/>
      </c>
      <c r="BZ324" s="100" t="str">
        <f>IF($BN$5=TRUE,IF(BE324="","",SUM($BE$8:BE324)),"")</f>
        <v/>
      </c>
    </row>
    <row r="325" spans="46:78" x14ac:dyDescent="0.25">
      <c r="AT325" s="74"/>
      <c r="AW325" s="74"/>
      <c r="BR325" s="133" t="str">
        <f t="shared" si="30"/>
        <v/>
      </c>
      <c r="BS325" s="100" t="str">
        <f>IF($BG$5=TRUE,IF(AX325="","",SUM($AX$8:AX325)),"")</f>
        <v/>
      </c>
      <c r="BT325" s="100" t="str">
        <f>IF($BH$5=TRUE,IF(AY325="","",SUM($AY$8:AY325)),"")</f>
        <v/>
      </c>
      <c r="BU325" s="100" t="str">
        <f>IF($BI$5=TRUE,IF(AZ325="","",SUM($AZ$8:AZ325)),"")</f>
        <v/>
      </c>
      <c r="BV325" s="100" t="str">
        <f>IF($BJ$5=TRUE,IF(BA325="","",SUM($BA$8:BA325)),"")</f>
        <v/>
      </c>
      <c r="BW325" s="100" t="str">
        <f>IF($BK$5=TRUE,IF(BB325="","",SUM($BB$8:BB325)),"")</f>
        <v/>
      </c>
      <c r="BX325" s="100" t="str">
        <f>IF($BL$5=TRUE,IF(BC325="","",SUM($BC$8:BC325)),"")</f>
        <v/>
      </c>
      <c r="BY325" s="100" t="str">
        <f>IF($BM$5=TRUE,IF(BD325="","",SUM($BD$8:BD325)),"")</f>
        <v/>
      </c>
      <c r="BZ325" s="100" t="str">
        <f>IF($BN$5=TRUE,IF(BE325="","",SUM($BE$8:BE325)),"")</f>
        <v/>
      </c>
    </row>
    <row r="326" spans="46:78" x14ac:dyDescent="0.25">
      <c r="AT326" s="74"/>
      <c r="AW326" s="74"/>
      <c r="BR326" s="133" t="str">
        <f t="shared" si="30"/>
        <v/>
      </c>
      <c r="BS326" s="100" t="str">
        <f>IF($BG$5=TRUE,IF(AX326="","",SUM($AX$8:AX326)),"")</f>
        <v/>
      </c>
      <c r="BT326" s="100" t="str">
        <f>IF($BH$5=TRUE,IF(AY326="","",SUM($AY$8:AY326)),"")</f>
        <v/>
      </c>
      <c r="BU326" s="100" t="str">
        <f>IF($BI$5=TRUE,IF(AZ326="","",SUM($AZ$8:AZ326)),"")</f>
        <v/>
      </c>
      <c r="BV326" s="100" t="str">
        <f>IF($BJ$5=TRUE,IF(BA326="","",SUM($BA$8:BA326)),"")</f>
        <v/>
      </c>
      <c r="BW326" s="100" t="str">
        <f>IF($BK$5=TRUE,IF(BB326="","",SUM($BB$8:BB326)),"")</f>
        <v/>
      </c>
      <c r="BX326" s="100" t="str">
        <f>IF($BL$5=TRUE,IF(BC326="","",SUM($BC$8:BC326)),"")</f>
        <v/>
      </c>
      <c r="BY326" s="100" t="str">
        <f>IF($BM$5=TRUE,IF(BD326="","",SUM($BD$8:BD326)),"")</f>
        <v/>
      </c>
      <c r="BZ326" s="100" t="str">
        <f>IF($BN$5=TRUE,IF(BE326="","",SUM($BE$8:BE326)),"")</f>
        <v/>
      </c>
    </row>
    <row r="327" spans="46:78" x14ac:dyDescent="0.25">
      <c r="AT327" s="74"/>
      <c r="AW327" s="74"/>
      <c r="BR327" s="133" t="str">
        <f t="shared" si="30"/>
        <v/>
      </c>
      <c r="BS327" s="100" t="str">
        <f>IF($BG$5=TRUE,IF(AX327="","",SUM($AX$8:AX327)),"")</f>
        <v/>
      </c>
      <c r="BT327" s="100" t="str">
        <f>IF($BH$5=TRUE,IF(AY327="","",SUM($AY$8:AY327)),"")</f>
        <v/>
      </c>
      <c r="BU327" s="100" t="str">
        <f>IF($BI$5=TRUE,IF(AZ327="","",SUM($AZ$8:AZ327)),"")</f>
        <v/>
      </c>
      <c r="BV327" s="100" t="str">
        <f>IF($BJ$5=TRUE,IF(BA327="","",SUM($BA$8:BA327)),"")</f>
        <v/>
      </c>
      <c r="BW327" s="100" t="str">
        <f>IF($BK$5=TRUE,IF(BB327="","",SUM($BB$8:BB327)),"")</f>
        <v/>
      </c>
      <c r="BX327" s="100" t="str">
        <f>IF($BL$5=TRUE,IF(BC327="","",SUM($BC$8:BC327)),"")</f>
        <v/>
      </c>
      <c r="BY327" s="100" t="str">
        <f>IF($BM$5=TRUE,IF(BD327="","",SUM($BD$8:BD327)),"")</f>
        <v/>
      </c>
      <c r="BZ327" s="100" t="str">
        <f>IF($BN$5=TRUE,IF(BE327="","",SUM($BE$8:BE327)),"")</f>
        <v/>
      </c>
    </row>
    <row r="328" spans="46:78" x14ac:dyDescent="0.25">
      <c r="AT328" s="74"/>
      <c r="AW328" s="74"/>
      <c r="BR328" s="133" t="str">
        <f t="shared" si="30"/>
        <v/>
      </c>
      <c r="BS328" s="100" t="str">
        <f>IF($BG$5=TRUE,IF(AX328="","",SUM($AX$8:AX328)),"")</f>
        <v/>
      </c>
      <c r="BT328" s="100" t="str">
        <f>IF($BH$5=TRUE,IF(AY328="","",SUM($AY$8:AY328)),"")</f>
        <v/>
      </c>
      <c r="BU328" s="100" t="str">
        <f>IF($BI$5=TRUE,IF(AZ328="","",SUM($AZ$8:AZ328)),"")</f>
        <v/>
      </c>
      <c r="BV328" s="100" t="str">
        <f>IF($BJ$5=TRUE,IF(BA328="","",SUM($BA$8:BA328)),"")</f>
        <v/>
      </c>
      <c r="BW328" s="100" t="str">
        <f>IF($BK$5=TRUE,IF(BB328="","",SUM($BB$8:BB328)),"")</f>
        <v/>
      </c>
      <c r="BX328" s="100" t="str">
        <f>IF($BL$5=TRUE,IF(BC328="","",SUM($BC$8:BC328)),"")</f>
        <v/>
      </c>
      <c r="BY328" s="100" t="str">
        <f>IF($BM$5=TRUE,IF(BD328="","",SUM($BD$8:BD328)),"")</f>
        <v/>
      </c>
      <c r="BZ328" s="100" t="str">
        <f>IF($BN$5=TRUE,IF(BE328="","",SUM($BE$8:BE328)),"")</f>
        <v/>
      </c>
    </row>
    <row r="329" spans="46:78" x14ac:dyDescent="0.25">
      <c r="AT329" s="74"/>
      <c r="AW329" s="74"/>
      <c r="BR329" s="133" t="str">
        <f t="shared" si="30"/>
        <v/>
      </c>
      <c r="BS329" s="100" t="str">
        <f>IF($BG$5=TRUE,IF(AX329="","",SUM($AX$8:AX329)),"")</f>
        <v/>
      </c>
      <c r="BT329" s="100" t="str">
        <f>IF($BH$5=TRUE,IF(AY329="","",SUM($AY$8:AY329)),"")</f>
        <v/>
      </c>
      <c r="BU329" s="100" t="str">
        <f>IF($BI$5=TRUE,IF(AZ329="","",SUM($AZ$8:AZ329)),"")</f>
        <v/>
      </c>
      <c r="BV329" s="100" t="str">
        <f>IF($BJ$5=TRUE,IF(BA329="","",SUM($BA$8:BA329)),"")</f>
        <v/>
      </c>
      <c r="BW329" s="100" t="str">
        <f>IF($BK$5=TRUE,IF(BB329="","",SUM($BB$8:BB329)),"")</f>
        <v/>
      </c>
      <c r="BX329" s="100" t="str">
        <f>IF($BL$5=TRUE,IF(BC329="","",SUM($BC$8:BC329)),"")</f>
        <v/>
      </c>
      <c r="BY329" s="100" t="str">
        <f>IF($BM$5=TRUE,IF(BD329="","",SUM($BD$8:BD329)),"")</f>
        <v/>
      </c>
      <c r="BZ329" s="100" t="str">
        <f>IF($BN$5=TRUE,IF(BE329="","",SUM($BE$8:BE329)),"")</f>
        <v/>
      </c>
    </row>
    <row r="330" spans="46:78" x14ac:dyDescent="0.25">
      <c r="AT330" s="74"/>
      <c r="AW330" s="74"/>
      <c r="BR330" s="133" t="str">
        <f t="shared" si="30"/>
        <v/>
      </c>
      <c r="BS330" s="100" t="str">
        <f>IF($BG$5=TRUE,IF(AX330="","",SUM($AX$8:AX330)),"")</f>
        <v/>
      </c>
      <c r="BT330" s="100" t="str">
        <f>IF($BH$5=TRUE,IF(AY330="","",SUM($AY$8:AY330)),"")</f>
        <v/>
      </c>
      <c r="BU330" s="100" t="str">
        <f>IF($BI$5=TRUE,IF(AZ330="","",SUM($AZ$8:AZ330)),"")</f>
        <v/>
      </c>
      <c r="BV330" s="100" t="str">
        <f>IF($BJ$5=TRUE,IF(BA330="","",SUM($BA$8:BA330)),"")</f>
        <v/>
      </c>
      <c r="BW330" s="100" t="str">
        <f>IF($BK$5=TRUE,IF(BB330="","",SUM($BB$8:BB330)),"")</f>
        <v/>
      </c>
      <c r="BX330" s="100" t="str">
        <f>IF($BL$5=TRUE,IF(BC330="","",SUM($BC$8:BC330)),"")</f>
        <v/>
      </c>
      <c r="BY330" s="100" t="str">
        <f>IF($BM$5=TRUE,IF(BD330="","",SUM($BD$8:BD330)),"")</f>
        <v/>
      </c>
      <c r="BZ330" s="100" t="str">
        <f>IF($BN$5=TRUE,IF(BE330="","",SUM($BE$8:BE330)),"")</f>
        <v/>
      </c>
    </row>
    <row r="331" spans="46:78" x14ac:dyDescent="0.25">
      <c r="AT331" s="74"/>
      <c r="AW331" s="74"/>
      <c r="BR331" s="133" t="str">
        <f t="shared" ref="BR331:BR394" si="31">IF(AW331="","",AW331)</f>
        <v/>
      </c>
      <c r="BS331" s="100" t="str">
        <f>IF($BG$5=TRUE,IF(AX331="","",SUM($AX$8:AX331)),"")</f>
        <v/>
      </c>
      <c r="BT331" s="100" t="str">
        <f>IF($BH$5=TRUE,IF(AY331="","",SUM($AY$8:AY331)),"")</f>
        <v/>
      </c>
      <c r="BU331" s="100" t="str">
        <f>IF($BI$5=TRUE,IF(AZ331="","",SUM($AZ$8:AZ331)),"")</f>
        <v/>
      </c>
      <c r="BV331" s="100" t="str">
        <f>IF($BJ$5=TRUE,IF(BA331="","",SUM($BA$8:BA331)),"")</f>
        <v/>
      </c>
      <c r="BW331" s="100" t="str">
        <f>IF($BK$5=TRUE,IF(BB331="","",SUM($BB$8:BB331)),"")</f>
        <v/>
      </c>
      <c r="BX331" s="100" t="str">
        <f>IF($BL$5=TRUE,IF(BC331="","",SUM($BC$8:BC331)),"")</f>
        <v/>
      </c>
      <c r="BY331" s="100" t="str">
        <f>IF($BM$5=TRUE,IF(BD331="","",SUM($BD$8:BD331)),"")</f>
        <v/>
      </c>
      <c r="BZ331" s="100" t="str">
        <f>IF($BN$5=TRUE,IF(BE331="","",SUM($BE$8:BE331)),"")</f>
        <v/>
      </c>
    </row>
    <row r="332" spans="46:78" x14ac:dyDescent="0.25">
      <c r="AT332" s="74"/>
      <c r="AW332" s="74"/>
      <c r="BR332" s="133" t="str">
        <f t="shared" si="31"/>
        <v/>
      </c>
      <c r="BS332" s="100" t="str">
        <f>IF($BG$5=TRUE,IF(AX332="","",SUM($AX$8:AX332)),"")</f>
        <v/>
      </c>
      <c r="BT332" s="100" t="str">
        <f>IF($BH$5=TRUE,IF(AY332="","",SUM($AY$8:AY332)),"")</f>
        <v/>
      </c>
      <c r="BU332" s="100" t="str">
        <f>IF($BI$5=TRUE,IF(AZ332="","",SUM($AZ$8:AZ332)),"")</f>
        <v/>
      </c>
      <c r="BV332" s="100" t="str">
        <f>IF($BJ$5=TRUE,IF(BA332="","",SUM($BA$8:BA332)),"")</f>
        <v/>
      </c>
      <c r="BW332" s="100" t="str">
        <f>IF($BK$5=TRUE,IF(BB332="","",SUM($BB$8:BB332)),"")</f>
        <v/>
      </c>
      <c r="BX332" s="100" t="str">
        <f>IF($BL$5=TRUE,IF(BC332="","",SUM($BC$8:BC332)),"")</f>
        <v/>
      </c>
      <c r="BY332" s="100" t="str">
        <f>IF($BM$5=TRUE,IF(BD332="","",SUM($BD$8:BD332)),"")</f>
        <v/>
      </c>
      <c r="BZ332" s="100" t="str">
        <f>IF($BN$5=TRUE,IF(BE332="","",SUM($BE$8:BE332)),"")</f>
        <v/>
      </c>
    </row>
    <row r="333" spans="46:78" x14ac:dyDescent="0.25">
      <c r="AT333" s="74"/>
      <c r="AW333" s="74"/>
      <c r="BR333" s="133" t="str">
        <f t="shared" si="31"/>
        <v/>
      </c>
      <c r="BS333" s="100" t="str">
        <f>IF($BG$5=TRUE,IF(AX333="","",SUM($AX$8:AX333)),"")</f>
        <v/>
      </c>
      <c r="BT333" s="100" t="str">
        <f>IF($BH$5=TRUE,IF(AY333="","",SUM($AY$8:AY333)),"")</f>
        <v/>
      </c>
      <c r="BU333" s="100" t="str">
        <f>IF($BI$5=TRUE,IF(AZ333="","",SUM($AZ$8:AZ333)),"")</f>
        <v/>
      </c>
      <c r="BV333" s="100" t="str">
        <f>IF($BJ$5=TRUE,IF(BA333="","",SUM($BA$8:BA333)),"")</f>
        <v/>
      </c>
      <c r="BW333" s="100" t="str">
        <f>IF($BK$5=TRUE,IF(BB333="","",SUM($BB$8:BB333)),"")</f>
        <v/>
      </c>
      <c r="BX333" s="100" t="str">
        <f>IF($BL$5=TRUE,IF(BC333="","",SUM($BC$8:BC333)),"")</f>
        <v/>
      </c>
      <c r="BY333" s="100" t="str">
        <f>IF($BM$5=TRUE,IF(BD333="","",SUM($BD$8:BD333)),"")</f>
        <v/>
      </c>
      <c r="BZ333" s="100" t="str">
        <f>IF($BN$5=TRUE,IF(BE333="","",SUM($BE$8:BE333)),"")</f>
        <v/>
      </c>
    </row>
    <row r="334" spans="46:78" x14ac:dyDescent="0.25">
      <c r="AT334" s="74"/>
      <c r="AW334" s="74"/>
      <c r="BR334" s="133" t="str">
        <f t="shared" si="31"/>
        <v/>
      </c>
      <c r="BS334" s="100" t="str">
        <f>IF($BG$5=TRUE,IF(AX334="","",SUM($AX$8:AX334)),"")</f>
        <v/>
      </c>
      <c r="BT334" s="100" t="str">
        <f>IF($BH$5=TRUE,IF(AY334="","",SUM($AY$8:AY334)),"")</f>
        <v/>
      </c>
      <c r="BU334" s="100" t="str">
        <f>IF($BI$5=TRUE,IF(AZ334="","",SUM($AZ$8:AZ334)),"")</f>
        <v/>
      </c>
      <c r="BV334" s="100" t="str">
        <f>IF($BJ$5=TRUE,IF(BA334="","",SUM($BA$8:BA334)),"")</f>
        <v/>
      </c>
      <c r="BW334" s="100" t="str">
        <f>IF($BK$5=TRUE,IF(BB334="","",SUM($BB$8:BB334)),"")</f>
        <v/>
      </c>
      <c r="BX334" s="100" t="str">
        <f>IF($BL$5=TRUE,IF(BC334="","",SUM($BC$8:BC334)),"")</f>
        <v/>
      </c>
      <c r="BY334" s="100" t="str">
        <f>IF($BM$5=TRUE,IF(BD334="","",SUM($BD$8:BD334)),"")</f>
        <v/>
      </c>
      <c r="BZ334" s="100" t="str">
        <f>IF($BN$5=TRUE,IF(BE334="","",SUM($BE$8:BE334)),"")</f>
        <v/>
      </c>
    </row>
    <row r="335" spans="46:78" x14ac:dyDescent="0.25">
      <c r="AT335" s="74"/>
      <c r="AW335" s="74"/>
      <c r="BR335" s="133" t="str">
        <f t="shared" si="31"/>
        <v/>
      </c>
      <c r="BS335" s="100" t="str">
        <f>IF($BG$5=TRUE,IF(AX335="","",SUM($AX$8:AX335)),"")</f>
        <v/>
      </c>
      <c r="BT335" s="100" t="str">
        <f>IF($BH$5=TRUE,IF(AY335="","",SUM($AY$8:AY335)),"")</f>
        <v/>
      </c>
      <c r="BU335" s="100" t="str">
        <f>IF($BI$5=TRUE,IF(AZ335="","",SUM($AZ$8:AZ335)),"")</f>
        <v/>
      </c>
      <c r="BV335" s="100" t="str">
        <f>IF($BJ$5=TRUE,IF(BA335="","",SUM($BA$8:BA335)),"")</f>
        <v/>
      </c>
      <c r="BW335" s="100" t="str">
        <f>IF($BK$5=TRUE,IF(BB335="","",SUM($BB$8:BB335)),"")</f>
        <v/>
      </c>
      <c r="BX335" s="100" t="str">
        <f>IF($BL$5=TRUE,IF(BC335="","",SUM($BC$8:BC335)),"")</f>
        <v/>
      </c>
      <c r="BY335" s="100" t="str">
        <f>IF($BM$5=TRUE,IF(BD335="","",SUM($BD$8:BD335)),"")</f>
        <v/>
      </c>
      <c r="BZ335" s="100" t="str">
        <f>IF($BN$5=TRUE,IF(BE335="","",SUM($BE$8:BE335)),"")</f>
        <v/>
      </c>
    </row>
    <row r="336" spans="46:78" x14ac:dyDescent="0.25">
      <c r="AT336" s="74"/>
      <c r="AW336" s="74"/>
      <c r="BR336" s="133" t="str">
        <f t="shared" si="31"/>
        <v/>
      </c>
      <c r="BS336" s="100" t="str">
        <f>IF($BG$5=TRUE,IF(AX336="","",SUM($AX$8:AX336)),"")</f>
        <v/>
      </c>
      <c r="BT336" s="100" t="str">
        <f>IF($BH$5=TRUE,IF(AY336="","",SUM($AY$8:AY336)),"")</f>
        <v/>
      </c>
      <c r="BU336" s="100" t="str">
        <f>IF($BI$5=TRUE,IF(AZ336="","",SUM($AZ$8:AZ336)),"")</f>
        <v/>
      </c>
      <c r="BV336" s="100" t="str">
        <f>IF($BJ$5=TRUE,IF(BA336="","",SUM($BA$8:BA336)),"")</f>
        <v/>
      </c>
      <c r="BW336" s="100" t="str">
        <f>IF($BK$5=TRUE,IF(BB336="","",SUM($BB$8:BB336)),"")</f>
        <v/>
      </c>
      <c r="BX336" s="100" t="str">
        <f>IF($BL$5=TRUE,IF(BC336="","",SUM($BC$8:BC336)),"")</f>
        <v/>
      </c>
      <c r="BY336" s="100" t="str">
        <f>IF($BM$5=TRUE,IF(BD336="","",SUM($BD$8:BD336)),"")</f>
        <v/>
      </c>
      <c r="BZ336" s="100" t="str">
        <f>IF($BN$5=TRUE,IF(BE336="","",SUM($BE$8:BE336)),"")</f>
        <v/>
      </c>
    </row>
    <row r="337" spans="46:78" x14ac:dyDescent="0.25">
      <c r="AT337" s="74"/>
      <c r="AW337" s="74"/>
      <c r="BR337" s="133" t="str">
        <f t="shared" si="31"/>
        <v/>
      </c>
      <c r="BS337" s="100" t="str">
        <f>IF($BG$5=TRUE,IF(AX337="","",SUM($AX$8:AX337)),"")</f>
        <v/>
      </c>
      <c r="BT337" s="100" t="str">
        <f>IF($BH$5=TRUE,IF(AY337="","",SUM($AY$8:AY337)),"")</f>
        <v/>
      </c>
      <c r="BU337" s="100" t="str">
        <f>IF($BI$5=TRUE,IF(AZ337="","",SUM($AZ$8:AZ337)),"")</f>
        <v/>
      </c>
      <c r="BV337" s="100" t="str">
        <f>IF($BJ$5=TRUE,IF(BA337="","",SUM($BA$8:BA337)),"")</f>
        <v/>
      </c>
      <c r="BW337" s="100" t="str">
        <f>IF($BK$5=TRUE,IF(BB337="","",SUM($BB$8:BB337)),"")</f>
        <v/>
      </c>
      <c r="BX337" s="100" t="str">
        <f>IF($BL$5=TRUE,IF(BC337="","",SUM($BC$8:BC337)),"")</f>
        <v/>
      </c>
      <c r="BY337" s="100" t="str">
        <f>IF($BM$5=TRUE,IF(BD337="","",SUM($BD$8:BD337)),"")</f>
        <v/>
      </c>
      <c r="BZ337" s="100" t="str">
        <f>IF($BN$5=TRUE,IF(BE337="","",SUM($BE$8:BE337)),"")</f>
        <v/>
      </c>
    </row>
    <row r="338" spans="46:78" x14ac:dyDescent="0.25">
      <c r="AT338" s="74"/>
      <c r="AW338" s="74"/>
      <c r="BR338" s="133" t="str">
        <f t="shared" si="31"/>
        <v/>
      </c>
      <c r="BS338" s="100" t="str">
        <f>IF($BG$5=TRUE,IF(AX338="","",SUM($AX$8:AX338)),"")</f>
        <v/>
      </c>
      <c r="BT338" s="100" t="str">
        <f>IF($BH$5=TRUE,IF(AY338="","",SUM($AY$8:AY338)),"")</f>
        <v/>
      </c>
      <c r="BU338" s="100" t="str">
        <f>IF($BI$5=TRUE,IF(AZ338="","",SUM($AZ$8:AZ338)),"")</f>
        <v/>
      </c>
      <c r="BV338" s="100" t="str">
        <f>IF($BJ$5=TRUE,IF(BA338="","",SUM($BA$8:BA338)),"")</f>
        <v/>
      </c>
      <c r="BW338" s="100" t="str">
        <f>IF($BK$5=TRUE,IF(BB338="","",SUM($BB$8:BB338)),"")</f>
        <v/>
      </c>
      <c r="BX338" s="100" t="str">
        <f>IF($BL$5=TRUE,IF(BC338="","",SUM($BC$8:BC338)),"")</f>
        <v/>
      </c>
      <c r="BY338" s="100" t="str">
        <f>IF($BM$5=TRUE,IF(BD338="","",SUM($BD$8:BD338)),"")</f>
        <v/>
      </c>
      <c r="BZ338" s="100" t="str">
        <f>IF($BN$5=TRUE,IF(BE338="","",SUM($BE$8:BE338)),"")</f>
        <v/>
      </c>
    </row>
    <row r="339" spans="46:78" x14ac:dyDescent="0.25">
      <c r="AT339" s="74"/>
      <c r="AW339" s="74"/>
      <c r="BR339" s="133" t="str">
        <f t="shared" si="31"/>
        <v/>
      </c>
      <c r="BS339" s="100" t="str">
        <f>IF($BG$5=TRUE,IF(AX339="","",SUM($AX$8:AX339)),"")</f>
        <v/>
      </c>
      <c r="BT339" s="100" t="str">
        <f>IF($BH$5=TRUE,IF(AY339="","",SUM($AY$8:AY339)),"")</f>
        <v/>
      </c>
      <c r="BU339" s="100" t="str">
        <f>IF($BI$5=TRUE,IF(AZ339="","",SUM($AZ$8:AZ339)),"")</f>
        <v/>
      </c>
      <c r="BV339" s="100" t="str">
        <f>IF($BJ$5=TRUE,IF(BA339="","",SUM($BA$8:BA339)),"")</f>
        <v/>
      </c>
      <c r="BW339" s="100" t="str">
        <f>IF($BK$5=TRUE,IF(BB339="","",SUM($BB$8:BB339)),"")</f>
        <v/>
      </c>
      <c r="BX339" s="100" t="str">
        <f>IF($BL$5=TRUE,IF(BC339="","",SUM($BC$8:BC339)),"")</f>
        <v/>
      </c>
      <c r="BY339" s="100" t="str">
        <f>IF($BM$5=TRUE,IF(BD339="","",SUM($BD$8:BD339)),"")</f>
        <v/>
      </c>
      <c r="BZ339" s="100" t="str">
        <f>IF($BN$5=TRUE,IF(BE339="","",SUM($BE$8:BE339)),"")</f>
        <v/>
      </c>
    </row>
    <row r="340" spans="46:78" x14ac:dyDescent="0.25">
      <c r="AT340" s="74"/>
      <c r="AW340" s="74"/>
      <c r="BR340" s="133" t="str">
        <f t="shared" si="31"/>
        <v/>
      </c>
      <c r="BS340" s="100" t="str">
        <f>IF($BG$5=TRUE,IF(AX340="","",SUM($AX$8:AX340)),"")</f>
        <v/>
      </c>
      <c r="BT340" s="100" t="str">
        <f>IF($BH$5=TRUE,IF(AY340="","",SUM($AY$8:AY340)),"")</f>
        <v/>
      </c>
      <c r="BU340" s="100" t="str">
        <f>IF($BI$5=TRUE,IF(AZ340="","",SUM($AZ$8:AZ340)),"")</f>
        <v/>
      </c>
      <c r="BV340" s="100" t="str">
        <f>IF($BJ$5=TRUE,IF(BA340="","",SUM($BA$8:BA340)),"")</f>
        <v/>
      </c>
      <c r="BW340" s="100" t="str">
        <f>IF($BK$5=TRUE,IF(BB340="","",SUM($BB$8:BB340)),"")</f>
        <v/>
      </c>
      <c r="BX340" s="100" t="str">
        <f>IF($BL$5=TRUE,IF(BC340="","",SUM($BC$8:BC340)),"")</f>
        <v/>
      </c>
      <c r="BY340" s="100" t="str">
        <f>IF($BM$5=TRUE,IF(BD340="","",SUM($BD$8:BD340)),"")</f>
        <v/>
      </c>
      <c r="BZ340" s="100" t="str">
        <f>IF($BN$5=TRUE,IF(BE340="","",SUM($BE$8:BE340)),"")</f>
        <v/>
      </c>
    </row>
    <row r="341" spans="46:78" x14ac:dyDescent="0.25">
      <c r="AT341" s="74"/>
      <c r="AW341" s="74"/>
      <c r="BR341" s="133" t="str">
        <f t="shared" si="31"/>
        <v/>
      </c>
      <c r="BS341" s="100" t="str">
        <f>IF($BG$5=TRUE,IF(AX341="","",SUM($AX$8:AX341)),"")</f>
        <v/>
      </c>
      <c r="BT341" s="100" t="str">
        <f>IF($BH$5=TRUE,IF(AY341="","",SUM($AY$8:AY341)),"")</f>
        <v/>
      </c>
      <c r="BU341" s="100" t="str">
        <f>IF($BI$5=TRUE,IF(AZ341="","",SUM($AZ$8:AZ341)),"")</f>
        <v/>
      </c>
      <c r="BV341" s="100" t="str">
        <f>IF($BJ$5=TRUE,IF(BA341="","",SUM($BA$8:BA341)),"")</f>
        <v/>
      </c>
      <c r="BW341" s="100" t="str">
        <f>IF($BK$5=TRUE,IF(BB341="","",SUM($BB$8:BB341)),"")</f>
        <v/>
      </c>
      <c r="BX341" s="100" t="str">
        <f>IF($BL$5=TRUE,IF(BC341="","",SUM($BC$8:BC341)),"")</f>
        <v/>
      </c>
      <c r="BY341" s="100" t="str">
        <f>IF($BM$5=TRUE,IF(BD341="","",SUM($BD$8:BD341)),"")</f>
        <v/>
      </c>
      <c r="BZ341" s="100" t="str">
        <f>IF($BN$5=TRUE,IF(BE341="","",SUM($BE$8:BE341)),"")</f>
        <v/>
      </c>
    </row>
    <row r="342" spans="46:78" x14ac:dyDescent="0.25">
      <c r="AT342" s="74"/>
      <c r="AW342" s="74"/>
      <c r="BR342" s="133" t="str">
        <f t="shared" si="31"/>
        <v/>
      </c>
      <c r="BS342" s="100" t="str">
        <f>IF($BG$5=TRUE,IF(AX342="","",SUM($AX$8:AX342)),"")</f>
        <v/>
      </c>
      <c r="BT342" s="100" t="str">
        <f>IF($BH$5=TRUE,IF(AY342="","",SUM($AY$8:AY342)),"")</f>
        <v/>
      </c>
      <c r="BU342" s="100" t="str">
        <f>IF($BI$5=TRUE,IF(AZ342="","",SUM($AZ$8:AZ342)),"")</f>
        <v/>
      </c>
      <c r="BV342" s="100" t="str">
        <f>IF($BJ$5=TRUE,IF(BA342="","",SUM($BA$8:BA342)),"")</f>
        <v/>
      </c>
      <c r="BW342" s="100" t="str">
        <f>IF($BK$5=TRUE,IF(BB342="","",SUM($BB$8:BB342)),"")</f>
        <v/>
      </c>
      <c r="BX342" s="100" t="str">
        <f>IF($BL$5=TRUE,IF(BC342="","",SUM($BC$8:BC342)),"")</f>
        <v/>
      </c>
      <c r="BY342" s="100" t="str">
        <f>IF($BM$5=TRUE,IF(BD342="","",SUM($BD$8:BD342)),"")</f>
        <v/>
      </c>
      <c r="BZ342" s="100" t="str">
        <f>IF($BN$5=TRUE,IF(BE342="","",SUM($BE$8:BE342)),"")</f>
        <v/>
      </c>
    </row>
    <row r="343" spans="46:78" x14ac:dyDescent="0.25">
      <c r="AT343" s="74"/>
      <c r="AW343" s="74"/>
      <c r="BR343" s="133" t="str">
        <f t="shared" si="31"/>
        <v/>
      </c>
      <c r="BS343" s="100" t="str">
        <f>IF($BG$5=TRUE,IF(AX343="","",SUM($AX$8:AX343)),"")</f>
        <v/>
      </c>
      <c r="BT343" s="100" t="str">
        <f>IF($BH$5=TRUE,IF(AY343="","",SUM($AY$8:AY343)),"")</f>
        <v/>
      </c>
      <c r="BU343" s="100" t="str">
        <f>IF($BI$5=TRUE,IF(AZ343="","",SUM($AZ$8:AZ343)),"")</f>
        <v/>
      </c>
      <c r="BV343" s="100" t="str">
        <f>IF($BJ$5=TRUE,IF(BA343="","",SUM($BA$8:BA343)),"")</f>
        <v/>
      </c>
      <c r="BW343" s="100" t="str">
        <f>IF($BK$5=TRUE,IF(BB343="","",SUM($BB$8:BB343)),"")</f>
        <v/>
      </c>
      <c r="BX343" s="100" t="str">
        <f>IF($BL$5=TRUE,IF(BC343="","",SUM($BC$8:BC343)),"")</f>
        <v/>
      </c>
      <c r="BY343" s="100" t="str">
        <f>IF($BM$5=TRUE,IF(BD343="","",SUM($BD$8:BD343)),"")</f>
        <v/>
      </c>
      <c r="BZ343" s="100" t="str">
        <f>IF($BN$5=TRUE,IF(BE343="","",SUM($BE$8:BE343)),"")</f>
        <v/>
      </c>
    </row>
    <row r="344" spans="46:78" x14ac:dyDescent="0.25">
      <c r="AT344" s="74"/>
      <c r="AW344" s="74"/>
      <c r="BR344" s="133" t="str">
        <f t="shared" si="31"/>
        <v/>
      </c>
      <c r="BS344" s="100" t="str">
        <f>IF($BG$5=TRUE,IF(AX344="","",SUM($AX$8:AX344)),"")</f>
        <v/>
      </c>
      <c r="BT344" s="100" t="str">
        <f>IF($BH$5=TRUE,IF(AY344="","",SUM($AY$8:AY344)),"")</f>
        <v/>
      </c>
      <c r="BU344" s="100" t="str">
        <f>IF($BI$5=TRUE,IF(AZ344="","",SUM($AZ$8:AZ344)),"")</f>
        <v/>
      </c>
      <c r="BV344" s="100" t="str">
        <f>IF($BJ$5=TRUE,IF(BA344="","",SUM($BA$8:BA344)),"")</f>
        <v/>
      </c>
      <c r="BW344" s="100" t="str">
        <f>IF($BK$5=TRUE,IF(BB344="","",SUM($BB$8:BB344)),"")</f>
        <v/>
      </c>
      <c r="BX344" s="100" t="str">
        <f>IF($BL$5=TRUE,IF(BC344="","",SUM($BC$8:BC344)),"")</f>
        <v/>
      </c>
      <c r="BY344" s="100" t="str">
        <f>IF($BM$5=TRUE,IF(BD344="","",SUM($BD$8:BD344)),"")</f>
        <v/>
      </c>
      <c r="BZ344" s="100" t="str">
        <f>IF($BN$5=TRUE,IF(BE344="","",SUM($BE$8:BE344)),"")</f>
        <v/>
      </c>
    </row>
    <row r="345" spans="46:78" x14ac:dyDescent="0.25">
      <c r="AT345" s="74"/>
      <c r="AW345" s="74"/>
      <c r="BR345" s="133" t="str">
        <f t="shared" si="31"/>
        <v/>
      </c>
      <c r="BS345" s="100" t="str">
        <f>IF($BG$5=TRUE,IF(AX345="","",SUM($AX$8:AX345)),"")</f>
        <v/>
      </c>
      <c r="BT345" s="100" t="str">
        <f>IF($BH$5=TRUE,IF(AY345="","",SUM($AY$8:AY345)),"")</f>
        <v/>
      </c>
      <c r="BU345" s="100" t="str">
        <f>IF($BI$5=TRUE,IF(AZ345="","",SUM($AZ$8:AZ345)),"")</f>
        <v/>
      </c>
      <c r="BV345" s="100" t="str">
        <f>IF($BJ$5=TRUE,IF(BA345="","",SUM($BA$8:BA345)),"")</f>
        <v/>
      </c>
      <c r="BW345" s="100" t="str">
        <f>IF($BK$5=TRUE,IF(BB345="","",SUM($BB$8:BB345)),"")</f>
        <v/>
      </c>
      <c r="BX345" s="100" t="str">
        <f>IF($BL$5=TRUE,IF(BC345="","",SUM($BC$8:BC345)),"")</f>
        <v/>
      </c>
      <c r="BY345" s="100" t="str">
        <f>IF($BM$5=TRUE,IF(BD345="","",SUM($BD$8:BD345)),"")</f>
        <v/>
      </c>
      <c r="BZ345" s="100" t="str">
        <f>IF($BN$5=TRUE,IF(BE345="","",SUM($BE$8:BE345)),"")</f>
        <v/>
      </c>
    </row>
    <row r="346" spans="46:78" x14ac:dyDescent="0.25">
      <c r="AT346" s="74"/>
      <c r="AW346" s="74"/>
      <c r="BR346" s="133" t="str">
        <f t="shared" si="31"/>
        <v/>
      </c>
      <c r="BS346" s="100" t="str">
        <f>IF($BG$5=TRUE,IF(AX346="","",SUM($AX$8:AX346)),"")</f>
        <v/>
      </c>
      <c r="BT346" s="100" t="str">
        <f>IF($BH$5=TRUE,IF(AY346="","",SUM($AY$8:AY346)),"")</f>
        <v/>
      </c>
      <c r="BU346" s="100" t="str">
        <f>IF($BI$5=TRUE,IF(AZ346="","",SUM($AZ$8:AZ346)),"")</f>
        <v/>
      </c>
      <c r="BV346" s="100" t="str">
        <f>IF($BJ$5=TRUE,IF(BA346="","",SUM($BA$8:BA346)),"")</f>
        <v/>
      </c>
      <c r="BW346" s="100" t="str">
        <f>IF($BK$5=TRUE,IF(BB346="","",SUM($BB$8:BB346)),"")</f>
        <v/>
      </c>
      <c r="BX346" s="100" t="str">
        <f>IF($BL$5=TRUE,IF(BC346="","",SUM($BC$8:BC346)),"")</f>
        <v/>
      </c>
      <c r="BY346" s="100" t="str">
        <f>IF($BM$5=TRUE,IF(BD346="","",SUM($BD$8:BD346)),"")</f>
        <v/>
      </c>
      <c r="BZ346" s="100" t="str">
        <f>IF($BN$5=TRUE,IF(BE346="","",SUM($BE$8:BE346)),"")</f>
        <v/>
      </c>
    </row>
    <row r="347" spans="46:78" x14ac:dyDescent="0.25">
      <c r="AT347" s="74"/>
      <c r="AW347" s="74"/>
      <c r="BR347" s="133" t="str">
        <f t="shared" si="31"/>
        <v/>
      </c>
      <c r="BS347" s="100" t="str">
        <f>IF($BG$5=TRUE,IF(AX347="","",SUM($AX$8:AX347)),"")</f>
        <v/>
      </c>
      <c r="BT347" s="100" t="str">
        <f>IF($BH$5=TRUE,IF(AY347="","",SUM($AY$8:AY347)),"")</f>
        <v/>
      </c>
      <c r="BU347" s="100" t="str">
        <f>IF($BI$5=TRUE,IF(AZ347="","",SUM($AZ$8:AZ347)),"")</f>
        <v/>
      </c>
      <c r="BV347" s="100" t="str">
        <f>IF($BJ$5=TRUE,IF(BA347="","",SUM($BA$8:BA347)),"")</f>
        <v/>
      </c>
      <c r="BW347" s="100" t="str">
        <f>IF($BK$5=TRUE,IF(BB347="","",SUM($BB$8:BB347)),"")</f>
        <v/>
      </c>
      <c r="BX347" s="100" t="str">
        <f>IF($BL$5=TRUE,IF(BC347="","",SUM($BC$8:BC347)),"")</f>
        <v/>
      </c>
      <c r="BY347" s="100" t="str">
        <f>IF($BM$5=TRUE,IF(BD347="","",SUM($BD$8:BD347)),"")</f>
        <v/>
      </c>
      <c r="BZ347" s="100" t="str">
        <f>IF($BN$5=TRUE,IF(BE347="","",SUM($BE$8:BE347)),"")</f>
        <v/>
      </c>
    </row>
    <row r="348" spans="46:78" x14ac:dyDescent="0.25">
      <c r="AT348" s="74"/>
      <c r="AW348" s="74"/>
      <c r="BR348" s="133" t="str">
        <f t="shared" si="31"/>
        <v/>
      </c>
      <c r="BS348" s="100" t="str">
        <f>IF($BG$5=TRUE,IF(AX348="","",SUM($AX$8:AX348)),"")</f>
        <v/>
      </c>
      <c r="BT348" s="100" t="str">
        <f>IF($BH$5=TRUE,IF(AY348="","",SUM($AY$8:AY348)),"")</f>
        <v/>
      </c>
      <c r="BU348" s="100" t="str">
        <f>IF($BI$5=TRUE,IF(AZ348="","",SUM($AZ$8:AZ348)),"")</f>
        <v/>
      </c>
      <c r="BV348" s="100" t="str">
        <f>IF($BJ$5=TRUE,IF(BA348="","",SUM($BA$8:BA348)),"")</f>
        <v/>
      </c>
      <c r="BW348" s="100" t="str">
        <f>IF($BK$5=TRUE,IF(BB348="","",SUM($BB$8:BB348)),"")</f>
        <v/>
      </c>
      <c r="BX348" s="100" t="str">
        <f>IF($BL$5=TRUE,IF(BC348="","",SUM($BC$8:BC348)),"")</f>
        <v/>
      </c>
      <c r="BY348" s="100" t="str">
        <f>IF($BM$5=TRUE,IF(BD348="","",SUM($BD$8:BD348)),"")</f>
        <v/>
      </c>
      <c r="BZ348" s="100" t="str">
        <f>IF($BN$5=TRUE,IF(BE348="","",SUM($BE$8:BE348)),"")</f>
        <v/>
      </c>
    </row>
    <row r="349" spans="46:78" x14ac:dyDescent="0.25">
      <c r="AT349" s="74"/>
      <c r="AW349" s="74"/>
      <c r="BR349" s="133" t="str">
        <f t="shared" si="31"/>
        <v/>
      </c>
      <c r="BS349" s="100" t="str">
        <f>IF($BG$5=TRUE,IF(AX349="","",SUM($AX$8:AX349)),"")</f>
        <v/>
      </c>
      <c r="BT349" s="100" t="str">
        <f>IF($BH$5=TRUE,IF(AY349="","",SUM($AY$8:AY349)),"")</f>
        <v/>
      </c>
      <c r="BU349" s="100" t="str">
        <f>IF($BI$5=TRUE,IF(AZ349="","",SUM($AZ$8:AZ349)),"")</f>
        <v/>
      </c>
      <c r="BV349" s="100" t="str">
        <f>IF($BJ$5=TRUE,IF(BA349="","",SUM($BA$8:BA349)),"")</f>
        <v/>
      </c>
      <c r="BW349" s="100" t="str">
        <f>IF($BK$5=TRUE,IF(BB349="","",SUM($BB$8:BB349)),"")</f>
        <v/>
      </c>
      <c r="BX349" s="100" t="str">
        <f>IF($BL$5=TRUE,IF(BC349="","",SUM($BC$8:BC349)),"")</f>
        <v/>
      </c>
      <c r="BY349" s="100" t="str">
        <f>IF($BM$5=TRUE,IF(BD349="","",SUM($BD$8:BD349)),"")</f>
        <v/>
      </c>
      <c r="BZ349" s="100" t="str">
        <f>IF($BN$5=TRUE,IF(BE349="","",SUM($BE$8:BE349)),"")</f>
        <v/>
      </c>
    </row>
    <row r="350" spans="46:78" x14ac:dyDescent="0.25">
      <c r="AT350" s="74"/>
      <c r="AW350" s="74"/>
      <c r="BR350" s="133" t="str">
        <f t="shared" si="31"/>
        <v/>
      </c>
      <c r="BS350" s="100" t="str">
        <f>IF($BG$5=TRUE,IF(AX350="","",SUM($AX$8:AX350)),"")</f>
        <v/>
      </c>
      <c r="BT350" s="100" t="str">
        <f>IF($BH$5=TRUE,IF(AY350="","",SUM($AY$8:AY350)),"")</f>
        <v/>
      </c>
      <c r="BU350" s="100" t="str">
        <f>IF($BI$5=TRUE,IF(AZ350="","",SUM($AZ$8:AZ350)),"")</f>
        <v/>
      </c>
      <c r="BV350" s="100" t="str">
        <f>IF($BJ$5=TRUE,IF(BA350="","",SUM($BA$8:BA350)),"")</f>
        <v/>
      </c>
      <c r="BW350" s="100" t="str">
        <f>IF($BK$5=TRUE,IF(BB350="","",SUM($BB$8:BB350)),"")</f>
        <v/>
      </c>
      <c r="BX350" s="100" t="str">
        <f>IF($BL$5=TRUE,IF(BC350="","",SUM($BC$8:BC350)),"")</f>
        <v/>
      </c>
      <c r="BY350" s="100" t="str">
        <f>IF($BM$5=TRUE,IF(BD350="","",SUM($BD$8:BD350)),"")</f>
        <v/>
      </c>
      <c r="BZ350" s="100" t="str">
        <f>IF($BN$5=TRUE,IF(BE350="","",SUM($BE$8:BE350)),"")</f>
        <v/>
      </c>
    </row>
    <row r="351" spans="46:78" x14ac:dyDescent="0.25">
      <c r="AT351" s="74"/>
      <c r="AW351" s="74"/>
      <c r="BR351" s="133" t="str">
        <f t="shared" si="31"/>
        <v/>
      </c>
      <c r="BS351" s="100" t="str">
        <f>IF($BG$5=TRUE,IF(AX351="","",SUM($AX$8:AX351)),"")</f>
        <v/>
      </c>
      <c r="BT351" s="100" t="str">
        <f>IF($BH$5=TRUE,IF(AY351="","",SUM($AY$8:AY351)),"")</f>
        <v/>
      </c>
      <c r="BU351" s="100" t="str">
        <f>IF($BI$5=TRUE,IF(AZ351="","",SUM($AZ$8:AZ351)),"")</f>
        <v/>
      </c>
      <c r="BV351" s="100" t="str">
        <f>IF($BJ$5=TRUE,IF(BA351="","",SUM($BA$8:BA351)),"")</f>
        <v/>
      </c>
      <c r="BW351" s="100" t="str">
        <f>IF($BK$5=TRUE,IF(BB351="","",SUM($BB$8:BB351)),"")</f>
        <v/>
      </c>
      <c r="BX351" s="100" t="str">
        <f>IF($BL$5=TRUE,IF(BC351="","",SUM($BC$8:BC351)),"")</f>
        <v/>
      </c>
      <c r="BY351" s="100" t="str">
        <f>IF($BM$5=TRUE,IF(BD351="","",SUM($BD$8:BD351)),"")</f>
        <v/>
      </c>
      <c r="BZ351" s="100" t="str">
        <f>IF($BN$5=TRUE,IF(BE351="","",SUM($BE$8:BE351)),"")</f>
        <v/>
      </c>
    </row>
    <row r="352" spans="46:78" x14ac:dyDescent="0.25">
      <c r="AT352" s="74"/>
      <c r="AW352" s="74"/>
      <c r="BR352" s="133" t="str">
        <f t="shared" si="31"/>
        <v/>
      </c>
      <c r="BS352" s="100" t="str">
        <f>IF($BG$5=TRUE,IF(AX352="","",SUM($AX$8:AX352)),"")</f>
        <v/>
      </c>
      <c r="BT352" s="100" t="str">
        <f>IF($BH$5=TRUE,IF(AY352="","",SUM($AY$8:AY352)),"")</f>
        <v/>
      </c>
      <c r="BU352" s="100" t="str">
        <f>IF($BI$5=TRUE,IF(AZ352="","",SUM($AZ$8:AZ352)),"")</f>
        <v/>
      </c>
      <c r="BV352" s="100" t="str">
        <f>IF($BJ$5=TRUE,IF(BA352="","",SUM($BA$8:BA352)),"")</f>
        <v/>
      </c>
      <c r="BW352" s="100" t="str">
        <f>IF($BK$5=TRUE,IF(BB352="","",SUM($BB$8:BB352)),"")</f>
        <v/>
      </c>
      <c r="BX352" s="100" t="str">
        <f>IF($BL$5=TRUE,IF(BC352="","",SUM($BC$8:BC352)),"")</f>
        <v/>
      </c>
      <c r="BY352" s="100" t="str">
        <f>IF($BM$5=TRUE,IF(BD352="","",SUM($BD$8:BD352)),"")</f>
        <v/>
      </c>
      <c r="BZ352" s="100" t="str">
        <f>IF($BN$5=TRUE,IF(BE352="","",SUM($BE$8:BE352)),"")</f>
        <v/>
      </c>
    </row>
    <row r="353" spans="46:78" x14ac:dyDescent="0.25">
      <c r="AT353" s="74"/>
      <c r="AW353" s="74"/>
      <c r="BR353" s="133" t="str">
        <f t="shared" si="31"/>
        <v/>
      </c>
      <c r="BS353" s="100" t="str">
        <f>IF($BG$5=TRUE,IF(AX353="","",SUM($AX$8:AX353)),"")</f>
        <v/>
      </c>
      <c r="BT353" s="100" t="str">
        <f>IF($BH$5=TRUE,IF(AY353="","",SUM($AY$8:AY353)),"")</f>
        <v/>
      </c>
      <c r="BU353" s="100" t="str">
        <f>IF($BI$5=TRUE,IF(AZ353="","",SUM($AZ$8:AZ353)),"")</f>
        <v/>
      </c>
      <c r="BV353" s="100" t="str">
        <f>IF($BJ$5=TRUE,IF(BA353="","",SUM($BA$8:BA353)),"")</f>
        <v/>
      </c>
      <c r="BW353" s="100" t="str">
        <f>IF($BK$5=TRUE,IF(BB353="","",SUM($BB$8:BB353)),"")</f>
        <v/>
      </c>
      <c r="BX353" s="100" t="str">
        <f>IF($BL$5=TRUE,IF(BC353="","",SUM($BC$8:BC353)),"")</f>
        <v/>
      </c>
      <c r="BY353" s="100" t="str">
        <f>IF($BM$5=TRUE,IF(BD353="","",SUM($BD$8:BD353)),"")</f>
        <v/>
      </c>
      <c r="BZ353" s="100" t="str">
        <f>IF($BN$5=TRUE,IF(BE353="","",SUM($BE$8:BE353)),"")</f>
        <v/>
      </c>
    </row>
    <row r="354" spans="46:78" x14ac:dyDescent="0.25">
      <c r="AT354" s="74"/>
      <c r="AW354" s="74"/>
      <c r="BR354" s="133" t="str">
        <f t="shared" si="31"/>
        <v/>
      </c>
      <c r="BS354" s="100" t="str">
        <f>IF($BG$5=TRUE,IF(AX354="","",SUM($AX$8:AX354)),"")</f>
        <v/>
      </c>
      <c r="BT354" s="100" t="str">
        <f>IF($BH$5=TRUE,IF(AY354="","",SUM($AY$8:AY354)),"")</f>
        <v/>
      </c>
      <c r="BU354" s="100" t="str">
        <f>IF($BI$5=TRUE,IF(AZ354="","",SUM($AZ$8:AZ354)),"")</f>
        <v/>
      </c>
      <c r="BV354" s="100" t="str">
        <f>IF($BJ$5=TRUE,IF(BA354="","",SUM($BA$8:BA354)),"")</f>
        <v/>
      </c>
      <c r="BW354" s="100" t="str">
        <f>IF($BK$5=TRUE,IF(BB354="","",SUM($BB$8:BB354)),"")</f>
        <v/>
      </c>
      <c r="BX354" s="100" t="str">
        <f>IF($BL$5=TRUE,IF(BC354="","",SUM($BC$8:BC354)),"")</f>
        <v/>
      </c>
      <c r="BY354" s="100" t="str">
        <f>IF($BM$5=TRUE,IF(BD354="","",SUM($BD$8:BD354)),"")</f>
        <v/>
      </c>
      <c r="BZ354" s="100" t="str">
        <f>IF($BN$5=TRUE,IF(BE354="","",SUM($BE$8:BE354)),"")</f>
        <v/>
      </c>
    </row>
    <row r="355" spans="46:78" x14ac:dyDescent="0.25">
      <c r="AT355" s="74"/>
      <c r="AW355" s="74"/>
      <c r="BR355" s="133" t="str">
        <f t="shared" si="31"/>
        <v/>
      </c>
      <c r="BS355" s="100" t="str">
        <f>IF($BG$5=TRUE,IF(AX355="","",SUM($AX$8:AX355)),"")</f>
        <v/>
      </c>
      <c r="BT355" s="100" t="str">
        <f>IF($BH$5=TRUE,IF(AY355="","",SUM($AY$8:AY355)),"")</f>
        <v/>
      </c>
      <c r="BU355" s="100" t="str">
        <f>IF($BI$5=TRUE,IF(AZ355="","",SUM($AZ$8:AZ355)),"")</f>
        <v/>
      </c>
      <c r="BV355" s="100" t="str">
        <f>IF($BJ$5=TRUE,IF(BA355="","",SUM($BA$8:BA355)),"")</f>
        <v/>
      </c>
      <c r="BW355" s="100" t="str">
        <f>IF($BK$5=TRUE,IF(BB355="","",SUM($BB$8:BB355)),"")</f>
        <v/>
      </c>
      <c r="BX355" s="100" t="str">
        <f>IF($BL$5=TRUE,IF(BC355="","",SUM($BC$8:BC355)),"")</f>
        <v/>
      </c>
      <c r="BY355" s="100" t="str">
        <f>IF($BM$5=TRUE,IF(BD355="","",SUM($BD$8:BD355)),"")</f>
        <v/>
      </c>
      <c r="BZ355" s="100" t="str">
        <f>IF($BN$5=TRUE,IF(BE355="","",SUM($BE$8:BE355)),"")</f>
        <v/>
      </c>
    </row>
    <row r="356" spans="46:78" x14ac:dyDescent="0.25">
      <c r="AT356" s="74"/>
      <c r="AW356" s="74"/>
      <c r="BR356" s="133" t="str">
        <f t="shared" si="31"/>
        <v/>
      </c>
      <c r="BS356" s="100" t="str">
        <f>IF($BG$5=TRUE,IF(AX356="","",SUM($AX$8:AX356)),"")</f>
        <v/>
      </c>
      <c r="BT356" s="100" t="str">
        <f>IF($BH$5=TRUE,IF(AY356="","",SUM($AY$8:AY356)),"")</f>
        <v/>
      </c>
      <c r="BU356" s="100" t="str">
        <f>IF($BI$5=TRUE,IF(AZ356="","",SUM($AZ$8:AZ356)),"")</f>
        <v/>
      </c>
      <c r="BV356" s="100" t="str">
        <f>IF($BJ$5=TRUE,IF(BA356="","",SUM($BA$8:BA356)),"")</f>
        <v/>
      </c>
      <c r="BW356" s="100" t="str">
        <f>IF($BK$5=TRUE,IF(BB356="","",SUM($BB$8:BB356)),"")</f>
        <v/>
      </c>
      <c r="BX356" s="100" t="str">
        <f>IF($BL$5=TRUE,IF(BC356="","",SUM($BC$8:BC356)),"")</f>
        <v/>
      </c>
      <c r="BY356" s="100" t="str">
        <f>IF($BM$5=TRUE,IF(BD356="","",SUM($BD$8:BD356)),"")</f>
        <v/>
      </c>
      <c r="BZ356" s="100" t="str">
        <f>IF($BN$5=TRUE,IF(BE356="","",SUM($BE$8:BE356)),"")</f>
        <v/>
      </c>
    </row>
    <row r="357" spans="46:78" x14ac:dyDescent="0.25">
      <c r="AT357" s="74"/>
      <c r="AW357" s="74"/>
      <c r="BR357" s="133" t="str">
        <f t="shared" si="31"/>
        <v/>
      </c>
      <c r="BS357" s="100" t="str">
        <f>IF($BG$5=TRUE,IF(AX357="","",SUM($AX$8:AX357)),"")</f>
        <v/>
      </c>
      <c r="BT357" s="100" t="str">
        <f>IF($BH$5=TRUE,IF(AY357="","",SUM($AY$8:AY357)),"")</f>
        <v/>
      </c>
      <c r="BU357" s="100" t="str">
        <f>IF($BI$5=TRUE,IF(AZ357="","",SUM($AZ$8:AZ357)),"")</f>
        <v/>
      </c>
      <c r="BV357" s="100" t="str">
        <f>IF($BJ$5=TRUE,IF(BA357="","",SUM($BA$8:BA357)),"")</f>
        <v/>
      </c>
      <c r="BW357" s="100" t="str">
        <f>IF($BK$5=TRUE,IF(BB357="","",SUM($BB$8:BB357)),"")</f>
        <v/>
      </c>
      <c r="BX357" s="100" t="str">
        <f>IF($BL$5=TRUE,IF(BC357="","",SUM($BC$8:BC357)),"")</f>
        <v/>
      </c>
      <c r="BY357" s="100" t="str">
        <f>IF($BM$5=TRUE,IF(BD357="","",SUM($BD$8:BD357)),"")</f>
        <v/>
      </c>
      <c r="BZ357" s="100" t="str">
        <f>IF($BN$5=TRUE,IF(BE357="","",SUM($BE$8:BE357)),"")</f>
        <v/>
      </c>
    </row>
    <row r="358" spans="46:78" x14ac:dyDescent="0.25">
      <c r="AT358" s="74"/>
      <c r="AW358" s="74"/>
      <c r="BR358" s="133" t="str">
        <f t="shared" si="31"/>
        <v/>
      </c>
      <c r="BS358" s="100" t="str">
        <f>IF($BG$5=TRUE,IF(AX358="","",SUM($AX$8:AX358)),"")</f>
        <v/>
      </c>
      <c r="BT358" s="100" t="str">
        <f>IF($BH$5=TRUE,IF(AY358="","",SUM($AY$8:AY358)),"")</f>
        <v/>
      </c>
      <c r="BU358" s="100" t="str">
        <f>IF($BI$5=TRUE,IF(AZ358="","",SUM($AZ$8:AZ358)),"")</f>
        <v/>
      </c>
      <c r="BV358" s="100" t="str">
        <f>IF($BJ$5=TRUE,IF(BA358="","",SUM($BA$8:BA358)),"")</f>
        <v/>
      </c>
      <c r="BW358" s="100" t="str">
        <f>IF($BK$5=TRUE,IF(BB358="","",SUM($BB$8:BB358)),"")</f>
        <v/>
      </c>
      <c r="BX358" s="100" t="str">
        <f>IF($BL$5=TRUE,IF(BC358="","",SUM($BC$8:BC358)),"")</f>
        <v/>
      </c>
      <c r="BY358" s="100" t="str">
        <f>IF($BM$5=TRUE,IF(BD358="","",SUM($BD$8:BD358)),"")</f>
        <v/>
      </c>
      <c r="BZ358" s="100" t="str">
        <f>IF($BN$5=TRUE,IF(BE358="","",SUM($BE$8:BE358)),"")</f>
        <v/>
      </c>
    </row>
    <row r="359" spans="46:78" x14ac:dyDescent="0.25">
      <c r="AT359" s="74"/>
      <c r="AW359" s="74"/>
      <c r="BR359" s="133" t="str">
        <f t="shared" si="31"/>
        <v/>
      </c>
      <c r="BS359" s="100" t="str">
        <f>IF($BG$5=TRUE,IF(AX359="","",SUM($AX$8:AX359)),"")</f>
        <v/>
      </c>
      <c r="BT359" s="100" t="str">
        <f>IF($BH$5=TRUE,IF(AY359="","",SUM($AY$8:AY359)),"")</f>
        <v/>
      </c>
      <c r="BU359" s="100" t="str">
        <f>IF($BI$5=TRUE,IF(AZ359="","",SUM($AZ$8:AZ359)),"")</f>
        <v/>
      </c>
      <c r="BV359" s="100" t="str">
        <f>IF($BJ$5=TRUE,IF(BA359="","",SUM($BA$8:BA359)),"")</f>
        <v/>
      </c>
      <c r="BW359" s="100" t="str">
        <f>IF($BK$5=TRUE,IF(BB359="","",SUM($BB$8:BB359)),"")</f>
        <v/>
      </c>
      <c r="BX359" s="100" t="str">
        <f>IF($BL$5=TRUE,IF(BC359="","",SUM($BC$8:BC359)),"")</f>
        <v/>
      </c>
      <c r="BY359" s="100" t="str">
        <f>IF($BM$5=TRUE,IF(BD359="","",SUM($BD$8:BD359)),"")</f>
        <v/>
      </c>
      <c r="BZ359" s="100" t="str">
        <f>IF($BN$5=TRUE,IF(BE359="","",SUM($BE$8:BE359)),"")</f>
        <v/>
      </c>
    </row>
    <row r="360" spans="46:78" x14ac:dyDescent="0.25">
      <c r="AT360" s="74"/>
      <c r="AW360" s="74"/>
      <c r="BR360" s="133" t="str">
        <f t="shared" si="31"/>
        <v/>
      </c>
      <c r="BS360" s="100" t="str">
        <f>IF($BG$5=TRUE,IF(AX360="","",SUM($AX$8:AX360)),"")</f>
        <v/>
      </c>
      <c r="BT360" s="100" t="str">
        <f>IF($BH$5=TRUE,IF(AY360="","",SUM($AY$8:AY360)),"")</f>
        <v/>
      </c>
      <c r="BU360" s="100" t="str">
        <f>IF($BI$5=TRUE,IF(AZ360="","",SUM($AZ$8:AZ360)),"")</f>
        <v/>
      </c>
      <c r="BV360" s="100" t="str">
        <f>IF($BJ$5=TRUE,IF(BA360="","",SUM($BA$8:BA360)),"")</f>
        <v/>
      </c>
      <c r="BW360" s="100" t="str">
        <f>IF($BK$5=TRUE,IF(BB360="","",SUM($BB$8:BB360)),"")</f>
        <v/>
      </c>
      <c r="BX360" s="100" t="str">
        <f>IF($BL$5=TRUE,IF(BC360="","",SUM($BC$8:BC360)),"")</f>
        <v/>
      </c>
      <c r="BY360" s="100" t="str">
        <f>IF($BM$5=TRUE,IF(BD360="","",SUM($BD$8:BD360)),"")</f>
        <v/>
      </c>
      <c r="BZ360" s="100" t="str">
        <f>IF($BN$5=TRUE,IF(BE360="","",SUM($BE$8:BE360)),"")</f>
        <v/>
      </c>
    </row>
    <row r="361" spans="46:78" x14ac:dyDescent="0.25">
      <c r="AT361" s="74"/>
      <c r="AW361" s="74"/>
      <c r="BR361" s="133" t="str">
        <f t="shared" si="31"/>
        <v/>
      </c>
      <c r="BS361" s="100" t="str">
        <f>IF($BG$5=TRUE,IF(AX361="","",SUM($AX$8:AX361)),"")</f>
        <v/>
      </c>
      <c r="BT361" s="100" t="str">
        <f>IF($BH$5=TRUE,IF(AY361="","",SUM($AY$8:AY361)),"")</f>
        <v/>
      </c>
      <c r="BU361" s="100" t="str">
        <f>IF($BI$5=TRUE,IF(AZ361="","",SUM($AZ$8:AZ361)),"")</f>
        <v/>
      </c>
      <c r="BV361" s="100" t="str">
        <f>IF($BJ$5=TRUE,IF(BA361="","",SUM($BA$8:BA361)),"")</f>
        <v/>
      </c>
      <c r="BW361" s="100" t="str">
        <f>IF($BK$5=TRUE,IF(BB361="","",SUM($BB$8:BB361)),"")</f>
        <v/>
      </c>
      <c r="BX361" s="100" t="str">
        <f>IF($BL$5=TRUE,IF(BC361="","",SUM($BC$8:BC361)),"")</f>
        <v/>
      </c>
      <c r="BY361" s="100" t="str">
        <f>IF($BM$5=TRUE,IF(BD361="","",SUM($BD$8:BD361)),"")</f>
        <v/>
      </c>
      <c r="BZ361" s="100" t="str">
        <f>IF($BN$5=TRUE,IF(BE361="","",SUM($BE$8:BE361)),"")</f>
        <v/>
      </c>
    </row>
    <row r="362" spans="46:78" x14ac:dyDescent="0.25">
      <c r="AT362" s="74"/>
      <c r="AW362" s="74"/>
      <c r="BR362" s="133" t="str">
        <f t="shared" si="31"/>
        <v/>
      </c>
      <c r="BS362" s="100" t="str">
        <f>IF($BG$5=TRUE,IF(AX362="","",SUM($AX$8:AX362)),"")</f>
        <v/>
      </c>
      <c r="BT362" s="100" t="str">
        <f>IF($BH$5=TRUE,IF(AY362="","",SUM($AY$8:AY362)),"")</f>
        <v/>
      </c>
      <c r="BU362" s="100" t="str">
        <f>IF($BI$5=TRUE,IF(AZ362="","",SUM($AZ$8:AZ362)),"")</f>
        <v/>
      </c>
      <c r="BV362" s="100" t="str">
        <f>IF($BJ$5=TRUE,IF(BA362="","",SUM($BA$8:BA362)),"")</f>
        <v/>
      </c>
      <c r="BW362" s="100" t="str">
        <f>IF($BK$5=TRUE,IF(BB362="","",SUM($BB$8:BB362)),"")</f>
        <v/>
      </c>
      <c r="BX362" s="100" t="str">
        <f>IF($BL$5=TRUE,IF(BC362="","",SUM($BC$8:BC362)),"")</f>
        <v/>
      </c>
      <c r="BY362" s="100" t="str">
        <f>IF($BM$5=TRUE,IF(BD362="","",SUM($BD$8:BD362)),"")</f>
        <v/>
      </c>
      <c r="BZ362" s="100" t="str">
        <f>IF($BN$5=TRUE,IF(BE362="","",SUM($BE$8:BE362)),"")</f>
        <v/>
      </c>
    </row>
    <row r="363" spans="46:78" x14ac:dyDescent="0.25">
      <c r="AT363" s="74"/>
      <c r="AW363" s="74"/>
      <c r="BR363" s="133" t="str">
        <f t="shared" si="31"/>
        <v/>
      </c>
      <c r="BS363" s="100" t="str">
        <f>IF($BG$5=TRUE,IF(AX363="","",SUM($AX$8:AX363)),"")</f>
        <v/>
      </c>
      <c r="BT363" s="100" t="str">
        <f>IF($BH$5=TRUE,IF(AY363="","",SUM($AY$8:AY363)),"")</f>
        <v/>
      </c>
      <c r="BU363" s="100" t="str">
        <f>IF($BI$5=TRUE,IF(AZ363="","",SUM($AZ$8:AZ363)),"")</f>
        <v/>
      </c>
      <c r="BV363" s="100" t="str">
        <f>IF($BJ$5=TRUE,IF(BA363="","",SUM($BA$8:BA363)),"")</f>
        <v/>
      </c>
      <c r="BW363" s="100" t="str">
        <f>IF($BK$5=TRUE,IF(BB363="","",SUM($BB$8:BB363)),"")</f>
        <v/>
      </c>
      <c r="BX363" s="100" t="str">
        <f>IF($BL$5=TRUE,IF(BC363="","",SUM($BC$8:BC363)),"")</f>
        <v/>
      </c>
      <c r="BY363" s="100" t="str">
        <f>IF($BM$5=TRUE,IF(BD363="","",SUM($BD$8:BD363)),"")</f>
        <v/>
      </c>
      <c r="BZ363" s="100" t="str">
        <f>IF($BN$5=TRUE,IF(BE363="","",SUM($BE$8:BE363)),"")</f>
        <v/>
      </c>
    </row>
    <row r="364" spans="46:78" x14ac:dyDescent="0.25">
      <c r="AT364" s="74"/>
      <c r="AW364" s="74"/>
      <c r="BR364" s="133" t="str">
        <f t="shared" si="31"/>
        <v/>
      </c>
      <c r="BS364" s="100" t="str">
        <f>IF($BG$5=TRUE,IF(AX364="","",SUM($AX$8:AX364)),"")</f>
        <v/>
      </c>
      <c r="BT364" s="100" t="str">
        <f>IF($BH$5=TRUE,IF(AY364="","",SUM($AY$8:AY364)),"")</f>
        <v/>
      </c>
      <c r="BU364" s="100" t="str">
        <f>IF($BI$5=TRUE,IF(AZ364="","",SUM($AZ$8:AZ364)),"")</f>
        <v/>
      </c>
      <c r="BV364" s="100" t="str">
        <f>IF($BJ$5=TRUE,IF(BA364="","",SUM($BA$8:BA364)),"")</f>
        <v/>
      </c>
      <c r="BW364" s="100" t="str">
        <f>IF($BK$5=TRUE,IF(BB364="","",SUM($BB$8:BB364)),"")</f>
        <v/>
      </c>
      <c r="BX364" s="100" t="str">
        <f>IF($BL$5=TRUE,IF(BC364="","",SUM($BC$8:BC364)),"")</f>
        <v/>
      </c>
      <c r="BY364" s="100" t="str">
        <f>IF($BM$5=TRUE,IF(BD364="","",SUM($BD$8:BD364)),"")</f>
        <v/>
      </c>
      <c r="BZ364" s="100" t="str">
        <f>IF($BN$5=TRUE,IF(BE364="","",SUM($BE$8:BE364)),"")</f>
        <v/>
      </c>
    </row>
    <row r="365" spans="46:78" x14ac:dyDescent="0.25">
      <c r="AT365" s="74"/>
      <c r="AW365" s="74"/>
      <c r="BR365" s="133" t="str">
        <f t="shared" si="31"/>
        <v/>
      </c>
      <c r="BS365" s="100" t="str">
        <f>IF($BG$5=TRUE,IF(AX365="","",SUM($AX$8:AX365)),"")</f>
        <v/>
      </c>
      <c r="BT365" s="100" t="str">
        <f>IF($BH$5=TRUE,IF(AY365="","",SUM($AY$8:AY365)),"")</f>
        <v/>
      </c>
      <c r="BU365" s="100" t="str">
        <f>IF($BI$5=TRUE,IF(AZ365="","",SUM($AZ$8:AZ365)),"")</f>
        <v/>
      </c>
      <c r="BV365" s="100" t="str">
        <f>IF($BJ$5=TRUE,IF(BA365="","",SUM($BA$8:BA365)),"")</f>
        <v/>
      </c>
      <c r="BW365" s="100" t="str">
        <f>IF($BK$5=TRUE,IF(BB365="","",SUM($BB$8:BB365)),"")</f>
        <v/>
      </c>
      <c r="BX365" s="100" t="str">
        <f>IF($BL$5=TRUE,IF(BC365="","",SUM($BC$8:BC365)),"")</f>
        <v/>
      </c>
      <c r="BY365" s="100" t="str">
        <f>IF($BM$5=TRUE,IF(BD365="","",SUM($BD$8:BD365)),"")</f>
        <v/>
      </c>
      <c r="BZ365" s="100" t="str">
        <f>IF($BN$5=TRUE,IF(BE365="","",SUM($BE$8:BE365)),"")</f>
        <v/>
      </c>
    </row>
    <row r="366" spans="46:78" x14ac:dyDescent="0.25">
      <c r="AT366" s="74"/>
      <c r="AW366" s="74"/>
      <c r="BR366" s="133" t="str">
        <f t="shared" si="31"/>
        <v/>
      </c>
      <c r="BS366" s="100" t="str">
        <f>IF($BG$5=TRUE,IF(AX366="","",SUM($AX$8:AX366)),"")</f>
        <v/>
      </c>
      <c r="BT366" s="100" t="str">
        <f>IF($BH$5=TRUE,IF(AY366="","",SUM($AY$8:AY366)),"")</f>
        <v/>
      </c>
      <c r="BU366" s="100" t="str">
        <f>IF($BI$5=TRUE,IF(AZ366="","",SUM($AZ$8:AZ366)),"")</f>
        <v/>
      </c>
      <c r="BV366" s="100" t="str">
        <f>IF($BJ$5=TRUE,IF(BA366="","",SUM($BA$8:BA366)),"")</f>
        <v/>
      </c>
      <c r="BW366" s="100" t="str">
        <f>IF($BK$5=TRUE,IF(BB366="","",SUM($BB$8:BB366)),"")</f>
        <v/>
      </c>
      <c r="BX366" s="100" t="str">
        <f>IF($BL$5=TRUE,IF(BC366="","",SUM($BC$8:BC366)),"")</f>
        <v/>
      </c>
      <c r="BY366" s="100" t="str">
        <f>IF($BM$5=TRUE,IF(BD366="","",SUM($BD$8:BD366)),"")</f>
        <v/>
      </c>
      <c r="BZ366" s="100" t="str">
        <f>IF($BN$5=TRUE,IF(BE366="","",SUM($BE$8:BE366)),"")</f>
        <v/>
      </c>
    </row>
    <row r="367" spans="46:78" x14ac:dyDescent="0.25">
      <c r="AT367" s="74"/>
      <c r="AW367" s="74"/>
      <c r="BR367" s="133" t="str">
        <f t="shared" si="31"/>
        <v/>
      </c>
      <c r="BS367" s="100" t="str">
        <f>IF($BG$5=TRUE,IF(AX367="","",SUM($AX$8:AX367)),"")</f>
        <v/>
      </c>
      <c r="BT367" s="100" t="str">
        <f>IF($BH$5=TRUE,IF(AY367="","",SUM($AY$8:AY367)),"")</f>
        <v/>
      </c>
      <c r="BU367" s="100" t="str">
        <f>IF($BI$5=TRUE,IF(AZ367="","",SUM($AZ$8:AZ367)),"")</f>
        <v/>
      </c>
      <c r="BV367" s="100" t="str">
        <f>IF($BJ$5=TRUE,IF(BA367="","",SUM($BA$8:BA367)),"")</f>
        <v/>
      </c>
      <c r="BW367" s="100" t="str">
        <f>IF($BK$5=TRUE,IF(BB367="","",SUM($BB$8:BB367)),"")</f>
        <v/>
      </c>
      <c r="BX367" s="100" t="str">
        <f>IF($BL$5=TRUE,IF(BC367="","",SUM($BC$8:BC367)),"")</f>
        <v/>
      </c>
      <c r="BY367" s="100" t="str">
        <f>IF($BM$5=TRUE,IF(BD367="","",SUM($BD$8:BD367)),"")</f>
        <v/>
      </c>
      <c r="BZ367" s="100" t="str">
        <f>IF($BN$5=TRUE,IF(BE367="","",SUM($BE$8:BE367)),"")</f>
        <v/>
      </c>
    </row>
    <row r="368" spans="46:78" x14ac:dyDescent="0.25">
      <c r="AT368" s="74"/>
      <c r="AW368" s="74"/>
      <c r="BR368" s="133" t="str">
        <f t="shared" si="31"/>
        <v/>
      </c>
      <c r="BS368" s="100" t="str">
        <f>IF($BG$5=TRUE,IF(AX368="","",SUM($AX$8:AX368)),"")</f>
        <v/>
      </c>
      <c r="BT368" s="100" t="str">
        <f>IF($BH$5=TRUE,IF(AY368="","",SUM($AY$8:AY368)),"")</f>
        <v/>
      </c>
      <c r="BU368" s="100" t="str">
        <f>IF($BI$5=TRUE,IF(AZ368="","",SUM($AZ$8:AZ368)),"")</f>
        <v/>
      </c>
      <c r="BV368" s="100" t="str">
        <f>IF($BJ$5=TRUE,IF(BA368="","",SUM($BA$8:BA368)),"")</f>
        <v/>
      </c>
      <c r="BW368" s="100" t="str">
        <f>IF($BK$5=TRUE,IF(BB368="","",SUM($BB$8:BB368)),"")</f>
        <v/>
      </c>
      <c r="BX368" s="100" t="str">
        <f>IF($BL$5=TRUE,IF(BC368="","",SUM($BC$8:BC368)),"")</f>
        <v/>
      </c>
      <c r="BY368" s="100" t="str">
        <f>IF($BM$5=TRUE,IF(BD368="","",SUM($BD$8:BD368)),"")</f>
        <v/>
      </c>
      <c r="BZ368" s="100" t="str">
        <f>IF($BN$5=TRUE,IF(BE368="","",SUM($BE$8:BE368)),"")</f>
        <v/>
      </c>
    </row>
    <row r="369" spans="46:78" x14ac:dyDescent="0.25">
      <c r="AT369" s="74"/>
      <c r="AW369" s="74"/>
      <c r="BR369" s="133" t="str">
        <f t="shared" si="31"/>
        <v/>
      </c>
      <c r="BS369" s="100" t="str">
        <f>IF($BG$5=TRUE,IF(AX369="","",SUM($AX$8:AX369)),"")</f>
        <v/>
      </c>
      <c r="BT369" s="100" t="str">
        <f>IF($BH$5=TRUE,IF(AY369="","",SUM($AY$8:AY369)),"")</f>
        <v/>
      </c>
      <c r="BU369" s="100" t="str">
        <f>IF($BI$5=TRUE,IF(AZ369="","",SUM($AZ$8:AZ369)),"")</f>
        <v/>
      </c>
      <c r="BV369" s="100" t="str">
        <f>IF($BJ$5=TRUE,IF(BA369="","",SUM($BA$8:BA369)),"")</f>
        <v/>
      </c>
      <c r="BW369" s="100" t="str">
        <f>IF($BK$5=TRUE,IF(BB369="","",SUM($BB$8:BB369)),"")</f>
        <v/>
      </c>
      <c r="BX369" s="100" t="str">
        <f>IF($BL$5=TRUE,IF(BC369="","",SUM($BC$8:BC369)),"")</f>
        <v/>
      </c>
      <c r="BY369" s="100" t="str">
        <f>IF($BM$5=TRUE,IF(BD369="","",SUM($BD$8:BD369)),"")</f>
        <v/>
      </c>
      <c r="BZ369" s="100" t="str">
        <f>IF($BN$5=TRUE,IF(BE369="","",SUM($BE$8:BE369)),"")</f>
        <v/>
      </c>
    </row>
    <row r="370" spans="46:78" x14ac:dyDescent="0.25">
      <c r="AT370" s="74"/>
      <c r="AW370" s="74"/>
      <c r="BR370" s="133" t="str">
        <f t="shared" si="31"/>
        <v/>
      </c>
      <c r="BS370" s="100" t="str">
        <f>IF($BG$5=TRUE,IF(AX370="","",SUM($AX$8:AX370)),"")</f>
        <v/>
      </c>
      <c r="BT370" s="100" t="str">
        <f>IF($BH$5=TRUE,IF(AY370="","",SUM($AY$8:AY370)),"")</f>
        <v/>
      </c>
      <c r="BU370" s="100" t="str">
        <f>IF($BI$5=TRUE,IF(AZ370="","",SUM($AZ$8:AZ370)),"")</f>
        <v/>
      </c>
      <c r="BV370" s="100" t="str">
        <f>IF($BJ$5=TRUE,IF(BA370="","",SUM($BA$8:BA370)),"")</f>
        <v/>
      </c>
      <c r="BW370" s="100" t="str">
        <f>IF($BK$5=TRUE,IF(BB370="","",SUM($BB$8:BB370)),"")</f>
        <v/>
      </c>
      <c r="BX370" s="100" t="str">
        <f>IF($BL$5=TRUE,IF(BC370="","",SUM($BC$8:BC370)),"")</f>
        <v/>
      </c>
      <c r="BY370" s="100" t="str">
        <f>IF($BM$5=TRUE,IF(BD370="","",SUM($BD$8:BD370)),"")</f>
        <v/>
      </c>
      <c r="BZ370" s="100" t="str">
        <f>IF($BN$5=TRUE,IF(BE370="","",SUM($BE$8:BE370)),"")</f>
        <v/>
      </c>
    </row>
    <row r="371" spans="46:78" x14ac:dyDescent="0.25">
      <c r="AT371" s="74"/>
      <c r="AW371" s="74"/>
      <c r="BR371" s="133" t="str">
        <f t="shared" si="31"/>
        <v/>
      </c>
      <c r="BS371" s="100" t="str">
        <f>IF($BG$5=TRUE,IF(AX371="","",SUM($AX$8:AX371)),"")</f>
        <v/>
      </c>
      <c r="BT371" s="100" t="str">
        <f>IF($BH$5=TRUE,IF(AY371="","",SUM($AY$8:AY371)),"")</f>
        <v/>
      </c>
      <c r="BU371" s="100" t="str">
        <f>IF($BI$5=TRUE,IF(AZ371="","",SUM($AZ$8:AZ371)),"")</f>
        <v/>
      </c>
      <c r="BV371" s="100" t="str">
        <f>IF($BJ$5=TRUE,IF(BA371="","",SUM($BA$8:BA371)),"")</f>
        <v/>
      </c>
      <c r="BW371" s="100" t="str">
        <f>IF($BK$5=TRUE,IF(BB371="","",SUM($BB$8:BB371)),"")</f>
        <v/>
      </c>
      <c r="BX371" s="100" t="str">
        <f>IF($BL$5=TRUE,IF(BC371="","",SUM($BC$8:BC371)),"")</f>
        <v/>
      </c>
      <c r="BY371" s="100" t="str">
        <f>IF($BM$5=TRUE,IF(BD371="","",SUM($BD$8:BD371)),"")</f>
        <v/>
      </c>
      <c r="BZ371" s="100" t="str">
        <f>IF($BN$5=TRUE,IF(BE371="","",SUM($BE$8:BE371)),"")</f>
        <v/>
      </c>
    </row>
    <row r="372" spans="46:78" x14ac:dyDescent="0.25">
      <c r="AT372" s="74"/>
      <c r="AW372" s="74"/>
      <c r="BR372" s="133" t="str">
        <f t="shared" si="31"/>
        <v/>
      </c>
      <c r="BS372" s="100" t="str">
        <f>IF($BG$5=TRUE,IF(AX372="","",SUM($AX$8:AX372)),"")</f>
        <v/>
      </c>
      <c r="BT372" s="100" t="str">
        <f>IF($BH$5=TRUE,IF(AY372="","",SUM($AY$8:AY372)),"")</f>
        <v/>
      </c>
      <c r="BU372" s="100" t="str">
        <f>IF($BI$5=TRUE,IF(AZ372="","",SUM($AZ$8:AZ372)),"")</f>
        <v/>
      </c>
      <c r="BV372" s="100" t="str">
        <f>IF($BJ$5=TRUE,IF(BA372="","",SUM($BA$8:BA372)),"")</f>
        <v/>
      </c>
      <c r="BW372" s="100" t="str">
        <f>IF($BK$5=TRUE,IF(BB372="","",SUM($BB$8:BB372)),"")</f>
        <v/>
      </c>
      <c r="BX372" s="100" t="str">
        <f>IF($BL$5=TRUE,IF(BC372="","",SUM($BC$8:BC372)),"")</f>
        <v/>
      </c>
      <c r="BY372" s="100" t="str">
        <f>IF($BM$5=TRUE,IF(BD372="","",SUM($BD$8:BD372)),"")</f>
        <v/>
      </c>
      <c r="BZ372" s="100" t="str">
        <f>IF($BN$5=TRUE,IF(BE372="","",SUM($BE$8:BE372)),"")</f>
        <v/>
      </c>
    </row>
    <row r="373" spans="46:78" x14ac:dyDescent="0.25">
      <c r="AT373" s="74"/>
      <c r="AW373" s="74"/>
      <c r="BR373" s="133" t="str">
        <f t="shared" si="31"/>
        <v/>
      </c>
      <c r="BS373" s="100" t="str">
        <f>IF($BG$5=TRUE,IF(AX373="","",SUM($AX$8:AX373)),"")</f>
        <v/>
      </c>
      <c r="BT373" s="100" t="str">
        <f>IF($BH$5=TRUE,IF(AY373="","",SUM($AY$8:AY373)),"")</f>
        <v/>
      </c>
      <c r="BU373" s="100" t="str">
        <f>IF($BI$5=TRUE,IF(AZ373="","",SUM($AZ$8:AZ373)),"")</f>
        <v/>
      </c>
      <c r="BV373" s="100" t="str">
        <f>IF($BJ$5=TRUE,IF(BA373="","",SUM($BA$8:BA373)),"")</f>
        <v/>
      </c>
      <c r="BW373" s="100" t="str">
        <f>IF($BK$5=TRUE,IF(BB373="","",SUM($BB$8:BB373)),"")</f>
        <v/>
      </c>
      <c r="BX373" s="100" t="str">
        <f>IF($BL$5=TRUE,IF(BC373="","",SUM($BC$8:BC373)),"")</f>
        <v/>
      </c>
      <c r="BY373" s="100" t="str">
        <f>IF($BM$5=TRUE,IF(BD373="","",SUM($BD$8:BD373)),"")</f>
        <v/>
      </c>
      <c r="BZ373" s="100" t="str">
        <f>IF($BN$5=TRUE,IF(BE373="","",SUM($BE$8:BE373)),"")</f>
        <v/>
      </c>
    </row>
    <row r="374" spans="46:78" x14ac:dyDescent="0.25">
      <c r="AT374" s="74"/>
      <c r="AW374" s="74"/>
      <c r="BR374" s="133" t="str">
        <f t="shared" si="31"/>
        <v/>
      </c>
      <c r="BS374" s="100" t="str">
        <f>IF($BG$5=TRUE,IF(AX374="","",SUM($AX$8:AX374)),"")</f>
        <v/>
      </c>
      <c r="BT374" s="100" t="str">
        <f>IF($BH$5=TRUE,IF(AY374="","",SUM($AY$8:AY374)),"")</f>
        <v/>
      </c>
      <c r="BU374" s="100" t="str">
        <f>IF($BI$5=TRUE,IF(AZ374="","",SUM($AZ$8:AZ374)),"")</f>
        <v/>
      </c>
      <c r="BV374" s="100" t="str">
        <f>IF($BJ$5=TRUE,IF(BA374="","",SUM($BA$8:BA374)),"")</f>
        <v/>
      </c>
      <c r="BW374" s="100" t="str">
        <f>IF($BK$5=TRUE,IF(BB374="","",SUM($BB$8:BB374)),"")</f>
        <v/>
      </c>
      <c r="BX374" s="100" t="str">
        <f>IF($BL$5=TRUE,IF(BC374="","",SUM($BC$8:BC374)),"")</f>
        <v/>
      </c>
      <c r="BY374" s="100" t="str">
        <f>IF($BM$5=TRUE,IF(BD374="","",SUM($BD$8:BD374)),"")</f>
        <v/>
      </c>
      <c r="BZ374" s="100" t="str">
        <f>IF($BN$5=TRUE,IF(BE374="","",SUM($BE$8:BE374)),"")</f>
        <v/>
      </c>
    </row>
    <row r="375" spans="46:78" x14ac:dyDescent="0.25">
      <c r="AT375" s="74"/>
      <c r="AW375" s="74"/>
      <c r="BR375" s="133" t="str">
        <f t="shared" si="31"/>
        <v/>
      </c>
      <c r="BS375" s="100" t="str">
        <f>IF($BG$5=TRUE,IF(AX375="","",SUM($AX$8:AX375)),"")</f>
        <v/>
      </c>
      <c r="BT375" s="100" t="str">
        <f>IF($BH$5=TRUE,IF(AY375="","",SUM($AY$8:AY375)),"")</f>
        <v/>
      </c>
      <c r="BU375" s="100" t="str">
        <f>IF($BI$5=TRUE,IF(AZ375="","",SUM($AZ$8:AZ375)),"")</f>
        <v/>
      </c>
      <c r="BV375" s="100" t="str">
        <f>IF($BJ$5=TRUE,IF(BA375="","",SUM($BA$8:BA375)),"")</f>
        <v/>
      </c>
      <c r="BW375" s="100" t="str">
        <f>IF($BK$5=TRUE,IF(BB375="","",SUM($BB$8:BB375)),"")</f>
        <v/>
      </c>
      <c r="BX375" s="100" t="str">
        <f>IF($BL$5=TRUE,IF(BC375="","",SUM($BC$8:BC375)),"")</f>
        <v/>
      </c>
      <c r="BY375" s="100" t="str">
        <f>IF($BM$5=TRUE,IF(BD375="","",SUM($BD$8:BD375)),"")</f>
        <v/>
      </c>
      <c r="BZ375" s="100" t="str">
        <f>IF($BN$5=TRUE,IF(BE375="","",SUM($BE$8:BE375)),"")</f>
        <v/>
      </c>
    </row>
    <row r="376" spans="46:78" x14ac:dyDescent="0.25">
      <c r="AT376" s="74"/>
      <c r="AW376" s="74"/>
      <c r="BR376" s="133" t="str">
        <f t="shared" si="31"/>
        <v/>
      </c>
      <c r="BS376" s="100" t="str">
        <f>IF($BG$5=TRUE,IF(AX376="","",SUM($AX$8:AX376)),"")</f>
        <v/>
      </c>
      <c r="BT376" s="100" t="str">
        <f>IF($BH$5=TRUE,IF(AY376="","",SUM($AY$8:AY376)),"")</f>
        <v/>
      </c>
      <c r="BU376" s="100" t="str">
        <f>IF($BI$5=TRUE,IF(AZ376="","",SUM($AZ$8:AZ376)),"")</f>
        <v/>
      </c>
      <c r="BV376" s="100" t="str">
        <f>IF($BJ$5=TRUE,IF(BA376="","",SUM($BA$8:BA376)),"")</f>
        <v/>
      </c>
      <c r="BW376" s="100" t="str">
        <f>IF($BK$5=TRUE,IF(BB376="","",SUM($BB$8:BB376)),"")</f>
        <v/>
      </c>
      <c r="BX376" s="100" t="str">
        <f>IF($BL$5=TRUE,IF(BC376="","",SUM($BC$8:BC376)),"")</f>
        <v/>
      </c>
      <c r="BY376" s="100" t="str">
        <f>IF($BM$5=TRUE,IF(BD376="","",SUM($BD$8:BD376)),"")</f>
        <v/>
      </c>
      <c r="BZ376" s="100" t="str">
        <f>IF($BN$5=TRUE,IF(BE376="","",SUM($BE$8:BE376)),"")</f>
        <v/>
      </c>
    </row>
    <row r="377" spans="46:78" x14ac:dyDescent="0.25">
      <c r="AT377" s="74"/>
      <c r="AW377" s="74"/>
      <c r="BR377" s="133" t="str">
        <f t="shared" si="31"/>
        <v/>
      </c>
      <c r="BS377" s="100" t="str">
        <f>IF($BG$5=TRUE,IF(AX377="","",SUM($AX$8:AX377)),"")</f>
        <v/>
      </c>
      <c r="BT377" s="100" t="str">
        <f>IF($BH$5=TRUE,IF(AY377="","",SUM($AY$8:AY377)),"")</f>
        <v/>
      </c>
      <c r="BU377" s="100" t="str">
        <f>IF($BI$5=TRUE,IF(AZ377="","",SUM($AZ$8:AZ377)),"")</f>
        <v/>
      </c>
      <c r="BV377" s="100" t="str">
        <f>IF($BJ$5=TRUE,IF(BA377="","",SUM($BA$8:BA377)),"")</f>
        <v/>
      </c>
      <c r="BW377" s="100" t="str">
        <f>IF($BK$5=TRUE,IF(BB377="","",SUM($BB$8:BB377)),"")</f>
        <v/>
      </c>
      <c r="BX377" s="100" t="str">
        <f>IF($BL$5=TRUE,IF(BC377="","",SUM($BC$8:BC377)),"")</f>
        <v/>
      </c>
      <c r="BY377" s="100" t="str">
        <f>IF($BM$5=TRUE,IF(BD377="","",SUM($BD$8:BD377)),"")</f>
        <v/>
      </c>
      <c r="BZ377" s="100" t="str">
        <f>IF($BN$5=TRUE,IF(BE377="","",SUM($BE$8:BE377)),"")</f>
        <v/>
      </c>
    </row>
    <row r="378" spans="46:78" x14ac:dyDescent="0.25">
      <c r="AT378" s="74"/>
      <c r="AW378" s="74"/>
      <c r="BR378" s="133" t="str">
        <f t="shared" si="31"/>
        <v/>
      </c>
      <c r="BS378" s="100" t="str">
        <f>IF($BG$5=TRUE,IF(AX378="","",SUM($AX$8:AX378)),"")</f>
        <v/>
      </c>
      <c r="BT378" s="100" t="str">
        <f>IF($BH$5=TRUE,IF(AY378="","",SUM($AY$8:AY378)),"")</f>
        <v/>
      </c>
      <c r="BU378" s="100" t="str">
        <f>IF($BI$5=TRUE,IF(AZ378="","",SUM($AZ$8:AZ378)),"")</f>
        <v/>
      </c>
      <c r="BV378" s="100" t="str">
        <f>IF($BJ$5=TRUE,IF(BA378="","",SUM($BA$8:BA378)),"")</f>
        <v/>
      </c>
      <c r="BW378" s="100" t="str">
        <f>IF($BK$5=TRUE,IF(BB378="","",SUM($BB$8:BB378)),"")</f>
        <v/>
      </c>
      <c r="BX378" s="100" t="str">
        <f>IF($BL$5=TRUE,IF(BC378="","",SUM($BC$8:BC378)),"")</f>
        <v/>
      </c>
      <c r="BY378" s="100" t="str">
        <f>IF($BM$5=TRUE,IF(BD378="","",SUM($BD$8:BD378)),"")</f>
        <v/>
      </c>
      <c r="BZ378" s="100" t="str">
        <f>IF($BN$5=TRUE,IF(BE378="","",SUM($BE$8:BE378)),"")</f>
        <v/>
      </c>
    </row>
    <row r="379" spans="46:78" x14ac:dyDescent="0.25">
      <c r="AT379" s="74"/>
      <c r="AW379" s="74"/>
      <c r="BR379" s="133" t="str">
        <f t="shared" si="31"/>
        <v/>
      </c>
      <c r="BS379" s="100" t="str">
        <f>IF($BG$5=TRUE,IF(AX379="","",SUM($AX$8:AX379)),"")</f>
        <v/>
      </c>
      <c r="BT379" s="100" t="str">
        <f>IF($BH$5=TRUE,IF(AY379="","",SUM($AY$8:AY379)),"")</f>
        <v/>
      </c>
      <c r="BU379" s="100" t="str">
        <f>IF($BI$5=TRUE,IF(AZ379="","",SUM($AZ$8:AZ379)),"")</f>
        <v/>
      </c>
      <c r="BV379" s="100" t="str">
        <f>IF($BJ$5=TRUE,IF(BA379="","",SUM($BA$8:BA379)),"")</f>
        <v/>
      </c>
      <c r="BW379" s="100" t="str">
        <f>IF($BK$5=TRUE,IF(BB379="","",SUM($BB$8:BB379)),"")</f>
        <v/>
      </c>
      <c r="BX379" s="100" t="str">
        <f>IF($BL$5=TRUE,IF(BC379="","",SUM($BC$8:BC379)),"")</f>
        <v/>
      </c>
      <c r="BY379" s="100" t="str">
        <f>IF($BM$5=TRUE,IF(BD379="","",SUM($BD$8:BD379)),"")</f>
        <v/>
      </c>
      <c r="BZ379" s="100" t="str">
        <f>IF($BN$5=TRUE,IF(BE379="","",SUM($BE$8:BE379)),"")</f>
        <v/>
      </c>
    </row>
    <row r="380" spans="46:78" x14ac:dyDescent="0.25">
      <c r="AT380" s="74"/>
      <c r="AW380" s="74"/>
      <c r="BR380" s="133" t="str">
        <f t="shared" si="31"/>
        <v/>
      </c>
      <c r="BS380" s="100" t="str">
        <f>IF($BG$5=TRUE,IF(AX380="","",SUM($AX$8:AX380)),"")</f>
        <v/>
      </c>
      <c r="BT380" s="100" t="str">
        <f>IF($BH$5=TRUE,IF(AY380="","",SUM($AY$8:AY380)),"")</f>
        <v/>
      </c>
      <c r="BU380" s="100" t="str">
        <f>IF($BI$5=TRUE,IF(AZ380="","",SUM($AZ$8:AZ380)),"")</f>
        <v/>
      </c>
      <c r="BV380" s="100" t="str">
        <f>IF($BJ$5=TRUE,IF(BA380="","",SUM($BA$8:BA380)),"")</f>
        <v/>
      </c>
      <c r="BW380" s="100" t="str">
        <f>IF($BK$5=TRUE,IF(BB380="","",SUM($BB$8:BB380)),"")</f>
        <v/>
      </c>
      <c r="BX380" s="100" t="str">
        <f>IF($BL$5=TRUE,IF(BC380="","",SUM($BC$8:BC380)),"")</f>
        <v/>
      </c>
      <c r="BY380" s="100" t="str">
        <f>IF($BM$5=TRUE,IF(BD380="","",SUM($BD$8:BD380)),"")</f>
        <v/>
      </c>
      <c r="BZ380" s="100" t="str">
        <f>IF($BN$5=TRUE,IF(BE380="","",SUM($BE$8:BE380)),"")</f>
        <v/>
      </c>
    </row>
    <row r="381" spans="46:78" x14ac:dyDescent="0.25">
      <c r="AT381" s="74"/>
      <c r="AW381" s="74"/>
      <c r="BR381" s="133" t="str">
        <f t="shared" si="31"/>
        <v/>
      </c>
      <c r="BS381" s="100" t="str">
        <f>IF($BG$5=TRUE,IF(AX381="","",SUM($AX$8:AX381)),"")</f>
        <v/>
      </c>
      <c r="BT381" s="100" t="str">
        <f>IF($BH$5=TRUE,IF(AY381="","",SUM($AY$8:AY381)),"")</f>
        <v/>
      </c>
      <c r="BU381" s="100" t="str">
        <f>IF($BI$5=TRUE,IF(AZ381="","",SUM($AZ$8:AZ381)),"")</f>
        <v/>
      </c>
      <c r="BV381" s="100" t="str">
        <f>IF($BJ$5=TRUE,IF(BA381="","",SUM($BA$8:BA381)),"")</f>
        <v/>
      </c>
      <c r="BW381" s="100" t="str">
        <f>IF($BK$5=TRUE,IF(BB381="","",SUM($BB$8:BB381)),"")</f>
        <v/>
      </c>
      <c r="BX381" s="100" t="str">
        <f>IF($BL$5=TRUE,IF(BC381="","",SUM($BC$8:BC381)),"")</f>
        <v/>
      </c>
      <c r="BY381" s="100" t="str">
        <f>IF($BM$5=TRUE,IF(BD381="","",SUM($BD$8:BD381)),"")</f>
        <v/>
      </c>
      <c r="BZ381" s="100" t="str">
        <f>IF($BN$5=TRUE,IF(BE381="","",SUM($BE$8:BE381)),"")</f>
        <v/>
      </c>
    </row>
    <row r="382" spans="46:78" x14ac:dyDescent="0.25">
      <c r="AT382" s="74"/>
      <c r="AW382" s="74"/>
      <c r="BR382" s="133" t="str">
        <f t="shared" si="31"/>
        <v/>
      </c>
      <c r="BS382" s="100" t="str">
        <f>IF($BG$5=TRUE,IF(AX382="","",SUM($AX$8:AX382)),"")</f>
        <v/>
      </c>
      <c r="BT382" s="100" t="str">
        <f>IF($BH$5=TRUE,IF(AY382="","",SUM($AY$8:AY382)),"")</f>
        <v/>
      </c>
      <c r="BU382" s="100" t="str">
        <f>IF($BI$5=TRUE,IF(AZ382="","",SUM($AZ$8:AZ382)),"")</f>
        <v/>
      </c>
      <c r="BV382" s="100" t="str">
        <f>IF($BJ$5=TRUE,IF(BA382="","",SUM($BA$8:BA382)),"")</f>
        <v/>
      </c>
      <c r="BW382" s="100" t="str">
        <f>IF($BK$5=TRUE,IF(BB382="","",SUM($BB$8:BB382)),"")</f>
        <v/>
      </c>
      <c r="BX382" s="100" t="str">
        <f>IF($BL$5=TRUE,IF(BC382="","",SUM($BC$8:BC382)),"")</f>
        <v/>
      </c>
      <c r="BY382" s="100" t="str">
        <f>IF($BM$5=TRUE,IF(BD382="","",SUM($BD$8:BD382)),"")</f>
        <v/>
      </c>
      <c r="BZ382" s="100" t="str">
        <f>IF($BN$5=TRUE,IF(BE382="","",SUM($BE$8:BE382)),"")</f>
        <v/>
      </c>
    </row>
    <row r="383" spans="46:78" x14ac:dyDescent="0.25">
      <c r="AT383" s="74"/>
      <c r="AW383" s="74"/>
      <c r="BR383" s="133" t="str">
        <f t="shared" si="31"/>
        <v/>
      </c>
      <c r="BS383" s="100" t="str">
        <f>IF($BG$5=TRUE,IF(AX383="","",SUM($AX$8:AX383)),"")</f>
        <v/>
      </c>
      <c r="BT383" s="100" t="str">
        <f>IF($BH$5=TRUE,IF(AY383="","",SUM($AY$8:AY383)),"")</f>
        <v/>
      </c>
      <c r="BU383" s="100" t="str">
        <f>IF($BI$5=TRUE,IF(AZ383="","",SUM($AZ$8:AZ383)),"")</f>
        <v/>
      </c>
      <c r="BV383" s="100" t="str">
        <f>IF($BJ$5=TRUE,IF(BA383="","",SUM($BA$8:BA383)),"")</f>
        <v/>
      </c>
      <c r="BW383" s="100" t="str">
        <f>IF($BK$5=TRUE,IF(BB383="","",SUM($BB$8:BB383)),"")</f>
        <v/>
      </c>
      <c r="BX383" s="100" t="str">
        <f>IF($BL$5=TRUE,IF(BC383="","",SUM($BC$8:BC383)),"")</f>
        <v/>
      </c>
      <c r="BY383" s="100" t="str">
        <f>IF($BM$5=TRUE,IF(BD383="","",SUM($BD$8:BD383)),"")</f>
        <v/>
      </c>
      <c r="BZ383" s="100" t="str">
        <f>IF($BN$5=TRUE,IF(BE383="","",SUM($BE$8:BE383)),"")</f>
        <v/>
      </c>
    </row>
    <row r="384" spans="46:78" x14ac:dyDescent="0.25">
      <c r="AT384" s="74"/>
      <c r="AW384" s="74"/>
      <c r="BR384" s="133" t="str">
        <f t="shared" si="31"/>
        <v/>
      </c>
      <c r="BS384" s="100" t="str">
        <f>IF($BG$5=TRUE,IF(AX384="","",SUM($AX$8:AX384)),"")</f>
        <v/>
      </c>
      <c r="BT384" s="100" t="str">
        <f>IF($BH$5=TRUE,IF(AY384="","",SUM($AY$8:AY384)),"")</f>
        <v/>
      </c>
      <c r="BU384" s="100" t="str">
        <f>IF($BI$5=TRUE,IF(AZ384="","",SUM($AZ$8:AZ384)),"")</f>
        <v/>
      </c>
      <c r="BV384" s="100" t="str">
        <f>IF($BJ$5=TRUE,IF(BA384="","",SUM($BA$8:BA384)),"")</f>
        <v/>
      </c>
      <c r="BW384" s="100" t="str">
        <f>IF($BK$5=TRUE,IF(BB384="","",SUM($BB$8:BB384)),"")</f>
        <v/>
      </c>
      <c r="BX384" s="100" t="str">
        <f>IF($BL$5=TRUE,IF(BC384="","",SUM($BC$8:BC384)),"")</f>
        <v/>
      </c>
      <c r="BY384" s="100" t="str">
        <f>IF($BM$5=TRUE,IF(BD384="","",SUM($BD$8:BD384)),"")</f>
        <v/>
      </c>
      <c r="BZ384" s="100" t="str">
        <f>IF($BN$5=TRUE,IF(BE384="","",SUM($BE$8:BE384)),"")</f>
        <v/>
      </c>
    </row>
    <row r="385" spans="46:78" x14ac:dyDescent="0.25">
      <c r="AT385" s="74"/>
      <c r="AW385" s="74"/>
      <c r="BR385" s="133" t="str">
        <f t="shared" si="31"/>
        <v/>
      </c>
      <c r="BS385" s="100" t="str">
        <f>IF($BG$5=TRUE,IF(AX385="","",SUM($AX$8:AX385)),"")</f>
        <v/>
      </c>
      <c r="BT385" s="100" t="str">
        <f>IF($BH$5=TRUE,IF(AY385="","",SUM($AY$8:AY385)),"")</f>
        <v/>
      </c>
      <c r="BU385" s="100" t="str">
        <f>IF($BI$5=TRUE,IF(AZ385="","",SUM($AZ$8:AZ385)),"")</f>
        <v/>
      </c>
      <c r="BV385" s="100" t="str">
        <f>IF($BJ$5=TRUE,IF(BA385="","",SUM($BA$8:BA385)),"")</f>
        <v/>
      </c>
      <c r="BW385" s="100" t="str">
        <f>IF($BK$5=TRUE,IF(BB385="","",SUM($BB$8:BB385)),"")</f>
        <v/>
      </c>
      <c r="BX385" s="100" t="str">
        <f>IF($BL$5=TRUE,IF(BC385="","",SUM($BC$8:BC385)),"")</f>
        <v/>
      </c>
      <c r="BY385" s="100" t="str">
        <f>IF($BM$5=TRUE,IF(BD385="","",SUM($BD$8:BD385)),"")</f>
        <v/>
      </c>
      <c r="BZ385" s="100" t="str">
        <f>IF($BN$5=TRUE,IF(BE385="","",SUM($BE$8:BE385)),"")</f>
        <v/>
      </c>
    </row>
    <row r="386" spans="46:78" x14ac:dyDescent="0.25">
      <c r="AT386" s="74"/>
      <c r="AW386" s="74"/>
      <c r="BR386" s="133" t="str">
        <f t="shared" si="31"/>
        <v/>
      </c>
      <c r="BS386" s="100" t="str">
        <f>IF($BG$5=TRUE,IF(AX386="","",SUM($AX$8:AX386)),"")</f>
        <v/>
      </c>
      <c r="BT386" s="100" t="str">
        <f>IF($BH$5=TRUE,IF(AY386="","",SUM($AY$8:AY386)),"")</f>
        <v/>
      </c>
      <c r="BU386" s="100" t="str">
        <f>IF($BI$5=TRUE,IF(AZ386="","",SUM($AZ$8:AZ386)),"")</f>
        <v/>
      </c>
      <c r="BV386" s="100" t="str">
        <f>IF($BJ$5=TRUE,IF(BA386="","",SUM($BA$8:BA386)),"")</f>
        <v/>
      </c>
      <c r="BW386" s="100" t="str">
        <f>IF($BK$5=TRUE,IF(BB386="","",SUM($BB$8:BB386)),"")</f>
        <v/>
      </c>
      <c r="BX386" s="100" t="str">
        <f>IF($BL$5=TRUE,IF(BC386="","",SUM($BC$8:BC386)),"")</f>
        <v/>
      </c>
      <c r="BY386" s="100" t="str">
        <f>IF($BM$5=TRUE,IF(BD386="","",SUM($BD$8:BD386)),"")</f>
        <v/>
      </c>
      <c r="BZ386" s="100" t="str">
        <f>IF($BN$5=TRUE,IF(BE386="","",SUM($BE$8:BE386)),"")</f>
        <v/>
      </c>
    </row>
    <row r="387" spans="46:78" x14ac:dyDescent="0.25">
      <c r="AT387" s="74"/>
      <c r="AW387" s="74"/>
      <c r="BR387" s="133" t="str">
        <f t="shared" si="31"/>
        <v/>
      </c>
      <c r="BS387" s="100" t="str">
        <f>IF($BG$5=TRUE,IF(AX387="","",SUM($AX$8:AX387)),"")</f>
        <v/>
      </c>
      <c r="BT387" s="100" t="str">
        <f>IF($BH$5=TRUE,IF(AY387="","",SUM($AY$8:AY387)),"")</f>
        <v/>
      </c>
      <c r="BU387" s="100" t="str">
        <f>IF($BI$5=TRUE,IF(AZ387="","",SUM($AZ$8:AZ387)),"")</f>
        <v/>
      </c>
      <c r="BV387" s="100" t="str">
        <f>IF($BJ$5=TRUE,IF(BA387="","",SUM($BA$8:BA387)),"")</f>
        <v/>
      </c>
      <c r="BW387" s="100" t="str">
        <f>IF($BK$5=TRUE,IF(BB387="","",SUM($BB$8:BB387)),"")</f>
        <v/>
      </c>
      <c r="BX387" s="100" t="str">
        <f>IF($BL$5=TRUE,IF(BC387="","",SUM($BC$8:BC387)),"")</f>
        <v/>
      </c>
      <c r="BY387" s="100" t="str">
        <f>IF($BM$5=TRUE,IF(BD387="","",SUM($BD$8:BD387)),"")</f>
        <v/>
      </c>
      <c r="BZ387" s="100" t="str">
        <f>IF($BN$5=TRUE,IF(BE387="","",SUM($BE$8:BE387)),"")</f>
        <v/>
      </c>
    </row>
    <row r="388" spans="46:78" x14ac:dyDescent="0.25">
      <c r="AT388" s="74"/>
      <c r="AW388" s="74"/>
      <c r="BR388" s="133" t="str">
        <f t="shared" si="31"/>
        <v/>
      </c>
      <c r="BS388" s="100" t="str">
        <f>IF($BG$5=TRUE,IF(AX388="","",SUM($AX$8:AX388)),"")</f>
        <v/>
      </c>
      <c r="BT388" s="100" t="str">
        <f>IF($BH$5=TRUE,IF(AY388="","",SUM($AY$8:AY388)),"")</f>
        <v/>
      </c>
      <c r="BU388" s="100" t="str">
        <f>IF($BI$5=TRUE,IF(AZ388="","",SUM($AZ$8:AZ388)),"")</f>
        <v/>
      </c>
      <c r="BV388" s="100" t="str">
        <f>IF($BJ$5=TRUE,IF(BA388="","",SUM($BA$8:BA388)),"")</f>
        <v/>
      </c>
      <c r="BW388" s="100" t="str">
        <f>IF($BK$5=TRUE,IF(BB388="","",SUM($BB$8:BB388)),"")</f>
        <v/>
      </c>
      <c r="BX388" s="100" t="str">
        <f>IF($BL$5=TRUE,IF(BC388="","",SUM($BC$8:BC388)),"")</f>
        <v/>
      </c>
      <c r="BY388" s="100" t="str">
        <f>IF($BM$5=TRUE,IF(BD388="","",SUM($BD$8:BD388)),"")</f>
        <v/>
      </c>
      <c r="BZ388" s="100" t="str">
        <f>IF($BN$5=TRUE,IF(BE388="","",SUM($BE$8:BE388)),"")</f>
        <v/>
      </c>
    </row>
    <row r="389" spans="46:78" x14ac:dyDescent="0.25">
      <c r="AT389" s="74"/>
      <c r="AW389" s="74"/>
      <c r="BR389" s="133" t="str">
        <f t="shared" si="31"/>
        <v/>
      </c>
      <c r="BS389" s="100" t="str">
        <f>IF($BG$5=TRUE,IF(AX389="","",SUM($AX$8:AX389)),"")</f>
        <v/>
      </c>
      <c r="BT389" s="100" t="str">
        <f>IF($BH$5=TRUE,IF(AY389="","",SUM($AY$8:AY389)),"")</f>
        <v/>
      </c>
      <c r="BU389" s="100" t="str">
        <f>IF($BI$5=TRUE,IF(AZ389="","",SUM($AZ$8:AZ389)),"")</f>
        <v/>
      </c>
      <c r="BV389" s="100" t="str">
        <f>IF($BJ$5=TRUE,IF(BA389="","",SUM($BA$8:BA389)),"")</f>
        <v/>
      </c>
      <c r="BW389" s="100" t="str">
        <f>IF($BK$5=TRUE,IF(BB389="","",SUM($BB$8:BB389)),"")</f>
        <v/>
      </c>
      <c r="BX389" s="100" t="str">
        <f>IF($BL$5=TRUE,IF(BC389="","",SUM($BC$8:BC389)),"")</f>
        <v/>
      </c>
      <c r="BY389" s="100" t="str">
        <f>IF($BM$5=TRUE,IF(BD389="","",SUM($BD$8:BD389)),"")</f>
        <v/>
      </c>
      <c r="BZ389" s="100" t="str">
        <f>IF($BN$5=TRUE,IF(BE389="","",SUM($BE$8:BE389)),"")</f>
        <v/>
      </c>
    </row>
    <row r="390" spans="46:78" x14ac:dyDescent="0.25">
      <c r="AT390" s="74"/>
      <c r="AW390" s="74"/>
      <c r="BR390" s="133" t="str">
        <f t="shared" si="31"/>
        <v/>
      </c>
      <c r="BS390" s="100" t="str">
        <f>IF($BG$5=TRUE,IF(AX390="","",SUM($AX$8:AX390)),"")</f>
        <v/>
      </c>
      <c r="BT390" s="100" t="str">
        <f>IF($BH$5=TRUE,IF(AY390="","",SUM($AY$8:AY390)),"")</f>
        <v/>
      </c>
      <c r="BU390" s="100" t="str">
        <f>IF($BI$5=TRUE,IF(AZ390="","",SUM($AZ$8:AZ390)),"")</f>
        <v/>
      </c>
      <c r="BV390" s="100" t="str">
        <f>IF($BJ$5=TRUE,IF(BA390="","",SUM($BA$8:BA390)),"")</f>
        <v/>
      </c>
      <c r="BW390" s="100" t="str">
        <f>IF($BK$5=TRUE,IF(BB390="","",SUM($BB$8:BB390)),"")</f>
        <v/>
      </c>
      <c r="BX390" s="100" t="str">
        <f>IF($BL$5=TRUE,IF(BC390="","",SUM($BC$8:BC390)),"")</f>
        <v/>
      </c>
      <c r="BY390" s="100" t="str">
        <f>IF($BM$5=TRUE,IF(BD390="","",SUM($BD$8:BD390)),"")</f>
        <v/>
      </c>
      <c r="BZ390" s="100" t="str">
        <f>IF($BN$5=TRUE,IF(BE390="","",SUM($BE$8:BE390)),"")</f>
        <v/>
      </c>
    </row>
    <row r="391" spans="46:78" x14ac:dyDescent="0.25">
      <c r="AT391" s="74"/>
      <c r="AW391" s="74"/>
      <c r="BR391" s="133" t="str">
        <f t="shared" si="31"/>
        <v/>
      </c>
      <c r="BS391" s="100" t="str">
        <f>IF($BG$5=TRUE,IF(AX391="","",SUM($AX$8:AX391)),"")</f>
        <v/>
      </c>
      <c r="BT391" s="100" t="str">
        <f>IF($BH$5=TRUE,IF(AY391="","",SUM($AY$8:AY391)),"")</f>
        <v/>
      </c>
      <c r="BU391" s="100" t="str">
        <f>IF($BI$5=TRUE,IF(AZ391="","",SUM($AZ$8:AZ391)),"")</f>
        <v/>
      </c>
      <c r="BV391" s="100" t="str">
        <f>IF($BJ$5=TRUE,IF(BA391="","",SUM($BA$8:BA391)),"")</f>
        <v/>
      </c>
      <c r="BW391" s="100" t="str">
        <f>IF($BK$5=TRUE,IF(BB391="","",SUM($BB$8:BB391)),"")</f>
        <v/>
      </c>
      <c r="BX391" s="100" t="str">
        <f>IF($BL$5=TRUE,IF(BC391="","",SUM($BC$8:BC391)),"")</f>
        <v/>
      </c>
      <c r="BY391" s="100" t="str">
        <f>IF($BM$5=TRUE,IF(BD391="","",SUM($BD$8:BD391)),"")</f>
        <v/>
      </c>
      <c r="BZ391" s="100" t="str">
        <f>IF($BN$5=TRUE,IF(BE391="","",SUM($BE$8:BE391)),"")</f>
        <v/>
      </c>
    </row>
    <row r="392" spans="46:78" x14ac:dyDescent="0.25">
      <c r="AT392" s="74"/>
      <c r="AW392" s="74"/>
      <c r="BR392" s="133" t="str">
        <f t="shared" si="31"/>
        <v/>
      </c>
      <c r="BS392" s="100" t="str">
        <f>IF($BG$5=TRUE,IF(AX392="","",SUM($AX$8:AX392)),"")</f>
        <v/>
      </c>
      <c r="BT392" s="100" t="str">
        <f>IF($BH$5=TRUE,IF(AY392="","",SUM($AY$8:AY392)),"")</f>
        <v/>
      </c>
      <c r="BU392" s="100" t="str">
        <f>IF($BI$5=TRUE,IF(AZ392="","",SUM($AZ$8:AZ392)),"")</f>
        <v/>
      </c>
      <c r="BV392" s="100" t="str">
        <f>IF($BJ$5=TRUE,IF(BA392="","",SUM($BA$8:BA392)),"")</f>
        <v/>
      </c>
      <c r="BW392" s="100" t="str">
        <f>IF($BK$5=TRUE,IF(BB392="","",SUM($BB$8:BB392)),"")</f>
        <v/>
      </c>
      <c r="BX392" s="100" t="str">
        <f>IF($BL$5=TRUE,IF(BC392="","",SUM($BC$8:BC392)),"")</f>
        <v/>
      </c>
      <c r="BY392" s="100" t="str">
        <f>IF($BM$5=TRUE,IF(BD392="","",SUM($BD$8:BD392)),"")</f>
        <v/>
      </c>
      <c r="BZ392" s="100" t="str">
        <f>IF($BN$5=TRUE,IF(BE392="","",SUM($BE$8:BE392)),"")</f>
        <v/>
      </c>
    </row>
    <row r="393" spans="46:78" x14ac:dyDescent="0.25">
      <c r="AT393" s="74"/>
      <c r="AW393" s="74"/>
      <c r="BR393" s="133" t="str">
        <f t="shared" si="31"/>
        <v/>
      </c>
      <c r="BS393" s="100" t="str">
        <f>IF($BG$5=TRUE,IF(AX393="","",SUM($AX$8:AX393)),"")</f>
        <v/>
      </c>
      <c r="BT393" s="100" t="str">
        <f>IF($BH$5=TRUE,IF(AY393="","",SUM($AY$8:AY393)),"")</f>
        <v/>
      </c>
      <c r="BU393" s="100" t="str">
        <f>IF($BI$5=TRUE,IF(AZ393="","",SUM($AZ$8:AZ393)),"")</f>
        <v/>
      </c>
      <c r="BV393" s="100" t="str">
        <f>IF($BJ$5=TRUE,IF(BA393="","",SUM($BA$8:BA393)),"")</f>
        <v/>
      </c>
      <c r="BW393" s="100" t="str">
        <f>IF($BK$5=TRUE,IF(BB393="","",SUM($BB$8:BB393)),"")</f>
        <v/>
      </c>
      <c r="BX393" s="100" t="str">
        <f>IF($BL$5=TRUE,IF(BC393="","",SUM($BC$8:BC393)),"")</f>
        <v/>
      </c>
      <c r="BY393" s="100" t="str">
        <f>IF($BM$5=TRUE,IF(BD393="","",SUM($BD$8:BD393)),"")</f>
        <v/>
      </c>
      <c r="BZ393" s="100" t="str">
        <f>IF($BN$5=TRUE,IF(BE393="","",SUM($BE$8:BE393)),"")</f>
        <v/>
      </c>
    </row>
    <row r="394" spans="46:78" x14ac:dyDescent="0.25">
      <c r="AT394" s="74"/>
      <c r="AW394" s="74"/>
      <c r="BR394" s="133" t="str">
        <f t="shared" si="31"/>
        <v/>
      </c>
      <c r="BS394" s="100" t="str">
        <f>IF($BG$5=TRUE,IF(AX394="","",SUM($AX$8:AX394)),"")</f>
        <v/>
      </c>
      <c r="BT394" s="100" t="str">
        <f>IF($BH$5=TRUE,IF(AY394="","",SUM($AY$8:AY394)),"")</f>
        <v/>
      </c>
      <c r="BU394" s="100" t="str">
        <f>IF($BI$5=TRUE,IF(AZ394="","",SUM($AZ$8:AZ394)),"")</f>
        <v/>
      </c>
      <c r="BV394" s="100" t="str">
        <f>IF($BJ$5=TRUE,IF(BA394="","",SUM($BA$8:BA394)),"")</f>
        <v/>
      </c>
      <c r="BW394" s="100" t="str">
        <f>IF($BK$5=TRUE,IF(BB394="","",SUM($BB$8:BB394)),"")</f>
        <v/>
      </c>
      <c r="BX394" s="100" t="str">
        <f>IF($BL$5=TRUE,IF(BC394="","",SUM($BC$8:BC394)),"")</f>
        <v/>
      </c>
      <c r="BY394" s="100" t="str">
        <f>IF($BM$5=TRUE,IF(BD394="","",SUM($BD$8:BD394)),"")</f>
        <v/>
      </c>
      <c r="BZ394" s="100" t="str">
        <f>IF($BN$5=TRUE,IF(BE394="","",SUM($BE$8:BE394)),"")</f>
        <v/>
      </c>
    </row>
    <row r="395" spans="46:78" x14ac:dyDescent="0.25">
      <c r="AT395" s="74"/>
      <c r="AW395" s="74"/>
      <c r="BR395" s="133" t="str">
        <f t="shared" ref="BR395:BR458" si="32">IF(AW395="","",AW395)</f>
        <v/>
      </c>
      <c r="BS395" s="100" t="str">
        <f>IF($BG$5=TRUE,IF(AX395="","",SUM($AX$8:AX395)),"")</f>
        <v/>
      </c>
      <c r="BT395" s="100" t="str">
        <f>IF($BH$5=TRUE,IF(AY395="","",SUM($AY$8:AY395)),"")</f>
        <v/>
      </c>
      <c r="BU395" s="100" t="str">
        <f>IF($BI$5=TRUE,IF(AZ395="","",SUM($AZ$8:AZ395)),"")</f>
        <v/>
      </c>
      <c r="BV395" s="100" t="str">
        <f>IF($BJ$5=TRUE,IF(BA395="","",SUM($BA$8:BA395)),"")</f>
        <v/>
      </c>
      <c r="BW395" s="100" t="str">
        <f>IF($BK$5=TRUE,IF(BB395="","",SUM($BB$8:BB395)),"")</f>
        <v/>
      </c>
      <c r="BX395" s="100" t="str">
        <f>IF($BL$5=TRUE,IF(BC395="","",SUM($BC$8:BC395)),"")</f>
        <v/>
      </c>
      <c r="BY395" s="100" t="str">
        <f>IF($BM$5=TRUE,IF(BD395="","",SUM($BD$8:BD395)),"")</f>
        <v/>
      </c>
      <c r="BZ395" s="100" t="str">
        <f>IF($BN$5=TRUE,IF(BE395="","",SUM($BE$8:BE395)),"")</f>
        <v/>
      </c>
    </row>
    <row r="396" spans="46:78" x14ac:dyDescent="0.25">
      <c r="AT396" s="74"/>
      <c r="AW396" s="74"/>
      <c r="BR396" s="133" t="str">
        <f t="shared" si="32"/>
        <v/>
      </c>
      <c r="BS396" s="100" t="str">
        <f>IF($BG$5=TRUE,IF(AX396="","",SUM($AX$8:AX396)),"")</f>
        <v/>
      </c>
      <c r="BT396" s="100" t="str">
        <f>IF($BH$5=TRUE,IF(AY396="","",SUM($AY$8:AY396)),"")</f>
        <v/>
      </c>
      <c r="BU396" s="100" t="str">
        <f>IF($BI$5=TRUE,IF(AZ396="","",SUM($AZ$8:AZ396)),"")</f>
        <v/>
      </c>
      <c r="BV396" s="100" t="str">
        <f>IF($BJ$5=TRUE,IF(BA396="","",SUM($BA$8:BA396)),"")</f>
        <v/>
      </c>
      <c r="BW396" s="100" t="str">
        <f>IF($BK$5=TRUE,IF(BB396="","",SUM($BB$8:BB396)),"")</f>
        <v/>
      </c>
      <c r="BX396" s="100" t="str">
        <f>IF($BL$5=TRUE,IF(BC396="","",SUM($BC$8:BC396)),"")</f>
        <v/>
      </c>
      <c r="BY396" s="100" t="str">
        <f>IF($BM$5=TRUE,IF(BD396="","",SUM($BD$8:BD396)),"")</f>
        <v/>
      </c>
      <c r="BZ396" s="100" t="str">
        <f>IF($BN$5=TRUE,IF(BE396="","",SUM($BE$8:BE396)),"")</f>
        <v/>
      </c>
    </row>
    <row r="397" spans="46:78" x14ac:dyDescent="0.25">
      <c r="AT397" s="74"/>
      <c r="AW397" s="74"/>
      <c r="BR397" s="133" t="str">
        <f t="shared" si="32"/>
        <v/>
      </c>
      <c r="BS397" s="100" t="str">
        <f>IF($BG$5=TRUE,IF(AX397="","",SUM($AX$8:AX397)),"")</f>
        <v/>
      </c>
      <c r="BT397" s="100" t="str">
        <f>IF($BH$5=TRUE,IF(AY397="","",SUM($AY$8:AY397)),"")</f>
        <v/>
      </c>
      <c r="BU397" s="100" t="str">
        <f>IF($BI$5=TRUE,IF(AZ397="","",SUM($AZ$8:AZ397)),"")</f>
        <v/>
      </c>
      <c r="BV397" s="100" t="str">
        <f>IF($BJ$5=TRUE,IF(BA397="","",SUM($BA$8:BA397)),"")</f>
        <v/>
      </c>
      <c r="BW397" s="100" t="str">
        <f>IF($BK$5=TRUE,IF(BB397="","",SUM($BB$8:BB397)),"")</f>
        <v/>
      </c>
      <c r="BX397" s="100" t="str">
        <f>IF($BL$5=TRUE,IF(BC397="","",SUM($BC$8:BC397)),"")</f>
        <v/>
      </c>
      <c r="BY397" s="100" t="str">
        <f>IF($BM$5=TRUE,IF(BD397="","",SUM($BD$8:BD397)),"")</f>
        <v/>
      </c>
      <c r="BZ397" s="100" t="str">
        <f>IF($BN$5=TRUE,IF(BE397="","",SUM($BE$8:BE397)),"")</f>
        <v/>
      </c>
    </row>
    <row r="398" spans="46:78" x14ac:dyDescent="0.25">
      <c r="AT398" s="74"/>
      <c r="AW398" s="74"/>
      <c r="BR398" s="133" t="str">
        <f t="shared" si="32"/>
        <v/>
      </c>
      <c r="BS398" s="100" t="str">
        <f>IF($BG$5=TRUE,IF(AX398="","",SUM($AX$8:AX398)),"")</f>
        <v/>
      </c>
      <c r="BT398" s="100" t="str">
        <f>IF($BH$5=TRUE,IF(AY398="","",SUM($AY$8:AY398)),"")</f>
        <v/>
      </c>
      <c r="BU398" s="100" t="str">
        <f>IF($BI$5=TRUE,IF(AZ398="","",SUM($AZ$8:AZ398)),"")</f>
        <v/>
      </c>
      <c r="BV398" s="100" t="str">
        <f>IF($BJ$5=TRUE,IF(BA398="","",SUM($BA$8:BA398)),"")</f>
        <v/>
      </c>
      <c r="BW398" s="100" t="str">
        <f>IF($BK$5=TRUE,IF(BB398="","",SUM($BB$8:BB398)),"")</f>
        <v/>
      </c>
      <c r="BX398" s="100" t="str">
        <f>IF($BL$5=TRUE,IF(BC398="","",SUM($BC$8:BC398)),"")</f>
        <v/>
      </c>
      <c r="BY398" s="100" t="str">
        <f>IF($BM$5=TRUE,IF(BD398="","",SUM($BD$8:BD398)),"")</f>
        <v/>
      </c>
      <c r="BZ398" s="100" t="str">
        <f>IF($BN$5=TRUE,IF(BE398="","",SUM($BE$8:BE398)),"")</f>
        <v/>
      </c>
    </row>
    <row r="399" spans="46:78" x14ac:dyDescent="0.25">
      <c r="AT399" s="74"/>
      <c r="AW399" s="74"/>
      <c r="BR399" s="133" t="str">
        <f t="shared" si="32"/>
        <v/>
      </c>
      <c r="BS399" s="100" t="str">
        <f>IF($BG$5=TRUE,IF(AX399="","",SUM($AX$8:AX399)),"")</f>
        <v/>
      </c>
      <c r="BT399" s="100" t="str">
        <f>IF($BH$5=TRUE,IF(AY399="","",SUM($AY$8:AY399)),"")</f>
        <v/>
      </c>
      <c r="BU399" s="100" t="str">
        <f>IF($BI$5=TRUE,IF(AZ399="","",SUM($AZ$8:AZ399)),"")</f>
        <v/>
      </c>
      <c r="BV399" s="100" t="str">
        <f>IF($BJ$5=TRUE,IF(BA399="","",SUM($BA$8:BA399)),"")</f>
        <v/>
      </c>
      <c r="BW399" s="100" t="str">
        <f>IF($BK$5=TRUE,IF(BB399="","",SUM($BB$8:BB399)),"")</f>
        <v/>
      </c>
      <c r="BX399" s="100" t="str">
        <f>IF($BL$5=TRUE,IF(BC399="","",SUM($BC$8:BC399)),"")</f>
        <v/>
      </c>
      <c r="BY399" s="100" t="str">
        <f>IF($BM$5=TRUE,IF(BD399="","",SUM($BD$8:BD399)),"")</f>
        <v/>
      </c>
      <c r="BZ399" s="100" t="str">
        <f>IF($BN$5=TRUE,IF(BE399="","",SUM($BE$8:BE399)),"")</f>
        <v/>
      </c>
    </row>
    <row r="400" spans="46:78" x14ac:dyDescent="0.25">
      <c r="AT400" s="74"/>
      <c r="AW400" s="74"/>
      <c r="BR400" s="133" t="str">
        <f t="shared" si="32"/>
        <v/>
      </c>
      <c r="BS400" s="100" t="str">
        <f>IF($BG$5=TRUE,IF(AX400="","",SUM($AX$8:AX400)),"")</f>
        <v/>
      </c>
      <c r="BT400" s="100" t="str">
        <f>IF($BH$5=TRUE,IF(AY400="","",SUM($AY$8:AY400)),"")</f>
        <v/>
      </c>
      <c r="BU400" s="100" t="str">
        <f>IF($BI$5=TRUE,IF(AZ400="","",SUM($AZ$8:AZ400)),"")</f>
        <v/>
      </c>
      <c r="BV400" s="100" t="str">
        <f>IF($BJ$5=TRUE,IF(BA400="","",SUM($BA$8:BA400)),"")</f>
        <v/>
      </c>
      <c r="BW400" s="100" t="str">
        <f>IF($BK$5=TRUE,IF(BB400="","",SUM($BB$8:BB400)),"")</f>
        <v/>
      </c>
      <c r="BX400" s="100" t="str">
        <f>IF($BL$5=TRUE,IF(BC400="","",SUM($BC$8:BC400)),"")</f>
        <v/>
      </c>
      <c r="BY400" s="100" t="str">
        <f>IF($BM$5=TRUE,IF(BD400="","",SUM($BD$8:BD400)),"")</f>
        <v/>
      </c>
      <c r="BZ400" s="100" t="str">
        <f>IF($BN$5=TRUE,IF(BE400="","",SUM($BE$8:BE400)),"")</f>
        <v/>
      </c>
    </row>
    <row r="401" spans="46:78" x14ac:dyDescent="0.25">
      <c r="AT401" s="74"/>
      <c r="AW401" s="74"/>
      <c r="BR401" s="133" t="str">
        <f t="shared" si="32"/>
        <v/>
      </c>
      <c r="BS401" s="100" t="str">
        <f>IF($BG$5=TRUE,IF(AX401="","",SUM($AX$8:AX401)),"")</f>
        <v/>
      </c>
      <c r="BT401" s="100" t="str">
        <f>IF($BH$5=TRUE,IF(AY401="","",SUM($AY$8:AY401)),"")</f>
        <v/>
      </c>
      <c r="BU401" s="100" t="str">
        <f>IF($BI$5=TRUE,IF(AZ401="","",SUM($AZ$8:AZ401)),"")</f>
        <v/>
      </c>
      <c r="BV401" s="100" t="str">
        <f>IF($BJ$5=TRUE,IF(BA401="","",SUM($BA$8:BA401)),"")</f>
        <v/>
      </c>
      <c r="BW401" s="100" t="str">
        <f>IF($BK$5=TRUE,IF(BB401="","",SUM($BB$8:BB401)),"")</f>
        <v/>
      </c>
      <c r="BX401" s="100" t="str">
        <f>IF($BL$5=TRUE,IF(BC401="","",SUM($BC$8:BC401)),"")</f>
        <v/>
      </c>
      <c r="BY401" s="100" t="str">
        <f>IF($BM$5=TRUE,IF(BD401="","",SUM($BD$8:BD401)),"")</f>
        <v/>
      </c>
      <c r="BZ401" s="100" t="str">
        <f>IF($BN$5=TRUE,IF(BE401="","",SUM($BE$8:BE401)),"")</f>
        <v/>
      </c>
    </row>
    <row r="402" spans="46:78" x14ac:dyDescent="0.25">
      <c r="AT402" s="74"/>
      <c r="AW402" s="74"/>
      <c r="BR402" s="133" t="str">
        <f t="shared" si="32"/>
        <v/>
      </c>
      <c r="BS402" s="100" t="str">
        <f>IF($BG$5=TRUE,IF(AX402="","",SUM($AX$8:AX402)),"")</f>
        <v/>
      </c>
      <c r="BT402" s="100" t="str">
        <f>IF($BH$5=TRUE,IF(AY402="","",SUM($AY$8:AY402)),"")</f>
        <v/>
      </c>
      <c r="BU402" s="100" t="str">
        <f>IF($BI$5=TRUE,IF(AZ402="","",SUM($AZ$8:AZ402)),"")</f>
        <v/>
      </c>
      <c r="BV402" s="100" t="str">
        <f>IF($BJ$5=TRUE,IF(BA402="","",SUM($BA$8:BA402)),"")</f>
        <v/>
      </c>
      <c r="BW402" s="100" t="str">
        <f>IF($BK$5=TRUE,IF(BB402="","",SUM($BB$8:BB402)),"")</f>
        <v/>
      </c>
      <c r="BX402" s="100" t="str">
        <f>IF($BL$5=TRUE,IF(BC402="","",SUM($BC$8:BC402)),"")</f>
        <v/>
      </c>
      <c r="BY402" s="100" t="str">
        <f>IF($BM$5=TRUE,IF(BD402="","",SUM($BD$8:BD402)),"")</f>
        <v/>
      </c>
      <c r="BZ402" s="100" t="str">
        <f>IF($BN$5=TRUE,IF(BE402="","",SUM($BE$8:BE402)),"")</f>
        <v/>
      </c>
    </row>
    <row r="403" spans="46:78" x14ac:dyDescent="0.25">
      <c r="AT403" s="74"/>
      <c r="AW403" s="74"/>
      <c r="BR403" s="133" t="str">
        <f t="shared" si="32"/>
        <v/>
      </c>
      <c r="BS403" s="100" t="str">
        <f>IF($BG$5=TRUE,IF(AX403="","",SUM($AX$8:AX403)),"")</f>
        <v/>
      </c>
      <c r="BT403" s="100" t="str">
        <f>IF($BH$5=TRUE,IF(AY403="","",SUM($AY$8:AY403)),"")</f>
        <v/>
      </c>
      <c r="BU403" s="100" t="str">
        <f>IF($BI$5=TRUE,IF(AZ403="","",SUM($AZ$8:AZ403)),"")</f>
        <v/>
      </c>
      <c r="BV403" s="100" t="str">
        <f>IF($BJ$5=TRUE,IF(BA403="","",SUM($BA$8:BA403)),"")</f>
        <v/>
      </c>
      <c r="BW403" s="100" t="str">
        <f>IF($BK$5=TRUE,IF(BB403="","",SUM($BB$8:BB403)),"")</f>
        <v/>
      </c>
      <c r="BX403" s="100" t="str">
        <f>IF($BL$5=TRUE,IF(BC403="","",SUM($BC$8:BC403)),"")</f>
        <v/>
      </c>
      <c r="BY403" s="100" t="str">
        <f>IF($BM$5=TRUE,IF(BD403="","",SUM($BD$8:BD403)),"")</f>
        <v/>
      </c>
      <c r="BZ403" s="100" t="str">
        <f>IF($BN$5=TRUE,IF(BE403="","",SUM($BE$8:BE403)),"")</f>
        <v/>
      </c>
    </row>
    <row r="404" spans="46:78" x14ac:dyDescent="0.25">
      <c r="AT404" s="74"/>
      <c r="AW404" s="74"/>
      <c r="BR404" s="133" t="str">
        <f t="shared" si="32"/>
        <v/>
      </c>
      <c r="BS404" s="100" t="str">
        <f>IF($BG$5=TRUE,IF(AX404="","",SUM($AX$8:AX404)),"")</f>
        <v/>
      </c>
      <c r="BT404" s="100" t="str">
        <f>IF($BH$5=TRUE,IF(AY404="","",SUM($AY$8:AY404)),"")</f>
        <v/>
      </c>
      <c r="BU404" s="100" t="str">
        <f>IF($BI$5=TRUE,IF(AZ404="","",SUM($AZ$8:AZ404)),"")</f>
        <v/>
      </c>
      <c r="BV404" s="100" t="str">
        <f>IF($BJ$5=TRUE,IF(BA404="","",SUM($BA$8:BA404)),"")</f>
        <v/>
      </c>
      <c r="BW404" s="100" t="str">
        <f>IF($BK$5=TRUE,IF(BB404="","",SUM($BB$8:BB404)),"")</f>
        <v/>
      </c>
      <c r="BX404" s="100" t="str">
        <f>IF($BL$5=TRUE,IF(BC404="","",SUM($BC$8:BC404)),"")</f>
        <v/>
      </c>
      <c r="BY404" s="100" t="str">
        <f>IF($BM$5=TRUE,IF(BD404="","",SUM($BD$8:BD404)),"")</f>
        <v/>
      </c>
      <c r="BZ404" s="100" t="str">
        <f>IF($BN$5=TRUE,IF(BE404="","",SUM($BE$8:BE404)),"")</f>
        <v/>
      </c>
    </row>
    <row r="405" spans="46:78" x14ac:dyDescent="0.25">
      <c r="AT405" s="74"/>
      <c r="AW405" s="74"/>
      <c r="BR405" s="133" t="str">
        <f t="shared" si="32"/>
        <v/>
      </c>
      <c r="BS405" s="100" t="str">
        <f>IF($BG$5=TRUE,IF(AX405="","",SUM($AX$8:AX405)),"")</f>
        <v/>
      </c>
      <c r="BT405" s="100" t="str">
        <f>IF($BH$5=TRUE,IF(AY405="","",SUM($AY$8:AY405)),"")</f>
        <v/>
      </c>
      <c r="BU405" s="100" t="str">
        <f>IF($BI$5=TRUE,IF(AZ405="","",SUM($AZ$8:AZ405)),"")</f>
        <v/>
      </c>
      <c r="BV405" s="100" t="str">
        <f>IF($BJ$5=TRUE,IF(BA405="","",SUM($BA$8:BA405)),"")</f>
        <v/>
      </c>
      <c r="BW405" s="100" t="str">
        <f>IF($BK$5=TRUE,IF(BB405="","",SUM($BB$8:BB405)),"")</f>
        <v/>
      </c>
      <c r="BX405" s="100" t="str">
        <f>IF($BL$5=TRUE,IF(BC405="","",SUM($BC$8:BC405)),"")</f>
        <v/>
      </c>
      <c r="BY405" s="100" t="str">
        <f>IF($BM$5=TRUE,IF(BD405="","",SUM($BD$8:BD405)),"")</f>
        <v/>
      </c>
      <c r="BZ405" s="100" t="str">
        <f>IF($BN$5=TRUE,IF(BE405="","",SUM($BE$8:BE405)),"")</f>
        <v/>
      </c>
    </row>
    <row r="406" spans="46:78" x14ac:dyDescent="0.25">
      <c r="AT406" s="74"/>
      <c r="AW406" s="74"/>
      <c r="BR406" s="133" t="str">
        <f t="shared" si="32"/>
        <v/>
      </c>
      <c r="BS406" s="100" t="str">
        <f>IF($BG$5=TRUE,IF(AX406="","",SUM($AX$8:AX406)),"")</f>
        <v/>
      </c>
      <c r="BT406" s="100" t="str">
        <f>IF($BH$5=TRUE,IF(AY406="","",SUM($AY$8:AY406)),"")</f>
        <v/>
      </c>
      <c r="BU406" s="100" t="str">
        <f>IF($BI$5=TRUE,IF(AZ406="","",SUM($AZ$8:AZ406)),"")</f>
        <v/>
      </c>
      <c r="BV406" s="100" t="str">
        <f>IF($BJ$5=TRUE,IF(BA406="","",SUM($BA$8:BA406)),"")</f>
        <v/>
      </c>
      <c r="BW406" s="100" t="str">
        <f>IF($BK$5=TRUE,IF(BB406="","",SUM($BB$8:BB406)),"")</f>
        <v/>
      </c>
      <c r="BX406" s="100" t="str">
        <f>IF($BL$5=TRUE,IF(BC406="","",SUM($BC$8:BC406)),"")</f>
        <v/>
      </c>
      <c r="BY406" s="100" t="str">
        <f>IF($BM$5=TRUE,IF(BD406="","",SUM($BD$8:BD406)),"")</f>
        <v/>
      </c>
      <c r="BZ406" s="100" t="str">
        <f>IF($BN$5=TRUE,IF(BE406="","",SUM($BE$8:BE406)),"")</f>
        <v/>
      </c>
    </row>
    <row r="407" spans="46:78" x14ac:dyDescent="0.25">
      <c r="AT407" s="74"/>
      <c r="AW407" s="74"/>
      <c r="BR407" s="133" t="str">
        <f t="shared" si="32"/>
        <v/>
      </c>
      <c r="BS407" s="100" t="str">
        <f>IF($BG$5=TRUE,IF(AX407="","",SUM($AX$8:AX407)),"")</f>
        <v/>
      </c>
      <c r="BT407" s="100" t="str">
        <f>IF($BH$5=TRUE,IF(AY407="","",SUM($AY$8:AY407)),"")</f>
        <v/>
      </c>
      <c r="BU407" s="100" t="str">
        <f>IF($BI$5=TRUE,IF(AZ407="","",SUM($AZ$8:AZ407)),"")</f>
        <v/>
      </c>
      <c r="BV407" s="100" t="str">
        <f>IF($BJ$5=TRUE,IF(BA407="","",SUM($BA$8:BA407)),"")</f>
        <v/>
      </c>
      <c r="BW407" s="100" t="str">
        <f>IF($BK$5=TRUE,IF(BB407="","",SUM($BB$8:BB407)),"")</f>
        <v/>
      </c>
      <c r="BX407" s="100" t="str">
        <f>IF($BL$5=TRUE,IF(BC407="","",SUM($BC$8:BC407)),"")</f>
        <v/>
      </c>
      <c r="BY407" s="100" t="str">
        <f>IF($BM$5=TRUE,IF(BD407="","",SUM($BD$8:BD407)),"")</f>
        <v/>
      </c>
      <c r="BZ407" s="100" t="str">
        <f>IF($BN$5=TRUE,IF(BE407="","",SUM($BE$8:BE407)),"")</f>
        <v/>
      </c>
    </row>
    <row r="408" spans="46:78" x14ac:dyDescent="0.25">
      <c r="AT408" s="74"/>
      <c r="AW408" s="74"/>
      <c r="BR408" s="133" t="str">
        <f t="shared" si="32"/>
        <v/>
      </c>
      <c r="BS408" s="100" t="str">
        <f>IF($BG$5=TRUE,IF(AX408="","",SUM($AX$8:AX408)),"")</f>
        <v/>
      </c>
      <c r="BT408" s="100" t="str">
        <f>IF($BH$5=TRUE,IF(AY408="","",SUM($AY$8:AY408)),"")</f>
        <v/>
      </c>
      <c r="BU408" s="100" t="str">
        <f>IF($BI$5=TRUE,IF(AZ408="","",SUM($AZ$8:AZ408)),"")</f>
        <v/>
      </c>
      <c r="BV408" s="100" t="str">
        <f>IF($BJ$5=TRUE,IF(BA408="","",SUM($BA$8:BA408)),"")</f>
        <v/>
      </c>
      <c r="BW408" s="100" t="str">
        <f>IF($BK$5=TRUE,IF(BB408="","",SUM($BB$8:BB408)),"")</f>
        <v/>
      </c>
      <c r="BX408" s="100" t="str">
        <f>IF($BL$5=TRUE,IF(BC408="","",SUM($BC$8:BC408)),"")</f>
        <v/>
      </c>
      <c r="BY408" s="100" t="str">
        <f>IF($BM$5=TRUE,IF(BD408="","",SUM($BD$8:BD408)),"")</f>
        <v/>
      </c>
      <c r="BZ408" s="100" t="str">
        <f>IF($BN$5=TRUE,IF(BE408="","",SUM($BE$8:BE408)),"")</f>
        <v/>
      </c>
    </row>
    <row r="409" spans="46:78" x14ac:dyDescent="0.25">
      <c r="AT409" s="74"/>
      <c r="AW409" s="74"/>
      <c r="BR409" s="133" t="str">
        <f t="shared" si="32"/>
        <v/>
      </c>
      <c r="BS409" s="100" t="str">
        <f>IF($BG$5=TRUE,IF(AX409="","",SUM($AX$8:AX409)),"")</f>
        <v/>
      </c>
      <c r="BT409" s="100" t="str">
        <f>IF($BH$5=TRUE,IF(AY409="","",SUM($AY$8:AY409)),"")</f>
        <v/>
      </c>
      <c r="BU409" s="100" t="str">
        <f>IF($BI$5=TRUE,IF(AZ409="","",SUM($AZ$8:AZ409)),"")</f>
        <v/>
      </c>
      <c r="BV409" s="100" t="str">
        <f>IF($BJ$5=TRUE,IF(BA409="","",SUM($BA$8:BA409)),"")</f>
        <v/>
      </c>
      <c r="BW409" s="100" t="str">
        <f>IF($BK$5=TRUE,IF(BB409="","",SUM($BB$8:BB409)),"")</f>
        <v/>
      </c>
      <c r="BX409" s="100" t="str">
        <f>IF($BL$5=TRUE,IF(BC409="","",SUM($BC$8:BC409)),"")</f>
        <v/>
      </c>
      <c r="BY409" s="100" t="str">
        <f>IF($BM$5=TRUE,IF(BD409="","",SUM($BD$8:BD409)),"")</f>
        <v/>
      </c>
      <c r="BZ409" s="100" t="str">
        <f>IF($BN$5=TRUE,IF(BE409="","",SUM($BE$8:BE409)),"")</f>
        <v/>
      </c>
    </row>
    <row r="410" spans="46:78" x14ac:dyDescent="0.25">
      <c r="AT410" s="74"/>
      <c r="AW410" s="74"/>
      <c r="BR410" s="133" t="str">
        <f t="shared" si="32"/>
        <v/>
      </c>
      <c r="BS410" s="100" t="str">
        <f>IF($BG$5=TRUE,IF(AX410="","",SUM($AX$8:AX410)),"")</f>
        <v/>
      </c>
      <c r="BT410" s="100" t="str">
        <f>IF($BH$5=TRUE,IF(AY410="","",SUM($AY$8:AY410)),"")</f>
        <v/>
      </c>
      <c r="BU410" s="100" t="str">
        <f>IF($BI$5=TRUE,IF(AZ410="","",SUM($AZ$8:AZ410)),"")</f>
        <v/>
      </c>
      <c r="BV410" s="100" t="str">
        <f>IF($BJ$5=TRUE,IF(BA410="","",SUM($BA$8:BA410)),"")</f>
        <v/>
      </c>
      <c r="BW410" s="100" t="str">
        <f>IF($BK$5=TRUE,IF(BB410="","",SUM($BB$8:BB410)),"")</f>
        <v/>
      </c>
      <c r="BX410" s="100" t="str">
        <f>IF($BL$5=TRUE,IF(BC410="","",SUM($BC$8:BC410)),"")</f>
        <v/>
      </c>
      <c r="BY410" s="100" t="str">
        <f>IF($BM$5=TRUE,IF(BD410="","",SUM($BD$8:BD410)),"")</f>
        <v/>
      </c>
      <c r="BZ410" s="100" t="str">
        <f>IF($BN$5=TRUE,IF(BE410="","",SUM($BE$8:BE410)),"")</f>
        <v/>
      </c>
    </row>
    <row r="411" spans="46:78" x14ac:dyDescent="0.25">
      <c r="AT411" s="74"/>
      <c r="AW411" s="74"/>
      <c r="BR411" s="133" t="str">
        <f t="shared" si="32"/>
        <v/>
      </c>
      <c r="BS411" s="100" t="str">
        <f>IF($BG$5=TRUE,IF(AX411="","",SUM($AX$8:AX411)),"")</f>
        <v/>
      </c>
      <c r="BT411" s="100" t="str">
        <f>IF($BH$5=TRUE,IF(AY411="","",SUM($AY$8:AY411)),"")</f>
        <v/>
      </c>
      <c r="BU411" s="100" t="str">
        <f>IF($BI$5=TRUE,IF(AZ411="","",SUM($AZ$8:AZ411)),"")</f>
        <v/>
      </c>
      <c r="BV411" s="100" t="str">
        <f>IF($BJ$5=TRUE,IF(BA411="","",SUM($BA$8:BA411)),"")</f>
        <v/>
      </c>
      <c r="BW411" s="100" t="str">
        <f>IF($BK$5=TRUE,IF(BB411="","",SUM($BB$8:BB411)),"")</f>
        <v/>
      </c>
      <c r="BX411" s="100" t="str">
        <f>IF($BL$5=TRUE,IF(BC411="","",SUM($BC$8:BC411)),"")</f>
        <v/>
      </c>
      <c r="BY411" s="100" t="str">
        <f>IF($BM$5=TRUE,IF(BD411="","",SUM($BD$8:BD411)),"")</f>
        <v/>
      </c>
      <c r="BZ411" s="100" t="str">
        <f>IF($BN$5=TRUE,IF(BE411="","",SUM($BE$8:BE411)),"")</f>
        <v/>
      </c>
    </row>
    <row r="412" spans="46:78" x14ac:dyDescent="0.25">
      <c r="AT412" s="74"/>
      <c r="AW412" s="74"/>
      <c r="BR412" s="133" t="str">
        <f t="shared" si="32"/>
        <v/>
      </c>
      <c r="BS412" s="100" t="str">
        <f>IF($BG$5=TRUE,IF(AX412="","",SUM($AX$8:AX412)),"")</f>
        <v/>
      </c>
      <c r="BT412" s="100" t="str">
        <f>IF($BH$5=TRUE,IF(AY412="","",SUM($AY$8:AY412)),"")</f>
        <v/>
      </c>
      <c r="BU412" s="100" t="str">
        <f>IF($BI$5=TRUE,IF(AZ412="","",SUM($AZ$8:AZ412)),"")</f>
        <v/>
      </c>
      <c r="BV412" s="100" t="str">
        <f>IF($BJ$5=TRUE,IF(BA412="","",SUM($BA$8:BA412)),"")</f>
        <v/>
      </c>
      <c r="BW412" s="100" t="str">
        <f>IF($BK$5=TRUE,IF(BB412="","",SUM($BB$8:BB412)),"")</f>
        <v/>
      </c>
      <c r="BX412" s="100" t="str">
        <f>IF($BL$5=TRUE,IF(BC412="","",SUM($BC$8:BC412)),"")</f>
        <v/>
      </c>
      <c r="BY412" s="100" t="str">
        <f>IF($BM$5=TRUE,IF(BD412="","",SUM($BD$8:BD412)),"")</f>
        <v/>
      </c>
      <c r="BZ412" s="100" t="str">
        <f>IF($BN$5=TRUE,IF(BE412="","",SUM($BE$8:BE412)),"")</f>
        <v/>
      </c>
    </row>
    <row r="413" spans="46:78" x14ac:dyDescent="0.25">
      <c r="AT413" s="74"/>
      <c r="AW413" s="74"/>
      <c r="BR413" s="133" t="str">
        <f t="shared" si="32"/>
        <v/>
      </c>
      <c r="BS413" s="100" t="str">
        <f>IF($BG$5=TRUE,IF(AX413="","",SUM($AX$8:AX413)),"")</f>
        <v/>
      </c>
      <c r="BT413" s="100" t="str">
        <f>IF($BH$5=TRUE,IF(AY413="","",SUM($AY$8:AY413)),"")</f>
        <v/>
      </c>
      <c r="BU413" s="100" t="str">
        <f>IF($BI$5=TRUE,IF(AZ413="","",SUM($AZ$8:AZ413)),"")</f>
        <v/>
      </c>
      <c r="BV413" s="100" t="str">
        <f>IF($BJ$5=TRUE,IF(BA413="","",SUM($BA$8:BA413)),"")</f>
        <v/>
      </c>
      <c r="BW413" s="100" t="str">
        <f>IF($BK$5=TRUE,IF(BB413="","",SUM($BB$8:BB413)),"")</f>
        <v/>
      </c>
      <c r="BX413" s="100" t="str">
        <f>IF($BL$5=TRUE,IF(BC413="","",SUM($BC$8:BC413)),"")</f>
        <v/>
      </c>
      <c r="BY413" s="100" t="str">
        <f>IF($BM$5=TRUE,IF(BD413="","",SUM($BD$8:BD413)),"")</f>
        <v/>
      </c>
      <c r="BZ413" s="100" t="str">
        <f>IF($BN$5=TRUE,IF(BE413="","",SUM($BE$8:BE413)),"")</f>
        <v/>
      </c>
    </row>
    <row r="414" spans="46:78" x14ac:dyDescent="0.25">
      <c r="AT414" s="74"/>
      <c r="AW414" s="74"/>
      <c r="BR414" s="133" t="str">
        <f t="shared" si="32"/>
        <v/>
      </c>
      <c r="BS414" s="100" t="str">
        <f>IF($BG$5=TRUE,IF(AX414="","",SUM($AX$8:AX414)),"")</f>
        <v/>
      </c>
      <c r="BT414" s="100" t="str">
        <f>IF($BH$5=TRUE,IF(AY414="","",SUM($AY$8:AY414)),"")</f>
        <v/>
      </c>
      <c r="BU414" s="100" t="str">
        <f>IF($BI$5=TRUE,IF(AZ414="","",SUM($AZ$8:AZ414)),"")</f>
        <v/>
      </c>
      <c r="BV414" s="100" t="str">
        <f>IF($BJ$5=TRUE,IF(BA414="","",SUM($BA$8:BA414)),"")</f>
        <v/>
      </c>
      <c r="BW414" s="100" t="str">
        <f>IF($BK$5=TRUE,IF(BB414="","",SUM($BB$8:BB414)),"")</f>
        <v/>
      </c>
      <c r="BX414" s="100" t="str">
        <f>IF($BL$5=TRUE,IF(BC414="","",SUM($BC$8:BC414)),"")</f>
        <v/>
      </c>
      <c r="BY414" s="100" t="str">
        <f>IF($BM$5=TRUE,IF(BD414="","",SUM($BD$8:BD414)),"")</f>
        <v/>
      </c>
      <c r="BZ414" s="100" t="str">
        <f>IF($BN$5=TRUE,IF(BE414="","",SUM($BE$8:BE414)),"")</f>
        <v/>
      </c>
    </row>
    <row r="415" spans="46:78" x14ac:dyDescent="0.25">
      <c r="AT415" s="74"/>
      <c r="AW415" s="74"/>
      <c r="BR415" s="133" t="str">
        <f t="shared" si="32"/>
        <v/>
      </c>
      <c r="BS415" s="100" t="str">
        <f>IF($BG$5=TRUE,IF(AX415="","",SUM($AX$8:AX415)),"")</f>
        <v/>
      </c>
      <c r="BT415" s="100" t="str">
        <f>IF($BH$5=TRUE,IF(AY415="","",SUM($AY$8:AY415)),"")</f>
        <v/>
      </c>
      <c r="BU415" s="100" t="str">
        <f>IF($BI$5=TRUE,IF(AZ415="","",SUM($AZ$8:AZ415)),"")</f>
        <v/>
      </c>
      <c r="BV415" s="100" t="str">
        <f>IF($BJ$5=TRUE,IF(BA415="","",SUM($BA$8:BA415)),"")</f>
        <v/>
      </c>
      <c r="BW415" s="100" t="str">
        <f>IF($BK$5=TRUE,IF(BB415="","",SUM($BB$8:BB415)),"")</f>
        <v/>
      </c>
      <c r="BX415" s="100" t="str">
        <f>IF($BL$5=TRUE,IF(BC415="","",SUM($BC$8:BC415)),"")</f>
        <v/>
      </c>
      <c r="BY415" s="100" t="str">
        <f>IF($BM$5=TRUE,IF(BD415="","",SUM($BD$8:BD415)),"")</f>
        <v/>
      </c>
      <c r="BZ415" s="100" t="str">
        <f>IF($BN$5=TRUE,IF(BE415="","",SUM($BE$8:BE415)),"")</f>
        <v/>
      </c>
    </row>
    <row r="416" spans="46:78" x14ac:dyDescent="0.25">
      <c r="AT416" s="74"/>
      <c r="AW416" s="74"/>
      <c r="BR416" s="133" t="str">
        <f t="shared" si="32"/>
        <v/>
      </c>
      <c r="BS416" s="100" t="str">
        <f>IF($BG$5=TRUE,IF(AX416="","",SUM($AX$8:AX416)),"")</f>
        <v/>
      </c>
      <c r="BT416" s="100" t="str">
        <f>IF($BH$5=TRUE,IF(AY416="","",SUM($AY$8:AY416)),"")</f>
        <v/>
      </c>
      <c r="BU416" s="100" t="str">
        <f>IF($BI$5=TRUE,IF(AZ416="","",SUM($AZ$8:AZ416)),"")</f>
        <v/>
      </c>
      <c r="BV416" s="100" t="str">
        <f>IF($BJ$5=TRUE,IF(BA416="","",SUM($BA$8:BA416)),"")</f>
        <v/>
      </c>
      <c r="BW416" s="100" t="str">
        <f>IF($BK$5=TRUE,IF(BB416="","",SUM($BB$8:BB416)),"")</f>
        <v/>
      </c>
      <c r="BX416" s="100" t="str">
        <f>IF($BL$5=TRUE,IF(BC416="","",SUM($BC$8:BC416)),"")</f>
        <v/>
      </c>
      <c r="BY416" s="100" t="str">
        <f>IF($BM$5=TRUE,IF(BD416="","",SUM($BD$8:BD416)),"")</f>
        <v/>
      </c>
      <c r="BZ416" s="100" t="str">
        <f>IF($BN$5=TRUE,IF(BE416="","",SUM($BE$8:BE416)),"")</f>
        <v/>
      </c>
    </row>
    <row r="417" spans="46:78" x14ac:dyDescent="0.25">
      <c r="AT417" s="74"/>
      <c r="AW417" s="74"/>
      <c r="BR417" s="133" t="str">
        <f t="shared" si="32"/>
        <v/>
      </c>
      <c r="BS417" s="100" t="str">
        <f>IF($BG$5=TRUE,IF(AX417="","",SUM($AX$8:AX417)),"")</f>
        <v/>
      </c>
      <c r="BT417" s="100" t="str">
        <f>IF($BH$5=TRUE,IF(AY417="","",SUM($AY$8:AY417)),"")</f>
        <v/>
      </c>
      <c r="BU417" s="100" t="str">
        <f>IF($BI$5=TRUE,IF(AZ417="","",SUM($AZ$8:AZ417)),"")</f>
        <v/>
      </c>
      <c r="BV417" s="100" t="str">
        <f>IF($BJ$5=TRUE,IF(BA417="","",SUM($BA$8:BA417)),"")</f>
        <v/>
      </c>
      <c r="BW417" s="100" t="str">
        <f>IF($BK$5=TRUE,IF(BB417="","",SUM($BB$8:BB417)),"")</f>
        <v/>
      </c>
      <c r="BX417" s="100" t="str">
        <f>IF($BL$5=TRUE,IF(BC417="","",SUM($BC$8:BC417)),"")</f>
        <v/>
      </c>
      <c r="BY417" s="100" t="str">
        <f>IF($BM$5=TRUE,IF(BD417="","",SUM($BD$8:BD417)),"")</f>
        <v/>
      </c>
      <c r="BZ417" s="100" t="str">
        <f>IF($BN$5=TRUE,IF(BE417="","",SUM($BE$8:BE417)),"")</f>
        <v/>
      </c>
    </row>
    <row r="418" spans="46:78" x14ac:dyDescent="0.25">
      <c r="AT418" s="74"/>
      <c r="AW418" s="74"/>
      <c r="BR418" s="133" t="str">
        <f t="shared" si="32"/>
        <v/>
      </c>
      <c r="BS418" s="100" t="str">
        <f>IF($BG$5=TRUE,IF(AX418="","",SUM($AX$8:AX418)),"")</f>
        <v/>
      </c>
      <c r="BT418" s="100" t="str">
        <f>IF($BH$5=TRUE,IF(AY418="","",SUM($AY$8:AY418)),"")</f>
        <v/>
      </c>
      <c r="BU418" s="100" t="str">
        <f>IF($BI$5=TRUE,IF(AZ418="","",SUM($AZ$8:AZ418)),"")</f>
        <v/>
      </c>
      <c r="BV418" s="100" t="str">
        <f>IF($BJ$5=TRUE,IF(BA418="","",SUM($BA$8:BA418)),"")</f>
        <v/>
      </c>
      <c r="BW418" s="100" t="str">
        <f>IF($BK$5=TRUE,IF(BB418="","",SUM($BB$8:BB418)),"")</f>
        <v/>
      </c>
      <c r="BX418" s="100" t="str">
        <f>IF($BL$5=TRUE,IF(BC418="","",SUM($BC$8:BC418)),"")</f>
        <v/>
      </c>
      <c r="BY418" s="100" t="str">
        <f>IF($BM$5=TRUE,IF(BD418="","",SUM($BD$8:BD418)),"")</f>
        <v/>
      </c>
      <c r="BZ418" s="100" t="str">
        <f>IF($BN$5=TRUE,IF(BE418="","",SUM($BE$8:BE418)),"")</f>
        <v/>
      </c>
    </row>
    <row r="419" spans="46:78" x14ac:dyDescent="0.25">
      <c r="AT419" s="74"/>
      <c r="AW419" s="74"/>
      <c r="BR419" s="133" t="str">
        <f t="shared" si="32"/>
        <v/>
      </c>
      <c r="BS419" s="100" t="str">
        <f>IF($BG$5=TRUE,IF(AX419="","",SUM($AX$8:AX419)),"")</f>
        <v/>
      </c>
      <c r="BT419" s="100" t="str">
        <f>IF($BH$5=TRUE,IF(AY419="","",SUM($AY$8:AY419)),"")</f>
        <v/>
      </c>
      <c r="BU419" s="100" t="str">
        <f>IF($BI$5=TRUE,IF(AZ419="","",SUM($AZ$8:AZ419)),"")</f>
        <v/>
      </c>
      <c r="BV419" s="100" t="str">
        <f>IF($BJ$5=TRUE,IF(BA419="","",SUM($BA$8:BA419)),"")</f>
        <v/>
      </c>
      <c r="BW419" s="100" t="str">
        <f>IF($BK$5=TRUE,IF(BB419="","",SUM($BB$8:BB419)),"")</f>
        <v/>
      </c>
      <c r="BX419" s="100" t="str">
        <f>IF($BL$5=TRUE,IF(BC419="","",SUM($BC$8:BC419)),"")</f>
        <v/>
      </c>
      <c r="BY419" s="100" t="str">
        <f>IF($BM$5=TRUE,IF(BD419="","",SUM($BD$8:BD419)),"")</f>
        <v/>
      </c>
      <c r="BZ419" s="100" t="str">
        <f>IF($BN$5=TRUE,IF(BE419="","",SUM($BE$8:BE419)),"")</f>
        <v/>
      </c>
    </row>
    <row r="420" spans="46:78" x14ac:dyDescent="0.25">
      <c r="AT420" s="74"/>
      <c r="AW420" s="74"/>
      <c r="BR420" s="133" t="str">
        <f t="shared" si="32"/>
        <v/>
      </c>
      <c r="BS420" s="100" t="str">
        <f>IF($BG$5=TRUE,IF(AX420="","",SUM($AX$8:AX420)),"")</f>
        <v/>
      </c>
      <c r="BT420" s="100" t="str">
        <f>IF($BH$5=TRUE,IF(AY420="","",SUM($AY$8:AY420)),"")</f>
        <v/>
      </c>
      <c r="BU420" s="100" t="str">
        <f>IF($BI$5=TRUE,IF(AZ420="","",SUM($AZ$8:AZ420)),"")</f>
        <v/>
      </c>
      <c r="BV420" s="100" t="str">
        <f>IF($BJ$5=TRUE,IF(BA420="","",SUM($BA$8:BA420)),"")</f>
        <v/>
      </c>
      <c r="BW420" s="100" t="str">
        <f>IF($BK$5=TRUE,IF(BB420="","",SUM($BB$8:BB420)),"")</f>
        <v/>
      </c>
      <c r="BX420" s="100" t="str">
        <f>IF($BL$5=TRUE,IF(BC420="","",SUM($BC$8:BC420)),"")</f>
        <v/>
      </c>
      <c r="BY420" s="100" t="str">
        <f>IF($BM$5=TRUE,IF(BD420="","",SUM($BD$8:BD420)),"")</f>
        <v/>
      </c>
      <c r="BZ420" s="100" t="str">
        <f>IF($BN$5=TRUE,IF(BE420="","",SUM($BE$8:BE420)),"")</f>
        <v/>
      </c>
    </row>
    <row r="421" spans="46:78" x14ac:dyDescent="0.25">
      <c r="AT421" s="74"/>
      <c r="AW421" s="74"/>
      <c r="BR421" s="133" t="str">
        <f t="shared" si="32"/>
        <v/>
      </c>
      <c r="BS421" s="100" t="str">
        <f>IF($BG$5=TRUE,IF(AX421="","",SUM($AX$8:AX421)),"")</f>
        <v/>
      </c>
      <c r="BT421" s="100" t="str">
        <f>IF($BH$5=TRUE,IF(AY421="","",SUM($AY$8:AY421)),"")</f>
        <v/>
      </c>
      <c r="BU421" s="100" t="str">
        <f>IF($BI$5=TRUE,IF(AZ421="","",SUM($AZ$8:AZ421)),"")</f>
        <v/>
      </c>
      <c r="BV421" s="100" t="str">
        <f>IF($BJ$5=TRUE,IF(BA421="","",SUM($BA$8:BA421)),"")</f>
        <v/>
      </c>
      <c r="BW421" s="100" t="str">
        <f>IF($BK$5=TRUE,IF(BB421="","",SUM($BB$8:BB421)),"")</f>
        <v/>
      </c>
      <c r="BX421" s="100" t="str">
        <f>IF($BL$5=TRUE,IF(BC421="","",SUM($BC$8:BC421)),"")</f>
        <v/>
      </c>
      <c r="BY421" s="100" t="str">
        <f>IF($BM$5=TRUE,IF(BD421="","",SUM($BD$8:BD421)),"")</f>
        <v/>
      </c>
      <c r="BZ421" s="100" t="str">
        <f>IF($BN$5=TRUE,IF(BE421="","",SUM($BE$8:BE421)),"")</f>
        <v/>
      </c>
    </row>
    <row r="422" spans="46:78" x14ac:dyDescent="0.25">
      <c r="AT422" s="74"/>
      <c r="AW422" s="74"/>
      <c r="BR422" s="133" t="str">
        <f t="shared" si="32"/>
        <v/>
      </c>
      <c r="BS422" s="100" t="str">
        <f>IF($BG$5=TRUE,IF(AX422="","",SUM($AX$8:AX422)),"")</f>
        <v/>
      </c>
      <c r="BT422" s="100" t="str">
        <f>IF($BH$5=TRUE,IF(AY422="","",SUM($AY$8:AY422)),"")</f>
        <v/>
      </c>
      <c r="BU422" s="100" t="str">
        <f>IF($BI$5=TRUE,IF(AZ422="","",SUM($AZ$8:AZ422)),"")</f>
        <v/>
      </c>
      <c r="BV422" s="100" t="str">
        <f>IF($BJ$5=TRUE,IF(BA422="","",SUM($BA$8:BA422)),"")</f>
        <v/>
      </c>
      <c r="BW422" s="100" t="str">
        <f>IF($BK$5=TRUE,IF(BB422="","",SUM($BB$8:BB422)),"")</f>
        <v/>
      </c>
      <c r="BX422" s="100" t="str">
        <f>IF($BL$5=TRUE,IF(BC422="","",SUM($BC$8:BC422)),"")</f>
        <v/>
      </c>
      <c r="BY422" s="100" t="str">
        <f>IF($BM$5=TRUE,IF(BD422="","",SUM($BD$8:BD422)),"")</f>
        <v/>
      </c>
      <c r="BZ422" s="100" t="str">
        <f>IF($BN$5=TRUE,IF(BE422="","",SUM($BE$8:BE422)),"")</f>
        <v/>
      </c>
    </row>
    <row r="423" spans="46:78" x14ac:dyDescent="0.25">
      <c r="AT423" s="74"/>
      <c r="AW423" s="74"/>
      <c r="BR423" s="133" t="str">
        <f t="shared" si="32"/>
        <v/>
      </c>
      <c r="BS423" s="100" t="str">
        <f>IF($BG$5=TRUE,IF(AX423="","",SUM($AX$8:AX423)),"")</f>
        <v/>
      </c>
      <c r="BT423" s="100" t="str">
        <f>IF($BH$5=TRUE,IF(AY423="","",SUM($AY$8:AY423)),"")</f>
        <v/>
      </c>
      <c r="BU423" s="100" t="str">
        <f>IF($BI$5=TRUE,IF(AZ423="","",SUM($AZ$8:AZ423)),"")</f>
        <v/>
      </c>
      <c r="BV423" s="100" t="str">
        <f>IF($BJ$5=TRUE,IF(BA423="","",SUM($BA$8:BA423)),"")</f>
        <v/>
      </c>
      <c r="BW423" s="100" t="str">
        <f>IF($BK$5=TRUE,IF(BB423="","",SUM($BB$8:BB423)),"")</f>
        <v/>
      </c>
      <c r="BX423" s="100" t="str">
        <f>IF($BL$5=TRUE,IF(BC423="","",SUM($BC$8:BC423)),"")</f>
        <v/>
      </c>
      <c r="BY423" s="100" t="str">
        <f>IF($BM$5=TRUE,IF(BD423="","",SUM($BD$8:BD423)),"")</f>
        <v/>
      </c>
      <c r="BZ423" s="100" t="str">
        <f>IF($BN$5=TRUE,IF(BE423="","",SUM($BE$8:BE423)),"")</f>
        <v/>
      </c>
    </row>
    <row r="424" spans="46:78" x14ac:dyDescent="0.25">
      <c r="AT424" s="74"/>
      <c r="AW424" s="74"/>
      <c r="BR424" s="133" t="str">
        <f t="shared" si="32"/>
        <v/>
      </c>
      <c r="BS424" s="100" t="str">
        <f>IF($BG$5=TRUE,IF(AX424="","",SUM($AX$8:AX424)),"")</f>
        <v/>
      </c>
      <c r="BT424" s="100" t="str">
        <f>IF($BH$5=TRUE,IF(AY424="","",SUM($AY$8:AY424)),"")</f>
        <v/>
      </c>
      <c r="BU424" s="100" t="str">
        <f>IF($BI$5=TRUE,IF(AZ424="","",SUM($AZ$8:AZ424)),"")</f>
        <v/>
      </c>
      <c r="BV424" s="100" t="str">
        <f>IF($BJ$5=TRUE,IF(BA424="","",SUM($BA$8:BA424)),"")</f>
        <v/>
      </c>
      <c r="BW424" s="100" t="str">
        <f>IF($BK$5=TRUE,IF(BB424="","",SUM($BB$8:BB424)),"")</f>
        <v/>
      </c>
      <c r="BX424" s="100" t="str">
        <f>IF($BL$5=TRUE,IF(BC424="","",SUM($BC$8:BC424)),"")</f>
        <v/>
      </c>
      <c r="BY424" s="100" t="str">
        <f>IF($BM$5=TRUE,IF(BD424="","",SUM($BD$8:BD424)),"")</f>
        <v/>
      </c>
      <c r="BZ424" s="100" t="str">
        <f>IF($BN$5=TRUE,IF(BE424="","",SUM($BE$8:BE424)),"")</f>
        <v/>
      </c>
    </row>
    <row r="425" spans="46:78" x14ac:dyDescent="0.25">
      <c r="AT425" s="74"/>
      <c r="AW425" s="74"/>
      <c r="BR425" s="133" t="str">
        <f t="shared" si="32"/>
        <v/>
      </c>
      <c r="BS425" s="100" t="str">
        <f>IF($BG$5=TRUE,IF(AX425="","",SUM($AX$8:AX425)),"")</f>
        <v/>
      </c>
      <c r="BT425" s="100" t="str">
        <f>IF($BH$5=TRUE,IF(AY425="","",SUM($AY$8:AY425)),"")</f>
        <v/>
      </c>
      <c r="BU425" s="100" t="str">
        <f>IF($BI$5=TRUE,IF(AZ425="","",SUM($AZ$8:AZ425)),"")</f>
        <v/>
      </c>
      <c r="BV425" s="100" t="str">
        <f>IF($BJ$5=TRUE,IF(BA425="","",SUM($BA$8:BA425)),"")</f>
        <v/>
      </c>
      <c r="BW425" s="100" t="str">
        <f>IF($BK$5=TRUE,IF(BB425="","",SUM($BB$8:BB425)),"")</f>
        <v/>
      </c>
      <c r="BX425" s="100" t="str">
        <f>IF($BL$5=TRUE,IF(BC425="","",SUM($BC$8:BC425)),"")</f>
        <v/>
      </c>
      <c r="BY425" s="100" t="str">
        <f>IF($BM$5=TRUE,IF(BD425="","",SUM($BD$8:BD425)),"")</f>
        <v/>
      </c>
      <c r="BZ425" s="100" t="str">
        <f>IF($BN$5=TRUE,IF(BE425="","",SUM($BE$8:BE425)),"")</f>
        <v/>
      </c>
    </row>
    <row r="426" spans="46:78" x14ac:dyDescent="0.25">
      <c r="AT426" s="74"/>
      <c r="AW426" s="74"/>
      <c r="BR426" s="133" t="str">
        <f t="shared" si="32"/>
        <v/>
      </c>
      <c r="BS426" s="100" t="str">
        <f>IF($BG$5=TRUE,IF(AX426="","",SUM($AX$8:AX426)),"")</f>
        <v/>
      </c>
      <c r="BT426" s="100" t="str">
        <f>IF($BH$5=TRUE,IF(AY426="","",SUM($AY$8:AY426)),"")</f>
        <v/>
      </c>
      <c r="BU426" s="100" t="str">
        <f>IF($BI$5=TRUE,IF(AZ426="","",SUM($AZ$8:AZ426)),"")</f>
        <v/>
      </c>
      <c r="BV426" s="100" t="str">
        <f>IF($BJ$5=TRUE,IF(BA426="","",SUM($BA$8:BA426)),"")</f>
        <v/>
      </c>
      <c r="BW426" s="100" t="str">
        <f>IF($BK$5=TRUE,IF(BB426="","",SUM($BB$8:BB426)),"")</f>
        <v/>
      </c>
      <c r="BX426" s="100" t="str">
        <f>IF($BL$5=TRUE,IF(BC426="","",SUM($BC$8:BC426)),"")</f>
        <v/>
      </c>
      <c r="BY426" s="100" t="str">
        <f>IF($BM$5=TRUE,IF(BD426="","",SUM($BD$8:BD426)),"")</f>
        <v/>
      </c>
      <c r="BZ426" s="100" t="str">
        <f>IF($BN$5=TRUE,IF(BE426="","",SUM($BE$8:BE426)),"")</f>
        <v/>
      </c>
    </row>
    <row r="427" spans="46:78" x14ac:dyDescent="0.25">
      <c r="AT427" s="74"/>
      <c r="AW427" s="74"/>
      <c r="BR427" s="133" t="str">
        <f t="shared" si="32"/>
        <v/>
      </c>
      <c r="BS427" s="100" t="str">
        <f>IF($BG$5=TRUE,IF(AX427="","",SUM($AX$8:AX427)),"")</f>
        <v/>
      </c>
      <c r="BT427" s="100" t="str">
        <f>IF($BH$5=TRUE,IF(AY427="","",SUM($AY$8:AY427)),"")</f>
        <v/>
      </c>
      <c r="BU427" s="100" t="str">
        <f>IF($BI$5=TRUE,IF(AZ427="","",SUM($AZ$8:AZ427)),"")</f>
        <v/>
      </c>
      <c r="BV427" s="100" t="str">
        <f>IF($BJ$5=TRUE,IF(BA427="","",SUM($BA$8:BA427)),"")</f>
        <v/>
      </c>
      <c r="BW427" s="100" t="str">
        <f>IF($BK$5=TRUE,IF(BB427="","",SUM($BB$8:BB427)),"")</f>
        <v/>
      </c>
      <c r="BX427" s="100" t="str">
        <f>IF($BL$5=TRUE,IF(BC427="","",SUM($BC$8:BC427)),"")</f>
        <v/>
      </c>
      <c r="BY427" s="100" t="str">
        <f>IF($BM$5=TRUE,IF(BD427="","",SUM($BD$8:BD427)),"")</f>
        <v/>
      </c>
      <c r="BZ427" s="100" t="str">
        <f>IF($BN$5=TRUE,IF(BE427="","",SUM($BE$8:BE427)),"")</f>
        <v/>
      </c>
    </row>
    <row r="428" spans="46:78" x14ac:dyDescent="0.25">
      <c r="AT428" s="74"/>
      <c r="AW428" s="74"/>
      <c r="BR428" s="133" t="str">
        <f t="shared" si="32"/>
        <v/>
      </c>
      <c r="BS428" s="100" t="str">
        <f>IF($BG$5=TRUE,IF(AX428="","",SUM($AX$8:AX428)),"")</f>
        <v/>
      </c>
      <c r="BT428" s="100" t="str">
        <f>IF($BH$5=TRUE,IF(AY428="","",SUM($AY$8:AY428)),"")</f>
        <v/>
      </c>
      <c r="BU428" s="100" t="str">
        <f>IF($BI$5=TRUE,IF(AZ428="","",SUM($AZ$8:AZ428)),"")</f>
        <v/>
      </c>
      <c r="BV428" s="100" t="str">
        <f>IF($BJ$5=TRUE,IF(BA428="","",SUM($BA$8:BA428)),"")</f>
        <v/>
      </c>
      <c r="BW428" s="100" t="str">
        <f>IF($BK$5=TRUE,IF(BB428="","",SUM($BB$8:BB428)),"")</f>
        <v/>
      </c>
      <c r="BX428" s="100" t="str">
        <f>IF($BL$5=TRUE,IF(BC428="","",SUM($BC$8:BC428)),"")</f>
        <v/>
      </c>
      <c r="BY428" s="100" t="str">
        <f>IF($BM$5=TRUE,IF(BD428="","",SUM($BD$8:BD428)),"")</f>
        <v/>
      </c>
      <c r="BZ428" s="100" t="str">
        <f>IF($BN$5=TRUE,IF(BE428="","",SUM($BE$8:BE428)),"")</f>
        <v/>
      </c>
    </row>
    <row r="429" spans="46:78" x14ac:dyDescent="0.25">
      <c r="AT429" s="74"/>
      <c r="AW429" s="74"/>
      <c r="BR429" s="133" t="str">
        <f t="shared" si="32"/>
        <v/>
      </c>
      <c r="BS429" s="100" t="str">
        <f>IF($BG$5=TRUE,IF(AX429="","",SUM($AX$8:AX429)),"")</f>
        <v/>
      </c>
      <c r="BT429" s="100" t="str">
        <f>IF($BH$5=TRUE,IF(AY429="","",SUM($AY$8:AY429)),"")</f>
        <v/>
      </c>
      <c r="BU429" s="100" t="str">
        <f>IF($BI$5=TRUE,IF(AZ429="","",SUM($AZ$8:AZ429)),"")</f>
        <v/>
      </c>
      <c r="BV429" s="100" t="str">
        <f>IF($BJ$5=TRUE,IF(BA429="","",SUM($BA$8:BA429)),"")</f>
        <v/>
      </c>
      <c r="BW429" s="100" t="str">
        <f>IF($BK$5=TRUE,IF(BB429="","",SUM($BB$8:BB429)),"")</f>
        <v/>
      </c>
      <c r="BX429" s="100" t="str">
        <f>IF($BL$5=TRUE,IF(BC429="","",SUM($BC$8:BC429)),"")</f>
        <v/>
      </c>
      <c r="BY429" s="100" t="str">
        <f>IF($BM$5=TRUE,IF(BD429="","",SUM($BD$8:BD429)),"")</f>
        <v/>
      </c>
      <c r="BZ429" s="100" t="str">
        <f>IF($BN$5=TRUE,IF(BE429="","",SUM($BE$8:BE429)),"")</f>
        <v/>
      </c>
    </row>
    <row r="430" spans="46:78" x14ac:dyDescent="0.25">
      <c r="AT430" s="74"/>
      <c r="AW430" s="74"/>
      <c r="BR430" s="133" t="str">
        <f t="shared" si="32"/>
        <v/>
      </c>
      <c r="BS430" s="100" t="str">
        <f>IF($BG$5=TRUE,IF(AX430="","",SUM($AX$8:AX430)),"")</f>
        <v/>
      </c>
      <c r="BT430" s="100" t="str">
        <f>IF($BH$5=TRUE,IF(AY430="","",SUM($AY$8:AY430)),"")</f>
        <v/>
      </c>
      <c r="BU430" s="100" t="str">
        <f>IF($BI$5=TRUE,IF(AZ430="","",SUM($AZ$8:AZ430)),"")</f>
        <v/>
      </c>
      <c r="BV430" s="100" t="str">
        <f>IF($BJ$5=TRUE,IF(BA430="","",SUM($BA$8:BA430)),"")</f>
        <v/>
      </c>
      <c r="BW430" s="100" t="str">
        <f>IF($BK$5=TRUE,IF(BB430="","",SUM($BB$8:BB430)),"")</f>
        <v/>
      </c>
      <c r="BX430" s="100" t="str">
        <f>IF($BL$5=TRUE,IF(BC430="","",SUM($BC$8:BC430)),"")</f>
        <v/>
      </c>
      <c r="BY430" s="100" t="str">
        <f>IF($BM$5=TRUE,IF(BD430="","",SUM($BD$8:BD430)),"")</f>
        <v/>
      </c>
      <c r="BZ430" s="100" t="str">
        <f>IF($BN$5=TRUE,IF(BE430="","",SUM($BE$8:BE430)),"")</f>
        <v/>
      </c>
    </row>
    <row r="431" spans="46:78" x14ac:dyDescent="0.25">
      <c r="AT431" s="74"/>
      <c r="AW431" s="74"/>
      <c r="BR431" s="133" t="str">
        <f t="shared" si="32"/>
        <v/>
      </c>
      <c r="BS431" s="100" t="str">
        <f>IF($BG$5=TRUE,IF(AX431="","",SUM($AX$8:AX431)),"")</f>
        <v/>
      </c>
      <c r="BT431" s="100" t="str">
        <f>IF($BH$5=TRUE,IF(AY431="","",SUM($AY$8:AY431)),"")</f>
        <v/>
      </c>
      <c r="BU431" s="100" t="str">
        <f>IF($BI$5=TRUE,IF(AZ431="","",SUM($AZ$8:AZ431)),"")</f>
        <v/>
      </c>
      <c r="BV431" s="100" t="str">
        <f>IF($BJ$5=TRUE,IF(BA431="","",SUM($BA$8:BA431)),"")</f>
        <v/>
      </c>
      <c r="BW431" s="100" t="str">
        <f>IF($BK$5=TRUE,IF(BB431="","",SUM($BB$8:BB431)),"")</f>
        <v/>
      </c>
      <c r="BX431" s="100" t="str">
        <f>IF($BL$5=TRUE,IF(BC431="","",SUM($BC$8:BC431)),"")</f>
        <v/>
      </c>
      <c r="BY431" s="100" t="str">
        <f>IF($BM$5=TRUE,IF(BD431="","",SUM($BD$8:BD431)),"")</f>
        <v/>
      </c>
      <c r="BZ431" s="100" t="str">
        <f>IF($BN$5=TRUE,IF(BE431="","",SUM($BE$8:BE431)),"")</f>
        <v/>
      </c>
    </row>
    <row r="432" spans="46:78" x14ac:dyDescent="0.25">
      <c r="AT432" s="74"/>
      <c r="AW432" s="74"/>
      <c r="BR432" s="133" t="str">
        <f t="shared" si="32"/>
        <v/>
      </c>
      <c r="BS432" s="100" t="str">
        <f>IF($BG$5=TRUE,IF(AX432="","",SUM($AX$8:AX432)),"")</f>
        <v/>
      </c>
      <c r="BT432" s="100" t="str">
        <f>IF($BH$5=TRUE,IF(AY432="","",SUM($AY$8:AY432)),"")</f>
        <v/>
      </c>
      <c r="BU432" s="100" t="str">
        <f>IF($BI$5=TRUE,IF(AZ432="","",SUM($AZ$8:AZ432)),"")</f>
        <v/>
      </c>
      <c r="BV432" s="100" t="str">
        <f>IF($BJ$5=TRUE,IF(BA432="","",SUM($BA$8:BA432)),"")</f>
        <v/>
      </c>
      <c r="BW432" s="100" t="str">
        <f>IF($BK$5=TRUE,IF(BB432="","",SUM($BB$8:BB432)),"")</f>
        <v/>
      </c>
      <c r="BX432" s="100" t="str">
        <f>IF($BL$5=TRUE,IF(BC432="","",SUM($BC$8:BC432)),"")</f>
        <v/>
      </c>
      <c r="BY432" s="100" t="str">
        <f>IF($BM$5=TRUE,IF(BD432="","",SUM($BD$8:BD432)),"")</f>
        <v/>
      </c>
      <c r="BZ432" s="100" t="str">
        <f>IF($BN$5=TRUE,IF(BE432="","",SUM($BE$8:BE432)),"")</f>
        <v/>
      </c>
    </row>
    <row r="433" spans="46:78" x14ac:dyDescent="0.25">
      <c r="AT433" s="74"/>
      <c r="AW433" s="74"/>
      <c r="BR433" s="133" t="str">
        <f t="shared" si="32"/>
        <v/>
      </c>
      <c r="BS433" s="100" t="str">
        <f>IF($BG$5=TRUE,IF(AX433="","",SUM($AX$8:AX433)),"")</f>
        <v/>
      </c>
      <c r="BT433" s="100" t="str">
        <f>IF($BH$5=TRUE,IF(AY433="","",SUM($AY$8:AY433)),"")</f>
        <v/>
      </c>
      <c r="BU433" s="100" t="str">
        <f>IF($BI$5=TRUE,IF(AZ433="","",SUM($AZ$8:AZ433)),"")</f>
        <v/>
      </c>
      <c r="BV433" s="100" t="str">
        <f>IF($BJ$5=TRUE,IF(BA433="","",SUM($BA$8:BA433)),"")</f>
        <v/>
      </c>
      <c r="BW433" s="100" t="str">
        <f>IF($BK$5=TRUE,IF(BB433="","",SUM($BB$8:BB433)),"")</f>
        <v/>
      </c>
      <c r="BX433" s="100" t="str">
        <f>IF($BL$5=TRUE,IF(BC433="","",SUM($BC$8:BC433)),"")</f>
        <v/>
      </c>
      <c r="BY433" s="100" t="str">
        <f>IF($BM$5=TRUE,IF(BD433="","",SUM($BD$8:BD433)),"")</f>
        <v/>
      </c>
      <c r="BZ433" s="100" t="str">
        <f>IF($BN$5=TRUE,IF(BE433="","",SUM($BE$8:BE433)),"")</f>
        <v/>
      </c>
    </row>
    <row r="434" spans="46:78" x14ac:dyDescent="0.25">
      <c r="AT434" s="74"/>
      <c r="AW434" s="74"/>
      <c r="BR434" s="133" t="str">
        <f t="shared" si="32"/>
        <v/>
      </c>
      <c r="BS434" s="100" t="str">
        <f>IF($BG$5=TRUE,IF(AX434="","",SUM($AX$8:AX434)),"")</f>
        <v/>
      </c>
      <c r="BT434" s="100" t="str">
        <f>IF($BH$5=TRUE,IF(AY434="","",SUM($AY$8:AY434)),"")</f>
        <v/>
      </c>
      <c r="BU434" s="100" t="str">
        <f>IF($BI$5=TRUE,IF(AZ434="","",SUM($AZ$8:AZ434)),"")</f>
        <v/>
      </c>
      <c r="BV434" s="100" t="str">
        <f>IF($BJ$5=TRUE,IF(BA434="","",SUM($BA$8:BA434)),"")</f>
        <v/>
      </c>
      <c r="BW434" s="100" t="str">
        <f>IF($BK$5=TRUE,IF(BB434="","",SUM($BB$8:BB434)),"")</f>
        <v/>
      </c>
      <c r="BX434" s="100" t="str">
        <f>IF($BL$5=TRUE,IF(BC434="","",SUM($BC$8:BC434)),"")</f>
        <v/>
      </c>
      <c r="BY434" s="100" t="str">
        <f>IF($BM$5=TRUE,IF(BD434="","",SUM($BD$8:BD434)),"")</f>
        <v/>
      </c>
      <c r="BZ434" s="100" t="str">
        <f>IF($BN$5=TRUE,IF(BE434="","",SUM($BE$8:BE434)),"")</f>
        <v/>
      </c>
    </row>
    <row r="435" spans="46:78" x14ac:dyDescent="0.25">
      <c r="AT435" s="74"/>
      <c r="AW435" s="74"/>
      <c r="BR435" s="133" t="str">
        <f t="shared" si="32"/>
        <v/>
      </c>
      <c r="BS435" s="100" t="str">
        <f>IF($BG$5=TRUE,IF(AX435="","",SUM($AX$8:AX435)),"")</f>
        <v/>
      </c>
      <c r="BT435" s="100" t="str">
        <f>IF($BH$5=TRUE,IF(AY435="","",SUM($AY$8:AY435)),"")</f>
        <v/>
      </c>
      <c r="BU435" s="100" t="str">
        <f>IF($BI$5=TRUE,IF(AZ435="","",SUM($AZ$8:AZ435)),"")</f>
        <v/>
      </c>
      <c r="BV435" s="100" t="str">
        <f>IF($BJ$5=TRUE,IF(BA435="","",SUM($BA$8:BA435)),"")</f>
        <v/>
      </c>
      <c r="BW435" s="100" t="str">
        <f>IF($BK$5=TRUE,IF(BB435="","",SUM($BB$8:BB435)),"")</f>
        <v/>
      </c>
      <c r="BX435" s="100" t="str">
        <f>IF($BL$5=TRUE,IF(BC435="","",SUM($BC$8:BC435)),"")</f>
        <v/>
      </c>
      <c r="BY435" s="100" t="str">
        <f>IF($BM$5=TRUE,IF(BD435="","",SUM($BD$8:BD435)),"")</f>
        <v/>
      </c>
      <c r="BZ435" s="100" t="str">
        <f>IF($BN$5=TRUE,IF(BE435="","",SUM($BE$8:BE435)),"")</f>
        <v/>
      </c>
    </row>
    <row r="436" spans="46:78" x14ac:dyDescent="0.25">
      <c r="AT436" s="74"/>
      <c r="AW436" s="74"/>
      <c r="BR436" s="133" t="str">
        <f t="shared" si="32"/>
        <v/>
      </c>
      <c r="BS436" s="100" t="str">
        <f>IF($BG$5=TRUE,IF(AX436="","",SUM($AX$8:AX436)),"")</f>
        <v/>
      </c>
      <c r="BT436" s="100" t="str">
        <f>IF($BH$5=TRUE,IF(AY436="","",SUM($AY$8:AY436)),"")</f>
        <v/>
      </c>
      <c r="BU436" s="100" t="str">
        <f>IF($BI$5=TRUE,IF(AZ436="","",SUM($AZ$8:AZ436)),"")</f>
        <v/>
      </c>
      <c r="BV436" s="100" t="str">
        <f>IF($BJ$5=TRUE,IF(BA436="","",SUM($BA$8:BA436)),"")</f>
        <v/>
      </c>
      <c r="BW436" s="100" t="str">
        <f>IF($BK$5=TRUE,IF(BB436="","",SUM($BB$8:BB436)),"")</f>
        <v/>
      </c>
      <c r="BX436" s="100" t="str">
        <f>IF($BL$5=TRUE,IF(BC436="","",SUM($BC$8:BC436)),"")</f>
        <v/>
      </c>
      <c r="BY436" s="100" t="str">
        <f>IF($BM$5=TRUE,IF(BD436="","",SUM($BD$8:BD436)),"")</f>
        <v/>
      </c>
      <c r="BZ436" s="100" t="str">
        <f>IF($BN$5=TRUE,IF(BE436="","",SUM($BE$8:BE436)),"")</f>
        <v/>
      </c>
    </row>
    <row r="437" spans="46:78" x14ac:dyDescent="0.25">
      <c r="AT437" s="74"/>
      <c r="AW437" s="74"/>
      <c r="BR437" s="133" t="str">
        <f t="shared" si="32"/>
        <v/>
      </c>
      <c r="BS437" s="100" t="str">
        <f>IF($BG$5=TRUE,IF(AX437="","",SUM($AX$8:AX437)),"")</f>
        <v/>
      </c>
      <c r="BT437" s="100" t="str">
        <f>IF($BH$5=TRUE,IF(AY437="","",SUM($AY$8:AY437)),"")</f>
        <v/>
      </c>
      <c r="BU437" s="100" t="str">
        <f>IF($BI$5=TRUE,IF(AZ437="","",SUM($AZ$8:AZ437)),"")</f>
        <v/>
      </c>
      <c r="BV437" s="100" t="str">
        <f>IF($BJ$5=TRUE,IF(BA437="","",SUM($BA$8:BA437)),"")</f>
        <v/>
      </c>
      <c r="BW437" s="100" t="str">
        <f>IF($BK$5=TRUE,IF(BB437="","",SUM($BB$8:BB437)),"")</f>
        <v/>
      </c>
      <c r="BX437" s="100" t="str">
        <f>IF($BL$5=TRUE,IF(BC437="","",SUM($BC$8:BC437)),"")</f>
        <v/>
      </c>
      <c r="BY437" s="100" t="str">
        <f>IF($BM$5=TRUE,IF(BD437="","",SUM($BD$8:BD437)),"")</f>
        <v/>
      </c>
      <c r="BZ437" s="100" t="str">
        <f>IF($BN$5=TRUE,IF(BE437="","",SUM($BE$8:BE437)),"")</f>
        <v/>
      </c>
    </row>
    <row r="438" spans="46:78" x14ac:dyDescent="0.25">
      <c r="AT438" s="74"/>
      <c r="AW438" s="74"/>
      <c r="BR438" s="133" t="str">
        <f t="shared" si="32"/>
        <v/>
      </c>
      <c r="BS438" s="100" t="str">
        <f>IF($BG$5=TRUE,IF(AX438="","",SUM($AX$8:AX438)),"")</f>
        <v/>
      </c>
      <c r="BT438" s="100" t="str">
        <f>IF($BH$5=TRUE,IF(AY438="","",SUM($AY$8:AY438)),"")</f>
        <v/>
      </c>
      <c r="BU438" s="100" t="str">
        <f>IF($BI$5=TRUE,IF(AZ438="","",SUM($AZ$8:AZ438)),"")</f>
        <v/>
      </c>
      <c r="BV438" s="100" t="str">
        <f>IF($BJ$5=TRUE,IF(BA438="","",SUM($BA$8:BA438)),"")</f>
        <v/>
      </c>
      <c r="BW438" s="100" t="str">
        <f>IF($BK$5=TRUE,IF(BB438="","",SUM($BB$8:BB438)),"")</f>
        <v/>
      </c>
      <c r="BX438" s="100" t="str">
        <f>IF($BL$5=TRUE,IF(BC438="","",SUM($BC$8:BC438)),"")</f>
        <v/>
      </c>
      <c r="BY438" s="100" t="str">
        <f>IF($BM$5=TRUE,IF(BD438="","",SUM($BD$8:BD438)),"")</f>
        <v/>
      </c>
      <c r="BZ438" s="100" t="str">
        <f>IF($BN$5=TRUE,IF(BE438="","",SUM($BE$8:BE438)),"")</f>
        <v/>
      </c>
    </row>
    <row r="439" spans="46:78" x14ac:dyDescent="0.25">
      <c r="AT439" s="74"/>
      <c r="AW439" s="74"/>
      <c r="BR439" s="133" t="str">
        <f t="shared" si="32"/>
        <v/>
      </c>
      <c r="BS439" s="100" t="str">
        <f>IF($BG$5=TRUE,IF(AX439="","",SUM($AX$8:AX439)),"")</f>
        <v/>
      </c>
      <c r="BT439" s="100" t="str">
        <f>IF($BH$5=TRUE,IF(AY439="","",SUM($AY$8:AY439)),"")</f>
        <v/>
      </c>
      <c r="BU439" s="100" t="str">
        <f>IF($BI$5=TRUE,IF(AZ439="","",SUM($AZ$8:AZ439)),"")</f>
        <v/>
      </c>
      <c r="BV439" s="100" t="str">
        <f>IF($BJ$5=TRUE,IF(BA439="","",SUM($BA$8:BA439)),"")</f>
        <v/>
      </c>
      <c r="BW439" s="100" t="str">
        <f>IF($BK$5=TRUE,IF(BB439="","",SUM($BB$8:BB439)),"")</f>
        <v/>
      </c>
      <c r="BX439" s="100" t="str">
        <f>IF($BL$5=TRUE,IF(BC439="","",SUM($BC$8:BC439)),"")</f>
        <v/>
      </c>
      <c r="BY439" s="100" t="str">
        <f>IF($BM$5=TRUE,IF(BD439="","",SUM($BD$8:BD439)),"")</f>
        <v/>
      </c>
      <c r="BZ439" s="100" t="str">
        <f>IF($BN$5=TRUE,IF(BE439="","",SUM($BE$8:BE439)),"")</f>
        <v/>
      </c>
    </row>
    <row r="440" spans="46:78" x14ac:dyDescent="0.25">
      <c r="AT440" s="74"/>
      <c r="AW440" s="74"/>
      <c r="BR440" s="133" t="str">
        <f t="shared" si="32"/>
        <v/>
      </c>
      <c r="BS440" s="100" t="str">
        <f>IF($BG$5=TRUE,IF(AX440="","",SUM($AX$8:AX440)),"")</f>
        <v/>
      </c>
      <c r="BT440" s="100" t="str">
        <f>IF($BH$5=TRUE,IF(AY440="","",SUM($AY$8:AY440)),"")</f>
        <v/>
      </c>
      <c r="BU440" s="100" t="str">
        <f>IF($BI$5=TRUE,IF(AZ440="","",SUM($AZ$8:AZ440)),"")</f>
        <v/>
      </c>
      <c r="BV440" s="100" t="str">
        <f>IF($BJ$5=TRUE,IF(BA440="","",SUM($BA$8:BA440)),"")</f>
        <v/>
      </c>
      <c r="BW440" s="100" t="str">
        <f>IF($BK$5=TRUE,IF(BB440="","",SUM($BB$8:BB440)),"")</f>
        <v/>
      </c>
      <c r="BX440" s="100" t="str">
        <f>IF($BL$5=TRUE,IF(BC440="","",SUM($BC$8:BC440)),"")</f>
        <v/>
      </c>
      <c r="BY440" s="100" t="str">
        <f>IF($BM$5=TRUE,IF(BD440="","",SUM($BD$8:BD440)),"")</f>
        <v/>
      </c>
      <c r="BZ440" s="100" t="str">
        <f>IF($BN$5=TRUE,IF(BE440="","",SUM($BE$8:BE440)),"")</f>
        <v/>
      </c>
    </row>
    <row r="441" spans="46:78" x14ac:dyDescent="0.25">
      <c r="AT441" s="74"/>
      <c r="AW441" s="74"/>
      <c r="BR441" s="133" t="str">
        <f t="shared" si="32"/>
        <v/>
      </c>
      <c r="BS441" s="100" t="str">
        <f>IF($BG$5=TRUE,IF(AX441="","",SUM($AX$8:AX441)),"")</f>
        <v/>
      </c>
      <c r="BT441" s="100" t="str">
        <f>IF($BH$5=TRUE,IF(AY441="","",SUM($AY$8:AY441)),"")</f>
        <v/>
      </c>
      <c r="BU441" s="100" t="str">
        <f>IF($BI$5=TRUE,IF(AZ441="","",SUM($AZ$8:AZ441)),"")</f>
        <v/>
      </c>
      <c r="BV441" s="100" t="str">
        <f>IF($BJ$5=TRUE,IF(BA441="","",SUM($BA$8:BA441)),"")</f>
        <v/>
      </c>
      <c r="BW441" s="100" t="str">
        <f>IF($BK$5=TRUE,IF(BB441="","",SUM($BB$8:BB441)),"")</f>
        <v/>
      </c>
      <c r="BX441" s="100" t="str">
        <f>IF($BL$5=TRUE,IF(BC441="","",SUM($BC$8:BC441)),"")</f>
        <v/>
      </c>
      <c r="BY441" s="100" t="str">
        <f>IF($BM$5=TRUE,IF(BD441="","",SUM($BD$8:BD441)),"")</f>
        <v/>
      </c>
      <c r="BZ441" s="100" t="str">
        <f>IF($BN$5=TRUE,IF(BE441="","",SUM($BE$8:BE441)),"")</f>
        <v/>
      </c>
    </row>
    <row r="442" spans="46:78" x14ac:dyDescent="0.25">
      <c r="AT442" s="74"/>
      <c r="AW442" s="74"/>
      <c r="BR442" s="133" t="str">
        <f t="shared" si="32"/>
        <v/>
      </c>
      <c r="BS442" s="100" t="str">
        <f>IF($BG$5=TRUE,IF(AX442="","",SUM($AX$8:AX442)),"")</f>
        <v/>
      </c>
      <c r="BT442" s="100" t="str">
        <f>IF($BH$5=TRUE,IF(AY442="","",SUM($AY$8:AY442)),"")</f>
        <v/>
      </c>
      <c r="BU442" s="100" t="str">
        <f>IF($BI$5=TRUE,IF(AZ442="","",SUM($AZ$8:AZ442)),"")</f>
        <v/>
      </c>
      <c r="BV442" s="100" t="str">
        <f>IF($BJ$5=TRUE,IF(BA442="","",SUM($BA$8:BA442)),"")</f>
        <v/>
      </c>
      <c r="BW442" s="100" t="str">
        <f>IF($BK$5=TRUE,IF(BB442="","",SUM($BB$8:BB442)),"")</f>
        <v/>
      </c>
      <c r="BX442" s="100" t="str">
        <f>IF($BL$5=TRUE,IF(BC442="","",SUM($BC$8:BC442)),"")</f>
        <v/>
      </c>
      <c r="BY442" s="100" t="str">
        <f>IF($BM$5=TRUE,IF(BD442="","",SUM($BD$8:BD442)),"")</f>
        <v/>
      </c>
      <c r="BZ442" s="100" t="str">
        <f>IF($BN$5=TRUE,IF(BE442="","",SUM($BE$8:BE442)),"")</f>
        <v/>
      </c>
    </row>
    <row r="443" spans="46:78" x14ac:dyDescent="0.25">
      <c r="AT443" s="74"/>
      <c r="AW443" s="74"/>
      <c r="BR443" s="133" t="str">
        <f t="shared" si="32"/>
        <v/>
      </c>
      <c r="BS443" s="100" t="str">
        <f>IF($BG$5=TRUE,IF(AX443="","",SUM($AX$8:AX443)),"")</f>
        <v/>
      </c>
      <c r="BT443" s="100" t="str">
        <f>IF($BH$5=TRUE,IF(AY443="","",SUM($AY$8:AY443)),"")</f>
        <v/>
      </c>
      <c r="BU443" s="100" t="str">
        <f>IF($BI$5=TRUE,IF(AZ443="","",SUM($AZ$8:AZ443)),"")</f>
        <v/>
      </c>
      <c r="BV443" s="100" t="str">
        <f>IF($BJ$5=TRUE,IF(BA443="","",SUM($BA$8:BA443)),"")</f>
        <v/>
      </c>
      <c r="BW443" s="100" t="str">
        <f>IF($BK$5=TRUE,IF(BB443="","",SUM($BB$8:BB443)),"")</f>
        <v/>
      </c>
      <c r="BX443" s="100" t="str">
        <f>IF($BL$5=TRUE,IF(BC443="","",SUM($BC$8:BC443)),"")</f>
        <v/>
      </c>
      <c r="BY443" s="100" t="str">
        <f>IF($BM$5=TRUE,IF(BD443="","",SUM($BD$8:BD443)),"")</f>
        <v/>
      </c>
      <c r="BZ443" s="100" t="str">
        <f>IF($BN$5=TRUE,IF(BE443="","",SUM($BE$8:BE443)),"")</f>
        <v/>
      </c>
    </row>
    <row r="444" spans="46:78" x14ac:dyDescent="0.25">
      <c r="AT444" s="74"/>
      <c r="AW444" s="74"/>
      <c r="BR444" s="133" t="str">
        <f t="shared" si="32"/>
        <v/>
      </c>
      <c r="BS444" s="100" t="str">
        <f>IF($BG$5=TRUE,IF(AX444="","",SUM($AX$8:AX444)),"")</f>
        <v/>
      </c>
      <c r="BT444" s="100" t="str">
        <f>IF($BH$5=TRUE,IF(AY444="","",SUM($AY$8:AY444)),"")</f>
        <v/>
      </c>
      <c r="BU444" s="100" t="str">
        <f>IF($BI$5=TRUE,IF(AZ444="","",SUM($AZ$8:AZ444)),"")</f>
        <v/>
      </c>
      <c r="BV444" s="100" t="str">
        <f>IF($BJ$5=TRUE,IF(BA444="","",SUM($BA$8:BA444)),"")</f>
        <v/>
      </c>
      <c r="BW444" s="100" t="str">
        <f>IF($BK$5=TRUE,IF(BB444="","",SUM($BB$8:BB444)),"")</f>
        <v/>
      </c>
      <c r="BX444" s="100" t="str">
        <f>IF($BL$5=TRUE,IF(BC444="","",SUM($BC$8:BC444)),"")</f>
        <v/>
      </c>
      <c r="BY444" s="100" t="str">
        <f>IF($BM$5=TRUE,IF(BD444="","",SUM($BD$8:BD444)),"")</f>
        <v/>
      </c>
      <c r="BZ444" s="100" t="str">
        <f>IF($BN$5=TRUE,IF(BE444="","",SUM($BE$8:BE444)),"")</f>
        <v/>
      </c>
    </row>
    <row r="445" spans="46:78" x14ac:dyDescent="0.25">
      <c r="AT445" s="74"/>
      <c r="AW445" s="74"/>
      <c r="BR445" s="133" t="str">
        <f t="shared" si="32"/>
        <v/>
      </c>
      <c r="BS445" s="100" t="str">
        <f>IF($BG$5=TRUE,IF(AX445="","",SUM($AX$8:AX445)),"")</f>
        <v/>
      </c>
      <c r="BT445" s="100" t="str">
        <f>IF($BH$5=TRUE,IF(AY445="","",SUM($AY$8:AY445)),"")</f>
        <v/>
      </c>
      <c r="BU445" s="100" t="str">
        <f>IF($BI$5=TRUE,IF(AZ445="","",SUM($AZ$8:AZ445)),"")</f>
        <v/>
      </c>
      <c r="BV445" s="100" t="str">
        <f>IF($BJ$5=TRUE,IF(BA445="","",SUM($BA$8:BA445)),"")</f>
        <v/>
      </c>
      <c r="BW445" s="100" t="str">
        <f>IF($BK$5=TRUE,IF(BB445="","",SUM($BB$8:BB445)),"")</f>
        <v/>
      </c>
      <c r="BX445" s="100" t="str">
        <f>IF($BL$5=TRUE,IF(BC445="","",SUM($BC$8:BC445)),"")</f>
        <v/>
      </c>
      <c r="BY445" s="100" t="str">
        <f>IF($BM$5=TRUE,IF(BD445="","",SUM($BD$8:BD445)),"")</f>
        <v/>
      </c>
      <c r="BZ445" s="100" t="str">
        <f>IF($BN$5=TRUE,IF(BE445="","",SUM($BE$8:BE445)),"")</f>
        <v/>
      </c>
    </row>
    <row r="446" spans="46:78" x14ac:dyDescent="0.25">
      <c r="AT446" s="74"/>
      <c r="AW446" s="74"/>
      <c r="BR446" s="133" t="str">
        <f t="shared" si="32"/>
        <v/>
      </c>
      <c r="BS446" s="100" t="str">
        <f>IF($BG$5=TRUE,IF(AX446="","",SUM($AX$8:AX446)),"")</f>
        <v/>
      </c>
      <c r="BT446" s="100" t="str">
        <f>IF($BH$5=TRUE,IF(AY446="","",SUM($AY$8:AY446)),"")</f>
        <v/>
      </c>
      <c r="BU446" s="100" t="str">
        <f>IF($BI$5=TRUE,IF(AZ446="","",SUM($AZ$8:AZ446)),"")</f>
        <v/>
      </c>
      <c r="BV446" s="100" t="str">
        <f>IF($BJ$5=TRUE,IF(BA446="","",SUM($BA$8:BA446)),"")</f>
        <v/>
      </c>
      <c r="BW446" s="100" t="str">
        <f>IF($BK$5=TRUE,IF(BB446="","",SUM($BB$8:BB446)),"")</f>
        <v/>
      </c>
      <c r="BX446" s="100" t="str">
        <f>IF($BL$5=TRUE,IF(BC446="","",SUM($BC$8:BC446)),"")</f>
        <v/>
      </c>
      <c r="BY446" s="100" t="str">
        <f>IF($BM$5=TRUE,IF(BD446="","",SUM($BD$8:BD446)),"")</f>
        <v/>
      </c>
      <c r="BZ446" s="100" t="str">
        <f>IF($BN$5=TRUE,IF(BE446="","",SUM($BE$8:BE446)),"")</f>
        <v/>
      </c>
    </row>
    <row r="447" spans="46:78" x14ac:dyDescent="0.25">
      <c r="AT447" s="74"/>
      <c r="AW447" s="74"/>
      <c r="BR447" s="133" t="str">
        <f t="shared" si="32"/>
        <v/>
      </c>
      <c r="BS447" s="100" t="str">
        <f>IF($BG$5=TRUE,IF(AX447="","",SUM($AX$8:AX447)),"")</f>
        <v/>
      </c>
      <c r="BT447" s="100" t="str">
        <f>IF($BH$5=TRUE,IF(AY447="","",SUM($AY$8:AY447)),"")</f>
        <v/>
      </c>
      <c r="BU447" s="100" t="str">
        <f>IF($BI$5=TRUE,IF(AZ447="","",SUM($AZ$8:AZ447)),"")</f>
        <v/>
      </c>
      <c r="BV447" s="100" t="str">
        <f>IF($BJ$5=TRUE,IF(BA447="","",SUM($BA$8:BA447)),"")</f>
        <v/>
      </c>
      <c r="BW447" s="100" t="str">
        <f>IF($BK$5=TRUE,IF(BB447="","",SUM($BB$8:BB447)),"")</f>
        <v/>
      </c>
      <c r="BX447" s="100" t="str">
        <f>IF($BL$5=TRUE,IF(BC447="","",SUM($BC$8:BC447)),"")</f>
        <v/>
      </c>
      <c r="BY447" s="100" t="str">
        <f>IF($BM$5=TRUE,IF(BD447="","",SUM($BD$8:BD447)),"")</f>
        <v/>
      </c>
      <c r="BZ447" s="100" t="str">
        <f>IF($BN$5=TRUE,IF(BE447="","",SUM($BE$8:BE447)),"")</f>
        <v/>
      </c>
    </row>
    <row r="448" spans="46:78" x14ac:dyDescent="0.25">
      <c r="AT448" s="74"/>
      <c r="AW448" s="74"/>
      <c r="BR448" s="133" t="str">
        <f t="shared" si="32"/>
        <v/>
      </c>
      <c r="BS448" s="100" t="str">
        <f>IF($BG$5=TRUE,IF(AX448="","",SUM($AX$8:AX448)),"")</f>
        <v/>
      </c>
      <c r="BT448" s="100" t="str">
        <f>IF($BH$5=TRUE,IF(AY448="","",SUM($AY$8:AY448)),"")</f>
        <v/>
      </c>
      <c r="BU448" s="100" t="str">
        <f>IF($BI$5=TRUE,IF(AZ448="","",SUM($AZ$8:AZ448)),"")</f>
        <v/>
      </c>
      <c r="BV448" s="100" t="str">
        <f>IF($BJ$5=TRUE,IF(BA448="","",SUM($BA$8:BA448)),"")</f>
        <v/>
      </c>
      <c r="BW448" s="100" t="str">
        <f>IF($BK$5=TRUE,IF(BB448="","",SUM($BB$8:BB448)),"")</f>
        <v/>
      </c>
      <c r="BX448" s="100" t="str">
        <f>IF($BL$5=TRUE,IF(BC448="","",SUM($BC$8:BC448)),"")</f>
        <v/>
      </c>
      <c r="BY448" s="100" t="str">
        <f>IF($BM$5=TRUE,IF(BD448="","",SUM($BD$8:BD448)),"")</f>
        <v/>
      </c>
      <c r="BZ448" s="100" t="str">
        <f>IF($BN$5=TRUE,IF(BE448="","",SUM($BE$8:BE448)),"")</f>
        <v/>
      </c>
    </row>
    <row r="449" spans="46:78" x14ac:dyDescent="0.25">
      <c r="AT449" s="74"/>
      <c r="AW449" s="74"/>
      <c r="BR449" s="133" t="str">
        <f t="shared" si="32"/>
        <v/>
      </c>
      <c r="BS449" s="100" t="str">
        <f>IF($BG$5=TRUE,IF(AX449="","",SUM($AX$8:AX449)),"")</f>
        <v/>
      </c>
      <c r="BT449" s="100" t="str">
        <f>IF($BH$5=TRUE,IF(AY449="","",SUM($AY$8:AY449)),"")</f>
        <v/>
      </c>
      <c r="BU449" s="100" t="str">
        <f>IF($BI$5=TRUE,IF(AZ449="","",SUM($AZ$8:AZ449)),"")</f>
        <v/>
      </c>
      <c r="BV449" s="100" t="str">
        <f>IF($BJ$5=TRUE,IF(BA449="","",SUM($BA$8:BA449)),"")</f>
        <v/>
      </c>
      <c r="BW449" s="100" t="str">
        <f>IF($BK$5=TRUE,IF(BB449="","",SUM($BB$8:BB449)),"")</f>
        <v/>
      </c>
      <c r="BX449" s="100" t="str">
        <f>IF($BL$5=TRUE,IF(BC449="","",SUM($BC$8:BC449)),"")</f>
        <v/>
      </c>
      <c r="BY449" s="100" t="str">
        <f>IF($BM$5=TRUE,IF(BD449="","",SUM($BD$8:BD449)),"")</f>
        <v/>
      </c>
      <c r="BZ449" s="100" t="str">
        <f>IF($BN$5=TRUE,IF(BE449="","",SUM($BE$8:BE449)),"")</f>
        <v/>
      </c>
    </row>
    <row r="450" spans="46:78" x14ac:dyDescent="0.25">
      <c r="AT450" s="74"/>
      <c r="AW450" s="74"/>
      <c r="BR450" s="133" t="str">
        <f t="shared" si="32"/>
        <v/>
      </c>
      <c r="BS450" s="100" t="str">
        <f>IF($BG$5=TRUE,IF(AX450="","",SUM($AX$8:AX450)),"")</f>
        <v/>
      </c>
      <c r="BT450" s="100" t="str">
        <f>IF($BH$5=TRUE,IF(AY450="","",SUM($AY$8:AY450)),"")</f>
        <v/>
      </c>
      <c r="BU450" s="100" t="str">
        <f>IF($BI$5=TRUE,IF(AZ450="","",SUM($AZ$8:AZ450)),"")</f>
        <v/>
      </c>
      <c r="BV450" s="100" t="str">
        <f>IF($BJ$5=TRUE,IF(BA450="","",SUM($BA$8:BA450)),"")</f>
        <v/>
      </c>
      <c r="BW450" s="100" t="str">
        <f>IF($BK$5=TRUE,IF(BB450="","",SUM($BB$8:BB450)),"")</f>
        <v/>
      </c>
      <c r="BX450" s="100" t="str">
        <f>IF($BL$5=TRUE,IF(BC450="","",SUM($BC$8:BC450)),"")</f>
        <v/>
      </c>
      <c r="BY450" s="100" t="str">
        <f>IF($BM$5=TRUE,IF(BD450="","",SUM($BD$8:BD450)),"")</f>
        <v/>
      </c>
      <c r="BZ450" s="100" t="str">
        <f>IF($BN$5=TRUE,IF(BE450="","",SUM($BE$8:BE450)),"")</f>
        <v/>
      </c>
    </row>
    <row r="451" spans="46:78" x14ac:dyDescent="0.25">
      <c r="AT451" s="74"/>
      <c r="AW451" s="74"/>
      <c r="BR451" s="133" t="str">
        <f t="shared" si="32"/>
        <v/>
      </c>
      <c r="BS451" s="100" t="str">
        <f>IF($BG$5=TRUE,IF(AX451="","",SUM($AX$8:AX451)),"")</f>
        <v/>
      </c>
      <c r="BT451" s="100" t="str">
        <f>IF($BH$5=TRUE,IF(AY451="","",SUM($AY$8:AY451)),"")</f>
        <v/>
      </c>
      <c r="BU451" s="100" t="str">
        <f>IF($BI$5=TRUE,IF(AZ451="","",SUM($AZ$8:AZ451)),"")</f>
        <v/>
      </c>
      <c r="BV451" s="100" t="str">
        <f>IF($BJ$5=TRUE,IF(BA451="","",SUM($BA$8:BA451)),"")</f>
        <v/>
      </c>
      <c r="BW451" s="100" t="str">
        <f>IF($BK$5=TRUE,IF(BB451="","",SUM($BB$8:BB451)),"")</f>
        <v/>
      </c>
      <c r="BX451" s="100" t="str">
        <f>IF($BL$5=TRUE,IF(BC451="","",SUM($BC$8:BC451)),"")</f>
        <v/>
      </c>
      <c r="BY451" s="100" t="str">
        <f>IF($BM$5=TRUE,IF(BD451="","",SUM($BD$8:BD451)),"")</f>
        <v/>
      </c>
      <c r="BZ451" s="100" t="str">
        <f>IF($BN$5=TRUE,IF(BE451="","",SUM($BE$8:BE451)),"")</f>
        <v/>
      </c>
    </row>
    <row r="452" spans="46:78" x14ac:dyDescent="0.25">
      <c r="AT452" s="74"/>
      <c r="AW452" s="74"/>
      <c r="BR452" s="133" t="str">
        <f t="shared" si="32"/>
        <v/>
      </c>
      <c r="BS452" s="100" t="str">
        <f>IF($BG$5=TRUE,IF(AX452="","",SUM($AX$8:AX452)),"")</f>
        <v/>
      </c>
      <c r="BT452" s="100" t="str">
        <f>IF($BH$5=TRUE,IF(AY452="","",SUM($AY$8:AY452)),"")</f>
        <v/>
      </c>
      <c r="BU452" s="100" t="str">
        <f>IF($BI$5=TRUE,IF(AZ452="","",SUM($AZ$8:AZ452)),"")</f>
        <v/>
      </c>
      <c r="BV452" s="100" t="str">
        <f>IF($BJ$5=TRUE,IF(BA452="","",SUM($BA$8:BA452)),"")</f>
        <v/>
      </c>
      <c r="BW452" s="100" t="str">
        <f>IF($BK$5=TRUE,IF(BB452="","",SUM($BB$8:BB452)),"")</f>
        <v/>
      </c>
      <c r="BX452" s="100" t="str">
        <f>IF($BL$5=TRUE,IF(BC452="","",SUM($BC$8:BC452)),"")</f>
        <v/>
      </c>
      <c r="BY452" s="100" t="str">
        <f>IF($BM$5=TRUE,IF(BD452="","",SUM($BD$8:BD452)),"")</f>
        <v/>
      </c>
      <c r="BZ452" s="100" t="str">
        <f>IF($BN$5=TRUE,IF(BE452="","",SUM($BE$8:BE452)),"")</f>
        <v/>
      </c>
    </row>
    <row r="453" spans="46:78" x14ac:dyDescent="0.25">
      <c r="AT453" s="74"/>
      <c r="AW453" s="74"/>
      <c r="BR453" s="133" t="str">
        <f t="shared" si="32"/>
        <v/>
      </c>
      <c r="BS453" s="100" t="str">
        <f>IF($BG$5=TRUE,IF(AX453="","",SUM($AX$8:AX453)),"")</f>
        <v/>
      </c>
      <c r="BT453" s="100" t="str">
        <f>IF($BH$5=TRUE,IF(AY453="","",SUM($AY$8:AY453)),"")</f>
        <v/>
      </c>
      <c r="BU453" s="100" t="str">
        <f>IF($BI$5=TRUE,IF(AZ453="","",SUM($AZ$8:AZ453)),"")</f>
        <v/>
      </c>
      <c r="BV453" s="100" t="str">
        <f>IF($BJ$5=TRUE,IF(BA453="","",SUM($BA$8:BA453)),"")</f>
        <v/>
      </c>
      <c r="BW453" s="100" t="str">
        <f>IF($BK$5=TRUE,IF(BB453="","",SUM($BB$8:BB453)),"")</f>
        <v/>
      </c>
      <c r="BX453" s="100" t="str">
        <f>IF($BL$5=TRUE,IF(BC453="","",SUM($BC$8:BC453)),"")</f>
        <v/>
      </c>
      <c r="BY453" s="100" t="str">
        <f>IF($BM$5=TRUE,IF(BD453="","",SUM($BD$8:BD453)),"")</f>
        <v/>
      </c>
      <c r="BZ453" s="100" t="str">
        <f>IF($BN$5=TRUE,IF(BE453="","",SUM($BE$8:BE453)),"")</f>
        <v/>
      </c>
    </row>
    <row r="454" spans="46:78" x14ac:dyDescent="0.25">
      <c r="AT454" s="74"/>
      <c r="AW454" s="74"/>
      <c r="BR454" s="133" t="str">
        <f t="shared" si="32"/>
        <v/>
      </c>
      <c r="BS454" s="100" t="str">
        <f>IF($BG$5=TRUE,IF(AX454="","",SUM($AX$8:AX454)),"")</f>
        <v/>
      </c>
      <c r="BT454" s="100" t="str">
        <f>IF($BH$5=TRUE,IF(AY454="","",SUM($AY$8:AY454)),"")</f>
        <v/>
      </c>
      <c r="BU454" s="100" t="str">
        <f>IF($BI$5=TRUE,IF(AZ454="","",SUM($AZ$8:AZ454)),"")</f>
        <v/>
      </c>
      <c r="BV454" s="100" t="str">
        <f>IF($BJ$5=TRUE,IF(BA454="","",SUM($BA$8:BA454)),"")</f>
        <v/>
      </c>
      <c r="BW454" s="100" t="str">
        <f>IF($BK$5=TRUE,IF(BB454="","",SUM($BB$8:BB454)),"")</f>
        <v/>
      </c>
      <c r="BX454" s="100" t="str">
        <f>IF($BL$5=TRUE,IF(BC454="","",SUM($BC$8:BC454)),"")</f>
        <v/>
      </c>
      <c r="BY454" s="100" t="str">
        <f>IF($BM$5=TRUE,IF(BD454="","",SUM($BD$8:BD454)),"")</f>
        <v/>
      </c>
      <c r="BZ454" s="100" t="str">
        <f>IF($BN$5=TRUE,IF(BE454="","",SUM($BE$8:BE454)),"")</f>
        <v/>
      </c>
    </row>
    <row r="455" spans="46:78" x14ac:dyDescent="0.25">
      <c r="AT455" s="74"/>
      <c r="AW455" s="74"/>
      <c r="BR455" s="133" t="str">
        <f t="shared" si="32"/>
        <v/>
      </c>
      <c r="BS455" s="100" t="str">
        <f>IF($BG$5=TRUE,IF(AX455="","",SUM($AX$8:AX455)),"")</f>
        <v/>
      </c>
      <c r="BT455" s="100" t="str">
        <f>IF($BH$5=TRUE,IF(AY455="","",SUM($AY$8:AY455)),"")</f>
        <v/>
      </c>
      <c r="BU455" s="100" t="str">
        <f>IF($BI$5=TRUE,IF(AZ455="","",SUM($AZ$8:AZ455)),"")</f>
        <v/>
      </c>
      <c r="BV455" s="100" t="str">
        <f>IF($BJ$5=TRUE,IF(BA455="","",SUM($BA$8:BA455)),"")</f>
        <v/>
      </c>
      <c r="BW455" s="100" t="str">
        <f>IF($BK$5=TRUE,IF(BB455="","",SUM($BB$8:BB455)),"")</f>
        <v/>
      </c>
      <c r="BX455" s="100" t="str">
        <f>IF($BL$5=TRUE,IF(BC455="","",SUM($BC$8:BC455)),"")</f>
        <v/>
      </c>
      <c r="BY455" s="100" t="str">
        <f>IF($BM$5=TRUE,IF(BD455="","",SUM($BD$8:BD455)),"")</f>
        <v/>
      </c>
      <c r="BZ455" s="100" t="str">
        <f>IF($BN$5=TRUE,IF(BE455="","",SUM($BE$8:BE455)),"")</f>
        <v/>
      </c>
    </row>
    <row r="456" spans="46:78" x14ac:dyDescent="0.25">
      <c r="AT456" s="74"/>
      <c r="AW456" s="74"/>
      <c r="BR456" s="133" t="str">
        <f t="shared" si="32"/>
        <v/>
      </c>
      <c r="BS456" s="100" t="str">
        <f>IF($BG$5=TRUE,IF(AX456="","",SUM($AX$8:AX456)),"")</f>
        <v/>
      </c>
      <c r="BT456" s="100" t="str">
        <f>IF($BH$5=TRUE,IF(AY456="","",SUM($AY$8:AY456)),"")</f>
        <v/>
      </c>
      <c r="BU456" s="100" t="str">
        <f>IF($BI$5=TRUE,IF(AZ456="","",SUM($AZ$8:AZ456)),"")</f>
        <v/>
      </c>
      <c r="BV456" s="100" t="str">
        <f>IF($BJ$5=TRUE,IF(BA456="","",SUM($BA$8:BA456)),"")</f>
        <v/>
      </c>
      <c r="BW456" s="100" t="str">
        <f>IF($BK$5=TRUE,IF(BB456="","",SUM($BB$8:BB456)),"")</f>
        <v/>
      </c>
      <c r="BX456" s="100" t="str">
        <f>IF($BL$5=TRUE,IF(BC456="","",SUM($BC$8:BC456)),"")</f>
        <v/>
      </c>
      <c r="BY456" s="100" t="str">
        <f>IF($BM$5=TRUE,IF(BD456="","",SUM($BD$8:BD456)),"")</f>
        <v/>
      </c>
      <c r="BZ456" s="100" t="str">
        <f>IF($BN$5=TRUE,IF(BE456="","",SUM($BE$8:BE456)),"")</f>
        <v/>
      </c>
    </row>
    <row r="457" spans="46:78" x14ac:dyDescent="0.25">
      <c r="AT457" s="74"/>
      <c r="AW457" s="74"/>
      <c r="BR457" s="133" t="str">
        <f t="shared" si="32"/>
        <v/>
      </c>
      <c r="BS457" s="100" t="str">
        <f>IF($BG$5=TRUE,IF(AX457="","",SUM($AX$8:AX457)),"")</f>
        <v/>
      </c>
      <c r="BT457" s="100" t="str">
        <f>IF($BH$5=TRUE,IF(AY457="","",SUM($AY$8:AY457)),"")</f>
        <v/>
      </c>
      <c r="BU457" s="100" t="str">
        <f>IF($BI$5=TRUE,IF(AZ457="","",SUM($AZ$8:AZ457)),"")</f>
        <v/>
      </c>
      <c r="BV457" s="100" t="str">
        <f>IF($BJ$5=TRUE,IF(BA457="","",SUM($BA$8:BA457)),"")</f>
        <v/>
      </c>
      <c r="BW457" s="100" t="str">
        <f>IF($BK$5=TRUE,IF(BB457="","",SUM($BB$8:BB457)),"")</f>
        <v/>
      </c>
      <c r="BX457" s="100" t="str">
        <f>IF($BL$5=TRUE,IF(BC457="","",SUM($BC$8:BC457)),"")</f>
        <v/>
      </c>
      <c r="BY457" s="100" t="str">
        <f>IF($BM$5=TRUE,IF(BD457="","",SUM($BD$8:BD457)),"")</f>
        <v/>
      </c>
      <c r="BZ457" s="100" t="str">
        <f>IF($BN$5=TRUE,IF(BE457="","",SUM($BE$8:BE457)),"")</f>
        <v/>
      </c>
    </row>
    <row r="458" spans="46:78" x14ac:dyDescent="0.25">
      <c r="AT458" s="74"/>
      <c r="AW458" s="74"/>
      <c r="BR458" s="133" t="str">
        <f t="shared" si="32"/>
        <v/>
      </c>
      <c r="BS458" s="100" t="str">
        <f>IF($BG$5=TRUE,IF(AX458="","",SUM($AX$8:AX458)),"")</f>
        <v/>
      </c>
      <c r="BT458" s="100" t="str">
        <f>IF($BH$5=TRUE,IF(AY458="","",SUM($AY$8:AY458)),"")</f>
        <v/>
      </c>
      <c r="BU458" s="100" t="str">
        <f>IF($BI$5=TRUE,IF(AZ458="","",SUM($AZ$8:AZ458)),"")</f>
        <v/>
      </c>
      <c r="BV458" s="100" t="str">
        <f>IF($BJ$5=TRUE,IF(BA458="","",SUM($BA$8:BA458)),"")</f>
        <v/>
      </c>
      <c r="BW458" s="100" t="str">
        <f>IF($BK$5=TRUE,IF(BB458="","",SUM($BB$8:BB458)),"")</f>
        <v/>
      </c>
      <c r="BX458" s="100" t="str">
        <f>IF($BL$5=TRUE,IF(BC458="","",SUM($BC$8:BC458)),"")</f>
        <v/>
      </c>
      <c r="BY458" s="100" t="str">
        <f>IF($BM$5=TRUE,IF(BD458="","",SUM($BD$8:BD458)),"")</f>
        <v/>
      </c>
      <c r="BZ458" s="100" t="str">
        <f>IF($BN$5=TRUE,IF(BE458="","",SUM($BE$8:BE458)),"")</f>
        <v/>
      </c>
    </row>
    <row r="459" spans="46:78" x14ac:dyDescent="0.25">
      <c r="AT459" s="74"/>
      <c r="AW459" s="74"/>
      <c r="BR459" s="133" t="str">
        <f t="shared" ref="BR459:BR522" si="33">IF(AW459="","",AW459)</f>
        <v/>
      </c>
      <c r="BS459" s="100" t="str">
        <f>IF($BG$5=TRUE,IF(AX459="","",SUM($AX$8:AX459)),"")</f>
        <v/>
      </c>
      <c r="BT459" s="100" t="str">
        <f>IF($BH$5=TRUE,IF(AY459="","",SUM($AY$8:AY459)),"")</f>
        <v/>
      </c>
      <c r="BU459" s="100" t="str">
        <f>IF($BI$5=TRUE,IF(AZ459="","",SUM($AZ$8:AZ459)),"")</f>
        <v/>
      </c>
      <c r="BV459" s="100" t="str">
        <f>IF($BJ$5=TRUE,IF(BA459="","",SUM($BA$8:BA459)),"")</f>
        <v/>
      </c>
      <c r="BW459" s="100" t="str">
        <f>IF($BK$5=TRUE,IF(BB459="","",SUM($BB$8:BB459)),"")</f>
        <v/>
      </c>
      <c r="BX459" s="100" t="str">
        <f>IF($BL$5=TRUE,IF(BC459="","",SUM($BC$8:BC459)),"")</f>
        <v/>
      </c>
      <c r="BY459" s="100" t="str">
        <f>IF($BM$5=TRUE,IF(BD459="","",SUM($BD$8:BD459)),"")</f>
        <v/>
      </c>
      <c r="BZ459" s="100" t="str">
        <f>IF($BN$5=TRUE,IF(BE459="","",SUM($BE$8:BE459)),"")</f>
        <v/>
      </c>
    </row>
    <row r="460" spans="46:78" x14ac:dyDescent="0.25">
      <c r="AT460" s="74"/>
      <c r="AW460" s="74"/>
      <c r="BR460" s="133" t="str">
        <f t="shared" si="33"/>
        <v/>
      </c>
      <c r="BS460" s="100" t="str">
        <f>IF($BG$5=TRUE,IF(AX460="","",SUM($AX$8:AX460)),"")</f>
        <v/>
      </c>
      <c r="BT460" s="100" t="str">
        <f>IF($BH$5=TRUE,IF(AY460="","",SUM($AY$8:AY460)),"")</f>
        <v/>
      </c>
      <c r="BU460" s="100" t="str">
        <f>IF($BI$5=TRUE,IF(AZ460="","",SUM($AZ$8:AZ460)),"")</f>
        <v/>
      </c>
      <c r="BV460" s="100" t="str">
        <f>IF($BJ$5=TRUE,IF(BA460="","",SUM($BA$8:BA460)),"")</f>
        <v/>
      </c>
      <c r="BW460" s="100" t="str">
        <f>IF($BK$5=TRUE,IF(BB460="","",SUM($BB$8:BB460)),"")</f>
        <v/>
      </c>
      <c r="BX460" s="100" t="str">
        <f>IF($BL$5=TRUE,IF(BC460="","",SUM($BC$8:BC460)),"")</f>
        <v/>
      </c>
      <c r="BY460" s="100" t="str">
        <f>IF($BM$5=TRUE,IF(BD460="","",SUM($BD$8:BD460)),"")</f>
        <v/>
      </c>
      <c r="BZ460" s="100" t="str">
        <f>IF($BN$5=TRUE,IF(BE460="","",SUM($BE$8:BE460)),"")</f>
        <v/>
      </c>
    </row>
    <row r="461" spans="46:78" x14ac:dyDescent="0.25">
      <c r="AT461" s="74"/>
      <c r="AW461" s="74"/>
      <c r="BR461" s="133" t="str">
        <f t="shared" si="33"/>
        <v/>
      </c>
      <c r="BS461" s="100" t="str">
        <f>IF($BG$5=TRUE,IF(AX461="","",SUM($AX$8:AX461)),"")</f>
        <v/>
      </c>
      <c r="BT461" s="100" t="str">
        <f>IF($BH$5=TRUE,IF(AY461="","",SUM($AY$8:AY461)),"")</f>
        <v/>
      </c>
      <c r="BU461" s="100" t="str">
        <f>IF($BI$5=TRUE,IF(AZ461="","",SUM($AZ$8:AZ461)),"")</f>
        <v/>
      </c>
      <c r="BV461" s="100" t="str">
        <f>IF($BJ$5=TRUE,IF(BA461="","",SUM($BA$8:BA461)),"")</f>
        <v/>
      </c>
      <c r="BW461" s="100" t="str">
        <f>IF($BK$5=TRUE,IF(BB461="","",SUM($BB$8:BB461)),"")</f>
        <v/>
      </c>
      <c r="BX461" s="100" t="str">
        <f>IF($BL$5=TRUE,IF(BC461="","",SUM($BC$8:BC461)),"")</f>
        <v/>
      </c>
      <c r="BY461" s="100" t="str">
        <f>IF($BM$5=TRUE,IF(BD461="","",SUM($BD$8:BD461)),"")</f>
        <v/>
      </c>
      <c r="BZ461" s="100" t="str">
        <f>IF($BN$5=TRUE,IF(BE461="","",SUM($BE$8:BE461)),"")</f>
        <v/>
      </c>
    </row>
    <row r="462" spans="46:78" x14ac:dyDescent="0.25">
      <c r="AT462" s="74"/>
      <c r="AW462" s="74"/>
      <c r="BR462" s="133" t="str">
        <f t="shared" si="33"/>
        <v/>
      </c>
      <c r="BS462" s="100" t="str">
        <f>IF($BG$5=TRUE,IF(AX462="","",SUM($AX$8:AX462)),"")</f>
        <v/>
      </c>
      <c r="BT462" s="100" t="str">
        <f>IF($BH$5=TRUE,IF(AY462="","",SUM($AY$8:AY462)),"")</f>
        <v/>
      </c>
      <c r="BU462" s="100" t="str">
        <f>IF($BI$5=TRUE,IF(AZ462="","",SUM($AZ$8:AZ462)),"")</f>
        <v/>
      </c>
      <c r="BV462" s="100" t="str">
        <f>IF($BJ$5=TRUE,IF(BA462="","",SUM($BA$8:BA462)),"")</f>
        <v/>
      </c>
      <c r="BW462" s="100" t="str">
        <f>IF($BK$5=TRUE,IF(BB462="","",SUM($BB$8:BB462)),"")</f>
        <v/>
      </c>
      <c r="BX462" s="100" t="str">
        <f>IF($BL$5=TRUE,IF(BC462="","",SUM($BC$8:BC462)),"")</f>
        <v/>
      </c>
      <c r="BY462" s="100" t="str">
        <f>IF($BM$5=TRUE,IF(BD462="","",SUM($BD$8:BD462)),"")</f>
        <v/>
      </c>
      <c r="BZ462" s="100" t="str">
        <f>IF($BN$5=TRUE,IF(BE462="","",SUM($BE$8:BE462)),"")</f>
        <v/>
      </c>
    </row>
    <row r="463" spans="46:78" x14ac:dyDescent="0.25">
      <c r="AT463" s="74"/>
      <c r="AW463" s="74"/>
      <c r="BR463" s="133" t="str">
        <f t="shared" si="33"/>
        <v/>
      </c>
      <c r="BS463" s="100" t="str">
        <f>IF($BG$5=TRUE,IF(AX463="","",SUM($AX$8:AX463)),"")</f>
        <v/>
      </c>
      <c r="BT463" s="100" t="str">
        <f>IF($BH$5=TRUE,IF(AY463="","",SUM($AY$8:AY463)),"")</f>
        <v/>
      </c>
      <c r="BU463" s="100" t="str">
        <f>IF($BI$5=TRUE,IF(AZ463="","",SUM($AZ$8:AZ463)),"")</f>
        <v/>
      </c>
      <c r="BV463" s="100" t="str">
        <f>IF($BJ$5=TRUE,IF(BA463="","",SUM($BA$8:BA463)),"")</f>
        <v/>
      </c>
      <c r="BW463" s="100" t="str">
        <f>IF($BK$5=TRUE,IF(BB463="","",SUM($BB$8:BB463)),"")</f>
        <v/>
      </c>
      <c r="BX463" s="100" t="str">
        <f>IF($BL$5=TRUE,IF(BC463="","",SUM($BC$8:BC463)),"")</f>
        <v/>
      </c>
      <c r="BY463" s="100" t="str">
        <f>IF($BM$5=TRUE,IF(BD463="","",SUM($BD$8:BD463)),"")</f>
        <v/>
      </c>
      <c r="BZ463" s="100" t="str">
        <f>IF($BN$5=TRUE,IF(BE463="","",SUM($BE$8:BE463)),"")</f>
        <v/>
      </c>
    </row>
    <row r="464" spans="46:78" x14ac:dyDescent="0.25">
      <c r="AT464" s="74"/>
      <c r="AW464" s="74"/>
      <c r="BR464" s="133" t="str">
        <f t="shared" si="33"/>
        <v/>
      </c>
      <c r="BS464" s="100" t="str">
        <f>IF($BG$5=TRUE,IF(AX464="","",SUM($AX$8:AX464)),"")</f>
        <v/>
      </c>
      <c r="BT464" s="100" t="str">
        <f>IF($BH$5=TRUE,IF(AY464="","",SUM($AY$8:AY464)),"")</f>
        <v/>
      </c>
      <c r="BU464" s="100" t="str">
        <f>IF($BI$5=TRUE,IF(AZ464="","",SUM($AZ$8:AZ464)),"")</f>
        <v/>
      </c>
      <c r="BV464" s="100" t="str">
        <f>IF($BJ$5=TRUE,IF(BA464="","",SUM($BA$8:BA464)),"")</f>
        <v/>
      </c>
      <c r="BW464" s="100" t="str">
        <f>IF($BK$5=TRUE,IF(BB464="","",SUM($BB$8:BB464)),"")</f>
        <v/>
      </c>
      <c r="BX464" s="100" t="str">
        <f>IF($BL$5=TRUE,IF(BC464="","",SUM($BC$8:BC464)),"")</f>
        <v/>
      </c>
      <c r="BY464" s="100" t="str">
        <f>IF($BM$5=TRUE,IF(BD464="","",SUM($BD$8:BD464)),"")</f>
        <v/>
      </c>
      <c r="BZ464" s="100" t="str">
        <f>IF($BN$5=TRUE,IF(BE464="","",SUM($BE$8:BE464)),"")</f>
        <v/>
      </c>
    </row>
    <row r="465" spans="46:78" x14ac:dyDescent="0.25">
      <c r="AT465" s="74"/>
      <c r="AW465" s="74"/>
      <c r="BR465" s="133" t="str">
        <f t="shared" si="33"/>
        <v/>
      </c>
      <c r="BS465" s="100" t="str">
        <f>IF($BG$5=TRUE,IF(AX465="","",SUM($AX$8:AX465)),"")</f>
        <v/>
      </c>
      <c r="BT465" s="100" t="str">
        <f>IF($BH$5=TRUE,IF(AY465="","",SUM($AY$8:AY465)),"")</f>
        <v/>
      </c>
      <c r="BU465" s="100" t="str">
        <f>IF($BI$5=TRUE,IF(AZ465="","",SUM($AZ$8:AZ465)),"")</f>
        <v/>
      </c>
      <c r="BV465" s="100" t="str">
        <f>IF($BJ$5=TRUE,IF(BA465="","",SUM($BA$8:BA465)),"")</f>
        <v/>
      </c>
      <c r="BW465" s="100" t="str">
        <f>IF($BK$5=TRUE,IF(BB465="","",SUM($BB$8:BB465)),"")</f>
        <v/>
      </c>
      <c r="BX465" s="100" t="str">
        <f>IF($BL$5=TRUE,IF(BC465="","",SUM($BC$8:BC465)),"")</f>
        <v/>
      </c>
      <c r="BY465" s="100" t="str">
        <f>IF($BM$5=TRUE,IF(BD465="","",SUM($BD$8:BD465)),"")</f>
        <v/>
      </c>
      <c r="BZ465" s="100" t="str">
        <f>IF($BN$5=TRUE,IF(BE465="","",SUM($BE$8:BE465)),"")</f>
        <v/>
      </c>
    </row>
    <row r="466" spans="46:78" x14ac:dyDescent="0.25">
      <c r="AT466" s="74"/>
      <c r="AW466" s="74"/>
      <c r="BR466" s="133" t="str">
        <f t="shared" si="33"/>
        <v/>
      </c>
      <c r="BS466" s="100" t="str">
        <f>IF($BG$5=TRUE,IF(AX466="","",SUM($AX$8:AX466)),"")</f>
        <v/>
      </c>
      <c r="BT466" s="100" t="str">
        <f>IF($BH$5=TRUE,IF(AY466="","",SUM($AY$8:AY466)),"")</f>
        <v/>
      </c>
      <c r="BU466" s="100" t="str">
        <f>IF($BI$5=TRUE,IF(AZ466="","",SUM($AZ$8:AZ466)),"")</f>
        <v/>
      </c>
      <c r="BV466" s="100" t="str">
        <f>IF($BJ$5=TRUE,IF(BA466="","",SUM($BA$8:BA466)),"")</f>
        <v/>
      </c>
      <c r="BW466" s="100" t="str">
        <f>IF($BK$5=TRUE,IF(BB466="","",SUM($BB$8:BB466)),"")</f>
        <v/>
      </c>
      <c r="BX466" s="100" t="str">
        <f>IF($BL$5=TRUE,IF(BC466="","",SUM($BC$8:BC466)),"")</f>
        <v/>
      </c>
      <c r="BY466" s="100" t="str">
        <f>IF($BM$5=TRUE,IF(BD466="","",SUM($BD$8:BD466)),"")</f>
        <v/>
      </c>
      <c r="BZ466" s="100" t="str">
        <f>IF($BN$5=TRUE,IF(BE466="","",SUM($BE$8:BE466)),"")</f>
        <v/>
      </c>
    </row>
    <row r="467" spans="46:78" x14ac:dyDescent="0.25">
      <c r="AT467" s="74"/>
      <c r="AW467" s="74"/>
      <c r="BR467" s="133" t="str">
        <f t="shared" si="33"/>
        <v/>
      </c>
      <c r="BS467" s="100" t="str">
        <f>IF($BG$5=TRUE,IF(AX467="","",SUM($AX$8:AX467)),"")</f>
        <v/>
      </c>
      <c r="BT467" s="100" t="str">
        <f>IF($BH$5=TRUE,IF(AY467="","",SUM($AY$8:AY467)),"")</f>
        <v/>
      </c>
      <c r="BU467" s="100" t="str">
        <f>IF($BI$5=TRUE,IF(AZ467="","",SUM($AZ$8:AZ467)),"")</f>
        <v/>
      </c>
      <c r="BV467" s="100" t="str">
        <f>IF($BJ$5=TRUE,IF(BA467="","",SUM($BA$8:BA467)),"")</f>
        <v/>
      </c>
      <c r="BW467" s="100" t="str">
        <f>IF($BK$5=TRUE,IF(BB467="","",SUM($BB$8:BB467)),"")</f>
        <v/>
      </c>
      <c r="BX467" s="100" t="str">
        <f>IF($BL$5=TRUE,IF(BC467="","",SUM($BC$8:BC467)),"")</f>
        <v/>
      </c>
      <c r="BY467" s="100" t="str">
        <f>IF($BM$5=TRUE,IF(BD467="","",SUM($BD$8:BD467)),"")</f>
        <v/>
      </c>
      <c r="BZ467" s="100" t="str">
        <f>IF($BN$5=TRUE,IF(BE467="","",SUM($BE$8:BE467)),"")</f>
        <v/>
      </c>
    </row>
    <row r="468" spans="46:78" x14ac:dyDescent="0.25">
      <c r="AT468" s="74"/>
      <c r="AW468" s="74"/>
      <c r="BR468" s="133" t="str">
        <f t="shared" si="33"/>
        <v/>
      </c>
      <c r="BS468" s="100" t="str">
        <f>IF($BG$5=TRUE,IF(AX468="","",SUM($AX$8:AX468)),"")</f>
        <v/>
      </c>
      <c r="BT468" s="100" t="str">
        <f>IF($BH$5=TRUE,IF(AY468="","",SUM($AY$8:AY468)),"")</f>
        <v/>
      </c>
      <c r="BU468" s="100" t="str">
        <f>IF($BI$5=TRUE,IF(AZ468="","",SUM($AZ$8:AZ468)),"")</f>
        <v/>
      </c>
      <c r="BV468" s="100" t="str">
        <f>IF($BJ$5=TRUE,IF(BA468="","",SUM($BA$8:BA468)),"")</f>
        <v/>
      </c>
      <c r="BW468" s="100" t="str">
        <f>IF($BK$5=TRUE,IF(BB468="","",SUM($BB$8:BB468)),"")</f>
        <v/>
      </c>
      <c r="BX468" s="100" t="str">
        <f>IF($BL$5=TRUE,IF(BC468="","",SUM($BC$8:BC468)),"")</f>
        <v/>
      </c>
      <c r="BY468" s="100" t="str">
        <f>IF($BM$5=TRUE,IF(BD468="","",SUM($BD$8:BD468)),"")</f>
        <v/>
      </c>
      <c r="BZ468" s="100" t="str">
        <f>IF($BN$5=TRUE,IF(BE468="","",SUM($BE$8:BE468)),"")</f>
        <v/>
      </c>
    </row>
    <row r="469" spans="46:78" x14ac:dyDescent="0.25">
      <c r="AT469" s="74"/>
      <c r="AW469" s="74"/>
      <c r="BR469" s="133" t="str">
        <f t="shared" si="33"/>
        <v/>
      </c>
      <c r="BS469" s="100" t="str">
        <f>IF($BG$5=TRUE,IF(AX469="","",SUM($AX$8:AX469)),"")</f>
        <v/>
      </c>
      <c r="BT469" s="100" t="str">
        <f>IF($BH$5=TRUE,IF(AY469="","",SUM($AY$8:AY469)),"")</f>
        <v/>
      </c>
      <c r="BU469" s="100" t="str">
        <f>IF($BI$5=TRUE,IF(AZ469="","",SUM($AZ$8:AZ469)),"")</f>
        <v/>
      </c>
      <c r="BV469" s="100" t="str">
        <f>IF($BJ$5=TRUE,IF(BA469="","",SUM($BA$8:BA469)),"")</f>
        <v/>
      </c>
      <c r="BW469" s="100" t="str">
        <f>IF($BK$5=TRUE,IF(BB469="","",SUM($BB$8:BB469)),"")</f>
        <v/>
      </c>
      <c r="BX469" s="100" t="str">
        <f>IF($BL$5=TRUE,IF(BC469="","",SUM($BC$8:BC469)),"")</f>
        <v/>
      </c>
      <c r="BY469" s="100" t="str">
        <f>IF($BM$5=TRUE,IF(BD469="","",SUM($BD$8:BD469)),"")</f>
        <v/>
      </c>
      <c r="BZ469" s="100" t="str">
        <f>IF($BN$5=TRUE,IF(BE469="","",SUM($BE$8:BE469)),"")</f>
        <v/>
      </c>
    </row>
    <row r="470" spans="46:78" x14ac:dyDescent="0.25">
      <c r="AT470" s="74"/>
      <c r="AW470" s="74"/>
      <c r="BR470" s="133" t="str">
        <f t="shared" si="33"/>
        <v/>
      </c>
      <c r="BS470" s="100" t="str">
        <f>IF($BG$5=TRUE,IF(AX470="","",SUM($AX$8:AX470)),"")</f>
        <v/>
      </c>
      <c r="BT470" s="100" t="str">
        <f>IF($BH$5=TRUE,IF(AY470="","",SUM($AY$8:AY470)),"")</f>
        <v/>
      </c>
      <c r="BU470" s="100" t="str">
        <f>IF($BI$5=TRUE,IF(AZ470="","",SUM($AZ$8:AZ470)),"")</f>
        <v/>
      </c>
      <c r="BV470" s="100" t="str">
        <f>IF($BJ$5=TRUE,IF(BA470="","",SUM($BA$8:BA470)),"")</f>
        <v/>
      </c>
      <c r="BW470" s="100" t="str">
        <f>IF($BK$5=TRUE,IF(BB470="","",SUM($BB$8:BB470)),"")</f>
        <v/>
      </c>
      <c r="BX470" s="100" t="str">
        <f>IF($BL$5=TRUE,IF(BC470="","",SUM($BC$8:BC470)),"")</f>
        <v/>
      </c>
      <c r="BY470" s="100" t="str">
        <f>IF($BM$5=TRUE,IF(BD470="","",SUM($BD$8:BD470)),"")</f>
        <v/>
      </c>
      <c r="BZ470" s="100" t="str">
        <f>IF($BN$5=TRUE,IF(BE470="","",SUM($BE$8:BE470)),"")</f>
        <v/>
      </c>
    </row>
    <row r="471" spans="46:78" x14ac:dyDescent="0.25">
      <c r="AT471" s="74"/>
      <c r="AW471" s="74"/>
      <c r="BR471" s="133" t="str">
        <f t="shared" si="33"/>
        <v/>
      </c>
      <c r="BS471" s="100" t="str">
        <f>IF($BG$5=TRUE,IF(AX471="","",SUM($AX$8:AX471)),"")</f>
        <v/>
      </c>
      <c r="BT471" s="100" t="str">
        <f>IF($BH$5=TRUE,IF(AY471="","",SUM($AY$8:AY471)),"")</f>
        <v/>
      </c>
      <c r="BU471" s="100" t="str">
        <f>IF($BI$5=TRUE,IF(AZ471="","",SUM($AZ$8:AZ471)),"")</f>
        <v/>
      </c>
      <c r="BV471" s="100" t="str">
        <f>IF($BJ$5=TRUE,IF(BA471="","",SUM($BA$8:BA471)),"")</f>
        <v/>
      </c>
      <c r="BW471" s="100" t="str">
        <f>IF($BK$5=TRUE,IF(BB471="","",SUM($BB$8:BB471)),"")</f>
        <v/>
      </c>
      <c r="BX471" s="100" t="str">
        <f>IF($BL$5=TRUE,IF(BC471="","",SUM($BC$8:BC471)),"")</f>
        <v/>
      </c>
      <c r="BY471" s="100" t="str">
        <f>IF($BM$5=TRUE,IF(BD471="","",SUM($BD$8:BD471)),"")</f>
        <v/>
      </c>
      <c r="BZ471" s="100" t="str">
        <f>IF($BN$5=TRUE,IF(BE471="","",SUM($BE$8:BE471)),"")</f>
        <v/>
      </c>
    </row>
    <row r="472" spans="46:78" x14ac:dyDescent="0.25">
      <c r="AT472" s="74"/>
      <c r="AW472" s="74"/>
      <c r="BR472" s="133" t="str">
        <f t="shared" si="33"/>
        <v/>
      </c>
      <c r="BS472" s="100" t="str">
        <f>IF($BG$5=TRUE,IF(AX472="","",SUM($AX$8:AX472)),"")</f>
        <v/>
      </c>
      <c r="BT472" s="100" t="str">
        <f>IF($BH$5=TRUE,IF(AY472="","",SUM($AY$8:AY472)),"")</f>
        <v/>
      </c>
      <c r="BU472" s="100" t="str">
        <f>IF($BI$5=TRUE,IF(AZ472="","",SUM($AZ$8:AZ472)),"")</f>
        <v/>
      </c>
      <c r="BV472" s="100" t="str">
        <f>IF($BJ$5=TRUE,IF(BA472="","",SUM($BA$8:BA472)),"")</f>
        <v/>
      </c>
      <c r="BW472" s="100" t="str">
        <f>IF($BK$5=TRUE,IF(BB472="","",SUM($BB$8:BB472)),"")</f>
        <v/>
      </c>
      <c r="BX472" s="100" t="str">
        <f>IF($BL$5=TRUE,IF(BC472="","",SUM($BC$8:BC472)),"")</f>
        <v/>
      </c>
      <c r="BY472" s="100" t="str">
        <f>IF($BM$5=TRUE,IF(BD472="","",SUM($BD$8:BD472)),"")</f>
        <v/>
      </c>
      <c r="BZ472" s="100" t="str">
        <f>IF($BN$5=TRUE,IF(BE472="","",SUM($BE$8:BE472)),"")</f>
        <v/>
      </c>
    </row>
    <row r="473" spans="46:78" x14ac:dyDescent="0.25">
      <c r="AT473" s="74"/>
      <c r="AW473" s="74"/>
      <c r="BR473" s="133" t="str">
        <f t="shared" si="33"/>
        <v/>
      </c>
      <c r="BS473" s="100" t="str">
        <f>IF($BG$5=TRUE,IF(AX473="","",SUM($AX$8:AX473)),"")</f>
        <v/>
      </c>
      <c r="BT473" s="100" t="str">
        <f>IF($BH$5=TRUE,IF(AY473="","",SUM($AY$8:AY473)),"")</f>
        <v/>
      </c>
      <c r="BU473" s="100" t="str">
        <f>IF($BI$5=TRUE,IF(AZ473="","",SUM($AZ$8:AZ473)),"")</f>
        <v/>
      </c>
      <c r="BV473" s="100" t="str">
        <f>IF($BJ$5=TRUE,IF(BA473="","",SUM($BA$8:BA473)),"")</f>
        <v/>
      </c>
      <c r="BW473" s="100" t="str">
        <f>IF($BK$5=TRUE,IF(BB473="","",SUM($BB$8:BB473)),"")</f>
        <v/>
      </c>
      <c r="BX473" s="100" t="str">
        <f>IF($BL$5=TRUE,IF(BC473="","",SUM($BC$8:BC473)),"")</f>
        <v/>
      </c>
      <c r="BY473" s="100" t="str">
        <f>IF($BM$5=TRUE,IF(BD473="","",SUM($BD$8:BD473)),"")</f>
        <v/>
      </c>
      <c r="BZ473" s="100" t="str">
        <f>IF($BN$5=TRUE,IF(BE473="","",SUM($BE$8:BE473)),"")</f>
        <v/>
      </c>
    </row>
    <row r="474" spans="46:78" x14ac:dyDescent="0.25">
      <c r="AT474" s="74"/>
      <c r="AW474" s="74"/>
      <c r="BR474" s="133" t="str">
        <f t="shared" si="33"/>
        <v/>
      </c>
      <c r="BS474" s="100" t="str">
        <f>IF($BG$5=TRUE,IF(AX474="","",SUM($AX$8:AX474)),"")</f>
        <v/>
      </c>
      <c r="BT474" s="100" t="str">
        <f>IF($BH$5=TRUE,IF(AY474="","",SUM($AY$8:AY474)),"")</f>
        <v/>
      </c>
      <c r="BU474" s="100" t="str">
        <f>IF($BI$5=TRUE,IF(AZ474="","",SUM($AZ$8:AZ474)),"")</f>
        <v/>
      </c>
      <c r="BV474" s="100" t="str">
        <f>IF($BJ$5=TRUE,IF(BA474="","",SUM($BA$8:BA474)),"")</f>
        <v/>
      </c>
      <c r="BW474" s="100" t="str">
        <f>IF($BK$5=TRUE,IF(BB474="","",SUM($BB$8:BB474)),"")</f>
        <v/>
      </c>
      <c r="BX474" s="100" t="str">
        <f>IF($BL$5=TRUE,IF(BC474="","",SUM($BC$8:BC474)),"")</f>
        <v/>
      </c>
      <c r="BY474" s="100" t="str">
        <f>IF($BM$5=TRUE,IF(BD474="","",SUM($BD$8:BD474)),"")</f>
        <v/>
      </c>
      <c r="BZ474" s="100" t="str">
        <f>IF($BN$5=TRUE,IF(BE474="","",SUM($BE$8:BE474)),"")</f>
        <v/>
      </c>
    </row>
    <row r="475" spans="46:78" x14ac:dyDescent="0.25">
      <c r="AT475" s="74"/>
      <c r="AW475" s="74"/>
      <c r="BR475" s="133" t="str">
        <f t="shared" si="33"/>
        <v/>
      </c>
      <c r="BS475" s="100" t="str">
        <f>IF($BG$5=TRUE,IF(AX475="","",SUM($AX$8:AX475)),"")</f>
        <v/>
      </c>
      <c r="BT475" s="100" t="str">
        <f>IF($BH$5=TRUE,IF(AY475="","",SUM($AY$8:AY475)),"")</f>
        <v/>
      </c>
      <c r="BU475" s="100" t="str">
        <f>IF($BI$5=TRUE,IF(AZ475="","",SUM($AZ$8:AZ475)),"")</f>
        <v/>
      </c>
      <c r="BV475" s="100" t="str">
        <f>IF($BJ$5=TRUE,IF(BA475="","",SUM($BA$8:BA475)),"")</f>
        <v/>
      </c>
      <c r="BW475" s="100" t="str">
        <f>IF($BK$5=TRUE,IF(BB475="","",SUM($BB$8:BB475)),"")</f>
        <v/>
      </c>
      <c r="BX475" s="100" t="str">
        <f>IF($BL$5=TRUE,IF(BC475="","",SUM($BC$8:BC475)),"")</f>
        <v/>
      </c>
      <c r="BY475" s="100" t="str">
        <f>IF($BM$5=TRUE,IF(BD475="","",SUM($BD$8:BD475)),"")</f>
        <v/>
      </c>
      <c r="BZ475" s="100" t="str">
        <f>IF($BN$5=TRUE,IF(BE475="","",SUM($BE$8:BE475)),"")</f>
        <v/>
      </c>
    </row>
    <row r="476" spans="46:78" x14ac:dyDescent="0.25">
      <c r="AT476" s="74"/>
      <c r="AW476" s="74"/>
      <c r="BR476" s="133" t="str">
        <f t="shared" si="33"/>
        <v/>
      </c>
      <c r="BS476" s="100" t="str">
        <f>IF($BG$5=TRUE,IF(AX476="","",SUM($AX$8:AX476)),"")</f>
        <v/>
      </c>
      <c r="BT476" s="100" t="str">
        <f>IF($BH$5=TRUE,IF(AY476="","",SUM($AY$8:AY476)),"")</f>
        <v/>
      </c>
      <c r="BU476" s="100" t="str">
        <f>IF($BI$5=TRUE,IF(AZ476="","",SUM($AZ$8:AZ476)),"")</f>
        <v/>
      </c>
      <c r="BV476" s="100" t="str">
        <f>IF($BJ$5=TRUE,IF(BA476="","",SUM($BA$8:BA476)),"")</f>
        <v/>
      </c>
      <c r="BW476" s="100" t="str">
        <f>IF($BK$5=TRUE,IF(BB476="","",SUM($BB$8:BB476)),"")</f>
        <v/>
      </c>
      <c r="BX476" s="100" t="str">
        <f>IF($BL$5=TRUE,IF(BC476="","",SUM($BC$8:BC476)),"")</f>
        <v/>
      </c>
      <c r="BY476" s="100" t="str">
        <f>IF($BM$5=TRUE,IF(BD476="","",SUM($BD$8:BD476)),"")</f>
        <v/>
      </c>
      <c r="BZ476" s="100" t="str">
        <f>IF($BN$5=TRUE,IF(BE476="","",SUM($BE$8:BE476)),"")</f>
        <v/>
      </c>
    </row>
    <row r="477" spans="46:78" x14ac:dyDescent="0.25">
      <c r="AT477" s="74"/>
      <c r="AW477" s="74"/>
      <c r="BR477" s="133" t="str">
        <f t="shared" si="33"/>
        <v/>
      </c>
      <c r="BS477" s="100" t="str">
        <f>IF($BG$5=TRUE,IF(AX477="","",SUM($AX$8:AX477)),"")</f>
        <v/>
      </c>
      <c r="BT477" s="100" t="str">
        <f>IF($BH$5=TRUE,IF(AY477="","",SUM($AY$8:AY477)),"")</f>
        <v/>
      </c>
      <c r="BU477" s="100" t="str">
        <f>IF($BI$5=TRUE,IF(AZ477="","",SUM($AZ$8:AZ477)),"")</f>
        <v/>
      </c>
      <c r="BV477" s="100" t="str">
        <f>IF($BJ$5=TRUE,IF(BA477="","",SUM($BA$8:BA477)),"")</f>
        <v/>
      </c>
      <c r="BW477" s="100" t="str">
        <f>IF($BK$5=TRUE,IF(BB477="","",SUM($BB$8:BB477)),"")</f>
        <v/>
      </c>
      <c r="BX477" s="100" t="str">
        <f>IF($BL$5=TRUE,IF(BC477="","",SUM($BC$8:BC477)),"")</f>
        <v/>
      </c>
      <c r="BY477" s="100" t="str">
        <f>IF($BM$5=TRUE,IF(BD477="","",SUM($BD$8:BD477)),"")</f>
        <v/>
      </c>
      <c r="BZ477" s="100" t="str">
        <f>IF($BN$5=TRUE,IF(BE477="","",SUM($BE$8:BE477)),"")</f>
        <v/>
      </c>
    </row>
    <row r="478" spans="46:78" x14ac:dyDescent="0.25">
      <c r="AT478" s="74"/>
      <c r="AW478" s="74"/>
      <c r="BR478" s="133" t="str">
        <f t="shared" si="33"/>
        <v/>
      </c>
      <c r="BS478" s="100" t="str">
        <f>IF($BG$5=TRUE,IF(AX478="","",SUM($AX$8:AX478)),"")</f>
        <v/>
      </c>
      <c r="BT478" s="100" t="str">
        <f>IF($BH$5=TRUE,IF(AY478="","",SUM($AY$8:AY478)),"")</f>
        <v/>
      </c>
      <c r="BU478" s="100" t="str">
        <f>IF($BI$5=TRUE,IF(AZ478="","",SUM($AZ$8:AZ478)),"")</f>
        <v/>
      </c>
      <c r="BV478" s="100" t="str">
        <f>IF($BJ$5=TRUE,IF(BA478="","",SUM($BA$8:BA478)),"")</f>
        <v/>
      </c>
      <c r="BW478" s="100" t="str">
        <f>IF($BK$5=TRUE,IF(BB478="","",SUM($BB$8:BB478)),"")</f>
        <v/>
      </c>
      <c r="BX478" s="100" t="str">
        <f>IF($BL$5=TRUE,IF(BC478="","",SUM($BC$8:BC478)),"")</f>
        <v/>
      </c>
      <c r="BY478" s="100" t="str">
        <f>IF($BM$5=TRUE,IF(BD478="","",SUM($BD$8:BD478)),"")</f>
        <v/>
      </c>
      <c r="BZ478" s="100" t="str">
        <f>IF($BN$5=TRUE,IF(BE478="","",SUM($BE$8:BE478)),"")</f>
        <v/>
      </c>
    </row>
    <row r="479" spans="46:78" x14ac:dyDescent="0.25">
      <c r="AT479" s="74"/>
      <c r="AW479" s="74"/>
      <c r="BR479" s="133" t="str">
        <f t="shared" si="33"/>
        <v/>
      </c>
      <c r="BS479" s="100" t="str">
        <f>IF($BG$5=TRUE,IF(AX479="","",SUM($AX$8:AX479)),"")</f>
        <v/>
      </c>
      <c r="BT479" s="100" t="str">
        <f>IF($BH$5=TRUE,IF(AY479="","",SUM($AY$8:AY479)),"")</f>
        <v/>
      </c>
      <c r="BU479" s="100" t="str">
        <f>IF($BI$5=TRUE,IF(AZ479="","",SUM($AZ$8:AZ479)),"")</f>
        <v/>
      </c>
      <c r="BV479" s="100" t="str">
        <f>IF($BJ$5=TRUE,IF(BA479="","",SUM($BA$8:BA479)),"")</f>
        <v/>
      </c>
      <c r="BW479" s="100" t="str">
        <f>IF($BK$5=TRUE,IF(BB479="","",SUM($BB$8:BB479)),"")</f>
        <v/>
      </c>
      <c r="BX479" s="100" t="str">
        <f>IF($BL$5=TRUE,IF(BC479="","",SUM($BC$8:BC479)),"")</f>
        <v/>
      </c>
      <c r="BY479" s="100" t="str">
        <f>IF($BM$5=TRUE,IF(BD479="","",SUM($BD$8:BD479)),"")</f>
        <v/>
      </c>
      <c r="BZ479" s="100" t="str">
        <f>IF($BN$5=TRUE,IF(BE479="","",SUM($BE$8:BE479)),"")</f>
        <v/>
      </c>
    </row>
    <row r="480" spans="46:78" x14ac:dyDescent="0.25">
      <c r="AT480" s="74"/>
      <c r="AW480" s="74"/>
      <c r="BR480" s="133" t="str">
        <f t="shared" si="33"/>
        <v/>
      </c>
      <c r="BS480" s="100" t="str">
        <f>IF($BG$5=TRUE,IF(AX480="","",SUM($AX$8:AX480)),"")</f>
        <v/>
      </c>
      <c r="BT480" s="100" t="str">
        <f>IF($BH$5=TRUE,IF(AY480="","",SUM($AY$8:AY480)),"")</f>
        <v/>
      </c>
      <c r="BU480" s="100" t="str">
        <f>IF($BI$5=TRUE,IF(AZ480="","",SUM($AZ$8:AZ480)),"")</f>
        <v/>
      </c>
      <c r="BV480" s="100" t="str">
        <f>IF($BJ$5=TRUE,IF(BA480="","",SUM($BA$8:BA480)),"")</f>
        <v/>
      </c>
      <c r="BW480" s="100" t="str">
        <f>IF($BK$5=TRUE,IF(BB480="","",SUM($BB$8:BB480)),"")</f>
        <v/>
      </c>
      <c r="BX480" s="100" t="str">
        <f>IF($BL$5=TRUE,IF(BC480="","",SUM($BC$8:BC480)),"")</f>
        <v/>
      </c>
      <c r="BY480" s="100" t="str">
        <f>IF($BM$5=TRUE,IF(BD480="","",SUM($BD$8:BD480)),"")</f>
        <v/>
      </c>
      <c r="BZ480" s="100" t="str">
        <f>IF($BN$5=TRUE,IF(BE480="","",SUM($BE$8:BE480)),"")</f>
        <v/>
      </c>
    </row>
    <row r="481" spans="46:78" x14ac:dyDescent="0.25">
      <c r="AT481" s="74"/>
      <c r="AW481" s="74"/>
      <c r="BR481" s="133" t="str">
        <f t="shared" si="33"/>
        <v/>
      </c>
      <c r="BS481" s="100" t="str">
        <f>IF($BG$5=TRUE,IF(AX481="","",SUM($AX$8:AX481)),"")</f>
        <v/>
      </c>
      <c r="BT481" s="100" t="str">
        <f>IF($BH$5=TRUE,IF(AY481="","",SUM($AY$8:AY481)),"")</f>
        <v/>
      </c>
      <c r="BU481" s="100" t="str">
        <f>IF($BI$5=TRUE,IF(AZ481="","",SUM($AZ$8:AZ481)),"")</f>
        <v/>
      </c>
      <c r="BV481" s="100" t="str">
        <f>IF($BJ$5=TRUE,IF(BA481="","",SUM($BA$8:BA481)),"")</f>
        <v/>
      </c>
      <c r="BW481" s="100" t="str">
        <f>IF($BK$5=TRUE,IF(BB481="","",SUM($BB$8:BB481)),"")</f>
        <v/>
      </c>
      <c r="BX481" s="100" t="str">
        <f>IF($BL$5=TRUE,IF(BC481="","",SUM($BC$8:BC481)),"")</f>
        <v/>
      </c>
      <c r="BY481" s="100" t="str">
        <f>IF($BM$5=TRUE,IF(BD481="","",SUM($BD$8:BD481)),"")</f>
        <v/>
      </c>
      <c r="BZ481" s="100" t="str">
        <f>IF($BN$5=TRUE,IF(BE481="","",SUM($BE$8:BE481)),"")</f>
        <v/>
      </c>
    </row>
    <row r="482" spans="46:78" x14ac:dyDescent="0.25">
      <c r="AT482" s="74"/>
      <c r="AW482" s="74"/>
      <c r="BR482" s="133" t="str">
        <f t="shared" si="33"/>
        <v/>
      </c>
      <c r="BS482" s="100" t="str">
        <f>IF($BG$5=TRUE,IF(AX482="","",SUM($AX$8:AX482)),"")</f>
        <v/>
      </c>
      <c r="BT482" s="100" t="str">
        <f>IF($BH$5=TRUE,IF(AY482="","",SUM($AY$8:AY482)),"")</f>
        <v/>
      </c>
      <c r="BU482" s="100" t="str">
        <f>IF($BI$5=TRUE,IF(AZ482="","",SUM($AZ$8:AZ482)),"")</f>
        <v/>
      </c>
      <c r="BV482" s="100" t="str">
        <f>IF($BJ$5=TRUE,IF(BA482="","",SUM($BA$8:BA482)),"")</f>
        <v/>
      </c>
      <c r="BW482" s="100" t="str">
        <f>IF($BK$5=TRUE,IF(BB482="","",SUM($BB$8:BB482)),"")</f>
        <v/>
      </c>
      <c r="BX482" s="100" t="str">
        <f>IF($BL$5=TRUE,IF(BC482="","",SUM($BC$8:BC482)),"")</f>
        <v/>
      </c>
      <c r="BY482" s="100" t="str">
        <f>IF($BM$5=TRUE,IF(BD482="","",SUM($BD$8:BD482)),"")</f>
        <v/>
      </c>
      <c r="BZ482" s="100" t="str">
        <f>IF($BN$5=TRUE,IF(BE482="","",SUM($BE$8:BE482)),"")</f>
        <v/>
      </c>
    </row>
    <row r="483" spans="46:78" x14ac:dyDescent="0.25">
      <c r="AT483" s="74"/>
      <c r="AW483" s="74"/>
      <c r="BR483" s="133" t="str">
        <f t="shared" si="33"/>
        <v/>
      </c>
      <c r="BS483" s="100" t="str">
        <f>IF($BG$5=TRUE,IF(AX483="","",SUM($AX$8:AX483)),"")</f>
        <v/>
      </c>
      <c r="BT483" s="100" t="str">
        <f>IF($BH$5=TRUE,IF(AY483="","",SUM($AY$8:AY483)),"")</f>
        <v/>
      </c>
      <c r="BU483" s="100" t="str">
        <f>IF($BI$5=TRUE,IF(AZ483="","",SUM($AZ$8:AZ483)),"")</f>
        <v/>
      </c>
      <c r="BV483" s="100" t="str">
        <f>IF($BJ$5=TRUE,IF(BA483="","",SUM($BA$8:BA483)),"")</f>
        <v/>
      </c>
      <c r="BW483" s="100" t="str">
        <f>IF($BK$5=TRUE,IF(BB483="","",SUM($BB$8:BB483)),"")</f>
        <v/>
      </c>
      <c r="BX483" s="100" t="str">
        <f>IF($BL$5=TRUE,IF(BC483="","",SUM($BC$8:BC483)),"")</f>
        <v/>
      </c>
      <c r="BY483" s="100" t="str">
        <f>IF($BM$5=TRUE,IF(BD483="","",SUM($BD$8:BD483)),"")</f>
        <v/>
      </c>
      <c r="BZ483" s="100" t="str">
        <f>IF($BN$5=TRUE,IF(BE483="","",SUM($BE$8:BE483)),"")</f>
        <v/>
      </c>
    </row>
    <row r="484" spans="46:78" x14ac:dyDescent="0.25">
      <c r="AT484" s="74"/>
      <c r="AW484" s="74"/>
      <c r="BR484" s="133" t="str">
        <f t="shared" si="33"/>
        <v/>
      </c>
      <c r="BS484" s="100" t="str">
        <f>IF($BG$5=TRUE,IF(AX484="","",SUM($AX$8:AX484)),"")</f>
        <v/>
      </c>
      <c r="BT484" s="100" t="str">
        <f>IF($BH$5=TRUE,IF(AY484="","",SUM($AY$8:AY484)),"")</f>
        <v/>
      </c>
      <c r="BU484" s="100" t="str">
        <f>IF($BI$5=TRUE,IF(AZ484="","",SUM($AZ$8:AZ484)),"")</f>
        <v/>
      </c>
      <c r="BV484" s="100" t="str">
        <f>IF($BJ$5=TRUE,IF(BA484="","",SUM($BA$8:BA484)),"")</f>
        <v/>
      </c>
      <c r="BW484" s="100" t="str">
        <f>IF($BK$5=TRUE,IF(BB484="","",SUM($BB$8:BB484)),"")</f>
        <v/>
      </c>
      <c r="BX484" s="100" t="str">
        <f>IF($BL$5=TRUE,IF(BC484="","",SUM($BC$8:BC484)),"")</f>
        <v/>
      </c>
      <c r="BY484" s="100" t="str">
        <f>IF($BM$5=TRUE,IF(BD484="","",SUM($BD$8:BD484)),"")</f>
        <v/>
      </c>
      <c r="BZ484" s="100" t="str">
        <f>IF($BN$5=TRUE,IF(BE484="","",SUM($BE$8:BE484)),"")</f>
        <v/>
      </c>
    </row>
    <row r="485" spans="46:78" x14ac:dyDescent="0.25">
      <c r="AT485" s="74"/>
      <c r="AW485" s="74"/>
      <c r="BR485" s="133" t="str">
        <f t="shared" si="33"/>
        <v/>
      </c>
      <c r="BS485" s="100" t="str">
        <f>IF($BG$5=TRUE,IF(AX485="","",SUM($AX$8:AX485)),"")</f>
        <v/>
      </c>
      <c r="BT485" s="100" t="str">
        <f>IF($BH$5=TRUE,IF(AY485="","",SUM($AY$8:AY485)),"")</f>
        <v/>
      </c>
      <c r="BU485" s="100" t="str">
        <f>IF($BI$5=TRUE,IF(AZ485="","",SUM($AZ$8:AZ485)),"")</f>
        <v/>
      </c>
      <c r="BV485" s="100" t="str">
        <f>IF($BJ$5=TRUE,IF(BA485="","",SUM($BA$8:BA485)),"")</f>
        <v/>
      </c>
      <c r="BW485" s="100" t="str">
        <f>IF($BK$5=TRUE,IF(BB485="","",SUM($BB$8:BB485)),"")</f>
        <v/>
      </c>
      <c r="BX485" s="100" t="str">
        <f>IF($BL$5=TRUE,IF(BC485="","",SUM($BC$8:BC485)),"")</f>
        <v/>
      </c>
      <c r="BY485" s="100" t="str">
        <f>IF($BM$5=TRUE,IF(BD485="","",SUM($BD$8:BD485)),"")</f>
        <v/>
      </c>
      <c r="BZ485" s="100" t="str">
        <f>IF($BN$5=TRUE,IF(BE485="","",SUM($BE$8:BE485)),"")</f>
        <v/>
      </c>
    </row>
    <row r="486" spans="46:78" x14ac:dyDescent="0.25">
      <c r="AT486" s="74"/>
      <c r="AW486" s="74"/>
      <c r="BR486" s="133" t="str">
        <f t="shared" si="33"/>
        <v/>
      </c>
      <c r="BS486" s="100" t="str">
        <f>IF($BG$5=TRUE,IF(AX486="","",SUM($AX$8:AX486)),"")</f>
        <v/>
      </c>
      <c r="BT486" s="100" t="str">
        <f>IF($BH$5=TRUE,IF(AY486="","",SUM($AY$8:AY486)),"")</f>
        <v/>
      </c>
      <c r="BU486" s="100" t="str">
        <f>IF($BI$5=TRUE,IF(AZ486="","",SUM($AZ$8:AZ486)),"")</f>
        <v/>
      </c>
      <c r="BV486" s="100" t="str">
        <f>IF($BJ$5=TRUE,IF(BA486="","",SUM($BA$8:BA486)),"")</f>
        <v/>
      </c>
      <c r="BW486" s="100" t="str">
        <f>IF($BK$5=TRUE,IF(BB486="","",SUM($BB$8:BB486)),"")</f>
        <v/>
      </c>
      <c r="BX486" s="100" t="str">
        <f>IF($BL$5=TRUE,IF(BC486="","",SUM($BC$8:BC486)),"")</f>
        <v/>
      </c>
      <c r="BY486" s="100" t="str">
        <f>IF($BM$5=TRUE,IF(BD486="","",SUM($BD$8:BD486)),"")</f>
        <v/>
      </c>
      <c r="BZ486" s="100" t="str">
        <f>IF($BN$5=TRUE,IF(BE486="","",SUM($BE$8:BE486)),"")</f>
        <v/>
      </c>
    </row>
    <row r="487" spans="46:78" x14ac:dyDescent="0.25">
      <c r="AT487" s="74"/>
      <c r="AW487" s="74"/>
      <c r="BR487" s="133" t="str">
        <f t="shared" si="33"/>
        <v/>
      </c>
      <c r="BS487" s="100" t="str">
        <f>IF($BG$5=TRUE,IF(AX487="","",SUM($AX$8:AX487)),"")</f>
        <v/>
      </c>
      <c r="BT487" s="100" t="str">
        <f>IF($BH$5=TRUE,IF(AY487="","",SUM($AY$8:AY487)),"")</f>
        <v/>
      </c>
      <c r="BU487" s="100" t="str">
        <f>IF($BI$5=TRUE,IF(AZ487="","",SUM($AZ$8:AZ487)),"")</f>
        <v/>
      </c>
      <c r="BV487" s="100" t="str">
        <f>IF($BJ$5=TRUE,IF(BA487="","",SUM($BA$8:BA487)),"")</f>
        <v/>
      </c>
      <c r="BW487" s="100" t="str">
        <f>IF($BK$5=TRUE,IF(BB487="","",SUM($BB$8:BB487)),"")</f>
        <v/>
      </c>
      <c r="BX487" s="100" t="str">
        <f>IF($BL$5=TRUE,IF(BC487="","",SUM($BC$8:BC487)),"")</f>
        <v/>
      </c>
      <c r="BY487" s="100" t="str">
        <f>IF($BM$5=TRUE,IF(BD487="","",SUM($BD$8:BD487)),"")</f>
        <v/>
      </c>
      <c r="BZ487" s="100" t="str">
        <f>IF($BN$5=TRUE,IF(BE487="","",SUM($BE$8:BE487)),"")</f>
        <v/>
      </c>
    </row>
    <row r="488" spans="46:78" x14ac:dyDescent="0.25">
      <c r="AT488" s="74"/>
      <c r="AW488" s="74"/>
      <c r="BR488" s="133" t="str">
        <f t="shared" si="33"/>
        <v/>
      </c>
      <c r="BS488" s="100" t="str">
        <f>IF($BG$5=TRUE,IF(AX488="","",SUM($AX$8:AX488)),"")</f>
        <v/>
      </c>
      <c r="BT488" s="100" t="str">
        <f>IF($BH$5=TRUE,IF(AY488="","",SUM($AY$8:AY488)),"")</f>
        <v/>
      </c>
      <c r="BU488" s="100" t="str">
        <f>IF($BI$5=TRUE,IF(AZ488="","",SUM($AZ$8:AZ488)),"")</f>
        <v/>
      </c>
      <c r="BV488" s="100" t="str">
        <f>IF($BJ$5=TRUE,IF(BA488="","",SUM($BA$8:BA488)),"")</f>
        <v/>
      </c>
      <c r="BW488" s="100" t="str">
        <f>IF($BK$5=TRUE,IF(BB488="","",SUM($BB$8:BB488)),"")</f>
        <v/>
      </c>
      <c r="BX488" s="100" t="str">
        <f>IF($BL$5=TRUE,IF(BC488="","",SUM($BC$8:BC488)),"")</f>
        <v/>
      </c>
      <c r="BY488" s="100" t="str">
        <f>IF($BM$5=TRUE,IF(BD488="","",SUM($BD$8:BD488)),"")</f>
        <v/>
      </c>
      <c r="BZ488" s="100" t="str">
        <f>IF($BN$5=TRUE,IF(BE488="","",SUM($BE$8:BE488)),"")</f>
        <v/>
      </c>
    </row>
    <row r="489" spans="46:78" x14ac:dyDescent="0.25">
      <c r="AT489" s="74"/>
      <c r="AW489" s="74"/>
      <c r="BR489" s="133" t="str">
        <f t="shared" si="33"/>
        <v/>
      </c>
      <c r="BS489" s="100" t="str">
        <f>IF($BG$5=TRUE,IF(AX489="","",SUM($AX$8:AX489)),"")</f>
        <v/>
      </c>
      <c r="BT489" s="100" t="str">
        <f>IF($BH$5=TRUE,IF(AY489="","",SUM($AY$8:AY489)),"")</f>
        <v/>
      </c>
      <c r="BU489" s="100" t="str">
        <f>IF($BI$5=TRUE,IF(AZ489="","",SUM($AZ$8:AZ489)),"")</f>
        <v/>
      </c>
      <c r="BV489" s="100" t="str">
        <f>IF($BJ$5=TRUE,IF(BA489="","",SUM($BA$8:BA489)),"")</f>
        <v/>
      </c>
      <c r="BW489" s="100" t="str">
        <f>IF($BK$5=TRUE,IF(BB489="","",SUM($BB$8:BB489)),"")</f>
        <v/>
      </c>
      <c r="BX489" s="100" t="str">
        <f>IF($BL$5=TRUE,IF(BC489="","",SUM($BC$8:BC489)),"")</f>
        <v/>
      </c>
      <c r="BY489" s="100" t="str">
        <f>IF($BM$5=TRUE,IF(BD489="","",SUM($BD$8:BD489)),"")</f>
        <v/>
      </c>
      <c r="BZ489" s="100" t="str">
        <f>IF($BN$5=TRUE,IF(BE489="","",SUM($BE$8:BE489)),"")</f>
        <v/>
      </c>
    </row>
    <row r="490" spans="46:78" x14ac:dyDescent="0.25">
      <c r="AT490" s="74"/>
      <c r="AW490" s="74"/>
      <c r="BR490" s="133" t="str">
        <f t="shared" si="33"/>
        <v/>
      </c>
      <c r="BS490" s="100" t="str">
        <f>IF($BG$5=TRUE,IF(AX490="","",SUM($AX$8:AX490)),"")</f>
        <v/>
      </c>
      <c r="BT490" s="100" t="str">
        <f>IF($BH$5=TRUE,IF(AY490="","",SUM($AY$8:AY490)),"")</f>
        <v/>
      </c>
      <c r="BU490" s="100" t="str">
        <f>IF($BI$5=TRUE,IF(AZ490="","",SUM($AZ$8:AZ490)),"")</f>
        <v/>
      </c>
      <c r="BV490" s="100" t="str">
        <f>IF($BJ$5=TRUE,IF(BA490="","",SUM($BA$8:BA490)),"")</f>
        <v/>
      </c>
      <c r="BW490" s="100" t="str">
        <f>IF($BK$5=TRUE,IF(BB490="","",SUM($BB$8:BB490)),"")</f>
        <v/>
      </c>
      <c r="BX490" s="100" t="str">
        <f>IF($BL$5=TRUE,IF(BC490="","",SUM($BC$8:BC490)),"")</f>
        <v/>
      </c>
      <c r="BY490" s="100" t="str">
        <f>IF($BM$5=TRUE,IF(BD490="","",SUM($BD$8:BD490)),"")</f>
        <v/>
      </c>
      <c r="BZ490" s="100" t="str">
        <f>IF($BN$5=TRUE,IF(BE490="","",SUM($BE$8:BE490)),"")</f>
        <v/>
      </c>
    </row>
    <row r="491" spans="46:78" x14ac:dyDescent="0.25">
      <c r="AT491" s="74"/>
      <c r="AW491" s="74"/>
      <c r="BR491" s="133" t="str">
        <f t="shared" si="33"/>
        <v/>
      </c>
      <c r="BS491" s="100" t="str">
        <f>IF($BG$5=TRUE,IF(AX491="","",SUM($AX$8:AX491)),"")</f>
        <v/>
      </c>
      <c r="BT491" s="100" t="str">
        <f>IF($BH$5=TRUE,IF(AY491="","",SUM($AY$8:AY491)),"")</f>
        <v/>
      </c>
      <c r="BU491" s="100" t="str">
        <f>IF($BI$5=TRUE,IF(AZ491="","",SUM($AZ$8:AZ491)),"")</f>
        <v/>
      </c>
      <c r="BV491" s="100" t="str">
        <f>IF($BJ$5=TRUE,IF(BA491="","",SUM($BA$8:BA491)),"")</f>
        <v/>
      </c>
      <c r="BW491" s="100" t="str">
        <f>IF($BK$5=TRUE,IF(BB491="","",SUM($BB$8:BB491)),"")</f>
        <v/>
      </c>
      <c r="BX491" s="100" t="str">
        <f>IF($BL$5=TRUE,IF(BC491="","",SUM($BC$8:BC491)),"")</f>
        <v/>
      </c>
      <c r="BY491" s="100" t="str">
        <f>IF($BM$5=TRUE,IF(BD491="","",SUM($BD$8:BD491)),"")</f>
        <v/>
      </c>
      <c r="BZ491" s="100" t="str">
        <f>IF($BN$5=TRUE,IF(BE491="","",SUM($BE$8:BE491)),"")</f>
        <v/>
      </c>
    </row>
    <row r="492" spans="46:78" x14ac:dyDescent="0.25">
      <c r="AT492" s="74"/>
      <c r="AW492" s="74"/>
      <c r="BR492" s="133" t="str">
        <f t="shared" si="33"/>
        <v/>
      </c>
      <c r="BS492" s="100" t="str">
        <f>IF($BG$5=TRUE,IF(AX492="","",SUM($AX$8:AX492)),"")</f>
        <v/>
      </c>
      <c r="BT492" s="100" t="str">
        <f>IF($BH$5=TRUE,IF(AY492="","",SUM($AY$8:AY492)),"")</f>
        <v/>
      </c>
      <c r="BU492" s="100" t="str">
        <f>IF($BI$5=TRUE,IF(AZ492="","",SUM($AZ$8:AZ492)),"")</f>
        <v/>
      </c>
      <c r="BV492" s="100" t="str">
        <f>IF($BJ$5=TRUE,IF(BA492="","",SUM($BA$8:BA492)),"")</f>
        <v/>
      </c>
      <c r="BW492" s="100" t="str">
        <f>IF($BK$5=TRUE,IF(BB492="","",SUM($BB$8:BB492)),"")</f>
        <v/>
      </c>
      <c r="BX492" s="100" t="str">
        <f>IF($BL$5=TRUE,IF(BC492="","",SUM($BC$8:BC492)),"")</f>
        <v/>
      </c>
      <c r="BY492" s="100" t="str">
        <f>IF($BM$5=TRUE,IF(BD492="","",SUM($BD$8:BD492)),"")</f>
        <v/>
      </c>
      <c r="BZ492" s="100" t="str">
        <f>IF($BN$5=TRUE,IF(BE492="","",SUM($BE$8:BE492)),"")</f>
        <v/>
      </c>
    </row>
    <row r="493" spans="46:78" x14ac:dyDescent="0.25">
      <c r="AT493" s="74"/>
      <c r="AW493" s="74"/>
      <c r="BR493" s="133" t="str">
        <f t="shared" si="33"/>
        <v/>
      </c>
      <c r="BS493" s="100" t="str">
        <f>IF($BG$5=TRUE,IF(AX493="","",SUM($AX$8:AX493)),"")</f>
        <v/>
      </c>
      <c r="BT493" s="100" t="str">
        <f>IF($BH$5=TRUE,IF(AY493="","",SUM($AY$8:AY493)),"")</f>
        <v/>
      </c>
      <c r="BU493" s="100" t="str">
        <f>IF($BI$5=TRUE,IF(AZ493="","",SUM($AZ$8:AZ493)),"")</f>
        <v/>
      </c>
      <c r="BV493" s="100" t="str">
        <f>IF($BJ$5=TRUE,IF(BA493="","",SUM($BA$8:BA493)),"")</f>
        <v/>
      </c>
      <c r="BW493" s="100" t="str">
        <f>IF($BK$5=TRUE,IF(BB493="","",SUM($BB$8:BB493)),"")</f>
        <v/>
      </c>
      <c r="BX493" s="100" t="str">
        <f>IF($BL$5=TRUE,IF(BC493="","",SUM($BC$8:BC493)),"")</f>
        <v/>
      </c>
      <c r="BY493" s="100" t="str">
        <f>IF($BM$5=TRUE,IF(BD493="","",SUM($BD$8:BD493)),"")</f>
        <v/>
      </c>
      <c r="BZ493" s="100" t="str">
        <f>IF($BN$5=TRUE,IF(BE493="","",SUM($BE$8:BE493)),"")</f>
        <v/>
      </c>
    </row>
    <row r="494" spans="46:78" x14ac:dyDescent="0.25">
      <c r="AT494" s="74"/>
      <c r="AW494" s="74"/>
      <c r="BR494" s="133" t="str">
        <f t="shared" si="33"/>
        <v/>
      </c>
      <c r="BS494" s="100" t="str">
        <f>IF($BG$5=TRUE,IF(AX494="","",SUM($AX$8:AX494)),"")</f>
        <v/>
      </c>
      <c r="BT494" s="100" t="str">
        <f>IF($BH$5=TRUE,IF(AY494="","",SUM($AY$8:AY494)),"")</f>
        <v/>
      </c>
      <c r="BU494" s="100" t="str">
        <f>IF($BI$5=TRUE,IF(AZ494="","",SUM($AZ$8:AZ494)),"")</f>
        <v/>
      </c>
      <c r="BV494" s="100" t="str">
        <f>IF($BJ$5=TRUE,IF(BA494="","",SUM($BA$8:BA494)),"")</f>
        <v/>
      </c>
      <c r="BW494" s="100" t="str">
        <f>IF($BK$5=TRUE,IF(BB494="","",SUM($BB$8:BB494)),"")</f>
        <v/>
      </c>
      <c r="BX494" s="100" t="str">
        <f>IF($BL$5=TRUE,IF(BC494="","",SUM($BC$8:BC494)),"")</f>
        <v/>
      </c>
      <c r="BY494" s="100" t="str">
        <f>IF($BM$5=TRUE,IF(BD494="","",SUM($BD$8:BD494)),"")</f>
        <v/>
      </c>
      <c r="BZ494" s="100" t="str">
        <f>IF($BN$5=TRUE,IF(BE494="","",SUM($BE$8:BE494)),"")</f>
        <v/>
      </c>
    </row>
    <row r="495" spans="46:78" x14ac:dyDescent="0.25">
      <c r="AT495" s="74"/>
      <c r="AW495" s="74"/>
      <c r="BR495" s="133" t="str">
        <f t="shared" si="33"/>
        <v/>
      </c>
      <c r="BS495" s="100" t="str">
        <f>IF($BG$5=TRUE,IF(AX495="","",SUM($AX$8:AX495)),"")</f>
        <v/>
      </c>
      <c r="BT495" s="100" t="str">
        <f>IF($BH$5=TRUE,IF(AY495="","",SUM($AY$8:AY495)),"")</f>
        <v/>
      </c>
      <c r="BU495" s="100" t="str">
        <f>IF($BI$5=TRUE,IF(AZ495="","",SUM($AZ$8:AZ495)),"")</f>
        <v/>
      </c>
      <c r="BV495" s="100" t="str">
        <f>IF($BJ$5=TRUE,IF(BA495="","",SUM($BA$8:BA495)),"")</f>
        <v/>
      </c>
      <c r="BW495" s="100" t="str">
        <f>IF($BK$5=TRUE,IF(BB495="","",SUM($BB$8:BB495)),"")</f>
        <v/>
      </c>
      <c r="BX495" s="100" t="str">
        <f>IF($BL$5=TRUE,IF(BC495="","",SUM($BC$8:BC495)),"")</f>
        <v/>
      </c>
      <c r="BY495" s="100" t="str">
        <f>IF($BM$5=TRUE,IF(BD495="","",SUM($BD$8:BD495)),"")</f>
        <v/>
      </c>
      <c r="BZ495" s="100" t="str">
        <f>IF($BN$5=TRUE,IF(BE495="","",SUM($BE$8:BE495)),"")</f>
        <v/>
      </c>
    </row>
    <row r="496" spans="46:78" x14ac:dyDescent="0.25">
      <c r="AT496" s="74"/>
      <c r="AW496" s="74"/>
      <c r="BR496" s="133" t="str">
        <f t="shared" si="33"/>
        <v/>
      </c>
      <c r="BS496" s="100" t="str">
        <f>IF($BG$5=TRUE,IF(AX496="","",SUM($AX$8:AX496)),"")</f>
        <v/>
      </c>
      <c r="BT496" s="100" t="str">
        <f>IF($BH$5=TRUE,IF(AY496="","",SUM($AY$8:AY496)),"")</f>
        <v/>
      </c>
      <c r="BU496" s="100" t="str">
        <f>IF($BI$5=TRUE,IF(AZ496="","",SUM($AZ$8:AZ496)),"")</f>
        <v/>
      </c>
      <c r="BV496" s="100" t="str">
        <f>IF($BJ$5=TRUE,IF(BA496="","",SUM($BA$8:BA496)),"")</f>
        <v/>
      </c>
      <c r="BW496" s="100" t="str">
        <f>IF($BK$5=TRUE,IF(BB496="","",SUM($BB$8:BB496)),"")</f>
        <v/>
      </c>
      <c r="BX496" s="100" t="str">
        <f>IF($BL$5=TRUE,IF(BC496="","",SUM($BC$8:BC496)),"")</f>
        <v/>
      </c>
      <c r="BY496" s="100" t="str">
        <f>IF($BM$5=TRUE,IF(BD496="","",SUM($BD$8:BD496)),"")</f>
        <v/>
      </c>
      <c r="BZ496" s="100" t="str">
        <f>IF($BN$5=TRUE,IF(BE496="","",SUM($BE$8:BE496)),"")</f>
        <v/>
      </c>
    </row>
    <row r="497" spans="46:78" x14ac:dyDescent="0.25">
      <c r="AT497" s="74"/>
      <c r="AW497" s="74"/>
      <c r="BR497" s="133" t="str">
        <f t="shared" si="33"/>
        <v/>
      </c>
      <c r="BS497" s="100" t="str">
        <f>IF($BG$5=TRUE,IF(AX497="","",SUM($AX$8:AX497)),"")</f>
        <v/>
      </c>
      <c r="BT497" s="100" t="str">
        <f>IF($BH$5=TRUE,IF(AY497="","",SUM($AY$8:AY497)),"")</f>
        <v/>
      </c>
      <c r="BU497" s="100" t="str">
        <f>IF($BI$5=TRUE,IF(AZ497="","",SUM($AZ$8:AZ497)),"")</f>
        <v/>
      </c>
      <c r="BV497" s="100" t="str">
        <f>IF($BJ$5=TRUE,IF(BA497="","",SUM($BA$8:BA497)),"")</f>
        <v/>
      </c>
      <c r="BW497" s="100" t="str">
        <f>IF($BK$5=TRUE,IF(BB497="","",SUM($BB$8:BB497)),"")</f>
        <v/>
      </c>
      <c r="BX497" s="100" t="str">
        <f>IF($BL$5=TRUE,IF(BC497="","",SUM($BC$8:BC497)),"")</f>
        <v/>
      </c>
      <c r="BY497" s="100" t="str">
        <f>IF($BM$5=TRUE,IF(BD497="","",SUM($BD$8:BD497)),"")</f>
        <v/>
      </c>
      <c r="BZ497" s="100" t="str">
        <f>IF($BN$5=TRUE,IF(BE497="","",SUM($BE$8:BE497)),"")</f>
        <v/>
      </c>
    </row>
    <row r="498" spans="46:78" x14ac:dyDescent="0.25">
      <c r="AT498" s="74"/>
      <c r="AW498" s="74"/>
      <c r="BR498" s="133" t="str">
        <f t="shared" si="33"/>
        <v/>
      </c>
      <c r="BS498" s="100" t="str">
        <f>IF($BG$5=TRUE,IF(AX498="","",SUM($AX$8:AX498)),"")</f>
        <v/>
      </c>
      <c r="BT498" s="100" t="str">
        <f>IF($BH$5=TRUE,IF(AY498="","",SUM($AY$8:AY498)),"")</f>
        <v/>
      </c>
      <c r="BU498" s="100" t="str">
        <f>IF($BI$5=TRUE,IF(AZ498="","",SUM($AZ$8:AZ498)),"")</f>
        <v/>
      </c>
      <c r="BV498" s="100" t="str">
        <f>IF($BJ$5=TRUE,IF(BA498="","",SUM($BA$8:BA498)),"")</f>
        <v/>
      </c>
      <c r="BW498" s="100" t="str">
        <f>IF($BK$5=TRUE,IF(BB498="","",SUM($BB$8:BB498)),"")</f>
        <v/>
      </c>
      <c r="BX498" s="100" t="str">
        <f>IF($BL$5=TRUE,IF(BC498="","",SUM($BC$8:BC498)),"")</f>
        <v/>
      </c>
      <c r="BY498" s="100" t="str">
        <f>IF($BM$5=TRUE,IF(BD498="","",SUM($BD$8:BD498)),"")</f>
        <v/>
      </c>
      <c r="BZ498" s="100" t="str">
        <f>IF($BN$5=TRUE,IF(BE498="","",SUM($BE$8:BE498)),"")</f>
        <v/>
      </c>
    </row>
    <row r="499" spans="46:78" x14ac:dyDescent="0.25">
      <c r="AT499" s="74"/>
      <c r="AW499" s="74"/>
      <c r="BR499" s="133" t="str">
        <f t="shared" si="33"/>
        <v/>
      </c>
      <c r="BS499" s="100" t="str">
        <f>IF($BG$5=TRUE,IF(AX499="","",SUM($AX$8:AX499)),"")</f>
        <v/>
      </c>
      <c r="BT499" s="100" t="str">
        <f>IF($BH$5=TRUE,IF(AY499="","",SUM($AY$8:AY499)),"")</f>
        <v/>
      </c>
      <c r="BU499" s="100" t="str">
        <f>IF($BI$5=TRUE,IF(AZ499="","",SUM($AZ$8:AZ499)),"")</f>
        <v/>
      </c>
      <c r="BV499" s="100" t="str">
        <f>IF($BJ$5=TRUE,IF(BA499="","",SUM($BA$8:BA499)),"")</f>
        <v/>
      </c>
      <c r="BW499" s="100" t="str">
        <f>IF($BK$5=TRUE,IF(BB499="","",SUM($BB$8:BB499)),"")</f>
        <v/>
      </c>
      <c r="BX499" s="100" t="str">
        <f>IF($BL$5=TRUE,IF(BC499="","",SUM($BC$8:BC499)),"")</f>
        <v/>
      </c>
      <c r="BY499" s="100" t="str">
        <f>IF($BM$5=TRUE,IF(BD499="","",SUM($BD$8:BD499)),"")</f>
        <v/>
      </c>
      <c r="BZ499" s="100" t="str">
        <f>IF($BN$5=TRUE,IF(BE499="","",SUM($BE$8:BE499)),"")</f>
        <v/>
      </c>
    </row>
    <row r="500" spans="46:78" x14ac:dyDescent="0.25">
      <c r="AT500" s="74"/>
      <c r="AW500" s="74"/>
      <c r="BR500" s="133" t="str">
        <f t="shared" si="33"/>
        <v/>
      </c>
      <c r="BS500" s="100" t="str">
        <f>IF($BG$5=TRUE,IF(AX500="","",SUM($AX$8:AX500)),"")</f>
        <v/>
      </c>
      <c r="BT500" s="100" t="str">
        <f>IF($BH$5=TRUE,IF(AY500="","",SUM($AY$8:AY500)),"")</f>
        <v/>
      </c>
      <c r="BU500" s="100" t="str">
        <f>IF($BI$5=TRUE,IF(AZ500="","",SUM($AZ$8:AZ500)),"")</f>
        <v/>
      </c>
      <c r="BV500" s="100" t="str">
        <f>IF($BJ$5=TRUE,IF(BA500="","",SUM($BA$8:BA500)),"")</f>
        <v/>
      </c>
      <c r="BW500" s="100" t="str">
        <f>IF($BK$5=TRUE,IF(BB500="","",SUM($BB$8:BB500)),"")</f>
        <v/>
      </c>
      <c r="BX500" s="100" t="str">
        <f>IF($BL$5=TRUE,IF(BC500="","",SUM($BC$8:BC500)),"")</f>
        <v/>
      </c>
      <c r="BY500" s="100" t="str">
        <f>IF($BM$5=TRUE,IF(BD500="","",SUM($BD$8:BD500)),"")</f>
        <v/>
      </c>
      <c r="BZ500" s="100" t="str">
        <f>IF($BN$5=TRUE,IF(BE500="","",SUM($BE$8:BE500)),"")</f>
        <v/>
      </c>
    </row>
    <row r="501" spans="46:78" x14ac:dyDescent="0.25">
      <c r="AT501" s="74"/>
      <c r="AW501" s="74"/>
      <c r="BR501" s="133" t="str">
        <f t="shared" si="33"/>
        <v/>
      </c>
      <c r="BS501" s="100" t="str">
        <f>IF($BG$5=TRUE,IF(AX501="","",SUM($AX$8:AX501)),"")</f>
        <v/>
      </c>
      <c r="BT501" s="100" t="str">
        <f>IF($BH$5=TRUE,IF(AY501="","",SUM($AY$8:AY501)),"")</f>
        <v/>
      </c>
      <c r="BU501" s="100" t="str">
        <f>IF($BI$5=TRUE,IF(AZ501="","",SUM($AZ$8:AZ501)),"")</f>
        <v/>
      </c>
      <c r="BV501" s="100" t="str">
        <f>IF($BJ$5=TRUE,IF(BA501="","",SUM($BA$8:BA501)),"")</f>
        <v/>
      </c>
      <c r="BW501" s="100" t="str">
        <f>IF($BK$5=TRUE,IF(BB501="","",SUM($BB$8:BB501)),"")</f>
        <v/>
      </c>
      <c r="BX501" s="100" t="str">
        <f>IF($BL$5=TRUE,IF(BC501="","",SUM($BC$8:BC501)),"")</f>
        <v/>
      </c>
      <c r="BY501" s="100" t="str">
        <f>IF($BM$5=TRUE,IF(BD501="","",SUM($BD$8:BD501)),"")</f>
        <v/>
      </c>
      <c r="BZ501" s="100" t="str">
        <f>IF($BN$5=TRUE,IF(BE501="","",SUM($BE$8:BE501)),"")</f>
        <v/>
      </c>
    </row>
    <row r="502" spans="46:78" x14ac:dyDescent="0.25">
      <c r="AT502" s="74"/>
      <c r="AW502" s="74"/>
      <c r="BR502" s="133" t="str">
        <f t="shared" si="33"/>
        <v/>
      </c>
      <c r="BS502" s="100" t="str">
        <f>IF($BG$5=TRUE,IF(AX502="","",SUM($AX$8:AX502)),"")</f>
        <v/>
      </c>
      <c r="BT502" s="100" t="str">
        <f>IF($BH$5=TRUE,IF(AY502="","",SUM($AY$8:AY502)),"")</f>
        <v/>
      </c>
      <c r="BU502" s="100" t="str">
        <f>IF($BI$5=TRUE,IF(AZ502="","",SUM($AZ$8:AZ502)),"")</f>
        <v/>
      </c>
      <c r="BV502" s="100" t="str">
        <f>IF($BJ$5=TRUE,IF(BA502="","",SUM($BA$8:BA502)),"")</f>
        <v/>
      </c>
      <c r="BW502" s="100" t="str">
        <f>IF($BK$5=TRUE,IF(BB502="","",SUM($BB$8:BB502)),"")</f>
        <v/>
      </c>
      <c r="BX502" s="100" t="str">
        <f>IF($BL$5=TRUE,IF(BC502="","",SUM($BC$8:BC502)),"")</f>
        <v/>
      </c>
      <c r="BY502" s="100" t="str">
        <f>IF($BM$5=TRUE,IF(BD502="","",SUM($BD$8:BD502)),"")</f>
        <v/>
      </c>
      <c r="BZ502" s="100" t="str">
        <f>IF($BN$5=TRUE,IF(BE502="","",SUM($BE$8:BE502)),"")</f>
        <v/>
      </c>
    </row>
    <row r="503" spans="46:78" x14ac:dyDescent="0.25">
      <c r="AT503" s="74"/>
      <c r="AW503" s="74"/>
      <c r="BR503" s="133" t="str">
        <f t="shared" si="33"/>
        <v/>
      </c>
      <c r="BS503" s="100" t="str">
        <f>IF($BG$5=TRUE,IF(AX503="","",SUM($AX$8:AX503)),"")</f>
        <v/>
      </c>
      <c r="BT503" s="100" t="str">
        <f>IF($BH$5=TRUE,IF(AY503="","",SUM($AY$8:AY503)),"")</f>
        <v/>
      </c>
      <c r="BU503" s="100" t="str">
        <f>IF($BI$5=TRUE,IF(AZ503="","",SUM($AZ$8:AZ503)),"")</f>
        <v/>
      </c>
      <c r="BV503" s="100" t="str">
        <f>IF($BJ$5=TRUE,IF(BA503="","",SUM($BA$8:BA503)),"")</f>
        <v/>
      </c>
      <c r="BW503" s="100" t="str">
        <f>IF($BK$5=TRUE,IF(BB503="","",SUM($BB$8:BB503)),"")</f>
        <v/>
      </c>
      <c r="BX503" s="100" t="str">
        <f>IF($BL$5=TRUE,IF(BC503="","",SUM($BC$8:BC503)),"")</f>
        <v/>
      </c>
      <c r="BY503" s="100" t="str">
        <f>IF($BM$5=TRUE,IF(BD503="","",SUM($BD$8:BD503)),"")</f>
        <v/>
      </c>
      <c r="BZ503" s="100" t="str">
        <f>IF($BN$5=TRUE,IF(BE503="","",SUM($BE$8:BE503)),"")</f>
        <v/>
      </c>
    </row>
    <row r="504" spans="46:78" x14ac:dyDescent="0.25">
      <c r="AT504" s="74"/>
      <c r="AW504" s="74"/>
      <c r="BR504" s="133" t="str">
        <f t="shared" si="33"/>
        <v/>
      </c>
      <c r="BS504" s="100" t="str">
        <f>IF($BG$5=TRUE,IF(AX504="","",SUM($AX$8:AX504)),"")</f>
        <v/>
      </c>
      <c r="BT504" s="100" t="str">
        <f>IF($BH$5=TRUE,IF(AY504="","",SUM($AY$8:AY504)),"")</f>
        <v/>
      </c>
      <c r="BU504" s="100" t="str">
        <f>IF($BI$5=TRUE,IF(AZ504="","",SUM($AZ$8:AZ504)),"")</f>
        <v/>
      </c>
      <c r="BV504" s="100" t="str">
        <f>IF($BJ$5=TRUE,IF(BA504="","",SUM($BA$8:BA504)),"")</f>
        <v/>
      </c>
      <c r="BW504" s="100" t="str">
        <f>IF($BK$5=TRUE,IF(BB504="","",SUM($BB$8:BB504)),"")</f>
        <v/>
      </c>
      <c r="BX504" s="100" t="str">
        <f>IF($BL$5=TRUE,IF(BC504="","",SUM($BC$8:BC504)),"")</f>
        <v/>
      </c>
      <c r="BY504" s="100" t="str">
        <f>IF($BM$5=TRUE,IF(BD504="","",SUM($BD$8:BD504)),"")</f>
        <v/>
      </c>
      <c r="BZ504" s="100" t="str">
        <f>IF($BN$5=TRUE,IF(BE504="","",SUM($BE$8:BE504)),"")</f>
        <v/>
      </c>
    </row>
    <row r="505" spans="46:78" x14ac:dyDescent="0.25">
      <c r="AT505" s="74"/>
      <c r="AW505" s="74"/>
      <c r="BR505" s="133" t="str">
        <f t="shared" si="33"/>
        <v/>
      </c>
      <c r="BS505" s="100" t="str">
        <f>IF($BG$5=TRUE,IF(AX505="","",SUM($AX$8:AX505)),"")</f>
        <v/>
      </c>
      <c r="BT505" s="100" t="str">
        <f>IF($BH$5=TRUE,IF(AY505="","",SUM($AY$8:AY505)),"")</f>
        <v/>
      </c>
      <c r="BU505" s="100" t="str">
        <f>IF($BI$5=TRUE,IF(AZ505="","",SUM($AZ$8:AZ505)),"")</f>
        <v/>
      </c>
      <c r="BV505" s="100" t="str">
        <f>IF($BJ$5=TRUE,IF(BA505="","",SUM($BA$8:BA505)),"")</f>
        <v/>
      </c>
      <c r="BW505" s="100" t="str">
        <f>IF($BK$5=TRUE,IF(BB505="","",SUM($BB$8:BB505)),"")</f>
        <v/>
      </c>
      <c r="BX505" s="100" t="str">
        <f>IF($BL$5=TRUE,IF(BC505="","",SUM($BC$8:BC505)),"")</f>
        <v/>
      </c>
      <c r="BY505" s="100" t="str">
        <f>IF($BM$5=TRUE,IF(BD505="","",SUM($BD$8:BD505)),"")</f>
        <v/>
      </c>
      <c r="BZ505" s="100" t="str">
        <f>IF($BN$5=TRUE,IF(BE505="","",SUM($BE$8:BE505)),"")</f>
        <v/>
      </c>
    </row>
    <row r="506" spans="46:78" x14ac:dyDescent="0.25">
      <c r="AT506" s="74"/>
      <c r="AW506" s="74"/>
      <c r="BR506" s="133" t="str">
        <f t="shared" si="33"/>
        <v/>
      </c>
      <c r="BS506" s="100" t="str">
        <f>IF($BG$5=TRUE,IF(AX506="","",SUM($AX$8:AX506)),"")</f>
        <v/>
      </c>
      <c r="BT506" s="100" t="str">
        <f>IF($BH$5=TRUE,IF(AY506="","",SUM($AY$8:AY506)),"")</f>
        <v/>
      </c>
      <c r="BU506" s="100" t="str">
        <f>IF($BI$5=TRUE,IF(AZ506="","",SUM($AZ$8:AZ506)),"")</f>
        <v/>
      </c>
      <c r="BV506" s="100" t="str">
        <f>IF($BJ$5=TRUE,IF(BA506="","",SUM($BA$8:BA506)),"")</f>
        <v/>
      </c>
      <c r="BW506" s="100" t="str">
        <f>IF($BK$5=TRUE,IF(BB506="","",SUM($BB$8:BB506)),"")</f>
        <v/>
      </c>
      <c r="BX506" s="100" t="str">
        <f>IF($BL$5=TRUE,IF(BC506="","",SUM($BC$8:BC506)),"")</f>
        <v/>
      </c>
      <c r="BY506" s="100" t="str">
        <f>IF($BM$5=TRUE,IF(BD506="","",SUM($BD$8:BD506)),"")</f>
        <v/>
      </c>
      <c r="BZ506" s="100" t="str">
        <f>IF($BN$5=TRUE,IF(BE506="","",SUM($BE$8:BE506)),"")</f>
        <v/>
      </c>
    </row>
    <row r="507" spans="46:78" x14ac:dyDescent="0.25">
      <c r="AT507" s="74"/>
      <c r="AW507" s="74"/>
      <c r="BR507" s="133" t="str">
        <f t="shared" si="33"/>
        <v/>
      </c>
      <c r="BS507" s="100" t="str">
        <f>IF($BG$5=TRUE,IF(AX507="","",SUM($AX$8:AX507)),"")</f>
        <v/>
      </c>
      <c r="BT507" s="100" t="str">
        <f>IF($BH$5=TRUE,IF(AY507="","",SUM($AY$8:AY507)),"")</f>
        <v/>
      </c>
      <c r="BU507" s="100" t="str">
        <f>IF($BI$5=TRUE,IF(AZ507="","",SUM($AZ$8:AZ507)),"")</f>
        <v/>
      </c>
      <c r="BV507" s="100" t="str">
        <f>IF($BJ$5=TRUE,IF(BA507="","",SUM($BA$8:BA507)),"")</f>
        <v/>
      </c>
      <c r="BW507" s="100" t="str">
        <f>IF($BK$5=TRUE,IF(BB507="","",SUM($BB$8:BB507)),"")</f>
        <v/>
      </c>
      <c r="BX507" s="100" t="str">
        <f>IF($BL$5=TRUE,IF(BC507="","",SUM($BC$8:BC507)),"")</f>
        <v/>
      </c>
      <c r="BY507" s="100" t="str">
        <f>IF($BM$5=TRUE,IF(BD507="","",SUM($BD$8:BD507)),"")</f>
        <v/>
      </c>
      <c r="BZ507" s="100" t="str">
        <f>IF($BN$5=TRUE,IF(BE507="","",SUM($BE$8:BE507)),"")</f>
        <v/>
      </c>
    </row>
    <row r="508" spans="46:78" x14ac:dyDescent="0.25">
      <c r="AT508" s="74"/>
      <c r="AW508" s="74"/>
      <c r="BR508" s="133" t="str">
        <f t="shared" si="33"/>
        <v/>
      </c>
      <c r="BS508" s="100" t="str">
        <f>IF($BG$5=TRUE,IF(AX508="","",SUM($AX$8:AX508)),"")</f>
        <v/>
      </c>
      <c r="BT508" s="100" t="str">
        <f>IF($BH$5=TRUE,IF(AY508="","",SUM($AY$8:AY508)),"")</f>
        <v/>
      </c>
      <c r="BU508" s="100" t="str">
        <f>IF($BI$5=TRUE,IF(AZ508="","",SUM($AZ$8:AZ508)),"")</f>
        <v/>
      </c>
      <c r="BV508" s="100" t="str">
        <f>IF($BJ$5=TRUE,IF(BA508="","",SUM($BA$8:BA508)),"")</f>
        <v/>
      </c>
      <c r="BW508" s="100" t="str">
        <f>IF($BK$5=TRUE,IF(BB508="","",SUM($BB$8:BB508)),"")</f>
        <v/>
      </c>
      <c r="BX508" s="100" t="str">
        <f>IF($BL$5=TRUE,IF(BC508="","",SUM($BC$8:BC508)),"")</f>
        <v/>
      </c>
      <c r="BY508" s="100" t="str">
        <f>IF($BM$5=TRUE,IF(BD508="","",SUM($BD$8:BD508)),"")</f>
        <v/>
      </c>
      <c r="BZ508" s="100" t="str">
        <f>IF($BN$5=TRUE,IF(BE508="","",SUM($BE$8:BE508)),"")</f>
        <v/>
      </c>
    </row>
    <row r="509" spans="46:78" x14ac:dyDescent="0.25">
      <c r="AT509" s="74"/>
      <c r="AW509" s="74"/>
      <c r="BR509" s="133" t="str">
        <f t="shared" si="33"/>
        <v/>
      </c>
      <c r="BS509" s="100" t="str">
        <f>IF($BG$5=TRUE,IF(AX509="","",SUM($AX$8:AX509)),"")</f>
        <v/>
      </c>
      <c r="BT509" s="100" t="str">
        <f>IF($BH$5=TRUE,IF(AY509="","",SUM($AY$8:AY509)),"")</f>
        <v/>
      </c>
      <c r="BU509" s="100" t="str">
        <f>IF($BI$5=TRUE,IF(AZ509="","",SUM($AZ$8:AZ509)),"")</f>
        <v/>
      </c>
      <c r="BV509" s="100" t="str">
        <f>IF($BJ$5=TRUE,IF(BA509="","",SUM($BA$8:BA509)),"")</f>
        <v/>
      </c>
      <c r="BW509" s="100" t="str">
        <f>IF($BK$5=TRUE,IF(BB509="","",SUM($BB$8:BB509)),"")</f>
        <v/>
      </c>
      <c r="BX509" s="100" t="str">
        <f>IF($BL$5=TRUE,IF(BC509="","",SUM($BC$8:BC509)),"")</f>
        <v/>
      </c>
      <c r="BY509" s="100" t="str">
        <f>IF($BM$5=TRUE,IF(BD509="","",SUM($BD$8:BD509)),"")</f>
        <v/>
      </c>
      <c r="BZ509" s="100" t="str">
        <f>IF($BN$5=TRUE,IF(BE509="","",SUM($BE$8:BE509)),"")</f>
        <v/>
      </c>
    </row>
    <row r="510" spans="46:78" x14ac:dyDescent="0.25">
      <c r="AT510" s="74"/>
      <c r="AW510" s="74"/>
      <c r="BR510" s="133" t="str">
        <f t="shared" si="33"/>
        <v/>
      </c>
      <c r="BS510" s="100" t="str">
        <f>IF($BG$5=TRUE,IF(AX510="","",SUM($AX$8:AX510)),"")</f>
        <v/>
      </c>
      <c r="BT510" s="100" t="str">
        <f>IF($BH$5=TRUE,IF(AY510="","",SUM($AY$8:AY510)),"")</f>
        <v/>
      </c>
      <c r="BU510" s="100" t="str">
        <f>IF($BI$5=TRUE,IF(AZ510="","",SUM($AZ$8:AZ510)),"")</f>
        <v/>
      </c>
      <c r="BV510" s="100" t="str">
        <f>IF($BJ$5=TRUE,IF(BA510="","",SUM($BA$8:BA510)),"")</f>
        <v/>
      </c>
      <c r="BW510" s="100" t="str">
        <f>IF($BK$5=TRUE,IF(BB510="","",SUM($BB$8:BB510)),"")</f>
        <v/>
      </c>
      <c r="BX510" s="100" t="str">
        <f>IF($BL$5=TRUE,IF(BC510="","",SUM($BC$8:BC510)),"")</f>
        <v/>
      </c>
      <c r="BY510" s="100" t="str">
        <f>IF($BM$5=TRUE,IF(BD510="","",SUM($BD$8:BD510)),"")</f>
        <v/>
      </c>
      <c r="BZ510" s="100" t="str">
        <f>IF($BN$5=TRUE,IF(BE510="","",SUM($BE$8:BE510)),"")</f>
        <v/>
      </c>
    </row>
    <row r="511" spans="46:78" x14ac:dyDescent="0.25">
      <c r="AT511" s="74"/>
      <c r="AW511" s="74"/>
      <c r="BR511" s="133" t="str">
        <f t="shared" si="33"/>
        <v/>
      </c>
      <c r="BS511" s="100" t="str">
        <f>IF($BG$5=TRUE,IF(AX511="","",SUM($AX$8:AX511)),"")</f>
        <v/>
      </c>
      <c r="BT511" s="100" t="str">
        <f>IF($BH$5=TRUE,IF(AY511="","",SUM($AY$8:AY511)),"")</f>
        <v/>
      </c>
      <c r="BU511" s="100" t="str">
        <f>IF($BI$5=TRUE,IF(AZ511="","",SUM($AZ$8:AZ511)),"")</f>
        <v/>
      </c>
      <c r="BV511" s="100" t="str">
        <f>IF($BJ$5=TRUE,IF(BA511="","",SUM($BA$8:BA511)),"")</f>
        <v/>
      </c>
      <c r="BW511" s="100" t="str">
        <f>IF($BK$5=TRUE,IF(BB511="","",SUM($BB$8:BB511)),"")</f>
        <v/>
      </c>
      <c r="BX511" s="100" t="str">
        <f>IF($BL$5=TRUE,IF(BC511="","",SUM($BC$8:BC511)),"")</f>
        <v/>
      </c>
      <c r="BY511" s="100" t="str">
        <f>IF($BM$5=TRUE,IF(BD511="","",SUM($BD$8:BD511)),"")</f>
        <v/>
      </c>
      <c r="BZ511" s="100" t="str">
        <f>IF($BN$5=TRUE,IF(BE511="","",SUM($BE$8:BE511)),"")</f>
        <v/>
      </c>
    </row>
    <row r="512" spans="46:78" x14ac:dyDescent="0.25">
      <c r="AT512" s="74"/>
      <c r="AW512" s="74"/>
      <c r="BR512" s="133" t="str">
        <f t="shared" si="33"/>
        <v/>
      </c>
      <c r="BS512" s="100" t="str">
        <f>IF($BG$5=TRUE,IF(AX512="","",SUM($AX$8:AX512)),"")</f>
        <v/>
      </c>
      <c r="BT512" s="100" t="str">
        <f>IF($BH$5=TRUE,IF(AY512="","",SUM($AY$8:AY512)),"")</f>
        <v/>
      </c>
      <c r="BU512" s="100" t="str">
        <f>IF($BI$5=TRUE,IF(AZ512="","",SUM($AZ$8:AZ512)),"")</f>
        <v/>
      </c>
      <c r="BV512" s="100" t="str">
        <f>IF($BJ$5=TRUE,IF(BA512="","",SUM($BA$8:BA512)),"")</f>
        <v/>
      </c>
      <c r="BW512" s="100" t="str">
        <f>IF($BK$5=TRUE,IF(BB512="","",SUM($BB$8:BB512)),"")</f>
        <v/>
      </c>
      <c r="BX512" s="100" t="str">
        <f>IF($BL$5=TRUE,IF(BC512="","",SUM($BC$8:BC512)),"")</f>
        <v/>
      </c>
      <c r="BY512" s="100" t="str">
        <f>IF($BM$5=TRUE,IF(BD512="","",SUM($BD$8:BD512)),"")</f>
        <v/>
      </c>
      <c r="BZ512" s="100" t="str">
        <f>IF($BN$5=TRUE,IF(BE512="","",SUM($BE$8:BE512)),"")</f>
        <v/>
      </c>
    </row>
    <row r="513" spans="46:78" x14ac:dyDescent="0.25">
      <c r="AT513" s="74"/>
      <c r="AW513" s="74"/>
      <c r="BR513" s="133" t="str">
        <f t="shared" si="33"/>
        <v/>
      </c>
      <c r="BS513" s="100" t="str">
        <f>IF($BG$5=TRUE,IF(AX513="","",SUM($AX$8:AX513)),"")</f>
        <v/>
      </c>
      <c r="BT513" s="100" t="str">
        <f>IF($BH$5=TRUE,IF(AY513="","",SUM($AY$8:AY513)),"")</f>
        <v/>
      </c>
      <c r="BU513" s="100" t="str">
        <f>IF($BI$5=TRUE,IF(AZ513="","",SUM($AZ$8:AZ513)),"")</f>
        <v/>
      </c>
      <c r="BV513" s="100" t="str">
        <f>IF($BJ$5=TRUE,IF(BA513="","",SUM($BA$8:BA513)),"")</f>
        <v/>
      </c>
      <c r="BW513" s="100" t="str">
        <f>IF($BK$5=TRUE,IF(BB513="","",SUM($BB$8:BB513)),"")</f>
        <v/>
      </c>
      <c r="BX513" s="100" t="str">
        <f>IF($BL$5=TRUE,IF(BC513="","",SUM($BC$8:BC513)),"")</f>
        <v/>
      </c>
      <c r="BY513" s="100" t="str">
        <f>IF($BM$5=TRUE,IF(BD513="","",SUM($BD$8:BD513)),"")</f>
        <v/>
      </c>
      <c r="BZ513" s="100" t="str">
        <f>IF($BN$5=TRUE,IF(BE513="","",SUM($BE$8:BE513)),"")</f>
        <v/>
      </c>
    </row>
    <row r="514" spans="46:78" x14ac:dyDescent="0.25">
      <c r="AT514" s="74"/>
      <c r="AW514" s="74"/>
      <c r="BR514" s="133" t="str">
        <f t="shared" si="33"/>
        <v/>
      </c>
      <c r="BS514" s="100" t="str">
        <f>IF($BG$5=TRUE,IF(AX514="","",SUM($AX$8:AX514)),"")</f>
        <v/>
      </c>
      <c r="BT514" s="100" t="str">
        <f>IF($BH$5=TRUE,IF(AY514="","",SUM($AY$8:AY514)),"")</f>
        <v/>
      </c>
      <c r="BU514" s="100" t="str">
        <f>IF($BI$5=TRUE,IF(AZ514="","",SUM($AZ$8:AZ514)),"")</f>
        <v/>
      </c>
      <c r="BV514" s="100" t="str">
        <f>IF($BJ$5=TRUE,IF(BA514="","",SUM($BA$8:BA514)),"")</f>
        <v/>
      </c>
      <c r="BW514" s="100" t="str">
        <f>IF($BK$5=TRUE,IF(BB514="","",SUM($BB$8:BB514)),"")</f>
        <v/>
      </c>
      <c r="BX514" s="100" t="str">
        <f>IF($BL$5=TRUE,IF(BC514="","",SUM($BC$8:BC514)),"")</f>
        <v/>
      </c>
      <c r="BY514" s="100" t="str">
        <f>IF($BM$5=TRUE,IF(BD514="","",SUM($BD$8:BD514)),"")</f>
        <v/>
      </c>
      <c r="BZ514" s="100" t="str">
        <f>IF($BN$5=TRUE,IF(BE514="","",SUM($BE$8:BE514)),"")</f>
        <v/>
      </c>
    </row>
    <row r="515" spans="46:78" x14ac:dyDescent="0.25">
      <c r="AT515" s="74"/>
      <c r="AW515" s="74"/>
      <c r="BR515" s="133" t="str">
        <f t="shared" si="33"/>
        <v/>
      </c>
      <c r="BS515" s="100" t="str">
        <f>IF($BG$5=TRUE,IF(AX515="","",SUM($AX$8:AX515)),"")</f>
        <v/>
      </c>
      <c r="BT515" s="100" t="str">
        <f>IF($BH$5=TRUE,IF(AY515="","",SUM($AY$8:AY515)),"")</f>
        <v/>
      </c>
      <c r="BU515" s="100" t="str">
        <f>IF($BI$5=TRUE,IF(AZ515="","",SUM($AZ$8:AZ515)),"")</f>
        <v/>
      </c>
      <c r="BV515" s="100" t="str">
        <f>IF($BJ$5=TRUE,IF(BA515="","",SUM($BA$8:BA515)),"")</f>
        <v/>
      </c>
      <c r="BW515" s="100" t="str">
        <f>IF($BK$5=TRUE,IF(BB515="","",SUM($BB$8:BB515)),"")</f>
        <v/>
      </c>
      <c r="BX515" s="100" t="str">
        <f>IF($BL$5=TRUE,IF(BC515="","",SUM($BC$8:BC515)),"")</f>
        <v/>
      </c>
      <c r="BY515" s="100" t="str">
        <f>IF($BM$5=TRUE,IF(BD515="","",SUM($BD$8:BD515)),"")</f>
        <v/>
      </c>
      <c r="BZ515" s="100" t="str">
        <f>IF($BN$5=TRUE,IF(BE515="","",SUM($BE$8:BE515)),"")</f>
        <v/>
      </c>
    </row>
    <row r="516" spans="46:78" x14ac:dyDescent="0.25">
      <c r="AT516" s="74"/>
      <c r="AW516" s="74"/>
      <c r="BR516" s="133" t="str">
        <f t="shared" si="33"/>
        <v/>
      </c>
      <c r="BS516" s="100" t="str">
        <f>IF($BG$5=TRUE,IF(AX516="","",SUM($AX$8:AX516)),"")</f>
        <v/>
      </c>
      <c r="BT516" s="100" t="str">
        <f>IF($BH$5=TRUE,IF(AY516="","",SUM($AY$8:AY516)),"")</f>
        <v/>
      </c>
      <c r="BU516" s="100" t="str">
        <f>IF($BI$5=TRUE,IF(AZ516="","",SUM($AZ$8:AZ516)),"")</f>
        <v/>
      </c>
      <c r="BV516" s="100" t="str">
        <f>IF($BJ$5=TRUE,IF(BA516="","",SUM($BA$8:BA516)),"")</f>
        <v/>
      </c>
      <c r="BW516" s="100" t="str">
        <f>IF($BK$5=TRUE,IF(BB516="","",SUM($BB$8:BB516)),"")</f>
        <v/>
      </c>
      <c r="BX516" s="100" t="str">
        <f>IF($BL$5=TRUE,IF(BC516="","",SUM($BC$8:BC516)),"")</f>
        <v/>
      </c>
      <c r="BY516" s="100" t="str">
        <f>IF($BM$5=TRUE,IF(BD516="","",SUM($BD$8:BD516)),"")</f>
        <v/>
      </c>
      <c r="BZ516" s="100" t="str">
        <f>IF($BN$5=TRUE,IF(BE516="","",SUM($BE$8:BE516)),"")</f>
        <v/>
      </c>
    </row>
    <row r="517" spans="46:78" x14ac:dyDescent="0.25">
      <c r="AT517" s="74"/>
      <c r="AW517" s="74"/>
      <c r="BR517" s="133" t="str">
        <f t="shared" si="33"/>
        <v/>
      </c>
      <c r="BS517" s="100" t="str">
        <f>IF($BG$5=TRUE,IF(AX517="","",SUM($AX$8:AX517)),"")</f>
        <v/>
      </c>
      <c r="BT517" s="100" t="str">
        <f>IF($BH$5=TRUE,IF(AY517="","",SUM($AY$8:AY517)),"")</f>
        <v/>
      </c>
      <c r="BU517" s="100" t="str">
        <f>IF($BI$5=TRUE,IF(AZ517="","",SUM($AZ$8:AZ517)),"")</f>
        <v/>
      </c>
      <c r="BV517" s="100" t="str">
        <f>IF($BJ$5=TRUE,IF(BA517="","",SUM($BA$8:BA517)),"")</f>
        <v/>
      </c>
      <c r="BW517" s="100" t="str">
        <f>IF($BK$5=TRUE,IF(BB517="","",SUM($BB$8:BB517)),"")</f>
        <v/>
      </c>
      <c r="BX517" s="100" t="str">
        <f>IF($BL$5=TRUE,IF(BC517="","",SUM($BC$8:BC517)),"")</f>
        <v/>
      </c>
      <c r="BY517" s="100" t="str">
        <f>IF($BM$5=TRUE,IF(BD517="","",SUM($BD$8:BD517)),"")</f>
        <v/>
      </c>
      <c r="BZ517" s="100" t="str">
        <f>IF($BN$5=TRUE,IF(BE517="","",SUM($BE$8:BE517)),"")</f>
        <v/>
      </c>
    </row>
    <row r="518" spans="46:78" x14ac:dyDescent="0.25">
      <c r="AT518" s="74"/>
      <c r="AW518" s="74"/>
      <c r="BR518" s="133" t="str">
        <f t="shared" si="33"/>
        <v/>
      </c>
      <c r="BS518" s="100" t="str">
        <f>IF($BG$5=TRUE,IF(AX518="","",SUM($AX$8:AX518)),"")</f>
        <v/>
      </c>
      <c r="BT518" s="100" t="str">
        <f>IF($BH$5=TRUE,IF(AY518="","",SUM($AY$8:AY518)),"")</f>
        <v/>
      </c>
      <c r="BU518" s="100" t="str">
        <f>IF($BI$5=TRUE,IF(AZ518="","",SUM($AZ$8:AZ518)),"")</f>
        <v/>
      </c>
      <c r="BV518" s="100" t="str">
        <f>IF($BJ$5=TRUE,IF(BA518="","",SUM($BA$8:BA518)),"")</f>
        <v/>
      </c>
      <c r="BW518" s="100" t="str">
        <f>IF($BK$5=TRUE,IF(BB518="","",SUM($BB$8:BB518)),"")</f>
        <v/>
      </c>
      <c r="BX518" s="100" t="str">
        <f>IF($BL$5=TRUE,IF(BC518="","",SUM($BC$8:BC518)),"")</f>
        <v/>
      </c>
      <c r="BY518" s="100" t="str">
        <f>IF($BM$5=TRUE,IF(BD518="","",SUM($BD$8:BD518)),"")</f>
        <v/>
      </c>
      <c r="BZ518" s="100" t="str">
        <f>IF($BN$5=TRUE,IF(BE518="","",SUM($BE$8:BE518)),"")</f>
        <v/>
      </c>
    </row>
    <row r="519" spans="46:78" x14ac:dyDescent="0.25">
      <c r="AT519" s="74"/>
      <c r="AW519" s="74"/>
      <c r="BR519" s="133" t="str">
        <f t="shared" si="33"/>
        <v/>
      </c>
      <c r="BS519" s="100" t="str">
        <f>IF($BG$5=TRUE,IF(AX519="","",SUM($AX$8:AX519)),"")</f>
        <v/>
      </c>
      <c r="BT519" s="100" t="str">
        <f>IF($BH$5=TRUE,IF(AY519="","",SUM($AY$8:AY519)),"")</f>
        <v/>
      </c>
      <c r="BU519" s="100" t="str">
        <f>IF($BI$5=TRUE,IF(AZ519="","",SUM($AZ$8:AZ519)),"")</f>
        <v/>
      </c>
      <c r="BV519" s="100" t="str">
        <f>IF($BJ$5=TRUE,IF(BA519="","",SUM($BA$8:BA519)),"")</f>
        <v/>
      </c>
      <c r="BW519" s="100" t="str">
        <f>IF($BK$5=TRUE,IF(BB519="","",SUM($BB$8:BB519)),"")</f>
        <v/>
      </c>
      <c r="BX519" s="100" t="str">
        <f>IF($BL$5=TRUE,IF(BC519="","",SUM($BC$8:BC519)),"")</f>
        <v/>
      </c>
      <c r="BY519" s="100" t="str">
        <f>IF($BM$5=TRUE,IF(BD519="","",SUM($BD$8:BD519)),"")</f>
        <v/>
      </c>
      <c r="BZ519" s="100" t="str">
        <f>IF($BN$5=TRUE,IF(BE519="","",SUM($BE$8:BE519)),"")</f>
        <v/>
      </c>
    </row>
    <row r="520" spans="46:78" x14ac:dyDescent="0.25">
      <c r="AT520" s="74"/>
      <c r="AW520" s="74"/>
      <c r="BR520" s="133" t="str">
        <f t="shared" si="33"/>
        <v/>
      </c>
      <c r="BS520" s="100" t="str">
        <f>IF($BG$5=TRUE,IF(AX520="","",SUM($AX$8:AX520)),"")</f>
        <v/>
      </c>
      <c r="BT520" s="100" t="str">
        <f>IF($BH$5=TRUE,IF(AY520="","",SUM($AY$8:AY520)),"")</f>
        <v/>
      </c>
      <c r="BU520" s="100" t="str">
        <f>IF($BI$5=TRUE,IF(AZ520="","",SUM($AZ$8:AZ520)),"")</f>
        <v/>
      </c>
      <c r="BV520" s="100" t="str">
        <f>IF($BJ$5=TRUE,IF(BA520="","",SUM($BA$8:BA520)),"")</f>
        <v/>
      </c>
      <c r="BW520" s="100" t="str">
        <f>IF($BK$5=TRUE,IF(BB520="","",SUM($BB$8:BB520)),"")</f>
        <v/>
      </c>
      <c r="BX520" s="100" t="str">
        <f>IF($BL$5=TRUE,IF(BC520="","",SUM($BC$8:BC520)),"")</f>
        <v/>
      </c>
      <c r="BY520" s="100" t="str">
        <f>IF($BM$5=TRUE,IF(BD520="","",SUM($BD$8:BD520)),"")</f>
        <v/>
      </c>
      <c r="BZ520" s="100" t="str">
        <f>IF($BN$5=TRUE,IF(BE520="","",SUM($BE$8:BE520)),"")</f>
        <v/>
      </c>
    </row>
    <row r="521" spans="46:78" x14ac:dyDescent="0.25">
      <c r="AT521" s="74"/>
      <c r="AW521" s="74"/>
      <c r="BR521" s="133" t="str">
        <f t="shared" si="33"/>
        <v/>
      </c>
      <c r="BS521" s="100" t="str">
        <f>IF($BG$5=TRUE,IF(AX521="","",SUM($AX$8:AX521)),"")</f>
        <v/>
      </c>
      <c r="BT521" s="100" t="str">
        <f>IF($BH$5=TRUE,IF(AY521="","",SUM($AY$8:AY521)),"")</f>
        <v/>
      </c>
      <c r="BU521" s="100" t="str">
        <f>IF($BI$5=TRUE,IF(AZ521="","",SUM($AZ$8:AZ521)),"")</f>
        <v/>
      </c>
      <c r="BV521" s="100" t="str">
        <f>IF($BJ$5=TRUE,IF(BA521="","",SUM($BA$8:BA521)),"")</f>
        <v/>
      </c>
      <c r="BW521" s="100" t="str">
        <f>IF($BK$5=TRUE,IF(BB521="","",SUM($BB$8:BB521)),"")</f>
        <v/>
      </c>
      <c r="BX521" s="100" t="str">
        <f>IF($BL$5=TRUE,IF(BC521="","",SUM($BC$8:BC521)),"")</f>
        <v/>
      </c>
      <c r="BY521" s="100" t="str">
        <f>IF($BM$5=TRUE,IF(BD521="","",SUM($BD$8:BD521)),"")</f>
        <v/>
      </c>
      <c r="BZ521" s="100" t="str">
        <f>IF($BN$5=TRUE,IF(BE521="","",SUM($BE$8:BE521)),"")</f>
        <v/>
      </c>
    </row>
    <row r="522" spans="46:78" x14ac:dyDescent="0.25">
      <c r="AT522" s="74"/>
      <c r="AW522" s="74"/>
      <c r="BR522" s="133" t="str">
        <f t="shared" si="33"/>
        <v/>
      </c>
      <c r="BS522" s="100" t="str">
        <f>IF($BG$5=TRUE,IF(AX522="","",SUM($AX$8:AX522)),"")</f>
        <v/>
      </c>
      <c r="BT522" s="100" t="str">
        <f>IF($BH$5=TRUE,IF(AY522="","",SUM($AY$8:AY522)),"")</f>
        <v/>
      </c>
      <c r="BU522" s="100" t="str">
        <f>IF($BI$5=TRUE,IF(AZ522="","",SUM($AZ$8:AZ522)),"")</f>
        <v/>
      </c>
      <c r="BV522" s="100" t="str">
        <f>IF($BJ$5=TRUE,IF(BA522="","",SUM($BA$8:BA522)),"")</f>
        <v/>
      </c>
      <c r="BW522" s="100" t="str">
        <f>IF($BK$5=TRUE,IF(BB522="","",SUM($BB$8:BB522)),"")</f>
        <v/>
      </c>
      <c r="BX522" s="100" t="str">
        <f>IF($BL$5=TRUE,IF(BC522="","",SUM($BC$8:BC522)),"")</f>
        <v/>
      </c>
      <c r="BY522" s="100" t="str">
        <f>IF($BM$5=TRUE,IF(BD522="","",SUM($BD$8:BD522)),"")</f>
        <v/>
      </c>
      <c r="BZ522" s="100" t="str">
        <f>IF($BN$5=TRUE,IF(BE522="","",SUM($BE$8:BE522)),"")</f>
        <v/>
      </c>
    </row>
    <row r="523" spans="46:78" x14ac:dyDescent="0.25">
      <c r="AT523" s="74"/>
      <c r="AW523" s="74"/>
      <c r="BR523" s="133" t="str">
        <f t="shared" ref="BR523:BR586" si="34">IF(AW523="","",AW523)</f>
        <v/>
      </c>
      <c r="BS523" s="100" t="str">
        <f>IF($BG$5=TRUE,IF(AX523="","",SUM($AX$8:AX523)),"")</f>
        <v/>
      </c>
      <c r="BT523" s="100" t="str">
        <f>IF($BH$5=TRUE,IF(AY523="","",SUM($AY$8:AY523)),"")</f>
        <v/>
      </c>
      <c r="BU523" s="100" t="str">
        <f>IF($BI$5=TRUE,IF(AZ523="","",SUM($AZ$8:AZ523)),"")</f>
        <v/>
      </c>
      <c r="BV523" s="100" t="str">
        <f>IF($BJ$5=TRUE,IF(BA523="","",SUM($BA$8:BA523)),"")</f>
        <v/>
      </c>
      <c r="BW523" s="100" t="str">
        <f>IF($BK$5=TRUE,IF(BB523="","",SUM($BB$8:BB523)),"")</f>
        <v/>
      </c>
      <c r="BX523" s="100" t="str">
        <f>IF($BL$5=TRUE,IF(BC523="","",SUM($BC$8:BC523)),"")</f>
        <v/>
      </c>
      <c r="BY523" s="100" t="str">
        <f>IF($BM$5=TRUE,IF(BD523="","",SUM($BD$8:BD523)),"")</f>
        <v/>
      </c>
      <c r="BZ523" s="100" t="str">
        <f>IF($BN$5=TRUE,IF(BE523="","",SUM($BE$8:BE523)),"")</f>
        <v/>
      </c>
    </row>
    <row r="524" spans="46:78" x14ac:dyDescent="0.25">
      <c r="AT524" s="74"/>
      <c r="AW524" s="74"/>
      <c r="BR524" s="133" t="str">
        <f t="shared" si="34"/>
        <v/>
      </c>
      <c r="BS524" s="100" t="str">
        <f>IF($BG$5=TRUE,IF(AX524="","",SUM($AX$8:AX524)),"")</f>
        <v/>
      </c>
      <c r="BT524" s="100" t="str">
        <f>IF($BH$5=TRUE,IF(AY524="","",SUM($AY$8:AY524)),"")</f>
        <v/>
      </c>
      <c r="BU524" s="100" t="str">
        <f>IF($BI$5=TRUE,IF(AZ524="","",SUM($AZ$8:AZ524)),"")</f>
        <v/>
      </c>
      <c r="BV524" s="100" t="str">
        <f>IF($BJ$5=TRUE,IF(BA524="","",SUM($BA$8:BA524)),"")</f>
        <v/>
      </c>
      <c r="BW524" s="100" t="str">
        <f>IF($BK$5=TRUE,IF(BB524="","",SUM($BB$8:BB524)),"")</f>
        <v/>
      </c>
      <c r="BX524" s="100" t="str">
        <f>IF($BL$5=TRUE,IF(BC524="","",SUM($BC$8:BC524)),"")</f>
        <v/>
      </c>
      <c r="BY524" s="100" t="str">
        <f>IF($BM$5=TRUE,IF(BD524="","",SUM($BD$8:BD524)),"")</f>
        <v/>
      </c>
      <c r="BZ524" s="100" t="str">
        <f>IF($BN$5=TRUE,IF(BE524="","",SUM($BE$8:BE524)),"")</f>
        <v/>
      </c>
    </row>
    <row r="525" spans="46:78" x14ac:dyDescent="0.25">
      <c r="AT525" s="74"/>
      <c r="AW525" s="74"/>
      <c r="BR525" s="133" t="str">
        <f t="shared" si="34"/>
        <v/>
      </c>
      <c r="BS525" s="100" t="str">
        <f>IF($BG$5=TRUE,IF(AX525="","",SUM($AX$8:AX525)),"")</f>
        <v/>
      </c>
      <c r="BT525" s="100" t="str">
        <f>IF($BH$5=TRUE,IF(AY525="","",SUM($AY$8:AY525)),"")</f>
        <v/>
      </c>
      <c r="BU525" s="100" t="str">
        <f>IF($BI$5=TRUE,IF(AZ525="","",SUM($AZ$8:AZ525)),"")</f>
        <v/>
      </c>
      <c r="BV525" s="100" t="str">
        <f>IF($BJ$5=TRUE,IF(BA525="","",SUM($BA$8:BA525)),"")</f>
        <v/>
      </c>
      <c r="BW525" s="100" t="str">
        <f>IF($BK$5=TRUE,IF(BB525="","",SUM($BB$8:BB525)),"")</f>
        <v/>
      </c>
      <c r="BX525" s="100" t="str">
        <f>IF($BL$5=TRUE,IF(BC525="","",SUM($BC$8:BC525)),"")</f>
        <v/>
      </c>
      <c r="BY525" s="100" t="str">
        <f>IF($BM$5=TRUE,IF(BD525="","",SUM($BD$8:BD525)),"")</f>
        <v/>
      </c>
      <c r="BZ525" s="100" t="str">
        <f>IF($BN$5=TRUE,IF(BE525="","",SUM($BE$8:BE525)),"")</f>
        <v/>
      </c>
    </row>
    <row r="526" spans="46:78" x14ac:dyDescent="0.25">
      <c r="AT526" s="74"/>
      <c r="AW526" s="74"/>
      <c r="BR526" s="133" t="str">
        <f t="shared" si="34"/>
        <v/>
      </c>
      <c r="BS526" s="100" t="str">
        <f>IF($BG$5=TRUE,IF(AX526="","",SUM($AX$8:AX526)),"")</f>
        <v/>
      </c>
      <c r="BT526" s="100" t="str">
        <f>IF($BH$5=TRUE,IF(AY526="","",SUM($AY$8:AY526)),"")</f>
        <v/>
      </c>
      <c r="BU526" s="100" t="str">
        <f>IF($BI$5=TRUE,IF(AZ526="","",SUM($AZ$8:AZ526)),"")</f>
        <v/>
      </c>
      <c r="BV526" s="100" t="str">
        <f>IF($BJ$5=TRUE,IF(BA526="","",SUM($BA$8:BA526)),"")</f>
        <v/>
      </c>
      <c r="BW526" s="100" t="str">
        <f>IF($BK$5=TRUE,IF(BB526="","",SUM($BB$8:BB526)),"")</f>
        <v/>
      </c>
      <c r="BX526" s="100" t="str">
        <f>IF($BL$5=TRUE,IF(BC526="","",SUM($BC$8:BC526)),"")</f>
        <v/>
      </c>
      <c r="BY526" s="100" t="str">
        <f>IF($BM$5=TRUE,IF(BD526="","",SUM($BD$8:BD526)),"")</f>
        <v/>
      </c>
      <c r="BZ526" s="100" t="str">
        <f>IF($BN$5=TRUE,IF(BE526="","",SUM($BE$8:BE526)),"")</f>
        <v/>
      </c>
    </row>
    <row r="527" spans="46:78" x14ac:dyDescent="0.25">
      <c r="AT527" s="74"/>
      <c r="AW527" s="74"/>
      <c r="BR527" s="133" t="str">
        <f t="shared" si="34"/>
        <v/>
      </c>
      <c r="BS527" s="100" t="str">
        <f>IF($BG$5=TRUE,IF(AX527="","",SUM($AX$8:AX527)),"")</f>
        <v/>
      </c>
      <c r="BT527" s="100" t="str">
        <f>IF($BH$5=TRUE,IF(AY527="","",SUM($AY$8:AY527)),"")</f>
        <v/>
      </c>
      <c r="BU527" s="100" t="str">
        <f>IF($BI$5=TRUE,IF(AZ527="","",SUM($AZ$8:AZ527)),"")</f>
        <v/>
      </c>
      <c r="BV527" s="100" t="str">
        <f>IF($BJ$5=TRUE,IF(BA527="","",SUM($BA$8:BA527)),"")</f>
        <v/>
      </c>
      <c r="BW527" s="100" t="str">
        <f>IF($BK$5=TRUE,IF(BB527="","",SUM($BB$8:BB527)),"")</f>
        <v/>
      </c>
      <c r="BX527" s="100" t="str">
        <f>IF($BL$5=TRUE,IF(BC527="","",SUM($BC$8:BC527)),"")</f>
        <v/>
      </c>
      <c r="BY527" s="100" t="str">
        <f>IF($BM$5=TRUE,IF(BD527="","",SUM($BD$8:BD527)),"")</f>
        <v/>
      </c>
      <c r="BZ527" s="100" t="str">
        <f>IF($BN$5=TRUE,IF(BE527="","",SUM($BE$8:BE527)),"")</f>
        <v/>
      </c>
    </row>
    <row r="528" spans="46:78" x14ac:dyDescent="0.25">
      <c r="AT528" s="74"/>
      <c r="AW528" s="74"/>
      <c r="BR528" s="133" t="str">
        <f t="shared" si="34"/>
        <v/>
      </c>
      <c r="BS528" s="100" t="str">
        <f>IF($BG$5=TRUE,IF(AX528="","",SUM($AX$8:AX528)),"")</f>
        <v/>
      </c>
      <c r="BT528" s="100" t="str">
        <f>IF($BH$5=TRUE,IF(AY528="","",SUM($AY$8:AY528)),"")</f>
        <v/>
      </c>
      <c r="BU528" s="100" t="str">
        <f>IF($BI$5=TRUE,IF(AZ528="","",SUM($AZ$8:AZ528)),"")</f>
        <v/>
      </c>
      <c r="BV528" s="100" t="str">
        <f>IF($BJ$5=TRUE,IF(BA528="","",SUM($BA$8:BA528)),"")</f>
        <v/>
      </c>
      <c r="BW528" s="100" t="str">
        <f>IF($BK$5=TRUE,IF(BB528="","",SUM($BB$8:BB528)),"")</f>
        <v/>
      </c>
      <c r="BX528" s="100" t="str">
        <f>IF($BL$5=TRUE,IF(BC528="","",SUM($BC$8:BC528)),"")</f>
        <v/>
      </c>
      <c r="BY528" s="100" t="str">
        <f>IF($BM$5=TRUE,IF(BD528="","",SUM($BD$8:BD528)),"")</f>
        <v/>
      </c>
      <c r="BZ528" s="100" t="str">
        <f>IF($BN$5=TRUE,IF(BE528="","",SUM($BE$8:BE528)),"")</f>
        <v/>
      </c>
    </row>
    <row r="529" spans="46:78" x14ac:dyDescent="0.25">
      <c r="AT529" s="74"/>
      <c r="AW529" s="74"/>
      <c r="BR529" s="133" t="str">
        <f t="shared" si="34"/>
        <v/>
      </c>
      <c r="BS529" s="100" t="str">
        <f>IF($BG$5=TRUE,IF(AX529="","",SUM($AX$8:AX529)),"")</f>
        <v/>
      </c>
      <c r="BT529" s="100" t="str">
        <f>IF($BH$5=TRUE,IF(AY529="","",SUM($AY$8:AY529)),"")</f>
        <v/>
      </c>
      <c r="BU529" s="100" t="str">
        <f>IF($BI$5=TRUE,IF(AZ529="","",SUM($AZ$8:AZ529)),"")</f>
        <v/>
      </c>
      <c r="BV529" s="100" t="str">
        <f>IF($BJ$5=TRUE,IF(BA529="","",SUM($BA$8:BA529)),"")</f>
        <v/>
      </c>
      <c r="BW529" s="100" t="str">
        <f>IF($BK$5=TRUE,IF(BB529="","",SUM($BB$8:BB529)),"")</f>
        <v/>
      </c>
      <c r="BX529" s="100" t="str">
        <f>IF($BL$5=TRUE,IF(BC529="","",SUM($BC$8:BC529)),"")</f>
        <v/>
      </c>
      <c r="BY529" s="100" t="str">
        <f>IF($BM$5=TRUE,IF(BD529="","",SUM($BD$8:BD529)),"")</f>
        <v/>
      </c>
      <c r="BZ529" s="100" t="str">
        <f>IF($BN$5=TRUE,IF(BE529="","",SUM($BE$8:BE529)),"")</f>
        <v/>
      </c>
    </row>
    <row r="530" spans="46:78" x14ac:dyDescent="0.25">
      <c r="AT530" s="74"/>
      <c r="AW530" s="74"/>
      <c r="BR530" s="133" t="str">
        <f t="shared" si="34"/>
        <v/>
      </c>
      <c r="BS530" s="100" t="str">
        <f>IF($BG$5=TRUE,IF(AX530="","",SUM($AX$8:AX530)),"")</f>
        <v/>
      </c>
      <c r="BT530" s="100" t="str">
        <f>IF($BH$5=TRUE,IF(AY530="","",SUM($AY$8:AY530)),"")</f>
        <v/>
      </c>
      <c r="BU530" s="100" t="str">
        <f>IF($BI$5=TRUE,IF(AZ530="","",SUM($AZ$8:AZ530)),"")</f>
        <v/>
      </c>
      <c r="BV530" s="100" t="str">
        <f>IF($BJ$5=TRUE,IF(BA530="","",SUM($BA$8:BA530)),"")</f>
        <v/>
      </c>
      <c r="BW530" s="100" t="str">
        <f>IF($BK$5=TRUE,IF(BB530="","",SUM($BB$8:BB530)),"")</f>
        <v/>
      </c>
      <c r="BX530" s="100" t="str">
        <f>IF($BL$5=TRUE,IF(BC530="","",SUM($BC$8:BC530)),"")</f>
        <v/>
      </c>
      <c r="BY530" s="100" t="str">
        <f>IF($BM$5=TRUE,IF(BD530="","",SUM($BD$8:BD530)),"")</f>
        <v/>
      </c>
      <c r="BZ530" s="100" t="str">
        <f>IF($BN$5=TRUE,IF(BE530="","",SUM($BE$8:BE530)),"")</f>
        <v/>
      </c>
    </row>
    <row r="531" spans="46:78" x14ac:dyDescent="0.25">
      <c r="AT531" s="74"/>
      <c r="AW531" s="74"/>
      <c r="BR531" s="133" t="str">
        <f t="shared" si="34"/>
        <v/>
      </c>
      <c r="BS531" s="100" t="str">
        <f>IF($BG$5=TRUE,IF(AX531="","",SUM($AX$8:AX531)),"")</f>
        <v/>
      </c>
      <c r="BT531" s="100" t="str">
        <f>IF($BH$5=TRUE,IF(AY531="","",SUM($AY$8:AY531)),"")</f>
        <v/>
      </c>
      <c r="BU531" s="100" t="str">
        <f>IF($BI$5=TRUE,IF(AZ531="","",SUM($AZ$8:AZ531)),"")</f>
        <v/>
      </c>
      <c r="BV531" s="100" t="str">
        <f>IF($BJ$5=TRUE,IF(BA531="","",SUM($BA$8:BA531)),"")</f>
        <v/>
      </c>
      <c r="BW531" s="100" t="str">
        <f>IF($BK$5=TRUE,IF(BB531="","",SUM($BB$8:BB531)),"")</f>
        <v/>
      </c>
      <c r="BX531" s="100" t="str">
        <f>IF($BL$5=TRUE,IF(BC531="","",SUM($BC$8:BC531)),"")</f>
        <v/>
      </c>
      <c r="BY531" s="100" t="str">
        <f>IF($BM$5=TRUE,IF(BD531="","",SUM($BD$8:BD531)),"")</f>
        <v/>
      </c>
      <c r="BZ531" s="100" t="str">
        <f>IF($BN$5=TRUE,IF(BE531="","",SUM($BE$8:BE531)),"")</f>
        <v/>
      </c>
    </row>
    <row r="532" spans="46:78" x14ac:dyDescent="0.25">
      <c r="AT532" s="74"/>
      <c r="AW532" s="74"/>
      <c r="BR532" s="133" t="str">
        <f t="shared" si="34"/>
        <v/>
      </c>
      <c r="BS532" s="100" t="str">
        <f>IF($BG$5=TRUE,IF(AX532="","",SUM($AX$8:AX532)),"")</f>
        <v/>
      </c>
      <c r="BT532" s="100" t="str">
        <f>IF($BH$5=TRUE,IF(AY532="","",SUM($AY$8:AY532)),"")</f>
        <v/>
      </c>
      <c r="BU532" s="100" t="str">
        <f>IF($BI$5=TRUE,IF(AZ532="","",SUM($AZ$8:AZ532)),"")</f>
        <v/>
      </c>
      <c r="BV532" s="100" t="str">
        <f>IF($BJ$5=TRUE,IF(BA532="","",SUM($BA$8:BA532)),"")</f>
        <v/>
      </c>
      <c r="BW532" s="100" t="str">
        <f>IF($BK$5=TRUE,IF(BB532="","",SUM($BB$8:BB532)),"")</f>
        <v/>
      </c>
      <c r="BX532" s="100" t="str">
        <f>IF($BL$5=TRUE,IF(BC532="","",SUM($BC$8:BC532)),"")</f>
        <v/>
      </c>
      <c r="BY532" s="100" t="str">
        <f>IF($BM$5=TRUE,IF(BD532="","",SUM($BD$8:BD532)),"")</f>
        <v/>
      </c>
      <c r="BZ532" s="100" t="str">
        <f>IF($BN$5=TRUE,IF(BE532="","",SUM($BE$8:BE532)),"")</f>
        <v/>
      </c>
    </row>
    <row r="533" spans="46:78" x14ac:dyDescent="0.25">
      <c r="AT533" s="74"/>
      <c r="AW533" s="74"/>
      <c r="BR533" s="133" t="str">
        <f t="shared" si="34"/>
        <v/>
      </c>
      <c r="BS533" s="100" t="str">
        <f>IF($BG$5=TRUE,IF(AX533="","",SUM($AX$8:AX533)),"")</f>
        <v/>
      </c>
      <c r="BT533" s="100" t="str">
        <f>IF($BH$5=TRUE,IF(AY533="","",SUM($AY$8:AY533)),"")</f>
        <v/>
      </c>
      <c r="BU533" s="100" t="str">
        <f>IF($BI$5=TRUE,IF(AZ533="","",SUM($AZ$8:AZ533)),"")</f>
        <v/>
      </c>
      <c r="BV533" s="100" t="str">
        <f>IF($BJ$5=TRUE,IF(BA533="","",SUM($BA$8:BA533)),"")</f>
        <v/>
      </c>
      <c r="BW533" s="100" t="str">
        <f>IF($BK$5=TRUE,IF(BB533="","",SUM($BB$8:BB533)),"")</f>
        <v/>
      </c>
      <c r="BX533" s="100" t="str">
        <f>IF($BL$5=TRUE,IF(BC533="","",SUM($BC$8:BC533)),"")</f>
        <v/>
      </c>
      <c r="BY533" s="100" t="str">
        <f>IF($BM$5=TRUE,IF(BD533="","",SUM($BD$8:BD533)),"")</f>
        <v/>
      </c>
      <c r="BZ533" s="100" t="str">
        <f>IF($BN$5=TRUE,IF(BE533="","",SUM($BE$8:BE533)),"")</f>
        <v/>
      </c>
    </row>
    <row r="534" spans="46:78" x14ac:dyDescent="0.25">
      <c r="AT534" s="74"/>
      <c r="AW534" s="74"/>
      <c r="BR534" s="133" t="str">
        <f t="shared" si="34"/>
        <v/>
      </c>
      <c r="BS534" s="100" t="str">
        <f>IF($BG$5=TRUE,IF(AX534="","",SUM($AX$8:AX534)),"")</f>
        <v/>
      </c>
      <c r="BT534" s="100" t="str">
        <f>IF($BH$5=TRUE,IF(AY534="","",SUM($AY$8:AY534)),"")</f>
        <v/>
      </c>
      <c r="BU534" s="100" t="str">
        <f>IF($BI$5=TRUE,IF(AZ534="","",SUM($AZ$8:AZ534)),"")</f>
        <v/>
      </c>
      <c r="BV534" s="100" t="str">
        <f>IF($BJ$5=TRUE,IF(BA534="","",SUM($BA$8:BA534)),"")</f>
        <v/>
      </c>
      <c r="BW534" s="100" t="str">
        <f>IF($BK$5=TRUE,IF(BB534="","",SUM($BB$8:BB534)),"")</f>
        <v/>
      </c>
      <c r="BX534" s="100" t="str">
        <f>IF($BL$5=TRUE,IF(BC534="","",SUM($BC$8:BC534)),"")</f>
        <v/>
      </c>
      <c r="BY534" s="100" t="str">
        <f>IF($BM$5=TRUE,IF(BD534="","",SUM($BD$8:BD534)),"")</f>
        <v/>
      </c>
      <c r="BZ534" s="100" t="str">
        <f>IF($BN$5=TRUE,IF(BE534="","",SUM($BE$8:BE534)),"")</f>
        <v/>
      </c>
    </row>
    <row r="535" spans="46:78" x14ac:dyDescent="0.25">
      <c r="AT535" s="74"/>
      <c r="AW535" s="74"/>
      <c r="BR535" s="133" t="str">
        <f t="shared" si="34"/>
        <v/>
      </c>
      <c r="BS535" s="100" t="str">
        <f>IF($BG$5=TRUE,IF(AX535="","",SUM($AX$8:AX535)),"")</f>
        <v/>
      </c>
      <c r="BT535" s="100" t="str">
        <f>IF($BH$5=TRUE,IF(AY535="","",SUM($AY$8:AY535)),"")</f>
        <v/>
      </c>
      <c r="BU535" s="100" t="str">
        <f>IF($BI$5=TRUE,IF(AZ535="","",SUM($AZ$8:AZ535)),"")</f>
        <v/>
      </c>
      <c r="BV535" s="100" t="str">
        <f>IF($BJ$5=TRUE,IF(BA535="","",SUM($BA$8:BA535)),"")</f>
        <v/>
      </c>
      <c r="BW535" s="100" t="str">
        <f>IF($BK$5=TRUE,IF(BB535="","",SUM($BB$8:BB535)),"")</f>
        <v/>
      </c>
      <c r="BX535" s="100" t="str">
        <f>IF($BL$5=TRUE,IF(BC535="","",SUM($BC$8:BC535)),"")</f>
        <v/>
      </c>
      <c r="BY535" s="100" t="str">
        <f>IF($BM$5=TRUE,IF(BD535="","",SUM($BD$8:BD535)),"")</f>
        <v/>
      </c>
      <c r="BZ535" s="100" t="str">
        <f>IF($BN$5=TRUE,IF(BE535="","",SUM($BE$8:BE535)),"")</f>
        <v/>
      </c>
    </row>
    <row r="536" spans="46:78" x14ac:dyDescent="0.25">
      <c r="AT536" s="74"/>
      <c r="AW536" s="74"/>
      <c r="BR536" s="133" t="str">
        <f t="shared" si="34"/>
        <v/>
      </c>
      <c r="BS536" s="100" t="str">
        <f>IF($BG$5=TRUE,IF(AX536="","",SUM($AX$8:AX536)),"")</f>
        <v/>
      </c>
      <c r="BT536" s="100" t="str">
        <f>IF($BH$5=TRUE,IF(AY536="","",SUM($AY$8:AY536)),"")</f>
        <v/>
      </c>
      <c r="BU536" s="100" t="str">
        <f>IF($BI$5=TRUE,IF(AZ536="","",SUM($AZ$8:AZ536)),"")</f>
        <v/>
      </c>
      <c r="BV536" s="100" t="str">
        <f>IF($BJ$5=TRUE,IF(BA536="","",SUM($BA$8:BA536)),"")</f>
        <v/>
      </c>
      <c r="BW536" s="100" t="str">
        <f>IF($BK$5=TRUE,IF(BB536="","",SUM($BB$8:BB536)),"")</f>
        <v/>
      </c>
      <c r="BX536" s="100" t="str">
        <f>IF($BL$5=TRUE,IF(BC536="","",SUM($BC$8:BC536)),"")</f>
        <v/>
      </c>
      <c r="BY536" s="100" t="str">
        <f>IF($BM$5=TRUE,IF(BD536="","",SUM($BD$8:BD536)),"")</f>
        <v/>
      </c>
      <c r="BZ536" s="100" t="str">
        <f>IF($BN$5=TRUE,IF(BE536="","",SUM($BE$8:BE536)),"")</f>
        <v/>
      </c>
    </row>
    <row r="537" spans="46:78" x14ac:dyDescent="0.25">
      <c r="AT537" s="74"/>
      <c r="AW537" s="74"/>
      <c r="BR537" s="133" t="str">
        <f t="shared" si="34"/>
        <v/>
      </c>
      <c r="BS537" s="100" t="str">
        <f>IF($BG$5=TRUE,IF(AX537="","",SUM($AX$8:AX537)),"")</f>
        <v/>
      </c>
      <c r="BT537" s="100" t="str">
        <f>IF($BH$5=TRUE,IF(AY537="","",SUM($AY$8:AY537)),"")</f>
        <v/>
      </c>
      <c r="BU537" s="100" t="str">
        <f>IF($BI$5=TRUE,IF(AZ537="","",SUM($AZ$8:AZ537)),"")</f>
        <v/>
      </c>
      <c r="BV537" s="100" t="str">
        <f>IF($BJ$5=TRUE,IF(BA537="","",SUM($BA$8:BA537)),"")</f>
        <v/>
      </c>
      <c r="BW537" s="100" t="str">
        <f>IF($BK$5=TRUE,IF(BB537="","",SUM($BB$8:BB537)),"")</f>
        <v/>
      </c>
      <c r="BX537" s="100" t="str">
        <f>IF($BL$5=TRUE,IF(BC537="","",SUM($BC$8:BC537)),"")</f>
        <v/>
      </c>
      <c r="BY537" s="100" t="str">
        <f>IF($BM$5=TRUE,IF(BD537="","",SUM($BD$8:BD537)),"")</f>
        <v/>
      </c>
      <c r="BZ537" s="100" t="str">
        <f>IF($BN$5=TRUE,IF(BE537="","",SUM($BE$8:BE537)),"")</f>
        <v/>
      </c>
    </row>
    <row r="538" spans="46:78" x14ac:dyDescent="0.25">
      <c r="AT538" s="74"/>
      <c r="AW538" s="74"/>
      <c r="BR538" s="133" t="str">
        <f t="shared" si="34"/>
        <v/>
      </c>
      <c r="BS538" s="100" t="str">
        <f>IF($BG$5=TRUE,IF(AX538="","",SUM($AX$8:AX538)),"")</f>
        <v/>
      </c>
      <c r="BT538" s="100" t="str">
        <f>IF($BH$5=TRUE,IF(AY538="","",SUM($AY$8:AY538)),"")</f>
        <v/>
      </c>
      <c r="BU538" s="100" t="str">
        <f>IF($BI$5=TRUE,IF(AZ538="","",SUM($AZ$8:AZ538)),"")</f>
        <v/>
      </c>
      <c r="BV538" s="100" t="str">
        <f>IF($BJ$5=TRUE,IF(BA538="","",SUM($BA$8:BA538)),"")</f>
        <v/>
      </c>
      <c r="BW538" s="100" t="str">
        <f>IF($BK$5=TRUE,IF(BB538="","",SUM($BB$8:BB538)),"")</f>
        <v/>
      </c>
      <c r="BX538" s="100" t="str">
        <f>IF($BL$5=TRUE,IF(BC538="","",SUM($BC$8:BC538)),"")</f>
        <v/>
      </c>
      <c r="BY538" s="100" t="str">
        <f>IF($BM$5=TRUE,IF(BD538="","",SUM($BD$8:BD538)),"")</f>
        <v/>
      </c>
      <c r="BZ538" s="100" t="str">
        <f>IF($BN$5=TRUE,IF(BE538="","",SUM($BE$8:BE538)),"")</f>
        <v/>
      </c>
    </row>
    <row r="539" spans="46:78" x14ac:dyDescent="0.25">
      <c r="AT539" s="74"/>
      <c r="AW539" s="74"/>
      <c r="BR539" s="133" t="str">
        <f t="shared" si="34"/>
        <v/>
      </c>
      <c r="BS539" s="100" t="str">
        <f>IF($BG$5=TRUE,IF(AX539="","",SUM($AX$8:AX539)),"")</f>
        <v/>
      </c>
      <c r="BT539" s="100" t="str">
        <f>IF($BH$5=TRUE,IF(AY539="","",SUM($AY$8:AY539)),"")</f>
        <v/>
      </c>
      <c r="BU539" s="100" t="str">
        <f>IF($BI$5=TRUE,IF(AZ539="","",SUM($AZ$8:AZ539)),"")</f>
        <v/>
      </c>
      <c r="BV539" s="100" t="str">
        <f>IF($BJ$5=TRUE,IF(BA539="","",SUM($BA$8:BA539)),"")</f>
        <v/>
      </c>
      <c r="BW539" s="100" t="str">
        <f>IF($BK$5=TRUE,IF(BB539="","",SUM($BB$8:BB539)),"")</f>
        <v/>
      </c>
      <c r="BX539" s="100" t="str">
        <f>IF($BL$5=TRUE,IF(BC539="","",SUM($BC$8:BC539)),"")</f>
        <v/>
      </c>
      <c r="BY539" s="100" t="str">
        <f>IF($BM$5=TRUE,IF(BD539="","",SUM($BD$8:BD539)),"")</f>
        <v/>
      </c>
      <c r="BZ539" s="100" t="str">
        <f>IF($BN$5=TRUE,IF(BE539="","",SUM($BE$8:BE539)),"")</f>
        <v/>
      </c>
    </row>
    <row r="540" spans="46:78" x14ac:dyDescent="0.25">
      <c r="AT540" s="74"/>
      <c r="AW540" s="74"/>
      <c r="BR540" s="133" t="str">
        <f t="shared" si="34"/>
        <v/>
      </c>
      <c r="BS540" s="100" t="str">
        <f>IF($BG$5=TRUE,IF(AX540="","",SUM($AX$8:AX540)),"")</f>
        <v/>
      </c>
      <c r="BT540" s="100" t="str">
        <f>IF($BH$5=TRUE,IF(AY540="","",SUM($AY$8:AY540)),"")</f>
        <v/>
      </c>
      <c r="BU540" s="100" t="str">
        <f>IF($BI$5=TRUE,IF(AZ540="","",SUM($AZ$8:AZ540)),"")</f>
        <v/>
      </c>
      <c r="BV540" s="100" t="str">
        <f>IF($BJ$5=TRUE,IF(BA540="","",SUM($BA$8:BA540)),"")</f>
        <v/>
      </c>
      <c r="BW540" s="100" t="str">
        <f>IF($BK$5=TRUE,IF(BB540="","",SUM($BB$8:BB540)),"")</f>
        <v/>
      </c>
      <c r="BX540" s="100" t="str">
        <f>IF($BL$5=TRUE,IF(BC540="","",SUM($BC$8:BC540)),"")</f>
        <v/>
      </c>
      <c r="BY540" s="100" t="str">
        <f>IF($BM$5=TRUE,IF(BD540="","",SUM($BD$8:BD540)),"")</f>
        <v/>
      </c>
      <c r="BZ540" s="100" t="str">
        <f>IF($BN$5=TRUE,IF(BE540="","",SUM($BE$8:BE540)),"")</f>
        <v/>
      </c>
    </row>
    <row r="541" spans="46:78" x14ac:dyDescent="0.25">
      <c r="AT541" s="74"/>
      <c r="AW541" s="74"/>
      <c r="BR541" s="133" t="str">
        <f t="shared" si="34"/>
        <v/>
      </c>
      <c r="BS541" s="100" t="str">
        <f>IF($BG$5=TRUE,IF(AX541="","",SUM($AX$8:AX541)),"")</f>
        <v/>
      </c>
      <c r="BT541" s="100" t="str">
        <f>IF($BH$5=TRUE,IF(AY541="","",SUM($AY$8:AY541)),"")</f>
        <v/>
      </c>
      <c r="BU541" s="100" t="str">
        <f>IF($BI$5=TRUE,IF(AZ541="","",SUM($AZ$8:AZ541)),"")</f>
        <v/>
      </c>
      <c r="BV541" s="100" t="str">
        <f>IF($BJ$5=TRUE,IF(BA541="","",SUM($BA$8:BA541)),"")</f>
        <v/>
      </c>
      <c r="BW541" s="100" t="str">
        <f>IF($BK$5=TRUE,IF(BB541="","",SUM($BB$8:BB541)),"")</f>
        <v/>
      </c>
      <c r="BX541" s="100" t="str">
        <f>IF($BL$5=TRUE,IF(BC541="","",SUM($BC$8:BC541)),"")</f>
        <v/>
      </c>
      <c r="BY541" s="100" t="str">
        <f>IF($BM$5=TRUE,IF(BD541="","",SUM($BD$8:BD541)),"")</f>
        <v/>
      </c>
      <c r="BZ541" s="100" t="str">
        <f>IF($BN$5=TRUE,IF(BE541="","",SUM($BE$8:BE541)),"")</f>
        <v/>
      </c>
    </row>
    <row r="542" spans="46:78" x14ac:dyDescent="0.25">
      <c r="AT542" s="74"/>
      <c r="AW542" s="74"/>
      <c r="BR542" s="133" t="str">
        <f t="shared" si="34"/>
        <v/>
      </c>
      <c r="BS542" s="100" t="str">
        <f>IF($BG$5=TRUE,IF(AX542="","",SUM($AX$8:AX542)),"")</f>
        <v/>
      </c>
      <c r="BT542" s="100" t="str">
        <f>IF($BH$5=TRUE,IF(AY542="","",SUM($AY$8:AY542)),"")</f>
        <v/>
      </c>
      <c r="BU542" s="100" t="str">
        <f>IF($BI$5=TRUE,IF(AZ542="","",SUM($AZ$8:AZ542)),"")</f>
        <v/>
      </c>
      <c r="BV542" s="100" t="str">
        <f>IF($BJ$5=TRUE,IF(BA542="","",SUM($BA$8:BA542)),"")</f>
        <v/>
      </c>
      <c r="BW542" s="100" t="str">
        <f>IF($BK$5=TRUE,IF(BB542="","",SUM($BB$8:BB542)),"")</f>
        <v/>
      </c>
      <c r="BX542" s="100" t="str">
        <f>IF($BL$5=TRUE,IF(BC542="","",SUM($BC$8:BC542)),"")</f>
        <v/>
      </c>
      <c r="BY542" s="100" t="str">
        <f>IF($BM$5=TRUE,IF(BD542="","",SUM($BD$8:BD542)),"")</f>
        <v/>
      </c>
      <c r="BZ542" s="100" t="str">
        <f>IF($BN$5=TRUE,IF(BE542="","",SUM($BE$8:BE542)),"")</f>
        <v/>
      </c>
    </row>
    <row r="543" spans="46:78" x14ac:dyDescent="0.25">
      <c r="AT543" s="74"/>
      <c r="AW543" s="74"/>
      <c r="BR543" s="133" t="str">
        <f t="shared" si="34"/>
        <v/>
      </c>
      <c r="BS543" s="100" t="str">
        <f>IF($BG$5=TRUE,IF(AX543="","",SUM($AX$8:AX543)),"")</f>
        <v/>
      </c>
      <c r="BT543" s="100" t="str">
        <f>IF($BH$5=TRUE,IF(AY543="","",SUM($AY$8:AY543)),"")</f>
        <v/>
      </c>
      <c r="BU543" s="100" t="str">
        <f>IF($BI$5=TRUE,IF(AZ543="","",SUM($AZ$8:AZ543)),"")</f>
        <v/>
      </c>
      <c r="BV543" s="100" t="str">
        <f>IF($BJ$5=TRUE,IF(BA543="","",SUM($BA$8:BA543)),"")</f>
        <v/>
      </c>
      <c r="BW543" s="100" t="str">
        <f>IF($BK$5=TRUE,IF(BB543="","",SUM($BB$8:BB543)),"")</f>
        <v/>
      </c>
      <c r="BX543" s="100" t="str">
        <f>IF($BL$5=TRUE,IF(BC543="","",SUM($BC$8:BC543)),"")</f>
        <v/>
      </c>
      <c r="BY543" s="100" t="str">
        <f>IF($BM$5=TRUE,IF(BD543="","",SUM($BD$8:BD543)),"")</f>
        <v/>
      </c>
      <c r="BZ543" s="100" t="str">
        <f>IF($BN$5=TRUE,IF(BE543="","",SUM($BE$8:BE543)),"")</f>
        <v/>
      </c>
    </row>
    <row r="544" spans="46:78" x14ac:dyDescent="0.25">
      <c r="AT544" s="74"/>
      <c r="AW544" s="74"/>
      <c r="BR544" s="133" t="str">
        <f t="shared" si="34"/>
        <v/>
      </c>
      <c r="BS544" s="100" t="str">
        <f>IF($BG$5=TRUE,IF(AX544="","",SUM($AX$8:AX544)),"")</f>
        <v/>
      </c>
      <c r="BT544" s="100" t="str">
        <f>IF($BH$5=TRUE,IF(AY544="","",SUM($AY$8:AY544)),"")</f>
        <v/>
      </c>
      <c r="BU544" s="100" t="str">
        <f>IF($BI$5=TRUE,IF(AZ544="","",SUM($AZ$8:AZ544)),"")</f>
        <v/>
      </c>
      <c r="BV544" s="100" t="str">
        <f>IF($BJ$5=TRUE,IF(BA544="","",SUM($BA$8:BA544)),"")</f>
        <v/>
      </c>
      <c r="BW544" s="100" t="str">
        <f>IF($BK$5=TRUE,IF(BB544="","",SUM($BB$8:BB544)),"")</f>
        <v/>
      </c>
      <c r="BX544" s="100" t="str">
        <f>IF($BL$5=TRUE,IF(BC544="","",SUM($BC$8:BC544)),"")</f>
        <v/>
      </c>
      <c r="BY544" s="100" t="str">
        <f>IF($BM$5=TRUE,IF(BD544="","",SUM($BD$8:BD544)),"")</f>
        <v/>
      </c>
      <c r="BZ544" s="100" t="str">
        <f>IF($BN$5=TRUE,IF(BE544="","",SUM($BE$8:BE544)),"")</f>
        <v/>
      </c>
    </row>
    <row r="545" spans="46:78" x14ac:dyDescent="0.25">
      <c r="AT545" s="74"/>
      <c r="AW545" s="74"/>
      <c r="BR545" s="133" t="str">
        <f t="shared" si="34"/>
        <v/>
      </c>
      <c r="BS545" s="100" t="str">
        <f>IF($BG$5=TRUE,IF(AX545="","",SUM($AX$8:AX545)),"")</f>
        <v/>
      </c>
      <c r="BT545" s="100" t="str">
        <f>IF($BH$5=TRUE,IF(AY545="","",SUM($AY$8:AY545)),"")</f>
        <v/>
      </c>
      <c r="BU545" s="100" t="str">
        <f>IF($BI$5=TRUE,IF(AZ545="","",SUM($AZ$8:AZ545)),"")</f>
        <v/>
      </c>
      <c r="BV545" s="100" t="str">
        <f>IF($BJ$5=TRUE,IF(BA545="","",SUM($BA$8:BA545)),"")</f>
        <v/>
      </c>
      <c r="BW545" s="100" t="str">
        <f>IF($BK$5=TRUE,IF(BB545="","",SUM($BB$8:BB545)),"")</f>
        <v/>
      </c>
      <c r="BX545" s="100" t="str">
        <f>IF($BL$5=TRUE,IF(BC545="","",SUM($BC$8:BC545)),"")</f>
        <v/>
      </c>
      <c r="BY545" s="100" t="str">
        <f>IF($BM$5=TRUE,IF(BD545="","",SUM($BD$8:BD545)),"")</f>
        <v/>
      </c>
      <c r="BZ545" s="100" t="str">
        <f>IF($BN$5=TRUE,IF(BE545="","",SUM($BE$8:BE545)),"")</f>
        <v/>
      </c>
    </row>
    <row r="546" spans="46:78" x14ac:dyDescent="0.25">
      <c r="AT546" s="74"/>
      <c r="AW546" s="74"/>
      <c r="BR546" s="133" t="str">
        <f t="shared" si="34"/>
        <v/>
      </c>
      <c r="BS546" s="100" t="str">
        <f>IF($BG$5=TRUE,IF(AX546="","",SUM($AX$8:AX546)),"")</f>
        <v/>
      </c>
      <c r="BT546" s="100" t="str">
        <f>IF($BH$5=TRUE,IF(AY546="","",SUM($AY$8:AY546)),"")</f>
        <v/>
      </c>
      <c r="BU546" s="100" t="str">
        <f>IF($BI$5=TRUE,IF(AZ546="","",SUM($AZ$8:AZ546)),"")</f>
        <v/>
      </c>
      <c r="BV546" s="100" t="str">
        <f>IF($BJ$5=TRUE,IF(BA546="","",SUM($BA$8:BA546)),"")</f>
        <v/>
      </c>
      <c r="BW546" s="100" t="str">
        <f>IF($BK$5=TRUE,IF(BB546="","",SUM($BB$8:BB546)),"")</f>
        <v/>
      </c>
      <c r="BX546" s="100" t="str">
        <f>IF($BL$5=TRUE,IF(BC546="","",SUM($BC$8:BC546)),"")</f>
        <v/>
      </c>
      <c r="BY546" s="100" t="str">
        <f>IF($BM$5=TRUE,IF(BD546="","",SUM($BD$8:BD546)),"")</f>
        <v/>
      </c>
      <c r="BZ546" s="100" t="str">
        <f>IF($BN$5=TRUE,IF(BE546="","",SUM($BE$8:BE546)),"")</f>
        <v/>
      </c>
    </row>
    <row r="547" spans="46:78" x14ac:dyDescent="0.25">
      <c r="AT547" s="74"/>
      <c r="AW547" s="74"/>
      <c r="BR547" s="133" t="str">
        <f t="shared" si="34"/>
        <v/>
      </c>
      <c r="BS547" s="100" t="str">
        <f>IF($BG$5=TRUE,IF(AX547="","",SUM($AX$8:AX547)),"")</f>
        <v/>
      </c>
      <c r="BT547" s="100" t="str">
        <f>IF($BH$5=TRUE,IF(AY547="","",SUM($AY$8:AY547)),"")</f>
        <v/>
      </c>
      <c r="BU547" s="100" t="str">
        <f>IF($BI$5=TRUE,IF(AZ547="","",SUM($AZ$8:AZ547)),"")</f>
        <v/>
      </c>
      <c r="BV547" s="100" t="str">
        <f>IF($BJ$5=TRUE,IF(BA547="","",SUM($BA$8:BA547)),"")</f>
        <v/>
      </c>
      <c r="BW547" s="100" t="str">
        <f>IF($BK$5=TRUE,IF(BB547="","",SUM($BB$8:BB547)),"")</f>
        <v/>
      </c>
      <c r="BX547" s="100" t="str">
        <f>IF($BL$5=TRUE,IF(BC547="","",SUM($BC$8:BC547)),"")</f>
        <v/>
      </c>
      <c r="BY547" s="100" t="str">
        <f>IF($BM$5=TRUE,IF(BD547="","",SUM($BD$8:BD547)),"")</f>
        <v/>
      </c>
      <c r="BZ547" s="100" t="str">
        <f>IF($BN$5=TRUE,IF(BE547="","",SUM($BE$8:BE547)),"")</f>
        <v/>
      </c>
    </row>
    <row r="548" spans="46:78" x14ac:dyDescent="0.25">
      <c r="AT548" s="74"/>
      <c r="AW548" s="74"/>
      <c r="BR548" s="133" t="str">
        <f t="shared" si="34"/>
        <v/>
      </c>
      <c r="BS548" s="100" t="str">
        <f>IF($BG$5=TRUE,IF(AX548="","",SUM($AX$8:AX548)),"")</f>
        <v/>
      </c>
      <c r="BT548" s="100" t="str">
        <f>IF($BH$5=TRUE,IF(AY548="","",SUM($AY$8:AY548)),"")</f>
        <v/>
      </c>
      <c r="BU548" s="100" t="str">
        <f>IF($BI$5=TRUE,IF(AZ548="","",SUM($AZ$8:AZ548)),"")</f>
        <v/>
      </c>
      <c r="BV548" s="100" t="str">
        <f>IF($BJ$5=TRUE,IF(BA548="","",SUM($BA$8:BA548)),"")</f>
        <v/>
      </c>
      <c r="BW548" s="100" t="str">
        <f>IF($BK$5=TRUE,IF(BB548="","",SUM($BB$8:BB548)),"")</f>
        <v/>
      </c>
      <c r="BX548" s="100" t="str">
        <f>IF($BL$5=TRUE,IF(BC548="","",SUM($BC$8:BC548)),"")</f>
        <v/>
      </c>
      <c r="BY548" s="100" t="str">
        <f>IF($BM$5=TRUE,IF(BD548="","",SUM($BD$8:BD548)),"")</f>
        <v/>
      </c>
      <c r="BZ548" s="100" t="str">
        <f>IF($BN$5=TRUE,IF(BE548="","",SUM($BE$8:BE548)),"")</f>
        <v/>
      </c>
    </row>
    <row r="549" spans="46:78" x14ac:dyDescent="0.25">
      <c r="AT549" s="74"/>
      <c r="AW549" s="74"/>
      <c r="BR549" s="133" t="str">
        <f t="shared" si="34"/>
        <v/>
      </c>
      <c r="BS549" s="100" t="str">
        <f>IF($BG$5=TRUE,IF(AX549="","",SUM($AX$8:AX549)),"")</f>
        <v/>
      </c>
      <c r="BT549" s="100" t="str">
        <f>IF($BH$5=TRUE,IF(AY549="","",SUM($AY$8:AY549)),"")</f>
        <v/>
      </c>
      <c r="BU549" s="100" t="str">
        <f>IF($BI$5=TRUE,IF(AZ549="","",SUM($AZ$8:AZ549)),"")</f>
        <v/>
      </c>
      <c r="BV549" s="100" t="str">
        <f>IF($BJ$5=TRUE,IF(BA549="","",SUM($BA$8:BA549)),"")</f>
        <v/>
      </c>
      <c r="BW549" s="100" t="str">
        <f>IF($BK$5=TRUE,IF(BB549="","",SUM($BB$8:BB549)),"")</f>
        <v/>
      </c>
      <c r="BX549" s="100" t="str">
        <f>IF($BL$5=TRUE,IF(BC549="","",SUM($BC$8:BC549)),"")</f>
        <v/>
      </c>
      <c r="BY549" s="100" t="str">
        <f>IF($BM$5=TRUE,IF(BD549="","",SUM($BD$8:BD549)),"")</f>
        <v/>
      </c>
      <c r="BZ549" s="100" t="str">
        <f>IF($BN$5=TRUE,IF(BE549="","",SUM($BE$8:BE549)),"")</f>
        <v/>
      </c>
    </row>
    <row r="550" spans="46:78" x14ac:dyDescent="0.25">
      <c r="AT550" s="74"/>
      <c r="AW550" s="74"/>
      <c r="BR550" s="133" t="str">
        <f t="shared" si="34"/>
        <v/>
      </c>
      <c r="BS550" s="100" t="str">
        <f>IF($BG$5=TRUE,IF(AX550="","",SUM($AX$8:AX550)),"")</f>
        <v/>
      </c>
      <c r="BT550" s="100" t="str">
        <f>IF($BH$5=TRUE,IF(AY550="","",SUM($AY$8:AY550)),"")</f>
        <v/>
      </c>
      <c r="BU550" s="100" t="str">
        <f>IF($BI$5=TRUE,IF(AZ550="","",SUM($AZ$8:AZ550)),"")</f>
        <v/>
      </c>
      <c r="BV550" s="100" t="str">
        <f>IF($BJ$5=TRUE,IF(BA550="","",SUM($BA$8:BA550)),"")</f>
        <v/>
      </c>
      <c r="BW550" s="100" t="str">
        <f>IF($BK$5=TRUE,IF(BB550="","",SUM($BB$8:BB550)),"")</f>
        <v/>
      </c>
      <c r="BX550" s="100" t="str">
        <f>IF($BL$5=TRUE,IF(BC550="","",SUM($BC$8:BC550)),"")</f>
        <v/>
      </c>
      <c r="BY550" s="100" t="str">
        <f>IF($BM$5=TRUE,IF(BD550="","",SUM($BD$8:BD550)),"")</f>
        <v/>
      </c>
      <c r="BZ550" s="100" t="str">
        <f>IF($BN$5=TRUE,IF(BE550="","",SUM($BE$8:BE550)),"")</f>
        <v/>
      </c>
    </row>
    <row r="551" spans="46:78" x14ac:dyDescent="0.25">
      <c r="AT551" s="74"/>
      <c r="AW551" s="74"/>
      <c r="BR551" s="133" t="str">
        <f t="shared" si="34"/>
        <v/>
      </c>
      <c r="BS551" s="100" t="str">
        <f>IF($BG$5=TRUE,IF(AX551="","",SUM($AX$8:AX551)),"")</f>
        <v/>
      </c>
      <c r="BT551" s="100" t="str">
        <f>IF($BH$5=TRUE,IF(AY551="","",SUM($AY$8:AY551)),"")</f>
        <v/>
      </c>
      <c r="BU551" s="100" t="str">
        <f>IF($BI$5=TRUE,IF(AZ551="","",SUM($AZ$8:AZ551)),"")</f>
        <v/>
      </c>
      <c r="BV551" s="100" t="str">
        <f>IF($BJ$5=TRUE,IF(BA551="","",SUM($BA$8:BA551)),"")</f>
        <v/>
      </c>
      <c r="BW551" s="100" t="str">
        <f>IF($BK$5=TRUE,IF(BB551="","",SUM($BB$8:BB551)),"")</f>
        <v/>
      </c>
      <c r="BX551" s="100" t="str">
        <f>IF($BL$5=TRUE,IF(BC551="","",SUM($BC$8:BC551)),"")</f>
        <v/>
      </c>
      <c r="BY551" s="100" t="str">
        <f>IF($BM$5=TRUE,IF(BD551="","",SUM($BD$8:BD551)),"")</f>
        <v/>
      </c>
      <c r="BZ551" s="100" t="str">
        <f>IF($BN$5=TRUE,IF(BE551="","",SUM($BE$8:BE551)),"")</f>
        <v/>
      </c>
    </row>
    <row r="552" spans="46:78" x14ac:dyDescent="0.25">
      <c r="AT552" s="74"/>
      <c r="AW552" s="74"/>
      <c r="BR552" s="133" t="str">
        <f t="shared" si="34"/>
        <v/>
      </c>
      <c r="BS552" s="100" t="str">
        <f>IF($BG$5=TRUE,IF(AX552="","",SUM($AX$8:AX552)),"")</f>
        <v/>
      </c>
      <c r="BT552" s="100" t="str">
        <f>IF($BH$5=TRUE,IF(AY552="","",SUM($AY$8:AY552)),"")</f>
        <v/>
      </c>
      <c r="BU552" s="100" t="str">
        <f>IF($BI$5=TRUE,IF(AZ552="","",SUM($AZ$8:AZ552)),"")</f>
        <v/>
      </c>
      <c r="BV552" s="100" t="str">
        <f>IF($BJ$5=TRUE,IF(BA552="","",SUM($BA$8:BA552)),"")</f>
        <v/>
      </c>
      <c r="BW552" s="100" t="str">
        <f>IF($BK$5=TRUE,IF(BB552="","",SUM($BB$8:BB552)),"")</f>
        <v/>
      </c>
      <c r="BX552" s="100" t="str">
        <f>IF($BL$5=TRUE,IF(BC552="","",SUM($BC$8:BC552)),"")</f>
        <v/>
      </c>
      <c r="BY552" s="100" t="str">
        <f>IF($BM$5=TRUE,IF(BD552="","",SUM($BD$8:BD552)),"")</f>
        <v/>
      </c>
      <c r="BZ552" s="100" t="str">
        <f>IF($BN$5=TRUE,IF(BE552="","",SUM($BE$8:BE552)),"")</f>
        <v/>
      </c>
    </row>
    <row r="553" spans="46:78" x14ac:dyDescent="0.25">
      <c r="AT553" s="74"/>
      <c r="AW553" s="74"/>
      <c r="BR553" s="133" t="str">
        <f t="shared" si="34"/>
        <v/>
      </c>
      <c r="BS553" s="100" t="str">
        <f>IF($BG$5=TRUE,IF(AX553="","",SUM($AX$8:AX553)),"")</f>
        <v/>
      </c>
      <c r="BT553" s="100" t="str">
        <f>IF($BH$5=TRUE,IF(AY553="","",SUM($AY$8:AY553)),"")</f>
        <v/>
      </c>
      <c r="BU553" s="100" t="str">
        <f>IF($BI$5=TRUE,IF(AZ553="","",SUM($AZ$8:AZ553)),"")</f>
        <v/>
      </c>
      <c r="BV553" s="100" t="str">
        <f>IF($BJ$5=TRUE,IF(BA553="","",SUM($BA$8:BA553)),"")</f>
        <v/>
      </c>
      <c r="BW553" s="100" t="str">
        <f>IF($BK$5=TRUE,IF(BB553="","",SUM($BB$8:BB553)),"")</f>
        <v/>
      </c>
      <c r="BX553" s="100" t="str">
        <f>IF($BL$5=TRUE,IF(BC553="","",SUM($BC$8:BC553)),"")</f>
        <v/>
      </c>
      <c r="BY553" s="100" t="str">
        <f>IF($BM$5=TRUE,IF(BD553="","",SUM($BD$8:BD553)),"")</f>
        <v/>
      </c>
      <c r="BZ553" s="100" t="str">
        <f>IF($BN$5=TRUE,IF(BE553="","",SUM($BE$8:BE553)),"")</f>
        <v/>
      </c>
    </row>
    <row r="554" spans="46:78" x14ac:dyDescent="0.25">
      <c r="AT554" s="74"/>
      <c r="AW554" s="74"/>
      <c r="BR554" s="133" t="str">
        <f t="shared" si="34"/>
        <v/>
      </c>
      <c r="BS554" s="100" t="str">
        <f>IF($BG$5=TRUE,IF(AX554="","",SUM($AX$8:AX554)),"")</f>
        <v/>
      </c>
      <c r="BT554" s="100" t="str">
        <f>IF($BH$5=TRUE,IF(AY554="","",SUM($AY$8:AY554)),"")</f>
        <v/>
      </c>
      <c r="BU554" s="100" t="str">
        <f>IF($BI$5=TRUE,IF(AZ554="","",SUM($AZ$8:AZ554)),"")</f>
        <v/>
      </c>
      <c r="BV554" s="100" t="str">
        <f>IF($BJ$5=TRUE,IF(BA554="","",SUM($BA$8:BA554)),"")</f>
        <v/>
      </c>
      <c r="BW554" s="100" t="str">
        <f>IF($BK$5=TRUE,IF(BB554="","",SUM($BB$8:BB554)),"")</f>
        <v/>
      </c>
      <c r="BX554" s="100" t="str">
        <f>IF($BL$5=TRUE,IF(BC554="","",SUM($BC$8:BC554)),"")</f>
        <v/>
      </c>
      <c r="BY554" s="100" t="str">
        <f>IF($BM$5=TRUE,IF(BD554="","",SUM($BD$8:BD554)),"")</f>
        <v/>
      </c>
      <c r="BZ554" s="100" t="str">
        <f>IF($BN$5=TRUE,IF(BE554="","",SUM($BE$8:BE554)),"")</f>
        <v/>
      </c>
    </row>
    <row r="555" spans="46:78" x14ac:dyDescent="0.25">
      <c r="AT555" s="74"/>
      <c r="AW555" s="74"/>
      <c r="BR555" s="133" t="str">
        <f t="shared" si="34"/>
        <v/>
      </c>
      <c r="BS555" s="100" t="str">
        <f>IF($BG$5=TRUE,IF(AX555="","",SUM($AX$8:AX555)),"")</f>
        <v/>
      </c>
      <c r="BT555" s="100" t="str">
        <f>IF($BH$5=TRUE,IF(AY555="","",SUM($AY$8:AY555)),"")</f>
        <v/>
      </c>
      <c r="BU555" s="100" t="str">
        <f>IF($BI$5=TRUE,IF(AZ555="","",SUM($AZ$8:AZ555)),"")</f>
        <v/>
      </c>
      <c r="BV555" s="100" t="str">
        <f>IF($BJ$5=TRUE,IF(BA555="","",SUM($BA$8:BA555)),"")</f>
        <v/>
      </c>
      <c r="BW555" s="100" t="str">
        <f>IF($BK$5=TRUE,IF(BB555="","",SUM($BB$8:BB555)),"")</f>
        <v/>
      </c>
      <c r="BX555" s="100" t="str">
        <f>IF($BL$5=TRUE,IF(BC555="","",SUM($BC$8:BC555)),"")</f>
        <v/>
      </c>
      <c r="BY555" s="100" t="str">
        <f>IF($BM$5=TRUE,IF(BD555="","",SUM($BD$8:BD555)),"")</f>
        <v/>
      </c>
      <c r="BZ555" s="100" t="str">
        <f>IF($BN$5=TRUE,IF(BE555="","",SUM($BE$8:BE555)),"")</f>
        <v/>
      </c>
    </row>
    <row r="556" spans="46:78" x14ac:dyDescent="0.25">
      <c r="AT556" s="74"/>
      <c r="AW556" s="74"/>
      <c r="BR556" s="133" t="str">
        <f t="shared" si="34"/>
        <v/>
      </c>
      <c r="BS556" s="100" t="str">
        <f>IF($BG$5=TRUE,IF(AX556="","",SUM($AX$8:AX556)),"")</f>
        <v/>
      </c>
      <c r="BT556" s="100" t="str">
        <f>IF($BH$5=TRUE,IF(AY556="","",SUM($AY$8:AY556)),"")</f>
        <v/>
      </c>
      <c r="BU556" s="100" t="str">
        <f>IF($BI$5=TRUE,IF(AZ556="","",SUM($AZ$8:AZ556)),"")</f>
        <v/>
      </c>
      <c r="BV556" s="100" t="str">
        <f>IF($BJ$5=TRUE,IF(BA556="","",SUM($BA$8:BA556)),"")</f>
        <v/>
      </c>
      <c r="BW556" s="100" t="str">
        <f>IF($BK$5=TRUE,IF(BB556="","",SUM($BB$8:BB556)),"")</f>
        <v/>
      </c>
      <c r="BX556" s="100" t="str">
        <f>IF($BL$5=TRUE,IF(BC556="","",SUM($BC$8:BC556)),"")</f>
        <v/>
      </c>
      <c r="BY556" s="100" t="str">
        <f>IF($BM$5=TRUE,IF(BD556="","",SUM($BD$8:BD556)),"")</f>
        <v/>
      </c>
      <c r="BZ556" s="100" t="str">
        <f>IF($BN$5=TRUE,IF(BE556="","",SUM($BE$8:BE556)),"")</f>
        <v/>
      </c>
    </row>
    <row r="557" spans="46:78" x14ac:dyDescent="0.25">
      <c r="AT557" s="74"/>
      <c r="AW557" s="74"/>
      <c r="BR557" s="133" t="str">
        <f t="shared" si="34"/>
        <v/>
      </c>
      <c r="BS557" s="100" t="str">
        <f>IF($BG$5=TRUE,IF(AX557="","",SUM($AX$8:AX557)),"")</f>
        <v/>
      </c>
      <c r="BT557" s="100" t="str">
        <f>IF($BH$5=TRUE,IF(AY557="","",SUM($AY$8:AY557)),"")</f>
        <v/>
      </c>
      <c r="BU557" s="100" t="str">
        <f>IF($BI$5=TRUE,IF(AZ557="","",SUM($AZ$8:AZ557)),"")</f>
        <v/>
      </c>
      <c r="BV557" s="100" t="str">
        <f>IF($BJ$5=TRUE,IF(BA557="","",SUM($BA$8:BA557)),"")</f>
        <v/>
      </c>
      <c r="BW557" s="100" t="str">
        <f>IF($BK$5=TRUE,IF(BB557="","",SUM($BB$8:BB557)),"")</f>
        <v/>
      </c>
      <c r="BX557" s="100" t="str">
        <f>IF($BL$5=TRUE,IF(BC557="","",SUM($BC$8:BC557)),"")</f>
        <v/>
      </c>
      <c r="BY557" s="100" t="str">
        <f>IF($BM$5=TRUE,IF(BD557="","",SUM($BD$8:BD557)),"")</f>
        <v/>
      </c>
      <c r="BZ557" s="100" t="str">
        <f>IF($BN$5=TRUE,IF(BE557="","",SUM($BE$8:BE557)),"")</f>
        <v/>
      </c>
    </row>
    <row r="558" spans="46:78" x14ac:dyDescent="0.25">
      <c r="AT558" s="74"/>
      <c r="AW558" s="74"/>
      <c r="BR558" s="133" t="str">
        <f t="shared" si="34"/>
        <v/>
      </c>
      <c r="BS558" s="100" t="str">
        <f>IF($BG$5=TRUE,IF(AX558="","",SUM($AX$8:AX558)),"")</f>
        <v/>
      </c>
      <c r="BT558" s="100" t="str">
        <f>IF($BH$5=TRUE,IF(AY558="","",SUM($AY$8:AY558)),"")</f>
        <v/>
      </c>
      <c r="BU558" s="100" t="str">
        <f>IF($BI$5=TRUE,IF(AZ558="","",SUM($AZ$8:AZ558)),"")</f>
        <v/>
      </c>
      <c r="BV558" s="100" t="str">
        <f>IF($BJ$5=TRUE,IF(BA558="","",SUM($BA$8:BA558)),"")</f>
        <v/>
      </c>
      <c r="BW558" s="100" t="str">
        <f>IF($BK$5=TRUE,IF(BB558="","",SUM($BB$8:BB558)),"")</f>
        <v/>
      </c>
      <c r="BX558" s="100" t="str">
        <f>IF($BL$5=TRUE,IF(BC558="","",SUM($BC$8:BC558)),"")</f>
        <v/>
      </c>
      <c r="BY558" s="100" t="str">
        <f>IF($BM$5=TRUE,IF(BD558="","",SUM($BD$8:BD558)),"")</f>
        <v/>
      </c>
      <c r="BZ558" s="100" t="str">
        <f>IF($BN$5=TRUE,IF(BE558="","",SUM($BE$8:BE558)),"")</f>
        <v/>
      </c>
    </row>
    <row r="559" spans="46:78" x14ac:dyDescent="0.25">
      <c r="AT559" s="74"/>
      <c r="AW559" s="74"/>
      <c r="BR559" s="133" t="str">
        <f t="shared" si="34"/>
        <v/>
      </c>
      <c r="BS559" s="100" t="str">
        <f>IF($BG$5=TRUE,IF(AX559="","",SUM($AX$8:AX559)),"")</f>
        <v/>
      </c>
      <c r="BT559" s="100" t="str">
        <f>IF($BH$5=TRUE,IF(AY559="","",SUM($AY$8:AY559)),"")</f>
        <v/>
      </c>
      <c r="BU559" s="100" t="str">
        <f>IF($BI$5=TRUE,IF(AZ559="","",SUM($AZ$8:AZ559)),"")</f>
        <v/>
      </c>
      <c r="BV559" s="100" t="str">
        <f>IF($BJ$5=TRUE,IF(BA559="","",SUM($BA$8:BA559)),"")</f>
        <v/>
      </c>
      <c r="BW559" s="100" t="str">
        <f>IF($BK$5=TRUE,IF(BB559="","",SUM($BB$8:BB559)),"")</f>
        <v/>
      </c>
      <c r="BX559" s="100" t="str">
        <f>IF($BL$5=TRUE,IF(BC559="","",SUM($BC$8:BC559)),"")</f>
        <v/>
      </c>
      <c r="BY559" s="100" t="str">
        <f>IF($BM$5=TRUE,IF(BD559="","",SUM($BD$8:BD559)),"")</f>
        <v/>
      </c>
      <c r="BZ559" s="100" t="str">
        <f>IF($BN$5=TRUE,IF(BE559="","",SUM($BE$8:BE559)),"")</f>
        <v/>
      </c>
    </row>
    <row r="560" spans="46:78" x14ac:dyDescent="0.25">
      <c r="AT560" s="74"/>
      <c r="AW560" s="74"/>
      <c r="BR560" s="133" t="str">
        <f t="shared" si="34"/>
        <v/>
      </c>
      <c r="BS560" s="100" t="str">
        <f>IF($BG$5=TRUE,IF(AX560="","",SUM($AX$8:AX560)),"")</f>
        <v/>
      </c>
      <c r="BT560" s="100" t="str">
        <f>IF($BH$5=TRUE,IF(AY560="","",SUM($AY$8:AY560)),"")</f>
        <v/>
      </c>
      <c r="BU560" s="100" t="str">
        <f>IF($BI$5=TRUE,IF(AZ560="","",SUM($AZ$8:AZ560)),"")</f>
        <v/>
      </c>
      <c r="BV560" s="100" t="str">
        <f>IF($BJ$5=TRUE,IF(BA560="","",SUM($BA$8:BA560)),"")</f>
        <v/>
      </c>
      <c r="BW560" s="100" t="str">
        <f>IF($BK$5=TRUE,IF(BB560="","",SUM($BB$8:BB560)),"")</f>
        <v/>
      </c>
      <c r="BX560" s="100" t="str">
        <f>IF($BL$5=TRUE,IF(BC560="","",SUM($BC$8:BC560)),"")</f>
        <v/>
      </c>
      <c r="BY560" s="100" t="str">
        <f>IF($BM$5=TRUE,IF(BD560="","",SUM($BD$8:BD560)),"")</f>
        <v/>
      </c>
      <c r="BZ560" s="100" t="str">
        <f>IF($BN$5=TRUE,IF(BE560="","",SUM($BE$8:BE560)),"")</f>
        <v/>
      </c>
    </row>
    <row r="561" spans="46:78" x14ac:dyDescent="0.25">
      <c r="AT561" s="74"/>
      <c r="AW561" s="74"/>
      <c r="BR561" s="133" t="str">
        <f t="shared" si="34"/>
        <v/>
      </c>
      <c r="BS561" s="100" t="str">
        <f>IF($BG$5=TRUE,IF(AX561="","",SUM($AX$8:AX561)),"")</f>
        <v/>
      </c>
      <c r="BT561" s="100" t="str">
        <f>IF($BH$5=TRUE,IF(AY561="","",SUM($AY$8:AY561)),"")</f>
        <v/>
      </c>
      <c r="BU561" s="100" t="str">
        <f>IF($BI$5=TRUE,IF(AZ561="","",SUM($AZ$8:AZ561)),"")</f>
        <v/>
      </c>
      <c r="BV561" s="100" t="str">
        <f>IF($BJ$5=TRUE,IF(BA561="","",SUM($BA$8:BA561)),"")</f>
        <v/>
      </c>
      <c r="BW561" s="100" t="str">
        <f>IF($BK$5=TRUE,IF(BB561="","",SUM($BB$8:BB561)),"")</f>
        <v/>
      </c>
      <c r="BX561" s="100" t="str">
        <f>IF($BL$5=TRUE,IF(BC561="","",SUM($BC$8:BC561)),"")</f>
        <v/>
      </c>
      <c r="BY561" s="100" t="str">
        <f>IF($BM$5=TRUE,IF(BD561="","",SUM($BD$8:BD561)),"")</f>
        <v/>
      </c>
      <c r="BZ561" s="100" t="str">
        <f>IF($BN$5=TRUE,IF(BE561="","",SUM($BE$8:BE561)),"")</f>
        <v/>
      </c>
    </row>
    <row r="562" spans="46:78" x14ac:dyDescent="0.25">
      <c r="AT562" s="74"/>
      <c r="AW562" s="74"/>
      <c r="BR562" s="133" t="str">
        <f t="shared" si="34"/>
        <v/>
      </c>
      <c r="BS562" s="100" t="str">
        <f>IF($BG$5=TRUE,IF(AX562="","",SUM($AX$8:AX562)),"")</f>
        <v/>
      </c>
      <c r="BT562" s="100" t="str">
        <f>IF($BH$5=TRUE,IF(AY562="","",SUM($AY$8:AY562)),"")</f>
        <v/>
      </c>
      <c r="BU562" s="100" t="str">
        <f>IF($BI$5=TRUE,IF(AZ562="","",SUM($AZ$8:AZ562)),"")</f>
        <v/>
      </c>
      <c r="BV562" s="100" t="str">
        <f>IF($BJ$5=TRUE,IF(BA562="","",SUM($BA$8:BA562)),"")</f>
        <v/>
      </c>
      <c r="BW562" s="100" t="str">
        <f>IF($BK$5=TRUE,IF(BB562="","",SUM($BB$8:BB562)),"")</f>
        <v/>
      </c>
      <c r="BX562" s="100" t="str">
        <f>IF($BL$5=TRUE,IF(BC562="","",SUM($BC$8:BC562)),"")</f>
        <v/>
      </c>
      <c r="BY562" s="100" t="str">
        <f>IF($BM$5=TRUE,IF(BD562="","",SUM($BD$8:BD562)),"")</f>
        <v/>
      </c>
      <c r="BZ562" s="100" t="str">
        <f>IF($BN$5=TRUE,IF(BE562="","",SUM($BE$8:BE562)),"")</f>
        <v/>
      </c>
    </row>
    <row r="563" spans="46:78" x14ac:dyDescent="0.25">
      <c r="AT563" s="74"/>
      <c r="AW563" s="74"/>
      <c r="BR563" s="133" t="str">
        <f t="shared" si="34"/>
        <v/>
      </c>
      <c r="BS563" s="100" t="str">
        <f>IF($BG$5=TRUE,IF(AX563="","",SUM($AX$8:AX563)),"")</f>
        <v/>
      </c>
      <c r="BT563" s="100" t="str">
        <f>IF($BH$5=TRUE,IF(AY563="","",SUM($AY$8:AY563)),"")</f>
        <v/>
      </c>
      <c r="BU563" s="100" t="str">
        <f>IF($BI$5=TRUE,IF(AZ563="","",SUM($AZ$8:AZ563)),"")</f>
        <v/>
      </c>
      <c r="BV563" s="100" t="str">
        <f>IF($BJ$5=TRUE,IF(BA563="","",SUM($BA$8:BA563)),"")</f>
        <v/>
      </c>
      <c r="BW563" s="100" t="str">
        <f>IF($BK$5=TRUE,IF(BB563="","",SUM($BB$8:BB563)),"")</f>
        <v/>
      </c>
      <c r="BX563" s="100" t="str">
        <f>IF($BL$5=TRUE,IF(BC563="","",SUM($BC$8:BC563)),"")</f>
        <v/>
      </c>
      <c r="BY563" s="100" t="str">
        <f>IF($BM$5=TRUE,IF(BD563="","",SUM($BD$8:BD563)),"")</f>
        <v/>
      </c>
      <c r="BZ563" s="100" t="str">
        <f>IF($BN$5=TRUE,IF(BE563="","",SUM($BE$8:BE563)),"")</f>
        <v/>
      </c>
    </row>
    <row r="564" spans="46:78" x14ac:dyDescent="0.25">
      <c r="AT564" s="74"/>
      <c r="AW564" s="74"/>
      <c r="BR564" s="133" t="str">
        <f t="shared" si="34"/>
        <v/>
      </c>
      <c r="BS564" s="100" t="str">
        <f>IF($BG$5=TRUE,IF(AX564="","",SUM($AX$8:AX564)),"")</f>
        <v/>
      </c>
      <c r="BT564" s="100" t="str">
        <f>IF($BH$5=TRUE,IF(AY564="","",SUM($AY$8:AY564)),"")</f>
        <v/>
      </c>
      <c r="BU564" s="100" t="str">
        <f>IF($BI$5=TRUE,IF(AZ564="","",SUM($AZ$8:AZ564)),"")</f>
        <v/>
      </c>
      <c r="BV564" s="100" t="str">
        <f>IF($BJ$5=TRUE,IF(BA564="","",SUM($BA$8:BA564)),"")</f>
        <v/>
      </c>
      <c r="BW564" s="100" t="str">
        <f>IF($BK$5=TRUE,IF(BB564="","",SUM($BB$8:BB564)),"")</f>
        <v/>
      </c>
      <c r="BX564" s="100" t="str">
        <f>IF($BL$5=TRUE,IF(BC564="","",SUM($BC$8:BC564)),"")</f>
        <v/>
      </c>
      <c r="BY564" s="100" t="str">
        <f>IF($BM$5=TRUE,IF(BD564="","",SUM($BD$8:BD564)),"")</f>
        <v/>
      </c>
      <c r="BZ564" s="100" t="str">
        <f>IF($BN$5=TRUE,IF(BE564="","",SUM($BE$8:BE564)),"")</f>
        <v/>
      </c>
    </row>
    <row r="565" spans="46:78" x14ac:dyDescent="0.25">
      <c r="AT565" s="74"/>
      <c r="AW565" s="74"/>
      <c r="BR565" s="133" t="str">
        <f t="shared" si="34"/>
        <v/>
      </c>
      <c r="BS565" s="100" t="str">
        <f>IF($BG$5=TRUE,IF(AX565="","",SUM($AX$8:AX565)),"")</f>
        <v/>
      </c>
      <c r="BT565" s="100" t="str">
        <f>IF($BH$5=TRUE,IF(AY565="","",SUM($AY$8:AY565)),"")</f>
        <v/>
      </c>
      <c r="BU565" s="100" t="str">
        <f>IF($BI$5=TRUE,IF(AZ565="","",SUM($AZ$8:AZ565)),"")</f>
        <v/>
      </c>
      <c r="BV565" s="100" t="str">
        <f>IF($BJ$5=TRUE,IF(BA565="","",SUM($BA$8:BA565)),"")</f>
        <v/>
      </c>
      <c r="BW565" s="100" t="str">
        <f>IF($BK$5=TRUE,IF(BB565="","",SUM($BB$8:BB565)),"")</f>
        <v/>
      </c>
      <c r="BX565" s="100" t="str">
        <f>IF($BL$5=TRUE,IF(BC565="","",SUM($BC$8:BC565)),"")</f>
        <v/>
      </c>
      <c r="BY565" s="100" t="str">
        <f>IF($BM$5=TRUE,IF(BD565="","",SUM($BD$8:BD565)),"")</f>
        <v/>
      </c>
      <c r="BZ565" s="100" t="str">
        <f>IF($BN$5=TRUE,IF(BE565="","",SUM($BE$8:BE565)),"")</f>
        <v/>
      </c>
    </row>
    <row r="566" spans="46:78" x14ac:dyDescent="0.25">
      <c r="AT566" s="74"/>
      <c r="AW566" s="74"/>
      <c r="BR566" s="133" t="str">
        <f t="shared" si="34"/>
        <v/>
      </c>
      <c r="BS566" s="100" t="str">
        <f>IF($BG$5=TRUE,IF(AX566="","",SUM($AX$8:AX566)),"")</f>
        <v/>
      </c>
      <c r="BT566" s="100" t="str">
        <f>IF($BH$5=TRUE,IF(AY566="","",SUM($AY$8:AY566)),"")</f>
        <v/>
      </c>
      <c r="BU566" s="100" t="str">
        <f>IF($BI$5=TRUE,IF(AZ566="","",SUM($AZ$8:AZ566)),"")</f>
        <v/>
      </c>
      <c r="BV566" s="100" t="str">
        <f>IF($BJ$5=TRUE,IF(BA566="","",SUM($BA$8:BA566)),"")</f>
        <v/>
      </c>
      <c r="BW566" s="100" t="str">
        <f>IF($BK$5=TRUE,IF(BB566="","",SUM($BB$8:BB566)),"")</f>
        <v/>
      </c>
      <c r="BX566" s="100" t="str">
        <f>IF($BL$5=TRUE,IF(BC566="","",SUM($BC$8:BC566)),"")</f>
        <v/>
      </c>
      <c r="BY566" s="100" t="str">
        <f>IF($BM$5=TRUE,IF(BD566="","",SUM($BD$8:BD566)),"")</f>
        <v/>
      </c>
      <c r="BZ566" s="100" t="str">
        <f>IF($BN$5=TRUE,IF(BE566="","",SUM($BE$8:BE566)),"")</f>
        <v/>
      </c>
    </row>
    <row r="567" spans="46:78" x14ac:dyDescent="0.25">
      <c r="AT567" s="74"/>
      <c r="AW567" s="74"/>
      <c r="BR567" s="133" t="str">
        <f t="shared" si="34"/>
        <v/>
      </c>
      <c r="BS567" s="100" t="str">
        <f>IF($BG$5=TRUE,IF(AX567="","",SUM($AX$8:AX567)),"")</f>
        <v/>
      </c>
      <c r="BT567" s="100" t="str">
        <f>IF($BH$5=TRUE,IF(AY567="","",SUM($AY$8:AY567)),"")</f>
        <v/>
      </c>
      <c r="BU567" s="100" t="str">
        <f>IF($BI$5=TRUE,IF(AZ567="","",SUM($AZ$8:AZ567)),"")</f>
        <v/>
      </c>
      <c r="BV567" s="100" t="str">
        <f>IF($BJ$5=TRUE,IF(BA567="","",SUM($BA$8:BA567)),"")</f>
        <v/>
      </c>
      <c r="BW567" s="100" t="str">
        <f>IF($BK$5=TRUE,IF(BB567="","",SUM($BB$8:BB567)),"")</f>
        <v/>
      </c>
      <c r="BX567" s="100" t="str">
        <f>IF($BL$5=TRUE,IF(BC567="","",SUM($BC$8:BC567)),"")</f>
        <v/>
      </c>
      <c r="BY567" s="100" t="str">
        <f>IF($BM$5=TRUE,IF(BD567="","",SUM($BD$8:BD567)),"")</f>
        <v/>
      </c>
      <c r="BZ567" s="100" t="str">
        <f>IF($BN$5=TRUE,IF(BE567="","",SUM($BE$8:BE567)),"")</f>
        <v/>
      </c>
    </row>
    <row r="568" spans="46:78" x14ac:dyDescent="0.25">
      <c r="AT568" s="74"/>
      <c r="AW568" s="74"/>
      <c r="BR568" s="133" t="str">
        <f t="shared" si="34"/>
        <v/>
      </c>
      <c r="BS568" s="100" t="str">
        <f>IF($BG$5=TRUE,IF(AX568="","",SUM($AX$8:AX568)),"")</f>
        <v/>
      </c>
      <c r="BT568" s="100" t="str">
        <f>IF($BH$5=TRUE,IF(AY568="","",SUM($AY$8:AY568)),"")</f>
        <v/>
      </c>
      <c r="BU568" s="100" t="str">
        <f>IF($BI$5=TRUE,IF(AZ568="","",SUM($AZ$8:AZ568)),"")</f>
        <v/>
      </c>
      <c r="BV568" s="100" t="str">
        <f>IF($BJ$5=TRUE,IF(BA568="","",SUM($BA$8:BA568)),"")</f>
        <v/>
      </c>
      <c r="BW568" s="100" t="str">
        <f>IF($BK$5=TRUE,IF(BB568="","",SUM($BB$8:BB568)),"")</f>
        <v/>
      </c>
      <c r="BX568" s="100" t="str">
        <f>IF($BL$5=TRUE,IF(BC568="","",SUM($BC$8:BC568)),"")</f>
        <v/>
      </c>
      <c r="BY568" s="100" t="str">
        <f>IF($BM$5=TRUE,IF(BD568="","",SUM($BD$8:BD568)),"")</f>
        <v/>
      </c>
      <c r="BZ568" s="100" t="str">
        <f>IF($BN$5=TRUE,IF(BE568="","",SUM($BE$8:BE568)),"")</f>
        <v/>
      </c>
    </row>
    <row r="569" spans="46:78" x14ac:dyDescent="0.25">
      <c r="AT569" s="74"/>
      <c r="AW569" s="74"/>
      <c r="BR569" s="133" t="str">
        <f t="shared" si="34"/>
        <v/>
      </c>
      <c r="BS569" s="100" t="str">
        <f>IF($BG$5=TRUE,IF(AX569="","",SUM($AX$8:AX569)),"")</f>
        <v/>
      </c>
      <c r="BT569" s="100" t="str">
        <f>IF($BH$5=TRUE,IF(AY569="","",SUM($AY$8:AY569)),"")</f>
        <v/>
      </c>
      <c r="BU569" s="100" t="str">
        <f>IF($BI$5=TRUE,IF(AZ569="","",SUM($AZ$8:AZ569)),"")</f>
        <v/>
      </c>
      <c r="BV569" s="100" t="str">
        <f>IF($BJ$5=TRUE,IF(BA569="","",SUM($BA$8:BA569)),"")</f>
        <v/>
      </c>
      <c r="BW569" s="100" t="str">
        <f>IF($BK$5=TRUE,IF(BB569="","",SUM($BB$8:BB569)),"")</f>
        <v/>
      </c>
      <c r="BX569" s="100" t="str">
        <f>IF($BL$5=TRUE,IF(BC569="","",SUM($BC$8:BC569)),"")</f>
        <v/>
      </c>
      <c r="BY569" s="100" t="str">
        <f>IF($BM$5=TRUE,IF(BD569="","",SUM($BD$8:BD569)),"")</f>
        <v/>
      </c>
      <c r="BZ569" s="100" t="str">
        <f>IF($BN$5=TRUE,IF(BE569="","",SUM($BE$8:BE569)),"")</f>
        <v/>
      </c>
    </row>
    <row r="570" spans="46:78" x14ac:dyDescent="0.25">
      <c r="AT570" s="74"/>
      <c r="AW570" s="74"/>
      <c r="BR570" s="133" t="str">
        <f t="shared" si="34"/>
        <v/>
      </c>
      <c r="BS570" s="100" t="str">
        <f>IF($BG$5=TRUE,IF(AX570="","",SUM($AX$8:AX570)),"")</f>
        <v/>
      </c>
      <c r="BT570" s="100" t="str">
        <f>IF($BH$5=TRUE,IF(AY570="","",SUM($AY$8:AY570)),"")</f>
        <v/>
      </c>
      <c r="BU570" s="100" t="str">
        <f>IF($BI$5=TRUE,IF(AZ570="","",SUM($AZ$8:AZ570)),"")</f>
        <v/>
      </c>
      <c r="BV570" s="100" t="str">
        <f>IF($BJ$5=TRUE,IF(BA570="","",SUM($BA$8:BA570)),"")</f>
        <v/>
      </c>
      <c r="BW570" s="100" t="str">
        <f>IF($BK$5=TRUE,IF(BB570="","",SUM($BB$8:BB570)),"")</f>
        <v/>
      </c>
      <c r="BX570" s="100" t="str">
        <f>IF($BL$5=TRUE,IF(BC570="","",SUM($BC$8:BC570)),"")</f>
        <v/>
      </c>
      <c r="BY570" s="100" t="str">
        <f>IF($BM$5=TRUE,IF(BD570="","",SUM($BD$8:BD570)),"")</f>
        <v/>
      </c>
      <c r="BZ570" s="100" t="str">
        <f>IF($BN$5=TRUE,IF(BE570="","",SUM($BE$8:BE570)),"")</f>
        <v/>
      </c>
    </row>
    <row r="571" spans="46:78" x14ac:dyDescent="0.25">
      <c r="AT571" s="74"/>
      <c r="AW571" s="74"/>
      <c r="BR571" s="133" t="str">
        <f t="shared" si="34"/>
        <v/>
      </c>
      <c r="BS571" s="100" t="str">
        <f>IF($BG$5=TRUE,IF(AX571="","",SUM($AX$8:AX571)),"")</f>
        <v/>
      </c>
      <c r="BT571" s="100" t="str">
        <f>IF($BH$5=TRUE,IF(AY571="","",SUM($AY$8:AY571)),"")</f>
        <v/>
      </c>
      <c r="BU571" s="100" t="str">
        <f>IF($BI$5=TRUE,IF(AZ571="","",SUM($AZ$8:AZ571)),"")</f>
        <v/>
      </c>
      <c r="BV571" s="100" t="str">
        <f>IF($BJ$5=TRUE,IF(BA571="","",SUM($BA$8:BA571)),"")</f>
        <v/>
      </c>
      <c r="BW571" s="100" t="str">
        <f>IF($BK$5=TRUE,IF(BB571="","",SUM($BB$8:BB571)),"")</f>
        <v/>
      </c>
      <c r="BX571" s="100" t="str">
        <f>IF($BL$5=TRUE,IF(BC571="","",SUM($BC$8:BC571)),"")</f>
        <v/>
      </c>
      <c r="BY571" s="100" t="str">
        <f>IF($BM$5=TRUE,IF(BD571="","",SUM($BD$8:BD571)),"")</f>
        <v/>
      </c>
      <c r="BZ571" s="100" t="str">
        <f>IF($BN$5=TRUE,IF(BE571="","",SUM($BE$8:BE571)),"")</f>
        <v/>
      </c>
    </row>
    <row r="572" spans="46:78" x14ac:dyDescent="0.25">
      <c r="AT572" s="74"/>
      <c r="AW572" s="74"/>
      <c r="BR572" s="133" t="str">
        <f t="shared" si="34"/>
        <v/>
      </c>
      <c r="BS572" s="100" t="str">
        <f>IF($BG$5=TRUE,IF(AX572="","",SUM($AX$8:AX572)),"")</f>
        <v/>
      </c>
      <c r="BT572" s="100" t="str">
        <f>IF($BH$5=TRUE,IF(AY572="","",SUM($AY$8:AY572)),"")</f>
        <v/>
      </c>
      <c r="BU572" s="100" t="str">
        <f>IF($BI$5=TRUE,IF(AZ572="","",SUM($AZ$8:AZ572)),"")</f>
        <v/>
      </c>
      <c r="BV572" s="100" t="str">
        <f>IF($BJ$5=TRUE,IF(BA572="","",SUM($BA$8:BA572)),"")</f>
        <v/>
      </c>
      <c r="BW572" s="100" t="str">
        <f>IF($BK$5=TRUE,IF(BB572="","",SUM($BB$8:BB572)),"")</f>
        <v/>
      </c>
      <c r="BX572" s="100" t="str">
        <f>IF($BL$5=TRUE,IF(BC572="","",SUM($BC$8:BC572)),"")</f>
        <v/>
      </c>
      <c r="BY572" s="100" t="str">
        <f>IF($BM$5=TRUE,IF(BD572="","",SUM($BD$8:BD572)),"")</f>
        <v/>
      </c>
      <c r="BZ572" s="100" t="str">
        <f>IF($BN$5=TRUE,IF(BE572="","",SUM($BE$8:BE572)),"")</f>
        <v/>
      </c>
    </row>
    <row r="573" spans="46:78" x14ac:dyDescent="0.25">
      <c r="AT573" s="74"/>
      <c r="AW573" s="74"/>
      <c r="BR573" s="133" t="str">
        <f t="shared" si="34"/>
        <v/>
      </c>
      <c r="BS573" s="100" t="str">
        <f>IF($BG$5=TRUE,IF(AX573="","",SUM($AX$8:AX573)),"")</f>
        <v/>
      </c>
      <c r="BT573" s="100" t="str">
        <f>IF($BH$5=TRUE,IF(AY573="","",SUM($AY$8:AY573)),"")</f>
        <v/>
      </c>
      <c r="BU573" s="100" t="str">
        <f>IF($BI$5=TRUE,IF(AZ573="","",SUM($AZ$8:AZ573)),"")</f>
        <v/>
      </c>
      <c r="BV573" s="100" t="str">
        <f>IF($BJ$5=TRUE,IF(BA573="","",SUM($BA$8:BA573)),"")</f>
        <v/>
      </c>
      <c r="BW573" s="100" t="str">
        <f>IF($BK$5=TRUE,IF(BB573="","",SUM($BB$8:BB573)),"")</f>
        <v/>
      </c>
      <c r="BX573" s="100" t="str">
        <f>IF($BL$5=TRUE,IF(BC573="","",SUM($BC$8:BC573)),"")</f>
        <v/>
      </c>
      <c r="BY573" s="100" t="str">
        <f>IF($BM$5=TRUE,IF(BD573="","",SUM($BD$8:BD573)),"")</f>
        <v/>
      </c>
      <c r="BZ573" s="100" t="str">
        <f>IF($BN$5=TRUE,IF(BE573="","",SUM($BE$8:BE573)),"")</f>
        <v/>
      </c>
    </row>
    <row r="574" spans="46:78" x14ac:dyDescent="0.25">
      <c r="AT574" s="74"/>
      <c r="AW574" s="74"/>
      <c r="BR574" s="133" t="str">
        <f t="shared" si="34"/>
        <v/>
      </c>
      <c r="BS574" s="100" t="str">
        <f>IF($BG$5=TRUE,IF(AX574="","",SUM($AX$8:AX574)),"")</f>
        <v/>
      </c>
      <c r="BT574" s="100" t="str">
        <f>IF($BH$5=TRUE,IF(AY574="","",SUM($AY$8:AY574)),"")</f>
        <v/>
      </c>
      <c r="BU574" s="100" t="str">
        <f>IF($BI$5=TRUE,IF(AZ574="","",SUM($AZ$8:AZ574)),"")</f>
        <v/>
      </c>
      <c r="BV574" s="100" t="str">
        <f>IF($BJ$5=TRUE,IF(BA574="","",SUM($BA$8:BA574)),"")</f>
        <v/>
      </c>
      <c r="BW574" s="100" t="str">
        <f>IF($BK$5=TRUE,IF(BB574="","",SUM($BB$8:BB574)),"")</f>
        <v/>
      </c>
      <c r="BX574" s="100" t="str">
        <f>IF($BL$5=TRUE,IF(BC574="","",SUM($BC$8:BC574)),"")</f>
        <v/>
      </c>
      <c r="BY574" s="100" t="str">
        <f>IF($BM$5=TRUE,IF(BD574="","",SUM($BD$8:BD574)),"")</f>
        <v/>
      </c>
      <c r="BZ574" s="100" t="str">
        <f>IF($BN$5=TRUE,IF(BE574="","",SUM($BE$8:BE574)),"")</f>
        <v/>
      </c>
    </row>
    <row r="575" spans="46:78" x14ac:dyDescent="0.25">
      <c r="AT575" s="74"/>
      <c r="AW575" s="74"/>
      <c r="BR575" s="133" t="str">
        <f t="shared" si="34"/>
        <v/>
      </c>
      <c r="BS575" s="100" t="str">
        <f>IF($BG$5=TRUE,IF(AX575="","",SUM($AX$8:AX575)),"")</f>
        <v/>
      </c>
      <c r="BT575" s="100" t="str">
        <f>IF($BH$5=TRUE,IF(AY575="","",SUM($AY$8:AY575)),"")</f>
        <v/>
      </c>
      <c r="BU575" s="100" t="str">
        <f>IF($BI$5=TRUE,IF(AZ575="","",SUM($AZ$8:AZ575)),"")</f>
        <v/>
      </c>
      <c r="BV575" s="100" t="str">
        <f>IF($BJ$5=TRUE,IF(BA575="","",SUM($BA$8:BA575)),"")</f>
        <v/>
      </c>
      <c r="BW575" s="100" t="str">
        <f>IF($BK$5=TRUE,IF(BB575="","",SUM($BB$8:BB575)),"")</f>
        <v/>
      </c>
      <c r="BX575" s="100" t="str">
        <f>IF($BL$5=TRUE,IF(BC575="","",SUM($BC$8:BC575)),"")</f>
        <v/>
      </c>
      <c r="BY575" s="100" t="str">
        <f>IF($BM$5=TRUE,IF(BD575="","",SUM($BD$8:BD575)),"")</f>
        <v/>
      </c>
      <c r="BZ575" s="100" t="str">
        <f>IF($BN$5=TRUE,IF(BE575="","",SUM($BE$8:BE575)),"")</f>
        <v/>
      </c>
    </row>
    <row r="576" spans="46:78" x14ac:dyDescent="0.25">
      <c r="AT576" s="74"/>
      <c r="AW576" s="74"/>
      <c r="BR576" s="133" t="str">
        <f t="shared" si="34"/>
        <v/>
      </c>
      <c r="BS576" s="100" t="str">
        <f>IF($BG$5=TRUE,IF(AX576="","",SUM($AX$8:AX576)),"")</f>
        <v/>
      </c>
      <c r="BT576" s="100" t="str">
        <f>IF($BH$5=TRUE,IF(AY576="","",SUM($AY$8:AY576)),"")</f>
        <v/>
      </c>
      <c r="BU576" s="100" t="str">
        <f>IF($BI$5=TRUE,IF(AZ576="","",SUM($AZ$8:AZ576)),"")</f>
        <v/>
      </c>
      <c r="BV576" s="100" t="str">
        <f>IF($BJ$5=TRUE,IF(BA576="","",SUM($BA$8:BA576)),"")</f>
        <v/>
      </c>
      <c r="BW576" s="100" t="str">
        <f>IF($BK$5=TRUE,IF(BB576="","",SUM($BB$8:BB576)),"")</f>
        <v/>
      </c>
      <c r="BX576" s="100" t="str">
        <f>IF($BL$5=TRUE,IF(BC576="","",SUM($BC$8:BC576)),"")</f>
        <v/>
      </c>
      <c r="BY576" s="100" t="str">
        <f>IF($BM$5=TRUE,IF(BD576="","",SUM($BD$8:BD576)),"")</f>
        <v/>
      </c>
      <c r="BZ576" s="100" t="str">
        <f>IF($BN$5=TRUE,IF(BE576="","",SUM($BE$8:BE576)),"")</f>
        <v/>
      </c>
    </row>
    <row r="577" spans="46:78" x14ac:dyDescent="0.25">
      <c r="AT577" s="74"/>
      <c r="AW577" s="74"/>
      <c r="BR577" s="133" t="str">
        <f t="shared" si="34"/>
        <v/>
      </c>
      <c r="BS577" s="100" t="str">
        <f>IF($BG$5=TRUE,IF(AX577="","",SUM($AX$8:AX577)),"")</f>
        <v/>
      </c>
      <c r="BT577" s="100" t="str">
        <f>IF($BH$5=TRUE,IF(AY577="","",SUM($AY$8:AY577)),"")</f>
        <v/>
      </c>
      <c r="BU577" s="100" t="str">
        <f>IF($BI$5=TRUE,IF(AZ577="","",SUM($AZ$8:AZ577)),"")</f>
        <v/>
      </c>
      <c r="BV577" s="100" t="str">
        <f>IF($BJ$5=TRUE,IF(BA577="","",SUM($BA$8:BA577)),"")</f>
        <v/>
      </c>
      <c r="BW577" s="100" t="str">
        <f>IF($BK$5=TRUE,IF(BB577="","",SUM($BB$8:BB577)),"")</f>
        <v/>
      </c>
      <c r="BX577" s="100" t="str">
        <f>IF($BL$5=TRUE,IF(BC577="","",SUM($BC$8:BC577)),"")</f>
        <v/>
      </c>
      <c r="BY577" s="100" t="str">
        <f>IF($BM$5=TRUE,IF(BD577="","",SUM($BD$8:BD577)),"")</f>
        <v/>
      </c>
      <c r="BZ577" s="100" t="str">
        <f>IF($BN$5=TRUE,IF(BE577="","",SUM($BE$8:BE577)),"")</f>
        <v/>
      </c>
    </row>
    <row r="578" spans="46:78" x14ac:dyDescent="0.25">
      <c r="AT578" s="74"/>
      <c r="AW578" s="74"/>
      <c r="BR578" s="133" t="str">
        <f t="shared" si="34"/>
        <v/>
      </c>
      <c r="BS578" s="100" t="str">
        <f>IF($BG$5=TRUE,IF(AX578="","",SUM($AX$8:AX578)),"")</f>
        <v/>
      </c>
      <c r="BT578" s="100" t="str">
        <f>IF($BH$5=TRUE,IF(AY578="","",SUM($AY$8:AY578)),"")</f>
        <v/>
      </c>
      <c r="BU578" s="100" t="str">
        <f>IF($BI$5=TRUE,IF(AZ578="","",SUM($AZ$8:AZ578)),"")</f>
        <v/>
      </c>
      <c r="BV578" s="100" t="str">
        <f>IF($BJ$5=TRUE,IF(BA578="","",SUM($BA$8:BA578)),"")</f>
        <v/>
      </c>
      <c r="BW578" s="100" t="str">
        <f>IF($BK$5=TRUE,IF(BB578="","",SUM($BB$8:BB578)),"")</f>
        <v/>
      </c>
      <c r="BX578" s="100" t="str">
        <f>IF($BL$5=TRUE,IF(BC578="","",SUM($BC$8:BC578)),"")</f>
        <v/>
      </c>
      <c r="BY578" s="100" t="str">
        <f>IF($BM$5=TRUE,IF(BD578="","",SUM($BD$8:BD578)),"")</f>
        <v/>
      </c>
      <c r="BZ578" s="100" t="str">
        <f>IF($BN$5=TRUE,IF(BE578="","",SUM($BE$8:BE578)),"")</f>
        <v/>
      </c>
    </row>
    <row r="579" spans="46:78" x14ac:dyDescent="0.25">
      <c r="AT579" s="74"/>
      <c r="AW579" s="74"/>
      <c r="BR579" s="133" t="str">
        <f t="shared" si="34"/>
        <v/>
      </c>
      <c r="BS579" s="100" t="str">
        <f>IF($BG$5=TRUE,IF(AX579="","",SUM($AX$8:AX579)),"")</f>
        <v/>
      </c>
      <c r="BT579" s="100" t="str">
        <f>IF($BH$5=TRUE,IF(AY579="","",SUM($AY$8:AY579)),"")</f>
        <v/>
      </c>
      <c r="BU579" s="100" t="str">
        <f>IF($BI$5=TRUE,IF(AZ579="","",SUM($AZ$8:AZ579)),"")</f>
        <v/>
      </c>
      <c r="BV579" s="100" t="str">
        <f>IF($BJ$5=TRUE,IF(BA579="","",SUM($BA$8:BA579)),"")</f>
        <v/>
      </c>
      <c r="BW579" s="100" t="str">
        <f>IF($BK$5=TRUE,IF(BB579="","",SUM($BB$8:BB579)),"")</f>
        <v/>
      </c>
      <c r="BX579" s="100" t="str">
        <f>IF($BL$5=TRUE,IF(BC579="","",SUM($BC$8:BC579)),"")</f>
        <v/>
      </c>
      <c r="BY579" s="100" t="str">
        <f>IF($BM$5=TRUE,IF(BD579="","",SUM($BD$8:BD579)),"")</f>
        <v/>
      </c>
      <c r="BZ579" s="100" t="str">
        <f>IF($BN$5=TRUE,IF(BE579="","",SUM($BE$8:BE579)),"")</f>
        <v/>
      </c>
    </row>
    <row r="580" spans="46:78" x14ac:dyDescent="0.25">
      <c r="AT580" s="74"/>
      <c r="AW580" s="74"/>
      <c r="BR580" s="133" t="str">
        <f t="shared" si="34"/>
        <v/>
      </c>
      <c r="BS580" s="100" t="str">
        <f>IF($BG$5=TRUE,IF(AX580="","",SUM($AX$8:AX580)),"")</f>
        <v/>
      </c>
      <c r="BT580" s="100" t="str">
        <f>IF($BH$5=TRUE,IF(AY580="","",SUM($AY$8:AY580)),"")</f>
        <v/>
      </c>
      <c r="BU580" s="100" t="str">
        <f>IF($BI$5=TRUE,IF(AZ580="","",SUM($AZ$8:AZ580)),"")</f>
        <v/>
      </c>
      <c r="BV580" s="100" t="str">
        <f>IF($BJ$5=TRUE,IF(BA580="","",SUM($BA$8:BA580)),"")</f>
        <v/>
      </c>
      <c r="BW580" s="100" t="str">
        <f>IF($BK$5=TRUE,IF(BB580="","",SUM($BB$8:BB580)),"")</f>
        <v/>
      </c>
      <c r="BX580" s="100" t="str">
        <f>IF($BL$5=TRUE,IF(BC580="","",SUM($BC$8:BC580)),"")</f>
        <v/>
      </c>
      <c r="BY580" s="100" t="str">
        <f>IF($BM$5=TRUE,IF(BD580="","",SUM($BD$8:BD580)),"")</f>
        <v/>
      </c>
      <c r="BZ580" s="100" t="str">
        <f>IF($BN$5=TRUE,IF(BE580="","",SUM($BE$8:BE580)),"")</f>
        <v/>
      </c>
    </row>
    <row r="581" spans="46:78" x14ac:dyDescent="0.25">
      <c r="AT581" s="74"/>
      <c r="AW581" s="74"/>
      <c r="BR581" s="133" t="str">
        <f t="shared" si="34"/>
        <v/>
      </c>
      <c r="BS581" s="100" t="str">
        <f>IF($BG$5=TRUE,IF(AX581="","",SUM($AX$8:AX581)),"")</f>
        <v/>
      </c>
      <c r="BT581" s="100" t="str">
        <f>IF($BH$5=TRUE,IF(AY581="","",SUM($AY$8:AY581)),"")</f>
        <v/>
      </c>
      <c r="BU581" s="100" t="str">
        <f>IF($BI$5=TRUE,IF(AZ581="","",SUM($AZ$8:AZ581)),"")</f>
        <v/>
      </c>
      <c r="BV581" s="100" t="str">
        <f>IF($BJ$5=TRUE,IF(BA581="","",SUM($BA$8:BA581)),"")</f>
        <v/>
      </c>
      <c r="BW581" s="100" t="str">
        <f>IF($BK$5=TRUE,IF(BB581="","",SUM($BB$8:BB581)),"")</f>
        <v/>
      </c>
      <c r="BX581" s="100" t="str">
        <f>IF($BL$5=TRUE,IF(BC581="","",SUM($BC$8:BC581)),"")</f>
        <v/>
      </c>
      <c r="BY581" s="100" t="str">
        <f>IF($BM$5=TRUE,IF(BD581="","",SUM($BD$8:BD581)),"")</f>
        <v/>
      </c>
      <c r="BZ581" s="100" t="str">
        <f>IF($BN$5=TRUE,IF(BE581="","",SUM($BE$8:BE581)),"")</f>
        <v/>
      </c>
    </row>
    <row r="582" spans="46:78" x14ac:dyDescent="0.25">
      <c r="AT582" s="74"/>
      <c r="AW582" s="74"/>
      <c r="BR582" s="133" t="str">
        <f t="shared" si="34"/>
        <v/>
      </c>
      <c r="BS582" s="100" t="str">
        <f>IF($BG$5=TRUE,IF(AX582="","",SUM($AX$8:AX582)),"")</f>
        <v/>
      </c>
      <c r="BT582" s="100" t="str">
        <f>IF($BH$5=TRUE,IF(AY582="","",SUM($AY$8:AY582)),"")</f>
        <v/>
      </c>
      <c r="BU582" s="100" t="str">
        <f>IF($BI$5=TRUE,IF(AZ582="","",SUM($AZ$8:AZ582)),"")</f>
        <v/>
      </c>
      <c r="BV582" s="100" t="str">
        <f>IF($BJ$5=TRUE,IF(BA582="","",SUM($BA$8:BA582)),"")</f>
        <v/>
      </c>
      <c r="BW582" s="100" t="str">
        <f>IF($BK$5=TRUE,IF(BB582="","",SUM($BB$8:BB582)),"")</f>
        <v/>
      </c>
      <c r="BX582" s="100" t="str">
        <f>IF($BL$5=TRUE,IF(BC582="","",SUM($BC$8:BC582)),"")</f>
        <v/>
      </c>
      <c r="BY582" s="100" t="str">
        <f>IF($BM$5=TRUE,IF(BD582="","",SUM($BD$8:BD582)),"")</f>
        <v/>
      </c>
      <c r="BZ582" s="100" t="str">
        <f>IF($BN$5=TRUE,IF(BE582="","",SUM($BE$8:BE582)),"")</f>
        <v/>
      </c>
    </row>
    <row r="583" spans="46:78" x14ac:dyDescent="0.25">
      <c r="AT583" s="74"/>
      <c r="AW583" s="74"/>
      <c r="BR583" s="133" t="str">
        <f t="shared" si="34"/>
        <v/>
      </c>
      <c r="BS583" s="100" t="str">
        <f>IF($BG$5=TRUE,IF(AX583="","",SUM($AX$8:AX583)),"")</f>
        <v/>
      </c>
      <c r="BT583" s="100" t="str">
        <f>IF($BH$5=TRUE,IF(AY583="","",SUM($AY$8:AY583)),"")</f>
        <v/>
      </c>
      <c r="BU583" s="100" t="str">
        <f>IF($BI$5=TRUE,IF(AZ583="","",SUM($AZ$8:AZ583)),"")</f>
        <v/>
      </c>
      <c r="BV583" s="100" t="str">
        <f>IF($BJ$5=TRUE,IF(BA583="","",SUM($BA$8:BA583)),"")</f>
        <v/>
      </c>
      <c r="BW583" s="100" t="str">
        <f>IF($BK$5=TRUE,IF(BB583="","",SUM($BB$8:BB583)),"")</f>
        <v/>
      </c>
      <c r="BX583" s="100" t="str">
        <f>IF($BL$5=TRUE,IF(BC583="","",SUM($BC$8:BC583)),"")</f>
        <v/>
      </c>
      <c r="BY583" s="100" t="str">
        <f>IF($BM$5=TRUE,IF(BD583="","",SUM($BD$8:BD583)),"")</f>
        <v/>
      </c>
      <c r="BZ583" s="100" t="str">
        <f>IF($BN$5=TRUE,IF(BE583="","",SUM($BE$8:BE583)),"")</f>
        <v/>
      </c>
    </row>
    <row r="584" spans="46:78" x14ac:dyDescent="0.25">
      <c r="AT584" s="74"/>
      <c r="AW584" s="74"/>
      <c r="BR584" s="133" t="str">
        <f t="shared" si="34"/>
        <v/>
      </c>
      <c r="BS584" s="100" t="str">
        <f>IF($BG$5=TRUE,IF(AX584="","",SUM($AX$8:AX584)),"")</f>
        <v/>
      </c>
      <c r="BT584" s="100" t="str">
        <f>IF($BH$5=TRUE,IF(AY584="","",SUM($AY$8:AY584)),"")</f>
        <v/>
      </c>
      <c r="BU584" s="100" t="str">
        <f>IF($BI$5=TRUE,IF(AZ584="","",SUM($AZ$8:AZ584)),"")</f>
        <v/>
      </c>
      <c r="BV584" s="100" t="str">
        <f>IF($BJ$5=TRUE,IF(BA584="","",SUM($BA$8:BA584)),"")</f>
        <v/>
      </c>
      <c r="BW584" s="100" t="str">
        <f>IF($BK$5=TRUE,IF(BB584="","",SUM($BB$8:BB584)),"")</f>
        <v/>
      </c>
      <c r="BX584" s="100" t="str">
        <f>IF($BL$5=TRUE,IF(BC584="","",SUM($BC$8:BC584)),"")</f>
        <v/>
      </c>
      <c r="BY584" s="100" t="str">
        <f>IF($BM$5=TRUE,IF(BD584="","",SUM($BD$8:BD584)),"")</f>
        <v/>
      </c>
      <c r="BZ584" s="100" t="str">
        <f>IF($BN$5=TRUE,IF(BE584="","",SUM($BE$8:BE584)),"")</f>
        <v/>
      </c>
    </row>
    <row r="585" spans="46:78" x14ac:dyDescent="0.25">
      <c r="AT585" s="74"/>
      <c r="AW585" s="74"/>
      <c r="BR585" s="133" t="str">
        <f t="shared" si="34"/>
        <v/>
      </c>
      <c r="BS585" s="100" t="str">
        <f>IF($BG$5=TRUE,IF(AX585="","",SUM($AX$8:AX585)),"")</f>
        <v/>
      </c>
      <c r="BT585" s="100" t="str">
        <f>IF($BH$5=TRUE,IF(AY585="","",SUM($AY$8:AY585)),"")</f>
        <v/>
      </c>
      <c r="BU585" s="100" t="str">
        <f>IF($BI$5=TRUE,IF(AZ585="","",SUM($AZ$8:AZ585)),"")</f>
        <v/>
      </c>
      <c r="BV585" s="100" t="str">
        <f>IF($BJ$5=TRUE,IF(BA585="","",SUM($BA$8:BA585)),"")</f>
        <v/>
      </c>
      <c r="BW585" s="100" t="str">
        <f>IF($BK$5=TRUE,IF(BB585="","",SUM($BB$8:BB585)),"")</f>
        <v/>
      </c>
      <c r="BX585" s="100" t="str">
        <f>IF($BL$5=TRUE,IF(BC585="","",SUM($BC$8:BC585)),"")</f>
        <v/>
      </c>
      <c r="BY585" s="100" t="str">
        <f>IF($BM$5=TRUE,IF(BD585="","",SUM($BD$8:BD585)),"")</f>
        <v/>
      </c>
      <c r="BZ585" s="100" t="str">
        <f>IF($BN$5=TRUE,IF(BE585="","",SUM($BE$8:BE585)),"")</f>
        <v/>
      </c>
    </row>
    <row r="586" spans="46:78" x14ac:dyDescent="0.25">
      <c r="AT586" s="74"/>
      <c r="AW586" s="74"/>
      <c r="BR586" s="133" t="str">
        <f t="shared" si="34"/>
        <v/>
      </c>
      <c r="BS586" s="100" t="str">
        <f>IF($BG$5=TRUE,IF(AX586="","",SUM($AX$8:AX586)),"")</f>
        <v/>
      </c>
      <c r="BT586" s="100" t="str">
        <f>IF($BH$5=TRUE,IF(AY586="","",SUM($AY$8:AY586)),"")</f>
        <v/>
      </c>
      <c r="BU586" s="100" t="str">
        <f>IF($BI$5=TRUE,IF(AZ586="","",SUM($AZ$8:AZ586)),"")</f>
        <v/>
      </c>
      <c r="BV586" s="100" t="str">
        <f>IF($BJ$5=TRUE,IF(BA586="","",SUM($BA$8:BA586)),"")</f>
        <v/>
      </c>
      <c r="BW586" s="100" t="str">
        <f>IF($BK$5=TRUE,IF(BB586="","",SUM($BB$8:BB586)),"")</f>
        <v/>
      </c>
      <c r="BX586" s="100" t="str">
        <f>IF($BL$5=TRUE,IF(BC586="","",SUM($BC$8:BC586)),"")</f>
        <v/>
      </c>
      <c r="BY586" s="100" t="str">
        <f>IF($BM$5=TRUE,IF(BD586="","",SUM($BD$8:BD586)),"")</f>
        <v/>
      </c>
      <c r="BZ586" s="100" t="str">
        <f>IF($BN$5=TRUE,IF(BE586="","",SUM($BE$8:BE586)),"")</f>
        <v/>
      </c>
    </row>
    <row r="587" spans="46:78" x14ac:dyDescent="0.25">
      <c r="AT587" s="74"/>
      <c r="AW587" s="74"/>
      <c r="BR587" s="133" t="str">
        <f t="shared" ref="BR587:BR650" si="35">IF(AW587="","",AW587)</f>
        <v/>
      </c>
      <c r="BS587" s="100" t="str">
        <f>IF($BG$5=TRUE,IF(AX587="","",SUM($AX$8:AX587)),"")</f>
        <v/>
      </c>
      <c r="BT587" s="100" t="str">
        <f>IF($BH$5=TRUE,IF(AY587="","",SUM($AY$8:AY587)),"")</f>
        <v/>
      </c>
      <c r="BU587" s="100" t="str">
        <f>IF($BI$5=TRUE,IF(AZ587="","",SUM($AZ$8:AZ587)),"")</f>
        <v/>
      </c>
      <c r="BV587" s="100" t="str">
        <f>IF($BJ$5=TRUE,IF(BA587="","",SUM($BA$8:BA587)),"")</f>
        <v/>
      </c>
      <c r="BW587" s="100" t="str">
        <f>IF($BK$5=TRUE,IF(BB587="","",SUM($BB$8:BB587)),"")</f>
        <v/>
      </c>
      <c r="BX587" s="100" t="str">
        <f>IF($BL$5=TRUE,IF(BC587="","",SUM($BC$8:BC587)),"")</f>
        <v/>
      </c>
      <c r="BY587" s="100" t="str">
        <f>IF($BM$5=TRUE,IF(BD587="","",SUM($BD$8:BD587)),"")</f>
        <v/>
      </c>
      <c r="BZ587" s="100" t="str">
        <f>IF($BN$5=TRUE,IF(BE587="","",SUM($BE$8:BE587)),"")</f>
        <v/>
      </c>
    </row>
    <row r="588" spans="46:78" x14ac:dyDescent="0.25">
      <c r="AT588" s="74"/>
      <c r="AW588" s="74"/>
      <c r="BR588" s="133" t="str">
        <f t="shared" si="35"/>
        <v/>
      </c>
      <c r="BS588" s="100" t="str">
        <f>IF($BG$5=TRUE,IF(AX588="","",SUM($AX$8:AX588)),"")</f>
        <v/>
      </c>
      <c r="BT588" s="100" t="str">
        <f>IF($BH$5=TRUE,IF(AY588="","",SUM($AY$8:AY588)),"")</f>
        <v/>
      </c>
      <c r="BU588" s="100" t="str">
        <f>IF($BI$5=TRUE,IF(AZ588="","",SUM($AZ$8:AZ588)),"")</f>
        <v/>
      </c>
      <c r="BV588" s="100" t="str">
        <f>IF($BJ$5=TRUE,IF(BA588="","",SUM($BA$8:BA588)),"")</f>
        <v/>
      </c>
      <c r="BW588" s="100" t="str">
        <f>IF($BK$5=TRUE,IF(BB588="","",SUM($BB$8:BB588)),"")</f>
        <v/>
      </c>
      <c r="BX588" s="100" t="str">
        <f>IF($BL$5=TRUE,IF(BC588="","",SUM($BC$8:BC588)),"")</f>
        <v/>
      </c>
      <c r="BY588" s="100" t="str">
        <f>IF($BM$5=TRUE,IF(BD588="","",SUM($BD$8:BD588)),"")</f>
        <v/>
      </c>
      <c r="BZ588" s="100" t="str">
        <f>IF($BN$5=TRUE,IF(BE588="","",SUM($BE$8:BE588)),"")</f>
        <v/>
      </c>
    </row>
    <row r="589" spans="46:78" x14ac:dyDescent="0.25">
      <c r="AT589" s="74"/>
      <c r="AW589" s="74"/>
      <c r="BR589" s="133" t="str">
        <f t="shared" si="35"/>
        <v/>
      </c>
      <c r="BS589" s="100" t="str">
        <f>IF($BG$5=TRUE,IF(AX589="","",SUM($AX$8:AX589)),"")</f>
        <v/>
      </c>
      <c r="BT589" s="100" t="str">
        <f>IF($BH$5=TRUE,IF(AY589="","",SUM($AY$8:AY589)),"")</f>
        <v/>
      </c>
      <c r="BU589" s="100" t="str">
        <f>IF($BI$5=TRUE,IF(AZ589="","",SUM($AZ$8:AZ589)),"")</f>
        <v/>
      </c>
      <c r="BV589" s="100" t="str">
        <f>IF($BJ$5=TRUE,IF(BA589="","",SUM($BA$8:BA589)),"")</f>
        <v/>
      </c>
      <c r="BW589" s="100" t="str">
        <f>IF($BK$5=TRUE,IF(BB589="","",SUM($BB$8:BB589)),"")</f>
        <v/>
      </c>
      <c r="BX589" s="100" t="str">
        <f>IF($BL$5=TRUE,IF(BC589="","",SUM($BC$8:BC589)),"")</f>
        <v/>
      </c>
      <c r="BY589" s="100" t="str">
        <f>IF($BM$5=TRUE,IF(BD589="","",SUM($BD$8:BD589)),"")</f>
        <v/>
      </c>
      <c r="BZ589" s="100" t="str">
        <f>IF($BN$5=TRUE,IF(BE589="","",SUM($BE$8:BE589)),"")</f>
        <v/>
      </c>
    </row>
    <row r="590" spans="46:78" x14ac:dyDescent="0.25">
      <c r="AT590" s="74"/>
      <c r="AW590" s="74"/>
      <c r="BR590" s="133" t="str">
        <f t="shared" si="35"/>
        <v/>
      </c>
      <c r="BS590" s="100" t="str">
        <f>IF($BG$5=TRUE,IF(AX590="","",SUM($AX$8:AX590)),"")</f>
        <v/>
      </c>
      <c r="BT590" s="100" t="str">
        <f>IF($BH$5=TRUE,IF(AY590="","",SUM($AY$8:AY590)),"")</f>
        <v/>
      </c>
      <c r="BU590" s="100" t="str">
        <f>IF($BI$5=TRUE,IF(AZ590="","",SUM($AZ$8:AZ590)),"")</f>
        <v/>
      </c>
      <c r="BV590" s="100" t="str">
        <f>IF($BJ$5=TRUE,IF(BA590="","",SUM($BA$8:BA590)),"")</f>
        <v/>
      </c>
      <c r="BW590" s="100" t="str">
        <f>IF($BK$5=TRUE,IF(BB590="","",SUM($BB$8:BB590)),"")</f>
        <v/>
      </c>
      <c r="BX590" s="100" t="str">
        <f>IF($BL$5=TRUE,IF(BC590="","",SUM($BC$8:BC590)),"")</f>
        <v/>
      </c>
      <c r="BY590" s="100" t="str">
        <f>IF($BM$5=TRUE,IF(BD590="","",SUM($BD$8:BD590)),"")</f>
        <v/>
      </c>
      <c r="BZ590" s="100" t="str">
        <f>IF($BN$5=TRUE,IF(BE590="","",SUM($BE$8:BE590)),"")</f>
        <v/>
      </c>
    </row>
    <row r="591" spans="46:78" x14ac:dyDescent="0.25">
      <c r="AT591" s="74"/>
      <c r="AW591" s="74"/>
      <c r="BR591" s="133" t="str">
        <f t="shared" si="35"/>
        <v/>
      </c>
      <c r="BS591" s="100" t="str">
        <f>IF($BG$5=TRUE,IF(AX591="","",SUM($AX$8:AX591)),"")</f>
        <v/>
      </c>
      <c r="BT591" s="100" t="str">
        <f>IF($BH$5=TRUE,IF(AY591="","",SUM($AY$8:AY591)),"")</f>
        <v/>
      </c>
      <c r="BU591" s="100" t="str">
        <f>IF($BI$5=TRUE,IF(AZ591="","",SUM($AZ$8:AZ591)),"")</f>
        <v/>
      </c>
      <c r="BV591" s="100" t="str">
        <f>IF($BJ$5=TRUE,IF(BA591="","",SUM($BA$8:BA591)),"")</f>
        <v/>
      </c>
      <c r="BW591" s="100" t="str">
        <f>IF($BK$5=TRUE,IF(BB591="","",SUM($BB$8:BB591)),"")</f>
        <v/>
      </c>
      <c r="BX591" s="100" t="str">
        <f>IF($BL$5=TRUE,IF(BC591="","",SUM($BC$8:BC591)),"")</f>
        <v/>
      </c>
      <c r="BY591" s="100" t="str">
        <f>IF($BM$5=TRUE,IF(BD591="","",SUM($BD$8:BD591)),"")</f>
        <v/>
      </c>
      <c r="BZ591" s="100" t="str">
        <f>IF($BN$5=TRUE,IF(BE591="","",SUM($BE$8:BE591)),"")</f>
        <v/>
      </c>
    </row>
    <row r="592" spans="46:78" x14ac:dyDescent="0.25">
      <c r="AT592" s="74"/>
      <c r="AW592" s="74"/>
      <c r="BR592" s="133" t="str">
        <f t="shared" si="35"/>
        <v/>
      </c>
      <c r="BS592" s="100" t="str">
        <f>IF($BG$5=TRUE,IF(AX592="","",SUM($AX$8:AX592)),"")</f>
        <v/>
      </c>
      <c r="BT592" s="100" t="str">
        <f>IF($BH$5=TRUE,IF(AY592="","",SUM($AY$8:AY592)),"")</f>
        <v/>
      </c>
      <c r="BU592" s="100" t="str">
        <f>IF($BI$5=TRUE,IF(AZ592="","",SUM($AZ$8:AZ592)),"")</f>
        <v/>
      </c>
      <c r="BV592" s="100" t="str">
        <f>IF($BJ$5=TRUE,IF(BA592="","",SUM($BA$8:BA592)),"")</f>
        <v/>
      </c>
      <c r="BW592" s="100" t="str">
        <f>IF($BK$5=TRUE,IF(BB592="","",SUM($BB$8:BB592)),"")</f>
        <v/>
      </c>
      <c r="BX592" s="100" t="str">
        <f>IF($BL$5=TRUE,IF(BC592="","",SUM($BC$8:BC592)),"")</f>
        <v/>
      </c>
      <c r="BY592" s="100" t="str">
        <f>IF($BM$5=TRUE,IF(BD592="","",SUM($BD$8:BD592)),"")</f>
        <v/>
      </c>
      <c r="BZ592" s="100" t="str">
        <f>IF($BN$5=TRUE,IF(BE592="","",SUM($BE$8:BE592)),"")</f>
        <v/>
      </c>
    </row>
    <row r="593" spans="46:78" x14ac:dyDescent="0.25">
      <c r="AT593" s="74"/>
      <c r="AW593" s="74"/>
      <c r="BR593" s="133" t="str">
        <f t="shared" si="35"/>
        <v/>
      </c>
      <c r="BS593" s="100" t="str">
        <f>IF($BG$5=TRUE,IF(AX593="","",SUM($AX$8:AX593)),"")</f>
        <v/>
      </c>
      <c r="BT593" s="100" t="str">
        <f>IF($BH$5=TRUE,IF(AY593="","",SUM($AY$8:AY593)),"")</f>
        <v/>
      </c>
      <c r="BU593" s="100" t="str">
        <f>IF($BI$5=TRUE,IF(AZ593="","",SUM($AZ$8:AZ593)),"")</f>
        <v/>
      </c>
      <c r="BV593" s="100" t="str">
        <f>IF($BJ$5=TRUE,IF(BA593="","",SUM($BA$8:BA593)),"")</f>
        <v/>
      </c>
      <c r="BW593" s="100" t="str">
        <f>IF($BK$5=TRUE,IF(BB593="","",SUM($BB$8:BB593)),"")</f>
        <v/>
      </c>
      <c r="BX593" s="100" t="str">
        <f>IF($BL$5=TRUE,IF(BC593="","",SUM($BC$8:BC593)),"")</f>
        <v/>
      </c>
      <c r="BY593" s="100" t="str">
        <f>IF($BM$5=TRUE,IF(BD593="","",SUM($BD$8:BD593)),"")</f>
        <v/>
      </c>
      <c r="BZ593" s="100" t="str">
        <f>IF($BN$5=TRUE,IF(BE593="","",SUM($BE$8:BE593)),"")</f>
        <v/>
      </c>
    </row>
    <row r="594" spans="46:78" x14ac:dyDescent="0.25">
      <c r="AT594" s="74"/>
      <c r="AW594" s="74"/>
      <c r="BR594" s="133" t="str">
        <f t="shared" si="35"/>
        <v/>
      </c>
      <c r="BS594" s="100" t="str">
        <f>IF($BG$5=TRUE,IF(AX594="","",SUM($AX$8:AX594)),"")</f>
        <v/>
      </c>
      <c r="BT594" s="100" t="str">
        <f>IF($BH$5=TRUE,IF(AY594="","",SUM($AY$8:AY594)),"")</f>
        <v/>
      </c>
      <c r="BU594" s="100" t="str">
        <f>IF($BI$5=TRUE,IF(AZ594="","",SUM($AZ$8:AZ594)),"")</f>
        <v/>
      </c>
      <c r="BV594" s="100" t="str">
        <f>IF($BJ$5=TRUE,IF(BA594="","",SUM($BA$8:BA594)),"")</f>
        <v/>
      </c>
      <c r="BW594" s="100" t="str">
        <f>IF($BK$5=TRUE,IF(BB594="","",SUM($BB$8:BB594)),"")</f>
        <v/>
      </c>
      <c r="BX594" s="100" t="str">
        <f>IF($BL$5=TRUE,IF(BC594="","",SUM($BC$8:BC594)),"")</f>
        <v/>
      </c>
      <c r="BY594" s="100" t="str">
        <f>IF($BM$5=TRUE,IF(BD594="","",SUM($BD$8:BD594)),"")</f>
        <v/>
      </c>
      <c r="BZ594" s="100" t="str">
        <f>IF($BN$5=TRUE,IF(BE594="","",SUM($BE$8:BE594)),"")</f>
        <v/>
      </c>
    </row>
    <row r="595" spans="46:78" x14ac:dyDescent="0.25">
      <c r="AT595" s="74"/>
      <c r="AW595" s="74"/>
      <c r="BR595" s="133" t="str">
        <f t="shared" si="35"/>
        <v/>
      </c>
      <c r="BS595" s="100" t="str">
        <f>IF($BG$5=TRUE,IF(AX595="","",SUM($AX$8:AX595)),"")</f>
        <v/>
      </c>
      <c r="BT595" s="100" t="str">
        <f>IF($BH$5=TRUE,IF(AY595="","",SUM($AY$8:AY595)),"")</f>
        <v/>
      </c>
      <c r="BU595" s="100" t="str">
        <f>IF($BI$5=TRUE,IF(AZ595="","",SUM($AZ$8:AZ595)),"")</f>
        <v/>
      </c>
      <c r="BV595" s="100" t="str">
        <f>IF($BJ$5=TRUE,IF(BA595="","",SUM($BA$8:BA595)),"")</f>
        <v/>
      </c>
      <c r="BW595" s="100" t="str">
        <f>IF($BK$5=TRUE,IF(BB595="","",SUM($BB$8:BB595)),"")</f>
        <v/>
      </c>
      <c r="BX595" s="100" t="str">
        <f>IF($BL$5=TRUE,IF(BC595="","",SUM($BC$8:BC595)),"")</f>
        <v/>
      </c>
      <c r="BY595" s="100" t="str">
        <f>IF($BM$5=TRUE,IF(BD595="","",SUM($BD$8:BD595)),"")</f>
        <v/>
      </c>
      <c r="BZ595" s="100" t="str">
        <f>IF($BN$5=TRUE,IF(BE595="","",SUM($BE$8:BE595)),"")</f>
        <v/>
      </c>
    </row>
    <row r="596" spans="46:78" x14ac:dyDescent="0.25">
      <c r="AT596" s="74"/>
      <c r="AW596" s="74"/>
      <c r="BR596" s="133" t="str">
        <f t="shared" si="35"/>
        <v/>
      </c>
      <c r="BS596" s="100" t="str">
        <f>IF($BG$5=TRUE,IF(AX596="","",SUM($AX$8:AX596)),"")</f>
        <v/>
      </c>
      <c r="BT596" s="100" t="str">
        <f>IF($BH$5=TRUE,IF(AY596="","",SUM($AY$8:AY596)),"")</f>
        <v/>
      </c>
      <c r="BU596" s="100" t="str">
        <f>IF($BI$5=TRUE,IF(AZ596="","",SUM($AZ$8:AZ596)),"")</f>
        <v/>
      </c>
      <c r="BV596" s="100" t="str">
        <f>IF($BJ$5=TRUE,IF(BA596="","",SUM($BA$8:BA596)),"")</f>
        <v/>
      </c>
      <c r="BW596" s="100" t="str">
        <f>IF($BK$5=TRUE,IF(BB596="","",SUM($BB$8:BB596)),"")</f>
        <v/>
      </c>
      <c r="BX596" s="100" t="str">
        <f>IF($BL$5=TRUE,IF(BC596="","",SUM($BC$8:BC596)),"")</f>
        <v/>
      </c>
      <c r="BY596" s="100" t="str">
        <f>IF($BM$5=TRUE,IF(BD596="","",SUM($BD$8:BD596)),"")</f>
        <v/>
      </c>
      <c r="BZ596" s="100" t="str">
        <f>IF($BN$5=TRUE,IF(BE596="","",SUM($BE$8:BE596)),"")</f>
        <v/>
      </c>
    </row>
    <row r="597" spans="46:78" x14ac:dyDescent="0.25">
      <c r="AT597" s="74"/>
      <c r="AW597" s="74"/>
      <c r="BR597" s="133" t="str">
        <f t="shared" si="35"/>
        <v/>
      </c>
      <c r="BS597" s="100" t="str">
        <f>IF($BG$5=TRUE,IF(AX597="","",SUM($AX$8:AX597)),"")</f>
        <v/>
      </c>
      <c r="BT597" s="100" t="str">
        <f>IF($BH$5=TRUE,IF(AY597="","",SUM($AY$8:AY597)),"")</f>
        <v/>
      </c>
      <c r="BU597" s="100" t="str">
        <f>IF($BI$5=TRUE,IF(AZ597="","",SUM($AZ$8:AZ597)),"")</f>
        <v/>
      </c>
      <c r="BV597" s="100" t="str">
        <f>IF($BJ$5=TRUE,IF(BA597="","",SUM($BA$8:BA597)),"")</f>
        <v/>
      </c>
      <c r="BW597" s="100" t="str">
        <f>IF($BK$5=TRUE,IF(BB597="","",SUM($BB$8:BB597)),"")</f>
        <v/>
      </c>
      <c r="BX597" s="100" t="str">
        <f>IF($BL$5=TRUE,IF(BC597="","",SUM($BC$8:BC597)),"")</f>
        <v/>
      </c>
      <c r="BY597" s="100" t="str">
        <f>IF($BM$5=TRUE,IF(BD597="","",SUM($BD$8:BD597)),"")</f>
        <v/>
      </c>
      <c r="BZ597" s="100" t="str">
        <f>IF($BN$5=TRUE,IF(BE597="","",SUM($BE$8:BE597)),"")</f>
        <v/>
      </c>
    </row>
    <row r="598" spans="46:78" x14ac:dyDescent="0.25">
      <c r="AT598" s="74"/>
      <c r="AW598" s="74"/>
      <c r="BR598" s="133" t="str">
        <f t="shared" si="35"/>
        <v/>
      </c>
      <c r="BS598" s="100" t="str">
        <f>IF($BG$5=TRUE,IF(AX598="","",SUM($AX$8:AX598)),"")</f>
        <v/>
      </c>
      <c r="BT598" s="100" t="str">
        <f>IF($BH$5=TRUE,IF(AY598="","",SUM($AY$8:AY598)),"")</f>
        <v/>
      </c>
      <c r="BU598" s="100" t="str">
        <f>IF($BI$5=TRUE,IF(AZ598="","",SUM($AZ$8:AZ598)),"")</f>
        <v/>
      </c>
      <c r="BV598" s="100" t="str">
        <f>IF($BJ$5=TRUE,IF(BA598="","",SUM($BA$8:BA598)),"")</f>
        <v/>
      </c>
      <c r="BW598" s="100" t="str">
        <f>IF($BK$5=TRUE,IF(BB598="","",SUM($BB$8:BB598)),"")</f>
        <v/>
      </c>
      <c r="BX598" s="100" t="str">
        <f>IF($BL$5=TRUE,IF(BC598="","",SUM($BC$8:BC598)),"")</f>
        <v/>
      </c>
      <c r="BY598" s="100" t="str">
        <f>IF($BM$5=TRUE,IF(BD598="","",SUM($BD$8:BD598)),"")</f>
        <v/>
      </c>
      <c r="BZ598" s="100" t="str">
        <f>IF($BN$5=TRUE,IF(BE598="","",SUM($BE$8:BE598)),"")</f>
        <v/>
      </c>
    </row>
    <row r="599" spans="46:78" x14ac:dyDescent="0.25">
      <c r="AT599" s="74"/>
      <c r="AW599" s="74"/>
      <c r="BR599" s="133" t="str">
        <f t="shared" si="35"/>
        <v/>
      </c>
      <c r="BS599" s="100" t="str">
        <f>IF($BG$5=TRUE,IF(AX599="","",SUM($AX$8:AX599)),"")</f>
        <v/>
      </c>
      <c r="BT599" s="100" t="str">
        <f>IF($BH$5=TRUE,IF(AY599="","",SUM($AY$8:AY599)),"")</f>
        <v/>
      </c>
      <c r="BU599" s="100" t="str">
        <f>IF($BI$5=TRUE,IF(AZ599="","",SUM($AZ$8:AZ599)),"")</f>
        <v/>
      </c>
      <c r="BV599" s="100" t="str">
        <f>IF($BJ$5=TRUE,IF(BA599="","",SUM($BA$8:BA599)),"")</f>
        <v/>
      </c>
      <c r="BW599" s="100" t="str">
        <f>IF($BK$5=TRUE,IF(BB599="","",SUM($BB$8:BB599)),"")</f>
        <v/>
      </c>
      <c r="BX599" s="100" t="str">
        <f>IF($BL$5=TRUE,IF(BC599="","",SUM($BC$8:BC599)),"")</f>
        <v/>
      </c>
      <c r="BY599" s="100" t="str">
        <f>IF($BM$5=TRUE,IF(BD599="","",SUM($BD$8:BD599)),"")</f>
        <v/>
      </c>
      <c r="BZ599" s="100" t="str">
        <f>IF($BN$5=TRUE,IF(BE599="","",SUM($BE$8:BE599)),"")</f>
        <v/>
      </c>
    </row>
    <row r="600" spans="46:78" x14ac:dyDescent="0.25">
      <c r="AT600" s="74"/>
      <c r="AW600" s="74"/>
      <c r="BR600" s="133" t="str">
        <f t="shared" si="35"/>
        <v/>
      </c>
      <c r="BS600" s="100" t="str">
        <f>IF($BG$5=TRUE,IF(AX600="","",SUM($AX$8:AX600)),"")</f>
        <v/>
      </c>
      <c r="BT600" s="100" t="str">
        <f>IF($BH$5=TRUE,IF(AY600="","",SUM($AY$8:AY600)),"")</f>
        <v/>
      </c>
      <c r="BU600" s="100" t="str">
        <f>IF($BI$5=TRUE,IF(AZ600="","",SUM($AZ$8:AZ600)),"")</f>
        <v/>
      </c>
      <c r="BV600" s="100" t="str">
        <f>IF($BJ$5=TRUE,IF(BA600="","",SUM($BA$8:BA600)),"")</f>
        <v/>
      </c>
      <c r="BW600" s="100" t="str">
        <f>IF($BK$5=TRUE,IF(BB600="","",SUM($BB$8:BB600)),"")</f>
        <v/>
      </c>
      <c r="BX600" s="100" t="str">
        <f>IF($BL$5=TRUE,IF(BC600="","",SUM($BC$8:BC600)),"")</f>
        <v/>
      </c>
      <c r="BY600" s="100" t="str">
        <f>IF($BM$5=TRUE,IF(BD600="","",SUM($BD$8:BD600)),"")</f>
        <v/>
      </c>
      <c r="BZ600" s="100" t="str">
        <f>IF($BN$5=TRUE,IF(BE600="","",SUM($BE$8:BE600)),"")</f>
        <v/>
      </c>
    </row>
    <row r="601" spans="46:78" x14ac:dyDescent="0.25">
      <c r="AT601" s="74"/>
      <c r="AW601" s="74"/>
      <c r="BR601" s="133" t="str">
        <f t="shared" si="35"/>
        <v/>
      </c>
      <c r="BS601" s="100" t="str">
        <f>IF($BG$5=TRUE,IF(AX601="","",SUM($AX$8:AX601)),"")</f>
        <v/>
      </c>
      <c r="BT601" s="100" t="str">
        <f>IF($BH$5=TRUE,IF(AY601="","",SUM($AY$8:AY601)),"")</f>
        <v/>
      </c>
      <c r="BU601" s="100" t="str">
        <f>IF($BI$5=TRUE,IF(AZ601="","",SUM($AZ$8:AZ601)),"")</f>
        <v/>
      </c>
      <c r="BV601" s="100" t="str">
        <f>IF($BJ$5=TRUE,IF(BA601="","",SUM($BA$8:BA601)),"")</f>
        <v/>
      </c>
      <c r="BW601" s="100" t="str">
        <f>IF($BK$5=TRUE,IF(BB601="","",SUM($BB$8:BB601)),"")</f>
        <v/>
      </c>
      <c r="BX601" s="100" t="str">
        <f>IF($BL$5=TRUE,IF(BC601="","",SUM($BC$8:BC601)),"")</f>
        <v/>
      </c>
      <c r="BY601" s="100" t="str">
        <f>IF($BM$5=TRUE,IF(BD601="","",SUM($BD$8:BD601)),"")</f>
        <v/>
      </c>
      <c r="BZ601" s="100" t="str">
        <f>IF($BN$5=TRUE,IF(BE601="","",SUM($BE$8:BE601)),"")</f>
        <v/>
      </c>
    </row>
    <row r="602" spans="46:78" x14ac:dyDescent="0.25">
      <c r="AT602" s="74"/>
      <c r="AW602" s="74"/>
      <c r="BR602" s="133" t="str">
        <f t="shared" si="35"/>
        <v/>
      </c>
      <c r="BS602" s="100" t="str">
        <f>IF($BG$5=TRUE,IF(AX602="","",SUM($AX$8:AX602)),"")</f>
        <v/>
      </c>
      <c r="BT602" s="100" t="str">
        <f>IF($BH$5=TRUE,IF(AY602="","",SUM($AY$8:AY602)),"")</f>
        <v/>
      </c>
      <c r="BU602" s="100" t="str">
        <f>IF($BI$5=TRUE,IF(AZ602="","",SUM($AZ$8:AZ602)),"")</f>
        <v/>
      </c>
      <c r="BV602" s="100" t="str">
        <f>IF($BJ$5=TRUE,IF(BA602="","",SUM($BA$8:BA602)),"")</f>
        <v/>
      </c>
      <c r="BW602" s="100" t="str">
        <f>IF($BK$5=TRUE,IF(BB602="","",SUM($BB$8:BB602)),"")</f>
        <v/>
      </c>
      <c r="BX602" s="100" t="str">
        <f>IF($BL$5=TRUE,IF(BC602="","",SUM($BC$8:BC602)),"")</f>
        <v/>
      </c>
      <c r="BY602" s="100" t="str">
        <f>IF($BM$5=TRUE,IF(BD602="","",SUM($BD$8:BD602)),"")</f>
        <v/>
      </c>
      <c r="BZ602" s="100" t="str">
        <f>IF($BN$5=TRUE,IF(BE602="","",SUM($BE$8:BE602)),"")</f>
        <v/>
      </c>
    </row>
    <row r="603" spans="46:78" x14ac:dyDescent="0.25">
      <c r="AT603" s="74"/>
      <c r="AW603" s="74"/>
      <c r="BR603" s="133" t="str">
        <f t="shared" si="35"/>
        <v/>
      </c>
      <c r="BS603" s="100" t="str">
        <f>IF($BG$5=TRUE,IF(AX603="","",SUM($AX$8:AX603)),"")</f>
        <v/>
      </c>
      <c r="BT603" s="100" t="str">
        <f>IF($BH$5=TRUE,IF(AY603="","",SUM($AY$8:AY603)),"")</f>
        <v/>
      </c>
      <c r="BU603" s="100" t="str">
        <f>IF($BI$5=TRUE,IF(AZ603="","",SUM($AZ$8:AZ603)),"")</f>
        <v/>
      </c>
      <c r="BV603" s="100" t="str">
        <f>IF($BJ$5=TRUE,IF(BA603="","",SUM($BA$8:BA603)),"")</f>
        <v/>
      </c>
      <c r="BW603" s="100" t="str">
        <f>IF($BK$5=TRUE,IF(BB603="","",SUM($BB$8:BB603)),"")</f>
        <v/>
      </c>
      <c r="BX603" s="100" t="str">
        <f>IF($BL$5=TRUE,IF(BC603="","",SUM($BC$8:BC603)),"")</f>
        <v/>
      </c>
      <c r="BY603" s="100" t="str">
        <f>IF($BM$5=TRUE,IF(BD603="","",SUM($BD$8:BD603)),"")</f>
        <v/>
      </c>
      <c r="BZ603" s="100" t="str">
        <f>IF($BN$5=TRUE,IF(BE603="","",SUM($BE$8:BE603)),"")</f>
        <v/>
      </c>
    </row>
    <row r="604" spans="46:78" x14ac:dyDescent="0.25">
      <c r="AT604" s="74"/>
      <c r="AW604" s="74"/>
      <c r="BR604" s="133" t="str">
        <f t="shared" si="35"/>
        <v/>
      </c>
      <c r="BS604" s="100" t="str">
        <f>IF($BG$5=TRUE,IF(AX604="","",SUM($AX$8:AX604)),"")</f>
        <v/>
      </c>
      <c r="BT604" s="100" t="str">
        <f>IF($BH$5=TRUE,IF(AY604="","",SUM($AY$8:AY604)),"")</f>
        <v/>
      </c>
      <c r="BU604" s="100" t="str">
        <f>IF($BI$5=TRUE,IF(AZ604="","",SUM($AZ$8:AZ604)),"")</f>
        <v/>
      </c>
      <c r="BV604" s="100" t="str">
        <f>IF($BJ$5=TRUE,IF(BA604="","",SUM($BA$8:BA604)),"")</f>
        <v/>
      </c>
      <c r="BW604" s="100" t="str">
        <f>IF($BK$5=TRUE,IF(BB604="","",SUM($BB$8:BB604)),"")</f>
        <v/>
      </c>
      <c r="BX604" s="100" t="str">
        <f>IF($BL$5=TRUE,IF(BC604="","",SUM($BC$8:BC604)),"")</f>
        <v/>
      </c>
      <c r="BY604" s="100" t="str">
        <f>IF($BM$5=TRUE,IF(BD604="","",SUM($BD$8:BD604)),"")</f>
        <v/>
      </c>
      <c r="BZ604" s="100" t="str">
        <f>IF($BN$5=TRUE,IF(BE604="","",SUM($BE$8:BE604)),"")</f>
        <v/>
      </c>
    </row>
    <row r="605" spans="46:78" x14ac:dyDescent="0.25">
      <c r="AT605" s="74"/>
      <c r="AW605" s="74"/>
      <c r="BR605" s="133" t="str">
        <f t="shared" si="35"/>
        <v/>
      </c>
      <c r="BS605" s="100" t="str">
        <f>IF($BG$5=TRUE,IF(AX605="","",SUM($AX$8:AX605)),"")</f>
        <v/>
      </c>
      <c r="BT605" s="100" t="str">
        <f>IF($BH$5=TRUE,IF(AY605="","",SUM($AY$8:AY605)),"")</f>
        <v/>
      </c>
      <c r="BU605" s="100" t="str">
        <f>IF($BI$5=TRUE,IF(AZ605="","",SUM($AZ$8:AZ605)),"")</f>
        <v/>
      </c>
      <c r="BV605" s="100" t="str">
        <f>IF($BJ$5=TRUE,IF(BA605="","",SUM($BA$8:BA605)),"")</f>
        <v/>
      </c>
      <c r="BW605" s="100" t="str">
        <f>IF($BK$5=TRUE,IF(BB605="","",SUM($BB$8:BB605)),"")</f>
        <v/>
      </c>
      <c r="BX605" s="100" t="str">
        <f>IF($BL$5=TRUE,IF(BC605="","",SUM($BC$8:BC605)),"")</f>
        <v/>
      </c>
      <c r="BY605" s="100" t="str">
        <f>IF($BM$5=TRUE,IF(BD605="","",SUM($BD$8:BD605)),"")</f>
        <v/>
      </c>
      <c r="BZ605" s="100" t="str">
        <f>IF($BN$5=TRUE,IF(BE605="","",SUM($BE$8:BE605)),"")</f>
        <v/>
      </c>
    </row>
    <row r="606" spans="46:78" x14ac:dyDescent="0.25">
      <c r="AT606" s="74"/>
      <c r="AW606" s="74"/>
      <c r="BR606" s="133" t="str">
        <f t="shared" si="35"/>
        <v/>
      </c>
      <c r="BS606" s="100" t="str">
        <f>IF($BG$5=TRUE,IF(AX606="","",SUM($AX$8:AX606)),"")</f>
        <v/>
      </c>
      <c r="BT606" s="100" t="str">
        <f>IF($BH$5=TRUE,IF(AY606="","",SUM($AY$8:AY606)),"")</f>
        <v/>
      </c>
      <c r="BU606" s="100" t="str">
        <f>IF($BI$5=TRUE,IF(AZ606="","",SUM($AZ$8:AZ606)),"")</f>
        <v/>
      </c>
      <c r="BV606" s="100" t="str">
        <f>IF($BJ$5=TRUE,IF(BA606="","",SUM($BA$8:BA606)),"")</f>
        <v/>
      </c>
      <c r="BW606" s="100" t="str">
        <f>IF($BK$5=TRUE,IF(BB606="","",SUM($BB$8:BB606)),"")</f>
        <v/>
      </c>
      <c r="BX606" s="100" t="str">
        <f>IF($BL$5=TRUE,IF(BC606="","",SUM($BC$8:BC606)),"")</f>
        <v/>
      </c>
      <c r="BY606" s="100" t="str">
        <f>IF($BM$5=TRUE,IF(BD606="","",SUM($BD$8:BD606)),"")</f>
        <v/>
      </c>
      <c r="BZ606" s="100" t="str">
        <f>IF($BN$5=TRUE,IF(BE606="","",SUM($BE$8:BE606)),"")</f>
        <v/>
      </c>
    </row>
    <row r="607" spans="46:78" x14ac:dyDescent="0.25">
      <c r="AT607" s="74"/>
      <c r="AW607" s="74"/>
      <c r="BR607" s="133" t="str">
        <f t="shared" si="35"/>
        <v/>
      </c>
      <c r="BS607" s="100" t="str">
        <f>IF($BG$5=TRUE,IF(AX607="","",SUM($AX$8:AX607)),"")</f>
        <v/>
      </c>
      <c r="BT607" s="100" t="str">
        <f>IF($BH$5=TRUE,IF(AY607="","",SUM($AY$8:AY607)),"")</f>
        <v/>
      </c>
      <c r="BU607" s="100" t="str">
        <f>IF($BI$5=TRUE,IF(AZ607="","",SUM($AZ$8:AZ607)),"")</f>
        <v/>
      </c>
      <c r="BV607" s="100" t="str">
        <f>IF($BJ$5=TRUE,IF(BA607="","",SUM($BA$8:BA607)),"")</f>
        <v/>
      </c>
      <c r="BW607" s="100" t="str">
        <f>IF($BK$5=TRUE,IF(BB607="","",SUM($BB$8:BB607)),"")</f>
        <v/>
      </c>
      <c r="BX607" s="100" t="str">
        <f>IF($BL$5=TRUE,IF(BC607="","",SUM($BC$8:BC607)),"")</f>
        <v/>
      </c>
      <c r="BY607" s="100" t="str">
        <f>IF($BM$5=TRUE,IF(BD607="","",SUM($BD$8:BD607)),"")</f>
        <v/>
      </c>
      <c r="BZ607" s="100" t="str">
        <f>IF($BN$5=TRUE,IF(BE607="","",SUM($BE$8:BE607)),"")</f>
        <v/>
      </c>
    </row>
    <row r="608" spans="46:78" x14ac:dyDescent="0.25">
      <c r="AT608" s="74"/>
      <c r="AW608" s="74"/>
      <c r="BR608" s="133" t="str">
        <f t="shared" si="35"/>
        <v/>
      </c>
      <c r="BS608" s="100" t="str">
        <f>IF($BG$5=TRUE,IF(AX608="","",SUM($AX$8:AX608)),"")</f>
        <v/>
      </c>
      <c r="BT608" s="100" t="str">
        <f>IF($BH$5=TRUE,IF(AY608="","",SUM($AY$8:AY608)),"")</f>
        <v/>
      </c>
      <c r="BU608" s="100" t="str">
        <f>IF($BI$5=TRUE,IF(AZ608="","",SUM($AZ$8:AZ608)),"")</f>
        <v/>
      </c>
      <c r="BV608" s="100" t="str">
        <f>IF($BJ$5=TRUE,IF(BA608="","",SUM($BA$8:BA608)),"")</f>
        <v/>
      </c>
      <c r="BW608" s="100" t="str">
        <f>IF($BK$5=TRUE,IF(BB608="","",SUM($BB$8:BB608)),"")</f>
        <v/>
      </c>
      <c r="BX608" s="100" t="str">
        <f>IF($BL$5=TRUE,IF(BC608="","",SUM($BC$8:BC608)),"")</f>
        <v/>
      </c>
      <c r="BY608" s="100" t="str">
        <f>IF($BM$5=TRUE,IF(BD608="","",SUM($BD$8:BD608)),"")</f>
        <v/>
      </c>
      <c r="BZ608" s="100" t="str">
        <f>IF($BN$5=TRUE,IF(BE608="","",SUM($BE$8:BE608)),"")</f>
        <v/>
      </c>
    </row>
    <row r="609" spans="46:78" x14ac:dyDescent="0.25">
      <c r="AT609" s="74"/>
      <c r="AW609" s="74"/>
      <c r="BR609" s="133" t="str">
        <f t="shared" si="35"/>
        <v/>
      </c>
      <c r="BS609" s="100" t="str">
        <f>IF($BG$5=TRUE,IF(AX609="","",SUM($AX$8:AX609)),"")</f>
        <v/>
      </c>
      <c r="BT609" s="100" t="str">
        <f>IF($BH$5=TRUE,IF(AY609="","",SUM($AY$8:AY609)),"")</f>
        <v/>
      </c>
      <c r="BU609" s="100" t="str">
        <f>IF($BI$5=TRUE,IF(AZ609="","",SUM($AZ$8:AZ609)),"")</f>
        <v/>
      </c>
      <c r="BV609" s="100" t="str">
        <f>IF($BJ$5=TRUE,IF(BA609="","",SUM($BA$8:BA609)),"")</f>
        <v/>
      </c>
      <c r="BW609" s="100" t="str">
        <f>IF($BK$5=TRUE,IF(BB609="","",SUM($BB$8:BB609)),"")</f>
        <v/>
      </c>
      <c r="BX609" s="100" t="str">
        <f>IF($BL$5=TRUE,IF(BC609="","",SUM($BC$8:BC609)),"")</f>
        <v/>
      </c>
      <c r="BY609" s="100" t="str">
        <f>IF($BM$5=TRUE,IF(BD609="","",SUM($BD$8:BD609)),"")</f>
        <v/>
      </c>
      <c r="BZ609" s="100" t="str">
        <f>IF($BN$5=TRUE,IF(BE609="","",SUM($BE$8:BE609)),"")</f>
        <v/>
      </c>
    </row>
    <row r="610" spans="46:78" x14ac:dyDescent="0.25">
      <c r="AT610" s="74"/>
      <c r="AW610" s="74"/>
      <c r="BR610" s="133" t="str">
        <f t="shared" si="35"/>
        <v/>
      </c>
      <c r="BS610" s="100" t="str">
        <f>IF($BG$5=TRUE,IF(AX610="","",SUM($AX$8:AX610)),"")</f>
        <v/>
      </c>
      <c r="BT610" s="100" t="str">
        <f>IF($BH$5=TRUE,IF(AY610="","",SUM($AY$8:AY610)),"")</f>
        <v/>
      </c>
      <c r="BU610" s="100" t="str">
        <f>IF($BI$5=TRUE,IF(AZ610="","",SUM($AZ$8:AZ610)),"")</f>
        <v/>
      </c>
      <c r="BV610" s="100" t="str">
        <f>IF($BJ$5=TRUE,IF(BA610="","",SUM($BA$8:BA610)),"")</f>
        <v/>
      </c>
      <c r="BW610" s="100" t="str">
        <f>IF($BK$5=TRUE,IF(BB610="","",SUM($BB$8:BB610)),"")</f>
        <v/>
      </c>
      <c r="BX610" s="100" t="str">
        <f>IF($BL$5=TRUE,IF(BC610="","",SUM($BC$8:BC610)),"")</f>
        <v/>
      </c>
      <c r="BY610" s="100" t="str">
        <f>IF($BM$5=TRUE,IF(BD610="","",SUM($BD$8:BD610)),"")</f>
        <v/>
      </c>
      <c r="BZ610" s="100" t="str">
        <f>IF($BN$5=TRUE,IF(BE610="","",SUM($BE$8:BE610)),"")</f>
        <v/>
      </c>
    </row>
    <row r="611" spans="46:78" x14ac:dyDescent="0.25">
      <c r="AT611" s="74"/>
      <c r="AW611" s="74"/>
      <c r="BR611" s="133" t="str">
        <f t="shared" si="35"/>
        <v/>
      </c>
      <c r="BS611" s="100" t="str">
        <f>IF($BG$5=TRUE,IF(AX611="","",SUM($AX$8:AX611)),"")</f>
        <v/>
      </c>
      <c r="BT611" s="100" t="str">
        <f>IF($BH$5=TRUE,IF(AY611="","",SUM($AY$8:AY611)),"")</f>
        <v/>
      </c>
      <c r="BU611" s="100" t="str">
        <f>IF($BI$5=TRUE,IF(AZ611="","",SUM($AZ$8:AZ611)),"")</f>
        <v/>
      </c>
      <c r="BV611" s="100" t="str">
        <f>IF($BJ$5=TRUE,IF(BA611="","",SUM($BA$8:BA611)),"")</f>
        <v/>
      </c>
      <c r="BW611" s="100" t="str">
        <f>IF($BK$5=TRUE,IF(BB611="","",SUM($BB$8:BB611)),"")</f>
        <v/>
      </c>
      <c r="BX611" s="100" t="str">
        <f>IF($BL$5=TRUE,IF(BC611="","",SUM($BC$8:BC611)),"")</f>
        <v/>
      </c>
      <c r="BY611" s="100" t="str">
        <f>IF($BM$5=TRUE,IF(BD611="","",SUM($BD$8:BD611)),"")</f>
        <v/>
      </c>
      <c r="BZ611" s="100" t="str">
        <f>IF($BN$5=TRUE,IF(BE611="","",SUM($BE$8:BE611)),"")</f>
        <v/>
      </c>
    </row>
    <row r="612" spans="46:78" x14ac:dyDescent="0.25">
      <c r="AT612" s="74"/>
      <c r="AW612" s="74"/>
      <c r="BR612" s="133" t="str">
        <f t="shared" si="35"/>
        <v/>
      </c>
      <c r="BS612" s="100" t="str">
        <f>IF($BG$5=TRUE,IF(AX612="","",SUM($AX$8:AX612)),"")</f>
        <v/>
      </c>
      <c r="BT612" s="100" t="str">
        <f>IF($BH$5=TRUE,IF(AY612="","",SUM($AY$8:AY612)),"")</f>
        <v/>
      </c>
      <c r="BU612" s="100" t="str">
        <f>IF($BI$5=TRUE,IF(AZ612="","",SUM($AZ$8:AZ612)),"")</f>
        <v/>
      </c>
      <c r="BV612" s="100" t="str">
        <f>IF($BJ$5=TRUE,IF(BA612="","",SUM($BA$8:BA612)),"")</f>
        <v/>
      </c>
      <c r="BW612" s="100" t="str">
        <f>IF($BK$5=TRUE,IF(BB612="","",SUM($BB$8:BB612)),"")</f>
        <v/>
      </c>
      <c r="BX612" s="100" t="str">
        <f>IF($BL$5=TRUE,IF(BC612="","",SUM($BC$8:BC612)),"")</f>
        <v/>
      </c>
      <c r="BY612" s="100" t="str">
        <f>IF($BM$5=TRUE,IF(BD612="","",SUM($BD$8:BD612)),"")</f>
        <v/>
      </c>
      <c r="BZ612" s="100" t="str">
        <f>IF($BN$5=TRUE,IF(BE612="","",SUM($BE$8:BE612)),"")</f>
        <v/>
      </c>
    </row>
    <row r="613" spans="46:78" x14ac:dyDescent="0.25">
      <c r="AT613" s="74"/>
      <c r="AW613" s="74"/>
      <c r="BR613" s="133" t="str">
        <f t="shared" si="35"/>
        <v/>
      </c>
      <c r="BS613" s="100" t="str">
        <f>IF($BG$5=TRUE,IF(AX613="","",SUM($AX$8:AX613)),"")</f>
        <v/>
      </c>
      <c r="BT613" s="100" t="str">
        <f>IF($BH$5=TRUE,IF(AY613="","",SUM($AY$8:AY613)),"")</f>
        <v/>
      </c>
      <c r="BU613" s="100" t="str">
        <f>IF($BI$5=TRUE,IF(AZ613="","",SUM($AZ$8:AZ613)),"")</f>
        <v/>
      </c>
      <c r="BV613" s="100" t="str">
        <f>IF($BJ$5=TRUE,IF(BA613="","",SUM($BA$8:BA613)),"")</f>
        <v/>
      </c>
      <c r="BW613" s="100" t="str">
        <f>IF($BK$5=TRUE,IF(BB613="","",SUM($BB$8:BB613)),"")</f>
        <v/>
      </c>
      <c r="BX613" s="100" t="str">
        <f>IF($BL$5=TRUE,IF(BC613="","",SUM($BC$8:BC613)),"")</f>
        <v/>
      </c>
      <c r="BY613" s="100" t="str">
        <f>IF($BM$5=TRUE,IF(BD613="","",SUM($BD$8:BD613)),"")</f>
        <v/>
      </c>
      <c r="BZ613" s="100" t="str">
        <f>IF($BN$5=TRUE,IF(BE613="","",SUM($BE$8:BE613)),"")</f>
        <v/>
      </c>
    </row>
    <row r="614" spans="46:78" x14ac:dyDescent="0.25">
      <c r="AT614" s="74"/>
      <c r="AW614" s="74"/>
      <c r="BR614" s="133" t="str">
        <f t="shared" si="35"/>
        <v/>
      </c>
      <c r="BS614" s="100" t="str">
        <f>IF($BG$5=TRUE,IF(AX614="","",SUM($AX$8:AX614)),"")</f>
        <v/>
      </c>
      <c r="BT614" s="100" t="str">
        <f>IF($BH$5=TRUE,IF(AY614="","",SUM($AY$8:AY614)),"")</f>
        <v/>
      </c>
      <c r="BU614" s="100" t="str">
        <f>IF($BI$5=TRUE,IF(AZ614="","",SUM($AZ$8:AZ614)),"")</f>
        <v/>
      </c>
      <c r="BV614" s="100" t="str">
        <f>IF($BJ$5=TRUE,IF(BA614="","",SUM($BA$8:BA614)),"")</f>
        <v/>
      </c>
      <c r="BW614" s="100" t="str">
        <f>IF($BK$5=TRUE,IF(BB614="","",SUM($BB$8:BB614)),"")</f>
        <v/>
      </c>
      <c r="BX614" s="100" t="str">
        <f>IF($BL$5=TRUE,IF(BC614="","",SUM($BC$8:BC614)),"")</f>
        <v/>
      </c>
      <c r="BY614" s="100" t="str">
        <f>IF($BM$5=TRUE,IF(BD614="","",SUM($BD$8:BD614)),"")</f>
        <v/>
      </c>
      <c r="BZ614" s="100" t="str">
        <f>IF($BN$5=TRUE,IF(BE614="","",SUM($BE$8:BE614)),"")</f>
        <v/>
      </c>
    </row>
    <row r="615" spans="46:78" x14ac:dyDescent="0.25">
      <c r="AT615" s="74"/>
      <c r="AW615" s="74"/>
      <c r="BR615" s="133" t="str">
        <f t="shared" si="35"/>
        <v/>
      </c>
      <c r="BS615" s="100" t="str">
        <f>IF($BG$5=TRUE,IF(AX615="","",SUM($AX$8:AX615)),"")</f>
        <v/>
      </c>
      <c r="BT615" s="100" t="str">
        <f>IF($BH$5=TRUE,IF(AY615="","",SUM($AY$8:AY615)),"")</f>
        <v/>
      </c>
      <c r="BU615" s="100" t="str">
        <f>IF($BI$5=TRUE,IF(AZ615="","",SUM($AZ$8:AZ615)),"")</f>
        <v/>
      </c>
      <c r="BV615" s="100" t="str">
        <f>IF($BJ$5=TRUE,IF(BA615="","",SUM($BA$8:BA615)),"")</f>
        <v/>
      </c>
      <c r="BW615" s="100" t="str">
        <f>IF($BK$5=TRUE,IF(BB615="","",SUM($BB$8:BB615)),"")</f>
        <v/>
      </c>
      <c r="BX615" s="100" t="str">
        <f>IF($BL$5=TRUE,IF(BC615="","",SUM($BC$8:BC615)),"")</f>
        <v/>
      </c>
      <c r="BY615" s="100" t="str">
        <f>IF($BM$5=TRUE,IF(BD615="","",SUM($BD$8:BD615)),"")</f>
        <v/>
      </c>
      <c r="BZ615" s="100" t="str">
        <f>IF($BN$5=TRUE,IF(BE615="","",SUM($BE$8:BE615)),"")</f>
        <v/>
      </c>
    </row>
    <row r="616" spans="46:78" x14ac:dyDescent="0.25">
      <c r="AT616" s="74"/>
      <c r="AW616" s="74"/>
      <c r="BR616" s="133" t="str">
        <f t="shared" si="35"/>
        <v/>
      </c>
      <c r="BS616" s="100" t="str">
        <f>IF($BG$5=TRUE,IF(AX616="","",SUM($AX$8:AX616)),"")</f>
        <v/>
      </c>
      <c r="BT616" s="100" t="str">
        <f>IF($BH$5=TRUE,IF(AY616="","",SUM($AY$8:AY616)),"")</f>
        <v/>
      </c>
      <c r="BU616" s="100" t="str">
        <f>IF($BI$5=TRUE,IF(AZ616="","",SUM($AZ$8:AZ616)),"")</f>
        <v/>
      </c>
      <c r="BV616" s="100" t="str">
        <f>IF($BJ$5=TRUE,IF(BA616="","",SUM($BA$8:BA616)),"")</f>
        <v/>
      </c>
      <c r="BW616" s="100" t="str">
        <f>IF($BK$5=TRUE,IF(BB616="","",SUM($BB$8:BB616)),"")</f>
        <v/>
      </c>
      <c r="BX616" s="100" t="str">
        <f>IF($BL$5=TRUE,IF(BC616="","",SUM($BC$8:BC616)),"")</f>
        <v/>
      </c>
      <c r="BY616" s="100" t="str">
        <f>IF($BM$5=TRUE,IF(BD616="","",SUM($BD$8:BD616)),"")</f>
        <v/>
      </c>
      <c r="BZ616" s="100" t="str">
        <f>IF($BN$5=TRUE,IF(BE616="","",SUM($BE$8:BE616)),"")</f>
        <v/>
      </c>
    </row>
    <row r="617" spans="46:78" x14ac:dyDescent="0.25">
      <c r="AT617" s="74"/>
      <c r="AW617" s="74"/>
      <c r="BR617" s="133" t="str">
        <f t="shared" si="35"/>
        <v/>
      </c>
      <c r="BS617" s="100" t="str">
        <f>IF($BG$5=TRUE,IF(AX617="","",SUM($AX$8:AX617)),"")</f>
        <v/>
      </c>
      <c r="BT617" s="100" t="str">
        <f>IF($BH$5=TRUE,IF(AY617="","",SUM($AY$8:AY617)),"")</f>
        <v/>
      </c>
      <c r="BU617" s="100" t="str">
        <f>IF($BI$5=TRUE,IF(AZ617="","",SUM($AZ$8:AZ617)),"")</f>
        <v/>
      </c>
      <c r="BV617" s="100" t="str">
        <f>IF($BJ$5=TRUE,IF(BA617="","",SUM($BA$8:BA617)),"")</f>
        <v/>
      </c>
      <c r="BW617" s="100" t="str">
        <f>IF($BK$5=TRUE,IF(BB617="","",SUM($BB$8:BB617)),"")</f>
        <v/>
      </c>
      <c r="BX617" s="100" t="str">
        <f>IF($BL$5=TRUE,IF(BC617="","",SUM($BC$8:BC617)),"")</f>
        <v/>
      </c>
      <c r="BY617" s="100" t="str">
        <f>IF($BM$5=TRUE,IF(BD617="","",SUM($BD$8:BD617)),"")</f>
        <v/>
      </c>
      <c r="BZ617" s="100" t="str">
        <f>IF($BN$5=TRUE,IF(BE617="","",SUM($BE$8:BE617)),"")</f>
        <v/>
      </c>
    </row>
    <row r="618" spans="46:78" x14ac:dyDescent="0.25">
      <c r="AT618" s="74"/>
      <c r="AW618" s="74"/>
      <c r="BR618" s="133" t="str">
        <f t="shared" si="35"/>
        <v/>
      </c>
      <c r="BS618" s="100" t="str">
        <f>IF($BG$5=TRUE,IF(AX618="","",SUM($AX$8:AX618)),"")</f>
        <v/>
      </c>
      <c r="BT618" s="100" t="str">
        <f>IF($BH$5=TRUE,IF(AY618="","",SUM($AY$8:AY618)),"")</f>
        <v/>
      </c>
      <c r="BU618" s="100" t="str">
        <f>IF($BI$5=TRUE,IF(AZ618="","",SUM($AZ$8:AZ618)),"")</f>
        <v/>
      </c>
      <c r="BV618" s="100" t="str">
        <f>IF($BJ$5=TRUE,IF(BA618="","",SUM($BA$8:BA618)),"")</f>
        <v/>
      </c>
      <c r="BW618" s="100" t="str">
        <f>IF($BK$5=TRUE,IF(BB618="","",SUM($BB$8:BB618)),"")</f>
        <v/>
      </c>
      <c r="BX618" s="100" t="str">
        <f>IF($BL$5=TRUE,IF(BC618="","",SUM($BC$8:BC618)),"")</f>
        <v/>
      </c>
      <c r="BY618" s="100" t="str">
        <f>IF($BM$5=TRUE,IF(BD618="","",SUM($BD$8:BD618)),"")</f>
        <v/>
      </c>
      <c r="BZ618" s="100" t="str">
        <f>IF($BN$5=TRUE,IF(BE618="","",SUM($BE$8:BE618)),"")</f>
        <v/>
      </c>
    </row>
    <row r="619" spans="46:78" x14ac:dyDescent="0.25">
      <c r="AT619" s="74"/>
      <c r="AW619" s="74"/>
      <c r="BR619" s="133" t="str">
        <f t="shared" si="35"/>
        <v/>
      </c>
      <c r="BS619" s="100" t="str">
        <f>IF($BG$5=TRUE,IF(AX619="","",SUM($AX$8:AX619)),"")</f>
        <v/>
      </c>
      <c r="BT619" s="100" t="str">
        <f>IF($BH$5=TRUE,IF(AY619="","",SUM($AY$8:AY619)),"")</f>
        <v/>
      </c>
      <c r="BU619" s="100" t="str">
        <f>IF($BI$5=TRUE,IF(AZ619="","",SUM($AZ$8:AZ619)),"")</f>
        <v/>
      </c>
      <c r="BV619" s="100" t="str">
        <f>IF($BJ$5=TRUE,IF(BA619="","",SUM($BA$8:BA619)),"")</f>
        <v/>
      </c>
      <c r="BW619" s="100" t="str">
        <f>IF($BK$5=TRUE,IF(BB619="","",SUM($BB$8:BB619)),"")</f>
        <v/>
      </c>
      <c r="BX619" s="100" t="str">
        <f>IF($BL$5=TRUE,IF(BC619="","",SUM($BC$8:BC619)),"")</f>
        <v/>
      </c>
      <c r="BY619" s="100" t="str">
        <f>IF($BM$5=TRUE,IF(BD619="","",SUM($BD$8:BD619)),"")</f>
        <v/>
      </c>
      <c r="BZ619" s="100" t="str">
        <f>IF($BN$5=TRUE,IF(BE619="","",SUM($BE$8:BE619)),"")</f>
        <v/>
      </c>
    </row>
    <row r="620" spans="46:78" x14ac:dyDescent="0.25">
      <c r="AT620" s="74"/>
      <c r="AW620" s="74"/>
      <c r="BR620" s="133" t="str">
        <f t="shared" si="35"/>
        <v/>
      </c>
      <c r="BS620" s="100" t="str">
        <f>IF($BG$5=TRUE,IF(AX620="","",SUM($AX$8:AX620)),"")</f>
        <v/>
      </c>
      <c r="BT620" s="100" t="str">
        <f>IF($BH$5=TRUE,IF(AY620="","",SUM($AY$8:AY620)),"")</f>
        <v/>
      </c>
      <c r="BU620" s="100" t="str">
        <f>IF($BI$5=TRUE,IF(AZ620="","",SUM($AZ$8:AZ620)),"")</f>
        <v/>
      </c>
      <c r="BV620" s="100" t="str">
        <f>IF($BJ$5=TRUE,IF(BA620="","",SUM($BA$8:BA620)),"")</f>
        <v/>
      </c>
      <c r="BW620" s="100" t="str">
        <f>IF($BK$5=TRUE,IF(BB620="","",SUM($BB$8:BB620)),"")</f>
        <v/>
      </c>
      <c r="BX620" s="100" t="str">
        <f>IF($BL$5=TRUE,IF(BC620="","",SUM($BC$8:BC620)),"")</f>
        <v/>
      </c>
      <c r="BY620" s="100" t="str">
        <f>IF($BM$5=TRUE,IF(BD620="","",SUM($BD$8:BD620)),"")</f>
        <v/>
      </c>
      <c r="BZ620" s="100" t="str">
        <f>IF($BN$5=TRUE,IF(BE620="","",SUM($BE$8:BE620)),"")</f>
        <v/>
      </c>
    </row>
    <row r="621" spans="46:78" x14ac:dyDescent="0.25">
      <c r="AT621" s="74"/>
      <c r="AW621" s="74"/>
      <c r="BR621" s="133" t="str">
        <f t="shared" si="35"/>
        <v/>
      </c>
      <c r="BS621" s="100" t="str">
        <f>IF($BG$5=TRUE,IF(AX621="","",SUM($AX$8:AX621)),"")</f>
        <v/>
      </c>
      <c r="BT621" s="100" t="str">
        <f>IF($BH$5=TRUE,IF(AY621="","",SUM($AY$8:AY621)),"")</f>
        <v/>
      </c>
      <c r="BU621" s="100" t="str">
        <f>IF($BI$5=TRUE,IF(AZ621="","",SUM($AZ$8:AZ621)),"")</f>
        <v/>
      </c>
      <c r="BV621" s="100" t="str">
        <f>IF($BJ$5=TRUE,IF(BA621="","",SUM($BA$8:BA621)),"")</f>
        <v/>
      </c>
      <c r="BW621" s="100" t="str">
        <f>IF($BK$5=TRUE,IF(BB621="","",SUM($BB$8:BB621)),"")</f>
        <v/>
      </c>
      <c r="BX621" s="100" t="str">
        <f>IF($BL$5=TRUE,IF(BC621="","",SUM($BC$8:BC621)),"")</f>
        <v/>
      </c>
      <c r="BY621" s="100" t="str">
        <f>IF($BM$5=TRUE,IF(BD621="","",SUM($BD$8:BD621)),"")</f>
        <v/>
      </c>
      <c r="BZ621" s="100" t="str">
        <f>IF($BN$5=TRUE,IF(BE621="","",SUM($BE$8:BE621)),"")</f>
        <v/>
      </c>
    </row>
    <row r="622" spans="46:78" x14ac:dyDescent="0.25">
      <c r="AT622" s="74"/>
      <c r="AW622" s="74"/>
      <c r="BR622" s="133" t="str">
        <f t="shared" si="35"/>
        <v/>
      </c>
      <c r="BS622" s="100" t="str">
        <f>IF($BG$5=TRUE,IF(AX622="","",SUM($AX$8:AX622)),"")</f>
        <v/>
      </c>
      <c r="BT622" s="100" t="str">
        <f>IF($BH$5=TRUE,IF(AY622="","",SUM($AY$8:AY622)),"")</f>
        <v/>
      </c>
      <c r="BU622" s="100" t="str">
        <f>IF($BI$5=TRUE,IF(AZ622="","",SUM($AZ$8:AZ622)),"")</f>
        <v/>
      </c>
      <c r="BV622" s="100" t="str">
        <f>IF($BJ$5=TRUE,IF(BA622="","",SUM($BA$8:BA622)),"")</f>
        <v/>
      </c>
      <c r="BW622" s="100" t="str">
        <f>IF($BK$5=TRUE,IF(BB622="","",SUM($BB$8:BB622)),"")</f>
        <v/>
      </c>
      <c r="BX622" s="100" t="str">
        <f>IF($BL$5=TRUE,IF(BC622="","",SUM($BC$8:BC622)),"")</f>
        <v/>
      </c>
      <c r="BY622" s="100" t="str">
        <f>IF($BM$5=TRUE,IF(BD622="","",SUM($BD$8:BD622)),"")</f>
        <v/>
      </c>
      <c r="BZ622" s="100" t="str">
        <f>IF($BN$5=TRUE,IF(BE622="","",SUM($BE$8:BE622)),"")</f>
        <v/>
      </c>
    </row>
    <row r="623" spans="46:78" x14ac:dyDescent="0.25">
      <c r="AT623" s="74"/>
      <c r="AW623" s="74"/>
      <c r="BR623" s="133" t="str">
        <f t="shared" si="35"/>
        <v/>
      </c>
      <c r="BS623" s="100" t="str">
        <f>IF($BG$5=TRUE,IF(AX623="","",SUM($AX$8:AX623)),"")</f>
        <v/>
      </c>
      <c r="BT623" s="100" t="str">
        <f>IF($BH$5=TRUE,IF(AY623="","",SUM($AY$8:AY623)),"")</f>
        <v/>
      </c>
      <c r="BU623" s="100" t="str">
        <f>IF($BI$5=TRUE,IF(AZ623="","",SUM($AZ$8:AZ623)),"")</f>
        <v/>
      </c>
      <c r="BV623" s="100" t="str">
        <f>IF($BJ$5=TRUE,IF(BA623="","",SUM($BA$8:BA623)),"")</f>
        <v/>
      </c>
      <c r="BW623" s="100" t="str">
        <f>IF($BK$5=TRUE,IF(BB623="","",SUM($BB$8:BB623)),"")</f>
        <v/>
      </c>
      <c r="BX623" s="100" t="str">
        <f>IF($BL$5=TRUE,IF(BC623="","",SUM($BC$8:BC623)),"")</f>
        <v/>
      </c>
      <c r="BY623" s="100" t="str">
        <f>IF($BM$5=TRUE,IF(BD623="","",SUM($BD$8:BD623)),"")</f>
        <v/>
      </c>
      <c r="BZ623" s="100" t="str">
        <f>IF($BN$5=TRUE,IF(BE623="","",SUM($BE$8:BE623)),"")</f>
        <v/>
      </c>
    </row>
    <row r="624" spans="46:78" x14ac:dyDescent="0.25">
      <c r="AT624" s="74"/>
      <c r="AW624" s="74"/>
      <c r="BR624" s="133" t="str">
        <f t="shared" si="35"/>
        <v/>
      </c>
      <c r="BS624" s="100" t="str">
        <f>IF($BG$5=TRUE,IF(AX624="","",SUM($AX$8:AX624)),"")</f>
        <v/>
      </c>
      <c r="BT624" s="100" t="str">
        <f>IF($BH$5=TRUE,IF(AY624="","",SUM($AY$8:AY624)),"")</f>
        <v/>
      </c>
      <c r="BU624" s="100" t="str">
        <f>IF($BI$5=TRUE,IF(AZ624="","",SUM($AZ$8:AZ624)),"")</f>
        <v/>
      </c>
      <c r="BV624" s="100" t="str">
        <f>IF($BJ$5=TRUE,IF(BA624="","",SUM($BA$8:BA624)),"")</f>
        <v/>
      </c>
      <c r="BW624" s="100" t="str">
        <f>IF($BK$5=TRUE,IF(BB624="","",SUM($BB$8:BB624)),"")</f>
        <v/>
      </c>
      <c r="BX624" s="100" t="str">
        <f>IF($BL$5=TRUE,IF(BC624="","",SUM($BC$8:BC624)),"")</f>
        <v/>
      </c>
      <c r="BY624" s="100" t="str">
        <f>IF($BM$5=TRUE,IF(BD624="","",SUM($BD$8:BD624)),"")</f>
        <v/>
      </c>
      <c r="BZ624" s="100" t="str">
        <f>IF($BN$5=TRUE,IF(BE624="","",SUM($BE$8:BE624)),"")</f>
        <v/>
      </c>
    </row>
    <row r="625" spans="46:78" x14ac:dyDescent="0.25">
      <c r="AT625" s="74"/>
      <c r="AW625" s="74"/>
      <c r="BR625" s="133" t="str">
        <f t="shared" si="35"/>
        <v/>
      </c>
      <c r="BS625" s="100" t="str">
        <f>IF($BG$5=TRUE,IF(AX625="","",SUM($AX$8:AX625)),"")</f>
        <v/>
      </c>
      <c r="BT625" s="100" t="str">
        <f>IF($BH$5=TRUE,IF(AY625="","",SUM($AY$8:AY625)),"")</f>
        <v/>
      </c>
      <c r="BU625" s="100" t="str">
        <f>IF($BI$5=TRUE,IF(AZ625="","",SUM($AZ$8:AZ625)),"")</f>
        <v/>
      </c>
      <c r="BV625" s="100" t="str">
        <f>IF($BJ$5=TRUE,IF(BA625="","",SUM($BA$8:BA625)),"")</f>
        <v/>
      </c>
      <c r="BW625" s="100" t="str">
        <f>IF($BK$5=TRUE,IF(BB625="","",SUM($BB$8:BB625)),"")</f>
        <v/>
      </c>
      <c r="BX625" s="100" t="str">
        <f>IF($BL$5=TRUE,IF(BC625="","",SUM($BC$8:BC625)),"")</f>
        <v/>
      </c>
      <c r="BY625" s="100" t="str">
        <f>IF($BM$5=TRUE,IF(BD625="","",SUM($BD$8:BD625)),"")</f>
        <v/>
      </c>
      <c r="BZ625" s="100" t="str">
        <f>IF($BN$5=TRUE,IF(BE625="","",SUM($BE$8:BE625)),"")</f>
        <v/>
      </c>
    </row>
    <row r="626" spans="46:78" x14ac:dyDescent="0.25">
      <c r="AT626" s="74"/>
      <c r="AW626" s="74"/>
      <c r="BR626" s="133" t="str">
        <f t="shared" si="35"/>
        <v/>
      </c>
      <c r="BS626" s="100" t="str">
        <f>IF($BG$5=TRUE,IF(AX626="","",SUM($AX$8:AX626)),"")</f>
        <v/>
      </c>
      <c r="BT626" s="100" t="str">
        <f>IF($BH$5=TRUE,IF(AY626="","",SUM($AY$8:AY626)),"")</f>
        <v/>
      </c>
      <c r="BU626" s="100" t="str">
        <f>IF($BI$5=TRUE,IF(AZ626="","",SUM($AZ$8:AZ626)),"")</f>
        <v/>
      </c>
      <c r="BV626" s="100" t="str">
        <f>IF($BJ$5=TRUE,IF(BA626="","",SUM($BA$8:BA626)),"")</f>
        <v/>
      </c>
      <c r="BW626" s="100" t="str">
        <f>IF($BK$5=TRUE,IF(BB626="","",SUM($BB$8:BB626)),"")</f>
        <v/>
      </c>
      <c r="BX626" s="100" t="str">
        <f>IF($BL$5=TRUE,IF(BC626="","",SUM($BC$8:BC626)),"")</f>
        <v/>
      </c>
      <c r="BY626" s="100" t="str">
        <f>IF($BM$5=TRUE,IF(BD626="","",SUM($BD$8:BD626)),"")</f>
        <v/>
      </c>
      <c r="BZ626" s="100" t="str">
        <f>IF($BN$5=TRUE,IF(BE626="","",SUM($BE$8:BE626)),"")</f>
        <v/>
      </c>
    </row>
    <row r="627" spans="46:78" x14ac:dyDescent="0.25">
      <c r="AT627" s="74"/>
      <c r="AW627" s="74"/>
      <c r="BR627" s="133" t="str">
        <f t="shared" si="35"/>
        <v/>
      </c>
      <c r="BS627" s="100" t="str">
        <f>IF($BG$5=TRUE,IF(AX627="","",SUM($AX$8:AX627)),"")</f>
        <v/>
      </c>
      <c r="BT627" s="100" t="str">
        <f>IF($BH$5=TRUE,IF(AY627="","",SUM($AY$8:AY627)),"")</f>
        <v/>
      </c>
      <c r="BU627" s="100" t="str">
        <f>IF($BI$5=TRUE,IF(AZ627="","",SUM($AZ$8:AZ627)),"")</f>
        <v/>
      </c>
      <c r="BV627" s="100" t="str">
        <f>IF($BJ$5=TRUE,IF(BA627="","",SUM($BA$8:BA627)),"")</f>
        <v/>
      </c>
      <c r="BW627" s="100" t="str">
        <f>IF($BK$5=TRUE,IF(BB627="","",SUM($BB$8:BB627)),"")</f>
        <v/>
      </c>
      <c r="BX627" s="100" t="str">
        <f>IF($BL$5=TRUE,IF(BC627="","",SUM($BC$8:BC627)),"")</f>
        <v/>
      </c>
      <c r="BY627" s="100" t="str">
        <f>IF($BM$5=TRUE,IF(BD627="","",SUM($BD$8:BD627)),"")</f>
        <v/>
      </c>
      <c r="BZ627" s="100" t="str">
        <f>IF($BN$5=TRUE,IF(BE627="","",SUM($BE$8:BE627)),"")</f>
        <v/>
      </c>
    </row>
    <row r="628" spans="46:78" x14ac:dyDescent="0.25">
      <c r="AT628" s="74"/>
      <c r="AW628" s="74"/>
      <c r="BR628" s="133" t="str">
        <f t="shared" si="35"/>
        <v/>
      </c>
      <c r="BS628" s="100" t="str">
        <f>IF($BG$5=TRUE,IF(AX628="","",SUM($AX$8:AX628)),"")</f>
        <v/>
      </c>
      <c r="BT628" s="100" t="str">
        <f>IF($BH$5=TRUE,IF(AY628="","",SUM($AY$8:AY628)),"")</f>
        <v/>
      </c>
      <c r="BU628" s="100" t="str">
        <f>IF($BI$5=TRUE,IF(AZ628="","",SUM($AZ$8:AZ628)),"")</f>
        <v/>
      </c>
      <c r="BV628" s="100" t="str">
        <f>IF($BJ$5=TRUE,IF(BA628="","",SUM($BA$8:BA628)),"")</f>
        <v/>
      </c>
      <c r="BW628" s="100" t="str">
        <f>IF($BK$5=TRUE,IF(BB628="","",SUM($BB$8:BB628)),"")</f>
        <v/>
      </c>
      <c r="BX628" s="100" t="str">
        <f>IF($BL$5=TRUE,IF(BC628="","",SUM($BC$8:BC628)),"")</f>
        <v/>
      </c>
      <c r="BY628" s="100" t="str">
        <f>IF($BM$5=TRUE,IF(BD628="","",SUM($BD$8:BD628)),"")</f>
        <v/>
      </c>
      <c r="BZ628" s="100" t="str">
        <f>IF($BN$5=TRUE,IF(BE628="","",SUM($BE$8:BE628)),"")</f>
        <v/>
      </c>
    </row>
    <row r="629" spans="46:78" x14ac:dyDescent="0.25">
      <c r="AT629" s="74"/>
      <c r="AW629" s="74"/>
      <c r="BR629" s="133" t="str">
        <f t="shared" si="35"/>
        <v/>
      </c>
      <c r="BS629" s="100" t="str">
        <f>IF($BG$5=TRUE,IF(AX629="","",SUM($AX$8:AX629)),"")</f>
        <v/>
      </c>
      <c r="BT629" s="100" t="str">
        <f>IF($BH$5=TRUE,IF(AY629="","",SUM($AY$8:AY629)),"")</f>
        <v/>
      </c>
      <c r="BU629" s="100" t="str">
        <f>IF($BI$5=TRUE,IF(AZ629="","",SUM($AZ$8:AZ629)),"")</f>
        <v/>
      </c>
      <c r="BV629" s="100" t="str">
        <f>IF($BJ$5=TRUE,IF(BA629="","",SUM($BA$8:BA629)),"")</f>
        <v/>
      </c>
      <c r="BW629" s="100" t="str">
        <f>IF($BK$5=TRUE,IF(BB629="","",SUM($BB$8:BB629)),"")</f>
        <v/>
      </c>
      <c r="BX629" s="100" t="str">
        <f>IF($BL$5=TRUE,IF(BC629="","",SUM($BC$8:BC629)),"")</f>
        <v/>
      </c>
      <c r="BY629" s="100" t="str">
        <f>IF($BM$5=TRUE,IF(BD629="","",SUM($BD$8:BD629)),"")</f>
        <v/>
      </c>
      <c r="BZ629" s="100" t="str">
        <f>IF($BN$5=TRUE,IF(BE629="","",SUM($BE$8:BE629)),"")</f>
        <v/>
      </c>
    </row>
    <row r="630" spans="46:78" x14ac:dyDescent="0.25">
      <c r="AT630" s="74"/>
      <c r="AW630" s="74"/>
      <c r="BR630" s="133" t="str">
        <f t="shared" si="35"/>
        <v/>
      </c>
      <c r="BS630" s="100" t="str">
        <f>IF($BG$5=TRUE,IF(AX630="","",SUM($AX$8:AX630)),"")</f>
        <v/>
      </c>
      <c r="BT630" s="100" t="str">
        <f>IF($BH$5=TRUE,IF(AY630="","",SUM($AY$8:AY630)),"")</f>
        <v/>
      </c>
      <c r="BU630" s="100" t="str">
        <f>IF($BI$5=TRUE,IF(AZ630="","",SUM($AZ$8:AZ630)),"")</f>
        <v/>
      </c>
      <c r="BV630" s="100" t="str">
        <f>IF($BJ$5=TRUE,IF(BA630="","",SUM($BA$8:BA630)),"")</f>
        <v/>
      </c>
      <c r="BW630" s="100" t="str">
        <f>IF($BK$5=TRUE,IF(BB630="","",SUM($BB$8:BB630)),"")</f>
        <v/>
      </c>
      <c r="BX630" s="100" t="str">
        <f>IF($BL$5=TRUE,IF(BC630="","",SUM($BC$8:BC630)),"")</f>
        <v/>
      </c>
      <c r="BY630" s="100" t="str">
        <f>IF($BM$5=TRUE,IF(BD630="","",SUM($BD$8:BD630)),"")</f>
        <v/>
      </c>
      <c r="BZ630" s="100" t="str">
        <f>IF($BN$5=TRUE,IF(BE630="","",SUM($BE$8:BE630)),"")</f>
        <v/>
      </c>
    </row>
    <row r="631" spans="46:78" x14ac:dyDescent="0.25">
      <c r="AT631" s="74"/>
      <c r="AW631" s="74"/>
      <c r="BR631" s="133" t="str">
        <f t="shared" si="35"/>
        <v/>
      </c>
      <c r="BS631" s="100" t="str">
        <f>IF($BG$5=TRUE,IF(AX631="","",SUM($AX$8:AX631)),"")</f>
        <v/>
      </c>
      <c r="BT631" s="100" t="str">
        <f>IF($BH$5=TRUE,IF(AY631="","",SUM($AY$8:AY631)),"")</f>
        <v/>
      </c>
      <c r="BU631" s="100" t="str">
        <f>IF($BI$5=TRUE,IF(AZ631="","",SUM($AZ$8:AZ631)),"")</f>
        <v/>
      </c>
      <c r="BV631" s="100" t="str">
        <f>IF($BJ$5=TRUE,IF(BA631="","",SUM($BA$8:BA631)),"")</f>
        <v/>
      </c>
      <c r="BW631" s="100" t="str">
        <f>IF($BK$5=TRUE,IF(BB631="","",SUM($BB$8:BB631)),"")</f>
        <v/>
      </c>
      <c r="BX631" s="100" t="str">
        <f>IF($BL$5=TRUE,IF(BC631="","",SUM($BC$8:BC631)),"")</f>
        <v/>
      </c>
      <c r="BY631" s="100" t="str">
        <f>IF($BM$5=TRUE,IF(BD631="","",SUM($BD$8:BD631)),"")</f>
        <v/>
      </c>
      <c r="BZ631" s="100" t="str">
        <f>IF($BN$5=TRUE,IF(BE631="","",SUM($BE$8:BE631)),"")</f>
        <v/>
      </c>
    </row>
    <row r="632" spans="46:78" x14ac:dyDescent="0.25">
      <c r="AT632" s="74"/>
      <c r="AW632" s="74"/>
      <c r="BR632" s="133" t="str">
        <f t="shared" si="35"/>
        <v/>
      </c>
      <c r="BS632" s="100" t="str">
        <f>IF($BG$5=TRUE,IF(AX632="","",SUM($AX$8:AX632)),"")</f>
        <v/>
      </c>
      <c r="BT632" s="100" t="str">
        <f>IF($BH$5=TRUE,IF(AY632="","",SUM($AY$8:AY632)),"")</f>
        <v/>
      </c>
      <c r="BU632" s="100" t="str">
        <f>IF($BI$5=TRUE,IF(AZ632="","",SUM($AZ$8:AZ632)),"")</f>
        <v/>
      </c>
      <c r="BV632" s="100" t="str">
        <f>IF($BJ$5=TRUE,IF(BA632="","",SUM($BA$8:BA632)),"")</f>
        <v/>
      </c>
      <c r="BW632" s="100" t="str">
        <f>IF($BK$5=TRUE,IF(BB632="","",SUM($BB$8:BB632)),"")</f>
        <v/>
      </c>
      <c r="BX632" s="100" t="str">
        <f>IF($BL$5=TRUE,IF(BC632="","",SUM($BC$8:BC632)),"")</f>
        <v/>
      </c>
      <c r="BY632" s="100" t="str">
        <f>IF($BM$5=TRUE,IF(BD632="","",SUM($BD$8:BD632)),"")</f>
        <v/>
      </c>
      <c r="BZ632" s="100" t="str">
        <f>IF($BN$5=TRUE,IF(BE632="","",SUM($BE$8:BE632)),"")</f>
        <v/>
      </c>
    </row>
    <row r="633" spans="46:78" x14ac:dyDescent="0.25">
      <c r="AT633" s="74"/>
      <c r="AW633" s="74"/>
      <c r="BR633" s="133" t="str">
        <f t="shared" si="35"/>
        <v/>
      </c>
      <c r="BS633" s="100" t="str">
        <f>IF($BG$5=TRUE,IF(AX633="","",SUM($AX$8:AX633)),"")</f>
        <v/>
      </c>
      <c r="BT633" s="100" t="str">
        <f>IF($BH$5=TRUE,IF(AY633="","",SUM($AY$8:AY633)),"")</f>
        <v/>
      </c>
      <c r="BU633" s="100" t="str">
        <f>IF($BI$5=TRUE,IF(AZ633="","",SUM($AZ$8:AZ633)),"")</f>
        <v/>
      </c>
      <c r="BV633" s="100" t="str">
        <f>IF($BJ$5=TRUE,IF(BA633="","",SUM($BA$8:BA633)),"")</f>
        <v/>
      </c>
      <c r="BW633" s="100" t="str">
        <f>IF($BK$5=TRUE,IF(BB633="","",SUM($BB$8:BB633)),"")</f>
        <v/>
      </c>
      <c r="BX633" s="100" t="str">
        <f>IF($BL$5=TRUE,IF(BC633="","",SUM($BC$8:BC633)),"")</f>
        <v/>
      </c>
      <c r="BY633" s="100" t="str">
        <f>IF($BM$5=TRUE,IF(BD633="","",SUM($BD$8:BD633)),"")</f>
        <v/>
      </c>
      <c r="BZ633" s="100" t="str">
        <f>IF($BN$5=TRUE,IF(BE633="","",SUM($BE$8:BE633)),"")</f>
        <v/>
      </c>
    </row>
    <row r="634" spans="46:78" x14ac:dyDescent="0.25">
      <c r="AT634" s="74"/>
      <c r="AW634" s="74"/>
      <c r="BR634" s="133" t="str">
        <f t="shared" si="35"/>
        <v/>
      </c>
      <c r="BS634" s="100" t="str">
        <f>IF($BG$5=TRUE,IF(AX634="","",SUM($AX$8:AX634)),"")</f>
        <v/>
      </c>
      <c r="BT634" s="100" t="str">
        <f>IF($BH$5=TRUE,IF(AY634="","",SUM($AY$8:AY634)),"")</f>
        <v/>
      </c>
      <c r="BU634" s="100" t="str">
        <f>IF($BI$5=TRUE,IF(AZ634="","",SUM($AZ$8:AZ634)),"")</f>
        <v/>
      </c>
      <c r="BV634" s="100" t="str">
        <f>IF($BJ$5=TRUE,IF(BA634="","",SUM($BA$8:BA634)),"")</f>
        <v/>
      </c>
      <c r="BW634" s="100" t="str">
        <f>IF($BK$5=TRUE,IF(BB634="","",SUM($BB$8:BB634)),"")</f>
        <v/>
      </c>
      <c r="BX634" s="100" t="str">
        <f>IF($BL$5=TRUE,IF(BC634="","",SUM($BC$8:BC634)),"")</f>
        <v/>
      </c>
      <c r="BY634" s="100" t="str">
        <f>IF($BM$5=TRUE,IF(BD634="","",SUM($BD$8:BD634)),"")</f>
        <v/>
      </c>
      <c r="BZ634" s="100" t="str">
        <f>IF($BN$5=TRUE,IF(BE634="","",SUM($BE$8:BE634)),"")</f>
        <v/>
      </c>
    </row>
    <row r="635" spans="46:78" x14ac:dyDescent="0.25">
      <c r="AT635" s="74"/>
      <c r="AW635" s="74"/>
      <c r="BR635" s="133" t="str">
        <f t="shared" si="35"/>
        <v/>
      </c>
      <c r="BS635" s="100" t="str">
        <f>IF($BG$5=TRUE,IF(AX635="","",SUM($AX$8:AX635)),"")</f>
        <v/>
      </c>
      <c r="BT635" s="100" t="str">
        <f>IF($BH$5=TRUE,IF(AY635="","",SUM($AY$8:AY635)),"")</f>
        <v/>
      </c>
      <c r="BU635" s="100" t="str">
        <f>IF($BI$5=TRUE,IF(AZ635="","",SUM($AZ$8:AZ635)),"")</f>
        <v/>
      </c>
      <c r="BV635" s="100" t="str">
        <f>IF($BJ$5=TRUE,IF(BA635="","",SUM($BA$8:BA635)),"")</f>
        <v/>
      </c>
      <c r="BW635" s="100" t="str">
        <f>IF($BK$5=TRUE,IF(BB635="","",SUM($BB$8:BB635)),"")</f>
        <v/>
      </c>
      <c r="BX635" s="100" t="str">
        <f>IF($BL$5=TRUE,IF(BC635="","",SUM($BC$8:BC635)),"")</f>
        <v/>
      </c>
      <c r="BY635" s="100" t="str">
        <f>IF($BM$5=TRUE,IF(BD635="","",SUM($BD$8:BD635)),"")</f>
        <v/>
      </c>
      <c r="BZ635" s="100" t="str">
        <f>IF($BN$5=TRUE,IF(BE635="","",SUM($BE$8:BE635)),"")</f>
        <v/>
      </c>
    </row>
    <row r="636" spans="46:78" x14ac:dyDescent="0.25">
      <c r="AT636" s="74"/>
      <c r="AW636" s="74"/>
      <c r="BR636" s="133" t="str">
        <f t="shared" si="35"/>
        <v/>
      </c>
      <c r="BS636" s="100" t="str">
        <f>IF($BG$5=TRUE,IF(AX636="","",SUM($AX$8:AX636)),"")</f>
        <v/>
      </c>
      <c r="BT636" s="100" t="str">
        <f>IF($BH$5=TRUE,IF(AY636="","",SUM($AY$8:AY636)),"")</f>
        <v/>
      </c>
      <c r="BU636" s="100" t="str">
        <f>IF($BI$5=TRUE,IF(AZ636="","",SUM($AZ$8:AZ636)),"")</f>
        <v/>
      </c>
      <c r="BV636" s="100" t="str">
        <f>IF($BJ$5=TRUE,IF(BA636="","",SUM($BA$8:BA636)),"")</f>
        <v/>
      </c>
      <c r="BW636" s="100" t="str">
        <f>IF($BK$5=TRUE,IF(BB636="","",SUM($BB$8:BB636)),"")</f>
        <v/>
      </c>
      <c r="BX636" s="100" t="str">
        <f>IF($BL$5=TRUE,IF(BC636="","",SUM($BC$8:BC636)),"")</f>
        <v/>
      </c>
      <c r="BY636" s="100" t="str">
        <f>IF($BM$5=TRUE,IF(BD636="","",SUM($BD$8:BD636)),"")</f>
        <v/>
      </c>
      <c r="BZ636" s="100" t="str">
        <f>IF($BN$5=TRUE,IF(BE636="","",SUM($BE$8:BE636)),"")</f>
        <v/>
      </c>
    </row>
    <row r="637" spans="46:78" x14ac:dyDescent="0.25">
      <c r="AT637" s="74"/>
      <c r="AW637" s="74"/>
      <c r="BR637" s="133" t="str">
        <f t="shared" si="35"/>
        <v/>
      </c>
      <c r="BS637" s="100" t="str">
        <f>IF($BG$5=TRUE,IF(AX637="","",SUM($AX$8:AX637)),"")</f>
        <v/>
      </c>
      <c r="BT637" s="100" t="str">
        <f>IF($BH$5=TRUE,IF(AY637="","",SUM($AY$8:AY637)),"")</f>
        <v/>
      </c>
      <c r="BU637" s="100" t="str">
        <f>IF($BI$5=TRUE,IF(AZ637="","",SUM($AZ$8:AZ637)),"")</f>
        <v/>
      </c>
      <c r="BV637" s="100" t="str">
        <f>IF($BJ$5=TRUE,IF(BA637="","",SUM($BA$8:BA637)),"")</f>
        <v/>
      </c>
      <c r="BW637" s="100" t="str">
        <f>IF($BK$5=TRUE,IF(BB637="","",SUM($BB$8:BB637)),"")</f>
        <v/>
      </c>
      <c r="BX637" s="100" t="str">
        <f>IF($BL$5=TRUE,IF(BC637="","",SUM($BC$8:BC637)),"")</f>
        <v/>
      </c>
      <c r="BY637" s="100" t="str">
        <f>IF($BM$5=TRUE,IF(BD637="","",SUM($BD$8:BD637)),"")</f>
        <v/>
      </c>
      <c r="BZ637" s="100" t="str">
        <f>IF($BN$5=TRUE,IF(BE637="","",SUM($BE$8:BE637)),"")</f>
        <v/>
      </c>
    </row>
    <row r="638" spans="46:78" x14ac:dyDescent="0.25">
      <c r="AT638" s="74"/>
      <c r="AW638" s="74"/>
      <c r="BR638" s="133" t="str">
        <f t="shared" si="35"/>
        <v/>
      </c>
      <c r="BS638" s="100" t="str">
        <f>IF($BG$5=TRUE,IF(AX638="","",SUM($AX$8:AX638)),"")</f>
        <v/>
      </c>
      <c r="BT638" s="100" t="str">
        <f>IF($BH$5=TRUE,IF(AY638="","",SUM($AY$8:AY638)),"")</f>
        <v/>
      </c>
      <c r="BU638" s="100" t="str">
        <f>IF($BI$5=TRUE,IF(AZ638="","",SUM($AZ$8:AZ638)),"")</f>
        <v/>
      </c>
      <c r="BV638" s="100" t="str">
        <f>IF($BJ$5=TRUE,IF(BA638="","",SUM($BA$8:BA638)),"")</f>
        <v/>
      </c>
      <c r="BW638" s="100" t="str">
        <f>IF($BK$5=TRUE,IF(BB638="","",SUM($BB$8:BB638)),"")</f>
        <v/>
      </c>
      <c r="BX638" s="100" t="str">
        <f>IF($BL$5=TRUE,IF(BC638="","",SUM($BC$8:BC638)),"")</f>
        <v/>
      </c>
      <c r="BY638" s="100" t="str">
        <f>IF($BM$5=TRUE,IF(BD638="","",SUM($BD$8:BD638)),"")</f>
        <v/>
      </c>
      <c r="BZ638" s="100" t="str">
        <f>IF($BN$5=TRUE,IF(BE638="","",SUM($BE$8:BE638)),"")</f>
        <v/>
      </c>
    </row>
    <row r="639" spans="46:78" x14ac:dyDescent="0.25">
      <c r="AT639" s="74"/>
      <c r="AW639" s="74"/>
      <c r="BR639" s="133" t="str">
        <f t="shared" si="35"/>
        <v/>
      </c>
      <c r="BS639" s="100" t="str">
        <f>IF($BG$5=TRUE,IF(AX639="","",SUM($AX$8:AX639)),"")</f>
        <v/>
      </c>
      <c r="BT639" s="100" t="str">
        <f>IF($BH$5=TRUE,IF(AY639="","",SUM($AY$8:AY639)),"")</f>
        <v/>
      </c>
      <c r="BU639" s="100" t="str">
        <f>IF($BI$5=TRUE,IF(AZ639="","",SUM($AZ$8:AZ639)),"")</f>
        <v/>
      </c>
      <c r="BV639" s="100" t="str">
        <f>IF($BJ$5=TRUE,IF(BA639="","",SUM($BA$8:BA639)),"")</f>
        <v/>
      </c>
      <c r="BW639" s="100" t="str">
        <f>IF($BK$5=TRUE,IF(BB639="","",SUM($BB$8:BB639)),"")</f>
        <v/>
      </c>
      <c r="BX639" s="100" t="str">
        <f>IF($BL$5=TRUE,IF(BC639="","",SUM($BC$8:BC639)),"")</f>
        <v/>
      </c>
      <c r="BY639" s="100" t="str">
        <f>IF($BM$5=TRUE,IF(BD639="","",SUM($BD$8:BD639)),"")</f>
        <v/>
      </c>
      <c r="BZ639" s="100" t="str">
        <f>IF($BN$5=TRUE,IF(BE639="","",SUM($BE$8:BE639)),"")</f>
        <v/>
      </c>
    </row>
    <row r="640" spans="46:78" x14ac:dyDescent="0.25">
      <c r="AT640" s="74"/>
      <c r="AW640" s="74"/>
      <c r="BR640" s="133" t="str">
        <f t="shared" si="35"/>
        <v/>
      </c>
      <c r="BS640" s="100" t="str">
        <f>IF($BG$5=TRUE,IF(AX640="","",SUM($AX$8:AX640)),"")</f>
        <v/>
      </c>
      <c r="BT640" s="100" t="str">
        <f>IF($BH$5=TRUE,IF(AY640="","",SUM($AY$8:AY640)),"")</f>
        <v/>
      </c>
      <c r="BU640" s="100" t="str">
        <f>IF($BI$5=TRUE,IF(AZ640="","",SUM($AZ$8:AZ640)),"")</f>
        <v/>
      </c>
      <c r="BV640" s="100" t="str">
        <f>IF($BJ$5=TRUE,IF(BA640="","",SUM($BA$8:BA640)),"")</f>
        <v/>
      </c>
      <c r="BW640" s="100" t="str">
        <f>IF($BK$5=TRUE,IF(BB640="","",SUM($BB$8:BB640)),"")</f>
        <v/>
      </c>
      <c r="BX640" s="100" t="str">
        <f>IF($BL$5=TRUE,IF(BC640="","",SUM($BC$8:BC640)),"")</f>
        <v/>
      </c>
      <c r="BY640" s="100" t="str">
        <f>IF($BM$5=TRUE,IF(BD640="","",SUM($BD$8:BD640)),"")</f>
        <v/>
      </c>
      <c r="BZ640" s="100" t="str">
        <f>IF($BN$5=TRUE,IF(BE640="","",SUM($BE$8:BE640)),"")</f>
        <v/>
      </c>
    </row>
    <row r="641" spans="46:78" x14ac:dyDescent="0.25">
      <c r="AT641" s="74"/>
      <c r="AW641" s="74"/>
      <c r="BR641" s="133" t="str">
        <f t="shared" si="35"/>
        <v/>
      </c>
      <c r="BS641" s="100" t="str">
        <f>IF($BG$5=TRUE,IF(AX641="","",SUM($AX$8:AX641)),"")</f>
        <v/>
      </c>
      <c r="BT641" s="100" t="str">
        <f>IF($BH$5=TRUE,IF(AY641="","",SUM($AY$8:AY641)),"")</f>
        <v/>
      </c>
      <c r="BU641" s="100" t="str">
        <f>IF($BI$5=TRUE,IF(AZ641="","",SUM($AZ$8:AZ641)),"")</f>
        <v/>
      </c>
      <c r="BV641" s="100" t="str">
        <f>IF($BJ$5=TRUE,IF(BA641="","",SUM($BA$8:BA641)),"")</f>
        <v/>
      </c>
      <c r="BW641" s="100" t="str">
        <f>IF($BK$5=TRUE,IF(BB641="","",SUM($BB$8:BB641)),"")</f>
        <v/>
      </c>
      <c r="BX641" s="100" t="str">
        <f>IF($BL$5=TRUE,IF(BC641="","",SUM($BC$8:BC641)),"")</f>
        <v/>
      </c>
      <c r="BY641" s="100" t="str">
        <f>IF($BM$5=TRUE,IF(BD641="","",SUM($BD$8:BD641)),"")</f>
        <v/>
      </c>
      <c r="BZ641" s="100" t="str">
        <f>IF($BN$5=TRUE,IF(BE641="","",SUM($BE$8:BE641)),"")</f>
        <v/>
      </c>
    </row>
    <row r="642" spans="46:78" x14ac:dyDescent="0.25">
      <c r="AT642" s="74"/>
      <c r="AW642" s="74"/>
      <c r="BR642" s="133" t="str">
        <f t="shared" si="35"/>
        <v/>
      </c>
      <c r="BS642" s="100" t="str">
        <f>IF($BG$5=TRUE,IF(AX642="","",SUM($AX$8:AX642)),"")</f>
        <v/>
      </c>
      <c r="BT642" s="100" t="str">
        <f>IF($BH$5=TRUE,IF(AY642="","",SUM($AY$8:AY642)),"")</f>
        <v/>
      </c>
      <c r="BU642" s="100" t="str">
        <f>IF($BI$5=TRUE,IF(AZ642="","",SUM($AZ$8:AZ642)),"")</f>
        <v/>
      </c>
      <c r="BV642" s="100" t="str">
        <f>IF($BJ$5=TRUE,IF(BA642="","",SUM($BA$8:BA642)),"")</f>
        <v/>
      </c>
      <c r="BW642" s="100" t="str">
        <f>IF($BK$5=TRUE,IF(BB642="","",SUM($BB$8:BB642)),"")</f>
        <v/>
      </c>
      <c r="BX642" s="100" t="str">
        <f>IF($BL$5=TRUE,IF(BC642="","",SUM($BC$8:BC642)),"")</f>
        <v/>
      </c>
      <c r="BY642" s="100" t="str">
        <f>IF($BM$5=TRUE,IF(BD642="","",SUM($BD$8:BD642)),"")</f>
        <v/>
      </c>
      <c r="BZ642" s="100" t="str">
        <f>IF($BN$5=TRUE,IF(BE642="","",SUM($BE$8:BE642)),"")</f>
        <v/>
      </c>
    </row>
    <row r="643" spans="46:78" x14ac:dyDescent="0.25">
      <c r="AT643" s="74"/>
      <c r="AW643" s="74"/>
      <c r="BR643" s="133" t="str">
        <f t="shared" si="35"/>
        <v/>
      </c>
      <c r="BS643" s="100" t="str">
        <f>IF($BG$5=TRUE,IF(AX643="","",SUM($AX$8:AX643)),"")</f>
        <v/>
      </c>
      <c r="BT643" s="100" t="str">
        <f>IF($BH$5=TRUE,IF(AY643="","",SUM($AY$8:AY643)),"")</f>
        <v/>
      </c>
      <c r="BU643" s="100" t="str">
        <f>IF($BI$5=TRUE,IF(AZ643="","",SUM($AZ$8:AZ643)),"")</f>
        <v/>
      </c>
      <c r="BV643" s="100" t="str">
        <f>IF($BJ$5=TRUE,IF(BA643="","",SUM($BA$8:BA643)),"")</f>
        <v/>
      </c>
      <c r="BW643" s="100" t="str">
        <f>IF($BK$5=TRUE,IF(BB643="","",SUM($BB$8:BB643)),"")</f>
        <v/>
      </c>
      <c r="BX643" s="100" t="str">
        <f>IF($BL$5=TRUE,IF(BC643="","",SUM($BC$8:BC643)),"")</f>
        <v/>
      </c>
      <c r="BY643" s="100" t="str">
        <f>IF($BM$5=TRUE,IF(BD643="","",SUM($BD$8:BD643)),"")</f>
        <v/>
      </c>
      <c r="BZ643" s="100" t="str">
        <f>IF($BN$5=TRUE,IF(BE643="","",SUM($BE$8:BE643)),"")</f>
        <v/>
      </c>
    </row>
    <row r="644" spans="46:78" x14ac:dyDescent="0.25">
      <c r="AT644" s="74"/>
      <c r="AW644" s="74"/>
      <c r="BR644" s="133" t="str">
        <f t="shared" si="35"/>
        <v/>
      </c>
      <c r="BS644" s="100" t="str">
        <f>IF($BG$5=TRUE,IF(AX644="","",SUM($AX$8:AX644)),"")</f>
        <v/>
      </c>
      <c r="BT644" s="100" t="str">
        <f>IF($BH$5=TRUE,IF(AY644="","",SUM($AY$8:AY644)),"")</f>
        <v/>
      </c>
      <c r="BU644" s="100" t="str">
        <f>IF($BI$5=TRUE,IF(AZ644="","",SUM($AZ$8:AZ644)),"")</f>
        <v/>
      </c>
      <c r="BV644" s="100" t="str">
        <f>IF($BJ$5=TRUE,IF(BA644="","",SUM($BA$8:BA644)),"")</f>
        <v/>
      </c>
      <c r="BW644" s="100" t="str">
        <f>IF($BK$5=TRUE,IF(BB644="","",SUM($BB$8:BB644)),"")</f>
        <v/>
      </c>
      <c r="BX644" s="100" t="str">
        <f>IF($BL$5=TRUE,IF(BC644="","",SUM($BC$8:BC644)),"")</f>
        <v/>
      </c>
      <c r="BY644" s="100" t="str">
        <f>IF($BM$5=TRUE,IF(BD644="","",SUM($BD$8:BD644)),"")</f>
        <v/>
      </c>
      <c r="BZ644" s="100" t="str">
        <f>IF($BN$5=TRUE,IF(BE644="","",SUM($BE$8:BE644)),"")</f>
        <v/>
      </c>
    </row>
    <row r="645" spans="46:78" x14ac:dyDescent="0.25">
      <c r="AT645" s="74"/>
      <c r="AW645" s="74"/>
      <c r="BR645" s="133" t="str">
        <f t="shared" si="35"/>
        <v/>
      </c>
      <c r="BS645" s="100" t="str">
        <f>IF($BG$5=TRUE,IF(AX645="","",SUM($AX$8:AX645)),"")</f>
        <v/>
      </c>
      <c r="BT645" s="100" t="str">
        <f>IF($BH$5=TRUE,IF(AY645="","",SUM($AY$8:AY645)),"")</f>
        <v/>
      </c>
      <c r="BU645" s="100" t="str">
        <f>IF($BI$5=TRUE,IF(AZ645="","",SUM($AZ$8:AZ645)),"")</f>
        <v/>
      </c>
      <c r="BV645" s="100" t="str">
        <f>IF($BJ$5=TRUE,IF(BA645="","",SUM($BA$8:BA645)),"")</f>
        <v/>
      </c>
      <c r="BW645" s="100" t="str">
        <f>IF($BK$5=TRUE,IF(BB645="","",SUM($BB$8:BB645)),"")</f>
        <v/>
      </c>
      <c r="BX645" s="100" t="str">
        <f>IF($BL$5=TRUE,IF(BC645="","",SUM($BC$8:BC645)),"")</f>
        <v/>
      </c>
      <c r="BY645" s="100" t="str">
        <f>IF($BM$5=TRUE,IF(BD645="","",SUM($BD$8:BD645)),"")</f>
        <v/>
      </c>
      <c r="BZ645" s="100" t="str">
        <f>IF($BN$5=TRUE,IF(BE645="","",SUM($BE$8:BE645)),"")</f>
        <v/>
      </c>
    </row>
    <row r="646" spans="46:78" x14ac:dyDescent="0.25">
      <c r="AT646" s="74"/>
      <c r="AW646" s="74"/>
      <c r="BR646" s="133" t="str">
        <f t="shared" si="35"/>
        <v/>
      </c>
      <c r="BS646" s="100" t="str">
        <f>IF($BG$5=TRUE,IF(AX646="","",SUM($AX$8:AX646)),"")</f>
        <v/>
      </c>
      <c r="BT646" s="100" t="str">
        <f>IF($BH$5=TRUE,IF(AY646="","",SUM($AY$8:AY646)),"")</f>
        <v/>
      </c>
      <c r="BU646" s="100" t="str">
        <f>IF($BI$5=TRUE,IF(AZ646="","",SUM($AZ$8:AZ646)),"")</f>
        <v/>
      </c>
      <c r="BV646" s="100" t="str">
        <f>IF($BJ$5=TRUE,IF(BA646="","",SUM($BA$8:BA646)),"")</f>
        <v/>
      </c>
      <c r="BW646" s="100" t="str">
        <f>IF($BK$5=TRUE,IF(BB646="","",SUM($BB$8:BB646)),"")</f>
        <v/>
      </c>
      <c r="BX646" s="100" t="str">
        <f>IF($BL$5=TRUE,IF(BC646="","",SUM($BC$8:BC646)),"")</f>
        <v/>
      </c>
      <c r="BY646" s="100" t="str">
        <f>IF($BM$5=TRUE,IF(BD646="","",SUM($BD$8:BD646)),"")</f>
        <v/>
      </c>
      <c r="BZ646" s="100" t="str">
        <f>IF($BN$5=TRUE,IF(BE646="","",SUM($BE$8:BE646)),"")</f>
        <v/>
      </c>
    </row>
    <row r="647" spans="46:78" x14ac:dyDescent="0.25">
      <c r="AT647" s="74"/>
      <c r="AW647" s="74"/>
      <c r="BR647" s="133" t="str">
        <f t="shared" si="35"/>
        <v/>
      </c>
      <c r="BS647" s="100" t="str">
        <f>IF($BG$5=TRUE,IF(AX647="","",SUM($AX$8:AX647)),"")</f>
        <v/>
      </c>
      <c r="BT647" s="100" t="str">
        <f>IF($BH$5=TRUE,IF(AY647="","",SUM($AY$8:AY647)),"")</f>
        <v/>
      </c>
      <c r="BU647" s="100" t="str">
        <f>IF($BI$5=TRUE,IF(AZ647="","",SUM($AZ$8:AZ647)),"")</f>
        <v/>
      </c>
      <c r="BV647" s="100" t="str">
        <f>IF($BJ$5=TRUE,IF(BA647="","",SUM($BA$8:BA647)),"")</f>
        <v/>
      </c>
      <c r="BW647" s="100" t="str">
        <f>IF($BK$5=TRUE,IF(BB647="","",SUM($BB$8:BB647)),"")</f>
        <v/>
      </c>
      <c r="BX647" s="100" t="str">
        <f>IF($BL$5=TRUE,IF(BC647="","",SUM($BC$8:BC647)),"")</f>
        <v/>
      </c>
      <c r="BY647" s="100" t="str">
        <f>IF($BM$5=TRUE,IF(BD647="","",SUM($BD$8:BD647)),"")</f>
        <v/>
      </c>
      <c r="BZ647" s="100" t="str">
        <f>IF($BN$5=TRUE,IF(BE647="","",SUM($BE$8:BE647)),"")</f>
        <v/>
      </c>
    </row>
    <row r="648" spans="46:78" x14ac:dyDescent="0.25">
      <c r="AT648" s="74"/>
      <c r="AW648" s="74"/>
      <c r="BR648" s="133" t="str">
        <f t="shared" si="35"/>
        <v/>
      </c>
      <c r="BS648" s="100" t="str">
        <f>IF($BG$5=TRUE,IF(AX648="","",SUM($AX$8:AX648)),"")</f>
        <v/>
      </c>
      <c r="BT648" s="100" t="str">
        <f>IF($BH$5=TRUE,IF(AY648="","",SUM($AY$8:AY648)),"")</f>
        <v/>
      </c>
      <c r="BU648" s="100" t="str">
        <f>IF($BI$5=TRUE,IF(AZ648="","",SUM($AZ$8:AZ648)),"")</f>
        <v/>
      </c>
      <c r="BV648" s="100" t="str">
        <f>IF($BJ$5=TRUE,IF(BA648="","",SUM($BA$8:BA648)),"")</f>
        <v/>
      </c>
      <c r="BW648" s="100" t="str">
        <f>IF($BK$5=TRUE,IF(BB648="","",SUM($BB$8:BB648)),"")</f>
        <v/>
      </c>
      <c r="BX648" s="100" t="str">
        <f>IF($BL$5=TRUE,IF(BC648="","",SUM($BC$8:BC648)),"")</f>
        <v/>
      </c>
      <c r="BY648" s="100" t="str">
        <f>IF($BM$5=TRUE,IF(BD648="","",SUM($BD$8:BD648)),"")</f>
        <v/>
      </c>
      <c r="BZ648" s="100" t="str">
        <f>IF($BN$5=TRUE,IF(BE648="","",SUM($BE$8:BE648)),"")</f>
        <v/>
      </c>
    </row>
    <row r="649" spans="46:78" x14ac:dyDescent="0.25">
      <c r="AT649" s="74"/>
      <c r="AW649" s="74"/>
      <c r="BR649" s="133" t="str">
        <f t="shared" si="35"/>
        <v/>
      </c>
      <c r="BS649" s="100" t="str">
        <f>IF($BG$5=TRUE,IF(AX649="","",SUM($AX$8:AX649)),"")</f>
        <v/>
      </c>
      <c r="BT649" s="100" t="str">
        <f>IF($BH$5=TRUE,IF(AY649="","",SUM($AY$8:AY649)),"")</f>
        <v/>
      </c>
      <c r="BU649" s="100" t="str">
        <f>IF($BI$5=TRUE,IF(AZ649="","",SUM($AZ$8:AZ649)),"")</f>
        <v/>
      </c>
      <c r="BV649" s="100" t="str">
        <f>IF($BJ$5=TRUE,IF(BA649="","",SUM($BA$8:BA649)),"")</f>
        <v/>
      </c>
      <c r="BW649" s="100" t="str">
        <f>IF($BK$5=TRUE,IF(BB649="","",SUM($BB$8:BB649)),"")</f>
        <v/>
      </c>
      <c r="BX649" s="100" t="str">
        <f>IF($BL$5=TRUE,IF(BC649="","",SUM($BC$8:BC649)),"")</f>
        <v/>
      </c>
      <c r="BY649" s="100" t="str">
        <f>IF($BM$5=TRUE,IF(BD649="","",SUM($BD$8:BD649)),"")</f>
        <v/>
      </c>
      <c r="BZ649" s="100" t="str">
        <f>IF($BN$5=TRUE,IF(BE649="","",SUM($BE$8:BE649)),"")</f>
        <v/>
      </c>
    </row>
    <row r="650" spans="46:78" x14ac:dyDescent="0.25">
      <c r="AT650" s="74"/>
      <c r="AW650" s="74"/>
      <c r="BR650" s="133" t="str">
        <f t="shared" si="35"/>
        <v/>
      </c>
      <c r="BS650" s="100" t="str">
        <f>IF($BG$5=TRUE,IF(AX650="","",SUM($AX$8:AX650)),"")</f>
        <v/>
      </c>
      <c r="BT650" s="100" t="str">
        <f>IF($BH$5=TRUE,IF(AY650="","",SUM($AY$8:AY650)),"")</f>
        <v/>
      </c>
      <c r="BU650" s="100" t="str">
        <f>IF($BI$5=TRUE,IF(AZ650="","",SUM($AZ$8:AZ650)),"")</f>
        <v/>
      </c>
      <c r="BV650" s="100" t="str">
        <f>IF($BJ$5=TRUE,IF(BA650="","",SUM($BA$8:BA650)),"")</f>
        <v/>
      </c>
      <c r="BW650" s="100" t="str">
        <f>IF($BK$5=TRUE,IF(BB650="","",SUM($BB$8:BB650)),"")</f>
        <v/>
      </c>
      <c r="BX650" s="100" t="str">
        <f>IF($BL$5=TRUE,IF(BC650="","",SUM($BC$8:BC650)),"")</f>
        <v/>
      </c>
      <c r="BY650" s="100" t="str">
        <f>IF($BM$5=TRUE,IF(BD650="","",SUM($BD$8:BD650)),"")</f>
        <v/>
      </c>
      <c r="BZ650" s="100" t="str">
        <f>IF($BN$5=TRUE,IF(BE650="","",SUM($BE$8:BE650)),"")</f>
        <v/>
      </c>
    </row>
    <row r="651" spans="46:78" x14ac:dyDescent="0.25">
      <c r="AT651" s="74"/>
      <c r="AW651" s="74"/>
      <c r="BR651" s="133" t="str">
        <f t="shared" ref="BR651:BR665" si="36">IF(AW651="","",AW651)</f>
        <v/>
      </c>
      <c r="BS651" s="100" t="str">
        <f>IF($BG$5=TRUE,IF(AX651="","",SUM($AX$8:AX651)),"")</f>
        <v/>
      </c>
      <c r="BT651" s="100" t="str">
        <f>IF($BH$5=TRUE,IF(AY651="","",SUM($AY$8:AY651)),"")</f>
        <v/>
      </c>
      <c r="BU651" s="100" t="str">
        <f>IF($BI$5=TRUE,IF(AZ651="","",SUM($AZ$8:AZ651)),"")</f>
        <v/>
      </c>
      <c r="BV651" s="100" t="str">
        <f>IF($BJ$5=TRUE,IF(BA651="","",SUM($BA$8:BA651)),"")</f>
        <v/>
      </c>
      <c r="BW651" s="100" t="str">
        <f>IF($BK$5=TRUE,IF(BB651="","",SUM($BB$8:BB651)),"")</f>
        <v/>
      </c>
      <c r="BX651" s="100" t="str">
        <f>IF($BL$5=TRUE,IF(BC651="","",SUM($BC$8:BC651)),"")</f>
        <v/>
      </c>
      <c r="BY651" s="100" t="str">
        <f>IF($BM$5=TRUE,IF(BD651="","",SUM($BD$8:BD651)),"")</f>
        <v/>
      </c>
      <c r="BZ651" s="100" t="str">
        <f>IF($BN$5=TRUE,IF(BE651="","",SUM($BE$8:BE651)),"")</f>
        <v/>
      </c>
    </row>
    <row r="652" spans="46:78" x14ac:dyDescent="0.25">
      <c r="AT652" s="74"/>
      <c r="AW652" s="74"/>
      <c r="BR652" s="133" t="str">
        <f t="shared" si="36"/>
        <v/>
      </c>
      <c r="BS652" s="100" t="str">
        <f>IF($BG$5=TRUE,IF(AX652="","",SUM($AX$8:AX652)),"")</f>
        <v/>
      </c>
      <c r="BT652" s="100" t="str">
        <f>IF($BH$5=TRUE,IF(AY652="","",SUM($AY$8:AY652)),"")</f>
        <v/>
      </c>
      <c r="BU652" s="100" t="str">
        <f>IF($BI$5=TRUE,IF(AZ652="","",SUM($AZ$8:AZ652)),"")</f>
        <v/>
      </c>
      <c r="BV652" s="100" t="str">
        <f>IF($BJ$5=TRUE,IF(BA652="","",SUM($BA$8:BA652)),"")</f>
        <v/>
      </c>
      <c r="BW652" s="100" t="str">
        <f>IF($BK$5=TRUE,IF(BB652="","",SUM($BB$8:BB652)),"")</f>
        <v/>
      </c>
      <c r="BX652" s="100" t="str">
        <f>IF($BL$5=TRUE,IF(BC652="","",SUM($BC$8:BC652)),"")</f>
        <v/>
      </c>
      <c r="BY652" s="100" t="str">
        <f>IF($BM$5=TRUE,IF(BD652="","",SUM($BD$8:BD652)),"")</f>
        <v/>
      </c>
      <c r="BZ652" s="100" t="str">
        <f>IF($BN$5=TRUE,IF(BE652="","",SUM($BE$8:BE652)),"")</f>
        <v/>
      </c>
    </row>
    <row r="653" spans="46:78" x14ac:dyDescent="0.25">
      <c r="AT653" s="74"/>
      <c r="AW653" s="74"/>
      <c r="BR653" s="133" t="str">
        <f t="shared" si="36"/>
        <v/>
      </c>
      <c r="BS653" s="100" t="str">
        <f>IF($BG$5=TRUE,IF(AX653="","",SUM($AX$8:AX653)),"")</f>
        <v/>
      </c>
      <c r="BT653" s="100" t="str">
        <f>IF($BH$5=TRUE,IF(AY653="","",SUM($AY$8:AY653)),"")</f>
        <v/>
      </c>
      <c r="BU653" s="100" t="str">
        <f>IF($BI$5=TRUE,IF(AZ653="","",SUM($AZ$8:AZ653)),"")</f>
        <v/>
      </c>
      <c r="BV653" s="100" t="str">
        <f>IF($BJ$5=TRUE,IF(BA653="","",SUM($BA$8:BA653)),"")</f>
        <v/>
      </c>
      <c r="BW653" s="100" t="str">
        <f>IF($BK$5=TRUE,IF(BB653="","",SUM($BB$8:BB653)),"")</f>
        <v/>
      </c>
      <c r="BX653" s="100" t="str">
        <f>IF($BL$5=TRUE,IF(BC653="","",SUM($BC$8:BC653)),"")</f>
        <v/>
      </c>
      <c r="BY653" s="100" t="str">
        <f>IF($BM$5=TRUE,IF(BD653="","",SUM($BD$8:BD653)),"")</f>
        <v/>
      </c>
      <c r="BZ653" s="100" t="str">
        <f>IF($BN$5=TRUE,IF(BE653="","",SUM($BE$8:BE653)),"")</f>
        <v/>
      </c>
    </row>
    <row r="654" spans="46:78" x14ac:dyDescent="0.25">
      <c r="AT654" s="74"/>
      <c r="AW654" s="74"/>
      <c r="BR654" s="133" t="str">
        <f t="shared" si="36"/>
        <v/>
      </c>
      <c r="BS654" s="100" t="str">
        <f>IF($BG$5=TRUE,IF(AX654="","",SUM($AX$8:AX654)),"")</f>
        <v/>
      </c>
      <c r="BT654" s="100" t="str">
        <f>IF($BH$5=TRUE,IF(AY654="","",SUM($AY$8:AY654)),"")</f>
        <v/>
      </c>
      <c r="BU654" s="100" t="str">
        <f>IF($BI$5=TRUE,IF(AZ654="","",SUM($AZ$8:AZ654)),"")</f>
        <v/>
      </c>
      <c r="BV654" s="100" t="str">
        <f>IF($BJ$5=TRUE,IF(BA654="","",SUM($BA$8:BA654)),"")</f>
        <v/>
      </c>
      <c r="BW654" s="100" t="str">
        <f>IF($BK$5=TRUE,IF(BB654="","",SUM($BB$8:BB654)),"")</f>
        <v/>
      </c>
      <c r="BX654" s="100" t="str">
        <f>IF($BL$5=TRUE,IF(BC654="","",SUM($BC$8:BC654)),"")</f>
        <v/>
      </c>
      <c r="BY654" s="100" t="str">
        <f>IF($BM$5=TRUE,IF(BD654="","",SUM($BD$8:BD654)),"")</f>
        <v/>
      </c>
      <c r="BZ654" s="100" t="str">
        <f>IF($BN$5=TRUE,IF(BE654="","",SUM($BE$8:BE654)),"")</f>
        <v/>
      </c>
    </row>
    <row r="655" spans="46:78" x14ac:dyDescent="0.25">
      <c r="AT655" s="74"/>
      <c r="AW655" s="74"/>
      <c r="BR655" s="133" t="str">
        <f t="shared" si="36"/>
        <v/>
      </c>
      <c r="BS655" s="100" t="str">
        <f>IF($BG$5=TRUE,IF(AX655="","",SUM($AX$8:AX655)),"")</f>
        <v/>
      </c>
      <c r="BT655" s="100" t="str">
        <f>IF($BH$5=TRUE,IF(AY655="","",SUM($AY$8:AY655)),"")</f>
        <v/>
      </c>
      <c r="BU655" s="100" t="str">
        <f>IF($BI$5=TRUE,IF(AZ655="","",SUM($AZ$8:AZ655)),"")</f>
        <v/>
      </c>
      <c r="BV655" s="100" t="str">
        <f>IF($BJ$5=TRUE,IF(BA655="","",SUM($BA$8:BA655)),"")</f>
        <v/>
      </c>
      <c r="BW655" s="100" t="str">
        <f>IF($BK$5=TRUE,IF(BB655="","",SUM($BB$8:BB655)),"")</f>
        <v/>
      </c>
      <c r="BX655" s="100" t="str">
        <f>IF($BL$5=TRUE,IF(BC655="","",SUM($BC$8:BC655)),"")</f>
        <v/>
      </c>
      <c r="BY655" s="100" t="str">
        <f>IF($BM$5=TRUE,IF(BD655="","",SUM($BD$8:BD655)),"")</f>
        <v/>
      </c>
      <c r="BZ655" s="100" t="str">
        <f>IF($BN$5=TRUE,IF(BE655="","",SUM($BE$8:BE655)),"")</f>
        <v/>
      </c>
    </row>
    <row r="656" spans="46:78" x14ac:dyDescent="0.25">
      <c r="AT656" s="74"/>
      <c r="AW656" s="74"/>
      <c r="BR656" s="133" t="str">
        <f t="shared" si="36"/>
        <v/>
      </c>
      <c r="BS656" s="100" t="str">
        <f>IF($BG$5=TRUE,IF(AX656="","",SUM($AX$8:AX656)),"")</f>
        <v/>
      </c>
      <c r="BT656" s="100" t="str">
        <f>IF($BH$5=TRUE,IF(AY656="","",SUM($AY$8:AY656)),"")</f>
        <v/>
      </c>
      <c r="BU656" s="100" t="str">
        <f>IF($BI$5=TRUE,IF(AZ656="","",SUM($AZ$8:AZ656)),"")</f>
        <v/>
      </c>
      <c r="BV656" s="100" t="str">
        <f>IF($BJ$5=TRUE,IF(BA656="","",SUM($BA$8:BA656)),"")</f>
        <v/>
      </c>
      <c r="BW656" s="100" t="str">
        <f>IF($BK$5=TRUE,IF(BB656="","",SUM($BB$8:BB656)),"")</f>
        <v/>
      </c>
      <c r="BX656" s="100" t="str">
        <f>IF($BL$5=TRUE,IF(BC656="","",SUM($BC$8:BC656)),"")</f>
        <v/>
      </c>
      <c r="BY656" s="100" t="str">
        <f>IF($BM$5=TRUE,IF(BD656="","",SUM($BD$8:BD656)),"")</f>
        <v/>
      </c>
      <c r="BZ656" s="100" t="str">
        <f>IF($BN$5=TRUE,IF(BE656="","",SUM($BE$8:BE656)),"")</f>
        <v/>
      </c>
    </row>
    <row r="657" spans="46:78" x14ac:dyDescent="0.25">
      <c r="AT657" s="74"/>
      <c r="AW657" s="74"/>
      <c r="BR657" s="133" t="str">
        <f t="shared" si="36"/>
        <v/>
      </c>
      <c r="BS657" s="100" t="str">
        <f>IF($BG$5=TRUE,IF(AX657="","",SUM($AX$8:AX657)),"")</f>
        <v/>
      </c>
      <c r="BT657" s="100" t="str">
        <f>IF($BH$5=TRUE,IF(AY657="","",SUM($AY$8:AY657)),"")</f>
        <v/>
      </c>
      <c r="BU657" s="100" t="str">
        <f>IF($BI$5=TRUE,IF(AZ657="","",SUM($AZ$8:AZ657)),"")</f>
        <v/>
      </c>
      <c r="BV657" s="100" t="str">
        <f>IF($BJ$5=TRUE,IF(BA657="","",SUM($BA$8:BA657)),"")</f>
        <v/>
      </c>
      <c r="BW657" s="100" t="str">
        <f>IF($BK$5=TRUE,IF(BB657="","",SUM($BB$8:BB657)),"")</f>
        <v/>
      </c>
      <c r="BX657" s="100" t="str">
        <f>IF($BL$5=TRUE,IF(BC657="","",SUM($BC$8:BC657)),"")</f>
        <v/>
      </c>
      <c r="BY657" s="100" t="str">
        <f>IF($BM$5=TRUE,IF(BD657="","",SUM($BD$8:BD657)),"")</f>
        <v/>
      </c>
      <c r="BZ657" s="100" t="str">
        <f>IF($BN$5=TRUE,IF(BE657="","",SUM($BE$8:BE657)),"")</f>
        <v/>
      </c>
    </row>
    <row r="658" spans="46:78" x14ac:dyDescent="0.25">
      <c r="AT658" s="74"/>
      <c r="AW658" s="74"/>
      <c r="BR658" s="133" t="str">
        <f t="shared" si="36"/>
        <v/>
      </c>
      <c r="BS658" s="100" t="str">
        <f>IF($BG$5=TRUE,IF(AX658="","",SUM($AX$8:AX658)),"")</f>
        <v/>
      </c>
      <c r="BT658" s="100" t="str">
        <f>IF($BH$5=TRUE,IF(AY658="","",SUM($AY$8:AY658)),"")</f>
        <v/>
      </c>
      <c r="BU658" s="100" t="str">
        <f>IF($BI$5=TRUE,IF(AZ658="","",SUM($AZ$8:AZ658)),"")</f>
        <v/>
      </c>
      <c r="BV658" s="100" t="str">
        <f>IF($BJ$5=TRUE,IF(BA658="","",SUM($BA$8:BA658)),"")</f>
        <v/>
      </c>
      <c r="BW658" s="100" t="str">
        <f>IF($BK$5=TRUE,IF(BB658="","",SUM($BB$8:BB658)),"")</f>
        <v/>
      </c>
      <c r="BX658" s="100" t="str">
        <f>IF($BL$5=TRUE,IF(BC658="","",SUM($BC$8:BC658)),"")</f>
        <v/>
      </c>
      <c r="BY658" s="100" t="str">
        <f>IF($BM$5=TRUE,IF(BD658="","",SUM($BD$8:BD658)),"")</f>
        <v/>
      </c>
      <c r="BZ658" s="100" t="str">
        <f>IF($BN$5=TRUE,IF(BE658="","",SUM($BE$8:BE658)),"")</f>
        <v/>
      </c>
    </row>
    <row r="659" spans="46:78" x14ac:dyDescent="0.25">
      <c r="AT659" s="74"/>
      <c r="AW659" s="74"/>
      <c r="BR659" s="133" t="str">
        <f t="shared" si="36"/>
        <v/>
      </c>
      <c r="BS659" s="100" t="str">
        <f>IF($BG$5=TRUE,IF(AX659="","",SUM($AX$8:AX659)),"")</f>
        <v/>
      </c>
      <c r="BT659" s="100" t="str">
        <f>IF($BH$5=TRUE,IF(AY659="","",SUM($AY$8:AY659)),"")</f>
        <v/>
      </c>
      <c r="BU659" s="100" t="str">
        <f>IF($BI$5=TRUE,IF(AZ659="","",SUM($AZ$8:AZ659)),"")</f>
        <v/>
      </c>
      <c r="BV659" s="100" t="str">
        <f>IF($BJ$5=TRUE,IF(BA659="","",SUM($BA$8:BA659)),"")</f>
        <v/>
      </c>
      <c r="BW659" s="100" t="str">
        <f>IF($BK$5=TRUE,IF(BB659="","",SUM($BB$8:BB659)),"")</f>
        <v/>
      </c>
      <c r="BX659" s="100" t="str">
        <f>IF($BL$5=TRUE,IF(BC659="","",SUM($BC$8:BC659)),"")</f>
        <v/>
      </c>
      <c r="BY659" s="100" t="str">
        <f>IF($BM$5=TRUE,IF(BD659="","",SUM($BD$8:BD659)),"")</f>
        <v/>
      </c>
      <c r="BZ659" s="100" t="str">
        <f>IF($BN$5=TRUE,IF(BE659="","",SUM($BE$8:BE659)),"")</f>
        <v/>
      </c>
    </row>
    <row r="660" spans="46:78" x14ac:dyDescent="0.25">
      <c r="AT660" s="74"/>
      <c r="AW660" s="74"/>
      <c r="BR660" s="133" t="str">
        <f t="shared" si="36"/>
        <v/>
      </c>
      <c r="BS660" s="100" t="str">
        <f>IF($BG$5=TRUE,IF(AX660="","",SUM($AX$8:AX660)),"")</f>
        <v/>
      </c>
      <c r="BT660" s="100" t="str">
        <f>IF($BH$5=TRUE,IF(AY660="","",SUM($AY$8:AY660)),"")</f>
        <v/>
      </c>
      <c r="BU660" s="100" t="str">
        <f>IF($BI$5=TRUE,IF(AZ660="","",SUM($AZ$8:AZ660)),"")</f>
        <v/>
      </c>
      <c r="BV660" s="100" t="str">
        <f>IF($BJ$5=TRUE,IF(BA660="","",SUM($BA$8:BA660)),"")</f>
        <v/>
      </c>
      <c r="BW660" s="100" t="str">
        <f>IF($BK$5=TRUE,IF(BB660="","",SUM($BB$8:BB660)),"")</f>
        <v/>
      </c>
      <c r="BX660" s="100" t="str">
        <f>IF($BL$5=TRUE,IF(BC660="","",SUM($BC$8:BC660)),"")</f>
        <v/>
      </c>
      <c r="BY660" s="100" t="str">
        <f>IF($BM$5=TRUE,IF(BD660="","",SUM($BD$8:BD660)),"")</f>
        <v/>
      </c>
      <c r="BZ660" s="100" t="str">
        <f>IF($BN$5=TRUE,IF(BE660="","",SUM($BE$8:BE660)),"")</f>
        <v/>
      </c>
    </row>
    <row r="661" spans="46:78" x14ac:dyDescent="0.25">
      <c r="AT661" s="74"/>
      <c r="AW661" s="74"/>
      <c r="BR661" s="133" t="str">
        <f t="shared" si="36"/>
        <v/>
      </c>
      <c r="BS661" s="100" t="str">
        <f>IF($BG$5=TRUE,IF(AX661="","",SUM($AX$8:AX661)),"")</f>
        <v/>
      </c>
      <c r="BT661" s="100" t="str">
        <f>IF($BH$5=TRUE,IF(AY661="","",SUM($AY$8:AY661)),"")</f>
        <v/>
      </c>
      <c r="BU661" s="100" t="str">
        <f>IF($BI$5=TRUE,IF(AZ661="","",SUM($AZ$8:AZ661)),"")</f>
        <v/>
      </c>
      <c r="BV661" s="100" t="str">
        <f>IF($BJ$5=TRUE,IF(BA661="","",SUM($BA$8:BA661)),"")</f>
        <v/>
      </c>
      <c r="BW661" s="100" t="str">
        <f>IF($BK$5=TRUE,IF(BB661="","",SUM($BB$8:BB661)),"")</f>
        <v/>
      </c>
      <c r="BX661" s="100" t="str">
        <f>IF($BL$5=TRUE,IF(BC661="","",SUM($BC$8:BC661)),"")</f>
        <v/>
      </c>
      <c r="BY661" s="100" t="str">
        <f>IF($BM$5=TRUE,IF(BD661="","",SUM($BD$8:BD661)),"")</f>
        <v/>
      </c>
      <c r="BZ661" s="100" t="str">
        <f>IF($BN$5=TRUE,IF(BE661="","",SUM($BE$8:BE661)),"")</f>
        <v/>
      </c>
    </row>
    <row r="662" spans="46:78" x14ac:dyDescent="0.25">
      <c r="AT662" s="74"/>
      <c r="AW662" s="74"/>
      <c r="BR662" s="133" t="str">
        <f t="shared" si="36"/>
        <v/>
      </c>
      <c r="BS662" s="100" t="str">
        <f>IF($BG$5=TRUE,IF(AX662="","",SUM($AX$8:AX662)),"")</f>
        <v/>
      </c>
      <c r="BT662" s="100" t="str">
        <f>IF($BH$5=TRUE,IF(AY662="","",SUM($AY$8:AY662)),"")</f>
        <v/>
      </c>
      <c r="BU662" s="100" t="str">
        <f>IF($BI$5=TRUE,IF(AZ662="","",SUM($AZ$8:AZ662)),"")</f>
        <v/>
      </c>
      <c r="BV662" s="100" t="str">
        <f>IF($BJ$5=TRUE,IF(BA662="","",SUM($BA$8:BA662)),"")</f>
        <v/>
      </c>
      <c r="BW662" s="100" t="str">
        <f>IF($BK$5=TRUE,IF(BB662="","",SUM($BB$8:BB662)),"")</f>
        <v/>
      </c>
      <c r="BX662" s="100" t="str">
        <f>IF($BL$5=TRUE,IF(BC662="","",SUM($BC$8:BC662)),"")</f>
        <v/>
      </c>
      <c r="BY662" s="100" t="str">
        <f>IF($BM$5=TRUE,IF(BD662="","",SUM($BD$8:BD662)),"")</f>
        <v/>
      </c>
      <c r="BZ662" s="100" t="str">
        <f>IF($BN$5=TRUE,IF(BE662="","",SUM($BE$8:BE662)),"")</f>
        <v/>
      </c>
    </row>
    <row r="663" spans="46:78" x14ac:dyDescent="0.25">
      <c r="AT663" s="74"/>
      <c r="AW663" s="74"/>
      <c r="BR663" s="133" t="str">
        <f t="shared" si="36"/>
        <v/>
      </c>
      <c r="BS663" s="100" t="str">
        <f>IF($BG$5=TRUE,IF(AX663="","",SUM($AX$8:AX663)),"")</f>
        <v/>
      </c>
      <c r="BT663" s="100" t="str">
        <f>IF($BH$5=TRUE,IF(AY663="","",SUM($AY$8:AY663)),"")</f>
        <v/>
      </c>
      <c r="BU663" s="100" t="str">
        <f>IF($BI$5=TRUE,IF(AZ663="","",SUM($AZ$8:AZ663)),"")</f>
        <v/>
      </c>
      <c r="BV663" s="100" t="str">
        <f>IF($BJ$5=TRUE,IF(BA663="","",SUM($BA$8:BA663)),"")</f>
        <v/>
      </c>
      <c r="BW663" s="100" t="str">
        <f>IF($BK$5=TRUE,IF(BB663="","",SUM($BB$8:BB663)),"")</f>
        <v/>
      </c>
      <c r="BX663" s="100" t="str">
        <f>IF($BL$5=TRUE,IF(BC663="","",SUM($BC$8:BC663)),"")</f>
        <v/>
      </c>
      <c r="BY663" s="100" t="str">
        <f>IF($BM$5=TRUE,IF(BD663="","",SUM($BD$8:BD663)),"")</f>
        <v/>
      </c>
      <c r="BZ663" s="100" t="str">
        <f>IF($BN$5=TRUE,IF(BE663="","",SUM($BE$8:BE663)),"")</f>
        <v/>
      </c>
    </row>
    <row r="664" spans="46:78" x14ac:dyDescent="0.25">
      <c r="AT664" s="74"/>
      <c r="AW664" s="74"/>
      <c r="BR664" s="133" t="str">
        <f t="shared" si="36"/>
        <v/>
      </c>
      <c r="BS664" s="100" t="str">
        <f>IF($BG$5=TRUE,IF(AX664="","",SUM($AX$8:AX664)),"")</f>
        <v/>
      </c>
      <c r="BT664" s="100" t="str">
        <f>IF($BH$5=TRUE,IF(AY664="","",SUM($AY$8:AY664)),"")</f>
        <v/>
      </c>
      <c r="BU664" s="100" t="str">
        <f>IF($BI$5=TRUE,IF(AZ664="","",SUM($AZ$8:AZ664)),"")</f>
        <v/>
      </c>
      <c r="BV664" s="100" t="str">
        <f>IF($BJ$5=TRUE,IF(BA664="","",SUM($BA$8:BA664)),"")</f>
        <v/>
      </c>
      <c r="BW664" s="100" t="str">
        <f>IF($BK$5=TRUE,IF(BB664="","",SUM($BB$8:BB664)),"")</f>
        <v/>
      </c>
      <c r="BX664" s="100" t="str">
        <f>IF($BL$5=TRUE,IF(BC664="","",SUM($BC$8:BC664)),"")</f>
        <v/>
      </c>
      <c r="BY664" s="100" t="str">
        <f>IF($BM$5=TRUE,IF(BD664="","",SUM($BD$8:BD664)),"")</f>
        <v/>
      </c>
      <c r="BZ664" s="100" t="str">
        <f>IF($BN$5=TRUE,IF(BE664="","",SUM($BE$8:BE664)),"")</f>
        <v/>
      </c>
    </row>
    <row r="665" spans="46:78" x14ac:dyDescent="0.25">
      <c r="AT665" s="74"/>
      <c r="AW665" s="74"/>
      <c r="BR665" s="133" t="str">
        <f t="shared" si="36"/>
        <v/>
      </c>
      <c r="BS665" s="100" t="str">
        <f>IF($BG$5=TRUE,IF(AX665="","",SUM($AX$8:AX665)),"")</f>
        <v/>
      </c>
      <c r="BT665" s="100" t="str">
        <f>IF($BH$5=TRUE,IF(AY665="","",SUM($AY$8:AY665)),"")</f>
        <v/>
      </c>
      <c r="BU665" s="100" t="str">
        <f>IF($BI$5=TRUE,IF(AZ665="","",SUM($AZ$8:AZ665)),"")</f>
        <v/>
      </c>
      <c r="BV665" s="100" t="str">
        <f>IF($BJ$5=TRUE,IF(BA665="","",SUM($BA$8:BA665)),"")</f>
        <v/>
      </c>
      <c r="BW665" s="100" t="str">
        <f>IF($BK$5=TRUE,IF(BB665="","",SUM($BB$8:BB665)),"")</f>
        <v/>
      </c>
      <c r="BX665" s="100" t="str">
        <f>IF($BL$5=TRUE,IF(BC665="","",SUM($BC$8:BC665)),"")</f>
        <v/>
      </c>
      <c r="BY665" s="100" t="str">
        <f>IF($BM$5=TRUE,IF(BD665="","",SUM($BD$8:BD665)),"")</f>
        <v/>
      </c>
      <c r="BZ665" s="100" t="str">
        <f>IF($BN$5=TRUE,IF(BE665="","",SUM($BE$8:BE665)),"")</f>
        <v/>
      </c>
    </row>
    <row r="666" spans="46:78" x14ac:dyDescent="0.25">
      <c r="AT666" s="74"/>
      <c r="AW666" s="74"/>
    </row>
    <row r="667" spans="46:78" x14ac:dyDescent="0.25">
      <c r="AT667" s="74"/>
      <c r="AW667" s="74"/>
    </row>
    <row r="668" spans="46:78" x14ac:dyDescent="0.25">
      <c r="AT668" s="74"/>
      <c r="AW668" s="74"/>
    </row>
    <row r="669" spans="46:78" x14ac:dyDescent="0.25">
      <c r="AT669" s="74"/>
      <c r="AW669" s="74"/>
    </row>
    <row r="670" spans="46:78" x14ac:dyDescent="0.25">
      <c r="AT670" s="74"/>
      <c r="AW670" s="74"/>
    </row>
    <row r="671" spans="46:78" x14ac:dyDescent="0.25">
      <c r="AT671" s="74"/>
      <c r="AW671" s="74"/>
    </row>
    <row r="672" spans="46:78" x14ac:dyDescent="0.25">
      <c r="AT672" s="74"/>
      <c r="AW672" s="74"/>
    </row>
    <row r="673" spans="46:49" x14ac:dyDescent="0.25">
      <c r="AT673" s="74"/>
      <c r="AW673" s="74"/>
    </row>
    <row r="674" spans="46:49" x14ac:dyDescent="0.25">
      <c r="AT674" s="74"/>
      <c r="AW674" s="74"/>
    </row>
    <row r="675" spans="46:49" x14ac:dyDescent="0.25">
      <c r="AT675" s="74"/>
      <c r="AW675" s="74"/>
    </row>
    <row r="676" spans="46:49" x14ac:dyDescent="0.25">
      <c r="AT676" s="74"/>
      <c r="AW676" s="74"/>
    </row>
    <row r="677" spans="46:49" x14ac:dyDescent="0.25">
      <c r="AT677" s="74"/>
      <c r="AW677" s="74"/>
    </row>
    <row r="678" spans="46:49" x14ac:dyDescent="0.25">
      <c r="AT678" s="74"/>
      <c r="AW678" s="74"/>
    </row>
    <row r="679" spans="46:49" x14ac:dyDescent="0.25">
      <c r="AT679" s="74"/>
      <c r="AW679" s="74"/>
    </row>
    <row r="680" spans="46:49" x14ac:dyDescent="0.25">
      <c r="AT680" s="74"/>
      <c r="AW680" s="74"/>
    </row>
    <row r="681" spans="46:49" x14ac:dyDescent="0.25">
      <c r="AT681" s="74"/>
      <c r="AW681" s="74"/>
    </row>
    <row r="682" spans="46:49" x14ac:dyDescent="0.25">
      <c r="AT682" s="74"/>
      <c r="AW682" s="74"/>
    </row>
    <row r="683" spans="46:49" x14ac:dyDescent="0.25">
      <c r="AT683" s="74"/>
      <c r="AW683" s="74"/>
    </row>
    <row r="684" spans="46:49" x14ac:dyDescent="0.25">
      <c r="AT684" s="74"/>
      <c r="AW684" s="74"/>
    </row>
    <row r="685" spans="46:49" x14ac:dyDescent="0.25">
      <c r="AT685" s="74"/>
      <c r="AW685" s="74"/>
    </row>
    <row r="686" spans="46:49" x14ac:dyDescent="0.25">
      <c r="AT686" s="74"/>
      <c r="AW686" s="74"/>
    </row>
    <row r="687" spans="46:49" x14ac:dyDescent="0.25">
      <c r="AT687" s="74"/>
      <c r="AW687" s="74"/>
    </row>
    <row r="688" spans="46:49" x14ac:dyDescent="0.25">
      <c r="AT688" s="74"/>
      <c r="AW688" s="74"/>
    </row>
    <row r="689" spans="46:49" x14ac:dyDescent="0.25">
      <c r="AT689" s="74"/>
      <c r="AW689" s="74"/>
    </row>
    <row r="690" spans="46:49" x14ac:dyDescent="0.25">
      <c r="AT690" s="74"/>
      <c r="AW690" s="74"/>
    </row>
    <row r="691" spans="46:49" x14ac:dyDescent="0.25">
      <c r="AT691" s="74"/>
      <c r="AW691" s="74"/>
    </row>
    <row r="692" spans="46:49" x14ac:dyDescent="0.25">
      <c r="AT692" s="74"/>
      <c r="AW692" s="74"/>
    </row>
    <row r="693" spans="46:49" x14ac:dyDescent="0.25">
      <c r="AT693" s="74"/>
      <c r="AW693" s="74"/>
    </row>
    <row r="694" spans="46:49" x14ac:dyDescent="0.25">
      <c r="AT694" s="74"/>
      <c r="AW694" s="74"/>
    </row>
    <row r="695" spans="46:49" x14ac:dyDescent="0.25">
      <c r="AT695" s="74"/>
      <c r="AW695" s="74"/>
    </row>
    <row r="696" spans="46:49" x14ac:dyDescent="0.25">
      <c r="AT696" s="74"/>
      <c r="AW696" s="74"/>
    </row>
    <row r="697" spans="46:49" x14ac:dyDescent="0.25">
      <c r="AT697" s="74"/>
      <c r="AW697" s="74"/>
    </row>
    <row r="698" spans="46:49" x14ac:dyDescent="0.25">
      <c r="AT698" s="74"/>
      <c r="AW698" s="74"/>
    </row>
    <row r="699" spans="46:49" x14ac:dyDescent="0.25">
      <c r="AT699" s="74"/>
      <c r="AW699" s="74"/>
    </row>
    <row r="700" spans="46:49" x14ac:dyDescent="0.25">
      <c r="AT700" s="74"/>
      <c r="AW700" s="74"/>
    </row>
    <row r="701" spans="46:49" x14ac:dyDescent="0.25">
      <c r="AT701" s="74"/>
      <c r="AW701" s="74"/>
    </row>
    <row r="702" spans="46:49" x14ac:dyDescent="0.25">
      <c r="AT702" s="74"/>
      <c r="AW702" s="74"/>
    </row>
    <row r="703" spans="46:49" x14ac:dyDescent="0.25">
      <c r="AT703" s="74"/>
      <c r="AW703" s="74"/>
    </row>
    <row r="704" spans="46:49" x14ac:dyDescent="0.25">
      <c r="AT704" s="74"/>
      <c r="AW704" s="74"/>
    </row>
    <row r="705" spans="46:49" x14ac:dyDescent="0.25">
      <c r="AT705" s="74"/>
      <c r="AW705" s="74"/>
    </row>
    <row r="706" spans="46:49" x14ac:dyDescent="0.25">
      <c r="AT706" s="74"/>
      <c r="AW706" s="74"/>
    </row>
    <row r="707" spans="46:49" x14ac:dyDescent="0.25">
      <c r="AT707" s="74"/>
      <c r="AW707" s="74"/>
    </row>
    <row r="708" spans="46:49" x14ac:dyDescent="0.25">
      <c r="AT708" s="74"/>
      <c r="AW708" s="74"/>
    </row>
    <row r="709" spans="46:49" x14ac:dyDescent="0.25">
      <c r="AT709" s="74"/>
      <c r="AW709" s="74"/>
    </row>
    <row r="710" spans="46:49" x14ac:dyDescent="0.25">
      <c r="AT710" s="74"/>
      <c r="AW710" s="74"/>
    </row>
    <row r="711" spans="46:49" x14ac:dyDescent="0.25">
      <c r="AT711" s="74"/>
      <c r="AW711" s="74"/>
    </row>
    <row r="712" spans="46:49" x14ac:dyDescent="0.25">
      <c r="AT712" s="74"/>
      <c r="AW712" s="74"/>
    </row>
    <row r="713" spans="46:49" x14ac:dyDescent="0.25">
      <c r="AT713" s="74"/>
      <c r="AW713" s="74"/>
    </row>
    <row r="714" spans="46:49" x14ac:dyDescent="0.25">
      <c r="AT714" s="74"/>
      <c r="AW714" s="74"/>
    </row>
    <row r="715" spans="46:49" x14ac:dyDescent="0.25">
      <c r="AT715" s="74"/>
      <c r="AW715" s="74"/>
    </row>
    <row r="716" spans="46:49" x14ac:dyDescent="0.25">
      <c r="AT716" s="74"/>
      <c r="AW716" s="74"/>
    </row>
    <row r="717" spans="46:49" x14ac:dyDescent="0.25">
      <c r="AT717" s="74"/>
      <c r="AW717" s="74"/>
    </row>
    <row r="718" spans="46:49" x14ac:dyDescent="0.25">
      <c r="AT718" s="74"/>
      <c r="AW718" s="74"/>
    </row>
    <row r="719" spans="46:49" x14ac:dyDescent="0.25">
      <c r="AT719" s="74"/>
      <c r="AW719" s="74"/>
    </row>
    <row r="720" spans="46:49" x14ac:dyDescent="0.25">
      <c r="AT720" s="74"/>
      <c r="AW720" s="74"/>
    </row>
    <row r="721" spans="46:49" x14ac:dyDescent="0.25">
      <c r="AT721" s="74"/>
      <c r="AW721" s="74"/>
    </row>
    <row r="722" spans="46:49" x14ac:dyDescent="0.25">
      <c r="AT722" s="74"/>
      <c r="AW722" s="74"/>
    </row>
    <row r="723" spans="46:49" x14ac:dyDescent="0.25">
      <c r="AT723" s="74"/>
      <c r="AW723" s="74"/>
    </row>
    <row r="724" spans="46:49" x14ac:dyDescent="0.25">
      <c r="AT724" s="74"/>
      <c r="AW724" s="74"/>
    </row>
    <row r="725" spans="46:49" x14ac:dyDescent="0.25">
      <c r="AT725" s="74"/>
      <c r="AW725" s="74"/>
    </row>
    <row r="726" spans="46:49" x14ac:dyDescent="0.25">
      <c r="AT726" s="74"/>
      <c r="AW726" s="74"/>
    </row>
    <row r="727" spans="46:49" x14ac:dyDescent="0.25">
      <c r="AT727" s="74"/>
      <c r="AW727" s="74"/>
    </row>
    <row r="728" spans="46:49" x14ac:dyDescent="0.25">
      <c r="AT728" s="74"/>
      <c r="AW728" s="74"/>
    </row>
    <row r="729" spans="46:49" x14ac:dyDescent="0.25">
      <c r="AT729" s="74"/>
      <c r="AW729" s="74"/>
    </row>
    <row r="730" spans="46:49" x14ac:dyDescent="0.25">
      <c r="AT730" s="74"/>
      <c r="AW730" s="74"/>
    </row>
    <row r="731" spans="46:49" x14ac:dyDescent="0.25">
      <c r="AT731" s="74"/>
      <c r="AW731" s="74"/>
    </row>
    <row r="732" spans="46:49" x14ac:dyDescent="0.25">
      <c r="AT732" s="74"/>
      <c r="AW732" s="74"/>
    </row>
    <row r="733" spans="46:49" x14ac:dyDescent="0.25">
      <c r="AT733" s="74"/>
      <c r="AW733" s="74"/>
    </row>
    <row r="734" spans="46:49" x14ac:dyDescent="0.25">
      <c r="AT734" s="74"/>
      <c r="AW734" s="74"/>
    </row>
    <row r="735" spans="46:49" x14ac:dyDescent="0.25">
      <c r="AT735" s="74"/>
      <c r="AW735" s="74"/>
    </row>
    <row r="736" spans="46:49" x14ac:dyDescent="0.25">
      <c r="AT736" s="74"/>
      <c r="AW736" s="74"/>
    </row>
    <row r="737" spans="46:49" x14ac:dyDescent="0.25">
      <c r="AT737" s="74"/>
      <c r="AW737" s="74"/>
    </row>
    <row r="738" spans="46:49" x14ac:dyDescent="0.25">
      <c r="AT738" s="74"/>
      <c r="AW738" s="74"/>
    </row>
    <row r="739" spans="46:49" x14ac:dyDescent="0.25">
      <c r="AT739" s="74"/>
      <c r="AW739" s="74"/>
    </row>
    <row r="740" spans="46:49" x14ac:dyDescent="0.25">
      <c r="AT740" s="74"/>
      <c r="AW740" s="74"/>
    </row>
    <row r="741" spans="46:49" x14ac:dyDescent="0.25">
      <c r="AT741" s="74"/>
      <c r="AW741" s="74"/>
    </row>
    <row r="742" spans="46:49" x14ac:dyDescent="0.25">
      <c r="AT742" s="74"/>
      <c r="AW742" s="74"/>
    </row>
    <row r="743" spans="46:49" x14ac:dyDescent="0.25">
      <c r="AT743" s="74"/>
      <c r="AW743" s="74"/>
    </row>
    <row r="744" spans="46:49" x14ac:dyDescent="0.25">
      <c r="AT744" s="74"/>
      <c r="AW744" s="74"/>
    </row>
    <row r="745" spans="46:49" x14ac:dyDescent="0.25">
      <c r="AT745" s="74"/>
      <c r="AW745" s="74"/>
    </row>
    <row r="746" spans="46:49" x14ac:dyDescent="0.25">
      <c r="AT746" s="74"/>
      <c r="AW746" s="74"/>
    </row>
    <row r="747" spans="46:49" x14ac:dyDescent="0.25">
      <c r="AT747" s="74"/>
      <c r="AW747" s="74"/>
    </row>
    <row r="748" spans="46:49" x14ac:dyDescent="0.25">
      <c r="AT748" s="74"/>
      <c r="AW748" s="74"/>
    </row>
    <row r="749" spans="46:49" x14ac:dyDescent="0.25">
      <c r="AT749" s="74"/>
      <c r="AW749" s="74"/>
    </row>
    <row r="750" spans="46:49" x14ac:dyDescent="0.25">
      <c r="AT750" s="74"/>
      <c r="AW750" s="74"/>
    </row>
    <row r="751" spans="46:49" x14ac:dyDescent="0.25">
      <c r="AT751" s="74"/>
      <c r="AW751" s="74"/>
    </row>
    <row r="752" spans="46:49" x14ac:dyDescent="0.25">
      <c r="AT752" s="74"/>
      <c r="AW752" s="74"/>
    </row>
    <row r="753" spans="46:49" x14ac:dyDescent="0.25">
      <c r="AT753" s="74"/>
      <c r="AW753" s="74"/>
    </row>
    <row r="754" spans="46:49" x14ac:dyDescent="0.25">
      <c r="AT754" s="74"/>
      <c r="AW754" s="74"/>
    </row>
    <row r="755" spans="46:49" x14ac:dyDescent="0.25">
      <c r="AT755" s="74"/>
      <c r="AW755" s="74"/>
    </row>
    <row r="756" spans="46:49" x14ac:dyDescent="0.25">
      <c r="AT756" s="74"/>
      <c r="AW756" s="74"/>
    </row>
    <row r="757" spans="46:49" x14ac:dyDescent="0.25">
      <c r="AT757" s="74"/>
      <c r="AW757" s="74"/>
    </row>
    <row r="758" spans="46:49" x14ac:dyDescent="0.25">
      <c r="AT758" s="74"/>
      <c r="AW758" s="74"/>
    </row>
    <row r="759" spans="46:49" x14ac:dyDescent="0.25">
      <c r="AT759" s="74"/>
      <c r="AW759" s="74"/>
    </row>
    <row r="760" spans="46:49" x14ac:dyDescent="0.25">
      <c r="AT760" s="74"/>
      <c r="AW760" s="74"/>
    </row>
    <row r="761" spans="46:49" x14ac:dyDescent="0.25">
      <c r="AT761" s="74"/>
      <c r="AW761" s="74"/>
    </row>
    <row r="762" spans="46:49" x14ac:dyDescent="0.25">
      <c r="AT762" s="74"/>
      <c r="AW762" s="74"/>
    </row>
    <row r="763" spans="46:49" x14ac:dyDescent="0.25">
      <c r="AT763" s="74"/>
      <c r="AW763" s="74"/>
    </row>
    <row r="764" spans="46:49" x14ac:dyDescent="0.25">
      <c r="AT764" s="74"/>
      <c r="AW764" s="74"/>
    </row>
    <row r="765" spans="46:49" x14ac:dyDescent="0.25">
      <c r="AT765" s="74"/>
      <c r="AW765" s="74"/>
    </row>
    <row r="766" spans="46:49" x14ac:dyDescent="0.25">
      <c r="AT766" s="74"/>
      <c r="AW766" s="74"/>
    </row>
    <row r="767" spans="46:49" x14ac:dyDescent="0.25">
      <c r="AT767" s="74"/>
      <c r="AW767" s="74"/>
    </row>
    <row r="768" spans="46:49" x14ac:dyDescent="0.25">
      <c r="AT768" s="74"/>
      <c r="AW768" s="74"/>
    </row>
    <row r="769" spans="46:49" x14ac:dyDescent="0.25">
      <c r="AT769" s="74"/>
      <c r="AW769" s="74"/>
    </row>
    <row r="770" spans="46:49" x14ac:dyDescent="0.25">
      <c r="AT770" s="74"/>
      <c r="AW770" s="74"/>
    </row>
    <row r="771" spans="46:49" x14ac:dyDescent="0.25">
      <c r="AT771" s="74"/>
      <c r="AW771" s="74"/>
    </row>
    <row r="772" spans="46:49" x14ac:dyDescent="0.25">
      <c r="AT772" s="74"/>
      <c r="AW772" s="74"/>
    </row>
    <row r="773" spans="46:49" x14ac:dyDescent="0.25">
      <c r="AT773" s="74"/>
      <c r="AW773" s="74"/>
    </row>
    <row r="774" spans="46:49" x14ac:dyDescent="0.25">
      <c r="AT774" s="74"/>
      <c r="AW774" s="74"/>
    </row>
    <row r="775" spans="46:49" x14ac:dyDescent="0.25">
      <c r="AT775" s="74"/>
      <c r="AW775" s="74"/>
    </row>
    <row r="776" spans="46:49" x14ac:dyDescent="0.25">
      <c r="AT776" s="74"/>
      <c r="AW776" s="74"/>
    </row>
    <row r="777" spans="46:49" x14ac:dyDescent="0.25">
      <c r="AT777" s="74"/>
      <c r="AW777" s="74"/>
    </row>
    <row r="778" spans="46:49" x14ac:dyDescent="0.25">
      <c r="AT778" s="74"/>
      <c r="AW778" s="74"/>
    </row>
    <row r="779" spans="46:49" x14ac:dyDescent="0.25">
      <c r="AT779" s="74"/>
      <c r="AW779" s="74"/>
    </row>
    <row r="780" spans="46:49" x14ac:dyDescent="0.25">
      <c r="AT780" s="74"/>
      <c r="AW780" s="74"/>
    </row>
    <row r="781" spans="46:49" x14ac:dyDescent="0.25">
      <c r="AT781" s="74"/>
      <c r="AW781" s="74"/>
    </row>
    <row r="782" spans="46:49" x14ac:dyDescent="0.25">
      <c r="AT782" s="74"/>
      <c r="AW782" s="74"/>
    </row>
    <row r="783" spans="46:49" x14ac:dyDescent="0.25">
      <c r="AT783" s="74"/>
      <c r="AW783" s="74"/>
    </row>
    <row r="784" spans="46:49" x14ac:dyDescent="0.25">
      <c r="AT784" s="74"/>
      <c r="AW784" s="74"/>
    </row>
    <row r="785" spans="46:49" x14ac:dyDescent="0.25">
      <c r="AT785" s="74"/>
      <c r="AW785" s="74"/>
    </row>
    <row r="786" spans="46:49" x14ac:dyDescent="0.25">
      <c r="AT786" s="74"/>
      <c r="AW786" s="74"/>
    </row>
    <row r="787" spans="46:49" x14ac:dyDescent="0.25">
      <c r="AT787" s="74"/>
      <c r="AW787" s="74"/>
    </row>
    <row r="788" spans="46:49" x14ac:dyDescent="0.25">
      <c r="AT788" s="74"/>
      <c r="AW788" s="74"/>
    </row>
    <row r="789" spans="46:49" x14ac:dyDescent="0.25">
      <c r="AT789" s="74"/>
      <c r="AW789" s="74"/>
    </row>
    <row r="790" spans="46:49" x14ac:dyDescent="0.25">
      <c r="AT790" s="74"/>
      <c r="AW790" s="74"/>
    </row>
    <row r="791" spans="46:49" x14ac:dyDescent="0.25">
      <c r="AT791" s="74"/>
      <c r="AW791" s="74"/>
    </row>
    <row r="792" spans="46:49" x14ac:dyDescent="0.25">
      <c r="AT792" s="74"/>
      <c r="AW792" s="74"/>
    </row>
    <row r="793" spans="46:49" x14ac:dyDescent="0.25">
      <c r="AT793" s="74"/>
      <c r="AW793" s="74"/>
    </row>
    <row r="794" spans="46:49" x14ac:dyDescent="0.25">
      <c r="AT794" s="74"/>
      <c r="AW794" s="74"/>
    </row>
    <row r="795" spans="46:49" x14ac:dyDescent="0.25">
      <c r="AT795" s="74"/>
      <c r="AW795" s="74"/>
    </row>
    <row r="796" spans="46:49" x14ac:dyDescent="0.25">
      <c r="AT796" s="74"/>
      <c r="AW796" s="74"/>
    </row>
    <row r="797" spans="46:49" x14ac:dyDescent="0.25">
      <c r="AT797" s="74"/>
      <c r="AW797" s="74"/>
    </row>
    <row r="798" spans="46:49" x14ac:dyDescent="0.25">
      <c r="AT798" s="74"/>
      <c r="AW798" s="74"/>
    </row>
    <row r="799" spans="46:49" x14ac:dyDescent="0.25">
      <c r="AT799" s="74"/>
      <c r="AW799" s="74"/>
    </row>
    <row r="800" spans="46:49" x14ac:dyDescent="0.25">
      <c r="AT800" s="74"/>
      <c r="AW800" s="74"/>
    </row>
    <row r="801" spans="46:49" x14ac:dyDescent="0.25">
      <c r="AT801" s="74"/>
      <c r="AW801" s="74"/>
    </row>
    <row r="802" spans="46:49" x14ac:dyDescent="0.25">
      <c r="AT802" s="74"/>
      <c r="AW802" s="74"/>
    </row>
    <row r="803" spans="46:49" x14ac:dyDescent="0.25">
      <c r="AT803" s="74"/>
      <c r="AW803" s="74"/>
    </row>
    <row r="804" spans="46:49" x14ac:dyDescent="0.25">
      <c r="AT804" s="74"/>
      <c r="AW804" s="74"/>
    </row>
    <row r="805" spans="46:49" x14ac:dyDescent="0.25">
      <c r="AT805" s="74"/>
      <c r="AW805" s="74"/>
    </row>
    <row r="806" spans="46:49" x14ac:dyDescent="0.25">
      <c r="AT806" s="74"/>
      <c r="AW806" s="74"/>
    </row>
    <row r="807" spans="46:49" x14ac:dyDescent="0.25">
      <c r="AT807" s="74"/>
      <c r="AW807" s="74"/>
    </row>
    <row r="808" spans="46:49" x14ac:dyDescent="0.25">
      <c r="AT808" s="74"/>
      <c r="AW808" s="74"/>
    </row>
    <row r="809" spans="46:49" x14ac:dyDescent="0.25">
      <c r="AT809" s="74"/>
      <c r="AW809" s="74"/>
    </row>
    <row r="810" spans="46:49" x14ac:dyDescent="0.25">
      <c r="AT810" s="74"/>
      <c r="AW810" s="74"/>
    </row>
    <row r="811" spans="46:49" x14ac:dyDescent="0.25">
      <c r="AT811" s="74"/>
      <c r="AW811" s="74"/>
    </row>
    <row r="812" spans="46:49" x14ac:dyDescent="0.25">
      <c r="AT812" s="74"/>
      <c r="AW812" s="74"/>
    </row>
    <row r="813" spans="46:49" x14ac:dyDescent="0.25">
      <c r="AT813" s="74"/>
      <c r="AW813" s="74"/>
    </row>
    <row r="814" spans="46:49" x14ac:dyDescent="0.25">
      <c r="AT814" s="74"/>
      <c r="AW814" s="74"/>
    </row>
    <row r="815" spans="46:49" x14ac:dyDescent="0.25">
      <c r="AT815" s="74"/>
      <c r="AW815" s="74"/>
    </row>
    <row r="816" spans="46:49" x14ac:dyDescent="0.25">
      <c r="AT816" s="74"/>
      <c r="AW816" s="74"/>
    </row>
    <row r="817" spans="46:49" x14ac:dyDescent="0.25">
      <c r="AT817" s="74"/>
      <c r="AW817" s="74"/>
    </row>
    <row r="818" spans="46:49" x14ac:dyDescent="0.25">
      <c r="AT818" s="74"/>
      <c r="AW818" s="74"/>
    </row>
    <row r="819" spans="46:49" x14ac:dyDescent="0.25">
      <c r="AT819" s="74"/>
      <c r="AW819" s="74"/>
    </row>
    <row r="820" spans="46:49" x14ac:dyDescent="0.25">
      <c r="AT820" s="74"/>
      <c r="AW820" s="74"/>
    </row>
    <row r="821" spans="46:49" x14ac:dyDescent="0.25">
      <c r="AT821" s="74"/>
      <c r="AW821" s="74"/>
    </row>
    <row r="822" spans="46:49" x14ac:dyDescent="0.25">
      <c r="AT822" s="74"/>
      <c r="AW822" s="74"/>
    </row>
    <row r="823" spans="46:49" x14ac:dyDescent="0.25">
      <c r="AT823" s="74"/>
      <c r="AW823" s="74"/>
    </row>
    <row r="824" spans="46:49" x14ac:dyDescent="0.25">
      <c r="AT824" s="74"/>
      <c r="AW824" s="74"/>
    </row>
    <row r="825" spans="46:49" x14ac:dyDescent="0.25">
      <c r="AT825" s="74"/>
      <c r="AW825" s="74"/>
    </row>
    <row r="826" spans="46:49" x14ac:dyDescent="0.25">
      <c r="AT826" s="74"/>
      <c r="AW826" s="74"/>
    </row>
    <row r="827" spans="46:49" x14ac:dyDescent="0.25">
      <c r="AT827" s="74"/>
      <c r="AW827" s="74"/>
    </row>
    <row r="828" spans="46:49" x14ac:dyDescent="0.25">
      <c r="AT828" s="74"/>
      <c r="AW828" s="74"/>
    </row>
    <row r="829" spans="46:49" x14ac:dyDescent="0.25">
      <c r="AT829" s="74"/>
      <c r="AW829" s="74"/>
    </row>
    <row r="830" spans="46:49" x14ac:dyDescent="0.25">
      <c r="AT830" s="74"/>
      <c r="AW830" s="74"/>
    </row>
    <row r="831" spans="46:49" x14ac:dyDescent="0.25">
      <c r="AT831" s="74"/>
      <c r="AW831" s="74"/>
    </row>
    <row r="832" spans="46:49" x14ac:dyDescent="0.25">
      <c r="AT832" s="74"/>
      <c r="AW832" s="74"/>
    </row>
    <row r="833" spans="46:49" x14ac:dyDescent="0.25">
      <c r="AT833" s="74"/>
      <c r="AW833" s="74"/>
    </row>
    <row r="834" spans="46:49" x14ac:dyDescent="0.25">
      <c r="AT834" s="74"/>
      <c r="AW834" s="74"/>
    </row>
    <row r="835" spans="46:49" x14ac:dyDescent="0.25">
      <c r="AT835" s="74"/>
      <c r="AW835" s="74"/>
    </row>
    <row r="836" spans="46:49" x14ac:dyDescent="0.25">
      <c r="AT836" s="74"/>
      <c r="AW836" s="74"/>
    </row>
    <row r="837" spans="46:49" x14ac:dyDescent="0.25">
      <c r="AT837" s="74"/>
      <c r="AW837" s="74"/>
    </row>
    <row r="838" spans="46:49" x14ac:dyDescent="0.25">
      <c r="AT838" s="74"/>
      <c r="AW838" s="74"/>
    </row>
    <row r="839" spans="46:49" x14ac:dyDescent="0.25">
      <c r="AT839" s="74"/>
      <c r="AW839" s="74"/>
    </row>
    <row r="840" spans="46:49" x14ac:dyDescent="0.25">
      <c r="AT840" s="74"/>
      <c r="AW840" s="74"/>
    </row>
    <row r="841" spans="46:49" x14ac:dyDescent="0.25">
      <c r="AT841" s="74"/>
      <c r="AW841" s="74"/>
    </row>
    <row r="842" spans="46:49" x14ac:dyDescent="0.25">
      <c r="AT842" s="74"/>
      <c r="AW842" s="74"/>
    </row>
    <row r="843" spans="46:49" x14ac:dyDescent="0.25">
      <c r="AT843" s="74"/>
      <c r="AW843" s="74"/>
    </row>
    <row r="844" spans="46:49" x14ac:dyDescent="0.25">
      <c r="AT844" s="74"/>
      <c r="AW844" s="74"/>
    </row>
    <row r="845" spans="46:49" x14ac:dyDescent="0.25">
      <c r="AT845" s="74"/>
      <c r="AW845" s="74"/>
    </row>
    <row r="846" spans="46:49" x14ac:dyDescent="0.25">
      <c r="AT846" s="74"/>
      <c r="AW846" s="74"/>
    </row>
    <row r="847" spans="46:49" x14ac:dyDescent="0.25">
      <c r="AT847" s="74"/>
      <c r="AW847" s="74"/>
    </row>
    <row r="848" spans="46:49" x14ac:dyDescent="0.25">
      <c r="AT848" s="74"/>
      <c r="AW848" s="74"/>
    </row>
    <row r="849" spans="46:49" x14ac:dyDescent="0.25">
      <c r="AT849" s="74"/>
      <c r="AW849" s="74"/>
    </row>
    <row r="850" spans="46:49" x14ac:dyDescent="0.25">
      <c r="AT850" s="74"/>
      <c r="AW850" s="74"/>
    </row>
    <row r="851" spans="46:49" x14ac:dyDescent="0.25">
      <c r="AT851" s="74"/>
      <c r="AW851" s="74"/>
    </row>
    <row r="852" spans="46:49" x14ac:dyDescent="0.25">
      <c r="AT852" s="74"/>
      <c r="AW852" s="74"/>
    </row>
    <row r="853" spans="46:49" x14ac:dyDescent="0.25">
      <c r="AT853" s="74"/>
      <c r="AW853" s="74"/>
    </row>
    <row r="854" spans="46:49" x14ac:dyDescent="0.25">
      <c r="AT854" s="74"/>
      <c r="AW854" s="74"/>
    </row>
    <row r="855" spans="46:49" x14ac:dyDescent="0.25">
      <c r="AT855" s="74"/>
      <c r="AW855" s="74"/>
    </row>
    <row r="856" spans="46:49" x14ac:dyDescent="0.25">
      <c r="AT856" s="74"/>
      <c r="AW856" s="74"/>
    </row>
    <row r="857" spans="46:49" x14ac:dyDescent="0.25">
      <c r="AT857" s="74"/>
      <c r="AW857" s="74"/>
    </row>
    <row r="858" spans="46:49" x14ac:dyDescent="0.25">
      <c r="AT858" s="74"/>
      <c r="AW858" s="74"/>
    </row>
    <row r="859" spans="46:49" x14ac:dyDescent="0.25">
      <c r="AT859" s="74"/>
      <c r="AW859" s="74"/>
    </row>
    <row r="860" spans="46:49" x14ac:dyDescent="0.25">
      <c r="AT860" s="74"/>
      <c r="AW860" s="74"/>
    </row>
    <row r="861" spans="46:49" x14ac:dyDescent="0.25">
      <c r="AT861" s="74"/>
      <c r="AW861" s="74"/>
    </row>
    <row r="862" spans="46:49" x14ac:dyDescent="0.25">
      <c r="AT862" s="74"/>
      <c r="AW862" s="74"/>
    </row>
    <row r="863" spans="46:49" x14ac:dyDescent="0.25">
      <c r="AT863" s="74"/>
      <c r="AW863" s="74"/>
    </row>
    <row r="864" spans="46:49" x14ac:dyDescent="0.25">
      <c r="AT864" s="74"/>
      <c r="AW864" s="74"/>
    </row>
    <row r="865" spans="46:49" x14ac:dyDescent="0.25">
      <c r="AT865" s="74"/>
      <c r="AW865" s="74"/>
    </row>
    <row r="866" spans="46:49" x14ac:dyDescent="0.25">
      <c r="AT866" s="74"/>
      <c r="AW866" s="74"/>
    </row>
    <row r="867" spans="46:49" x14ac:dyDescent="0.25">
      <c r="AT867" s="74"/>
      <c r="AW867" s="74"/>
    </row>
    <row r="868" spans="46:49" x14ac:dyDescent="0.25">
      <c r="AT868" s="74"/>
      <c r="AW868" s="74"/>
    </row>
    <row r="869" spans="46:49" x14ac:dyDescent="0.25">
      <c r="AT869" s="74"/>
      <c r="AW869" s="74"/>
    </row>
    <row r="870" spans="46:49" x14ac:dyDescent="0.25">
      <c r="AT870" s="74"/>
      <c r="AW870" s="74"/>
    </row>
    <row r="871" spans="46:49" x14ac:dyDescent="0.25">
      <c r="AT871" s="74"/>
      <c r="AW871" s="74"/>
    </row>
    <row r="872" spans="46:49" x14ac:dyDescent="0.25">
      <c r="AT872" s="74"/>
      <c r="AW872" s="74"/>
    </row>
    <row r="873" spans="46:49" x14ac:dyDescent="0.25">
      <c r="AT873" s="74"/>
      <c r="AW873" s="74"/>
    </row>
    <row r="874" spans="46:49" x14ac:dyDescent="0.25">
      <c r="AT874" s="74"/>
      <c r="AW874" s="74"/>
    </row>
    <row r="875" spans="46:49" x14ac:dyDescent="0.25">
      <c r="AT875" s="74"/>
      <c r="AW875" s="74"/>
    </row>
    <row r="876" spans="46:49" x14ac:dyDescent="0.25">
      <c r="AT876" s="74"/>
      <c r="AW876" s="74"/>
    </row>
    <row r="877" spans="46:49" x14ac:dyDescent="0.25">
      <c r="AT877" s="74"/>
      <c r="AW877" s="74"/>
    </row>
    <row r="878" spans="46:49" x14ac:dyDescent="0.25">
      <c r="AT878" s="74"/>
      <c r="AW878" s="74"/>
    </row>
    <row r="879" spans="46:49" x14ac:dyDescent="0.25">
      <c r="AT879" s="74"/>
      <c r="AW879" s="74"/>
    </row>
    <row r="880" spans="46:49" x14ac:dyDescent="0.25">
      <c r="AT880" s="74"/>
      <c r="AW880" s="74"/>
    </row>
    <row r="881" spans="46:49" x14ac:dyDescent="0.25">
      <c r="AT881" s="74"/>
      <c r="AW881" s="74"/>
    </row>
    <row r="882" spans="46:49" x14ac:dyDescent="0.25">
      <c r="AT882" s="74"/>
      <c r="AW882" s="74"/>
    </row>
    <row r="883" spans="46:49" x14ac:dyDescent="0.25">
      <c r="AT883" s="74"/>
      <c r="AW883" s="74"/>
    </row>
    <row r="884" spans="46:49" x14ac:dyDescent="0.25">
      <c r="AT884" s="74"/>
      <c r="AW884" s="74"/>
    </row>
    <row r="885" spans="46:49" x14ac:dyDescent="0.25">
      <c r="AT885" s="74"/>
      <c r="AW885" s="74"/>
    </row>
    <row r="886" spans="46:49" x14ac:dyDescent="0.25">
      <c r="AT886" s="74"/>
      <c r="AW886" s="74"/>
    </row>
    <row r="887" spans="46:49" x14ac:dyDescent="0.25">
      <c r="AT887" s="74"/>
      <c r="AW887" s="74"/>
    </row>
    <row r="888" spans="46:49" x14ac:dyDescent="0.25">
      <c r="AT888" s="74"/>
      <c r="AW888" s="74"/>
    </row>
    <row r="889" spans="46:49" x14ac:dyDescent="0.25">
      <c r="AT889" s="74"/>
      <c r="AW889" s="74"/>
    </row>
    <row r="890" spans="46:49" x14ac:dyDescent="0.25">
      <c r="AT890" s="74"/>
      <c r="AW890" s="74"/>
    </row>
    <row r="891" spans="46:49" x14ac:dyDescent="0.25">
      <c r="AT891" s="74"/>
      <c r="AW891" s="74"/>
    </row>
    <row r="892" spans="46:49" x14ac:dyDescent="0.25">
      <c r="AT892" s="74"/>
      <c r="AW892" s="74"/>
    </row>
    <row r="893" spans="46:49" x14ac:dyDescent="0.25">
      <c r="AT893" s="74"/>
      <c r="AW893" s="74"/>
    </row>
    <row r="894" spans="46:49" x14ac:dyDescent="0.25">
      <c r="AT894" s="74"/>
      <c r="AW894" s="74"/>
    </row>
    <row r="895" spans="46:49" x14ac:dyDescent="0.25">
      <c r="AT895" s="74"/>
      <c r="AW895" s="74"/>
    </row>
    <row r="896" spans="46:49" x14ac:dyDescent="0.25">
      <c r="AT896" s="74"/>
      <c r="AW896" s="74"/>
    </row>
    <row r="897" spans="46:49" x14ac:dyDescent="0.25">
      <c r="AT897" s="74"/>
      <c r="AW897" s="74"/>
    </row>
    <row r="898" spans="46:49" x14ac:dyDescent="0.25">
      <c r="AT898" s="74"/>
      <c r="AW898" s="74"/>
    </row>
    <row r="899" spans="46:49" x14ac:dyDescent="0.25">
      <c r="AT899" s="74"/>
      <c r="AW899" s="74"/>
    </row>
    <row r="900" spans="46:49" x14ac:dyDescent="0.25">
      <c r="AT900" s="74"/>
      <c r="AW900" s="74"/>
    </row>
    <row r="901" spans="46:49" x14ac:dyDescent="0.25">
      <c r="AT901" s="74"/>
      <c r="AW901" s="74"/>
    </row>
    <row r="902" spans="46:49" x14ac:dyDescent="0.25">
      <c r="AT902" s="74"/>
      <c r="AW902" s="74"/>
    </row>
    <row r="903" spans="46:49" x14ac:dyDescent="0.25">
      <c r="AT903" s="74"/>
      <c r="AW903" s="74"/>
    </row>
    <row r="904" spans="46:49" x14ac:dyDescent="0.25">
      <c r="AT904" s="74"/>
      <c r="AW904" s="74"/>
    </row>
    <row r="905" spans="46:49" x14ac:dyDescent="0.25">
      <c r="AT905" s="74"/>
      <c r="AW905" s="74"/>
    </row>
    <row r="906" spans="46:49" x14ac:dyDescent="0.25">
      <c r="AT906" s="74"/>
      <c r="AW906" s="74"/>
    </row>
    <row r="907" spans="46:49" x14ac:dyDescent="0.25">
      <c r="AT907" s="74"/>
      <c r="AW907" s="74"/>
    </row>
    <row r="908" spans="46:49" x14ac:dyDescent="0.25">
      <c r="AT908" s="74"/>
      <c r="AW908" s="74"/>
    </row>
    <row r="909" spans="46:49" x14ac:dyDescent="0.25">
      <c r="AT909" s="74"/>
      <c r="AW909" s="74"/>
    </row>
    <row r="910" spans="46:49" x14ac:dyDescent="0.25">
      <c r="AT910" s="74"/>
      <c r="AW910" s="74"/>
    </row>
    <row r="911" spans="46:49" x14ac:dyDescent="0.25">
      <c r="AT911" s="74"/>
      <c r="AW911" s="74"/>
    </row>
    <row r="912" spans="46:49" x14ac:dyDescent="0.25">
      <c r="AT912" s="74"/>
      <c r="AW912" s="74"/>
    </row>
    <row r="913" spans="46:49" x14ac:dyDescent="0.25">
      <c r="AT913" s="74"/>
      <c r="AW913" s="74"/>
    </row>
    <row r="914" spans="46:49" x14ac:dyDescent="0.25">
      <c r="AT914" s="74"/>
      <c r="AW914" s="74"/>
    </row>
    <row r="915" spans="46:49" x14ac:dyDescent="0.25">
      <c r="AT915" s="74"/>
      <c r="AW915" s="74"/>
    </row>
    <row r="916" spans="46:49" x14ac:dyDescent="0.25">
      <c r="AT916" s="74"/>
      <c r="AW916" s="74"/>
    </row>
    <row r="917" spans="46:49" x14ac:dyDescent="0.25">
      <c r="AT917" s="74"/>
      <c r="AW917" s="74"/>
    </row>
    <row r="918" spans="46:49" x14ac:dyDescent="0.25">
      <c r="AT918" s="74"/>
      <c r="AW918" s="74"/>
    </row>
    <row r="919" spans="46:49" x14ac:dyDescent="0.25">
      <c r="AT919" s="74"/>
      <c r="AW919" s="74"/>
    </row>
    <row r="920" spans="46:49" x14ac:dyDescent="0.25">
      <c r="AT920" s="74"/>
      <c r="AW920" s="74"/>
    </row>
    <row r="921" spans="46:49" x14ac:dyDescent="0.25">
      <c r="AT921" s="74"/>
      <c r="AW921" s="74"/>
    </row>
    <row r="922" spans="46:49" x14ac:dyDescent="0.25">
      <c r="AT922" s="74"/>
      <c r="AW922" s="74"/>
    </row>
    <row r="923" spans="46:49" x14ac:dyDescent="0.25">
      <c r="AT923" s="74"/>
      <c r="AW923" s="74"/>
    </row>
    <row r="924" spans="46:49" x14ac:dyDescent="0.25">
      <c r="AT924" s="74"/>
      <c r="AW924" s="74"/>
    </row>
    <row r="925" spans="46:49" x14ac:dyDescent="0.25">
      <c r="AT925" s="74"/>
      <c r="AW925" s="74"/>
    </row>
    <row r="926" spans="46:49" x14ac:dyDescent="0.25">
      <c r="AT926" s="74"/>
      <c r="AW926" s="74"/>
    </row>
    <row r="927" spans="46:49" x14ac:dyDescent="0.25">
      <c r="AT927" s="74"/>
      <c r="AW927" s="74"/>
    </row>
    <row r="928" spans="46:49" x14ac:dyDescent="0.25">
      <c r="AT928" s="74"/>
      <c r="AW928" s="74"/>
    </row>
    <row r="929" spans="46:49" x14ac:dyDescent="0.25">
      <c r="AT929" s="74"/>
      <c r="AW929" s="74"/>
    </row>
    <row r="930" spans="46:49" x14ac:dyDescent="0.25">
      <c r="AT930" s="74"/>
      <c r="AW930" s="74"/>
    </row>
    <row r="931" spans="46:49" x14ac:dyDescent="0.25">
      <c r="AT931" s="74"/>
      <c r="AW931" s="74"/>
    </row>
    <row r="932" spans="46:49" x14ac:dyDescent="0.25">
      <c r="AT932" s="74"/>
      <c r="AW932" s="74"/>
    </row>
    <row r="933" spans="46:49" x14ac:dyDescent="0.25">
      <c r="AT933" s="74"/>
      <c r="AW933" s="74"/>
    </row>
    <row r="934" spans="46:49" x14ac:dyDescent="0.25">
      <c r="AT934" s="74"/>
      <c r="AW934" s="74"/>
    </row>
    <row r="935" spans="46:49" x14ac:dyDescent="0.25">
      <c r="AT935" s="74"/>
      <c r="AW935" s="74"/>
    </row>
    <row r="936" spans="46:49" x14ac:dyDescent="0.25">
      <c r="AT936" s="74"/>
      <c r="AW936" s="74"/>
    </row>
    <row r="937" spans="46:49" x14ac:dyDescent="0.25">
      <c r="AT937" s="74"/>
      <c r="AW937" s="74"/>
    </row>
    <row r="938" spans="46:49" x14ac:dyDescent="0.25">
      <c r="AT938" s="74"/>
      <c r="AW938" s="74"/>
    </row>
    <row r="939" spans="46:49" x14ac:dyDescent="0.25">
      <c r="AT939" s="74"/>
      <c r="AW939" s="74"/>
    </row>
    <row r="940" spans="46:49" x14ac:dyDescent="0.25">
      <c r="AT940" s="74"/>
      <c r="AW940" s="74"/>
    </row>
    <row r="941" spans="46:49" x14ac:dyDescent="0.25">
      <c r="AT941" s="74"/>
      <c r="AW941" s="74"/>
    </row>
    <row r="942" spans="46:49" x14ac:dyDescent="0.25">
      <c r="AT942" s="74"/>
      <c r="AW942" s="74"/>
    </row>
    <row r="943" spans="46:49" x14ac:dyDescent="0.25">
      <c r="AT943" s="74"/>
      <c r="AW943" s="74"/>
    </row>
    <row r="944" spans="46:49" x14ac:dyDescent="0.25">
      <c r="AT944" s="74"/>
      <c r="AW944" s="74"/>
    </row>
    <row r="945" spans="46:49" x14ac:dyDescent="0.25">
      <c r="AT945" s="74"/>
      <c r="AW945" s="74"/>
    </row>
    <row r="946" spans="46:49" x14ac:dyDescent="0.25">
      <c r="AT946" s="74"/>
      <c r="AW946" s="74"/>
    </row>
    <row r="947" spans="46:49" x14ac:dyDescent="0.25">
      <c r="AT947" s="74"/>
      <c r="AW947" s="74"/>
    </row>
    <row r="948" spans="46:49" x14ac:dyDescent="0.25">
      <c r="AT948" s="74"/>
      <c r="AW948" s="74"/>
    </row>
    <row r="949" spans="46:49" x14ac:dyDescent="0.25">
      <c r="AT949" s="74"/>
      <c r="AW949" s="74"/>
    </row>
    <row r="950" spans="46:49" x14ac:dyDescent="0.25">
      <c r="AT950" s="74"/>
      <c r="AW950" s="74"/>
    </row>
    <row r="951" spans="46:49" x14ac:dyDescent="0.25">
      <c r="AT951" s="74"/>
      <c r="AW951" s="74"/>
    </row>
    <row r="952" spans="46:49" x14ac:dyDescent="0.25">
      <c r="AT952" s="74"/>
      <c r="AW952" s="74"/>
    </row>
    <row r="953" spans="46:49" x14ac:dyDescent="0.25">
      <c r="AT953" s="74"/>
      <c r="AW953" s="74"/>
    </row>
    <row r="954" spans="46:49" x14ac:dyDescent="0.25">
      <c r="AT954" s="74"/>
      <c r="AW954" s="74"/>
    </row>
    <row r="955" spans="46:49" x14ac:dyDescent="0.25">
      <c r="AT955" s="74"/>
      <c r="AW955" s="74"/>
    </row>
    <row r="956" spans="46:49" x14ac:dyDescent="0.25">
      <c r="AT956" s="74"/>
      <c r="AW956" s="74"/>
    </row>
    <row r="957" spans="46:49" x14ac:dyDescent="0.25">
      <c r="AT957" s="74"/>
      <c r="AW957" s="74"/>
    </row>
    <row r="958" spans="46:49" x14ac:dyDescent="0.25">
      <c r="AT958" s="74"/>
      <c r="AW958" s="74"/>
    </row>
    <row r="959" spans="46:49" x14ac:dyDescent="0.25">
      <c r="AT959" s="74"/>
      <c r="AW959" s="74"/>
    </row>
    <row r="960" spans="46:49" x14ac:dyDescent="0.25">
      <c r="AT960" s="74"/>
      <c r="AW960" s="74"/>
    </row>
    <row r="961" spans="46:49" x14ac:dyDescent="0.25">
      <c r="AT961" s="74"/>
      <c r="AW961" s="74"/>
    </row>
    <row r="962" spans="46:49" x14ac:dyDescent="0.25">
      <c r="AT962" s="74"/>
      <c r="AW962" s="74"/>
    </row>
    <row r="963" spans="46:49" x14ac:dyDescent="0.25">
      <c r="AT963" s="74"/>
      <c r="AW963" s="74"/>
    </row>
    <row r="964" spans="46:49" x14ac:dyDescent="0.25">
      <c r="AT964" s="74"/>
      <c r="AW964" s="74"/>
    </row>
    <row r="965" spans="46:49" x14ac:dyDescent="0.25">
      <c r="AT965" s="74"/>
      <c r="AW965" s="74"/>
    </row>
    <row r="966" spans="46:49" x14ac:dyDescent="0.25">
      <c r="AT966" s="74"/>
      <c r="AW966" s="74"/>
    </row>
    <row r="967" spans="46:49" x14ac:dyDescent="0.25">
      <c r="AT967" s="74"/>
      <c r="AW967" s="74"/>
    </row>
    <row r="968" spans="46:49" x14ac:dyDescent="0.25">
      <c r="AT968" s="74"/>
      <c r="AW968" s="74"/>
    </row>
    <row r="969" spans="46:49" x14ac:dyDescent="0.25">
      <c r="AT969" s="74"/>
      <c r="AW969" s="74"/>
    </row>
    <row r="970" spans="46:49" x14ac:dyDescent="0.25">
      <c r="AT970" s="74"/>
      <c r="AW970" s="74"/>
    </row>
    <row r="971" spans="46:49" x14ac:dyDescent="0.25">
      <c r="AT971" s="74"/>
      <c r="AW971" s="74"/>
    </row>
    <row r="972" spans="46:49" x14ac:dyDescent="0.25">
      <c r="AT972" s="74"/>
      <c r="AW972" s="74"/>
    </row>
    <row r="973" spans="46:49" x14ac:dyDescent="0.25">
      <c r="AT973" s="74"/>
      <c r="AW973" s="74"/>
    </row>
    <row r="974" spans="46:49" x14ac:dyDescent="0.25">
      <c r="AT974" s="74"/>
      <c r="AW974" s="74"/>
    </row>
    <row r="975" spans="46:49" x14ac:dyDescent="0.25">
      <c r="AT975" s="74"/>
      <c r="AW975" s="74"/>
    </row>
    <row r="976" spans="46:49" x14ac:dyDescent="0.25">
      <c r="AT976" s="74"/>
      <c r="AW976" s="74"/>
    </row>
    <row r="977" spans="46:49" x14ac:dyDescent="0.25">
      <c r="AT977" s="74"/>
      <c r="AW977" s="74"/>
    </row>
    <row r="978" spans="46:49" x14ac:dyDescent="0.25">
      <c r="AT978" s="74"/>
      <c r="AW978" s="74"/>
    </row>
    <row r="979" spans="46:49" x14ac:dyDescent="0.25">
      <c r="AT979" s="74"/>
      <c r="AW979" s="74"/>
    </row>
    <row r="980" spans="46:49" x14ac:dyDescent="0.25">
      <c r="AT980" s="74"/>
      <c r="AW980" s="74"/>
    </row>
    <row r="981" spans="46:49" x14ac:dyDescent="0.25">
      <c r="AT981" s="74"/>
      <c r="AW981" s="74"/>
    </row>
    <row r="982" spans="46:49" x14ac:dyDescent="0.25">
      <c r="AT982" s="74"/>
      <c r="AW982" s="74"/>
    </row>
    <row r="983" spans="46:49" x14ac:dyDescent="0.25">
      <c r="AT983" s="74"/>
      <c r="AW983" s="74"/>
    </row>
    <row r="984" spans="46:49" x14ac:dyDescent="0.25">
      <c r="AT984" s="74"/>
      <c r="AW984" s="74"/>
    </row>
    <row r="985" spans="46:49" x14ac:dyDescent="0.25">
      <c r="AT985" s="74"/>
      <c r="AW985" s="74"/>
    </row>
    <row r="986" spans="46:49" x14ac:dyDescent="0.25">
      <c r="AT986" s="74"/>
      <c r="AW986" s="74"/>
    </row>
    <row r="987" spans="46:49" x14ac:dyDescent="0.25">
      <c r="AT987" s="74"/>
      <c r="AW987" s="74"/>
    </row>
    <row r="988" spans="46:49" x14ac:dyDescent="0.25">
      <c r="AT988" s="74"/>
      <c r="AW988" s="74"/>
    </row>
    <row r="989" spans="46:49" x14ac:dyDescent="0.25">
      <c r="AT989" s="74"/>
      <c r="AW989" s="74"/>
    </row>
    <row r="990" spans="46:49" x14ac:dyDescent="0.25">
      <c r="AT990" s="74"/>
      <c r="AW990" s="74"/>
    </row>
    <row r="991" spans="46:49" x14ac:dyDescent="0.25">
      <c r="AT991" s="74"/>
      <c r="AW991" s="74"/>
    </row>
    <row r="992" spans="46:49" x14ac:dyDescent="0.25">
      <c r="AT992" s="74"/>
      <c r="AW992" s="74"/>
    </row>
    <row r="993" spans="46:49" x14ac:dyDescent="0.25">
      <c r="AT993" s="74"/>
      <c r="AW993" s="74"/>
    </row>
    <row r="994" spans="46:49" x14ac:dyDescent="0.25">
      <c r="AT994" s="74"/>
      <c r="AW994" s="74"/>
    </row>
    <row r="995" spans="46:49" x14ac:dyDescent="0.25">
      <c r="AT995" s="74"/>
      <c r="AW995" s="74"/>
    </row>
    <row r="996" spans="46:49" x14ac:dyDescent="0.25">
      <c r="AT996" s="74"/>
      <c r="AW996" s="74"/>
    </row>
    <row r="997" spans="46:49" x14ac:dyDescent="0.25">
      <c r="AT997" s="74"/>
      <c r="AW997" s="74"/>
    </row>
    <row r="998" spans="46:49" x14ac:dyDescent="0.25">
      <c r="AT998" s="74"/>
      <c r="AW998" s="74"/>
    </row>
    <row r="999" spans="46:49" x14ac:dyDescent="0.25">
      <c r="AT999" s="74"/>
      <c r="AW999" s="74"/>
    </row>
    <row r="1000" spans="46:49" x14ac:dyDescent="0.25">
      <c r="AT1000" s="74"/>
      <c r="AW1000" s="74"/>
    </row>
    <row r="1001" spans="46:49" x14ac:dyDescent="0.25">
      <c r="AT1001" s="74"/>
      <c r="AW1001" s="74"/>
    </row>
    <row r="1002" spans="46:49" x14ac:dyDescent="0.25">
      <c r="AT1002" s="74"/>
      <c r="AW1002" s="74"/>
    </row>
    <row r="1003" spans="46:49" x14ac:dyDescent="0.25">
      <c r="AT1003" s="74"/>
      <c r="AW1003" s="74"/>
    </row>
    <row r="1004" spans="46:49" x14ac:dyDescent="0.25">
      <c r="AT1004" s="74"/>
      <c r="AW1004" s="74"/>
    </row>
    <row r="1005" spans="46:49" x14ac:dyDescent="0.25">
      <c r="AT1005" s="74"/>
      <c r="AW1005" s="74"/>
    </row>
    <row r="1006" spans="46:49" x14ac:dyDescent="0.25">
      <c r="AT1006" s="74"/>
      <c r="AW1006" s="74"/>
    </row>
    <row r="1007" spans="46:49" x14ac:dyDescent="0.25">
      <c r="AT1007" s="74"/>
      <c r="AW1007" s="74"/>
    </row>
    <row r="1008" spans="46:49" x14ac:dyDescent="0.25">
      <c r="AT1008" s="74"/>
      <c r="AW1008" s="74"/>
    </row>
    <row r="1009" spans="46:49" x14ac:dyDescent="0.25">
      <c r="AT1009" s="74"/>
      <c r="AW1009" s="74"/>
    </row>
    <row r="1010" spans="46:49" x14ac:dyDescent="0.25">
      <c r="AT1010" s="74"/>
      <c r="AW1010" s="74"/>
    </row>
    <row r="1011" spans="46:49" x14ac:dyDescent="0.25">
      <c r="AT1011" s="74"/>
      <c r="AW1011" s="74"/>
    </row>
    <row r="1012" spans="46:49" x14ac:dyDescent="0.25">
      <c r="AT1012" s="74"/>
      <c r="AW1012" s="74"/>
    </row>
    <row r="1013" spans="46:49" x14ac:dyDescent="0.25">
      <c r="AT1013" s="74"/>
      <c r="AW1013" s="74"/>
    </row>
    <row r="1014" spans="46:49" x14ac:dyDescent="0.25">
      <c r="AT1014" s="74"/>
      <c r="AW1014" s="74"/>
    </row>
    <row r="1015" spans="46:49" x14ac:dyDescent="0.25">
      <c r="AT1015" s="74"/>
      <c r="AW1015" s="74"/>
    </row>
    <row r="1016" spans="46:49" x14ac:dyDescent="0.25">
      <c r="AT1016" s="74"/>
      <c r="AW1016" s="74"/>
    </row>
    <row r="1017" spans="46:49" x14ac:dyDescent="0.25">
      <c r="AT1017" s="74"/>
      <c r="AW1017" s="74"/>
    </row>
    <row r="1018" spans="46:49" x14ac:dyDescent="0.25">
      <c r="AT1018" s="74"/>
      <c r="AW1018" s="74"/>
    </row>
    <row r="1019" spans="46:49" x14ac:dyDescent="0.25">
      <c r="AT1019" s="74"/>
      <c r="AW1019" s="74"/>
    </row>
    <row r="1020" spans="46:49" x14ac:dyDescent="0.25">
      <c r="AT1020" s="74"/>
      <c r="AW1020" s="74"/>
    </row>
    <row r="1021" spans="46:49" x14ac:dyDescent="0.25">
      <c r="AT1021" s="74"/>
      <c r="AW1021" s="74"/>
    </row>
    <row r="1022" spans="46:49" x14ac:dyDescent="0.25">
      <c r="AT1022" s="74"/>
      <c r="AW1022" s="74"/>
    </row>
    <row r="1023" spans="46:49" x14ac:dyDescent="0.25">
      <c r="AT1023" s="74"/>
      <c r="AW1023" s="74"/>
    </row>
    <row r="1024" spans="46:49" x14ac:dyDescent="0.25">
      <c r="AT1024" s="74"/>
      <c r="AW1024" s="74"/>
    </row>
    <row r="1025" spans="46:49" x14ac:dyDescent="0.25">
      <c r="AT1025" s="74"/>
      <c r="AW1025" s="74"/>
    </row>
    <row r="1026" spans="46:49" x14ac:dyDescent="0.25">
      <c r="AT1026" s="74"/>
      <c r="AW1026" s="74"/>
    </row>
    <row r="1027" spans="46:49" x14ac:dyDescent="0.25">
      <c r="AT1027" s="74"/>
      <c r="AW1027" s="74"/>
    </row>
    <row r="1028" spans="46:49" x14ac:dyDescent="0.25">
      <c r="AT1028" s="74"/>
      <c r="AW1028" s="74"/>
    </row>
    <row r="1029" spans="46:49" x14ac:dyDescent="0.25">
      <c r="AT1029" s="74"/>
      <c r="AW1029" s="74"/>
    </row>
    <row r="1030" spans="46:49" x14ac:dyDescent="0.25">
      <c r="AT1030" s="74"/>
      <c r="AW1030" s="74"/>
    </row>
    <row r="1031" spans="46:49" x14ac:dyDescent="0.25">
      <c r="AT1031" s="74"/>
      <c r="AW1031" s="74"/>
    </row>
    <row r="1032" spans="46:49" x14ac:dyDescent="0.25">
      <c r="AT1032" s="74"/>
      <c r="AW1032" s="74"/>
    </row>
    <row r="1033" spans="46:49" x14ac:dyDescent="0.25">
      <c r="AT1033" s="74"/>
      <c r="AW1033" s="74"/>
    </row>
    <row r="1034" spans="46:49" x14ac:dyDescent="0.25">
      <c r="AT1034" s="74"/>
      <c r="AW1034" s="74"/>
    </row>
    <row r="1035" spans="46:49" x14ac:dyDescent="0.25">
      <c r="AT1035" s="74"/>
      <c r="AW1035" s="74"/>
    </row>
    <row r="1036" spans="46:49" x14ac:dyDescent="0.25">
      <c r="AT1036" s="74"/>
      <c r="AW1036" s="74"/>
    </row>
    <row r="1037" spans="46:49" x14ac:dyDescent="0.25">
      <c r="AT1037" s="74"/>
      <c r="AW1037" s="74"/>
    </row>
    <row r="1038" spans="46:49" x14ac:dyDescent="0.25">
      <c r="AT1038" s="74"/>
      <c r="AW1038" s="74"/>
    </row>
    <row r="1039" spans="46:49" x14ac:dyDescent="0.25">
      <c r="AT1039" s="74"/>
      <c r="AW1039" s="74"/>
    </row>
    <row r="1040" spans="46:49" x14ac:dyDescent="0.25">
      <c r="AT1040" s="74"/>
      <c r="AW1040" s="74"/>
    </row>
    <row r="1041" spans="46:49" x14ac:dyDescent="0.25">
      <c r="AT1041" s="74"/>
      <c r="AW1041" s="74"/>
    </row>
    <row r="1042" spans="46:49" x14ac:dyDescent="0.25">
      <c r="AT1042" s="74"/>
      <c r="AW1042" s="74"/>
    </row>
    <row r="1043" spans="46:49" x14ac:dyDescent="0.25">
      <c r="AT1043" s="74"/>
      <c r="AW1043" s="74"/>
    </row>
    <row r="1044" spans="46:49" x14ac:dyDescent="0.25">
      <c r="AT1044" s="74"/>
      <c r="AW1044" s="74"/>
    </row>
    <row r="1045" spans="46:49" x14ac:dyDescent="0.25">
      <c r="AT1045" s="74"/>
      <c r="AW1045" s="74"/>
    </row>
    <row r="1046" spans="46:49" x14ac:dyDescent="0.25">
      <c r="AT1046" s="74"/>
      <c r="AW1046" s="74"/>
    </row>
    <row r="1047" spans="46:49" x14ac:dyDescent="0.25">
      <c r="AT1047" s="74"/>
      <c r="AW1047" s="74"/>
    </row>
    <row r="1048" spans="46:49" x14ac:dyDescent="0.25">
      <c r="AT1048" s="74"/>
      <c r="AW1048" s="74"/>
    </row>
    <row r="1049" spans="46:49" x14ac:dyDescent="0.25">
      <c r="AT1049" s="74"/>
      <c r="AW1049" s="74"/>
    </row>
    <row r="1050" spans="46:49" x14ac:dyDescent="0.25">
      <c r="AT1050" s="74"/>
      <c r="AW1050" s="74"/>
    </row>
    <row r="1051" spans="46:49" x14ac:dyDescent="0.25">
      <c r="AT1051" s="74"/>
      <c r="AW1051" s="74"/>
    </row>
    <row r="1052" spans="46:49" x14ac:dyDescent="0.25">
      <c r="AT1052" s="74"/>
      <c r="AW1052" s="74"/>
    </row>
    <row r="1053" spans="46:49" x14ac:dyDescent="0.25">
      <c r="AT1053" s="74"/>
      <c r="AW1053" s="74"/>
    </row>
    <row r="1054" spans="46:49" x14ac:dyDescent="0.25">
      <c r="AT1054" s="74"/>
      <c r="AW1054" s="74"/>
    </row>
    <row r="1055" spans="46:49" x14ac:dyDescent="0.25">
      <c r="AT1055" s="74"/>
      <c r="AW1055" s="74"/>
    </row>
    <row r="1056" spans="46:49" x14ac:dyDescent="0.25">
      <c r="AT1056" s="74"/>
      <c r="AW1056" s="74"/>
    </row>
    <row r="1057" spans="46:49" x14ac:dyDescent="0.25">
      <c r="AT1057" s="74"/>
      <c r="AW1057" s="74"/>
    </row>
    <row r="1058" spans="46:49" x14ac:dyDescent="0.25">
      <c r="AT1058" s="74"/>
      <c r="AW1058" s="74"/>
    </row>
    <row r="1059" spans="46:49" x14ac:dyDescent="0.25">
      <c r="AT1059" s="74"/>
      <c r="AW1059" s="74"/>
    </row>
    <row r="1060" spans="46:49" x14ac:dyDescent="0.25">
      <c r="AT1060" s="74"/>
      <c r="AW1060" s="74"/>
    </row>
    <row r="1061" spans="46:49" x14ac:dyDescent="0.25">
      <c r="AT1061" s="74"/>
      <c r="AW1061" s="74"/>
    </row>
    <row r="1062" spans="46:49" x14ac:dyDescent="0.25">
      <c r="AT1062" s="74"/>
      <c r="AW1062" s="74"/>
    </row>
    <row r="1063" spans="46:49" x14ac:dyDescent="0.25">
      <c r="AT1063" s="74"/>
      <c r="AW1063" s="74"/>
    </row>
    <row r="1064" spans="46:49" x14ac:dyDescent="0.25">
      <c r="AT1064" s="74"/>
      <c r="AW1064" s="74"/>
    </row>
    <row r="1065" spans="46:49" x14ac:dyDescent="0.25">
      <c r="AT1065" s="74"/>
      <c r="AW1065" s="74"/>
    </row>
    <row r="1066" spans="46:49" x14ac:dyDescent="0.25">
      <c r="AT1066" s="74"/>
      <c r="AW1066" s="74"/>
    </row>
    <row r="1067" spans="46:49" x14ac:dyDescent="0.25">
      <c r="AT1067" s="74"/>
      <c r="AW1067" s="74"/>
    </row>
    <row r="1068" spans="46:49" x14ac:dyDescent="0.25">
      <c r="AT1068" s="74"/>
      <c r="AW1068" s="74"/>
    </row>
    <row r="1069" spans="46:49" x14ac:dyDescent="0.25">
      <c r="AT1069" s="74"/>
      <c r="AW1069" s="74"/>
    </row>
    <row r="1070" spans="46:49" x14ac:dyDescent="0.25">
      <c r="AT1070" s="74"/>
      <c r="AW1070" s="74"/>
    </row>
    <row r="1071" spans="46:49" x14ac:dyDescent="0.25">
      <c r="AT1071" s="74"/>
      <c r="AW1071" s="74"/>
    </row>
    <row r="1072" spans="46:49" x14ac:dyDescent="0.25">
      <c r="AT1072" s="74"/>
      <c r="AW1072" s="74"/>
    </row>
    <row r="1073" spans="46:49" x14ac:dyDescent="0.25">
      <c r="AT1073" s="74"/>
      <c r="AW1073" s="74"/>
    </row>
    <row r="1074" spans="46:49" x14ac:dyDescent="0.25">
      <c r="AT1074" s="74"/>
      <c r="AW1074" s="74"/>
    </row>
    <row r="1075" spans="46:49" x14ac:dyDescent="0.25">
      <c r="AT1075" s="74"/>
      <c r="AW1075" s="74"/>
    </row>
    <row r="1076" spans="46:49" x14ac:dyDescent="0.25">
      <c r="AT1076" s="74"/>
      <c r="AW1076" s="74"/>
    </row>
    <row r="1077" spans="46:49" x14ac:dyDescent="0.25">
      <c r="AT1077" s="74"/>
      <c r="AW1077" s="74"/>
    </row>
    <row r="1078" spans="46:49" x14ac:dyDescent="0.25">
      <c r="AT1078" s="74"/>
      <c r="AW1078" s="74"/>
    </row>
    <row r="1079" spans="46:49" x14ac:dyDescent="0.25">
      <c r="AT1079" s="74"/>
      <c r="AW1079" s="74"/>
    </row>
    <row r="1080" spans="46:49" x14ac:dyDescent="0.25">
      <c r="AT1080" s="74"/>
      <c r="AW1080" s="74"/>
    </row>
    <row r="1081" spans="46:49" x14ac:dyDescent="0.25">
      <c r="AT1081" s="74"/>
      <c r="AW1081" s="74"/>
    </row>
    <row r="1082" spans="46:49" x14ac:dyDescent="0.25">
      <c r="AT1082" s="74"/>
      <c r="AW1082" s="74"/>
    </row>
    <row r="1083" spans="46:49" x14ac:dyDescent="0.25">
      <c r="AT1083" s="74"/>
      <c r="AW1083" s="74"/>
    </row>
    <row r="1084" spans="46:49" x14ac:dyDescent="0.25">
      <c r="AT1084" s="74"/>
      <c r="AW1084" s="74"/>
    </row>
    <row r="1085" spans="46:49" x14ac:dyDescent="0.25">
      <c r="AT1085" s="74"/>
      <c r="AW1085" s="74"/>
    </row>
    <row r="1086" spans="46:49" x14ac:dyDescent="0.25">
      <c r="AT1086" s="74"/>
      <c r="AW1086" s="74"/>
    </row>
    <row r="1087" spans="46:49" x14ac:dyDescent="0.25">
      <c r="AT1087" s="74"/>
      <c r="AW1087" s="74"/>
    </row>
    <row r="1088" spans="46:49" x14ac:dyDescent="0.25">
      <c r="AT1088" s="74"/>
      <c r="AW1088" s="74"/>
    </row>
    <row r="1089" spans="46:49" x14ac:dyDescent="0.25">
      <c r="AT1089" s="74"/>
      <c r="AW1089" s="74"/>
    </row>
    <row r="1090" spans="46:49" x14ac:dyDescent="0.25">
      <c r="AT1090" s="74"/>
      <c r="AW1090" s="74"/>
    </row>
    <row r="1091" spans="46:49" x14ac:dyDescent="0.25">
      <c r="AT1091" s="74"/>
      <c r="AW1091" s="74"/>
    </row>
    <row r="1092" spans="46:49" x14ac:dyDescent="0.25">
      <c r="AT1092" s="74"/>
      <c r="AW1092" s="74"/>
    </row>
    <row r="1093" spans="46:49" x14ac:dyDescent="0.25">
      <c r="AT1093" s="74"/>
      <c r="AW1093" s="74"/>
    </row>
    <row r="1094" spans="46:49" x14ac:dyDescent="0.25">
      <c r="AT1094" s="74"/>
      <c r="AW1094" s="74"/>
    </row>
    <row r="1095" spans="46:49" x14ac:dyDescent="0.25">
      <c r="AT1095" s="74"/>
      <c r="AW1095" s="74"/>
    </row>
    <row r="1096" spans="46:49" x14ac:dyDescent="0.25">
      <c r="AT1096" s="74"/>
      <c r="AW1096" s="74"/>
    </row>
    <row r="1097" spans="46:49" x14ac:dyDescent="0.25">
      <c r="AT1097" s="74"/>
      <c r="AW1097" s="74"/>
    </row>
    <row r="1098" spans="46:49" x14ac:dyDescent="0.25">
      <c r="AT1098" s="74"/>
      <c r="AW1098" s="74"/>
    </row>
    <row r="1099" spans="46:49" x14ac:dyDescent="0.25">
      <c r="AT1099" s="74"/>
      <c r="AW1099" s="74"/>
    </row>
    <row r="1100" spans="46:49" x14ac:dyDescent="0.25">
      <c r="AT1100" s="74"/>
      <c r="AW1100" s="74"/>
    </row>
    <row r="1101" spans="46:49" x14ac:dyDescent="0.25">
      <c r="AT1101" s="74"/>
      <c r="AW1101" s="74"/>
    </row>
    <row r="1102" spans="46:49" x14ac:dyDescent="0.25">
      <c r="AT1102" s="74"/>
      <c r="AW1102" s="74"/>
    </row>
    <row r="1103" spans="46:49" x14ac:dyDescent="0.25">
      <c r="AT1103" s="74"/>
      <c r="AW1103" s="74"/>
    </row>
    <row r="1104" spans="46:49" x14ac:dyDescent="0.25">
      <c r="AT1104" s="74"/>
      <c r="AW1104" s="74"/>
    </row>
    <row r="1105" spans="46:49" x14ac:dyDescent="0.25">
      <c r="AT1105" s="74"/>
      <c r="AW1105" s="74"/>
    </row>
    <row r="1106" spans="46:49" x14ac:dyDescent="0.25">
      <c r="AT1106" s="74"/>
      <c r="AW1106" s="74"/>
    </row>
    <row r="1107" spans="46:49" x14ac:dyDescent="0.25">
      <c r="AT1107" s="74"/>
      <c r="AW1107" s="74"/>
    </row>
    <row r="1108" spans="46:49" x14ac:dyDescent="0.25">
      <c r="AT1108" s="74"/>
      <c r="AW1108" s="74"/>
    </row>
    <row r="1109" spans="46:49" x14ac:dyDescent="0.25">
      <c r="AT1109" s="74"/>
      <c r="AW1109" s="74"/>
    </row>
    <row r="1110" spans="46:49" x14ac:dyDescent="0.25">
      <c r="AT1110" s="74"/>
      <c r="AW1110" s="74"/>
    </row>
    <row r="1111" spans="46:49" x14ac:dyDescent="0.25">
      <c r="AT1111" s="74"/>
      <c r="AW1111" s="74"/>
    </row>
    <row r="1112" spans="46:49" x14ac:dyDescent="0.25">
      <c r="AT1112" s="74"/>
      <c r="AW1112" s="74"/>
    </row>
    <row r="1113" spans="46:49" x14ac:dyDescent="0.25">
      <c r="AT1113" s="74"/>
      <c r="AW1113" s="74"/>
    </row>
    <row r="1114" spans="46:49" x14ac:dyDescent="0.25">
      <c r="AT1114" s="74"/>
      <c r="AW1114" s="74"/>
    </row>
    <row r="1115" spans="46:49" x14ac:dyDescent="0.25">
      <c r="AT1115" s="74"/>
      <c r="AW1115" s="74"/>
    </row>
    <row r="1116" spans="46:49" x14ac:dyDescent="0.25">
      <c r="AT1116" s="74"/>
      <c r="AW1116" s="74"/>
    </row>
    <row r="1117" spans="46:49" x14ac:dyDescent="0.25">
      <c r="AT1117" s="74"/>
      <c r="AW1117" s="74"/>
    </row>
    <row r="1118" spans="46:49" x14ac:dyDescent="0.25">
      <c r="AT1118" s="74"/>
      <c r="AW1118" s="74"/>
    </row>
    <row r="1119" spans="46:49" x14ac:dyDescent="0.25">
      <c r="AT1119" s="74"/>
      <c r="AW1119" s="74"/>
    </row>
    <row r="1120" spans="46:49" x14ac:dyDescent="0.25">
      <c r="AT1120" s="74"/>
      <c r="AW1120" s="74"/>
    </row>
    <row r="1121" spans="46:49" x14ac:dyDescent="0.25">
      <c r="AT1121" s="74"/>
      <c r="AW1121" s="74"/>
    </row>
    <row r="1122" spans="46:49" x14ac:dyDescent="0.25">
      <c r="AT1122" s="74"/>
      <c r="AW1122" s="74"/>
    </row>
    <row r="1123" spans="46:49" x14ac:dyDescent="0.25">
      <c r="AT1123" s="74"/>
      <c r="AW1123" s="74"/>
    </row>
    <row r="1124" spans="46:49" x14ac:dyDescent="0.25">
      <c r="AT1124" s="74"/>
      <c r="AW1124" s="74"/>
    </row>
    <row r="1125" spans="46:49" x14ac:dyDescent="0.25">
      <c r="AT1125" s="74"/>
      <c r="AW1125" s="74"/>
    </row>
    <row r="1126" spans="46:49" x14ac:dyDescent="0.25">
      <c r="AT1126" s="74"/>
      <c r="AW1126" s="74"/>
    </row>
    <row r="1127" spans="46:49" x14ac:dyDescent="0.25">
      <c r="AT1127" s="74"/>
      <c r="AW1127" s="74"/>
    </row>
    <row r="1128" spans="46:49" x14ac:dyDescent="0.25">
      <c r="AT1128" s="74"/>
      <c r="AW1128" s="74"/>
    </row>
    <row r="1129" spans="46:49" x14ac:dyDescent="0.25">
      <c r="AT1129" s="74"/>
      <c r="AW1129" s="74"/>
    </row>
    <row r="1130" spans="46:49" x14ac:dyDescent="0.25">
      <c r="AT1130" s="74"/>
      <c r="AW1130" s="74"/>
    </row>
    <row r="1131" spans="46:49" x14ac:dyDescent="0.25">
      <c r="AT1131" s="74"/>
      <c r="AW1131" s="74"/>
    </row>
    <row r="1132" spans="46:49" x14ac:dyDescent="0.25">
      <c r="AT1132" s="74"/>
      <c r="AW1132" s="74"/>
    </row>
    <row r="1133" spans="46:49" x14ac:dyDescent="0.25">
      <c r="AT1133" s="74"/>
      <c r="AW1133" s="74"/>
    </row>
    <row r="1134" spans="46:49" x14ac:dyDescent="0.25">
      <c r="AT1134" s="74"/>
      <c r="AW1134" s="74"/>
    </row>
    <row r="1135" spans="46:49" x14ac:dyDescent="0.25">
      <c r="AT1135" s="74"/>
      <c r="AW1135" s="74"/>
    </row>
    <row r="1136" spans="46:49" x14ac:dyDescent="0.25">
      <c r="AT1136" s="74"/>
      <c r="AW1136" s="74"/>
    </row>
    <row r="1137" spans="46:49" x14ac:dyDescent="0.25">
      <c r="AT1137" s="74"/>
      <c r="AW1137" s="74"/>
    </row>
    <row r="1138" spans="46:49" x14ac:dyDescent="0.25">
      <c r="AT1138" s="74"/>
      <c r="AW1138" s="74"/>
    </row>
    <row r="1139" spans="46:49" x14ac:dyDescent="0.25">
      <c r="AT1139" s="74"/>
      <c r="AW1139" s="74"/>
    </row>
    <row r="1140" spans="46:49" x14ac:dyDescent="0.25">
      <c r="AT1140" s="74"/>
      <c r="AW1140" s="74"/>
    </row>
    <row r="1141" spans="46:49" x14ac:dyDescent="0.25">
      <c r="AT1141" s="74"/>
      <c r="AW1141" s="74"/>
    </row>
    <row r="1142" spans="46:49" x14ac:dyDescent="0.25">
      <c r="AT1142" s="74"/>
      <c r="AW1142" s="74"/>
    </row>
    <row r="1143" spans="46:49" x14ac:dyDescent="0.25">
      <c r="AT1143" s="74"/>
      <c r="AW1143" s="74"/>
    </row>
    <row r="1144" spans="46:49" x14ac:dyDescent="0.25">
      <c r="AT1144" s="74"/>
      <c r="AW1144" s="74"/>
    </row>
    <row r="1145" spans="46:49" x14ac:dyDescent="0.25">
      <c r="AT1145" s="74"/>
      <c r="AW1145" s="74"/>
    </row>
    <row r="1146" spans="46:49" x14ac:dyDescent="0.25">
      <c r="AT1146" s="74"/>
      <c r="AW1146" s="74"/>
    </row>
    <row r="1147" spans="46:49" x14ac:dyDescent="0.25">
      <c r="AT1147" s="74"/>
      <c r="AW1147" s="74"/>
    </row>
    <row r="1148" spans="46:49" x14ac:dyDescent="0.25">
      <c r="AT1148" s="74"/>
      <c r="AW1148" s="74"/>
    </row>
    <row r="1149" spans="46:49" x14ac:dyDescent="0.25">
      <c r="AT1149" s="74"/>
      <c r="AW1149" s="74"/>
    </row>
    <row r="1150" spans="46:49" x14ac:dyDescent="0.25">
      <c r="AT1150" s="74"/>
      <c r="AW1150" s="74"/>
    </row>
    <row r="1151" spans="46:49" x14ac:dyDescent="0.25">
      <c r="AT1151" s="74"/>
      <c r="AW1151" s="74"/>
    </row>
    <row r="1152" spans="46:49" x14ac:dyDescent="0.25">
      <c r="AT1152" s="74"/>
      <c r="AW1152" s="74"/>
    </row>
    <row r="1153" spans="46:49" x14ac:dyDescent="0.25">
      <c r="AT1153" s="74"/>
      <c r="AW1153" s="74"/>
    </row>
    <row r="1154" spans="46:49" x14ac:dyDescent="0.25">
      <c r="AT1154" s="74"/>
      <c r="AW1154" s="74"/>
    </row>
    <row r="1155" spans="46:49" x14ac:dyDescent="0.25">
      <c r="AT1155" s="74"/>
      <c r="AW1155" s="74"/>
    </row>
    <row r="1156" spans="46:49" x14ac:dyDescent="0.25">
      <c r="AT1156" s="74"/>
      <c r="AW1156" s="74"/>
    </row>
    <row r="1157" spans="46:49" x14ac:dyDescent="0.25">
      <c r="AT1157" s="74"/>
      <c r="AW1157" s="74"/>
    </row>
    <row r="1158" spans="46:49" x14ac:dyDescent="0.25">
      <c r="AT1158" s="74"/>
      <c r="AW1158" s="74"/>
    </row>
    <row r="1159" spans="46:49" x14ac:dyDescent="0.25">
      <c r="AT1159" s="74"/>
      <c r="AW1159" s="74"/>
    </row>
    <row r="1160" spans="46:49" x14ac:dyDescent="0.25">
      <c r="AT1160" s="74"/>
      <c r="AW1160" s="74"/>
    </row>
    <row r="1161" spans="46:49" x14ac:dyDescent="0.25">
      <c r="AT1161" s="74"/>
      <c r="AW1161" s="74"/>
    </row>
    <row r="1162" spans="46:49" x14ac:dyDescent="0.25">
      <c r="AT1162" s="74"/>
      <c r="AW1162" s="74"/>
    </row>
    <row r="1163" spans="46:49" x14ac:dyDescent="0.25">
      <c r="AT1163" s="74"/>
      <c r="AW1163" s="74"/>
    </row>
    <row r="1164" spans="46:49" x14ac:dyDescent="0.25">
      <c r="AT1164" s="74"/>
      <c r="AW1164" s="74"/>
    </row>
    <row r="1165" spans="46:49" x14ac:dyDescent="0.25">
      <c r="AT1165" s="74"/>
      <c r="AW1165" s="74"/>
    </row>
    <row r="1166" spans="46:49" x14ac:dyDescent="0.25">
      <c r="AT1166" s="74"/>
      <c r="AW1166" s="74"/>
    </row>
    <row r="1167" spans="46:49" x14ac:dyDescent="0.25">
      <c r="AT1167" s="74"/>
      <c r="AW1167" s="74"/>
    </row>
    <row r="1168" spans="46:49" x14ac:dyDescent="0.25">
      <c r="AT1168" s="74"/>
      <c r="AW1168" s="74"/>
    </row>
    <row r="1169" spans="46:49" x14ac:dyDescent="0.25">
      <c r="AT1169" s="74"/>
      <c r="AW1169" s="74"/>
    </row>
    <row r="1170" spans="46:49" x14ac:dyDescent="0.25">
      <c r="AT1170" s="74"/>
      <c r="AW1170" s="74"/>
    </row>
    <row r="1171" spans="46:49" x14ac:dyDescent="0.25">
      <c r="AT1171" s="74"/>
      <c r="AW1171" s="74"/>
    </row>
    <row r="1172" spans="46:49" x14ac:dyDescent="0.25">
      <c r="AT1172" s="74"/>
      <c r="AW1172" s="74"/>
    </row>
    <row r="1173" spans="46:49" x14ac:dyDescent="0.25">
      <c r="AT1173" s="74"/>
      <c r="AW1173" s="74"/>
    </row>
    <row r="1174" spans="46:49" x14ac:dyDescent="0.25">
      <c r="AT1174" s="74"/>
      <c r="AW1174" s="74"/>
    </row>
    <row r="1175" spans="46:49" x14ac:dyDescent="0.25">
      <c r="AT1175" s="74"/>
      <c r="AW1175" s="74"/>
    </row>
    <row r="1176" spans="46:49" x14ac:dyDescent="0.25">
      <c r="AT1176" s="74"/>
      <c r="AW1176" s="74"/>
    </row>
    <row r="1177" spans="46:49" x14ac:dyDescent="0.25">
      <c r="AT1177" s="74"/>
      <c r="AW1177" s="74"/>
    </row>
    <row r="1178" spans="46:49" x14ac:dyDescent="0.25">
      <c r="AT1178" s="74"/>
      <c r="AW1178" s="74"/>
    </row>
    <row r="1179" spans="46:49" x14ac:dyDescent="0.25">
      <c r="AT1179" s="74"/>
      <c r="AW1179" s="74"/>
    </row>
    <row r="1180" spans="46:49" x14ac:dyDescent="0.25">
      <c r="AT1180" s="74"/>
      <c r="AW1180" s="74"/>
    </row>
    <row r="1181" spans="46:49" x14ac:dyDescent="0.25">
      <c r="AT1181" s="74"/>
      <c r="AW1181" s="74"/>
    </row>
    <row r="1182" spans="46:49" x14ac:dyDescent="0.25">
      <c r="AT1182" s="74"/>
      <c r="AW1182" s="74"/>
    </row>
    <row r="1183" spans="46:49" x14ac:dyDescent="0.25">
      <c r="AT1183" s="74"/>
      <c r="AW1183" s="74"/>
    </row>
    <row r="1184" spans="46:49" x14ac:dyDescent="0.25">
      <c r="AT1184" s="74"/>
      <c r="AW1184" s="74"/>
    </row>
    <row r="1185" spans="46:49" x14ac:dyDescent="0.25">
      <c r="AT1185" s="74"/>
      <c r="AW1185" s="74"/>
    </row>
    <row r="1186" spans="46:49" x14ac:dyDescent="0.25">
      <c r="AT1186" s="74"/>
      <c r="AW1186" s="74"/>
    </row>
    <row r="1187" spans="46:49" x14ac:dyDescent="0.25">
      <c r="AT1187" s="74"/>
      <c r="AW1187" s="74"/>
    </row>
    <row r="1188" spans="46:49" x14ac:dyDescent="0.25">
      <c r="AT1188" s="74"/>
      <c r="AW1188" s="74"/>
    </row>
    <row r="1189" spans="46:49" x14ac:dyDescent="0.25">
      <c r="AT1189" s="74"/>
      <c r="AW1189" s="74"/>
    </row>
    <row r="1190" spans="46:49" x14ac:dyDescent="0.25">
      <c r="AT1190" s="74"/>
      <c r="AW1190" s="74"/>
    </row>
    <row r="1191" spans="46:49" x14ac:dyDescent="0.25">
      <c r="AT1191" s="74"/>
      <c r="AW1191" s="74"/>
    </row>
    <row r="1192" spans="46:49" x14ac:dyDescent="0.25">
      <c r="AT1192" s="74"/>
      <c r="AW1192" s="74"/>
    </row>
    <row r="1193" spans="46:49" x14ac:dyDescent="0.25">
      <c r="AT1193" s="74"/>
      <c r="AW1193" s="74"/>
    </row>
    <row r="1194" spans="46:49" x14ac:dyDescent="0.25">
      <c r="AT1194" s="74"/>
      <c r="AW1194" s="74"/>
    </row>
    <row r="1195" spans="46:49" x14ac:dyDescent="0.25">
      <c r="AT1195" s="74"/>
      <c r="AW1195" s="74"/>
    </row>
    <row r="1196" spans="46:49" x14ac:dyDescent="0.25">
      <c r="AT1196" s="74"/>
      <c r="AW1196" s="74"/>
    </row>
    <row r="1197" spans="46:49" x14ac:dyDescent="0.25">
      <c r="AT1197" s="74"/>
      <c r="AW1197" s="74"/>
    </row>
    <row r="1198" spans="46:49" x14ac:dyDescent="0.25">
      <c r="AT1198" s="74"/>
      <c r="AW1198" s="74"/>
    </row>
    <row r="1199" spans="46:49" x14ac:dyDescent="0.25">
      <c r="AT1199" s="74"/>
      <c r="AW1199" s="74"/>
    </row>
    <row r="1200" spans="46:49" x14ac:dyDescent="0.25">
      <c r="AT1200" s="74"/>
      <c r="AW1200" s="74"/>
    </row>
    <row r="1201" spans="46:49" x14ac:dyDescent="0.25">
      <c r="AT1201" s="74"/>
      <c r="AW1201" s="74"/>
    </row>
    <row r="1202" spans="46:49" x14ac:dyDescent="0.25">
      <c r="AT1202" s="74"/>
      <c r="AW1202" s="74"/>
    </row>
    <row r="1203" spans="46:49" x14ac:dyDescent="0.25">
      <c r="AT1203" s="74"/>
      <c r="AW1203" s="74"/>
    </row>
    <row r="1204" spans="46:49" x14ac:dyDescent="0.25">
      <c r="AT1204" s="74"/>
      <c r="AW1204" s="74"/>
    </row>
    <row r="1205" spans="46:49" x14ac:dyDescent="0.25">
      <c r="AT1205" s="74"/>
      <c r="AW1205" s="74"/>
    </row>
    <row r="1206" spans="46:49" x14ac:dyDescent="0.25">
      <c r="AT1206" s="74"/>
      <c r="AW1206" s="74"/>
    </row>
    <row r="1207" spans="46:49" x14ac:dyDescent="0.25">
      <c r="AT1207" s="74"/>
      <c r="AW1207" s="74"/>
    </row>
    <row r="1208" spans="46:49" x14ac:dyDescent="0.25">
      <c r="AT1208" s="74"/>
      <c r="AW1208" s="74"/>
    </row>
    <row r="1209" spans="46:49" x14ac:dyDescent="0.25">
      <c r="AT1209" s="74"/>
      <c r="AW1209" s="74"/>
    </row>
    <row r="1210" spans="46:49" x14ac:dyDescent="0.25">
      <c r="AT1210" s="74"/>
      <c r="AW1210" s="74"/>
    </row>
    <row r="1211" spans="46:49" x14ac:dyDescent="0.25">
      <c r="AT1211" s="74"/>
      <c r="AW1211" s="74"/>
    </row>
    <row r="1212" spans="46:49" x14ac:dyDescent="0.25">
      <c r="AT1212" s="74"/>
      <c r="AW1212" s="74"/>
    </row>
    <row r="1213" spans="46:49" x14ac:dyDescent="0.25">
      <c r="AT1213" s="74"/>
      <c r="AW1213" s="74"/>
    </row>
    <row r="1214" spans="46:49" x14ac:dyDescent="0.25">
      <c r="AT1214" s="74"/>
      <c r="AW1214" s="74"/>
    </row>
    <row r="1215" spans="46:49" x14ac:dyDescent="0.25">
      <c r="AT1215" s="74"/>
      <c r="AW1215" s="74"/>
    </row>
    <row r="1216" spans="46:49" x14ac:dyDescent="0.25">
      <c r="AT1216" s="74"/>
      <c r="AW1216" s="74"/>
    </row>
    <row r="1217" spans="46:49" x14ac:dyDescent="0.25">
      <c r="AT1217" s="74"/>
      <c r="AW1217" s="74"/>
    </row>
    <row r="1218" spans="46:49" x14ac:dyDescent="0.25">
      <c r="AT1218" s="74"/>
      <c r="AW1218" s="74"/>
    </row>
    <row r="1219" spans="46:49" x14ac:dyDescent="0.25">
      <c r="AT1219" s="74"/>
      <c r="AW1219" s="74"/>
    </row>
    <row r="1220" spans="46:49" x14ac:dyDescent="0.25">
      <c r="AT1220" s="74"/>
      <c r="AW1220" s="74"/>
    </row>
    <row r="1221" spans="46:49" x14ac:dyDescent="0.25">
      <c r="AT1221" s="74"/>
      <c r="AW1221" s="74"/>
    </row>
    <row r="1222" spans="46:49" x14ac:dyDescent="0.25">
      <c r="AT1222" s="74"/>
      <c r="AW1222" s="74"/>
    </row>
    <row r="1223" spans="46:49" x14ac:dyDescent="0.25">
      <c r="AT1223" s="74"/>
      <c r="AW1223" s="74"/>
    </row>
    <row r="1224" spans="46:49" x14ac:dyDescent="0.25">
      <c r="AT1224" s="74"/>
      <c r="AW1224" s="74"/>
    </row>
    <row r="1225" spans="46:49" x14ac:dyDescent="0.25">
      <c r="AT1225" s="74"/>
      <c r="AW1225" s="74"/>
    </row>
    <row r="1226" spans="46:49" x14ac:dyDescent="0.25">
      <c r="AT1226" s="74"/>
      <c r="AW1226" s="74"/>
    </row>
    <row r="1227" spans="46:49" x14ac:dyDescent="0.25">
      <c r="AT1227" s="74"/>
      <c r="AW1227" s="74"/>
    </row>
    <row r="1228" spans="46:49" x14ac:dyDescent="0.25">
      <c r="AT1228" s="74"/>
      <c r="AW1228" s="74"/>
    </row>
    <row r="1229" spans="46:49" x14ac:dyDescent="0.25">
      <c r="AT1229" s="74"/>
      <c r="AW1229" s="74"/>
    </row>
    <row r="1230" spans="46:49" x14ac:dyDescent="0.25">
      <c r="AT1230" s="74"/>
      <c r="AW1230" s="74"/>
    </row>
    <row r="1231" spans="46:49" x14ac:dyDescent="0.25">
      <c r="AT1231" s="74"/>
      <c r="AW1231" s="74"/>
    </row>
    <row r="1232" spans="46:49" x14ac:dyDescent="0.25">
      <c r="AT1232" s="74"/>
      <c r="AW1232" s="74"/>
    </row>
    <row r="1233" spans="46:49" x14ac:dyDescent="0.25">
      <c r="AT1233" s="74"/>
      <c r="AW1233" s="74"/>
    </row>
    <row r="1234" spans="46:49" x14ac:dyDescent="0.25">
      <c r="AT1234" s="74"/>
      <c r="AW1234" s="74"/>
    </row>
    <row r="1235" spans="46:49" x14ac:dyDescent="0.25">
      <c r="AT1235" s="74"/>
      <c r="AW1235" s="74"/>
    </row>
    <row r="1236" spans="46:49" x14ac:dyDescent="0.25">
      <c r="AT1236" s="74"/>
      <c r="AW1236" s="74"/>
    </row>
    <row r="1237" spans="46:49" x14ac:dyDescent="0.25">
      <c r="AT1237" s="74"/>
      <c r="AW1237" s="74"/>
    </row>
    <row r="1238" spans="46:49" x14ac:dyDescent="0.25">
      <c r="AT1238" s="74"/>
      <c r="AW1238" s="74"/>
    </row>
    <row r="1239" spans="46:49" x14ac:dyDescent="0.25">
      <c r="AT1239" s="74"/>
      <c r="AW1239" s="74"/>
    </row>
    <row r="1240" spans="46:49" x14ac:dyDescent="0.25">
      <c r="AT1240" s="74"/>
      <c r="AW1240" s="74"/>
    </row>
    <row r="1241" spans="46:49" x14ac:dyDescent="0.25">
      <c r="AT1241" s="74"/>
      <c r="AW1241" s="74"/>
    </row>
    <row r="1242" spans="46:49" x14ac:dyDescent="0.25">
      <c r="AT1242" s="74"/>
      <c r="AW1242" s="74"/>
    </row>
    <row r="1243" spans="46:49" x14ac:dyDescent="0.25">
      <c r="AT1243" s="74"/>
      <c r="AW1243" s="74"/>
    </row>
    <row r="1244" spans="46:49" x14ac:dyDescent="0.25">
      <c r="AT1244" s="74"/>
      <c r="AW1244" s="74"/>
    </row>
    <row r="1245" spans="46:49" x14ac:dyDescent="0.25">
      <c r="AT1245" s="74"/>
      <c r="AW1245" s="74"/>
    </row>
    <row r="1246" spans="46:49" x14ac:dyDescent="0.25">
      <c r="AT1246" s="74"/>
      <c r="AW1246" s="74"/>
    </row>
    <row r="1247" spans="46:49" x14ac:dyDescent="0.25">
      <c r="AT1247" s="74"/>
      <c r="AW1247" s="74"/>
    </row>
    <row r="1248" spans="46:49" x14ac:dyDescent="0.25">
      <c r="AT1248" s="74"/>
      <c r="AW1248" s="74"/>
    </row>
    <row r="1249" spans="46:49" x14ac:dyDescent="0.25">
      <c r="AT1249" s="74"/>
      <c r="AW1249" s="74"/>
    </row>
    <row r="1250" spans="46:49" x14ac:dyDescent="0.25">
      <c r="AT1250" s="74"/>
      <c r="AW1250" s="74"/>
    </row>
    <row r="1251" spans="46:49" x14ac:dyDescent="0.25">
      <c r="AT1251" s="74"/>
      <c r="AW1251" s="74"/>
    </row>
    <row r="1252" spans="46:49" x14ac:dyDescent="0.25">
      <c r="AT1252" s="74"/>
      <c r="AW1252" s="74"/>
    </row>
    <row r="1253" spans="46:49" x14ac:dyDescent="0.25">
      <c r="AT1253" s="74"/>
      <c r="AW1253" s="74"/>
    </row>
    <row r="1254" spans="46:49" x14ac:dyDescent="0.25">
      <c r="AT1254" s="74"/>
      <c r="AW1254" s="74"/>
    </row>
    <row r="1255" spans="46:49" x14ac:dyDescent="0.25">
      <c r="AT1255" s="74"/>
      <c r="AW1255" s="74"/>
    </row>
    <row r="1256" spans="46:49" x14ac:dyDescent="0.25">
      <c r="AT1256" s="74"/>
      <c r="AW1256" s="74"/>
    </row>
    <row r="1257" spans="46:49" x14ac:dyDescent="0.25">
      <c r="AT1257" s="74"/>
      <c r="AW1257" s="74"/>
    </row>
    <row r="1258" spans="46:49" x14ac:dyDescent="0.25">
      <c r="AT1258" s="74"/>
      <c r="AW1258" s="74"/>
    </row>
    <row r="1259" spans="46:49" x14ac:dyDescent="0.25">
      <c r="AT1259" s="74"/>
      <c r="AW1259" s="74"/>
    </row>
    <row r="1260" spans="46:49" x14ac:dyDescent="0.25">
      <c r="AT1260" s="74"/>
      <c r="AW1260" s="74"/>
    </row>
    <row r="1261" spans="46:49" x14ac:dyDescent="0.25">
      <c r="AT1261" s="74"/>
      <c r="AW1261" s="74"/>
    </row>
    <row r="1262" spans="46:49" x14ac:dyDescent="0.25">
      <c r="AT1262" s="74"/>
      <c r="AW1262" s="74"/>
    </row>
    <row r="1263" spans="46:49" x14ac:dyDescent="0.25">
      <c r="AT1263" s="74"/>
      <c r="AW1263" s="74"/>
    </row>
    <row r="1264" spans="46:49" x14ac:dyDescent="0.25">
      <c r="AT1264" s="74"/>
      <c r="AW1264" s="74"/>
    </row>
    <row r="1265" spans="46:49" x14ac:dyDescent="0.25">
      <c r="AT1265" s="74"/>
      <c r="AW1265" s="74"/>
    </row>
    <row r="1266" spans="46:49" x14ac:dyDescent="0.25">
      <c r="AT1266" s="74"/>
      <c r="AW1266" s="74"/>
    </row>
    <row r="1267" spans="46:49" x14ac:dyDescent="0.25">
      <c r="AT1267" s="74"/>
      <c r="AW1267" s="74"/>
    </row>
    <row r="1268" spans="46:49" x14ac:dyDescent="0.25">
      <c r="AT1268" s="74"/>
      <c r="AW1268" s="74"/>
    </row>
    <row r="1269" spans="46:49" x14ac:dyDescent="0.25">
      <c r="AT1269" s="74"/>
      <c r="AW1269" s="74"/>
    </row>
    <row r="1270" spans="46:49" x14ac:dyDescent="0.25">
      <c r="AT1270" s="74"/>
      <c r="AW1270" s="74"/>
    </row>
    <row r="1271" spans="46:49" x14ac:dyDescent="0.25">
      <c r="AT1271" s="74"/>
      <c r="AW1271" s="74"/>
    </row>
    <row r="1272" spans="46:49" x14ac:dyDescent="0.25">
      <c r="AT1272" s="74"/>
      <c r="AW1272" s="74"/>
    </row>
    <row r="1273" spans="46:49" x14ac:dyDescent="0.25">
      <c r="AT1273" s="74"/>
      <c r="AW1273" s="74"/>
    </row>
    <row r="1274" spans="46:49" x14ac:dyDescent="0.25">
      <c r="AT1274" s="74"/>
      <c r="AW1274" s="74"/>
    </row>
    <row r="1275" spans="46:49" x14ac:dyDescent="0.25">
      <c r="AT1275" s="74"/>
      <c r="AW1275" s="74"/>
    </row>
    <row r="1276" spans="46:49" x14ac:dyDescent="0.25">
      <c r="AT1276" s="74"/>
      <c r="AW1276" s="74"/>
    </row>
    <row r="1277" spans="46:49" x14ac:dyDescent="0.25">
      <c r="AT1277" s="74"/>
      <c r="AW1277" s="74"/>
    </row>
    <row r="1278" spans="46:49" x14ac:dyDescent="0.25">
      <c r="AT1278" s="74"/>
      <c r="AW1278" s="74"/>
    </row>
    <row r="1279" spans="46:49" x14ac:dyDescent="0.25">
      <c r="AT1279" s="74"/>
      <c r="AW1279" s="74"/>
    </row>
    <row r="1280" spans="46:49" x14ac:dyDescent="0.25">
      <c r="AT1280" s="74"/>
      <c r="AW1280" s="74"/>
    </row>
    <row r="1281" spans="46:49" x14ac:dyDescent="0.25">
      <c r="AT1281" s="74"/>
      <c r="AW1281" s="74"/>
    </row>
    <row r="1282" spans="46:49" x14ac:dyDescent="0.25">
      <c r="AT1282" s="74"/>
      <c r="AW1282" s="74"/>
    </row>
    <row r="1283" spans="46:49" x14ac:dyDescent="0.25">
      <c r="AT1283" s="74"/>
      <c r="AW1283" s="74"/>
    </row>
    <row r="1284" spans="46:49" x14ac:dyDescent="0.25">
      <c r="AT1284" s="74"/>
      <c r="AW1284" s="74"/>
    </row>
    <row r="1285" spans="46:49" x14ac:dyDescent="0.25">
      <c r="AT1285" s="74"/>
      <c r="AW1285" s="74"/>
    </row>
    <row r="1286" spans="46:49" x14ac:dyDescent="0.25">
      <c r="AT1286" s="74"/>
      <c r="AW1286" s="74"/>
    </row>
    <row r="1287" spans="46:49" x14ac:dyDescent="0.25">
      <c r="AT1287" s="74"/>
      <c r="AW1287" s="74"/>
    </row>
    <row r="1288" spans="46:49" x14ac:dyDescent="0.25">
      <c r="AT1288" s="74"/>
      <c r="AW1288" s="74"/>
    </row>
    <row r="1289" spans="46:49" x14ac:dyDescent="0.25">
      <c r="AT1289" s="74"/>
      <c r="AW1289" s="74"/>
    </row>
    <row r="1290" spans="46:49" x14ac:dyDescent="0.25">
      <c r="AT1290" s="74"/>
      <c r="AW1290" s="74"/>
    </row>
    <row r="1291" spans="46:49" x14ac:dyDescent="0.25">
      <c r="AT1291" s="74"/>
      <c r="AW1291" s="74"/>
    </row>
    <row r="1292" spans="46:49" x14ac:dyDescent="0.25">
      <c r="AT1292" s="74"/>
      <c r="AW1292" s="74"/>
    </row>
    <row r="1293" spans="46:49" x14ac:dyDescent="0.25">
      <c r="AT1293" s="74"/>
      <c r="AW1293" s="74"/>
    </row>
    <row r="1294" spans="46:49" x14ac:dyDescent="0.25">
      <c r="AT1294" s="74"/>
      <c r="AW1294" s="74"/>
    </row>
    <row r="1295" spans="46:49" x14ac:dyDescent="0.25">
      <c r="AT1295" s="74"/>
      <c r="AW1295" s="74"/>
    </row>
    <row r="1296" spans="46:49" x14ac:dyDescent="0.25">
      <c r="AT1296" s="74"/>
      <c r="AW1296" s="74"/>
    </row>
    <row r="1297" spans="46:49" x14ac:dyDescent="0.25">
      <c r="AT1297" s="74"/>
      <c r="AW1297" s="74"/>
    </row>
    <row r="1298" spans="46:49" x14ac:dyDescent="0.25">
      <c r="AT1298" s="74"/>
      <c r="AW1298" s="74"/>
    </row>
    <row r="1299" spans="46:49" x14ac:dyDescent="0.25">
      <c r="AT1299" s="74"/>
      <c r="AW1299" s="74"/>
    </row>
    <row r="1300" spans="46:49" x14ac:dyDescent="0.25">
      <c r="AT1300" s="74"/>
      <c r="AW1300" s="74"/>
    </row>
    <row r="1301" spans="46:49" x14ac:dyDescent="0.25">
      <c r="AT1301" s="74"/>
      <c r="AW1301" s="74"/>
    </row>
    <row r="1302" spans="46:49" x14ac:dyDescent="0.25">
      <c r="AT1302" s="74"/>
      <c r="AW1302" s="74"/>
    </row>
    <row r="1303" spans="46:49" x14ac:dyDescent="0.25">
      <c r="AT1303" s="74"/>
      <c r="AW1303" s="74"/>
    </row>
    <row r="1304" spans="46:49" x14ac:dyDescent="0.25">
      <c r="AT1304" s="74"/>
      <c r="AW1304" s="74"/>
    </row>
    <row r="1305" spans="46:49" x14ac:dyDescent="0.25">
      <c r="AT1305" s="74"/>
      <c r="AW1305" s="74"/>
    </row>
    <row r="1306" spans="46:49" x14ac:dyDescent="0.25">
      <c r="AT1306" s="74"/>
      <c r="AW1306" s="74"/>
    </row>
    <row r="1307" spans="46:49" x14ac:dyDescent="0.25">
      <c r="AT1307" s="74"/>
      <c r="AW1307" s="74"/>
    </row>
    <row r="1308" spans="46:49" x14ac:dyDescent="0.25">
      <c r="AT1308" s="74"/>
      <c r="AW1308" s="74"/>
    </row>
    <row r="1309" spans="46:49" x14ac:dyDescent="0.25">
      <c r="AT1309" s="74"/>
      <c r="AW1309" s="74"/>
    </row>
    <row r="1310" spans="46:49" x14ac:dyDescent="0.25">
      <c r="AT1310" s="74"/>
      <c r="AW1310" s="74"/>
    </row>
    <row r="1311" spans="46:49" x14ac:dyDescent="0.25">
      <c r="AT1311" s="74"/>
      <c r="AW1311" s="74"/>
    </row>
    <row r="1312" spans="46:49" x14ac:dyDescent="0.25">
      <c r="AT1312" s="74"/>
      <c r="AW1312" s="74"/>
    </row>
    <row r="1313" spans="46:49" x14ac:dyDescent="0.25">
      <c r="AT1313" s="74"/>
      <c r="AW1313" s="74"/>
    </row>
    <row r="1314" spans="46:49" x14ac:dyDescent="0.25">
      <c r="AT1314" s="74"/>
      <c r="AW1314" s="74"/>
    </row>
    <row r="1315" spans="46:49" x14ac:dyDescent="0.25">
      <c r="AT1315" s="74"/>
      <c r="AW1315" s="74"/>
    </row>
    <row r="1316" spans="46:49" x14ac:dyDescent="0.25">
      <c r="AT1316" s="74"/>
      <c r="AW1316" s="74"/>
    </row>
    <row r="1317" spans="46:49" x14ac:dyDescent="0.25">
      <c r="AT1317" s="74"/>
      <c r="AW1317" s="74"/>
    </row>
    <row r="1318" spans="46:49" x14ac:dyDescent="0.25">
      <c r="AT1318" s="74"/>
      <c r="AW1318" s="74"/>
    </row>
    <row r="1319" spans="46:49" x14ac:dyDescent="0.25">
      <c r="AT1319" s="74"/>
      <c r="AW1319" s="74"/>
    </row>
    <row r="1320" spans="46:49" x14ac:dyDescent="0.25">
      <c r="AT1320" s="74"/>
      <c r="AW1320" s="74"/>
    </row>
    <row r="1321" spans="46:49" x14ac:dyDescent="0.25">
      <c r="AT1321" s="74"/>
      <c r="AW1321" s="74"/>
    </row>
    <row r="1322" spans="46:49" x14ac:dyDescent="0.25">
      <c r="AT1322" s="74"/>
      <c r="AW1322" s="74"/>
    </row>
    <row r="1323" spans="46:49" x14ac:dyDescent="0.25">
      <c r="AT1323" s="74"/>
      <c r="AW1323" s="74"/>
    </row>
    <row r="1324" spans="46:49" x14ac:dyDescent="0.25">
      <c r="AT1324" s="74"/>
      <c r="AW1324" s="74"/>
    </row>
    <row r="1325" spans="46:49" x14ac:dyDescent="0.25">
      <c r="AT1325" s="74"/>
      <c r="AW1325" s="74"/>
    </row>
    <row r="1326" spans="46:49" x14ac:dyDescent="0.25">
      <c r="AT1326" s="74"/>
      <c r="AW1326" s="74"/>
    </row>
    <row r="1327" spans="46:49" x14ac:dyDescent="0.25">
      <c r="AT1327" s="74"/>
      <c r="AW1327" s="74"/>
    </row>
    <row r="1328" spans="46:49" x14ac:dyDescent="0.25">
      <c r="AT1328" s="74"/>
      <c r="AW1328" s="74"/>
    </row>
    <row r="1329" spans="46:49" x14ac:dyDescent="0.25">
      <c r="AT1329" s="74"/>
      <c r="AW1329" s="74"/>
    </row>
    <row r="1330" spans="46:49" x14ac:dyDescent="0.25">
      <c r="AT1330" s="74"/>
      <c r="AW1330" s="74"/>
    </row>
    <row r="1331" spans="46:49" x14ac:dyDescent="0.25">
      <c r="AT1331" s="74"/>
      <c r="AW1331" s="74"/>
    </row>
    <row r="1332" spans="46:49" x14ac:dyDescent="0.25">
      <c r="AT1332" s="74"/>
      <c r="AW1332" s="74"/>
    </row>
    <row r="1333" spans="46:49" x14ac:dyDescent="0.25">
      <c r="AT1333" s="74"/>
      <c r="AW1333" s="74"/>
    </row>
    <row r="1334" spans="46:49" x14ac:dyDescent="0.25">
      <c r="AT1334" s="74"/>
      <c r="AW1334" s="74"/>
    </row>
    <row r="1335" spans="46:49" x14ac:dyDescent="0.25">
      <c r="AT1335" s="74"/>
      <c r="AW1335" s="74"/>
    </row>
    <row r="1336" spans="46:49" x14ac:dyDescent="0.25">
      <c r="AT1336" s="74"/>
      <c r="AW1336" s="74"/>
    </row>
    <row r="1337" spans="46:49" x14ac:dyDescent="0.25">
      <c r="AT1337" s="74"/>
      <c r="AW1337" s="74"/>
    </row>
    <row r="1338" spans="46:49" x14ac:dyDescent="0.25">
      <c r="AT1338" s="74"/>
      <c r="AW1338" s="74"/>
    </row>
    <row r="1339" spans="46:49" x14ac:dyDescent="0.25">
      <c r="AT1339" s="74"/>
      <c r="AW1339" s="74"/>
    </row>
    <row r="1340" spans="46:49" x14ac:dyDescent="0.25">
      <c r="AT1340" s="74"/>
      <c r="AW1340" s="74"/>
    </row>
    <row r="1341" spans="46:49" x14ac:dyDescent="0.25">
      <c r="AT1341" s="74"/>
      <c r="AW1341" s="74"/>
    </row>
    <row r="1342" spans="46:49" x14ac:dyDescent="0.25">
      <c r="AT1342" s="74"/>
      <c r="AW1342" s="74"/>
    </row>
    <row r="1343" spans="46:49" x14ac:dyDescent="0.25">
      <c r="AT1343" s="74"/>
      <c r="AW1343" s="74"/>
    </row>
    <row r="1344" spans="46:49" x14ac:dyDescent="0.25">
      <c r="AT1344" s="74"/>
      <c r="AW1344" s="74"/>
    </row>
    <row r="1345" spans="46:49" x14ac:dyDescent="0.25">
      <c r="AT1345" s="74"/>
      <c r="AW1345" s="74"/>
    </row>
    <row r="1346" spans="46:49" x14ac:dyDescent="0.25">
      <c r="AT1346" s="74"/>
      <c r="AW1346" s="74"/>
    </row>
    <row r="1347" spans="46:49" x14ac:dyDescent="0.25">
      <c r="AT1347" s="74"/>
      <c r="AW1347" s="74"/>
    </row>
    <row r="1348" spans="46:49" x14ac:dyDescent="0.25">
      <c r="AT1348" s="74"/>
      <c r="AW1348" s="74"/>
    </row>
    <row r="1349" spans="46:49" x14ac:dyDescent="0.25">
      <c r="AT1349" s="74"/>
      <c r="AW1349" s="74"/>
    </row>
    <row r="1350" spans="46:49" x14ac:dyDescent="0.25">
      <c r="AT1350" s="74"/>
      <c r="AW1350" s="74"/>
    </row>
    <row r="1351" spans="46:49" x14ac:dyDescent="0.25">
      <c r="AT1351" s="74"/>
      <c r="AW1351" s="74"/>
    </row>
    <row r="1352" spans="46:49" x14ac:dyDescent="0.25">
      <c r="AT1352" s="74"/>
      <c r="AW1352" s="74"/>
    </row>
    <row r="1353" spans="46:49" x14ac:dyDescent="0.25">
      <c r="AT1353" s="74"/>
      <c r="AW1353" s="74"/>
    </row>
    <row r="1354" spans="46:49" x14ac:dyDescent="0.25">
      <c r="AT1354" s="74"/>
      <c r="AW1354" s="74"/>
    </row>
    <row r="1355" spans="46:49" x14ac:dyDescent="0.25">
      <c r="AT1355" s="74"/>
      <c r="AW1355" s="74"/>
    </row>
    <row r="1356" spans="46:49" x14ac:dyDescent="0.25">
      <c r="AT1356" s="74"/>
      <c r="AW1356" s="74"/>
    </row>
    <row r="1357" spans="46:49" x14ac:dyDescent="0.25">
      <c r="AT1357" s="74"/>
      <c r="AW1357" s="74"/>
    </row>
    <row r="1358" spans="46:49" x14ac:dyDescent="0.25">
      <c r="AT1358" s="74"/>
      <c r="AW1358" s="74"/>
    </row>
    <row r="1359" spans="46:49" x14ac:dyDescent="0.25">
      <c r="AT1359" s="74"/>
      <c r="AW1359" s="74"/>
    </row>
    <row r="1360" spans="46:49" x14ac:dyDescent="0.25">
      <c r="AT1360" s="74"/>
      <c r="AW1360" s="74"/>
    </row>
    <row r="1361" spans="46:49" x14ac:dyDescent="0.25">
      <c r="AT1361" s="74"/>
      <c r="AW1361" s="74"/>
    </row>
    <row r="1362" spans="46:49" x14ac:dyDescent="0.25">
      <c r="AT1362" s="74"/>
      <c r="AW1362" s="74"/>
    </row>
    <row r="1363" spans="46:49" x14ac:dyDescent="0.25">
      <c r="AT1363" s="74"/>
      <c r="AW1363" s="74"/>
    </row>
    <row r="1364" spans="46:49" x14ac:dyDescent="0.25">
      <c r="AT1364" s="74"/>
      <c r="AW1364" s="74"/>
    </row>
    <row r="1365" spans="46:49" x14ac:dyDescent="0.25">
      <c r="AT1365" s="74"/>
      <c r="AW1365" s="74"/>
    </row>
    <row r="1366" spans="46:49" x14ac:dyDescent="0.25">
      <c r="AT1366" s="74"/>
      <c r="AW1366" s="74"/>
    </row>
    <row r="1367" spans="46:49" x14ac:dyDescent="0.25">
      <c r="AT1367" s="74"/>
      <c r="AW1367" s="74"/>
    </row>
    <row r="1368" spans="46:49" x14ac:dyDescent="0.25">
      <c r="AT1368" s="74"/>
      <c r="AW1368" s="74"/>
    </row>
    <row r="1369" spans="46:49" x14ac:dyDescent="0.25">
      <c r="AT1369" s="74"/>
      <c r="AW1369" s="74"/>
    </row>
    <row r="1370" spans="46:49" x14ac:dyDescent="0.25">
      <c r="AT1370" s="74"/>
      <c r="AW1370" s="74"/>
    </row>
    <row r="1371" spans="46:49" x14ac:dyDescent="0.25">
      <c r="AT1371" s="74"/>
      <c r="AW1371" s="74"/>
    </row>
    <row r="1372" spans="46:49" x14ac:dyDescent="0.25">
      <c r="AT1372" s="74"/>
      <c r="AW1372" s="74"/>
    </row>
    <row r="1373" spans="46:49" x14ac:dyDescent="0.25">
      <c r="AT1373" s="74"/>
      <c r="AW1373" s="74"/>
    </row>
    <row r="1374" spans="46:49" x14ac:dyDescent="0.25">
      <c r="AT1374" s="74"/>
      <c r="AW1374" s="74"/>
    </row>
    <row r="1375" spans="46:49" x14ac:dyDescent="0.25">
      <c r="AT1375" s="74"/>
      <c r="AW1375" s="74"/>
    </row>
    <row r="1376" spans="46:49" x14ac:dyDescent="0.25">
      <c r="AT1376" s="74"/>
      <c r="AW1376" s="74"/>
    </row>
    <row r="1377" spans="46:49" x14ac:dyDescent="0.25">
      <c r="AT1377" s="74"/>
      <c r="AW1377" s="74"/>
    </row>
    <row r="1378" spans="46:49" x14ac:dyDescent="0.25">
      <c r="AT1378" s="74"/>
      <c r="AW1378" s="74"/>
    </row>
    <row r="1379" spans="46:49" x14ac:dyDescent="0.25">
      <c r="AT1379" s="74"/>
      <c r="AW1379" s="74"/>
    </row>
    <row r="1380" spans="46:49" x14ac:dyDescent="0.25">
      <c r="AT1380" s="74"/>
      <c r="AW1380" s="74"/>
    </row>
    <row r="1381" spans="46:49" x14ac:dyDescent="0.25">
      <c r="AT1381" s="74"/>
      <c r="AW1381" s="74"/>
    </row>
    <row r="1382" spans="46:49" x14ac:dyDescent="0.25">
      <c r="AT1382" s="74"/>
      <c r="AW1382" s="74"/>
    </row>
    <row r="1383" spans="46:49" x14ac:dyDescent="0.25">
      <c r="AT1383" s="74"/>
      <c r="AW1383" s="74"/>
    </row>
    <row r="1384" spans="46:49" x14ac:dyDescent="0.25">
      <c r="AT1384" s="74"/>
      <c r="AW1384" s="74"/>
    </row>
    <row r="1385" spans="46:49" x14ac:dyDescent="0.25">
      <c r="AT1385" s="74"/>
      <c r="AW1385" s="74"/>
    </row>
    <row r="1386" spans="46:49" x14ac:dyDescent="0.25">
      <c r="AT1386" s="74"/>
      <c r="AW1386" s="74"/>
    </row>
    <row r="1387" spans="46:49" x14ac:dyDescent="0.25">
      <c r="AT1387" s="74"/>
      <c r="AW1387" s="74"/>
    </row>
    <row r="1388" spans="46:49" x14ac:dyDescent="0.25">
      <c r="AT1388" s="74"/>
      <c r="AW1388" s="74"/>
    </row>
    <row r="1389" spans="46:49" x14ac:dyDescent="0.25">
      <c r="AT1389" s="74"/>
      <c r="AW1389" s="74"/>
    </row>
    <row r="1390" spans="46:49" x14ac:dyDescent="0.25">
      <c r="AT1390" s="74"/>
      <c r="AW1390" s="74"/>
    </row>
    <row r="1391" spans="46:49" x14ac:dyDescent="0.25">
      <c r="AT1391" s="74"/>
      <c r="AW1391" s="74"/>
    </row>
    <row r="1392" spans="46:49" x14ac:dyDescent="0.25">
      <c r="AT1392" s="74"/>
      <c r="AW1392" s="74"/>
    </row>
    <row r="1393" spans="46:49" x14ac:dyDescent="0.25">
      <c r="AT1393" s="74"/>
      <c r="AW1393" s="74"/>
    </row>
    <row r="1394" spans="46:49" x14ac:dyDescent="0.25">
      <c r="AT1394" s="74"/>
      <c r="AW1394" s="74"/>
    </row>
    <row r="1395" spans="46:49" x14ac:dyDescent="0.25">
      <c r="AT1395" s="74"/>
      <c r="AW1395" s="74"/>
    </row>
    <row r="1396" spans="46:49" x14ac:dyDescent="0.25">
      <c r="AT1396" s="74"/>
      <c r="AW1396" s="74"/>
    </row>
    <row r="1397" spans="46:49" x14ac:dyDescent="0.25">
      <c r="AT1397" s="74"/>
      <c r="AW1397" s="74"/>
    </row>
    <row r="1398" spans="46:49" x14ac:dyDescent="0.25">
      <c r="AT1398" s="74"/>
      <c r="AW1398" s="74"/>
    </row>
    <row r="1399" spans="46:49" x14ac:dyDescent="0.25">
      <c r="AT1399" s="74"/>
      <c r="AW1399" s="74"/>
    </row>
    <row r="1400" spans="46:49" x14ac:dyDescent="0.25">
      <c r="AT1400" s="74"/>
      <c r="AW1400" s="74"/>
    </row>
    <row r="1401" spans="46:49" x14ac:dyDescent="0.25">
      <c r="AT1401" s="74"/>
      <c r="AW1401" s="74"/>
    </row>
    <row r="1402" spans="46:49" x14ac:dyDescent="0.25">
      <c r="AT1402" s="74"/>
      <c r="AW1402" s="74"/>
    </row>
    <row r="1403" spans="46:49" x14ac:dyDescent="0.25">
      <c r="AT1403" s="74"/>
      <c r="AW1403" s="74"/>
    </row>
    <row r="1404" spans="46:49" x14ac:dyDescent="0.25">
      <c r="AT1404" s="74"/>
      <c r="AW1404" s="74"/>
    </row>
    <row r="1405" spans="46:49" x14ac:dyDescent="0.25">
      <c r="AT1405" s="74"/>
      <c r="AW1405" s="74"/>
    </row>
    <row r="1406" spans="46:49" x14ac:dyDescent="0.25">
      <c r="AT1406" s="74"/>
      <c r="AW1406" s="74"/>
    </row>
    <row r="1407" spans="46:49" x14ac:dyDescent="0.25">
      <c r="AT1407" s="74"/>
      <c r="AW1407" s="74"/>
    </row>
    <row r="1408" spans="46:49" x14ac:dyDescent="0.25">
      <c r="AT1408" s="74"/>
      <c r="AW1408" s="74"/>
    </row>
    <row r="1409" spans="46:49" x14ac:dyDescent="0.25">
      <c r="AT1409" s="74"/>
      <c r="AW1409" s="74"/>
    </row>
    <row r="1410" spans="46:49" x14ac:dyDescent="0.25">
      <c r="AT1410" s="74"/>
      <c r="AW1410" s="74"/>
    </row>
    <row r="1411" spans="46:49" x14ac:dyDescent="0.25">
      <c r="AT1411" s="74"/>
      <c r="AW1411" s="74"/>
    </row>
    <row r="1412" spans="46:49" x14ac:dyDescent="0.25">
      <c r="AT1412" s="74"/>
      <c r="AW1412" s="74"/>
    </row>
    <row r="1413" spans="46:49" x14ac:dyDescent="0.25">
      <c r="AT1413" s="74"/>
      <c r="AW1413" s="74"/>
    </row>
    <row r="1414" spans="46:49" x14ac:dyDescent="0.25">
      <c r="AT1414" s="74"/>
      <c r="AW1414" s="74"/>
    </row>
    <row r="1415" spans="46:49" x14ac:dyDescent="0.25">
      <c r="AT1415" s="74"/>
      <c r="AW1415" s="74"/>
    </row>
    <row r="1416" spans="46:49" x14ac:dyDescent="0.25">
      <c r="AT1416" s="74"/>
      <c r="AW1416" s="74"/>
    </row>
    <row r="1417" spans="46:49" x14ac:dyDescent="0.25">
      <c r="AT1417" s="74"/>
      <c r="AW1417" s="74"/>
    </row>
    <row r="1418" spans="46:49" x14ac:dyDescent="0.25">
      <c r="AT1418" s="74"/>
      <c r="AW1418" s="74"/>
    </row>
    <row r="1419" spans="46:49" x14ac:dyDescent="0.25">
      <c r="AT1419" s="74"/>
      <c r="AW1419" s="74"/>
    </row>
    <row r="1420" spans="46:49" x14ac:dyDescent="0.25">
      <c r="AT1420" s="74"/>
      <c r="AW1420" s="74"/>
    </row>
    <row r="1421" spans="46:49" x14ac:dyDescent="0.25">
      <c r="AT1421" s="74"/>
      <c r="AW1421" s="74"/>
    </row>
    <row r="1422" spans="46:49" x14ac:dyDescent="0.25">
      <c r="AT1422" s="74"/>
      <c r="AW1422" s="74"/>
    </row>
    <row r="1423" spans="46:49" x14ac:dyDescent="0.25">
      <c r="AT1423" s="74"/>
      <c r="AW1423" s="74"/>
    </row>
    <row r="1424" spans="46:49" x14ac:dyDescent="0.25">
      <c r="AT1424" s="74"/>
      <c r="AW1424" s="74"/>
    </row>
    <row r="1425" spans="46:49" x14ac:dyDescent="0.25">
      <c r="AT1425" s="74"/>
      <c r="AW1425" s="74"/>
    </row>
    <row r="1426" spans="46:49" x14ac:dyDescent="0.25">
      <c r="AT1426" s="74"/>
      <c r="AW1426" s="74"/>
    </row>
    <row r="1427" spans="46:49" x14ac:dyDescent="0.25">
      <c r="AT1427" s="74"/>
      <c r="AW1427" s="74"/>
    </row>
    <row r="1428" spans="46:49" x14ac:dyDescent="0.25">
      <c r="AT1428" s="74"/>
      <c r="AW1428" s="74"/>
    </row>
    <row r="1429" spans="46:49" x14ac:dyDescent="0.25">
      <c r="AT1429" s="74"/>
      <c r="AW1429" s="74"/>
    </row>
    <row r="1430" spans="46:49" x14ac:dyDescent="0.25">
      <c r="AT1430" s="74"/>
      <c r="AW1430" s="74"/>
    </row>
    <row r="1431" spans="46:49" x14ac:dyDescent="0.25">
      <c r="AT1431" s="74"/>
      <c r="AW1431" s="74"/>
    </row>
    <row r="1432" spans="46:49" x14ac:dyDescent="0.25">
      <c r="AT1432" s="74"/>
      <c r="AW1432" s="74"/>
    </row>
    <row r="1433" spans="46:49" x14ac:dyDescent="0.25">
      <c r="AT1433" s="74"/>
      <c r="AW1433" s="74"/>
    </row>
    <row r="1434" spans="46:49" x14ac:dyDescent="0.25">
      <c r="AT1434" s="74"/>
      <c r="AW1434" s="74"/>
    </row>
    <row r="1435" spans="46:49" x14ac:dyDescent="0.25">
      <c r="AT1435" s="74"/>
      <c r="AW1435" s="74"/>
    </row>
    <row r="1436" spans="46:49" x14ac:dyDescent="0.25">
      <c r="AT1436" s="74"/>
      <c r="AW1436" s="74"/>
    </row>
    <row r="1437" spans="46:49" x14ac:dyDescent="0.25">
      <c r="AT1437" s="74"/>
      <c r="AW1437" s="74"/>
    </row>
    <row r="1438" spans="46:49" x14ac:dyDescent="0.25">
      <c r="AT1438" s="74"/>
      <c r="AW1438" s="74"/>
    </row>
    <row r="1439" spans="46:49" x14ac:dyDescent="0.25">
      <c r="AT1439" s="74"/>
      <c r="AW1439" s="74"/>
    </row>
    <row r="1440" spans="46:49" x14ac:dyDescent="0.25">
      <c r="AT1440" s="74"/>
      <c r="AW1440" s="74"/>
    </row>
    <row r="1441" spans="46:49" x14ac:dyDescent="0.25">
      <c r="AT1441" s="74"/>
      <c r="AW1441" s="74"/>
    </row>
    <row r="1442" spans="46:49" x14ac:dyDescent="0.25">
      <c r="AT1442" s="74"/>
      <c r="AW1442" s="74"/>
    </row>
    <row r="1443" spans="46:49" x14ac:dyDescent="0.25">
      <c r="AT1443" s="74"/>
      <c r="AW1443" s="74"/>
    </row>
    <row r="1444" spans="46:49" x14ac:dyDescent="0.25">
      <c r="AT1444" s="74"/>
      <c r="AW1444" s="74"/>
    </row>
    <row r="1445" spans="46:49" x14ac:dyDescent="0.25">
      <c r="AT1445" s="74"/>
      <c r="AW1445" s="74"/>
    </row>
    <row r="1446" spans="46:49" x14ac:dyDescent="0.25">
      <c r="AT1446" s="74"/>
      <c r="AW1446" s="74"/>
    </row>
    <row r="1447" spans="46:49" x14ac:dyDescent="0.25">
      <c r="AT1447" s="74"/>
      <c r="AW1447" s="74"/>
    </row>
    <row r="1448" spans="46:49" x14ac:dyDescent="0.25">
      <c r="AT1448" s="74"/>
      <c r="AW1448" s="74"/>
    </row>
    <row r="1449" spans="46:49" x14ac:dyDescent="0.25">
      <c r="AT1449" s="74"/>
      <c r="AW1449" s="74"/>
    </row>
    <row r="1450" spans="46:49" x14ac:dyDescent="0.25">
      <c r="AT1450" s="74"/>
      <c r="AW1450" s="74"/>
    </row>
    <row r="1451" spans="46:49" x14ac:dyDescent="0.25">
      <c r="AT1451" s="74"/>
      <c r="AW1451" s="74"/>
    </row>
    <row r="1452" spans="46:49" x14ac:dyDescent="0.25">
      <c r="AT1452" s="74"/>
      <c r="AW1452" s="74"/>
    </row>
    <row r="1453" spans="46:49" x14ac:dyDescent="0.25">
      <c r="AT1453" s="74"/>
      <c r="AW1453" s="74"/>
    </row>
    <row r="1454" spans="46:49" x14ac:dyDescent="0.25">
      <c r="AT1454" s="74"/>
      <c r="AW1454" s="74"/>
    </row>
    <row r="1455" spans="46:49" x14ac:dyDescent="0.25">
      <c r="AT1455" s="74"/>
      <c r="AW1455" s="74"/>
    </row>
    <row r="1456" spans="46:49" x14ac:dyDescent="0.25">
      <c r="AT1456" s="74"/>
      <c r="AW1456" s="74"/>
    </row>
    <row r="1457" spans="46:49" x14ac:dyDescent="0.25">
      <c r="AT1457" s="74"/>
      <c r="AW1457" s="74"/>
    </row>
    <row r="1458" spans="46:49" x14ac:dyDescent="0.25">
      <c r="AT1458" s="74"/>
      <c r="AW1458" s="74"/>
    </row>
    <row r="1459" spans="46:49" x14ac:dyDescent="0.25">
      <c r="AT1459" s="74"/>
      <c r="AW1459" s="74"/>
    </row>
    <row r="1460" spans="46:49" x14ac:dyDescent="0.25">
      <c r="AT1460" s="74"/>
      <c r="AW1460" s="74"/>
    </row>
    <row r="1461" spans="46:49" x14ac:dyDescent="0.25">
      <c r="AT1461" s="74"/>
      <c r="AW1461" s="74"/>
    </row>
    <row r="1462" spans="46:49" x14ac:dyDescent="0.25">
      <c r="AT1462" s="74"/>
      <c r="AW1462" s="74"/>
    </row>
    <row r="1463" spans="46:49" x14ac:dyDescent="0.25">
      <c r="AT1463" s="74"/>
      <c r="AW1463" s="74"/>
    </row>
    <row r="1464" spans="46:49" x14ac:dyDescent="0.25">
      <c r="AT1464" s="74"/>
      <c r="AW1464" s="74"/>
    </row>
    <row r="1465" spans="46:49" x14ac:dyDescent="0.25">
      <c r="AT1465" s="74"/>
      <c r="AW1465" s="74"/>
    </row>
    <row r="1466" spans="46:49" x14ac:dyDescent="0.25">
      <c r="AT1466" s="74"/>
      <c r="AW1466" s="74"/>
    </row>
    <row r="1467" spans="46:49" x14ac:dyDescent="0.25">
      <c r="AT1467" s="74"/>
      <c r="AW1467" s="74"/>
    </row>
    <row r="1468" spans="46:49" x14ac:dyDescent="0.25">
      <c r="AT1468" s="74"/>
      <c r="AW1468" s="74"/>
    </row>
    <row r="1469" spans="46:49" x14ac:dyDescent="0.25">
      <c r="AT1469" s="74"/>
      <c r="AW1469" s="74"/>
    </row>
    <row r="1470" spans="46:49" x14ac:dyDescent="0.25">
      <c r="AT1470" s="74"/>
      <c r="AW1470" s="74"/>
    </row>
    <row r="1471" spans="46:49" x14ac:dyDescent="0.25">
      <c r="AT1471" s="74"/>
      <c r="AW1471" s="74"/>
    </row>
    <row r="1472" spans="46:49" x14ac:dyDescent="0.25">
      <c r="AT1472" s="74"/>
      <c r="AW1472" s="74"/>
    </row>
    <row r="1473" spans="46:49" x14ac:dyDescent="0.25">
      <c r="AT1473" s="74"/>
      <c r="AW1473" s="74"/>
    </row>
    <row r="1474" spans="46:49" x14ac:dyDescent="0.25">
      <c r="AT1474" s="74"/>
      <c r="AW1474" s="74"/>
    </row>
    <row r="1475" spans="46:49" x14ac:dyDescent="0.25">
      <c r="AT1475" s="74"/>
      <c r="AW1475" s="74"/>
    </row>
    <row r="1476" spans="46:49" x14ac:dyDescent="0.25">
      <c r="AT1476" s="74"/>
      <c r="AW1476" s="74"/>
    </row>
    <row r="1477" spans="46:49" x14ac:dyDescent="0.25">
      <c r="AT1477" s="74"/>
      <c r="AW1477" s="74"/>
    </row>
    <row r="1478" spans="46:49" x14ac:dyDescent="0.25">
      <c r="AT1478" s="74"/>
      <c r="AW1478" s="74"/>
    </row>
    <row r="1479" spans="46:49" x14ac:dyDescent="0.25">
      <c r="AT1479" s="74"/>
      <c r="AW1479" s="74"/>
    </row>
    <row r="1480" spans="46:49" x14ac:dyDescent="0.25">
      <c r="AT1480" s="74"/>
      <c r="AW1480" s="74"/>
    </row>
    <row r="1481" spans="46:49" x14ac:dyDescent="0.25">
      <c r="AT1481" s="74"/>
      <c r="AW1481" s="74"/>
    </row>
    <row r="1482" spans="46:49" x14ac:dyDescent="0.25">
      <c r="AT1482" s="74"/>
      <c r="AW1482" s="74"/>
    </row>
    <row r="1483" spans="46:49" x14ac:dyDescent="0.25">
      <c r="AT1483" s="74"/>
      <c r="AW1483" s="74"/>
    </row>
    <row r="1484" spans="46:49" x14ac:dyDescent="0.25">
      <c r="AT1484" s="74"/>
      <c r="AW1484" s="74"/>
    </row>
    <row r="1485" spans="46:49" x14ac:dyDescent="0.25">
      <c r="AT1485" s="74"/>
      <c r="AW1485" s="74"/>
    </row>
    <row r="1486" spans="46:49" x14ac:dyDescent="0.25">
      <c r="AT1486" s="74"/>
      <c r="AW1486" s="74"/>
    </row>
    <row r="1487" spans="46:49" x14ac:dyDescent="0.25">
      <c r="AT1487" s="74"/>
      <c r="AW1487" s="74"/>
    </row>
    <row r="1488" spans="46:49" x14ac:dyDescent="0.25">
      <c r="AT1488" s="74"/>
      <c r="AW1488" s="74"/>
    </row>
    <row r="1489" spans="46:49" x14ac:dyDescent="0.25">
      <c r="AT1489" s="74"/>
      <c r="AW1489" s="74"/>
    </row>
    <row r="1490" spans="46:49" x14ac:dyDescent="0.25">
      <c r="AT1490" s="74"/>
      <c r="AW1490" s="74"/>
    </row>
    <row r="1491" spans="46:49" x14ac:dyDescent="0.25">
      <c r="AT1491" s="74"/>
      <c r="AW1491" s="74"/>
    </row>
    <row r="1492" spans="46:49" x14ac:dyDescent="0.25">
      <c r="AT1492" s="74"/>
      <c r="AW1492" s="74"/>
    </row>
    <row r="1493" spans="46:49" x14ac:dyDescent="0.25">
      <c r="AT1493" s="74"/>
      <c r="AW1493" s="74"/>
    </row>
    <row r="1494" spans="46:49" x14ac:dyDescent="0.25">
      <c r="AT1494" s="74"/>
      <c r="AW1494" s="74"/>
    </row>
    <row r="1495" spans="46:49" x14ac:dyDescent="0.25">
      <c r="AT1495" s="74"/>
      <c r="AW1495" s="74"/>
    </row>
    <row r="1496" spans="46:49" x14ac:dyDescent="0.25">
      <c r="AT1496" s="74"/>
      <c r="AW1496" s="74"/>
    </row>
    <row r="1497" spans="46:49" x14ac:dyDescent="0.25">
      <c r="AT1497" s="74"/>
      <c r="AW1497" s="74"/>
    </row>
    <row r="1498" spans="46:49" x14ac:dyDescent="0.25">
      <c r="AT1498" s="74"/>
      <c r="AW1498" s="74"/>
    </row>
    <row r="1499" spans="46:49" x14ac:dyDescent="0.25">
      <c r="AT1499" s="74"/>
      <c r="AW1499" s="74"/>
    </row>
    <row r="1500" spans="46:49" x14ac:dyDescent="0.25">
      <c r="AT1500" s="74"/>
      <c r="AW1500" s="74"/>
    </row>
    <row r="1501" spans="46:49" x14ac:dyDescent="0.25">
      <c r="AT1501" s="74"/>
      <c r="AW1501" s="74"/>
    </row>
    <row r="1502" spans="46:49" x14ac:dyDescent="0.25">
      <c r="AT1502" s="74"/>
      <c r="AW1502" s="74"/>
    </row>
    <row r="1503" spans="46:49" x14ac:dyDescent="0.25">
      <c r="AT1503" s="74"/>
      <c r="AW1503" s="74"/>
    </row>
    <row r="1504" spans="46:49" x14ac:dyDescent="0.25">
      <c r="AT1504" s="74"/>
      <c r="AW1504" s="74"/>
    </row>
    <row r="1505" spans="46:49" x14ac:dyDescent="0.25">
      <c r="AT1505" s="74"/>
      <c r="AW1505" s="74"/>
    </row>
    <row r="1506" spans="46:49" x14ac:dyDescent="0.25">
      <c r="AT1506" s="74"/>
      <c r="AW1506" s="74"/>
    </row>
    <row r="1507" spans="46:49" x14ac:dyDescent="0.25">
      <c r="AT1507" s="74"/>
      <c r="AW1507" s="74"/>
    </row>
    <row r="1508" spans="46:49" x14ac:dyDescent="0.25">
      <c r="AT1508" s="74"/>
      <c r="AW1508" s="74"/>
    </row>
    <row r="1509" spans="46:49" x14ac:dyDescent="0.25">
      <c r="AT1509" s="74"/>
      <c r="AW1509" s="74"/>
    </row>
    <row r="1510" spans="46:49" x14ac:dyDescent="0.25">
      <c r="AT1510" s="74"/>
      <c r="AW1510" s="74"/>
    </row>
    <row r="1511" spans="46:49" x14ac:dyDescent="0.25">
      <c r="AT1511" s="74"/>
      <c r="AW1511" s="74"/>
    </row>
    <row r="1512" spans="46:49" x14ac:dyDescent="0.25">
      <c r="AT1512" s="74"/>
      <c r="AW1512" s="74"/>
    </row>
    <row r="1513" spans="46:49" x14ac:dyDescent="0.25">
      <c r="AT1513" s="74"/>
      <c r="AW1513" s="74"/>
    </row>
    <row r="1514" spans="46:49" x14ac:dyDescent="0.25">
      <c r="AT1514" s="74"/>
      <c r="AW1514" s="74"/>
    </row>
    <row r="1515" spans="46:49" x14ac:dyDescent="0.25">
      <c r="AT1515" s="74"/>
      <c r="AW1515" s="74"/>
    </row>
    <row r="1516" spans="46:49" x14ac:dyDescent="0.25">
      <c r="AT1516" s="74"/>
      <c r="AW1516" s="74"/>
    </row>
    <row r="1517" spans="46:49" x14ac:dyDescent="0.25">
      <c r="AT1517" s="74"/>
      <c r="AW1517" s="74"/>
    </row>
    <row r="1518" spans="46:49" x14ac:dyDescent="0.25">
      <c r="AT1518" s="74"/>
      <c r="AW1518" s="74"/>
    </row>
    <row r="1519" spans="46:49" x14ac:dyDescent="0.25">
      <c r="AT1519" s="74"/>
      <c r="AW1519" s="74"/>
    </row>
    <row r="1520" spans="46:49" x14ac:dyDescent="0.25">
      <c r="AT1520" s="74"/>
      <c r="AW1520" s="74"/>
    </row>
    <row r="1521" spans="46:49" x14ac:dyDescent="0.25">
      <c r="AT1521" s="74"/>
      <c r="AW1521" s="74"/>
    </row>
    <row r="1522" spans="46:49" x14ac:dyDescent="0.25">
      <c r="AT1522" s="74"/>
      <c r="AW1522" s="74"/>
    </row>
    <row r="1523" spans="46:49" x14ac:dyDescent="0.25">
      <c r="AT1523" s="74"/>
      <c r="AW1523" s="74"/>
    </row>
    <row r="1524" spans="46:49" x14ac:dyDescent="0.25">
      <c r="AT1524" s="74"/>
      <c r="AW1524" s="74"/>
    </row>
    <row r="1525" spans="46:49" x14ac:dyDescent="0.25">
      <c r="AT1525" s="74"/>
      <c r="AW1525" s="74"/>
    </row>
    <row r="1526" spans="46:49" x14ac:dyDescent="0.25">
      <c r="AT1526" s="74"/>
      <c r="AW1526" s="74"/>
    </row>
    <row r="1527" spans="46:49" x14ac:dyDescent="0.25">
      <c r="AT1527" s="74"/>
      <c r="AW1527" s="74"/>
    </row>
    <row r="1528" spans="46:49" x14ac:dyDescent="0.25">
      <c r="AT1528" s="74"/>
      <c r="AW1528" s="74"/>
    </row>
    <row r="1529" spans="46:49" x14ac:dyDescent="0.25">
      <c r="AT1529" s="74"/>
      <c r="AW1529" s="74"/>
    </row>
    <row r="1530" spans="46:49" x14ac:dyDescent="0.25">
      <c r="AT1530" s="74"/>
      <c r="AW1530" s="74"/>
    </row>
    <row r="1531" spans="46:49" x14ac:dyDescent="0.25">
      <c r="AT1531" s="74"/>
      <c r="AW1531" s="74"/>
    </row>
    <row r="1532" spans="46:49" x14ac:dyDescent="0.25">
      <c r="AT1532" s="74"/>
      <c r="AW1532" s="74"/>
    </row>
    <row r="1533" spans="46:49" x14ac:dyDescent="0.25">
      <c r="AT1533" s="74"/>
      <c r="AW1533" s="74"/>
    </row>
    <row r="1534" spans="46:49" x14ac:dyDescent="0.25">
      <c r="AT1534" s="74"/>
      <c r="AW1534" s="74"/>
    </row>
    <row r="1535" spans="46:49" x14ac:dyDescent="0.25">
      <c r="AT1535" s="74"/>
      <c r="AW1535" s="74"/>
    </row>
    <row r="1536" spans="46:49" x14ac:dyDescent="0.25">
      <c r="AT1536" s="74"/>
      <c r="AW1536" s="74"/>
    </row>
    <row r="1537" spans="46:49" x14ac:dyDescent="0.25">
      <c r="AT1537" s="74"/>
      <c r="AW1537" s="74"/>
    </row>
    <row r="1538" spans="46:49" x14ac:dyDescent="0.25">
      <c r="AT1538" s="74"/>
      <c r="AW1538" s="74"/>
    </row>
    <row r="1539" spans="46:49" x14ac:dyDescent="0.25">
      <c r="AT1539" s="74"/>
      <c r="AW1539" s="74"/>
    </row>
    <row r="1540" spans="46:49" x14ac:dyDescent="0.25">
      <c r="AT1540" s="74"/>
      <c r="AW1540" s="74"/>
    </row>
    <row r="1541" spans="46:49" x14ac:dyDescent="0.25">
      <c r="AT1541" s="74"/>
      <c r="AW1541" s="74"/>
    </row>
    <row r="1542" spans="46:49" x14ac:dyDescent="0.25">
      <c r="AT1542" s="74"/>
      <c r="AW1542" s="74"/>
    </row>
    <row r="1543" spans="46:49" x14ac:dyDescent="0.25">
      <c r="AT1543" s="74"/>
      <c r="AW1543" s="74"/>
    </row>
    <row r="1544" spans="46:49" x14ac:dyDescent="0.25">
      <c r="AT1544" s="74"/>
      <c r="AW1544" s="74"/>
    </row>
    <row r="1545" spans="46:49" x14ac:dyDescent="0.25">
      <c r="AT1545" s="74"/>
      <c r="AW1545" s="74"/>
    </row>
    <row r="1546" spans="46:49" x14ac:dyDescent="0.25">
      <c r="AT1546" s="74"/>
      <c r="AW1546" s="74"/>
    </row>
    <row r="1547" spans="46:49" x14ac:dyDescent="0.25">
      <c r="AT1547" s="74"/>
      <c r="AW1547" s="74"/>
    </row>
    <row r="1548" spans="46:49" x14ac:dyDescent="0.25">
      <c r="AT1548" s="74"/>
      <c r="AW1548" s="74"/>
    </row>
    <row r="1549" spans="46:49" x14ac:dyDescent="0.25">
      <c r="AT1549" s="74"/>
      <c r="AW1549" s="74"/>
    </row>
    <row r="1550" spans="46:49" x14ac:dyDescent="0.25">
      <c r="AT1550" s="74"/>
      <c r="AW1550" s="74"/>
    </row>
    <row r="1551" spans="46:49" x14ac:dyDescent="0.25">
      <c r="AT1551" s="74"/>
      <c r="AW1551" s="74"/>
    </row>
    <row r="1552" spans="46:49" x14ac:dyDescent="0.25">
      <c r="AT1552" s="74"/>
      <c r="AW1552" s="74"/>
    </row>
    <row r="1553" spans="46:49" x14ac:dyDescent="0.25">
      <c r="AT1553" s="74"/>
      <c r="AW1553" s="74"/>
    </row>
    <row r="1554" spans="46:49" x14ac:dyDescent="0.25">
      <c r="AT1554" s="74"/>
      <c r="AW1554" s="74"/>
    </row>
    <row r="1555" spans="46:49" x14ac:dyDescent="0.25">
      <c r="AT1555" s="74"/>
      <c r="AW1555" s="74"/>
    </row>
    <row r="1556" spans="46:49" x14ac:dyDescent="0.25">
      <c r="AT1556" s="74"/>
      <c r="AW1556" s="74"/>
    </row>
    <row r="1557" spans="46:49" x14ac:dyDescent="0.25">
      <c r="AT1557" s="74"/>
      <c r="AW1557" s="74"/>
    </row>
    <row r="1558" spans="46:49" x14ac:dyDescent="0.25">
      <c r="AT1558" s="74"/>
      <c r="AW1558" s="74"/>
    </row>
    <row r="1559" spans="46:49" x14ac:dyDescent="0.25">
      <c r="AT1559" s="74"/>
      <c r="AW1559" s="74"/>
    </row>
    <row r="1560" spans="46:49" x14ac:dyDescent="0.25">
      <c r="AT1560" s="74"/>
      <c r="AW1560" s="74"/>
    </row>
    <row r="1561" spans="46:49" x14ac:dyDescent="0.25">
      <c r="AT1561" s="74"/>
      <c r="AW1561" s="74"/>
    </row>
    <row r="1562" spans="46:49" x14ac:dyDescent="0.25">
      <c r="AT1562" s="74"/>
      <c r="AW1562" s="74"/>
    </row>
    <row r="1563" spans="46:49" x14ac:dyDescent="0.25">
      <c r="AT1563" s="74"/>
      <c r="AW1563" s="74"/>
    </row>
    <row r="1564" spans="46:49" x14ac:dyDescent="0.25">
      <c r="AT1564" s="74"/>
      <c r="AW1564" s="74"/>
    </row>
    <row r="1565" spans="46:49" x14ac:dyDescent="0.25">
      <c r="AT1565" s="74"/>
      <c r="AW1565" s="74"/>
    </row>
    <row r="1566" spans="46:49" x14ac:dyDescent="0.25">
      <c r="AT1566" s="74"/>
      <c r="AW1566" s="74"/>
    </row>
    <row r="1567" spans="46:49" x14ac:dyDescent="0.25">
      <c r="AT1567" s="74"/>
      <c r="AW1567" s="74"/>
    </row>
    <row r="1568" spans="46:49" x14ac:dyDescent="0.25">
      <c r="AT1568" s="74"/>
      <c r="AW1568" s="74"/>
    </row>
    <row r="1569" spans="46:49" x14ac:dyDescent="0.25">
      <c r="AT1569" s="74"/>
      <c r="AW1569" s="74"/>
    </row>
    <row r="1570" spans="46:49" x14ac:dyDescent="0.25">
      <c r="AT1570" s="74"/>
      <c r="AW1570" s="74"/>
    </row>
    <row r="1571" spans="46:49" x14ac:dyDescent="0.25">
      <c r="AT1571" s="74"/>
      <c r="AW1571" s="74"/>
    </row>
    <row r="1572" spans="46:49" x14ac:dyDescent="0.25">
      <c r="AT1572" s="74"/>
      <c r="AW1572" s="74"/>
    </row>
    <row r="1573" spans="46:49" x14ac:dyDescent="0.25">
      <c r="AT1573" s="74"/>
      <c r="AW1573" s="74"/>
    </row>
    <row r="1574" spans="46:49" x14ac:dyDescent="0.25">
      <c r="AT1574" s="74"/>
      <c r="AW1574" s="74"/>
    </row>
    <row r="1575" spans="46:49" x14ac:dyDescent="0.25">
      <c r="AT1575" s="74"/>
      <c r="AW1575" s="74"/>
    </row>
    <row r="1576" spans="46:49" x14ac:dyDescent="0.25">
      <c r="AT1576" s="74"/>
      <c r="AW1576" s="74"/>
    </row>
    <row r="1577" spans="46:49" x14ac:dyDescent="0.25">
      <c r="AT1577" s="74"/>
      <c r="AW1577" s="74"/>
    </row>
    <row r="1578" spans="46:49" x14ac:dyDescent="0.25">
      <c r="AT1578" s="74"/>
      <c r="AW1578" s="74"/>
    </row>
    <row r="1579" spans="46:49" x14ac:dyDescent="0.25">
      <c r="AT1579" s="74"/>
      <c r="AW1579" s="74"/>
    </row>
    <row r="1580" spans="46:49" x14ac:dyDescent="0.25">
      <c r="AT1580" s="74"/>
      <c r="AW1580" s="74"/>
    </row>
    <row r="1581" spans="46:49" x14ac:dyDescent="0.25">
      <c r="AT1581" s="74"/>
      <c r="AW1581" s="74"/>
    </row>
    <row r="1582" spans="46:49" x14ac:dyDescent="0.25">
      <c r="AT1582" s="74"/>
      <c r="AW1582" s="74"/>
    </row>
    <row r="1583" spans="46:49" x14ac:dyDescent="0.25">
      <c r="AT1583" s="74"/>
      <c r="AW1583" s="74"/>
    </row>
    <row r="1584" spans="46:49" x14ac:dyDescent="0.25">
      <c r="AT1584" s="74"/>
      <c r="AW1584" s="74"/>
    </row>
    <row r="1585" spans="46:49" x14ac:dyDescent="0.25">
      <c r="AT1585" s="74"/>
      <c r="AW1585" s="74"/>
    </row>
    <row r="1586" spans="46:49" x14ac:dyDescent="0.25">
      <c r="AT1586" s="74"/>
      <c r="AW1586" s="74"/>
    </row>
    <row r="1587" spans="46:49" x14ac:dyDescent="0.25">
      <c r="AT1587" s="74"/>
      <c r="AW1587" s="74"/>
    </row>
    <row r="1588" spans="46:49" x14ac:dyDescent="0.25">
      <c r="AT1588" s="74"/>
      <c r="AW1588" s="74"/>
    </row>
    <row r="1589" spans="46:49" x14ac:dyDescent="0.25">
      <c r="AT1589" s="74"/>
      <c r="AW1589" s="74"/>
    </row>
    <row r="1590" spans="46:49" x14ac:dyDescent="0.25">
      <c r="AT1590" s="74"/>
      <c r="AW1590" s="74"/>
    </row>
    <row r="1591" spans="46:49" x14ac:dyDescent="0.25">
      <c r="AT1591" s="74"/>
      <c r="AW1591" s="74"/>
    </row>
    <row r="1592" spans="46:49" x14ac:dyDescent="0.25">
      <c r="AT1592" s="74"/>
      <c r="AW1592" s="74"/>
    </row>
    <row r="1593" spans="46:49" x14ac:dyDescent="0.25">
      <c r="AT1593" s="74"/>
      <c r="AW1593" s="74"/>
    </row>
    <row r="1594" spans="46:49" x14ac:dyDescent="0.25">
      <c r="AT1594" s="74"/>
      <c r="AW1594" s="74"/>
    </row>
    <row r="1595" spans="46:49" x14ac:dyDescent="0.25">
      <c r="AT1595" s="74"/>
      <c r="AW1595" s="74"/>
    </row>
    <row r="1596" spans="46:49" x14ac:dyDescent="0.25">
      <c r="AT1596" s="74"/>
      <c r="AW1596" s="74"/>
    </row>
    <row r="1597" spans="46:49" x14ac:dyDescent="0.25">
      <c r="AT1597" s="74"/>
      <c r="AW1597" s="74"/>
    </row>
    <row r="1598" spans="46:49" x14ac:dyDescent="0.25">
      <c r="AT1598" s="74"/>
      <c r="AW1598" s="74"/>
    </row>
    <row r="1599" spans="46:49" x14ac:dyDescent="0.25">
      <c r="AT1599" s="74"/>
      <c r="AW1599" s="74"/>
    </row>
    <row r="1600" spans="46:49" x14ac:dyDescent="0.25">
      <c r="AT1600" s="74"/>
      <c r="AW1600" s="74"/>
    </row>
    <row r="1601" spans="46:49" x14ac:dyDescent="0.25">
      <c r="AT1601" s="74"/>
      <c r="AW1601" s="74"/>
    </row>
    <row r="1602" spans="46:49" x14ac:dyDescent="0.25">
      <c r="AT1602" s="74"/>
      <c r="AW1602" s="74"/>
    </row>
    <row r="1603" spans="46:49" x14ac:dyDescent="0.25">
      <c r="AT1603" s="74"/>
      <c r="AW1603" s="74"/>
    </row>
    <row r="1604" spans="46:49" x14ac:dyDescent="0.25">
      <c r="AT1604" s="74"/>
      <c r="AW1604" s="74"/>
    </row>
    <row r="1605" spans="46:49" x14ac:dyDescent="0.25">
      <c r="AT1605" s="74"/>
      <c r="AW1605" s="74"/>
    </row>
    <row r="1606" spans="46:49" x14ac:dyDescent="0.25">
      <c r="AT1606" s="74"/>
      <c r="AW1606" s="74"/>
    </row>
    <row r="1607" spans="46:49" x14ac:dyDescent="0.25">
      <c r="AT1607" s="74"/>
      <c r="AW1607" s="74"/>
    </row>
    <row r="1608" spans="46:49" x14ac:dyDescent="0.25">
      <c r="AT1608" s="74"/>
      <c r="AW1608" s="74"/>
    </row>
    <row r="1609" spans="46:49" x14ac:dyDescent="0.25">
      <c r="AT1609" s="74"/>
      <c r="AW1609" s="74"/>
    </row>
    <row r="1610" spans="46:49" x14ac:dyDescent="0.25">
      <c r="AT1610" s="74"/>
      <c r="AW1610" s="74"/>
    </row>
    <row r="1611" spans="46:49" x14ac:dyDescent="0.25">
      <c r="AT1611" s="74"/>
      <c r="AW1611" s="74"/>
    </row>
    <row r="1612" spans="46:49" x14ac:dyDescent="0.25">
      <c r="AT1612" s="74"/>
      <c r="AW1612" s="74"/>
    </row>
    <row r="1613" spans="46:49" x14ac:dyDescent="0.25">
      <c r="AT1613" s="74"/>
      <c r="AW1613" s="74"/>
    </row>
    <row r="1614" spans="46:49" x14ac:dyDescent="0.25">
      <c r="AT1614" s="74"/>
      <c r="AW1614" s="74"/>
    </row>
    <row r="1615" spans="46:49" x14ac:dyDescent="0.25">
      <c r="AT1615" s="74"/>
      <c r="AW1615" s="74"/>
    </row>
    <row r="1616" spans="46:49" x14ac:dyDescent="0.25">
      <c r="AT1616" s="74"/>
      <c r="AW1616" s="74"/>
    </row>
    <row r="1617" spans="46:49" x14ac:dyDescent="0.25">
      <c r="AT1617" s="74"/>
      <c r="AW1617" s="74"/>
    </row>
    <row r="1618" spans="46:49" x14ac:dyDescent="0.25">
      <c r="AT1618" s="74"/>
      <c r="AW1618" s="74"/>
    </row>
    <row r="1619" spans="46:49" x14ac:dyDescent="0.25">
      <c r="AT1619" s="74"/>
      <c r="AW1619" s="74"/>
    </row>
    <row r="1620" spans="46:49" x14ac:dyDescent="0.25">
      <c r="AT1620" s="74"/>
      <c r="AW1620" s="74"/>
    </row>
    <row r="1621" spans="46:49" x14ac:dyDescent="0.25">
      <c r="AT1621" s="74"/>
      <c r="AW1621" s="74"/>
    </row>
    <row r="1622" spans="46:49" x14ac:dyDescent="0.25">
      <c r="AT1622" s="74"/>
      <c r="AW1622" s="74"/>
    </row>
    <row r="1623" spans="46:49" x14ac:dyDescent="0.25">
      <c r="AT1623" s="74"/>
      <c r="AW1623" s="74"/>
    </row>
    <row r="1624" spans="46:49" x14ac:dyDescent="0.25">
      <c r="AT1624" s="74"/>
      <c r="AW1624" s="74"/>
    </row>
    <row r="1625" spans="46:49" x14ac:dyDescent="0.25">
      <c r="AT1625" s="74"/>
      <c r="AW1625" s="74"/>
    </row>
    <row r="1626" spans="46:49" x14ac:dyDescent="0.25">
      <c r="AT1626" s="74"/>
      <c r="AW1626" s="74"/>
    </row>
    <row r="1627" spans="46:49" x14ac:dyDescent="0.25">
      <c r="AT1627" s="74"/>
      <c r="AW1627" s="74"/>
    </row>
    <row r="1628" spans="46:49" x14ac:dyDescent="0.25">
      <c r="AT1628" s="74"/>
      <c r="AW1628" s="74"/>
    </row>
    <row r="1629" spans="46:49" x14ac:dyDescent="0.25">
      <c r="AT1629" s="74"/>
      <c r="AW1629" s="74"/>
    </row>
    <row r="1630" spans="46:49" x14ac:dyDescent="0.25">
      <c r="AT1630" s="74"/>
      <c r="AW1630" s="74"/>
    </row>
    <row r="1631" spans="46:49" x14ac:dyDescent="0.25">
      <c r="AT1631" s="74"/>
      <c r="AW1631" s="74"/>
    </row>
    <row r="1632" spans="46:49" x14ac:dyDescent="0.25">
      <c r="AT1632" s="74"/>
      <c r="AW1632" s="74"/>
    </row>
    <row r="1633" spans="46:49" x14ac:dyDescent="0.25">
      <c r="AT1633" s="74"/>
      <c r="AW1633" s="74"/>
    </row>
    <row r="1634" spans="46:49" x14ac:dyDescent="0.25">
      <c r="AT1634" s="74"/>
      <c r="AW1634" s="74"/>
    </row>
    <row r="1635" spans="46:49" x14ac:dyDescent="0.25">
      <c r="AT1635" s="74"/>
      <c r="AW1635" s="74"/>
    </row>
    <row r="1636" spans="46:49" x14ac:dyDescent="0.25">
      <c r="AT1636" s="74"/>
      <c r="AW1636" s="74"/>
    </row>
    <row r="1637" spans="46:49" x14ac:dyDescent="0.25">
      <c r="AT1637" s="74"/>
      <c r="AW1637" s="74"/>
    </row>
    <row r="1638" spans="46:49" x14ac:dyDescent="0.25">
      <c r="AT1638" s="74"/>
      <c r="AW1638" s="74"/>
    </row>
    <row r="1639" spans="46:49" x14ac:dyDescent="0.25">
      <c r="AT1639" s="74"/>
      <c r="AW1639" s="74"/>
    </row>
    <row r="1640" spans="46:49" x14ac:dyDescent="0.25">
      <c r="AT1640" s="74"/>
      <c r="AW1640" s="74"/>
    </row>
    <row r="1641" spans="46:49" x14ac:dyDescent="0.25">
      <c r="AT1641" s="74"/>
      <c r="AW1641" s="74"/>
    </row>
    <row r="1642" spans="46:49" x14ac:dyDescent="0.25">
      <c r="AT1642" s="74"/>
      <c r="AW1642" s="74"/>
    </row>
    <row r="1643" spans="46:49" x14ac:dyDescent="0.25">
      <c r="AT1643" s="74"/>
      <c r="AW1643" s="74"/>
    </row>
    <row r="1644" spans="46:49" x14ac:dyDescent="0.25">
      <c r="AT1644" s="74"/>
      <c r="AW1644" s="74"/>
    </row>
    <row r="1645" spans="46:49" x14ac:dyDescent="0.25">
      <c r="AT1645" s="74"/>
      <c r="AW1645" s="74"/>
    </row>
    <row r="1646" spans="46:49" x14ac:dyDescent="0.25">
      <c r="AT1646" s="74"/>
      <c r="AW1646" s="74"/>
    </row>
    <row r="1647" spans="46:49" x14ac:dyDescent="0.25">
      <c r="AT1647" s="74"/>
      <c r="AW1647" s="74"/>
    </row>
    <row r="1648" spans="46:49" x14ac:dyDescent="0.25">
      <c r="AT1648" s="74"/>
      <c r="AW1648" s="74"/>
    </row>
    <row r="1649" spans="46:49" x14ac:dyDescent="0.25">
      <c r="AT1649" s="74"/>
      <c r="AW1649" s="74"/>
    </row>
    <row r="1650" spans="46:49" x14ac:dyDescent="0.25">
      <c r="AT1650" s="74"/>
      <c r="AW1650" s="74"/>
    </row>
    <row r="1651" spans="46:49" x14ac:dyDescent="0.25">
      <c r="AT1651" s="74"/>
      <c r="AW1651" s="74"/>
    </row>
    <row r="1652" spans="46:49" x14ac:dyDescent="0.25">
      <c r="AT1652" s="74"/>
      <c r="AW1652" s="74"/>
    </row>
    <row r="1653" spans="46:49" x14ac:dyDescent="0.25">
      <c r="AT1653" s="74"/>
      <c r="AW1653" s="74"/>
    </row>
    <row r="1654" spans="46:49" x14ac:dyDescent="0.25">
      <c r="AT1654" s="74"/>
      <c r="AW1654" s="74"/>
    </row>
    <row r="1655" spans="46:49" x14ac:dyDescent="0.25">
      <c r="AT1655" s="74"/>
      <c r="AW1655" s="74"/>
    </row>
    <row r="1656" spans="46:49" x14ac:dyDescent="0.25">
      <c r="AT1656" s="74"/>
      <c r="AW1656" s="74"/>
    </row>
    <row r="1657" spans="46:49" x14ac:dyDescent="0.25">
      <c r="AT1657" s="74"/>
      <c r="AW1657" s="74"/>
    </row>
    <row r="1658" spans="46:49" x14ac:dyDescent="0.25">
      <c r="AT1658" s="74"/>
      <c r="AW1658" s="74"/>
    </row>
    <row r="1659" spans="46:49" x14ac:dyDescent="0.25">
      <c r="AT1659" s="74"/>
      <c r="AW1659" s="74"/>
    </row>
    <row r="1660" spans="46:49" x14ac:dyDescent="0.25">
      <c r="AT1660" s="74"/>
      <c r="AW1660" s="74"/>
    </row>
    <row r="1661" spans="46:49" x14ac:dyDescent="0.25">
      <c r="AT1661" s="74"/>
      <c r="AW1661" s="74"/>
    </row>
    <row r="1662" spans="46:49" x14ac:dyDescent="0.25">
      <c r="AT1662" s="74"/>
      <c r="AW1662" s="74"/>
    </row>
    <row r="1663" spans="46:49" x14ac:dyDescent="0.25">
      <c r="AT1663" s="74"/>
      <c r="AW1663" s="74"/>
    </row>
    <row r="1664" spans="46:49" x14ac:dyDescent="0.25">
      <c r="AT1664" s="74"/>
      <c r="AW1664" s="74"/>
    </row>
    <row r="1665" spans="46:49" x14ac:dyDescent="0.25">
      <c r="AT1665" s="74"/>
      <c r="AW1665" s="74"/>
    </row>
    <row r="1666" spans="46:49" x14ac:dyDescent="0.25">
      <c r="AT1666" s="74"/>
      <c r="AW1666" s="74"/>
    </row>
    <row r="1667" spans="46:49" x14ac:dyDescent="0.25">
      <c r="AT1667" s="74"/>
      <c r="AW1667" s="74"/>
    </row>
    <row r="1668" spans="46:49" x14ac:dyDescent="0.25">
      <c r="AT1668" s="74"/>
      <c r="AW1668" s="74"/>
    </row>
    <row r="1669" spans="46:49" x14ac:dyDescent="0.25">
      <c r="AT1669" s="74"/>
      <c r="AW1669" s="74"/>
    </row>
    <row r="1670" spans="46:49" x14ac:dyDescent="0.25">
      <c r="AT1670" s="74"/>
      <c r="AW1670" s="74"/>
    </row>
    <row r="1671" spans="46:49" x14ac:dyDescent="0.25">
      <c r="AT1671" s="74"/>
      <c r="AW1671" s="74"/>
    </row>
    <row r="1672" spans="46:49" x14ac:dyDescent="0.25">
      <c r="AT1672" s="74"/>
      <c r="AW1672" s="74"/>
    </row>
    <row r="1673" spans="46:49" x14ac:dyDescent="0.25">
      <c r="AT1673" s="74"/>
      <c r="AW1673" s="74"/>
    </row>
    <row r="1674" spans="46:49" x14ac:dyDescent="0.25">
      <c r="AT1674" s="74"/>
      <c r="AW1674" s="74"/>
    </row>
    <row r="1675" spans="46:49" x14ac:dyDescent="0.25">
      <c r="AT1675" s="74"/>
      <c r="AW1675" s="74"/>
    </row>
    <row r="1676" spans="46:49" x14ac:dyDescent="0.25">
      <c r="AT1676" s="74"/>
      <c r="AW1676" s="74"/>
    </row>
    <row r="1677" spans="46:49" x14ac:dyDescent="0.25">
      <c r="AT1677" s="74"/>
      <c r="AW1677" s="74"/>
    </row>
    <row r="1678" spans="46:49" x14ac:dyDescent="0.25">
      <c r="AT1678" s="74"/>
      <c r="AW1678" s="74"/>
    </row>
    <row r="1679" spans="46:49" x14ac:dyDescent="0.25">
      <c r="AT1679" s="74"/>
      <c r="AW1679" s="74"/>
    </row>
    <row r="1680" spans="46:49" x14ac:dyDescent="0.25">
      <c r="AT1680" s="74"/>
      <c r="AW1680" s="74"/>
    </row>
    <row r="1681" spans="46:49" x14ac:dyDescent="0.25">
      <c r="AT1681" s="74"/>
      <c r="AW1681" s="74"/>
    </row>
    <row r="1682" spans="46:49" x14ac:dyDescent="0.25">
      <c r="AT1682" s="74"/>
      <c r="AW1682" s="74"/>
    </row>
    <row r="1683" spans="46:49" x14ac:dyDescent="0.25">
      <c r="AT1683" s="74"/>
      <c r="AW1683" s="74"/>
    </row>
    <row r="1684" spans="46:49" x14ac:dyDescent="0.25">
      <c r="AT1684" s="74"/>
      <c r="AW1684" s="74"/>
    </row>
    <row r="1685" spans="46:49" x14ac:dyDescent="0.25">
      <c r="AT1685" s="74"/>
      <c r="AW1685" s="74"/>
    </row>
    <row r="1686" spans="46:49" x14ac:dyDescent="0.25">
      <c r="AT1686" s="74"/>
      <c r="AW1686" s="74"/>
    </row>
    <row r="1687" spans="46:49" x14ac:dyDescent="0.25">
      <c r="AT1687" s="74"/>
      <c r="AW1687" s="74"/>
    </row>
    <row r="1688" spans="46:49" x14ac:dyDescent="0.25">
      <c r="AT1688" s="74"/>
      <c r="AW1688" s="74"/>
    </row>
    <row r="1689" spans="46:49" x14ac:dyDescent="0.25">
      <c r="AT1689" s="74"/>
      <c r="AW1689" s="74"/>
    </row>
    <row r="1690" spans="46:49" x14ac:dyDescent="0.25">
      <c r="AT1690" s="74"/>
      <c r="AW1690" s="74"/>
    </row>
    <row r="1691" spans="46:49" x14ac:dyDescent="0.25">
      <c r="AT1691" s="74"/>
      <c r="AW1691" s="74"/>
    </row>
    <row r="1692" spans="46:49" x14ac:dyDescent="0.25">
      <c r="AT1692" s="74"/>
      <c r="AW1692" s="74"/>
    </row>
    <row r="1693" spans="46:49" x14ac:dyDescent="0.25">
      <c r="AT1693" s="74"/>
      <c r="AW1693" s="74"/>
    </row>
    <row r="1694" spans="46:49" x14ac:dyDescent="0.25">
      <c r="AT1694" s="74"/>
      <c r="AW1694" s="74"/>
    </row>
    <row r="1695" spans="46:49" x14ac:dyDescent="0.25">
      <c r="AT1695" s="74"/>
      <c r="AW1695" s="74"/>
    </row>
    <row r="1696" spans="46:49" x14ac:dyDescent="0.25">
      <c r="AT1696" s="74"/>
      <c r="AW1696" s="74"/>
    </row>
    <row r="1697" spans="46:49" x14ac:dyDescent="0.25">
      <c r="AT1697" s="74"/>
      <c r="AW1697" s="74"/>
    </row>
    <row r="1698" spans="46:49" x14ac:dyDescent="0.25">
      <c r="AT1698" s="74"/>
      <c r="AW1698" s="74"/>
    </row>
    <row r="1699" spans="46:49" x14ac:dyDescent="0.25">
      <c r="AT1699" s="74"/>
      <c r="AW1699" s="74"/>
    </row>
    <row r="1700" spans="46:49" x14ac:dyDescent="0.25">
      <c r="AT1700" s="74"/>
      <c r="AW1700" s="74"/>
    </row>
    <row r="1701" spans="46:49" x14ac:dyDescent="0.25">
      <c r="AT1701" s="74"/>
      <c r="AW1701" s="74"/>
    </row>
    <row r="1702" spans="46:49" x14ac:dyDescent="0.25">
      <c r="AT1702" s="74"/>
      <c r="AW1702" s="74"/>
    </row>
    <row r="1703" spans="46:49" x14ac:dyDescent="0.25">
      <c r="AT1703" s="74"/>
      <c r="AW1703" s="74"/>
    </row>
    <row r="1704" spans="46:49" x14ac:dyDescent="0.25">
      <c r="AT1704" s="74"/>
      <c r="AW1704" s="74"/>
    </row>
    <row r="1705" spans="46:49" x14ac:dyDescent="0.25">
      <c r="AT1705" s="74"/>
      <c r="AW1705" s="74"/>
    </row>
    <row r="1706" spans="46:49" x14ac:dyDescent="0.25">
      <c r="AT1706" s="74"/>
      <c r="AW1706" s="74"/>
    </row>
    <row r="1707" spans="46:49" x14ac:dyDescent="0.25">
      <c r="AT1707" s="74"/>
      <c r="AW1707" s="74"/>
    </row>
    <row r="1708" spans="46:49" x14ac:dyDescent="0.25">
      <c r="AT1708" s="74"/>
      <c r="AW1708" s="74"/>
    </row>
    <row r="1709" spans="46:49" x14ac:dyDescent="0.25">
      <c r="AT1709" s="74"/>
      <c r="AW1709" s="74"/>
    </row>
    <row r="1710" spans="46:49" x14ac:dyDescent="0.25">
      <c r="AT1710" s="74"/>
      <c r="AW1710" s="74"/>
    </row>
    <row r="1711" spans="46:49" x14ac:dyDescent="0.25">
      <c r="AT1711" s="74"/>
      <c r="AW1711" s="74"/>
    </row>
    <row r="1712" spans="46:49" x14ac:dyDescent="0.25">
      <c r="AT1712" s="74"/>
      <c r="AW1712" s="74"/>
    </row>
    <row r="1713" spans="46:49" x14ac:dyDescent="0.25">
      <c r="AT1713" s="74"/>
      <c r="AW1713" s="74"/>
    </row>
    <row r="1714" spans="46:49" x14ac:dyDescent="0.25">
      <c r="AT1714" s="74"/>
      <c r="AW1714" s="74"/>
    </row>
    <row r="1715" spans="46:49" x14ac:dyDescent="0.25">
      <c r="AT1715" s="74"/>
      <c r="AW1715" s="74"/>
    </row>
    <row r="1716" spans="46:49" x14ac:dyDescent="0.25">
      <c r="AT1716" s="74"/>
      <c r="AW1716" s="74"/>
    </row>
    <row r="1717" spans="46:49" x14ac:dyDescent="0.25">
      <c r="AT1717" s="74"/>
      <c r="AW1717" s="74"/>
    </row>
    <row r="1718" spans="46:49" x14ac:dyDescent="0.25">
      <c r="AT1718" s="74"/>
      <c r="AW1718" s="74"/>
    </row>
    <row r="1719" spans="46:49" x14ac:dyDescent="0.25">
      <c r="AT1719" s="74"/>
      <c r="AW1719" s="74"/>
    </row>
    <row r="1720" spans="46:49" x14ac:dyDescent="0.25">
      <c r="AT1720" s="74"/>
      <c r="AW1720" s="74"/>
    </row>
    <row r="1721" spans="46:49" x14ac:dyDescent="0.25">
      <c r="AT1721" s="74"/>
      <c r="AW1721" s="74"/>
    </row>
    <row r="1722" spans="46:49" x14ac:dyDescent="0.25">
      <c r="AT1722" s="74"/>
      <c r="AW1722" s="74"/>
    </row>
    <row r="1723" spans="46:49" x14ac:dyDescent="0.25">
      <c r="AT1723" s="74"/>
      <c r="AW1723" s="74"/>
    </row>
    <row r="1724" spans="46:49" x14ac:dyDescent="0.25">
      <c r="AT1724" s="74"/>
      <c r="AW1724" s="74"/>
    </row>
    <row r="1725" spans="46:49" x14ac:dyDescent="0.25">
      <c r="AT1725" s="74"/>
      <c r="AW1725" s="74"/>
    </row>
    <row r="1726" spans="46:49" x14ac:dyDescent="0.25">
      <c r="AT1726" s="74"/>
      <c r="AW1726" s="74"/>
    </row>
    <row r="1727" spans="46:49" x14ac:dyDescent="0.25">
      <c r="AT1727" s="74"/>
      <c r="AW1727" s="74"/>
    </row>
    <row r="1728" spans="46:49" x14ac:dyDescent="0.25">
      <c r="AT1728" s="74"/>
      <c r="AW1728" s="74"/>
    </row>
    <row r="1729" spans="46:49" x14ac:dyDescent="0.25">
      <c r="AT1729" s="74"/>
      <c r="AW1729" s="74"/>
    </row>
    <row r="1730" spans="46:49" x14ac:dyDescent="0.25">
      <c r="AT1730" s="74"/>
      <c r="AW1730" s="74"/>
    </row>
    <row r="1731" spans="46:49" x14ac:dyDescent="0.25">
      <c r="AT1731" s="74"/>
      <c r="AW1731" s="74"/>
    </row>
    <row r="1732" spans="46:49" x14ac:dyDescent="0.25">
      <c r="AT1732" s="74"/>
      <c r="AW1732" s="74"/>
    </row>
    <row r="1733" spans="46:49" x14ac:dyDescent="0.25">
      <c r="AT1733" s="74"/>
      <c r="AW1733" s="74"/>
    </row>
    <row r="1734" spans="46:49" x14ac:dyDescent="0.25">
      <c r="AT1734" s="74"/>
      <c r="AW1734" s="74"/>
    </row>
    <row r="1735" spans="46:49" x14ac:dyDescent="0.25">
      <c r="AT1735" s="74"/>
      <c r="AW1735" s="74"/>
    </row>
    <row r="1736" spans="46:49" x14ac:dyDescent="0.25">
      <c r="AT1736" s="74"/>
      <c r="AW1736" s="74"/>
    </row>
    <row r="1737" spans="46:49" x14ac:dyDescent="0.25">
      <c r="AT1737" s="74"/>
      <c r="AW1737" s="74"/>
    </row>
    <row r="1738" spans="46:49" x14ac:dyDescent="0.25">
      <c r="AT1738" s="74"/>
      <c r="AW1738" s="74"/>
    </row>
    <row r="1739" spans="46:49" x14ac:dyDescent="0.25">
      <c r="AT1739" s="74"/>
      <c r="AW1739" s="74"/>
    </row>
    <row r="1740" spans="46:49" x14ac:dyDescent="0.25">
      <c r="AT1740" s="74"/>
      <c r="AW1740" s="74"/>
    </row>
    <row r="1741" spans="46:49" x14ac:dyDescent="0.25">
      <c r="AT1741" s="74"/>
      <c r="AW1741" s="74"/>
    </row>
    <row r="1742" spans="46:49" x14ac:dyDescent="0.25">
      <c r="AT1742" s="74"/>
      <c r="AW1742" s="74"/>
    </row>
    <row r="1743" spans="46:49" x14ac:dyDescent="0.25">
      <c r="AT1743" s="74"/>
      <c r="AW1743" s="74"/>
    </row>
    <row r="1744" spans="46:49" x14ac:dyDescent="0.25">
      <c r="AT1744" s="74"/>
      <c r="AW1744" s="74"/>
    </row>
    <row r="1745" spans="46:49" x14ac:dyDescent="0.25">
      <c r="AT1745" s="74"/>
      <c r="AW1745" s="74"/>
    </row>
    <row r="1746" spans="46:49" x14ac:dyDescent="0.25">
      <c r="AT1746" s="74"/>
      <c r="AW1746" s="74"/>
    </row>
    <row r="1747" spans="46:49" x14ac:dyDescent="0.25">
      <c r="AT1747" s="74"/>
      <c r="AW1747" s="74"/>
    </row>
    <row r="1748" spans="46:49" x14ac:dyDescent="0.25">
      <c r="AT1748" s="74"/>
      <c r="AW1748" s="74"/>
    </row>
    <row r="1749" spans="46:49" x14ac:dyDescent="0.25">
      <c r="AT1749" s="74"/>
      <c r="AW1749" s="74"/>
    </row>
    <row r="1750" spans="46:49" x14ac:dyDescent="0.25">
      <c r="AT1750" s="74"/>
      <c r="AW1750" s="74"/>
    </row>
    <row r="1751" spans="46:49" x14ac:dyDescent="0.25">
      <c r="AT1751" s="74"/>
      <c r="AW1751" s="74"/>
    </row>
    <row r="1752" spans="46:49" x14ac:dyDescent="0.25">
      <c r="AT1752" s="74"/>
      <c r="AW1752" s="74"/>
    </row>
    <row r="1753" spans="46:49" x14ac:dyDescent="0.25">
      <c r="AT1753" s="74"/>
      <c r="AW1753" s="74"/>
    </row>
    <row r="1754" spans="46:49" x14ac:dyDescent="0.25">
      <c r="AT1754" s="74"/>
      <c r="AW1754" s="74"/>
    </row>
    <row r="1755" spans="46:49" x14ac:dyDescent="0.25">
      <c r="AT1755" s="74"/>
      <c r="AW1755" s="74"/>
    </row>
    <row r="1756" spans="46:49" x14ac:dyDescent="0.25">
      <c r="AT1756" s="74"/>
      <c r="AW1756" s="74"/>
    </row>
    <row r="1757" spans="46:49" x14ac:dyDescent="0.25">
      <c r="AT1757" s="74"/>
      <c r="AW1757" s="74"/>
    </row>
    <row r="1758" spans="46:49" x14ac:dyDescent="0.25">
      <c r="AT1758" s="74"/>
      <c r="AW1758" s="74"/>
    </row>
    <row r="1759" spans="46:49" x14ac:dyDescent="0.25">
      <c r="AT1759" s="74"/>
      <c r="AW1759" s="74"/>
    </row>
    <row r="1760" spans="46:49" x14ac:dyDescent="0.25">
      <c r="AT1760" s="74"/>
      <c r="AW1760" s="74"/>
    </row>
    <row r="1761" spans="46:49" x14ac:dyDescent="0.25">
      <c r="AT1761" s="74"/>
      <c r="AW1761" s="74"/>
    </row>
    <row r="1762" spans="46:49" x14ac:dyDescent="0.25">
      <c r="AT1762" s="74"/>
      <c r="AW1762" s="74"/>
    </row>
    <row r="1763" spans="46:49" x14ac:dyDescent="0.25">
      <c r="AT1763" s="74"/>
      <c r="AW1763" s="74"/>
    </row>
    <row r="1764" spans="46:49" x14ac:dyDescent="0.25">
      <c r="AT1764" s="74"/>
      <c r="AW1764" s="74"/>
    </row>
    <row r="1765" spans="46:49" x14ac:dyDescent="0.25">
      <c r="AT1765" s="74"/>
      <c r="AW1765" s="74"/>
    </row>
    <row r="1766" spans="46:49" x14ac:dyDescent="0.25">
      <c r="AT1766" s="74"/>
      <c r="AW1766" s="74"/>
    </row>
    <row r="1767" spans="46:49" x14ac:dyDescent="0.25">
      <c r="AT1767" s="74"/>
      <c r="AW1767" s="74"/>
    </row>
    <row r="1768" spans="46:49" x14ac:dyDescent="0.25">
      <c r="AT1768" s="74"/>
      <c r="AW1768" s="74"/>
    </row>
    <row r="1769" spans="46:49" x14ac:dyDescent="0.25">
      <c r="AT1769" s="74"/>
      <c r="AW1769" s="74"/>
    </row>
    <row r="1770" spans="46:49" x14ac:dyDescent="0.25">
      <c r="AT1770" s="74"/>
      <c r="AW1770" s="74"/>
    </row>
    <row r="1771" spans="46:49" x14ac:dyDescent="0.25">
      <c r="AT1771" s="74"/>
      <c r="AW1771" s="74"/>
    </row>
    <row r="1772" spans="46:49" x14ac:dyDescent="0.25">
      <c r="AT1772" s="74"/>
      <c r="AW1772" s="74"/>
    </row>
    <row r="1773" spans="46:49" x14ac:dyDescent="0.25">
      <c r="AT1773" s="74"/>
      <c r="AW1773" s="74"/>
    </row>
    <row r="1774" spans="46:49" x14ac:dyDescent="0.25">
      <c r="AT1774" s="74"/>
      <c r="AW1774" s="74"/>
    </row>
    <row r="1775" spans="46:49" x14ac:dyDescent="0.25">
      <c r="AT1775" s="74"/>
      <c r="AW1775" s="74"/>
    </row>
    <row r="1776" spans="46:49" x14ac:dyDescent="0.25">
      <c r="AT1776" s="74"/>
      <c r="AW1776" s="74"/>
    </row>
    <row r="1777" spans="46:49" x14ac:dyDescent="0.25">
      <c r="AT1777" s="74"/>
      <c r="AW1777" s="74"/>
    </row>
    <row r="1778" spans="46:49" x14ac:dyDescent="0.25">
      <c r="AT1778" s="74"/>
      <c r="AW1778" s="74"/>
    </row>
    <row r="1779" spans="46:49" x14ac:dyDescent="0.25">
      <c r="AT1779" s="74"/>
      <c r="AW1779" s="74"/>
    </row>
    <row r="1780" spans="46:49" x14ac:dyDescent="0.25">
      <c r="AT1780" s="74"/>
      <c r="AW1780" s="74"/>
    </row>
    <row r="1781" spans="46:49" x14ac:dyDescent="0.25">
      <c r="AT1781" s="74"/>
      <c r="AW1781" s="74"/>
    </row>
    <row r="1782" spans="46:49" x14ac:dyDescent="0.25">
      <c r="AT1782" s="74"/>
      <c r="AW1782" s="74"/>
    </row>
    <row r="1783" spans="46:49" x14ac:dyDescent="0.25">
      <c r="AT1783" s="74"/>
      <c r="AW1783" s="74"/>
    </row>
    <row r="1784" spans="46:49" x14ac:dyDescent="0.25">
      <c r="AT1784" s="74"/>
      <c r="AW1784" s="74"/>
    </row>
    <row r="1785" spans="46:49" x14ac:dyDescent="0.25">
      <c r="AT1785" s="74"/>
      <c r="AW1785" s="74"/>
    </row>
    <row r="1786" spans="46:49" x14ac:dyDescent="0.25">
      <c r="AT1786" s="74"/>
      <c r="AW1786" s="74"/>
    </row>
    <row r="1787" spans="46:49" x14ac:dyDescent="0.25">
      <c r="AT1787" s="74"/>
      <c r="AW1787" s="74"/>
    </row>
    <row r="1788" spans="46:49" x14ac:dyDescent="0.25">
      <c r="AT1788" s="74"/>
      <c r="AW1788" s="74"/>
    </row>
    <row r="1789" spans="46:49" x14ac:dyDescent="0.25">
      <c r="AT1789" s="74"/>
      <c r="AW1789" s="74"/>
    </row>
    <row r="1790" spans="46:49" x14ac:dyDescent="0.25">
      <c r="AT1790" s="74"/>
      <c r="AW1790" s="74"/>
    </row>
    <row r="1791" spans="46:49" x14ac:dyDescent="0.25">
      <c r="AT1791" s="74"/>
      <c r="AW1791" s="74"/>
    </row>
    <row r="1792" spans="46:49" x14ac:dyDescent="0.25">
      <c r="AT1792" s="74"/>
      <c r="AW1792" s="74"/>
    </row>
    <row r="1793" spans="46:49" x14ac:dyDescent="0.25">
      <c r="AT1793" s="74"/>
      <c r="AW1793" s="74"/>
    </row>
    <row r="1794" spans="46:49" x14ac:dyDescent="0.25">
      <c r="AT1794" s="74"/>
      <c r="AW1794" s="74"/>
    </row>
    <row r="1795" spans="46:49" x14ac:dyDescent="0.25">
      <c r="AT1795" s="74"/>
      <c r="AW1795" s="74"/>
    </row>
    <row r="1796" spans="46:49" x14ac:dyDescent="0.25">
      <c r="AT1796" s="74"/>
      <c r="AW1796" s="74"/>
    </row>
    <row r="1797" spans="46:49" x14ac:dyDescent="0.25">
      <c r="AT1797" s="74"/>
      <c r="AW1797" s="74"/>
    </row>
    <row r="1798" spans="46:49" x14ac:dyDescent="0.25">
      <c r="AT1798" s="74"/>
      <c r="AW1798" s="74"/>
    </row>
    <row r="1799" spans="46:49" x14ac:dyDescent="0.25">
      <c r="AT1799" s="74"/>
      <c r="AW1799" s="74"/>
    </row>
    <row r="1800" spans="46:49" x14ac:dyDescent="0.25">
      <c r="AT1800" s="74"/>
      <c r="AW1800" s="74"/>
    </row>
    <row r="1801" spans="46:49" x14ac:dyDescent="0.25">
      <c r="AT1801" s="74"/>
      <c r="AW1801" s="74"/>
    </row>
    <row r="1802" spans="46:49" x14ac:dyDescent="0.25">
      <c r="AT1802" s="74"/>
      <c r="AW1802" s="74"/>
    </row>
    <row r="1803" spans="46:49" x14ac:dyDescent="0.25">
      <c r="AT1803" s="74"/>
      <c r="AW1803" s="74"/>
    </row>
    <row r="1804" spans="46:49" x14ac:dyDescent="0.25">
      <c r="AT1804" s="74"/>
      <c r="AW1804" s="74"/>
    </row>
    <row r="1805" spans="46:49" x14ac:dyDescent="0.25">
      <c r="AT1805" s="74"/>
      <c r="AW1805" s="74"/>
    </row>
    <row r="1806" spans="46:49" x14ac:dyDescent="0.25">
      <c r="AT1806" s="74"/>
      <c r="AW1806" s="74"/>
    </row>
    <row r="1807" spans="46:49" x14ac:dyDescent="0.25">
      <c r="AT1807" s="74"/>
      <c r="AW1807" s="74"/>
    </row>
    <row r="1808" spans="46:49" x14ac:dyDescent="0.25">
      <c r="AT1808" s="74"/>
      <c r="AW1808" s="74"/>
    </row>
    <row r="1809" spans="46:49" x14ac:dyDescent="0.25">
      <c r="AT1809" s="74"/>
      <c r="AW1809" s="74"/>
    </row>
    <row r="1810" spans="46:49" x14ac:dyDescent="0.25">
      <c r="AT1810" s="74"/>
      <c r="AW1810" s="74"/>
    </row>
    <row r="1811" spans="46:49" x14ac:dyDescent="0.25">
      <c r="AT1811" s="74"/>
      <c r="AW1811" s="74"/>
    </row>
    <row r="1812" spans="46:49" x14ac:dyDescent="0.25">
      <c r="AT1812" s="74"/>
      <c r="AW1812" s="74"/>
    </row>
    <row r="1813" spans="46:49" x14ac:dyDescent="0.25">
      <c r="AT1813" s="74"/>
      <c r="AW1813" s="74"/>
    </row>
    <row r="1814" spans="46:49" x14ac:dyDescent="0.25">
      <c r="AT1814" s="74"/>
      <c r="AW1814" s="74"/>
    </row>
    <row r="1815" spans="46:49" x14ac:dyDescent="0.25">
      <c r="AT1815" s="74"/>
      <c r="AW1815" s="74"/>
    </row>
    <row r="1816" spans="46:49" x14ac:dyDescent="0.25">
      <c r="AT1816" s="74"/>
      <c r="AW1816" s="74"/>
    </row>
    <row r="1817" spans="46:49" x14ac:dyDescent="0.25">
      <c r="AT1817" s="74"/>
      <c r="AW1817" s="74"/>
    </row>
    <row r="1818" spans="46:49" x14ac:dyDescent="0.25">
      <c r="AT1818" s="74"/>
      <c r="AW1818" s="74"/>
    </row>
    <row r="1819" spans="46:49" x14ac:dyDescent="0.25">
      <c r="AT1819" s="74"/>
      <c r="AW1819" s="74"/>
    </row>
    <row r="1820" spans="46:49" x14ac:dyDescent="0.25">
      <c r="AT1820" s="74"/>
      <c r="AW1820" s="74"/>
    </row>
    <row r="1821" spans="46:49" x14ac:dyDescent="0.25">
      <c r="AT1821" s="74"/>
      <c r="AW1821" s="74"/>
    </row>
    <row r="1822" spans="46:49" x14ac:dyDescent="0.25">
      <c r="AT1822" s="74"/>
      <c r="AW1822" s="74"/>
    </row>
    <row r="1823" spans="46:49" x14ac:dyDescent="0.25">
      <c r="AT1823" s="74"/>
      <c r="AW1823" s="74"/>
    </row>
    <row r="1824" spans="46:49" x14ac:dyDescent="0.25">
      <c r="AT1824" s="74"/>
      <c r="AW1824" s="74"/>
    </row>
    <row r="1825" spans="46:49" x14ac:dyDescent="0.25">
      <c r="AT1825" s="74"/>
      <c r="AW1825" s="74"/>
    </row>
    <row r="1826" spans="46:49" x14ac:dyDescent="0.25">
      <c r="AT1826" s="74"/>
      <c r="AW1826" s="74"/>
    </row>
    <row r="1827" spans="46:49" x14ac:dyDescent="0.25">
      <c r="AT1827" s="74"/>
      <c r="AW1827" s="74"/>
    </row>
    <row r="1828" spans="46:49" x14ac:dyDescent="0.25">
      <c r="AT1828" s="74"/>
      <c r="AW1828" s="74"/>
    </row>
    <row r="1829" spans="46:49" x14ac:dyDescent="0.25">
      <c r="AT1829" s="74"/>
      <c r="AW1829" s="74"/>
    </row>
    <row r="1830" spans="46:49" x14ac:dyDescent="0.25">
      <c r="AT1830" s="74"/>
      <c r="AW1830" s="74"/>
    </row>
    <row r="1831" spans="46:49" x14ac:dyDescent="0.25">
      <c r="AT1831" s="74"/>
      <c r="AW1831" s="74"/>
    </row>
    <row r="1832" spans="46:49" x14ac:dyDescent="0.25">
      <c r="AT1832" s="74"/>
      <c r="AW1832" s="74"/>
    </row>
    <row r="1833" spans="46:49" x14ac:dyDescent="0.25">
      <c r="AT1833" s="74"/>
      <c r="AW1833" s="74"/>
    </row>
    <row r="1834" spans="46:49" x14ac:dyDescent="0.25">
      <c r="AT1834" s="74"/>
      <c r="AW1834" s="74"/>
    </row>
    <row r="1835" spans="46:49" x14ac:dyDescent="0.25">
      <c r="AT1835" s="74"/>
      <c r="AW1835" s="74"/>
    </row>
    <row r="1836" spans="46:49" x14ac:dyDescent="0.25">
      <c r="AT1836" s="74"/>
      <c r="AW1836" s="74"/>
    </row>
    <row r="1837" spans="46:49" x14ac:dyDescent="0.25">
      <c r="AT1837" s="74"/>
      <c r="AW1837" s="74"/>
    </row>
    <row r="1838" spans="46:49" x14ac:dyDescent="0.25">
      <c r="AT1838" s="74"/>
      <c r="AW1838" s="74"/>
    </row>
    <row r="1839" spans="46:49" x14ac:dyDescent="0.25">
      <c r="AT1839" s="74"/>
      <c r="AW1839" s="74"/>
    </row>
    <row r="1840" spans="46:49" x14ac:dyDescent="0.25">
      <c r="AT1840" s="74"/>
      <c r="AW1840" s="74"/>
    </row>
    <row r="1841" spans="46:49" x14ac:dyDescent="0.25">
      <c r="AT1841" s="74"/>
      <c r="AW1841" s="74"/>
    </row>
    <row r="1842" spans="46:49" x14ac:dyDescent="0.25">
      <c r="AT1842" s="74"/>
      <c r="AW1842" s="74"/>
    </row>
    <row r="1843" spans="46:49" x14ac:dyDescent="0.25">
      <c r="AT1843" s="74"/>
      <c r="AW1843" s="74"/>
    </row>
    <row r="1844" spans="46:49" x14ac:dyDescent="0.25">
      <c r="AT1844" s="74"/>
      <c r="AW1844" s="74"/>
    </row>
    <row r="1845" spans="46:49" x14ac:dyDescent="0.25">
      <c r="AT1845" s="74"/>
      <c r="AW1845" s="74"/>
    </row>
    <row r="1846" spans="46:49" x14ac:dyDescent="0.25">
      <c r="AT1846" s="74"/>
      <c r="AW1846" s="74"/>
    </row>
    <row r="1847" spans="46:49" x14ac:dyDescent="0.25">
      <c r="AT1847" s="74"/>
      <c r="AW1847" s="74"/>
    </row>
    <row r="1848" spans="46:49" x14ac:dyDescent="0.25">
      <c r="AT1848" s="74"/>
      <c r="AW1848" s="74"/>
    </row>
    <row r="1849" spans="46:49" x14ac:dyDescent="0.25">
      <c r="AT1849" s="74"/>
      <c r="AW1849" s="74"/>
    </row>
    <row r="1850" spans="46:49" x14ac:dyDescent="0.25">
      <c r="AT1850" s="74"/>
      <c r="AW1850" s="74"/>
    </row>
    <row r="1851" spans="46:49" x14ac:dyDescent="0.25">
      <c r="AT1851" s="74"/>
      <c r="AW1851" s="74"/>
    </row>
    <row r="1852" spans="46:49" x14ac:dyDescent="0.25">
      <c r="AT1852" s="74"/>
      <c r="AW1852" s="74"/>
    </row>
    <row r="1853" spans="46:49" x14ac:dyDescent="0.25">
      <c r="AT1853" s="74"/>
      <c r="AW1853" s="74"/>
    </row>
    <row r="1854" spans="46:49" x14ac:dyDescent="0.25">
      <c r="AT1854" s="74"/>
      <c r="AW1854" s="74"/>
    </row>
    <row r="1855" spans="46:49" x14ac:dyDescent="0.25">
      <c r="AT1855" s="74"/>
      <c r="AW1855" s="74"/>
    </row>
    <row r="1856" spans="46:49" x14ac:dyDescent="0.25">
      <c r="AT1856" s="74"/>
      <c r="AW1856" s="74"/>
    </row>
    <row r="1857" spans="46:49" x14ac:dyDescent="0.25">
      <c r="AT1857" s="74"/>
      <c r="AW1857" s="74"/>
    </row>
    <row r="1858" spans="46:49" x14ac:dyDescent="0.25">
      <c r="AT1858" s="74"/>
      <c r="AW1858" s="74"/>
    </row>
    <row r="1859" spans="46:49" x14ac:dyDescent="0.25">
      <c r="AT1859" s="74"/>
      <c r="AW1859" s="74"/>
    </row>
    <row r="1860" spans="46:49" x14ac:dyDescent="0.25">
      <c r="AT1860" s="74"/>
      <c r="AW1860" s="74"/>
    </row>
    <row r="1861" spans="46:49" x14ac:dyDescent="0.25">
      <c r="AT1861" s="74"/>
      <c r="AW1861" s="74"/>
    </row>
    <row r="1862" spans="46:49" x14ac:dyDescent="0.25">
      <c r="AT1862" s="74"/>
      <c r="AW1862" s="74"/>
    </row>
    <row r="1863" spans="46:49" x14ac:dyDescent="0.25">
      <c r="AT1863" s="74"/>
      <c r="AW1863" s="74"/>
    </row>
    <row r="1864" spans="46:49" x14ac:dyDescent="0.25">
      <c r="AT1864" s="74"/>
      <c r="AW1864" s="74"/>
    </row>
    <row r="1865" spans="46:49" x14ac:dyDescent="0.25">
      <c r="AT1865" s="74"/>
      <c r="AW1865" s="74"/>
    </row>
    <row r="1866" spans="46:49" x14ac:dyDescent="0.25">
      <c r="AT1866" s="74"/>
      <c r="AW1866" s="74"/>
    </row>
    <row r="1867" spans="46:49" x14ac:dyDescent="0.25">
      <c r="AT1867" s="74"/>
      <c r="AW1867" s="74"/>
    </row>
    <row r="1868" spans="46:49" x14ac:dyDescent="0.25">
      <c r="AT1868" s="74"/>
      <c r="AW1868" s="74"/>
    </row>
    <row r="1869" spans="46:49" x14ac:dyDescent="0.25">
      <c r="AT1869" s="74"/>
      <c r="AW1869" s="74"/>
    </row>
    <row r="1870" spans="46:49" x14ac:dyDescent="0.25">
      <c r="AT1870" s="74"/>
      <c r="AW1870" s="74"/>
    </row>
    <row r="1871" spans="46:49" x14ac:dyDescent="0.25">
      <c r="AT1871" s="74"/>
      <c r="AW1871" s="74"/>
    </row>
    <row r="1872" spans="46:49" x14ac:dyDescent="0.25">
      <c r="AT1872" s="74"/>
      <c r="AW1872" s="74"/>
    </row>
    <row r="1873" spans="46:49" x14ac:dyDescent="0.25">
      <c r="AT1873" s="74"/>
      <c r="AW1873" s="74"/>
    </row>
    <row r="1874" spans="46:49" x14ac:dyDescent="0.25">
      <c r="AT1874" s="74"/>
      <c r="AW1874" s="74"/>
    </row>
    <row r="1875" spans="46:49" x14ac:dyDescent="0.25">
      <c r="AT1875" s="74"/>
      <c r="AW1875" s="74"/>
    </row>
    <row r="1876" spans="46:49" x14ac:dyDescent="0.25">
      <c r="AT1876" s="74"/>
      <c r="AW1876" s="74"/>
    </row>
    <row r="1877" spans="46:49" x14ac:dyDescent="0.25">
      <c r="AT1877" s="74"/>
      <c r="AW1877" s="74"/>
    </row>
    <row r="1878" spans="46:49" x14ac:dyDescent="0.25">
      <c r="AT1878" s="74"/>
      <c r="AW1878" s="74"/>
    </row>
    <row r="1879" spans="46:49" x14ac:dyDescent="0.25">
      <c r="AT1879" s="74"/>
      <c r="AW1879" s="74"/>
    </row>
    <row r="1880" spans="46:49" x14ac:dyDescent="0.25">
      <c r="AT1880" s="74"/>
      <c r="AW1880" s="74"/>
    </row>
    <row r="1881" spans="46:49" x14ac:dyDescent="0.25">
      <c r="AT1881" s="74"/>
      <c r="AW1881" s="74"/>
    </row>
    <row r="1882" spans="46:49" x14ac:dyDescent="0.25">
      <c r="AT1882" s="74"/>
      <c r="AW1882" s="74"/>
    </row>
    <row r="1883" spans="46:49" x14ac:dyDescent="0.25">
      <c r="AT1883" s="74"/>
      <c r="AW1883" s="74"/>
    </row>
    <row r="1884" spans="46:49" x14ac:dyDescent="0.25">
      <c r="AT1884" s="74"/>
      <c r="AW1884" s="74"/>
    </row>
    <row r="1885" spans="46:49" x14ac:dyDescent="0.25">
      <c r="AT1885" s="74"/>
      <c r="AW1885" s="74"/>
    </row>
    <row r="1886" spans="46:49" x14ac:dyDescent="0.25">
      <c r="AT1886" s="74"/>
      <c r="AW1886" s="74"/>
    </row>
    <row r="1887" spans="46:49" x14ac:dyDescent="0.25">
      <c r="AT1887" s="74"/>
      <c r="AW1887" s="74"/>
    </row>
    <row r="1888" spans="46:49" x14ac:dyDescent="0.25">
      <c r="AT1888" s="74"/>
      <c r="AW1888" s="74"/>
    </row>
    <row r="1889" spans="46:49" x14ac:dyDescent="0.25">
      <c r="AT1889" s="74"/>
      <c r="AW1889" s="74"/>
    </row>
    <row r="1890" spans="46:49" x14ac:dyDescent="0.25">
      <c r="AT1890" s="74"/>
      <c r="AW1890" s="74"/>
    </row>
    <row r="1891" spans="46:49" x14ac:dyDescent="0.25">
      <c r="AT1891" s="74"/>
      <c r="AW1891" s="74"/>
    </row>
    <row r="1892" spans="46:49" x14ac:dyDescent="0.25">
      <c r="AT1892" s="74"/>
      <c r="AW1892" s="74"/>
    </row>
    <row r="1893" spans="46:49" x14ac:dyDescent="0.25">
      <c r="AT1893" s="74"/>
      <c r="AW1893" s="74"/>
    </row>
    <row r="1894" spans="46:49" x14ac:dyDescent="0.25">
      <c r="AT1894" s="74"/>
      <c r="AW1894" s="74"/>
    </row>
    <row r="1895" spans="46:49" x14ac:dyDescent="0.25">
      <c r="AT1895" s="74"/>
      <c r="AW1895" s="74"/>
    </row>
    <row r="1896" spans="46:49" x14ac:dyDescent="0.25">
      <c r="AT1896" s="74"/>
      <c r="AW1896" s="74"/>
    </row>
    <row r="1897" spans="46:49" x14ac:dyDescent="0.25">
      <c r="AT1897" s="74"/>
      <c r="AW1897" s="74"/>
    </row>
    <row r="1898" spans="46:49" x14ac:dyDescent="0.25">
      <c r="AT1898" s="74"/>
      <c r="AW1898" s="74"/>
    </row>
    <row r="1899" spans="46:49" x14ac:dyDescent="0.25">
      <c r="AT1899" s="74"/>
      <c r="AW1899" s="74"/>
    </row>
    <row r="1900" spans="46:49" x14ac:dyDescent="0.25">
      <c r="AT1900" s="74"/>
      <c r="AW1900" s="74"/>
    </row>
    <row r="1901" spans="46:49" x14ac:dyDescent="0.25">
      <c r="AT1901" s="74"/>
      <c r="AW1901" s="74"/>
    </row>
    <row r="1902" spans="46:49" x14ac:dyDescent="0.25">
      <c r="AT1902" s="74"/>
      <c r="AW1902" s="74"/>
    </row>
    <row r="1903" spans="46:49" x14ac:dyDescent="0.25">
      <c r="AT1903" s="74"/>
      <c r="AW1903" s="74"/>
    </row>
    <row r="1904" spans="46:49" x14ac:dyDescent="0.25">
      <c r="AT1904" s="74"/>
      <c r="AW1904" s="74"/>
    </row>
    <row r="1905" spans="46:49" x14ac:dyDescent="0.25">
      <c r="AT1905" s="74"/>
      <c r="AW1905" s="74"/>
    </row>
    <row r="1906" spans="46:49" x14ac:dyDescent="0.25">
      <c r="AT1906" s="74"/>
      <c r="AW1906" s="74"/>
    </row>
    <row r="1907" spans="46:49" x14ac:dyDescent="0.25">
      <c r="AT1907" s="74"/>
      <c r="AW1907" s="74"/>
    </row>
    <row r="1908" spans="46:49" x14ac:dyDescent="0.25">
      <c r="AT1908" s="74"/>
      <c r="AW1908" s="74"/>
    </row>
    <row r="1909" spans="46:49" x14ac:dyDescent="0.25">
      <c r="AT1909" s="74"/>
      <c r="AW1909" s="74"/>
    </row>
    <row r="1910" spans="46:49" x14ac:dyDescent="0.25">
      <c r="AT1910" s="74"/>
      <c r="AW1910" s="74"/>
    </row>
    <row r="1911" spans="46:49" x14ac:dyDescent="0.25">
      <c r="AT1911" s="74"/>
      <c r="AW1911" s="74"/>
    </row>
    <row r="1912" spans="46:49" x14ac:dyDescent="0.25">
      <c r="AT1912" s="74"/>
      <c r="AW1912" s="74"/>
    </row>
    <row r="1913" spans="46:49" x14ac:dyDescent="0.25">
      <c r="AT1913" s="74"/>
      <c r="AW1913" s="74"/>
    </row>
    <row r="1914" spans="46:49" x14ac:dyDescent="0.25">
      <c r="AT1914" s="74"/>
      <c r="AW1914" s="74"/>
    </row>
    <row r="1915" spans="46:49" x14ac:dyDescent="0.25">
      <c r="AT1915" s="74"/>
      <c r="AW1915" s="74"/>
    </row>
    <row r="1916" spans="46:49" x14ac:dyDescent="0.25">
      <c r="AT1916" s="74"/>
      <c r="AW1916" s="74"/>
    </row>
    <row r="1917" spans="46:49" x14ac:dyDescent="0.25">
      <c r="AT1917" s="74"/>
      <c r="AW1917" s="74"/>
    </row>
    <row r="1918" spans="46:49" x14ac:dyDescent="0.25">
      <c r="AT1918" s="74"/>
      <c r="AW1918" s="74"/>
    </row>
    <row r="1919" spans="46:49" x14ac:dyDescent="0.25">
      <c r="AT1919" s="74"/>
      <c r="AW1919" s="74"/>
    </row>
    <row r="1920" spans="46:49" x14ac:dyDescent="0.25">
      <c r="AT1920" s="74"/>
      <c r="AW1920" s="74"/>
    </row>
    <row r="1921" spans="46:49" x14ac:dyDescent="0.25">
      <c r="AT1921" s="74"/>
      <c r="AW1921" s="74"/>
    </row>
    <row r="1922" spans="46:49" x14ac:dyDescent="0.25">
      <c r="AT1922" s="74"/>
      <c r="AW1922" s="74"/>
    </row>
    <row r="1923" spans="46:49" x14ac:dyDescent="0.25">
      <c r="AT1923" s="74"/>
      <c r="AW1923" s="74"/>
    </row>
    <row r="1924" spans="46:49" x14ac:dyDescent="0.25">
      <c r="AT1924" s="74"/>
      <c r="AW1924" s="74"/>
    </row>
    <row r="1925" spans="46:49" x14ac:dyDescent="0.25">
      <c r="AT1925" s="74"/>
      <c r="AW1925" s="74"/>
    </row>
    <row r="1926" spans="46:49" x14ac:dyDescent="0.25">
      <c r="AT1926" s="74"/>
      <c r="AW1926" s="74"/>
    </row>
    <row r="1927" spans="46:49" x14ac:dyDescent="0.25">
      <c r="AT1927" s="74"/>
      <c r="AW1927" s="74"/>
    </row>
    <row r="1928" spans="46:49" x14ac:dyDescent="0.25">
      <c r="AT1928" s="74"/>
      <c r="AW1928" s="74"/>
    </row>
    <row r="1929" spans="46:49" x14ac:dyDescent="0.25">
      <c r="AT1929" s="74"/>
      <c r="AW1929" s="74"/>
    </row>
    <row r="1930" spans="46:49" x14ac:dyDescent="0.25">
      <c r="AT1930" s="74"/>
      <c r="AW1930" s="74"/>
    </row>
    <row r="1931" spans="46:49" x14ac:dyDescent="0.25">
      <c r="AT1931" s="74"/>
      <c r="AW1931" s="74"/>
    </row>
    <row r="1932" spans="46:49" x14ac:dyDescent="0.25">
      <c r="AT1932" s="74"/>
      <c r="AW1932" s="74"/>
    </row>
    <row r="1933" spans="46:49" x14ac:dyDescent="0.25">
      <c r="AT1933" s="74"/>
      <c r="AW1933" s="74"/>
    </row>
    <row r="1934" spans="46:49" x14ac:dyDescent="0.25">
      <c r="AT1934" s="74"/>
      <c r="AW1934" s="74"/>
    </row>
    <row r="1935" spans="46:49" x14ac:dyDescent="0.25">
      <c r="AT1935" s="74"/>
      <c r="AW1935" s="74"/>
    </row>
    <row r="1936" spans="46:49" x14ac:dyDescent="0.25">
      <c r="AT1936" s="74"/>
      <c r="AW1936" s="74"/>
    </row>
    <row r="1937" spans="46:49" x14ac:dyDescent="0.25">
      <c r="AT1937" s="74"/>
      <c r="AW1937" s="74"/>
    </row>
    <row r="1938" spans="46:49" x14ac:dyDescent="0.25">
      <c r="AT1938" s="74"/>
      <c r="AW1938" s="74"/>
    </row>
    <row r="1939" spans="46:49" x14ac:dyDescent="0.25">
      <c r="AT1939" s="74"/>
      <c r="AW1939" s="74"/>
    </row>
    <row r="1940" spans="46:49" x14ac:dyDescent="0.25">
      <c r="AT1940" s="74"/>
      <c r="AW1940" s="74"/>
    </row>
    <row r="1941" spans="46:49" x14ac:dyDescent="0.25">
      <c r="AT1941" s="74"/>
      <c r="AW1941" s="74"/>
    </row>
    <row r="1942" spans="46:49" x14ac:dyDescent="0.25">
      <c r="AT1942" s="74"/>
      <c r="AW1942" s="74"/>
    </row>
    <row r="1943" spans="46:49" x14ac:dyDescent="0.25">
      <c r="AT1943" s="74"/>
      <c r="AW1943" s="74"/>
    </row>
    <row r="1944" spans="46:49" x14ac:dyDescent="0.25">
      <c r="AT1944" s="74"/>
      <c r="AW1944" s="74"/>
    </row>
    <row r="1945" spans="46:49" x14ac:dyDescent="0.25">
      <c r="AT1945" s="74"/>
      <c r="AW1945" s="74"/>
    </row>
    <row r="1946" spans="46:49" x14ac:dyDescent="0.25">
      <c r="AT1946" s="74"/>
      <c r="AW1946" s="74"/>
    </row>
    <row r="1947" spans="46:49" x14ac:dyDescent="0.25">
      <c r="AT1947" s="74"/>
      <c r="AW1947" s="74"/>
    </row>
    <row r="1948" spans="46:49" x14ac:dyDescent="0.25">
      <c r="AT1948" s="74"/>
      <c r="AW1948" s="74"/>
    </row>
    <row r="1949" spans="46:49" x14ac:dyDescent="0.25">
      <c r="AT1949" s="74"/>
      <c r="AW1949" s="74"/>
    </row>
    <row r="1950" spans="46:49" x14ac:dyDescent="0.25">
      <c r="AT1950" s="74"/>
      <c r="AW1950" s="74"/>
    </row>
    <row r="1951" spans="46:49" x14ac:dyDescent="0.25">
      <c r="AT1951" s="74"/>
      <c r="AW1951" s="74"/>
    </row>
    <row r="1952" spans="46:49" x14ac:dyDescent="0.25">
      <c r="AT1952" s="74"/>
      <c r="AW1952" s="74"/>
    </row>
    <row r="1953" spans="46:49" x14ac:dyDescent="0.25">
      <c r="AT1953" s="74"/>
      <c r="AW1953" s="74"/>
    </row>
    <row r="1954" spans="46:49" x14ac:dyDescent="0.25">
      <c r="AT1954" s="74"/>
      <c r="AW1954" s="74"/>
    </row>
    <row r="1955" spans="46:49" x14ac:dyDescent="0.25">
      <c r="AT1955" s="74"/>
      <c r="AW1955" s="74"/>
    </row>
    <row r="1956" spans="46:49" x14ac:dyDescent="0.25">
      <c r="AT1956" s="74"/>
      <c r="AW1956" s="74"/>
    </row>
    <row r="1957" spans="46:49" x14ac:dyDescent="0.25">
      <c r="AT1957" s="74"/>
      <c r="AW1957" s="74"/>
    </row>
    <row r="1958" spans="46:49" x14ac:dyDescent="0.25">
      <c r="AT1958" s="74"/>
      <c r="AW1958" s="74"/>
    </row>
    <row r="1959" spans="46:49" x14ac:dyDescent="0.25">
      <c r="AT1959" s="74"/>
      <c r="AW1959" s="74"/>
    </row>
    <row r="1960" spans="46:49" x14ac:dyDescent="0.25">
      <c r="AT1960" s="74"/>
      <c r="AW1960" s="74"/>
    </row>
    <row r="1961" spans="46:49" x14ac:dyDescent="0.25">
      <c r="AT1961" s="74"/>
      <c r="AW1961" s="74"/>
    </row>
    <row r="1962" spans="46:49" x14ac:dyDescent="0.25">
      <c r="AT1962" s="74"/>
      <c r="AW1962" s="74"/>
    </row>
    <row r="1963" spans="46:49" x14ac:dyDescent="0.25">
      <c r="AT1963" s="74"/>
      <c r="AW1963" s="74"/>
    </row>
    <row r="1964" spans="46:49" x14ac:dyDescent="0.25">
      <c r="AT1964" s="74"/>
      <c r="AW1964" s="74"/>
    </row>
    <row r="1965" spans="46:49" x14ac:dyDescent="0.25">
      <c r="AT1965" s="74"/>
      <c r="AW1965" s="74"/>
    </row>
    <row r="1966" spans="46:49" x14ac:dyDescent="0.25">
      <c r="AT1966" s="74"/>
      <c r="AW1966" s="74"/>
    </row>
    <row r="1967" spans="46:49" x14ac:dyDescent="0.25">
      <c r="AT1967" s="74"/>
      <c r="AW1967" s="74"/>
    </row>
    <row r="1968" spans="46:49" x14ac:dyDescent="0.25">
      <c r="AT1968" s="74"/>
      <c r="AW1968" s="74"/>
    </row>
    <row r="1969" spans="46:49" x14ac:dyDescent="0.25">
      <c r="AT1969" s="74"/>
      <c r="AW1969" s="74"/>
    </row>
    <row r="1970" spans="46:49" x14ac:dyDescent="0.25">
      <c r="AT1970" s="74"/>
      <c r="AW1970" s="74"/>
    </row>
    <row r="1971" spans="46:49" x14ac:dyDescent="0.25">
      <c r="AT1971" s="74"/>
      <c r="AW1971" s="74"/>
    </row>
    <row r="1972" spans="46:49" x14ac:dyDescent="0.25">
      <c r="AT1972" s="74"/>
      <c r="AW1972" s="74"/>
    </row>
    <row r="1973" spans="46:49" x14ac:dyDescent="0.25">
      <c r="AT1973" s="74"/>
      <c r="AW1973" s="74"/>
    </row>
    <row r="1974" spans="46:49" x14ac:dyDescent="0.25">
      <c r="AT1974" s="74"/>
      <c r="AW1974" s="74"/>
    </row>
    <row r="1975" spans="46:49" x14ac:dyDescent="0.25">
      <c r="AT1975" s="74"/>
      <c r="AW1975" s="74"/>
    </row>
    <row r="1976" spans="46:49" x14ac:dyDescent="0.25">
      <c r="AT1976" s="74"/>
      <c r="AW1976" s="74"/>
    </row>
    <row r="1977" spans="46:49" x14ac:dyDescent="0.25">
      <c r="AT1977" s="74"/>
      <c r="AW1977" s="74"/>
    </row>
    <row r="1978" spans="46:49" x14ac:dyDescent="0.25">
      <c r="AT1978" s="74"/>
      <c r="AW1978" s="74"/>
    </row>
    <row r="1979" spans="46:49" x14ac:dyDescent="0.25">
      <c r="AT1979" s="74"/>
      <c r="AW1979" s="74"/>
    </row>
    <row r="1980" spans="46:49" x14ac:dyDescent="0.25">
      <c r="AT1980" s="74"/>
      <c r="AW1980" s="74"/>
    </row>
    <row r="1981" spans="46:49" x14ac:dyDescent="0.25">
      <c r="AT1981" s="74"/>
      <c r="AW1981" s="74"/>
    </row>
    <row r="1982" spans="46:49" x14ac:dyDescent="0.25">
      <c r="AT1982" s="74"/>
      <c r="AW1982" s="74"/>
    </row>
    <row r="1983" spans="46:49" x14ac:dyDescent="0.25">
      <c r="AT1983" s="74"/>
      <c r="AW1983" s="74"/>
    </row>
    <row r="1984" spans="46:49" x14ac:dyDescent="0.25">
      <c r="AT1984" s="74"/>
      <c r="AW1984" s="74"/>
    </row>
    <row r="1985" spans="46:49" x14ac:dyDescent="0.25">
      <c r="AT1985" s="74"/>
      <c r="AW1985" s="74"/>
    </row>
    <row r="1986" spans="46:49" x14ac:dyDescent="0.25">
      <c r="AT1986" s="74"/>
      <c r="AW1986" s="74"/>
    </row>
    <row r="1987" spans="46:49" x14ac:dyDescent="0.25">
      <c r="AT1987" s="74"/>
      <c r="AW1987" s="74"/>
    </row>
    <row r="1988" spans="46:49" x14ac:dyDescent="0.25">
      <c r="AT1988" s="74"/>
      <c r="AW1988" s="74"/>
    </row>
    <row r="1989" spans="46:49" x14ac:dyDescent="0.25">
      <c r="AT1989" s="74"/>
      <c r="AW1989" s="74"/>
    </row>
    <row r="1990" spans="46:49" x14ac:dyDescent="0.25">
      <c r="AT1990" s="74"/>
      <c r="AW1990" s="74"/>
    </row>
    <row r="1991" spans="46:49" x14ac:dyDescent="0.25">
      <c r="AT1991" s="74"/>
      <c r="AW1991" s="74"/>
    </row>
    <row r="1992" spans="46:49" x14ac:dyDescent="0.25">
      <c r="AT1992" s="74"/>
      <c r="AW1992" s="74"/>
    </row>
    <row r="1993" spans="46:49" x14ac:dyDescent="0.25">
      <c r="AT1993" s="74"/>
      <c r="AW1993" s="74"/>
    </row>
    <row r="1994" spans="46:49" x14ac:dyDescent="0.25">
      <c r="AT1994" s="74"/>
      <c r="AW1994" s="74"/>
    </row>
    <row r="1995" spans="46:49" x14ac:dyDescent="0.25">
      <c r="AT1995" s="74"/>
      <c r="AW1995" s="74"/>
    </row>
    <row r="1996" spans="46:49" x14ac:dyDescent="0.25">
      <c r="AT1996" s="74"/>
      <c r="AW1996" s="74"/>
    </row>
    <row r="1997" spans="46:49" x14ac:dyDescent="0.25">
      <c r="AT1997" s="74"/>
      <c r="AW1997" s="74"/>
    </row>
    <row r="1998" spans="46:49" x14ac:dyDescent="0.25">
      <c r="AT1998" s="74"/>
      <c r="AW1998" s="74"/>
    </row>
    <row r="1999" spans="46:49" x14ac:dyDescent="0.25">
      <c r="AT1999" s="74"/>
      <c r="AW1999" s="74"/>
    </row>
    <row r="2000" spans="46:49" x14ac:dyDescent="0.25">
      <c r="AT2000" s="74"/>
      <c r="AW2000" s="74"/>
    </row>
    <row r="2001" spans="46:49" x14ac:dyDescent="0.25">
      <c r="AT2001" s="74"/>
      <c r="AW2001" s="74"/>
    </row>
    <row r="2002" spans="46:49" x14ac:dyDescent="0.25">
      <c r="AT2002" s="74"/>
      <c r="AW2002" s="74"/>
    </row>
    <row r="2003" spans="46:49" x14ac:dyDescent="0.25">
      <c r="AT2003" s="74"/>
      <c r="AW2003" s="74"/>
    </row>
    <row r="2004" spans="46:49" x14ac:dyDescent="0.25">
      <c r="AT2004" s="74"/>
      <c r="AW2004" s="74"/>
    </row>
    <row r="2005" spans="46:49" x14ac:dyDescent="0.25">
      <c r="AT2005" s="74"/>
      <c r="AW2005" s="74"/>
    </row>
    <row r="2006" spans="46:49" x14ac:dyDescent="0.25">
      <c r="AT2006" s="74"/>
      <c r="AW2006" s="74"/>
    </row>
    <row r="2007" spans="46:49" x14ac:dyDescent="0.25">
      <c r="AT2007" s="74"/>
      <c r="AW2007" s="74"/>
    </row>
    <row r="2008" spans="46:49" x14ac:dyDescent="0.25">
      <c r="AT2008" s="74"/>
      <c r="AW2008" s="74"/>
    </row>
    <row r="2009" spans="46:49" x14ac:dyDescent="0.25">
      <c r="AT2009" s="74"/>
      <c r="AW2009" s="74"/>
    </row>
    <row r="2010" spans="46:49" x14ac:dyDescent="0.25">
      <c r="AT2010" s="74"/>
      <c r="AW2010" s="74"/>
    </row>
    <row r="2011" spans="46:49" x14ac:dyDescent="0.25">
      <c r="AT2011" s="74"/>
      <c r="AW2011" s="74"/>
    </row>
    <row r="2012" spans="46:49" x14ac:dyDescent="0.25">
      <c r="AT2012" s="74"/>
      <c r="AW2012" s="74"/>
    </row>
    <row r="2013" spans="46:49" x14ac:dyDescent="0.25">
      <c r="AT2013" s="74"/>
      <c r="AW2013" s="74"/>
    </row>
    <row r="2014" spans="46:49" x14ac:dyDescent="0.25">
      <c r="AT2014" s="74"/>
      <c r="AW2014" s="74"/>
    </row>
    <row r="2015" spans="46:49" x14ac:dyDescent="0.25">
      <c r="AT2015" s="74"/>
      <c r="AW2015" s="74"/>
    </row>
    <row r="2016" spans="46:49" x14ac:dyDescent="0.25">
      <c r="AT2016" s="74"/>
      <c r="AW2016" s="74"/>
    </row>
    <row r="2017" spans="46:49" x14ac:dyDescent="0.25">
      <c r="AT2017" s="74"/>
      <c r="AW2017" s="74"/>
    </row>
    <row r="2018" spans="46:49" x14ac:dyDescent="0.25">
      <c r="AT2018" s="74"/>
      <c r="AW2018" s="74"/>
    </row>
    <row r="2019" spans="46:49" x14ac:dyDescent="0.25">
      <c r="AT2019" s="74"/>
      <c r="AW2019" s="74"/>
    </row>
    <row r="2020" spans="46:49" x14ac:dyDescent="0.25">
      <c r="AT2020" s="74"/>
      <c r="AW2020" s="74"/>
    </row>
    <row r="2021" spans="46:49" x14ac:dyDescent="0.25">
      <c r="AT2021" s="74"/>
      <c r="AW2021" s="74"/>
    </row>
    <row r="2022" spans="46:49" x14ac:dyDescent="0.25">
      <c r="AT2022" s="74"/>
      <c r="AW2022" s="74"/>
    </row>
    <row r="2023" spans="46:49" x14ac:dyDescent="0.25">
      <c r="AT2023" s="74"/>
      <c r="AW2023" s="74"/>
    </row>
    <row r="2024" spans="46:49" x14ac:dyDescent="0.25">
      <c r="AT2024" s="74"/>
      <c r="AW2024" s="74"/>
    </row>
    <row r="2025" spans="46:49" x14ac:dyDescent="0.25">
      <c r="AT2025" s="74"/>
      <c r="AW2025" s="74"/>
    </row>
    <row r="2026" spans="46:49" x14ac:dyDescent="0.25">
      <c r="AT2026" s="74"/>
      <c r="AW2026" s="74"/>
    </row>
    <row r="2027" spans="46:49" x14ac:dyDescent="0.25">
      <c r="AT2027" s="74"/>
      <c r="AW2027" s="74"/>
    </row>
    <row r="2028" spans="46:49" x14ac:dyDescent="0.25">
      <c r="AT2028" s="74"/>
      <c r="AW2028" s="74"/>
    </row>
    <row r="2029" spans="46:49" x14ac:dyDescent="0.25">
      <c r="AT2029" s="74"/>
      <c r="AW2029" s="74"/>
    </row>
    <row r="2030" spans="46:49" x14ac:dyDescent="0.25">
      <c r="AT2030" s="74"/>
      <c r="AW2030" s="74"/>
    </row>
    <row r="2031" spans="46:49" x14ac:dyDescent="0.25">
      <c r="AT2031" s="74"/>
      <c r="AW2031" s="74"/>
    </row>
    <row r="2032" spans="46:49" x14ac:dyDescent="0.25">
      <c r="AT2032" s="74"/>
      <c r="AW2032" s="74"/>
    </row>
    <row r="2033" spans="46:49" x14ac:dyDescent="0.25">
      <c r="AT2033" s="74"/>
      <c r="AW2033" s="74"/>
    </row>
    <row r="2034" spans="46:49" x14ac:dyDescent="0.25">
      <c r="AT2034" s="74"/>
      <c r="AW2034" s="74"/>
    </row>
    <row r="2035" spans="46:49" x14ac:dyDescent="0.25">
      <c r="AT2035" s="74"/>
      <c r="AW2035" s="74"/>
    </row>
    <row r="2036" spans="46:49" x14ac:dyDescent="0.25">
      <c r="AT2036" s="74"/>
      <c r="AW2036" s="74"/>
    </row>
    <row r="2037" spans="46:49" x14ac:dyDescent="0.25">
      <c r="AT2037" s="74"/>
      <c r="AW2037" s="74"/>
    </row>
    <row r="2038" spans="46:49" x14ac:dyDescent="0.25">
      <c r="AT2038" s="74"/>
      <c r="AW2038" s="74"/>
    </row>
    <row r="2039" spans="46:49" x14ac:dyDescent="0.25">
      <c r="AT2039" s="74"/>
      <c r="AW2039" s="74"/>
    </row>
    <row r="2040" spans="46:49" x14ac:dyDescent="0.25">
      <c r="AT2040" s="74"/>
      <c r="AW2040" s="74"/>
    </row>
    <row r="2041" spans="46:49" x14ac:dyDescent="0.25">
      <c r="AT2041" s="74"/>
      <c r="AW2041" s="74"/>
    </row>
    <row r="2042" spans="46:49" x14ac:dyDescent="0.25">
      <c r="AT2042" s="74"/>
      <c r="AW2042" s="74"/>
    </row>
    <row r="2043" spans="46:49" x14ac:dyDescent="0.25">
      <c r="AT2043" s="74"/>
      <c r="AW2043" s="74"/>
    </row>
    <row r="2044" spans="46:49" x14ac:dyDescent="0.25">
      <c r="AT2044" s="74"/>
      <c r="AW2044" s="74"/>
    </row>
    <row r="2045" spans="46:49" x14ac:dyDescent="0.25">
      <c r="AT2045" s="74"/>
      <c r="AW2045" s="74"/>
    </row>
    <row r="2046" spans="46:49" x14ac:dyDescent="0.25">
      <c r="AT2046" s="74"/>
      <c r="AW2046" s="74"/>
    </row>
    <row r="2047" spans="46:49" x14ac:dyDescent="0.25">
      <c r="AT2047" s="74"/>
      <c r="AW2047" s="74"/>
    </row>
    <row r="2048" spans="46:49" x14ac:dyDescent="0.25">
      <c r="AT2048" s="74"/>
      <c r="AW2048" s="74"/>
    </row>
    <row r="2049" spans="46:49" x14ac:dyDescent="0.25">
      <c r="AT2049" s="74"/>
      <c r="AW2049" s="74"/>
    </row>
    <row r="2050" spans="46:49" x14ac:dyDescent="0.25">
      <c r="AT2050" s="74"/>
      <c r="AW2050" s="74"/>
    </row>
    <row r="2051" spans="46:49" x14ac:dyDescent="0.25">
      <c r="AT2051" s="74"/>
      <c r="AW2051" s="74"/>
    </row>
    <row r="2052" spans="46:49" x14ac:dyDescent="0.25">
      <c r="AT2052" s="74"/>
      <c r="AW2052" s="74"/>
    </row>
    <row r="2053" spans="46:49" x14ac:dyDescent="0.25">
      <c r="AT2053" s="74"/>
      <c r="AW2053" s="74"/>
    </row>
    <row r="2054" spans="46:49" x14ac:dyDescent="0.25">
      <c r="AT2054" s="74"/>
      <c r="AW2054" s="74"/>
    </row>
    <row r="2055" spans="46:49" x14ac:dyDescent="0.25">
      <c r="AT2055" s="74"/>
      <c r="AW2055" s="74"/>
    </row>
    <row r="2056" spans="46:49" x14ac:dyDescent="0.25">
      <c r="AT2056" s="74"/>
      <c r="AW2056" s="74"/>
    </row>
    <row r="2057" spans="46:49" x14ac:dyDescent="0.25">
      <c r="AT2057" s="74"/>
      <c r="AW2057" s="74"/>
    </row>
    <row r="2058" spans="46:49" x14ac:dyDescent="0.25">
      <c r="AT2058" s="74"/>
      <c r="AW2058" s="74"/>
    </row>
    <row r="2059" spans="46:49" x14ac:dyDescent="0.25">
      <c r="AT2059" s="74"/>
      <c r="AW2059" s="74"/>
    </row>
    <row r="2060" spans="46:49" x14ac:dyDescent="0.25">
      <c r="AT2060" s="74"/>
      <c r="AW2060" s="74"/>
    </row>
    <row r="2061" spans="46:49" x14ac:dyDescent="0.25">
      <c r="AT2061" s="74"/>
      <c r="AW2061" s="74"/>
    </row>
    <row r="2062" spans="46:49" x14ac:dyDescent="0.25">
      <c r="AT2062" s="74"/>
      <c r="AW2062" s="74"/>
    </row>
    <row r="2063" spans="46:49" x14ac:dyDescent="0.25">
      <c r="AT2063" s="74"/>
      <c r="AW2063" s="74"/>
    </row>
    <row r="2064" spans="46:49" x14ac:dyDescent="0.25">
      <c r="AT2064" s="74"/>
      <c r="AW2064" s="74"/>
    </row>
    <row r="2065" spans="46:49" x14ac:dyDescent="0.25">
      <c r="AT2065" s="74"/>
      <c r="AW2065" s="74"/>
    </row>
    <row r="2066" spans="46:49" x14ac:dyDescent="0.25">
      <c r="AT2066" s="74"/>
      <c r="AW2066" s="74"/>
    </row>
    <row r="2067" spans="46:49" x14ac:dyDescent="0.25">
      <c r="AT2067" s="74"/>
      <c r="AW2067" s="74"/>
    </row>
    <row r="2068" spans="46:49" x14ac:dyDescent="0.25">
      <c r="AT2068" s="74"/>
      <c r="AW2068" s="74"/>
    </row>
    <row r="2069" spans="46:49" x14ac:dyDescent="0.25">
      <c r="AT2069" s="74"/>
      <c r="AW2069" s="74"/>
    </row>
    <row r="2070" spans="46:49" x14ac:dyDescent="0.25">
      <c r="AT2070" s="74"/>
      <c r="AW2070" s="74"/>
    </row>
    <row r="2071" spans="46:49" x14ac:dyDescent="0.25">
      <c r="AT2071" s="74"/>
      <c r="AW2071" s="74"/>
    </row>
    <row r="2072" spans="46:49" x14ac:dyDescent="0.25">
      <c r="AT2072" s="74"/>
      <c r="AW2072" s="74"/>
    </row>
    <row r="2073" spans="46:49" x14ac:dyDescent="0.25">
      <c r="AT2073" s="74"/>
      <c r="AW2073" s="74"/>
    </row>
    <row r="2074" spans="46:49" x14ac:dyDescent="0.25">
      <c r="AT2074" s="74"/>
      <c r="AW2074" s="74"/>
    </row>
    <row r="2075" spans="46:49" x14ac:dyDescent="0.25">
      <c r="AT2075" s="74"/>
      <c r="AW2075" s="74"/>
    </row>
    <row r="2076" spans="46:49" x14ac:dyDescent="0.25">
      <c r="AT2076" s="74"/>
      <c r="AW2076" s="74"/>
    </row>
    <row r="2077" spans="46:49" x14ac:dyDescent="0.25">
      <c r="AT2077" s="74"/>
      <c r="AW2077" s="74"/>
    </row>
    <row r="2078" spans="46:49" x14ac:dyDescent="0.25">
      <c r="AT2078" s="74"/>
      <c r="AW2078" s="74"/>
    </row>
    <row r="2079" spans="46:49" x14ac:dyDescent="0.25">
      <c r="AT2079" s="74"/>
      <c r="AW2079" s="74"/>
    </row>
    <row r="2080" spans="46:49" x14ac:dyDescent="0.25">
      <c r="AT2080" s="74"/>
      <c r="AW2080" s="74"/>
    </row>
    <row r="2081" spans="46:49" x14ac:dyDescent="0.25">
      <c r="AT2081" s="74"/>
      <c r="AW2081" s="74"/>
    </row>
    <row r="2082" spans="46:49" x14ac:dyDescent="0.25">
      <c r="AT2082" s="74"/>
      <c r="AW2082" s="74"/>
    </row>
    <row r="2083" spans="46:49" x14ac:dyDescent="0.25">
      <c r="AT2083" s="74"/>
      <c r="AW2083" s="74"/>
    </row>
    <row r="2084" spans="46:49" x14ac:dyDescent="0.25">
      <c r="AT2084" s="74"/>
      <c r="AW2084" s="74"/>
    </row>
    <row r="2085" spans="46:49" x14ac:dyDescent="0.25">
      <c r="AT2085" s="74"/>
      <c r="AW2085" s="74"/>
    </row>
    <row r="2086" spans="46:49" x14ac:dyDescent="0.25">
      <c r="AT2086" s="74"/>
      <c r="AW2086" s="74"/>
    </row>
    <row r="2087" spans="46:49" x14ac:dyDescent="0.25">
      <c r="AT2087" s="74"/>
      <c r="AW2087" s="74"/>
    </row>
    <row r="2088" spans="46:49" x14ac:dyDescent="0.25">
      <c r="AT2088" s="74"/>
      <c r="AW2088" s="74"/>
    </row>
    <row r="2089" spans="46:49" x14ac:dyDescent="0.25">
      <c r="AT2089" s="74"/>
      <c r="AW2089" s="74"/>
    </row>
    <row r="2090" spans="46:49" x14ac:dyDescent="0.25">
      <c r="AT2090" s="74"/>
      <c r="AW2090" s="74"/>
    </row>
    <row r="2091" spans="46:49" x14ac:dyDescent="0.25">
      <c r="AT2091" s="74"/>
      <c r="AW2091" s="74"/>
    </row>
    <row r="2092" spans="46:49" x14ac:dyDescent="0.25">
      <c r="AT2092" s="74"/>
      <c r="AW2092" s="74"/>
    </row>
    <row r="2093" spans="46:49" x14ac:dyDescent="0.25">
      <c r="AT2093" s="74"/>
      <c r="AW2093" s="74"/>
    </row>
    <row r="2094" spans="46:49" x14ac:dyDescent="0.25">
      <c r="AT2094" s="74"/>
      <c r="AW2094" s="74"/>
    </row>
    <row r="2095" spans="46:49" x14ac:dyDescent="0.25">
      <c r="AT2095" s="74"/>
      <c r="AW2095" s="74"/>
    </row>
    <row r="2096" spans="46:49" x14ac:dyDescent="0.25">
      <c r="AT2096" s="74"/>
      <c r="AW2096" s="74"/>
    </row>
    <row r="2097" spans="46:49" x14ac:dyDescent="0.25">
      <c r="AT2097" s="74"/>
      <c r="AW2097" s="74"/>
    </row>
    <row r="2098" spans="46:49" x14ac:dyDescent="0.25">
      <c r="AT2098" s="74"/>
      <c r="AW2098" s="74"/>
    </row>
    <row r="2099" spans="46:49" x14ac:dyDescent="0.25">
      <c r="AT2099" s="74"/>
      <c r="AW2099" s="74"/>
    </row>
    <row r="2100" spans="46:49" x14ac:dyDescent="0.25">
      <c r="AT2100" s="74"/>
      <c r="AW2100" s="74"/>
    </row>
    <row r="2101" spans="46:49" x14ac:dyDescent="0.25">
      <c r="AT2101" s="74"/>
      <c r="AW2101" s="74"/>
    </row>
    <row r="2102" spans="46:49" x14ac:dyDescent="0.25">
      <c r="AT2102" s="74"/>
      <c r="AW2102" s="74"/>
    </row>
    <row r="2103" spans="46:49" x14ac:dyDescent="0.25">
      <c r="AT2103" s="74"/>
      <c r="AW2103" s="74"/>
    </row>
    <row r="2104" spans="46:49" x14ac:dyDescent="0.25">
      <c r="AT2104" s="74"/>
      <c r="AW2104" s="74"/>
    </row>
    <row r="2105" spans="46:49" x14ac:dyDescent="0.25">
      <c r="AT2105" s="74"/>
      <c r="AW2105" s="74"/>
    </row>
    <row r="2106" spans="46:49" x14ac:dyDescent="0.25">
      <c r="AT2106" s="74"/>
      <c r="AW2106" s="74"/>
    </row>
    <row r="2107" spans="46:49" x14ac:dyDescent="0.25">
      <c r="AT2107" s="74"/>
      <c r="AW2107" s="74"/>
    </row>
    <row r="2108" spans="46:49" x14ac:dyDescent="0.25">
      <c r="AT2108" s="74"/>
      <c r="AW2108" s="74"/>
    </row>
    <row r="2109" spans="46:49" x14ac:dyDescent="0.25">
      <c r="AT2109" s="74"/>
      <c r="AW2109" s="74"/>
    </row>
    <row r="2110" spans="46:49" x14ac:dyDescent="0.25">
      <c r="AT2110" s="74"/>
      <c r="AW2110" s="74"/>
    </row>
    <row r="2111" spans="46:49" x14ac:dyDescent="0.25">
      <c r="AT2111" s="74"/>
      <c r="AW2111" s="74"/>
    </row>
    <row r="2112" spans="46:49" x14ac:dyDescent="0.25">
      <c r="AT2112" s="74"/>
      <c r="AW2112" s="74"/>
    </row>
    <row r="2113" spans="46:49" x14ac:dyDescent="0.25">
      <c r="AT2113" s="74"/>
      <c r="AW2113" s="74"/>
    </row>
    <row r="2114" spans="46:49" x14ac:dyDescent="0.25">
      <c r="AT2114" s="74"/>
      <c r="AW2114" s="74"/>
    </row>
    <row r="2115" spans="46:49" x14ac:dyDescent="0.25">
      <c r="AT2115" s="74"/>
      <c r="AW2115" s="74"/>
    </row>
    <row r="2116" spans="46:49" x14ac:dyDescent="0.25">
      <c r="AT2116" s="74"/>
      <c r="AW2116" s="74"/>
    </row>
    <row r="2117" spans="46:49" x14ac:dyDescent="0.25">
      <c r="AT2117" s="74"/>
      <c r="AW2117" s="74"/>
    </row>
    <row r="2118" spans="46:49" x14ac:dyDescent="0.25">
      <c r="AT2118" s="74"/>
      <c r="AW2118" s="74"/>
    </row>
    <row r="2119" spans="46:49" x14ac:dyDescent="0.25">
      <c r="AT2119" s="74"/>
      <c r="AW2119" s="74"/>
    </row>
    <row r="2120" spans="46:49" x14ac:dyDescent="0.25">
      <c r="AT2120" s="74"/>
      <c r="AW2120" s="74"/>
    </row>
    <row r="2121" spans="46:49" x14ac:dyDescent="0.25">
      <c r="AT2121" s="74"/>
      <c r="AW2121" s="74"/>
    </row>
    <row r="2122" spans="46:49" x14ac:dyDescent="0.25">
      <c r="AT2122" s="74"/>
      <c r="AW2122" s="74"/>
    </row>
    <row r="2123" spans="46:49" x14ac:dyDescent="0.25">
      <c r="AT2123" s="74"/>
      <c r="AW2123" s="74"/>
    </row>
    <row r="2124" spans="46:49" x14ac:dyDescent="0.25">
      <c r="AT2124" s="74"/>
      <c r="AW2124" s="74"/>
    </row>
    <row r="2125" spans="46:49" x14ac:dyDescent="0.25">
      <c r="AT2125" s="74"/>
      <c r="AW2125" s="74"/>
    </row>
    <row r="2126" spans="46:49" x14ac:dyDescent="0.25">
      <c r="AT2126" s="74"/>
      <c r="AW2126" s="74"/>
    </row>
    <row r="2127" spans="46:49" x14ac:dyDescent="0.25">
      <c r="AT2127" s="74"/>
      <c r="AW2127" s="74"/>
    </row>
    <row r="2128" spans="46:49" x14ac:dyDescent="0.25">
      <c r="AT2128" s="74"/>
      <c r="AW2128" s="74"/>
    </row>
    <row r="2129" spans="46:49" x14ac:dyDescent="0.25">
      <c r="AT2129" s="74"/>
      <c r="AW2129" s="74"/>
    </row>
    <row r="2130" spans="46:49" x14ac:dyDescent="0.25">
      <c r="AT2130" s="74"/>
      <c r="AW2130" s="74"/>
    </row>
    <row r="2131" spans="46:49" x14ac:dyDescent="0.25">
      <c r="AT2131" s="74"/>
      <c r="AW2131" s="74"/>
    </row>
    <row r="2132" spans="46:49" x14ac:dyDescent="0.25">
      <c r="AT2132" s="74"/>
      <c r="AW2132" s="74"/>
    </row>
    <row r="2133" spans="46:49" x14ac:dyDescent="0.25">
      <c r="AT2133" s="74"/>
      <c r="AW2133" s="74"/>
    </row>
    <row r="2134" spans="46:49" x14ac:dyDescent="0.25">
      <c r="AT2134" s="74"/>
      <c r="AW2134" s="74"/>
    </row>
    <row r="2135" spans="46:49" x14ac:dyDescent="0.25">
      <c r="AT2135" s="74"/>
      <c r="AW2135" s="74"/>
    </row>
    <row r="2136" spans="46:49" x14ac:dyDescent="0.25">
      <c r="AT2136" s="74"/>
      <c r="AW2136" s="74"/>
    </row>
    <row r="2137" spans="46:49" x14ac:dyDescent="0.25">
      <c r="AT2137" s="74"/>
      <c r="AW2137" s="74"/>
    </row>
    <row r="2138" spans="46:49" x14ac:dyDescent="0.25">
      <c r="AT2138" s="74"/>
      <c r="AW2138" s="74"/>
    </row>
    <row r="2139" spans="46:49" x14ac:dyDescent="0.25">
      <c r="AT2139" s="74"/>
      <c r="AW2139" s="74"/>
    </row>
    <row r="2140" spans="46:49" x14ac:dyDescent="0.25">
      <c r="AT2140" s="74"/>
      <c r="AW2140" s="74"/>
    </row>
    <row r="2141" spans="46:49" x14ac:dyDescent="0.25">
      <c r="AT2141" s="74"/>
      <c r="AW2141" s="74"/>
    </row>
    <row r="2142" spans="46:49" x14ac:dyDescent="0.25">
      <c r="AT2142" s="74"/>
      <c r="AW2142" s="74"/>
    </row>
    <row r="2143" spans="46:49" x14ac:dyDescent="0.25">
      <c r="AT2143" s="74"/>
      <c r="AW2143" s="74"/>
    </row>
    <row r="2144" spans="46:49" x14ac:dyDescent="0.25">
      <c r="AT2144" s="74"/>
      <c r="AW2144" s="74"/>
    </row>
    <row r="2145" spans="46:49" x14ac:dyDescent="0.25">
      <c r="AT2145" s="74"/>
      <c r="AW2145" s="74"/>
    </row>
    <row r="2146" spans="46:49" x14ac:dyDescent="0.25">
      <c r="AT2146" s="74"/>
      <c r="AW2146" s="74"/>
    </row>
    <row r="2147" spans="46:49" x14ac:dyDescent="0.25">
      <c r="AT2147" s="74"/>
      <c r="AW2147" s="74"/>
    </row>
    <row r="2148" spans="46:49" x14ac:dyDescent="0.25">
      <c r="AT2148" s="74"/>
      <c r="AW2148" s="74"/>
    </row>
    <row r="2149" spans="46:49" x14ac:dyDescent="0.25">
      <c r="AT2149" s="74"/>
      <c r="AW2149" s="74"/>
    </row>
    <row r="2150" spans="46:49" x14ac:dyDescent="0.25">
      <c r="AT2150" s="74"/>
      <c r="AW2150" s="74"/>
    </row>
    <row r="2151" spans="46:49" x14ac:dyDescent="0.25">
      <c r="AT2151" s="74"/>
      <c r="AW2151" s="74"/>
    </row>
    <row r="2152" spans="46:49" x14ac:dyDescent="0.25">
      <c r="AT2152" s="74"/>
      <c r="AW2152" s="74"/>
    </row>
    <row r="2153" spans="46:49" x14ac:dyDescent="0.25">
      <c r="AT2153" s="74"/>
      <c r="AW2153" s="74"/>
    </row>
    <row r="2154" spans="46:49" x14ac:dyDescent="0.25">
      <c r="AT2154" s="74"/>
      <c r="AW2154" s="74"/>
    </row>
    <row r="2155" spans="46:49" x14ac:dyDescent="0.25">
      <c r="AT2155" s="74"/>
      <c r="AW2155" s="74"/>
    </row>
    <row r="2156" spans="46:49" x14ac:dyDescent="0.25">
      <c r="AT2156" s="74"/>
      <c r="AW2156" s="74"/>
    </row>
    <row r="2157" spans="46:49" x14ac:dyDescent="0.25">
      <c r="AT2157" s="74"/>
      <c r="AW2157" s="74"/>
    </row>
    <row r="2158" spans="46:49" x14ac:dyDescent="0.25">
      <c r="AT2158" s="74"/>
      <c r="AW2158" s="74"/>
    </row>
    <row r="2159" spans="46:49" x14ac:dyDescent="0.25">
      <c r="AT2159" s="74"/>
      <c r="AW2159" s="74"/>
    </row>
    <row r="2160" spans="46:49" x14ac:dyDescent="0.25">
      <c r="AT2160" s="74"/>
      <c r="AW2160" s="74"/>
    </row>
    <row r="2161" spans="46:49" x14ac:dyDescent="0.25">
      <c r="AT2161" s="74"/>
      <c r="AW2161" s="74"/>
    </row>
    <row r="2162" spans="46:49" x14ac:dyDescent="0.25">
      <c r="AT2162" s="74"/>
      <c r="AW2162" s="74"/>
    </row>
    <row r="2163" spans="46:49" x14ac:dyDescent="0.25">
      <c r="AT2163" s="74"/>
      <c r="AW2163" s="74"/>
    </row>
    <row r="2164" spans="46:49" x14ac:dyDescent="0.25">
      <c r="AT2164" s="74"/>
      <c r="AW2164" s="74"/>
    </row>
    <row r="2165" spans="46:49" x14ac:dyDescent="0.25">
      <c r="AT2165" s="74"/>
      <c r="AW2165" s="74"/>
    </row>
    <row r="2166" spans="46:49" x14ac:dyDescent="0.25">
      <c r="AT2166" s="74"/>
      <c r="AW2166" s="74"/>
    </row>
    <row r="2167" spans="46:49" x14ac:dyDescent="0.25">
      <c r="AT2167" s="74"/>
      <c r="AW2167" s="74"/>
    </row>
    <row r="2168" spans="46:49" x14ac:dyDescent="0.25">
      <c r="AT2168" s="74"/>
      <c r="AW2168" s="74"/>
    </row>
    <row r="2169" spans="46:49" x14ac:dyDescent="0.25">
      <c r="AT2169" s="74"/>
      <c r="AW2169" s="74"/>
    </row>
    <row r="2170" spans="46:49" x14ac:dyDescent="0.25">
      <c r="AT2170" s="74"/>
      <c r="AW2170" s="74"/>
    </row>
    <row r="2171" spans="46:49" x14ac:dyDescent="0.25">
      <c r="AT2171" s="74"/>
      <c r="AW2171" s="74"/>
    </row>
    <row r="2172" spans="46:49" x14ac:dyDescent="0.25">
      <c r="AT2172" s="74"/>
      <c r="AW2172" s="74"/>
    </row>
    <row r="2173" spans="46:49" x14ac:dyDescent="0.25">
      <c r="AT2173" s="74"/>
      <c r="AW2173" s="74"/>
    </row>
    <row r="2174" spans="46:49" x14ac:dyDescent="0.25">
      <c r="AT2174" s="74"/>
      <c r="AW2174" s="74"/>
    </row>
    <row r="2175" spans="46:49" x14ac:dyDescent="0.25">
      <c r="AT2175" s="74"/>
      <c r="AW2175" s="74"/>
    </row>
    <row r="2176" spans="46:49" x14ac:dyDescent="0.25">
      <c r="AT2176" s="74"/>
      <c r="AW2176" s="74"/>
    </row>
    <row r="2177" spans="46:49" x14ac:dyDescent="0.25">
      <c r="AT2177" s="74"/>
      <c r="AW2177" s="74"/>
    </row>
    <row r="2178" spans="46:49" x14ac:dyDescent="0.25">
      <c r="AT2178" s="74"/>
      <c r="AW2178" s="74"/>
    </row>
    <row r="2179" spans="46:49" x14ac:dyDescent="0.25">
      <c r="AT2179" s="74"/>
      <c r="AW2179" s="74"/>
    </row>
    <row r="2180" spans="46:49" x14ac:dyDescent="0.25">
      <c r="AT2180" s="74"/>
      <c r="AW2180" s="74"/>
    </row>
    <row r="2181" spans="46:49" x14ac:dyDescent="0.25">
      <c r="AT2181" s="74"/>
      <c r="AW2181" s="74"/>
    </row>
    <row r="2182" spans="46:49" x14ac:dyDescent="0.25">
      <c r="AT2182" s="74"/>
      <c r="AW2182" s="74"/>
    </row>
    <row r="2183" spans="46:49" x14ac:dyDescent="0.25">
      <c r="AT2183" s="74"/>
      <c r="AW2183" s="74"/>
    </row>
    <row r="2184" spans="46:49" x14ac:dyDescent="0.25">
      <c r="AT2184" s="74"/>
      <c r="AW2184" s="74"/>
    </row>
    <row r="2185" spans="46:49" x14ac:dyDescent="0.25">
      <c r="AT2185" s="74"/>
      <c r="AW2185" s="74"/>
    </row>
    <row r="2186" spans="46:49" x14ac:dyDescent="0.25">
      <c r="AT2186" s="74"/>
      <c r="AW2186" s="74"/>
    </row>
    <row r="2187" spans="46:49" x14ac:dyDescent="0.25">
      <c r="AT2187" s="74"/>
      <c r="AW2187" s="74"/>
    </row>
    <row r="2188" spans="46:49" x14ac:dyDescent="0.25">
      <c r="AT2188" s="74"/>
      <c r="AW2188" s="74"/>
    </row>
    <row r="2189" spans="46:49" x14ac:dyDescent="0.25">
      <c r="AT2189" s="74"/>
      <c r="AW2189" s="74"/>
    </row>
    <row r="2190" spans="46:49" x14ac:dyDescent="0.25">
      <c r="AT2190" s="74"/>
      <c r="AW2190" s="74"/>
    </row>
    <row r="2191" spans="46:49" x14ac:dyDescent="0.25">
      <c r="AT2191" s="74"/>
      <c r="AW2191" s="74"/>
    </row>
    <row r="2192" spans="46:49" x14ac:dyDescent="0.25">
      <c r="AT2192" s="74"/>
      <c r="AW2192" s="74"/>
    </row>
    <row r="2193" spans="46:49" x14ac:dyDescent="0.25">
      <c r="AT2193" s="74"/>
      <c r="AW2193" s="74"/>
    </row>
    <row r="2194" spans="46:49" x14ac:dyDescent="0.25">
      <c r="AT2194" s="74"/>
      <c r="AW2194" s="74"/>
    </row>
    <row r="2195" spans="46:49" x14ac:dyDescent="0.25">
      <c r="AT2195" s="74"/>
      <c r="AW2195" s="74"/>
    </row>
    <row r="2196" spans="46:49" x14ac:dyDescent="0.25">
      <c r="AT2196" s="74"/>
      <c r="AW2196" s="74"/>
    </row>
    <row r="2197" spans="46:49" x14ac:dyDescent="0.25">
      <c r="AT2197" s="74"/>
      <c r="AW2197" s="74"/>
    </row>
    <row r="2198" spans="46:49" x14ac:dyDescent="0.25">
      <c r="AT2198" s="74"/>
      <c r="AW2198" s="74"/>
    </row>
    <row r="2199" spans="46:49" x14ac:dyDescent="0.25">
      <c r="AT2199" s="74"/>
      <c r="AW2199" s="74"/>
    </row>
    <row r="2200" spans="46:49" x14ac:dyDescent="0.25">
      <c r="AT2200" s="74"/>
      <c r="AW2200" s="74"/>
    </row>
    <row r="2201" spans="46:49" x14ac:dyDescent="0.25">
      <c r="AT2201" s="74"/>
      <c r="AW2201" s="74"/>
    </row>
    <row r="2202" spans="46:49" x14ac:dyDescent="0.25">
      <c r="AT2202" s="74"/>
      <c r="AW2202" s="74"/>
    </row>
    <row r="2203" spans="46:49" x14ac:dyDescent="0.25">
      <c r="AT2203" s="74"/>
      <c r="AW2203" s="74"/>
    </row>
    <row r="2204" spans="46:49" x14ac:dyDescent="0.25">
      <c r="AT2204" s="74"/>
      <c r="AW2204" s="74"/>
    </row>
    <row r="2205" spans="46:49" x14ac:dyDescent="0.25">
      <c r="AT2205" s="74"/>
      <c r="AW2205" s="74"/>
    </row>
    <row r="2206" spans="46:49" x14ac:dyDescent="0.25">
      <c r="AT2206" s="74"/>
      <c r="AW2206" s="74"/>
    </row>
    <row r="2207" spans="46:49" x14ac:dyDescent="0.25">
      <c r="AT2207" s="74"/>
      <c r="AW2207" s="74"/>
    </row>
    <row r="2208" spans="46:49" x14ac:dyDescent="0.25">
      <c r="AT2208" s="74"/>
      <c r="AW2208" s="74"/>
    </row>
    <row r="2209" spans="46:49" x14ac:dyDescent="0.25">
      <c r="AT2209" s="74"/>
      <c r="AW2209" s="74"/>
    </row>
    <row r="2210" spans="46:49" x14ac:dyDescent="0.25">
      <c r="AT2210" s="74"/>
      <c r="AW2210" s="74"/>
    </row>
    <row r="2211" spans="46:49" x14ac:dyDescent="0.25">
      <c r="AT2211" s="74"/>
      <c r="AW2211" s="74"/>
    </row>
    <row r="2212" spans="46:49" x14ac:dyDescent="0.25">
      <c r="AT2212" s="74"/>
      <c r="AW2212" s="74"/>
    </row>
    <row r="2213" spans="46:49" x14ac:dyDescent="0.25">
      <c r="AT2213" s="74"/>
      <c r="AW2213" s="74"/>
    </row>
    <row r="2214" spans="46:49" x14ac:dyDescent="0.25">
      <c r="AT2214" s="74"/>
      <c r="AW2214" s="74"/>
    </row>
    <row r="2215" spans="46:49" x14ac:dyDescent="0.25">
      <c r="AT2215" s="74"/>
      <c r="AW2215" s="74"/>
    </row>
    <row r="2216" spans="46:49" x14ac:dyDescent="0.25">
      <c r="AT2216" s="74"/>
      <c r="AW2216" s="74"/>
    </row>
    <row r="2217" spans="46:49" x14ac:dyDescent="0.25">
      <c r="AT2217" s="74"/>
      <c r="AW2217" s="74"/>
    </row>
    <row r="2218" spans="46:49" x14ac:dyDescent="0.25">
      <c r="AT2218" s="74"/>
      <c r="AW2218" s="74"/>
    </row>
    <row r="2219" spans="46:49" x14ac:dyDescent="0.25">
      <c r="AT2219" s="74"/>
      <c r="AW2219" s="74"/>
    </row>
    <row r="2220" spans="46:49" x14ac:dyDescent="0.25">
      <c r="AT2220" s="74"/>
      <c r="AW2220" s="74"/>
    </row>
    <row r="2221" spans="46:49" x14ac:dyDescent="0.25">
      <c r="AT2221" s="74"/>
      <c r="AW2221" s="74"/>
    </row>
    <row r="2222" spans="46:49" x14ac:dyDescent="0.25">
      <c r="AT2222" s="74"/>
      <c r="AW2222" s="74"/>
    </row>
    <row r="2223" spans="46:49" x14ac:dyDescent="0.25">
      <c r="AT2223" s="74"/>
      <c r="AW2223" s="74"/>
    </row>
    <row r="2224" spans="46:49" x14ac:dyDescent="0.25">
      <c r="AT2224" s="74"/>
      <c r="AW2224" s="74"/>
    </row>
    <row r="2225" spans="46:49" x14ac:dyDescent="0.25">
      <c r="AT2225" s="74"/>
      <c r="AW2225" s="74"/>
    </row>
    <row r="2226" spans="46:49" x14ac:dyDescent="0.25">
      <c r="AT2226" s="74"/>
      <c r="AW2226" s="74"/>
    </row>
    <row r="2227" spans="46:49" x14ac:dyDescent="0.25">
      <c r="AT2227" s="74"/>
      <c r="AW2227" s="74"/>
    </row>
    <row r="2228" spans="46:49" x14ac:dyDescent="0.25">
      <c r="AT2228" s="74"/>
      <c r="AW2228" s="74"/>
    </row>
    <row r="2229" spans="46:49" x14ac:dyDescent="0.25">
      <c r="AT2229" s="74"/>
      <c r="AW2229" s="74"/>
    </row>
    <row r="2230" spans="46:49" x14ac:dyDescent="0.25">
      <c r="AT2230" s="74"/>
      <c r="AW2230" s="74"/>
    </row>
    <row r="2231" spans="46:49" x14ac:dyDescent="0.25">
      <c r="AT2231" s="74"/>
      <c r="AW2231" s="74"/>
    </row>
    <row r="2232" spans="46:49" x14ac:dyDescent="0.25">
      <c r="AT2232" s="74"/>
      <c r="AW2232" s="74"/>
    </row>
    <row r="2233" spans="46:49" x14ac:dyDescent="0.25">
      <c r="AT2233" s="74"/>
      <c r="AW2233" s="74"/>
    </row>
    <row r="2234" spans="46:49" x14ac:dyDescent="0.25">
      <c r="AT2234" s="74"/>
      <c r="AW2234" s="74"/>
    </row>
    <row r="2235" spans="46:49" x14ac:dyDescent="0.25">
      <c r="AT2235" s="74"/>
      <c r="AW2235" s="74"/>
    </row>
    <row r="2236" spans="46:49" x14ac:dyDescent="0.25">
      <c r="AT2236" s="74"/>
      <c r="AW2236" s="74"/>
    </row>
    <row r="2237" spans="46:49" x14ac:dyDescent="0.25">
      <c r="AT2237" s="74"/>
      <c r="AW2237" s="74"/>
    </row>
    <row r="2238" spans="46:49" x14ac:dyDescent="0.25">
      <c r="AT2238" s="74"/>
      <c r="AW2238" s="74"/>
    </row>
    <row r="2239" spans="46:49" x14ac:dyDescent="0.25">
      <c r="AT2239" s="74"/>
      <c r="AW2239" s="74"/>
    </row>
    <row r="2240" spans="46:49" x14ac:dyDescent="0.25">
      <c r="AT2240" s="74"/>
      <c r="AW2240" s="74"/>
    </row>
    <row r="2241" spans="46:49" x14ac:dyDescent="0.25">
      <c r="AT2241" s="74"/>
      <c r="AW2241" s="74"/>
    </row>
    <row r="2242" spans="46:49" x14ac:dyDescent="0.25">
      <c r="AT2242" s="74"/>
      <c r="AW2242" s="74"/>
    </row>
    <row r="2243" spans="46:49" x14ac:dyDescent="0.25">
      <c r="AT2243" s="74"/>
      <c r="AW2243" s="74"/>
    </row>
    <row r="2244" spans="46:49" x14ac:dyDescent="0.25">
      <c r="AT2244" s="74"/>
      <c r="AW2244" s="74"/>
    </row>
    <row r="2245" spans="46:49" x14ac:dyDescent="0.25">
      <c r="AT2245" s="74"/>
      <c r="AW2245" s="74"/>
    </row>
    <row r="2246" spans="46:49" x14ac:dyDescent="0.25">
      <c r="AT2246" s="74"/>
      <c r="AW2246" s="74"/>
    </row>
    <row r="2247" spans="46:49" x14ac:dyDescent="0.25">
      <c r="AT2247" s="74"/>
      <c r="AW2247" s="74"/>
    </row>
    <row r="2248" spans="46:49" x14ac:dyDescent="0.25">
      <c r="AT2248" s="74"/>
      <c r="AW2248" s="74"/>
    </row>
    <row r="2249" spans="46:49" x14ac:dyDescent="0.25">
      <c r="AT2249" s="74"/>
      <c r="AW2249" s="74"/>
    </row>
    <row r="2250" spans="46:49" x14ac:dyDescent="0.25">
      <c r="AT2250" s="74"/>
      <c r="AW2250" s="74"/>
    </row>
    <row r="2251" spans="46:49" x14ac:dyDescent="0.25">
      <c r="AT2251" s="74"/>
      <c r="AW2251" s="74"/>
    </row>
    <row r="2252" spans="46:49" x14ac:dyDescent="0.25">
      <c r="AT2252" s="74"/>
      <c r="AW2252" s="74"/>
    </row>
    <row r="2253" spans="46:49" x14ac:dyDescent="0.25">
      <c r="AT2253" s="74"/>
      <c r="AW2253" s="74"/>
    </row>
    <row r="2254" spans="46:49" x14ac:dyDescent="0.25">
      <c r="AT2254" s="74"/>
      <c r="AW2254" s="74"/>
    </row>
    <row r="2255" spans="46:49" x14ac:dyDescent="0.25">
      <c r="AT2255" s="74"/>
      <c r="AW2255" s="74"/>
    </row>
    <row r="2256" spans="46:49" x14ac:dyDescent="0.25">
      <c r="AT2256" s="74"/>
      <c r="AW2256" s="74"/>
    </row>
    <row r="2257" spans="46:49" x14ac:dyDescent="0.25">
      <c r="AT2257" s="74"/>
      <c r="AW2257" s="74"/>
    </row>
    <row r="2258" spans="46:49" x14ac:dyDescent="0.25">
      <c r="AT2258" s="74"/>
      <c r="AW2258" s="74"/>
    </row>
    <row r="2259" spans="46:49" x14ac:dyDescent="0.25">
      <c r="AT2259" s="74"/>
      <c r="AW2259" s="74"/>
    </row>
    <row r="2260" spans="46:49" x14ac:dyDescent="0.25">
      <c r="AT2260" s="74"/>
      <c r="AW2260" s="74"/>
    </row>
    <row r="2261" spans="46:49" x14ac:dyDescent="0.25">
      <c r="AT2261" s="74"/>
      <c r="AW2261" s="74"/>
    </row>
    <row r="2262" spans="46:49" x14ac:dyDescent="0.25">
      <c r="AT2262" s="74"/>
      <c r="AW2262" s="74"/>
    </row>
    <row r="2263" spans="46:49" x14ac:dyDescent="0.25">
      <c r="AT2263" s="74"/>
      <c r="AW2263" s="74"/>
    </row>
    <row r="2264" spans="46:49" x14ac:dyDescent="0.25">
      <c r="AT2264" s="74"/>
      <c r="AW2264" s="74"/>
    </row>
    <row r="2265" spans="46:49" x14ac:dyDescent="0.25">
      <c r="AT2265" s="74"/>
      <c r="AW2265" s="74"/>
    </row>
    <row r="2266" spans="46:49" x14ac:dyDescent="0.25">
      <c r="AT2266" s="74"/>
      <c r="AW2266" s="74"/>
    </row>
    <row r="2267" spans="46:49" x14ac:dyDescent="0.25">
      <c r="AT2267" s="74"/>
      <c r="AW2267" s="74"/>
    </row>
    <row r="2268" spans="46:49" x14ac:dyDescent="0.25">
      <c r="AT2268" s="74"/>
      <c r="AW2268" s="74"/>
    </row>
    <row r="2269" spans="46:49" x14ac:dyDescent="0.25">
      <c r="AT2269" s="74"/>
      <c r="AW2269" s="74"/>
    </row>
    <row r="2270" spans="46:49" x14ac:dyDescent="0.25">
      <c r="AT2270" s="74"/>
      <c r="AW2270" s="74"/>
    </row>
    <row r="2271" spans="46:49" x14ac:dyDescent="0.25">
      <c r="AT2271" s="74"/>
      <c r="AW2271" s="74"/>
    </row>
    <row r="2272" spans="46:49" x14ac:dyDescent="0.25">
      <c r="AT2272" s="74"/>
      <c r="AW2272" s="74"/>
    </row>
    <row r="2273" spans="46:49" x14ac:dyDescent="0.25">
      <c r="AT2273" s="74"/>
      <c r="AW2273" s="74"/>
    </row>
    <row r="2274" spans="46:49" x14ac:dyDescent="0.25">
      <c r="AT2274" s="74"/>
      <c r="AW2274" s="74"/>
    </row>
    <row r="2275" spans="46:49" x14ac:dyDescent="0.25">
      <c r="AT2275" s="74"/>
      <c r="AW2275" s="74"/>
    </row>
    <row r="2276" spans="46:49" x14ac:dyDescent="0.25">
      <c r="AT2276" s="74"/>
      <c r="AW2276" s="74"/>
    </row>
    <row r="2277" spans="46:49" x14ac:dyDescent="0.25">
      <c r="AT2277" s="74"/>
      <c r="AW2277" s="74"/>
    </row>
    <row r="2278" spans="46:49" x14ac:dyDescent="0.25">
      <c r="AT2278" s="74"/>
      <c r="AW2278" s="74"/>
    </row>
    <row r="2279" spans="46:49" x14ac:dyDescent="0.25">
      <c r="AT2279" s="74"/>
      <c r="AW2279" s="74"/>
    </row>
    <row r="2280" spans="46:49" x14ac:dyDescent="0.25">
      <c r="AT2280" s="74"/>
      <c r="AW2280" s="74"/>
    </row>
    <row r="2281" spans="46:49" x14ac:dyDescent="0.25">
      <c r="AT2281" s="74"/>
      <c r="AW2281" s="74"/>
    </row>
    <row r="2282" spans="46:49" x14ac:dyDescent="0.25">
      <c r="AT2282" s="74"/>
      <c r="AW2282" s="74"/>
    </row>
    <row r="2283" spans="46:49" x14ac:dyDescent="0.25">
      <c r="AT2283" s="74"/>
      <c r="AW2283" s="74"/>
    </row>
    <row r="2284" spans="46:49" x14ac:dyDescent="0.25">
      <c r="AT2284" s="74"/>
      <c r="AW2284" s="74"/>
    </row>
    <row r="2285" spans="46:49" x14ac:dyDescent="0.25">
      <c r="AT2285" s="74"/>
      <c r="AW2285" s="74"/>
    </row>
    <row r="2286" spans="46:49" x14ac:dyDescent="0.25">
      <c r="AT2286" s="74"/>
      <c r="AW2286" s="74"/>
    </row>
    <row r="2287" spans="46:49" x14ac:dyDescent="0.25">
      <c r="AT2287" s="74"/>
      <c r="AW2287" s="74"/>
    </row>
    <row r="2288" spans="46:49" x14ac:dyDescent="0.25">
      <c r="AT2288" s="74"/>
      <c r="AW2288" s="74"/>
    </row>
    <row r="2289" spans="46:49" x14ac:dyDescent="0.25">
      <c r="AT2289" s="74"/>
      <c r="AW2289" s="74"/>
    </row>
    <row r="2290" spans="46:49" x14ac:dyDescent="0.25">
      <c r="AT2290" s="74"/>
      <c r="AW2290" s="74"/>
    </row>
    <row r="2291" spans="46:49" x14ac:dyDescent="0.25">
      <c r="AT2291" s="74"/>
      <c r="AW2291" s="74"/>
    </row>
    <row r="2292" spans="46:49" x14ac:dyDescent="0.25">
      <c r="AT2292" s="74"/>
      <c r="AW2292" s="74"/>
    </row>
    <row r="2293" spans="46:49" x14ac:dyDescent="0.25">
      <c r="AT2293" s="74"/>
      <c r="AW2293" s="74"/>
    </row>
    <row r="2294" spans="46:49" x14ac:dyDescent="0.25">
      <c r="AT2294" s="74"/>
      <c r="AW2294" s="74"/>
    </row>
    <row r="2295" spans="46:49" x14ac:dyDescent="0.25">
      <c r="AT2295" s="74"/>
      <c r="AW2295" s="74"/>
    </row>
    <row r="2296" spans="46:49" x14ac:dyDescent="0.25">
      <c r="AT2296" s="74"/>
      <c r="AW2296" s="74"/>
    </row>
    <row r="2297" spans="46:49" x14ac:dyDescent="0.25">
      <c r="AT2297" s="74"/>
      <c r="AW2297" s="74"/>
    </row>
    <row r="2298" spans="46:49" x14ac:dyDescent="0.25">
      <c r="AT2298" s="74"/>
      <c r="AW2298" s="74"/>
    </row>
    <row r="2299" spans="46:49" x14ac:dyDescent="0.25">
      <c r="AT2299" s="74"/>
      <c r="AW2299" s="74"/>
    </row>
    <row r="2300" spans="46:49" x14ac:dyDescent="0.25">
      <c r="AT2300" s="74"/>
      <c r="AW2300" s="74"/>
    </row>
    <row r="2301" spans="46:49" x14ac:dyDescent="0.25">
      <c r="AT2301" s="74"/>
      <c r="AW2301" s="74"/>
    </row>
    <row r="2302" spans="46:49" x14ac:dyDescent="0.25">
      <c r="AT2302" s="74"/>
      <c r="AW2302" s="74"/>
    </row>
    <row r="2303" spans="46:49" x14ac:dyDescent="0.25">
      <c r="AT2303" s="74"/>
      <c r="AW2303" s="74"/>
    </row>
    <row r="2304" spans="46:49" x14ac:dyDescent="0.25">
      <c r="AT2304" s="74"/>
      <c r="AW2304" s="74"/>
    </row>
    <row r="2305" spans="46:49" x14ac:dyDescent="0.25">
      <c r="AT2305" s="74"/>
      <c r="AW2305" s="74"/>
    </row>
    <row r="2306" spans="46:49" x14ac:dyDescent="0.25">
      <c r="AT2306" s="74"/>
      <c r="AW2306" s="74"/>
    </row>
    <row r="2307" spans="46:49" x14ac:dyDescent="0.25">
      <c r="AT2307" s="74"/>
      <c r="AW2307" s="74"/>
    </row>
    <row r="2308" spans="46:49" x14ac:dyDescent="0.25">
      <c r="AT2308" s="74"/>
      <c r="AW2308" s="74"/>
    </row>
    <row r="2309" spans="46:49" x14ac:dyDescent="0.25">
      <c r="AT2309" s="74"/>
      <c r="AW2309" s="74"/>
    </row>
    <row r="2310" spans="46:49" x14ac:dyDescent="0.25">
      <c r="AT2310" s="74"/>
      <c r="AW2310" s="74"/>
    </row>
    <row r="2311" spans="46:49" x14ac:dyDescent="0.25">
      <c r="AT2311" s="74"/>
      <c r="AW2311" s="74"/>
    </row>
    <row r="2312" spans="46:49" x14ac:dyDescent="0.25">
      <c r="AT2312" s="74"/>
      <c r="AW2312" s="74"/>
    </row>
    <row r="2313" spans="46:49" x14ac:dyDescent="0.25">
      <c r="AT2313" s="74"/>
      <c r="AW2313" s="74"/>
    </row>
    <row r="2314" spans="46:49" x14ac:dyDescent="0.25">
      <c r="AT2314" s="74"/>
      <c r="AW2314" s="74"/>
    </row>
    <row r="2315" spans="46:49" x14ac:dyDescent="0.25">
      <c r="AT2315" s="74"/>
      <c r="AW2315" s="74"/>
    </row>
    <row r="2316" spans="46:49" x14ac:dyDescent="0.25">
      <c r="AT2316" s="74"/>
      <c r="AW2316" s="74"/>
    </row>
    <row r="2317" spans="46:49" x14ac:dyDescent="0.25">
      <c r="AT2317" s="74"/>
      <c r="AW2317" s="74"/>
    </row>
    <row r="2318" spans="46:49" x14ac:dyDescent="0.25">
      <c r="AT2318" s="74"/>
      <c r="AW2318" s="74"/>
    </row>
    <row r="2319" spans="46:49" x14ac:dyDescent="0.25">
      <c r="AT2319" s="74"/>
      <c r="AW2319" s="74"/>
    </row>
    <row r="2320" spans="46:49" x14ac:dyDescent="0.25">
      <c r="AT2320" s="74"/>
      <c r="AW2320" s="74"/>
    </row>
    <row r="2321" spans="46:49" x14ac:dyDescent="0.25">
      <c r="AT2321" s="74"/>
      <c r="AW2321" s="74"/>
    </row>
    <row r="2322" spans="46:49" x14ac:dyDescent="0.25">
      <c r="AT2322" s="74"/>
      <c r="AW2322" s="74"/>
    </row>
    <row r="2323" spans="46:49" x14ac:dyDescent="0.25">
      <c r="AT2323" s="74"/>
      <c r="AW2323" s="74"/>
    </row>
    <row r="2324" spans="46:49" x14ac:dyDescent="0.25">
      <c r="AT2324" s="74"/>
      <c r="AW2324" s="74"/>
    </row>
    <row r="2325" spans="46:49" x14ac:dyDescent="0.25">
      <c r="AT2325" s="74"/>
      <c r="AW2325" s="74"/>
    </row>
    <row r="2326" spans="46:49" x14ac:dyDescent="0.25">
      <c r="AT2326" s="74"/>
      <c r="AW2326" s="74"/>
    </row>
    <row r="2327" spans="46:49" x14ac:dyDescent="0.25">
      <c r="AT2327" s="74"/>
      <c r="AW2327" s="74"/>
    </row>
    <row r="2328" spans="46:49" x14ac:dyDescent="0.25">
      <c r="AT2328" s="74"/>
      <c r="AW2328" s="74"/>
    </row>
    <row r="2329" spans="46:49" x14ac:dyDescent="0.25">
      <c r="AT2329" s="74"/>
      <c r="AW2329" s="74"/>
    </row>
    <row r="2330" spans="46:49" x14ac:dyDescent="0.25">
      <c r="AT2330" s="74"/>
      <c r="AW2330" s="74"/>
    </row>
    <row r="2331" spans="46:49" x14ac:dyDescent="0.25">
      <c r="AT2331" s="74"/>
      <c r="AW2331" s="74"/>
    </row>
    <row r="2332" spans="46:49" x14ac:dyDescent="0.25">
      <c r="AT2332" s="74"/>
      <c r="AW2332" s="74"/>
    </row>
    <row r="2333" spans="46:49" x14ac:dyDescent="0.25">
      <c r="AT2333" s="74"/>
      <c r="AW2333" s="74"/>
    </row>
    <row r="2334" spans="46:49" x14ac:dyDescent="0.25">
      <c r="AT2334" s="74"/>
      <c r="AW2334" s="74"/>
    </row>
    <row r="2335" spans="46:49" x14ac:dyDescent="0.25">
      <c r="AT2335" s="74"/>
      <c r="AW2335" s="74"/>
    </row>
    <row r="2336" spans="46:49" x14ac:dyDescent="0.25">
      <c r="AT2336" s="74"/>
      <c r="AW2336" s="74"/>
    </row>
    <row r="2337" spans="46:49" x14ac:dyDescent="0.25">
      <c r="AT2337" s="74"/>
      <c r="AW2337" s="74"/>
    </row>
    <row r="2338" spans="46:49" x14ac:dyDescent="0.25">
      <c r="AT2338" s="74"/>
      <c r="AW2338" s="74"/>
    </row>
    <row r="2339" spans="46:49" x14ac:dyDescent="0.25">
      <c r="AT2339" s="74"/>
      <c r="AW2339" s="74"/>
    </row>
    <row r="2340" spans="46:49" x14ac:dyDescent="0.25">
      <c r="AT2340" s="74"/>
      <c r="AW2340" s="74"/>
    </row>
    <row r="2341" spans="46:49" x14ac:dyDescent="0.25">
      <c r="AT2341" s="74"/>
      <c r="AW2341" s="74"/>
    </row>
    <row r="2342" spans="46:49" x14ac:dyDescent="0.25">
      <c r="AT2342" s="74"/>
      <c r="AW2342" s="74"/>
    </row>
    <row r="2343" spans="46:49" x14ac:dyDescent="0.25">
      <c r="AT2343" s="74"/>
      <c r="AW2343" s="74"/>
    </row>
    <row r="2344" spans="46:49" x14ac:dyDescent="0.25">
      <c r="AT2344" s="74"/>
      <c r="AW2344" s="74"/>
    </row>
    <row r="2345" spans="46:49" x14ac:dyDescent="0.25">
      <c r="AT2345" s="74"/>
      <c r="AW2345" s="74"/>
    </row>
    <row r="2346" spans="46:49" x14ac:dyDescent="0.25">
      <c r="AT2346" s="74"/>
      <c r="AW2346" s="74"/>
    </row>
    <row r="2347" spans="46:49" x14ac:dyDescent="0.25">
      <c r="AT2347" s="74"/>
      <c r="AW2347" s="74"/>
    </row>
    <row r="2348" spans="46:49" x14ac:dyDescent="0.25">
      <c r="AT2348" s="74"/>
      <c r="AW2348" s="74"/>
    </row>
    <row r="2349" spans="46:49" x14ac:dyDescent="0.25">
      <c r="AT2349" s="74"/>
      <c r="AW2349" s="74"/>
    </row>
    <row r="2350" spans="46:49" x14ac:dyDescent="0.25">
      <c r="AT2350" s="74"/>
      <c r="AW2350" s="74"/>
    </row>
    <row r="2351" spans="46:49" x14ac:dyDescent="0.25">
      <c r="AT2351" s="74"/>
      <c r="AW2351" s="74"/>
    </row>
    <row r="2352" spans="46:49" x14ac:dyDescent="0.25">
      <c r="AT2352" s="74"/>
      <c r="AW2352" s="74"/>
    </row>
    <row r="2353" spans="46:49" x14ac:dyDescent="0.25">
      <c r="AT2353" s="74"/>
      <c r="AW2353" s="74"/>
    </row>
    <row r="2354" spans="46:49" x14ac:dyDescent="0.25">
      <c r="AT2354" s="74"/>
      <c r="AW2354" s="74"/>
    </row>
    <row r="2355" spans="46:49" x14ac:dyDescent="0.25">
      <c r="AT2355" s="74"/>
      <c r="AW2355" s="74"/>
    </row>
    <row r="2356" spans="46:49" x14ac:dyDescent="0.25">
      <c r="AT2356" s="74"/>
      <c r="AW2356" s="74"/>
    </row>
    <row r="2357" spans="46:49" x14ac:dyDescent="0.25">
      <c r="AT2357" s="74"/>
      <c r="AW2357" s="74"/>
    </row>
    <row r="2358" spans="46:49" x14ac:dyDescent="0.25">
      <c r="AT2358" s="74"/>
      <c r="AW2358" s="74"/>
    </row>
    <row r="2359" spans="46:49" x14ac:dyDescent="0.25">
      <c r="AT2359" s="74"/>
      <c r="AW2359" s="74"/>
    </row>
    <row r="2360" spans="46:49" x14ac:dyDescent="0.25">
      <c r="AT2360" s="74"/>
      <c r="AW2360" s="74"/>
    </row>
    <row r="2361" spans="46:49" x14ac:dyDescent="0.25">
      <c r="AT2361" s="74"/>
      <c r="AW2361" s="74"/>
    </row>
    <row r="2362" spans="46:49" x14ac:dyDescent="0.25">
      <c r="AT2362" s="74"/>
      <c r="AW2362" s="74"/>
    </row>
    <row r="2363" spans="46:49" x14ac:dyDescent="0.25">
      <c r="AT2363" s="74"/>
      <c r="AW2363" s="74"/>
    </row>
    <row r="2364" spans="46:49" x14ac:dyDescent="0.25">
      <c r="AT2364" s="74"/>
      <c r="AW2364" s="74"/>
    </row>
    <row r="2365" spans="46:49" x14ac:dyDescent="0.25">
      <c r="AT2365" s="74"/>
      <c r="AW2365" s="74"/>
    </row>
    <row r="2366" spans="46:49" x14ac:dyDescent="0.25">
      <c r="AT2366" s="74"/>
      <c r="AW2366" s="74"/>
    </row>
    <row r="2367" spans="46:49" x14ac:dyDescent="0.25">
      <c r="AT2367" s="74"/>
      <c r="AW2367" s="74"/>
    </row>
    <row r="2368" spans="46:49" x14ac:dyDescent="0.25">
      <c r="AT2368" s="74"/>
      <c r="AW2368" s="74"/>
    </row>
    <row r="2369" spans="46:49" x14ac:dyDescent="0.25">
      <c r="AT2369" s="74"/>
      <c r="AW2369" s="74"/>
    </row>
    <row r="2370" spans="46:49" x14ac:dyDescent="0.25">
      <c r="AT2370" s="74"/>
      <c r="AW2370" s="74"/>
    </row>
    <row r="2371" spans="46:49" x14ac:dyDescent="0.25">
      <c r="AT2371" s="74"/>
      <c r="AW2371" s="74"/>
    </row>
    <row r="2372" spans="46:49" x14ac:dyDescent="0.25">
      <c r="AT2372" s="74"/>
      <c r="AW2372" s="74"/>
    </row>
    <row r="2373" spans="46:49" x14ac:dyDescent="0.25">
      <c r="AT2373" s="74"/>
      <c r="AW2373" s="74"/>
    </row>
    <row r="2374" spans="46:49" x14ac:dyDescent="0.25">
      <c r="AT2374" s="74"/>
      <c r="AW2374" s="74"/>
    </row>
    <row r="2375" spans="46:49" x14ac:dyDescent="0.25">
      <c r="AT2375" s="74"/>
      <c r="AW2375" s="74"/>
    </row>
    <row r="2376" spans="46:49" x14ac:dyDescent="0.25">
      <c r="AT2376" s="74"/>
      <c r="AW2376" s="74"/>
    </row>
    <row r="2377" spans="46:49" x14ac:dyDescent="0.25">
      <c r="AT2377" s="74"/>
      <c r="AW2377" s="74"/>
    </row>
    <row r="2378" spans="46:49" x14ac:dyDescent="0.25">
      <c r="AT2378" s="74"/>
      <c r="AW2378" s="74"/>
    </row>
    <row r="2379" spans="46:49" x14ac:dyDescent="0.25">
      <c r="AT2379" s="74"/>
      <c r="AW2379" s="74"/>
    </row>
    <row r="2380" spans="46:49" x14ac:dyDescent="0.25">
      <c r="AT2380" s="74"/>
      <c r="AW2380" s="74"/>
    </row>
    <row r="2381" spans="46:49" x14ac:dyDescent="0.25">
      <c r="AT2381" s="74"/>
      <c r="AW2381" s="74"/>
    </row>
    <row r="2382" spans="46:49" x14ac:dyDescent="0.25">
      <c r="AT2382" s="74"/>
      <c r="AW2382" s="74"/>
    </row>
    <row r="2383" spans="46:49" x14ac:dyDescent="0.25">
      <c r="AT2383" s="74"/>
      <c r="AW2383" s="74"/>
    </row>
    <row r="2384" spans="46:49" x14ac:dyDescent="0.25">
      <c r="AT2384" s="74"/>
      <c r="AW2384" s="74"/>
    </row>
    <row r="2385" spans="46:49" x14ac:dyDescent="0.25">
      <c r="AT2385" s="74"/>
      <c r="AW2385" s="74"/>
    </row>
    <row r="2386" spans="46:49" x14ac:dyDescent="0.25">
      <c r="AT2386" s="74"/>
      <c r="AW2386" s="74"/>
    </row>
    <row r="2387" spans="46:49" x14ac:dyDescent="0.25">
      <c r="AT2387" s="74"/>
      <c r="AW2387" s="74"/>
    </row>
    <row r="2388" spans="46:49" x14ac:dyDescent="0.25">
      <c r="AT2388" s="74"/>
      <c r="AW2388" s="74"/>
    </row>
    <row r="2389" spans="46:49" x14ac:dyDescent="0.25">
      <c r="AT2389" s="74"/>
      <c r="AW2389" s="74"/>
    </row>
    <row r="2390" spans="46:49" x14ac:dyDescent="0.25">
      <c r="AT2390" s="74"/>
      <c r="AW2390" s="74"/>
    </row>
    <row r="2391" spans="46:49" x14ac:dyDescent="0.25">
      <c r="AT2391" s="74"/>
      <c r="AW2391" s="74"/>
    </row>
    <row r="2392" spans="46:49" x14ac:dyDescent="0.25">
      <c r="AT2392" s="74"/>
      <c r="AW2392" s="74"/>
    </row>
    <row r="2393" spans="46:49" x14ac:dyDescent="0.25">
      <c r="AT2393" s="74"/>
      <c r="AW2393" s="74"/>
    </row>
    <row r="2394" spans="46:49" x14ac:dyDescent="0.25">
      <c r="AT2394" s="74"/>
      <c r="AW2394" s="74"/>
    </row>
    <row r="2395" spans="46:49" x14ac:dyDescent="0.25">
      <c r="AT2395" s="74"/>
      <c r="AW2395" s="74"/>
    </row>
    <row r="2396" spans="46:49" x14ac:dyDescent="0.25">
      <c r="AT2396" s="74"/>
      <c r="AW2396" s="74"/>
    </row>
    <row r="2397" spans="46:49" x14ac:dyDescent="0.25">
      <c r="AT2397" s="74"/>
      <c r="AW2397" s="74"/>
    </row>
    <row r="2398" spans="46:49" x14ac:dyDescent="0.25">
      <c r="AT2398" s="74"/>
      <c r="AW2398" s="74"/>
    </row>
    <row r="2399" spans="46:49" x14ac:dyDescent="0.25">
      <c r="AT2399" s="74"/>
      <c r="AW2399" s="74"/>
    </row>
    <row r="2400" spans="46:49" x14ac:dyDescent="0.25">
      <c r="AT2400" s="74"/>
      <c r="AW2400" s="74"/>
    </row>
    <row r="2401" spans="46:49" x14ac:dyDescent="0.25">
      <c r="AT2401" s="74"/>
      <c r="AW2401" s="74"/>
    </row>
    <row r="2402" spans="46:49" x14ac:dyDescent="0.25">
      <c r="AT2402" s="74"/>
      <c r="AW2402" s="74"/>
    </row>
    <row r="2403" spans="46:49" x14ac:dyDescent="0.25">
      <c r="AT2403" s="74"/>
      <c r="AW2403" s="74"/>
    </row>
    <row r="2404" spans="46:49" x14ac:dyDescent="0.25">
      <c r="AT2404" s="74"/>
      <c r="AW2404" s="74"/>
    </row>
    <row r="2405" spans="46:49" x14ac:dyDescent="0.25">
      <c r="AT2405" s="74"/>
      <c r="AW2405" s="74"/>
    </row>
    <row r="2406" spans="46:49" x14ac:dyDescent="0.25">
      <c r="AT2406" s="74"/>
      <c r="AW2406" s="74"/>
    </row>
    <row r="2407" spans="46:49" x14ac:dyDescent="0.25">
      <c r="AT2407" s="74"/>
      <c r="AW2407" s="74"/>
    </row>
    <row r="2408" spans="46:49" x14ac:dyDescent="0.25">
      <c r="AT2408" s="74"/>
      <c r="AW2408" s="74"/>
    </row>
    <row r="2409" spans="46:49" x14ac:dyDescent="0.25">
      <c r="AT2409" s="74"/>
      <c r="AW2409" s="74"/>
    </row>
    <row r="2410" spans="46:49" x14ac:dyDescent="0.25">
      <c r="AT2410" s="74"/>
      <c r="AW2410" s="74"/>
    </row>
    <row r="2411" spans="46:49" x14ac:dyDescent="0.25">
      <c r="AT2411" s="74"/>
      <c r="AW2411" s="74"/>
    </row>
    <row r="2412" spans="46:49" x14ac:dyDescent="0.25">
      <c r="AT2412" s="74"/>
      <c r="AW2412" s="74"/>
    </row>
    <row r="2413" spans="46:49" x14ac:dyDescent="0.25">
      <c r="AT2413" s="74"/>
      <c r="AW2413" s="74"/>
    </row>
    <row r="2414" spans="46:49" x14ac:dyDescent="0.25">
      <c r="AT2414" s="74"/>
      <c r="AW2414" s="74"/>
    </row>
    <row r="2415" spans="46:49" x14ac:dyDescent="0.25">
      <c r="AT2415" s="74"/>
      <c r="AW2415" s="74"/>
    </row>
    <row r="2416" spans="46:49" x14ac:dyDescent="0.25">
      <c r="AT2416" s="74"/>
      <c r="AW2416" s="74"/>
    </row>
    <row r="2417" spans="46:49" x14ac:dyDescent="0.25">
      <c r="AT2417" s="74"/>
      <c r="AW2417" s="74"/>
    </row>
    <row r="2418" spans="46:49" x14ac:dyDescent="0.25">
      <c r="AT2418" s="74"/>
      <c r="AW2418" s="74"/>
    </row>
    <row r="2419" spans="46:49" x14ac:dyDescent="0.25">
      <c r="AT2419" s="74"/>
      <c r="AW2419" s="74"/>
    </row>
    <row r="2420" spans="46:49" x14ac:dyDescent="0.25">
      <c r="AT2420" s="74"/>
      <c r="AW2420" s="74"/>
    </row>
    <row r="2421" spans="46:49" x14ac:dyDescent="0.25">
      <c r="AT2421" s="74"/>
      <c r="AW2421" s="74"/>
    </row>
    <row r="2422" spans="46:49" x14ac:dyDescent="0.25">
      <c r="AT2422" s="74"/>
      <c r="AW2422" s="74"/>
    </row>
    <row r="2423" spans="46:49" x14ac:dyDescent="0.25">
      <c r="AT2423" s="74"/>
      <c r="AW2423" s="74"/>
    </row>
    <row r="2424" spans="46:49" x14ac:dyDescent="0.25">
      <c r="AT2424" s="74"/>
      <c r="AW2424" s="74"/>
    </row>
    <row r="2425" spans="46:49" x14ac:dyDescent="0.25">
      <c r="AT2425" s="74"/>
      <c r="AW2425" s="74"/>
    </row>
    <row r="2426" spans="46:49" x14ac:dyDescent="0.25">
      <c r="AT2426" s="74"/>
      <c r="AW2426" s="74"/>
    </row>
    <row r="2427" spans="46:49" x14ac:dyDescent="0.25">
      <c r="AT2427" s="74"/>
      <c r="AW2427" s="74"/>
    </row>
    <row r="2428" spans="46:49" x14ac:dyDescent="0.25">
      <c r="AT2428" s="74"/>
      <c r="AW2428" s="74"/>
    </row>
    <row r="2429" spans="46:49" x14ac:dyDescent="0.25">
      <c r="AT2429" s="74"/>
      <c r="AW2429" s="74"/>
    </row>
    <row r="2430" spans="46:49" x14ac:dyDescent="0.25">
      <c r="AT2430" s="74"/>
      <c r="AW2430" s="74"/>
    </row>
    <row r="2431" spans="46:49" x14ac:dyDescent="0.25">
      <c r="AT2431" s="74"/>
      <c r="AW2431" s="74"/>
    </row>
    <row r="2432" spans="46:49" x14ac:dyDescent="0.25">
      <c r="AT2432" s="74"/>
      <c r="AW2432" s="74"/>
    </row>
    <row r="2433" spans="46:49" x14ac:dyDescent="0.25">
      <c r="AT2433" s="74"/>
      <c r="AW2433" s="74"/>
    </row>
    <row r="2434" spans="46:49" x14ac:dyDescent="0.25">
      <c r="AT2434" s="74"/>
      <c r="AW2434" s="74"/>
    </row>
    <row r="2435" spans="46:49" x14ac:dyDescent="0.25">
      <c r="AT2435" s="74"/>
      <c r="AW2435" s="74"/>
    </row>
    <row r="2436" spans="46:49" x14ac:dyDescent="0.25">
      <c r="AT2436" s="74"/>
      <c r="AW2436" s="74"/>
    </row>
    <row r="2437" spans="46:49" x14ac:dyDescent="0.25">
      <c r="AT2437" s="74"/>
      <c r="AW2437" s="74"/>
    </row>
    <row r="2438" spans="46:49" x14ac:dyDescent="0.25">
      <c r="AT2438" s="74"/>
      <c r="AW2438" s="74"/>
    </row>
    <row r="2439" spans="46:49" x14ac:dyDescent="0.25">
      <c r="AT2439" s="74"/>
      <c r="AW2439" s="74"/>
    </row>
    <row r="2440" spans="46:49" x14ac:dyDescent="0.25">
      <c r="AT2440" s="74"/>
      <c r="AW2440" s="74"/>
    </row>
    <row r="2441" spans="46:49" x14ac:dyDescent="0.25">
      <c r="AT2441" s="74"/>
      <c r="AW2441" s="74"/>
    </row>
    <row r="2442" spans="46:49" x14ac:dyDescent="0.25">
      <c r="AT2442" s="74"/>
      <c r="AW2442" s="74"/>
    </row>
    <row r="2443" spans="46:49" x14ac:dyDescent="0.25">
      <c r="AT2443" s="74"/>
      <c r="AW2443" s="74"/>
    </row>
    <row r="2444" spans="46:49" x14ac:dyDescent="0.25">
      <c r="AT2444" s="74"/>
      <c r="AW2444" s="74"/>
    </row>
    <row r="2445" spans="46:49" x14ac:dyDescent="0.25">
      <c r="AT2445" s="74"/>
      <c r="AW2445" s="74"/>
    </row>
    <row r="2446" spans="46:49" x14ac:dyDescent="0.25">
      <c r="AT2446" s="74"/>
      <c r="AW2446" s="74"/>
    </row>
    <row r="2447" spans="46:49" x14ac:dyDescent="0.25">
      <c r="AT2447" s="74"/>
      <c r="AW2447" s="74"/>
    </row>
    <row r="2448" spans="46:49" x14ac:dyDescent="0.25">
      <c r="AT2448" s="74"/>
      <c r="AW2448" s="74"/>
    </row>
    <row r="2449" spans="46:49" x14ac:dyDescent="0.25">
      <c r="AT2449" s="74"/>
      <c r="AW2449" s="74"/>
    </row>
    <row r="2450" spans="46:49" x14ac:dyDescent="0.25">
      <c r="AT2450" s="74"/>
      <c r="AW2450" s="74"/>
    </row>
    <row r="2451" spans="46:49" x14ac:dyDescent="0.25">
      <c r="AT2451" s="74"/>
      <c r="AW2451" s="74"/>
    </row>
    <row r="2452" spans="46:49" x14ac:dyDescent="0.25">
      <c r="AT2452" s="74"/>
      <c r="AW2452" s="74"/>
    </row>
    <row r="2453" spans="46:49" x14ac:dyDescent="0.25">
      <c r="AT2453" s="74"/>
      <c r="AW2453" s="74"/>
    </row>
    <row r="2454" spans="46:49" x14ac:dyDescent="0.25">
      <c r="AT2454" s="74"/>
      <c r="AW2454" s="74"/>
    </row>
    <row r="2455" spans="46:49" x14ac:dyDescent="0.25">
      <c r="AT2455" s="74"/>
      <c r="AW2455" s="74"/>
    </row>
    <row r="2456" spans="46:49" x14ac:dyDescent="0.25">
      <c r="AT2456" s="74"/>
      <c r="AW2456" s="74"/>
    </row>
    <row r="2457" spans="46:49" x14ac:dyDescent="0.25">
      <c r="AT2457" s="74"/>
      <c r="AW2457" s="74"/>
    </row>
    <row r="2458" spans="46:49" x14ac:dyDescent="0.25">
      <c r="AT2458" s="74"/>
      <c r="AW2458" s="74"/>
    </row>
    <row r="2459" spans="46:49" x14ac:dyDescent="0.25">
      <c r="AT2459" s="74"/>
      <c r="AW2459" s="74"/>
    </row>
    <row r="2460" spans="46:49" x14ac:dyDescent="0.25">
      <c r="AT2460" s="74"/>
      <c r="AW2460" s="74"/>
    </row>
    <row r="2461" spans="46:49" x14ac:dyDescent="0.25">
      <c r="AT2461" s="74"/>
      <c r="AW2461" s="74"/>
    </row>
    <row r="2462" spans="46:49" x14ac:dyDescent="0.25">
      <c r="AT2462" s="74"/>
      <c r="AW2462" s="74"/>
    </row>
    <row r="2463" spans="46:49" x14ac:dyDescent="0.25">
      <c r="AT2463" s="74"/>
      <c r="AW2463" s="74"/>
    </row>
    <row r="2464" spans="46:49" x14ac:dyDescent="0.25">
      <c r="AT2464" s="74"/>
      <c r="AW2464" s="74"/>
    </row>
    <row r="2465" spans="46:49" x14ac:dyDescent="0.25">
      <c r="AT2465" s="74"/>
      <c r="AW2465" s="74"/>
    </row>
    <row r="2466" spans="46:49" x14ac:dyDescent="0.25">
      <c r="AT2466" s="74"/>
      <c r="AW2466" s="74"/>
    </row>
    <row r="2467" spans="46:49" x14ac:dyDescent="0.25">
      <c r="AT2467" s="74"/>
      <c r="AW2467" s="74"/>
    </row>
    <row r="2468" spans="46:49" x14ac:dyDescent="0.25">
      <c r="AT2468" s="74"/>
      <c r="AW2468" s="74"/>
    </row>
    <row r="2469" spans="46:49" x14ac:dyDescent="0.25">
      <c r="AT2469" s="74"/>
      <c r="AW2469" s="74"/>
    </row>
    <row r="2470" spans="46:49" x14ac:dyDescent="0.25">
      <c r="AT2470" s="74"/>
      <c r="AW2470" s="74"/>
    </row>
    <row r="2471" spans="46:49" x14ac:dyDescent="0.25">
      <c r="AT2471" s="74"/>
      <c r="AW2471" s="74"/>
    </row>
    <row r="2472" spans="46:49" x14ac:dyDescent="0.25">
      <c r="AT2472" s="74"/>
      <c r="AW2472" s="74"/>
    </row>
    <row r="2473" spans="46:49" x14ac:dyDescent="0.25">
      <c r="AT2473" s="74"/>
      <c r="AW2473" s="74"/>
    </row>
    <row r="2474" spans="46:49" x14ac:dyDescent="0.25">
      <c r="AT2474" s="74"/>
      <c r="AW2474" s="74"/>
    </row>
    <row r="2475" spans="46:49" x14ac:dyDescent="0.25">
      <c r="AT2475" s="74"/>
      <c r="AW2475" s="74"/>
    </row>
    <row r="2476" spans="46:49" x14ac:dyDescent="0.25">
      <c r="AT2476" s="74"/>
      <c r="AW2476" s="74"/>
    </row>
    <row r="2477" spans="46:49" x14ac:dyDescent="0.25">
      <c r="AT2477" s="74"/>
      <c r="AW2477" s="74"/>
    </row>
    <row r="2478" spans="46:49" x14ac:dyDescent="0.25">
      <c r="AT2478" s="74"/>
      <c r="AW2478" s="74"/>
    </row>
    <row r="2479" spans="46:49" x14ac:dyDescent="0.25">
      <c r="AT2479" s="74"/>
      <c r="AW2479" s="74"/>
    </row>
    <row r="2480" spans="46:49" x14ac:dyDescent="0.25">
      <c r="AT2480" s="74"/>
      <c r="AW2480" s="74"/>
    </row>
    <row r="2481" spans="46:49" x14ac:dyDescent="0.25">
      <c r="AT2481" s="74"/>
      <c r="AW2481" s="74"/>
    </row>
    <row r="2482" spans="46:49" x14ac:dyDescent="0.25">
      <c r="AT2482" s="74"/>
      <c r="AW2482" s="74"/>
    </row>
    <row r="2483" spans="46:49" x14ac:dyDescent="0.25">
      <c r="AT2483" s="74"/>
      <c r="AW2483" s="74"/>
    </row>
    <row r="2484" spans="46:49" x14ac:dyDescent="0.25">
      <c r="AT2484" s="74"/>
      <c r="AW2484" s="74"/>
    </row>
    <row r="2485" spans="46:49" x14ac:dyDescent="0.25">
      <c r="AT2485" s="74"/>
      <c r="AW2485" s="74"/>
    </row>
    <row r="2486" spans="46:49" x14ac:dyDescent="0.25">
      <c r="AT2486" s="74"/>
      <c r="AW2486" s="74"/>
    </row>
    <row r="2487" spans="46:49" x14ac:dyDescent="0.25">
      <c r="AT2487" s="74"/>
      <c r="AW2487" s="74"/>
    </row>
    <row r="2488" spans="46:49" x14ac:dyDescent="0.25">
      <c r="AT2488" s="74"/>
      <c r="AW2488" s="74"/>
    </row>
    <row r="2489" spans="46:49" x14ac:dyDescent="0.25">
      <c r="AT2489" s="74"/>
      <c r="AW2489" s="74"/>
    </row>
    <row r="2490" spans="46:49" x14ac:dyDescent="0.25">
      <c r="AT2490" s="74"/>
      <c r="AW2490" s="74"/>
    </row>
    <row r="2491" spans="46:49" x14ac:dyDescent="0.25">
      <c r="AT2491" s="74"/>
      <c r="AW2491" s="74"/>
    </row>
    <row r="2492" spans="46:49" x14ac:dyDescent="0.25">
      <c r="AT2492" s="74"/>
      <c r="AW2492" s="74"/>
    </row>
    <row r="2493" spans="46:49" x14ac:dyDescent="0.25">
      <c r="AT2493" s="74"/>
      <c r="AW2493" s="74"/>
    </row>
    <row r="2494" spans="46:49" x14ac:dyDescent="0.25">
      <c r="AT2494" s="74"/>
      <c r="AW2494" s="74"/>
    </row>
    <row r="2495" spans="46:49" x14ac:dyDescent="0.25">
      <c r="AT2495" s="74"/>
      <c r="AW2495" s="74"/>
    </row>
    <row r="2496" spans="46:49" x14ac:dyDescent="0.25">
      <c r="AT2496" s="74"/>
      <c r="AW2496" s="74"/>
    </row>
    <row r="2497" spans="46:49" x14ac:dyDescent="0.25">
      <c r="AT2497" s="74"/>
      <c r="AW2497" s="74"/>
    </row>
    <row r="2498" spans="46:49" x14ac:dyDescent="0.25">
      <c r="AT2498" s="74"/>
      <c r="AW2498" s="74"/>
    </row>
    <row r="2499" spans="46:49" x14ac:dyDescent="0.25">
      <c r="AT2499" s="74"/>
      <c r="AW2499" s="74"/>
    </row>
    <row r="2500" spans="46:49" x14ac:dyDescent="0.25">
      <c r="AT2500" s="74"/>
      <c r="AW2500" s="74"/>
    </row>
    <row r="2501" spans="46:49" x14ac:dyDescent="0.25">
      <c r="AT2501" s="74"/>
      <c r="AW2501" s="74"/>
    </row>
    <row r="2502" spans="46:49" x14ac:dyDescent="0.25">
      <c r="AT2502" s="74"/>
      <c r="AW2502" s="74"/>
    </row>
    <row r="2503" spans="46:49" x14ac:dyDescent="0.25">
      <c r="AT2503" s="74"/>
      <c r="AW2503" s="74"/>
    </row>
    <row r="2504" spans="46:49" x14ac:dyDescent="0.25">
      <c r="AT2504" s="74"/>
      <c r="AW2504" s="74"/>
    </row>
    <row r="2505" spans="46:49" x14ac:dyDescent="0.25">
      <c r="AT2505" s="74"/>
      <c r="AW2505" s="74"/>
    </row>
    <row r="2506" spans="46:49" x14ac:dyDescent="0.25">
      <c r="AT2506" s="74"/>
      <c r="AW2506" s="74"/>
    </row>
    <row r="2507" spans="46:49" x14ac:dyDescent="0.25">
      <c r="AT2507" s="74"/>
      <c r="AW2507" s="74"/>
    </row>
    <row r="2508" spans="46:49" x14ac:dyDescent="0.25">
      <c r="AT2508" s="74"/>
      <c r="AW2508" s="74"/>
    </row>
    <row r="2509" spans="46:49" x14ac:dyDescent="0.25">
      <c r="AT2509" s="74"/>
      <c r="AW2509" s="74"/>
    </row>
    <row r="2510" spans="46:49" x14ac:dyDescent="0.25">
      <c r="AT2510" s="74"/>
      <c r="AW2510" s="74"/>
    </row>
    <row r="2511" spans="46:49" x14ac:dyDescent="0.25">
      <c r="AT2511" s="74"/>
      <c r="AW2511" s="74"/>
    </row>
    <row r="2512" spans="46:49" x14ac:dyDescent="0.25">
      <c r="AT2512" s="74"/>
      <c r="AW2512" s="74"/>
    </row>
    <row r="2513" spans="46:49" x14ac:dyDescent="0.25">
      <c r="AT2513" s="74"/>
      <c r="AW2513" s="74"/>
    </row>
    <row r="2514" spans="46:49" x14ac:dyDescent="0.25">
      <c r="AT2514" s="74"/>
      <c r="AW2514" s="74"/>
    </row>
    <row r="2515" spans="46:49" x14ac:dyDescent="0.25">
      <c r="AT2515" s="74"/>
      <c r="AW2515" s="74"/>
    </row>
    <row r="2516" spans="46:49" x14ac:dyDescent="0.25">
      <c r="AT2516" s="74"/>
      <c r="AW2516" s="74"/>
    </row>
    <row r="2517" spans="46:49" x14ac:dyDescent="0.25">
      <c r="AT2517" s="74"/>
      <c r="AW2517" s="74"/>
    </row>
    <row r="2518" spans="46:49" x14ac:dyDescent="0.25">
      <c r="AT2518" s="74"/>
      <c r="AW2518" s="74"/>
    </row>
    <row r="2519" spans="46:49" x14ac:dyDescent="0.25">
      <c r="AT2519" s="74"/>
      <c r="AW2519" s="74"/>
    </row>
    <row r="2520" spans="46:49" x14ac:dyDescent="0.25">
      <c r="AT2520" s="74"/>
      <c r="AW2520" s="74"/>
    </row>
    <row r="2521" spans="46:49" x14ac:dyDescent="0.25">
      <c r="AT2521" s="74"/>
      <c r="AW2521" s="74"/>
    </row>
    <row r="2522" spans="46:49" x14ac:dyDescent="0.25">
      <c r="AT2522" s="74"/>
      <c r="AW2522" s="74"/>
    </row>
    <row r="2523" spans="46:49" x14ac:dyDescent="0.25">
      <c r="AT2523" s="74"/>
      <c r="AW2523" s="74"/>
    </row>
    <row r="2524" spans="46:49" x14ac:dyDescent="0.25">
      <c r="AT2524" s="74"/>
      <c r="AW2524" s="74"/>
    </row>
    <row r="2525" spans="46:49" x14ac:dyDescent="0.25">
      <c r="AT2525" s="74"/>
      <c r="AW2525" s="74"/>
    </row>
    <row r="2526" spans="46:49" x14ac:dyDescent="0.25">
      <c r="AT2526" s="74"/>
      <c r="AW2526" s="74"/>
    </row>
    <row r="2527" spans="46:49" x14ac:dyDescent="0.25">
      <c r="AT2527" s="74"/>
      <c r="AW2527" s="74"/>
    </row>
    <row r="2528" spans="46:49" x14ac:dyDescent="0.25">
      <c r="AT2528" s="74"/>
      <c r="AW2528" s="74"/>
    </row>
    <row r="2529" spans="46:49" x14ac:dyDescent="0.25">
      <c r="AT2529" s="74"/>
      <c r="AW2529" s="74"/>
    </row>
    <row r="2530" spans="46:49" x14ac:dyDescent="0.25">
      <c r="AT2530" s="74"/>
      <c r="AW2530" s="74"/>
    </row>
    <row r="2531" spans="46:49" x14ac:dyDescent="0.25">
      <c r="AT2531" s="74"/>
      <c r="AW2531" s="74"/>
    </row>
    <row r="2532" spans="46:49" x14ac:dyDescent="0.25">
      <c r="AT2532" s="74"/>
      <c r="AW2532" s="74"/>
    </row>
    <row r="2533" spans="46:49" x14ac:dyDescent="0.25">
      <c r="AT2533" s="74"/>
      <c r="AW2533" s="74"/>
    </row>
    <row r="2534" spans="46:49" x14ac:dyDescent="0.25">
      <c r="AT2534" s="74"/>
      <c r="AW2534" s="74"/>
    </row>
    <row r="2535" spans="46:49" x14ac:dyDescent="0.25">
      <c r="AT2535" s="74"/>
      <c r="AW2535" s="74"/>
    </row>
    <row r="2536" spans="46:49" x14ac:dyDescent="0.25">
      <c r="AT2536" s="74"/>
      <c r="AW2536" s="74"/>
    </row>
    <row r="2537" spans="46:49" x14ac:dyDescent="0.25">
      <c r="AT2537" s="74"/>
      <c r="AW2537" s="74"/>
    </row>
    <row r="2538" spans="46:49" x14ac:dyDescent="0.25">
      <c r="AT2538" s="74"/>
      <c r="AW2538" s="74"/>
    </row>
    <row r="2539" spans="46:49" x14ac:dyDescent="0.25">
      <c r="AT2539" s="74"/>
      <c r="AW2539" s="74"/>
    </row>
    <row r="2540" spans="46:49" x14ac:dyDescent="0.25">
      <c r="AT2540" s="74"/>
      <c r="AW2540" s="74"/>
    </row>
    <row r="2541" spans="46:49" x14ac:dyDescent="0.25">
      <c r="AT2541" s="74"/>
      <c r="AW2541" s="74"/>
    </row>
    <row r="2542" spans="46:49" x14ac:dyDescent="0.25">
      <c r="AT2542" s="74"/>
      <c r="AW2542" s="74"/>
    </row>
    <row r="2543" spans="46:49" x14ac:dyDescent="0.25">
      <c r="AT2543" s="74"/>
      <c r="AW2543" s="74"/>
    </row>
    <row r="2544" spans="46:49" x14ac:dyDescent="0.25">
      <c r="AT2544" s="74"/>
      <c r="AW2544" s="74"/>
    </row>
    <row r="2545" spans="46:49" x14ac:dyDescent="0.25">
      <c r="AT2545" s="74"/>
      <c r="AW2545" s="74"/>
    </row>
    <row r="2546" spans="46:49" x14ac:dyDescent="0.25">
      <c r="AT2546" s="74"/>
      <c r="AW2546" s="74"/>
    </row>
    <row r="2547" spans="46:49" x14ac:dyDescent="0.25">
      <c r="AT2547" s="74"/>
      <c r="AW2547" s="74"/>
    </row>
    <row r="2548" spans="46:49" x14ac:dyDescent="0.25">
      <c r="AT2548" s="74"/>
      <c r="AW2548" s="74"/>
    </row>
    <row r="2549" spans="46:49" x14ac:dyDescent="0.25">
      <c r="AT2549" s="74"/>
      <c r="AW2549" s="74"/>
    </row>
    <row r="2550" spans="46:49" x14ac:dyDescent="0.25">
      <c r="AT2550" s="74"/>
      <c r="AW2550" s="74"/>
    </row>
    <row r="2551" spans="46:49" x14ac:dyDescent="0.25">
      <c r="AT2551" s="74"/>
      <c r="AW2551" s="74"/>
    </row>
    <row r="2552" spans="46:49" x14ac:dyDescent="0.25">
      <c r="AT2552" s="74"/>
      <c r="AW2552" s="74"/>
    </row>
    <row r="2553" spans="46:49" x14ac:dyDescent="0.25">
      <c r="AT2553" s="74"/>
      <c r="AW2553" s="74"/>
    </row>
    <row r="2554" spans="46:49" x14ac:dyDescent="0.25">
      <c r="AT2554" s="74"/>
      <c r="AW2554" s="74"/>
    </row>
    <row r="2555" spans="46:49" x14ac:dyDescent="0.25">
      <c r="AT2555" s="74"/>
      <c r="AW2555" s="74"/>
    </row>
    <row r="2556" spans="46:49" x14ac:dyDescent="0.25">
      <c r="AT2556" s="74"/>
      <c r="AW2556" s="74"/>
    </row>
    <row r="2557" spans="46:49" x14ac:dyDescent="0.25">
      <c r="AT2557" s="74"/>
      <c r="AW2557" s="74"/>
    </row>
    <row r="2558" spans="46:49" x14ac:dyDescent="0.25">
      <c r="AT2558" s="74"/>
      <c r="AW2558" s="74"/>
    </row>
    <row r="2559" spans="46:49" x14ac:dyDescent="0.25">
      <c r="AT2559" s="74"/>
      <c r="AW2559" s="74"/>
    </row>
    <row r="2560" spans="46:49" x14ac:dyDescent="0.25">
      <c r="AT2560" s="74"/>
      <c r="AW2560" s="74"/>
    </row>
    <row r="2561" spans="46:49" x14ac:dyDescent="0.25">
      <c r="AT2561" s="74"/>
      <c r="AW2561" s="74"/>
    </row>
    <row r="2562" spans="46:49" x14ac:dyDescent="0.25">
      <c r="AT2562" s="74"/>
      <c r="AW2562" s="74"/>
    </row>
    <row r="2563" spans="46:49" x14ac:dyDescent="0.25">
      <c r="AT2563" s="74"/>
      <c r="AW2563" s="74"/>
    </row>
    <row r="2564" spans="46:49" x14ac:dyDescent="0.25">
      <c r="AT2564" s="74"/>
      <c r="AW2564" s="74"/>
    </row>
    <row r="2565" spans="46:49" x14ac:dyDescent="0.25">
      <c r="AT2565" s="74"/>
      <c r="AW2565" s="74"/>
    </row>
    <row r="2566" spans="46:49" x14ac:dyDescent="0.25">
      <c r="AT2566" s="74"/>
      <c r="AW2566" s="74"/>
    </row>
    <row r="2567" spans="46:49" x14ac:dyDescent="0.25">
      <c r="AT2567" s="74"/>
      <c r="AW2567" s="74"/>
    </row>
    <row r="2568" spans="46:49" x14ac:dyDescent="0.25">
      <c r="AT2568" s="74"/>
      <c r="AW2568" s="74"/>
    </row>
    <row r="2569" spans="46:49" x14ac:dyDescent="0.25">
      <c r="AT2569" s="74"/>
      <c r="AW2569" s="74"/>
    </row>
    <row r="2570" spans="46:49" x14ac:dyDescent="0.25">
      <c r="AT2570" s="74"/>
      <c r="AW2570" s="74"/>
    </row>
    <row r="2571" spans="46:49" x14ac:dyDescent="0.25">
      <c r="AT2571" s="74"/>
      <c r="AW2571" s="74"/>
    </row>
    <row r="2572" spans="46:49" x14ac:dyDescent="0.25">
      <c r="AT2572" s="74"/>
      <c r="AW2572" s="74"/>
    </row>
    <row r="2573" spans="46:49" x14ac:dyDescent="0.25">
      <c r="AT2573" s="74"/>
      <c r="AW2573" s="74"/>
    </row>
    <row r="2574" spans="46:49" x14ac:dyDescent="0.25">
      <c r="AT2574" s="74"/>
      <c r="AW2574" s="74"/>
    </row>
    <row r="2575" spans="46:49" x14ac:dyDescent="0.25">
      <c r="AT2575" s="74"/>
      <c r="AW2575" s="74"/>
    </row>
    <row r="2576" spans="46:49" x14ac:dyDescent="0.25">
      <c r="AT2576" s="74"/>
      <c r="AW2576" s="74"/>
    </row>
    <row r="2577" spans="46:49" x14ac:dyDescent="0.25">
      <c r="AT2577" s="74"/>
      <c r="AW2577" s="74"/>
    </row>
    <row r="2578" spans="46:49" x14ac:dyDescent="0.25">
      <c r="AT2578" s="74"/>
      <c r="AW2578" s="74"/>
    </row>
    <row r="2579" spans="46:49" x14ac:dyDescent="0.25">
      <c r="AT2579" s="74"/>
      <c r="AW2579" s="74"/>
    </row>
    <row r="2580" spans="46:49" x14ac:dyDescent="0.25">
      <c r="AT2580" s="74"/>
      <c r="AW2580" s="74"/>
    </row>
    <row r="2581" spans="46:49" x14ac:dyDescent="0.25">
      <c r="AT2581" s="74"/>
      <c r="AW2581" s="74"/>
    </row>
    <row r="2582" spans="46:49" x14ac:dyDescent="0.25">
      <c r="AT2582" s="74"/>
      <c r="AW2582" s="74"/>
    </row>
    <row r="2583" spans="46:49" x14ac:dyDescent="0.25">
      <c r="AT2583" s="74"/>
      <c r="AW2583" s="74"/>
    </row>
    <row r="2584" spans="46:49" x14ac:dyDescent="0.25">
      <c r="AT2584" s="74"/>
      <c r="AW2584" s="74"/>
    </row>
    <row r="2585" spans="46:49" x14ac:dyDescent="0.25">
      <c r="AT2585" s="74"/>
      <c r="AW2585" s="74"/>
    </row>
    <row r="2586" spans="46:49" x14ac:dyDescent="0.25">
      <c r="AT2586" s="74"/>
      <c r="AW2586" s="74"/>
    </row>
    <row r="2587" spans="46:49" x14ac:dyDescent="0.25">
      <c r="AT2587" s="74"/>
      <c r="AW2587" s="74"/>
    </row>
    <row r="2588" spans="46:49" x14ac:dyDescent="0.25">
      <c r="AT2588" s="74"/>
      <c r="AW2588" s="74"/>
    </row>
    <row r="2589" spans="46:49" x14ac:dyDescent="0.25">
      <c r="AT2589" s="74"/>
      <c r="AW2589" s="74"/>
    </row>
    <row r="2590" spans="46:49" x14ac:dyDescent="0.25">
      <c r="AT2590" s="74"/>
      <c r="AW2590" s="74"/>
    </row>
    <row r="2591" spans="46:49" x14ac:dyDescent="0.25">
      <c r="AT2591" s="74"/>
      <c r="AW2591" s="74"/>
    </row>
    <row r="2592" spans="46:49" x14ac:dyDescent="0.25">
      <c r="AT2592" s="74"/>
      <c r="AW2592" s="74"/>
    </row>
    <row r="2593" spans="46:49" x14ac:dyDescent="0.25">
      <c r="AT2593" s="74"/>
      <c r="AW2593" s="74"/>
    </row>
    <row r="2594" spans="46:49" x14ac:dyDescent="0.25">
      <c r="AT2594" s="74"/>
      <c r="AW2594" s="74"/>
    </row>
    <row r="2595" spans="46:49" x14ac:dyDescent="0.25">
      <c r="AT2595" s="74"/>
      <c r="AW2595" s="74"/>
    </row>
    <row r="2596" spans="46:49" x14ac:dyDescent="0.25">
      <c r="AT2596" s="74"/>
      <c r="AW2596" s="74"/>
    </row>
    <row r="2597" spans="46:49" x14ac:dyDescent="0.25">
      <c r="AT2597" s="74"/>
      <c r="AW2597" s="74"/>
    </row>
    <row r="2598" spans="46:49" x14ac:dyDescent="0.25">
      <c r="AT2598" s="74"/>
      <c r="AW2598" s="74"/>
    </row>
    <row r="2599" spans="46:49" x14ac:dyDescent="0.25">
      <c r="AT2599" s="74"/>
      <c r="AW2599" s="74"/>
    </row>
    <row r="2600" spans="46:49" x14ac:dyDescent="0.25">
      <c r="AT2600" s="74"/>
      <c r="AW2600" s="74"/>
    </row>
    <row r="2601" spans="46:49" x14ac:dyDescent="0.25">
      <c r="AT2601" s="74"/>
      <c r="AW2601" s="74"/>
    </row>
    <row r="2602" spans="46:49" x14ac:dyDescent="0.25">
      <c r="AT2602" s="74"/>
      <c r="AW2602" s="74"/>
    </row>
    <row r="2603" spans="46:49" x14ac:dyDescent="0.25">
      <c r="AT2603" s="74"/>
      <c r="AW2603" s="74"/>
    </row>
    <row r="2604" spans="46:49" x14ac:dyDescent="0.25">
      <c r="AT2604" s="74"/>
      <c r="AW2604" s="74"/>
    </row>
    <row r="2605" spans="46:49" x14ac:dyDescent="0.25">
      <c r="AT2605" s="74"/>
      <c r="AW2605" s="74"/>
    </row>
    <row r="2606" spans="46:49" x14ac:dyDescent="0.25">
      <c r="AT2606" s="74"/>
      <c r="AW2606" s="74"/>
    </row>
    <row r="2607" spans="46:49" x14ac:dyDescent="0.25">
      <c r="AT2607" s="74"/>
      <c r="AW2607" s="74"/>
    </row>
    <row r="2608" spans="46:49" x14ac:dyDescent="0.25">
      <c r="AT2608" s="74"/>
      <c r="AW2608" s="74"/>
    </row>
    <row r="2609" spans="46:49" x14ac:dyDescent="0.25">
      <c r="AT2609" s="74"/>
      <c r="AW2609" s="74"/>
    </row>
    <row r="2610" spans="46:49" x14ac:dyDescent="0.25">
      <c r="AT2610" s="74"/>
      <c r="AW2610" s="74"/>
    </row>
    <row r="2611" spans="46:49" x14ac:dyDescent="0.25">
      <c r="AT2611" s="74"/>
      <c r="AW2611" s="74"/>
    </row>
    <row r="2612" spans="46:49" x14ac:dyDescent="0.25">
      <c r="AT2612" s="74"/>
      <c r="AW2612" s="74"/>
    </row>
    <row r="2613" spans="46:49" x14ac:dyDescent="0.25">
      <c r="AT2613" s="74"/>
      <c r="AW2613" s="74"/>
    </row>
    <row r="2614" spans="46:49" x14ac:dyDescent="0.25">
      <c r="AT2614" s="74"/>
      <c r="AW2614" s="74"/>
    </row>
    <row r="2615" spans="46:49" x14ac:dyDescent="0.25">
      <c r="AT2615" s="74"/>
      <c r="AW2615" s="74"/>
    </row>
    <row r="2616" spans="46:49" x14ac:dyDescent="0.25">
      <c r="AT2616" s="74"/>
      <c r="AW2616" s="74"/>
    </row>
    <row r="2617" spans="46:49" x14ac:dyDescent="0.25">
      <c r="AT2617" s="74"/>
      <c r="AW2617" s="74"/>
    </row>
    <row r="2618" spans="46:49" x14ac:dyDescent="0.25">
      <c r="AT2618" s="74"/>
      <c r="AW2618" s="74"/>
    </row>
    <row r="2619" spans="46:49" x14ac:dyDescent="0.25">
      <c r="AT2619" s="74"/>
      <c r="AW2619" s="74"/>
    </row>
    <row r="2620" spans="46:49" x14ac:dyDescent="0.25">
      <c r="AT2620" s="74"/>
      <c r="AW2620" s="74"/>
    </row>
    <row r="2621" spans="46:49" x14ac:dyDescent="0.25">
      <c r="AT2621" s="74"/>
      <c r="AW2621" s="74"/>
    </row>
    <row r="2622" spans="46:49" x14ac:dyDescent="0.25">
      <c r="AT2622" s="74"/>
      <c r="AW2622" s="74"/>
    </row>
    <row r="2623" spans="46:49" x14ac:dyDescent="0.25">
      <c r="AT2623" s="74"/>
      <c r="AW2623" s="74"/>
    </row>
    <row r="2624" spans="46:49" x14ac:dyDescent="0.25">
      <c r="AT2624" s="74"/>
      <c r="AW2624" s="74"/>
    </row>
    <row r="2625" spans="46:49" x14ac:dyDescent="0.25">
      <c r="AT2625" s="74"/>
      <c r="AW2625" s="74"/>
    </row>
    <row r="2626" spans="46:49" x14ac:dyDescent="0.25">
      <c r="AT2626" s="74"/>
      <c r="AW2626" s="74"/>
    </row>
    <row r="2627" spans="46:49" x14ac:dyDescent="0.25">
      <c r="AT2627" s="74"/>
      <c r="AW2627" s="74"/>
    </row>
    <row r="2628" spans="46:49" x14ac:dyDescent="0.25">
      <c r="AT2628" s="74"/>
      <c r="AW2628" s="74"/>
    </row>
    <row r="2629" spans="46:49" x14ac:dyDescent="0.25">
      <c r="AT2629" s="74"/>
      <c r="AW2629" s="74"/>
    </row>
    <row r="2630" spans="46:49" x14ac:dyDescent="0.25">
      <c r="AT2630" s="74"/>
      <c r="AW2630" s="74"/>
    </row>
    <row r="2631" spans="46:49" x14ac:dyDescent="0.25">
      <c r="AT2631" s="74"/>
      <c r="AW2631" s="74"/>
    </row>
    <row r="2632" spans="46:49" x14ac:dyDescent="0.25">
      <c r="AT2632" s="74"/>
      <c r="AW2632" s="74"/>
    </row>
    <row r="2633" spans="46:49" x14ac:dyDescent="0.25">
      <c r="AT2633" s="74"/>
      <c r="AW2633" s="74"/>
    </row>
    <row r="2634" spans="46:49" x14ac:dyDescent="0.25">
      <c r="AT2634" s="74"/>
      <c r="AW2634" s="74"/>
    </row>
    <row r="2635" spans="46:49" x14ac:dyDescent="0.25">
      <c r="AT2635" s="74"/>
      <c r="AW2635" s="74"/>
    </row>
    <row r="2636" spans="46:49" x14ac:dyDescent="0.25">
      <c r="AT2636" s="74"/>
      <c r="AW2636" s="74"/>
    </row>
    <row r="2637" spans="46:49" x14ac:dyDescent="0.25">
      <c r="AT2637" s="74"/>
      <c r="AW2637" s="74"/>
    </row>
    <row r="2638" spans="46:49" x14ac:dyDescent="0.25">
      <c r="AT2638" s="74"/>
      <c r="AW2638" s="74"/>
    </row>
    <row r="2639" spans="46:49" x14ac:dyDescent="0.25">
      <c r="AT2639" s="74"/>
      <c r="AW2639" s="74"/>
    </row>
    <row r="2640" spans="46:49" x14ac:dyDescent="0.25">
      <c r="AT2640" s="74"/>
      <c r="AW2640" s="74"/>
    </row>
    <row r="2641" spans="46:49" x14ac:dyDescent="0.25">
      <c r="AT2641" s="74"/>
      <c r="AW2641" s="74"/>
    </row>
    <row r="2642" spans="46:49" x14ac:dyDescent="0.25">
      <c r="AT2642" s="74"/>
      <c r="AW2642" s="74"/>
    </row>
    <row r="2643" spans="46:49" x14ac:dyDescent="0.25">
      <c r="AT2643" s="74"/>
      <c r="AW2643" s="74"/>
    </row>
    <row r="2644" spans="46:49" x14ac:dyDescent="0.25">
      <c r="AT2644" s="74"/>
      <c r="AW2644" s="74"/>
    </row>
    <row r="2645" spans="46:49" x14ac:dyDescent="0.25">
      <c r="AT2645" s="74"/>
      <c r="AW2645" s="74"/>
    </row>
    <row r="2646" spans="46:49" x14ac:dyDescent="0.25">
      <c r="AT2646" s="74"/>
      <c r="AW2646" s="74"/>
    </row>
    <row r="2647" spans="46:49" x14ac:dyDescent="0.25">
      <c r="AT2647" s="74"/>
      <c r="AW2647" s="74"/>
    </row>
    <row r="2648" spans="46:49" x14ac:dyDescent="0.25">
      <c r="AT2648" s="74"/>
      <c r="AW2648" s="74"/>
    </row>
    <row r="2649" spans="46:49" x14ac:dyDescent="0.25">
      <c r="AT2649" s="74"/>
      <c r="AW2649" s="74"/>
    </row>
    <row r="2650" spans="46:49" x14ac:dyDescent="0.25">
      <c r="AT2650" s="74"/>
      <c r="AW2650" s="74"/>
    </row>
    <row r="2651" spans="46:49" x14ac:dyDescent="0.25">
      <c r="AT2651" s="74"/>
      <c r="AW2651" s="74"/>
    </row>
    <row r="2652" spans="46:49" x14ac:dyDescent="0.25">
      <c r="AT2652" s="74"/>
      <c r="AW2652" s="74"/>
    </row>
    <row r="2653" spans="46:49" x14ac:dyDescent="0.25">
      <c r="AT2653" s="74"/>
      <c r="AW2653" s="74"/>
    </row>
    <row r="2654" spans="46:49" x14ac:dyDescent="0.25">
      <c r="AT2654" s="74"/>
      <c r="AW2654" s="74"/>
    </row>
    <row r="2655" spans="46:49" x14ac:dyDescent="0.25">
      <c r="AT2655" s="74"/>
      <c r="AW2655" s="74"/>
    </row>
    <row r="2656" spans="46:49" x14ac:dyDescent="0.25">
      <c r="AT2656" s="74"/>
      <c r="AW2656" s="74"/>
    </row>
    <row r="2657" spans="46:49" x14ac:dyDescent="0.25">
      <c r="AT2657" s="74"/>
      <c r="AW2657" s="74"/>
    </row>
    <row r="2658" spans="46:49" x14ac:dyDescent="0.25">
      <c r="AT2658" s="74"/>
      <c r="AW2658" s="74"/>
    </row>
    <row r="2659" spans="46:49" x14ac:dyDescent="0.25">
      <c r="AT2659" s="74"/>
      <c r="AW2659" s="74"/>
    </row>
    <row r="2660" spans="46:49" x14ac:dyDescent="0.25">
      <c r="AT2660" s="74"/>
      <c r="AW2660" s="74"/>
    </row>
    <row r="2661" spans="46:49" x14ac:dyDescent="0.25">
      <c r="AT2661" s="74"/>
      <c r="AW2661" s="74"/>
    </row>
    <row r="2662" spans="46:49" x14ac:dyDescent="0.25">
      <c r="AT2662" s="74"/>
      <c r="AW2662" s="74"/>
    </row>
    <row r="2663" spans="46:49" x14ac:dyDescent="0.25">
      <c r="AT2663" s="74"/>
      <c r="AW2663" s="74"/>
    </row>
    <row r="2664" spans="46:49" x14ac:dyDescent="0.25">
      <c r="AT2664" s="74"/>
      <c r="AW2664" s="74"/>
    </row>
    <row r="2665" spans="46:49" x14ac:dyDescent="0.25">
      <c r="AT2665" s="74"/>
      <c r="AW2665" s="74"/>
    </row>
    <row r="2666" spans="46:49" x14ac:dyDescent="0.25">
      <c r="AT2666" s="74"/>
      <c r="AW2666" s="74"/>
    </row>
    <row r="2667" spans="46:49" x14ac:dyDescent="0.25">
      <c r="AT2667" s="74"/>
      <c r="AW2667" s="74"/>
    </row>
    <row r="2668" spans="46:49" x14ac:dyDescent="0.25">
      <c r="AT2668" s="74"/>
      <c r="AW2668" s="74"/>
    </row>
    <row r="2669" spans="46:49" x14ac:dyDescent="0.25">
      <c r="AT2669" s="74"/>
      <c r="AW2669" s="74"/>
    </row>
    <row r="2670" spans="46:49" x14ac:dyDescent="0.25">
      <c r="AT2670" s="74"/>
      <c r="AW2670" s="74"/>
    </row>
    <row r="2671" spans="46:49" x14ac:dyDescent="0.25">
      <c r="AT2671" s="74"/>
      <c r="AW2671" s="74"/>
    </row>
    <row r="2672" spans="46:49" x14ac:dyDescent="0.25">
      <c r="AT2672" s="74"/>
      <c r="AW2672" s="74"/>
    </row>
    <row r="2673" spans="46:49" x14ac:dyDescent="0.25">
      <c r="AT2673" s="74"/>
      <c r="AW2673" s="74"/>
    </row>
    <row r="2674" spans="46:49" x14ac:dyDescent="0.25">
      <c r="AT2674" s="74"/>
      <c r="AW2674" s="74"/>
    </row>
    <row r="2675" spans="46:49" x14ac:dyDescent="0.25">
      <c r="AT2675" s="74"/>
      <c r="AW2675" s="74"/>
    </row>
    <row r="2676" spans="46:49" x14ac:dyDescent="0.25">
      <c r="AT2676" s="74"/>
      <c r="AW2676" s="74"/>
    </row>
    <row r="2677" spans="46:49" x14ac:dyDescent="0.25">
      <c r="AT2677" s="74"/>
      <c r="AW2677" s="74"/>
    </row>
    <row r="2678" spans="46:49" x14ac:dyDescent="0.25">
      <c r="AT2678" s="74"/>
      <c r="AW2678" s="74"/>
    </row>
    <row r="2679" spans="46:49" x14ac:dyDescent="0.25">
      <c r="AT2679" s="74"/>
      <c r="AW2679" s="74"/>
    </row>
    <row r="2680" spans="46:49" x14ac:dyDescent="0.25">
      <c r="AT2680" s="74"/>
      <c r="AW2680" s="74"/>
    </row>
    <row r="2681" spans="46:49" x14ac:dyDescent="0.25">
      <c r="AT2681" s="74"/>
      <c r="AW2681" s="74"/>
    </row>
    <row r="2682" spans="46:49" x14ac:dyDescent="0.25">
      <c r="AT2682" s="74"/>
      <c r="AW2682" s="74"/>
    </row>
    <row r="2683" spans="46:49" x14ac:dyDescent="0.25">
      <c r="AT2683" s="74"/>
      <c r="AW2683" s="74"/>
    </row>
    <row r="2684" spans="46:49" x14ac:dyDescent="0.25">
      <c r="AT2684" s="74"/>
      <c r="AW2684" s="74"/>
    </row>
    <row r="2685" spans="46:49" x14ac:dyDescent="0.25">
      <c r="AT2685" s="74"/>
      <c r="AW2685" s="74"/>
    </row>
    <row r="2686" spans="46:49" x14ac:dyDescent="0.25">
      <c r="AT2686" s="74"/>
      <c r="AW2686" s="74"/>
    </row>
    <row r="2687" spans="46:49" x14ac:dyDescent="0.25">
      <c r="AT2687" s="74"/>
      <c r="AW2687" s="74"/>
    </row>
    <row r="2688" spans="46:49" x14ac:dyDescent="0.25">
      <c r="AT2688" s="74"/>
      <c r="AW2688" s="74"/>
    </row>
    <row r="2689" spans="46:49" x14ac:dyDescent="0.25">
      <c r="AT2689" s="74"/>
      <c r="AW2689" s="74"/>
    </row>
    <row r="2690" spans="46:49" x14ac:dyDescent="0.25">
      <c r="AT2690" s="74"/>
      <c r="AW2690" s="74"/>
    </row>
    <row r="2691" spans="46:49" x14ac:dyDescent="0.25">
      <c r="AT2691" s="74"/>
      <c r="AW2691" s="74"/>
    </row>
    <row r="2692" spans="46:49" x14ac:dyDescent="0.25">
      <c r="AT2692" s="74"/>
      <c r="AW2692" s="74"/>
    </row>
    <row r="2693" spans="46:49" x14ac:dyDescent="0.25">
      <c r="AT2693" s="74"/>
      <c r="AW2693" s="74"/>
    </row>
    <row r="2694" spans="46:49" x14ac:dyDescent="0.25">
      <c r="AT2694" s="74"/>
      <c r="AW2694" s="74"/>
    </row>
    <row r="2695" spans="46:49" x14ac:dyDescent="0.25">
      <c r="AT2695" s="74"/>
      <c r="AW2695" s="74"/>
    </row>
    <row r="2696" spans="46:49" x14ac:dyDescent="0.25">
      <c r="AT2696" s="74"/>
      <c r="AW2696" s="74"/>
    </row>
    <row r="2697" spans="46:49" x14ac:dyDescent="0.25">
      <c r="AT2697" s="74"/>
      <c r="AW2697" s="74"/>
    </row>
    <row r="2698" spans="46:49" x14ac:dyDescent="0.25">
      <c r="AT2698" s="74"/>
      <c r="AW2698" s="74"/>
    </row>
    <row r="2699" spans="46:49" x14ac:dyDescent="0.25">
      <c r="AT2699" s="74"/>
      <c r="AW2699" s="74"/>
    </row>
    <row r="2700" spans="46:49" x14ac:dyDescent="0.25">
      <c r="AT2700" s="74"/>
      <c r="AW2700" s="74"/>
    </row>
    <row r="2701" spans="46:49" x14ac:dyDescent="0.25">
      <c r="AT2701" s="74"/>
      <c r="AW2701" s="74"/>
    </row>
    <row r="2702" spans="46:49" x14ac:dyDescent="0.25">
      <c r="AT2702" s="74"/>
      <c r="AW2702" s="74"/>
    </row>
    <row r="2703" spans="46:49" x14ac:dyDescent="0.25">
      <c r="AT2703" s="74"/>
      <c r="AW2703" s="74"/>
    </row>
    <row r="2704" spans="46:49" x14ac:dyDescent="0.25">
      <c r="AT2704" s="74"/>
      <c r="AW2704" s="74"/>
    </row>
    <row r="2705" spans="46:49" x14ac:dyDescent="0.25">
      <c r="AT2705" s="74"/>
      <c r="AW2705" s="74"/>
    </row>
    <row r="2706" spans="46:49" x14ac:dyDescent="0.25">
      <c r="AT2706" s="74"/>
      <c r="AW2706" s="74"/>
    </row>
    <row r="2707" spans="46:49" x14ac:dyDescent="0.25">
      <c r="AT2707" s="74"/>
      <c r="AW2707" s="74"/>
    </row>
    <row r="2708" spans="46:49" x14ac:dyDescent="0.25">
      <c r="AT2708" s="74"/>
      <c r="AW2708" s="74"/>
    </row>
    <row r="2709" spans="46:49" x14ac:dyDescent="0.25">
      <c r="AT2709" s="74"/>
      <c r="AW2709" s="74"/>
    </row>
    <row r="2710" spans="46:49" x14ac:dyDescent="0.25">
      <c r="AT2710" s="74"/>
      <c r="AW2710" s="74"/>
    </row>
    <row r="2711" spans="46:49" x14ac:dyDescent="0.25">
      <c r="AT2711" s="74"/>
      <c r="AW2711" s="74"/>
    </row>
    <row r="2712" spans="46:49" x14ac:dyDescent="0.25">
      <c r="AT2712" s="74"/>
      <c r="AW2712" s="74"/>
    </row>
    <row r="2713" spans="46:49" x14ac:dyDescent="0.25">
      <c r="AT2713" s="74"/>
      <c r="AW2713" s="74"/>
    </row>
    <row r="2714" spans="46:49" x14ac:dyDescent="0.25">
      <c r="AT2714" s="74"/>
      <c r="AW2714" s="74"/>
    </row>
    <row r="2715" spans="46:49" x14ac:dyDescent="0.25">
      <c r="AT2715" s="74"/>
      <c r="AW2715" s="74"/>
    </row>
    <row r="2716" spans="46:49" x14ac:dyDescent="0.25">
      <c r="AT2716" s="74"/>
      <c r="AW2716" s="74"/>
    </row>
    <row r="2717" spans="46:49" x14ac:dyDescent="0.25">
      <c r="AT2717" s="74"/>
      <c r="AW2717" s="74"/>
    </row>
    <row r="2718" spans="46:49" x14ac:dyDescent="0.25">
      <c r="AT2718" s="74"/>
      <c r="AW2718" s="74"/>
    </row>
    <row r="2719" spans="46:49" x14ac:dyDescent="0.25">
      <c r="AT2719" s="74"/>
      <c r="AW2719" s="74"/>
    </row>
    <row r="2720" spans="46:49" x14ac:dyDescent="0.25">
      <c r="AT2720" s="74"/>
      <c r="AW2720" s="74"/>
    </row>
    <row r="2721" spans="46:49" x14ac:dyDescent="0.25">
      <c r="AT2721" s="74"/>
      <c r="AW2721" s="74"/>
    </row>
    <row r="2722" spans="46:49" x14ac:dyDescent="0.25">
      <c r="AT2722" s="74"/>
      <c r="AW2722" s="74"/>
    </row>
    <row r="2723" spans="46:49" x14ac:dyDescent="0.25">
      <c r="AT2723" s="74"/>
      <c r="AW2723" s="74"/>
    </row>
    <row r="2724" spans="46:49" x14ac:dyDescent="0.25">
      <c r="AT2724" s="74"/>
      <c r="AW2724" s="74"/>
    </row>
    <row r="2725" spans="46:49" x14ac:dyDescent="0.25">
      <c r="AT2725" s="74"/>
      <c r="AW2725" s="74"/>
    </row>
    <row r="2726" spans="46:49" x14ac:dyDescent="0.25">
      <c r="AT2726" s="74"/>
      <c r="AW2726" s="74"/>
    </row>
    <row r="2727" spans="46:49" x14ac:dyDescent="0.25">
      <c r="AT2727" s="74"/>
      <c r="AW2727" s="74"/>
    </row>
    <row r="2728" spans="46:49" x14ac:dyDescent="0.25">
      <c r="AT2728" s="74"/>
      <c r="AW2728" s="74"/>
    </row>
    <row r="2729" spans="46:49" x14ac:dyDescent="0.25">
      <c r="AT2729" s="74"/>
      <c r="AW2729" s="74"/>
    </row>
    <row r="2730" spans="46:49" x14ac:dyDescent="0.25">
      <c r="AT2730" s="74"/>
      <c r="AW2730" s="74"/>
    </row>
    <row r="2731" spans="46:49" x14ac:dyDescent="0.25">
      <c r="AT2731" s="74"/>
      <c r="AW2731" s="74"/>
    </row>
    <row r="2732" spans="46:49" x14ac:dyDescent="0.25">
      <c r="AT2732" s="74"/>
      <c r="AW2732" s="74"/>
    </row>
    <row r="2733" spans="46:49" x14ac:dyDescent="0.25">
      <c r="AT2733" s="74"/>
      <c r="AW2733" s="74"/>
    </row>
    <row r="2734" spans="46:49" x14ac:dyDescent="0.25">
      <c r="AT2734" s="74"/>
      <c r="AW2734" s="74"/>
    </row>
    <row r="2735" spans="46:49" x14ac:dyDescent="0.25">
      <c r="AT2735" s="74"/>
      <c r="AW2735" s="74"/>
    </row>
    <row r="2736" spans="46:49" x14ac:dyDescent="0.25">
      <c r="AT2736" s="74"/>
      <c r="AW2736" s="74"/>
    </row>
    <row r="2737" spans="46:49" x14ac:dyDescent="0.25">
      <c r="AT2737" s="74"/>
      <c r="AW2737" s="74"/>
    </row>
    <row r="2738" spans="46:49" x14ac:dyDescent="0.25">
      <c r="AT2738" s="74"/>
      <c r="AW2738" s="74"/>
    </row>
    <row r="2739" spans="46:49" x14ac:dyDescent="0.25">
      <c r="AT2739" s="74"/>
      <c r="AW2739" s="74"/>
    </row>
    <row r="2740" spans="46:49" x14ac:dyDescent="0.25">
      <c r="AT2740" s="74"/>
      <c r="AW2740" s="74"/>
    </row>
    <row r="2741" spans="46:49" x14ac:dyDescent="0.25">
      <c r="AT2741" s="74"/>
      <c r="AW2741" s="74"/>
    </row>
    <row r="2742" spans="46:49" x14ac:dyDescent="0.25">
      <c r="AT2742" s="74"/>
      <c r="AW2742" s="74"/>
    </row>
    <row r="2743" spans="46:49" x14ac:dyDescent="0.25">
      <c r="AT2743" s="74"/>
      <c r="AW2743" s="74"/>
    </row>
    <row r="2744" spans="46:49" x14ac:dyDescent="0.25">
      <c r="AT2744" s="74"/>
      <c r="AW2744" s="74"/>
    </row>
    <row r="2745" spans="46:49" x14ac:dyDescent="0.25">
      <c r="AT2745" s="74"/>
      <c r="AW2745" s="74"/>
    </row>
    <row r="2746" spans="46:49" x14ac:dyDescent="0.25">
      <c r="AT2746" s="74"/>
      <c r="AW2746" s="74"/>
    </row>
    <row r="2747" spans="46:49" x14ac:dyDescent="0.25">
      <c r="AT2747" s="74"/>
      <c r="AW2747" s="74"/>
    </row>
    <row r="2748" spans="46:49" x14ac:dyDescent="0.25">
      <c r="AT2748" s="74"/>
      <c r="AW2748" s="74"/>
    </row>
    <row r="2749" spans="46:49" x14ac:dyDescent="0.25">
      <c r="AT2749" s="74"/>
      <c r="AW2749" s="74"/>
    </row>
    <row r="2750" spans="46:49" x14ac:dyDescent="0.25">
      <c r="AT2750" s="74"/>
      <c r="AW2750" s="74"/>
    </row>
    <row r="2751" spans="46:49" x14ac:dyDescent="0.25">
      <c r="AT2751" s="74"/>
      <c r="AW2751" s="74"/>
    </row>
    <row r="2752" spans="46:49" x14ac:dyDescent="0.25">
      <c r="AT2752" s="74"/>
      <c r="AW2752" s="74"/>
    </row>
    <row r="2753" spans="46:49" x14ac:dyDescent="0.25">
      <c r="AT2753" s="74"/>
      <c r="AW2753" s="74"/>
    </row>
    <row r="2754" spans="46:49" x14ac:dyDescent="0.25">
      <c r="AT2754" s="74"/>
      <c r="AW2754" s="74"/>
    </row>
    <row r="2755" spans="46:49" x14ac:dyDescent="0.25">
      <c r="AT2755" s="74"/>
      <c r="AW2755" s="74"/>
    </row>
    <row r="2756" spans="46:49" x14ac:dyDescent="0.25">
      <c r="AT2756" s="74"/>
      <c r="AW2756" s="74"/>
    </row>
    <row r="2757" spans="46:49" x14ac:dyDescent="0.25">
      <c r="AT2757" s="74"/>
      <c r="AW2757" s="74"/>
    </row>
    <row r="2758" spans="46:49" x14ac:dyDescent="0.25">
      <c r="AT2758" s="74"/>
      <c r="AW2758" s="74"/>
    </row>
    <row r="2759" spans="46:49" x14ac:dyDescent="0.25">
      <c r="AT2759" s="74"/>
      <c r="AW2759" s="74"/>
    </row>
    <row r="2760" spans="46:49" x14ac:dyDescent="0.25">
      <c r="AT2760" s="74"/>
      <c r="AW2760" s="74"/>
    </row>
    <row r="2761" spans="46:49" x14ac:dyDescent="0.25">
      <c r="AT2761" s="74"/>
      <c r="AW2761" s="74"/>
    </row>
    <row r="2762" spans="46:49" x14ac:dyDescent="0.25">
      <c r="AT2762" s="74"/>
      <c r="AW2762" s="74"/>
    </row>
    <row r="2763" spans="46:49" x14ac:dyDescent="0.25">
      <c r="AT2763" s="74"/>
      <c r="AW2763" s="74"/>
    </row>
    <row r="2764" spans="46:49" x14ac:dyDescent="0.25">
      <c r="AT2764" s="74"/>
      <c r="AW2764" s="74"/>
    </row>
    <row r="2765" spans="46:49" x14ac:dyDescent="0.25">
      <c r="AT2765" s="74"/>
      <c r="AW2765" s="74"/>
    </row>
    <row r="2766" spans="46:49" x14ac:dyDescent="0.25">
      <c r="AT2766" s="74"/>
      <c r="AW2766" s="74"/>
    </row>
    <row r="2767" spans="46:49" x14ac:dyDescent="0.25">
      <c r="AT2767" s="74"/>
      <c r="AW2767" s="74"/>
    </row>
    <row r="2768" spans="46:49" x14ac:dyDescent="0.25">
      <c r="AT2768" s="74"/>
      <c r="AW2768" s="74"/>
    </row>
    <row r="2769" spans="46:49" x14ac:dyDescent="0.25">
      <c r="AT2769" s="74"/>
      <c r="AW2769" s="74"/>
    </row>
    <row r="2770" spans="46:49" x14ac:dyDescent="0.25">
      <c r="AT2770" s="74"/>
      <c r="AW2770" s="74"/>
    </row>
    <row r="2771" spans="46:49" x14ac:dyDescent="0.25">
      <c r="AT2771" s="74"/>
      <c r="AW2771" s="74"/>
    </row>
    <row r="2772" spans="46:49" x14ac:dyDescent="0.25">
      <c r="AT2772" s="74"/>
      <c r="AW2772" s="74"/>
    </row>
    <row r="2773" spans="46:49" x14ac:dyDescent="0.25">
      <c r="AT2773" s="74"/>
      <c r="AW2773" s="74"/>
    </row>
    <row r="2774" spans="46:49" x14ac:dyDescent="0.25">
      <c r="AT2774" s="74"/>
      <c r="AW2774" s="74"/>
    </row>
    <row r="2775" spans="46:49" x14ac:dyDescent="0.25">
      <c r="AT2775" s="74"/>
      <c r="AW2775" s="74"/>
    </row>
    <row r="2776" spans="46:49" x14ac:dyDescent="0.25">
      <c r="AT2776" s="74"/>
      <c r="AW2776" s="74"/>
    </row>
    <row r="2777" spans="46:49" x14ac:dyDescent="0.25">
      <c r="AT2777" s="74"/>
      <c r="AW2777" s="74"/>
    </row>
    <row r="2778" spans="46:49" x14ac:dyDescent="0.25">
      <c r="AT2778" s="74"/>
      <c r="AW2778" s="74"/>
    </row>
    <row r="2779" spans="46:49" x14ac:dyDescent="0.25">
      <c r="AT2779" s="74"/>
      <c r="AW2779" s="74"/>
    </row>
    <row r="2780" spans="46:49" x14ac:dyDescent="0.25">
      <c r="AT2780" s="74"/>
      <c r="AW2780" s="74"/>
    </row>
    <row r="2781" spans="46:49" x14ac:dyDescent="0.25">
      <c r="AT2781" s="74"/>
      <c r="AW2781" s="74"/>
    </row>
    <row r="2782" spans="46:49" x14ac:dyDescent="0.25">
      <c r="AT2782" s="74"/>
      <c r="AW2782" s="74"/>
    </row>
    <row r="2783" spans="46:49" x14ac:dyDescent="0.25">
      <c r="AT2783" s="74"/>
      <c r="AW2783" s="74"/>
    </row>
    <row r="2784" spans="46:49" x14ac:dyDescent="0.25">
      <c r="AT2784" s="74"/>
      <c r="AW2784" s="74"/>
    </row>
    <row r="2785" spans="46:49" x14ac:dyDescent="0.25">
      <c r="AT2785" s="74"/>
      <c r="AW2785" s="74"/>
    </row>
    <row r="2786" spans="46:49" x14ac:dyDescent="0.25">
      <c r="AT2786" s="74"/>
      <c r="AW2786" s="74"/>
    </row>
    <row r="2787" spans="46:49" x14ac:dyDescent="0.25">
      <c r="AT2787" s="74"/>
      <c r="AW2787" s="74"/>
    </row>
    <row r="2788" spans="46:49" x14ac:dyDescent="0.25">
      <c r="AT2788" s="74"/>
      <c r="AW2788" s="74"/>
    </row>
    <row r="2789" spans="46:49" x14ac:dyDescent="0.25">
      <c r="AT2789" s="74"/>
      <c r="AW2789" s="74"/>
    </row>
    <row r="2790" spans="46:49" x14ac:dyDescent="0.25">
      <c r="AT2790" s="74"/>
      <c r="AW2790" s="74"/>
    </row>
    <row r="2791" spans="46:49" x14ac:dyDescent="0.25">
      <c r="AT2791" s="74"/>
      <c r="AW2791" s="74"/>
    </row>
    <row r="2792" spans="46:49" x14ac:dyDescent="0.25">
      <c r="AT2792" s="74"/>
      <c r="AW2792" s="74"/>
    </row>
    <row r="2793" spans="46:49" x14ac:dyDescent="0.25">
      <c r="AT2793" s="74"/>
      <c r="AW2793" s="74"/>
    </row>
    <row r="2794" spans="46:49" x14ac:dyDescent="0.25">
      <c r="AT2794" s="74"/>
      <c r="AW2794" s="74"/>
    </row>
    <row r="2795" spans="46:49" x14ac:dyDescent="0.25">
      <c r="AT2795" s="74"/>
      <c r="AW2795" s="74"/>
    </row>
    <row r="2796" spans="46:49" x14ac:dyDescent="0.25">
      <c r="AT2796" s="74"/>
      <c r="AW2796" s="74"/>
    </row>
    <row r="2797" spans="46:49" x14ac:dyDescent="0.25">
      <c r="AT2797" s="74"/>
      <c r="AW2797" s="74"/>
    </row>
    <row r="2798" spans="46:49" x14ac:dyDescent="0.25">
      <c r="AT2798" s="74"/>
      <c r="AW2798" s="74"/>
    </row>
    <row r="2799" spans="46:49" x14ac:dyDescent="0.25">
      <c r="AT2799" s="74"/>
      <c r="AW2799" s="74"/>
    </row>
    <row r="2800" spans="46:49" x14ac:dyDescent="0.25">
      <c r="AT2800" s="74"/>
      <c r="AW2800" s="74"/>
    </row>
    <row r="2801" spans="46:49" x14ac:dyDescent="0.25">
      <c r="AT2801" s="74"/>
      <c r="AW2801" s="74"/>
    </row>
    <row r="2802" spans="46:49" x14ac:dyDescent="0.25">
      <c r="AT2802" s="74"/>
      <c r="AW2802" s="74"/>
    </row>
    <row r="2803" spans="46:49" x14ac:dyDescent="0.25">
      <c r="AT2803" s="74"/>
      <c r="AW2803" s="74"/>
    </row>
    <row r="2804" spans="46:49" x14ac:dyDescent="0.25">
      <c r="AT2804" s="74"/>
      <c r="AW2804" s="74"/>
    </row>
    <row r="2805" spans="46:49" x14ac:dyDescent="0.25">
      <c r="AT2805" s="74"/>
      <c r="AW2805" s="74"/>
    </row>
    <row r="2806" spans="46:49" x14ac:dyDescent="0.25">
      <c r="AT2806" s="74"/>
      <c r="AW2806" s="74"/>
    </row>
    <row r="2807" spans="46:49" x14ac:dyDescent="0.25">
      <c r="AT2807" s="74"/>
      <c r="AW2807" s="74"/>
    </row>
    <row r="2808" spans="46:49" x14ac:dyDescent="0.25">
      <c r="AT2808" s="74"/>
      <c r="AW2808" s="74"/>
    </row>
    <row r="2809" spans="46:49" x14ac:dyDescent="0.25">
      <c r="AT2809" s="74"/>
      <c r="AW2809" s="74"/>
    </row>
    <row r="2810" spans="46:49" x14ac:dyDescent="0.25">
      <c r="AT2810" s="74"/>
      <c r="AW2810" s="74"/>
    </row>
    <row r="2811" spans="46:49" x14ac:dyDescent="0.25">
      <c r="AT2811" s="74"/>
      <c r="AW2811" s="74"/>
    </row>
    <row r="2812" spans="46:49" x14ac:dyDescent="0.25">
      <c r="AT2812" s="74"/>
      <c r="AW2812" s="74"/>
    </row>
    <row r="2813" spans="46:49" x14ac:dyDescent="0.25">
      <c r="AT2813" s="74"/>
      <c r="AW2813" s="74"/>
    </row>
    <row r="2814" spans="46:49" x14ac:dyDescent="0.25">
      <c r="AT2814" s="74"/>
      <c r="AW2814" s="74"/>
    </row>
    <row r="2815" spans="46:49" x14ac:dyDescent="0.25">
      <c r="AT2815" s="74"/>
      <c r="AW2815" s="74"/>
    </row>
    <row r="2816" spans="46:49" x14ac:dyDescent="0.25">
      <c r="AT2816" s="74"/>
      <c r="AW2816" s="74"/>
    </row>
    <row r="2817" spans="46:49" x14ac:dyDescent="0.25">
      <c r="AT2817" s="74"/>
      <c r="AW2817" s="74"/>
    </row>
    <row r="2818" spans="46:49" x14ac:dyDescent="0.25">
      <c r="AT2818" s="74"/>
      <c r="AW2818" s="74"/>
    </row>
    <row r="2819" spans="46:49" x14ac:dyDescent="0.25">
      <c r="AT2819" s="74"/>
      <c r="AW2819" s="74"/>
    </row>
    <row r="2820" spans="46:49" x14ac:dyDescent="0.25">
      <c r="AT2820" s="74"/>
      <c r="AW2820" s="74"/>
    </row>
    <row r="2821" spans="46:49" x14ac:dyDescent="0.25">
      <c r="AT2821" s="74"/>
      <c r="AW2821" s="74"/>
    </row>
    <row r="2822" spans="46:49" x14ac:dyDescent="0.25">
      <c r="AT2822" s="74"/>
      <c r="AW2822" s="74"/>
    </row>
    <row r="2823" spans="46:49" x14ac:dyDescent="0.25">
      <c r="AT2823" s="74"/>
      <c r="AW2823" s="74"/>
    </row>
    <row r="2824" spans="46:49" x14ac:dyDescent="0.25">
      <c r="AT2824" s="74"/>
      <c r="AW2824" s="74"/>
    </row>
    <row r="2825" spans="46:49" x14ac:dyDescent="0.25">
      <c r="AT2825" s="74"/>
      <c r="AW2825" s="74"/>
    </row>
    <row r="2826" spans="46:49" x14ac:dyDescent="0.25">
      <c r="AT2826" s="74"/>
      <c r="AW2826" s="74"/>
    </row>
    <row r="2827" spans="46:49" x14ac:dyDescent="0.25">
      <c r="AT2827" s="74"/>
      <c r="AW2827" s="74"/>
    </row>
    <row r="2828" spans="46:49" x14ac:dyDescent="0.25">
      <c r="AT2828" s="74"/>
      <c r="AW2828" s="74"/>
    </row>
    <row r="2829" spans="46:49" x14ac:dyDescent="0.25">
      <c r="AT2829" s="74"/>
      <c r="AW2829" s="74"/>
    </row>
    <row r="2830" spans="46:49" x14ac:dyDescent="0.25">
      <c r="AT2830" s="74"/>
      <c r="AW2830" s="74"/>
    </row>
    <row r="2831" spans="46:49" x14ac:dyDescent="0.25">
      <c r="AT2831" s="74"/>
      <c r="AW2831" s="74"/>
    </row>
    <row r="2832" spans="46:49" x14ac:dyDescent="0.25">
      <c r="AT2832" s="74"/>
      <c r="AW2832" s="74"/>
    </row>
    <row r="2833" spans="46:49" x14ac:dyDescent="0.25">
      <c r="AT2833" s="74"/>
      <c r="AW2833" s="74"/>
    </row>
    <row r="2834" spans="46:49" x14ac:dyDescent="0.25">
      <c r="AT2834" s="74"/>
      <c r="AW2834" s="74"/>
    </row>
    <row r="2835" spans="46:49" x14ac:dyDescent="0.25">
      <c r="AT2835" s="74"/>
      <c r="AW2835" s="74"/>
    </row>
    <row r="2836" spans="46:49" x14ac:dyDescent="0.25">
      <c r="AT2836" s="74"/>
      <c r="AW2836" s="74"/>
    </row>
    <row r="2837" spans="46:49" x14ac:dyDescent="0.25">
      <c r="AT2837" s="74"/>
      <c r="AW2837" s="74"/>
    </row>
    <row r="2838" spans="46:49" x14ac:dyDescent="0.25">
      <c r="AT2838" s="74"/>
      <c r="AW2838" s="74"/>
    </row>
    <row r="2839" spans="46:49" x14ac:dyDescent="0.25">
      <c r="AT2839" s="74"/>
      <c r="AW2839" s="74"/>
    </row>
    <row r="2840" spans="46:49" x14ac:dyDescent="0.25">
      <c r="AT2840" s="74"/>
      <c r="AW2840" s="74"/>
    </row>
    <row r="2841" spans="46:49" x14ac:dyDescent="0.25">
      <c r="AT2841" s="74"/>
      <c r="AW2841" s="74"/>
    </row>
    <row r="2842" spans="46:49" x14ac:dyDescent="0.25">
      <c r="AT2842" s="74"/>
      <c r="AW2842" s="74"/>
    </row>
    <row r="2843" spans="46:49" x14ac:dyDescent="0.25">
      <c r="AT2843" s="74"/>
      <c r="AW2843" s="74"/>
    </row>
    <row r="2844" spans="46:49" x14ac:dyDescent="0.25">
      <c r="AT2844" s="74"/>
      <c r="AW2844" s="74"/>
    </row>
    <row r="2845" spans="46:49" x14ac:dyDescent="0.25">
      <c r="AT2845" s="74"/>
      <c r="AW2845" s="74"/>
    </row>
    <row r="2846" spans="46:49" x14ac:dyDescent="0.25">
      <c r="AT2846" s="74"/>
      <c r="AW2846" s="74"/>
    </row>
    <row r="2847" spans="46:49" x14ac:dyDescent="0.25">
      <c r="AT2847" s="74"/>
      <c r="AW2847" s="74"/>
    </row>
    <row r="2848" spans="46:49" x14ac:dyDescent="0.25">
      <c r="AT2848" s="74"/>
      <c r="AW2848" s="74"/>
    </row>
    <row r="2849" spans="46:49" x14ac:dyDescent="0.25">
      <c r="AT2849" s="74"/>
      <c r="AW2849" s="74"/>
    </row>
    <row r="2850" spans="46:49" x14ac:dyDescent="0.25">
      <c r="AT2850" s="74"/>
      <c r="AW2850" s="74"/>
    </row>
    <row r="2851" spans="46:49" x14ac:dyDescent="0.25">
      <c r="AT2851" s="74"/>
      <c r="AW2851" s="74"/>
    </row>
    <row r="2852" spans="46:49" x14ac:dyDescent="0.25">
      <c r="AT2852" s="74"/>
      <c r="AW2852" s="74"/>
    </row>
    <row r="2853" spans="46:49" x14ac:dyDescent="0.25">
      <c r="AT2853" s="74"/>
      <c r="AW2853" s="74"/>
    </row>
    <row r="2854" spans="46:49" x14ac:dyDescent="0.25">
      <c r="AT2854" s="74"/>
      <c r="AW2854" s="74"/>
    </row>
    <row r="2855" spans="46:49" x14ac:dyDescent="0.25">
      <c r="AT2855" s="74"/>
      <c r="AW2855" s="74"/>
    </row>
    <row r="2856" spans="46:49" x14ac:dyDescent="0.25">
      <c r="AT2856" s="74"/>
      <c r="AW2856" s="74"/>
    </row>
    <row r="2857" spans="46:49" x14ac:dyDescent="0.25">
      <c r="AT2857" s="74"/>
      <c r="AW2857" s="74"/>
    </row>
    <row r="2858" spans="46:49" x14ac:dyDescent="0.25">
      <c r="AT2858" s="74"/>
      <c r="AW2858" s="74"/>
    </row>
    <row r="2859" spans="46:49" x14ac:dyDescent="0.25">
      <c r="AT2859" s="74"/>
      <c r="AW2859" s="74"/>
    </row>
    <row r="2860" spans="46:49" x14ac:dyDescent="0.25">
      <c r="AT2860" s="74"/>
      <c r="AW2860" s="74"/>
    </row>
    <row r="2861" spans="46:49" x14ac:dyDescent="0.25">
      <c r="AT2861" s="74"/>
      <c r="AW2861" s="74"/>
    </row>
    <row r="2862" spans="46:49" x14ac:dyDescent="0.25">
      <c r="AT2862" s="74"/>
      <c r="AW2862" s="74"/>
    </row>
    <row r="2863" spans="46:49" x14ac:dyDescent="0.25">
      <c r="AT2863" s="74"/>
      <c r="AW2863" s="74"/>
    </row>
    <row r="2864" spans="46:49" x14ac:dyDescent="0.25">
      <c r="AT2864" s="74"/>
      <c r="AW2864" s="74"/>
    </row>
    <row r="2865" spans="46:49" x14ac:dyDescent="0.25">
      <c r="AT2865" s="74"/>
      <c r="AW2865" s="74"/>
    </row>
    <row r="2866" spans="46:49" x14ac:dyDescent="0.25">
      <c r="AT2866" s="74"/>
      <c r="AW2866" s="74"/>
    </row>
    <row r="2867" spans="46:49" x14ac:dyDescent="0.25">
      <c r="AT2867" s="74"/>
      <c r="AW2867" s="74"/>
    </row>
    <row r="2868" spans="46:49" x14ac:dyDescent="0.25">
      <c r="AT2868" s="74"/>
      <c r="AW2868" s="74"/>
    </row>
    <row r="2869" spans="46:49" x14ac:dyDescent="0.25">
      <c r="AT2869" s="74"/>
      <c r="AW2869" s="74"/>
    </row>
    <row r="2870" spans="46:49" x14ac:dyDescent="0.25">
      <c r="AT2870" s="74"/>
      <c r="AW2870" s="74"/>
    </row>
    <row r="2871" spans="46:49" x14ac:dyDescent="0.25">
      <c r="AT2871" s="74"/>
      <c r="AW2871" s="74"/>
    </row>
    <row r="2872" spans="46:49" x14ac:dyDescent="0.25">
      <c r="AT2872" s="74"/>
      <c r="AW2872" s="74"/>
    </row>
    <row r="2873" spans="46:49" x14ac:dyDescent="0.25">
      <c r="AT2873" s="74"/>
      <c r="AW2873" s="74"/>
    </row>
    <row r="2874" spans="46:49" x14ac:dyDescent="0.25">
      <c r="AT2874" s="74"/>
      <c r="AW2874" s="74"/>
    </row>
    <row r="2875" spans="46:49" x14ac:dyDescent="0.25">
      <c r="AT2875" s="74"/>
      <c r="AW2875" s="74"/>
    </row>
    <row r="2876" spans="46:49" x14ac:dyDescent="0.25">
      <c r="AT2876" s="74"/>
      <c r="AW2876" s="74"/>
    </row>
    <row r="2877" spans="46:49" x14ac:dyDescent="0.25">
      <c r="AT2877" s="74"/>
      <c r="AW2877" s="74"/>
    </row>
    <row r="2878" spans="46:49" x14ac:dyDescent="0.25">
      <c r="AT2878" s="74"/>
      <c r="AW2878" s="74"/>
    </row>
    <row r="2879" spans="46:49" x14ac:dyDescent="0.25">
      <c r="AT2879" s="74"/>
      <c r="AW2879" s="74"/>
    </row>
    <row r="2880" spans="46:49" x14ac:dyDescent="0.25">
      <c r="AT2880" s="74"/>
      <c r="AW2880" s="74"/>
    </row>
    <row r="2881" spans="46:49" x14ac:dyDescent="0.25">
      <c r="AT2881" s="74"/>
      <c r="AW2881" s="74"/>
    </row>
    <row r="2882" spans="46:49" x14ac:dyDescent="0.25">
      <c r="AT2882" s="74"/>
      <c r="AW2882" s="74"/>
    </row>
    <row r="2883" spans="46:49" x14ac:dyDescent="0.25">
      <c r="AT2883" s="74"/>
      <c r="AW2883" s="74"/>
    </row>
    <row r="2884" spans="46:49" x14ac:dyDescent="0.25">
      <c r="AT2884" s="74"/>
      <c r="AW2884" s="74"/>
    </row>
    <row r="2885" spans="46:49" x14ac:dyDescent="0.25">
      <c r="AT2885" s="74"/>
      <c r="AW2885" s="74"/>
    </row>
    <row r="2886" spans="46:49" x14ac:dyDescent="0.25">
      <c r="AT2886" s="74"/>
      <c r="AW2886" s="74"/>
    </row>
    <row r="2887" spans="46:49" x14ac:dyDescent="0.25">
      <c r="AT2887" s="74"/>
      <c r="AW2887" s="74"/>
    </row>
    <row r="2888" spans="46:49" x14ac:dyDescent="0.25">
      <c r="AT2888" s="74"/>
      <c r="AW2888" s="74"/>
    </row>
    <row r="2889" spans="46:49" x14ac:dyDescent="0.25">
      <c r="AT2889" s="74"/>
      <c r="AW2889" s="74"/>
    </row>
    <row r="2890" spans="46:49" x14ac:dyDescent="0.25">
      <c r="AT2890" s="74"/>
      <c r="AW2890" s="74"/>
    </row>
    <row r="2891" spans="46:49" x14ac:dyDescent="0.25">
      <c r="AT2891" s="74"/>
      <c r="AW2891" s="74"/>
    </row>
    <row r="2892" spans="46:49" x14ac:dyDescent="0.25">
      <c r="AT2892" s="74"/>
      <c r="AW2892" s="74"/>
    </row>
    <row r="2893" spans="46:49" x14ac:dyDescent="0.25">
      <c r="AT2893" s="74"/>
      <c r="AW2893" s="74"/>
    </row>
    <row r="2894" spans="46:49" x14ac:dyDescent="0.25">
      <c r="AT2894" s="74"/>
      <c r="AW2894" s="74"/>
    </row>
    <row r="2895" spans="46:49" x14ac:dyDescent="0.25">
      <c r="AT2895" s="74"/>
      <c r="AW2895" s="74"/>
    </row>
    <row r="2896" spans="46:49" x14ac:dyDescent="0.25">
      <c r="AT2896" s="74"/>
      <c r="AW2896" s="74"/>
    </row>
    <row r="2897" spans="46:49" x14ac:dyDescent="0.25">
      <c r="AT2897" s="74"/>
      <c r="AW2897" s="74"/>
    </row>
    <row r="2898" spans="46:49" x14ac:dyDescent="0.25">
      <c r="AT2898" s="74"/>
      <c r="AW2898" s="74"/>
    </row>
    <row r="2899" spans="46:49" x14ac:dyDescent="0.25">
      <c r="AT2899" s="74"/>
      <c r="AW2899" s="74"/>
    </row>
    <row r="2900" spans="46:49" x14ac:dyDescent="0.25">
      <c r="AT2900" s="74"/>
      <c r="AW2900" s="74"/>
    </row>
    <row r="2901" spans="46:49" x14ac:dyDescent="0.25">
      <c r="AT2901" s="74"/>
      <c r="AW2901" s="74"/>
    </row>
    <row r="2902" spans="46:49" x14ac:dyDescent="0.25">
      <c r="AT2902" s="74"/>
      <c r="AW2902" s="74"/>
    </row>
    <row r="2903" spans="46:49" x14ac:dyDescent="0.25">
      <c r="AT2903" s="74"/>
      <c r="AW2903" s="74"/>
    </row>
    <row r="2904" spans="46:49" x14ac:dyDescent="0.25">
      <c r="AT2904" s="74"/>
      <c r="AW2904" s="74"/>
    </row>
    <row r="2905" spans="46:49" x14ac:dyDescent="0.25">
      <c r="AT2905" s="74"/>
      <c r="AW2905" s="74"/>
    </row>
    <row r="2906" spans="46:49" x14ac:dyDescent="0.25">
      <c r="AT2906" s="74"/>
      <c r="AW2906" s="74"/>
    </row>
    <row r="2907" spans="46:49" x14ac:dyDescent="0.25">
      <c r="AT2907" s="74"/>
      <c r="AW2907" s="74"/>
    </row>
    <row r="2908" spans="46:49" x14ac:dyDescent="0.25">
      <c r="AT2908" s="74"/>
      <c r="AW2908" s="74"/>
    </row>
    <row r="2909" spans="46:49" x14ac:dyDescent="0.25">
      <c r="AT2909" s="74"/>
      <c r="AW2909" s="74"/>
    </row>
    <row r="2910" spans="46:49" x14ac:dyDescent="0.25">
      <c r="AT2910" s="74"/>
      <c r="AW2910" s="74"/>
    </row>
    <row r="2911" spans="46:49" x14ac:dyDescent="0.25">
      <c r="AT2911" s="74"/>
      <c r="AW2911" s="74"/>
    </row>
    <row r="2912" spans="46:49" x14ac:dyDescent="0.25">
      <c r="AT2912" s="74"/>
      <c r="AW2912" s="74"/>
    </row>
    <row r="2913" spans="46:49" x14ac:dyDescent="0.25">
      <c r="AT2913" s="74"/>
      <c r="AW2913" s="74"/>
    </row>
    <row r="2914" spans="46:49" x14ac:dyDescent="0.25">
      <c r="AT2914" s="74"/>
      <c r="AW2914" s="74"/>
    </row>
    <row r="2915" spans="46:49" x14ac:dyDescent="0.25">
      <c r="AT2915" s="74"/>
      <c r="AW2915" s="74"/>
    </row>
    <row r="2916" spans="46:49" x14ac:dyDescent="0.25">
      <c r="AT2916" s="74"/>
      <c r="AW2916" s="74"/>
    </row>
    <row r="2917" spans="46:49" x14ac:dyDescent="0.25">
      <c r="AT2917" s="74"/>
      <c r="AW2917" s="74"/>
    </row>
    <row r="2918" spans="46:49" x14ac:dyDescent="0.25">
      <c r="AT2918" s="74"/>
      <c r="AW2918" s="74"/>
    </row>
    <row r="2919" spans="46:49" x14ac:dyDescent="0.25">
      <c r="AT2919" s="74"/>
      <c r="AW2919" s="74"/>
    </row>
    <row r="2920" spans="46:49" x14ac:dyDescent="0.25">
      <c r="AT2920" s="74"/>
      <c r="AW2920" s="74"/>
    </row>
    <row r="2921" spans="46:49" x14ac:dyDescent="0.25">
      <c r="AT2921" s="74"/>
      <c r="AW2921" s="74"/>
    </row>
    <row r="2922" spans="46:49" x14ac:dyDescent="0.25">
      <c r="AT2922" s="74"/>
      <c r="AW2922" s="74"/>
    </row>
    <row r="2923" spans="46:49" x14ac:dyDescent="0.25">
      <c r="AT2923" s="74"/>
      <c r="AW2923" s="74"/>
    </row>
    <row r="2924" spans="46:49" x14ac:dyDescent="0.25">
      <c r="AT2924" s="74"/>
      <c r="AW2924" s="74"/>
    </row>
    <row r="2925" spans="46:49" x14ac:dyDescent="0.25">
      <c r="AT2925" s="74"/>
      <c r="AW2925" s="74"/>
    </row>
    <row r="2926" spans="46:49" x14ac:dyDescent="0.25">
      <c r="AT2926" s="74"/>
      <c r="AW2926" s="74"/>
    </row>
    <row r="2927" spans="46:49" x14ac:dyDescent="0.25">
      <c r="AT2927" s="74"/>
      <c r="AW2927" s="74"/>
    </row>
    <row r="2928" spans="46:49" x14ac:dyDescent="0.25">
      <c r="AT2928" s="74"/>
      <c r="AW2928" s="74"/>
    </row>
    <row r="2929" spans="46:49" x14ac:dyDescent="0.25">
      <c r="AT2929" s="74"/>
      <c r="AW2929" s="74"/>
    </row>
    <row r="2930" spans="46:49" x14ac:dyDescent="0.25">
      <c r="AT2930" s="74"/>
      <c r="AW2930" s="74"/>
    </row>
    <row r="2931" spans="46:49" x14ac:dyDescent="0.25">
      <c r="AT2931" s="74"/>
      <c r="AW2931" s="74"/>
    </row>
    <row r="2932" spans="46:49" x14ac:dyDescent="0.25">
      <c r="AT2932" s="74"/>
      <c r="AW2932" s="74"/>
    </row>
    <row r="2933" spans="46:49" x14ac:dyDescent="0.25">
      <c r="AT2933" s="74"/>
      <c r="AW2933" s="74"/>
    </row>
    <row r="2934" spans="46:49" x14ac:dyDescent="0.25">
      <c r="AT2934" s="74"/>
      <c r="AW2934" s="74"/>
    </row>
    <row r="2935" spans="46:49" x14ac:dyDescent="0.25">
      <c r="AT2935" s="74"/>
      <c r="AW2935" s="74"/>
    </row>
    <row r="2936" spans="46:49" x14ac:dyDescent="0.25">
      <c r="AT2936" s="74"/>
      <c r="AW2936" s="74"/>
    </row>
    <row r="2937" spans="46:49" x14ac:dyDescent="0.25">
      <c r="AT2937" s="74"/>
      <c r="AW2937" s="74"/>
    </row>
    <row r="2938" spans="46:49" x14ac:dyDescent="0.25">
      <c r="AT2938" s="74"/>
      <c r="AW2938" s="74"/>
    </row>
    <row r="2939" spans="46:49" x14ac:dyDescent="0.25">
      <c r="AT2939" s="74"/>
      <c r="AW2939" s="74"/>
    </row>
    <row r="2940" spans="46:49" x14ac:dyDescent="0.25">
      <c r="AT2940" s="74"/>
      <c r="AW2940" s="74"/>
    </row>
    <row r="2941" spans="46:49" x14ac:dyDescent="0.25">
      <c r="AT2941" s="74"/>
      <c r="AW2941" s="74"/>
    </row>
    <row r="2942" spans="46:49" x14ac:dyDescent="0.25">
      <c r="AT2942" s="74"/>
      <c r="AW2942" s="74"/>
    </row>
    <row r="2943" spans="46:49" x14ac:dyDescent="0.25">
      <c r="AT2943" s="74"/>
      <c r="AW2943" s="74"/>
    </row>
    <row r="2944" spans="46:49" x14ac:dyDescent="0.25">
      <c r="AT2944" s="74"/>
      <c r="AW2944" s="74"/>
    </row>
    <row r="2945" spans="46:49" x14ac:dyDescent="0.25">
      <c r="AT2945" s="74"/>
      <c r="AW2945" s="74"/>
    </row>
    <row r="2946" spans="46:49" x14ac:dyDescent="0.25">
      <c r="AT2946" s="74"/>
      <c r="AW2946" s="74"/>
    </row>
    <row r="2947" spans="46:49" x14ac:dyDescent="0.25">
      <c r="AT2947" s="74"/>
      <c r="AW2947" s="74"/>
    </row>
    <row r="2948" spans="46:49" x14ac:dyDescent="0.25">
      <c r="AT2948" s="74"/>
      <c r="AW2948" s="74"/>
    </row>
    <row r="2949" spans="46:49" x14ac:dyDescent="0.25">
      <c r="AT2949" s="74"/>
      <c r="AW2949" s="74"/>
    </row>
    <row r="2950" spans="46:49" x14ac:dyDescent="0.25">
      <c r="AT2950" s="74"/>
      <c r="AW2950" s="74"/>
    </row>
    <row r="2951" spans="46:49" x14ac:dyDescent="0.25">
      <c r="AT2951" s="74"/>
      <c r="AW2951" s="74"/>
    </row>
    <row r="2952" spans="46:49" x14ac:dyDescent="0.25">
      <c r="AT2952" s="74"/>
      <c r="AW2952" s="74"/>
    </row>
    <row r="2953" spans="46:49" x14ac:dyDescent="0.25">
      <c r="AT2953" s="74"/>
      <c r="AW2953" s="74"/>
    </row>
    <row r="2954" spans="46:49" x14ac:dyDescent="0.25">
      <c r="AT2954" s="74"/>
      <c r="AW2954" s="74"/>
    </row>
    <row r="2955" spans="46:49" x14ac:dyDescent="0.25">
      <c r="AT2955" s="74"/>
      <c r="AW2955" s="74"/>
    </row>
    <row r="2956" spans="46:49" x14ac:dyDescent="0.25">
      <c r="AT2956" s="74"/>
      <c r="AW2956" s="74"/>
    </row>
    <row r="2957" spans="46:49" x14ac:dyDescent="0.25">
      <c r="AT2957" s="74"/>
      <c r="AW2957" s="74"/>
    </row>
    <row r="2958" spans="46:49" x14ac:dyDescent="0.25">
      <c r="AT2958" s="74"/>
      <c r="AW2958" s="74"/>
    </row>
    <row r="2959" spans="46:49" x14ac:dyDescent="0.25">
      <c r="AT2959" s="74"/>
      <c r="AW2959" s="74"/>
    </row>
    <row r="2960" spans="46:49" x14ac:dyDescent="0.25">
      <c r="AT2960" s="74"/>
      <c r="AW2960" s="74"/>
    </row>
    <row r="2961" spans="46:49" x14ac:dyDescent="0.25">
      <c r="AT2961" s="74"/>
      <c r="AW2961" s="74"/>
    </row>
    <row r="2962" spans="46:49" x14ac:dyDescent="0.25">
      <c r="AT2962" s="74"/>
      <c r="AW2962" s="74"/>
    </row>
    <row r="2963" spans="46:49" x14ac:dyDescent="0.25">
      <c r="AT2963" s="74"/>
      <c r="AW2963" s="74"/>
    </row>
    <row r="2964" spans="46:49" x14ac:dyDescent="0.25">
      <c r="AT2964" s="74"/>
      <c r="AW2964" s="74"/>
    </row>
    <row r="2965" spans="46:49" x14ac:dyDescent="0.25">
      <c r="AT2965" s="74"/>
      <c r="AW2965" s="74"/>
    </row>
    <row r="2966" spans="46:49" x14ac:dyDescent="0.25">
      <c r="AT2966" s="74"/>
      <c r="AW2966" s="74"/>
    </row>
    <row r="2967" spans="46:49" x14ac:dyDescent="0.25">
      <c r="AT2967" s="74"/>
      <c r="AW2967" s="74"/>
    </row>
    <row r="2968" spans="46:49" x14ac:dyDescent="0.25">
      <c r="AT2968" s="74"/>
      <c r="AW2968" s="74"/>
    </row>
    <row r="2969" spans="46:49" x14ac:dyDescent="0.25">
      <c r="AT2969" s="74"/>
      <c r="AW2969" s="74"/>
    </row>
    <row r="2970" spans="46:49" x14ac:dyDescent="0.25">
      <c r="AT2970" s="74"/>
      <c r="AW2970" s="74"/>
    </row>
    <row r="2971" spans="46:49" x14ac:dyDescent="0.25">
      <c r="AT2971" s="74"/>
      <c r="AW2971" s="74"/>
    </row>
    <row r="2972" spans="46:49" x14ac:dyDescent="0.25">
      <c r="AT2972" s="74"/>
      <c r="AW2972" s="74"/>
    </row>
    <row r="2973" spans="46:49" x14ac:dyDescent="0.25">
      <c r="AT2973" s="74"/>
      <c r="AW2973" s="74"/>
    </row>
    <row r="2974" spans="46:49" x14ac:dyDescent="0.25">
      <c r="AT2974" s="74"/>
      <c r="AW2974" s="74"/>
    </row>
    <row r="2975" spans="46:49" x14ac:dyDescent="0.25">
      <c r="AT2975" s="74"/>
      <c r="AW2975" s="74"/>
    </row>
    <row r="2976" spans="46:49" x14ac:dyDescent="0.25">
      <c r="AT2976" s="74"/>
      <c r="AW2976" s="74"/>
    </row>
    <row r="2977" spans="46:49" x14ac:dyDescent="0.25">
      <c r="AT2977" s="74"/>
      <c r="AW2977" s="74"/>
    </row>
    <row r="2978" spans="46:49" x14ac:dyDescent="0.25">
      <c r="AT2978" s="74"/>
      <c r="AW2978" s="74"/>
    </row>
    <row r="2979" spans="46:49" x14ac:dyDescent="0.25">
      <c r="AT2979" s="74"/>
      <c r="AW2979" s="74"/>
    </row>
    <row r="2980" spans="46:49" x14ac:dyDescent="0.25">
      <c r="AT2980" s="74"/>
      <c r="AW2980" s="74"/>
    </row>
    <row r="2981" spans="46:49" x14ac:dyDescent="0.25">
      <c r="AT2981" s="74"/>
      <c r="AW2981" s="74"/>
    </row>
    <row r="2982" spans="46:49" x14ac:dyDescent="0.25">
      <c r="AT2982" s="74"/>
      <c r="AW2982" s="74"/>
    </row>
    <row r="2983" spans="46:49" x14ac:dyDescent="0.25">
      <c r="AT2983" s="74"/>
      <c r="AW2983" s="74"/>
    </row>
    <row r="2984" spans="46:49" x14ac:dyDescent="0.25">
      <c r="AT2984" s="74"/>
      <c r="AW2984" s="74"/>
    </row>
    <row r="2985" spans="46:49" x14ac:dyDescent="0.25">
      <c r="AT2985" s="74"/>
      <c r="AW2985" s="74"/>
    </row>
    <row r="2986" spans="46:49" x14ac:dyDescent="0.25">
      <c r="AT2986" s="74"/>
      <c r="AW2986" s="74"/>
    </row>
    <row r="2987" spans="46:49" x14ac:dyDescent="0.25">
      <c r="AT2987" s="74"/>
      <c r="AW2987" s="74"/>
    </row>
    <row r="2988" spans="46:49" x14ac:dyDescent="0.25">
      <c r="AT2988" s="74"/>
      <c r="AW2988" s="74"/>
    </row>
    <row r="2989" spans="46:49" x14ac:dyDescent="0.25">
      <c r="AT2989" s="74"/>
      <c r="AW2989" s="74"/>
    </row>
    <row r="2990" spans="46:49" x14ac:dyDescent="0.25">
      <c r="AT2990" s="74"/>
      <c r="AW2990" s="74"/>
    </row>
    <row r="2991" spans="46:49" x14ac:dyDescent="0.25">
      <c r="AT2991" s="74"/>
      <c r="AW2991" s="74"/>
    </row>
    <row r="2992" spans="46:49" x14ac:dyDescent="0.25">
      <c r="AT2992" s="74"/>
      <c r="AW2992" s="74"/>
    </row>
    <row r="2993" spans="46:49" x14ac:dyDescent="0.25">
      <c r="AT2993" s="74"/>
      <c r="AW2993" s="74"/>
    </row>
    <row r="2994" spans="46:49" x14ac:dyDescent="0.25">
      <c r="AT2994" s="74"/>
      <c r="AW2994" s="74"/>
    </row>
    <row r="2995" spans="46:49" x14ac:dyDescent="0.25">
      <c r="AT2995" s="74"/>
      <c r="AW2995" s="74"/>
    </row>
    <row r="2996" spans="46:49" x14ac:dyDescent="0.25">
      <c r="AT2996" s="74"/>
      <c r="AW2996" s="74"/>
    </row>
    <row r="2997" spans="46:49" x14ac:dyDescent="0.25">
      <c r="AT2997" s="74"/>
      <c r="AW2997" s="74"/>
    </row>
    <row r="2998" spans="46:49" x14ac:dyDescent="0.25">
      <c r="AT2998" s="74"/>
      <c r="AW2998" s="74"/>
    </row>
    <row r="2999" spans="46:49" x14ac:dyDescent="0.25">
      <c r="AT2999" s="74"/>
      <c r="AW2999" s="74"/>
    </row>
    <row r="3000" spans="46:49" x14ac:dyDescent="0.25">
      <c r="AT3000" s="74"/>
      <c r="AW3000" s="74"/>
    </row>
    <row r="3001" spans="46:49" x14ac:dyDescent="0.25">
      <c r="AT3001" s="74"/>
      <c r="AW3001" s="74"/>
    </row>
    <row r="3002" spans="46:49" x14ac:dyDescent="0.25">
      <c r="AT3002" s="74"/>
      <c r="AW3002" s="74"/>
    </row>
    <row r="3003" spans="46:49" x14ac:dyDescent="0.25">
      <c r="AT3003" s="74"/>
      <c r="AW3003" s="74"/>
    </row>
    <row r="3004" spans="46:49" x14ac:dyDescent="0.25">
      <c r="AT3004" s="74"/>
      <c r="AW3004" s="74"/>
    </row>
    <row r="3005" spans="46:49" x14ac:dyDescent="0.25">
      <c r="AT3005" s="74"/>
      <c r="AW3005" s="74"/>
    </row>
    <row r="3006" spans="46:49" x14ac:dyDescent="0.25">
      <c r="AT3006" s="74"/>
      <c r="AW3006" s="74"/>
    </row>
    <row r="3007" spans="46:49" x14ac:dyDescent="0.25">
      <c r="AT3007" s="74"/>
      <c r="AW3007" s="74"/>
    </row>
    <row r="3008" spans="46:49" x14ac:dyDescent="0.25">
      <c r="AT3008" s="74"/>
      <c r="AW3008" s="74"/>
    </row>
    <row r="3009" spans="46:49" x14ac:dyDescent="0.25">
      <c r="AT3009" s="74"/>
      <c r="AW3009" s="74"/>
    </row>
    <row r="3010" spans="46:49" x14ac:dyDescent="0.25">
      <c r="AT3010" s="74"/>
      <c r="AW3010" s="74"/>
    </row>
    <row r="3011" spans="46:49" x14ac:dyDescent="0.25">
      <c r="AT3011" s="74"/>
      <c r="AW3011" s="74"/>
    </row>
    <row r="3012" spans="46:49" x14ac:dyDescent="0.25">
      <c r="AT3012" s="74"/>
      <c r="AW3012" s="74"/>
    </row>
    <row r="3013" spans="46:49" x14ac:dyDescent="0.25">
      <c r="AT3013" s="74"/>
      <c r="AW3013" s="74"/>
    </row>
    <row r="3014" spans="46:49" x14ac:dyDescent="0.25">
      <c r="AT3014" s="74"/>
      <c r="AW3014" s="74"/>
    </row>
    <row r="3015" spans="46:49" x14ac:dyDescent="0.25">
      <c r="AT3015" s="74"/>
      <c r="AW3015" s="74"/>
    </row>
    <row r="3016" spans="46:49" x14ac:dyDescent="0.25">
      <c r="AT3016" s="74"/>
      <c r="AW3016" s="74"/>
    </row>
    <row r="3017" spans="46:49" x14ac:dyDescent="0.25">
      <c r="AT3017" s="74"/>
      <c r="AW3017" s="74"/>
    </row>
    <row r="3018" spans="46:49" x14ac:dyDescent="0.25">
      <c r="AT3018" s="74"/>
      <c r="AW3018" s="74"/>
    </row>
    <row r="3019" spans="46:49" x14ac:dyDescent="0.25">
      <c r="AT3019" s="74"/>
      <c r="AW3019" s="74"/>
    </row>
    <row r="3020" spans="46:49" x14ac:dyDescent="0.25">
      <c r="AT3020" s="74"/>
      <c r="AW3020" s="74"/>
    </row>
    <row r="3021" spans="46:49" x14ac:dyDescent="0.25">
      <c r="AT3021" s="74"/>
      <c r="AW3021" s="74"/>
    </row>
    <row r="3022" spans="46:49" x14ac:dyDescent="0.25">
      <c r="AT3022" s="74"/>
      <c r="AW3022" s="74"/>
    </row>
    <row r="3023" spans="46:49" x14ac:dyDescent="0.25">
      <c r="AT3023" s="74"/>
      <c r="AW3023" s="74"/>
    </row>
    <row r="3024" spans="46:49" x14ac:dyDescent="0.25">
      <c r="AT3024" s="74"/>
      <c r="AW3024" s="74"/>
    </row>
    <row r="3025" spans="46:49" x14ac:dyDescent="0.25">
      <c r="AT3025" s="74"/>
      <c r="AW3025" s="74"/>
    </row>
    <row r="3026" spans="46:49" x14ac:dyDescent="0.25">
      <c r="AT3026" s="74"/>
      <c r="AW3026" s="74"/>
    </row>
    <row r="3027" spans="46:49" x14ac:dyDescent="0.25">
      <c r="AT3027" s="74"/>
      <c r="AW3027" s="74"/>
    </row>
    <row r="3028" spans="46:49" x14ac:dyDescent="0.25">
      <c r="AT3028" s="74"/>
      <c r="AW3028" s="74"/>
    </row>
    <row r="3029" spans="46:49" x14ac:dyDescent="0.25">
      <c r="AT3029" s="74"/>
      <c r="AW3029" s="74"/>
    </row>
    <row r="3030" spans="46:49" x14ac:dyDescent="0.25">
      <c r="AT3030" s="74"/>
      <c r="AW3030" s="74"/>
    </row>
    <row r="3031" spans="46:49" x14ac:dyDescent="0.25">
      <c r="AT3031" s="74"/>
      <c r="AW3031" s="74"/>
    </row>
    <row r="3032" spans="46:49" x14ac:dyDescent="0.25">
      <c r="AT3032" s="74"/>
      <c r="AW3032" s="74"/>
    </row>
    <row r="3033" spans="46:49" x14ac:dyDescent="0.25">
      <c r="AT3033" s="74"/>
      <c r="AW3033" s="74"/>
    </row>
    <row r="3034" spans="46:49" x14ac:dyDescent="0.25">
      <c r="AT3034" s="74"/>
      <c r="AW3034" s="74"/>
    </row>
    <row r="3035" spans="46:49" x14ac:dyDescent="0.25">
      <c r="AT3035" s="74"/>
      <c r="AW3035" s="74"/>
    </row>
    <row r="3036" spans="46:49" x14ac:dyDescent="0.25">
      <c r="AT3036" s="74"/>
      <c r="AW3036" s="74"/>
    </row>
    <row r="3037" spans="46:49" x14ac:dyDescent="0.25">
      <c r="AT3037" s="74"/>
      <c r="AW3037" s="74"/>
    </row>
    <row r="3038" spans="46:49" x14ac:dyDescent="0.25">
      <c r="AT3038" s="74"/>
      <c r="AW3038" s="74"/>
    </row>
    <row r="3039" spans="46:49" x14ac:dyDescent="0.25">
      <c r="AT3039" s="74"/>
      <c r="AW3039" s="74"/>
    </row>
    <row r="3040" spans="46:49" x14ac:dyDescent="0.25">
      <c r="AT3040" s="74"/>
      <c r="AW3040" s="74"/>
    </row>
    <row r="3041" spans="46:49" x14ac:dyDescent="0.25">
      <c r="AT3041" s="74"/>
      <c r="AW3041" s="74"/>
    </row>
    <row r="3042" spans="46:49" x14ac:dyDescent="0.25">
      <c r="AT3042" s="74"/>
      <c r="AW3042" s="74"/>
    </row>
    <row r="3043" spans="46:49" x14ac:dyDescent="0.25">
      <c r="AT3043" s="74"/>
      <c r="AW3043" s="74"/>
    </row>
    <row r="3044" spans="46:49" x14ac:dyDescent="0.25">
      <c r="AT3044" s="74"/>
      <c r="AW3044" s="74"/>
    </row>
    <row r="3045" spans="46:49" x14ac:dyDescent="0.25">
      <c r="AT3045" s="74"/>
      <c r="AW3045" s="74"/>
    </row>
    <row r="3046" spans="46:49" x14ac:dyDescent="0.25">
      <c r="AT3046" s="74"/>
      <c r="AW3046" s="74"/>
    </row>
    <row r="3047" spans="46:49" x14ac:dyDescent="0.25">
      <c r="AT3047" s="74"/>
      <c r="AW3047" s="74"/>
    </row>
    <row r="3048" spans="46:49" x14ac:dyDescent="0.25">
      <c r="AT3048" s="74"/>
      <c r="AW3048" s="74"/>
    </row>
    <row r="3049" spans="46:49" x14ac:dyDescent="0.25">
      <c r="AT3049" s="74"/>
      <c r="AW3049" s="74"/>
    </row>
    <row r="3050" spans="46:49" x14ac:dyDescent="0.25">
      <c r="AT3050" s="74"/>
      <c r="AW3050" s="74"/>
    </row>
    <row r="3051" spans="46:49" x14ac:dyDescent="0.25">
      <c r="AT3051" s="74"/>
      <c r="AW3051" s="74"/>
    </row>
    <row r="3052" spans="46:49" x14ac:dyDescent="0.25">
      <c r="AT3052" s="74"/>
      <c r="AW3052" s="74"/>
    </row>
    <row r="3053" spans="46:49" x14ac:dyDescent="0.25">
      <c r="AT3053" s="74"/>
      <c r="AW3053" s="74"/>
    </row>
    <row r="3054" spans="46:49" x14ac:dyDescent="0.25">
      <c r="AT3054" s="74"/>
      <c r="AW3054" s="74"/>
    </row>
    <row r="3055" spans="46:49" x14ac:dyDescent="0.25">
      <c r="AT3055" s="74"/>
      <c r="AW3055" s="74"/>
    </row>
    <row r="3056" spans="46:49" x14ac:dyDescent="0.25">
      <c r="AT3056" s="74"/>
      <c r="AW3056" s="74"/>
    </row>
    <row r="3057" spans="46:49" x14ac:dyDescent="0.25">
      <c r="AT3057" s="74"/>
      <c r="AW3057" s="74"/>
    </row>
    <row r="3058" spans="46:49" x14ac:dyDescent="0.25">
      <c r="AT3058" s="74"/>
      <c r="AW3058" s="74"/>
    </row>
    <row r="3059" spans="46:49" x14ac:dyDescent="0.25">
      <c r="AT3059" s="74"/>
      <c r="AW3059" s="74"/>
    </row>
    <row r="3060" spans="46:49" x14ac:dyDescent="0.25">
      <c r="AT3060" s="74"/>
      <c r="AW3060" s="74"/>
    </row>
    <row r="3061" spans="46:49" x14ac:dyDescent="0.25">
      <c r="AT3061" s="74"/>
      <c r="AW3061" s="74"/>
    </row>
    <row r="3062" spans="46:49" x14ac:dyDescent="0.25">
      <c r="AT3062" s="74"/>
      <c r="AW3062" s="74"/>
    </row>
    <row r="3063" spans="46:49" x14ac:dyDescent="0.25">
      <c r="AT3063" s="74"/>
      <c r="AW3063" s="74"/>
    </row>
    <row r="3064" spans="46:49" x14ac:dyDescent="0.25">
      <c r="AT3064" s="74"/>
      <c r="AW3064" s="74"/>
    </row>
    <row r="3065" spans="46:49" x14ac:dyDescent="0.25">
      <c r="AT3065" s="74"/>
      <c r="AW3065" s="74"/>
    </row>
    <row r="3066" spans="46:49" x14ac:dyDescent="0.25">
      <c r="AT3066" s="74"/>
      <c r="AW3066" s="74"/>
    </row>
    <row r="3067" spans="46:49" x14ac:dyDescent="0.25">
      <c r="AT3067" s="74"/>
      <c r="AW3067" s="74"/>
    </row>
    <row r="3068" spans="46:49" x14ac:dyDescent="0.25">
      <c r="AT3068" s="74"/>
      <c r="AW3068" s="74"/>
    </row>
    <row r="3069" spans="46:49" x14ac:dyDescent="0.25">
      <c r="AT3069" s="74"/>
      <c r="AW3069" s="74"/>
    </row>
    <row r="3070" spans="46:49" x14ac:dyDescent="0.25">
      <c r="AT3070" s="74"/>
      <c r="AW3070" s="74"/>
    </row>
    <row r="3071" spans="46:49" x14ac:dyDescent="0.25">
      <c r="AT3071" s="74"/>
      <c r="AW3071" s="74"/>
    </row>
    <row r="3072" spans="46:49" x14ac:dyDescent="0.25">
      <c r="AT3072" s="74"/>
      <c r="AW3072" s="74"/>
    </row>
    <row r="3073" spans="46:49" x14ac:dyDescent="0.25">
      <c r="AT3073" s="74"/>
      <c r="AW3073" s="74"/>
    </row>
    <row r="3074" spans="46:49" x14ac:dyDescent="0.25">
      <c r="AT3074" s="74"/>
      <c r="AW3074" s="74"/>
    </row>
    <row r="3075" spans="46:49" x14ac:dyDescent="0.25">
      <c r="AT3075" s="74"/>
      <c r="AW3075" s="74"/>
    </row>
    <row r="3076" spans="46:49" x14ac:dyDescent="0.25">
      <c r="AT3076" s="74"/>
      <c r="AW3076" s="74"/>
    </row>
    <row r="3077" spans="46:49" x14ac:dyDescent="0.25">
      <c r="AT3077" s="74"/>
      <c r="AW3077" s="74"/>
    </row>
    <row r="3078" spans="46:49" x14ac:dyDescent="0.25">
      <c r="AT3078" s="74"/>
      <c r="AW3078" s="74"/>
    </row>
    <row r="3079" spans="46:49" x14ac:dyDescent="0.25">
      <c r="AT3079" s="74"/>
      <c r="AW3079" s="74"/>
    </row>
    <row r="3080" spans="46:49" x14ac:dyDescent="0.25">
      <c r="AT3080" s="74"/>
      <c r="AW3080" s="74"/>
    </row>
    <row r="3081" spans="46:49" x14ac:dyDescent="0.25">
      <c r="AT3081" s="74"/>
      <c r="AW3081" s="74"/>
    </row>
    <row r="3082" spans="46:49" x14ac:dyDescent="0.25">
      <c r="AT3082" s="74"/>
      <c r="AW3082" s="74"/>
    </row>
    <row r="3083" spans="46:49" x14ac:dyDescent="0.25">
      <c r="AT3083" s="74"/>
      <c r="AW3083" s="74"/>
    </row>
    <row r="3084" spans="46:49" x14ac:dyDescent="0.25">
      <c r="AT3084" s="74"/>
      <c r="AW3084" s="74"/>
    </row>
    <row r="3085" spans="46:49" x14ac:dyDescent="0.25">
      <c r="AT3085" s="74"/>
      <c r="AW3085" s="74"/>
    </row>
    <row r="3086" spans="46:49" x14ac:dyDescent="0.25">
      <c r="AT3086" s="74"/>
      <c r="AW3086" s="74"/>
    </row>
    <row r="3087" spans="46:49" x14ac:dyDescent="0.25">
      <c r="AT3087" s="74"/>
      <c r="AW3087" s="74"/>
    </row>
    <row r="3088" spans="46:49" x14ac:dyDescent="0.25">
      <c r="AT3088" s="74"/>
      <c r="AW3088" s="74"/>
    </row>
    <row r="3089" spans="46:49" x14ac:dyDescent="0.25">
      <c r="AT3089" s="74"/>
      <c r="AW3089" s="74"/>
    </row>
    <row r="3090" spans="46:49" x14ac:dyDescent="0.25">
      <c r="AT3090" s="74"/>
      <c r="AW3090" s="74"/>
    </row>
    <row r="3091" spans="46:49" x14ac:dyDescent="0.25">
      <c r="AT3091" s="74"/>
      <c r="AW3091" s="74"/>
    </row>
    <row r="3092" spans="46:49" x14ac:dyDescent="0.25">
      <c r="AT3092" s="74"/>
      <c r="AW3092" s="74"/>
    </row>
    <row r="3093" spans="46:49" x14ac:dyDescent="0.25">
      <c r="AT3093" s="74"/>
      <c r="AW3093" s="74"/>
    </row>
    <row r="3094" spans="46:49" x14ac:dyDescent="0.25">
      <c r="AT3094" s="74"/>
      <c r="AW3094" s="74"/>
    </row>
    <row r="3095" spans="46:49" x14ac:dyDescent="0.25">
      <c r="AT3095" s="74"/>
      <c r="AW3095" s="74"/>
    </row>
    <row r="3096" spans="46:49" x14ac:dyDescent="0.25">
      <c r="AT3096" s="74"/>
      <c r="AW3096" s="74"/>
    </row>
    <row r="3097" spans="46:49" x14ac:dyDescent="0.25">
      <c r="AT3097" s="74"/>
      <c r="AW3097" s="74"/>
    </row>
    <row r="3098" spans="46:49" x14ac:dyDescent="0.25">
      <c r="AT3098" s="74"/>
      <c r="AW3098" s="74"/>
    </row>
    <row r="3099" spans="46:49" x14ac:dyDescent="0.25">
      <c r="AT3099" s="74"/>
      <c r="AW3099" s="74"/>
    </row>
    <row r="3100" spans="46:49" x14ac:dyDescent="0.25">
      <c r="AT3100" s="74"/>
      <c r="AW3100" s="74"/>
    </row>
    <row r="3101" spans="46:49" x14ac:dyDescent="0.25">
      <c r="AT3101" s="74"/>
      <c r="AW3101" s="74"/>
    </row>
    <row r="3102" spans="46:49" x14ac:dyDescent="0.25">
      <c r="AT3102" s="74"/>
      <c r="AW3102" s="74"/>
    </row>
    <row r="3103" spans="46:49" x14ac:dyDescent="0.25">
      <c r="AT3103" s="74"/>
      <c r="AW3103" s="74"/>
    </row>
    <row r="3104" spans="46:49" x14ac:dyDescent="0.25">
      <c r="AT3104" s="74"/>
      <c r="AW3104" s="74"/>
    </row>
    <row r="3105" spans="46:49" x14ac:dyDescent="0.25">
      <c r="AT3105" s="74"/>
      <c r="AW3105" s="74"/>
    </row>
    <row r="3106" spans="46:49" x14ac:dyDescent="0.25">
      <c r="AT3106" s="74"/>
      <c r="AW3106" s="74"/>
    </row>
    <row r="3107" spans="46:49" x14ac:dyDescent="0.25">
      <c r="AT3107" s="74"/>
      <c r="AW3107" s="74"/>
    </row>
    <row r="3108" spans="46:49" x14ac:dyDescent="0.25">
      <c r="AT3108" s="74"/>
      <c r="AW3108" s="74"/>
    </row>
    <row r="3109" spans="46:49" x14ac:dyDescent="0.25">
      <c r="AT3109" s="74"/>
      <c r="AW3109" s="74"/>
    </row>
    <row r="3110" spans="46:49" x14ac:dyDescent="0.25">
      <c r="AT3110" s="74"/>
      <c r="AW3110" s="74"/>
    </row>
    <row r="3111" spans="46:49" x14ac:dyDescent="0.25">
      <c r="AT3111" s="74"/>
      <c r="AW3111" s="74"/>
    </row>
    <row r="3112" spans="46:49" x14ac:dyDescent="0.25">
      <c r="AT3112" s="74"/>
      <c r="AW3112" s="74"/>
    </row>
    <row r="3113" spans="46:49" x14ac:dyDescent="0.25">
      <c r="AT3113" s="74"/>
      <c r="AW3113" s="74"/>
    </row>
    <row r="3114" spans="46:49" x14ac:dyDescent="0.25">
      <c r="AT3114" s="74"/>
      <c r="AW3114" s="74"/>
    </row>
    <row r="3115" spans="46:49" x14ac:dyDescent="0.25">
      <c r="AT3115" s="74"/>
      <c r="AW3115" s="74"/>
    </row>
    <row r="3116" spans="46:49" x14ac:dyDescent="0.25">
      <c r="AT3116" s="74"/>
      <c r="AW3116" s="74"/>
    </row>
    <row r="3117" spans="46:49" x14ac:dyDescent="0.25">
      <c r="AT3117" s="74"/>
      <c r="AW3117" s="74"/>
    </row>
    <row r="3118" spans="46:49" x14ac:dyDescent="0.25">
      <c r="AT3118" s="74"/>
      <c r="AW3118" s="74"/>
    </row>
    <row r="3119" spans="46:49" x14ac:dyDescent="0.25">
      <c r="AT3119" s="74"/>
      <c r="AW3119" s="74"/>
    </row>
    <row r="3120" spans="46:49" x14ac:dyDescent="0.25">
      <c r="AT3120" s="74"/>
      <c r="AW3120" s="74"/>
    </row>
    <row r="3121" spans="46:49" x14ac:dyDescent="0.25">
      <c r="AT3121" s="74"/>
      <c r="AW3121" s="74"/>
    </row>
    <row r="3122" spans="46:49" x14ac:dyDescent="0.25">
      <c r="AT3122" s="74"/>
      <c r="AW3122" s="74"/>
    </row>
    <row r="3123" spans="46:49" x14ac:dyDescent="0.25">
      <c r="AT3123" s="74"/>
      <c r="AW3123" s="74"/>
    </row>
    <row r="3124" spans="46:49" x14ac:dyDescent="0.25">
      <c r="AT3124" s="74"/>
      <c r="AW3124" s="74"/>
    </row>
    <row r="3125" spans="46:49" x14ac:dyDescent="0.25">
      <c r="AT3125" s="74"/>
      <c r="AW3125" s="74"/>
    </row>
    <row r="3126" spans="46:49" x14ac:dyDescent="0.25">
      <c r="AT3126" s="74"/>
      <c r="AW3126" s="74"/>
    </row>
    <row r="3127" spans="46:49" x14ac:dyDescent="0.25">
      <c r="AT3127" s="74"/>
      <c r="AW3127" s="74"/>
    </row>
    <row r="3128" spans="46:49" x14ac:dyDescent="0.25">
      <c r="AT3128" s="74"/>
      <c r="AW3128" s="74"/>
    </row>
    <row r="3129" spans="46:49" x14ac:dyDescent="0.25">
      <c r="AT3129" s="74"/>
      <c r="AW3129" s="74"/>
    </row>
    <row r="3130" spans="46:49" x14ac:dyDescent="0.25">
      <c r="AT3130" s="74"/>
      <c r="AW3130" s="74"/>
    </row>
    <row r="3131" spans="46:49" x14ac:dyDescent="0.25">
      <c r="AT3131" s="74"/>
      <c r="AW3131" s="74"/>
    </row>
    <row r="3132" spans="46:49" x14ac:dyDescent="0.25">
      <c r="AT3132" s="74"/>
      <c r="AW3132" s="74"/>
    </row>
    <row r="3133" spans="46:49" x14ac:dyDescent="0.25">
      <c r="AT3133" s="74"/>
      <c r="AW3133" s="74"/>
    </row>
    <row r="3134" spans="46:49" x14ac:dyDescent="0.25">
      <c r="AT3134" s="74"/>
      <c r="AW3134" s="74"/>
    </row>
    <row r="3135" spans="46:49" x14ac:dyDescent="0.25">
      <c r="AT3135" s="74"/>
      <c r="AW3135" s="74"/>
    </row>
    <row r="3136" spans="46:49" x14ac:dyDescent="0.25">
      <c r="AT3136" s="74"/>
      <c r="AW3136" s="74"/>
    </row>
    <row r="3137" spans="46:49" x14ac:dyDescent="0.25">
      <c r="AT3137" s="74"/>
      <c r="AW3137" s="74"/>
    </row>
    <row r="3138" spans="46:49" x14ac:dyDescent="0.25">
      <c r="AT3138" s="74"/>
      <c r="AW3138" s="74"/>
    </row>
    <row r="3139" spans="46:49" x14ac:dyDescent="0.25">
      <c r="AT3139" s="74"/>
      <c r="AW3139" s="74"/>
    </row>
    <row r="3140" spans="46:49" x14ac:dyDescent="0.25">
      <c r="AT3140" s="74"/>
      <c r="AW3140" s="74"/>
    </row>
    <row r="3141" spans="46:49" x14ac:dyDescent="0.25">
      <c r="AT3141" s="74"/>
      <c r="AW3141" s="74"/>
    </row>
    <row r="3142" spans="46:49" x14ac:dyDescent="0.25">
      <c r="AT3142" s="74"/>
      <c r="AW3142" s="74"/>
    </row>
    <row r="3143" spans="46:49" x14ac:dyDescent="0.25">
      <c r="AT3143" s="74"/>
      <c r="AW3143" s="74"/>
    </row>
    <row r="3144" spans="46:49" x14ac:dyDescent="0.25">
      <c r="AT3144" s="74"/>
      <c r="AW3144" s="74"/>
    </row>
    <row r="3145" spans="46:49" x14ac:dyDescent="0.25">
      <c r="AT3145" s="74"/>
      <c r="AW3145" s="74"/>
    </row>
    <row r="3146" spans="46:49" x14ac:dyDescent="0.25">
      <c r="AT3146" s="74"/>
      <c r="AW3146" s="74"/>
    </row>
    <row r="3147" spans="46:49" x14ac:dyDescent="0.25">
      <c r="AT3147" s="74"/>
      <c r="AW3147" s="74"/>
    </row>
    <row r="3148" spans="46:49" x14ac:dyDescent="0.25">
      <c r="AT3148" s="74"/>
      <c r="AW3148" s="74"/>
    </row>
    <row r="3149" spans="46:49" x14ac:dyDescent="0.25">
      <c r="AT3149" s="74"/>
      <c r="AW3149" s="74"/>
    </row>
    <row r="3150" spans="46:49" x14ac:dyDescent="0.25">
      <c r="AT3150" s="74"/>
      <c r="AW3150" s="74"/>
    </row>
    <row r="3151" spans="46:49" x14ac:dyDescent="0.25">
      <c r="AT3151" s="74"/>
      <c r="AW3151" s="74"/>
    </row>
    <row r="3152" spans="46:49" x14ac:dyDescent="0.25">
      <c r="AT3152" s="74"/>
      <c r="AW3152" s="74"/>
    </row>
    <row r="3153" spans="46:49" x14ac:dyDescent="0.25">
      <c r="AT3153" s="74"/>
      <c r="AW3153" s="74"/>
    </row>
    <row r="3154" spans="46:49" x14ac:dyDescent="0.25">
      <c r="AT3154" s="74"/>
      <c r="AW3154" s="74"/>
    </row>
    <row r="3155" spans="46:49" x14ac:dyDescent="0.25">
      <c r="AT3155" s="74"/>
      <c r="AW3155" s="74"/>
    </row>
    <row r="3156" spans="46:49" x14ac:dyDescent="0.25">
      <c r="AT3156" s="74"/>
      <c r="AW3156" s="74"/>
    </row>
    <row r="3157" spans="46:49" x14ac:dyDescent="0.25">
      <c r="AT3157" s="74"/>
      <c r="AW3157" s="74"/>
    </row>
    <row r="3158" spans="46:49" x14ac:dyDescent="0.25">
      <c r="AT3158" s="74"/>
      <c r="AW3158" s="74"/>
    </row>
    <row r="3159" spans="46:49" x14ac:dyDescent="0.25">
      <c r="AT3159" s="74"/>
      <c r="AW3159" s="74"/>
    </row>
    <row r="3160" spans="46:49" x14ac:dyDescent="0.25">
      <c r="AT3160" s="74"/>
      <c r="AW3160" s="74"/>
    </row>
    <row r="3161" spans="46:49" x14ac:dyDescent="0.25">
      <c r="AT3161" s="74"/>
      <c r="AW3161" s="74"/>
    </row>
    <row r="3162" spans="46:49" x14ac:dyDescent="0.25">
      <c r="AT3162" s="74"/>
      <c r="AW3162" s="74"/>
    </row>
    <row r="3163" spans="46:49" x14ac:dyDescent="0.25">
      <c r="AT3163" s="74"/>
      <c r="AW3163" s="74"/>
    </row>
    <row r="3164" spans="46:49" x14ac:dyDescent="0.25">
      <c r="AT3164" s="74"/>
      <c r="AW3164" s="74"/>
    </row>
    <row r="3165" spans="46:49" x14ac:dyDescent="0.25">
      <c r="AT3165" s="74"/>
      <c r="AW3165" s="74"/>
    </row>
    <row r="3166" spans="46:49" x14ac:dyDescent="0.25">
      <c r="AT3166" s="74"/>
      <c r="AW3166" s="74"/>
    </row>
    <row r="3167" spans="46:49" x14ac:dyDescent="0.25">
      <c r="AT3167" s="74"/>
      <c r="AW3167" s="74"/>
    </row>
    <row r="3168" spans="46:49" x14ac:dyDescent="0.25">
      <c r="AT3168" s="74"/>
      <c r="AW3168" s="74"/>
    </row>
    <row r="3169" spans="46:49" x14ac:dyDescent="0.25">
      <c r="AT3169" s="74"/>
      <c r="AW3169" s="74"/>
    </row>
    <row r="3170" spans="46:49" x14ac:dyDescent="0.25">
      <c r="AT3170" s="74"/>
      <c r="AW3170" s="74"/>
    </row>
    <row r="3171" spans="46:49" x14ac:dyDescent="0.25">
      <c r="AT3171" s="74"/>
      <c r="AW3171" s="74"/>
    </row>
    <row r="3172" spans="46:49" x14ac:dyDescent="0.25">
      <c r="AT3172" s="74"/>
      <c r="AW3172" s="74"/>
    </row>
    <row r="3173" spans="46:49" x14ac:dyDescent="0.25">
      <c r="AT3173" s="74"/>
      <c r="AW3173" s="74"/>
    </row>
    <row r="3174" spans="46:49" x14ac:dyDescent="0.25">
      <c r="AT3174" s="74"/>
      <c r="AW3174" s="74"/>
    </row>
    <row r="3175" spans="46:49" x14ac:dyDescent="0.25">
      <c r="AT3175" s="74"/>
      <c r="AW3175" s="74"/>
    </row>
    <row r="3176" spans="46:49" x14ac:dyDescent="0.25">
      <c r="AT3176" s="74"/>
      <c r="AW3176" s="74"/>
    </row>
    <row r="3177" spans="46:49" x14ac:dyDescent="0.25">
      <c r="AT3177" s="74"/>
      <c r="AW3177" s="74"/>
    </row>
    <row r="3178" spans="46:49" x14ac:dyDescent="0.25">
      <c r="AT3178" s="74"/>
      <c r="AW3178" s="74"/>
    </row>
    <row r="3179" spans="46:49" x14ac:dyDescent="0.25">
      <c r="AT3179" s="74"/>
      <c r="AW3179" s="74"/>
    </row>
    <row r="3180" spans="46:49" x14ac:dyDescent="0.25">
      <c r="AT3180" s="74"/>
      <c r="AW3180" s="74"/>
    </row>
    <row r="3181" spans="46:49" x14ac:dyDescent="0.25">
      <c r="AT3181" s="74"/>
      <c r="AW3181" s="74"/>
    </row>
    <row r="3182" spans="46:49" x14ac:dyDescent="0.25">
      <c r="AT3182" s="74"/>
      <c r="AW3182" s="74"/>
    </row>
    <row r="3183" spans="46:49" x14ac:dyDescent="0.25">
      <c r="AT3183" s="74"/>
      <c r="AW3183" s="74"/>
    </row>
    <row r="3184" spans="46:49" x14ac:dyDescent="0.25">
      <c r="AT3184" s="74"/>
      <c r="AW3184" s="74"/>
    </row>
    <row r="3185" spans="46:49" x14ac:dyDescent="0.25">
      <c r="AT3185" s="74"/>
      <c r="AW3185" s="74"/>
    </row>
    <row r="3186" spans="46:49" x14ac:dyDescent="0.25">
      <c r="AT3186" s="74"/>
      <c r="AW3186" s="74"/>
    </row>
    <row r="3187" spans="46:49" x14ac:dyDescent="0.25">
      <c r="AT3187" s="74"/>
      <c r="AW3187" s="74"/>
    </row>
    <row r="3188" spans="46:49" x14ac:dyDescent="0.25">
      <c r="AT3188" s="74"/>
      <c r="AW3188" s="74"/>
    </row>
    <row r="3189" spans="46:49" x14ac:dyDescent="0.25">
      <c r="AT3189" s="74"/>
      <c r="AW3189" s="74"/>
    </row>
    <row r="3190" spans="46:49" x14ac:dyDescent="0.25">
      <c r="AT3190" s="74"/>
      <c r="AW3190" s="74"/>
    </row>
    <row r="3191" spans="46:49" x14ac:dyDescent="0.25">
      <c r="AT3191" s="74"/>
      <c r="AW3191" s="74"/>
    </row>
    <row r="3192" spans="46:49" x14ac:dyDescent="0.25">
      <c r="AT3192" s="74"/>
      <c r="AW3192" s="74"/>
    </row>
    <row r="3193" spans="46:49" x14ac:dyDescent="0.25">
      <c r="AT3193" s="74"/>
      <c r="AW3193" s="74"/>
    </row>
    <row r="3194" spans="46:49" x14ac:dyDescent="0.25">
      <c r="AT3194" s="74"/>
      <c r="AW3194" s="74"/>
    </row>
    <row r="3195" spans="46:49" x14ac:dyDescent="0.25">
      <c r="AT3195" s="74"/>
      <c r="AW3195" s="74"/>
    </row>
    <row r="3196" spans="46:49" x14ac:dyDescent="0.25">
      <c r="AT3196" s="74"/>
      <c r="AW3196" s="74"/>
    </row>
    <row r="3197" spans="46:49" x14ac:dyDescent="0.25">
      <c r="AT3197" s="74"/>
      <c r="AW3197" s="74"/>
    </row>
    <row r="3198" spans="46:49" x14ac:dyDescent="0.25">
      <c r="AT3198" s="74"/>
      <c r="AW3198" s="74"/>
    </row>
    <row r="3199" spans="46:49" x14ac:dyDescent="0.25">
      <c r="AT3199" s="74"/>
      <c r="AW3199" s="74"/>
    </row>
    <row r="3200" spans="46:49" x14ac:dyDescent="0.25">
      <c r="AT3200" s="74"/>
      <c r="AW3200" s="74"/>
    </row>
    <row r="3201" spans="46:49" x14ac:dyDescent="0.25">
      <c r="AT3201" s="74"/>
      <c r="AW3201" s="74"/>
    </row>
    <row r="3202" spans="46:49" x14ac:dyDescent="0.25">
      <c r="AT3202" s="74"/>
      <c r="AW3202" s="74"/>
    </row>
    <row r="3203" spans="46:49" x14ac:dyDescent="0.25">
      <c r="AT3203" s="74"/>
      <c r="AW3203" s="74"/>
    </row>
    <row r="3204" spans="46:49" x14ac:dyDescent="0.25">
      <c r="AT3204" s="74"/>
      <c r="AW3204" s="74"/>
    </row>
    <row r="3205" spans="46:49" x14ac:dyDescent="0.25">
      <c r="AT3205" s="74"/>
      <c r="AW3205" s="74"/>
    </row>
    <row r="3206" spans="46:49" x14ac:dyDescent="0.25">
      <c r="AT3206" s="74"/>
      <c r="AW3206" s="74"/>
    </row>
    <row r="3207" spans="46:49" x14ac:dyDescent="0.25">
      <c r="AT3207" s="74"/>
      <c r="AW3207" s="74"/>
    </row>
    <row r="3208" spans="46:49" x14ac:dyDescent="0.25">
      <c r="AT3208" s="74"/>
      <c r="AW3208" s="74"/>
    </row>
    <row r="3209" spans="46:49" x14ac:dyDescent="0.25">
      <c r="AT3209" s="74"/>
      <c r="AW3209" s="74"/>
    </row>
    <row r="3210" spans="46:49" x14ac:dyDescent="0.25">
      <c r="AT3210" s="74"/>
      <c r="AW3210" s="74"/>
    </row>
    <row r="3211" spans="46:49" x14ac:dyDescent="0.25">
      <c r="AT3211" s="74"/>
      <c r="AW3211" s="74"/>
    </row>
    <row r="3212" spans="46:49" x14ac:dyDescent="0.25">
      <c r="AT3212" s="74"/>
      <c r="AW3212" s="74"/>
    </row>
    <row r="3213" spans="46:49" x14ac:dyDescent="0.25">
      <c r="AT3213" s="74"/>
      <c r="AW3213" s="74"/>
    </row>
    <row r="3214" spans="46:49" x14ac:dyDescent="0.25">
      <c r="AT3214" s="74"/>
      <c r="AW3214" s="74"/>
    </row>
    <row r="3215" spans="46:49" x14ac:dyDescent="0.25">
      <c r="AT3215" s="74"/>
      <c r="AW3215" s="74"/>
    </row>
    <row r="3216" spans="46:49" x14ac:dyDescent="0.25">
      <c r="AT3216" s="74"/>
      <c r="AW3216" s="74"/>
    </row>
    <row r="3217" spans="46:49" x14ac:dyDescent="0.25">
      <c r="AT3217" s="74"/>
      <c r="AW3217" s="74"/>
    </row>
    <row r="3218" spans="46:49" x14ac:dyDescent="0.25">
      <c r="AT3218" s="74"/>
      <c r="AW3218" s="74"/>
    </row>
    <row r="3219" spans="46:49" x14ac:dyDescent="0.25">
      <c r="AT3219" s="74"/>
      <c r="AW3219" s="74"/>
    </row>
    <row r="3220" spans="46:49" x14ac:dyDescent="0.25">
      <c r="AT3220" s="74"/>
      <c r="AW3220" s="74"/>
    </row>
    <row r="3221" spans="46:49" x14ac:dyDescent="0.25">
      <c r="AT3221" s="74"/>
      <c r="AW3221" s="74"/>
    </row>
    <row r="3222" spans="46:49" x14ac:dyDescent="0.25">
      <c r="AT3222" s="74"/>
      <c r="AW3222" s="74"/>
    </row>
    <row r="3223" spans="46:49" x14ac:dyDescent="0.25">
      <c r="AT3223" s="74"/>
      <c r="AW3223" s="74"/>
    </row>
    <row r="3224" spans="46:49" x14ac:dyDescent="0.25">
      <c r="AT3224" s="74"/>
      <c r="AW3224" s="74"/>
    </row>
    <row r="3225" spans="46:49" x14ac:dyDescent="0.25">
      <c r="AT3225" s="74"/>
      <c r="AW3225" s="74"/>
    </row>
    <row r="3226" spans="46:49" x14ac:dyDescent="0.25">
      <c r="AT3226" s="74"/>
      <c r="AW3226" s="74"/>
    </row>
    <row r="3227" spans="46:49" x14ac:dyDescent="0.25">
      <c r="AT3227" s="74"/>
      <c r="AW3227" s="74"/>
    </row>
    <row r="3228" spans="46:49" x14ac:dyDescent="0.25">
      <c r="AT3228" s="74"/>
      <c r="AW3228" s="74"/>
    </row>
    <row r="3229" spans="46:49" x14ac:dyDescent="0.25">
      <c r="AT3229" s="74"/>
      <c r="AW3229" s="74"/>
    </row>
    <row r="3230" spans="46:49" x14ac:dyDescent="0.25">
      <c r="AT3230" s="74"/>
      <c r="AW3230" s="74"/>
    </row>
    <row r="3231" spans="46:49" x14ac:dyDescent="0.25">
      <c r="AT3231" s="74"/>
      <c r="AW3231" s="74"/>
    </row>
    <row r="3232" spans="46:49" x14ac:dyDescent="0.25">
      <c r="AT3232" s="74"/>
      <c r="AW3232" s="74"/>
    </row>
    <row r="3233" spans="46:49" x14ac:dyDescent="0.25">
      <c r="AT3233" s="74"/>
      <c r="AW3233" s="74"/>
    </row>
    <row r="3234" spans="46:49" x14ac:dyDescent="0.25">
      <c r="AT3234" s="74"/>
      <c r="AW3234" s="74"/>
    </row>
    <row r="3235" spans="46:49" x14ac:dyDescent="0.25">
      <c r="AT3235" s="74"/>
      <c r="AW3235" s="74"/>
    </row>
    <row r="3236" spans="46:49" x14ac:dyDescent="0.25">
      <c r="AT3236" s="74"/>
      <c r="AW3236" s="74"/>
    </row>
    <row r="3237" spans="46:49" x14ac:dyDescent="0.25">
      <c r="AT3237" s="74"/>
      <c r="AW3237" s="74"/>
    </row>
    <row r="3238" spans="46:49" x14ac:dyDescent="0.25">
      <c r="AT3238" s="74"/>
      <c r="AW3238" s="74"/>
    </row>
    <row r="3239" spans="46:49" x14ac:dyDescent="0.25">
      <c r="AT3239" s="74"/>
      <c r="AW3239" s="74"/>
    </row>
    <row r="3240" spans="46:49" x14ac:dyDescent="0.25">
      <c r="AT3240" s="74"/>
      <c r="AW3240" s="74"/>
    </row>
    <row r="3241" spans="46:49" x14ac:dyDescent="0.25">
      <c r="AT3241" s="74"/>
      <c r="AW3241" s="74"/>
    </row>
    <row r="3242" spans="46:49" x14ac:dyDescent="0.25">
      <c r="AT3242" s="74"/>
      <c r="AW3242" s="74"/>
    </row>
    <row r="3243" spans="46:49" x14ac:dyDescent="0.25">
      <c r="AT3243" s="74"/>
      <c r="AW3243" s="74"/>
    </row>
    <row r="3244" spans="46:49" x14ac:dyDescent="0.25">
      <c r="AT3244" s="74"/>
      <c r="AW3244" s="74"/>
    </row>
    <row r="3245" spans="46:49" x14ac:dyDescent="0.25">
      <c r="AT3245" s="74"/>
      <c r="AW3245" s="74"/>
    </row>
    <row r="3246" spans="46:49" x14ac:dyDescent="0.25">
      <c r="AT3246" s="74"/>
      <c r="AW3246" s="74"/>
    </row>
    <row r="3247" spans="46:49" x14ac:dyDescent="0.25">
      <c r="AT3247" s="74"/>
      <c r="AW3247" s="74"/>
    </row>
    <row r="3248" spans="46:49" x14ac:dyDescent="0.25">
      <c r="AT3248" s="74"/>
      <c r="AW3248" s="74"/>
    </row>
    <row r="3249" spans="46:49" x14ac:dyDescent="0.25">
      <c r="AT3249" s="74"/>
      <c r="AW3249" s="74"/>
    </row>
    <row r="3250" spans="46:49" x14ac:dyDescent="0.25">
      <c r="AT3250" s="74"/>
      <c r="AW3250" s="74"/>
    </row>
    <row r="3251" spans="46:49" x14ac:dyDescent="0.25">
      <c r="AT3251" s="74"/>
      <c r="AW3251" s="74"/>
    </row>
    <row r="3252" spans="46:49" x14ac:dyDescent="0.25">
      <c r="AT3252" s="74"/>
      <c r="AW3252" s="74"/>
    </row>
    <row r="3253" spans="46:49" x14ac:dyDescent="0.25">
      <c r="AT3253" s="74"/>
      <c r="AW3253" s="74"/>
    </row>
    <row r="3254" spans="46:49" x14ac:dyDescent="0.25">
      <c r="AT3254" s="74"/>
      <c r="AW3254" s="74"/>
    </row>
    <row r="3255" spans="46:49" x14ac:dyDescent="0.25">
      <c r="AT3255" s="74"/>
      <c r="AW3255" s="74"/>
    </row>
    <row r="3256" spans="46:49" x14ac:dyDescent="0.25">
      <c r="AT3256" s="74"/>
      <c r="AW3256" s="74"/>
    </row>
    <row r="3257" spans="46:49" x14ac:dyDescent="0.25">
      <c r="AT3257" s="74"/>
      <c r="AW3257" s="74"/>
    </row>
    <row r="3258" spans="46:49" x14ac:dyDescent="0.25">
      <c r="AT3258" s="74"/>
      <c r="AW3258" s="74"/>
    </row>
    <row r="3259" spans="46:49" x14ac:dyDescent="0.25">
      <c r="AT3259" s="74"/>
      <c r="AW3259" s="74"/>
    </row>
    <row r="3260" spans="46:49" x14ac:dyDescent="0.25">
      <c r="AT3260" s="74"/>
      <c r="AW3260" s="74"/>
    </row>
    <row r="3261" spans="46:49" x14ac:dyDescent="0.25">
      <c r="AT3261" s="74"/>
      <c r="AW3261" s="74"/>
    </row>
    <row r="3262" spans="46:49" x14ac:dyDescent="0.25">
      <c r="AT3262" s="74"/>
      <c r="AW3262" s="74"/>
    </row>
    <row r="3263" spans="46:49" x14ac:dyDescent="0.25">
      <c r="AT3263" s="74"/>
      <c r="AW3263" s="74"/>
    </row>
    <row r="3264" spans="46:49" x14ac:dyDescent="0.25">
      <c r="AT3264" s="74"/>
      <c r="AW3264" s="74"/>
    </row>
    <row r="3265" spans="46:49" x14ac:dyDescent="0.25">
      <c r="AT3265" s="74"/>
      <c r="AW3265" s="74"/>
    </row>
    <row r="3266" spans="46:49" x14ac:dyDescent="0.25">
      <c r="AT3266" s="74"/>
      <c r="AW3266" s="74"/>
    </row>
    <row r="3267" spans="46:49" x14ac:dyDescent="0.25">
      <c r="AT3267" s="74"/>
      <c r="AW3267" s="74"/>
    </row>
    <row r="3268" spans="46:49" x14ac:dyDescent="0.25">
      <c r="AT3268" s="74"/>
      <c r="AW3268" s="74"/>
    </row>
    <row r="3269" spans="46:49" x14ac:dyDescent="0.25">
      <c r="AT3269" s="74"/>
      <c r="AW3269" s="74"/>
    </row>
    <row r="3270" spans="46:49" x14ac:dyDescent="0.25">
      <c r="AT3270" s="74"/>
      <c r="AW3270" s="74"/>
    </row>
    <row r="3271" spans="46:49" x14ac:dyDescent="0.25">
      <c r="AT3271" s="74"/>
      <c r="AW3271" s="74"/>
    </row>
    <row r="3272" spans="46:49" x14ac:dyDescent="0.25">
      <c r="AT3272" s="74"/>
      <c r="AW3272" s="74"/>
    </row>
    <row r="3273" spans="46:49" x14ac:dyDescent="0.25">
      <c r="AT3273" s="74"/>
      <c r="AW3273" s="74"/>
    </row>
    <row r="3274" spans="46:49" x14ac:dyDescent="0.25">
      <c r="AT3274" s="74"/>
      <c r="AW3274" s="74"/>
    </row>
    <row r="3275" spans="46:49" x14ac:dyDescent="0.25">
      <c r="AT3275" s="74"/>
      <c r="AW3275" s="74"/>
    </row>
    <row r="3276" spans="46:49" x14ac:dyDescent="0.25">
      <c r="AT3276" s="74"/>
      <c r="AW3276" s="74"/>
    </row>
    <row r="3277" spans="46:49" x14ac:dyDescent="0.25">
      <c r="AT3277" s="74"/>
      <c r="AW3277" s="74"/>
    </row>
    <row r="3278" spans="46:49" x14ac:dyDescent="0.25">
      <c r="AT3278" s="74"/>
      <c r="AW3278" s="74"/>
    </row>
    <row r="3279" spans="46:49" x14ac:dyDescent="0.25">
      <c r="AT3279" s="74"/>
      <c r="AW3279" s="74"/>
    </row>
    <row r="3280" spans="46:49" x14ac:dyDescent="0.25">
      <c r="AT3280" s="74"/>
      <c r="AW3280" s="74"/>
    </row>
    <row r="3281" spans="46:49" x14ac:dyDescent="0.25">
      <c r="AT3281" s="74"/>
      <c r="AW3281" s="74"/>
    </row>
    <row r="3282" spans="46:49" x14ac:dyDescent="0.25">
      <c r="AT3282" s="74"/>
      <c r="AW3282" s="74"/>
    </row>
    <row r="3283" spans="46:49" x14ac:dyDescent="0.25">
      <c r="AT3283" s="74"/>
      <c r="AW3283" s="74"/>
    </row>
    <row r="3284" spans="46:49" x14ac:dyDescent="0.25">
      <c r="AT3284" s="74"/>
      <c r="AW3284" s="74"/>
    </row>
    <row r="3285" spans="46:49" x14ac:dyDescent="0.25">
      <c r="AT3285" s="74"/>
      <c r="AW3285" s="74"/>
    </row>
    <row r="3286" spans="46:49" x14ac:dyDescent="0.25">
      <c r="AT3286" s="74"/>
      <c r="AW3286" s="74"/>
    </row>
    <row r="3287" spans="46:49" x14ac:dyDescent="0.25">
      <c r="AT3287" s="74"/>
      <c r="AW3287" s="74"/>
    </row>
    <row r="3288" spans="46:49" x14ac:dyDescent="0.25">
      <c r="AT3288" s="74"/>
      <c r="AW3288" s="74"/>
    </row>
    <row r="3289" spans="46:49" x14ac:dyDescent="0.25">
      <c r="AT3289" s="74"/>
      <c r="AW3289" s="74"/>
    </row>
    <row r="3290" spans="46:49" x14ac:dyDescent="0.25">
      <c r="AT3290" s="74"/>
      <c r="AW3290" s="74"/>
    </row>
    <row r="3291" spans="46:49" x14ac:dyDescent="0.25">
      <c r="AT3291" s="74"/>
      <c r="AW3291" s="74"/>
    </row>
    <row r="3292" spans="46:49" x14ac:dyDescent="0.25">
      <c r="AT3292" s="74"/>
      <c r="AW3292" s="74"/>
    </row>
    <row r="3293" spans="46:49" x14ac:dyDescent="0.25">
      <c r="AT3293" s="74"/>
      <c r="AW3293" s="74"/>
    </row>
    <row r="3294" spans="46:49" x14ac:dyDescent="0.25">
      <c r="AT3294" s="74"/>
      <c r="AW3294" s="74"/>
    </row>
    <row r="3295" spans="46:49" x14ac:dyDescent="0.25">
      <c r="AT3295" s="74"/>
      <c r="AW3295" s="74"/>
    </row>
    <row r="3296" spans="46:49" x14ac:dyDescent="0.25">
      <c r="AT3296" s="74"/>
      <c r="AW3296" s="74"/>
    </row>
    <row r="3297" spans="46:49" x14ac:dyDescent="0.25">
      <c r="AT3297" s="74"/>
      <c r="AW3297" s="74"/>
    </row>
    <row r="3298" spans="46:49" x14ac:dyDescent="0.25">
      <c r="AT3298" s="74"/>
      <c r="AW3298" s="74"/>
    </row>
    <row r="3299" spans="46:49" x14ac:dyDescent="0.25">
      <c r="AT3299" s="74"/>
      <c r="AW3299" s="74"/>
    </row>
    <row r="3300" spans="46:49" x14ac:dyDescent="0.25">
      <c r="AT3300" s="74"/>
      <c r="AW3300" s="74"/>
    </row>
    <row r="3301" spans="46:49" x14ac:dyDescent="0.25">
      <c r="AT3301" s="74"/>
      <c r="AW3301" s="74"/>
    </row>
    <row r="3302" spans="46:49" x14ac:dyDescent="0.25">
      <c r="AT3302" s="74"/>
      <c r="AW3302" s="74"/>
    </row>
    <row r="3303" spans="46:49" x14ac:dyDescent="0.25">
      <c r="AT3303" s="74"/>
      <c r="AW3303" s="74"/>
    </row>
    <row r="3304" spans="46:49" x14ac:dyDescent="0.25">
      <c r="AT3304" s="74"/>
      <c r="AW3304" s="74"/>
    </row>
    <row r="3305" spans="46:49" x14ac:dyDescent="0.25">
      <c r="AT3305" s="74"/>
      <c r="AW3305" s="74"/>
    </row>
    <row r="3306" spans="46:49" x14ac:dyDescent="0.25">
      <c r="AT3306" s="74"/>
      <c r="AW3306" s="74"/>
    </row>
    <row r="3307" spans="46:49" x14ac:dyDescent="0.25">
      <c r="AT3307" s="74"/>
      <c r="AW3307" s="74"/>
    </row>
    <row r="3308" spans="46:49" x14ac:dyDescent="0.25">
      <c r="AT3308" s="74"/>
      <c r="AW3308" s="74"/>
    </row>
    <row r="3309" spans="46:49" x14ac:dyDescent="0.25">
      <c r="AT3309" s="74"/>
      <c r="AW3309" s="74"/>
    </row>
    <row r="3310" spans="46:49" x14ac:dyDescent="0.25">
      <c r="AT3310" s="74"/>
      <c r="AW3310" s="74"/>
    </row>
    <row r="3311" spans="46:49" x14ac:dyDescent="0.25">
      <c r="AT3311" s="74"/>
      <c r="AW3311" s="74"/>
    </row>
    <row r="3312" spans="46:49" x14ac:dyDescent="0.25">
      <c r="AT3312" s="74"/>
      <c r="AW3312" s="74"/>
    </row>
    <row r="3313" spans="46:49" x14ac:dyDescent="0.25">
      <c r="AT3313" s="74"/>
      <c r="AW3313" s="74"/>
    </row>
    <row r="3314" spans="46:49" x14ac:dyDescent="0.25">
      <c r="AT3314" s="74"/>
      <c r="AW3314" s="74"/>
    </row>
    <row r="3315" spans="46:49" x14ac:dyDescent="0.25">
      <c r="AT3315" s="74"/>
      <c r="AW3315" s="74"/>
    </row>
    <row r="3316" spans="46:49" x14ac:dyDescent="0.25">
      <c r="AT3316" s="74"/>
      <c r="AW3316" s="74"/>
    </row>
    <row r="3317" spans="46:49" x14ac:dyDescent="0.25">
      <c r="AT3317" s="74"/>
      <c r="AW3317" s="74"/>
    </row>
    <row r="3318" spans="46:49" x14ac:dyDescent="0.25">
      <c r="AT3318" s="74"/>
      <c r="AW3318" s="74"/>
    </row>
    <row r="3319" spans="46:49" x14ac:dyDescent="0.25">
      <c r="AT3319" s="74"/>
      <c r="AW3319" s="74"/>
    </row>
    <row r="3320" spans="46:49" x14ac:dyDescent="0.25">
      <c r="AT3320" s="74"/>
      <c r="AW3320" s="74"/>
    </row>
    <row r="3321" spans="46:49" x14ac:dyDescent="0.25">
      <c r="AT3321" s="74"/>
      <c r="AW3321" s="74"/>
    </row>
    <row r="3322" spans="46:49" x14ac:dyDescent="0.25">
      <c r="AT3322" s="74"/>
      <c r="AW3322" s="74"/>
    </row>
    <row r="3323" spans="46:49" x14ac:dyDescent="0.25">
      <c r="AT3323" s="74"/>
      <c r="AW3323" s="74"/>
    </row>
    <row r="3324" spans="46:49" x14ac:dyDescent="0.25">
      <c r="AT3324" s="74"/>
      <c r="AW3324" s="74"/>
    </row>
    <row r="3325" spans="46:49" x14ac:dyDescent="0.25">
      <c r="AT3325" s="74"/>
      <c r="AW3325" s="74"/>
    </row>
    <row r="3326" spans="46:49" x14ac:dyDescent="0.25">
      <c r="AT3326" s="74"/>
      <c r="AW3326" s="74"/>
    </row>
    <row r="3327" spans="46:49" x14ac:dyDescent="0.25">
      <c r="AT3327" s="74"/>
      <c r="AW3327" s="74"/>
    </row>
    <row r="3328" spans="46:49" x14ac:dyDescent="0.25">
      <c r="AT3328" s="74"/>
      <c r="AW3328" s="74"/>
    </row>
    <row r="3329" spans="46:49" x14ac:dyDescent="0.25">
      <c r="AT3329" s="74"/>
      <c r="AW3329" s="74"/>
    </row>
    <row r="3330" spans="46:49" x14ac:dyDescent="0.25">
      <c r="AT3330" s="74"/>
      <c r="AW3330" s="74"/>
    </row>
    <row r="3331" spans="46:49" x14ac:dyDescent="0.25">
      <c r="AT3331" s="74"/>
      <c r="AW3331" s="74"/>
    </row>
    <row r="3332" spans="46:49" x14ac:dyDescent="0.25">
      <c r="AT3332" s="74"/>
      <c r="AW3332" s="74"/>
    </row>
    <row r="3333" spans="46:49" x14ac:dyDescent="0.25">
      <c r="AT3333" s="74"/>
      <c r="AW3333" s="74"/>
    </row>
    <row r="3334" spans="46:49" x14ac:dyDescent="0.25">
      <c r="AT3334" s="74"/>
      <c r="AW3334" s="74"/>
    </row>
    <row r="3335" spans="46:49" x14ac:dyDescent="0.25">
      <c r="AT3335" s="74"/>
      <c r="AW3335" s="74"/>
    </row>
    <row r="3336" spans="46:49" x14ac:dyDescent="0.25">
      <c r="AT3336" s="74"/>
      <c r="AW3336" s="74"/>
    </row>
    <row r="3337" spans="46:49" x14ac:dyDescent="0.25">
      <c r="AT3337" s="74"/>
      <c r="AW3337" s="74"/>
    </row>
    <row r="3338" spans="46:49" x14ac:dyDescent="0.25">
      <c r="AT3338" s="74"/>
      <c r="AW3338" s="74"/>
    </row>
    <row r="3339" spans="46:49" x14ac:dyDescent="0.25">
      <c r="AT3339" s="74"/>
      <c r="AW3339" s="74"/>
    </row>
    <row r="3340" spans="46:49" x14ac:dyDescent="0.25">
      <c r="AT3340" s="74"/>
      <c r="AW3340" s="74"/>
    </row>
    <row r="3341" spans="46:49" x14ac:dyDescent="0.25">
      <c r="AT3341" s="74"/>
      <c r="AW3341" s="74"/>
    </row>
    <row r="3342" spans="46:49" x14ac:dyDescent="0.25">
      <c r="AT3342" s="74"/>
      <c r="AW3342" s="74"/>
    </row>
    <row r="3343" spans="46:49" x14ac:dyDescent="0.25">
      <c r="AT3343" s="74"/>
      <c r="AW3343" s="74"/>
    </row>
    <row r="3344" spans="46:49" x14ac:dyDescent="0.25">
      <c r="AT3344" s="74"/>
      <c r="AW3344" s="74"/>
    </row>
    <row r="3345" spans="46:49" x14ac:dyDescent="0.25">
      <c r="AT3345" s="74"/>
      <c r="AW3345" s="74"/>
    </row>
    <row r="3346" spans="46:49" x14ac:dyDescent="0.25">
      <c r="AT3346" s="74"/>
      <c r="AW3346" s="74"/>
    </row>
    <row r="3347" spans="46:49" x14ac:dyDescent="0.25">
      <c r="AT3347" s="74"/>
      <c r="AW3347" s="74"/>
    </row>
    <row r="3348" spans="46:49" x14ac:dyDescent="0.25">
      <c r="AT3348" s="74"/>
      <c r="AW3348" s="74"/>
    </row>
    <row r="3349" spans="46:49" x14ac:dyDescent="0.25">
      <c r="AT3349" s="74"/>
      <c r="AW3349" s="74"/>
    </row>
    <row r="3350" spans="46:49" x14ac:dyDescent="0.25">
      <c r="AT3350" s="74"/>
      <c r="AW3350" s="74"/>
    </row>
    <row r="3351" spans="46:49" x14ac:dyDescent="0.25">
      <c r="AT3351" s="74"/>
      <c r="AW3351" s="74"/>
    </row>
    <row r="3352" spans="46:49" x14ac:dyDescent="0.25">
      <c r="AT3352" s="74"/>
      <c r="AW3352" s="74"/>
    </row>
    <row r="3353" spans="46:49" x14ac:dyDescent="0.25">
      <c r="AT3353" s="74"/>
      <c r="AW3353" s="74"/>
    </row>
    <row r="3354" spans="46:49" x14ac:dyDescent="0.25">
      <c r="AT3354" s="74"/>
      <c r="AW3354" s="74"/>
    </row>
    <row r="3355" spans="46:49" x14ac:dyDescent="0.25">
      <c r="AT3355" s="74"/>
      <c r="AW3355" s="74"/>
    </row>
    <row r="3356" spans="46:49" x14ac:dyDescent="0.25">
      <c r="AT3356" s="74"/>
      <c r="AW3356" s="74"/>
    </row>
    <row r="3357" spans="46:49" x14ac:dyDescent="0.25">
      <c r="AT3357" s="74"/>
      <c r="AW3357" s="74"/>
    </row>
    <row r="3358" spans="46:49" x14ac:dyDescent="0.25">
      <c r="AT3358" s="74"/>
      <c r="AW3358" s="74"/>
    </row>
    <row r="3359" spans="46:49" x14ac:dyDescent="0.25">
      <c r="AT3359" s="74"/>
      <c r="AW3359" s="74"/>
    </row>
    <row r="3360" spans="46:49" x14ac:dyDescent="0.25">
      <c r="AT3360" s="74"/>
      <c r="AW3360" s="74"/>
    </row>
    <row r="3361" spans="46:49" x14ac:dyDescent="0.25">
      <c r="AT3361" s="74"/>
      <c r="AW3361" s="74"/>
    </row>
    <row r="3362" spans="46:49" x14ac:dyDescent="0.25">
      <c r="AT3362" s="74"/>
      <c r="AW3362" s="74"/>
    </row>
    <row r="3363" spans="46:49" x14ac:dyDescent="0.25">
      <c r="AT3363" s="74"/>
      <c r="AW3363" s="74"/>
    </row>
    <row r="3364" spans="46:49" x14ac:dyDescent="0.25">
      <c r="AT3364" s="74"/>
      <c r="AW3364" s="74"/>
    </row>
    <row r="3365" spans="46:49" x14ac:dyDescent="0.25">
      <c r="AT3365" s="74"/>
      <c r="AW3365" s="74"/>
    </row>
    <row r="3366" spans="46:49" x14ac:dyDescent="0.25">
      <c r="AT3366" s="74"/>
      <c r="AW3366" s="74"/>
    </row>
    <row r="3367" spans="46:49" x14ac:dyDescent="0.25">
      <c r="AT3367" s="74"/>
      <c r="AW3367" s="74"/>
    </row>
    <row r="3368" spans="46:49" x14ac:dyDescent="0.25">
      <c r="AT3368" s="74"/>
      <c r="AW3368" s="74"/>
    </row>
    <row r="3369" spans="46:49" x14ac:dyDescent="0.25">
      <c r="AT3369" s="74"/>
      <c r="AW3369" s="74"/>
    </row>
    <row r="3370" spans="46:49" x14ac:dyDescent="0.25">
      <c r="AT3370" s="74"/>
      <c r="AW3370" s="74"/>
    </row>
    <row r="3371" spans="46:49" x14ac:dyDescent="0.25">
      <c r="AT3371" s="74"/>
      <c r="AW3371" s="74"/>
    </row>
    <row r="3372" spans="46:49" x14ac:dyDescent="0.25">
      <c r="AT3372" s="74"/>
      <c r="AW3372" s="74"/>
    </row>
    <row r="3373" spans="46:49" x14ac:dyDescent="0.25">
      <c r="AT3373" s="74"/>
      <c r="AW3373" s="74"/>
    </row>
    <row r="3374" spans="46:49" x14ac:dyDescent="0.25">
      <c r="AT3374" s="74"/>
      <c r="AW3374" s="74"/>
    </row>
    <row r="3375" spans="46:49" x14ac:dyDescent="0.25">
      <c r="AT3375" s="74"/>
      <c r="AW3375" s="74"/>
    </row>
    <row r="3376" spans="46:49" x14ac:dyDescent="0.25">
      <c r="AT3376" s="74"/>
      <c r="AW3376" s="74"/>
    </row>
    <row r="3377" spans="46:49" x14ac:dyDescent="0.25">
      <c r="AT3377" s="74"/>
      <c r="AW3377" s="74"/>
    </row>
    <row r="3378" spans="46:49" x14ac:dyDescent="0.25">
      <c r="AT3378" s="74"/>
      <c r="AW3378" s="74"/>
    </row>
    <row r="3379" spans="46:49" x14ac:dyDescent="0.25">
      <c r="AT3379" s="74"/>
      <c r="AW3379" s="74"/>
    </row>
    <row r="3380" spans="46:49" x14ac:dyDescent="0.25">
      <c r="AT3380" s="74"/>
      <c r="AW3380" s="74"/>
    </row>
    <row r="3381" spans="46:49" x14ac:dyDescent="0.25">
      <c r="AT3381" s="74"/>
      <c r="AW3381" s="74"/>
    </row>
    <row r="3382" spans="46:49" x14ac:dyDescent="0.25">
      <c r="AT3382" s="74"/>
      <c r="AW3382" s="74"/>
    </row>
    <row r="3383" spans="46:49" x14ac:dyDescent="0.25">
      <c r="AT3383" s="74"/>
      <c r="AW3383" s="74"/>
    </row>
    <row r="3384" spans="46:49" x14ac:dyDescent="0.25">
      <c r="AT3384" s="74"/>
      <c r="AW3384" s="74"/>
    </row>
    <row r="3385" spans="46:49" x14ac:dyDescent="0.25">
      <c r="AT3385" s="74"/>
      <c r="AW3385" s="74"/>
    </row>
    <row r="3386" spans="46:49" x14ac:dyDescent="0.25">
      <c r="AT3386" s="74"/>
      <c r="AW3386" s="74"/>
    </row>
    <row r="3387" spans="46:49" x14ac:dyDescent="0.25">
      <c r="AT3387" s="74"/>
      <c r="AW3387" s="74"/>
    </row>
    <row r="3388" spans="46:49" x14ac:dyDescent="0.25">
      <c r="AT3388" s="74"/>
      <c r="AW3388" s="74"/>
    </row>
    <row r="3389" spans="46:49" x14ac:dyDescent="0.25">
      <c r="AT3389" s="74"/>
      <c r="AW3389" s="74"/>
    </row>
    <row r="3390" spans="46:49" x14ac:dyDescent="0.25">
      <c r="AT3390" s="74"/>
      <c r="AW3390" s="74"/>
    </row>
    <row r="3391" spans="46:49" x14ac:dyDescent="0.25">
      <c r="AT3391" s="74"/>
      <c r="AW3391" s="74"/>
    </row>
    <row r="3392" spans="46:49" x14ac:dyDescent="0.25">
      <c r="AT3392" s="74"/>
      <c r="AW3392" s="74"/>
    </row>
    <row r="3393" spans="46:49" x14ac:dyDescent="0.25">
      <c r="AT3393" s="74"/>
      <c r="AW3393" s="74"/>
    </row>
    <row r="3394" spans="46:49" x14ac:dyDescent="0.25">
      <c r="AT3394" s="74"/>
      <c r="AW3394" s="74"/>
    </row>
    <row r="3395" spans="46:49" x14ac:dyDescent="0.25">
      <c r="AT3395" s="74"/>
      <c r="AW3395" s="74"/>
    </row>
    <row r="3396" spans="46:49" x14ac:dyDescent="0.25">
      <c r="AT3396" s="74"/>
      <c r="AW3396" s="74"/>
    </row>
    <row r="3397" spans="46:49" x14ac:dyDescent="0.25">
      <c r="AT3397" s="74"/>
      <c r="AW3397" s="74"/>
    </row>
    <row r="3398" spans="46:49" x14ac:dyDescent="0.25">
      <c r="AT3398" s="74"/>
      <c r="AW3398" s="74"/>
    </row>
    <row r="3399" spans="46:49" x14ac:dyDescent="0.25">
      <c r="AT3399" s="74"/>
      <c r="AW3399" s="74"/>
    </row>
    <row r="3400" spans="46:49" x14ac:dyDescent="0.25">
      <c r="AT3400" s="74"/>
      <c r="AW3400" s="74"/>
    </row>
    <row r="3401" spans="46:49" x14ac:dyDescent="0.25">
      <c r="AT3401" s="74"/>
      <c r="AW3401" s="74"/>
    </row>
    <row r="3402" spans="46:49" x14ac:dyDescent="0.25">
      <c r="AT3402" s="74"/>
      <c r="AW3402" s="74"/>
    </row>
    <row r="3403" spans="46:49" x14ac:dyDescent="0.25">
      <c r="AT3403" s="74"/>
      <c r="AW3403" s="74"/>
    </row>
    <row r="3404" spans="46:49" x14ac:dyDescent="0.25">
      <c r="AT3404" s="74"/>
      <c r="AW3404" s="74"/>
    </row>
    <row r="3405" spans="46:49" x14ac:dyDescent="0.25">
      <c r="AT3405" s="74"/>
      <c r="AW3405" s="74"/>
    </row>
    <row r="3406" spans="46:49" x14ac:dyDescent="0.25">
      <c r="AT3406" s="74"/>
      <c r="AW3406" s="74"/>
    </row>
    <row r="3407" spans="46:49" x14ac:dyDescent="0.25">
      <c r="AT3407" s="74"/>
      <c r="AW3407" s="74"/>
    </row>
    <row r="3408" spans="46:49" x14ac:dyDescent="0.25">
      <c r="AT3408" s="74"/>
      <c r="AW3408" s="74"/>
    </row>
    <row r="3409" spans="46:49" x14ac:dyDescent="0.25">
      <c r="AT3409" s="74"/>
      <c r="AW3409" s="74"/>
    </row>
    <row r="3410" spans="46:49" x14ac:dyDescent="0.25">
      <c r="AT3410" s="74"/>
      <c r="AW3410" s="74"/>
    </row>
    <row r="3411" spans="46:49" x14ac:dyDescent="0.25">
      <c r="AT3411" s="74"/>
      <c r="AW3411" s="74"/>
    </row>
    <row r="3412" spans="46:49" x14ac:dyDescent="0.25">
      <c r="AT3412" s="74"/>
      <c r="AW3412" s="74"/>
    </row>
    <row r="3413" spans="46:49" x14ac:dyDescent="0.25">
      <c r="AT3413" s="74"/>
      <c r="AW3413" s="74"/>
    </row>
    <row r="3414" spans="46:49" x14ac:dyDescent="0.25">
      <c r="AT3414" s="74"/>
      <c r="AW3414" s="74"/>
    </row>
    <row r="3415" spans="46:49" x14ac:dyDescent="0.25">
      <c r="AT3415" s="74"/>
      <c r="AW3415" s="74"/>
    </row>
    <row r="3416" spans="46:49" x14ac:dyDescent="0.25">
      <c r="AT3416" s="74"/>
      <c r="AW3416" s="74"/>
    </row>
    <row r="3417" spans="46:49" x14ac:dyDescent="0.25">
      <c r="AT3417" s="74"/>
      <c r="AW3417" s="74"/>
    </row>
    <row r="3418" spans="46:49" x14ac:dyDescent="0.25">
      <c r="AT3418" s="74"/>
      <c r="AW3418" s="74"/>
    </row>
    <row r="3419" spans="46:49" x14ac:dyDescent="0.25">
      <c r="AT3419" s="74"/>
      <c r="AW3419" s="74"/>
    </row>
    <row r="3420" spans="46:49" x14ac:dyDescent="0.25">
      <c r="AT3420" s="74"/>
      <c r="AW3420" s="74"/>
    </row>
    <row r="3421" spans="46:49" x14ac:dyDescent="0.25">
      <c r="AT3421" s="74"/>
      <c r="AW3421" s="74"/>
    </row>
    <row r="3422" spans="46:49" x14ac:dyDescent="0.25">
      <c r="AT3422" s="74"/>
      <c r="AW3422" s="74"/>
    </row>
    <row r="3423" spans="46:49" x14ac:dyDescent="0.25">
      <c r="AT3423" s="74"/>
      <c r="AW3423" s="74"/>
    </row>
    <row r="3424" spans="46:49" x14ac:dyDescent="0.25">
      <c r="AT3424" s="74"/>
      <c r="AW3424" s="74"/>
    </row>
    <row r="3425" spans="46:49" x14ac:dyDescent="0.25">
      <c r="AT3425" s="74"/>
      <c r="AW3425" s="74"/>
    </row>
    <row r="3426" spans="46:49" x14ac:dyDescent="0.25">
      <c r="AT3426" s="74"/>
      <c r="AW3426" s="74"/>
    </row>
    <row r="3427" spans="46:49" x14ac:dyDescent="0.25">
      <c r="AT3427" s="74"/>
      <c r="AW3427" s="74"/>
    </row>
    <row r="3428" spans="46:49" x14ac:dyDescent="0.25">
      <c r="AT3428" s="74"/>
      <c r="AW3428" s="74"/>
    </row>
    <row r="3429" spans="46:49" x14ac:dyDescent="0.25">
      <c r="AT3429" s="74"/>
      <c r="AW3429" s="74"/>
    </row>
    <row r="3430" spans="46:49" x14ac:dyDescent="0.25">
      <c r="AT3430" s="74"/>
      <c r="AW3430" s="74"/>
    </row>
    <row r="3431" spans="46:49" x14ac:dyDescent="0.25">
      <c r="AT3431" s="74"/>
      <c r="AW3431" s="74"/>
    </row>
    <row r="3432" spans="46:49" x14ac:dyDescent="0.25">
      <c r="AT3432" s="74"/>
      <c r="AW3432" s="74"/>
    </row>
    <row r="3433" spans="46:49" x14ac:dyDescent="0.25">
      <c r="AT3433" s="74"/>
      <c r="AW3433" s="74"/>
    </row>
    <row r="3434" spans="46:49" x14ac:dyDescent="0.25">
      <c r="AT3434" s="74"/>
      <c r="AW3434" s="74"/>
    </row>
    <row r="3435" spans="46:49" x14ac:dyDescent="0.25">
      <c r="AT3435" s="74"/>
      <c r="AW3435" s="74"/>
    </row>
    <row r="3436" spans="46:49" x14ac:dyDescent="0.25">
      <c r="AT3436" s="74"/>
      <c r="AW3436" s="74"/>
    </row>
    <row r="3437" spans="46:49" x14ac:dyDescent="0.25">
      <c r="AT3437" s="74"/>
      <c r="AW3437" s="74"/>
    </row>
    <row r="3438" spans="46:49" x14ac:dyDescent="0.25">
      <c r="AT3438" s="74"/>
      <c r="AW3438" s="74"/>
    </row>
    <row r="3439" spans="46:49" x14ac:dyDescent="0.25">
      <c r="AT3439" s="74"/>
      <c r="AW3439" s="74"/>
    </row>
    <row r="3440" spans="46:49" x14ac:dyDescent="0.25">
      <c r="AT3440" s="74"/>
      <c r="AW3440" s="74"/>
    </row>
    <row r="3441" spans="46:49" x14ac:dyDescent="0.25">
      <c r="AT3441" s="74"/>
      <c r="AW3441" s="74"/>
    </row>
    <row r="3442" spans="46:49" x14ac:dyDescent="0.25">
      <c r="AT3442" s="74"/>
      <c r="AW3442" s="74"/>
    </row>
    <row r="3443" spans="46:49" x14ac:dyDescent="0.25">
      <c r="AT3443" s="74"/>
      <c r="AW3443" s="74"/>
    </row>
    <row r="3444" spans="46:49" x14ac:dyDescent="0.25">
      <c r="AT3444" s="74"/>
      <c r="AW3444" s="74"/>
    </row>
    <row r="3445" spans="46:49" x14ac:dyDescent="0.25">
      <c r="AT3445" s="74"/>
      <c r="AW3445" s="74"/>
    </row>
    <row r="3446" spans="46:49" x14ac:dyDescent="0.25">
      <c r="AT3446" s="74"/>
      <c r="AW3446" s="74"/>
    </row>
    <row r="3447" spans="46:49" x14ac:dyDescent="0.25">
      <c r="AT3447" s="74"/>
      <c r="AW3447" s="74"/>
    </row>
    <row r="3448" spans="46:49" x14ac:dyDescent="0.25">
      <c r="AT3448" s="74"/>
      <c r="AW3448" s="74"/>
    </row>
    <row r="3449" spans="46:49" x14ac:dyDescent="0.25">
      <c r="AT3449" s="74"/>
      <c r="AW3449" s="74"/>
    </row>
    <row r="3450" spans="46:49" x14ac:dyDescent="0.25">
      <c r="AT3450" s="74"/>
      <c r="AW3450" s="74"/>
    </row>
    <row r="3451" spans="46:49" x14ac:dyDescent="0.25">
      <c r="AT3451" s="74"/>
      <c r="AW3451" s="74"/>
    </row>
    <row r="3452" spans="46:49" x14ac:dyDescent="0.25">
      <c r="AT3452" s="74"/>
      <c r="AW3452" s="74"/>
    </row>
    <row r="3453" spans="46:49" x14ac:dyDescent="0.25">
      <c r="AT3453" s="74"/>
      <c r="AW3453" s="74"/>
    </row>
    <row r="3454" spans="46:49" x14ac:dyDescent="0.25">
      <c r="AT3454" s="74"/>
      <c r="AW3454" s="74"/>
    </row>
    <row r="3455" spans="46:49" x14ac:dyDescent="0.25">
      <c r="AT3455" s="74"/>
      <c r="AW3455" s="74"/>
    </row>
    <row r="3456" spans="46:49" x14ac:dyDescent="0.25">
      <c r="AT3456" s="74"/>
      <c r="AW3456" s="74"/>
    </row>
    <row r="3457" spans="46:49" x14ac:dyDescent="0.25">
      <c r="AT3457" s="74"/>
      <c r="AW3457" s="74"/>
    </row>
    <row r="3458" spans="46:49" x14ac:dyDescent="0.25">
      <c r="AT3458" s="74"/>
      <c r="AW3458" s="74"/>
    </row>
    <row r="3459" spans="46:49" x14ac:dyDescent="0.25">
      <c r="AT3459" s="74"/>
      <c r="AW3459" s="74"/>
    </row>
    <row r="3460" spans="46:49" x14ac:dyDescent="0.25">
      <c r="AT3460" s="74"/>
      <c r="AW3460" s="74"/>
    </row>
    <row r="3461" spans="46:49" x14ac:dyDescent="0.25">
      <c r="AT3461" s="74"/>
      <c r="AW3461" s="74"/>
    </row>
    <row r="3462" spans="46:49" x14ac:dyDescent="0.25">
      <c r="AT3462" s="74"/>
      <c r="AW3462" s="74"/>
    </row>
    <row r="3463" spans="46:49" x14ac:dyDescent="0.25">
      <c r="AT3463" s="74"/>
      <c r="AW3463" s="74"/>
    </row>
    <row r="3464" spans="46:49" x14ac:dyDescent="0.25">
      <c r="AT3464" s="74"/>
      <c r="AW3464" s="74"/>
    </row>
    <row r="3465" spans="46:49" x14ac:dyDescent="0.25">
      <c r="AT3465" s="74"/>
      <c r="AW3465" s="74"/>
    </row>
    <row r="3466" spans="46:49" x14ac:dyDescent="0.25">
      <c r="AT3466" s="74"/>
      <c r="AW3466" s="74"/>
    </row>
    <row r="3467" spans="46:49" x14ac:dyDescent="0.25">
      <c r="AT3467" s="74"/>
      <c r="AW3467" s="74"/>
    </row>
    <row r="3468" spans="46:49" x14ac:dyDescent="0.25">
      <c r="AT3468" s="74"/>
      <c r="AW3468" s="74"/>
    </row>
    <row r="3469" spans="46:49" x14ac:dyDescent="0.25">
      <c r="AT3469" s="74"/>
      <c r="AW3469" s="74"/>
    </row>
    <row r="3470" spans="46:49" x14ac:dyDescent="0.25">
      <c r="AT3470" s="74"/>
      <c r="AW3470" s="74"/>
    </row>
    <row r="3471" spans="46:49" x14ac:dyDescent="0.25">
      <c r="AT3471" s="74"/>
      <c r="AW3471" s="74"/>
    </row>
    <row r="3472" spans="46:49" x14ac:dyDescent="0.25">
      <c r="AT3472" s="74"/>
      <c r="AW3472" s="74"/>
    </row>
    <row r="3473" spans="46:49" x14ac:dyDescent="0.25">
      <c r="AT3473" s="74"/>
      <c r="AW3473" s="74"/>
    </row>
    <row r="3474" spans="46:49" x14ac:dyDescent="0.25">
      <c r="AT3474" s="74"/>
      <c r="AW3474" s="74"/>
    </row>
    <row r="3475" spans="46:49" x14ac:dyDescent="0.25">
      <c r="AT3475" s="74"/>
      <c r="AW3475" s="74"/>
    </row>
    <row r="3476" spans="46:49" x14ac:dyDescent="0.25">
      <c r="AT3476" s="74"/>
      <c r="AW3476" s="74"/>
    </row>
    <row r="3477" spans="46:49" x14ac:dyDescent="0.25">
      <c r="AT3477" s="74"/>
      <c r="AW3477" s="74"/>
    </row>
    <row r="3478" spans="46:49" x14ac:dyDescent="0.25">
      <c r="AT3478" s="74"/>
      <c r="AW3478" s="74"/>
    </row>
    <row r="3479" spans="46:49" x14ac:dyDescent="0.25">
      <c r="AT3479" s="74"/>
      <c r="AW3479" s="74"/>
    </row>
    <row r="3480" spans="46:49" x14ac:dyDescent="0.25">
      <c r="AT3480" s="74"/>
      <c r="AW3480" s="74"/>
    </row>
    <row r="3481" spans="46:49" x14ac:dyDescent="0.25">
      <c r="AT3481" s="74"/>
      <c r="AW3481" s="74"/>
    </row>
    <row r="3482" spans="46:49" x14ac:dyDescent="0.25">
      <c r="AT3482" s="74"/>
      <c r="AW3482" s="74"/>
    </row>
    <row r="3483" spans="46:49" x14ac:dyDescent="0.25">
      <c r="AT3483" s="74"/>
      <c r="AW3483" s="74"/>
    </row>
    <row r="3484" spans="46:49" x14ac:dyDescent="0.25">
      <c r="AT3484" s="74"/>
      <c r="AW3484" s="74"/>
    </row>
    <row r="3485" spans="46:49" x14ac:dyDescent="0.25">
      <c r="AT3485" s="74"/>
      <c r="AW3485" s="74"/>
    </row>
    <row r="3486" spans="46:49" x14ac:dyDescent="0.25">
      <c r="AT3486" s="74"/>
      <c r="AW3486" s="74"/>
    </row>
    <row r="3487" spans="46:49" x14ac:dyDescent="0.25">
      <c r="AT3487" s="74"/>
      <c r="AW3487" s="74"/>
    </row>
    <row r="3488" spans="46:49" x14ac:dyDescent="0.25">
      <c r="AT3488" s="74"/>
      <c r="AW3488" s="74"/>
    </row>
    <row r="3489" spans="46:49" x14ac:dyDescent="0.25">
      <c r="AT3489" s="74"/>
      <c r="AW3489" s="74"/>
    </row>
    <row r="3490" spans="46:49" x14ac:dyDescent="0.25">
      <c r="AT3490" s="74"/>
      <c r="AW3490" s="74"/>
    </row>
    <row r="3491" spans="46:49" x14ac:dyDescent="0.25">
      <c r="AT3491" s="74"/>
      <c r="AW3491" s="74"/>
    </row>
    <row r="3492" spans="46:49" x14ac:dyDescent="0.25">
      <c r="AT3492" s="74"/>
      <c r="AW3492" s="74"/>
    </row>
    <row r="3493" spans="46:49" x14ac:dyDescent="0.25">
      <c r="AT3493" s="74"/>
      <c r="AW3493" s="74"/>
    </row>
    <row r="3494" spans="46:49" x14ac:dyDescent="0.25">
      <c r="AT3494" s="74"/>
      <c r="AW3494" s="74"/>
    </row>
    <row r="3495" spans="46:49" x14ac:dyDescent="0.25">
      <c r="AT3495" s="74"/>
      <c r="AW3495" s="74"/>
    </row>
    <row r="3496" spans="46:49" x14ac:dyDescent="0.25">
      <c r="AT3496" s="74"/>
      <c r="AW3496" s="74"/>
    </row>
    <row r="3497" spans="46:49" x14ac:dyDescent="0.25">
      <c r="AT3497" s="74"/>
      <c r="AW3497" s="74"/>
    </row>
    <row r="3498" spans="46:49" x14ac:dyDescent="0.25">
      <c r="AT3498" s="74"/>
      <c r="AW3498" s="74"/>
    </row>
    <row r="3499" spans="46:49" x14ac:dyDescent="0.25">
      <c r="AT3499" s="74"/>
      <c r="AW3499" s="74"/>
    </row>
    <row r="3500" spans="46:49" x14ac:dyDescent="0.25">
      <c r="AT3500" s="74"/>
      <c r="AW3500" s="74"/>
    </row>
    <row r="3501" spans="46:49" x14ac:dyDescent="0.25">
      <c r="AT3501" s="74"/>
      <c r="AW3501" s="74"/>
    </row>
    <row r="3502" spans="46:49" x14ac:dyDescent="0.25">
      <c r="AT3502" s="74"/>
      <c r="AW3502" s="74"/>
    </row>
    <row r="3503" spans="46:49" x14ac:dyDescent="0.25">
      <c r="AT3503" s="74"/>
      <c r="AW3503" s="74"/>
    </row>
    <row r="3504" spans="46:49" x14ac:dyDescent="0.25">
      <c r="AT3504" s="74"/>
      <c r="AW3504" s="74"/>
    </row>
    <row r="3505" spans="46:49" x14ac:dyDescent="0.25">
      <c r="AT3505" s="74"/>
      <c r="AW3505" s="74"/>
    </row>
    <row r="3506" spans="46:49" x14ac:dyDescent="0.25">
      <c r="AT3506" s="74"/>
      <c r="AW3506" s="74"/>
    </row>
    <row r="3507" spans="46:49" x14ac:dyDescent="0.25">
      <c r="AT3507" s="74"/>
      <c r="AW3507" s="74"/>
    </row>
    <row r="3508" spans="46:49" x14ac:dyDescent="0.25">
      <c r="AT3508" s="74"/>
      <c r="AW3508" s="74"/>
    </row>
    <row r="3509" spans="46:49" x14ac:dyDescent="0.25">
      <c r="AT3509" s="74"/>
      <c r="AW3509" s="74"/>
    </row>
    <row r="3510" spans="46:49" x14ac:dyDescent="0.25">
      <c r="AT3510" s="74"/>
      <c r="AW3510" s="74"/>
    </row>
    <row r="3511" spans="46:49" x14ac:dyDescent="0.25">
      <c r="AT3511" s="74"/>
      <c r="AW3511" s="74"/>
    </row>
    <row r="3512" spans="46:49" x14ac:dyDescent="0.25">
      <c r="AT3512" s="74"/>
      <c r="AW3512" s="74"/>
    </row>
    <row r="3513" spans="46:49" x14ac:dyDescent="0.25">
      <c r="AT3513" s="74"/>
      <c r="AW3513" s="74"/>
    </row>
    <row r="3514" spans="46:49" x14ac:dyDescent="0.25">
      <c r="AT3514" s="74"/>
      <c r="AW3514" s="74"/>
    </row>
    <row r="3515" spans="46:49" x14ac:dyDescent="0.25">
      <c r="AT3515" s="74"/>
      <c r="AW3515" s="74"/>
    </row>
    <row r="3516" spans="46:49" x14ac:dyDescent="0.25">
      <c r="AT3516" s="74"/>
      <c r="AW3516" s="74"/>
    </row>
    <row r="3517" spans="46:49" x14ac:dyDescent="0.25">
      <c r="AT3517" s="74"/>
      <c r="AW3517" s="74"/>
    </row>
    <row r="3518" spans="46:49" x14ac:dyDescent="0.25">
      <c r="AT3518" s="74"/>
      <c r="AW3518" s="74"/>
    </row>
    <row r="3519" spans="46:49" x14ac:dyDescent="0.25">
      <c r="AT3519" s="74"/>
      <c r="AW3519" s="74"/>
    </row>
    <row r="3520" spans="46:49" x14ac:dyDescent="0.25">
      <c r="AT3520" s="74"/>
      <c r="AW3520" s="74"/>
    </row>
    <row r="3521" spans="46:49" x14ac:dyDescent="0.25">
      <c r="AT3521" s="74"/>
      <c r="AW3521" s="74"/>
    </row>
    <row r="3522" spans="46:49" x14ac:dyDescent="0.25">
      <c r="AT3522" s="74"/>
      <c r="AW3522" s="74"/>
    </row>
    <row r="3523" spans="46:49" x14ac:dyDescent="0.25">
      <c r="AT3523" s="74"/>
      <c r="AW3523" s="74"/>
    </row>
    <row r="3524" spans="46:49" x14ac:dyDescent="0.25">
      <c r="AT3524" s="74"/>
      <c r="AW3524" s="74"/>
    </row>
    <row r="3525" spans="46:49" x14ac:dyDescent="0.25">
      <c r="AT3525" s="74"/>
      <c r="AW3525" s="74"/>
    </row>
    <row r="3526" spans="46:49" x14ac:dyDescent="0.25">
      <c r="AT3526" s="74"/>
      <c r="AW3526" s="74"/>
    </row>
    <row r="3527" spans="46:49" x14ac:dyDescent="0.25">
      <c r="AT3527" s="74"/>
      <c r="AW3527" s="74"/>
    </row>
    <row r="3528" spans="46:49" x14ac:dyDescent="0.25">
      <c r="AT3528" s="74"/>
      <c r="AW3528" s="74"/>
    </row>
    <row r="3529" spans="46:49" x14ac:dyDescent="0.25">
      <c r="AT3529" s="74"/>
      <c r="AW3529" s="74"/>
    </row>
    <row r="3530" spans="46:49" x14ac:dyDescent="0.25">
      <c r="AT3530" s="74"/>
      <c r="AW3530" s="74"/>
    </row>
    <row r="3531" spans="46:49" x14ac:dyDescent="0.25">
      <c r="AT3531" s="74"/>
      <c r="AW3531" s="74"/>
    </row>
    <row r="3532" spans="46:49" x14ac:dyDescent="0.25">
      <c r="AT3532" s="74"/>
      <c r="AW3532" s="74"/>
    </row>
    <row r="3533" spans="46:49" x14ac:dyDescent="0.25">
      <c r="AT3533" s="74"/>
      <c r="AW3533" s="74"/>
    </row>
    <row r="3534" spans="46:49" x14ac:dyDescent="0.25">
      <c r="AT3534" s="74"/>
      <c r="AW3534" s="74"/>
    </row>
    <row r="3535" spans="46:49" x14ac:dyDescent="0.25">
      <c r="AT3535" s="74"/>
      <c r="AW3535" s="74"/>
    </row>
    <row r="3536" spans="46:49" x14ac:dyDescent="0.25">
      <c r="AT3536" s="74"/>
      <c r="AW3536" s="74"/>
    </row>
    <row r="3537" spans="46:49" x14ac:dyDescent="0.25">
      <c r="AT3537" s="74"/>
      <c r="AW3537" s="74"/>
    </row>
    <row r="3538" spans="46:49" x14ac:dyDescent="0.25">
      <c r="AT3538" s="74"/>
      <c r="AW3538" s="74"/>
    </row>
    <row r="3539" spans="46:49" x14ac:dyDescent="0.25">
      <c r="AT3539" s="74"/>
      <c r="AW3539" s="74"/>
    </row>
    <row r="3540" spans="46:49" x14ac:dyDescent="0.25">
      <c r="AT3540" s="74"/>
      <c r="AW3540" s="74"/>
    </row>
    <row r="3541" spans="46:49" x14ac:dyDescent="0.25">
      <c r="AT3541" s="74"/>
      <c r="AW3541" s="74"/>
    </row>
    <row r="3542" spans="46:49" x14ac:dyDescent="0.25">
      <c r="AT3542" s="74"/>
      <c r="AW3542" s="74"/>
    </row>
    <row r="3543" spans="46:49" x14ac:dyDescent="0.25">
      <c r="AT3543" s="74"/>
      <c r="AW3543" s="74"/>
    </row>
    <row r="3544" spans="46:49" x14ac:dyDescent="0.25">
      <c r="AT3544" s="74"/>
      <c r="AW3544" s="74"/>
    </row>
    <row r="3545" spans="46:49" x14ac:dyDescent="0.25">
      <c r="AT3545" s="74"/>
      <c r="AW3545" s="74"/>
    </row>
    <row r="3546" spans="46:49" x14ac:dyDescent="0.25">
      <c r="AT3546" s="74"/>
      <c r="AW3546" s="74"/>
    </row>
    <row r="3547" spans="46:49" x14ac:dyDescent="0.25">
      <c r="AT3547" s="74"/>
      <c r="AW3547" s="74"/>
    </row>
    <row r="3548" spans="46:49" x14ac:dyDescent="0.25">
      <c r="AT3548" s="74"/>
      <c r="AW3548" s="74"/>
    </row>
    <row r="3549" spans="46:49" x14ac:dyDescent="0.25">
      <c r="AT3549" s="74"/>
      <c r="AW3549" s="74"/>
    </row>
    <row r="3550" spans="46:49" x14ac:dyDescent="0.25">
      <c r="AT3550" s="74"/>
      <c r="AW3550" s="74"/>
    </row>
    <row r="3551" spans="46:49" x14ac:dyDescent="0.25">
      <c r="AT3551" s="74"/>
      <c r="AW3551" s="74"/>
    </row>
    <row r="3552" spans="46:49" x14ac:dyDescent="0.25">
      <c r="AT3552" s="74"/>
      <c r="AW3552" s="74"/>
    </row>
    <row r="3553" spans="46:49" x14ac:dyDescent="0.25">
      <c r="AT3553" s="74"/>
      <c r="AW3553" s="74"/>
    </row>
    <row r="3554" spans="46:49" x14ac:dyDescent="0.25">
      <c r="AT3554" s="74"/>
      <c r="AW3554" s="74"/>
    </row>
    <row r="3555" spans="46:49" x14ac:dyDescent="0.25">
      <c r="AT3555" s="74"/>
      <c r="AW3555" s="74"/>
    </row>
    <row r="3556" spans="46:49" x14ac:dyDescent="0.25">
      <c r="AT3556" s="74"/>
      <c r="AW3556" s="74"/>
    </row>
    <row r="3557" spans="46:49" x14ac:dyDescent="0.25">
      <c r="AT3557" s="74"/>
      <c r="AW3557" s="74"/>
    </row>
    <row r="3558" spans="46:49" x14ac:dyDescent="0.25">
      <c r="AT3558" s="74"/>
      <c r="AW3558" s="74"/>
    </row>
    <row r="3559" spans="46:49" x14ac:dyDescent="0.25">
      <c r="AT3559" s="74"/>
      <c r="AW3559" s="74"/>
    </row>
    <row r="3560" spans="46:49" x14ac:dyDescent="0.25">
      <c r="AT3560" s="74"/>
      <c r="AW3560" s="74"/>
    </row>
    <row r="3561" spans="46:49" x14ac:dyDescent="0.25">
      <c r="AT3561" s="74"/>
      <c r="AW3561" s="74"/>
    </row>
    <row r="3562" spans="46:49" x14ac:dyDescent="0.25">
      <c r="AT3562" s="74"/>
      <c r="AW3562" s="74"/>
    </row>
    <row r="3563" spans="46:49" x14ac:dyDescent="0.25">
      <c r="AT3563" s="74"/>
      <c r="AW3563" s="74"/>
    </row>
    <row r="3564" spans="46:49" x14ac:dyDescent="0.25">
      <c r="AT3564" s="74"/>
      <c r="AW3564" s="74"/>
    </row>
    <row r="3565" spans="46:49" x14ac:dyDescent="0.25">
      <c r="AT3565" s="74"/>
      <c r="AW3565" s="74"/>
    </row>
    <row r="3566" spans="46:49" x14ac:dyDescent="0.25">
      <c r="AT3566" s="74"/>
      <c r="AW3566" s="74"/>
    </row>
    <row r="3567" spans="46:49" x14ac:dyDescent="0.25">
      <c r="AT3567" s="74"/>
      <c r="AW3567" s="74"/>
    </row>
    <row r="3568" spans="46:49" x14ac:dyDescent="0.25">
      <c r="AT3568" s="74"/>
      <c r="AW3568" s="74"/>
    </row>
    <row r="3569" spans="46:49" x14ac:dyDescent="0.25">
      <c r="AT3569" s="74"/>
      <c r="AW3569" s="74"/>
    </row>
    <row r="3570" spans="46:49" x14ac:dyDescent="0.25">
      <c r="AT3570" s="74"/>
      <c r="AW3570" s="74"/>
    </row>
    <row r="3571" spans="46:49" x14ac:dyDescent="0.25">
      <c r="AT3571" s="74"/>
      <c r="AW3571" s="74"/>
    </row>
    <row r="3572" spans="46:49" x14ac:dyDescent="0.25">
      <c r="AT3572" s="74"/>
      <c r="AW3572" s="74"/>
    </row>
    <row r="3573" spans="46:49" x14ac:dyDescent="0.25">
      <c r="AT3573" s="74"/>
      <c r="AW3573" s="74"/>
    </row>
    <row r="3574" spans="46:49" x14ac:dyDescent="0.25">
      <c r="AT3574" s="74"/>
      <c r="AW3574" s="74"/>
    </row>
    <row r="3575" spans="46:49" x14ac:dyDescent="0.25">
      <c r="AT3575" s="74"/>
      <c r="AW3575" s="74"/>
    </row>
    <row r="3576" spans="46:49" x14ac:dyDescent="0.25">
      <c r="AT3576" s="74"/>
      <c r="AW3576" s="74"/>
    </row>
    <row r="3577" spans="46:49" x14ac:dyDescent="0.25">
      <c r="AT3577" s="74"/>
      <c r="AW3577" s="74"/>
    </row>
    <row r="3578" spans="46:49" x14ac:dyDescent="0.25">
      <c r="AT3578" s="74"/>
      <c r="AW3578" s="74"/>
    </row>
    <row r="3579" spans="46:49" x14ac:dyDescent="0.25">
      <c r="AT3579" s="74"/>
      <c r="AW3579" s="74"/>
    </row>
    <row r="3580" spans="46:49" x14ac:dyDescent="0.25">
      <c r="AT3580" s="74"/>
      <c r="AW3580" s="74"/>
    </row>
    <row r="3581" spans="46:49" x14ac:dyDescent="0.25">
      <c r="AT3581" s="74"/>
      <c r="AW3581" s="74"/>
    </row>
    <row r="3582" spans="46:49" x14ac:dyDescent="0.25">
      <c r="AT3582" s="74"/>
      <c r="AW3582" s="74"/>
    </row>
    <row r="3583" spans="46:49" x14ac:dyDescent="0.25">
      <c r="AT3583" s="74"/>
      <c r="AW3583" s="74"/>
    </row>
    <row r="3584" spans="46:49" x14ac:dyDescent="0.25">
      <c r="AT3584" s="74"/>
      <c r="AW3584" s="74"/>
    </row>
    <row r="3585" spans="46:49" x14ac:dyDescent="0.25">
      <c r="AT3585" s="74"/>
      <c r="AW3585" s="74"/>
    </row>
    <row r="3586" spans="46:49" x14ac:dyDescent="0.25">
      <c r="AT3586" s="74"/>
      <c r="AW3586" s="74"/>
    </row>
    <row r="3587" spans="46:49" x14ac:dyDescent="0.25">
      <c r="AT3587" s="74"/>
      <c r="AW3587" s="74"/>
    </row>
    <row r="3588" spans="46:49" x14ac:dyDescent="0.25">
      <c r="AT3588" s="74"/>
      <c r="AW3588" s="74"/>
    </row>
    <row r="3589" spans="46:49" x14ac:dyDescent="0.25">
      <c r="AT3589" s="74"/>
      <c r="AW3589" s="74"/>
    </row>
    <row r="3590" spans="46:49" x14ac:dyDescent="0.25">
      <c r="AT3590" s="74"/>
      <c r="AW3590" s="74"/>
    </row>
    <row r="3591" spans="46:49" x14ac:dyDescent="0.25">
      <c r="AT3591" s="74"/>
      <c r="AW3591" s="74"/>
    </row>
    <row r="3592" spans="46:49" x14ac:dyDescent="0.25">
      <c r="AT3592" s="74"/>
      <c r="AW3592" s="74"/>
    </row>
    <row r="3593" spans="46:49" x14ac:dyDescent="0.25">
      <c r="AT3593" s="74"/>
      <c r="AW3593" s="74"/>
    </row>
    <row r="3594" spans="46:49" x14ac:dyDescent="0.25">
      <c r="AT3594" s="74"/>
      <c r="AW3594" s="74"/>
    </row>
    <row r="3595" spans="46:49" x14ac:dyDescent="0.25">
      <c r="AT3595" s="74"/>
      <c r="AW3595" s="74"/>
    </row>
    <row r="3596" spans="46:49" x14ac:dyDescent="0.25">
      <c r="AT3596" s="74"/>
      <c r="AW3596" s="74"/>
    </row>
    <row r="3597" spans="46:49" x14ac:dyDescent="0.25">
      <c r="AT3597" s="74"/>
      <c r="AW3597" s="74"/>
    </row>
    <row r="3598" spans="46:49" x14ac:dyDescent="0.25">
      <c r="AT3598" s="74"/>
      <c r="AW3598" s="74"/>
    </row>
    <row r="3599" spans="46:49" x14ac:dyDescent="0.25">
      <c r="AT3599" s="74"/>
      <c r="AW3599" s="74"/>
    </row>
    <row r="3600" spans="46:49" x14ac:dyDescent="0.25">
      <c r="AT3600" s="74"/>
      <c r="AW3600" s="74"/>
    </row>
    <row r="3601" spans="46:49" x14ac:dyDescent="0.25">
      <c r="AT3601" s="74"/>
      <c r="AW3601" s="74"/>
    </row>
    <row r="3602" spans="46:49" x14ac:dyDescent="0.25">
      <c r="AT3602" s="74"/>
      <c r="AW3602" s="74"/>
    </row>
    <row r="3603" spans="46:49" x14ac:dyDescent="0.25">
      <c r="AT3603" s="74"/>
      <c r="AW3603" s="74"/>
    </row>
    <row r="3604" spans="46:49" x14ac:dyDescent="0.25">
      <c r="AT3604" s="74"/>
      <c r="AW3604" s="74"/>
    </row>
    <row r="3605" spans="46:49" x14ac:dyDescent="0.25">
      <c r="AT3605" s="74"/>
      <c r="AW3605" s="74"/>
    </row>
    <row r="3606" spans="46:49" x14ac:dyDescent="0.25">
      <c r="AT3606" s="74"/>
      <c r="AW3606" s="74"/>
    </row>
    <row r="3607" spans="46:49" x14ac:dyDescent="0.25">
      <c r="AT3607" s="74"/>
      <c r="AW3607" s="74"/>
    </row>
    <row r="3608" spans="46:49" x14ac:dyDescent="0.25">
      <c r="AT3608" s="74"/>
      <c r="AW3608" s="74"/>
    </row>
    <row r="3609" spans="46:49" x14ac:dyDescent="0.25">
      <c r="AT3609" s="74"/>
      <c r="AW3609" s="74"/>
    </row>
    <row r="3610" spans="46:49" x14ac:dyDescent="0.25">
      <c r="AT3610" s="74"/>
      <c r="AW3610" s="74"/>
    </row>
    <row r="3611" spans="46:49" x14ac:dyDescent="0.25">
      <c r="AT3611" s="74"/>
      <c r="AW3611" s="74"/>
    </row>
    <row r="3612" spans="46:49" x14ac:dyDescent="0.25">
      <c r="AT3612" s="74"/>
      <c r="AW3612" s="74"/>
    </row>
    <row r="3613" spans="46:49" x14ac:dyDescent="0.25">
      <c r="AT3613" s="74"/>
      <c r="AW3613" s="74"/>
    </row>
    <row r="3614" spans="46:49" x14ac:dyDescent="0.25">
      <c r="AT3614" s="74"/>
      <c r="AW3614" s="74"/>
    </row>
    <row r="3615" spans="46:49" x14ac:dyDescent="0.25">
      <c r="AT3615" s="74"/>
      <c r="AW3615" s="74"/>
    </row>
    <row r="3616" spans="46:49" x14ac:dyDescent="0.25">
      <c r="AT3616" s="74"/>
      <c r="AW3616" s="74"/>
    </row>
    <row r="3617" spans="46:49" x14ac:dyDescent="0.25">
      <c r="AT3617" s="74"/>
      <c r="AW3617" s="74"/>
    </row>
    <row r="3618" spans="46:49" x14ac:dyDescent="0.25">
      <c r="AT3618" s="74"/>
      <c r="AW3618" s="74"/>
    </row>
    <row r="3619" spans="46:49" x14ac:dyDescent="0.25">
      <c r="AT3619" s="74"/>
      <c r="AW3619" s="74"/>
    </row>
    <row r="3620" spans="46:49" x14ac:dyDescent="0.25">
      <c r="AT3620" s="74"/>
      <c r="AW3620" s="74"/>
    </row>
    <row r="3621" spans="46:49" x14ac:dyDescent="0.25">
      <c r="AT3621" s="74"/>
      <c r="AW3621" s="74"/>
    </row>
    <row r="3622" spans="46:49" x14ac:dyDescent="0.25">
      <c r="AT3622" s="74"/>
      <c r="AW3622" s="74"/>
    </row>
    <row r="3623" spans="46:49" x14ac:dyDescent="0.25">
      <c r="AT3623" s="74"/>
      <c r="AW3623" s="74"/>
    </row>
    <row r="3624" spans="46:49" x14ac:dyDescent="0.25">
      <c r="AT3624" s="74"/>
      <c r="AW3624" s="74"/>
    </row>
    <row r="3625" spans="46:49" x14ac:dyDescent="0.25">
      <c r="AT3625" s="74"/>
      <c r="AW3625" s="74"/>
    </row>
    <row r="3626" spans="46:49" x14ac:dyDescent="0.25">
      <c r="AT3626" s="74"/>
      <c r="AW3626" s="74"/>
    </row>
    <row r="3627" spans="46:49" x14ac:dyDescent="0.25">
      <c r="AT3627" s="74"/>
      <c r="AW3627" s="74"/>
    </row>
    <row r="3628" spans="46:49" x14ac:dyDescent="0.25">
      <c r="AT3628" s="74"/>
      <c r="AW3628" s="74"/>
    </row>
    <row r="3629" spans="46:49" x14ac:dyDescent="0.25">
      <c r="AT3629" s="74"/>
      <c r="AW3629" s="74"/>
    </row>
    <row r="3630" spans="46:49" x14ac:dyDescent="0.25">
      <c r="AT3630" s="74"/>
      <c r="AW3630" s="74"/>
    </row>
    <row r="3631" spans="46:49" x14ac:dyDescent="0.25">
      <c r="AT3631" s="74"/>
      <c r="AW3631" s="74"/>
    </row>
    <row r="3632" spans="46:49" x14ac:dyDescent="0.25">
      <c r="AT3632" s="74"/>
      <c r="AW3632" s="74"/>
    </row>
    <row r="3633" spans="46:49" x14ac:dyDescent="0.25">
      <c r="AT3633" s="74"/>
      <c r="AW3633" s="74"/>
    </row>
    <row r="3634" spans="46:49" x14ac:dyDescent="0.25">
      <c r="AT3634" s="74"/>
      <c r="AW3634" s="74"/>
    </row>
    <row r="3635" spans="46:49" x14ac:dyDescent="0.25">
      <c r="AT3635" s="74"/>
      <c r="AW3635" s="74"/>
    </row>
    <row r="3636" spans="46:49" x14ac:dyDescent="0.25">
      <c r="AT3636" s="74"/>
      <c r="AW3636" s="74"/>
    </row>
    <row r="3637" spans="46:49" x14ac:dyDescent="0.25">
      <c r="AT3637" s="74"/>
      <c r="AW3637" s="74"/>
    </row>
    <row r="3638" spans="46:49" x14ac:dyDescent="0.25">
      <c r="AT3638" s="74"/>
      <c r="AW3638" s="74"/>
    </row>
    <row r="3639" spans="46:49" x14ac:dyDescent="0.25">
      <c r="AT3639" s="74"/>
      <c r="AW3639" s="74"/>
    </row>
    <row r="3640" spans="46:49" x14ac:dyDescent="0.25">
      <c r="AT3640" s="74"/>
      <c r="AW3640" s="74"/>
    </row>
    <row r="3641" spans="46:49" x14ac:dyDescent="0.25">
      <c r="AT3641" s="74"/>
      <c r="AW3641" s="74"/>
    </row>
    <row r="3642" spans="46:49" x14ac:dyDescent="0.25">
      <c r="AT3642" s="74"/>
      <c r="AW3642" s="74"/>
    </row>
    <row r="3643" spans="46:49" x14ac:dyDescent="0.25">
      <c r="AT3643" s="74"/>
      <c r="AW3643" s="74"/>
    </row>
    <row r="3644" spans="46:49" x14ac:dyDescent="0.25">
      <c r="AT3644" s="74"/>
      <c r="AW3644" s="74"/>
    </row>
    <row r="3645" spans="46:49" x14ac:dyDescent="0.25">
      <c r="AT3645" s="74"/>
      <c r="AW3645" s="74"/>
    </row>
    <row r="3646" spans="46:49" x14ac:dyDescent="0.25">
      <c r="AT3646" s="74"/>
      <c r="AW3646" s="74"/>
    </row>
    <row r="3647" spans="46:49" x14ac:dyDescent="0.25">
      <c r="AT3647" s="74"/>
      <c r="AW3647" s="74"/>
    </row>
    <row r="3648" spans="46:49" x14ac:dyDescent="0.25">
      <c r="AT3648" s="74"/>
      <c r="AW3648" s="74"/>
    </row>
    <row r="3649" spans="46:49" x14ac:dyDescent="0.25">
      <c r="AT3649" s="74"/>
      <c r="AW3649" s="74"/>
    </row>
    <row r="3650" spans="46:49" x14ac:dyDescent="0.25">
      <c r="AT3650" s="74"/>
      <c r="AW3650" s="74"/>
    </row>
    <row r="3651" spans="46:49" x14ac:dyDescent="0.25">
      <c r="AT3651" s="74"/>
      <c r="AW3651" s="74"/>
    </row>
    <row r="3652" spans="46:49" x14ac:dyDescent="0.25">
      <c r="AT3652" s="74"/>
      <c r="AW3652" s="74"/>
    </row>
    <row r="3653" spans="46:49" x14ac:dyDescent="0.25">
      <c r="AT3653" s="74"/>
      <c r="AW3653" s="74"/>
    </row>
    <row r="3654" spans="46:49" x14ac:dyDescent="0.25">
      <c r="AT3654" s="74"/>
      <c r="AW3654" s="74"/>
    </row>
    <row r="3655" spans="46:49" x14ac:dyDescent="0.25">
      <c r="AT3655" s="74"/>
      <c r="AW3655" s="74"/>
    </row>
    <row r="3656" spans="46:49" x14ac:dyDescent="0.25">
      <c r="AT3656" s="74"/>
      <c r="AW3656" s="74"/>
    </row>
    <row r="3657" spans="46:49" x14ac:dyDescent="0.25">
      <c r="AT3657" s="74"/>
      <c r="AW3657" s="74"/>
    </row>
    <row r="3658" spans="46:49" x14ac:dyDescent="0.25">
      <c r="AT3658" s="74"/>
      <c r="AW3658" s="74"/>
    </row>
    <row r="3659" spans="46:49" x14ac:dyDescent="0.25">
      <c r="AT3659" s="74"/>
      <c r="AW3659" s="74"/>
    </row>
    <row r="3660" spans="46:49" x14ac:dyDescent="0.25">
      <c r="AT3660" s="74"/>
      <c r="AW3660" s="74"/>
    </row>
    <row r="3661" spans="46:49" x14ac:dyDescent="0.25">
      <c r="AT3661" s="74"/>
      <c r="AW3661" s="74"/>
    </row>
    <row r="3662" spans="46:49" x14ac:dyDescent="0.25">
      <c r="AT3662" s="74"/>
      <c r="AW3662" s="74"/>
    </row>
    <row r="3663" spans="46:49" x14ac:dyDescent="0.25">
      <c r="AT3663" s="74"/>
      <c r="AW3663" s="74"/>
    </row>
    <row r="3664" spans="46:49" x14ac:dyDescent="0.25">
      <c r="AT3664" s="74"/>
      <c r="AW3664" s="74"/>
    </row>
    <row r="3665" spans="46:49" x14ac:dyDescent="0.25">
      <c r="AT3665" s="74"/>
      <c r="AW3665" s="74"/>
    </row>
    <row r="3666" spans="46:49" x14ac:dyDescent="0.25">
      <c r="AT3666" s="74"/>
      <c r="AW3666" s="74"/>
    </row>
    <row r="3667" spans="46:49" x14ac:dyDescent="0.25">
      <c r="AT3667" s="74"/>
      <c r="AW3667" s="74"/>
    </row>
    <row r="3668" spans="46:49" x14ac:dyDescent="0.25">
      <c r="AT3668" s="74"/>
      <c r="AW3668" s="74"/>
    </row>
    <row r="3669" spans="46:49" x14ac:dyDescent="0.25">
      <c r="AT3669" s="74"/>
      <c r="AW3669" s="74"/>
    </row>
    <row r="3670" spans="46:49" x14ac:dyDescent="0.25">
      <c r="AT3670" s="74"/>
      <c r="AW3670" s="74"/>
    </row>
    <row r="3671" spans="46:49" x14ac:dyDescent="0.25">
      <c r="AT3671" s="74"/>
      <c r="AW3671" s="74"/>
    </row>
    <row r="3672" spans="46:49" x14ac:dyDescent="0.25">
      <c r="AT3672" s="74"/>
      <c r="AW3672" s="74"/>
    </row>
    <row r="3673" spans="46:49" x14ac:dyDescent="0.25">
      <c r="AT3673" s="74"/>
      <c r="AW3673" s="74"/>
    </row>
    <row r="3674" spans="46:49" x14ac:dyDescent="0.25">
      <c r="AT3674" s="74"/>
      <c r="AW3674" s="74"/>
    </row>
    <row r="3675" spans="46:49" x14ac:dyDescent="0.25">
      <c r="AT3675" s="74"/>
      <c r="AW3675" s="74"/>
    </row>
    <row r="3676" spans="46:49" x14ac:dyDescent="0.25">
      <c r="AT3676" s="74"/>
      <c r="AW3676" s="74"/>
    </row>
    <row r="3677" spans="46:49" x14ac:dyDescent="0.25">
      <c r="AT3677" s="74"/>
      <c r="AW3677" s="74"/>
    </row>
    <row r="3678" spans="46:49" x14ac:dyDescent="0.25">
      <c r="AT3678" s="74"/>
      <c r="AW3678" s="74"/>
    </row>
    <row r="3679" spans="46:49" x14ac:dyDescent="0.25">
      <c r="AT3679" s="74"/>
      <c r="AW3679" s="74"/>
    </row>
    <row r="3680" spans="46:49" x14ac:dyDescent="0.25">
      <c r="AT3680" s="74"/>
      <c r="AW3680" s="74"/>
    </row>
    <row r="3681" spans="46:49" x14ac:dyDescent="0.25">
      <c r="AT3681" s="74"/>
      <c r="AW3681" s="74"/>
    </row>
    <row r="3682" spans="46:49" x14ac:dyDescent="0.25">
      <c r="AT3682" s="74"/>
      <c r="AW3682" s="74"/>
    </row>
    <row r="3683" spans="46:49" x14ac:dyDescent="0.25">
      <c r="AT3683" s="74"/>
      <c r="AW3683" s="74"/>
    </row>
    <row r="3684" spans="46:49" x14ac:dyDescent="0.25">
      <c r="AT3684" s="74"/>
      <c r="AW3684" s="74"/>
    </row>
    <row r="3685" spans="46:49" x14ac:dyDescent="0.25">
      <c r="AT3685" s="74"/>
      <c r="AW3685" s="74"/>
    </row>
    <row r="3686" spans="46:49" x14ac:dyDescent="0.25">
      <c r="AT3686" s="74"/>
      <c r="AW3686" s="74"/>
    </row>
    <row r="3687" spans="46:49" x14ac:dyDescent="0.25">
      <c r="AT3687" s="74"/>
      <c r="AW3687" s="74"/>
    </row>
    <row r="3688" spans="46:49" x14ac:dyDescent="0.25">
      <c r="AT3688" s="74"/>
      <c r="AW3688" s="74"/>
    </row>
    <row r="3689" spans="46:49" x14ac:dyDescent="0.25">
      <c r="AT3689" s="74"/>
      <c r="AW3689" s="74"/>
    </row>
    <row r="3690" spans="46:49" x14ac:dyDescent="0.25">
      <c r="AT3690" s="74"/>
      <c r="AW3690" s="74"/>
    </row>
    <row r="3691" spans="46:49" x14ac:dyDescent="0.25">
      <c r="AT3691" s="74"/>
      <c r="AW3691" s="74"/>
    </row>
    <row r="3692" spans="46:49" x14ac:dyDescent="0.25">
      <c r="AT3692" s="74"/>
      <c r="AW3692" s="74"/>
    </row>
    <row r="3693" spans="46:49" x14ac:dyDescent="0.25">
      <c r="AT3693" s="74"/>
      <c r="AW3693" s="74"/>
    </row>
    <row r="3694" spans="46:49" x14ac:dyDescent="0.25">
      <c r="AT3694" s="74"/>
      <c r="AW3694" s="74"/>
    </row>
    <row r="3695" spans="46:49" x14ac:dyDescent="0.25">
      <c r="AT3695" s="74"/>
      <c r="AW3695" s="74"/>
    </row>
    <row r="3696" spans="46:49" x14ac:dyDescent="0.25">
      <c r="AT3696" s="74"/>
      <c r="AW3696" s="74"/>
    </row>
    <row r="3697" spans="46:49" x14ac:dyDescent="0.25">
      <c r="AT3697" s="74"/>
      <c r="AW3697" s="74"/>
    </row>
    <row r="3698" spans="46:49" x14ac:dyDescent="0.25">
      <c r="AT3698" s="74"/>
      <c r="AW3698" s="74"/>
    </row>
    <row r="3699" spans="46:49" x14ac:dyDescent="0.25">
      <c r="AT3699" s="74"/>
      <c r="AW3699" s="74"/>
    </row>
    <row r="3700" spans="46:49" x14ac:dyDescent="0.25">
      <c r="AT3700" s="74"/>
      <c r="AW3700" s="74"/>
    </row>
    <row r="3701" spans="46:49" x14ac:dyDescent="0.25">
      <c r="AT3701" s="74"/>
      <c r="AW3701" s="74"/>
    </row>
    <row r="3702" spans="46:49" x14ac:dyDescent="0.25">
      <c r="AT3702" s="74"/>
      <c r="AW3702" s="74"/>
    </row>
    <row r="3703" spans="46:49" x14ac:dyDescent="0.25">
      <c r="AT3703" s="74"/>
      <c r="AW3703" s="74"/>
    </row>
    <row r="3704" spans="46:49" x14ac:dyDescent="0.25">
      <c r="AT3704" s="74"/>
      <c r="AW3704" s="74"/>
    </row>
    <row r="3705" spans="46:49" x14ac:dyDescent="0.25">
      <c r="AT3705" s="74"/>
      <c r="AW3705" s="74"/>
    </row>
    <row r="3706" spans="46:49" x14ac:dyDescent="0.25">
      <c r="AT3706" s="74"/>
      <c r="AW3706" s="74"/>
    </row>
    <row r="3707" spans="46:49" x14ac:dyDescent="0.25">
      <c r="AT3707" s="74"/>
      <c r="AW3707" s="74"/>
    </row>
    <row r="3708" spans="46:49" x14ac:dyDescent="0.25">
      <c r="AT3708" s="74"/>
      <c r="AW3708" s="74"/>
    </row>
    <row r="3709" spans="46:49" x14ac:dyDescent="0.25">
      <c r="AT3709" s="74"/>
      <c r="AW3709" s="74"/>
    </row>
    <row r="3710" spans="46:49" x14ac:dyDescent="0.25">
      <c r="AT3710" s="74"/>
      <c r="AW3710" s="74"/>
    </row>
    <row r="3711" spans="46:49" x14ac:dyDescent="0.25">
      <c r="AT3711" s="74"/>
      <c r="AW3711" s="74"/>
    </row>
    <row r="3712" spans="46:49" x14ac:dyDescent="0.25">
      <c r="AT3712" s="74"/>
      <c r="AW3712" s="74"/>
    </row>
    <row r="3713" spans="46:49" x14ac:dyDescent="0.25">
      <c r="AT3713" s="74"/>
      <c r="AW3713" s="74"/>
    </row>
    <row r="3714" spans="46:49" x14ac:dyDescent="0.25">
      <c r="AT3714" s="74"/>
      <c r="AW3714" s="74"/>
    </row>
    <row r="3715" spans="46:49" x14ac:dyDescent="0.25">
      <c r="AT3715" s="74"/>
      <c r="AW3715" s="74"/>
    </row>
    <row r="3716" spans="46:49" x14ac:dyDescent="0.25">
      <c r="AT3716" s="74"/>
      <c r="AW3716" s="74"/>
    </row>
    <row r="3717" spans="46:49" x14ac:dyDescent="0.25">
      <c r="AT3717" s="74"/>
      <c r="AW3717" s="74"/>
    </row>
    <row r="3718" spans="46:49" x14ac:dyDescent="0.25">
      <c r="AT3718" s="74"/>
      <c r="AW3718" s="74"/>
    </row>
    <row r="3719" spans="46:49" x14ac:dyDescent="0.25">
      <c r="AT3719" s="74"/>
      <c r="AW3719" s="74"/>
    </row>
    <row r="3720" spans="46:49" x14ac:dyDescent="0.25">
      <c r="AT3720" s="74"/>
      <c r="AW3720" s="74"/>
    </row>
    <row r="3721" spans="46:49" x14ac:dyDescent="0.25">
      <c r="AT3721" s="74"/>
      <c r="AW3721" s="74"/>
    </row>
    <row r="3722" spans="46:49" x14ac:dyDescent="0.25">
      <c r="AT3722" s="74"/>
      <c r="AW3722" s="74"/>
    </row>
    <row r="3723" spans="46:49" x14ac:dyDescent="0.25">
      <c r="AT3723" s="74"/>
      <c r="AW3723" s="74"/>
    </row>
    <row r="3724" spans="46:49" x14ac:dyDescent="0.25">
      <c r="AT3724" s="74"/>
      <c r="AW3724" s="74"/>
    </row>
    <row r="3725" spans="46:49" x14ac:dyDescent="0.25">
      <c r="AT3725" s="74"/>
      <c r="AW3725" s="74"/>
    </row>
    <row r="3726" spans="46:49" x14ac:dyDescent="0.25">
      <c r="AT3726" s="74"/>
      <c r="AW3726" s="74"/>
    </row>
    <row r="3727" spans="46:49" x14ac:dyDescent="0.25">
      <c r="AT3727" s="74"/>
      <c r="AW3727" s="74"/>
    </row>
    <row r="3728" spans="46:49" x14ac:dyDescent="0.25">
      <c r="AT3728" s="74"/>
      <c r="AW3728" s="74"/>
    </row>
    <row r="3729" spans="46:49" x14ac:dyDescent="0.25">
      <c r="AT3729" s="74"/>
      <c r="AW3729" s="74"/>
    </row>
    <row r="3730" spans="46:49" x14ac:dyDescent="0.25">
      <c r="AT3730" s="74"/>
      <c r="AW3730" s="74"/>
    </row>
    <row r="3731" spans="46:49" x14ac:dyDescent="0.25">
      <c r="AT3731" s="74"/>
      <c r="AW3731" s="74"/>
    </row>
    <row r="3732" spans="46:49" x14ac:dyDescent="0.25">
      <c r="AT3732" s="74"/>
      <c r="AW3732" s="74"/>
    </row>
    <row r="3733" spans="46:49" x14ac:dyDescent="0.25">
      <c r="AT3733" s="74"/>
      <c r="AW3733" s="74"/>
    </row>
    <row r="3734" spans="46:49" x14ac:dyDescent="0.25">
      <c r="AT3734" s="74"/>
      <c r="AW3734" s="74"/>
    </row>
    <row r="3735" spans="46:49" x14ac:dyDescent="0.25">
      <c r="AT3735" s="74"/>
      <c r="AW3735" s="74"/>
    </row>
    <row r="3736" spans="46:49" x14ac:dyDescent="0.25">
      <c r="AT3736" s="74"/>
      <c r="AW3736" s="74"/>
    </row>
    <row r="3737" spans="46:49" x14ac:dyDescent="0.25">
      <c r="AT3737" s="74"/>
      <c r="AW3737" s="74"/>
    </row>
    <row r="3738" spans="46:49" x14ac:dyDescent="0.25">
      <c r="AT3738" s="74"/>
      <c r="AW3738" s="74"/>
    </row>
    <row r="3739" spans="46:49" x14ac:dyDescent="0.25">
      <c r="AT3739" s="74"/>
      <c r="AW3739" s="74"/>
    </row>
    <row r="3740" spans="46:49" x14ac:dyDescent="0.25">
      <c r="AT3740" s="74"/>
      <c r="AW3740" s="74"/>
    </row>
    <row r="3741" spans="46:49" x14ac:dyDescent="0.25">
      <c r="AT3741" s="74"/>
      <c r="AW3741" s="74"/>
    </row>
    <row r="3742" spans="46:49" x14ac:dyDescent="0.25">
      <c r="AT3742" s="74"/>
      <c r="AW3742" s="74"/>
    </row>
    <row r="3743" spans="46:49" x14ac:dyDescent="0.25">
      <c r="AT3743" s="74"/>
      <c r="AW3743" s="74"/>
    </row>
    <row r="3744" spans="46:49" x14ac:dyDescent="0.25">
      <c r="AT3744" s="74"/>
      <c r="AW3744" s="74"/>
    </row>
    <row r="3745" spans="46:49" x14ac:dyDescent="0.25">
      <c r="AT3745" s="74"/>
      <c r="AW3745" s="74"/>
    </row>
    <row r="3746" spans="46:49" x14ac:dyDescent="0.25">
      <c r="AT3746" s="74"/>
      <c r="AW3746" s="74"/>
    </row>
    <row r="3747" spans="46:49" x14ac:dyDescent="0.25">
      <c r="AT3747" s="74"/>
      <c r="AW3747" s="74"/>
    </row>
    <row r="3748" spans="46:49" x14ac:dyDescent="0.25">
      <c r="AT3748" s="74"/>
      <c r="AW3748" s="74"/>
    </row>
    <row r="3749" spans="46:49" x14ac:dyDescent="0.25">
      <c r="AT3749" s="74"/>
      <c r="AW3749" s="74"/>
    </row>
    <row r="3750" spans="46:49" x14ac:dyDescent="0.25">
      <c r="AT3750" s="74"/>
      <c r="AW3750" s="74"/>
    </row>
    <row r="3751" spans="46:49" x14ac:dyDescent="0.25">
      <c r="AT3751" s="74"/>
      <c r="AW3751" s="74"/>
    </row>
    <row r="3752" spans="46:49" x14ac:dyDescent="0.25">
      <c r="AT3752" s="74"/>
      <c r="AW3752" s="74"/>
    </row>
    <row r="3753" spans="46:49" x14ac:dyDescent="0.25">
      <c r="AT3753" s="74"/>
      <c r="AW3753" s="74"/>
    </row>
    <row r="3754" spans="46:49" x14ac:dyDescent="0.25">
      <c r="AT3754" s="74"/>
      <c r="AW3754" s="74"/>
    </row>
    <row r="3755" spans="46:49" x14ac:dyDescent="0.25">
      <c r="AT3755" s="74"/>
      <c r="AW3755" s="74"/>
    </row>
    <row r="3756" spans="46:49" x14ac:dyDescent="0.25">
      <c r="AT3756" s="74"/>
      <c r="AW3756" s="74"/>
    </row>
    <row r="3757" spans="46:49" x14ac:dyDescent="0.25">
      <c r="AT3757" s="74"/>
      <c r="AW3757" s="74"/>
    </row>
    <row r="3758" spans="46:49" x14ac:dyDescent="0.25">
      <c r="AT3758" s="74"/>
      <c r="AW3758" s="74"/>
    </row>
    <row r="3759" spans="46:49" x14ac:dyDescent="0.25">
      <c r="AT3759" s="74"/>
      <c r="AW3759" s="74"/>
    </row>
    <row r="3760" spans="46:49" x14ac:dyDescent="0.25">
      <c r="AT3760" s="74"/>
      <c r="AW3760" s="74"/>
    </row>
    <row r="3761" spans="46:49" x14ac:dyDescent="0.25">
      <c r="AT3761" s="74"/>
      <c r="AW3761" s="74"/>
    </row>
    <row r="3762" spans="46:49" x14ac:dyDescent="0.25">
      <c r="AT3762" s="74"/>
      <c r="AW3762" s="74"/>
    </row>
    <row r="3763" spans="46:49" x14ac:dyDescent="0.25">
      <c r="AT3763" s="74"/>
      <c r="AW3763" s="74"/>
    </row>
    <row r="3764" spans="46:49" x14ac:dyDescent="0.25">
      <c r="AT3764" s="74"/>
      <c r="AW3764" s="74"/>
    </row>
    <row r="3765" spans="46:49" x14ac:dyDescent="0.25">
      <c r="AT3765" s="74"/>
      <c r="AW3765" s="74"/>
    </row>
    <row r="3766" spans="46:49" x14ac:dyDescent="0.25">
      <c r="AT3766" s="74"/>
      <c r="AW3766" s="74"/>
    </row>
    <row r="3767" spans="46:49" x14ac:dyDescent="0.25">
      <c r="AT3767" s="74"/>
      <c r="AW3767" s="74"/>
    </row>
    <row r="3768" spans="46:49" x14ac:dyDescent="0.25">
      <c r="AT3768" s="74"/>
      <c r="AW3768" s="74"/>
    </row>
    <row r="3769" spans="46:49" x14ac:dyDescent="0.25">
      <c r="AT3769" s="74"/>
      <c r="AW3769" s="74"/>
    </row>
    <row r="3770" spans="46:49" x14ac:dyDescent="0.25">
      <c r="AT3770" s="74"/>
      <c r="AW3770" s="74"/>
    </row>
    <row r="3771" spans="46:49" x14ac:dyDescent="0.25">
      <c r="AT3771" s="74"/>
      <c r="AW3771" s="74"/>
    </row>
    <row r="3772" spans="46:49" x14ac:dyDescent="0.25">
      <c r="AT3772" s="74"/>
      <c r="AW3772" s="74"/>
    </row>
    <row r="3773" spans="46:49" x14ac:dyDescent="0.25">
      <c r="AT3773" s="74"/>
      <c r="AW3773" s="74"/>
    </row>
    <row r="3774" spans="46:49" x14ac:dyDescent="0.25">
      <c r="AT3774" s="74"/>
      <c r="AW3774" s="74"/>
    </row>
    <row r="3775" spans="46:49" x14ac:dyDescent="0.25">
      <c r="AT3775" s="74"/>
      <c r="AW3775" s="74"/>
    </row>
    <row r="3776" spans="46:49" x14ac:dyDescent="0.25">
      <c r="AT3776" s="74"/>
      <c r="AW3776" s="74"/>
    </row>
    <row r="3777" spans="46:49" x14ac:dyDescent="0.25">
      <c r="AT3777" s="74"/>
      <c r="AW3777" s="74"/>
    </row>
    <row r="3778" spans="46:49" x14ac:dyDescent="0.25">
      <c r="AT3778" s="74"/>
      <c r="AW3778" s="74"/>
    </row>
    <row r="3779" spans="46:49" x14ac:dyDescent="0.25">
      <c r="AT3779" s="74"/>
      <c r="AW3779" s="74"/>
    </row>
    <row r="3780" spans="46:49" x14ac:dyDescent="0.25">
      <c r="AT3780" s="74"/>
      <c r="AW3780" s="74"/>
    </row>
    <row r="3781" spans="46:49" x14ac:dyDescent="0.25">
      <c r="AT3781" s="74"/>
      <c r="AW3781" s="74"/>
    </row>
    <row r="3782" spans="46:49" x14ac:dyDescent="0.25">
      <c r="AT3782" s="74"/>
      <c r="AW3782" s="74"/>
    </row>
    <row r="3783" spans="46:49" x14ac:dyDescent="0.25">
      <c r="AT3783" s="74"/>
      <c r="AW3783" s="74"/>
    </row>
    <row r="3784" spans="46:49" x14ac:dyDescent="0.25">
      <c r="AT3784" s="74"/>
      <c r="AW3784" s="74"/>
    </row>
    <row r="3785" spans="46:49" x14ac:dyDescent="0.25">
      <c r="AT3785" s="74"/>
      <c r="AW3785" s="74"/>
    </row>
    <row r="3786" spans="46:49" x14ac:dyDescent="0.25">
      <c r="AT3786" s="74"/>
      <c r="AW3786" s="74"/>
    </row>
    <row r="3787" spans="46:49" x14ac:dyDescent="0.25">
      <c r="AT3787" s="74"/>
      <c r="AW3787" s="74"/>
    </row>
    <row r="3788" spans="46:49" x14ac:dyDescent="0.25">
      <c r="AT3788" s="74"/>
      <c r="AW3788" s="74"/>
    </row>
    <row r="3789" spans="46:49" x14ac:dyDescent="0.25">
      <c r="AT3789" s="74"/>
      <c r="AW3789" s="74"/>
    </row>
    <row r="3790" spans="46:49" x14ac:dyDescent="0.25">
      <c r="AT3790" s="74"/>
      <c r="AW3790" s="74"/>
    </row>
    <row r="3791" spans="46:49" x14ac:dyDescent="0.25">
      <c r="AT3791" s="74"/>
      <c r="AW3791" s="74"/>
    </row>
    <row r="3792" spans="46:49" x14ac:dyDescent="0.25">
      <c r="AT3792" s="74"/>
      <c r="AW3792" s="74"/>
    </row>
    <row r="3793" spans="46:49" x14ac:dyDescent="0.25">
      <c r="AT3793" s="74"/>
      <c r="AW3793" s="74"/>
    </row>
    <row r="3794" spans="46:49" x14ac:dyDescent="0.25">
      <c r="AT3794" s="74"/>
      <c r="AW3794" s="74"/>
    </row>
    <row r="3795" spans="46:49" x14ac:dyDescent="0.25">
      <c r="AT3795" s="74"/>
      <c r="AW3795" s="74"/>
    </row>
    <row r="3796" spans="46:49" x14ac:dyDescent="0.25">
      <c r="AT3796" s="74"/>
      <c r="AW3796" s="74"/>
    </row>
    <row r="3797" spans="46:49" x14ac:dyDescent="0.25">
      <c r="AT3797" s="74"/>
      <c r="AW3797" s="74"/>
    </row>
    <row r="3798" spans="46:49" x14ac:dyDescent="0.25">
      <c r="AT3798" s="74"/>
      <c r="AW3798" s="74"/>
    </row>
    <row r="3799" spans="46:49" x14ac:dyDescent="0.25">
      <c r="AT3799" s="74"/>
      <c r="AW3799" s="74"/>
    </row>
    <row r="3800" spans="46:49" x14ac:dyDescent="0.25">
      <c r="AT3800" s="74"/>
      <c r="AW3800" s="74"/>
    </row>
    <row r="3801" spans="46:49" x14ac:dyDescent="0.25">
      <c r="AT3801" s="74"/>
      <c r="AW3801" s="74"/>
    </row>
    <row r="3802" spans="46:49" x14ac:dyDescent="0.25">
      <c r="AT3802" s="74"/>
      <c r="AW3802" s="74"/>
    </row>
    <row r="3803" spans="46:49" x14ac:dyDescent="0.25">
      <c r="AT3803" s="74"/>
      <c r="AW3803" s="74"/>
    </row>
    <row r="3804" spans="46:49" x14ac:dyDescent="0.25">
      <c r="AT3804" s="74"/>
      <c r="AW3804" s="74"/>
    </row>
    <row r="3805" spans="46:49" x14ac:dyDescent="0.25">
      <c r="AT3805" s="74"/>
      <c r="AW3805" s="74"/>
    </row>
    <row r="3806" spans="46:49" x14ac:dyDescent="0.25">
      <c r="AT3806" s="74"/>
      <c r="AW3806" s="74"/>
    </row>
    <row r="3807" spans="46:49" x14ac:dyDescent="0.25">
      <c r="AT3807" s="74"/>
      <c r="AW3807" s="74"/>
    </row>
    <row r="3808" spans="46:49" x14ac:dyDescent="0.25">
      <c r="AT3808" s="74"/>
      <c r="AW3808" s="74"/>
    </row>
    <row r="3809" spans="46:49" x14ac:dyDescent="0.25">
      <c r="AT3809" s="74"/>
      <c r="AW3809" s="74"/>
    </row>
    <row r="3810" spans="46:49" x14ac:dyDescent="0.25">
      <c r="AT3810" s="74"/>
      <c r="AW3810" s="74"/>
    </row>
    <row r="3811" spans="46:49" x14ac:dyDescent="0.25">
      <c r="AT3811" s="74"/>
      <c r="AW3811" s="74"/>
    </row>
    <row r="3812" spans="46:49" x14ac:dyDescent="0.25">
      <c r="AT3812" s="74"/>
      <c r="AW3812" s="74"/>
    </row>
    <row r="3813" spans="46:49" x14ac:dyDescent="0.25">
      <c r="AT3813" s="74"/>
      <c r="AW3813" s="74"/>
    </row>
    <row r="3814" spans="46:49" x14ac:dyDescent="0.25">
      <c r="AT3814" s="74"/>
      <c r="AW3814" s="74"/>
    </row>
    <row r="3815" spans="46:49" x14ac:dyDescent="0.25">
      <c r="AT3815" s="74"/>
      <c r="AW3815" s="74"/>
    </row>
    <row r="3816" spans="46:49" x14ac:dyDescent="0.25">
      <c r="AT3816" s="74"/>
      <c r="AW3816" s="74"/>
    </row>
    <row r="3817" spans="46:49" x14ac:dyDescent="0.25">
      <c r="AT3817" s="74"/>
      <c r="AW3817" s="74"/>
    </row>
    <row r="3818" spans="46:49" x14ac:dyDescent="0.25">
      <c r="AT3818" s="74"/>
      <c r="AW3818" s="74"/>
    </row>
    <row r="3819" spans="46:49" x14ac:dyDescent="0.25">
      <c r="AT3819" s="74"/>
      <c r="AW3819" s="74"/>
    </row>
    <row r="3820" spans="46:49" x14ac:dyDescent="0.25">
      <c r="AT3820" s="74"/>
      <c r="AW3820" s="74"/>
    </row>
    <row r="3821" spans="46:49" x14ac:dyDescent="0.25">
      <c r="AT3821" s="74"/>
      <c r="AW3821" s="74"/>
    </row>
    <row r="3822" spans="46:49" x14ac:dyDescent="0.25">
      <c r="AT3822" s="74"/>
      <c r="AW3822" s="74"/>
    </row>
    <row r="3823" spans="46:49" x14ac:dyDescent="0.25">
      <c r="AT3823" s="74"/>
      <c r="AW3823" s="74"/>
    </row>
    <row r="3824" spans="46:49" x14ac:dyDescent="0.25">
      <c r="AT3824" s="74"/>
      <c r="AW3824" s="74"/>
    </row>
    <row r="3825" spans="46:49" x14ac:dyDescent="0.25">
      <c r="AT3825" s="74"/>
      <c r="AW3825" s="74"/>
    </row>
    <row r="3826" spans="46:49" x14ac:dyDescent="0.25">
      <c r="AT3826" s="74"/>
      <c r="AW3826" s="74"/>
    </row>
    <row r="3827" spans="46:49" x14ac:dyDescent="0.25">
      <c r="AT3827" s="74"/>
      <c r="AW3827" s="74"/>
    </row>
    <row r="3828" spans="46:49" x14ac:dyDescent="0.25">
      <c r="AT3828" s="74"/>
      <c r="AW3828" s="74"/>
    </row>
    <row r="3829" spans="46:49" x14ac:dyDescent="0.25">
      <c r="AT3829" s="74"/>
      <c r="AW3829" s="74"/>
    </row>
    <row r="3830" spans="46:49" x14ac:dyDescent="0.25">
      <c r="AT3830" s="74"/>
      <c r="AW3830" s="74"/>
    </row>
    <row r="3831" spans="46:49" x14ac:dyDescent="0.25">
      <c r="AT3831" s="74"/>
      <c r="AW3831" s="74"/>
    </row>
    <row r="3832" spans="46:49" x14ac:dyDescent="0.25">
      <c r="AT3832" s="74"/>
      <c r="AW3832" s="74"/>
    </row>
    <row r="3833" spans="46:49" x14ac:dyDescent="0.25">
      <c r="AT3833" s="74"/>
      <c r="AW3833" s="74"/>
    </row>
    <row r="3834" spans="46:49" x14ac:dyDescent="0.25">
      <c r="AT3834" s="74"/>
      <c r="AW3834" s="74"/>
    </row>
    <row r="3835" spans="46:49" x14ac:dyDescent="0.25">
      <c r="AT3835" s="74"/>
      <c r="AW3835" s="74"/>
    </row>
    <row r="3836" spans="46:49" x14ac:dyDescent="0.25">
      <c r="AT3836" s="74"/>
      <c r="AW3836" s="74"/>
    </row>
    <row r="3837" spans="46:49" x14ac:dyDescent="0.25">
      <c r="AT3837" s="74"/>
      <c r="AW3837" s="74"/>
    </row>
    <row r="3838" spans="46:49" x14ac:dyDescent="0.25">
      <c r="AT3838" s="74"/>
      <c r="AW3838" s="74"/>
    </row>
    <row r="3839" spans="46:49" x14ac:dyDescent="0.25">
      <c r="AT3839" s="74"/>
      <c r="AW3839" s="74"/>
    </row>
    <row r="3840" spans="46:49" x14ac:dyDescent="0.25">
      <c r="AT3840" s="74"/>
      <c r="AW3840" s="74"/>
    </row>
    <row r="3841" spans="46:49" x14ac:dyDescent="0.25">
      <c r="AT3841" s="74"/>
      <c r="AW3841" s="74"/>
    </row>
    <row r="3842" spans="46:49" x14ac:dyDescent="0.25">
      <c r="AT3842" s="74"/>
      <c r="AW3842" s="74"/>
    </row>
    <row r="3843" spans="46:49" x14ac:dyDescent="0.25">
      <c r="AT3843" s="74"/>
      <c r="AW3843" s="74"/>
    </row>
    <row r="3844" spans="46:49" x14ac:dyDescent="0.25">
      <c r="AT3844" s="74"/>
      <c r="AW3844" s="74"/>
    </row>
    <row r="3845" spans="46:49" x14ac:dyDescent="0.25">
      <c r="AT3845" s="74"/>
      <c r="AW3845" s="74"/>
    </row>
    <row r="3846" spans="46:49" x14ac:dyDescent="0.25">
      <c r="AT3846" s="74"/>
      <c r="AW3846" s="74"/>
    </row>
    <row r="3847" spans="46:49" x14ac:dyDescent="0.25">
      <c r="AT3847" s="74"/>
      <c r="AW3847" s="74"/>
    </row>
    <row r="3848" spans="46:49" x14ac:dyDescent="0.25">
      <c r="AT3848" s="74"/>
      <c r="AW3848" s="74"/>
    </row>
    <row r="3849" spans="46:49" x14ac:dyDescent="0.25">
      <c r="AT3849" s="74"/>
      <c r="AW3849" s="74"/>
    </row>
    <row r="3850" spans="46:49" x14ac:dyDescent="0.25">
      <c r="AT3850" s="74"/>
      <c r="AW3850" s="74"/>
    </row>
    <row r="3851" spans="46:49" x14ac:dyDescent="0.25">
      <c r="AT3851" s="74"/>
      <c r="AW3851" s="74"/>
    </row>
    <row r="3852" spans="46:49" x14ac:dyDescent="0.25">
      <c r="AT3852" s="74"/>
      <c r="AW3852" s="74"/>
    </row>
    <row r="3853" spans="46:49" x14ac:dyDescent="0.25">
      <c r="AT3853" s="74"/>
      <c r="AW3853" s="74"/>
    </row>
    <row r="3854" spans="46:49" x14ac:dyDescent="0.25">
      <c r="AT3854" s="74"/>
      <c r="AW3854" s="74"/>
    </row>
    <row r="3855" spans="46:49" x14ac:dyDescent="0.25">
      <c r="AT3855" s="74"/>
      <c r="AW3855" s="74"/>
    </row>
    <row r="3856" spans="46:49" x14ac:dyDescent="0.25">
      <c r="AT3856" s="74"/>
      <c r="AW3856" s="74"/>
    </row>
    <row r="3857" spans="46:49" x14ac:dyDescent="0.25">
      <c r="AT3857" s="74"/>
      <c r="AW3857" s="74"/>
    </row>
    <row r="3858" spans="46:49" x14ac:dyDescent="0.25">
      <c r="AT3858" s="74"/>
      <c r="AW3858" s="74"/>
    </row>
    <row r="3859" spans="46:49" x14ac:dyDescent="0.25">
      <c r="AT3859" s="74"/>
      <c r="AW3859" s="74"/>
    </row>
    <row r="3860" spans="46:49" x14ac:dyDescent="0.25">
      <c r="AT3860" s="74"/>
      <c r="AW3860" s="74"/>
    </row>
    <row r="3861" spans="46:49" x14ac:dyDescent="0.25">
      <c r="AT3861" s="74"/>
      <c r="AW3861" s="74"/>
    </row>
    <row r="3862" spans="46:49" x14ac:dyDescent="0.25">
      <c r="AT3862" s="74"/>
      <c r="AW3862" s="74"/>
    </row>
    <row r="3863" spans="46:49" x14ac:dyDescent="0.25">
      <c r="AT3863" s="74"/>
      <c r="AW3863" s="74"/>
    </row>
    <row r="3864" spans="46:49" x14ac:dyDescent="0.25">
      <c r="AT3864" s="74"/>
      <c r="AW3864" s="74"/>
    </row>
    <row r="3865" spans="46:49" x14ac:dyDescent="0.25">
      <c r="AT3865" s="74"/>
      <c r="AW3865" s="74"/>
    </row>
    <row r="3866" spans="46:49" x14ac:dyDescent="0.25">
      <c r="AT3866" s="74"/>
      <c r="AW3866" s="74"/>
    </row>
    <row r="3867" spans="46:49" x14ac:dyDescent="0.25">
      <c r="AT3867" s="74"/>
      <c r="AW3867" s="74"/>
    </row>
    <row r="3868" spans="46:49" x14ac:dyDescent="0.25">
      <c r="AT3868" s="74"/>
      <c r="AW3868" s="74"/>
    </row>
    <row r="3869" spans="46:49" x14ac:dyDescent="0.25">
      <c r="AT3869" s="74"/>
      <c r="AW3869" s="74"/>
    </row>
    <row r="3870" spans="46:49" x14ac:dyDescent="0.25">
      <c r="AT3870" s="74"/>
      <c r="AW3870" s="74"/>
    </row>
    <row r="3871" spans="46:49" x14ac:dyDescent="0.25">
      <c r="AT3871" s="74"/>
      <c r="AW3871" s="74"/>
    </row>
    <row r="3872" spans="46:49" x14ac:dyDescent="0.25">
      <c r="AT3872" s="74"/>
      <c r="AW3872" s="74"/>
    </row>
    <row r="3873" spans="46:49" x14ac:dyDescent="0.25">
      <c r="AT3873" s="74"/>
      <c r="AW3873" s="74"/>
    </row>
    <row r="3874" spans="46:49" x14ac:dyDescent="0.25">
      <c r="AT3874" s="74"/>
      <c r="AW3874" s="74"/>
    </row>
    <row r="3875" spans="46:49" x14ac:dyDescent="0.25">
      <c r="AT3875" s="74"/>
      <c r="AW3875" s="74"/>
    </row>
    <row r="3876" spans="46:49" x14ac:dyDescent="0.25">
      <c r="AT3876" s="74"/>
      <c r="AW3876" s="74"/>
    </row>
    <row r="3877" spans="46:49" x14ac:dyDescent="0.25">
      <c r="AT3877" s="74"/>
      <c r="AW3877" s="74"/>
    </row>
    <row r="3878" spans="46:49" x14ac:dyDescent="0.25">
      <c r="AT3878" s="74"/>
      <c r="AW3878" s="74"/>
    </row>
    <row r="3879" spans="46:49" x14ac:dyDescent="0.25">
      <c r="AT3879" s="74"/>
      <c r="AW3879" s="74"/>
    </row>
    <row r="3880" spans="46:49" x14ac:dyDescent="0.25">
      <c r="AT3880" s="74"/>
      <c r="AW3880" s="74"/>
    </row>
    <row r="3881" spans="46:49" x14ac:dyDescent="0.25">
      <c r="AT3881" s="74"/>
      <c r="AW3881" s="74"/>
    </row>
    <row r="3882" spans="46:49" x14ac:dyDescent="0.25">
      <c r="AT3882" s="74"/>
      <c r="AW3882" s="74"/>
    </row>
    <row r="3883" spans="46:49" x14ac:dyDescent="0.25">
      <c r="AT3883" s="74"/>
      <c r="AW3883" s="74"/>
    </row>
    <row r="3884" spans="46:49" x14ac:dyDescent="0.25">
      <c r="AT3884" s="74"/>
      <c r="AW3884" s="74"/>
    </row>
    <row r="3885" spans="46:49" x14ac:dyDescent="0.25">
      <c r="AT3885" s="74"/>
      <c r="AW3885" s="74"/>
    </row>
    <row r="3886" spans="46:49" x14ac:dyDescent="0.25">
      <c r="AT3886" s="74"/>
      <c r="AW3886" s="74"/>
    </row>
    <row r="3887" spans="46:49" x14ac:dyDescent="0.25">
      <c r="AT3887" s="74"/>
      <c r="AW3887" s="74"/>
    </row>
    <row r="3888" spans="46:49" x14ac:dyDescent="0.25">
      <c r="AT3888" s="74"/>
      <c r="AW3888" s="74"/>
    </row>
    <row r="3889" spans="46:49" x14ac:dyDescent="0.25">
      <c r="AT3889" s="74"/>
      <c r="AW3889" s="74"/>
    </row>
    <row r="3890" spans="46:49" x14ac:dyDescent="0.25">
      <c r="AT3890" s="74"/>
      <c r="AW3890" s="74"/>
    </row>
    <row r="3891" spans="46:49" x14ac:dyDescent="0.25">
      <c r="AT3891" s="74"/>
      <c r="AW3891" s="74"/>
    </row>
    <row r="3892" spans="46:49" x14ac:dyDescent="0.25">
      <c r="AT3892" s="74"/>
      <c r="AW3892" s="74"/>
    </row>
    <row r="3893" spans="46:49" x14ac:dyDescent="0.25">
      <c r="AT3893" s="74"/>
      <c r="AW3893" s="74"/>
    </row>
    <row r="3894" spans="46:49" x14ac:dyDescent="0.25">
      <c r="AT3894" s="74"/>
      <c r="AW3894" s="74"/>
    </row>
    <row r="3895" spans="46:49" x14ac:dyDescent="0.25">
      <c r="AT3895" s="74"/>
      <c r="AW3895" s="74"/>
    </row>
    <row r="3896" spans="46:49" x14ac:dyDescent="0.25">
      <c r="AT3896" s="74"/>
      <c r="AW3896" s="74"/>
    </row>
    <row r="3897" spans="46:49" x14ac:dyDescent="0.25">
      <c r="AT3897" s="74"/>
      <c r="AW3897" s="74"/>
    </row>
    <row r="3898" spans="46:49" x14ac:dyDescent="0.25">
      <c r="AT3898" s="74"/>
      <c r="AW3898" s="74"/>
    </row>
    <row r="3899" spans="46:49" x14ac:dyDescent="0.25">
      <c r="AT3899" s="74"/>
      <c r="AW3899" s="74"/>
    </row>
    <row r="3900" spans="46:49" x14ac:dyDescent="0.25">
      <c r="AT3900" s="74"/>
      <c r="AW3900" s="74"/>
    </row>
    <row r="3901" spans="46:49" x14ac:dyDescent="0.25">
      <c r="AT3901" s="74"/>
      <c r="AW3901" s="74"/>
    </row>
    <row r="3902" spans="46:49" x14ac:dyDescent="0.25">
      <c r="AT3902" s="74"/>
      <c r="AW3902" s="74"/>
    </row>
    <row r="3903" spans="46:49" x14ac:dyDescent="0.25">
      <c r="AT3903" s="74"/>
      <c r="AW3903" s="74"/>
    </row>
    <row r="3904" spans="46:49" x14ac:dyDescent="0.25">
      <c r="AT3904" s="74"/>
      <c r="AW3904" s="74"/>
    </row>
    <row r="3905" spans="46:49" x14ac:dyDescent="0.25">
      <c r="AT3905" s="74"/>
      <c r="AW3905" s="74"/>
    </row>
    <row r="3906" spans="46:49" x14ac:dyDescent="0.25">
      <c r="AT3906" s="74"/>
      <c r="AW3906" s="74"/>
    </row>
    <row r="3907" spans="46:49" x14ac:dyDescent="0.25">
      <c r="AT3907" s="74"/>
      <c r="AW3907" s="74"/>
    </row>
    <row r="3908" spans="46:49" x14ac:dyDescent="0.25">
      <c r="AT3908" s="74"/>
      <c r="AW3908" s="74"/>
    </row>
    <row r="3909" spans="46:49" x14ac:dyDescent="0.25">
      <c r="AT3909" s="74"/>
      <c r="AW3909" s="74"/>
    </row>
    <row r="3910" spans="46:49" x14ac:dyDescent="0.25">
      <c r="AT3910" s="74"/>
      <c r="AW3910" s="74"/>
    </row>
    <row r="3911" spans="46:49" x14ac:dyDescent="0.25">
      <c r="AT3911" s="74"/>
      <c r="AW3911" s="74"/>
    </row>
    <row r="3912" spans="46:49" x14ac:dyDescent="0.25">
      <c r="AT3912" s="74"/>
      <c r="AW3912" s="74"/>
    </row>
    <row r="3913" spans="46:49" x14ac:dyDescent="0.25">
      <c r="AT3913" s="74"/>
      <c r="AW3913" s="74"/>
    </row>
    <row r="3914" spans="46:49" x14ac:dyDescent="0.25">
      <c r="AT3914" s="74"/>
      <c r="AW3914" s="74"/>
    </row>
    <row r="3915" spans="46:49" x14ac:dyDescent="0.25">
      <c r="AT3915" s="74"/>
      <c r="AW3915" s="74"/>
    </row>
    <row r="3916" spans="46:49" x14ac:dyDescent="0.25">
      <c r="AT3916" s="74"/>
      <c r="AW3916" s="74"/>
    </row>
    <row r="3917" spans="46:49" x14ac:dyDescent="0.25">
      <c r="AT3917" s="74"/>
      <c r="AW3917" s="74"/>
    </row>
    <row r="3918" spans="46:49" x14ac:dyDescent="0.25">
      <c r="AT3918" s="74"/>
      <c r="AW3918" s="74"/>
    </row>
    <row r="3919" spans="46:49" x14ac:dyDescent="0.25">
      <c r="AT3919" s="74"/>
      <c r="AW3919" s="74"/>
    </row>
    <row r="3920" spans="46:49" x14ac:dyDescent="0.25">
      <c r="AT3920" s="74"/>
      <c r="AW3920" s="74"/>
    </row>
    <row r="3921" spans="46:49" x14ac:dyDescent="0.25">
      <c r="AT3921" s="74"/>
      <c r="AW3921" s="74"/>
    </row>
    <row r="3922" spans="46:49" x14ac:dyDescent="0.25">
      <c r="AT3922" s="74"/>
      <c r="AW3922" s="74"/>
    </row>
    <row r="3923" spans="46:49" x14ac:dyDescent="0.25">
      <c r="AT3923" s="74"/>
      <c r="AW3923" s="74"/>
    </row>
    <row r="3924" spans="46:49" x14ac:dyDescent="0.25">
      <c r="AT3924" s="74"/>
      <c r="AW3924" s="74"/>
    </row>
    <row r="3925" spans="46:49" x14ac:dyDescent="0.25">
      <c r="AT3925" s="74"/>
      <c r="AW3925" s="74"/>
    </row>
    <row r="3926" spans="46:49" x14ac:dyDescent="0.25">
      <c r="AT3926" s="74"/>
      <c r="AW3926" s="74"/>
    </row>
    <row r="3927" spans="46:49" x14ac:dyDescent="0.25">
      <c r="AT3927" s="74"/>
      <c r="AW3927" s="74"/>
    </row>
    <row r="3928" spans="46:49" x14ac:dyDescent="0.25">
      <c r="AT3928" s="74"/>
      <c r="AW3928" s="74"/>
    </row>
    <row r="3929" spans="46:49" x14ac:dyDescent="0.25">
      <c r="AT3929" s="74"/>
      <c r="AW3929" s="74"/>
    </row>
    <row r="3930" spans="46:49" x14ac:dyDescent="0.25">
      <c r="AT3930" s="74"/>
      <c r="AW3930" s="74"/>
    </row>
    <row r="3931" spans="46:49" x14ac:dyDescent="0.25">
      <c r="AT3931" s="74"/>
      <c r="AW3931" s="74"/>
    </row>
    <row r="3932" spans="46:49" x14ac:dyDescent="0.25">
      <c r="AT3932" s="74"/>
      <c r="AW3932" s="74"/>
    </row>
    <row r="3933" spans="46:49" x14ac:dyDescent="0.25">
      <c r="AT3933" s="74"/>
      <c r="AW3933" s="74"/>
    </row>
    <row r="3934" spans="46:49" x14ac:dyDescent="0.25">
      <c r="AT3934" s="74"/>
      <c r="AW3934" s="74"/>
    </row>
    <row r="3935" spans="46:49" x14ac:dyDescent="0.25">
      <c r="AT3935" s="74"/>
      <c r="AW3935" s="74"/>
    </row>
    <row r="3936" spans="46:49" x14ac:dyDescent="0.25">
      <c r="AT3936" s="74"/>
      <c r="AW3936" s="74"/>
    </row>
    <row r="3937" spans="46:49" x14ac:dyDescent="0.25">
      <c r="AT3937" s="74"/>
      <c r="AW3937" s="74"/>
    </row>
    <row r="3938" spans="46:49" x14ac:dyDescent="0.25">
      <c r="AT3938" s="74"/>
      <c r="AW3938" s="74"/>
    </row>
    <row r="3939" spans="46:49" x14ac:dyDescent="0.25">
      <c r="AT3939" s="74"/>
      <c r="AW3939" s="74"/>
    </row>
    <row r="3940" spans="46:49" x14ac:dyDescent="0.25">
      <c r="AT3940" s="74"/>
      <c r="AW3940" s="74"/>
    </row>
    <row r="3941" spans="46:49" x14ac:dyDescent="0.25">
      <c r="AT3941" s="74"/>
      <c r="AW3941" s="74"/>
    </row>
    <row r="3942" spans="46:49" x14ac:dyDescent="0.25">
      <c r="AT3942" s="74"/>
      <c r="AW3942" s="74"/>
    </row>
    <row r="3943" spans="46:49" x14ac:dyDescent="0.25">
      <c r="AT3943" s="74"/>
      <c r="AW3943" s="74"/>
    </row>
    <row r="3944" spans="46:49" x14ac:dyDescent="0.25">
      <c r="AT3944" s="74"/>
      <c r="AW3944" s="74"/>
    </row>
    <row r="3945" spans="46:49" x14ac:dyDescent="0.25">
      <c r="AT3945" s="74"/>
      <c r="AW3945" s="74"/>
    </row>
    <row r="3946" spans="46:49" x14ac:dyDescent="0.25">
      <c r="AT3946" s="74"/>
      <c r="AW3946" s="74"/>
    </row>
    <row r="3947" spans="46:49" x14ac:dyDescent="0.25">
      <c r="AT3947" s="74"/>
      <c r="AW3947" s="74"/>
    </row>
    <row r="3948" spans="46:49" x14ac:dyDescent="0.25">
      <c r="AT3948" s="74"/>
      <c r="AW3948" s="74"/>
    </row>
    <row r="3949" spans="46:49" x14ac:dyDescent="0.25">
      <c r="AT3949" s="74"/>
      <c r="AW3949" s="74"/>
    </row>
    <row r="3950" spans="46:49" x14ac:dyDescent="0.25">
      <c r="AT3950" s="74"/>
      <c r="AW3950" s="74"/>
    </row>
    <row r="3951" spans="46:49" x14ac:dyDescent="0.25">
      <c r="AT3951" s="74"/>
      <c r="AW3951" s="74"/>
    </row>
    <row r="3952" spans="46:49" x14ac:dyDescent="0.25">
      <c r="AT3952" s="74"/>
      <c r="AW3952" s="74"/>
    </row>
    <row r="3953" spans="46:49" x14ac:dyDescent="0.25">
      <c r="AT3953" s="74"/>
      <c r="AW3953" s="74"/>
    </row>
    <row r="3954" spans="46:49" x14ac:dyDescent="0.25">
      <c r="AT3954" s="74"/>
      <c r="AW3954" s="74"/>
    </row>
    <row r="3955" spans="46:49" x14ac:dyDescent="0.25">
      <c r="AT3955" s="74"/>
      <c r="AW3955" s="74"/>
    </row>
    <row r="3956" spans="46:49" x14ac:dyDescent="0.25">
      <c r="AT3956" s="74"/>
      <c r="AW3956" s="74"/>
    </row>
    <row r="3957" spans="46:49" x14ac:dyDescent="0.25">
      <c r="AT3957" s="74"/>
      <c r="AW3957" s="74"/>
    </row>
    <row r="3958" spans="46:49" x14ac:dyDescent="0.25">
      <c r="AT3958" s="74"/>
      <c r="AW3958" s="74"/>
    </row>
    <row r="3959" spans="46:49" x14ac:dyDescent="0.25">
      <c r="AT3959" s="74"/>
      <c r="AW3959" s="74"/>
    </row>
    <row r="3960" spans="46:49" x14ac:dyDescent="0.25">
      <c r="AT3960" s="74"/>
      <c r="AW3960" s="74"/>
    </row>
    <row r="3961" spans="46:49" x14ac:dyDescent="0.25">
      <c r="AT3961" s="74"/>
      <c r="AW3961" s="74"/>
    </row>
    <row r="3962" spans="46:49" x14ac:dyDescent="0.25">
      <c r="AT3962" s="74"/>
      <c r="AW3962" s="74"/>
    </row>
    <row r="3963" spans="46:49" x14ac:dyDescent="0.25">
      <c r="AT3963" s="74"/>
      <c r="AW3963" s="74"/>
    </row>
    <row r="3964" spans="46:49" x14ac:dyDescent="0.25">
      <c r="AT3964" s="74"/>
      <c r="AW3964" s="74"/>
    </row>
    <row r="3965" spans="46:49" x14ac:dyDescent="0.25">
      <c r="AT3965" s="74"/>
      <c r="AW3965" s="74"/>
    </row>
    <row r="3966" spans="46:49" x14ac:dyDescent="0.25">
      <c r="AT3966" s="74"/>
      <c r="AW3966" s="74"/>
    </row>
    <row r="3967" spans="46:49" x14ac:dyDescent="0.25">
      <c r="AT3967" s="74"/>
      <c r="AW3967" s="74"/>
    </row>
    <row r="3968" spans="46:49" x14ac:dyDescent="0.25">
      <c r="AT3968" s="74"/>
      <c r="AW3968" s="74"/>
    </row>
    <row r="3969" spans="46:49" x14ac:dyDescent="0.25">
      <c r="AT3969" s="74"/>
      <c r="AW3969" s="74"/>
    </row>
    <row r="3970" spans="46:49" x14ac:dyDescent="0.25">
      <c r="AT3970" s="74"/>
      <c r="AW3970" s="74"/>
    </row>
    <row r="3971" spans="46:49" x14ac:dyDescent="0.25">
      <c r="AT3971" s="74"/>
      <c r="AW3971" s="74"/>
    </row>
    <row r="3972" spans="46:49" x14ac:dyDescent="0.25">
      <c r="AT3972" s="74"/>
      <c r="AW3972" s="74"/>
    </row>
    <row r="3973" spans="46:49" x14ac:dyDescent="0.25">
      <c r="AT3973" s="74"/>
      <c r="AW3973" s="74"/>
    </row>
    <row r="3974" spans="46:49" x14ac:dyDescent="0.25">
      <c r="AT3974" s="74"/>
      <c r="AW3974" s="74"/>
    </row>
    <row r="3975" spans="46:49" x14ac:dyDescent="0.25">
      <c r="AT3975" s="74"/>
      <c r="AW3975" s="74"/>
    </row>
    <row r="3976" spans="46:49" x14ac:dyDescent="0.25">
      <c r="AT3976" s="74"/>
      <c r="AW3976" s="74"/>
    </row>
    <row r="3977" spans="46:49" x14ac:dyDescent="0.25">
      <c r="AT3977" s="74"/>
      <c r="AW3977" s="74"/>
    </row>
    <row r="3978" spans="46:49" x14ac:dyDescent="0.25">
      <c r="AT3978" s="74"/>
      <c r="AW3978" s="74"/>
    </row>
    <row r="3979" spans="46:49" x14ac:dyDescent="0.25">
      <c r="AT3979" s="74"/>
      <c r="AW3979" s="74"/>
    </row>
    <row r="3980" spans="46:49" x14ac:dyDescent="0.25">
      <c r="AT3980" s="74"/>
      <c r="AW3980" s="74"/>
    </row>
    <row r="3981" spans="46:49" x14ac:dyDescent="0.25">
      <c r="AT3981" s="74"/>
      <c r="AW3981" s="74"/>
    </row>
    <row r="3982" spans="46:49" x14ac:dyDescent="0.25">
      <c r="AT3982" s="74"/>
      <c r="AW3982" s="74"/>
    </row>
    <row r="3983" spans="46:49" x14ac:dyDescent="0.25">
      <c r="AT3983" s="74"/>
      <c r="AW3983" s="74"/>
    </row>
    <row r="3984" spans="46:49" x14ac:dyDescent="0.25">
      <c r="AT3984" s="74"/>
      <c r="AW3984" s="74"/>
    </row>
    <row r="3985" spans="46:49" x14ac:dyDescent="0.25">
      <c r="AT3985" s="74"/>
      <c r="AW3985" s="74"/>
    </row>
    <row r="3986" spans="46:49" x14ac:dyDescent="0.25">
      <c r="AT3986" s="74"/>
      <c r="AW3986" s="74"/>
    </row>
    <row r="3987" spans="46:49" x14ac:dyDescent="0.25">
      <c r="AT3987" s="74"/>
      <c r="AW3987" s="74"/>
    </row>
    <row r="3988" spans="46:49" x14ac:dyDescent="0.25">
      <c r="AT3988" s="74"/>
      <c r="AW3988" s="74"/>
    </row>
    <row r="3989" spans="46:49" x14ac:dyDescent="0.25">
      <c r="AT3989" s="74"/>
      <c r="AW3989" s="74"/>
    </row>
    <row r="3990" spans="46:49" x14ac:dyDescent="0.25">
      <c r="AT3990" s="74"/>
      <c r="AW3990" s="74"/>
    </row>
    <row r="3991" spans="46:49" x14ac:dyDescent="0.25">
      <c r="AT3991" s="74"/>
      <c r="AW3991" s="74"/>
    </row>
    <row r="3992" spans="46:49" x14ac:dyDescent="0.25">
      <c r="AT3992" s="74"/>
      <c r="AW3992" s="74"/>
    </row>
    <row r="3993" spans="46:49" x14ac:dyDescent="0.25">
      <c r="AT3993" s="74"/>
      <c r="AW3993" s="74"/>
    </row>
    <row r="3994" spans="46:49" x14ac:dyDescent="0.25">
      <c r="AT3994" s="74"/>
      <c r="AW3994" s="74"/>
    </row>
    <row r="3995" spans="46:49" x14ac:dyDescent="0.25">
      <c r="AT3995" s="74"/>
      <c r="AW3995" s="74"/>
    </row>
    <row r="3996" spans="46:49" x14ac:dyDescent="0.25">
      <c r="AT3996" s="74"/>
      <c r="AW3996" s="74"/>
    </row>
    <row r="3997" spans="46:49" x14ac:dyDescent="0.25">
      <c r="AT3997" s="74"/>
      <c r="AW3997" s="74"/>
    </row>
    <row r="3998" spans="46:49" x14ac:dyDescent="0.25">
      <c r="AT3998" s="74"/>
      <c r="AW3998" s="74"/>
    </row>
    <row r="3999" spans="46:49" x14ac:dyDescent="0.25">
      <c r="AT3999" s="74"/>
      <c r="AW3999" s="74"/>
    </row>
    <row r="4000" spans="46:49" x14ac:dyDescent="0.25">
      <c r="AT4000" s="74"/>
      <c r="AW4000" s="74"/>
    </row>
    <row r="4001" spans="46:49" x14ac:dyDescent="0.25">
      <c r="AT4001" s="74"/>
      <c r="AW4001" s="74"/>
    </row>
    <row r="4002" spans="46:49" x14ac:dyDescent="0.25">
      <c r="AT4002" s="74"/>
      <c r="AW4002" s="74"/>
    </row>
    <row r="4003" spans="46:49" x14ac:dyDescent="0.25">
      <c r="AT4003" s="74"/>
      <c r="AW4003" s="74"/>
    </row>
    <row r="4004" spans="46:49" x14ac:dyDescent="0.25">
      <c r="AT4004" s="74"/>
      <c r="AW4004" s="74"/>
    </row>
    <row r="4005" spans="46:49" x14ac:dyDescent="0.25">
      <c r="AT4005" s="74"/>
      <c r="AW4005" s="74"/>
    </row>
    <row r="4006" spans="46:49" x14ac:dyDescent="0.25">
      <c r="AT4006" s="74"/>
      <c r="AW4006" s="74"/>
    </row>
    <row r="4007" spans="46:49" x14ac:dyDescent="0.25">
      <c r="AT4007" s="74"/>
      <c r="AW4007" s="74"/>
    </row>
    <row r="4008" spans="46:49" x14ac:dyDescent="0.25">
      <c r="AT4008" s="74"/>
      <c r="AW4008" s="74"/>
    </row>
    <row r="4009" spans="46:49" x14ac:dyDescent="0.25">
      <c r="AT4009" s="74"/>
      <c r="AW4009" s="74"/>
    </row>
    <row r="4010" spans="46:49" x14ac:dyDescent="0.25">
      <c r="AT4010" s="74"/>
      <c r="AW4010" s="74"/>
    </row>
    <row r="4011" spans="46:49" x14ac:dyDescent="0.25">
      <c r="AT4011" s="74"/>
      <c r="AW4011" s="74"/>
    </row>
    <row r="4012" spans="46:49" x14ac:dyDescent="0.25">
      <c r="AT4012" s="74"/>
      <c r="AW4012" s="74"/>
    </row>
    <row r="4013" spans="46:49" x14ac:dyDescent="0.25">
      <c r="AT4013" s="74"/>
      <c r="AW4013" s="74"/>
    </row>
    <row r="4014" spans="46:49" x14ac:dyDescent="0.25">
      <c r="AT4014" s="74"/>
      <c r="AW4014" s="74"/>
    </row>
    <row r="4015" spans="46:49" x14ac:dyDescent="0.25">
      <c r="AT4015" s="74"/>
      <c r="AW4015" s="74"/>
    </row>
    <row r="4016" spans="46:49" x14ac:dyDescent="0.25">
      <c r="AT4016" s="74"/>
      <c r="AW4016" s="74"/>
    </row>
    <row r="4017" spans="46:49" x14ac:dyDescent="0.25">
      <c r="AT4017" s="74"/>
      <c r="AW4017" s="74"/>
    </row>
    <row r="4018" spans="46:49" x14ac:dyDescent="0.25">
      <c r="AT4018" s="74"/>
      <c r="AW4018" s="74"/>
    </row>
    <row r="4019" spans="46:49" x14ac:dyDescent="0.25">
      <c r="AT4019" s="74"/>
      <c r="AW4019" s="74"/>
    </row>
    <row r="4020" spans="46:49" x14ac:dyDescent="0.25">
      <c r="AT4020" s="74"/>
      <c r="AW4020" s="74"/>
    </row>
    <row r="4021" spans="46:49" x14ac:dyDescent="0.25">
      <c r="AT4021" s="74"/>
      <c r="AW4021" s="74"/>
    </row>
    <row r="4022" spans="46:49" x14ac:dyDescent="0.25">
      <c r="AT4022" s="74"/>
      <c r="AW4022" s="74"/>
    </row>
    <row r="4023" spans="46:49" x14ac:dyDescent="0.25">
      <c r="AT4023" s="74"/>
      <c r="AW4023" s="74"/>
    </row>
    <row r="4024" spans="46:49" x14ac:dyDescent="0.25">
      <c r="AT4024" s="74"/>
      <c r="AW4024" s="74"/>
    </row>
    <row r="4025" spans="46:49" x14ac:dyDescent="0.25">
      <c r="AT4025" s="74"/>
      <c r="AW4025" s="74"/>
    </row>
    <row r="4026" spans="46:49" x14ac:dyDescent="0.25">
      <c r="AT4026" s="74"/>
      <c r="AW4026" s="74"/>
    </row>
    <row r="4027" spans="46:49" x14ac:dyDescent="0.25">
      <c r="AT4027" s="74"/>
      <c r="AW4027" s="74"/>
    </row>
    <row r="4028" spans="46:49" x14ac:dyDescent="0.25">
      <c r="AT4028" s="74"/>
      <c r="AW4028" s="74"/>
    </row>
    <row r="4029" spans="46:49" x14ac:dyDescent="0.25">
      <c r="AT4029" s="74"/>
      <c r="AW4029" s="74"/>
    </row>
    <row r="4030" spans="46:49" x14ac:dyDescent="0.25">
      <c r="AT4030" s="74"/>
      <c r="AW4030" s="74"/>
    </row>
    <row r="4031" spans="46:49" x14ac:dyDescent="0.25">
      <c r="AT4031" s="74"/>
      <c r="AW4031" s="74"/>
    </row>
    <row r="4032" spans="46:49" x14ac:dyDescent="0.25">
      <c r="AT4032" s="74"/>
      <c r="AW4032" s="74"/>
    </row>
    <row r="4033" spans="46:49" x14ac:dyDescent="0.25">
      <c r="AT4033" s="74"/>
      <c r="AW4033" s="74"/>
    </row>
    <row r="4034" spans="46:49" x14ac:dyDescent="0.25">
      <c r="AT4034" s="74"/>
      <c r="AW4034" s="74"/>
    </row>
    <row r="4035" spans="46:49" x14ac:dyDescent="0.25">
      <c r="AT4035" s="74"/>
      <c r="AW4035" s="74"/>
    </row>
    <row r="4036" spans="46:49" x14ac:dyDescent="0.25">
      <c r="AT4036" s="74"/>
      <c r="AW4036" s="74"/>
    </row>
    <row r="4037" spans="46:49" x14ac:dyDescent="0.25">
      <c r="AT4037" s="74"/>
      <c r="AW4037" s="74"/>
    </row>
    <row r="4038" spans="46:49" x14ac:dyDescent="0.25">
      <c r="AT4038" s="74"/>
      <c r="AW4038" s="74"/>
    </row>
    <row r="4039" spans="46:49" x14ac:dyDescent="0.25">
      <c r="AT4039" s="74"/>
      <c r="AW4039" s="74"/>
    </row>
    <row r="4040" spans="46:49" x14ac:dyDescent="0.25">
      <c r="AT4040" s="74"/>
      <c r="AW4040" s="74"/>
    </row>
    <row r="4041" spans="46:49" x14ac:dyDescent="0.25">
      <c r="AT4041" s="74"/>
      <c r="AW4041" s="74"/>
    </row>
    <row r="4042" spans="46:49" x14ac:dyDescent="0.25">
      <c r="AT4042" s="74"/>
      <c r="AW4042" s="74"/>
    </row>
    <row r="4043" spans="46:49" x14ac:dyDescent="0.25">
      <c r="AT4043" s="74"/>
      <c r="AW4043" s="74"/>
    </row>
    <row r="4044" spans="46:49" x14ac:dyDescent="0.25">
      <c r="AT4044" s="74"/>
      <c r="AW4044" s="74"/>
    </row>
    <row r="4045" spans="46:49" x14ac:dyDescent="0.25">
      <c r="AT4045" s="74"/>
      <c r="AW4045" s="74"/>
    </row>
    <row r="4046" spans="46:49" x14ac:dyDescent="0.25">
      <c r="AT4046" s="74"/>
      <c r="AW4046" s="74"/>
    </row>
    <row r="4047" spans="46:49" x14ac:dyDescent="0.25">
      <c r="AT4047" s="74"/>
      <c r="AW4047" s="74"/>
    </row>
    <row r="4048" spans="46:49" x14ac:dyDescent="0.25">
      <c r="AT4048" s="74"/>
      <c r="AW4048" s="74"/>
    </row>
    <row r="4049" spans="46:49" x14ac:dyDescent="0.25">
      <c r="AT4049" s="74"/>
      <c r="AW4049" s="74"/>
    </row>
    <row r="4050" spans="46:49" x14ac:dyDescent="0.25">
      <c r="AT4050" s="74"/>
      <c r="AW4050" s="74"/>
    </row>
    <row r="4051" spans="46:49" x14ac:dyDescent="0.25">
      <c r="AT4051" s="74"/>
      <c r="AW4051" s="74"/>
    </row>
    <row r="4052" spans="46:49" x14ac:dyDescent="0.25">
      <c r="AT4052" s="74"/>
      <c r="AW4052" s="74"/>
    </row>
    <row r="4053" spans="46:49" x14ac:dyDescent="0.25">
      <c r="AT4053" s="74"/>
      <c r="AW4053" s="74"/>
    </row>
    <row r="4054" spans="46:49" x14ac:dyDescent="0.25">
      <c r="AT4054" s="74"/>
      <c r="AW4054" s="74"/>
    </row>
    <row r="4055" spans="46:49" x14ac:dyDescent="0.25">
      <c r="AT4055" s="74"/>
      <c r="AW4055" s="74"/>
    </row>
    <row r="4056" spans="46:49" x14ac:dyDescent="0.25">
      <c r="AT4056" s="74"/>
      <c r="AW4056" s="74"/>
    </row>
    <row r="4057" spans="46:49" x14ac:dyDescent="0.25">
      <c r="AT4057" s="74"/>
      <c r="AW4057" s="74"/>
    </row>
    <row r="4058" spans="46:49" x14ac:dyDescent="0.25">
      <c r="AT4058" s="74"/>
      <c r="AW4058" s="74"/>
    </row>
    <row r="4059" spans="46:49" x14ac:dyDescent="0.25">
      <c r="AT4059" s="74"/>
      <c r="AW4059" s="74"/>
    </row>
    <row r="4060" spans="46:49" x14ac:dyDescent="0.25">
      <c r="AT4060" s="74"/>
      <c r="AW4060" s="74"/>
    </row>
    <row r="4061" spans="46:49" x14ac:dyDescent="0.25">
      <c r="AT4061" s="74"/>
      <c r="AW4061" s="74"/>
    </row>
    <row r="4062" spans="46:49" x14ac:dyDescent="0.25">
      <c r="AT4062" s="74"/>
      <c r="AW4062" s="74"/>
    </row>
    <row r="4063" spans="46:49" x14ac:dyDescent="0.25">
      <c r="AT4063" s="74"/>
      <c r="AW4063" s="74"/>
    </row>
    <row r="4064" spans="46:49" x14ac:dyDescent="0.25">
      <c r="AT4064" s="74"/>
      <c r="AW4064" s="74"/>
    </row>
    <row r="4065" spans="46:49" x14ac:dyDescent="0.25">
      <c r="AT4065" s="74"/>
      <c r="AW4065" s="74"/>
    </row>
    <row r="4066" spans="46:49" x14ac:dyDescent="0.25">
      <c r="AT4066" s="74"/>
      <c r="AW4066" s="74"/>
    </row>
    <row r="4067" spans="46:49" x14ac:dyDescent="0.25">
      <c r="AT4067" s="74"/>
      <c r="AW4067" s="74"/>
    </row>
    <row r="4068" spans="46:49" x14ac:dyDescent="0.25">
      <c r="AT4068" s="74"/>
      <c r="AW4068" s="74"/>
    </row>
    <row r="4069" spans="46:49" x14ac:dyDescent="0.25">
      <c r="AT4069" s="74"/>
      <c r="AW4069" s="74"/>
    </row>
    <row r="4070" spans="46:49" x14ac:dyDescent="0.25">
      <c r="AT4070" s="74"/>
      <c r="AW4070" s="74"/>
    </row>
    <row r="4071" spans="46:49" x14ac:dyDescent="0.25">
      <c r="AT4071" s="74"/>
      <c r="AW4071" s="74"/>
    </row>
    <row r="4072" spans="46:49" x14ac:dyDescent="0.25">
      <c r="AT4072" s="74"/>
      <c r="AW4072" s="74"/>
    </row>
    <row r="4073" spans="46:49" x14ac:dyDescent="0.25">
      <c r="AT4073" s="74"/>
      <c r="AW4073" s="74"/>
    </row>
    <row r="4074" spans="46:49" x14ac:dyDescent="0.25">
      <c r="AT4074" s="74"/>
      <c r="AW4074" s="74"/>
    </row>
    <row r="4075" spans="46:49" x14ac:dyDescent="0.25">
      <c r="AT4075" s="74"/>
      <c r="AW4075" s="74"/>
    </row>
    <row r="4076" spans="46:49" x14ac:dyDescent="0.25">
      <c r="AT4076" s="74"/>
      <c r="AW4076" s="74"/>
    </row>
    <row r="4077" spans="46:49" x14ac:dyDescent="0.25">
      <c r="AT4077" s="74"/>
      <c r="AW4077" s="74"/>
    </row>
    <row r="4078" spans="46:49" x14ac:dyDescent="0.25">
      <c r="AT4078" s="74"/>
      <c r="AW4078" s="74"/>
    </row>
    <row r="4079" spans="46:49" x14ac:dyDescent="0.25">
      <c r="AT4079" s="74"/>
      <c r="AW4079" s="74"/>
    </row>
    <row r="4080" spans="46:49" x14ac:dyDescent="0.25">
      <c r="AT4080" s="74"/>
      <c r="AW4080" s="74"/>
    </row>
    <row r="4081" spans="46:49" x14ac:dyDescent="0.25">
      <c r="AT4081" s="74"/>
      <c r="AW4081" s="74"/>
    </row>
    <row r="4082" spans="46:49" x14ac:dyDescent="0.25">
      <c r="AT4082" s="74"/>
      <c r="AW4082" s="74"/>
    </row>
    <row r="4083" spans="46:49" x14ac:dyDescent="0.25">
      <c r="AT4083" s="74"/>
      <c r="AW4083" s="74"/>
    </row>
    <row r="4084" spans="46:49" x14ac:dyDescent="0.25">
      <c r="AT4084" s="74"/>
      <c r="AW4084" s="74"/>
    </row>
    <row r="4085" spans="46:49" x14ac:dyDescent="0.25">
      <c r="AT4085" s="74"/>
      <c r="AW4085" s="74"/>
    </row>
    <row r="4086" spans="46:49" x14ac:dyDescent="0.25">
      <c r="AT4086" s="74"/>
      <c r="AW4086" s="74"/>
    </row>
    <row r="4087" spans="46:49" x14ac:dyDescent="0.25">
      <c r="AT4087" s="74"/>
      <c r="AW4087" s="74"/>
    </row>
    <row r="4088" spans="46:49" x14ac:dyDescent="0.25">
      <c r="AT4088" s="74"/>
      <c r="AW4088" s="74"/>
    </row>
    <row r="4089" spans="46:49" x14ac:dyDescent="0.25">
      <c r="AT4089" s="74"/>
      <c r="AW4089" s="74"/>
    </row>
    <row r="4090" spans="46:49" x14ac:dyDescent="0.25">
      <c r="AT4090" s="74"/>
      <c r="AW4090" s="74"/>
    </row>
    <row r="4091" spans="46:49" x14ac:dyDescent="0.25">
      <c r="AT4091" s="74"/>
      <c r="AW4091" s="74"/>
    </row>
    <row r="4092" spans="46:49" x14ac:dyDescent="0.25">
      <c r="AT4092" s="74"/>
      <c r="AW4092" s="74"/>
    </row>
    <row r="4093" spans="46:49" x14ac:dyDescent="0.25">
      <c r="AT4093" s="74"/>
      <c r="AW4093" s="74"/>
    </row>
    <row r="4094" spans="46:49" x14ac:dyDescent="0.25">
      <c r="AT4094" s="74"/>
      <c r="AW4094" s="74"/>
    </row>
    <row r="4095" spans="46:49" x14ac:dyDescent="0.25">
      <c r="AT4095" s="74"/>
      <c r="AW4095" s="74"/>
    </row>
    <row r="4096" spans="46:49" x14ac:dyDescent="0.25">
      <c r="AT4096" s="74"/>
      <c r="AW4096" s="74"/>
    </row>
    <row r="4097" spans="46:49" x14ac:dyDescent="0.25">
      <c r="AT4097" s="74"/>
      <c r="AW4097" s="74"/>
    </row>
    <row r="4098" spans="46:49" x14ac:dyDescent="0.25">
      <c r="AT4098" s="74"/>
      <c r="AW4098" s="74"/>
    </row>
    <row r="4099" spans="46:49" x14ac:dyDescent="0.25">
      <c r="AT4099" s="74"/>
      <c r="AW4099" s="74"/>
    </row>
    <row r="4100" spans="46:49" x14ac:dyDescent="0.25">
      <c r="AT4100" s="74"/>
      <c r="AW4100" s="74"/>
    </row>
    <row r="4101" spans="46:49" x14ac:dyDescent="0.25">
      <c r="AT4101" s="74"/>
      <c r="AW4101" s="74"/>
    </row>
    <row r="4102" spans="46:49" x14ac:dyDescent="0.25">
      <c r="AT4102" s="74"/>
      <c r="AW4102" s="74"/>
    </row>
    <row r="4103" spans="46:49" x14ac:dyDescent="0.25">
      <c r="AT4103" s="74"/>
      <c r="AW4103" s="74"/>
    </row>
    <row r="4104" spans="46:49" x14ac:dyDescent="0.25">
      <c r="AT4104" s="74"/>
      <c r="AW4104" s="74"/>
    </row>
    <row r="4105" spans="46:49" x14ac:dyDescent="0.25">
      <c r="AT4105" s="74"/>
      <c r="AW4105" s="74"/>
    </row>
    <row r="4106" spans="46:49" x14ac:dyDescent="0.25">
      <c r="AT4106" s="74"/>
      <c r="AW4106" s="74"/>
    </row>
    <row r="4107" spans="46:49" x14ac:dyDescent="0.25">
      <c r="AT4107" s="74"/>
      <c r="AW4107" s="74"/>
    </row>
    <row r="4108" spans="46:49" x14ac:dyDescent="0.25">
      <c r="AT4108" s="74"/>
      <c r="AW4108" s="74"/>
    </row>
    <row r="4109" spans="46:49" x14ac:dyDescent="0.25">
      <c r="AT4109" s="74"/>
      <c r="AW4109" s="74"/>
    </row>
    <row r="4110" spans="46:49" x14ac:dyDescent="0.25">
      <c r="AT4110" s="74"/>
      <c r="AW4110" s="74"/>
    </row>
    <row r="4111" spans="46:49" x14ac:dyDescent="0.25">
      <c r="AT4111" s="74"/>
      <c r="AW4111" s="74"/>
    </row>
    <row r="4112" spans="46:49" x14ac:dyDescent="0.25">
      <c r="AT4112" s="74"/>
      <c r="AW4112" s="74"/>
    </row>
    <row r="4113" spans="46:49" x14ac:dyDescent="0.25">
      <c r="AT4113" s="74"/>
      <c r="AW4113" s="74"/>
    </row>
    <row r="4114" spans="46:49" x14ac:dyDescent="0.25">
      <c r="AT4114" s="74"/>
      <c r="AW4114" s="74"/>
    </row>
    <row r="4115" spans="46:49" x14ac:dyDescent="0.25">
      <c r="AT4115" s="74"/>
      <c r="AW4115" s="74"/>
    </row>
    <row r="4116" spans="46:49" x14ac:dyDescent="0.25">
      <c r="AT4116" s="74"/>
      <c r="AW4116" s="74"/>
    </row>
    <row r="4117" spans="46:49" x14ac:dyDescent="0.25">
      <c r="AT4117" s="74"/>
      <c r="AW4117" s="74"/>
    </row>
    <row r="4118" spans="46:49" x14ac:dyDescent="0.25">
      <c r="AT4118" s="74"/>
      <c r="AW4118" s="74"/>
    </row>
    <row r="4119" spans="46:49" x14ac:dyDescent="0.25">
      <c r="AT4119" s="74"/>
      <c r="AW4119" s="74"/>
    </row>
    <row r="4120" spans="46:49" x14ac:dyDescent="0.25">
      <c r="AT4120" s="74"/>
      <c r="AW4120" s="74"/>
    </row>
    <row r="4121" spans="46:49" x14ac:dyDescent="0.25">
      <c r="AT4121" s="74"/>
      <c r="AW4121" s="74"/>
    </row>
    <row r="4122" spans="46:49" x14ac:dyDescent="0.25">
      <c r="AT4122" s="74"/>
      <c r="AW4122" s="74"/>
    </row>
    <row r="4123" spans="46:49" x14ac:dyDescent="0.25">
      <c r="AT4123" s="74"/>
      <c r="AW4123" s="74"/>
    </row>
    <row r="4124" spans="46:49" x14ac:dyDescent="0.25">
      <c r="AT4124" s="74"/>
      <c r="AW4124" s="74"/>
    </row>
    <row r="4125" spans="46:49" x14ac:dyDescent="0.25">
      <c r="AT4125" s="74"/>
      <c r="AW4125" s="74"/>
    </row>
    <row r="4126" spans="46:49" x14ac:dyDescent="0.25">
      <c r="AT4126" s="74"/>
      <c r="AW4126" s="74"/>
    </row>
    <row r="4127" spans="46:49" x14ac:dyDescent="0.25">
      <c r="AT4127" s="74"/>
      <c r="AW4127" s="74"/>
    </row>
    <row r="4128" spans="46:49" x14ac:dyDescent="0.25">
      <c r="AT4128" s="74"/>
      <c r="AW4128" s="74"/>
    </row>
    <row r="4129" spans="46:49" x14ac:dyDescent="0.25">
      <c r="AT4129" s="74"/>
      <c r="AW4129" s="74"/>
    </row>
    <row r="4130" spans="46:49" x14ac:dyDescent="0.25">
      <c r="AT4130" s="74"/>
      <c r="AW4130" s="74"/>
    </row>
    <row r="4131" spans="46:49" x14ac:dyDescent="0.25">
      <c r="AT4131" s="74"/>
      <c r="AW4131" s="74"/>
    </row>
    <row r="4132" spans="46:49" x14ac:dyDescent="0.25">
      <c r="AT4132" s="74"/>
      <c r="AW4132" s="74"/>
    </row>
    <row r="4133" spans="46:49" x14ac:dyDescent="0.25">
      <c r="AT4133" s="74"/>
      <c r="AW4133" s="74"/>
    </row>
    <row r="4134" spans="46:49" x14ac:dyDescent="0.25">
      <c r="AT4134" s="74"/>
      <c r="AW4134" s="74"/>
    </row>
    <row r="4135" spans="46:49" x14ac:dyDescent="0.25">
      <c r="AT4135" s="74"/>
      <c r="AW4135" s="74"/>
    </row>
    <row r="4136" spans="46:49" x14ac:dyDescent="0.25">
      <c r="AT4136" s="74"/>
      <c r="AW4136" s="74"/>
    </row>
    <row r="4137" spans="46:49" x14ac:dyDescent="0.25">
      <c r="AT4137" s="74"/>
      <c r="AW4137" s="74"/>
    </row>
    <row r="4138" spans="46:49" x14ac:dyDescent="0.25">
      <c r="AT4138" s="74"/>
      <c r="AW4138" s="74"/>
    </row>
    <row r="4139" spans="46:49" x14ac:dyDescent="0.25">
      <c r="AT4139" s="74"/>
      <c r="AW4139" s="74"/>
    </row>
    <row r="4140" spans="46:49" x14ac:dyDescent="0.25">
      <c r="AT4140" s="74"/>
      <c r="AW4140" s="74"/>
    </row>
    <row r="4141" spans="46:49" x14ac:dyDescent="0.25">
      <c r="AT4141" s="74"/>
      <c r="AW4141" s="74"/>
    </row>
    <row r="4142" spans="46:49" x14ac:dyDescent="0.25">
      <c r="AT4142" s="74"/>
      <c r="AW4142" s="74"/>
    </row>
    <row r="4143" spans="46:49" x14ac:dyDescent="0.25">
      <c r="AT4143" s="74"/>
      <c r="AW4143" s="74"/>
    </row>
    <row r="4144" spans="46:49" x14ac:dyDescent="0.25">
      <c r="AT4144" s="74"/>
      <c r="AW4144" s="74"/>
    </row>
    <row r="4145" spans="46:49" x14ac:dyDescent="0.25">
      <c r="AT4145" s="74"/>
      <c r="AW4145" s="74"/>
    </row>
    <row r="4146" spans="46:49" x14ac:dyDescent="0.25">
      <c r="AT4146" s="74"/>
      <c r="AW4146" s="74"/>
    </row>
    <row r="4147" spans="46:49" x14ac:dyDescent="0.25">
      <c r="AT4147" s="74"/>
      <c r="AW4147" s="74"/>
    </row>
    <row r="4148" spans="46:49" x14ac:dyDescent="0.25">
      <c r="AT4148" s="74"/>
      <c r="AW4148" s="74"/>
    </row>
    <row r="4149" spans="46:49" x14ac:dyDescent="0.25">
      <c r="AT4149" s="74"/>
      <c r="AW4149" s="74"/>
    </row>
    <row r="4150" spans="46:49" x14ac:dyDescent="0.25">
      <c r="AT4150" s="74"/>
      <c r="AW4150" s="74"/>
    </row>
    <row r="4151" spans="46:49" x14ac:dyDescent="0.25">
      <c r="AT4151" s="74"/>
      <c r="AW4151" s="74"/>
    </row>
    <row r="4152" spans="46:49" x14ac:dyDescent="0.25">
      <c r="AT4152" s="74"/>
      <c r="AW4152" s="74"/>
    </row>
    <row r="4153" spans="46:49" x14ac:dyDescent="0.25">
      <c r="AT4153" s="74"/>
      <c r="AW4153" s="74"/>
    </row>
    <row r="4154" spans="46:49" x14ac:dyDescent="0.25">
      <c r="AT4154" s="74"/>
      <c r="AW4154" s="74"/>
    </row>
    <row r="4155" spans="46:49" x14ac:dyDescent="0.25">
      <c r="AT4155" s="74"/>
      <c r="AW4155" s="74"/>
    </row>
    <row r="4156" spans="46:49" x14ac:dyDescent="0.25">
      <c r="AT4156" s="74"/>
      <c r="AW4156" s="74"/>
    </row>
    <row r="4157" spans="46:49" x14ac:dyDescent="0.25">
      <c r="AT4157" s="74"/>
      <c r="AW4157" s="74"/>
    </row>
    <row r="4158" spans="46:49" x14ac:dyDescent="0.25">
      <c r="AT4158" s="74"/>
      <c r="AW4158" s="74"/>
    </row>
    <row r="4159" spans="46:49" x14ac:dyDescent="0.25">
      <c r="AT4159" s="74"/>
      <c r="AW4159" s="74"/>
    </row>
    <row r="4160" spans="46:49" x14ac:dyDescent="0.25">
      <c r="AT4160" s="74"/>
      <c r="AW4160" s="74"/>
    </row>
    <row r="4161" spans="46:49" x14ac:dyDescent="0.25">
      <c r="AT4161" s="74"/>
      <c r="AW4161" s="74"/>
    </row>
    <row r="4162" spans="46:49" x14ac:dyDescent="0.25">
      <c r="AT4162" s="74"/>
      <c r="AW4162" s="74"/>
    </row>
    <row r="4163" spans="46:49" x14ac:dyDescent="0.25">
      <c r="AT4163" s="74"/>
      <c r="AW4163" s="74"/>
    </row>
    <row r="4164" spans="46:49" x14ac:dyDescent="0.25">
      <c r="AT4164" s="74"/>
      <c r="AW4164" s="74"/>
    </row>
    <row r="4165" spans="46:49" x14ac:dyDescent="0.25">
      <c r="AT4165" s="74"/>
      <c r="AW4165" s="74"/>
    </row>
    <row r="4166" spans="46:49" x14ac:dyDescent="0.25">
      <c r="AT4166" s="74"/>
      <c r="AW4166" s="74"/>
    </row>
    <row r="4167" spans="46:49" x14ac:dyDescent="0.25">
      <c r="AT4167" s="74"/>
      <c r="AW4167" s="74"/>
    </row>
    <row r="4168" spans="46:49" x14ac:dyDescent="0.25">
      <c r="AT4168" s="74"/>
      <c r="AW4168" s="74"/>
    </row>
    <row r="4169" spans="46:49" x14ac:dyDescent="0.25">
      <c r="AT4169" s="74"/>
      <c r="AW4169" s="74"/>
    </row>
    <row r="4170" spans="46:49" x14ac:dyDescent="0.25">
      <c r="AT4170" s="74"/>
      <c r="AW4170" s="74"/>
    </row>
    <row r="4171" spans="46:49" x14ac:dyDescent="0.25">
      <c r="AT4171" s="74"/>
      <c r="AW4171" s="74"/>
    </row>
    <row r="4172" spans="46:49" x14ac:dyDescent="0.25">
      <c r="AT4172" s="74"/>
      <c r="AW4172" s="74"/>
    </row>
    <row r="4173" spans="46:49" x14ac:dyDescent="0.25">
      <c r="AT4173" s="74"/>
      <c r="AW4173" s="74"/>
    </row>
    <row r="4174" spans="46:49" x14ac:dyDescent="0.25">
      <c r="AT4174" s="74"/>
      <c r="AW4174" s="74"/>
    </row>
    <row r="4175" spans="46:49" x14ac:dyDescent="0.25">
      <c r="AT4175" s="74"/>
      <c r="AW4175" s="74"/>
    </row>
    <row r="4176" spans="46:49" x14ac:dyDescent="0.25">
      <c r="AT4176" s="74"/>
      <c r="AW4176" s="74"/>
    </row>
    <row r="4177" spans="46:49" x14ac:dyDescent="0.25">
      <c r="AT4177" s="74"/>
      <c r="AW4177" s="74"/>
    </row>
    <row r="4178" spans="46:49" x14ac:dyDescent="0.25">
      <c r="AT4178" s="74"/>
      <c r="AW4178" s="74"/>
    </row>
    <row r="4179" spans="46:49" x14ac:dyDescent="0.25">
      <c r="AT4179" s="74"/>
      <c r="AW4179" s="74"/>
    </row>
    <row r="4180" spans="46:49" x14ac:dyDescent="0.25">
      <c r="AT4180" s="74"/>
      <c r="AW4180" s="74"/>
    </row>
    <row r="4181" spans="46:49" x14ac:dyDescent="0.25">
      <c r="AT4181" s="74"/>
      <c r="AW4181" s="74"/>
    </row>
    <row r="4182" spans="46:49" x14ac:dyDescent="0.25">
      <c r="AT4182" s="74"/>
      <c r="AW4182" s="74"/>
    </row>
    <row r="4183" spans="46:49" x14ac:dyDescent="0.25">
      <c r="AT4183" s="74"/>
      <c r="AW4183" s="74"/>
    </row>
    <row r="4184" spans="46:49" x14ac:dyDescent="0.25">
      <c r="AT4184" s="74"/>
      <c r="AW4184" s="74"/>
    </row>
    <row r="4185" spans="46:49" x14ac:dyDescent="0.25">
      <c r="AT4185" s="74"/>
      <c r="AW4185" s="74"/>
    </row>
    <row r="4186" spans="46:49" x14ac:dyDescent="0.25">
      <c r="AT4186" s="74"/>
      <c r="AW4186" s="74"/>
    </row>
    <row r="4187" spans="46:49" x14ac:dyDescent="0.25">
      <c r="AT4187" s="74"/>
      <c r="AW4187" s="74"/>
    </row>
    <row r="4188" spans="46:49" x14ac:dyDescent="0.25">
      <c r="AT4188" s="74"/>
      <c r="AW4188" s="74"/>
    </row>
    <row r="4189" spans="46:49" x14ac:dyDescent="0.25">
      <c r="AT4189" s="74"/>
      <c r="AW4189" s="74"/>
    </row>
    <row r="4190" spans="46:49" x14ac:dyDescent="0.25">
      <c r="AT4190" s="74"/>
      <c r="AW4190" s="74"/>
    </row>
    <row r="4191" spans="46:49" x14ac:dyDescent="0.25">
      <c r="AT4191" s="74"/>
      <c r="AW4191" s="74"/>
    </row>
    <row r="4192" spans="46:49" x14ac:dyDescent="0.25">
      <c r="AT4192" s="74"/>
      <c r="AW4192" s="74"/>
    </row>
    <row r="4193" spans="46:49" x14ac:dyDescent="0.25">
      <c r="AT4193" s="74"/>
      <c r="AW4193" s="74"/>
    </row>
    <row r="4194" spans="46:49" x14ac:dyDescent="0.25">
      <c r="AT4194" s="74"/>
      <c r="AW4194" s="74"/>
    </row>
    <row r="4195" spans="46:49" x14ac:dyDescent="0.25">
      <c r="AT4195" s="74"/>
      <c r="AW4195" s="74"/>
    </row>
    <row r="4196" spans="46:49" x14ac:dyDescent="0.25">
      <c r="AT4196" s="74"/>
      <c r="AW4196" s="74"/>
    </row>
    <row r="4197" spans="46:49" x14ac:dyDescent="0.25">
      <c r="AT4197" s="74"/>
      <c r="AW4197" s="74"/>
    </row>
    <row r="4198" spans="46:49" x14ac:dyDescent="0.25">
      <c r="AT4198" s="74"/>
      <c r="AW4198" s="74"/>
    </row>
    <row r="4199" spans="46:49" x14ac:dyDescent="0.25">
      <c r="AT4199" s="74"/>
      <c r="AW4199" s="74"/>
    </row>
    <row r="4200" spans="46:49" x14ac:dyDescent="0.25">
      <c r="AT4200" s="74"/>
      <c r="AW4200" s="74"/>
    </row>
    <row r="4201" spans="46:49" x14ac:dyDescent="0.25">
      <c r="AT4201" s="74"/>
      <c r="AW4201" s="74"/>
    </row>
    <row r="4202" spans="46:49" x14ac:dyDescent="0.25">
      <c r="AT4202" s="74"/>
      <c r="AW4202" s="74"/>
    </row>
    <row r="4203" spans="46:49" x14ac:dyDescent="0.25">
      <c r="AT4203" s="74"/>
      <c r="AW4203" s="74"/>
    </row>
    <row r="4204" spans="46:49" x14ac:dyDescent="0.25">
      <c r="AT4204" s="74"/>
      <c r="AW4204" s="74"/>
    </row>
    <row r="4205" spans="46:49" x14ac:dyDescent="0.25">
      <c r="AT4205" s="74"/>
      <c r="AW4205" s="74"/>
    </row>
    <row r="4206" spans="46:49" x14ac:dyDescent="0.25">
      <c r="AT4206" s="74"/>
      <c r="AW4206" s="74"/>
    </row>
    <row r="4207" spans="46:49" x14ac:dyDescent="0.25">
      <c r="AT4207" s="74"/>
      <c r="AW4207" s="74"/>
    </row>
    <row r="4208" spans="46:49" x14ac:dyDescent="0.25">
      <c r="AT4208" s="74"/>
      <c r="AW4208" s="74"/>
    </row>
    <row r="4209" spans="46:49" x14ac:dyDescent="0.25">
      <c r="AT4209" s="74"/>
      <c r="AW4209" s="74"/>
    </row>
    <row r="4210" spans="46:49" x14ac:dyDescent="0.25">
      <c r="AT4210" s="74"/>
      <c r="AW4210" s="74"/>
    </row>
    <row r="4211" spans="46:49" x14ac:dyDescent="0.25">
      <c r="AT4211" s="74"/>
      <c r="AW4211" s="74"/>
    </row>
    <row r="4212" spans="46:49" x14ac:dyDescent="0.25">
      <c r="AT4212" s="74"/>
      <c r="AW4212" s="74"/>
    </row>
    <row r="4213" spans="46:49" x14ac:dyDescent="0.25">
      <c r="AT4213" s="74"/>
      <c r="AW4213" s="74"/>
    </row>
    <row r="4214" spans="46:49" x14ac:dyDescent="0.25">
      <c r="AT4214" s="74"/>
      <c r="AW4214" s="74"/>
    </row>
    <row r="4215" spans="46:49" x14ac:dyDescent="0.25">
      <c r="AT4215" s="74"/>
      <c r="AW4215" s="74"/>
    </row>
    <row r="4216" spans="46:49" x14ac:dyDescent="0.25">
      <c r="AT4216" s="74"/>
      <c r="AW4216" s="74"/>
    </row>
    <row r="4217" spans="46:49" x14ac:dyDescent="0.25">
      <c r="AT4217" s="74"/>
      <c r="AW4217" s="74"/>
    </row>
    <row r="4218" spans="46:49" x14ac:dyDescent="0.25">
      <c r="AT4218" s="74"/>
      <c r="AW4218" s="74"/>
    </row>
    <row r="4219" spans="46:49" x14ac:dyDescent="0.25">
      <c r="AT4219" s="74"/>
      <c r="AW4219" s="74"/>
    </row>
    <row r="4220" spans="46:49" x14ac:dyDescent="0.25">
      <c r="AT4220" s="74"/>
      <c r="AW4220" s="74"/>
    </row>
    <row r="4221" spans="46:49" x14ac:dyDescent="0.25">
      <c r="AT4221" s="74"/>
      <c r="AW4221" s="74"/>
    </row>
    <row r="4222" spans="46:49" x14ac:dyDescent="0.25">
      <c r="AT4222" s="74"/>
      <c r="AW4222" s="74"/>
    </row>
    <row r="4223" spans="46:49" x14ac:dyDescent="0.25">
      <c r="AT4223" s="74"/>
      <c r="AW4223" s="74"/>
    </row>
    <row r="4224" spans="46:49" x14ac:dyDescent="0.25">
      <c r="AT4224" s="74"/>
      <c r="AW4224" s="74"/>
    </row>
    <row r="4225" spans="46:49" x14ac:dyDescent="0.25">
      <c r="AT4225" s="74"/>
      <c r="AW4225" s="74"/>
    </row>
    <row r="4226" spans="46:49" x14ac:dyDescent="0.25">
      <c r="AT4226" s="74"/>
      <c r="AW4226" s="74"/>
    </row>
    <row r="4227" spans="46:49" x14ac:dyDescent="0.25">
      <c r="AT4227" s="74"/>
      <c r="AW4227" s="74"/>
    </row>
    <row r="4228" spans="46:49" x14ac:dyDescent="0.25">
      <c r="AT4228" s="74"/>
      <c r="AW4228" s="74"/>
    </row>
    <row r="4229" spans="46:49" x14ac:dyDescent="0.25">
      <c r="AT4229" s="74"/>
      <c r="AW4229" s="74"/>
    </row>
    <row r="4230" spans="46:49" x14ac:dyDescent="0.25">
      <c r="AT4230" s="74"/>
      <c r="AW4230" s="74"/>
    </row>
    <row r="4231" spans="46:49" x14ac:dyDescent="0.25">
      <c r="AT4231" s="74"/>
      <c r="AW4231" s="74"/>
    </row>
    <row r="4232" spans="46:49" x14ac:dyDescent="0.25">
      <c r="AT4232" s="74"/>
      <c r="AW4232" s="74"/>
    </row>
    <row r="4233" spans="46:49" x14ac:dyDescent="0.25">
      <c r="AT4233" s="74"/>
      <c r="AW4233" s="74"/>
    </row>
    <row r="4234" spans="46:49" x14ac:dyDescent="0.25">
      <c r="AT4234" s="74"/>
      <c r="AW4234" s="74"/>
    </row>
    <row r="4235" spans="46:49" x14ac:dyDescent="0.25">
      <c r="AT4235" s="74"/>
      <c r="AW4235" s="74"/>
    </row>
    <row r="4236" spans="46:49" x14ac:dyDescent="0.25">
      <c r="AT4236" s="74"/>
      <c r="AW4236" s="74"/>
    </row>
    <row r="4237" spans="46:49" x14ac:dyDescent="0.25">
      <c r="AT4237" s="74"/>
      <c r="AW4237" s="74"/>
    </row>
    <row r="4238" spans="46:49" x14ac:dyDescent="0.25">
      <c r="AT4238" s="74"/>
      <c r="AW4238" s="74"/>
    </row>
    <row r="4239" spans="46:49" x14ac:dyDescent="0.25">
      <c r="AT4239" s="74"/>
      <c r="AW4239" s="74"/>
    </row>
    <row r="4240" spans="46:49" x14ac:dyDescent="0.25">
      <c r="AT4240" s="74"/>
      <c r="AW4240" s="74"/>
    </row>
    <row r="4241" spans="46:49" x14ac:dyDescent="0.25">
      <c r="AT4241" s="74"/>
      <c r="AW4241" s="74"/>
    </row>
    <row r="4242" spans="46:49" x14ac:dyDescent="0.25">
      <c r="AT4242" s="74"/>
      <c r="AW4242" s="74"/>
    </row>
    <row r="4243" spans="46:49" x14ac:dyDescent="0.25">
      <c r="AT4243" s="74"/>
      <c r="AW4243" s="74"/>
    </row>
    <row r="4244" spans="46:49" x14ac:dyDescent="0.25">
      <c r="AT4244" s="74"/>
      <c r="AW4244" s="74"/>
    </row>
    <row r="4245" spans="46:49" x14ac:dyDescent="0.25">
      <c r="AT4245" s="74"/>
      <c r="AW4245" s="74"/>
    </row>
    <row r="4246" spans="46:49" x14ac:dyDescent="0.25">
      <c r="AT4246" s="74"/>
      <c r="AW4246" s="74"/>
    </row>
    <row r="4247" spans="46:49" x14ac:dyDescent="0.25">
      <c r="AT4247" s="74"/>
      <c r="AW4247" s="74"/>
    </row>
    <row r="4248" spans="46:49" x14ac:dyDescent="0.25">
      <c r="AT4248" s="74"/>
      <c r="AW4248" s="74"/>
    </row>
    <row r="4249" spans="46:49" x14ac:dyDescent="0.25">
      <c r="AT4249" s="74"/>
      <c r="AW4249" s="74"/>
    </row>
    <row r="4250" spans="46:49" x14ac:dyDescent="0.25">
      <c r="AT4250" s="74"/>
      <c r="AW4250" s="74"/>
    </row>
    <row r="4251" spans="46:49" x14ac:dyDescent="0.25">
      <c r="AT4251" s="74"/>
      <c r="AW4251" s="74"/>
    </row>
    <row r="4252" spans="46:49" x14ac:dyDescent="0.25">
      <c r="AT4252" s="74"/>
      <c r="AW4252" s="74"/>
    </row>
    <row r="4253" spans="46:49" x14ac:dyDescent="0.25">
      <c r="AT4253" s="74"/>
      <c r="AW4253" s="74"/>
    </row>
    <row r="4254" spans="46:49" x14ac:dyDescent="0.25">
      <c r="AT4254" s="74"/>
      <c r="AW4254" s="74"/>
    </row>
    <row r="4255" spans="46:49" x14ac:dyDescent="0.25">
      <c r="AT4255" s="74"/>
      <c r="AW4255" s="74"/>
    </row>
    <row r="4256" spans="46:49" x14ac:dyDescent="0.25">
      <c r="AT4256" s="74"/>
      <c r="AW4256" s="74"/>
    </row>
    <row r="4257" spans="46:49" x14ac:dyDescent="0.25">
      <c r="AT4257" s="74"/>
      <c r="AW4257" s="74"/>
    </row>
    <row r="4258" spans="46:49" x14ac:dyDescent="0.25">
      <c r="AT4258" s="74"/>
      <c r="AW4258" s="74"/>
    </row>
    <row r="4259" spans="46:49" x14ac:dyDescent="0.25">
      <c r="AT4259" s="74"/>
      <c r="AW4259" s="74"/>
    </row>
    <row r="4260" spans="46:49" x14ac:dyDescent="0.25">
      <c r="AT4260" s="74"/>
      <c r="AW4260" s="74"/>
    </row>
    <row r="4261" spans="46:49" x14ac:dyDescent="0.25">
      <c r="AT4261" s="74"/>
      <c r="AW4261" s="74"/>
    </row>
    <row r="4262" spans="46:49" x14ac:dyDescent="0.25">
      <c r="AT4262" s="74"/>
      <c r="AW4262" s="74"/>
    </row>
    <row r="4263" spans="46:49" x14ac:dyDescent="0.25">
      <c r="AT4263" s="74"/>
      <c r="AW4263" s="74"/>
    </row>
    <row r="4264" spans="46:49" x14ac:dyDescent="0.25">
      <c r="AT4264" s="74"/>
      <c r="AW4264" s="74"/>
    </row>
    <row r="4265" spans="46:49" x14ac:dyDescent="0.25">
      <c r="AT4265" s="74"/>
      <c r="AW4265" s="74"/>
    </row>
    <row r="4266" spans="46:49" x14ac:dyDescent="0.25">
      <c r="AT4266" s="74"/>
      <c r="AW4266" s="74"/>
    </row>
    <row r="4267" spans="46:49" x14ac:dyDescent="0.25">
      <c r="AT4267" s="74"/>
      <c r="AW4267" s="74"/>
    </row>
    <row r="4268" spans="46:49" x14ac:dyDescent="0.25">
      <c r="AT4268" s="74"/>
      <c r="AW4268" s="74"/>
    </row>
    <row r="4269" spans="46:49" x14ac:dyDescent="0.25">
      <c r="AT4269" s="74"/>
      <c r="AW4269" s="74"/>
    </row>
    <row r="4270" spans="46:49" x14ac:dyDescent="0.25">
      <c r="AT4270" s="74"/>
      <c r="AW4270" s="74"/>
    </row>
    <row r="4271" spans="46:49" x14ac:dyDescent="0.25">
      <c r="AT4271" s="74"/>
      <c r="AW4271" s="74"/>
    </row>
    <row r="4272" spans="46:49" x14ac:dyDescent="0.25">
      <c r="AT4272" s="74"/>
      <c r="AW4272" s="74"/>
    </row>
    <row r="4273" spans="46:49" x14ac:dyDescent="0.25">
      <c r="AT4273" s="74"/>
      <c r="AW4273" s="74"/>
    </row>
    <row r="4274" spans="46:49" x14ac:dyDescent="0.25">
      <c r="AT4274" s="74"/>
      <c r="AW4274" s="74"/>
    </row>
    <row r="4275" spans="46:49" x14ac:dyDescent="0.25">
      <c r="AT4275" s="74"/>
      <c r="AW4275" s="74"/>
    </row>
    <row r="4276" spans="46:49" x14ac:dyDescent="0.25">
      <c r="AT4276" s="74"/>
      <c r="AW4276" s="74"/>
    </row>
    <row r="4277" spans="46:49" x14ac:dyDescent="0.25">
      <c r="AT4277" s="74"/>
      <c r="AW4277" s="74"/>
    </row>
    <row r="4278" spans="46:49" x14ac:dyDescent="0.25">
      <c r="AT4278" s="74"/>
      <c r="AW4278" s="74"/>
    </row>
    <row r="4279" spans="46:49" x14ac:dyDescent="0.25">
      <c r="AT4279" s="74"/>
      <c r="AW4279" s="74"/>
    </row>
    <row r="4280" spans="46:49" x14ac:dyDescent="0.25">
      <c r="AT4280" s="74"/>
      <c r="AW4280" s="74"/>
    </row>
    <row r="4281" spans="46:49" x14ac:dyDescent="0.25">
      <c r="AT4281" s="74"/>
      <c r="AW4281" s="74"/>
    </row>
    <row r="4282" spans="46:49" x14ac:dyDescent="0.25">
      <c r="AT4282" s="74"/>
      <c r="AW4282" s="74"/>
    </row>
    <row r="4283" spans="46:49" x14ac:dyDescent="0.25">
      <c r="AT4283" s="74"/>
      <c r="AW4283" s="74"/>
    </row>
    <row r="4284" spans="46:49" x14ac:dyDescent="0.25">
      <c r="AT4284" s="74"/>
      <c r="AW4284" s="74"/>
    </row>
    <row r="4285" spans="46:49" x14ac:dyDescent="0.25">
      <c r="AT4285" s="74"/>
      <c r="AW4285" s="74"/>
    </row>
    <row r="4286" spans="46:49" x14ac:dyDescent="0.25">
      <c r="AT4286" s="74"/>
      <c r="AW4286" s="74"/>
    </row>
    <row r="4287" spans="46:49" x14ac:dyDescent="0.25">
      <c r="AT4287" s="74"/>
      <c r="AW4287" s="74"/>
    </row>
    <row r="4288" spans="46:49" x14ac:dyDescent="0.25">
      <c r="AT4288" s="74"/>
      <c r="AW4288" s="74"/>
    </row>
    <row r="4289" spans="46:49" x14ac:dyDescent="0.25">
      <c r="AT4289" s="74"/>
      <c r="AW4289" s="74"/>
    </row>
    <row r="4290" spans="46:49" x14ac:dyDescent="0.25">
      <c r="AT4290" s="74"/>
      <c r="AW4290" s="74"/>
    </row>
    <row r="4291" spans="46:49" x14ac:dyDescent="0.25">
      <c r="AT4291" s="74"/>
      <c r="AW4291" s="74"/>
    </row>
    <row r="4292" spans="46:49" x14ac:dyDescent="0.25">
      <c r="AT4292" s="74"/>
      <c r="AW4292" s="74"/>
    </row>
    <row r="4293" spans="46:49" x14ac:dyDescent="0.25">
      <c r="AT4293" s="74"/>
      <c r="AW4293" s="74"/>
    </row>
    <row r="4294" spans="46:49" x14ac:dyDescent="0.25">
      <c r="AT4294" s="74"/>
      <c r="AW4294" s="74"/>
    </row>
    <row r="4295" spans="46:49" x14ac:dyDescent="0.25">
      <c r="AT4295" s="74"/>
      <c r="AW4295" s="74"/>
    </row>
    <row r="4296" spans="46:49" x14ac:dyDescent="0.25">
      <c r="AT4296" s="74"/>
      <c r="AW4296" s="74"/>
    </row>
    <row r="4297" spans="46:49" x14ac:dyDescent="0.25">
      <c r="AT4297" s="74"/>
      <c r="AW4297" s="74"/>
    </row>
    <row r="4298" spans="46:49" x14ac:dyDescent="0.25">
      <c r="AT4298" s="74"/>
      <c r="AW4298" s="74"/>
    </row>
    <row r="4299" spans="46:49" x14ac:dyDescent="0.25">
      <c r="AT4299" s="74"/>
      <c r="AW4299" s="74"/>
    </row>
    <row r="4300" spans="46:49" x14ac:dyDescent="0.25">
      <c r="AT4300" s="74"/>
      <c r="AW4300" s="74"/>
    </row>
    <row r="4301" spans="46:49" x14ac:dyDescent="0.25">
      <c r="AT4301" s="74"/>
      <c r="AW4301" s="74"/>
    </row>
    <row r="4302" spans="46:49" x14ac:dyDescent="0.25">
      <c r="AT4302" s="74"/>
      <c r="AW4302" s="74"/>
    </row>
    <row r="4303" spans="46:49" x14ac:dyDescent="0.25">
      <c r="AT4303" s="74"/>
      <c r="AW4303" s="74"/>
    </row>
    <row r="4304" spans="46:49" x14ac:dyDescent="0.25">
      <c r="AT4304" s="74"/>
      <c r="AW4304" s="74"/>
    </row>
    <row r="4305" spans="46:49" x14ac:dyDescent="0.25">
      <c r="AT4305" s="74"/>
      <c r="AW4305" s="74"/>
    </row>
    <row r="4306" spans="46:49" x14ac:dyDescent="0.25">
      <c r="AT4306" s="74"/>
      <c r="AW4306" s="74"/>
    </row>
    <row r="4307" spans="46:49" x14ac:dyDescent="0.25">
      <c r="AT4307" s="74"/>
      <c r="AW4307" s="74"/>
    </row>
    <row r="4308" spans="46:49" x14ac:dyDescent="0.25">
      <c r="AT4308" s="74"/>
      <c r="AW4308" s="74"/>
    </row>
    <row r="4309" spans="46:49" x14ac:dyDescent="0.25">
      <c r="AT4309" s="74"/>
      <c r="AW4309" s="74"/>
    </row>
    <row r="4310" spans="46:49" x14ac:dyDescent="0.25">
      <c r="AT4310" s="74"/>
      <c r="AW4310" s="74"/>
    </row>
    <row r="4311" spans="46:49" x14ac:dyDescent="0.25">
      <c r="AT4311" s="74"/>
      <c r="AW4311" s="74"/>
    </row>
    <row r="4312" spans="46:49" x14ac:dyDescent="0.25">
      <c r="AT4312" s="74"/>
      <c r="AW4312" s="74"/>
    </row>
    <row r="4313" spans="46:49" x14ac:dyDescent="0.25">
      <c r="AT4313" s="74"/>
      <c r="AW4313" s="74"/>
    </row>
    <row r="4314" spans="46:49" x14ac:dyDescent="0.25">
      <c r="AT4314" s="74"/>
      <c r="AW4314" s="74"/>
    </row>
    <row r="4315" spans="46:49" x14ac:dyDescent="0.25">
      <c r="AT4315" s="74"/>
      <c r="AW4315" s="74"/>
    </row>
    <row r="4316" spans="46:49" x14ac:dyDescent="0.25">
      <c r="AT4316" s="74"/>
      <c r="AW4316" s="74"/>
    </row>
    <row r="4317" spans="46:49" x14ac:dyDescent="0.25">
      <c r="AT4317" s="74"/>
      <c r="AW4317" s="74"/>
    </row>
    <row r="4318" spans="46:49" x14ac:dyDescent="0.25">
      <c r="AT4318" s="74"/>
      <c r="AW4318" s="74"/>
    </row>
    <row r="4319" spans="46:49" x14ac:dyDescent="0.25">
      <c r="AT4319" s="74"/>
      <c r="AW4319" s="74"/>
    </row>
    <row r="4320" spans="46:49" x14ac:dyDescent="0.25">
      <c r="AT4320" s="74"/>
      <c r="AW4320" s="74"/>
    </row>
    <row r="4321" spans="46:49" x14ac:dyDescent="0.25">
      <c r="AT4321" s="74"/>
      <c r="AW4321" s="74"/>
    </row>
    <row r="4322" spans="46:49" x14ac:dyDescent="0.25">
      <c r="AT4322" s="74"/>
      <c r="AW4322" s="74"/>
    </row>
    <row r="4323" spans="46:49" x14ac:dyDescent="0.25">
      <c r="AT4323" s="74"/>
      <c r="AW4323" s="74"/>
    </row>
    <row r="4324" spans="46:49" x14ac:dyDescent="0.25">
      <c r="AT4324" s="74"/>
      <c r="AW4324" s="74"/>
    </row>
    <row r="4325" spans="46:49" x14ac:dyDescent="0.25">
      <c r="AT4325" s="74"/>
      <c r="AW4325" s="74"/>
    </row>
    <row r="4326" spans="46:49" x14ac:dyDescent="0.25">
      <c r="AT4326" s="74"/>
      <c r="AW4326" s="74"/>
    </row>
    <row r="4327" spans="46:49" x14ac:dyDescent="0.25">
      <c r="AT4327" s="74"/>
      <c r="AW4327" s="74"/>
    </row>
    <row r="4328" spans="46:49" x14ac:dyDescent="0.25">
      <c r="AT4328" s="74"/>
      <c r="AW4328" s="74"/>
    </row>
    <row r="4329" spans="46:49" x14ac:dyDescent="0.25">
      <c r="AT4329" s="74"/>
      <c r="AW4329" s="74"/>
    </row>
    <row r="4330" spans="46:49" x14ac:dyDescent="0.25">
      <c r="AT4330" s="74"/>
      <c r="AW4330" s="74"/>
    </row>
    <row r="4331" spans="46:49" x14ac:dyDescent="0.25">
      <c r="AT4331" s="74"/>
      <c r="AW4331" s="74"/>
    </row>
    <row r="4332" spans="46:49" x14ac:dyDescent="0.25">
      <c r="AT4332" s="74"/>
      <c r="AW4332" s="74"/>
    </row>
    <row r="4333" spans="46:49" x14ac:dyDescent="0.25">
      <c r="AT4333" s="74"/>
      <c r="AW4333" s="74"/>
    </row>
    <row r="4334" spans="46:49" x14ac:dyDescent="0.25">
      <c r="AT4334" s="74"/>
      <c r="AW4334" s="74"/>
    </row>
    <row r="4335" spans="46:49" x14ac:dyDescent="0.25">
      <c r="AT4335" s="74"/>
      <c r="AW4335" s="74"/>
    </row>
    <row r="4336" spans="46:49" x14ac:dyDescent="0.25">
      <c r="AT4336" s="74"/>
      <c r="AW4336" s="74"/>
    </row>
    <row r="4337" spans="46:49" x14ac:dyDescent="0.25">
      <c r="AT4337" s="74"/>
      <c r="AW4337" s="74"/>
    </row>
    <row r="4338" spans="46:49" x14ac:dyDescent="0.25">
      <c r="AT4338" s="74"/>
      <c r="AW4338" s="74"/>
    </row>
    <row r="4339" spans="46:49" x14ac:dyDescent="0.25">
      <c r="AT4339" s="74"/>
      <c r="AW4339" s="74"/>
    </row>
    <row r="4340" spans="46:49" x14ac:dyDescent="0.25">
      <c r="AT4340" s="74"/>
      <c r="AW4340" s="74"/>
    </row>
    <row r="4341" spans="46:49" x14ac:dyDescent="0.25">
      <c r="AT4341" s="74"/>
      <c r="AW4341" s="74"/>
    </row>
    <row r="4342" spans="46:49" x14ac:dyDescent="0.25">
      <c r="AT4342" s="74"/>
      <c r="AW4342" s="74"/>
    </row>
    <row r="4343" spans="46:49" x14ac:dyDescent="0.25">
      <c r="AT4343" s="74"/>
      <c r="AW4343" s="74"/>
    </row>
    <row r="4344" spans="46:49" x14ac:dyDescent="0.25">
      <c r="AT4344" s="74"/>
      <c r="AW4344" s="74"/>
    </row>
    <row r="4345" spans="46:49" x14ac:dyDescent="0.25">
      <c r="AT4345" s="74"/>
      <c r="AW4345" s="74"/>
    </row>
    <row r="4346" spans="46:49" x14ac:dyDescent="0.25">
      <c r="AT4346" s="74"/>
      <c r="AW4346" s="74"/>
    </row>
    <row r="4347" spans="46:49" x14ac:dyDescent="0.25">
      <c r="AT4347" s="74"/>
      <c r="AW4347" s="74"/>
    </row>
    <row r="4348" spans="46:49" x14ac:dyDescent="0.25">
      <c r="AT4348" s="74"/>
      <c r="AW4348" s="74"/>
    </row>
    <row r="4349" spans="46:49" x14ac:dyDescent="0.25">
      <c r="AT4349" s="74"/>
      <c r="AW4349" s="74"/>
    </row>
    <row r="4350" spans="46:49" x14ac:dyDescent="0.25">
      <c r="AT4350" s="74"/>
      <c r="AW4350" s="74"/>
    </row>
    <row r="4351" spans="46:49" x14ac:dyDescent="0.25">
      <c r="AT4351" s="74"/>
      <c r="AW4351" s="74"/>
    </row>
    <row r="4352" spans="46:49" x14ac:dyDescent="0.25">
      <c r="AT4352" s="74"/>
      <c r="AW4352" s="74"/>
    </row>
    <row r="4353" spans="46:49" x14ac:dyDescent="0.25">
      <c r="AT4353" s="74"/>
      <c r="AW4353" s="74"/>
    </row>
    <row r="4354" spans="46:49" x14ac:dyDescent="0.25">
      <c r="AT4354" s="74"/>
      <c r="AW4354" s="74"/>
    </row>
    <row r="4355" spans="46:49" x14ac:dyDescent="0.25">
      <c r="AT4355" s="74"/>
      <c r="AW4355" s="74"/>
    </row>
    <row r="4356" spans="46:49" x14ac:dyDescent="0.25">
      <c r="AT4356" s="74"/>
      <c r="AW4356" s="74"/>
    </row>
    <row r="4357" spans="46:49" x14ac:dyDescent="0.25">
      <c r="AT4357" s="74"/>
      <c r="AW4357" s="74"/>
    </row>
    <row r="4358" spans="46:49" x14ac:dyDescent="0.25">
      <c r="AT4358" s="74"/>
      <c r="AW4358" s="74"/>
    </row>
    <row r="4359" spans="46:49" x14ac:dyDescent="0.25">
      <c r="AT4359" s="74"/>
      <c r="AW4359" s="74"/>
    </row>
    <row r="4360" spans="46:49" x14ac:dyDescent="0.25">
      <c r="AT4360" s="74"/>
      <c r="AW4360" s="74"/>
    </row>
    <row r="4361" spans="46:49" x14ac:dyDescent="0.25">
      <c r="AT4361" s="74"/>
      <c r="AW4361" s="74"/>
    </row>
    <row r="4362" spans="46:49" x14ac:dyDescent="0.25">
      <c r="AT4362" s="74"/>
      <c r="AW4362" s="74"/>
    </row>
    <row r="4363" spans="46:49" x14ac:dyDescent="0.25">
      <c r="AT4363" s="74"/>
      <c r="AW4363" s="74"/>
    </row>
    <row r="4364" spans="46:49" x14ac:dyDescent="0.25">
      <c r="AT4364" s="74"/>
      <c r="AW4364" s="74"/>
    </row>
    <row r="4365" spans="46:49" x14ac:dyDescent="0.25">
      <c r="AT4365" s="74"/>
      <c r="AW4365" s="74"/>
    </row>
    <row r="4366" spans="46:49" x14ac:dyDescent="0.25">
      <c r="AT4366" s="74"/>
      <c r="AW4366" s="74"/>
    </row>
    <row r="4367" spans="46:49" x14ac:dyDescent="0.25">
      <c r="AT4367" s="74"/>
      <c r="AW4367" s="74"/>
    </row>
    <row r="4368" spans="46:49" x14ac:dyDescent="0.25">
      <c r="AT4368" s="74"/>
      <c r="AW4368" s="74"/>
    </row>
    <row r="4369" spans="46:49" x14ac:dyDescent="0.25">
      <c r="AT4369" s="74"/>
      <c r="AW4369" s="74"/>
    </row>
    <row r="4370" spans="46:49" x14ac:dyDescent="0.25">
      <c r="AT4370" s="74"/>
      <c r="AW4370" s="74"/>
    </row>
    <row r="4371" spans="46:49" x14ac:dyDescent="0.25">
      <c r="AT4371" s="74"/>
      <c r="AW4371" s="74"/>
    </row>
    <row r="4372" spans="46:49" x14ac:dyDescent="0.25">
      <c r="AT4372" s="74"/>
      <c r="AW4372" s="74"/>
    </row>
    <row r="4373" spans="46:49" x14ac:dyDescent="0.25">
      <c r="AT4373" s="74"/>
      <c r="AW4373" s="74"/>
    </row>
    <row r="4374" spans="46:49" x14ac:dyDescent="0.25">
      <c r="AT4374" s="74"/>
      <c r="AW4374" s="74"/>
    </row>
    <row r="4375" spans="46:49" x14ac:dyDescent="0.25">
      <c r="AT4375" s="74"/>
      <c r="AW4375" s="74"/>
    </row>
    <row r="4376" spans="46:49" x14ac:dyDescent="0.25">
      <c r="AT4376" s="74"/>
      <c r="AW4376" s="74"/>
    </row>
    <row r="4377" spans="46:49" x14ac:dyDescent="0.25">
      <c r="AT4377" s="74"/>
      <c r="AW4377" s="74"/>
    </row>
    <row r="4378" spans="46:49" x14ac:dyDescent="0.25">
      <c r="AT4378" s="74"/>
      <c r="AW4378" s="74"/>
    </row>
    <row r="4379" spans="46:49" x14ac:dyDescent="0.25">
      <c r="AT4379" s="74"/>
      <c r="AW4379" s="74"/>
    </row>
    <row r="4380" spans="46:49" x14ac:dyDescent="0.25">
      <c r="AT4380" s="74"/>
      <c r="AW4380" s="74"/>
    </row>
    <row r="4381" spans="46:49" x14ac:dyDescent="0.25">
      <c r="AT4381" s="74"/>
      <c r="AW4381" s="74"/>
    </row>
    <row r="4382" spans="46:49" x14ac:dyDescent="0.25">
      <c r="AT4382" s="74"/>
      <c r="AW4382" s="74"/>
    </row>
    <row r="4383" spans="46:49" x14ac:dyDescent="0.25">
      <c r="AT4383" s="74"/>
      <c r="AW4383" s="74"/>
    </row>
    <row r="4384" spans="46:49" x14ac:dyDescent="0.25">
      <c r="AT4384" s="74"/>
      <c r="AW4384" s="74"/>
    </row>
    <row r="4385" spans="46:49" x14ac:dyDescent="0.25">
      <c r="AT4385" s="74"/>
      <c r="AW4385" s="74"/>
    </row>
    <row r="4386" spans="46:49" x14ac:dyDescent="0.25">
      <c r="AT4386" s="74"/>
      <c r="AW4386" s="74"/>
    </row>
    <row r="4387" spans="46:49" x14ac:dyDescent="0.25">
      <c r="AT4387" s="74"/>
      <c r="AW4387" s="74"/>
    </row>
    <row r="4388" spans="46:49" x14ac:dyDescent="0.25">
      <c r="AT4388" s="74"/>
      <c r="AW4388" s="74"/>
    </row>
    <row r="4389" spans="46:49" x14ac:dyDescent="0.25">
      <c r="AT4389" s="74"/>
      <c r="AW4389" s="74"/>
    </row>
    <row r="4390" spans="46:49" x14ac:dyDescent="0.25">
      <c r="AT4390" s="74"/>
      <c r="AW4390" s="74"/>
    </row>
    <row r="4391" spans="46:49" x14ac:dyDescent="0.25">
      <c r="AT4391" s="74"/>
      <c r="AW4391" s="74"/>
    </row>
    <row r="4392" spans="46:49" x14ac:dyDescent="0.25">
      <c r="AT4392" s="74"/>
      <c r="AW4392" s="74"/>
    </row>
    <row r="4393" spans="46:49" x14ac:dyDescent="0.25">
      <c r="AT4393" s="74"/>
      <c r="AW4393" s="74"/>
    </row>
    <row r="4394" spans="46:49" x14ac:dyDescent="0.25">
      <c r="AT4394" s="74"/>
      <c r="AW4394" s="74"/>
    </row>
    <row r="4395" spans="46:49" x14ac:dyDescent="0.25">
      <c r="AT4395" s="74"/>
      <c r="AW4395" s="74"/>
    </row>
    <row r="4396" spans="46:49" x14ac:dyDescent="0.25">
      <c r="AT4396" s="74"/>
      <c r="AW4396" s="74"/>
    </row>
    <row r="4397" spans="46:49" x14ac:dyDescent="0.25">
      <c r="AT4397" s="74"/>
      <c r="AW4397" s="74"/>
    </row>
    <row r="4398" spans="46:49" x14ac:dyDescent="0.25">
      <c r="AT4398" s="74"/>
      <c r="AW4398" s="74"/>
    </row>
    <row r="4399" spans="46:49" x14ac:dyDescent="0.25">
      <c r="AT4399" s="74"/>
      <c r="AW4399" s="74"/>
    </row>
    <row r="4400" spans="46:49" x14ac:dyDescent="0.25">
      <c r="AT4400" s="74"/>
      <c r="AW4400" s="74"/>
    </row>
    <row r="4401" spans="46:49" x14ac:dyDescent="0.25">
      <c r="AT4401" s="74"/>
      <c r="AW4401" s="74"/>
    </row>
    <row r="4402" spans="46:49" x14ac:dyDescent="0.25">
      <c r="AT4402" s="74"/>
      <c r="AW4402" s="74"/>
    </row>
    <row r="4403" spans="46:49" x14ac:dyDescent="0.25">
      <c r="AT4403" s="74"/>
      <c r="AW4403" s="74"/>
    </row>
    <row r="4404" spans="46:49" x14ac:dyDescent="0.25">
      <c r="AT4404" s="74"/>
      <c r="AW4404" s="74"/>
    </row>
    <row r="4405" spans="46:49" x14ac:dyDescent="0.25">
      <c r="AT4405" s="74"/>
      <c r="AW4405" s="74"/>
    </row>
    <row r="4406" spans="46:49" x14ac:dyDescent="0.25">
      <c r="AT4406" s="74"/>
      <c r="AW4406" s="74"/>
    </row>
    <row r="4407" spans="46:49" x14ac:dyDescent="0.25">
      <c r="AT4407" s="74"/>
      <c r="AW4407" s="74"/>
    </row>
    <row r="4408" spans="46:49" x14ac:dyDescent="0.25">
      <c r="AT4408" s="74"/>
      <c r="AW4408" s="74"/>
    </row>
    <row r="4409" spans="46:49" x14ac:dyDescent="0.25">
      <c r="AT4409" s="74"/>
      <c r="AW4409" s="74"/>
    </row>
    <row r="4410" spans="46:49" x14ac:dyDescent="0.25">
      <c r="AT4410" s="74"/>
      <c r="AW4410" s="74"/>
    </row>
    <row r="4411" spans="46:49" x14ac:dyDescent="0.25">
      <c r="AT4411" s="74"/>
      <c r="AW4411" s="74"/>
    </row>
    <row r="4412" spans="46:49" x14ac:dyDescent="0.25">
      <c r="AT4412" s="74"/>
      <c r="AW4412" s="74"/>
    </row>
    <row r="4413" spans="46:49" x14ac:dyDescent="0.25">
      <c r="AT4413" s="74"/>
      <c r="AW4413" s="74"/>
    </row>
    <row r="4414" spans="46:49" x14ac:dyDescent="0.25">
      <c r="AT4414" s="74"/>
      <c r="AW4414" s="74"/>
    </row>
    <row r="4415" spans="46:49" x14ac:dyDescent="0.25">
      <c r="AT4415" s="74"/>
      <c r="AW4415" s="74"/>
    </row>
    <row r="4416" spans="46:49" x14ac:dyDescent="0.25">
      <c r="AT4416" s="74"/>
      <c r="AW4416" s="74"/>
    </row>
    <row r="4417" spans="46:49" x14ac:dyDescent="0.25">
      <c r="AT4417" s="74"/>
      <c r="AW4417" s="74"/>
    </row>
    <row r="4418" spans="46:49" x14ac:dyDescent="0.25">
      <c r="AT4418" s="74"/>
      <c r="AW4418" s="74"/>
    </row>
    <row r="4419" spans="46:49" x14ac:dyDescent="0.25">
      <c r="AT4419" s="74"/>
      <c r="AW4419" s="74"/>
    </row>
    <row r="4420" spans="46:49" x14ac:dyDescent="0.25">
      <c r="AT4420" s="74"/>
      <c r="AW4420" s="74"/>
    </row>
    <row r="4421" spans="46:49" x14ac:dyDescent="0.25">
      <c r="AT4421" s="74"/>
      <c r="AW4421" s="74"/>
    </row>
    <row r="4422" spans="46:49" x14ac:dyDescent="0.25">
      <c r="AT4422" s="74"/>
      <c r="AW4422" s="74"/>
    </row>
    <row r="4423" spans="46:49" x14ac:dyDescent="0.25">
      <c r="AT4423" s="74"/>
      <c r="AW4423" s="74"/>
    </row>
    <row r="4424" spans="46:49" x14ac:dyDescent="0.25">
      <c r="AT4424" s="74"/>
      <c r="AW4424" s="74"/>
    </row>
    <row r="4425" spans="46:49" x14ac:dyDescent="0.25">
      <c r="AT4425" s="74"/>
      <c r="AW4425" s="74"/>
    </row>
    <row r="4426" spans="46:49" x14ac:dyDescent="0.25">
      <c r="AT4426" s="74"/>
      <c r="AW4426" s="74"/>
    </row>
    <row r="4427" spans="46:49" x14ac:dyDescent="0.25">
      <c r="AT4427" s="74"/>
      <c r="AW4427" s="74"/>
    </row>
    <row r="4428" spans="46:49" x14ac:dyDescent="0.25">
      <c r="AT4428" s="74"/>
      <c r="AW4428" s="74"/>
    </row>
    <row r="4429" spans="46:49" x14ac:dyDescent="0.25">
      <c r="AT4429" s="74"/>
      <c r="AW4429" s="74"/>
    </row>
    <row r="4430" spans="46:49" x14ac:dyDescent="0.25">
      <c r="AT4430" s="74"/>
      <c r="AW4430" s="74"/>
    </row>
    <row r="4431" spans="46:49" x14ac:dyDescent="0.25">
      <c r="AT4431" s="74"/>
      <c r="AW4431" s="74"/>
    </row>
    <row r="4432" spans="46:49" x14ac:dyDescent="0.25">
      <c r="AT4432" s="74"/>
      <c r="AW4432" s="74"/>
    </row>
    <row r="4433" spans="46:49" x14ac:dyDescent="0.25">
      <c r="AT4433" s="74"/>
      <c r="AW4433" s="74"/>
    </row>
    <row r="4434" spans="46:49" x14ac:dyDescent="0.25">
      <c r="AT4434" s="74"/>
      <c r="AW4434" s="74"/>
    </row>
    <row r="4435" spans="46:49" x14ac:dyDescent="0.25">
      <c r="AT4435" s="74"/>
      <c r="AW4435" s="74"/>
    </row>
    <row r="4436" spans="46:49" x14ac:dyDescent="0.25">
      <c r="AT4436" s="74"/>
      <c r="AW4436" s="74"/>
    </row>
    <row r="4437" spans="46:49" x14ac:dyDescent="0.25">
      <c r="AT4437" s="74"/>
      <c r="AW4437" s="74"/>
    </row>
    <row r="4438" spans="46:49" x14ac:dyDescent="0.25">
      <c r="AT4438" s="74"/>
      <c r="AW4438" s="74"/>
    </row>
    <row r="4439" spans="46:49" x14ac:dyDescent="0.25">
      <c r="AT4439" s="74"/>
      <c r="AW4439" s="74"/>
    </row>
    <row r="4440" spans="46:49" x14ac:dyDescent="0.25">
      <c r="AT4440" s="74"/>
      <c r="AW4440" s="74"/>
    </row>
    <row r="4441" spans="46:49" x14ac:dyDescent="0.25">
      <c r="AT4441" s="74"/>
      <c r="AW4441" s="74"/>
    </row>
    <row r="4442" spans="46:49" x14ac:dyDescent="0.25">
      <c r="AT4442" s="74"/>
      <c r="AW4442" s="74"/>
    </row>
    <row r="4443" spans="46:49" x14ac:dyDescent="0.25">
      <c r="AT4443" s="74"/>
      <c r="AW4443" s="74"/>
    </row>
    <row r="4444" spans="46:49" x14ac:dyDescent="0.25">
      <c r="AT4444" s="74"/>
      <c r="AW4444" s="74"/>
    </row>
    <row r="4445" spans="46:49" x14ac:dyDescent="0.25">
      <c r="AT4445" s="74"/>
      <c r="AW4445" s="74"/>
    </row>
    <row r="4446" spans="46:49" x14ac:dyDescent="0.25">
      <c r="AT4446" s="74"/>
      <c r="AW4446" s="74"/>
    </row>
    <row r="4447" spans="46:49" x14ac:dyDescent="0.25">
      <c r="AT4447" s="74"/>
      <c r="AW4447" s="74"/>
    </row>
    <row r="4448" spans="46:49" x14ac:dyDescent="0.25">
      <c r="AT4448" s="74"/>
      <c r="AW4448" s="74"/>
    </row>
    <row r="4449" spans="46:49" x14ac:dyDescent="0.25">
      <c r="AT4449" s="74"/>
      <c r="AW4449" s="74"/>
    </row>
    <row r="4450" spans="46:49" x14ac:dyDescent="0.25">
      <c r="AT4450" s="74"/>
      <c r="AW4450" s="74"/>
    </row>
    <row r="4451" spans="46:49" x14ac:dyDescent="0.25">
      <c r="AT4451" s="74"/>
      <c r="AW4451" s="74"/>
    </row>
    <row r="4452" spans="46:49" x14ac:dyDescent="0.25">
      <c r="AT4452" s="74"/>
      <c r="AW4452" s="74"/>
    </row>
    <row r="4453" spans="46:49" x14ac:dyDescent="0.25">
      <c r="AT4453" s="74"/>
      <c r="AW4453" s="74"/>
    </row>
    <row r="4454" spans="46:49" x14ac:dyDescent="0.25">
      <c r="AT4454" s="74"/>
      <c r="AW4454" s="74"/>
    </row>
    <row r="4455" spans="46:49" x14ac:dyDescent="0.25">
      <c r="AT4455" s="74"/>
      <c r="AW4455" s="74"/>
    </row>
    <row r="4456" spans="46:49" x14ac:dyDescent="0.25">
      <c r="AT4456" s="74"/>
      <c r="AW4456" s="74"/>
    </row>
    <row r="4457" spans="46:49" x14ac:dyDescent="0.25">
      <c r="AT4457" s="74"/>
      <c r="AW4457" s="74"/>
    </row>
    <row r="4458" spans="46:49" x14ac:dyDescent="0.25">
      <c r="AT4458" s="74"/>
      <c r="AW4458" s="74"/>
    </row>
    <row r="4459" spans="46:49" x14ac:dyDescent="0.25">
      <c r="AT4459" s="74"/>
      <c r="AW4459" s="74"/>
    </row>
    <row r="4460" spans="46:49" x14ac:dyDescent="0.25">
      <c r="AT4460" s="74"/>
      <c r="AW4460" s="74"/>
    </row>
    <row r="4461" spans="46:49" x14ac:dyDescent="0.25">
      <c r="AT4461" s="74"/>
      <c r="AW4461" s="74"/>
    </row>
    <row r="4462" spans="46:49" x14ac:dyDescent="0.25">
      <c r="AT4462" s="74"/>
      <c r="AW4462" s="74"/>
    </row>
    <row r="4463" spans="46:49" x14ac:dyDescent="0.25">
      <c r="AT4463" s="74"/>
      <c r="AW4463" s="74"/>
    </row>
    <row r="4464" spans="46:49" x14ac:dyDescent="0.25">
      <c r="AT4464" s="74"/>
      <c r="AW4464" s="74"/>
    </row>
    <row r="4465" spans="46:49" x14ac:dyDescent="0.25">
      <c r="AT4465" s="74"/>
      <c r="AW4465" s="74"/>
    </row>
    <row r="4466" spans="46:49" x14ac:dyDescent="0.25">
      <c r="AT4466" s="74"/>
      <c r="AW4466" s="74"/>
    </row>
    <row r="4467" spans="46:49" x14ac:dyDescent="0.25">
      <c r="AT4467" s="74"/>
      <c r="AW4467" s="74"/>
    </row>
    <row r="4468" spans="46:49" x14ac:dyDescent="0.25">
      <c r="AT4468" s="74"/>
      <c r="AW4468" s="74"/>
    </row>
    <row r="4469" spans="46:49" x14ac:dyDescent="0.25">
      <c r="AT4469" s="74"/>
      <c r="AW4469" s="74"/>
    </row>
    <row r="4470" spans="46:49" x14ac:dyDescent="0.25">
      <c r="AT4470" s="74"/>
      <c r="AW4470" s="74"/>
    </row>
    <row r="4471" spans="46:49" x14ac:dyDescent="0.25">
      <c r="AT4471" s="74"/>
      <c r="AW4471" s="74"/>
    </row>
    <row r="4472" spans="46:49" x14ac:dyDescent="0.25">
      <c r="AT4472" s="74"/>
      <c r="AW4472" s="74"/>
    </row>
    <row r="4473" spans="46:49" x14ac:dyDescent="0.25">
      <c r="AT4473" s="74"/>
      <c r="AW4473" s="74"/>
    </row>
    <row r="4474" spans="46:49" x14ac:dyDescent="0.25">
      <c r="AT4474" s="74"/>
      <c r="AW4474" s="74"/>
    </row>
    <row r="4475" spans="46:49" x14ac:dyDescent="0.25">
      <c r="AT4475" s="74"/>
      <c r="AW4475" s="74"/>
    </row>
    <row r="4476" spans="46:49" x14ac:dyDescent="0.25">
      <c r="AT4476" s="74"/>
      <c r="AW4476" s="74"/>
    </row>
    <row r="4477" spans="46:49" x14ac:dyDescent="0.25">
      <c r="AT4477" s="74"/>
      <c r="AW4477" s="74"/>
    </row>
    <row r="4478" spans="46:49" x14ac:dyDescent="0.25">
      <c r="AT4478" s="74"/>
      <c r="AW4478" s="74"/>
    </row>
    <row r="4479" spans="46:49" x14ac:dyDescent="0.25">
      <c r="AT4479" s="74"/>
      <c r="AW4479" s="74"/>
    </row>
    <row r="4480" spans="46:49" x14ac:dyDescent="0.25">
      <c r="AT4480" s="74"/>
      <c r="AW4480" s="74"/>
    </row>
    <row r="4481" spans="46:49" x14ac:dyDescent="0.25">
      <c r="AT4481" s="74"/>
      <c r="AW4481" s="74"/>
    </row>
    <row r="4482" spans="46:49" x14ac:dyDescent="0.25">
      <c r="AT4482" s="74"/>
      <c r="AW4482" s="74"/>
    </row>
    <row r="4483" spans="46:49" x14ac:dyDescent="0.25">
      <c r="AT4483" s="74"/>
      <c r="AW4483" s="74"/>
    </row>
    <row r="4484" spans="46:49" x14ac:dyDescent="0.25">
      <c r="AT4484" s="74"/>
      <c r="AW4484" s="74"/>
    </row>
    <row r="4485" spans="46:49" x14ac:dyDescent="0.25">
      <c r="AT4485" s="74"/>
      <c r="AW4485" s="74"/>
    </row>
    <row r="4486" spans="46:49" x14ac:dyDescent="0.25">
      <c r="AT4486" s="74"/>
      <c r="AW4486" s="74"/>
    </row>
    <row r="4487" spans="46:49" x14ac:dyDescent="0.25">
      <c r="AT4487" s="74"/>
      <c r="AW4487" s="74"/>
    </row>
    <row r="4488" spans="46:49" x14ac:dyDescent="0.25">
      <c r="AT4488" s="74"/>
      <c r="AW4488" s="74"/>
    </row>
    <row r="4489" spans="46:49" x14ac:dyDescent="0.25">
      <c r="AT4489" s="74"/>
      <c r="AW4489" s="74"/>
    </row>
    <row r="4490" spans="46:49" x14ac:dyDescent="0.25">
      <c r="AT4490" s="74"/>
      <c r="AW4490" s="74"/>
    </row>
    <row r="4491" spans="46:49" x14ac:dyDescent="0.25">
      <c r="AT4491" s="74"/>
      <c r="AW4491" s="74"/>
    </row>
    <row r="4492" spans="46:49" x14ac:dyDescent="0.25">
      <c r="AT4492" s="74"/>
      <c r="AW4492" s="74"/>
    </row>
    <row r="4493" spans="46:49" x14ac:dyDescent="0.25">
      <c r="AT4493" s="74"/>
      <c r="AW4493" s="74"/>
    </row>
    <row r="4494" spans="46:49" x14ac:dyDescent="0.25">
      <c r="AT4494" s="74"/>
      <c r="AW4494" s="74"/>
    </row>
    <row r="4495" spans="46:49" x14ac:dyDescent="0.25">
      <c r="AT4495" s="74"/>
      <c r="AW4495" s="74"/>
    </row>
    <row r="4496" spans="46:49" x14ac:dyDescent="0.25">
      <c r="AT4496" s="74"/>
      <c r="AW4496" s="74"/>
    </row>
    <row r="4497" spans="46:49" x14ac:dyDescent="0.25">
      <c r="AT4497" s="74"/>
      <c r="AW4497" s="74"/>
    </row>
    <row r="4498" spans="46:49" x14ac:dyDescent="0.25">
      <c r="AT4498" s="74"/>
      <c r="AW4498" s="74"/>
    </row>
    <row r="4499" spans="46:49" x14ac:dyDescent="0.25">
      <c r="AT4499" s="74"/>
      <c r="AW4499" s="74"/>
    </row>
    <row r="4500" spans="46:49" x14ac:dyDescent="0.25">
      <c r="AT4500" s="74"/>
      <c r="AW4500" s="74"/>
    </row>
    <row r="4501" spans="46:49" x14ac:dyDescent="0.25">
      <c r="AT4501" s="74"/>
      <c r="AW4501" s="74"/>
    </row>
    <row r="4502" spans="46:49" x14ac:dyDescent="0.25">
      <c r="AT4502" s="74"/>
      <c r="AW4502" s="74"/>
    </row>
    <row r="4503" spans="46:49" x14ac:dyDescent="0.25">
      <c r="AT4503" s="74"/>
      <c r="AW4503" s="74"/>
    </row>
    <row r="4504" spans="46:49" x14ac:dyDescent="0.25">
      <c r="AT4504" s="74"/>
      <c r="AW4504" s="74"/>
    </row>
    <row r="4505" spans="46:49" x14ac:dyDescent="0.25">
      <c r="AT4505" s="74"/>
      <c r="AW4505" s="74"/>
    </row>
    <row r="4506" spans="46:49" x14ac:dyDescent="0.25">
      <c r="AT4506" s="74"/>
      <c r="AW4506" s="74"/>
    </row>
    <row r="4507" spans="46:49" x14ac:dyDescent="0.25">
      <c r="AT4507" s="74"/>
      <c r="AW4507" s="74"/>
    </row>
    <row r="4508" spans="46:49" x14ac:dyDescent="0.25">
      <c r="AT4508" s="74"/>
      <c r="AW4508" s="74"/>
    </row>
    <row r="4509" spans="46:49" x14ac:dyDescent="0.25">
      <c r="AT4509" s="74"/>
      <c r="AW4509" s="74"/>
    </row>
    <row r="4510" spans="46:49" x14ac:dyDescent="0.25">
      <c r="AT4510" s="74"/>
      <c r="AW4510" s="74"/>
    </row>
    <row r="4511" spans="46:49" x14ac:dyDescent="0.25">
      <c r="AT4511" s="74"/>
      <c r="AW4511" s="74"/>
    </row>
    <row r="4512" spans="46:49" x14ac:dyDescent="0.25">
      <c r="AT4512" s="74"/>
      <c r="AW4512" s="74"/>
    </row>
    <row r="4513" spans="46:49" x14ac:dyDescent="0.25">
      <c r="AT4513" s="74"/>
      <c r="AW4513" s="74"/>
    </row>
    <row r="4514" spans="46:49" x14ac:dyDescent="0.25">
      <c r="AT4514" s="74"/>
      <c r="AW4514" s="74"/>
    </row>
    <row r="4515" spans="46:49" x14ac:dyDescent="0.25">
      <c r="AT4515" s="74"/>
      <c r="AW4515" s="74"/>
    </row>
    <row r="4516" spans="46:49" x14ac:dyDescent="0.25">
      <c r="AT4516" s="74"/>
      <c r="AW4516" s="74"/>
    </row>
    <row r="4517" spans="46:49" x14ac:dyDescent="0.25">
      <c r="AT4517" s="74"/>
      <c r="AW4517" s="74"/>
    </row>
    <row r="4518" spans="46:49" x14ac:dyDescent="0.25">
      <c r="AT4518" s="74"/>
      <c r="AW4518" s="74"/>
    </row>
    <row r="4519" spans="46:49" x14ac:dyDescent="0.25">
      <c r="AT4519" s="74"/>
      <c r="AW4519" s="74"/>
    </row>
    <row r="4520" spans="46:49" x14ac:dyDescent="0.25">
      <c r="AT4520" s="74"/>
      <c r="AW4520" s="74"/>
    </row>
    <row r="4521" spans="46:49" x14ac:dyDescent="0.25">
      <c r="AT4521" s="74"/>
      <c r="AW4521" s="74"/>
    </row>
    <row r="4522" spans="46:49" x14ac:dyDescent="0.25">
      <c r="AT4522" s="74"/>
      <c r="AW4522" s="74"/>
    </row>
    <row r="4523" spans="46:49" x14ac:dyDescent="0.25">
      <c r="AT4523" s="74"/>
      <c r="AW4523" s="74"/>
    </row>
    <row r="4524" spans="46:49" x14ac:dyDescent="0.25">
      <c r="AT4524" s="74"/>
      <c r="AW4524" s="74"/>
    </row>
    <row r="4525" spans="46:49" x14ac:dyDescent="0.25">
      <c r="AT4525" s="74"/>
      <c r="AW4525" s="74"/>
    </row>
    <row r="4526" spans="46:49" x14ac:dyDescent="0.25">
      <c r="AT4526" s="74"/>
      <c r="AW4526" s="74"/>
    </row>
    <row r="4527" spans="46:49" x14ac:dyDescent="0.25">
      <c r="AT4527" s="74"/>
      <c r="AW4527" s="74"/>
    </row>
    <row r="4528" spans="46:49" x14ac:dyDescent="0.25">
      <c r="AT4528" s="74"/>
      <c r="AW4528" s="74"/>
    </row>
    <row r="4529" spans="46:49" x14ac:dyDescent="0.25">
      <c r="AT4529" s="74"/>
      <c r="AW4529" s="74"/>
    </row>
    <row r="4530" spans="46:49" x14ac:dyDescent="0.25">
      <c r="AT4530" s="74"/>
      <c r="AW4530" s="74"/>
    </row>
    <row r="4531" spans="46:49" x14ac:dyDescent="0.25">
      <c r="AT4531" s="74"/>
      <c r="AW4531" s="74"/>
    </row>
    <row r="4532" spans="46:49" x14ac:dyDescent="0.25">
      <c r="AT4532" s="74"/>
      <c r="AW4532" s="74"/>
    </row>
    <row r="4533" spans="46:49" x14ac:dyDescent="0.25">
      <c r="AT4533" s="74"/>
      <c r="AW4533" s="74"/>
    </row>
    <row r="4534" spans="46:49" x14ac:dyDescent="0.25">
      <c r="AT4534" s="74"/>
      <c r="AW4534" s="74"/>
    </row>
    <row r="4535" spans="46:49" x14ac:dyDescent="0.25">
      <c r="AT4535" s="74"/>
      <c r="AW4535" s="74"/>
    </row>
    <row r="4536" spans="46:49" x14ac:dyDescent="0.25">
      <c r="AT4536" s="74"/>
      <c r="AW4536" s="74"/>
    </row>
    <row r="4537" spans="46:49" x14ac:dyDescent="0.25">
      <c r="AT4537" s="74"/>
      <c r="AW4537" s="74"/>
    </row>
    <row r="4538" spans="46:49" x14ac:dyDescent="0.25">
      <c r="AT4538" s="74"/>
      <c r="AW4538" s="74"/>
    </row>
    <row r="4539" spans="46:49" x14ac:dyDescent="0.25">
      <c r="AT4539" s="74"/>
      <c r="AW4539" s="74"/>
    </row>
    <row r="4540" spans="46:49" x14ac:dyDescent="0.25">
      <c r="AT4540" s="74"/>
      <c r="AW4540" s="74"/>
    </row>
    <row r="4541" spans="46:49" x14ac:dyDescent="0.25">
      <c r="AT4541" s="74"/>
      <c r="AW4541" s="74"/>
    </row>
    <row r="4542" spans="46:49" x14ac:dyDescent="0.25">
      <c r="AT4542" s="74"/>
      <c r="AW4542" s="74"/>
    </row>
    <row r="4543" spans="46:49" x14ac:dyDescent="0.25">
      <c r="AT4543" s="74"/>
      <c r="AW4543" s="74"/>
    </row>
    <row r="4544" spans="46:49" x14ac:dyDescent="0.25">
      <c r="AT4544" s="74"/>
      <c r="AW4544" s="74"/>
    </row>
    <row r="4545" spans="46:49" x14ac:dyDescent="0.25">
      <c r="AT4545" s="74"/>
      <c r="AW4545" s="74"/>
    </row>
    <row r="4546" spans="46:49" x14ac:dyDescent="0.25">
      <c r="AT4546" s="74"/>
      <c r="AW4546" s="74"/>
    </row>
    <row r="4547" spans="46:49" x14ac:dyDescent="0.25">
      <c r="AT4547" s="74"/>
      <c r="AW4547" s="74"/>
    </row>
    <row r="4548" spans="46:49" x14ac:dyDescent="0.25">
      <c r="AT4548" s="74"/>
      <c r="AW4548" s="74"/>
    </row>
    <row r="4549" spans="46:49" x14ac:dyDescent="0.25">
      <c r="AT4549" s="74"/>
      <c r="AW4549" s="74"/>
    </row>
    <row r="4550" spans="46:49" x14ac:dyDescent="0.25">
      <c r="AT4550" s="74"/>
      <c r="AW4550" s="74"/>
    </row>
    <row r="4551" spans="46:49" x14ac:dyDescent="0.25">
      <c r="AT4551" s="74"/>
      <c r="AW4551" s="74"/>
    </row>
    <row r="4552" spans="46:49" x14ac:dyDescent="0.25">
      <c r="AT4552" s="74"/>
      <c r="AW4552" s="74"/>
    </row>
    <row r="4553" spans="46:49" x14ac:dyDescent="0.25">
      <c r="AT4553" s="74"/>
      <c r="AW4553" s="74"/>
    </row>
    <row r="4554" spans="46:49" x14ac:dyDescent="0.25">
      <c r="AT4554" s="74"/>
      <c r="AW4554" s="74"/>
    </row>
    <row r="4555" spans="46:49" x14ac:dyDescent="0.25">
      <c r="AT4555" s="74"/>
      <c r="AW4555" s="74"/>
    </row>
    <row r="4556" spans="46:49" x14ac:dyDescent="0.25">
      <c r="AT4556" s="74"/>
      <c r="AW4556" s="74"/>
    </row>
    <row r="4557" spans="46:49" x14ac:dyDescent="0.25">
      <c r="AT4557" s="74"/>
      <c r="AW4557" s="74"/>
    </row>
    <row r="4558" spans="46:49" x14ac:dyDescent="0.25">
      <c r="AT4558" s="74"/>
      <c r="AW4558" s="74"/>
    </row>
    <row r="4559" spans="46:49" x14ac:dyDescent="0.25">
      <c r="AT4559" s="74"/>
      <c r="AW4559" s="74"/>
    </row>
    <row r="4560" spans="46:49" x14ac:dyDescent="0.25">
      <c r="AT4560" s="74"/>
      <c r="AW4560" s="74"/>
    </row>
    <row r="4561" spans="46:49" x14ac:dyDescent="0.25">
      <c r="AT4561" s="74"/>
      <c r="AW4561" s="74"/>
    </row>
    <row r="4562" spans="46:49" x14ac:dyDescent="0.25">
      <c r="AT4562" s="74"/>
      <c r="AW4562" s="74"/>
    </row>
    <row r="4563" spans="46:49" x14ac:dyDescent="0.25">
      <c r="AT4563" s="74"/>
      <c r="AW4563" s="74"/>
    </row>
    <row r="4564" spans="46:49" x14ac:dyDescent="0.25">
      <c r="AT4564" s="74"/>
      <c r="AW4564" s="74"/>
    </row>
    <row r="4565" spans="46:49" x14ac:dyDescent="0.25">
      <c r="AT4565" s="74"/>
      <c r="AW4565" s="74"/>
    </row>
    <row r="4566" spans="46:49" x14ac:dyDescent="0.25">
      <c r="AT4566" s="74"/>
      <c r="AW4566" s="74"/>
    </row>
    <row r="4567" spans="46:49" x14ac:dyDescent="0.25">
      <c r="AT4567" s="74"/>
      <c r="AW4567" s="74"/>
    </row>
    <row r="4568" spans="46:49" x14ac:dyDescent="0.25">
      <c r="AT4568" s="74"/>
      <c r="AW4568" s="74"/>
    </row>
    <row r="4569" spans="46:49" x14ac:dyDescent="0.25">
      <c r="AT4569" s="74"/>
      <c r="AW4569" s="74"/>
    </row>
    <row r="4570" spans="46:49" x14ac:dyDescent="0.25">
      <c r="AT4570" s="74"/>
      <c r="AW4570" s="74"/>
    </row>
    <row r="4571" spans="46:49" x14ac:dyDescent="0.25">
      <c r="AT4571" s="74"/>
      <c r="AW4571" s="74"/>
    </row>
    <row r="4572" spans="46:49" x14ac:dyDescent="0.25">
      <c r="AT4572" s="74"/>
      <c r="AW4572" s="74"/>
    </row>
    <row r="4573" spans="46:49" x14ac:dyDescent="0.25">
      <c r="AT4573" s="74"/>
      <c r="AW4573" s="74"/>
    </row>
    <row r="4574" spans="46:49" x14ac:dyDescent="0.25">
      <c r="AT4574" s="74"/>
      <c r="AW4574" s="74"/>
    </row>
    <row r="4575" spans="46:49" x14ac:dyDescent="0.25">
      <c r="AT4575" s="74"/>
      <c r="AW4575" s="74"/>
    </row>
    <row r="4576" spans="46:49" x14ac:dyDescent="0.25">
      <c r="AT4576" s="74"/>
      <c r="AW4576" s="74"/>
    </row>
    <row r="4577" spans="46:49" x14ac:dyDescent="0.25">
      <c r="AT4577" s="74"/>
      <c r="AW4577" s="74"/>
    </row>
    <row r="4578" spans="46:49" x14ac:dyDescent="0.25">
      <c r="AT4578" s="74"/>
      <c r="AW4578" s="74"/>
    </row>
    <row r="4579" spans="46:49" x14ac:dyDescent="0.25">
      <c r="AT4579" s="74"/>
      <c r="AW4579" s="74"/>
    </row>
    <row r="4580" spans="46:49" x14ac:dyDescent="0.25">
      <c r="AT4580" s="74"/>
      <c r="AW4580" s="74"/>
    </row>
    <row r="4581" spans="46:49" x14ac:dyDescent="0.25">
      <c r="AT4581" s="74"/>
      <c r="AW4581" s="74"/>
    </row>
    <row r="4582" spans="46:49" x14ac:dyDescent="0.25">
      <c r="AT4582" s="74"/>
      <c r="AW4582" s="74"/>
    </row>
    <row r="4583" spans="46:49" x14ac:dyDescent="0.25">
      <c r="AT4583" s="74"/>
      <c r="AW4583" s="74"/>
    </row>
    <row r="4584" spans="46:49" x14ac:dyDescent="0.25">
      <c r="AT4584" s="74"/>
      <c r="AW4584" s="74"/>
    </row>
    <row r="4585" spans="46:49" x14ac:dyDescent="0.25">
      <c r="AT4585" s="74"/>
      <c r="AW4585" s="74"/>
    </row>
    <row r="4586" spans="46:49" x14ac:dyDescent="0.25">
      <c r="AT4586" s="74"/>
      <c r="AW4586" s="74"/>
    </row>
    <row r="4587" spans="46:49" x14ac:dyDescent="0.25">
      <c r="AT4587" s="74"/>
      <c r="AW4587" s="74"/>
    </row>
    <row r="4588" spans="46:49" x14ac:dyDescent="0.25">
      <c r="AT4588" s="74"/>
      <c r="AW4588" s="74"/>
    </row>
    <row r="4589" spans="46:49" x14ac:dyDescent="0.25">
      <c r="AT4589" s="74"/>
      <c r="AW4589" s="74"/>
    </row>
    <row r="4590" spans="46:49" x14ac:dyDescent="0.25">
      <c r="AT4590" s="74"/>
      <c r="AW4590" s="74"/>
    </row>
    <row r="4591" spans="46:49" x14ac:dyDescent="0.25">
      <c r="AT4591" s="74"/>
      <c r="AW4591" s="74"/>
    </row>
    <row r="4592" spans="46:49" x14ac:dyDescent="0.25">
      <c r="AT4592" s="74"/>
      <c r="AW4592" s="74"/>
    </row>
    <row r="4593" spans="46:49" x14ac:dyDescent="0.25">
      <c r="AT4593" s="74"/>
      <c r="AW4593" s="74"/>
    </row>
    <row r="4594" spans="46:49" x14ac:dyDescent="0.25">
      <c r="AT4594" s="74"/>
      <c r="AW4594" s="74"/>
    </row>
    <row r="4595" spans="46:49" x14ac:dyDescent="0.25">
      <c r="AT4595" s="74"/>
      <c r="AW4595" s="74"/>
    </row>
    <row r="4596" spans="46:49" x14ac:dyDescent="0.25">
      <c r="AT4596" s="74"/>
      <c r="AW4596" s="74"/>
    </row>
    <row r="4597" spans="46:49" x14ac:dyDescent="0.25">
      <c r="AT4597" s="74"/>
      <c r="AW4597" s="74"/>
    </row>
    <row r="4598" spans="46:49" x14ac:dyDescent="0.25">
      <c r="AT4598" s="74"/>
      <c r="AW4598" s="74"/>
    </row>
    <row r="4599" spans="46:49" x14ac:dyDescent="0.25">
      <c r="AT4599" s="74"/>
      <c r="AW4599" s="74"/>
    </row>
    <row r="4600" spans="46:49" x14ac:dyDescent="0.25">
      <c r="AT4600" s="74"/>
      <c r="AW4600" s="74"/>
    </row>
    <row r="4601" spans="46:49" x14ac:dyDescent="0.25">
      <c r="AT4601" s="74"/>
      <c r="AW4601" s="74"/>
    </row>
    <row r="4602" spans="46:49" x14ac:dyDescent="0.25">
      <c r="AT4602" s="74"/>
      <c r="AW4602" s="74"/>
    </row>
    <row r="4603" spans="46:49" x14ac:dyDescent="0.25">
      <c r="AT4603" s="74"/>
      <c r="AW4603" s="74"/>
    </row>
    <row r="4604" spans="46:49" x14ac:dyDescent="0.25">
      <c r="AT4604" s="74"/>
      <c r="AW4604" s="74"/>
    </row>
    <row r="4605" spans="46:49" x14ac:dyDescent="0.25">
      <c r="AT4605" s="74"/>
      <c r="AW4605" s="74"/>
    </row>
    <row r="4606" spans="46:49" x14ac:dyDescent="0.25">
      <c r="AT4606" s="74"/>
      <c r="AW4606" s="74"/>
    </row>
    <row r="4607" spans="46:49" x14ac:dyDescent="0.25">
      <c r="AT4607" s="74"/>
      <c r="AW4607" s="74"/>
    </row>
    <row r="4608" spans="46:49" x14ac:dyDescent="0.25">
      <c r="AT4608" s="74"/>
      <c r="AW4608" s="74"/>
    </row>
    <row r="4609" spans="46:49" x14ac:dyDescent="0.25">
      <c r="AT4609" s="74"/>
      <c r="AW4609" s="74"/>
    </row>
    <row r="4610" spans="46:49" x14ac:dyDescent="0.25">
      <c r="AT4610" s="74"/>
      <c r="AW4610" s="74"/>
    </row>
    <row r="4611" spans="46:49" x14ac:dyDescent="0.25">
      <c r="AT4611" s="74"/>
      <c r="AW4611" s="74"/>
    </row>
    <row r="4612" spans="46:49" x14ac:dyDescent="0.25">
      <c r="AT4612" s="74"/>
      <c r="AW4612" s="74"/>
    </row>
    <row r="4613" spans="46:49" x14ac:dyDescent="0.25">
      <c r="AT4613" s="74"/>
      <c r="AW4613" s="74"/>
    </row>
    <row r="4614" spans="46:49" x14ac:dyDescent="0.25">
      <c r="AT4614" s="74"/>
      <c r="AW4614" s="74"/>
    </row>
    <row r="4615" spans="46:49" x14ac:dyDescent="0.25">
      <c r="AT4615" s="74"/>
      <c r="AW4615" s="74"/>
    </row>
    <row r="4616" spans="46:49" x14ac:dyDescent="0.25">
      <c r="AT4616" s="74"/>
      <c r="AW4616" s="74"/>
    </row>
    <row r="4617" spans="46:49" x14ac:dyDescent="0.25">
      <c r="AT4617" s="74"/>
      <c r="AW4617" s="74"/>
    </row>
    <row r="4618" spans="46:49" x14ac:dyDescent="0.25">
      <c r="AT4618" s="74"/>
      <c r="AW4618" s="74"/>
    </row>
    <row r="4619" spans="46:49" x14ac:dyDescent="0.25">
      <c r="AT4619" s="74"/>
      <c r="AW4619" s="74"/>
    </row>
    <row r="4620" spans="46:49" x14ac:dyDescent="0.25">
      <c r="AT4620" s="74"/>
      <c r="AW4620" s="74"/>
    </row>
    <row r="4621" spans="46:49" x14ac:dyDescent="0.25">
      <c r="AT4621" s="74"/>
      <c r="AW4621" s="74"/>
    </row>
    <row r="4622" spans="46:49" x14ac:dyDescent="0.25">
      <c r="AT4622" s="74"/>
      <c r="AW4622" s="74"/>
    </row>
    <row r="4623" spans="46:49" x14ac:dyDescent="0.25">
      <c r="AT4623" s="74"/>
      <c r="AW4623" s="74"/>
    </row>
    <row r="4624" spans="46:49" x14ac:dyDescent="0.25">
      <c r="AT4624" s="74"/>
      <c r="AW4624" s="74"/>
    </row>
    <row r="4625" spans="46:49" x14ac:dyDescent="0.25">
      <c r="AT4625" s="74"/>
      <c r="AW4625" s="74"/>
    </row>
    <row r="4626" spans="46:49" x14ac:dyDescent="0.25">
      <c r="AT4626" s="74"/>
      <c r="AW4626" s="74"/>
    </row>
    <row r="4627" spans="46:49" x14ac:dyDescent="0.25">
      <c r="AT4627" s="74"/>
      <c r="AW4627" s="74"/>
    </row>
    <row r="4628" spans="46:49" x14ac:dyDescent="0.25">
      <c r="AT4628" s="74"/>
      <c r="AW4628" s="74"/>
    </row>
    <row r="4629" spans="46:49" x14ac:dyDescent="0.25">
      <c r="AT4629" s="74"/>
      <c r="AW4629" s="74"/>
    </row>
    <row r="4630" spans="46:49" x14ac:dyDescent="0.25">
      <c r="AT4630" s="74"/>
      <c r="AW4630" s="74"/>
    </row>
    <row r="4631" spans="46:49" x14ac:dyDescent="0.25">
      <c r="AT4631" s="74"/>
      <c r="AW4631" s="74"/>
    </row>
    <row r="4632" spans="46:49" x14ac:dyDescent="0.25">
      <c r="AT4632" s="74"/>
      <c r="AW4632" s="74"/>
    </row>
    <row r="4633" spans="46:49" x14ac:dyDescent="0.25">
      <c r="AT4633" s="74"/>
      <c r="AW4633" s="74"/>
    </row>
    <row r="4634" spans="46:49" x14ac:dyDescent="0.25">
      <c r="AT4634" s="74"/>
      <c r="AW4634" s="74"/>
    </row>
    <row r="4635" spans="46:49" x14ac:dyDescent="0.25">
      <c r="AT4635" s="74"/>
      <c r="AW4635" s="74"/>
    </row>
    <row r="4636" spans="46:49" x14ac:dyDescent="0.25">
      <c r="AT4636" s="74"/>
      <c r="AW4636" s="74"/>
    </row>
    <row r="4637" spans="46:49" x14ac:dyDescent="0.25">
      <c r="AT4637" s="74"/>
      <c r="AW4637" s="74"/>
    </row>
    <row r="4638" spans="46:49" x14ac:dyDescent="0.25">
      <c r="AT4638" s="74"/>
      <c r="AW4638" s="74"/>
    </row>
    <row r="4639" spans="46:49" x14ac:dyDescent="0.25">
      <c r="AT4639" s="74"/>
      <c r="AW4639" s="74"/>
    </row>
    <row r="4640" spans="46:49" x14ac:dyDescent="0.25">
      <c r="AT4640" s="74"/>
      <c r="AW4640" s="74"/>
    </row>
    <row r="4641" spans="46:49" x14ac:dyDescent="0.25">
      <c r="AT4641" s="74"/>
      <c r="AW4641" s="74"/>
    </row>
    <row r="4642" spans="46:49" x14ac:dyDescent="0.25">
      <c r="AT4642" s="74"/>
      <c r="AW4642" s="74"/>
    </row>
    <row r="4643" spans="46:49" x14ac:dyDescent="0.25">
      <c r="AT4643" s="74"/>
      <c r="AW4643" s="74"/>
    </row>
    <row r="4644" spans="46:49" x14ac:dyDescent="0.25">
      <c r="AT4644" s="74"/>
      <c r="AW4644" s="74"/>
    </row>
    <row r="4645" spans="46:49" x14ac:dyDescent="0.25">
      <c r="AT4645" s="74"/>
      <c r="AW4645" s="74"/>
    </row>
    <row r="4646" spans="46:49" x14ac:dyDescent="0.25">
      <c r="AT4646" s="74"/>
      <c r="AW4646" s="74"/>
    </row>
    <row r="4647" spans="46:49" x14ac:dyDescent="0.25">
      <c r="AT4647" s="74"/>
      <c r="AW4647" s="74"/>
    </row>
    <row r="4648" spans="46:49" x14ac:dyDescent="0.25">
      <c r="AT4648" s="74"/>
      <c r="AW4648" s="74"/>
    </row>
    <row r="4649" spans="46:49" x14ac:dyDescent="0.25">
      <c r="AT4649" s="74"/>
      <c r="AW4649" s="74"/>
    </row>
    <row r="4650" spans="46:49" x14ac:dyDescent="0.25">
      <c r="AT4650" s="74"/>
      <c r="AW4650" s="74"/>
    </row>
    <row r="4651" spans="46:49" x14ac:dyDescent="0.25">
      <c r="AT4651" s="74"/>
      <c r="AW4651" s="74"/>
    </row>
    <row r="4652" spans="46:49" x14ac:dyDescent="0.25">
      <c r="AT4652" s="74"/>
      <c r="AW4652" s="74"/>
    </row>
    <row r="4653" spans="46:49" x14ac:dyDescent="0.25">
      <c r="AT4653" s="74"/>
      <c r="AW4653" s="74"/>
    </row>
    <row r="4654" spans="46:49" x14ac:dyDescent="0.25">
      <c r="AT4654" s="74"/>
      <c r="AW4654" s="74"/>
    </row>
    <row r="4655" spans="46:49" x14ac:dyDescent="0.25">
      <c r="AT4655" s="74"/>
      <c r="AW4655" s="74"/>
    </row>
    <row r="4656" spans="46:49" x14ac:dyDescent="0.25">
      <c r="AT4656" s="74"/>
      <c r="AW4656" s="74"/>
    </row>
    <row r="4657" spans="46:49" x14ac:dyDescent="0.25">
      <c r="AT4657" s="74"/>
      <c r="AW4657" s="74"/>
    </row>
    <row r="4658" spans="46:49" x14ac:dyDescent="0.25">
      <c r="AT4658" s="74"/>
      <c r="AW4658" s="74"/>
    </row>
    <row r="4659" spans="46:49" x14ac:dyDescent="0.25">
      <c r="AT4659" s="74"/>
      <c r="AW4659" s="74"/>
    </row>
    <row r="4660" spans="46:49" x14ac:dyDescent="0.25">
      <c r="AT4660" s="74"/>
      <c r="AW4660" s="74"/>
    </row>
    <row r="4661" spans="46:49" x14ac:dyDescent="0.25">
      <c r="AT4661" s="74"/>
      <c r="AW4661" s="74"/>
    </row>
    <row r="4662" spans="46:49" x14ac:dyDescent="0.25">
      <c r="AT4662" s="74"/>
      <c r="AW4662" s="74"/>
    </row>
    <row r="4663" spans="46:49" x14ac:dyDescent="0.25">
      <c r="AT4663" s="74"/>
      <c r="AW4663" s="74"/>
    </row>
    <row r="4664" spans="46:49" x14ac:dyDescent="0.25">
      <c r="AT4664" s="74"/>
      <c r="AW4664" s="74"/>
    </row>
    <row r="4665" spans="46:49" x14ac:dyDescent="0.25">
      <c r="AT4665" s="74"/>
      <c r="AW4665" s="74"/>
    </row>
    <row r="4666" spans="46:49" x14ac:dyDescent="0.25">
      <c r="AT4666" s="74"/>
      <c r="AW4666" s="74"/>
    </row>
    <row r="4667" spans="46:49" x14ac:dyDescent="0.25">
      <c r="AT4667" s="74"/>
      <c r="AW4667" s="74"/>
    </row>
    <row r="4668" spans="46:49" x14ac:dyDescent="0.25">
      <c r="AT4668" s="74"/>
      <c r="AW4668" s="74"/>
    </row>
    <row r="4669" spans="46:49" x14ac:dyDescent="0.25">
      <c r="AT4669" s="74"/>
      <c r="AW4669" s="74"/>
    </row>
    <row r="4670" spans="46:49" x14ac:dyDescent="0.25">
      <c r="AT4670" s="74"/>
      <c r="AW4670" s="74"/>
    </row>
    <row r="4671" spans="46:49" x14ac:dyDescent="0.25">
      <c r="AT4671" s="74"/>
      <c r="AW4671" s="74"/>
    </row>
    <row r="4672" spans="46:49" x14ac:dyDescent="0.25">
      <c r="AT4672" s="74"/>
      <c r="AW4672" s="74"/>
    </row>
    <row r="4673" spans="46:49" x14ac:dyDescent="0.25">
      <c r="AT4673" s="74"/>
      <c r="AW4673" s="74"/>
    </row>
    <row r="4674" spans="46:49" x14ac:dyDescent="0.25">
      <c r="AT4674" s="74"/>
      <c r="AW4674" s="74"/>
    </row>
    <row r="4675" spans="46:49" x14ac:dyDescent="0.25">
      <c r="AT4675" s="74"/>
      <c r="AW4675" s="74"/>
    </row>
    <row r="4676" spans="46:49" x14ac:dyDescent="0.25">
      <c r="AT4676" s="74"/>
      <c r="AW4676" s="74"/>
    </row>
    <row r="4677" spans="46:49" x14ac:dyDescent="0.25">
      <c r="AT4677" s="74"/>
      <c r="AW4677" s="74"/>
    </row>
    <row r="4678" spans="46:49" x14ac:dyDescent="0.25">
      <c r="AT4678" s="74"/>
      <c r="AW4678" s="74"/>
    </row>
    <row r="4679" spans="46:49" x14ac:dyDescent="0.25">
      <c r="AT4679" s="74"/>
      <c r="AW4679" s="74"/>
    </row>
    <row r="4680" spans="46:49" x14ac:dyDescent="0.25">
      <c r="AT4680" s="74"/>
      <c r="AW4680" s="74"/>
    </row>
    <row r="4681" spans="46:49" x14ac:dyDescent="0.25">
      <c r="AT4681" s="74"/>
      <c r="AW4681" s="74"/>
    </row>
    <row r="4682" spans="46:49" x14ac:dyDescent="0.25">
      <c r="AT4682" s="74"/>
      <c r="AW4682" s="74"/>
    </row>
    <row r="4683" spans="46:49" x14ac:dyDescent="0.25">
      <c r="AT4683" s="74"/>
      <c r="AW4683" s="74"/>
    </row>
    <row r="4684" spans="46:49" x14ac:dyDescent="0.25">
      <c r="AT4684" s="74"/>
      <c r="AW4684" s="74"/>
    </row>
    <row r="4685" spans="46:49" x14ac:dyDescent="0.25">
      <c r="AT4685" s="74"/>
      <c r="AW4685" s="74"/>
    </row>
    <row r="4686" spans="46:49" x14ac:dyDescent="0.25">
      <c r="AT4686" s="74"/>
      <c r="AW4686" s="74"/>
    </row>
    <row r="4687" spans="46:49" x14ac:dyDescent="0.25">
      <c r="AT4687" s="74"/>
      <c r="AW4687" s="74"/>
    </row>
    <row r="4688" spans="46:49" x14ac:dyDescent="0.25">
      <c r="AT4688" s="74"/>
      <c r="AW4688" s="74"/>
    </row>
    <row r="4689" spans="46:49" x14ac:dyDescent="0.25">
      <c r="AT4689" s="74"/>
      <c r="AW4689" s="74"/>
    </row>
    <row r="4690" spans="46:49" x14ac:dyDescent="0.25">
      <c r="AT4690" s="74"/>
      <c r="AW4690" s="74"/>
    </row>
    <row r="4691" spans="46:49" x14ac:dyDescent="0.25">
      <c r="AT4691" s="74"/>
      <c r="AW4691" s="74"/>
    </row>
    <row r="4692" spans="46:49" x14ac:dyDescent="0.25">
      <c r="AT4692" s="74"/>
      <c r="AW4692" s="74"/>
    </row>
    <row r="4693" spans="46:49" x14ac:dyDescent="0.25">
      <c r="AT4693" s="74"/>
      <c r="AW4693" s="74"/>
    </row>
    <row r="4694" spans="46:49" x14ac:dyDescent="0.25">
      <c r="AT4694" s="74"/>
      <c r="AW4694" s="74"/>
    </row>
    <row r="4695" spans="46:49" x14ac:dyDescent="0.25">
      <c r="AT4695" s="74"/>
      <c r="AW4695" s="74"/>
    </row>
    <row r="4696" spans="46:49" x14ac:dyDescent="0.25">
      <c r="AT4696" s="74"/>
      <c r="AW4696" s="74"/>
    </row>
    <row r="4697" spans="46:49" x14ac:dyDescent="0.25">
      <c r="AT4697" s="74"/>
      <c r="AW4697" s="74"/>
    </row>
    <row r="4698" spans="46:49" x14ac:dyDescent="0.25">
      <c r="AT4698" s="74"/>
      <c r="AW4698" s="74"/>
    </row>
    <row r="4699" spans="46:49" x14ac:dyDescent="0.25">
      <c r="AT4699" s="74"/>
      <c r="AW4699" s="74"/>
    </row>
    <row r="4700" spans="46:49" x14ac:dyDescent="0.25">
      <c r="AT4700" s="74"/>
      <c r="AW4700" s="74"/>
    </row>
    <row r="4701" spans="46:49" x14ac:dyDescent="0.25">
      <c r="AT4701" s="74"/>
      <c r="AW4701" s="74"/>
    </row>
    <row r="4702" spans="46:49" x14ac:dyDescent="0.25">
      <c r="AT4702" s="74"/>
      <c r="AW4702" s="74"/>
    </row>
    <row r="4703" spans="46:49" x14ac:dyDescent="0.25">
      <c r="AT4703" s="74"/>
      <c r="AW4703" s="74"/>
    </row>
    <row r="4704" spans="46:49" x14ac:dyDescent="0.25">
      <c r="AT4704" s="74"/>
      <c r="AW4704" s="74"/>
    </row>
    <row r="4705" spans="46:49" x14ac:dyDescent="0.25">
      <c r="AT4705" s="74"/>
      <c r="AW4705" s="74"/>
    </row>
    <row r="4706" spans="46:49" x14ac:dyDescent="0.25">
      <c r="AT4706" s="74"/>
      <c r="AW4706" s="74"/>
    </row>
    <row r="4707" spans="46:49" x14ac:dyDescent="0.25">
      <c r="AT4707" s="74"/>
      <c r="AW4707" s="74"/>
    </row>
    <row r="4708" spans="46:49" x14ac:dyDescent="0.25">
      <c r="AT4708" s="74"/>
      <c r="AW4708" s="74"/>
    </row>
    <row r="4709" spans="46:49" x14ac:dyDescent="0.25">
      <c r="AT4709" s="74"/>
      <c r="AW4709" s="74"/>
    </row>
    <row r="4710" spans="46:49" x14ac:dyDescent="0.25">
      <c r="AT4710" s="74"/>
      <c r="AW4710" s="74"/>
    </row>
    <row r="4711" spans="46:49" x14ac:dyDescent="0.25">
      <c r="AT4711" s="74"/>
      <c r="AW4711" s="74"/>
    </row>
    <row r="4712" spans="46:49" x14ac:dyDescent="0.25">
      <c r="AT4712" s="74"/>
      <c r="AW4712" s="74"/>
    </row>
    <row r="4713" spans="46:49" x14ac:dyDescent="0.25">
      <c r="AT4713" s="74"/>
      <c r="AW4713" s="74"/>
    </row>
    <row r="4714" spans="46:49" x14ac:dyDescent="0.25">
      <c r="AT4714" s="74"/>
      <c r="AW4714" s="74"/>
    </row>
    <row r="4715" spans="46:49" x14ac:dyDescent="0.25">
      <c r="AT4715" s="74"/>
      <c r="AW4715" s="74"/>
    </row>
    <row r="4716" spans="46:49" x14ac:dyDescent="0.25">
      <c r="AT4716" s="74"/>
      <c r="AW4716" s="74"/>
    </row>
    <row r="4717" spans="46:49" x14ac:dyDescent="0.25">
      <c r="AT4717" s="74"/>
      <c r="AW4717" s="74"/>
    </row>
    <row r="4718" spans="46:49" x14ac:dyDescent="0.25">
      <c r="AT4718" s="74"/>
      <c r="AW4718" s="74"/>
    </row>
    <row r="4719" spans="46:49" x14ac:dyDescent="0.25">
      <c r="AT4719" s="74"/>
      <c r="AW4719" s="74"/>
    </row>
    <row r="4720" spans="46:49" x14ac:dyDescent="0.25">
      <c r="AT4720" s="74"/>
      <c r="AW4720" s="74"/>
    </row>
    <row r="4721" spans="46:49" x14ac:dyDescent="0.25">
      <c r="AT4721" s="74"/>
      <c r="AW4721" s="74"/>
    </row>
    <row r="4722" spans="46:49" x14ac:dyDescent="0.25">
      <c r="AT4722" s="74"/>
      <c r="AW4722" s="74"/>
    </row>
    <row r="4723" spans="46:49" x14ac:dyDescent="0.25">
      <c r="AT4723" s="74"/>
      <c r="AW4723" s="74"/>
    </row>
    <row r="4724" spans="46:49" x14ac:dyDescent="0.25">
      <c r="AT4724" s="74"/>
      <c r="AW4724" s="74"/>
    </row>
    <row r="4725" spans="46:49" x14ac:dyDescent="0.25">
      <c r="AT4725" s="74"/>
      <c r="AW4725" s="74"/>
    </row>
    <row r="4726" spans="46:49" x14ac:dyDescent="0.25">
      <c r="AT4726" s="74"/>
      <c r="AW4726" s="74"/>
    </row>
    <row r="4727" spans="46:49" x14ac:dyDescent="0.25">
      <c r="AT4727" s="74"/>
      <c r="AW4727" s="74"/>
    </row>
    <row r="4728" spans="46:49" x14ac:dyDescent="0.25">
      <c r="AT4728" s="74"/>
      <c r="AW4728" s="74"/>
    </row>
    <row r="4729" spans="46:49" x14ac:dyDescent="0.25">
      <c r="AT4729" s="74"/>
      <c r="AW4729" s="74"/>
    </row>
    <row r="4730" spans="46:49" x14ac:dyDescent="0.25">
      <c r="AT4730" s="74"/>
      <c r="AW4730" s="74"/>
    </row>
    <row r="4731" spans="46:49" x14ac:dyDescent="0.25">
      <c r="AT4731" s="74"/>
      <c r="AW4731" s="74"/>
    </row>
    <row r="4732" spans="46:49" x14ac:dyDescent="0.25">
      <c r="AT4732" s="74"/>
      <c r="AW4732" s="74"/>
    </row>
    <row r="4733" spans="46:49" x14ac:dyDescent="0.25">
      <c r="AT4733" s="74"/>
      <c r="AW4733" s="74"/>
    </row>
    <row r="4734" spans="46:49" x14ac:dyDescent="0.25">
      <c r="AT4734" s="74"/>
      <c r="AW4734" s="74"/>
    </row>
    <row r="4735" spans="46:49" x14ac:dyDescent="0.25">
      <c r="AT4735" s="74"/>
      <c r="AW4735" s="74"/>
    </row>
    <row r="4736" spans="46:49" x14ac:dyDescent="0.25">
      <c r="AT4736" s="74"/>
      <c r="AW4736" s="74"/>
    </row>
    <row r="4737" spans="46:49" x14ac:dyDescent="0.25">
      <c r="AT4737" s="74"/>
      <c r="AW4737" s="74"/>
    </row>
    <row r="4738" spans="46:49" x14ac:dyDescent="0.25">
      <c r="AT4738" s="74"/>
      <c r="AW4738" s="74"/>
    </row>
    <row r="4739" spans="46:49" x14ac:dyDescent="0.25">
      <c r="AT4739" s="74"/>
      <c r="AW4739" s="74"/>
    </row>
    <row r="4740" spans="46:49" x14ac:dyDescent="0.25">
      <c r="AT4740" s="74"/>
      <c r="AW4740" s="74"/>
    </row>
    <row r="4741" spans="46:49" x14ac:dyDescent="0.25">
      <c r="AT4741" s="74"/>
      <c r="AW4741" s="74"/>
    </row>
    <row r="4742" spans="46:49" x14ac:dyDescent="0.25">
      <c r="AT4742" s="74"/>
      <c r="AW4742" s="74"/>
    </row>
    <row r="4743" spans="46:49" x14ac:dyDescent="0.25">
      <c r="AT4743" s="74"/>
      <c r="AW4743" s="74"/>
    </row>
    <row r="4744" spans="46:49" x14ac:dyDescent="0.25">
      <c r="AT4744" s="74"/>
      <c r="AW4744" s="74"/>
    </row>
    <row r="4745" spans="46:49" x14ac:dyDescent="0.25">
      <c r="AT4745" s="74"/>
      <c r="AW4745" s="74"/>
    </row>
    <row r="4746" spans="46:49" x14ac:dyDescent="0.25">
      <c r="AT4746" s="74"/>
      <c r="AW4746" s="74"/>
    </row>
    <row r="4747" spans="46:49" x14ac:dyDescent="0.25">
      <c r="AT4747" s="74"/>
      <c r="AW4747" s="74"/>
    </row>
    <row r="4748" spans="46:49" x14ac:dyDescent="0.25">
      <c r="AT4748" s="74"/>
      <c r="AW4748" s="74"/>
    </row>
    <row r="4749" spans="46:49" x14ac:dyDescent="0.25">
      <c r="AT4749" s="74"/>
      <c r="AW4749" s="74"/>
    </row>
    <row r="4750" spans="46:49" x14ac:dyDescent="0.25">
      <c r="AT4750" s="74"/>
      <c r="AW4750" s="74"/>
    </row>
    <row r="4751" spans="46:49" x14ac:dyDescent="0.25">
      <c r="AT4751" s="74"/>
      <c r="AW4751" s="74"/>
    </row>
    <row r="4752" spans="46:49" x14ac:dyDescent="0.25">
      <c r="AT4752" s="74"/>
      <c r="AW4752" s="74"/>
    </row>
    <row r="4753" spans="46:49" x14ac:dyDescent="0.25">
      <c r="AT4753" s="74"/>
      <c r="AW4753" s="74"/>
    </row>
    <row r="4754" spans="46:49" x14ac:dyDescent="0.25">
      <c r="AT4754" s="74"/>
      <c r="AW4754" s="74"/>
    </row>
    <row r="4755" spans="46:49" x14ac:dyDescent="0.25">
      <c r="AT4755" s="74"/>
      <c r="AW4755" s="74"/>
    </row>
    <row r="4756" spans="46:49" x14ac:dyDescent="0.25">
      <c r="AT4756" s="74"/>
      <c r="AW4756" s="74"/>
    </row>
    <row r="4757" spans="46:49" x14ac:dyDescent="0.25">
      <c r="AT4757" s="74"/>
      <c r="AW4757" s="74"/>
    </row>
    <row r="4758" spans="46:49" x14ac:dyDescent="0.25">
      <c r="AT4758" s="74"/>
      <c r="AW4758" s="74"/>
    </row>
    <row r="4759" spans="46:49" x14ac:dyDescent="0.25">
      <c r="AT4759" s="74"/>
      <c r="AW4759" s="74"/>
    </row>
    <row r="4760" spans="46:49" x14ac:dyDescent="0.25">
      <c r="AT4760" s="74"/>
      <c r="AW4760" s="74"/>
    </row>
    <row r="4761" spans="46:49" x14ac:dyDescent="0.25">
      <c r="AT4761" s="74"/>
      <c r="AW4761" s="74"/>
    </row>
    <row r="4762" spans="46:49" x14ac:dyDescent="0.25">
      <c r="AT4762" s="74"/>
      <c r="AW4762" s="74"/>
    </row>
    <row r="4763" spans="46:49" x14ac:dyDescent="0.25">
      <c r="AT4763" s="74"/>
      <c r="AW4763" s="74"/>
    </row>
    <row r="4764" spans="46:49" x14ac:dyDescent="0.25">
      <c r="AT4764" s="74"/>
      <c r="AW4764" s="74"/>
    </row>
    <row r="4765" spans="46:49" x14ac:dyDescent="0.25">
      <c r="AT4765" s="74"/>
      <c r="AW4765" s="74"/>
    </row>
    <row r="4766" spans="46:49" x14ac:dyDescent="0.25">
      <c r="AT4766" s="74"/>
      <c r="AW4766" s="74"/>
    </row>
    <row r="4767" spans="46:49" x14ac:dyDescent="0.25">
      <c r="AT4767" s="74"/>
      <c r="AW4767" s="74"/>
    </row>
    <row r="4768" spans="46:49" x14ac:dyDescent="0.25">
      <c r="AT4768" s="74"/>
      <c r="AW4768" s="74"/>
    </row>
    <row r="4769" spans="46:49" x14ac:dyDescent="0.25">
      <c r="AT4769" s="74"/>
      <c r="AW4769" s="74"/>
    </row>
    <row r="4770" spans="46:49" x14ac:dyDescent="0.25">
      <c r="AT4770" s="74"/>
      <c r="AW4770" s="74"/>
    </row>
    <row r="4771" spans="46:49" x14ac:dyDescent="0.25">
      <c r="AT4771" s="74"/>
      <c r="AW4771" s="74"/>
    </row>
    <row r="4772" spans="46:49" x14ac:dyDescent="0.25">
      <c r="AT4772" s="74"/>
      <c r="AW4772" s="74"/>
    </row>
    <row r="4773" spans="46:49" x14ac:dyDescent="0.25">
      <c r="AT4773" s="74"/>
      <c r="AW4773" s="74"/>
    </row>
    <row r="4774" spans="46:49" x14ac:dyDescent="0.25">
      <c r="AT4774" s="74"/>
      <c r="AW4774" s="74"/>
    </row>
    <row r="4775" spans="46:49" x14ac:dyDescent="0.25">
      <c r="AT4775" s="74"/>
      <c r="AW4775" s="74"/>
    </row>
    <row r="4776" spans="46:49" x14ac:dyDescent="0.25">
      <c r="AT4776" s="74"/>
      <c r="AW4776" s="74"/>
    </row>
    <row r="4777" spans="46:49" x14ac:dyDescent="0.25">
      <c r="AT4777" s="74"/>
      <c r="AW4777" s="74"/>
    </row>
    <row r="4778" spans="46:49" x14ac:dyDescent="0.25">
      <c r="AT4778" s="74"/>
      <c r="AW4778" s="74"/>
    </row>
    <row r="4779" spans="46:49" x14ac:dyDescent="0.25">
      <c r="AT4779" s="74"/>
      <c r="AW4779" s="74"/>
    </row>
    <row r="4780" spans="46:49" x14ac:dyDescent="0.25">
      <c r="AT4780" s="74"/>
      <c r="AW4780" s="74"/>
    </row>
    <row r="4781" spans="46:49" x14ac:dyDescent="0.25">
      <c r="AT4781" s="74"/>
      <c r="AW4781" s="74"/>
    </row>
    <row r="4782" spans="46:49" x14ac:dyDescent="0.25">
      <c r="AT4782" s="74"/>
      <c r="AW4782" s="74"/>
    </row>
    <row r="4783" spans="46:49" x14ac:dyDescent="0.25">
      <c r="AT4783" s="74"/>
      <c r="AW4783" s="74"/>
    </row>
    <row r="4784" spans="46:49" x14ac:dyDescent="0.25">
      <c r="AT4784" s="74"/>
      <c r="AW4784" s="74"/>
    </row>
    <row r="4785" spans="46:49" x14ac:dyDescent="0.25">
      <c r="AT4785" s="74"/>
      <c r="AW4785" s="74"/>
    </row>
    <row r="4786" spans="46:49" x14ac:dyDescent="0.25">
      <c r="AT4786" s="74"/>
      <c r="AW4786" s="74"/>
    </row>
    <row r="4787" spans="46:49" x14ac:dyDescent="0.25">
      <c r="AT4787" s="74"/>
      <c r="AW4787" s="74"/>
    </row>
    <row r="4788" spans="46:49" x14ac:dyDescent="0.25">
      <c r="AT4788" s="74"/>
      <c r="AW4788" s="74"/>
    </row>
    <row r="4789" spans="46:49" x14ac:dyDescent="0.25">
      <c r="AT4789" s="74"/>
      <c r="AW4789" s="74"/>
    </row>
    <row r="4790" spans="46:49" x14ac:dyDescent="0.25">
      <c r="AT4790" s="74"/>
      <c r="AW4790" s="74"/>
    </row>
    <row r="4791" spans="46:49" x14ac:dyDescent="0.25">
      <c r="AT4791" s="74"/>
      <c r="AW4791" s="74"/>
    </row>
    <row r="4792" spans="46:49" x14ac:dyDescent="0.25">
      <c r="AT4792" s="74"/>
      <c r="AW4792" s="74"/>
    </row>
    <row r="4793" spans="46:49" x14ac:dyDescent="0.25">
      <c r="AT4793" s="74"/>
      <c r="AW4793" s="74"/>
    </row>
    <row r="4794" spans="46:49" x14ac:dyDescent="0.25">
      <c r="AT4794" s="74"/>
      <c r="AW4794" s="74"/>
    </row>
    <row r="4795" spans="46:49" x14ac:dyDescent="0.25">
      <c r="AT4795" s="74"/>
      <c r="AW4795" s="74"/>
    </row>
    <row r="4796" spans="46:49" x14ac:dyDescent="0.25">
      <c r="AT4796" s="74"/>
      <c r="AW4796" s="74"/>
    </row>
    <row r="4797" spans="46:49" x14ac:dyDescent="0.25">
      <c r="AT4797" s="74"/>
      <c r="AW4797" s="74"/>
    </row>
    <row r="4798" spans="46:49" x14ac:dyDescent="0.25">
      <c r="AT4798" s="74"/>
      <c r="AW4798" s="74"/>
    </row>
    <row r="4799" spans="46:49" x14ac:dyDescent="0.25">
      <c r="AT4799" s="74"/>
      <c r="AW4799" s="74"/>
    </row>
    <row r="4800" spans="46:49" x14ac:dyDescent="0.25">
      <c r="AT4800" s="74"/>
      <c r="AW4800" s="74"/>
    </row>
    <row r="4801" spans="46:49" x14ac:dyDescent="0.25">
      <c r="AT4801" s="74"/>
      <c r="AW4801" s="74"/>
    </row>
    <row r="4802" spans="46:49" x14ac:dyDescent="0.25">
      <c r="AT4802" s="74"/>
      <c r="AW4802" s="74"/>
    </row>
    <row r="4803" spans="46:49" x14ac:dyDescent="0.25">
      <c r="AT4803" s="74"/>
      <c r="AW4803" s="74"/>
    </row>
    <row r="4804" spans="46:49" x14ac:dyDescent="0.25">
      <c r="AT4804" s="74"/>
      <c r="AW4804" s="74"/>
    </row>
    <row r="4805" spans="46:49" x14ac:dyDescent="0.25">
      <c r="AT4805" s="74"/>
      <c r="AW4805" s="74"/>
    </row>
    <row r="4806" spans="46:49" x14ac:dyDescent="0.25">
      <c r="AT4806" s="74"/>
      <c r="AW4806" s="74"/>
    </row>
    <row r="4807" spans="46:49" x14ac:dyDescent="0.25">
      <c r="AT4807" s="74"/>
      <c r="AW4807" s="74"/>
    </row>
    <row r="4808" spans="46:49" x14ac:dyDescent="0.25">
      <c r="AT4808" s="74"/>
      <c r="AW4808" s="74"/>
    </row>
    <row r="4809" spans="46:49" x14ac:dyDescent="0.25">
      <c r="AT4809" s="74"/>
      <c r="AW4809" s="74"/>
    </row>
    <row r="4810" spans="46:49" x14ac:dyDescent="0.25">
      <c r="AT4810" s="74"/>
      <c r="AW4810" s="74"/>
    </row>
    <row r="4811" spans="46:49" x14ac:dyDescent="0.25">
      <c r="AT4811" s="74"/>
      <c r="AW4811" s="74"/>
    </row>
    <row r="4812" spans="46:49" x14ac:dyDescent="0.25">
      <c r="AT4812" s="74"/>
      <c r="AW4812" s="74"/>
    </row>
    <row r="4813" spans="46:49" x14ac:dyDescent="0.25">
      <c r="AT4813" s="74"/>
      <c r="AW4813" s="74"/>
    </row>
    <row r="4814" spans="46:49" x14ac:dyDescent="0.25">
      <c r="AT4814" s="74"/>
      <c r="AW4814" s="74"/>
    </row>
    <row r="4815" spans="46:49" x14ac:dyDescent="0.25">
      <c r="AT4815" s="74"/>
      <c r="AW4815" s="74"/>
    </row>
    <row r="4816" spans="46:49" x14ac:dyDescent="0.25">
      <c r="AT4816" s="74"/>
      <c r="AW4816" s="74"/>
    </row>
    <row r="4817" spans="46:49" x14ac:dyDescent="0.25">
      <c r="AT4817" s="74"/>
      <c r="AW4817" s="74"/>
    </row>
    <row r="4818" spans="46:49" x14ac:dyDescent="0.25">
      <c r="AT4818" s="74"/>
      <c r="AW4818" s="74"/>
    </row>
    <row r="4819" spans="46:49" x14ac:dyDescent="0.25">
      <c r="AT4819" s="74"/>
      <c r="AW4819" s="74"/>
    </row>
    <row r="4820" spans="46:49" x14ac:dyDescent="0.25">
      <c r="AT4820" s="74"/>
      <c r="AW4820" s="74"/>
    </row>
    <row r="4821" spans="46:49" x14ac:dyDescent="0.25">
      <c r="AT4821" s="74"/>
      <c r="AW4821" s="74"/>
    </row>
    <row r="4822" spans="46:49" x14ac:dyDescent="0.25">
      <c r="AT4822" s="74"/>
      <c r="AW4822" s="74"/>
    </row>
    <row r="4823" spans="46:49" x14ac:dyDescent="0.25">
      <c r="AT4823" s="74"/>
      <c r="AW4823" s="74"/>
    </row>
    <row r="4824" spans="46:49" x14ac:dyDescent="0.25">
      <c r="AT4824" s="74"/>
      <c r="AW4824" s="74"/>
    </row>
    <row r="4825" spans="46:49" x14ac:dyDescent="0.25">
      <c r="AT4825" s="74"/>
      <c r="AW4825" s="74"/>
    </row>
    <row r="4826" spans="46:49" x14ac:dyDescent="0.25">
      <c r="AT4826" s="74"/>
      <c r="AW4826" s="74"/>
    </row>
    <row r="4827" spans="46:49" x14ac:dyDescent="0.25">
      <c r="AT4827" s="74"/>
      <c r="AW4827" s="74"/>
    </row>
    <row r="4828" spans="46:49" x14ac:dyDescent="0.25">
      <c r="AT4828" s="74"/>
      <c r="AW4828" s="74"/>
    </row>
    <row r="4829" spans="46:49" x14ac:dyDescent="0.25">
      <c r="AT4829" s="74"/>
      <c r="AW4829" s="74"/>
    </row>
    <row r="4830" spans="46:49" x14ac:dyDescent="0.25">
      <c r="AT4830" s="74"/>
      <c r="AW4830" s="74"/>
    </row>
    <row r="4831" spans="46:49" x14ac:dyDescent="0.25">
      <c r="AT4831" s="74"/>
      <c r="AW4831" s="74"/>
    </row>
    <row r="4832" spans="46:49" x14ac:dyDescent="0.25">
      <c r="AT4832" s="74"/>
      <c r="AW4832" s="74"/>
    </row>
    <row r="4833" spans="46:49" x14ac:dyDescent="0.25">
      <c r="AT4833" s="74"/>
      <c r="AW4833" s="74"/>
    </row>
    <row r="4834" spans="46:49" x14ac:dyDescent="0.25">
      <c r="AT4834" s="74"/>
      <c r="AW4834" s="74"/>
    </row>
    <row r="4835" spans="46:49" x14ac:dyDescent="0.25">
      <c r="AT4835" s="74"/>
      <c r="AW4835" s="74"/>
    </row>
    <row r="4836" spans="46:49" x14ac:dyDescent="0.25">
      <c r="AT4836" s="74"/>
      <c r="AW4836" s="74"/>
    </row>
    <row r="4837" spans="46:49" x14ac:dyDescent="0.25">
      <c r="AT4837" s="74"/>
      <c r="AW4837" s="74"/>
    </row>
    <row r="4838" spans="46:49" x14ac:dyDescent="0.25">
      <c r="AT4838" s="74"/>
      <c r="AW4838" s="74"/>
    </row>
    <row r="4839" spans="46:49" x14ac:dyDescent="0.25">
      <c r="AT4839" s="74"/>
      <c r="AW4839" s="74"/>
    </row>
    <row r="4840" spans="46:49" x14ac:dyDescent="0.25">
      <c r="AT4840" s="74"/>
      <c r="AW4840" s="74"/>
    </row>
    <row r="4841" spans="46:49" x14ac:dyDescent="0.25">
      <c r="AT4841" s="74"/>
      <c r="AW4841" s="74"/>
    </row>
    <row r="4842" spans="46:49" x14ac:dyDescent="0.25">
      <c r="AT4842" s="74"/>
      <c r="AW4842" s="74"/>
    </row>
    <row r="4843" spans="46:49" x14ac:dyDescent="0.25">
      <c r="AT4843" s="74"/>
      <c r="AW4843" s="74"/>
    </row>
    <row r="4844" spans="46:49" x14ac:dyDescent="0.25">
      <c r="AT4844" s="74"/>
      <c r="AW4844" s="74"/>
    </row>
    <row r="4845" spans="46:49" x14ac:dyDescent="0.25">
      <c r="AT4845" s="74"/>
      <c r="AW4845" s="74"/>
    </row>
    <row r="4846" spans="46:49" x14ac:dyDescent="0.25">
      <c r="AT4846" s="74"/>
      <c r="AW4846" s="74"/>
    </row>
    <row r="4847" spans="46:49" x14ac:dyDescent="0.25">
      <c r="AT4847" s="74"/>
      <c r="AW4847" s="74"/>
    </row>
    <row r="4848" spans="46:49" x14ac:dyDescent="0.25">
      <c r="AT4848" s="74"/>
      <c r="AW4848" s="74"/>
    </row>
    <row r="4849" spans="46:49" x14ac:dyDescent="0.25">
      <c r="AT4849" s="74"/>
      <c r="AW4849" s="74"/>
    </row>
    <row r="4850" spans="46:49" x14ac:dyDescent="0.25">
      <c r="AT4850" s="74"/>
      <c r="AW4850" s="74"/>
    </row>
    <row r="4851" spans="46:49" x14ac:dyDescent="0.25">
      <c r="AT4851" s="74"/>
      <c r="AW4851" s="74"/>
    </row>
    <row r="4852" spans="46:49" x14ac:dyDescent="0.25">
      <c r="AT4852" s="74"/>
      <c r="AW4852" s="74"/>
    </row>
    <row r="4853" spans="46:49" x14ac:dyDescent="0.25">
      <c r="AT4853" s="74"/>
      <c r="AW4853" s="74"/>
    </row>
    <row r="4854" spans="46:49" x14ac:dyDescent="0.25">
      <c r="AT4854" s="74"/>
      <c r="AW4854" s="74"/>
    </row>
    <row r="4855" spans="46:49" x14ac:dyDescent="0.25">
      <c r="AT4855" s="74"/>
      <c r="AW4855" s="74"/>
    </row>
    <row r="4856" spans="46:49" x14ac:dyDescent="0.25">
      <c r="AT4856" s="74"/>
      <c r="AW4856" s="74"/>
    </row>
    <row r="4857" spans="46:49" x14ac:dyDescent="0.25">
      <c r="AT4857" s="74"/>
      <c r="AW4857" s="74"/>
    </row>
    <row r="4858" spans="46:49" x14ac:dyDescent="0.25">
      <c r="AT4858" s="74"/>
      <c r="AW4858" s="74"/>
    </row>
    <row r="4859" spans="46:49" x14ac:dyDescent="0.25">
      <c r="AT4859" s="74"/>
      <c r="AW4859" s="74"/>
    </row>
    <row r="4860" spans="46:49" x14ac:dyDescent="0.25">
      <c r="AT4860" s="74"/>
      <c r="AW4860" s="74"/>
    </row>
    <row r="4861" spans="46:49" x14ac:dyDescent="0.25">
      <c r="AT4861" s="74"/>
      <c r="AW4861" s="74"/>
    </row>
    <row r="4862" spans="46:49" x14ac:dyDescent="0.25">
      <c r="AT4862" s="74"/>
      <c r="AW4862" s="74"/>
    </row>
    <row r="4863" spans="46:49" x14ac:dyDescent="0.25">
      <c r="AT4863" s="74"/>
      <c r="AW4863" s="74"/>
    </row>
    <row r="4864" spans="46:49" x14ac:dyDescent="0.25">
      <c r="AT4864" s="74"/>
      <c r="AW4864" s="74"/>
    </row>
    <row r="4865" spans="46:49" x14ac:dyDescent="0.25">
      <c r="AT4865" s="74"/>
      <c r="AW4865" s="74"/>
    </row>
    <row r="4866" spans="46:49" x14ac:dyDescent="0.25">
      <c r="AT4866" s="74"/>
      <c r="AW4866" s="74"/>
    </row>
    <row r="4867" spans="46:49" x14ac:dyDescent="0.25">
      <c r="AT4867" s="74"/>
      <c r="AW4867" s="74"/>
    </row>
    <row r="4868" spans="46:49" x14ac:dyDescent="0.25">
      <c r="AT4868" s="74"/>
      <c r="AW4868" s="74"/>
    </row>
    <row r="4869" spans="46:49" x14ac:dyDescent="0.25">
      <c r="AT4869" s="74"/>
      <c r="AW4869" s="74"/>
    </row>
    <row r="4870" spans="46:49" x14ac:dyDescent="0.25">
      <c r="AT4870" s="74"/>
      <c r="AW4870" s="74"/>
    </row>
    <row r="4871" spans="46:49" x14ac:dyDescent="0.25">
      <c r="AT4871" s="74"/>
      <c r="AW4871" s="74"/>
    </row>
    <row r="4872" spans="46:49" x14ac:dyDescent="0.25">
      <c r="AT4872" s="74"/>
      <c r="AW4872" s="74"/>
    </row>
    <row r="4873" spans="46:49" x14ac:dyDescent="0.25">
      <c r="AT4873" s="74"/>
      <c r="AW4873" s="74"/>
    </row>
    <row r="4874" spans="46:49" x14ac:dyDescent="0.25">
      <c r="AT4874" s="74"/>
      <c r="AW4874" s="74"/>
    </row>
    <row r="4875" spans="46:49" x14ac:dyDescent="0.25">
      <c r="AT4875" s="74"/>
      <c r="AW4875" s="74"/>
    </row>
    <row r="4876" spans="46:49" x14ac:dyDescent="0.25">
      <c r="AT4876" s="74"/>
      <c r="AW4876" s="74"/>
    </row>
    <row r="4877" spans="46:49" x14ac:dyDescent="0.25">
      <c r="AT4877" s="74"/>
      <c r="AW4877" s="74"/>
    </row>
    <row r="4878" spans="46:49" x14ac:dyDescent="0.25">
      <c r="AT4878" s="74"/>
      <c r="AW4878" s="74"/>
    </row>
    <row r="4879" spans="46:49" x14ac:dyDescent="0.25">
      <c r="AT4879" s="74"/>
      <c r="AW4879" s="74"/>
    </row>
    <row r="4880" spans="46:49" x14ac:dyDescent="0.25">
      <c r="AT4880" s="74"/>
      <c r="AW4880" s="74"/>
    </row>
    <row r="4881" spans="46:49" x14ac:dyDescent="0.25">
      <c r="AT4881" s="74"/>
      <c r="AW4881" s="74"/>
    </row>
    <row r="4882" spans="46:49" x14ac:dyDescent="0.25">
      <c r="AT4882" s="74"/>
      <c r="AW4882" s="74"/>
    </row>
    <row r="4883" spans="46:49" x14ac:dyDescent="0.25">
      <c r="AT4883" s="74"/>
      <c r="AW4883" s="74"/>
    </row>
    <row r="4884" spans="46:49" x14ac:dyDescent="0.25">
      <c r="AT4884" s="74"/>
      <c r="AW4884" s="74"/>
    </row>
    <row r="4885" spans="46:49" x14ac:dyDescent="0.25">
      <c r="AT4885" s="74"/>
      <c r="AW4885" s="74"/>
    </row>
    <row r="4886" spans="46:49" x14ac:dyDescent="0.25">
      <c r="AT4886" s="74"/>
      <c r="AW4886" s="74"/>
    </row>
    <row r="4887" spans="46:49" x14ac:dyDescent="0.25">
      <c r="AT4887" s="74"/>
      <c r="AW4887" s="74"/>
    </row>
    <row r="4888" spans="46:49" x14ac:dyDescent="0.25">
      <c r="AT4888" s="74"/>
      <c r="AW4888" s="74"/>
    </row>
    <row r="4889" spans="46:49" x14ac:dyDescent="0.25">
      <c r="AT4889" s="74"/>
      <c r="AW4889" s="74"/>
    </row>
    <row r="4890" spans="46:49" x14ac:dyDescent="0.25">
      <c r="AT4890" s="74"/>
      <c r="AW4890" s="74"/>
    </row>
    <row r="4891" spans="46:49" x14ac:dyDescent="0.25">
      <c r="AT4891" s="74"/>
      <c r="AW4891" s="74"/>
    </row>
    <row r="4892" spans="46:49" x14ac:dyDescent="0.25">
      <c r="AT4892" s="74"/>
      <c r="AW4892" s="74"/>
    </row>
    <row r="4893" spans="46:49" x14ac:dyDescent="0.25">
      <c r="AT4893" s="74"/>
      <c r="AW4893" s="74"/>
    </row>
    <row r="4894" spans="46:49" x14ac:dyDescent="0.25">
      <c r="AT4894" s="74"/>
      <c r="AW4894" s="74"/>
    </row>
    <row r="4895" spans="46:49" x14ac:dyDescent="0.25">
      <c r="AT4895" s="74"/>
      <c r="AW4895" s="74"/>
    </row>
    <row r="4896" spans="46:49" x14ac:dyDescent="0.25">
      <c r="AT4896" s="74"/>
      <c r="AW4896" s="74"/>
    </row>
    <row r="4897" spans="46:49" x14ac:dyDescent="0.25">
      <c r="AT4897" s="74"/>
      <c r="AW4897" s="74"/>
    </row>
    <row r="4898" spans="46:49" x14ac:dyDescent="0.25">
      <c r="AT4898" s="74"/>
      <c r="AW4898" s="74"/>
    </row>
    <row r="4899" spans="46:49" x14ac:dyDescent="0.25">
      <c r="AT4899" s="74"/>
      <c r="AW4899" s="74"/>
    </row>
    <row r="4900" spans="46:49" x14ac:dyDescent="0.25">
      <c r="AT4900" s="74"/>
      <c r="AW4900" s="74"/>
    </row>
    <row r="4901" spans="46:49" x14ac:dyDescent="0.25">
      <c r="AT4901" s="74"/>
      <c r="AW4901" s="74"/>
    </row>
    <row r="4902" spans="46:49" x14ac:dyDescent="0.25">
      <c r="AT4902" s="74"/>
      <c r="AW4902" s="74"/>
    </row>
    <row r="4903" spans="46:49" x14ac:dyDescent="0.25">
      <c r="AT4903" s="74"/>
      <c r="AW4903" s="74"/>
    </row>
    <row r="4904" spans="46:49" x14ac:dyDescent="0.25">
      <c r="AT4904" s="74"/>
      <c r="AW4904" s="74"/>
    </row>
    <row r="4905" spans="46:49" x14ac:dyDescent="0.25">
      <c r="AT4905" s="74"/>
      <c r="AW4905" s="74"/>
    </row>
    <row r="4906" spans="46:49" x14ac:dyDescent="0.25">
      <c r="AT4906" s="74"/>
      <c r="AW4906" s="74"/>
    </row>
    <row r="4907" spans="46:49" x14ac:dyDescent="0.25">
      <c r="AT4907" s="74"/>
      <c r="AW4907" s="74"/>
    </row>
    <row r="4908" spans="46:49" x14ac:dyDescent="0.25">
      <c r="AT4908" s="74"/>
      <c r="AW4908" s="74"/>
    </row>
    <row r="4909" spans="46:49" x14ac:dyDescent="0.25">
      <c r="AT4909" s="74"/>
      <c r="AW4909" s="74"/>
    </row>
    <row r="4910" spans="46:49" x14ac:dyDescent="0.25">
      <c r="AT4910" s="74"/>
      <c r="AW4910" s="74"/>
    </row>
    <row r="4911" spans="46:49" x14ac:dyDescent="0.25">
      <c r="AT4911" s="74"/>
      <c r="AW4911" s="74"/>
    </row>
    <row r="4912" spans="46:49" x14ac:dyDescent="0.25">
      <c r="AT4912" s="74"/>
      <c r="AW4912" s="74"/>
    </row>
    <row r="4913" spans="46:49" x14ac:dyDescent="0.25">
      <c r="AT4913" s="74"/>
      <c r="AW4913" s="74"/>
    </row>
    <row r="4914" spans="46:49" x14ac:dyDescent="0.25">
      <c r="AT4914" s="74"/>
      <c r="AW4914" s="74"/>
    </row>
    <row r="4915" spans="46:49" x14ac:dyDescent="0.25">
      <c r="AT4915" s="74"/>
      <c r="AW4915" s="74"/>
    </row>
    <row r="4916" spans="46:49" x14ac:dyDescent="0.25">
      <c r="AT4916" s="74"/>
      <c r="AW4916" s="74"/>
    </row>
    <row r="4917" spans="46:49" x14ac:dyDescent="0.25">
      <c r="AT4917" s="74"/>
      <c r="AW4917" s="74"/>
    </row>
    <row r="4918" spans="46:49" x14ac:dyDescent="0.25">
      <c r="AT4918" s="74"/>
      <c r="AW4918" s="74"/>
    </row>
    <row r="4919" spans="46:49" x14ac:dyDescent="0.25">
      <c r="AT4919" s="74"/>
      <c r="AW4919" s="74"/>
    </row>
    <row r="4920" spans="46:49" x14ac:dyDescent="0.25">
      <c r="AT4920" s="74"/>
      <c r="AW4920" s="74"/>
    </row>
    <row r="4921" spans="46:49" x14ac:dyDescent="0.25">
      <c r="AT4921" s="74"/>
      <c r="AW4921" s="74"/>
    </row>
    <row r="4922" spans="46:49" x14ac:dyDescent="0.25">
      <c r="AT4922" s="74"/>
      <c r="AW4922" s="74"/>
    </row>
    <row r="4923" spans="46:49" x14ac:dyDescent="0.25">
      <c r="AT4923" s="74"/>
      <c r="AW4923" s="74"/>
    </row>
    <row r="4924" spans="46:49" x14ac:dyDescent="0.25">
      <c r="AT4924" s="74"/>
      <c r="AW4924" s="74"/>
    </row>
    <row r="4925" spans="46:49" x14ac:dyDescent="0.25">
      <c r="AT4925" s="74"/>
      <c r="AW4925" s="74"/>
    </row>
    <row r="4926" spans="46:49" x14ac:dyDescent="0.25">
      <c r="AT4926" s="74"/>
      <c r="AW4926" s="74"/>
    </row>
    <row r="4927" spans="46:49" x14ac:dyDescent="0.25">
      <c r="AT4927" s="74"/>
      <c r="AW4927" s="74"/>
    </row>
    <row r="4928" spans="46:49" x14ac:dyDescent="0.25">
      <c r="AT4928" s="74"/>
      <c r="AW4928" s="74"/>
    </row>
    <row r="4929" spans="46:49" x14ac:dyDescent="0.25">
      <c r="AT4929" s="74"/>
      <c r="AW4929" s="74"/>
    </row>
    <row r="4930" spans="46:49" x14ac:dyDescent="0.25">
      <c r="AT4930" s="74"/>
      <c r="AW4930" s="74"/>
    </row>
    <row r="4931" spans="46:49" x14ac:dyDescent="0.25">
      <c r="AT4931" s="74"/>
      <c r="AW4931" s="74"/>
    </row>
    <row r="4932" spans="46:49" x14ac:dyDescent="0.25">
      <c r="AT4932" s="74"/>
      <c r="AW4932" s="74"/>
    </row>
    <row r="4933" spans="46:49" x14ac:dyDescent="0.25">
      <c r="AT4933" s="74"/>
      <c r="AW4933" s="74"/>
    </row>
    <row r="4934" spans="46:49" x14ac:dyDescent="0.25">
      <c r="AT4934" s="74"/>
      <c r="AW4934" s="74"/>
    </row>
    <row r="4935" spans="46:49" x14ac:dyDescent="0.25">
      <c r="AT4935" s="74"/>
      <c r="AW4935" s="74"/>
    </row>
    <row r="4936" spans="46:49" x14ac:dyDescent="0.25">
      <c r="AT4936" s="74"/>
      <c r="AW4936" s="74"/>
    </row>
    <row r="4937" spans="46:49" x14ac:dyDescent="0.25">
      <c r="AT4937" s="74"/>
      <c r="AW4937" s="74"/>
    </row>
    <row r="4938" spans="46:49" x14ac:dyDescent="0.25">
      <c r="AT4938" s="74"/>
      <c r="AW4938" s="74"/>
    </row>
    <row r="4939" spans="46:49" x14ac:dyDescent="0.25">
      <c r="AT4939" s="74"/>
      <c r="AW4939" s="74"/>
    </row>
    <row r="4940" spans="46:49" x14ac:dyDescent="0.25">
      <c r="AT4940" s="74"/>
      <c r="AW4940" s="74"/>
    </row>
    <row r="4941" spans="46:49" x14ac:dyDescent="0.25">
      <c r="AT4941" s="74"/>
      <c r="AW4941" s="74"/>
    </row>
    <row r="4942" spans="46:49" x14ac:dyDescent="0.25">
      <c r="AT4942" s="74"/>
      <c r="AW4942" s="74"/>
    </row>
    <row r="4943" spans="46:49" x14ac:dyDescent="0.25">
      <c r="AT4943" s="74"/>
      <c r="AW4943" s="74"/>
    </row>
    <row r="4944" spans="46:49" x14ac:dyDescent="0.25">
      <c r="AT4944" s="74"/>
      <c r="AW4944" s="74"/>
    </row>
    <row r="4945" spans="46:49" x14ac:dyDescent="0.25">
      <c r="AT4945" s="74"/>
      <c r="AW4945" s="74"/>
    </row>
    <row r="4946" spans="46:49" x14ac:dyDescent="0.25">
      <c r="AT4946" s="74"/>
      <c r="AW4946" s="74"/>
    </row>
    <row r="4947" spans="46:49" x14ac:dyDescent="0.25">
      <c r="AT4947" s="74"/>
      <c r="AW4947" s="74"/>
    </row>
    <row r="4948" spans="46:49" x14ac:dyDescent="0.25">
      <c r="AT4948" s="74"/>
      <c r="AW4948" s="74"/>
    </row>
    <row r="4949" spans="46:49" x14ac:dyDescent="0.25">
      <c r="AT4949" s="74"/>
      <c r="AW4949" s="74"/>
    </row>
    <row r="4950" spans="46:49" x14ac:dyDescent="0.25">
      <c r="AT4950" s="74"/>
      <c r="AW4950" s="74"/>
    </row>
    <row r="4951" spans="46:49" x14ac:dyDescent="0.25">
      <c r="AT4951" s="74"/>
      <c r="AW4951" s="74"/>
    </row>
    <row r="4952" spans="46:49" x14ac:dyDescent="0.25">
      <c r="AT4952" s="74"/>
      <c r="AW4952" s="74"/>
    </row>
    <row r="4953" spans="46:49" x14ac:dyDescent="0.25">
      <c r="AT4953" s="74"/>
      <c r="AW4953" s="74"/>
    </row>
    <row r="4954" spans="46:49" x14ac:dyDescent="0.25">
      <c r="AT4954" s="74"/>
      <c r="AW4954" s="74"/>
    </row>
    <row r="4955" spans="46:49" x14ac:dyDescent="0.25">
      <c r="AT4955" s="74"/>
      <c r="AW4955" s="74"/>
    </row>
    <row r="4956" spans="46:49" x14ac:dyDescent="0.25">
      <c r="AT4956" s="74"/>
      <c r="AW4956" s="74"/>
    </row>
    <row r="4957" spans="46:49" x14ac:dyDescent="0.25">
      <c r="AT4957" s="74"/>
      <c r="AW4957" s="74"/>
    </row>
    <row r="4958" spans="46:49" x14ac:dyDescent="0.25">
      <c r="AT4958" s="74"/>
      <c r="AW4958" s="74"/>
    </row>
    <row r="4959" spans="46:49" x14ac:dyDescent="0.25">
      <c r="AT4959" s="74"/>
      <c r="AW4959" s="74"/>
    </row>
    <row r="4960" spans="46:49" x14ac:dyDescent="0.25">
      <c r="AT4960" s="74"/>
      <c r="AW4960" s="74"/>
    </row>
    <row r="4961" spans="46:49" x14ac:dyDescent="0.25">
      <c r="AT4961" s="74"/>
      <c r="AW4961" s="74"/>
    </row>
    <row r="4962" spans="46:49" x14ac:dyDescent="0.25">
      <c r="AT4962" s="74"/>
      <c r="AW4962" s="74"/>
    </row>
    <row r="4963" spans="46:49" x14ac:dyDescent="0.25">
      <c r="AT4963" s="74"/>
      <c r="AW4963" s="74"/>
    </row>
    <row r="4964" spans="46:49" x14ac:dyDescent="0.25">
      <c r="AT4964" s="74"/>
      <c r="AW4964" s="74"/>
    </row>
    <row r="4965" spans="46:49" x14ac:dyDescent="0.25">
      <c r="AT4965" s="74"/>
      <c r="AW4965" s="74"/>
    </row>
    <row r="4966" spans="46:49" x14ac:dyDescent="0.25">
      <c r="AT4966" s="74"/>
      <c r="AW4966" s="74"/>
    </row>
    <row r="4967" spans="46:49" x14ac:dyDescent="0.25">
      <c r="AT4967" s="74"/>
      <c r="AW4967" s="74"/>
    </row>
    <row r="4968" spans="46:49" x14ac:dyDescent="0.25">
      <c r="AT4968" s="74"/>
      <c r="AW4968" s="74"/>
    </row>
    <row r="4969" spans="46:49" x14ac:dyDescent="0.25">
      <c r="AT4969" s="74"/>
      <c r="AW4969" s="74"/>
    </row>
    <row r="4970" spans="46:49" x14ac:dyDescent="0.25">
      <c r="AT4970" s="74"/>
      <c r="AW4970" s="74"/>
    </row>
    <row r="4971" spans="46:49" x14ac:dyDescent="0.25">
      <c r="AT4971" s="74"/>
      <c r="AW4971" s="74"/>
    </row>
    <row r="4972" spans="46:49" x14ac:dyDescent="0.25">
      <c r="AT4972" s="74"/>
      <c r="AW4972" s="74"/>
    </row>
    <row r="4973" spans="46:49" x14ac:dyDescent="0.25">
      <c r="AT4973" s="74"/>
      <c r="AW4973" s="74"/>
    </row>
    <row r="4974" spans="46:49" x14ac:dyDescent="0.25">
      <c r="AT4974" s="74"/>
      <c r="AW4974" s="74"/>
    </row>
    <row r="4975" spans="46:49" x14ac:dyDescent="0.25">
      <c r="AT4975" s="74"/>
      <c r="AW4975" s="74"/>
    </row>
    <row r="4976" spans="46:49" x14ac:dyDescent="0.25">
      <c r="AT4976" s="74"/>
      <c r="AW4976" s="74"/>
    </row>
    <row r="4977" spans="46:49" x14ac:dyDescent="0.25">
      <c r="AT4977" s="74"/>
      <c r="AW4977" s="74"/>
    </row>
    <row r="4978" spans="46:49" x14ac:dyDescent="0.25">
      <c r="AT4978" s="74"/>
      <c r="AW4978" s="74"/>
    </row>
    <row r="4979" spans="46:49" x14ac:dyDescent="0.25">
      <c r="AT4979" s="74"/>
      <c r="AW4979" s="74"/>
    </row>
    <row r="4980" spans="46:49" x14ac:dyDescent="0.25">
      <c r="AT4980" s="74"/>
      <c r="AW4980" s="74"/>
    </row>
    <row r="4981" spans="46:49" x14ac:dyDescent="0.25">
      <c r="AT4981" s="74"/>
      <c r="AW4981" s="74"/>
    </row>
    <row r="4982" spans="46:49" x14ac:dyDescent="0.25">
      <c r="AT4982" s="74"/>
      <c r="AW4982" s="74"/>
    </row>
    <row r="4983" spans="46:49" x14ac:dyDescent="0.25">
      <c r="AT4983" s="74"/>
      <c r="AW4983" s="74"/>
    </row>
    <row r="4984" spans="46:49" x14ac:dyDescent="0.25">
      <c r="AT4984" s="74"/>
      <c r="AW4984" s="74"/>
    </row>
    <row r="4985" spans="46:49" x14ac:dyDescent="0.25">
      <c r="AT4985" s="74"/>
      <c r="AW4985" s="74"/>
    </row>
    <row r="4986" spans="46:49" x14ac:dyDescent="0.25">
      <c r="AT4986" s="74"/>
      <c r="AW4986" s="74"/>
    </row>
    <row r="4987" spans="46:49" x14ac:dyDescent="0.25">
      <c r="AT4987" s="74"/>
      <c r="AW4987" s="74"/>
    </row>
    <row r="4988" spans="46:49" x14ac:dyDescent="0.25">
      <c r="AT4988" s="74"/>
      <c r="AW4988" s="74"/>
    </row>
    <row r="4989" spans="46:49" x14ac:dyDescent="0.25">
      <c r="AT4989" s="74"/>
      <c r="AW4989" s="74"/>
    </row>
    <row r="4990" spans="46:49" x14ac:dyDescent="0.25">
      <c r="AT4990" s="74"/>
      <c r="AW4990" s="74"/>
    </row>
    <row r="4991" spans="46:49" x14ac:dyDescent="0.25">
      <c r="AT4991" s="74"/>
      <c r="AW4991" s="74"/>
    </row>
    <row r="4992" spans="46:49" x14ac:dyDescent="0.25">
      <c r="AT4992" s="74"/>
      <c r="AW4992" s="74"/>
    </row>
    <row r="4993" spans="46:49" x14ac:dyDescent="0.25">
      <c r="AT4993" s="74"/>
      <c r="AW4993" s="74"/>
    </row>
    <row r="4994" spans="46:49" x14ac:dyDescent="0.25">
      <c r="AT4994" s="74"/>
      <c r="AW4994" s="74"/>
    </row>
    <row r="4995" spans="46:49" x14ac:dyDescent="0.25">
      <c r="AT4995" s="74"/>
      <c r="AW4995" s="74"/>
    </row>
    <row r="4996" spans="46:49" x14ac:dyDescent="0.25">
      <c r="AT4996" s="74"/>
      <c r="AW4996" s="74"/>
    </row>
    <row r="4997" spans="46:49" x14ac:dyDescent="0.25">
      <c r="AT4997" s="74"/>
      <c r="AW4997" s="74"/>
    </row>
    <row r="4998" spans="46:49" x14ac:dyDescent="0.25">
      <c r="AT4998" s="74"/>
      <c r="AW4998" s="74"/>
    </row>
    <row r="4999" spans="46:49" x14ac:dyDescent="0.25">
      <c r="AT4999" s="74"/>
      <c r="AW4999" s="74"/>
    </row>
    <row r="5000" spans="46:49" x14ac:dyDescent="0.25">
      <c r="AT5000" s="74"/>
      <c r="AW5000" s="74"/>
    </row>
    <row r="5001" spans="46:49" x14ac:dyDescent="0.25">
      <c r="AT5001" s="74"/>
      <c r="AW5001" s="74"/>
    </row>
    <row r="5002" spans="46:49" x14ac:dyDescent="0.25">
      <c r="AT5002" s="74"/>
      <c r="AW5002" s="74"/>
    </row>
    <row r="5003" spans="46:49" x14ac:dyDescent="0.25">
      <c r="AT5003" s="74"/>
      <c r="AW5003" s="74"/>
    </row>
    <row r="5004" spans="46:49" x14ac:dyDescent="0.25">
      <c r="AT5004" s="74"/>
      <c r="AW5004" s="74"/>
    </row>
    <row r="5005" spans="46:49" x14ac:dyDescent="0.25">
      <c r="AT5005" s="74"/>
      <c r="AW5005" s="74"/>
    </row>
    <row r="5006" spans="46:49" x14ac:dyDescent="0.25">
      <c r="AT5006" s="74"/>
      <c r="AW5006" s="74"/>
    </row>
    <row r="5007" spans="46:49" x14ac:dyDescent="0.25">
      <c r="AT5007" s="74"/>
      <c r="AW5007" s="74"/>
    </row>
    <row r="5008" spans="46:49" x14ac:dyDescent="0.25">
      <c r="AT5008" s="74"/>
      <c r="AW5008" s="74"/>
    </row>
    <row r="5009" spans="46:49" x14ac:dyDescent="0.25">
      <c r="AT5009" s="74"/>
      <c r="AW5009" s="74"/>
    </row>
    <row r="5010" spans="46:49" x14ac:dyDescent="0.25">
      <c r="AT5010" s="74"/>
      <c r="AW5010" s="74"/>
    </row>
    <row r="5011" spans="46:49" x14ac:dyDescent="0.25">
      <c r="AT5011" s="74"/>
      <c r="AW5011" s="74"/>
    </row>
    <row r="5012" spans="46:49" x14ac:dyDescent="0.25">
      <c r="AT5012" s="74"/>
      <c r="AW5012" s="74"/>
    </row>
    <row r="5013" spans="46:49" x14ac:dyDescent="0.25">
      <c r="AT5013" s="74"/>
      <c r="AW5013" s="74"/>
    </row>
    <row r="5014" spans="46:49" x14ac:dyDescent="0.25">
      <c r="AT5014" s="74"/>
      <c r="AW5014" s="74"/>
    </row>
    <row r="5015" spans="46:49" x14ac:dyDescent="0.25">
      <c r="AT5015" s="74"/>
      <c r="AW5015" s="74"/>
    </row>
    <row r="5016" spans="46:49" x14ac:dyDescent="0.25">
      <c r="AT5016" s="74"/>
      <c r="AW5016" s="74"/>
    </row>
    <row r="5017" spans="46:49" x14ac:dyDescent="0.25">
      <c r="AT5017" s="74"/>
      <c r="AW5017" s="74"/>
    </row>
    <row r="5018" spans="46:49" x14ac:dyDescent="0.25">
      <c r="AT5018" s="74"/>
      <c r="AW5018" s="74"/>
    </row>
    <row r="5019" spans="46:49" x14ac:dyDescent="0.25">
      <c r="AT5019" s="74"/>
      <c r="AW5019" s="74"/>
    </row>
    <row r="5020" spans="46:49" x14ac:dyDescent="0.25">
      <c r="AT5020" s="74"/>
      <c r="AW5020" s="74"/>
    </row>
    <row r="5021" spans="46:49" x14ac:dyDescent="0.25">
      <c r="AT5021" s="74"/>
      <c r="AW5021" s="74"/>
    </row>
    <row r="5022" spans="46:49" x14ac:dyDescent="0.25">
      <c r="AT5022" s="74"/>
      <c r="AW5022" s="74"/>
    </row>
    <row r="5023" spans="46:49" x14ac:dyDescent="0.25">
      <c r="AT5023" s="74"/>
      <c r="AW5023" s="74"/>
    </row>
    <row r="5024" spans="46:49" x14ac:dyDescent="0.25">
      <c r="AT5024" s="74"/>
      <c r="AW5024" s="74"/>
    </row>
    <row r="5025" spans="46:49" x14ac:dyDescent="0.25">
      <c r="AT5025" s="74"/>
      <c r="AW5025" s="74"/>
    </row>
    <row r="5026" spans="46:49" x14ac:dyDescent="0.25">
      <c r="AT5026" s="74"/>
      <c r="AW5026" s="74"/>
    </row>
    <row r="5027" spans="46:49" x14ac:dyDescent="0.25">
      <c r="AT5027" s="74"/>
      <c r="AW5027" s="74"/>
    </row>
    <row r="5028" spans="46:49" x14ac:dyDescent="0.25">
      <c r="AT5028" s="74"/>
      <c r="AW5028" s="74"/>
    </row>
    <row r="5029" spans="46:49" x14ac:dyDescent="0.25">
      <c r="AT5029" s="74"/>
      <c r="AW5029" s="74"/>
    </row>
    <row r="5030" spans="46:49" x14ac:dyDescent="0.25">
      <c r="AT5030" s="74"/>
      <c r="AW5030" s="74"/>
    </row>
    <row r="5031" spans="46:49" x14ac:dyDescent="0.25">
      <c r="AT5031" s="74"/>
      <c r="AW5031" s="74"/>
    </row>
    <row r="5032" spans="46:49" x14ac:dyDescent="0.25">
      <c r="AT5032" s="74"/>
      <c r="AW5032" s="74"/>
    </row>
    <row r="5033" spans="46:49" x14ac:dyDescent="0.25">
      <c r="AT5033" s="74"/>
      <c r="AW5033" s="74"/>
    </row>
    <row r="5034" spans="46:49" x14ac:dyDescent="0.25">
      <c r="AT5034" s="74"/>
      <c r="AW5034" s="74"/>
    </row>
    <row r="5035" spans="46:49" x14ac:dyDescent="0.25">
      <c r="AT5035" s="74"/>
      <c r="AW5035" s="74"/>
    </row>
    <row r="5036" spans="46:49" x14ac:dyDescent="0.25">
      <c r="AT5036" s="74"/>
      <c r="AW5036" s="74"/>
    </row>
    <row r="5037" spans="46:49" x14ac:dyDescent="0.25">
      <c r="AT5037" s="74"/>
      <c r="AW5037" s="74"/>
    </row>
    <row r="5038" spans="46:49" x14ac:dyDescent="0.25">
      <c r="AT5038" s="74"/>
      <c r="AW5038" s="74"/>
    </row>
    <row r="5039" spans="46:49" x14ac:dyDescent="0.25">
      <c r="AT5039" s="74"/>
      <c r="AW5039" s="74"/>
    </row>
    <row r="5040" spans="46:49" x14ac:dyDescent="0.25">
      <c r="AT5040" s="74"/>
      <c r="AW5040" s="74"/>
    </row>
    <row r="5041" spans="46:49" x14ac:dyDescent="0.25">
      <c r="AT5041" s="74"/>
      <c r="AW5041" s="74"/>
    </row>
    <row r="5042" spans="46:49" x14ac:dyDescent="0.25">
      <c r="AT5042" s="74"/>
      <c r="AW5042" s="74"/>
    </row>
    <row r="5043" spans="46:49" x14ac:dyDescent="0.25">
      <c r="AT5043" s="74"/>
      <c r="AW5043" s="74"/>
    </row>
    <row r="5044" spans="46:49" x14ac:dyDescent="0.25">
      <c r="AT5044" s="74"/>
      <c r="AW5044" s="74"/>
    </row>
    <row r="5045" spans="46:49" x14ac:dyDescent="0.25">
      <c r="AT5045" s="74"/>
      <c r="AW5045" s="74"/>
    </row>
    <row r="5046" spans="46:49" x14ac:dyDescent="0.25">
      <c r="AT5046" s="74"/>
      <c r="AW5046" s="74"/>
    </row>
    <row r="5047" spans="46:49" x14ac:dyDescent="0.25">
      <c r="AT5047" s="74"/>
      <c r="AW5047" s="74"/>
    </row>
    <row r="5048" spans="46:49" x14ac:dyDescent="0.25">
      <c r="AT5048" s="74"/>
      <c r="AW5048" s="74"/>
    </row>
    <row r="5049" spans="46:49" x14ac:dyDescent="0.25">
      <c r="AT5049" s="74"/>
      <c r="AW5049" s="74"/>
    </row>
    <row r="5050" spans="46:49" x14ac:dyDescent="0.25">
      <c r="AT5050" s="74"/>
      <c r="AW5050" s="74"/>
    </row>
    <row r="5051" spans="46:49" x14ac:dyDescent="0.25">
      <c r="AT5051" s="74"/>
      <c r="AW5051" s="74"/>
    </row>
    <row r="5052" spans="46:49" x14ac:dyDescent="0.25">
      <c r="AT5052" s="74"/>
      <c r="AW5052" s="74"/>
    </row>
    <row r="5053" spans="46:49" x14ac:dyDescent="0.25">
      <c r="AT5053" s="74"/>
      <c r="AW5053" s="74"/>
    </row>
    <row r="5054" spans="46:49" x14ac:dyDescent="0.25">
      <c r="AT5054" s="74"/>
      <c r="AW5054" s="74"/>
    </row>
    <row r="5055" spans="46:49" x14ac:dyDescent="0.25">
      <c r="AT5055" s="74"/>
      <c r="AW5055" s="74"/>
    </row>
    <row r="5056" spans="46:49" x14ac:dyDescent="0.25">
      <c r="AT5056" s="74"/>
      <c r="AW5056" s="74"/>
    </row>
    <row r="5057" spans="46:49" x14ac:dyDescent="0.25">
      <c r="AT5057" s="74"/>
      <c r="AW5057" s="74"/>
    </row>
    <row r="5058" spans="46:49" x14ac:dyDescent="0.25">
      <c r="AT5058" s="74"/>
      <c r="AW5058" s="74"/>
    </row>
    <row r="5059" spans="46:49" x14ac:dyDescent="0.25">
      <c r="AT5059" s="74"/>
      <c r="AW5059" s="74"/>
    </row>
    <row r="5060" spans="46:49" x14ac:dyDescent="0.25">
      <c r="AT5060" s="74"/>
      <c r="AW5060" s="74"/>
    </row>
    <row r="5061" spans="46:49" x14ac:dyDescent="0.25">
      <c r="AT5061" s="74"/>
      <c r="AW5061" s="74"/>
    </row>
    <row r="5062" spans="46:49" x14ac:dyDescent="0.25">
      <c r="AT5062" s="74"/>
      <c r="AW5062" s="74"/>
    </row>
    <row r="5063" spans="46:49" x14ac:dyDescent="0.25">
      <c r="AT5063" s="74"/>
      <c r="AW5063" s="74"/>
    </row>
    <row r="5064" spans="46:49" x14ac:dyDescent="0.25">
      <c r="AT5064" s="74"/>
      <c r="AW5064" s="74"/>
    </row>
    <row r="5065" spans="46:49" x14ac:dyDescent="0.25">
      <c r="AT5065" s="74"/>
      <c r="AW5065" s="74"/>
    </row>
    <row r="5066" spans="46:49" x14ac:dyDescent="0.25">
      <c r="AT5066" s="74"/>
      <c r="AW5066" s="74"/>
    </row>
    <row r="5067" spans="46:49" x14ac:dyDescent="0.25">
      <c r="AT5067" s="74"/>
      <c r="AW5067" s="74"/>
    </row>
    <row r="5068" spans="46:49" x14ac:dyDescent="0.25">
      <c r="AT5068" s="74"/>
      <c r="AW5068" s="74"/>
    </row>
    <row r="5069" spans="46:49" x14ac:dyDescent="0.25">
      <c r="AT5069" s="74"/>
      <c r="AW5069" s="74"/>
    </row>
    <row r="5070" spans="46:49" x14ac:dyDescent="0.25">
      <c r="AT5070" s="74"/>
      <c r="AW5070" s="74"/>
    </row>
    <row r="5071" spans="46:49" x14ac:dyDescent="0.25">
      <c r="AT5071" s="74"/>
      <c r="AW5071" s="74"/>
    </row>
    <row r="5072" spans="46:49" x14ac:dyDescent="0.25">
      <c r="AT5072" s="74"/>
      <c r="AW5072" s="74"/>
    </row>
    <row r="5073" spans="46:49" x14ac:dyDescent="0.25">
      <c r="AT5073" s="74"/>
      <c r="AW5073" s="74"/>
    </row>
    <row r="5074" spans="46:49" x14ac:dyDescent="0.25">
      <c r="AT5074" s="74"/>
      <c r="AW5074" s="74"/>
    </row>
    <row r="5075" spans="46:49" x14ac:dyDescent="0.25">
      <c r="AT5075" s="74"/>
      <c r="AW5075" s="74"/>
    </row>
    <row r="5076" spans="46:49" x14ac:dyDescent="0.25">
      <c r="AT5076" s="74"/>
      <c r="AW5076" s="74"/>
    </row>
    <row r="5077" spans="46:49" x14ac:dyDescent="0.25">
      <c r="AT5077" s="74"/>
      <c r="AW5077" s="74"/>
    </row>
    <row r="5078" spans="46:49" x14ac:dyDescent="0.25">
      <c r="AT5078" s="74"/>
      <c r="AW5078" s="74"/>
    </row>
    <row r="5079" spans="46:49" x14ac:dyDescent="0.25">
      <c r="AT5079" s="74"/>
      <c r="AW5079" s="74"/>
    </row>
    <row r="5080" spans="46:49" x14ac:dyDescent="0.25">
      <c r="AT5080" s="74"/>
      <c r="AW5080" s="74"/>
    </row>
    <row r="5081" spans="46:49" x14ac:dyDescent="0.25">
      <c r="AT5081" s="74"/>
      <c r="AW5081" s="74"/>
    </row>
    <row r="5082" spans="46:49" x14ac:dyDescent="0.25">
      <c r="AT5082" s="74"/>
      <c r="AW5082" s="74"/>
    </row>
    <row r="5083" spans="46:49" x14ac:dyDescent="0.25">
      <c r="AT5083" s="74"/>
      <c r="AW5083" s="74"/>
    </row>
    <row r="5084" spans="46:49" x14ac:dyDescent="0.25">
      <c r="AT5084" s="74"/>
      <c r="AW5084" s="74"/>
    </row>
    <row r="5085" spans="46:49" x14ac:dyDescent="0.25">
      <c r="AT5085" s="74"/>
      <c r="AW5085" s="74"/>
    </row>
    <row r="5086" spans="46:49" x14ac:dyDescent="0.25">
      <c r="AT5086" s="74"/>
      <c r="AW5086" s="74"/>
    </row>
    <row r="5087" spans="46:49" x14ac:dyDescent="0.25">
      <c r="AT5087" s="74"/>
      <c r="AW5087" s="74"/>
    </row>
    <row r="5088" spans="46:49" x14ac:dyDescent="0.25">
      <c r="AT5088" s="74"/>
      <c r="AW5088" s="74"/>
    </row>
    <row r="5089" spans="46:49" x14ac:dyDescent="0.25">
      <c r="AT5089" s="74"/>
      <c r="AW5089" s="74"/>
    </row>
    <row r="5090" spans="46:49" x14ac:dyDescent="0.25">
      <c r="AT5090" s="74"/>
      <c r="AW5090" s="74"/>
    </row>
    <row r="5091" spans="46:49" x14ac:dyDescent="0.25">
      <c r="AT5091" s="74"/>
      <c r="AW5091" s="74"/>
    </row>
    <row r="5092" spans="46:49" x14ac:dyDescent="0.25">
      <c r="AT5092" s="74"/>
      <c r="AW5092" s="74"/>
    </row>
    <row r="5093" spans="46:49" x14ac:dyDescent="0.25">
      <c r="AT5093" s="74"/>
      <c r="AW5093" s="74"/>
    </row>
    <row r="5094" spans="46:49" x14ac:dyDescent="0.25">
      <c r="AT5094" s="74"/>
      <c r="AW5094" s="74"/>
    </row>
    <row r="5095" spans="46:49" x14ac:dyDescent="0.25">
      <c r="AT5095" s="74"/>
      <c r="AW5095" s="74"/>
    </row>
    <row r="5096" spans="46:49" x14ac:dyDescent="0.25">
      <c r="AT5096" s="74"/>
      <c r="AW5096" s="74"/>
    </row>
    <row r="5097" spans="46:49" x14ac:dyDescent="0.25">
      <c r="AT5097" s="74"/>
      <c r="AW5097" s="74"/>
    </row>
    <row r="5098" spans="46:49" x14ac:dyDescent="0.25">
      <c r="AT5098" s="74"/>
      <c r="AW5098" s="74"/>
    </row>
    <row r="5099" spans="46:49" x14ac:dyDescent="0.25">
      <c r="AT5099" s="74"/>
      <c r="AW5099" s="74"/>
    </row>
    <row r="5100" spans="46:49" x14ac:dyDescent="0.25">
      <c r="AT5100" s="74"/>
      <c r="AW5100" s="74"/>
    </row>
    <row r="5101" spans="46:49" x14ac:dyDescent="0.25">
      <c r="AT5101" s="74"/>
      <c r="AW5101" s="74"/>
    </row>
    <row r="5102" spans="46:49" x14ac:dyDescent="0.25">
      <c r="AT5102" s="74"/>
      <c r="AW5102" s="74"/>
    </row>
    <row r="5103" spans="46:49" x14ac:dyDescent="0.25">
      <c r="AT5103" s="74"/>
      <c r="AW5103" s="74"/>
    </row>
    <row r="5104" spans="46:49" x14ac:dyDescent="0.25">
      <c r="AT5104" s="74"/>
      <c r="AW5104" s="74"/>
    </row>
    <row r="5105" spans="46:49" x14ac:dyDescent="0.25">
      <c r="AT5105" s="74"/>
      <c r="AW5105" s="74"/>
    </row>
    <row r="5106" spans="46:49" x14ac:dyDescent="0.25">
      <c r="AT5106" s="74"/>
      <c r="AW5106" s="74"/>
    </row>
    <row r="5107" spans="46:49" x14ac:dyDescent="0.25">
      <c r="AT5107" s="74"/>
      <c r="AW5107" s="74"/>
    </row>
    <row r="5108" spans="46:49" x14ac:dyDescent="0.25">
      <c r="AT5108" s="74"/>
      <c r="AW5108" s="74"/>
    </row>
    <row r="5109" spans="46:49" x14ac:dyDescent="0.25">
      <c r="AT5109" s="74"/>
      <c r="AW5109" s="74"/>
    </row>
    <row r="5110" spans="46:49" x14ac:dyDescent="0.25">
      <c r="AT5110" s="74"/>
      <c r="AW5110" s="74"/>
    </row>
    <row r="5111" spans="46:49" x14ac:dyDescent="0.25">
      <c r="AT5111" s="74"/>
      <c r="AW5111" s="74"/>
    </row>
    <row r="5112" spans="46:49" x14ac:dyDescent="0.25">
      <c r="AT5112" s="74"/>
      <c r="AW5112" s="74"/>
    </row>
    <row r="5113" spans="46:49" x14ac:dyDescent="0.25">
      <c r="AT5113" s="74"/>
      <c r="AW5113" s="74"/>
    </row>
    <row r="5114" spans="46:49" x14ac:dyDescent="0.25">
      <c r="AT5114" s="74"/>
      <c r="AW5114" s="74"/>
    </row>
    <row r="5115" spans="46:49" x14ac:dyDescent="0.25">
      <c r="AT5115" s="74"/>
      <c r="AW5115" s="74"/>
    </row>
    <row r="5116" spans="46:49" x14ac:dyDescent="0.25">
      <c r="AT5116" s="74"/>
      <c r="AW5116" s="74"/>
    </row>
    <row r="5117" spans="46:49" x14ac:dyDescent="0.25">
      <c r="AT5117" s="74"/>
      <c r="AW5117" s="74"/>
    </row>
    <row r="5118" spans="46:49" x14ac:dyDescent="0.25">
      <c r="AT5118" s="74"/>
      <c r="AW5118" s="74"/>
    </row>
    <row r="5119" spans="46:49" x14ac:dyDescent="0.25">
      <c r="AT5119" s="74"/>
      <c r="AW5119" s="74"/>
    </row>
    <row r="5120" spans="46:49" x14ac:dyDescent="0.25">
      <c r="AT5120" s="74"/>
      <c r="AW5120" s="74"/>
    </row>
    <row r="5121" spans="46:49" x14ac:dyDescent="0.25">
      <c r="AT5121" s="74"/>
      <c r="AW5121" s="74"/>
    </row>
    <row r="5122" spans="46:49" x14ac:dyDescent="0.25">
      <c r="AT5122" s="74"/>
      <c r="AW5122" s="74"/>
    </row>
    <row r="5123" spans="46:49" x14ac:dyDescent="0.25">
      <c r="AT5123" s="74"/>
      <c r="AW5123" s="74"/>
    </row>
    <row r="5124" spans="46:49" x14ac:dyDescent="0.25">
      <c r="AT5124" s="74"/>
      <c r="AW5124" s="74"/>
    </row>
    <row r="5125" spans="46:49" x14ac:dyDescent="0.25">
      <c r="AT5125" s="74"/>
      <c r="AW5125" s="74"/>
    </row>
    <row r="5126" spans="46:49" x14ac:dyDescent="0.25">
      <c r="AT5126" s="74"/>
      <c r="AW5126" s="74"/>
    </row>
    <row r="5127" spans="46:49" x14ac:dyDescent="0.25">
      <c r="AT5127" s="74"/>
      <c r="AW5127" s="74"/>
    </row>
    <row r="5128" spans="46:49" x14ac:dyDescent="0.25">
      <c r="AT5128" s="74"/>
      <c r="AW5128" s="74"/>
    </row>
    <row r="5129" spans="46:49" x14ac:dyDescent="0.25">
      <c r="AT5129" s="74"/>
      <c r="AW5129" s="74"/>
    </row>
    <row r="5130" spans="46:49" x14ac:dyDescent="0.25">
      <c r="AT5130" s="74"/>
      <c r="AW5130" s="74"/>
    </row>
    <row r="5131" spans="46:49" x14ac:dyDescent="0.25">
      <c r="AT5131" s="74"/>
      <c r="AW5131" s="74"/>
    </row>
    <row r="5132" spans="46:49" x14ac:dyDescent="0.25">
      <c r="AT5132" s="74"/>
      <c r="AW5132" s="74"/>
    </row>
    <row r="5133" spans="46:49" x14ac:dyDescent="0.25">
      <c r="AT5133" s="74"/>
      <c r="AW5133" s="74"/>
    </row>
    <row r="5134" spans="46:49" x14ac:dyDescent="0.25">
      <c r="AT5134" s="74"/>
      <c r="AW5134" s="74"/>
    </row>
    <row r="5135" spans="46:49" x14ac:dyDescent="0.25">
      <c r="AT5135" s="74"/>
      <c r="AW5135" s="74"/>
    </row>
    <row r="5136" spans="46:49" x14ac:dyDescent="0.25">
      <c r="AT5136" s="74"/>
      <c r="AW5136" s="74"/>
    </row>
    <row r="5137" spans="46:49" x14ac:dyDescent="0.25">
      <c r="AT5137" s="74"/>
      <c r="AW5137" s="74"/>
    </row>
    <row r="5138" spans="46:49" x14ac:dyDescent="0.25">
      <c r="AT5138" s="74"/>
      <c r="AW5138" s="74"/>
    </row>
    <row r="5139" spans="46:49" x14ac:dyDescent="0.25">
      <c r="AT5139" s="74"/>
      <c r="AW5139" s="74"/>
    </row>
    <row r="5140" spans="46:49" x14ac:dyDescent="0.25">
      <c r="AT5140" s="74"/>
      <c r="AW5140" s="74"/>
    </row>
    <row r="5141" spans="46:49" x14ac:dyDescent="0.25">
      <c r="AT5141" s="74"/>
      <c r="AW5141" s="74"/>
    </row>
    <row r="5142" spans="46:49" x14ac:dyDescent="0.25">
      <c r="AT5142" s="74"/>
      <c r="AW5142" s="74"/>
    </row>
    <row r="5143" spans="46:49" x14ac:dyDescent="0.25">
      <c r="AT5143" s="74"/>
      <c r="AW5143" s="74"/>
    </row>
    <row r="5144" spans="46:49" x14ac:dyDescent="0.25">
      <c r="AT5144" s="74"/>
      <c r="AW5144" s="74"/>
    </row>
    <row r="5145" spans="46:49" x14ac:dyDescent="0.25">
      <c r="AT5145" s="74"/>
      <c r="AW5145" s="74"/>
    </row>
    <row r="5146" spans="46:49" x14ac:dyDescent="0.25">
      <c r="AT5146" s="74"/>
      <c r="AW5146" s="74"/>
    </row>
    <row r="5147" spans="46:49" x14ac:dyDescent="0.25">
      <c r="AT5147" s="74"/>
      <c r="AW5147" s="74"/>
    </row>
    <row r="5148" spans="46:49" x14ac:dyDescent="0.25">
      <c r="AT5148" s="74"/>
      <c r="AW5148" s="74"/>
    </row>
    <row r="5149" spans="46:49" x14ac:dyDescent="0.25">
      <c r="AT5149" s="74"/>
      <c r="AW5149" s="74"/>
    </row>
    <row r="5150" spans="46:49" x14ac:dyDescent="0.25">
      <c r="AT5150" s="74"/>
      <c r="AW5150" s="74"/>
    </row>
    <row r="5151" spans="46:49" x14ac:dyDescent="0.25">
      <c r="AT5151" s="74"/>
      <c r="AW5151" s="74"/>
    </row>
    <row r="5152" spans="46:49" x14ac:dyDescent="0.25">
      <c r="AT5152" s="74"/>
      <c r="AW5152" s="74"/>
    </row>
    <row r="5153" spans="46:49" x14ac:dyDescent="0.25">
      <c r="AT5153" s="74"/>
      <c r="AW5153" s="74"/>
    </row>
    <row r="5154" spans="46:49" x14ac:dyDescent="0.25">
      <c r="AT5154" s="74"/>
      <c r="AW5154" s="74"/>
    </row>
    <row r="5155" spans="46:49" x14ac:dyDescent="0.25">
      <c r="AT5155" s="74"/>
      <c r="AW5155" s="74"/>
    </row>
    <row r="5156" spans="46:49" x14ac:dyDescent="0.25">
      <c r="AT5156" s="74"/>
      <c r="AW5156" s="74"/>
    </row>
    <row r="5157" spans="46:49" x14ac:dyDescent="0.25">
      <c r="AT5157" s="74"/>
      <c r="AW5157" s="74"/>
    </row>
    <row r="5158" spans="46:49" x14ac:dyDescent="0.25">
      <c r="AT5158" s="74"/>
      <c r="AW5158" s="74"/>
    </row>
    <row r="5159" spans="46:49" x14ac:dyDescent="0.25">
      <c r="AT5159" s="74"/>
      <c r="AW5159" s="74"/>
    </row>
    <row r="5160" spans="46:49" x14ac:dyDescent="0.25">
      <c r="AT5160" s="74"/>
      <c r="AW5160" s="74"/>
    </row>
    <row r="5161" spans="46:49" x14ac:dyDescent="0.25">
      <c r="AT5161" s="74"/>
      <c r="AW5161" s="74"/>
    </row>
    <row r="5162" spans="46:49" x14ac:dyDescent="0.25">
      <c r="AT5162" s="74"/>
      <c r="AW5162" s="74"/>
    </row>
    <row r="5163" spans="46:49" x14ac:dyDescent="0.25">
      <c r="AT5163" s="74"/>
      <c r="AW5163" s="74"/>
    </row>
    <row r="5164" spans="46:49" x14ac:dyDescent="0.25">
      <c r="AT5164" s="74"/>
      <c r="AW5164" s="74"/>
    </row>
    <row r="5165" spans="46:49" x14ac:dyDescent="0.25">
      <c r="AT5165" s="74"/>
      <c r="AW5165" s="74"/>
    </row>
    <row r="5166" spans="46:49" x14ac:dyDescent="0.25">
      <c r="AT5166" s="74"/>
      <c r="AW5166" s="74"/>
    </row>
    <row r="5167" spans="46:49" x14ac:dyDescent="0.25">
      <c r="AT5167" s="74"/>
      <c r="AW5167" s="74"/>
    </row>
    <row r="5168" spans="46:49" x14ac:dyDescent="0.25">
      <c r="AT5168" s="74"/>
      <c r="AW5168" s="74"/>
    </row>
    <row r="5169" spans="46:49" x14ac:dyDescent="0.25">
      <c r="AT5169" s="74"/>
      <c r="AW5169" s="74"/>
    </row>
    <row r="5170" spans="46:49" x14ac:dyDescent="0.25">
      <c r="AT5170" s="74"/>
      <c r="AW5170" s="74"/>
    </row>
    <row r="5171" spans="46:49" x14ac:dyDescent="0.25">
      <c r="AT5171" s="74"/>
      <c r="AW5171" s="74"/>
    </row>
    <row r="5172" spans="46:49" x14ac:dyDescent="0.25">
      <c r="AT5172" s="74"/>
      <c r="AW5172" s="74"/>
    </row>
    <row r="5173" spans="46:49" x14ac:dyDescent="0.25">
      <c r="AT5173" s="74"/>
      <c r="AW5173" s="74"/>
    </row>
    <row r="5174" spans="46:49" x14ac:dyDescent="0.25">
      <c r="AT5174" s="74"/>
      <c r="AW5174" s="74"/>
    </row>
    <row r="5175" spans="46:49" x14ac:dyDescent="0.25">
      <c r="AT5175" s="74"/>
      <c r="AW5175" s="74"/>
    </row>
    <row r="5176" spans="46:49" x14ac:dyDescent="0.25">
      <c r="AT5176" s="74"/>
      <c r="AW5176" s="74"/>
    </row>
    <row r="5177" spans="46:49" x14ac:dyDescent="0.25">
      <c r="AT5177" s="74"/>
      <c r="AW5177" s="74"/>
    </row>
    <row r="5178" spans="46:49" x14ac:dyDescent="0.25">
      <c r="AT5178" s="74"/>
      <c r="AW5178" s="74"/>
    </row>
    <row r="5179" spans="46:49" x14ac:dyDescent="0.25">
      <c r="AT5179" s="74"/>
      <c r="AW5179" s="74"/>
    </row>
    <row r="5180" spans="46:49" x14ac:dyDescent="0.25">
      <c r="AT5180" s="74"/>
      <c r="AW5180" s="74"/>
    </row>
    <row r="5181" spans="46:49" x14ac:dyDescent="0.25">
      <c r="AT5181" s="74"/>
      <c r="AW5181" s="74"/>
    </row>
    <row r="5182" spans="46:49" x14ac:dyDescent="0.25">
      <c r="AT5182" s="74"/>
      <c r="AW5182" s="74"/>
    </row>
    <row r="5183" spans="46:49" x14ac:dyDescent="0.25">
      <c r="AT5183" s="74"/>
      <c r="AW5183" s="74"/>
    </row>
    <row r="5184" spans="46:49" x14ac:dyDescent="0.25">
      <c r="AT5184" s="74"/>
      <c r="AW5184" s="74"/>
    </row>
    <row r="5185" spans="46:49" x14ac:dyDescent="0.25">
      <c r="AT5185" s="74"/>
      <c r="AW5185" s="74"/>
    </row>
    <row r="5186" spans="46:49" x14ac:dyDescent="0.25">
      <c r="AT5186" s="74"/>
      <c r="AW5186" s="74"/>
    </row>
    <row r="5187" spans="46:49" x14ac:dyDescent="0.25">
      <c r="AT5187" s="74"/>
      <c r="AW5187" s="74"/>
    </row>
    <row r="5188" spans="46:49" x14ac:dyDescent="0.25">
      <c r="AT5188" s="74"/>
      <c r="AW5188" s="74"/>
    </row>
    <row r="5189" spans="46:49" x14ac:dyDescent="0.25">
      <c r="AT5189" s="74"/>
      <c r="AW5189" s="74"/>
    </row>
    <row r="5190" spans="46:49" x14ac:dyDescent="0.25">
      <c r="AT5190" s="74"/>
      <c r="AW5190" s="74"/>
    </row>
    <row r="5191" spans="46:49" x14ac:dyDescent="0.25">
      <c r="AT5191" s="74"/>
      <c r="AW5191" s="74"/>
    </row>
    <row r="5192" spans="46:49" x14ac:dyDescent="0.25">
      <c r="AT5192" s="74"/>
      <c r="AW5192" s="74"/>
    </row>
    <row r="5193" spans="46:49" x14ac:dyDescent="0.25">
      <c r="AT5193" s="74"/>
      <c r="AW5193" s="74"/>
    </row>
    <row r="5194" spans="46:49" x14ac:dyDescent="0.25">
      <c r="AT5194" s="74"/>
      <c r="AW5194" s="74"/>
    </row>
    <row r="5195" spans="46:49" x14ac:dyDescent="0.25">
      <c r="AT5195" s="74"/>
      <c r="AW5195" s="74"/>
    </row>
    <row r="5196" spans="46:49" x14ac:dyDescent="0.25">
      <c r="AT5196" s="74"/>
      <c r="AW5196" s="74"/>
    </row>
    <row r="5197" spans="46:49" x14ac:dyDescent="0.25">
      <c r="AT5197" s="74"/>
      <c r="AW5197" s="74"/>
    </row>
    <row r="5198" spans="46:49" x14ac:dyDescent="0.25">
      <c r="AT5198" s="74"/>
      <c r="AW5198" s="74"/>
    </row>
    <row r="5199" spans="46:49" x14ac:dyDescent="0.25">
      <c r="AT5199" s="74"/>
      <c r="AW5199" s="74"/>
    </row>
    <row r="5200" spans="46:49" x14ac:dyDescent="0.25">
      <c r="AT5200" s="74"/>
      <c r="AW5200" s="74"/>
    </row>
    <row r="5201" spans="46:49" x14ac:dyDescent="0.25">
      <c r="AT5201" s="74"/>
      <c r="AW5201" s="74"/>
    </row>
    <row r="5202" spans="46:49" x14ac:dyDescent="0.25">
      <c r="AT5202" s="74"/>
      <c r="AW5202" s="74"/>
    </row>
    <row r="5203" spans="46:49" x14ac:dyDescent="0.25">
      <c r="AT5203" s="74"/>
      <c r="AW5203" s="74"/>
    </row>
    <row r="5204" spans="46:49" x14ac:dyDescent="0.25">
      <c r="AT5204" s="74"/>
      <c r="AW5204" s="74"/>
    </row>
    <row r="5205" spans="46:49" x14ac:dyDescent="0.25">
      <c r="AT5205" s="74"/>
      <c r="AW5205" s="74"/>
    </row>
    <row r="5206" spans="46:49" x14ac:dyDescent="0.25">
      <c r="AT5206" s="74"/>
      <c r="AW5206" s="74"/>
    </row>
    <row r="5207" spans="46:49" x14ac:dyDescent="0.25">
      <c r="AT5207" s="74"/>
      <c r="AW5207" s="74"/>
    </row>
    <row r="5208" spans="46:49" x14ac:dyDescent="0.25">
      <c r="AT5208" s="74"/>
      <c r="AW5208" s="74"/>
    </row>
    <row r="5209" spans="46:49" x14ac:dyDescent="0.25">
      <c r="AT5209" s="74"/>
      <c r="AW5209" s="74"/>
    </row>
    <row r="5210" spans="46:49" x14ac:dyDescent="0.25">
      <c r="AT5210" s="74"/>
      <c r="AW5210" s="74"/>
    </row>
    <row r="5211" spans="46:49" x14ac:dyDescent="0.25">
      <c r="AT5211" s="74"/>
      <c r="AW5211" s="74"/>
    </row>
    <row r="5212" spans="46:49" x14ac:dyDescent="0.25">
      <c r="AT5212" s="74"/>
      <c r="AW5212" s="74"/>
    </row>
    <row r="5213" spans="46:49" x14ac:dyDescent="0.25">
      <c r="AT5213" s="74"/>
      <c r="AW5213" s="74"/>
    </row>
    <row r="5214" spans="46:49" x14ac:dyDescent="0.25">
      <c r="AT5214" s="74"/>
      <c r="AW5214" s="74"/>
    </row>
    <row r="5215" spans="46:49" x14ac:dyDescent="0.25">
      <c r="AT5215" s="74"/>
      <c r="AW5215" s="74"/>
    </row>
    <row r="5216" spans="46:49" x14ac:dyDescent="0.25">
      <c r="AT5216" s="74"/>
      <c r="AW5216" s="74"/>
    </row>
    <row r="5217" spans="46:49" x14ac:dyDescent="0.25">
      <c r="AT5217" s="74"/>
      <c r="AW5217" s="74"/>
    </row>
    <row r="5218" spans="46:49" x14ac:dyDescent="0.25">
      <c r="AT5218" s="74"/>
      <c r="AW5218" s="74"/>
    </row>
    <row r="5219" spans="46:49" x14ac:dyDescent="0.25">
      <c r="AT5219" s="74"/>
      <c r="AW5219" s="74"/>
    </row>
    <row r="5220" spans="46:49" x14ac:dyDescent="0.25">
      <c r="AT5220" s="74"/>
      <c r="AW5220" s="74"/>
    </row>
    <row r="5221" spans="46:49" x14ac:dyDescent="0.25">
      <c r="AT5221" s="74"/>
      <c r="AW5221" s="74"/>
    </row>
    <row r="5222" spans="46:49" x14ac:dyDescent="0.25">
      <c r="AT5222" s="74"/>
      <c r="AW5222" s="74"/>
    </row>
    <row r="5223" spans="46:49" x14ac:dyDescent="0.25">
      <c r="AT5223" s="74"/>
      <c r="AW5223" s="74"/>
    </row>
    <row r="5224" spans="46:49" x14ac:dyDescent="0.25">
      <c r="AT5224" s="74"/>
      <c r="AW5224" s="74"/>
    </row>
    <row r="5225" spans="46:49" x14ac:dyDescent="0.25">
      <c r="AT5225" s="74"/>
      <c r="AW5225" s="74"/>
    </row>
    <row r="5226" spans="46:49" x14ac:dyDescent="0.25">
      <c r="AT5226" s="74"/>
      <c r="AW5226" s="74"/>
    </row>
    <row r="5227" spans="46:49" x14ac:dyDescent="0.25">
      <c r="AT5227" s="74"/>
      <c r="AW5227" s="74"/>
    </row>
    <row r="5228" spans="46:49" x14ac:dyDescent="0.25">
      <c r="AT5228" s="74"/>
      <c r="AW5228" s="74"/>
    </row>
    <row r="5229" spans="46:49" x14ac:dyDescent="0.25">
      <c r="AT5229" s="74"/>
      <c r="AW5229" s="74"/>
    </row>
    <row r="5230" spans="46:49" x14ac:dyDescent="0.25">
      <c r="AT5230" s="74"/>
      <c r="AW5230" s="74"/>
    </row>
    <row r="5231" spans="46:49" x14ac:dyDescent="0.25">
      <c r="AT5231" s="74"/>
      <c r="AW5231" s="74"/>
    </row>
    <row r="5232" spans="46:49" x14ac:dyDescent="0.25">
      <c r="AT5232" s="74"/>
      <c r="AW5232" s="74"/>
    </row>
    <row r="5233" spans="46:49" x14ac:dyDescent="0.25">
      <c r="AT5233" s="74"/>
      <c r="AW5233" s="74"/>
    </row>
    <row r="5234" spans="46:49" x14ac:dyDescent="0.25">
      <c r="AT5234" s="74"/>
      <c r="AW5234" s="74"/>
    </row>
    <row r="5235" spans="46:49" x14ac:dyDescent="0.25">
      <c r="AT5235" s="74"/>
      <c r="AW5235" s="74"/>
    </row>
    <row r="5236" spans="46:49" x14ac:dyDescent="0.25">
      <c r="AT5236" s="74"/>
      <c r="AW5236" s="74"/>
    </row>
    <row r="5237" spans="46:49" x14ac:dyDescent="0.25">
      <c r="AT5237" s="74"/>
      <c r="AW5237" s="74"/>
    </row>
    <row r="5238" spans="46:49" x14ac:dyDescent="0.25">
      <c r="AT5238" s="74"/>
      <c r="AW5238" s="74"/>
    </row>
    <row r="5239" spans="46:49" x14ac:dyDescent="0.25">
      <c r="AT5239" s="74"/>
      <c r="AW5239" s="74"/>
    </row>
    <row r="5240" spans="46:49" x14ac:dyDescent="0.25">
      <c r="AT5240" s="74"/>
      <c r="AW5240" s="74"/>
    </row>
    <row r="5241" spans="46:49" x14ac:dyDescent="0.25">
      <c r="AT5241" s="74"/>
      <c r="AW5241" s="74"/>
    </row>
    <row r="5242" spans="46:49" x14ac:dyDescent="0.25">
      <c r="AT5242" s="74"/>
      <c r="AW5242" s="74"/>
    </row>
    <row r="5243" spans="46:49" x14ac:dyDescent="0.25">
      <c r="AT5243" s="74"/>
      <c r="AW5243" s="74"/>
    </row>
    <row r="5244" spans="46:49" x14ac:dyDescent="0.25">
      <c r="AT5244" s="74"/>
      <c r="AW5244" s="74"/>
    </row>
    <row r="5245" spans="46:49" x14ac:dyDescent="0.25">
      <c r="AT5245" s="74"/>
      <c r="AW5245" s="74"/>
    </row>
    <row r="5246" spans="46:49" x14ac:dyDescent="0.25">
      <c r="AT5246" s="74"/>
      <c r="AW5246" s="74"/>
    </row>
    <row r="5247" spans="46:49" x14ac:dyDescent="0.25">
      <c r="AT5247" s="74"/>
      <c r="AW5247" s="74"/>
    </row>
    <row r="5248" spans="46:49" x14ac:dyDescent="0.25">
      <c r="AT5248" s="74"/>
      <c r="AW5248" s="74"/>
    </row>
    <row r="5249" spans="46:49" x14ac:dyDescent="0.25">
      <c r="AT5249" s="74"/>
      <c r="AW5249" s="74"/>
    </row>
    <row r="5250" spans="46:49" x14ac:dyDescent="0.25">
      <c r="AT5250" s="74"/>
      <c r="AW5250" s="74"/>
    </row>
    <row r="5251" spans="46:49" x14ac:dyDescent="0.25">
      <c r="AT5251" s="74"/>
      <c r="AW5251" s="74"/>
    </row>
    <row r="5252" spans="46:49" x14ac:dyDescent="0.25">
      <c r="AT5252" s="74"/>
      <c r="AW5252" s="74"/>
    </row>
    <row r="5253" spans="46:49" x14ac:dyDescent="0.25">
      <c r="AT5253" s="74"/>
      <c r="AW5253" s="74"/>
    </row>
    <row r="5254" spans="46:49" x14ac:dyDescent="0.25">
      <c r="AT5254" s="74"/>
      <c r="AW5254" s="74"/>
    </row>
    <row r="5255" spans="46:49" x14ac:dyDescent="0.25">
      <c r="AT5255" s="74"/>
      <c r="AW5255" s="74"/>
    </row>
    <row r="5256" spans="46:49" x14ac:dyDescent="0.25">
      <c r="AT5256" s="74"/>
      <c r="AW5256" s="74"/>
    </row>
    <row r="5257" spans="46:49" x14ac:dyDescent="0.25">
      <c r="AT5257" s="74"/>
      <c r="AW5257" s="74"/>
    </row>
    <row r="5258" spans="46:49" x14ac:dyDescent="0.25">
      <c r="AT5258" s="74"/>
      <c r="AW5258" s="74"/>
    </row>
    <row r="5259" spans="46:49" x14ac:dyDescent="0.25">
      <c r="AT5259" s="74"/>
      <c r="AW5259" s="74"/>
    </row>
    <row r="5260" spans="46:49" x14ac:dyDescent="0.25">
      <c r="AT5260" s="74"/>
      <c r="AW5260" s="74"/>
    </row>
    <row r="5261" spans="46:49" x14ac:dyDescent="0.25">
      <c r="AT5261" s="74"/>
      <c r="AW5261" s="74"/>
    </row>
    <row r="5262" spans="46:49" x14ac:dyDescent="0.25">
      <c r="AT5262" s="74"/>
      <c r="AW5262" s="74"/>
    </row>
    <row r="5263" spans="46:49" x14ac:dyDescent="0.25">
      <c r="AT5263" s="74"/>
      <c r="AW5263" s="74"/>
    </row>
    <row r="5264" spans="46:49" x14ac:dyDescent="0.25">
      <c r="AT5264" s="74"/>
      <c r="AW5264" s="74"/>
    </row>
    <row r="5265" spans="46:49" x14ac:dyDescent="0.25">
      <c r="AT5265" s="74"/>
      <c r="AW5265" s="74"/>
    </row>
    <row r="5266" spans="46:49" x14ac:dyDescent="0.25">
      <c r="AT5266" s="74"/>
      <c r="AW5266" s="74"/>
    </row>
    <row r="5267" spans="46:49" x14ac:dyDescent="0.25">
      <c r="AT5267" s="74"/>
      <c r="AW5267" s="74"/>
    </row>
    <row r="5268" spans="46:49" x14ac:dyDescent="0.25">
      <c r="AT5268" s="74"/>
      <c r="AW5268" s="74"/>
    </row>
    <row r="5269" spans="46:49" x14ac:dyDescent="0.25">
      <c r="AT5269" s="74"/>
      <c r="AW5269" s="74"/>
    </row>
    <row r="5270" spans="46:49" x14ac:dyDescent="0.25">
      <c r="AT5270" s="74"/>
      <c r="AW5270" s="74"/>
    </row>
    <row r="5271" spans="46:49" x14ac:dyDescent="0.25">
      <c r="AT5271" s="74"/>
      <c r="AW5271" s="74"/>
    </row>
    <row r="5272" spans="46:49" x14ac:dyDescent="0.25">
      <c r="AT5272" s="74"/>
      <c r="AW5272" s="74"/>
    </row>
    <row r="5273" spans="46:49" x14ac:dyDescent="0.25">
      <c r="AT5273" s="74"/>
      <c r="AW5273" s="74"/>
    </row>
    <row r="5274" spans="46:49" x14ac:dyDescent="0.25">
      <c r="AT5274" s="74"/>
      <c r="AW5274" s="74"/>
    </row>
    <row r="5275" spans="46:49" x14ac:dyDescent="0.25">
      <c r="AT5275" s="74"/>
      <c r="AW5275" s="74"/>
    </row>
    <row r="5276" spans="46:49" x14ac:dyDescent="0.25">
      <c r="AT5276" s="74"/>
      <c r="AW5276" s="74"/>
    </row>
    <row r="5277" spans="46:49" x14ac:dyDescent="0.25">
      <c r="AT5277" s="74"/>
      <c r="AW5277" s="74"/>
    </row>
    <row r="5278" spans="46:49" x14ac:dyDescent="0.25">
      <c r="AT5278" s="74"/>
      <c r="AW5278" s="74"/>
    </row>
    <row r="5279" spans="46:49" x14ac:dyDescent="0.25">
      <c r="AT5279" s="74"/>
      <c r="AW5279" s="74"/>
    </row>
    <row r="5280" spans="46:49" x14ac:dyDescent="0.25">
      <c r="AT5280" s="74"/>
      <c r="AW5280" s="74"/>
    </row>
    <row r="5281" spans="46:49" x14ac:dyDescent="0.25">
      <c r="AT5281" s="74"/>
      <c r="AW5281" s="74"/>
    </row>
    <row r="5282" spans="46:49" x14ac:dyDescent="0.25">
      <c r="AT5282" s="74"/>
      <c r="AW5282" s="74"/>
    </row>
    <row r="5283" spans="46:49" x14ac:dyDescent="0.25">
      <c r="AT5283" s="74"/>
      <c r="AW5283" s="74"/>
    </row>
    <row r="5284" spans="46:49" x14ac:dyDescent="0.25">
      <c r="AT5284" s="74"/>
      <c r="AW5284" s="74"/>
    </row>
    <row r="5285" spans="46:49" x14ac:dyDescent="0.25">
      <c r="AT5285" s="74"/>
      <c r="AW5285" s="74"/>
    </row>
    <row r="5286" spans="46:49" x14ac:dyDescent="0.25">
      <c r="AT5286" s="74"/>
      <c r="AW5286" s="74"/>
    </row>
    <row r="5287" spans="46:49" x14ac:dyDescent="0.25">
      <c r="AT5287" s="74"/>
      <c r="AW5287" s="74"/>
    </row>
    <row r="5288" spans="46:49" x14ac:dyDescent="0.25">
      <c r="AT5288" s="74"/>
      <c r="AW5288" s="74"/>
    </row>
    <row r="5289" spans="46:49" x14ac:dyDescent="0.25">
      <c r="AT5289" s="74"/>
      <c r="AW5289" s="74"/>
    </row>
    <row r="5290" spans="46:49" x14ac:dyDescent="0.25">
      <c r="AT5290" s="74"/>
      <c r="AW5290" s="74"/>
    </row>
    <row r="5291" spans="46:49" x14ac:dyDescent="0.25">
      <c r="AT5291" s="74"/>
      <c r="AW5291" s="74"/>
    </row>
    <row r="5292" spans="46:49" x14ac:dyDescent="0.25">
      <c r="AT5292" s="74"/>
      <c r="AW5292" s="74"/>
    </row>
    <row r="5293" spans="46:49" x14ac:dyDescent="0.25">
      <c r="AT5293" s="74"/>
      <c r="AW5293" s="74"/>
    </row>
    <row r="5294" spans="46:49" x14ac:dyDescent="0.25">
      <c r="AT5294" s="74"/>
      <c r="AW5294" s="74"/>
    </row>
    <row r="5295" spans="46:49" x14ac:dyDescent="0.25">
      <c r="AT5295" s="74"/>
      <c r="AW5295" s="74"/>
    </row>
    <row r="5296" spans="46:49" x14ac:dyDescent="0.25">
      <c r="AT5296" s="74"/>
      <c r="AW5296" s="74"/>
    </row>
    <row r="5297" spans="46:49" x14ac:dyDescent="0.25">
      <c r="AT5297" s="74"/>
      <c r="AW5297" s="74"/>
    </row>
    <row r="5298" spans="46:49" x14ac:dyDescent="0.25">
      <c r="AT5298" s="74"/>
      <c r="AW5298" s="74"/>
    </row>
    <row r="5299" spans="46:49" x14ac:dyDescent="0.25">
      <c r="AT5299" s="74"/>
      <c r="AW5299" s="74"/>
    </row>
    <row r="5300" spans="46:49" x14ac:dyDescent="0.25">
      <c r="AT5300" s="74"/>
      <c r="AW5300" s="74"/>
    </row>
    <row r="5301" spans="46:49" x14ac:dyDescent="0.25">
      <c r="AT5301" s="74"/>
      <c r="AW5301" s="74"/>
    </row>
    <row r="5302" spans="46:49" x14ac:dyDescent="0.25">
      <c r="AT5302" s="74"/>
      <c r="AW5302" s="74"/>
    </row>
    <row r="5303" spans="46:49" x14ac:dyDescent="0.25">
      <c r="AT5303" s="74"/>
      <c r="AW5303" s="74"/>
    </row>
    <row r="5304" spans="46:49" x14ac:dyDescent="0.25">
      <c r="AT5304" s="74"/>
      <c r="AW5304" s="74"/>
    </row>
    <row r="5305" spans="46:49" x14ac:dyDescent="0.25">
      <c r="AT5305" s="74"/>
      <c r="AW5305" s="74"/>
    </row>
    <row r="5306" spans="46:49" x14ac:dyDescent="0.25">
      <c r="AT5306" s="74"/>
      <c r="AW5306" s="74"/>
    </row>
    <row r="5307" spans="46:49" x14ac:dyDescent="0.25">
      <c r="AT5307" s="74"/>
      <c r="AW5307" s="74"/>
    </row>
    <row r="5308" spans="46:49" x14ac:dyDescent="0.25">
      <c r="AT5308" s="74"/>
      <c r="AW5308" s="74"/>
    </row>
    <row r="5309" spans="46:49" x14ac:dyDescent="0.25">
      <c r="AT5309" s="74"/>
      <c r="AW5309" s="74"/>
    </row>
    <row r="5310" spans="46:49" x14ac:dyDescent="0.25">
      <c r="AT5310" s="74"/>
      <c r="AW5310" s="74"/>
    </row>
    <row r="5311" spans="46:49" x14ac:dyDescent="0.25">
      <c r="AT5311" s="74"/>
      <c r="AW5311" s="74"/>
    </row>
    <row r="5312" spans="46:49" x14ac:dyDescent="0.25">
      <c r="AT5312" s="74"/>
      <c r="AW5312" s="74"/>
    </row>
    <row r="5313" spans="46:49" x14ac:dyDescent="0.25">
      <c r="AT5313" s="74"/>
      <c r="AW5313" s="74"/>
    </row>
    <row r="5314" spans="46:49" x14ac:dyDescent="0.25">
      <c r="AT5314" s="74"/>
      <c r="AW5314" s="74"/>
    </row>
    <row r="5315" spans="46:49" x14ac:dyDescent="0.25">
      <c r="AT5315" s="74"/>
      <c r="AW5315" s="74"/>
    </row>
    <row r="5316" spans="46:49" x14ac:dyDescent="0.25">
      <c r="AT5316" s="74"/>
      <c r="AW5316" s="74"/>
    </row>
    <row r="5317" spans="46:49" x14ac:dyDescent="0.25">
      <c r="AT5317" s="74"/>
      <c r="AW5317" s="74"/>
    </row>
    <row r="5318" spans="46:49" x14ac:dyDescent="0.25">
      <c r="AT5318" s="74"/>
      <c r="AW5318" s="74"/>
    </row>
    <row r="5319" spans="46:49" x14ac:dyDescent="0.25">
      <c r="AT5319" s="74"/>
      <c r="AW5319" s="74"/>
    </row>
    <row r="5320" spans="46:49" x14ac:dyDescent="0.25">
      <c r="AT5320" s="74"/>
      <c r="AW5320" s="74"/>
    </row>
    <row r="5321" spans="46:49" x14ac:dyDescent="0.25">
      <c r="AT5321" s="74"/>
      <c r="AW5321" s="74"/>
    </row>
    <row r="5322" spans="46:49" x14ac:dyDescent="0.25">
      <c r="AT5322" s="74"/>
      <c r="AW5322" s="74"/>
    </row>
    <row r="5323" spans="46:49" x14ac:dyDescent="0.25">
      <c r="AT5323" s="74"/>
      <c r="AW5323" s="74"/>
    </row>
    <row r="5324" spans="46:49" x14ac:dyDescent="0.25">
      <c r="AT5324" s="74"/>
      <c r="AW5324" s="74"/>
    </row>
    <row r="5325" spans="46:49" x14ac:dyDescent="0.25">
      <c r="AT5325" s="74"/>
      <c r="AW5325" s="74"/>
    </row>
    <row r="5326" spans="46:49" x14ac:dyDescent="0.25">
      <c r="AT5326" s="74"/>
      <c r="AW5326" s="74"/>
    </row>
    <row r="5327" spans="46:49" x14ac:dyDescent="0.25">
      <c r="AT5327" s="74"/>
      <c r="AW5327" s="74"/>
    </row>
    <row r="5328" spans="46:49" x14ac:dyDescent="0.25">
      <c r="AT5328" s="74"/>
      <c r="AW5328" s="74"/>
    </row>
    <row r="5329" spans="46:49" x14ac:dyDescent="0.25">
      <c r="AT5329" s="74"/>
      <c r="AW5329" s="74"/>
    </row>
    <row r="5330" spans="46:49" x14ac:dyDescent="0.25">
      <c r="AT5330" s="74"/>
      <c r="AW5330" s="74"/>
    </row>
    <row r="5331" spans="46:49" x14ac:dyDescent="0.25">
      <c r="AT5331" s="74"/>
      <c r="AW5331" s="74"/>
    </row>
    <row r="5332" spans="46:49" x14ac:dyDescent="0.25">
      <c r="AT5332" s="74"/>
      <c r="AW5332" s="74"/>
    </row>
    <row r="5333" spans="46:49" x14ac:dyDescent="0.25">
      <c r="AT5333" s="74"/>
      <c r="AW5333" s="74"/>
    </row>
    <row r="5334" spans="46:49" x14ac:dyDescent="0.25">
      <c r="AT5334" s="74"/>
      <c r="AW5334" s="74"/>
    </row>
    <row r="5335" spans="46:49" x14ac:dyDescent="0.25">
      <c r="AT5335" s="74"/>
      <c r="AW5335" s="74"/>
    </row>
    <row r="5336" spans="46:49" x14ac:dyDescent="0.25">
      <c r="AT5336" s="74"/>
      <c r="AW5336" s="74"/>
    </row>
    <row r="5337" spans="46:49" x14ac:dyDescent="0.25">
      <c r="AT5337" s="74"/>
      <c r="AW5337" s="74"/>
    </row>
    <row r="5338" spans="46:49" x14ac:dyDescent="0.25">
      <c r="AT5338" s="74"/>
      <c r="AW5338" s="74"/>
    </row>
    <row r="5339" spans="46:49" x14ac:dyDescent="0.25">
      <c r="AT5339" s="74"/>
      <c r="AW5339" s="74"/>
    </row>
    <row r="5340" spans="46:49" x14ac:dyDescent="0.25">
      <c r="AT5340" s="74"/>
      <c r="AW5340" s="74"/>
    </row>
    <row r="5341" spans="46:49" x14ac:dyDescent="0.25">
      <c r="AT5341" s="74"/>
      <c r="AW5341" s="74"/>
    </row>
    <row r="5342" spans="46:49" x14ac:dyDescent="0.25">
      <c r="AT5342" s="74"/>
      <c r="AW5342" s="74"/>
    </row>
    <row r="5343" spans="46:49" x14ac:dyDescent="0.25">
      <c r="AT5343" s="74"/>
      <c r="AW5343" s="74"/>
    </row>
    <row r="5344" spans="46:49" x14ac:dyDescent="0.25">
      <c r="AT5344" s="74"/>
      <c r="AW5344" s="74"/>
    </row>
    <row r="5345" spans="46:49" x14ac:dyDescent="0.25">
      <c r="AT5345" s="74"/>
      <c r="AW5345" s="74"/>
    </row>
    <row r="5346" spans="46:49" x14ac:dyDescent="0.25">
      <c r="AT5346" s="74"/>
      <c r="AW5346" s="74"/>
    </row>
    <row r="5347" spans="46:49" x14ac:dyDescent="0.25">
      <c r="AT5347" s="74"/>
      <c r="AW5347" s="74"/>
    </row>
    <row r="5348" spans="46:49" x14ac:dyDescent="0.25">
      <c r="AT5348" s="74"/>
      <c r="AW5348" s="74"/>
    </row>
    <row r="5349" spans="46:49" x14ac:dyDescent="0.25">
      <c r="AT5349" s="74"/>
      <c r="AW5349" s="74"/>
    </row>
    <row r="5350" spans="46:49" x14ac:dyDescent="0.25">
      <c r="AT5350" s="74"/>
      <c r="AW5350" s="74"/>
    </row>
    <row r="5351" spans="46:49" x14ac:dyDescent="0.25">
      <c r="AT5351" s="74"/>
      <c r="AW5351" s="74"/>
    </row>
    <row r="5352" spans="46:49" x14ac:dyDescent="0.25">
      <c r="AT5352" s="74"/>
      <c r="AW5352" s="74"/>
    </row>
    <row r="5353" spans="46:49" x14ac:dyDescent="0.25">
      <c r="AT5353" s="74"/>
      <c r="AW5353" s="74"/>
    </row>
    <row r="5354" spans="46:49" x14ac:dyDescent="0.25">
      <c r="AT5354" s="74"/>
      <c r="AW5354" s="74"/>
    </row>
    <row r="5355" spans="46:49" x14ac:dyDescent="0.25">
      <c r="AT5355" s="74"/>
      <c r="AW5355" s="74"/>
    </row>
    <row r="5356" spans="46:49" x14ac:dyDescent="0.25">
      <c r="AT5356" s="74"/>
      <c r="AW5356" s="74"/>
    </row>
    <row r="5357" spans="46:49" x14ac:dyDescent="0.25">
      <c r="AT5357" s="74"/>
      <c r="AW5357" s="74"/>
    </row>
    <row r="5358" spans="46:49" x14ac:dyDescent="0.25">
      <c r="AT5358" s="74"/>
      <c r="AW5358" s="74"/>
    </row>
    <row r="5359" spans="46:49" x14ac:dyDescent="0.25">
      <c r="AT5359" s="74"/>
      <c r="AW5359" s="74"/>
    </row>
    <row r="5360" spans="46:49" x14ac:dyDescent="0.25">
      <c r="AT5360" s="74"/>
      <c r="AW5360" s="74"/>
    </row>
    <row r="5361" spans="46:49" x14ac:dyDescent="0.25">
      <c r="AT5361" s="74"/>
      <c r="AW5361" s="74"/>
    </row>
    <row r="5362" spans="46:49" x14ac:dyDescent="0.25">
      <c r="AT5362" s="74"/>
      <c r="AW5362" s="74"/>
    </row>
    <row r="5363" spans="46:49" x14ac:dyDescent="0.25">
      <c r="AT5363" s="74"/>
      <c r="AW5363" s="74"/>
    </row>
    <row r="5364" spans="46:49" x14ac:dyDescent="0.25">
      <c r="AT5364" s="74"/>
      <c r="AW5364" s="74"/>
    </row>
    <row r="5365" spans="46:49" x14ac:dyDescent="0.25">
      <c r="AT5365" s="74"/>
      <c r="AW5365" s="74"/>
    </row>
    <row r="5366" spans="46:49" x14ac:dyDescent="0.25">
      <c r="AT5366" s="74"/>
      <c r="AW5366" s="74"/>
    </row>
    <row r="5367" spans="46:49" x14ac:dyDescent="0.25">
      <c r="AT5367" s="74"/>
      <c r="AW5367" s="74"/>
    </row>
    <row r="5368" spans="46:49" x14ac:dyDescent="0.25">
      <c r="AT5368" s="74"/>
      <c r="AW5368" s="74"/>
    </row>
    <row r="5369" spans="46:49" x14ac:dyDescent="0.25">
      <c r="AT5369" s="74"/>
      <c r="AW5369" s="74"/>
    </row>
    <row r="5370" spans="46:49" x14ac:dyDescent="0.25">
      <c r="AT5370" s="74"/>
      <c r="AW5370" s="74"/>
    </row>
    <row r="5371" spans="46:49" x14ac:dyDescent="0.25">
      <c r="AT5371" s="74"/>
      <c r="AW5371" s="74"/>
    </row>
    <row r="5372" spans="46:49" x14ac:dyDescent="0.25">
      <c r="AT5372" s="74"/>
      <c r="AW5372" s="74"/>
    </row>
    <row r="5373" spans="46:49" x14ac:dyDescent="0.25">
      <c r="AT5373" s="74"/>
      <c r="AW5373" s="74"/>
    </row>
    <row r="5374" spans="46:49" x14ac:dyDescent="0.25">
      <c r="AT5374" s="74"/>
      <c r="AW5374" s="74"/>
    </row>
    <row r="5375" spans="46:49" x14ac:dyDescent="0.25">
      <c r="AT5375" s="74"/>
      <c r="AW5375" s="74"/>
    </row>
    <row r="5376" spans="46:49" x14ac:dyDescent="0.25">
      <c r="AT5376" s="74"/>
      <c r="AW5376" s="74"/>
    </row>
    <row r="5377" spans="46:49" x14ac:dyDescent="0.25">
      <c r="AT5377" s="74"/>
      <c r="AW5377" s="74"/>
    </row>
    <row r="5378" spans="46:49" x14ac:dyDescent="0.25">
      <c r="AT5378" s="74"/>
      <c r="AW5378" s="74"/>
    </row>
    <row r="5379" spans="46:49" x14ac:dyDescent="0.25">
      <c r="AT5379" s="74"/>
      <c r="AW5379" s="74"/>
    </row>
    <row r="5380" spans="46:49" x14ac:dyDescent="0.25">
      <c r="AT5380" s="74"/>
      <c r="AW5380" s="74"/>
    </row>
    <row r="5381" spans="46:49" x14ac:dyDescent="0.25">
      <c r="AT5381" s="74"/>
      <c r="AW5381" s="74"/>
    </row>
    <row r="5382" spans="46:49" x14ac:dyDescent="0.25">
      <c r="AT5382" s="74"/>
      <c r="AW5382" s="74"/>
    </row>
    <row r="5383" spans="46:49" x14ac:dyDescent="0.25">
      <c r="AT5383" s="74"/>
      <c r="AW5383" s="74"/>
    </row>
    <row r="5384" spans="46:49" x14ac:dyDescent="0.25">
      <c r="AT5384" s="74"/>
      <c r="AW5384" s="74"/>
    </row>
    <row r="5385" spans="46:49" x14ac:dyDescent="0.25">
      <c r="AT5385" s="74"/>
      <c r="AW5385" s="74"/>
    </row>
    <row r="5386" spans="46:49" x14ac:dyDescent="0.25">
      <c r="AT5386" s="74"/>
      <c r="AW5386" s="74"/>
    </row>
    <row r="5387" spans="46:49" x14ac:dyDescent="0.25">
      <c r="AT5387" s="74"/>
      <c r="AW5387" s="74"/>
    </row>
    <row r="5388" spans="46:49" x14ac:dyDescent="0.25">
      <c r="AT5388" s="74"/>
      <c r="AW5388" s="74"/>
    </row>
    <row r="5389" spans="46:49" x14ac:dyDescent="0.25">
      <c r="AT5389" s="74"/>
      <c r="AW5389" s="74"/>
    </row>
    <row r="5390" spans="46:49" x14ac:dyDescent="0.25">
      <c r="AT5390" s="74"/>
      <c r="AW5390" s="74"/>
    </row>
    <row r="5391" spans="46:49" x14ac:dyDescent="0.25">
      <c r="AT5391" s="74"/>
      <c r="AW5391" s="74"/>
    </row>
    <row r="5392" spans="46:49" x14ac:dyDescent="0.25">
      <c r="AT5392" s="74"/>
      <c r="AW5392" s="74"/>
    </row>
    <row r="5393" spans="46:49" x14ac:dyDescent="0.25">
      <c r="AT5393" s="74"/>
      <c r="AW5393" s="74"/>
    </row>
    <row r="5394" spans="46:49" x14ac:dyDescent="0.25">
      <c r="AT5394" s="74"/>
      <c r="AW5394" s="74"/>
    </row>
    <row r="5395" spans="46:49" x14ac:dyDescent="0.25">
      <c r="AT5395" s="74"/>
      <c r="AW5395" s="74"/>
    </row>
    <row r="5396" spans="46:49" x14ac:dyDescent="0.25">
      <c r="AT5396" s="74"/>
      <c r="AW5396" s="74"/>
    </row>
    <row r="5397" spans="46:49" x14ac:dyDescent="0.25">
      <c r="AT5397" s="74"/>
      <c r="AW5397" s="74"/>
    </row>
    <row r="5398" spans="46:49" x14ac:dyDescent="0.25">
      <c r="AT5398" s="74"/>
      <c r="AW5398" s="74"/>
    </row>
    <row r="5399" spans="46:49" x14ac:dyDescent="0.25">
      <c r="AT5399" s="74"/>
      <c r="AW5399" s="74"/>
    </row>
    <row r="5400" spans="46:49" x14ac:dyDescent="0.25">
      <c r="AT5400" s="74"/>
      <c r="AW5400" s="74"/>
    </row>
    <row r="5401" spans="46:49" x14ac:dyDescent="0.25">
      <c r="AT5401" s="74"/>
      <c r="AW5401" s="74"/>
    </row>
    <row r="5402" spans="46:49" x14ac:dyDescent="0.25">
      <c r="AT5402" s="74"/>
      <c r="AW5402" s="74"/>
    </row>
    <row r="5403" spans="46:49" x14ac:dyDescent="0.25">
      <c r="AT5403" s="74"/>
      <c r="AW5403" s="74"/>
    </row>
    <row r="5404" spans="46:49" x14ac:dyDescent="0.25">
      <c r="AT5404" s="74"/>
      <c r="AW5404" s="74"/>
    </row>
    <row r="5405" spans="46:49" x14ac:dyDescent="0.25">
      <c r="AT5405" s="74"/>
      <c r="AW5405" s="74"/>
    </row>
    <row r="5406" spans="46:49" x14ac:dyDescent="0.25">
      <c r="AT5406" s="74"/>
      <c r="AW5406" s="74"/>
    </row>
    <row r="5407" spans="46:49" x14ac:dyDescent="0.25">
      <c r="AT5407" s="74"/>
      <c r="AW5407" s="74"/>
    </row>
    <row r="5408" spans="46:49" x14ac:dyDescent="0.25">
      <c r="AT5408" s="74"/>
      <c r="AW5408" s="74"/>
    </row>
    <row r="5409" spans="46:49" x14ac:dyDescent="0.25">
      <c r="AT5409" s="74"/>
      <c r="AW5409" s="74"/>
    </row>
    <row r="5410" spans="46:49" x14ac:dyDescent="0.25">
      <c r="AT5410" s="74"/>
      <c r="AW5410" s="74"/>
    </row>
    <row r="5411" spans="46:49" x14ac:dyDescent="0.25">
      <c r="AT5411" s="74"/>
      <c r="AW5411" s="74"/>
    </row>
    <row r="5412" spans="46:49" x14ac:dyDescent="0.25">
      <c r="AT5412" s="74"/>
      <c r="AW5412" s="74"/>
    </row>
    <row r="5413" spans="46:49" x14ac:dyDescent="0.25">
      <c r="AT5413" s="74"/>
      <c r="AW5413" s="74"/>
    </row>
    <row r="5414" spans="46:49" x14ac:dyDescent="0.25">
      <c r="AT5414" s="74"/>
      <c r="AW5414" s="74"/>
    </row>
    <row r="5415" spans="46:49" x14ac:dyDescent="0.25">
      <c r="AT5415" s="74"/>
      <c r="AW5415" s="74"/>
    </row>
    <row r="5416" spans="46:49" x14ac:dyDescent="0.25">
      <c r="AT5416" s="74"/>
      <c r="AW5416" s="74"/>
    </row>
    <row r="5417" spans="46:49" x14ac:dyDescent="0.25">
      <c r="AT5417" s="74"/>
      <c r="AW5417" s="74"/>
    </row>
    <row r="5418" spans="46:49" x14ac:dyDescent="0.25">
      <c r="AT5418" s="74"/>
      <c r="AW5418" s="74"/>
    </row>
    <row r="5419" spans="46:49" x14ac:dyDescent="0.25">
      <c r="AT5419" s="74"/>
      <c r="AW5419" s="74"/>
    </row>
    <row r="5420" spans="46:49" x14ac:dyDescent="0.25">
      <c r="AT5420" s="74"/>
      <c r="AW5420" s="74"/>
    </row>
    <row r="5421" spans="46:49" x14ac:dyDescent="0.25">
      <c r="AT5421" s="74"/>
      <c r="AW5421" s="74"/>
    </row>
    <row r="5422" spans="46:49" x14ac:dyDescent="0.25">
      <c r="AT5422" s="74"/>
      <c r="AW5422" s="74"/>
    </row>
    <row r="5423" spans="46:49" x14ac:dyDescent="0.25">
      <c r="AT5423" s="74"/>
      <c r="AW5423" s="74"/>
    </row>
    <row r="5424" spans="46:49" x14ac:dyDescent="0.25">
      <c r="AT5424" s="74"/>
      <c r="AW5424" s="74"/>
    </row>
    <row r="5425" spans="46:49" x14ac:dyDescent="0.25">
      <c r="AT5425" s="74"/>
      <c r="AW5425" s="74"/>
    </row>
    <row r="5426" spans="46:49" x14ac:dyDescent="0.25">
      <c r="AT5426" s="74"/>
      <c r="AW5426" s="74"/>
    </row>
    <row r="5427" spans="46:49" x14ac:dyDescent="0.25">
      <c r="AT5427" s="74"/>
      <c r="AW5427" s="74"/>
    </row>
    <row r="5428" spans="46:49" x14ac:dyDescent="0.25">
      <c r="AT5428" s="74"/>
      <c r="AW5428" s="74"/>
    </row>
    <row r="5429" spans="46:49" x14ac:dyDescent="0.25">
      <c r="AT5429" s="74"/>
      <c r="AW5429" s="74"/>
    </row>
    <row r="5430" spans="46:49" x14ac:dyDescent="0.25">
      <c r="AT5430" s="74"/>
      <c r="AW5430" s="74"/>
    </row>
    <row r="5431" spans="46:49" x14ac:dyDescent="0.25">
      <c r="AT5431" s="74"/>
      <c r="AW5431" s="74"/>
    </row>
    <row r="5432" spans="46:49" x14ac:dyDescent="0.25">
      <c r="AT5432" s="74"/>
      <c r="AW5432" s="74"/>
    </row>
    <row r="5433" spans="46:49" x14ac:dyDescent="0.25">
      <c r="AT5433" s="74"/>
      <c r="AW5433" s="74"/>
    </row>
    <row r="5434" spans="46:49" x14ac:dyDescent="0.25">
      <c r="AT5434" s="74"/>
      <c r="AW5434" s="74"/>
    </row>
    <row r="5435" spans="46:49" x14ac:dyDescent="0.25">
      <c r="AT5435" s="74"/>
      <c r="AW5435" s="74"/>
    </row>
    <row r="5436" spans="46:49" x14ac:dyDescent="0.25">
      <c r="AT5436" s="74"/>
      <c r="AW5436" s="74"/>
    </row>
    <row r="5437" spans="46:49" x14ac:dyDescent="0.25">
      <c r="AT5437" s="74"/>
      <c r="AW5437" s="74"/>
    </row>
    <row r="5438" spans="46:49" x14ac:dyDescent="0.25">
      <c r="AT5438" s="74"/>
      <c r="AW5438" s="74"/>
    </row>
    <row r="5439" spans="46:49" x14ac:dyDescent="0.25">
      <c r="AT5439" s="74"/>
      <c r="AW5439" s="74"/>
    </row>
    <row r="5440" spans="46:49" x14ac:dyDescent="0.25">
      <c r="AT5440" s="74"/>
      <c r="AW5440" s="74"/>
    </row>
    <row r="5441" spans="46:49" x14ac:dyDescent="0.25">
      <c r="AT5441" s="74"/>
      <c r="AW5441" s="74"/>
    </row>
    <row r="5442" spans="46:49" x14ac:dyDescent="0.25">
      <c r="AT5442" s="74"/>
      <c r="AW5442" s="74"/>
    </row>
    <row r="5443" spans="46:49" x14ac:dyDescent="0.25">
      <c r="AT5443" s="74"/>
      <c r="AW5443" s="74"/>
    </row>
    <row r="5444" spans="46:49" x14ac:dyDescent="0.25">
      <c r="AT5444" s="74"/>
      <c r="AW5444" s="74"/>
    </row>
    <row r="5445" spans="46:49" x14ac:dyDescent="0.25">
      <c r="AT5445" s="74"/>
      <c r="AW5445" s="74"/>
    </row>
    <row r="5446" spans="46:49" x14ac:dyDescent="0.25">
      <c r="AT5446" s="74"/>
      <c r="AW5446" s="74"/>
    </row>
    <row r="5447" spans="46:49" x14ac:dyDescent="0.25">
      <c r="AT5447" s="74"/>
      <c r="AW5447" s="74"/>
    </row>
    <row r="5448" spans="46:49" x14ac:dyDescent="0.25">
      <c r="AT5448" s="74"/>
      <c r="AW5448" s="74"/>
    </row>
    <row r="5449" spans="46:49" x14ac:dyDescent="0.25">
      <c r="AT5449" s="74"/>
      <c r="AW5449" s="74"/>
    </row>
    <row r="5450" spans="46:49" x14ac:dyDescent="0.25">
      <c r="AT5450" s="74"/>
      <c r="AW5450" s="74"/>
    </row>
    <row r="5451" spans="46:49" x14ac:dyDescent="0.25">
      <c r="AT5451" s="74"/>
      <c r="AW5451" s="74"/>
    </row>
    <row r="5452" spans="46:49" x14ac:dyDescent="0.25">
      <c r="AT5452" s="74"/>
      <c r="AW5452" s="74"/>
    </row>
    <row r="5453" spans="46:49" x14ac:dyDescent="0.25">
      <c r="AT5453" s="74"/>
      <c r="AW5453" s="74"/>
    </row>
    <row r="5454" spans="46:49" x14ac:dyDescent="0.25">
      <c r="AT5454" s="74"/>
      <c r="AW5454" s="74"/>
    </row>
    <row r="5455" spans="46:49" x14ac:dyDescent="0.25">
      <c r="AT5455" s="74"/>
      <c r="AW5455" s="74"/>
    </row>
    <row r="5456" spans="46:49" x14ac:dyDescent="0.25">
      <c r="AT5456" s="74"/>
      <c r="AW5456" s="74"/>
    </row>
    <row r="5457" spans="46:49" x14ac:dyDescent="0.25">
      <c r="AT5457" s="74"/>
      <c r="AW5457" s="74"/>
    </row>
    <row r="5458" spans="46:49" x14ac:dyDescent="0.25">
      <c r="AT5458" s="74"/>
      <c r="AW5458" s="74"/>
    </row>
    <row r="5459" spans="46:49" x14ac:dyDescent="0.25">
      <c r="AT5459" s="74"/>
      <c r="AW5459" s="74"/>
    </row>
    <row r="5460" spans="46:49" x14ac:dyDescent="0.25">
      <c r="AT5460" s="74"/>
      <c r="AW5460" s="74"/>
    </row>
    <row r="5461" spans="46:49" x14ac:dyDescent="0.25">
      <c r="AT5461" s="74"/>
      <c r="AW5461" s="74"/>
    </row>
    <row r="5462" spans="46:49" x14ac:dyDescent="0.25">
      <c r="AT5462" s="74"/>
      <c r="AW5462" s="74"/>
    </row>
    <row r="5463" spans="46:49" x14ac:dyDescent="0.25">
      <c r="AT5463" s="74"/>
      <c r="AW5463" s="74"/>
    </row>
    <row r="5464" spans="46:49" x14ac:dyDescent="0.25">
      <c r="AT5464" s="74"/>
      <c r="AW5464" s="74"/>
    </row>
    <row r="5465" spans="46:49" x14ac:dyDescent="0.25">
      <c r="AT5465" s="74"/>
      <c r="AW5465" s="74"/>
    </row>
    <row r="5466" spans="46:49" x14ac:dyDescent="0.25">
      <c r="AT5466" s="74"/>
      <c r="AW5466" s="74"/>
    </row>
    <row r="5467" spans="46:49" x14ac:dyDescent="0.25">
      <c r="AT5467" s="74"/>
      <c r="AW5467" s="74"/>
    </row>
    <row r="5468" spans="46:49" x14ac:dyDescent="0.25">
      <c r="AT5468" s="74"/>
      <c r="AW5468" s="74"/>
    </row>
    <row r="5469" spans="46:49" x14ac:dyDescent="0.25">
      <c r="AT5469" s="74"/>
      <c r="AW5469" s="74"/>
    </row>
    <row r="5470" spans="46:49" x14ac:dyDescent="0.25">
      <c r="AT5470" s="74"/>
      <c r="AW5470" s="74"/>
    </row>
    <row r="5471" spans="46:49" x14ac:dyDescent="0.25">
      <c r="AT5471" s="74"/>
      <c r="AW5471" s="74"/>
    </row>
    <row r="5472" spans="46:49" x14ac:dyDescent="0.25">
      <c r="AT5472" s="74"/>
      <c r="AW5472" s="74"/>
    </row>
    <row r="5473" spans="46:49" x14ac:dyDescent="0.25">
      <c r="AT5473" s="74"/>
      <c r="AW5473" s="74"/>
    </row>
    <row r="5474" spans="46:49" x14ac:dyDescent="0.25">
      <c r="AT5474" s="74"/>
      <c r="AW5474" s="74"/>
    </row>
    <row r="5475" spans="46:49" x14ac:dyDescent="0.25">
      <c r="AT5475" s="74"/>
      <c r="AW5475" s="74"/>
    </row>
    <row r="5476" spans="46:49" x14ac:dyDescent="0.25">
      <c r="AT5476" s="74"/>
      <c r="AW5476" s="74"/>
    </row>
    <row r="5477" spans="46:49" x14ac:dyDescent="0.25">
      <c r="AT5477" s="74"/>
      <c r="AW5477" s="74"/>
    </row>
    <row r="5478" spans="46:49" x14ac:dyDescent="0.25">
      <c r="AT5478" s="74"/>
      <c r="AW5478" s="74"/>
    </row>
    <row r="5479" spans="46:49" x14ac:dyDescent="0.25">
      <c r="AT5479" s="74"/>
      <c r="AW5479" s="74"/>
    </row>
    <row r="5480" spans="46:49" x14ac:dyDescent="0.25">
      <c r="AT5480" s="74"/>
      <c r="AW5480" s="74"/>
    </row>
    <row r="5481" spans="46:49" x14ac:dyDescent="0.25">
      <c r="AT5481" s="74"/>
      <c r="AW5481" s="74"/>
    </row>
    <row r="5482" spans="46:49" x14ac:dyDescent="0.25">
      <c r="AT5482" s="74"/>
      <c r="AW5482" s="74"/>
    </row>
    <row r="5483" spans="46:49" x14ac:dyDescent="0.25">
      <c r="AT5483" s="74"/>
      <c r="AW5483" s="74"/>
    </row>
    <row r="5484" spans="46:49" x14ac:dyDescent="0.25">
      <c r="AT5484" s="74"/>
      <c r="AW5484" s="74"/>
    </row>
    <row r="5485" spans="46:49" x14ac:dyDescent="0.25">
      <c r="AT5485" s="74"/>
      <c r="AW5485" s="74"/>
    </row>
    <row r="5486" spans="46:49" x14ac:dyDescent="0.25">
      <c r="AT5486" s="74"/>
      <c r="AW5486" s="74"/>
    </row>
    <row r="5487" spans="46:49" x14ac:dyDescent="0.25">
      <c r="AT5487" s="74"/>
      <c r="AW5487" s="74"/>
    </row>
    <row r="5488" spans="46:49" x14ac:dyDescent="0.25">
      <c r="AT5488" s="74"/>
      <c r="AW5488" s="74"/>
    </row>
    <row r="5489" spans="46:49" x14ac:dyDescent="0.25">
      <c r="AT5489" s="74"/>
      <c r="AW5489" s="74"/>
    </row>
    <row r="5490" spans="46:49" x14ac:dyDescent="0.25">
      <c r="AT5490" s="74"/>
      <c r="AW5490" s="74"/>
    </row>
    <row r="5491" spans="46:49" x14ac:dyDescent="0.25">
      <c r="AT5491" s="74"/>
      <c r="AW5491" s="74"/>
    </row>
    <row r="5492" spans="46:49" x14ac:dyDescent="0.25">
      <c r="AT5492" s="74"/>
      <c r="AW5492" s="74"/>
    </row>
    <row r="5493" spans="46:49" x14ac:dyDescent="0.25">
      <c r="AT5493" s="74"/>
      <c r="AW5493" s="74"/>
    </row>
    <row r="5494" spans="46:49" x14ac:dyDescent="0.25">
      <c r="AT5494" s="74"/>
      <c r="AW5494" s="74"/>
    </row>
    <row r="5495" spans="46:49" x14ac:dyDescent="0.25">
      <c r="AT5495" s="74"/>
      <c r="AW5495" s="74"/>
    </row>
    <row r="5496" spans="46:49" x14ac:dyDescent="0.25">
      <c r="AT5496" s="74"/>
      <c r="AW5496" s="74"/>
    </row>
    <row r="5497" spans="46:49" x14ac:dyDescent="0.25">
      <c r="AT5497" s="74"/>
      <c r="AW5497" s="74"/>
    </row>
    <row r="5498" spans="46:49" x14ac:dyDescent="0.25">
      <c r="AT5498" s="74"/>
      <c r="AW5498" s="74"/>
    </row>
    <row r="5499" spans="46:49" x14ac:dyDescent="0.25">
      <c r="AT5499" s="74"/>
      <c r="AW5499" s="74"/>
    </row>
    <row r="5500" spans="46:49" x14ac:dyDescent="0.25">
      <c r="AT5500" s="74"/>
      <c r="AW5500" s="74"/>
    </row>
    <row r="5501" spans="46:49" x14ac:dyDescent="0.25">
      <c r="AT5501" s="74"/>
      <c r="AW5501" s="74"/>
    </row>
    <row r="5502" spans="46:49" x14ac:dyDescent="0.25">
      <c r="AT5502" s="74"/>
      <c r="AW5502" s="74"/>
    </row>
    <row r="5503" spans="46:49" x14ac:dyDescent="0.25">
      <c r="AT5503" s="74"/>
      <c r="AW5503" s="74"/>
    </row>
    <row r="5504" spans="46:49" x14ac:dyDescent="0.25">
      <c r="AT5504" s="74"/>
      <c r="AW5504" s="74"/>
    </row>
    <row r="5505" spans="46:49" x14ac:dyDescent="0.25">
      <c r="AT5505" s="74"/>
      <c r="AW5505" s="74"/>
    </row>
    <row r="5506" spans="46:49" x14ac:dyDescent="0.25">
      <c r="AT5506" s="74"/>
      <c r="AW5506" s="74"/>
    </row>
    <row r="5507" spans="46:49" x14ac:dyDescent="0.25">
      <c r="AT5507" s="74"/>
      <c r="AW5507" s="74"/>
    </row>
    <row r="5508" spans="46:49" x14ac:dyDescent="0.25">
      <c r="AT5508" s="74"/>
      <c r="AW5508" s="74"/>
    </row>
    <row r="5509" spans="46:49" x14ac:dyDescent="0.25">
      <c r="AT5509" s="74"/>
      <c r="AW5509" s="74"/>
    </row>
    <row r="5510" spans="46:49" x14ac:dyDescent="0.25">
      <c r="AT5510" s="74"/>
      <c r="AW5510" s="74"/>
    </row>
    <row r="5511" spans="46:49" x14ac:dyDescent="0.25">
      <c r="AT5511" s="74"/>
      <c r="AW5511" s="74"/>
    </row>
    <row r="5512" spans="46:49" x14ac:dyDescent="0.25">
      <c r="AT5512" s="74"/>
      <c r="AW5512" s="74"/>
    </row>
    <row r="5513" spans="46:49" x14ac:dyDescent="0.25">
      <c r="AT5513" s="74"/>
      <c r="AW5513" s="74"/>
    </row>
    <row r="5514" spans="46:49" x14ac:dyDescent="0.25">
      <c r="AT5514" s="74"/>
      <c r="AW5514" s="74"/>
    </row>
    <row r="5515" spans="46:49" x14ac:dyDescent="0.25">
      <c r="AT5515" s="74"/>
      <c r="AW5515" s="74"/>
    </row>
    <row r="5516" spans="46:49" x14ac:dyDescent="0.25">
      <c r="AT5516" s="74"/>
      <c r="AW5516" s="74"/>
    </row>
    <row r="5517" spans="46:49" x14ac:dyDescent="0.25">
      <c r="AT5517" s="74"/>
      <c r="AW5517" s="74"/>
    </row>
    <row r="5518" spans="46:49" x14ac:dyDescent="0.25">
      <c r="AT5518" s="74"/>
      <c r="AW5518" s="74"/>
    </row>
    <row r="5519" spans="46:49" x14ac:dyDescent="0.25">
      <c r="AT5519" s="74"/>
      <c r="AW5519" s="74"/>
    </row>
    <row r="5520" spans="46:49" x14ac:dyDescent="0.25">
      <c r="AT5520" s="74"/>
      <c r="AW5520" s="74"/>
    </row>
    <row r="5521" spans="46:49" x14ac:dyDescent="0.25">
      <c r="AT5521" s="74"/>
      <c r="AW5521" s="74"/>
    </row>
    <row r="5522" spans="46:49" x14ac:dyDescent="0.25">
      <c r="AT5522" s="74"/>
      <c r="AW5522" s="74"/>
    </row>
    <row r="5523" spans="46:49" x14ac:dyDescent="0.25">
      <c r="AT5523" s="74"/>
      <c r="AW5523" s="74"/>
    </row>
    <row r="5524" spans="46:49" x14ac:dyDescent="0.25">
      <c r="AT5524" s="74"/>
      <c r="AW5524" s="74"/>
    </row>
    <row r="5525" spans="46:49" x14ac:dyDescent="0.25">
      <c r="AT5525" s="74"/>
      <c r="AW5525" s="74"/>
    </row>
    <row r="5526" spans="46:49" x14ac:dyDescent="0.25">
      <c r="AT5526" s="74"/>
      <c r="AW5526" s="74"/>
    </row>
    <row r="5527" spans="46:49" x14ac:dyDescent="0.25">
      <c r="AT5527" s="74"/>
      <c r="AW5527" s="74"/>
    </row>
    <row r="5528" spans="46:49" x14ac:dyDescent="0.25">
      <c r="AT5528" s="74"/>
      <c r="AW5528" s="74"/>
    </row>
    <row r="5529" spans="46:49" x14ac:dyDescent="0.25">
      <c r="AT5529" s="74"/>
      <c r="AW5529" s="74"/>
    </row>
    <row r="5530" spans="46:49" x14ac:dyDescent="0.25">
      <c r="AT5530" s="74"/>
      <c r="AW5530" s="74"/>
    </row>
    <row r="5531" spans="46:49" x14ac:dyDescent="0.25">
      <c r="AT5531" s="74"/>
      <c r="AW5531" s="74"/>
    </row>
    <row r="5532" spans="46:49" x14ac:dyDescent="0.25">
      <c r="AT5532" s="74"/>
      <c r="AW5532" s="74"/>
    </row>
    <row r="5533" spans="46:49" x14ac:dyDescent="0.25">
      <c r="AT5533" s="74"/>
      <c r="AW5533" s="74"/>
    </row>
    <row r="5534" spans="46:49" x14ac:dyDescent="0.25">
      <c r="AT5534" s="74"/>
      <c r="AW5534" s="74"/>
    </row>
    <row r="5535" spans="46:49" x14ac:dyDescent="0.25">
      <c r="AT5535" s="74"/>
      <c r="AW5535" s="74"/>
    </row>
    <row r="5536" spans="46:49" x14ac:dyDescent="0.25">
      <c r="AT5536" s="74"/>
      <c r="AW5536" s="74"/>
    </row>
    <row r="5537" spans="46:49" x14ac:dyDescent="0.25">
      <c r="AT5537" s="74"/>
      <c r="AW5537" s="74"/>
    </row>
    <row r="5538" spans="46:49" x14ac:dyDescent="0.25">
      <c r="AT5538" s="74"/>
      <c r="AW5538" s="74"/>
    </row>
    <row r="5539" spans="46:49" x14ac:dyDescent="0.25">
      <c r="AT5539" s="74"/>
      <c r="AW5539" s="74"/>
    </row>
    <row r="5540" spans="46:49" x14ac:dyDescent="0.25">
      <c r="AT5540" s="74"/>
      <c r="AW5540" s="74"/>
    </row>
    <row r="5541" spans="46:49" x14ac:dyDescent="0.25">
      <c r="AT5541" s="74"/>
      <c r="AW5541" s="74"/>
    </row>
    <row r="5542" spans="46:49" x14ac:dyDescent="0.25">
      <c r="AT5542" s="74"/>
      <c r="AW5542" s="74"/>
    </row>
    <row r="5543" spans="46:49" x14ac:dyDescent="0.25">
      <c r="AT5543" s="74"/>
      <c r="AW5543" s="74"/>
    </row>
    <row r="5544" spans="46:49" x14ac:dyDescent="0.25">
      <c r="AT5544" s="74"/>
      <c r="AW5544" s="74"/>
    </row>
    <row r="5545" spans="46:49" x14ac:dyDescent="0.25">
      <c r="AT5545" s="74"/>
      <c r="AW5545" s="74"/>
    </row>
    <row r="5546" spans="46:49" x14ac:dyDescent="0.25">
      <c r="AT5546" s="74"/>
      <c r="AW5546" s="74"/>
    </row>
    <row r="5547" spans="46:49" x14ac:dyDescent="0.25">
      <c r="AT5547" s="74"/>
      <c r="AW5547" s="74"/>
    </row>
    <row r="5548" spans="46:49" x14ac:dyDescent="0.25">
      <c r="AT5548" s="74"/>
      <c r="AW5548" s="74"/>
    </row>
    <row r="5549" spans="46:49" x14ac:dyDescent="0.25">
      <c r="AT5549" s="74"/>
      <c r="AW5549" s="74"/>
    </row>
    <row r="5550" spans="46:49" x14ac:dyDescent="0.25">
      <c r="AT5550" s="74"/>
      <c r="AW5550" s="74"/>
    </row>
    <row r="5551" spans="46:49" x14ac:dyDescent="0.25">
      <c r="AT5551" s="74"/>
      <c r="AW5551" s="74"/>
    </row>
    <row r="5552" spans="46:49" x14ac:dyDescent="0.25">
      <c r="AT5552" s="74"/>
      <c r="AW5552" s="74"/>
    </row>
    <row r="5553" spans="46:49" x14ac:dyDescent="0.25">
      <c r="AT5553" s="74"/>
      <c r="AW5553" s="74"/>
    </row>
    <row r="5554" spans="46:49" x14ac:dyDescent="0.25">
      <c r="AT5554" s="74"/>
      <c r="AW5554" s="74"/>
    </row>
    <row r="5555" spans="46:49" x14ac:dyDescent="0.25">
      <c r="AT5555" s="74"/>
      <c r="AW5555" s="74"/>
    </row>
    <row r="5556" spans="46:49" x14ac:dyDescent="0.25">
      <c r="AT5556" s="74"/>
      <c r="AW5556" s="74"/>
    </row>
    <row r="5557" spans="46:49" x14ac:dyDescent="0.25">
      <c r="AT5557" s="74"/>
      <c r="AW5557" s="74"/>
    </row>
    <row r="5558" spans="46:49" x14ac:dyDescent="0.25">
      <c r="AT5558" s="74"/>
      <c r="AW5558" s="74"/>
    </row>
    <row r="5559" spans="46:49" x14ac:dyDescent="0.25">
      <c r="AT5559" s="74"/>
      <c r="AW5559" s="74"/>
    </row>
    <row r="5560" spans="46:49" x14ac:dyDescent="0.25">
      <c r="AT5560" s="74"/>
      <c r="AW5560" s="74"/>
    </row>
    <row r="5561" spans="46:49" x14ac:dyDescent="0.25">
      <c r="AT5561" s="74"/>
      <c r="AW5561" s="74"/>
    </row>
    <row r="5562" spans="46:49" x14ac:dyDescent="0.25">
      <c r="AT5562" s="74"/>
      <c r="AW5562" s="74"/>
    </row>
    <row r="5563" spans="46:49" x14ac:dyDescent="0.25">
      <c r="AT5563" s="74"/>
      <c r="AW5563" s="74"/>
    </row>
    <row r="5564" spans="46:49" x14ac:dyDescent="0.25">
      <c r="AT5564" s="74"/>
      <c r="AW5564" s="74"/>
    </row>
    <row r="5565" spans="46:49" x14ac:dyDescent="0.25">
      <c r="AT5565" s="74"/>
      <c r="AW5565" s="74"/>
    </row>
    <row r="5566" spans="46:49" x14ac:dyDescent="0.25">
      <c r="AT5566" s="74"/>
      <c r="AW5566" s="74"/>
    </row>
    <row r="5567" spans="46:49" x14ac:dyDescent="0.25">
      <c r="AT5567" s="74"/>
      <c r="AW5567" s="74"/>
    </row>
    <row r="5568" spans="46:49" x14ac:dyDescent="0.25">
      <c r="AT5568" s="74"/>
      <c r="AW5568" s="74"/>
    </row>
    <row r="5569" spans="46:49" x14ac:dyDescent="0.25">
      <c r="AT5569" s="74"/>
      <c r="AW5569" s="74"/>
    </row>
    <row r="5570" spans="46:49" x14ac:dyDescent="0.25">
      <c r="AT5570" s="74"/>
      <c r="AW5570" s="74"/>
    </row>
    <row r="5571" spans="46:49" x14ac:dyDescent="0.25">
      <c r="AT5571" s="74"/>
      <c r="AW5571" s="74"/>
    </row>
    <row r="5572" spans="46:49" x14ac:dyDescent="0.25">
      <c r="AT5572" s="74"/>
      <c r="AW5572" s="74"/>
    </row>
    <row r="5573" spans="46:49" x14ac:dyDescent="0.25">
      <c r="AT5573" s="74"/>
      <c r="AW5573" s="74"/>
    </row>
    <row r="5574" spans="46:49" x14ac:dyDescent="0.25">
      <c r="AT5574" s="74"/>
      <c r="AW5574" s="74"/>
    </row>
    <row r="5575" spans="46:49" x14ac:dyDescent="0.25">
      <c r="AT5575" s="74"/>
      <c r="AW5575" s="74"/>
    </row>
    <row r="5576" spans="46:49" x14ac:dyDescent="0.25">
      <c r="AT5576" s="74"/>
      <c r="AW5576" s="74"/>
    </row>
    <row r="5577" spans="46:49" x14ac:dyDescent="0.25">
      <c r="AT5577" s="74"/>
      <c r="AW5577" s="74"/>
    </row>
    <row r="5578" spans="46:49" x14ac:dyDescent="0.25">
      <c r="AT5578" s="74"/>
      <c r="AW5578" s="74"/>
    </row>
    <row r="5579" spans="46:49" x14ac:dyDescent="0.25">
      <c r="AT5579" s="74"/>
      <c r="AW5579" s="74"/>
    </row>
    <row r="5580" spans="46:49" x14ac:dyDescent="0.25">
      <c r="AT5580" s="74"/>
      <c r="AW5580" s="74"/>
    </row>
    <row r="5581" spans="46:49" x14ac:dyDescent="0.25">
      <c r="AT5581" s="74"/>
      <c r="AW5581" s="74"/>
    </row>
    <row r="5582" spans="46:49" x14ac:dyDescent="0.25">
      <c r="AT5582" s="74"/>
      <c r="AW5582" s="74"/>
    </row>
    <row r="5583" spans="46:49" x14ac:dyDescent="0.25">
      <c r="AT5583" s="74"/>
      <c r="AW5583" s="74"/>
    </row>
    <row r="5584" spans="46:49" x14ac:dyDescent="0.25">
      <c r="AT5584" s="74"/>
      <c r="AW5584" s="74"/>
    </row>
    <row r="5585" spans="46:49" x14ac:dyDescent="0.25">
      <c r="AT5585" s="74"/>
      <c r="AW5585" s="74"/>
    </row>
    <row r="5586" spans="46:49" x14ac:dyDescent="0.25">
      <c r="AT5586" s="74"/>
      <c r="AW5586" s="74"/>
    </row>
    <row r="5587" spans="46:49" x14ac:dyDescent="0.25">
      <c r="AT5587" s="74"/>
      <c r="AW5587" s="74"/>
    </row>
    <row r="5588" spans="46:49" x14ac:dyDescent="0.25">
      <c r="AT5588" s="74"/>
      <c r="AW5588" s="74"/>
    </row>
    <row r="5589" spans="46:49" x14ac:dyDescent="0.25">
      <c r="AT5589" s="74"/>
      <c r="AW5589" s="74"/>
    </row>
    <row r="5590" spans="46:49" x14ac:dyDescent="0.25">
      <c r="AT5590" s="74"/>
      <c r="AW5590" s="74"/>
    </row>
    <row r="5591" spans="46:49" x14ac:dyDescent="0.25">
      <c r="AT5591" s="74"/>
      <c r="AW5591" s="74"/>
    </row>
    <row r="5592" spans="46:49" x14ac:dyDescent="0.25">
      <c r="AT5592" s="74"/>
      <c r="AW5592" s="74"/>
    </row>
    <row r="5593" spans="46:49" x14ac:dyDescent="0.25">
      <c r="AT5593" s="74"/>
      <c r="AW5593" s="74"/>
    </row>
    <row r="5594" spans="46:49" x14ac:dyDescent="0.25">
      <c r="AT5594" s="74"/>
      <c r="AW5594" s="74"/>
    </row>
    <row r="5595" spans="46:49" x14ac:dyDescent="0.25">
      <c r="AT5595" s="74"/>
      <c r="AW5595" s="74"/>
    </row>
    <row r="5596" spans="46:49" x14ac:dyDescent="0.25">
      <c r="AT5596" s="74"/>
      <c r="AW5596" s="74"/>
    </row>
    <row r="5597" spans="46:49" x14ac:dyDescent="0.25">
      <c r="AT5597" s="74"/>
      <c r="AW5597" s="74"/>
    </row>
    <row r="5598" spans="46:49" x14ac:dyDescent="0.25">
      <c r="AT5598" s="74"/>
      <c r="AW5598" s="74"/>
    </row>
    <row r="5599" spans="46:49" x14ac:dyDescent="0.25">
      <c r="AT5599" s="74"/>
      <c r="AW5599" s="74"/>
    </row>
    <row r="5600" spans="46:49" x14ac:dyDescent="0.25">
      <c r="AT5600" s="74"/>
      <c r="AW5600" s="74"/>
    </row>
    <row r="5601" spans="46:49" x14ac:dyDescent="0.25">
      <c r="AT5601" s="74"/>
      <c r="AW5601" s="74"/>
    </row>
    <row r="5602" spans="46:49" x14ac:dyDescent="0.25">
      <c r="AT5602" s="74"/>
      <c r="AW5602" s="74"/>
    </row>
    <row r="5603" spans="46:49" x14ac:dyDescent="0.25">
      <c r="AT5603" s="74"/>
      <c r="AW5603" s="74"/>
    </row>
    <row r="5604" spans="46:49" x14ac:dyDescent="0.25">
      <c r="AT5604" s="74"/>
      <c r="AW5604" s="74"/>
    </row>
    <row r="5605" spans="46:49" x14ac:dyDescent="0.25">
      <c r="AT5605" s="74"/>
      <c r="AW5605" s="74"/>
    </row>
    <row r="5606" spans="46:49" x14ac:dyDescent="0.25">
      <c r="AT5606" s="74"/>
      <c r="AW5606" s="74"/>
    </row>
    <row r="5607" spans="46:49" x14ac:dyDescent="0.25">
      <c r="AT5607" s="74"/>
      <c r="AW5607" s="74"/>
    </row>
    <row r="5608" spans="46:49" x14ac:dyDescent="0.25">
      <c r="AT5608" s="74"/>
      <c r="AW5608" s="74"/>
    </row>
    <row r="5609" spans="46:49" x14ac:dyDescent="0.25">
      <c r="AT5609" s="74"/>
      <c r="AW5609" s="74"/>
    </row>
    <row r="5610" spans="46:49" x14ac:dyDescent="0.25">
      <c r="AT5610" s="74"/>
      <c r="AW5610" s="74"/>
    </row>
    <row r="5611" spans="46:49" x14ac:dyDescent="0.25">
      <c r="AT5611" s="74"/>
      <c r="AW5611" s="74"/>
    </row>
    <row r="5612" spans="46:49" x14ac:dyDescent="0.25">
      <c r="AT5612" s="74"/>
      <c r="AW5612" s="74"/>
    </row>
    <row r="5613" spans="46:49" x14ac:dyDescent="0.25">
      <c r="AT5613" s="74"/>
      <c r="AW5613" s="74"/>
    </row>
    <row r="5614" spans="46:49" x14ac:dyDescent="0.25">
      <c r="AT5614" s="74"/>
      <c r="AW5614" s="74"/>
    </row>
    <row r="5615" spans="46:49" x14ac:dyDescent="0.25">
      <c r="AT5615" s="74"/>
      <c r="AW5615" s="74"/>
    </row>
    <row r="5616" spans="46:49" x14ac:dyDescent="0.25">
      <c r="AT5616" s="74"/>
      <c r="AW5616" s="74"/>
    </row>
    <row r="5617" spans="46:49" x14ac:dyDescent="0.25">
      <c r="AT5617" s="74"/>
      <c r="AW5617" s="74"/>
    </row>
    <row r="5618" spans="46:49" x14ac:dyDescent="0.25">
      <c r="AT5618" s="74"/>
      <c r="AW5618" s="74"/>
    </row>
    <row r="5619" spans="46:49" x14ac:dyDescent="0.25">
      <c r="AT5619" s="74"/>
      <c r="AW5619" s="74"/>
    </row>
    <row r="5620" spans="46:49" x14ac:dyDescent="0.25">
      <c r="AT5620" s="74"/>
      <c r="AW5620" s="74"/>
    </row>
    <row r="5621" spans="46:49" x14ac:dyDescent="0.25">
      <c r="AT5621" s="74"/>
      <c r="AW5621" s="74"/>
    </row>
    <row r="5622" spans="46:49" x14ac:dyDescent="0.25">
      <c r="AT5622" s="74"/>
      <c r="AW5622" s="74"/>
    </row>
    <row r="5623" spans="46:49" x14ac:dyDescent="0.25">
      <c r="AT5623" s="74"/>
      <c r="AW5623" s="74"/>
    </row>
    <row r="5624" spans="46:49" x14ac:dyDescent="0.25">
      <c r="AT5624" s="74"/>
      <c r="AW5624" s="74"/>
    </row>
    <row r="5625" spans="46:49" x14ac:dyDescent="0.25">
      <c r="AT5625" s="74"/>
      <c r="AW5625" s="74"/>
    </row>
    <row r="5626" spans="46:49" x14ac:dyDescent="0.25">
      <c r="AT5626" s="74"/>
      <c r="AW5626" s="74"/>
    </row>
    <row r="5627" spans="46:49" x14ac:dyDescent="0.25">
      <c r="AT5627" s="74"/>
      <c r="AW5627" s="74"/>
    </row>
    <row r="5628" spans="46:49" x14ac:dyDescent="0.25">
      <c r="AT5628" s="74"/>
      <c r="AW5628" s="74"/>
    </row>
    <row r="5629" spans="46:49" x14ac:dyDescent="0.25">
      <c r="AT5629" s="74"/>
      <c r="AW5629" s="74"/>
    </row>
    <row r="5630" spans="46:49" x14ac:dyDescent="0.25">
      <c r="AT5630" s="74"/>
      <c r="AW5630" s="74"/>
    </row>
    <row r="5631" spans="46:49" x14ac:dyDescent="0.25">
      <c r="AT5631" s="74"/>
      <c r="AW5631" s="74"/>
    </row>
    <row r="5632" spans="46:49" x14ac:dyDescent="0.25">
      <c r="AT5632" s="74"/>
      <c r="AW5632" s="74"/>
    </row>
    <row r="5633" spans="46:49" x14ac:dyDescent="0.25">
      <c r="AT5633" s="74"/>
      <c r="AW5633" s="74"/>
    </row>
    <row r="5634" spans="46:49" x14ac:dyDescent="0.25">
      <c r="AT5634" s="74"/>
      <c r="AW5634" s="74"/>
    </row>
    <row r="5635" spans="46:49" x14ac:dyDescent="0.25">
      <c r="AT5635" s="74"/>
      <c r="AW5635" s="74"/>
    </row>
    <row r="5636" spans="46:49" x14ac:dyDescent="0.25">
      <c r="AT5636" s="74"/>
      <c r="AW5636" s="74"/>
    </row>
    <row r="5637" spans="46:49" x14ac:dyDescent="0.25">
      <c r="AT5637" s="74"/>
      <c r="AW5637" s="74"/>
    </row>
    <row r="5638" spans="46:49" x14ac:dyDescent="0.25">
      <c r="AT5638" s="74"/>
      <c r="AW5638" s="74"/>
    </row>
    <row r="5639" spans="46:49" x14ac:dyDescent="0.25">
      <c r="AT5639" s="74"/>
      <c r="AW5639" s="74"/>
    </row>
    <row r="5640" spans="46:49" x14ac:dyDescent="0.25">
      <c r="AT5640" s="74"/>
      <c r="AW5640" s="74"/>
    </row>
    <row r="5641" spans="46:49" x14ac:dyDescent="0.25">
      <c r="AT5641" s="74"/>
      <c r="AW5641" s="74"/>
    </row>
    <row r="5642" spans="46:49" x14ac:dyDescent="0.25">
      <c r="AT5642" s="74"/>
      <c r="AW5642" s="74"/>
    </row>
    <row r="5643" spans="46:49" x14ac:dyDescent="0.25">
      <c r="AT5643" s="74"/>
      <c r="AW5643" s="74"/>
    </row>
    <row r="5644" spans="46:49" x14ac:dyDescent="0.25">
      <c r="AT5644" s="74"/>
      <c r="AW5644" s="74"/>
    </row>
    <row r="5645" spans="46:49" x14ac:dyDescent="0.25">
      <c r="AT5645" s="74"/>
      <c r="AW5645" s="74"/>
    </row>
    <row r="5646" spans="46:49" x14ac:dyDescent="0.25">
      <c r="AT5646" s="74"/>
      <c r="AW5646" s="74"/>
    </row>
    <row r="5647" spans="46:49" x14ac:dyDescent="0.25">
      <c r="AT5647" s="74"/>
      <c r="AW5647" s="74"/>
    </row>
    <row r="5648" spans="46:49" x14ac:dyDescent="0.25">
      <c r="AT5648" s="74"/>
      <c r="AW5648" s="74"/>
    </row>
    <row r="5649" spans="46:49" x14ac:dyDescent="0.25">
      <c r="AT5649" s="74"/>
      <c r="AW5649" s="74"/>
    </row>
    <row r="5650" spans="46:49" x14ac:dyDescent="0.25">
      <c r="AT5650" s="74"/>
      <c r="AW5650" s="74"/>
    </row>
    <row r="5651" spans="46:49" x14ac:dyDescent="0.25">
      <c r="AT5651" s="74"/>
      <c r="AW5651" s="74"/>
    </row>
    <row r="5652" spans="46:49" x14ac:dyDescent="0.25">
      <c r="AT5652" s="74"/>
      <c r="AW5652" s="74"/>
    </row>
    <row r="5653" spans="46:49" x14ac:dyDescent="0.25">
      <c r="AT5653" s="74"/>
      <c r="AW5653" s="74"/>
    </row>
    <row r="5654" spans="46:49" x14ac:dyDescent="0.25">
      <c r="AT5654" s="74"/>
      <c r="AW5654" s="74"/>
    </row>
    <row r="5655" spans="46:49" x14ac:dyDescent="0.25">
      <c r="AT5655" s="74"/>
      <c r="AW5655" s="74"/>
    </row>
    <row r="5656" spans="46:49" x14ac:dyDescent="0.25">
      <c r="AT5656" s="74"/>
      <c r="AW5656" s="74"/>
    </row>
    <row r="5657" spans="46:49" x14ac:dyDescent="0.25">
      <c r="AT5657" s="74"/>
      <c r="AW5657" s="74"/>
    </row>
    <row r="5658" spans="46:49" x14ac:dyDescent="0.25">
      <c r="AT5658" s="74"/>
      <c r="AW5658" s="74"/>
    </row>
    <row r="5659" spans="46:49" x14ac:dyDescent="0.25">
      <c r="AT5659" s="74"/>
      <c r="AW5659" s="74"/>
    </row>
    <row r="5660" spans="46:49" x14ac:dyDescent="0.25">
      <c r="AT5660" s="74"/>
      <c r="AW5660" s="74"/>
    </row>
    <row r="5661" spans="46:49" x14ac:dyDescent="0.25">
      <c r="AT5661" s="74"/>
      <c r="AW5661" s="74"/>
    </row>
    <row r="5662" spans="46:49" x14ac:dyDescent="0.25">
      <c r="AT5662" s="74"/>
      <c r="AW5662" s="74"/>
    </row>
    <row r="5663" spans="46:49" x14ac:dyDescent="0.25">
      <c r="AT5663" s="74"/>
      <c r="AW5663" s="74"/>
    </row>
    <row r="5664" spans="46:49" x14ac:dyDescent="0.25">
      <c r="AT5664" s="74"/>
      <c r="AW5664" s="74"/>
    </row>
    <row r="5665" spans="46:49" x14ac:dyDescent="0.25">
      <c r="AT5665" s="74"/>
      <c r="AW5665" s="74"/>
    </row>
    <row r="5666" spans="46:49" x14ac:dyDescent="0.25">
      <c r="AT5666" s="74"/>
      <c r="AW5666" s="74"/>
    </row>
    <row r="5667" spans="46:49" x14ac:dyDescent="0.25">
      <c r="AT5667" s="74"/>
      <c r="AW5667" s="74"/>
    </row>
    <row r="5668" spans="46:49" x14ac:dyDescent="0.25">
      <c r="AT5668" s="74"/>
      <c r="AW5668" s="74"/>
    </row>
    <row r="5669" spans="46:49" x14ac:dyDescent="0.25">
      <c r="AT5669" s="74"/>
      <c r="AW5669" s="74"/>
    </row>
    <row r="5670" spans="46:49" x14ac:dyDescent="0.25">
      <c r="AT5670" s="74"/>
      <c r="AW5670" s="74"/>
    </row>
    <row r="5671" spans="46:49" x14ac:dyDescent="0.25">
      <c r="AT5671" s="74"/>
      <c r="AW5671" s="74"/>
    </row>
    <row r="5672" spans="46:49" x14ac:dyDescent="0.25">
      <c r="AT5672" s="74"/>
      <c r="AW5672" s="74"/>
    </row>
    <row r="5673" spans="46:49" x14ac:dyDescent="0.25">
      <c r="AT5673" s="74"/>
      <c r="AW5673" s="74"/>
    </row>
    <row r="5674" spans="46:49" x14ac:dyDescent="0.25">
      <c r="AT5674" s="74"/>
      <c r="AW5674" s="74"/>
    </row>
    <row r="5675" spans="46:49" x14ac:dyDescent="0.25">
      <c r="AT5675" s="74"/>
      <c r="AW5675" s="74"/>
    </row>
    <row r="5676" spans="46:49" x14ac:dyDescent="0.25">
      <c r="AT5676" s="74"/>
      <c r="AW5676" s="74"/>
    </row>
    <row r="5677" spans="46:49" x14ac:dyDescent="0.25">
      <c r="AT5677" s="74"/>
      <c r="AW5677" s="74"/>
    </row>
    <row r="5678" spans="46:49" x14ac:dyDescent="0.25">
      <c r="AT5678" s="74"/>
      <c r="AW5678" s="74"/>
    </row>
    <row r="5679" spans="46:49" x14ac:dyDescent="0.25">
      <c r="AT5679" s="74"/>
      <c r="AW5679" s="74"/>
    </row>
    <row r="5680" spans="46:49" x14ac:dyDescent="0.25">
      <c r="AT5680" s="74"/>
      <c r="AW5680" s="74"/>
    </row>
    <row r="5681" spans="46:49" x14ac:dyDescent="0.25">
      <c r="AT5681" s="74"/>
      <c r="AW5681" s="74"/>
    </row>
    <row r="5682" spans="46:49" x14ac:dyDescent="0.25">
      <c r="AT5682" s="74"/>
      <c r="AW5682" s="74"/>
    </row>
    <row r="5683" spans="46:49" x14ac:dyDescent="0.25">
      <c r="AT5683" s="74"/>
      <c r="AW5683" s="74"/>
    </row>
    <row r="5684" spans="46:49" x14ac:dyDescent="0.25">
      <c r="AT5684" s="74"/>
      <c r="AW5684" s="74"/>
    </row>
    <row r="5685" spans="46:49" x14ac:dyDescent="0.25">
      <c r="AT5685" s="74"/>
      <c r="AW5685" s="74"/>
    </row>
    <row r="5686" spans="46:49" x14ac:dyDescent="0.25">
      <c r="AT5686" s="74"/>
      <c r="AW5686" s="74"/>
    </row>
    <row r="5687" spans="46:49" x14ac:dyDescent="0.25">
      <c r="AT5687" s="74"/>
      <c r="AW5687" s="74"/>
    </row>
    <row r="5688" spans="46:49" x14ac:dyDescent="0.25">
      <c r="AT5688" s="74"/>
      <c r="AW5688" s="74"/>
    </row>
    <row r="5689" spans="46:49" x14ac:dyDescent="0.25">
      <c r="AT5689" s="74"/>
      <c r="AW5689" s="74"/>
    </row>
    <row r="5690" spans="46:49" x14ac:dyDescent="0.25">
      <c r="AT5690" s="74"/>
      <c r="AW5690" s="74"/>
    </row>
    <row r="5691" spans="46:49" x14ac:dyDescent="0.25">
      <c r="AT5691" s="74"/>
      <c r="AW5691" s="74"/>
    </row>
    <row r="5692" spans="46:49" x14ac:dyDescent="0.25">
      <c r="AT5692" s="74"/>
      <c r="AW5692" s="74"/>
    </row>
    <row r="5693" spans="46:49" x14ac:dyDescent="0.25">
      <c r="AT5693" s="74"/>
      <c r="AW5693" s="74"/>
    </row>
    <row r="5694" spans="46:49" x14ac:dyDescent="0.25">
      <c r="AT5694" s="74"/>
      <c r="AW5694" s="74"/>
    </row>
    <row r="5695" spans="46:49" x14ac:dyDescent="0.25">
      <c r="AT5695" s="74"/>
      <c r="AW5695" s="74"/>
    </row>
    <row r="5696" spans="46:49" x14ac:dyDescent="0.25">
      <c r="AT5696" s="74"/>
      <c r="AW5696" s="74"/>
    </row>
    <row r="5697" spans="46:49" x14ac:dyDescent="0.25">
      <c r="AT5697" s="74"/>
      <c r="AW5697" s="74"/>
    </row>
    <row r="5698" spans="46:49" x14ac:dyDescent="0.25">
      <c r="AT5698" s="74"/>
      <c r="AW5698" s="74"/>
    </row>
    <row r="5699" spans="46:49" x14ac:dyDescent="0.25">
      <c r="AT5699" s="74"/>
      <c r="AW5699" s="74"/>
    </row>
    <row r="5700" spans="46:49" x14ac:dyDescent="0.25">
      <c r="AT5700" s="74"/>
      <c r="AW5700" s="74"/>
    </row>
    <row r="5701" spans="46:49" x14ac:dyDescent="0.25">
      <c r="AT5701" s="74"/>
      <c r="AW5701" s="74"/>
    </row>
    <row r="5702" spans="46:49" x14ac:dyDescent="0.25">
      <c r="AT5702" s="74"/>
      <c r="AW5702" s="74"/>
    </row>
    <row r="5703" spans="46:49" x14ac:dyDescent="0.25">
      <c r="AT5703" s="74"/>
      <c r="AW5703" s="74"/>
    </row>
    <row r="5704" spans="46:49" x14ac:dyDescent="0.25">
      <c r="AT5704" s="74"/>
      <c r="AW5704" s="74"/>
    </row>
    <row r="5705" spans="46:49" x14ac:dyDescent="0.25">
      <c r="AT5705" s="74"/>
      <c r="AW5705" s="74"/>
    </row>
    <row r="5706" spans="46:49" x14ac:dyDescent="0.25">
      <c r="AT5706" s="74"/>
      <c r="AW5706" s="74"/>
    </row>
    <row r="5707" spans="46:49" x14ac:dyDescent="0.25">
      <c r="AT5707" s="74"/>
      <c r="AW5707" s="74"/>
    </row>
    <row r="5708" spans="46:49" x14ac:dyDescent="0.25">
      <c r="AT5708" s="74"/>
      <c r="AW5708" s="74"/>
    </row>
    <row r="5709" spans="46:49" x14ac:dyDescent="0.25">
      <c r="AT5709" s="74"/>
      <c r="AW5709" s="74"/>
    </row>
    <row r="5710" spans="46:49" x14ac:dyDescent="0.25">
      <c r="AT5710" s="74"/>
      <c r="AW5710" s="74"/>
    </row>
    <row r="5711" spans="46:49" x14ac:dyDescent="0.25">
      <c r="AT5711" s="74"/>
      <c r="AW5711" s="74"/>
    </row>
    <row r="5712" spans="46:49" x14ac:dyDescent="0.25">
      <c r="AT5712" s="74"/>
      <c r="AW5712" s="74"/>
    </row>
    <row r="5713" spans="46:49" x14ac:dyDescent="0.25">
      <c r="AT5713" s="74"/>
      <c r="AW5713" s="74"/>
    </row>
    <row r="5714" spans="46:49" x14ac:dyDescent="0.25">
      <c r="AT5714" s="74"/>
      <c r="AW5714" s="74"/>
    </row>
    <row r="5715" spans="46:49" x14ac:dyDescent="0.25">
      <c r="AT5715" s="74"/>
      <c r="AW5715" s="74"/>
    </row>
    <row r="5716" spans="46:49" x14ac:dyDescent="0.25">
      <c r="AT5716" s="74"/>
      <c r="AW5716" s="74"/>
    </row>
    <row r="5717" spans="46:49" x14ac:dyDescent="0.25">
      <c r="AT5717" s="74"/>
      <c r="AW5717" s="74"/>
    </row>
    <row r="5718" spans="46:49" x14ac:dyDescent="0.25">
      <c r="AT5718" s="74"/>
      <c r="AW5718" s="74"/>
    </row>
    <row r="5719" spans="46:49" x14ac:dyDescent="0.25">
      <c r="AT5719" s="74"/>
      <c r="AW5719" s="74"/>
    </row>
    <row r="5720" spans="46:49" x14ac:dyDescent="0.25">
      <c r="AT5720" s="74"/>
      <c r="AW5720" s="74"/>
    </row>
    <row r="5721" spans="46:49" x14ac:dyDescent="0.25">
      <c r="AT5721" s="74"/>
      <c r="AW5721" s="74"/>
    </row>
    <row r="5722" spans="46:49" x14ac:dyDescent="0.25">
      <c r="AT5722" s="74"/>
      <c r="AW5722" s="74"/>
    </row>
    <row r="5723" spans="46:49" x14ac:dyDescent="0.25">
      <c r="AT5723" s="74"/>
      <c r="AW5723" s="74"/>
    </row>
    <row r="5724" spans="46:49" x14ac:dyDescent="0.25">
      <c r="AT5724" s="74"/>
      <c r="AW5724" s="74"/>
    </row>
    <row r="5725" spans="46:49" x14ac:dyDescent="0.25">
      <c r="AT5725" s="74"/>
      <c r="AW5725" s="74"/>
    </row>
    <row r="5726" spans="46:49" x14ac:dyDescent="0.25">
      <c r="AT5726" s="74"/>
      <c r="AW5726" s="74"/>
    </row>
    <row r="5727" spans="46:49" x14ac:dyDescent="0.25">
      <c r="AT5727" s="74"/>
      <c r="AW5727" s="74"/>
    </row>
    <row r="5728" spans="46:49" x14ac:dyDescent="0.25">
      <c r="AT5728" s="74"/>
      <c r="AW5728" s="74"/>
    </row>
    <row r="5729" spans="46:49" x14ac:dyDescent="0.25">
      <c r="AT5729" s="74"/>
      <c r="AW5729" s="74"/>
    </row>
    <row r="5730" spans="46:49" x14ac:dyDescent="0.25">
      <c r="AT5730" s="74"/>
      <c r="AW5730" s="74"/>
    </row>
    <row r="5731" spans="46:49" x14ac:dyDescent="0.25">
      <c r="AT5731" s="74"/>
      <c r="AW5731" s="74"/>
    </row>
    <row r="5732" spans="46:49" x14ac:dyDescent="0.25">
      <c r="AT5732" s="74"/>
      <c r="AW5732" s="74"/>
    </row>
    <row r="5733" spans="46:49" x14ac:dyDescent="0.25">
      <c r="AT5733" s="74"/>
      <c r="AW5733" s="74"/>
    </row>
    <row r="5734" spans="46:49" x14ac:dyDescent="0.25">
      <c r="AT5734" s="74"/>
      <c r="AW5734" s="74"/>
    </row>
    <row r="5735" spans="46:49" x14ac:dyDescent="0.25">
      <c r="AT5735" s="74"/>
      <c r="AW5735" s="74"/>
    </row>
    <row r="5736" spans="46:49" x14ac:dyDescent="0.25">
      <c r="AT5736" s="74"/>
      <c r="AW5736" s="74"/>
    </row>
    <row r="5737" spans="46:49" x14ac:dyDescent="0.25">
      <c r="AT5737" s="74"/>
      <c r="AW5737" s="74"/>
    </row>
    <row r="5738" spans="46:49" x14ac:dyDescent="0.25">
      <c r="AT5738" s="74"/>
      <c r="AW5738" s="74"/>
    </row>
    <row r="5739" spans="46:49" x14ac:dyDescent="0.25">
      <c r="AT5739" s="74"/>
      <c r="AW5739" s="74"/>
    </row>
    <row r="5740" spans="46:49" x14ac:dyDescent="0.25">
      <c r="AT5740" s="74"/>
      <c r="AW5740" s="74"/>
    </row>
    <row r="5741" spans="46:49" x14ac:dyDescent="0.25">
      <c r="AT5741" s="74"/>
      <c r="AW5741" s="74"/>
    </row>
    <row r="5742" spans="46:49" x14ac:dyDescent="0.25">
      <c r="AT5742" s="74"/>
      <c r="AW5742" s="74"/>
    </row>
    <row r="5743" spans="46:49" x14ac:dyDescent="0.25">
      <c r="AT5743" s="74"/>
      <c r="AW5743" s="74"/>
    </row>
    <row r="5744" spans="46:49" x14ac:dyDescent="0.25">
      <c r="AT5744" s="74"/>
      <c r="AW5744" s="74"/>
    </row>
    <row r="5745" spans="46:49" x14ac:dyDescent="0.25">
      <c r="AT5745" s="74"/>
      <c r="AW5745" s="74"/>
    </row>
    <row r="5746" spans="46:49" x14ac:dyDescent="0.25">
      <c r="AT5746" s="74"/>
      <c r="AW5746" s="74"/>
    </row>
    <row r="5747" spans="46:49" x14ac:dyDescent="0.25">
      <c r="AT5747" s="74"/>
      <c r="AW5747" s="74"/>
    </row>
    <row r="5748" spans="46:49" x14ac:dyDescent="0.25">
      <c r="AT5748" s="74"/>
      <c r="AW5748" s="74"/>
    </row>
    <row r="5749" spans="46:49" x14ac:dyDescent="0.25">
      <c r="AT5749" s="74"/>
      <c r="AW5749" s="74"/>
    </row>
    <row r="5750" spans="46:49" x14ac:dyDescent="0.25">
      <c r="AT5750" s="74"/>
      <c r="AW5750" s="74"/>
    </row>
    <row r="5751" spans="46:49" x14ac:dyDescent="0.25">
      <c r="AT5751" s="74"/>
      <c r="AW5751" s="74"/>
    </row>
    <row r="5752" spans="46:49" x14ac:dyDescent="0.25">
      <c r="AT5752" s="74"/>
      <c r="AW5752" s="74"/>
    </row>
    <row r="5753" spans="46:49" x14ac:dyDescent="0.25">
      <c r="AT5753" s="74"/>
      <c r="AW5753" s="74"/>
    </row>
    <row r="5754" spans="46:49" x14ac:dyDescent="0.25">
      <c r="AT5754" s="74"/>
      <c r="AW5754" s="74"/>
    </row>
    <row r="5755" spans="46:49" x14ac:dyDescent="0.25">
      <c r="AT5755" s="74"/>
      <c r="AW5755" s="74"/>
    </row>
    <row r="5756" spans="46:49" x14ac:dyDescent="0.25">
      <c r="AT5756" s="74"/>
      <c r="AW5756" s="74"/>
    </row>
    <row r="5757" spans="46:49" x14ac:dyDescent="0.25">
      <c r="AT5757" s="74"/>
      <c r="AW5757" s="74"/>
    </row>
    <row r="5758" spans="46:49" x14ac:dyDescent="0.25">
      <c r="AT5758" s="74"/>
      <c r="AW5758" s="74"/>
    </row>
    <row r="5759" spans="46:49" x14ac:dyDescent="0.25">
      <c r="AT5759" s="74"/>
      <c r="AW5759" s="74"/>
    </row>
    <row r="5760" spans="46:49" x14ac:dyDescent="0.25">
      <c r="AT5760" s="74"/>
      <c r="AW5760" s="74"/>
    </row>
    <row r="5761" spans="46:49" x14ac:dyDescent="0.25">
      <c r="AT5761" s="74"/>
      <c r="AW5761" s="74"/>
    </row>
    <row r="5762" spans="46:49" x14ac:dyDescent="0.25">
      <c r="AT5762" s="74"/>
      <c r="AW5762" s="74"/>
    </row>
    <row r="5763" spans="46:49" x14ac:dyDescent="0.25">
      <c r="AT5763" s="74"/>
      <c r="AW5763" s="74"/>
    </row>
    <row r="5764" spans="46:49" x14ac:dyDescent="0.25">
      <c r="AT5764" s="74"/>
      <c r="AW5764" s="74"/>
    </row>
    <row r="5765" spans="46:49" x14ac:dyDescent="0.25">
      <c r="AT5765" s="74"/>
      <c r="AW5765" s="74"/>
    </row>
    <row r="5766" spans="46:49" x14ac:dyDescent="0.25">
      <c r="AT5766" s="74"/>
      <c r="AW5766" s="74"/>
    </row>
    <row r="5767" spans="46:49" x14ac:dyDescent="0.25">
      <c r="AT5767" s="74"/>
      <c r="AW5767" s="74"/>
    </row>
    <row r="5768" spans="46:49" x14ac:dyDescent="0.25">
      <c r="AT5768" s="74"/>
      <c r="AW5768" s="74"/>
    </row>
    <row r="5769" spans="46:49" x14ac:dyDescent="0.25">
      <c r="AT5769" s="74"/>
      <c r="AW5769" s="74"/>
    </row>
    <row r="5770" spans="46:49" x14ac:dyDescent="0.25">
      <c r="AT5770" s="74"/>
      <c r="AW5770" s="74"/>
    </row>
    <row r="5771" spans="46:49" x14ac:dyDescent="0.25">
      <c r="AT5771" s="74"/>
      <c r="AW5771" s="74"/>
    </row>
    <row r="5772" spans="46:49" x14ac:dyDescent="0.25">
      <c r="AT5772" s="74"/>
      <c r="AW5772" s="74"/>
    </row>
    <row r="5773" spans="46:49" x14ac:dyDescent="0.25">
      <c r="AT5773" s="74"/>
      <c r="AW5773" s="74"/>
    </row>
    <row r="5774" spans="46:49" x14ac:dyDescent="0.25">
      <c r="AT5774" s="74"/>
      <c r="AW5774" s="74"/>
    </row>
    <row r="5775" spans="46:49" x14ac:dyDescent="0.25">
      <c r="AT5775" s="74"/>
      <c r="AW5775" s="74"/>
    </row>
    <row r="5776" spans="46:49" x14ac:dyDescent="0.25">
      <c r="AT5776" s="74"/>
      <c r="AW5776" s="74"/>
    </row>
    <row r="5777" spans="46:49" x14ac:dyDescent="0.25">
      <c r="AT5777" s="74"/>
      <c r="AW5777" s="74"/>
    </row>
    <row r="5778" spans="46:49" x14ac:dyDescent="0.25">
      <c r="AT5778" s="74"/>
      <c r="AW5778" s="74"/>
    </row>
    <row r="5779" spans="46:49" x14ac:dyDescent="0.25">
      <c r="AT5779" s="74"/>
      <c r="AW5779" s="74"/>
    </row>
    <row r="5780" spans="46:49" x14ac:dyDescent="0.25">
      <c r="AT5780" s="74"/>
      <c r="AW5780" s="74"/>
    </row>
    <row r="5781" spans="46:49" x14ac:dyDescent="0.25">
      <c r="AT5781" s="74"/>
      <c r="AW5781" s="74"/>
    </row>
    <row r="5782" spans="46:49" x14ac:dyDescent="0.25">
      <c r="AT5782" s="74"/>
      <c r="AW5782" s="74"/>
    </row>
    <row r="5783" spans="46:49" x14ac:dyDescent="0.25">
      <c r="AT5783" s="74"/>
      <c r="AW5783" s="74"/>
    </row>
    <row r="5784" spans="46:49" x14ac:dyDescent="0.25">
      <c r="AT5784" s="74"/>
      <c r="AW5784" s="74"/>
    </row>
    <row r="5785" spans="46:49" x14ac:dyDescent="0.25">
      <c r="AT5785" s="74"/>
      <c r="AW5785" s="74"/>
    </row>
    <row r="5786" spans="46:49" x14ac:dyDescent="0.25">
      <c r="AT5786" s="74"/>
      <c r="AW5786" s="74"/>
    </row>
    <row r="5787" spans="46:49" x14ac:dyDescent="0.25">
      <c r="AT5787" s="74"/>
      <c r="AW5787" s="74"/>
    </row>
    <row r="5788" spans="46:49" x14ac:dyDescent="0.25">
      <c r="AT5788" s="74"/>
      <c r="AW5788" s="74"/>
    </row>
    <row r="5789" spans="46:49" x14ac:dyDescent="0.25">
      <c r="AT5789" s="74"/>
      <c r="AW5789" s="74"/>
    </row>
    <row r="5790" spans="46:49" x14ac:dyDescent="0.25">
      <c r="AT5790" s="74"/>
      <c r="AW5790" s="74"/>
    </row>
    <row r="5791" spans="46:49" x14ac:dyDescent="0.25">
      <c r="AT5791" s="74"/>
      <c r="AW5791" s="74"/>
    </row>
    <row r="5792" spans="46:49" x14ac:dyDescent="0.25">
      <c r="AT5792" s="74"/>
      <c r="AW5792" s="74"/>
    </row>
    <row r="5793" spans="46:49" x14ac:dyDescent="0.25">
      <c r="AT5793" s="74"/>
      <c r="AW5793" s="74"/>
    </row>
    <row r="5794" spans="46:49" x14ac:dyDescent="0.25">
      <c r="AT5794" s="74"/>
      <c r="AW5794" s="74"/>
    </row>
    <row r="5795" spans="46:49" x14ac:dyDescent="0.25">
      <c r="AT5795" s="74"/>
      <c r="AW5795" s="74"/>
    </row>
    <row r="5796" spans="46:49" x14ac:dyDescent="0.25">
      <c r="AT5796" s="74"/>
      <c r="AW5796" s="74"/>
    </row>
    <row r="5797" spans="46:49" x14ac:dyDescent="0.25">
      <c r="AT5797" s="74"/>
      <c r="AW5797" s="74"/>
    </row>
    <row r="5798" spans="46:49" x14ac:dyDescent="0.25">
      <c r="AT5798" s="74"/>
      <c r="AW5798" s="74"/>
    </row>
    <row r="5799" spans="46:49" x14ac:dyDescent="0.25">
      <c r="AT5799" s="74"/>
      <c r="AW5799" s="74"/>
    </row>
    <row r="5800" spans="46:49" x14ac:dyDescent="0.25">
      <c r="AT5800" s="74"/>
      <c r="AW5800" s="74"/>
    </row>
    <row r="5801" spans="46:49" x14ac:dyDescent="0.25">
      <c r="AT5801" s="74"/>
      <c r="AW5801" s="74"/>
    </row>
    <row r="5802" spans="46:49" x14ac:dyDescent="0.25">
      <c r="AT5802" s="74"/>
      <c r="AW5802" s="74"/>
    </row>
    <row r="5803" spans="46:49" x14ac:dyDescent="0.25">
      <c r="AT5803" s="74"/>
      <c r="AW5803" s="74"/>
    </row>
    <row r="5804" spans="46:49" x14ac:dyDescent="0.25">
      <c r="AT5804" s="74"/>
      <c r="AW5804" s="74"/>
    </row>
    <row r="5805" spans="46:49" x14ac:dyDescent="0.25">
      <c r="AT5805" s="74"/>
      <c r="AW5805" s="74"/>
    </row>
    <row r="5806" spans="46:49" x14ac:dyDescent="0.25">
      <c r="AT5806" s="74"/>
      <c r="AW5806" s="74"/>
    </row>
    <row r="5807" spans="46:49" x14ac:dyDescent="0.25">
      <c r="AT5807" s="74"/>
      <c r="AW5807" s="74"/>
    </row>
    <row r="5808" spans="46:49" x14ac:dyDescent="0.25">
      <c r="AT5808" s="74"/>
      <c r="AW5808" s="74"/>
    </row>
    <row r="5809" spans="46:49" x14ac:dyDescent="0.25">
      <c r="AT5809" s="74"/>
      <c r="AW5809" s="74"/>
    </row>
    <row r="5810" spans="46:49" x14ac:dyDescent="0.25">
      <c r="AT5810" s="74"/>
      <c r="AW5810" s="74"/>
    </row>
    <row r="5811" spans="46:49" x14ac:dyDescent="0.25">
      <c r="AT5811" s="74"/>
      <c r="AW5811" s="74"/>
    </row>
    <row r="5812" spans="46:49" x14ac:dyDescent="0.25">
      <c r="AT5812" s="74"/>
      <c r="AW5812" s="74"/>
    </row>
    <row r="5813" spans="46:49" x14ac:dyDescent="0.25">
      <c r="AT5813" s="74"/>
      <c r="AW5813" s="74"/>
    </row>
    <row r="5814" spans="46:49" x14ac:dyDescent="0.25">
      <c r="AT5814" s="74"/>
      <c r="AW5814" s="74"/>
    </row>
    <row r="5815" spans="46:49" x14ac:dyDescent="0.25">
      <c r="AT5815" s="74"/>
      <c r="AW5815" s="74"/>
    </row>
    <row r="5816" spans="46:49" x14ac:dyDescent="0.25">
      <c r="AT5816" s="74"/>
      <c r="AW5816" s="74"/>
    </row>
    <row r="5817" spans="46:49" x14ac:dyDescent="0.25">
      <c r="AT5817" s="74"/>
      <c r="AW5817" s="74"/>
    </row>
    <row r="5818" spans="46:49" x14ac:dyDescent="0.25">
      <c r="AT5818" s="74"/>
      <c r="AW5818" s="74"/>
    </row>
    <row r="5819" spans="46:49" x14ac:dyDescent="0.25">
      <c r="AT5819" s="74"/>
      <c r="AW5819" s="74"/>
    </row>
    <row r="5820" spans="46:49" x14ac:dyDescent="0.25">
      <c r="AT5820" s="74"/>
      <c r="AW5820" s="74"/>
    </row>
    <row r="5821" spans="46:49" x14ac:dyDescent="0.25">
      <c r="AT5821" s="74"/>
      <c r="AW5821" s="74"/>
    </row>
    <row r="5822" spans="46:49" x14ac:dyDescent="0.25">
      <c r="AT5822" s="74"/>
      <c r="AW5822" s="74"/>
    </row>
    <row r="5823" spans="46:49" x14ac:dyDescent="0.25">
      <c r="AT5823" s="74"/>
      <c r="AW5823" s="74"/>
    </row>
    <row r="5824" spans="46:49" x14ac:dyDescent="0.25">
      <c r="AT5824" s="74"/>
      <c r="AW5824" s="74"/>
    </row>
    <row r="5825" spans="46:49" x14ac:dyDescent="0.25">
      <c r="AT5825" s="74"/>
      <c r="AW5825" s="74"/>
    </row>
    <row r="5826" spans="46:49" x14ac:dyDescent="0.25">
      <c r="AT5826" s="74"/>
      <c r="AW5826" s="74"/>
    </row>
    <row r="5827" spans="46:49" x14ac:dyDescent="0.25">
      <c r="AT5827" s="74"/>
      <c r="AW5827" s="74"/>
    </row>
    <row r="5828" spans="46:49" x14ac:dyDescent="0.25">
      <c r="AT5828" s="74"/>
      <c r="AW5828" s="74"/>
    </row>
    <row r="5829" spans="46:49" x14ac:dyDescent="0.25">
      <c r="AT5829" s="74"/>
      <c r="AW5829" s="74"/>
    </row>
    <row r="5830" spans="46:49" x14ac:dyDescent="0.25">
      <c r="AT5830" s="74"/>
      <c r="AW5830" s="74"/>
    </row>
    <row r="5831" spans="46:49" x14ac:dyDescent="0.25">
      <c r="AT5831" s="74"/>
      <c r="AW5831" s="74"/>
    </row>
    <row r="5832" spans="46:49" x14ac:dyDescent="0.25">
      <c r="AT5832" s="74"/>
      <c r="AW5832" s="74"/>
    </row>
    <row r="5833" spans="46:49" x14ac:dyDescent="0.25">
      <c r="AT5833" s="74"/>
      <c r="AW5833" s="74"/>
    </row>
    <row r="5834" spans="46:49" x14ac:dyDescent="0.25">
      <c r="AT5834" s="74"/>
      <c r="AW5834" s="74"/>
    </row>
    <row r="5835" spans="46:49" x14ac:dyDescent="0.25">
      <c r="AT5835" s="74"/>
      <c r="AW5835" s="74"/>
    </row>
    <row r="5836" spans="46:49" x14ac:dyDescent="0.25">
      <c r="AT5836" s="74"/>
      <c r="AW5836" s="74"/>
    </row>
    <row r="5837" spans="46:49" x14ac:dyDescent="0.25">
      <c r="AT5837" s="74"/>
      <c r="AW5837" s="74"/>
    </row>
    <row r="5838" spans="46:49" x14ac:dyDescent="0.25">
      <c r="AT5838" s="74"/>
      <c r="AW5838" s="74"/>
    </row>
    <row r="5839" spans="46:49" x14ac:dyDescent="0.25">
      <c r="AT5839" s="74"/>
      <c r="AW5839" s="74"/>
    </row>
    <row r="5840" spans="46:49" x14ac:dyDescent="0.25">
      <c r="AT5840" s="74"/>
      <c r="AW5840" s="74"/>
    </row>
    <row r="5841" spans="46:49" x14ac:dyDescent="0.25">
      <c r="AT5841" s="74"/>
      <c r="AW5841" s="74"/>
    </row>
    <row r="5842" spans="46:49" x14ac:dyDescent="0.25">
      <c r="AT5842" s="74"/>
      <c r="AW5842" s="74"/>
    </row>
    <row r="5843" spans="46:49" x14ac:dyDescent="0.25">
      <c r="AT5843" s="74"/>
      <c r="AW5843" s="74"/>
    </row>
    <row r="5844" spans="46:49" x14ac:dyDescent="0.25">
      <c r="AT5844" s="74"/>
      <c r="AW5844" s="74"/>
    </row>
    <row r="5845" spans="46:49" x14ac:dyDescent="0.25">
      <c r="AT5845" s="74"/>
      <c r="AW5845" s="74"/>
    </row>
    <row r="5846" spans="46:49" x14ac:dyDescent="0.25">
      <c r="AT5846" s="74"/>
      <c r="AW5846" s="74"/>
    </row>
    <row r="5847" spans="46:49" x14ac:dyDescent="0.25">
      <c r="AT5847" s="74"/>
      <c r="AW5847" s="74"/>
    </row>
    <row r="5848" spans="46:49" x14ac:dyDescent="0.25">
      <c r="AT5848" s="74"/>
      <c r="AW5848" s="74"/>
    </row>
    <row r="5849" spans="46:49" x14ac:dyDescent="0.25">
      <c r="AT5849" s="74"/>
      <c r="AW5849" s="74"/>
    </row>
    <row r="5850" spans="46:49" x14ac:dyDescent="0.25">
      <c r="AT5850" s="74"/>
      <c r="AW5850" s="74"/>
    </row>
    <row r="5851" spans="46:49" x14ac:dyDescent="0.25">
      <c r="AT5851" s="74"/>
      <c r="AW5851" s="74"/>
    </row>
    <row r="5852" spans="46:49" x14ac:dyDescent="0.25">
      <c r="AT5852" s="74"/>
      <c r="AW5852" s="74"/>
    </row>
    <row r="5853" spans="46:49" x14ac:dyDescent="0.25">
      <c r="AT5853" s="74"/>
      <c r="AW5853" s="74"/>
    </row>
    <row r="5854" spans="46:49" x14ac:dyDescent="0.25">
      <c r="AT5854" s="74"/>
      <c r="AW5854" s="74"/>
    </row>
    <row r="5855" spans="46:49" x14ac:dyDescent="0.25">
      <c r="AT5855" s="74"/>
      <c r="AW5855" s="74"/>
    </row>
    <row r="5856" spans="46:49" x14ac:dyDescent="0.25">
      <c r="AT5856" s="74"/>
      <c r="AW5856" s="74"/>
    </row>
    <row r="5857" spans="46:49" x14ac:dyDescent="0.25">
      <c r="AT5857" s="74"/>
      <c r="AW5857" s="74"/>
    </row>
    <row r="5858" spans="46:49" x14ac:dyDescent="0.25">
      <c r="AT5858" s="74"/>
      <c r="AW5858" s="74"/>
    </row>
    <row r="5859" spans="46:49" x14ac:dyDescent="0.25">
      <c r="AT5859" s="74"/>
      <c r="AW5859" s="74"/>
    </row>
    <row r="5860" spans="46:49" x14ac:dyDescent="0.25">
      <c r="AT5860" s="74"/>
      <c r="AW5860" s="74"/>
    </row>
    <row r="5861" spans="46:49" x14ac:dyDescent="0.25">
      <c r="AT5861" s="74"/>
      <c r="AW5861" s="74"/>
    </row>
    <row r="5862" spans="46:49" x14ac:dyDescent="0.25">
      <c r="AT5862" s="74"/>
      <c r="AW5862" s="74"/>
    </row>
    <row r="5863" spans="46:49" x14ac:dyDescent="0.25">
      <c r="AT5863" s="74"/>
      <c r="AW5863" s="74"/>
    </row>
    <row r="5864" spans="46:49" x14ac:dyDescent="0.25">
      <c r="AT5864" s="74"/>
      <c r="AW5864" s="74"/>
    </row>
    <row r="5865" spans="46:49" x14ac:dyDescent="0.25">
      <c r="AT5865" s="74"/>
      <c r="AW5865" s="74"/>
    </row>
    <row r="5866" spans="46:49" x14ac:dyDescent="0.25">
      <c r="AT5866" s="74"/>
      <c r="AW5866" s="74"/>
    </row>
    <row r="5867" spans="46:49" x14ac:dyDescent="0.25">
      <c r="AT5867" s="74"/>
      <c r="AW5867" s="74"/>
    </row>
    <row r="5868" spans="46:49" x14ac:dyDescent="0.25">
      <c r="AT5868" s="74"/>
      <c r="AW5868" s="74"/>
    </row>
    <row r="5869" spans="46:49" x14ac:dyDescent="0.25">
      <c r="AT5869" s="74"/>
      <c r="AW5869" s="74"/>
    </row>
    <row r="5870" spans="46:49" x14ac:dyDescent="0.25">
      <c r="AT5870" s="74"/>
      <c r="AW5870" s="74"/>
    </row>
    <row r="5871" spans="46:49" x14ac:dyDescent="0.25">
      <c r="AT5871" s="74"/>
      <c r="AW5871" s="74"/>
    </row>
    <row r="5872" spans="46:49" x14ac:dyDescent="0.25">
      <c r="AT5872" s="74"/>
      <c r="AW5872" s="74"/>
    </row>
    <row r="5873" spans="46:49" x14ac:dyDescent="0.25">
      <c r="AT5873" s="74"/>
      <c r="AW5873" s="74"/>
    </row>
    <row r="5874" spans="46:49" x14ac:dyDescent="0.25">
      <c r="AT5874" s="74"/>
      <c r="AW5874" s="74"/>
    </row>
    <row r="5875" spans="46:49" x14ac:dyDescent="0.25">
      <c r="AT5875" s="74"/>
      <c r="AW5875" s="74"/>
    </row>
    <row r="5876" spans="46:49" x14ac:dyDescent="0.25">
      <c r="AT5876" s="74"/>
      <c r="AW5876" s="74"/>
    </row>
    <row r="5877" spans="46:49" x14ac:dyDescent="0.25">
      <c r="AT5877" s="74"/>
      <c r="AW5877" s="74"/>
    </row>
    <row r="5878" spans="46:49" x14ac:dyDescent="0.25">
      <c r="AT5878" s="74"/>
      <c r="AW5878" s="74"/>
    </row>
    <row r="5879" spans="46:49" x14ac:dyDescent="0.25">
      <c r="AT5879" s="74"/>
      <c r="AW5879" s="74"/>
    </row>
    <row r="5880" spans="46:49" x14ac:dyDescent="0.25">
      <c r="AT5880" s="74"/>
      <c r="AW5880" s="74"/>
    </row>
    <row r="5881" spans="46:49" x14ac:dyDescent="0.25">
      <c r="AT5881" s="74"/>
      <c r="AW5881" s="74"/>
    </row>
    <row r="5882" spans="46:49" x14ac:dyDescent="0.25">
      <c r="AT5882" s="74"/>
      <c r="AW5882" s="74"/>
    </row>
    <row r="5883" spans="46:49" x14ac:dyDescent="0.25">
      <c r="AT5883" s="74"/>
      <c r="AW5883" s="74"/>
    </row>
    <row r="5884" spans="46:49" x14ac:dyDescent="0.25">
      <c r="AT5884" s="74"/>
      <c r="AW5884" s="74"/>
    </row>
    <row r="5885" spans="46:49" x14ac:dyDescent="0.25">
      <c r="AT5885" s="74"/>
      <c r="AW5885" s="74"/>
    </row>
    <row r="5886" spans="46:49" x14ac:dyDescent="0.25">
      <c r="AT5886" s="74"/>
      <c r="AW5886" s="74"/>
    </row>
    <row r="5887" spans="46:49" x14ac:dyDescent="0.25">
      <c r="AT5887" s="74"/>
      <c r="AW5887" s="74"/>
    </row>
    <row r="5888" spans="46:49" x14ac:dyDescent="0.25">
      <c r="AT5888" s="74"/>
      <c r="AW5888" s="74"/>
    </row>
    <row r="5889" spans="46:49" x14ac:dyDescent="0.25">
      <c r="AT5889" s="74"/>
      <c r="AW5889" s="74"/>
    </row>
    <row r="5890" spans="46:49" x14ac:dyDescent="0.25">
      <c r="AT5890" s="74"/>
      <c r="AW5890" s="74"/>
    </row>
    <row r="5891" spans="46:49" x14ac:dyDescent="0.25">
      <c r="AT5891" s="74"/>
      <c r="AW5891" s="74"/>
    </row>
    <row r="5892" spans="46:49" x14ac:dyDescent="0.25">
      <c r="AT5892" s="74"/>
      <c r="AW5892" s="74"/>
    </row>
    <row r="5893" spans="46:49" x14ac:dyDescent="0.25">
      <c r="AT5893" s="74"/>
      <c r="AW5893" s="74"/>
    </row>
    <row r="5894" spans="46:49" x14ac:dyDescent="0.25">
      <c r="AT5894" s="74"/>
      <c r="AW5894" s="74"/>
    </row>
    <row r="5895" spans="46:49" x14ac:dyDescent="0.25">
      <c r="AT5895" s="74"/>
      <c r="AW5895" s="74"/>
    </row>
    <row r="5896" spans="46:49" x14ac:dyDescent="0.25">
      <c r="AT5896" s="74"/>
      <c r="AW5896" s="74"/>
    </row>
    <row r="5897" spans="46:49" x14ac:dyDescent="0.25">
      <c r="AT5897" s="74"/>
      <c r="AW5897" s="74"/>
    </row>
    <row r="5898" spans="46:49" x14ac:dyDescent="0.25">
      <c r="AT5898" s="74"/>
      <c r="AW5898" s="74"/>
    </row>
    <row r="5899" spans="46:49" x14ac:dyDescent="0.25">
      <c r="AT5899" s="74"/>
      <c r="AW5899" s="74"/>
    </row>
    <row r="5900" spans="46:49" x14ac:dyDescent="0.25">
      <c r="AT5900" s="74"/>
      <c r="AW5900" s="74"/>
    </row>
    <row r="5901" spans="46:49" x14ac:dyDescent="0.25">
      <c r="AT5901" s="74"/>
      <c r="AW5901" s="74"/>
    </row>
    <row r="5902" spans="46:49" x14ac:dyDescent="0.25">
      <c r="AT5902" s="74"/>
      <c r="AW5902" s="74"/>
    </row>
    <row r="5903" spans="46:49" x14ac:dyDescent="0.25">
      <c r="AT5903" s="74"/>
      <c r="AW5903" s="74"/>
    </row>
    <row r="5904" spans="46:49" x14ac:dyDescent="0.25">
      <c r="AT5904" s="74"/>
      <c r="AW5904" s="74"/>
    </row>
    <row r="5905" spans="46:49" x14ac:dyDescent="0.25">
      <c r="AT5905" s="74"/>
      <c r="AW5905" s="74"/>
    </row>
    <row r="5906" spans="46:49" x14ac:dyDescent="0.25">
      <c r="AT5906" s="74"/>
      <c r="AW5906" s="74"/>
    </row>
    <row r="5907" spans="46:49" x14ac:dyDescent="0.25">
      <c r="AT5907" s="74"/>
      <c r="AW5907" s="74"/>
    </row>
    <row r="5908" spans="46:49" x14ac:dyDescent="0.25">
      <c r="AT5908" s="74"/>
      <c r="AW5908" s="74"/>
    </row>
    <row r="5909" spans="46:49" x14ac:dyDescent="0.25">
      <c r="AT5909" s="74"/>
      <c r="AW5909" s="74"/>
    </row>
    <row r="5910" spans="46:49" x14ac:dyDescent="0.25">
      <c r="AT5910" s="74"/>
      <c r="AW5910" s="74"/>
    </row>
    <row r="5911" spans="46:49" x14ac:dyDescent="0.25">
      <c r="AT5911" s="74"/>
      <c r="AW5911" s="74"/>
    </row>
    <row r="5912" spans="46:49" x14ac:dyDescent="0.25">
      <c r="AT5912" s="74"/>
      <c r="AW5912" s="74"/>
    </row>
    <row r="5913" spans="46:49" x14ac:dyDescent="0.25">
      <c r="AT5913" s="74"/>
      <c r="AW5913" s="74"/>
    </row>
    <row r="5914" spans="46:49" x14ac:dyDescent="0.25">
      <c r="AT5914" s="74"/>
      <c r="AW5914" s="74"/>
    </row>
    <row r="5915" spans="46:49" x14ac:dyDescent="0.25">
      <c r="AT5915" s="74"/>
      <c r="AW5915" s="74"/>
    </row>
    <row r="5916" spans="46:49" x14ac:dyDescent="0.25">
      <c r="AT5916" s="74"/>
      <c r="AW5916" s="74"/>
    </row>
    <row r="5917" spans="46:49" x14ac:dyDescent="0.25">
      <c r="AT5917" s="74"/>
      <c r="AW5917" s="74"/>
    </row>
    <row r="5918" spans="46:49" x14ac:dyDescent="0.25">
      <c r="AT5918" s="74"/>
      <c r="AW5918" s="74"/>
    </row>
    <row r="5919" spans="46:49" x14ac:dyDescent="0.25">
      <c r="AT5919" s="74"/>
      <c r="AW5919" s="74"/>
    </row>
    <row r="5920" spans="46:49" x14ac:dyDescent="0.25">
      <c r="AT5920" s="74"/>
      <c r="AW5920" s="74"/>
    </row>
    <row r="5921" spans="46:49" x14ac:dyDescent="0.25">
      <c r="AT5921" s="74"/>
      <c r="AW5921" s="74"/>
    </row>
    <row r="5922" spans="46:49" x14ac:dyDescent="0.25">
      <c r="AT5922" s="74"/>
      <c r="AW5922" s="74"/>
    </row>
    <row r="5923" spans="46:49" x14ac:dyDescent="0.25">
      <c r="AT5923" s="74"/>
      <c r="AW5923" s="74"/>
    </row>
    <row r="5924" spans="46:49" x14ac:dyDescent="0.25">
      <c r="AT5924" s="74"/>
      <c r="AW5924" s="74"/>
    </row>
    <row r="5925" spans="46:49" x14ac:dyDescent="0.25">
      <c r="AT5925" s="74"/>
      <c r="AW5925" s="74"/>
    </row>
    <row r="5926" spans="46:49" x14ac:dyDescent="0.25">
      <c r="AT5926" s="74"/>
      <c r="AW5926" s="74"/>
    </row>
    <row r="5927" spans="46:49" x14ac:dyDescent="0.25">
      <c r="AT5927" s="74"/>
      <c r="AW5927" s="74"/>
    </row>
    <row r="5928" spans="46:49" x14ac:dyDescent="0.25">
      <c r="AT5928" s="74"/>
      <c r="AW5928" s="74"/>
    </row>
    <row r="5929" spans="46:49" x14ac:dyDescent="0.25">
      <c r="AT5929" s="74"/>
      <c r="AW5929" s="74"/>
    </row>
    <row r="5930" spans="46:49" x14ac:dyDescent="0.25">
      <c r="AT5930" s="74"/>
      <c r="AW5930" s="74"/>
    </row>
    <row r="5931" spans="46:49" x14ac:dyDescent="0.25">
      <c r="AT5931" s="74"/>
      <c r="AW5931" s="74"/>
    </row>
    <row r="5932" spans="46:49" x14ac:dyDescent="0.25">
      <c r="AT5932" s="74"/>
      <c r="AW5932" s="74"/>
    </row>
    <row r="5933" spans="46:49" x14ac:dyDescent="0.25">
      <c r="AT5933" s="74"/>
      <c r="AW5933" s="74"/>
    </row>
    <row r="5934" spans="46:49" x14ac:dyDescent="0.25">
      <c r="AT5934" s="74"/>
      <c r="AW5934" s="74"/>
    </row>
    <row r="5935" spans="46:49" x14ac:dyDescent="0.25">
      <c r="AT5935" s="74"/>
      <c r="AW5935" s="74"/>
    </row>
    <row r="5936" spans="46:49" x14ac:dyDescent="0.25">
      <c r="AT5936" s="74"/>
      <c r="AW5936" s="74"/>
    </row>
    <row r="5937" spans="46:49" x14ac:dyDescent="0.25">
      <c r="AT5937" s="74"/>
      <c r="AW5937" s="74"/>
    </row>
    <row r="5938" spans="46:49" x14ac:dyDescent="0.25">
      <c r="AT5938" s="74"/>
      <c r="AW5938" s="74"/>
    </row>
    <row r="5939" spans="46:49" x14ac:dyDescent="0.25">
      <c r="AT5939" s="74"/>
      <c r="AW5939" s="74"/>
    </row>
    <row r="5940" spans="46:49" x14ac:dyDescent="0.25">
      <c r="AT5940" s="74"/>
      <c r="AW5940" s="74"/>
    </row>
    <row r="5941" spans="46:49" x14ac:dyDescent="0.25">
      <c r="AT5941" s="74"/>
      <c r="AW5941" s="74"/>
    </row>
    <row r="5942" spans="46:49" x14ac:dyDescent="0.25">
      <c r="AT5942" s="74"/>
      <c r="AW5942" s="74"/>
    </row>
    <row r="5943" spans="46:49" x14ac:dyDescent="0.25">
      <c r="AT5943" s="74"/>
      <c r="AW5943" s="74"/>
    </row>
    <row r="5944" spans="46:49" x14ac:dyDescent="0.25">
      <c r="AT5944" s="74"/>
      <c r="AW5944" s="74"/>
    </row>
    <row r="5945" spans="46:49" x14ac:dyDescent="0.25">
      <c r="AT5945" s="74"/>
      <c r="AW5945" s="74"/>
    </row>
    <row r="5946" spans="46:49" x14ac:dyDescent="0.25">
      <c r="AT5946" s="74"/>
      <c r="AW5946" s="74"/>
    </row>
    <row r="5947" spans="46:49" x14ac:dyDescent="0.25">
      <c r="AT5947" s="74"/>
      <c r="AW5947" s="74"/>
    </row>
    <row r="5948" spans="46:49" x14ac:dyDescent="0.25">
      <c r="AT5948" s="74"/>
      <c r="AW5948" s="74"/>
    </row>
    <row r="5949" spans="46:49" x14ac:dyDescent="0.25">
      <c r="AT5949" s="74"/>
      <c r="AW5949" s="74"/>
    </row>
    <row r="5950" spans="46:49" x14ac:dyDescent="0.25">
      <c r="AT5950" s="74"/>
      <c r="AW5950" s="74"/>
    </row>
    <row r="5951" spans="46:49" x14ac:dyDescent="0.25">
      <c r="AT5951" s="74"/>
      <c r="AW5951" s="74"/>
    </row>
    <row r="5952" spans="46:49" x14ac:dyDescent="0.25">
      <c r="AT5952" s="74"/>
      <c r="AW5952" s="74"/>
    </row>
    <row r="5953" spans="46:49" x14ac:dyDescent="0.25">
      <c r="AT5953" s="74"/>
      <c r="AW5953" s="74"/>
    </row>
    <row r="5954" spans="46:49" x14ac:dyDescent="0.25">
      <c r="AT5954" s="74"/>
      <c r="AW5954" s="74"/>
    </row>
    <row r="5955" spans="46:49" x14ac:dyDescent="0.25">
      <c r="AT5955" s="74"/>
      <c r="AW5955" s="74"/>
    </row>
    <row r="5956" spans="46:49" x14ac:dyDescent="0.25">
      <c r="AT5956" s="74"/>
      <c r="AW5956" s="74"/>
    </row>
    <row r="5957" spans="46:49" x14ac:dyDescent="0.25">
      <c r="AT5957" s="74"/>
      <c r="AW5957" s="74"/>
    </row>
    <row r="5958" spans="46:49" x14ac:dyDescent="0.25">
      <c r="AT5958" s="74"/>
      <c r="AW5958" s="74"/>
    </row>
    <row r="5959" spans="46:49" x14ac:dyDescent="0.25">
      <c r="AT5959" s="74"/>
      <c r="AW5959" s="74"/>
    </row>
    <row r="5960" spans="46:49" x14ac:dyDescent="0.25">
      <c r="AT5960" s="74"/>
      <c r="AW5960" s="74"/>
    </row>
    <row r="5961" spans="46:49" x14ac:dyDescent="0.25">
      <c r="AT5961" s="74"/>
      <c r="AW5961" s="74"/>
    </row>
    <row r="5962" spans="46:49" x14ac:dyDescent="0.25">
      <c r="AT5962" s="74"/>
      <c r="AW5962" s="74"/>
    </row>
    <row r="5963" spans="46:49" x14ac:dyDescent="0.25">
      <c r="AT5963" s="74"/>
      <c r="AW5963" s="74"/>
    </row>
    <row r="5964" spans="46:49" x14ac:dyDescent="0.25">
      <c r="AT5964" s="74"/>
      <c r="AW5964" s="74"/>
    </row>
    <row r="5965" spans="46:49" x14ac:dyDescent="0.25">
      <c r="AT5965" s="74"/>
      <c r="AW5965" s="74"/>
    </row>
    <row r="5966" spans="46:49" x14ac:dyDescent="0.25">
      <c r="AT5966" s="74"/>
      <c r="AW5966" s="74"/>
    </row>
    <row r="5967" spans="46:49" x14ac:dyDescent="0.25">
      <c r="AT5967" s="74"/>
      <c r="AW5967" s="74"/>
    </row>
    <row r="5968" spans="46:49" x14ac:dyDescent="0.25">
      <c r="AT5968" s="74"/>
      <c r="AW5968" s="74"/>
    </row>
    <row r="5969" spans="46:49" x14ac:dyDescent="0.25">
      <c r="AT5969" s="74"/>
      <c r="AW5969" s="74"/>
    </row>
    <row r="5970" spans="46:49" x14ac:dyDescent="0.25">
      <c r="AT5970" s="74"/>
      <c r="AW5970" s="74"/>
    </row>
    <row r="5971" spans="46:49" x14ac:dyDescent="0.25">
      <c r="AT5971" s="74"/>
      <c r="AW5971" s="74"/>
    </row>
    <row r="5972" spans="46:49" x14ac:dyDescent="0.25">
      <c r="AT5972" s="74"/>
      <c r="AW5972" s="74"/>
    </row>
    <row r="5973" spans="46:49" x14ac:dyDescent="0.25">
      <c r="AT5973" s="74"/>
      <c r="AW5973" s="74"/>
    </row>
    <row r="5974" spans="46:49" x14ac:dyDescent="0.25">
      <c r="AT5974" s="74"/>
      <c r="AW5974" s="74"/>
    </row>
    <row r="5975" spans="46:49" x14ac:dyDescent="0.25">
      <c r="AT5975" s="74"/>
      <c r="AW5975" s="74"/>
    </row>
    <row r="5976" spans="46:49" x14ac:dyDescent="0.25">
      <c r="AT5976" s="74"/>
      <c r="AW5976" s="74"/>
    </row>
    <row r="5977" spans="46:49" x14ac:dyDescent="0.25">
      <c r="AT5977" s="74"/>
      <c r="AW5977" s="74"/>
    </row>
    <row r="5978" spans="46:49" x14ac:dyDescent="0.25">
      <c r="AT5978" s="74"/>
      <c r="AW5978" s="74"/>
    </row>
    <row r="5979" spans="46:49" x14ac:dyDescent="0.25">
      <c r="AT5979" s="74"/>
      <c r="AW5979" s="74"/>
    </row>
    <row r="5980" spans="46:49" x14ac:dyDescent="0.25">
      <c r="AT5980" s="74"/>
      <c r="AW5980" s="74"/>
    </row>
    <row r="5981" spans="46:49" x14ac:dyDescent="0.25">
      <c r="AT5981" s="74"/>
      <c r="AW5981" s="74"/>
    </row>
    <row r="5982" spans="46:49" x14ac:dyDescent="0.25">
      <c r="AT5982" s="74"/>
      <c r="AW5982" s="74"/>
    </row>
    <row r="5983" spans="46:49" x14ac:dyDescent="0.25">
      <c r="AT5983" s="74"/>
      <c r="AW5983" s="74"/>
    </row>
    <row r="5984" spans="46:49" x14ac:dyDescent="0.25">
      <c r="AT5984" s="74"/>
      <c r="AW5984" s="74"/>
    </row>
    <row r="5985" spans="46:49" x14ac:dyDescent="0.25">
      <c r="AT5985" s="74"/>
      <c r="AW5985" s="74"/>
    </row>
    <row r="5986" spans="46:49" x14ac:dyDescent="0.25">
      <c r="AT5986" s="74"/>
      <c r="AW5986" s="74"/>
    </row>
    <row r="5987" spans="46:49" x14ac:dyDescent="0.25">
      <c r="AT5987" s="74"/>
      <c r="AW5987" s="74"/>
    </row>
    <row r="5988" spans="46:49" x14ac:dyDescent="0.25">
      <c r="AT5988" s="74"/>
      <c r="AW5988" s="74"/>
    </row>
    <row r="5989" spans="46:49" x14ac:dyDescent="0.25">
      <c r="AT5989" s="74"/>
      <c r="AW5989" s="74"/>
    </row>
    <row r="5990" spans="46:49" x14ac:dyDescent="0.25">
      <c r="AT5990" s="74"/>
      <c r="AW5990" s="74"/>
    </row>
    <row r="5991" spans="46:49" x14ac:dyDescent="0.25">
      <c r="AT5991" s="74"/>
      <c r="AW5991" s="74"/>
    </row>
    <row r="5992" spans="46:49" x14ac:dyDescent="0.25">
      <c r="AT5992" s="74"/>
      <c r="AW5992" s="74"/>
    </row>
    <row r="5993" spans="46:49" x14ac:dyDescent="0.25">
      <c r="AT5993" s="74"/>
      <c r="AW5993" s="74"/>
    </row>
    <row r="5994" spans="46:49" x14ac:dyDescent="0.25">
      <c r="AT5994" s="74"/>
      <c r="AW5994" s="74"/>
    </row>
    <row r="5995" spans="46:49" x14ac:dyDescent="0.25">
      <c r="AT5995" s="74"/>
      <c r="AW5995" s="74"/>
    </row>
    <row r="5996" spans="46:49" x14ac:dyDescent="0.25">
      <c r="AT5996" s="74"/>
      <c r="AW5996" s="74"/>
    </row>
    <row r="5997" spans="46:49" x14ac:dyDescent="0.25">
      <c r="AT5997" s="74"/>
      <c r="AW5997" s="74"/>
    </row>
    <row r="5998" spans="46:49" x14ac:dyDescent="0.25">
      <c r="AT5998" s="74"/>
      <c r="AW5998" s="74"/>
    </row>
    <row r="5999" spans="46:49" x14ac:dyDescent="0.25">
      <c r="AT5999" s="74"/>
      <c r="AW5999" s="74"/>
    </row>
    <row r="6000" spans="46:49" x14ac:dyDescent="0.25">
      <c r="AT6000" s="74"/>
      <c r="AW6000" s="74"/>
    </row>
    <row r="6001" spans="46:49" x14ac:dyDescent="0.25">
      <c r="AT6001" s="74"/>
      <c r="AW6001" s="74"/>
    </row>
    <row r="6002" spans="46:49" x14ac:dyDescent="0.25">
      <c r="AT6002" s="74"/>
      <c r="AW6002" s="74"/>
    </row>
    <row r="6003" spans="46:49" x14ac:dyDescent="0.25">
      <c r="AT6003" s="74"/>
      <c r="AW6003" s="74"/>
    </row>
    <row r="6004" spans="46:49" x14ac:dyDescent="0.25">
      <c r="AT6004" s="74"/>
      <c r="AW6004" s="74"/>
    </row>
    <row r="6005" spans="46:49" x14ac:dyDescent="0.25">
      <c r="AT6005" s="74"/>
      <c r="AW6005" s="74"/>
    </row>
    <row r="6006" spans="46:49" x14ac:dyDescent="0.25">
      <c r="AT6006" s="74"/>
      <c r="AW6006" s="74"/>
    </row>
    <row r="6007" spans="46:49" x14ac:dyDescent="0.25">
      <c r="AT6007" s="74"/>
      <c r="AW6007" s="74"/>
    </row>
    <row r="6008" spans="46:49" x14ac:dyDescent="0.25">
      <c r="AT6008" s="74"/>
      <c r="AW6008" s="74"/>
    </row>
    <row r="6009" spans="46:49" x14ac:dyDescent="0.25">
      <c r="AT6009" s="74"/>
      <c r="AW6009" s="74"/>
    </row>
    <row r="6010" spans="46:49" x14ac:dyDescent="0.25">
      <c r="AT6010" s="74"/>
      <c r="AW6010" s="74"/>
    </row>
    <row r="6011" spans="46:49" x14ac:dyDescent="0.25">
      <c r="AT6011" s="74"/>
      <c r="AW6011" s="74"/>
    </row>
    <row r="6012" spans="46:49" x14ac:dyDescent="0.25">
      <c r="AT6012" s="74"/>
      <c r="AW6012" s="74"/>
    </row>
    <row r="6013" spans="46:49" x14ac:dyDescent="0.25">
      <c r="AT6013" s="74"/>
      <c r="AW6013" s="74"/>
    </row>
    <row r="6014" spans="46:49" x14ac:dyDescent="0.25">
      <c r="AT6014" s="74"/>
      <c r="AW6014" s="74"/>
    </row>
    <row r="6015" spans="46:49" x14ac:dyDescent="0.25">
      <c r="AT6015" s="74"/>
      <c r="AW6015" s="74"/>
    </row>
    <row r="6016" spans="46:49" x14ac:dyDescent="0.25">
      <c r="AT6016" s="74"/>
      <c r="AW6016" s="74"/>
    </row>
    <row r="6017" spans="46:49" x14ac:dyDescent="0.25">
      <c r="AT6017" s="74"/>
      <c r="AW6017" s="74"/>
    </row>
    <row r="6018" spans="46:49" x14ac:dyDescent="0.25">
      <c r="AT6018" s="74"/>
      <c r="AW6018" s="74"/>
    </row>
    <row r="6019" spans="46:49" x14ac:dyDescent="0.25">
      <c r="AT6019" s="74"/>
      <c r="AW6019" s="74"/>
    </row>
    <row r="6020" spans="46:49" x14ac:dyDescent="0.25">
      <c r="AT6020" s="74"/>
      <c r="AW6020" s="74"/>
    </row>
    <row r="6021" spans="46:49" x14ac:dyDescent="0.25">
      <c r="AT6021" s="74"/>
      <c r="AW6021" s="74"/>
    </row>
    <row r="6022" spans="46:49" x14ac:dyDescent="0.25">
      <c r="AT6022" s="74"/>
      <c r="AW6022" s="74"/>
    </row>
    <row r="6023" spans="46:49" x14ac:dyDescent="0.25">
      <c r="AT6023" s="74"/>
      <c r="AW6023" s="74"/>
    </row>
    <row r="6024" spans="46:49" x14ac:dyDescent="0.25">
      <c r="AT6024" s="74"/>
      <c r="AW6024" s="74"/>
    </row>
    <row r="6025" spans="46:49" x14ac:dyDescent="0.25">
      <c r="AT6025" s="74"/>
      <c r="AW6025" s="74"/>
    </row>
    <row r="6026" spans="46:49" x14ac:dyDescent="0.25">
      <c r="AT6026" s="74"/>
      <c r="AW6026" s="74"/>
    </row>
    <row r="6027" spans="46:49" x14ac:dyDescent="0.25">
      <c r="AT6027" s="74"/>
      <c r="AW6027" s="74"/>
    </row>
    <row r="6028" spans="46:49" x14ac:dyDescent="0.25">
      <c r="AT6028" s="74"/>
      <c r="AW6028" s="74"/>
    </row>
    <row r="6029" spans="46:49" x14ac:dyDescent="0.25">
      <c r="AT6029" s="74"/>
      <c r="AW6029" s="74"/>
    </row>
    <row r="6030" spans="46:49" x14ac:dyDescent="0.25">
      <c r="AT6030" s="74"/>
      <c r="AW6030" s="74"/>
    </row>
    <row r="6031" spans="46:49" x14ac:dyDescent="0.25">
      <c r="AT6031" s="74"/>
      <c r="AW6031" s="74"/>
    </row>
    <row r="6032" spans="46:49" x14ac:dyDescent="0.25">
      <c r="AT6032" s="74"/>
      <c r="AW6032" s="74"/>
    </row>
    <row r="6033" spans="46:49" x14ac:dyDescent="0.25">
      <c r="AT6033" s="74"/>
      <c r="AW6033" s="74"/>
    </row>
    <row r="6034" spans="46:49" x14ac:dyDescent="0.25">
      <c r="AT6034" s="74"/>
      <c r="AW6034" s="74"/>
    </row>
    <row r="6035" spans="46:49" x14ac:dyDescent="0.25">
      <c r="AT6035" s="74"/>
      <c r="AW6035" s="74"/>
    </row>
    <row r="6036" spans="46:49" x14ac:dyDescent="0.25">
      <c r="AT6036" s="74"/>
      <c r="AW6036" s="74"/>
    </row>
    <row r="6037" spans="46:49" x14ac:dyDescent="0.25">
      <c r="AT6037" s="74"/>
      <c r="AW6037" s="74"/>
    </row>
    <row r="6038" spans="46:49" x14ac:dyDescent="0.25">
      <c r="AT6038" s="74"/>
      <c r="AW6038" s="74"/>
    </row>
    <row r="6039" spans="46:49" x14ac:dyDescent="0.25">
      <c r="AT6039" s="74"/>
      <c r="AW6039" s="74"/>
    </row>
    <row r="6040" spans="46:49" x14ac:dyDescent="0.25">
      <c r="AT6040" s="74"/>
      <c r="AW6040" s="74"/>
    </row>
    <row r="6041" spans="46:49" x14ac:dyDescent="0.25">
      <c r="AT6041" s="74"/>
      <c r="AW6041" s="74"/>
    </row>
    <row r="6042" spans="46:49" x14ac:dyDescent="0.25">
      <c r="AT6042" s="74"/>
      <c r="AW6042" s="74"/>
    </row>
    <row r="6043" spans="46:49" x14ac:dyDescent="0.25">
      <c r="AT6043" s="74"/>
      <c r="AW6043" s="74"/>
    </row>
    <row r="6044" spans="46:49" x14ac:dyDescent="0.25">
      <c r="AT6044" s="74"/>
      <c r="AW6044" s="74"/>
    </row>
    <row r="6045" spans="46:49" x14ac:dyDescent="0.25">
      <c r="AT6045" s="74"/>
      <c r="AW6045" s="74"/>
    </row>
    <row r="6046" spans="46:49" x14ac:dyDescent="0.25">
      <c r="AT6046" s="74"/>
      <c r="AW6046" s="74"/>
    </row>
    <row r="6047" spans="46:49" x14ac:dyDescent="0.25">
      <c r="AT6047" s="74"/>
      <c r="AW6047" s="74"/>
    </row>
    <row r="6048" spans="46:49" x14ac:dyDescent="0.25">
      <c r="AT6048" s="74"/>
      <c r="AW6048" s="74"/>
    </row>
    <row r="6049" spans="46:49" x14ac:dyDescent="0.25">
      <c r="AT6049" s="74"/>
      <c r="AW6049" s="74"/>
    </row>
    <row r="6050" spans="46:49" x14ac:dyDescent="0.25">
      <c r="AT6050" s="74"/>
      <c r="AW6050" s="74"/>
    </row>
    <row r="6051" spans="46:49" x14ac:dyDescent="0.25">
      <c r="AT6051" s="74"/>
      <c r="AW6051" s="74"/>
    </row>
    <row r="6052" spans="46:49" x14ac:dyDescent="0.25">
      <c r="AT6052" s="74"/>
      <c r="AW6052" s="74"/>
    </row>
    <row r="6053" spans="46:49" x14ac:dyDescent="0.25">
      <c r="AT6053" s="74"/>
      <c r="AW6053" s="74"/>
    </row>
    <row r="6054" spans="46:49" x14ac:dyDescent="0.25">
      <c r="AT6054" s="74"/>
      <c r="AW6054" s="74"/>
    </row>
    <row r="6055" spans="46:49" x14ac:dyDescent="0.25">
      <c r="AT6055" s="74"/>
      <c r="AW6055" s="74"/>
    </row>
    <row r="6056" spans="46:49" x14ac:dyDescent="0.25">
      <c r="AT6056" s="74"/>
      <c r="AW6056" s="74"/>
    </row>
    <row r="6057" spans="46:49" x14ac:dyDescent="0.25">
      <c r="AT6057" s="74"/>
      <c r="AW6057" s="74"/>
    </row>
    <row r="6058" spans="46:49" x14ac:dyDescent="0.25">
      <c r="AT6058" s="74"/>
      <c r="AW6058" s="74"/>
    </row>
    <row r="6059" spans="46:49" x14ac:dyDescent="0.25">
      <c r="AT6059" s="74"/>
      <c r="AW6059" s="74"/>
    </row>
    <row r="6060" spans="46:49" x14ac:dyDescent="0.25">
      <c r="AT6060" s="74"/>
      <c r="AW6060" s="74"/>
    </row>
    <row r="6061" spans="46:49" x14ac:dyDescent="0.25">
      <c r="AT6061" s="74"/>
      <c r="AW6061" s="74"/>
    </row>
    <row r="6062" spans="46:49" x14ac:dyDescent="0.25">
      <c r="AT6062" s="74"/>
      <c r="AW6062" s="74"/>
    </row>
    <row r="6063" spans="46:49" x14ac:dyDescent="0.25">
      <c r="AT6063" s="74"/>
      <c r="AW6063" s="74"/>
    </row>
    <row r="6064" spans="46:49" x14ac:dyDescent="0.25">
      <c r="AT6064" s="74"/>
      <c r="AW6064" s="74"/>
    </row>
    <row r="6065" spans="46:49" x14ac:dyDescent="0.25">
      <c r="AT6065" s="74"/>
      <c r="AW6065" s="74"/>
    </row>
    <row r="6066" spans="46:49" x14ac:dyDescent="0.25">
      <c r="AT6066" s="74"/>
      <c r="AW6066" s="74"/>
    </row>
    <row r="6067" spans="46:49" x14ac:dyDescent="0.25">
      <c r="AT6067" s="74"/>
      <c r="AW6067" s="74"/>
    </row>
    <row r="6068" spans="46:49" x14ac:dyDescent="0.25">
      <c r="AT6068" s="74"/>
      <c r="AW6068" s="74"/>
    </row>
    <row r="6069" spans="46:49" x14ac:dyDescent="0.25">
      <c r="AT6069" s="74"/>
      <c r="AW6069" s="74"/>
    </row>
    <row r="6070" spans="46:49" x14ac:dyDescent="0.25">
      <c r="AT6070" s="74"/>
      <c r="AW6070" s="74"/>
    </row>
    <row r="6071" spans="46:49" x14ac:dyDescent="0.25">
      <c r="AT6071" s="74"/>
      <c r="AW6071" s="74"/>
    </row>
    <row r="6072" spans="46:49" x14ac:dyDescent="0.25">
      <c r="AT6072" s="74"/>
      <c r="AW6072" s="74"/>
    </row>
    <row r="6073" spans="46:49" x14ac:dyDescent="0.25">
      <c r="AT6073" s="74"/>
      <c r="AW6073" s="74"/>
    </row>
    <row r="6074" spans="46:49" x14ac:dyDescent="0.25">
      <c r="AT6074" s="74"/>
      <c r="AW6074" s="74"/>
    </row>
    <row r="6075" spans="46:49" x14ac:dyDescent="0.25">
      <c r="AT6075" s="74"/>
      <c r="AW6075" s="74"/>
    </row>
    <row r="6076" spans="46:49" x14ac:dyDescent="0.25">
      <c r="AT6076" s="74"/>
      <c r="AW6076" s="74"/>
    </row>
    <row r="6077" spans="46:49" x14ac:dyDescent="0.25">
      <c r="AT6077" s="74"/>
      <c r="AW6077" s="74"/>
    </row>
    <row r="6078" spans="46:49" x14ac:dyDescent="0.25">
      <c r="AT6078" s="74"/>
      <c r="AW6078" s="74"/>
    </row>
    <row r="6079" spans="46:49" x14ac:dyDescent="0.25">
      <c r="AT6079" s="74"/>
      <c r="AW6079" s="74"/>
    </row>
    <row r="6080" spans="46:49" x14ac:dyDescent="0.25">
      <c r="AT6080" s="74"/>
      <c r="AW6080" s="74"/>
    </row>
    <row r="6081" spans="46:49" x14ac:dyDescent="0.25">
      <c r="AT6081" s="74"/>
      <c r="AW6081" s="74"/>
    </row>
    <row r="6082" spans="46:49" x14ac:dyDescent="0.25">
      <c r="AT6082" s="74"/>
      <c r="AW6082" s="74"/>
    </row>
    <row r="6083" spans="46:49" x14ac:dyDescent="0.25">
      <c r="AT6083" s="74"/>
      <c r="AW6083" s="74"/>
    </row>
    <row r="6084" spans="46:49" x14ac:dyDescent="0.25">
      <c r="AT6084" s="74"/>
      <c r="AW6084" s="74"/>
    </row>
    <row r="6085" spans="46:49" x14ac:dyDescent="0.25">
      <c r="AT6085" s="74"/>
      <c r="AW6085" s="74"/>
    </row>
    <row r="6086" spans="46:49" x14ac:dyDescent="0.25">
      <c r="AT6086" s="74"/>
      <c r="AW6086" s="74"/>
    </row>
    <row r="6087" spans="46:49" x14ac:dyDescent="0.25">
      <c r="AT6087" s="74"/>
      <c r="AW6087" s="74"/>
    </row>
    <row r="6088" spans="46:49" x14ac:dyDescent="0.25">
      <c r="AT6088" s="74"/>
      <c r="AW6088" s="74"/>
    </row>
    <row r="6089" spans="46:49" x14ac:dyDescent="0.25">
      <c r="AT6089" s="74"/>
      <c r="AW6089" s="74"/>
    </row>
    <row r="6090" spans="46:49" x14ac:dyDescent="0.25">
      <c r="AT6090" s="74"/>
      <c r="AW6090" s="74"/>
    </row>
    <row r="6091" spans="46:49" x14ac:dyDescent="0.25">
      <c r="AT6091" s="74"/>
      <c r="AW6091" s="74"/>
    </row>
    <row r="6092" spans="46:49" x14ac:dyDescent="0.25">
      <c r="AT6092" s="74"/>
      <c r="AW6092" s="74"/>
    </row>
    <row r="6093" spans="46:49" x14ac:dyDescent="0.25">
      <c r="AT6093" s="74"/>
      <c r="AW6093" s="74"/>
    </row>
    <row r="6094" spans="46:49" x14ac:dyDescent="0.25">
      <c r="AT6094" s="74"/>
      <c r="AW6094" s="74"/>
    </row>
    <row r="6095" spans="46:49" x14ac:dyDescent="0.25">
      <c r="AT6095" s="74"/>
      <c r="AW6095" s="74"/>
    </row>
    <row r="6096" spans="46:49" x14ac:dyDescent="0.25">
      <c r="AT6096" s="74"/>
      <c r="AW6096" s="74"/>
    </row>
    <row r="6097" spans="46:49" x14ac:dyDescent="0.25">
      <c r="AT6097" s="74"/>
      <c r="AW6097" s="74"/>
    </row>
    <row r="6098" spans="46:49" x14ac:dyDescent="0.25">
      <c r="AT6098" s="74"/>
      <c r="AW6098" s="74"/>
    </row>
    <row r="6099" spans="46:49" x14ac:dyDescent="0.25">
      <c r="AT6099" s="74"/>
      <c r="AW6099" s="74"/>
    </row>
    <row r="6100" spans="46:49" x14ac:dyDescent="0.25">
      <c r="AT6100" s="74"/>
      <c r="AW6100" s="74"/>
    </row>
    <row r="6101" spans="46:49" x14ac:dyDescent="0.25">
      <c r="AT6101" s="74"/>
      <c r="AW6101" s="74"/>
    </row>
    <row r="6102" spans="46:49" x14ac:dyDescent="0.25">
      <c r="AT6102" s="74"/>
      <c r="AW6102" s="74"/>
    </row>
    <row r="6103" spans="46:49" x14ac:dyDescent="0.25">
      <c r="AT6103" s="74"/>
      <c r="AW6103" s="74"/>
    </row>
    <row r="6104" spans="46:49" x14ac:dyDescent="0.25">
      <c r="AT6104" s="74"/>
      <c r="AW6104" s="74"/>
    </row>
    <row r="6105" spans="46:49" x14ac:dyDescent="0.25">
      <c r="AT6105" s="74"/>
      <c r="AW6105" s="74"/>
    </row>
    <row r="6106" spans="46:49" x14ac:dyDescent="0.25">
      <c r="AT6106" s="74"/>
      <c r="AW6106" s="74"/>
    </row>
    <row r="6107" spans="46:49" x14ac:dyDescent="0.25">
      <c r="AT6107" s="74"/>
      <c r="AW6107" s="74"/>
    </row>
    <row r="6108" spans="46:49" x14ac:dyDescent="0.25">
      <c r="AT6108" s="74"/>
      <c r="AW6108" s="74"/>
    </row>
    <row r="6109" spans="46:49" x14ac:dyDescent="0.25">
      <c r="AT6109" s="74"/>
      <c r="AW6109" s="74"/>
    </row>
    <row r="6110" spans="46:49" x14ac:dyDescent="0.25">
      <c r="AT6110" s="74"/>
      <c r="AW6110" s="74"/>
    </row>
    <row r="6111" spans="46:49" x14ac:dyDescent="0.25">
      <c r="AT6111" s="74"/>
      <c r="AW6111" s="74"/>
    </row>
    <row r="6112" spans="46:49" x14ac:dyDescent="0.25">
      <c r="AT6112" s="74"/>
      <c r="AW6112" s="74"/>
    </row>
    <row r="6113" spans="46:49" x14ac:dyDescent="0.25">
      <c r="AT6113" s="74"/>
      <c r="AW6113" s="74"/>
    </row>
    <row r="6114" spans="46:49" x14ac:dyDescent="0.25">
      <c r="AT6114" s="74"/>
      <c r="AW6114" s="74"/>
    </row>
    <row r="6115" spans="46:49" x14ac:dyDescent="0.25">
      <c r="AT6115" s="74"/>
      <c r="AW6115" s="74"/>
    </row>
    <row r="6116" spans="46:49" x14ac:dyDescent="0.25">
      <c r="AT6116" s="74"/>
      <c r="AW6116" s="74"/>
    </row>
    <row r="6117" spans="46:49" x14ac:dyDescent="0.25">
      <c r="AT6117" s="74"/>
      <c r="AW6117" s="74"/>
    </row>
    <row r="6118" spans="46:49" x14ac:dyDescent="0.25">
      <c r="AT6118" s="74"/>
      <c r="AW6118" s="74"/>
    </row>
    <row r="6119" spans="46:49" x14ac:dyDescent="0.25">
      <c r="AT6119" s="74"/>
      <c r="AW6119" s="74"/>
    </row>
    <row r="6120" spans="46:49" x14ac:dyDescent="0.25">
      <c r="AT6120" s="74"/>
      <c r="AW6120" s="74"/>
    </row>
    <row r="6121" spans="46:49" x14ac:dyDescent="0.25">
      <c r="AT6121" s="74"/>
      <c r="AW6121" s="74"/>
    </row>
    <row r="6122" spans="46:49" x14ac:dyDescent="0.25">
      <c r="AT6122" s="74"/>
      <c r="AW6122" s="74"/>
    </row>
    <row r="6123" spans="46:49" x14ac:dyDescent="0.25">
      <c r="AT6123" s="74"/>
      <c r="AW6123" s="74"/>
    </row>
    <row r="6124" spans="46:49" x14ac:dyDescent="0.25">
      <c r="AT6124" s="74"/>
      <c r="AW6124" s="74"/>
    </row>
    <row r="6125" spans="46:49" x14ac:dyDescent="0.25">
      <c r="AT6125" s="74"/>
      <c r="AW6125" s="74"/>
    </row>
    <row r="6126" spans="46:49" x14ac:dyDescent="0.25">
      <c r="AT6126" s="74"/>
      <c r="AW6126" s="74"/>
    </row>
    <row r="6127" spans="46:49" x14ac:dyDescent="0.25">
      <c r="AT6127" s="74"/>
      <c r="AW6127" s="74"/>
    </row>
    <row r="6128" spans="46:49" x14ac:dyDescent="0.25">
      <c r="AT6128" s="74"/>
      <c r="AW6128" s="74"/>
    </row>
    <row r="6129" spans="46:49" x14ac:dyDescent="0.25">
      <c r="AT6129" s="74"/>
      <c r="AW6129" s="74"/>
    </row>
    <row r="6130" spans="46:49" x14ac:dyDescent="0.25">
      <c r="AT6130" s="74"/>
      <c r="AW6130" s="74"/>
    </row>
    <row r="6131" spans="46:49" x14ac:dyDescent="0.25">
      <c r="AT6131" s="74"/>
      <c r="AW6131" s="74"/>
    </row>
    <row r="6132" spans="46:49" x14ac:dyDescent="0.25">
      <c r="AT6132" s="74"/>
      <c r="AW6132" s="74"/>
    </row>
    <row r="6133" spans="46:49" x14ac:dyDescent="0.25">
      <c r="AT6133" s="74"/>
      <c r="AW6133" s="74"/>
    </row>
    <row r="6134" spans="46:49" x14ac:dyDescent="0.25">
      <c r="AT6134" s="74"/>
      <c r="AW6134" s="74"/>
    </row>
    <row r="6135" spans="46:49" x14ac:dyDescent="0.25">
      <c r="AT6135" s="74"/>
      <c r="AW6135" s="74"/>
    </row>
    <row r="6136" spans="46:49" x14ac:dyDescent="0.25">
      <c r="AT6136" s="74"/>
      <c r="AW6136" s="74"/>
    </row>
    <row r="6137" spans="46:49" x14ac:dyDescent="0.25">
      <c r="AT6137" s="74"/>
      <c r="AW6137" s="74"/>
    </row>
    <row r="6138" spans="46:49" x14ac:dyDescent="0.25">
      <c r="AT6138" s="74"/>
      <c r="AW6138" s="74"/>
    </row>
    <row r="6139" spans="46:49" x14ac:dyDescent="0.25">
      <c r="AT6139" s="74"/>
      <c r="AW6139" s="74"/>
    </row>
    <row r="6140" spans="46:49" x14ac:dyDescent="0.25">
      <c r="AT6140" s="74"/>
      <c r="AW6140" s="74"/>
    </row>
    <row r="6141" spans="46:49" x14ac:dyDescent="0.25">
      <c r="AT6141" s="74"/>
      <c r="AW6141" s="74"/>
    </row>
    <row r="6142" spans="46:49" x14ac:dyDescent="0.25">
      <c r="AT6142" s="74"/>
      <c r="AW6142" s="74"/>
    </row>
    <row r="6143" spans="46:49" x14ac:dyDescent="0.25">
      <c r="AT6143" s="74"/>
      <c r="AW6143" s="74"/>
    </row>
    <row r="6144" spans="46:49" x14ac:dyDescent="0.25">
      <c r="AT6144" s="74"/>
      <c r="AW6144" s="74"/>
    </row>
    <row r="6145" spans="46:49" x14ac:dyDescent="0.25">
      <c r="AT6145" s="74"/>
      <c r="AW6145" s="74"/>
    </row>
    <row r="6146" spans="46:49" x14ac:dyDescent="0.25">
      <c r="AT6146" s="74"/>
      <c r="AW6146" s="74"/>
    </row>
    <row r="6147" spans="46:49" x14ac:dyDescent="0.25">
      <c r="AT6147" s="74"/>
      <c r="AW6147" s="74"/>
    </row>
    <row r="6148" spans="46:49" x14ac:dyDescent="0.25">
      <c r="AT6148" s="74"/>
      <c r="AW6148" s="74"/>
    </row>
    <row r="6149" spans="46:49" x14ac:dyDescent="0.25">
      <c r="AT6149" s="74"/>
      <c r="AW6149" s="74"/>
    </row>
    <row r="6150" spans="46:49" x14ac:dyDescent="0.25">
      <c r="AT6150" s="74"/>
      <c r="AW6150" s="74"/>
    </row>
    <row r="6151" spans="46:49" x14ac:dyDescent="0.25">
      <c r="AT6151" s="74"/>
      <c r="AW6151" s="74"/>
    </row>
    <row r="6152" spans="46:49" x14ac:dyDescent="0.25">
      <c r="AT6152" s="74"/>
      <c r="AW6152" s="74"/>
    </row>
    <row r="6153" spans="46:49" x14ac:dyDescent="0.25">
      <c r="AT6153" s="74"/>
      <c r="AW6153" s="74"/>
    </row>
    <row r="6154" spans="46:49" x14ac:dyDescent="0.25">
      <c r="AT6154" s="74"/>
      <c r="AW6154" s="74"/>
    </row>
    <row r="6155" spans="46:49" x14ac:dyDescent="0.25">
      <c r="AT6155" s="74"/>
      <c r="AW6155" s="74"/>
    </row>
    <row r="6156" spans="46:49" x14ac:dyDescent="0.25">
      <c r="AT6156" s="74"/>
      <c r="AW6156" s="74"/>
    </row>
    <row r="6157" spans="46:49" x14ac:dyDescent="0.25">
      <c r="AT6157" s="74"/>
      <c r="AW6157" s="74"/>
    </row>
    <row r="6158" spans="46:49" x14ac:dyDescent="0.25">
      <c r="AT6158" s="74"/>
      <c r="AW6158" s="74"/>
    </row>
    <row r="6159" spans="46:49" x14ac:dyDescent="0.25">
      <c r="AT6159" s="74"/>
      <c r="AW6159" s="74"/>
    </row>
    <row r="6160" spans="46:49" x14ac:dyDescent="0.25">
      <c r="AT6160" s="74"/>
      <c r="AW6160" s="74"/>
    </row>
    <row r="6161" spans="46:49" x14ac:dyDescent="0.25">
      <c r="AT6161" s="74"/>
      <c r="AW6161" s="74"/>
    </row>
    <row r="6162" spans="46:49" x14ac:dyDescent="0.25">
      <c r="AT6162" s="74"/>
      <c r="AW6162" s="74"/>
    </row>
    <row r="6163" spans="46:49" x14ac:dyDescent="0.25">
      <c r="AT6163" s="74"/>
      <c r="AW6163" s="74"/>
    </row>
    <row r="6164" spans="46:49" x14ac:dyDescent="0.25">
      <c r="AT6164" s="74"/>
      <c r="AW6164" s="74"/>
    </row>
    <row r="6165" spans="46:49" x14ac:dyDescent="0.25">
      <c r="AT6165" s="74"/>
      <c r="AW6165" s="74"/>
    </row>
    <row r="6166" spans="46:49" x14ac:dyDescent="0.25">
      <c r="AT6166" s="74"/>
      <c r="AW6166" s="74"/>
    </row>
    <row r="6167" spans="46:49" x14ac:dyDescent="0.25">
      <c r="AT6167" s="74"/>
      <c r="AW6167" s="74"/>
    </row>
    <row r="6168" spans="46:49" x14ac:dyDescent="0.25">
      <c r="AT6168" s="74"/>
      <c r="AW6168" s="74"/>
    </row>
    <row r="6169" spans="46:49" x14ac:dyDescent="0.25">
      <c r="AT6169" s="74"/>
      <c r="AW6169" s="74"/>
    </row>
    <row r="6170" spans="46:49" x14ac:dyDescent="0.25">
      <c r="AT6170" s="74"/>
      <c r="AW6170" s="74"/>
    </row>
    <row r="6171" spans="46:49" x14ac:dyDescent="0.25">
      <c r="AT6171" s="74"/>
      <c r="AW6171" s="74"/>
    </row>
    <row r="6172" spans="46:49" x14ac:dyDescent="0.25">
      <c r="AT6172" s="74"/>
      <c r="AW6172" s="74"/>
    </row>
    <row r="6173" spans="46:49" x14ac:dyDescent="0.25">
      <c r="AT6173" s="74"/>
      <c r="AW6173" s="74"/>
    </row>
    <row r="6174" spans="46:49" x14ac:dyDescent="0.25">
      <c r="AT6174" s="74"/>
      <c r="AW6174" s="74"/>
    </row>
    <row r="6175" spans="46:49" x14ac:dyDescent="0.25">
      <c r="AT6175" s="74"/>
      <c r="AW6175" s="74"/>
    </row>
    <row r="6176" spans="46:49" x14ac:dyDescent="0.25">
      <c r="AT6176" s="74"/>
      <c r="AW6176" s="74"/>
    </row>
    <row r="6177" spans="46:49" x14ac:dyDescent="0.25">
      <c r="AT6177" s="74"/>
      <c r="AW6177" s="74"/>
    </row>
    <row r="6178" spans="46:49" x14ac:dyDescent="0.25">
      <c r="AT6178" s="74"/>
      <c r="AW6178" s="74"/>
    </row>
    <row r="6179" spans="46:49" x14ac:dyDescent="0.25">
      <c r="AT6179" s="74"/>
      <c r="AW6179" s="74"/>
    </row>
    <row r="6180" spans="46:49" x14ac:dyDescent="0.25">
      <c r="AT6180" s="74"/>
      <c r="AW6180" s="74"/>
    </row>
    <row r="6181" spans="46:49" x14ac:dyDescent="0.25">
      <c r="AT6181" s="74"/>
      <c r="AW6181" s="74"/>
    </row>
    <row r="6182" spans="46:49" x14ac:dyDescent="0.25">
      <c r="AT6182" s="74"/>
      <c r="AW6182" s="74"/>
    </row>
    <row r="6183" spans="46:49" x14ac:dyDescent="0.25">
      <c r="AT6183" s="74"/>
      <c r="AW6183" s="74"/>
    </row>
    <row r="6184" spans="46:49" x14ac:dyDescent="0.25">
      <c r="AT6184" s="74"/>
      <c r="AW6184" s="74"/>
    </row>
    <row r="6185" spans="46:49" x14ac:dyDescent="0.25">
      <c r="AT6185" s="74"/>
      <c r="AW6185" s="74"/>
    </row>
    <row r="6186" spans="46:49" x14ac:dyDescent="0.25">
      <c r="AT6186" s="74"/>
      <c r="AW6186" s="74"/>
    </row>
    <row r="6187" spans="46:49" x14ac:dyDescent="0.25">
      <c r="AT6187" s="74"/>
      <c r="AW6187" s="74"/>
    </row>
    <row r="6188" spans="46:49" x14ac:dyDescent="0.25">
      <c r="AT6188" s="74"/>
      <c r="AW6188" s="74"/>
    </row>
    <row r="6189" spans="46:49" x14ac:dyDescent="0.25">
      <c r="AT6189" s="74"/>
      <c r="AW6189" s="74"/>
    </row>
    <row r="6190" spans="46:49" x14ac:dyDescent="0.25">
      <c r="AT6190" s="74"/>
      <c r="AW6190" s="74"/>
    </row>
    <row r="6191" spans="46:49" x14ac:dyDescent="0.25">
      <c r="AT6191" s="74"/>
      <c r="AW6191" s="74"/>
    </row>
    <row r="6192" spans="46:49" x14ac:dyDescent="0.25">
      <c r="AT6192" s="74"/>
      <c r="AW6192" s="74"/>
    </row>
    <row r="6193" spans="46:49" x14ac:dyDescent="0.25">
      <c r="AT6193" s="74"/>
      <c r="AW6193" s="74"/>
    </row>
    <row r="6194" spans="46:49" x14ac:dyDescent="0.25">
      <c r="AT6194" s="74"/>
      <c r="AW6194" s="74"/>
    </row>
    <row r="6195" spans="46:49" x14ac:dyDescent="0.25">
      <c r="AT6195" s="74"/>
      <c r="AW6195" s="74"/>
    </row>
    <row r="6196" spans="46:49" x14ac:dyDescent="0.25">
      <c r="AT6196" s="74"/>
      <c r="AW6196" s="74"/>
    </row>
    <row r="6197" spans="46:49" x14ac:dyDescent="0.25">
      <c r="AT6197" s="74"/>
      <c r="AW6197" s="74"/>
    </row>
    <row r="6198" spans="46:49" x14ac:dyDescent="0.25">
      <c r="AT6198" s="74"/>
      <c r="AW6198" s="74"/>
    </row>
    <row r="6199" spans="46:49" x14ac:dyDescent="0.25">
      <c r="AT6199" s="74"/>
      <c r="AW6199" s="74"/>
    </row>
    <row r="6200" spans="46:49" x14ac:dyDescent="0.25">
      <c r="AT6200" s="74"/>
      <c r="AW6200" s="74"/>
    </row>
    <row r="6201" spans="46:49" x14ac:dyDescent="0.25">
      <c r="AT6201" s="74"/>
      <c r="AW6201" s="74"/>
    </row>
    <row r="6202" spans="46:49" x14ac:dyDescent="0.25">
      <c r="AT6202" s="74"/>
      <c r="AW6202" s="74"/>
    </row>
    <row r="6203" spans="46:49" x14ac:dyDescent="0.25">
      <c r="AT6203" s="74"/>
      <c r="AW6203" s="74"/>
    </row>
    <row r="6204" spans="46:49" x14ac:dyDescent="0.25">
      <c r="AT6204" s="74"/>
      <c r="AW6204" s="74"/>
    </row>
    <row r="6205" spans="46:49" x14ac:dyDescent="0.25">
      <c r="AT6205" s="74"/>
      <c r="AW6205" s="74"/>
    </row>
    <row r="6206" spans="46:49" x14ac:dyDescent="0.25">
      <c r="AT6206" s="74"/>
      <c r="AW6206" s="74"/>
    </row>
    <row r="6207" spans="46:49" x14ac:dyDescent="0.25">
      <c r="AT6207" s="74"/>
      <c r="AW6207" s="74"/>
    </row>
    <row r="6208" spans="46:49" x14ac:dyDescent="0.25">
      <c r="AT6208" s="74"/>
      <c r="AW6208" s="74"/>
    </row>
    <row r="6209" spans="46:49" x14ac:dyDescent="0.25">
      <c r="AT6209" s="74"/>
      <c r="AW6209" s="74"/>
    </row>
    <row r="6210" spans="46:49" x14ac:dyDescent="0.25">
      <c r="AT6210" s="74"/>
      <c r="AW6210" s="74"/>
    </row>
    <row r="6211" spans="46:49" x14ac:dyDescent="0.25">
      <c r="AT6211" s="74"/>
      <c r="AW6211" s="74"/>
    </row>
    <row r="6212" spans="46:49" x14ac:dyDescent="0.25">
      <c r="AT6212" s="74"/>
      <c r="AW6212" s="74"/>
    </row>
    <row r="6213" spans="46:49" x14ac:dyDescent="0.25">
      <c r="AT6213" s="74"/>
      <c r="AW6213" s="74"/>
    </row>
    <row r="6214" spans="46:49" x14ac:dyDescent="0.25">
      <c r="AT6214" s="74"/>
      <c r="AW6214" s="74"/>
    </row>
    <row r="6215" spans="46:49" x14ac:dyDescent="0.25">
      <c r="AT6215" s="74"/>
      <c r="AW6215" s="74"/>
    </row>
    <row r="6216" spans="46:49" x14ac:dyDescent="0.25">
      <c r="AT6216" s="74"/>
      <c r="AW6216" s="74"/>
    </row>
    <row r="6217" spans="46:49" x14ac:dyDescent="0.25">
      <c r="AT6217" s="74"/>
      <c r="AW6217" s="74"/>
    </row>
    <row r="6218" spans="46:49" x14ac:dyDescent="0.25">
      <c r="AT6218" s="74"/>
      <c r="AW6218" s="74"/>
    </row>
    <row r="6219" spans="46:49" x14ac:dyDescent="0.25">
      <c r="AT6219" s="74"/>
      <c r="AW6219" s="74"/>
    </row>
    <row r="6220" spans="46:49" x14ac:dyDescent="0.25">
      <c r="AT6220" s="74"/>
      <c r="AW6220" s="74"/>
    </row>
    <row r="6221" spans="46:49" x14ac:dyDescent="0.25">
      <c r="AT6221" s="74"/>
      <c r="AW6221" s="74"/>
    </row>
    <row r="6222" spans="46:49" x14ac:dyDescent="0.25">
      <c r="AT6222" s="74"/>
      <c r="AW6222" s="74"/>
    </row>
    <row r="6223" spans="46:49" x14ac:dyDescent="0.25">
      <c r="AT6223" s="74"/>
      <c r="AW6223" s="74"/>
    </row>
    <row r="6224" spans="46:49" x14ac:dyDescent="0.25">
      <c r="AT6224" s="74"/>
      <c r="AW6224" s="74"/>
    </row>
    <row r="6225" spans="46:49" x14ac:dyDescent="0.25">
      <c r="AT6225" s="74"/>
      <c r="AW6225" s="74"/>
    </row>
    <row r="6226" spans="46:49" x14ac:dyDescent="0.25">
      <c r="AT6226" s="74"/>
      <c r="AW6226" s="74"/>
    </row>
    <row r="6227" spans="46:49" x14ac:dyDescent="0.25">
      <c r="AT6227" s="74"/>
      <c r="AW6227" s="74"/>
    </row>
    <row r="6228" spans="46:49" x14ac:dyDescent="0.25">
      <c r="AT6228" s="74"/>
      <c r="AW6228" s="74"/>
    </row>
    <row r="6229" spans="46:49" x14ac:dyDescent="0.25">
      <c r="AT6229" s="74"/>
      <c r="AW6229" s="74"/>
    </row>
    <row r="6230" spans="46:49" x14ac:dyDescent="0.25">
      <c r="AT6230" s="74"/>
      <c r="AW6230" s="74"/>
    </row>
    <row r="6231" spans="46:49" x14ac:dyDescent="0.25">
      <c r="AT6231" s="74"/>
      <c r="AW6231" s="74"/>
    </row>
    <row r="6232" spans="46:49" x14ac:dyDescent="0.25">
      <c r="AT6232" s="74"/>
      <c r="AW6232" s="74"/>
    </row>
    <row r="6233" spans="46:49" x14ac:dyDescent="0.25">
      <c r="AT6233" s="74"/>
      <c r="AW6233" s="74"/>
    </row>
    <row r="6234" spans="46:49" x14ac:dyDescent="0.25">
      <c r="AT6234" s="74"/>
      <c r="AW6234" s="74"/>
    </row>
    <row r="6235" spans="46:49" x14ac:dyDescent="0.25">
      <c r="AT6235" s="74"/>
      <c r="AW6235" s="74"/>
    </row>
    <row r="6236" spans="46:49" x14ac:dyDescent="0.25">
      <c r="AT6236" s="74"/>
      <c r="AW6236" s="74"/>
    </row>
    <row r="6237" spans="46:49" x14ac:dyDescent="0.25">
      <c r="AT6237" s="74"/>
      <c r="AW6237" s="74"/>
    </row>
    <row r="6238" spans="46:49" x14ac:dyDescent="0.25">
      <c r="AT6238" s="74"/>
      <c r="AW6238" s="74"/>
    </row>
    <row r="6239" spans="46:49" x14ac:dyDescent="0.25">
      <c r="AT6239" s="74"/>
      <c r="AW6239" s="74"/>
    </row>
    <row r="6240" spans="46:49" x14ac:dyDescent="0.25">
      <c r="AT6240" s="74"/>
      <c r="AW6240" s="74"/>
    </row>
    <row r="6241" spans="46:49" x14ac:dyDescent="0.25">
      <c r="AT6241" s="74"/>
      <c r="AW6241" s="74"/>
    </row>
    <row r="6242" spans="46:49" x14ac:dyDescent="0.25">
      <c r="AT6242" s="74"/>
      <c r="AW6242" s="74"/>
    </row>
    <row r="6243" spans="46:49" x14ac:dyDescent="0.25">
      <c r="AT6243" s="74"/>
      <c r="AW6243" s="74"/>
    </row>
    <row r="6244" spans="46:49" x14ac:dyDescent="0.25">
      <c r="AT6244" s="74"/>
      <c r="AW6244" s="74"/>
    </row>
    <row r="6245" spans="46:49" x14ac:dyDescent="0.25">
      <c r="AT6245" s="74"/>
      <c r="AW6245" s="74"/>
    </row>
    <row r="6246" spans="46:49" x14ac:dyDescent="0.25">
      <c r="AT6246" s="74"/>
      <c r="AW6246" s="74"/>
    </row>
    <row r="6247" spans="46:49" x14ac:dyDescent="0.25">
      <c r="AT6247" s="74"/>
      <c r="AW6247" s="74"/>
    </row>
    <row r="6248" spans="46:49" x14ac:dyDescent="0.25">
      <c r="AT6248" s="74"/>
      <c r="AW6248" s="74"/>
    </row>
    <row r="6249" spans="46:49" x14ac:dyDescent="0.25">
      <c r="AT6249" s="74"/>
      <c r="AW6249" s="74"/>
    </row>
    <row r="6250" spans="46:49" x14ac:dyDescent="0.25">
      <c r="AT6250" s="74"/>
      <c r="AW6250" s="74"/>
    </row>
    <row r="6251" spans="46:49" x14ac:dyDescent="0.25">
      <c r="AT6251" s="74"/>
      <c r="AW6251" s="74"/>
    </row>
    <row r="6252" spans="46:49" x14ac:dyDescent="0.25">
      <c r="AT6252" s="74"/>
      <c r="AW6252" s="74"/>
    </row>
    <row r="6253" spans="46:49" x14ac:dyDescent="0.25">
      <c r="AT6253" s="74"/>
      <c r="AW6253" s="74"/>
    </row>
    <row r="6254" spans="46:49" x14ac:dyDescent="0.25">
      <c r="AT6254" s="74"/>
      <c r="AW6254" s="74"/>
    </row>
    <row r="6255" spans="46:49" x14ac:dyDescent="0.25">
      <c r="AT6255" s="74"/>
      <c r="AW6255" s="74"/>
    </row>
    <row r="6256" spans="46:49" x14ac:dyDescent="0.25">
      <c r="AT6256" s="74"/>
      <c r="AW6256" s="74"/>
    </row>
    <row r="6257" spans="46:49" x14ac:dyDescent="0.25">
      <c r="AT6257" s="74"/>
      <c r="AW6257" s="74"/>
    </row>
    <row r="6258" spans="46:49" x14ac:dyDescent="0.25">
      <c r="AT6258" s="74"/>
      <c r="AW6258" s="74"/>
    </row>
    <row r="6259" spans="46:49" x14ac:dyDescent="0.25">
      <c r="AT6259" s="74"/>
      <c r="AW6259" s="74"/>
    </row>
    <row r="6260" spans="46:49" x14ac:dyDescent="0.25">
      <c r="AT6260" s="74"/>
      <c r="AW6260" s="74"/>
    </row>
    <row r="6261" spans="46:49" x14ac:dyDescent="0.25">
      <c r="AT6261" s="74"/>
      <c r="AW6261" s="74"/>
    </row>
    <row r="6262" spans="46:49" x14ac:dyDescent="0.25">
      <c r="AT6262" s="74"/>
      <c r="AW6262" s="74"/>
    </row>
    <row r="6263" spans="46:49" x14ac:dyDescent="0.25">
      <c r="AT6263" s="74"/>
      <c r="AW6263" s="74"/>
    </row>
    <row r="6264" spans="46:49" x14ac:dyDescent="0.25">
      <c r="AT6264" s="74"/>
      <c r="AW6264" s="74"/>
    </row>
    <row r="6265" spans="46:49" x14ac:dyDescent="0.25">
      <c r="AT6265" s="74"/>
      <c r="AW6265" s="74"/>
    </row>
    <row r="6266" spans="46:49" x14ac:dyDescent="0.25">
      <c r="AT6266" s="74"/>
      <c r="AW6266" s="74"/>
    </row>
    <row r="6267" spans="46:49" x14ac:dyDescent="0.25">
      <c r="AT6267" s="74"/>
      <c r="AW6267" s="74"/>
    </row>
    <row r="6268" spans="46:49" x14ac:dyDescent="0.25">
      <c r="AT6268" s="74"/>
      <c r="AW6268" s="74"/>
    </row>
    <row r="6269" spans="46:49" x14ac:dyDescent="0.25">
      <c r="AT6269" s="74"/>
      <c r="AW6269" s="74"/>
    </row>
    <row r="6270" spans="46:49" x14ac:dyDescent="0.25">
      <c r="AT6270" s="74"/>
      <c r="AW6270" s="74"/>
    </row>
    <row r="6271" spans="46:49" x14ac:dyDescent="0.25">
      <c r="AT6271" s="74"/>
      <c r="AW6271" s="74"/>
    </row>
    <row r="6272" spans="46:49" x14ac:dyDescent="0.25">
      <c r="AT6272" s="74"/>
      <c r="AW6272" s="74"/>
    </row>
    <row r="6273" spans="46:49" x14ac:dyDescent="0.25">
      <c r="AT6273" s="74"/>
      <c r="AW6273" s="74"/>
    </row>
    <row r="6274" spans="46:49" x14ac:dyDescent="0.25">
      <c r="AT6274" s="74"/>
      <c r="AW6274" s="74"/>
    </row>
    <row r="6275" spans="46:49" x14ac:dyDescent="0.25">
      <c r="AT6275" s="74"/>
      <c r="AW6275" s="74"/>
    </row>
    <row r="6276" spans="46:49" x14ac:dyDescent="0.25">
      <c r="AT6276" s="74"/>
      <c r="AW6276" s="74"/>
    </row>
    <row r="6277" spans="46:49" x14ac:dyDescent="0.25">
      <c r="AT6277" s="74"/>
      <c r="AW6277" s="74"/>
    </row>
    <row r="6278" spans="46:49" x14ac:dyDescent="0.25">
      <c r="AT6278" s="74"/>
      <c r="AW6278" s="74"/>
    </row>
    <row r="6279" spans="46:49" x14ac:dyDescent="0.25">
      <c r="AT6279" s="74"/>
      <c r="AW6279" s="74"/>
    </row>
    <row r="6280" spans="46:49" x14ac:dyDescent="0.25">
      <c r="AT6280" s="74"/>
      <c r="AW6280" s="74"/>
    </row>
    <row r="6281" spans="46:49" x14ac:dyDescent="0.25">
      <c r="AT6281" s="74"/>
      <c r="AW6281" s="74"/>
    </row>
    <row r="6282" spans="46:49" x14ac:dyDescent="0.25">
      <c r="AT6282" s="74"/>
      <c r="AW6282" s="74"/>
    </row>
    <row r="6283" spans="46:49" x14ac:dyDescent="0.25">
      <c r="AT6283" s="74"/>
      <c r="AW6283" s="74"/>
    </row>
    <row r="6284" spans="46:49" x14ac:dyDescent="0.25">
      <c r="AT6284" s="74"/>
      <c r="AW6284" s="74"/>
    </row>
    <row r="6285" spans="46:49" x14ac:dyDescent="0.25">
      <c r="AT6285" s="74"/>
      <c r="AW6285" s="74"/>
    </row>
    <row r="6286" spans="46:49" x14ac:dyDescent="0.25">
      <c r="AT6286" s="74"/>
      <c r="AW6286" s="74"/>
    </row>
    <row r="6287" spans="46:49" x14ac:dyDescent="0.25">
      <c r="AT6287" s="74"/>
      <c r="AW6287" s="74"/>
    </row>
    <row r="6288" spans="46:49" x14ac:dyDescent="0.25">
      <c r="AT6288" s="74"/>
      <c r="AW6288" s="74"/>
    </row>
    <row r="6289" spans="46:49" x14ac:dyDescent="0.25">
      <c r="AT6289" s="74"/>
      <c r="AW6289" s="74"/>
    </row>
    <row r="6290" spans="46:49" x14ac:dyDescent="0.25">
      <c r="AT6290" s="74"/>
      <c r="AW6290" s="74"/>
    </row>
    <row r="6291" spans="46:49" x14ac:dyDescent="0.25">
      <c r="AT6291" s="74"/>
      <c r="AW6291" s="74"/>
    </row>
    <row r="6292" spans="46:49" x14ac:dyDescent="0.25">
      <c r="AT6292" s="74"/>
      <c r="AW6292" s="74"/>
    </row>
    <row r="6293" spans="46:49" x14ac:dyDescent="0.25">
      <c r="AT6293" s="74"/>
      <c r="AW6293" s="74"/>
    </row>
    <row r="6294" spans="46:49" x14ac:dyDescent="0.25">
      <c r="AT6294" s="74"/>
      <c r="AW6294" s="74"/>
    </row>
    <row r="6295" spans="46:49" x14ac:dyDescent="0.25">
      <c r="AT6295" s="74"/>
      <c r="AW6295" s="74"/>
    </row>
    <row r="6296" spans="46:49" x14ac:dyDescent="0.25">
      <c r="AT6296" s="74"/>
      <c r="AW6296" s="74"/>
    </row>
    <row r="6297" spans="46:49" x14ac:dyDescent="0.25">
      <c r="AT6297" s="74"/>
      <c r="AW6297" s="74"/>
    </row>
    <row r="6298" spans="46:49" x14ac:dyDescent="0.25">
      <c r="AT6298" s="74"/>
      <c r="AW6298" s="74"/>
    </row>
    <row r="6299" spans="46:49" x14ac:dyDescent="0.25">
      <c r="AT6299" s="74"/>
      <c r="AW6299" s="74"/>
    </row>
    <row r="6300" spans="46:49" x14ac:dyDescent="0.25">
      <c r="AT6300" s="74"/>
      <c r="AW6300" s="74"/>
    </row>
    <row r="6301" spans="46:49" x14ac:dyDescent="0.25">
      <c r="AT6301" s="74"/>
      <c r="AW6301" s="74"/>
    </row>
    <row r="6302" spans="46:49" x14ac:dyDescent="0.25">
      <c r="AT6302" s="74"/>
      <c r="AW6302" s="74"/>
    </row>
    <row r="6303" spans="46:49" x14ac:dyDescent="0.25">
      <c r="AT6303" s="74"/>
      <c r="AW6303" s="74"/>
    </row>
    <row r="6304" spans="46:49" x14ac:dyDescent="0.25">
      <c r="AT6304" s="74"/>
      <c r="AW6304" s="74"/>
    </row>
    <row r="6305" spans="46:49" x14ac:dyDescent="0.25">
      <c r="AT6305" s="74"/>
      <c r="AW6305" s="74"/>
    </row>
    <row r="6306" spans="46:49" x14ac:dyDescent="0.25">
      <c r="AT6306" s="74"/>
      <c r="AW6306" s="74"/>
    </row>
    <row r="6307" spans="46:49" x14ac:dyDescent="0.25">
      <c r="AT6307" s="74"/>
      <c r="AW6307" s="74"/>
    </row>
    <row r="6308" spans="46:49" x14ac:dyDescent="0.25">
      <c r="AT6308" s="74"/>
      <c r="AW6308" s="74"/>
    </row>
    <row r="6309" spans="46:49" x14ac:dyDescent="0.25">
      <c r="AT6309" s="74"/>
      <c r="AW6309" s="74"/>
    </row>
    <row r="6310" spans="46:49" x14ac:dyDescent="0.25">
      <c r="AT6310" s="74"/>
      <c r="AW6310" s="74"/>
    </row>
    <row r="6311" spans="46:49" x14ac:dyDescent="0.25">
      <c r="AT6311" s="74"/>
      <c r="AW6311" s="74"/>
    </row>
    <row r="6312" spans="46:49" x14ac:dyDescent="0.25">
      <c r="AT6312" s="74"/>
      <c r="AW6312" s="74"/>
    </row>
    <row r="6313" spans="46:49" x14ac:dyDescent="0.25">
      <c r="AT6313" s="74"/>
      <c r="AW6313" s="74"/>
    </row>
    <row r="6314" spans="46:49" x14ac:dyDescent="0.25">
      <c r="AT6314" s="74"/>
      <c r="AW6314" s="74"/>
    </row>
    <row r="6315" spans="46:49" x14ac:dyDescent="0.25">
      <c r="AT6315" s="74"/>
      <c r="AW6315" s="74"/>
    </row>
    <row r="6316" spans="46:49" x14ac:dyDescent="0.25">
      <c r="AT6316" s="74"/>
      <c r="AW6316" s="74"/>
    </row>
    <row r="6317" spans="46:49" x14ac:dyDescent="0.25">
      <c r="AT6317" s="74"/>
      <c r="AW6317" s="74"/>
    </row>
    <row r="6318" spans="46:49" x14ac:dyDescent="0.25">
      <c r="AT6318" s="74"/>
      <c r="AW6318" s="74"/>
    </row>
    <row r="6319" spans="46:49" x14ac:dyDescent="0.25">
      <c r="AT6319" s="74"/>
      <c r="AW6319" s="74"/>
    </row>
    <row r="6320" spans="46:49" x14ac:dyDescent="0.25">
      <c r="AT6320" s="74"/>
      <c r="AW6320" s="74"/>
    </row>
    <row r="6321" spans="46:49" x14ac:dyDescent="0.25">
      <c r="AT6321" s="74"/>
      <c r="AW6321" s="74"/>
    </row>
    <row r="6322" spans="46:49" x14ac:dyDescent="0.25">
      <c r="AT6322" s="74"/>
      <c r="AW6322" s="74"/>
    </row>
    <row r="6323" spans="46:49" x14ac:dyDescent="0.25">
      <c r="AT6323" s="74"/>
      <c r="AW6323" s="74"/>
    </row>
    <row r="6324" spans="46:49" x14ac:dyDescent="0.25">
      <c r="AT6324" s="74"/>
      <c r="AW6324" s="74"/>
    </row>
    <row r="6325" spans="46:49" x14ac:dyDescent="0.25">
      <c r="AT6325" s="74"/>
      <c r="AW6325" s="74"/>
    </row>
    <row r="6326" spans="46:49" x14ac:dyDescent="0.25">
      <c r="AT6326" s="74"/>
      <c r="AW6326" s="74"/>
    </row>
    <row r="6327" spans="46:49" x14ac:dyDescent="0.25">
      <c r="AT6327" s="74"/>
      <c r="AW6327" s="74"/>
    </row>
    <row r="6328" spans="46:49" x14ac:dyDescent="0.25">
      <c r="AT6328" s="74"/>
      <c r="AW6328" s="74"/>
    </row>
    <row r="6329" spans="46:49" x14ac:dyDescent="0.25">
      <c r="AT6329" s="74"/>
      <c r="AW6329" s="74"/>
    </row>
    <row r="6330" spans="46:49" x14ac:dyDescent="0.25">
      <c r="AT6330" s="74"/>
      <c r="AW6330" s="74"/>
    </row>
    <row r="6331" spans="46:49" x14ac:dyDescent="0.25">
      <c r="AT6331" s="74"/>
      <c r="AW6331" s="74"/>
    </row>
    <row r="6332" spans="46:49" x14ac:dyDescent="0.25">
      <c r="AT6332" s="74"/>
      <c r="AW6332" s="74"/>
    </row>
    <row r="6333" spans="46:49" x14ac:dyDescent="0.25">
      <c r="AT6333" s="74"/>
      <c r="AW6333" s="74"/>
    </row>
    <row r="6334" spans="46:49" x14ac:dyDescent="0.25">
      <c r="AT6334" s="74"/>
      <c r="AW6334" s="74"/>
    </row>
    <row r="6335" spans="46:49" x14ac:dyDescent="0.25">
      <c r="AT6335" s="74"/>
      <c r="AW6335" s="74"/>
    </row>
    <row r="6336" spans="46:49" x14ac:dyDescent="0.25">
      <c r="AT6336" s="74"/>
      <c r="AW6336" s="74"/>
    </row>
    <row r="6337" spans="46:49" x14ac:dyDescent="0.25">
      <c r="AT6337" s="74"/>
      <c r="AW6337" s="74"/>
    </row>
    <row r="6338" spans="46:49" x14ac:dyDescent="0.25">
      <c r="AT6338" s="74"/>
      <c r="AW6338" s="74"/>
    </row>
    <row r="6339" spans="46:49" x14ac:dyDescent="0.25">
      <c r="AT6339" s="74"/>
      <c r="AW6339" s="74"/>
    </row>
    <row r="6340" spans="46:49" x14ac:dyDescent="0.25">
      <c r="AT6340" s="74"/>
      <c r="AW6340" s="74"/>
    </row>
    <row r="6341" spans="46:49" x14ac:dyDescent="0.25">
      <c r="AT6341" s="74"/>
      <c r="AW6341" s="74"/>
    </row>
    <row r="6342" spans="46:49" x14ac:dyDescent="0.25">
      <c r="AT6342" s="74"/>
      <c r="AW6342" s="74"/>
    </row>
    <row r="6343" spans="46:49" x14ac:dyDescent="0.25">
      <c r="AT6343" s="74"/>
      <c r="AW6343" s="74"/>
    </row>
    <row r="6344" spans="46:49" x14ac:dyDescent="0.25">
      <c r="AT6344" s="74"/>
      <c r="AW6344" s="74"/>
    </row>
    <row r="6345" spans="46:49" x14ac:dyDescent="0.25">
      <c r="AT6345" s="74"/>
      <c r="AW6345" s="74"/>
    </row>
    <row r="6346" spans="46:49" x14ac:dyDescent="0.25">
      <c r="AT6346" s="74"/>
      <c r="AW6346" s="74"/>
    </row>
    <row r="6347" spans="46:49" x14ac:dyDescent="0.25">
      <c r="AT6347" s="74"/>
      <c r="AW6347" s="74"/>
    </row>
    <row r="6348" spans="46:49" x14ac:dyDescent="0.25">
      <c r="AT6348" s="74"/>
      <c r="AW6348" s="74"/>
    </row>
    <row r="6349" spans="46:49" x14ac:dyDescent="0.25">
      <c r="AT6349" s="74"/>
      <c r="AW6349" s="74"/>
    </row>
    <row r="6350" spans="46:49" x14ac:dyDescent="0.25">
      <c r="AT6350" s="74"/>
      <c r="AW6350" s="74"/>
    </row>
    <row r="6351" spans="46:49" x14ac:dyDescent="0.25">
      <c r="AT6351" s="74"/>
      <c r="AW6351" s="74"/>
    </row>
    <row r="6352" spans="46:49" x14ac:dyDescent="0.25">
      <c r="AT6352" s="74"/>
      <c r="AW6352" s="74"/>
    </row>
    <row r="6353" spans="46:49" x14ac:dyDescent="0.25">
      <c r="AT6353" s="74"/>
      <c r="AW6353" s="74"/>
    </row>
    <row r="6354" spans="46:49" x14ac:dyDescent="0.25">
      <c r="AT6354" s="74"/>
      <c r="AW6354" s="74"/>
    </row>
    <row r="6355" spans="46:49" x14ac:dyDescent="0.25">
      <c r="AT6355" s="74"/>
      <c r="AW6355" s="74"/>
    </row>
    <row r="6356" spans="46:49" x14ac:dyDescent="0.25">
      <c r="AT6356" s="74"/>
      <c r="AW6356" s="74"/>
    </row>
    <row r="6357" spans="46:49" x14ac:dyDescent="0.25">
      <c r="AT6357" s="74"/>
      <c r="AW6357" s="74"/>
    </row>
    <row r="6358" spans="46:49" x14ac:dyDescent="0.25">
      <c r="AT6358" s="74"/>
      <c r="AW6358" s="74"/>
    </row>
    <row r="6359" spans="46:49" x14ac:dyDescent="0.25">
      <c r="AT6359" s="74"/>
      <c r="AW6359" s="74"/>
    </row>
    <row r="6360" spans="46:49" x14ac:dyDescent="0.25">
      <c r="AT6360" s="74"/>
      <c r="AW6360" s="74"/>
    </row>
    <row r="6361" spans="46:49" x14ac:dyDescent="0.25">
      <c r="AT6361" s="74"/>
      <c r="AW6361" s="74"/>
    </row>
    <row r="6362" spans="46:49" x14ac:dyDescent="0.25">
      <c r="AT6362" s="74"/>
      <c r="AW6362" s="74"/>
    </row>
    <row r="6363" spans="46:49" x14ac:dyDescent="0.25">
      <c r="AT6363" s="74"/>
      <c r="AW6363" s="74"/>
    </row>
    <row r="6364" spans="46:49" x14ac:dyDescent="0.25">
      <c r="AT6364" s="74"/>
      <c r="AW6364" s="74"/>
    </row>
    <row r="6365" spans="46:49" x14ac:dyDescent="0.25">
      <c r="AT6365" s="74"/>
      <c r="AW6365" s="74"/>
    </row>
    <row r="6366" spans="46:49" x14ac:dyDescent="0.25">
      <c r="AT6366" s="74"/>
      <c r="AW6366" s="74"/>
    </row>
    <row r="6367" spans="46:49" x14ac:dyDescent="0.25">
      <c r="AT6367" s="74"/>
      <c r="AW6367" s="74"/>
    </row>
    <row r="6368" spans="46:49" x14ac:dyDescent="0.25">
      <c r="AT6368" s="74"/>
      <c r="AW6368" s="74"/>
    </row>
    <row r="6369" spans="46:49" x14ac:dyDescent="0.25">
      <c r="AT6369" s="74"/>
      <c r="AW6369" s="74"/>
    </row>
    <row r="6370" spans="46:49" x14ac:dyDescent="0.25">
      <c r="AT6370" s="74"/>
      <c r="AW6370" s="74"/>
    </row>
    <row r="6371" spans="46:49" x14ac:dyDescent="0.25">
      <c r="AT6371" s="74"/>
      <c r="AW6371" s="74"/>
    </row>
    <row r="6372" spans="46:49" x14ac:dyDescent="0.25">
      <c r="AT6372" s="74"/>
      <c r="AW6372" s="74"/>
    </row>
    <row r="6373" spans="46:49" x14ac:dyDescent="0.25">
      <c r="AT6373" s="74"/>
      <c r="AW6373" s="74"/>
    </row>
    <row r="6374" spans="46:49" x14ac:dyDescent="0.25">
      <c r="AT6374" s="74"/>
      <c r="AW6374" s="74"/>
    </row>
    <row r="6375" spans="46:49" x14ac:dyDescent="0.25">
      <c r="AT6375" s="74"/>
      <c r="AW6375" s="74"/>
    </row>
    <row r="6376" spans="46:49" x14ac:dyDescent="0.25">
      <c r="AT6376" s="74"/>
      <c r="AW6376" s="74"/>
    </row>
    <row r="6377" spans="46:49" x14ac:dyDescent="0.25">
      <c r="AT6377" s="74"/>
      <c r="AW6377" s="74"/>
    </row>
    <row r="6378" spans="46:49" x14ac:dyDescent="0.25">
      <c r="AT6378" s="74"/>
      <c r="AW6378" s="74"/>
    </row>
    <row r="6379" spans="46:49" x14ac:dyDescent="0.25">
      <c r="AT6379" s="74"/>
      <c r="AW6379" s="74"/>
    </row>
    <row r="6380" spans="46:49" x14ac:dyDescent="0.25">
      <c r="AT6380" s="74"/>
      <c r="AW6380" s="74"/>
    </row>
    <row r="6381" spans="46:49" x14ac:dyDescent="0.25">
      <c r="AT6381" s="74"/>
      <c r="AW6381" s="74"/>
    </row>
    <row r="6382" spans="46:49" x14ac:dyDescent="0.25">
      <c r="AT6382" s="74"/>
      <c r="AW6382" s="74"/>
    </row>
    <row r="6383" spans="46:49" x14ac:dyDescent="0.25">
      <c r="AT6383" s="74"/>
      <c r="AW6383" s="74"/>
    </row>
    <row r="6384" spans="46:49" x14ac:dyDescent="0.25">
      <c r="AT6384" s="74"/>
      <c r="AW6384" s="74"/>
    </row>
    <row r="6385" spans="46:49" x14ac:dyDescent="0.25">
      <c r="AT6385" s="74"/>
      <c r="AW6385" s="74"/>
    </row>
    <row r="6386" spans="46:49" x14ac:dyDescent="0.25">
      <c r="AT6386" s="74"/>
      <c r="AW6386" s="74"/>
    </row>
    <row r="6387" spans="46:49" x14ac:dyDescent="0.25">
      <c r="AT6387" s="74"/>
      <c r="AW6387" s="74"/>
    </row>
    <row r="6388" spans="46:49" x14ac:dyDescent="0.25">
      <c r="AT6388" s="74"/>
      <c r="AW6388" s="74"/>
    </row>
    <row r="6389" spans="46:49" x14ac:dyDescent="0.25">
      <c r="AT6389" s="74"/>
      <c r="AW6389" s="74"/>
    </row>
    <row r="6390" spans="46:49" x14ac:dyDescent="0.25">
      <c r="AT6390" s="74"/>
      <c r="AW6390" s="74"/>
    </row>
    <row r="6391" spans="46:49" x14ac:dyDescent="0.25">
      <c r="AT6391" s="74"/>
      <c r="AW6391" s="74"/>
    </row>
    <row r="6392" spans="46:49" x14ac:dyDescent="0.25">
      <c r="AT6392" s="74"/>
      <c r="AW6392" s="74"/>
    </row>
    <row r="6393" spans="46:49" x14ac:dyDescent="0.25">
      <c r="AT6393" s="74"/>
      <c r="AW6393" s="74"/>
    </row>
    <row r="6394" spans="46:49" x14ac:dyDescent="0.25">
      <c r="AT6394" s="74"/>
      <c r="AW6394" s="74"/>
    </row>
    <row r="6395" spans="46:49" x14ac:dyDescent="0.25">
      <c r="AT6395" s="74"/>
      <c r="AW6395" s="74"/>
    </row>
    <row r="6396" spans="46:49" x14ac:dyDescent="0.25">
      <c r="AT6396" s="74"/>
      <c r="AW6396" s="74"/>
    </row>
    <row r="6397" spans="46:49" x14ac:dyDescent="0.25">
      <c r="AT6397" s="74"/>
      <c r="AW6397" s="74"/>
    </row>
    <row r="6398" spans="46:49" x14ac:dyDescent="0.25">
      <c r="AT6398" s="74"/>
      <c r="AW6398" s="74"/>
    </row>
    <row r="6399" spans="46:49" x14ac:dyDescent="0.25">
      <c r="AT6399" s="74"/>
      <c r="AW6399" s="74"/>
    </row>
    <row r="6400" spans="46:49" x14ac:dyDescent="0.25">
      <c r="AT6400" s="74"/>
      <c r="AW6400" s="74"/>
    </row>
    <row r="6401" spans="46:49" x14ac:dyDescent="0.25">
      <c r="AT6401" s="74"/>
      <c r="AW6401" s="74"/>
    </row>
    <row r="6402" spans="46:49" x14ac:dyDescent="0.25">
      <c r="AT6402" s="74"/>
      <c r="AW6402" s="74"/>
    </row>
    <row r="6403" spans="46:49" x14ac:dyDescent="0.25">
      <c r="AT6403" s="74"/>
      <c r="AW6403" s="74"/>
    </row>
    <row r="6404" spans="46:49" x14ac:dyDescent="0.25">
      <c r="AT6404" s="74"/>
      <c r="AW6404" s="74"/>
    </row>
    <row r="6405" spans="46:49" x14ac:dyDescent="0.25">
      <c r="AT6405" s="74"/>
      <c r="AW6405" s="74"/>
    </row>
    <row r="6406" spans="46:49" x14ac:dyDescent="0.25">
      <c r="AT6406" s="74"/>
      <c r="AW6406" s="74"/>
    </row>
    <row r="6407" spans="46:49" x14ac:dyDescent="0.25">
      <c r="AT6407" s="74"/>
      <c r="AW6407" s="74"/>
    </row>
    <row r="6408" spans="46:49" x14ac:dyDescent="0.25">
      <c r="AT6408" s="74"/>
      <c r="AW6408" s="74"/>
    </row>
    <row r="6409" spans="46:49" x14ac:dyDescent="0.25">
      <c r="AT6409" s="74"/>
      <c r="AW6409" s="74"/>
    </row>
    <row r="6410" spans="46:49" x14ac:dyDescent="0.25">
      <c r="AT6410" s="74"/>
      <c r="AW6410" s="74"/>
    </row>
    <row r="6411" spans="46:49" x14ac:dyDescent="0.25">
      <c r="AT6411" s="74"/>
      <c r="AW6411" s="74"/>
    </row>
    <row r="6412" spans="46:49" x14ac:dyDescent="0.25">
      <c r="AT6412" s="74"/>
      <c r="AW6412" s="74"/>
    </row>
    <row r="6413" spans="46:49" x14ac:dyDescent="0.25">
      <c r="AT6413" s="74"/>
      <c r="AW6413" s="74"/>
    </row>
    <row r="6414" spans="46:49" x14ac:dyDescent="0.25">
      <c r="AT6414" s="74"/>
      <c r="AW6414" s="74"/>
    </row>
    <row r="6415" spans="46:49" x14ac:dyDescent="0.25">
      <c r="AT6415" s="74"/>
      <c r="AW6415" s="74"/>
    </row>
    <row r="6416" spans="46:49" x14ac:dyDescent="0.25">
      <c r="AT6416" s="74"/>
      <c r="AW6416" s="74"/>
    </row>
    <row r="6417" spans="46:49" x14ac:dyDescent="0.25">
      <c r="AT6417" s="74"/>
      <c r="AW6417" s="74"/>
    </row>
    <row r="6418" spans="46:49" x14ac:dyDescent="0.25">
      <c r="AT6418" s="74"/>
      <c r="AW6418" s="74"/>
    </row>
    <row r="6419" spans="46:49" x14ac:dyDescent="0.25">
      <c r="AT6419" s="74"/>
      <c r="AW6419" s="74"/>
    </row>
    <row r="6420" spans="46:49" x14ac:dyDescent="0.25">
      <c r="AT6420" s="74"/>
      <c r="AW6420" s="74"/>
    </row>
    <row r="6421" spans="46:49" x14ac:dyDescent="0.25">
      <c r="AT6421" s="74"/>
      <c r="AW6421" s="74"/>
    </row>
    <row r="6422" spans="46:49" x14ac:dyDescent="0.25">
      <c r="AT6422" s="74"/>
      <c r="AW6422" s="74"/>
    </row>
    <row r="6423" spans="46:49" x14ac:dyDescent="0.25">
      <c r="AT6423" s="74"/>
      <c r="AW6423" s="74"/>
    </row>
    <row r="6424" spans="46:49" x14ac:dyDescent="0.25">
      <c r="AT6424" s="74"/>
      <c r="AW6424" s="74"/>
    </row>
    <row r="6425" spans="46:49" x14ac:dyDescent="0.25">
      <c r="AT6425" s="74"/>
      <c r="AW6425" s="74"/>
    </row>
    <row r="6426" spans="46:49" x14ac:dyDescent="0.25">
      <c r="AT6426" s="74"/>
      <c r="AW6426" s="74"/>
    </row>
    <row r="6427" spans="46:49" x14ac:dyDescent="0.25">
      <c r="AT6427" s="74"/>
      <c r="AW6427" s="74"/>
    </row>
    <row r="6428" spans="46:49" x14ac:dyDescent="0.25">
      <c r="AT6428" s="74"/>
      <c r="AW6428" s="74"/>
    </row>
    <row r="6429" spans="46:49" x14ac:dyDescent="0.25">
      <c r="AT6429" s="74"/>
      <c r="AW6429" s="74"/>
    </row>
    <row r="6430" spans="46:49" x14ac:dyDescent="0.25">
      <c r="AT6430" s="74"/>
      <c r="AW6430" s="74"/>
    </row>
    <row r="6431" spans="46:49" x14ac:dyDescent="0.25">
      <c r="AT6431" s="74"/>
      <c r="AW6431" s="74"/>
    </row>
    <row r="6432" spans="46:49" x14ac:dyDescent="0.25">
      <c r="AT6432" s="74"/>
      <c r="AW6432" s="74"/>
    </row>
    <row r="6433" spans="46:49" x14ac:dyDescent="0.25">
      <c r="AT6433" s="74"/>
      <c r="AW6433" s="74"/>
    </row>
    <row r="6434" spans="46:49" x14ac:dyDescent="0.25">
      <c r="AT6434" s="74"/>
      <c r="AW6434" s="74"/>
    </row>
    <row r="6435" spans="46:49" x14ac:dyDescent="0.25">
      <c r="AT6435" s="74"/>
      <c r="AW6435" s="74"/>
    </row>
    <row r="6436" spans="46:49" x14ac:dyDescent="0.25">
      <c r="AT6436" s="74"/>
      <c r="AW6436" s="74"/>
    </row>
    <row r="6437" spans="46:49" x14ac:dyDescent="0.25">
      <c r="AT6437" s="74"/>
      <c r="AW6437" s="74"/>
    </row>
    <row r="6438" spans="46:49" x14ac:dyDescent="0.25">
      <c r="AT6438" s="74"/>
      <c r="AW6438" s="74"/>
    </row>
    <row r="6439" spans="46:49" x14ac:dyDescent="0.25">
      <c r="AT6439" s="74"/>
      <c r="AW6439" s="74"/>
    </row>
    <row r="6440" spans="46:49" x14ac:dyDescent="0.25">
      <c r="AT6440" s="74"/>
      <c r="AW6440" s="74"/>
    </row>
    <row r="6441" spans="46:49" x14ac:dyDescent="0.25">
      <c r="AT6441" s="74"/>
      <c r="AW6441" s="74"/>
    </row>
    <row r="6442" spans="46:49" x14ac:dyDescent="0.25">
      <c r="AT6442" s="74"/>
      <c r="AW6442" s="74"/>
    </row>
    <row r="6443" spans="46:49" x14ac:dyDescent="0.25">
      <c r="AT6443" s="74"/>
      <c r="AW6443" s="74"/>
    </row>
    <row r="6444" spans="46:49" x14ac:dyDescent="0.25">
      <c r="AT6444" s="74"/>
      <c r="AW6444" s="74"/>
    </row>
    <row r="6445" spans="46:49" x14ac:dyDescent="0.25">
      <c r="AT6445" s="74"/>
      <c r="AW6445" s="74"/>
    </row>
    <row r="6446" spans="46:49" x14ac:dyDescent="0.25">
      <c r="AT6446" s="74"/>
      <c r="AW6446" s="74"/>
    </row>
    <row r="6447" spans="46:49" x14ac:dyDescent="0.25">
      <c r="AT6447" s="74"/>
      <c r="AW6447" s="74"/>
    </row>
    <row r="6448" spans="46:49" x14ac:dyDescent="0.25">
      <c r="AT6448" s="74"/>
      <c r="AW6448" s="74"/>
    </row>
    <row r="6449" spans="46:49" x14ac:dyDescent="0.25">
      <c r="AT6449" s="74"/>
      <c r="AW6449" s="74"/>
    </row>
    <row r="6450" spans="46:49" x14ac:dyDescent="0.25">
      <c r="AT6450" s="74"/>
      <c r="AW6450" s="74"/>
    </row>
    <row r="6451" spans="46:49" x14ac:dyDescent="0.25">
      <c r="AT6451" s="74"/>
      <c r="AW6451" s="74"/>
    </row>
    <row r="6452" spans="46:49" x14ac:dyDescent="0.25">
      <c r="AT6452" s="74"/>
      <c r="AW6452" s="74"/>
    </row>
    <row r="6453" spans="46:49" x14ac:dyDescent="0.25">
      <c r="AT6453" s="74"/>
      <c r="AW6453" s="74"/>
    </row>
    <row r="6454" spans="46:49" x14ac:dyDescent="0.25">
      <c r="AT6454" s="74"/>
      <c r="AW6454" s="74"/>
    </row>
    <row r="6455" spans="46:49" x14ac:dyDescent="0.25">
      <c r="AT6455" s="74"/>
      <c r="AW6455" s="74"/>
    </row>
    <row r="6456" spans="46:49" x14ac:dyDescent="0.25">
      <c r="AT6456" s="74"/>
      <c r="AW6456" s="74"/>
    </row>
    <row r="6457" spans="46:49" x14ac:dyDescent="0.25">
      <c r="AT6457" s="74"/>
      <c r="AW6457" s="74"/>
    </row>
    <row r="6458" spans="46:49" x14ac:dyDescent="0.25">
      <c r="AT6458" s="74"/>
      <c r="AW6458" s="74"/>
    </row>
    <row r="6459" spans="46:49" x14ac:dyDescent="0.25">
      <c r="AT6459" s="74"/>
      <c r="AW6459" s="74"/>
    </row>
    <row r="6460" spans="46:49" x14ac:dyDescent="0.25">
      <c r="AT6460" s="74"/>
      <c r="AW6460" s="74"/>
    </row>
    <row r="6461" spans="46:49" x14ac:dyDescent="0.25">
      <c r="AT6461" s="74"/>
      <c r="AW6461" s="74"/>
    </row>
    <row r="6462" spans="46:49" x14ac:dyDescent="0.25">
      <c r="AT6462" s="74"/>
      <c r="AW6462" s="74"/>
    </row>
    <row r="6463" spans="46:49" x14ac:dyDescent="0.25">
      <c r="AT6463" s="74"/>
      <c r="AW6463" s="74"/>
    </row>
    <row r="6464" spans="46:49" x14ac:dyDescent="0.25">
      <c r="AT6464" s="74"/>
      <c r="AW6464" s="74"/>
    </row>
    <row r="6465" spans="46:49" x14ac:dyDescent="0.25">
      <c r="AT6465" s="74"/>
      <c r="AW6465" s="74"/>
    </row>
    <row r="6466" spans="46:49" x14ac:dyDescent="0.25">
      <c r="AT6466" s="74"/>
      <c r="AW6466" s="74"/>
    </row>
    <row r="6467" spans="46:49" x14ac:dyDescent="0.25">
      <c r="AT6467" s="74"/>
      <c r="AW6467" s="74"/>
    </row>
    <row r="6468" spans="46:49" x14ac:dyDescent="0.25">
      <c r="AT6468" s="74"/>
      <c r="AW6468" s="74"/>
    </row>
    <row r="6469" spans="46:49" x14ac:dyDescent="0.25">
      <c r="AT6469" s="74"/>
      <c r="AW6469" s="74"/>
    </row>
    <row r="6470" spans="46:49" x14ac:dyDescent="0.25">
      <c r="AT6470" s="74"/>
      <c r="AW6470" s="74"/>
    </row>
    <row r="6471" spans="46:49" x14ac:dyDescent="0.25">
      <c r="AT6471" s="74"/>
      <c r="AW6471" s="74"/>
    </row>
    <row r="6472" spans="46:49" x14ac:dyDescent="0.25">
      <c r="AT6472" s="74"/>
      <c r="AW6472" s="74"/>
    </row>
    <row r="6473" spans="46:49" x14ac:dyDescent="0.25">
      <c r="AT6473" s="74"/>
      <c r="AW6473" s="74"/>
    </row>
    <row r="6474" spans="46:49" x14ac:dyDescent="0.25">
      <c r="AT6474" s="74"/>
      <c r="AW6474" s="74"/>
    </row>
    <row r="6475" spans="46:49" x14ac:dyDescent="0.25">
      <c r="AT6475" s="74"/>
      <c r="AW6475" s="74"/>
    </row>
    <row r="6476" spans="46:49" x14ac:dyDescent="0.25">
      <c r="AT6476" s="74"/>
      <c r="AW6476" s="74"/>
    </row>
    <row r="6477" spans="46:49" x14ac:dyDescent="0.25">
      <c r="AT6477" s="74"/>
      <c r="AW6477" s="74"/>
    </row>
    <row r="6478" spans="46:49" x14ac:dyDescent="0.25">
      <c r="AT6478" s="74"/>
      <c r="AW6478" s="74"/>
    </row>
    <row r="6479" spans="46:49" x14ac:dyDescent="0.25">
      <c r="AT6479" s="74"/>
      <c r="AW6479" s="74"/>
    </row>
    <row r="6480" spans="46:49" x14ac:dyDescent="0.25">
      <c r="AT6480" s="74"/>
      <c r="AW6480" s="74"/>
    </row>
    <row r="6481" spans="46:49" x14ac:dyDescent="0.25">
      <c r="AT6481" s="74"/>
      <c r="AW6481" s="74"/>
    </row>
    <row r="6482" spans="46:49" x14ac:dyDescent="0.25">
      <c r="AT6482" s="74"/>
      <c r="AW6482" s="74"/>
    </row>
    <row r="6483" spans="46:49" x14ac:dyDescent="0.25">
      <c r="AT6483" s="74"/>
      <c r="AW6483" s="74"/>
    </row>
    <row r="6484" spans="46:49" x14ac:dyDescent="0.25">
      <c r="AT6484" s="74"/>
      <c r="AW6484" s="74"/>
    </row>
    <row r="6485" spans="46:49" x14ac:dyDescent="0.25">
      <c r="AT6485" s="74"/>
      <c r="AW6485" s="74"/>
    </row>
    <row r="6486" spans="46:49" x14ac:dyDescent="0.25">
      <c r="AT6486" s="74"/>
      <c r="AW6486" s="74"/>
    </row>
    <row r="6487" spans="46:49" x14ac:dyDescent="0.25">
      <c r="AT6487" s="74"/>
      <c r="AW6487" s="74"/>
    </row>
    <row r="6488" spans="46:49" x14ac:dyDescent="0.25">
      <c r="AT6488" s="74"/>
      <c r="AW6488" s="74"/>
    </row>
    <row r="6489" spans="46:49" x14ac:dyDescent="0.25">
      <c r="AT6489" s="74"/>
      <c r="AW6489" s="74"/>
    </row>
    <row r="6490" spans="46:49" x14ac:dyDescent="0.25">
      <c r="AT6490" s="74"/>
      <c r="AW6490" s="74"/>
    </row>
    <row r="6491" spans="46:49" x14ac:dyDescent="0.25">
      <c r="AT6491" s="74"/>
      <c r="AW6491" s="74"/>
    </row>
    <row r="6492" spans="46:49" x14ac:dyDescent="0.25">
      <c r="AT6492" s="74"/>
      <c r="AW6492" s="74"/>
    </row>
    <row r="6493" spans="46:49" x14ac:dyDescent="0.25">
      <c r="AT6493" s="74"/>
      <c r="AW6493" s="74"/>
    </row>
    <row r="6494" spans="46:49" x14ac:dyDescent="0.25">
      <c r="AT6494" s="74"/>
      <c r="AW6494" s="74"/>
    </row>
    <row r="6495" spans="46:49" x14ac:dyDescent="0.25">
      <c r="AT6495" s="74"/>
      <c r="AW6495" s="74"/>
    </row>
    <row r="6496" spans="46:49" x14ac:dyDescent="0.25">
      <c r="AT6496" s="74"/>
      <c r="AW6496" s="74"/>
    </row>
    <row r="6497" spans="46:49" x14ac:dyDescent="0.25">
      <c r="AT6497" s="74"/>
      <c r="AW6497" s="74"/>
    </row>
    <row r="6498" spans="46:49" x14ac:dyDescent="0.25">
      <c r="AT6498" s="74"/>
      <c r="AW6498" s="74"/>
    </row>
    <row r="6499" spans="46:49" x14ac:dyDescent="0.25">
      <c r="AT6499" s="74"/>
      <c r="AW6499" s="74"/>
    </row>
    <row r="6500" spans="46:49" x14ac:dyDescent="0.25">
      <c r="AT6500" s="74"/>
      <c r="AW6500" s="74"/>
    </row>
    <row r="6501" spans="46:49" x14ac:dyDescent="0.25">
      <c r="AT6501" s="74"/>
      <c r="AW6501" s="74"/>
    </row>
    <row r="6502" spans="46:49" x14ac:dyDescent="0.25">
      <c r="AT6502" s="74"/>
      <c r="AW6502" s="74"/>
    </row>
    <row r="6503" spans="46:49" x14ac:dyDescent="0.25">
      <c r="AT6503" s="74"/>
      <c r="AW6503" s="74"/>
    </row>
    <row r="6504" spans="46:49" x14ac:dyDescent="0.25">
      <c r="AT6504" s="74"/>
      <c r="AW6504" s="74"/>
    </row>
    <row r="6505" spans="46:49" x14ac:dyDescent="0.25">
      <c r="AT6505" s="74"/>
      <c r="AW6505" s="74"/>
    </row>
    <row r="6506" spans="46:49" x14ac:dyDescent="0.25">
      <c r="AT6506" s="74"/>
      <c r="AW6506" s="74"/>
    </row>
    <row r="6507" spans="46:49" x14ac:dyDescent="0.25">
      <c r="AT6507" s="74"/>
      <c r="AW6507" s="74"/>
    </row>
    <row r="6508" spans="46:49" x14ac:dyDescent="0.25">
      <c r="AT6508" s="74"/>
      <c r="AW6508" s="74"/>
    </row>
    <row r="6509" spans="46:49" x14ac:dyDescent="0.25">
      <c r="AT6509" s="74"/>
      <c r="AW6509" s="74"/>
    </row>
    <row r="6510" spans="46:49" x14ac:dyDescent="0.25">
      <c r="AT6510" s="74"/>
      <c r="AW6510" s="74"/>
    </row>
    <row r="6511" spans="46:49" x14ac:dyDescent="0.25">
      <c r="AT6511" s="74"/>
      <c r="AW6511" s="74"/>
    </row>
    <row r="6512" spans="46:49" x14ac:dyDescent="0.25">
      <c r="AT6512" s="74"/>
      <c r="AW6512" s="74"/>
    </row>
    <row r="6513" spans="46:49" x14ac:dyDescent="0.25">
      <c r="AT6513" s="74"/>
      <c r="AW6513" s="74"/>
    </row>
    <row r="6514" spans="46:49" x14ac:dyDescent="0.25">
      <c r="AT6514" s="74"/>
      <c r="AW6514" s="74"/>
    </row>
    <row r="6515" spans="46:49" x14ac:dyDescent="0.25">
      <c r="AT6515" s="74"/>
      <c r="AW6515" s="74"/>
    </row>
    <row r="6516" spans="46:49" x14ac:dyDescent="0.25">
      <c r="AT6516" s="74"/>
      <c r="AW6516" s="74"/>
    </row>
    <row r="6517" spans="46:49" x14ac:dyDescent="0.25">
      <c r="AT6517" s="74"/>
      <c r="AW6517" s="74"/>
    </row>
    <row r="6518" spans="46:49" x14ac:dyDescent="0.25">
      <c r="AT6518" s="74"/>
      <c r="AW6518" s="74"/>
    </row>
    <row r="6519" spans="46:49" x14ac:dyDescent="0.25">
      <c r="AT6519" s="74"/>
      <c r="AW6519" s="74"/>
    </row>
    <row r="6520" spans="46:49" x14ac:dyDescent="0.25">
      <c r="AT6520" s="74"/>
      <c r="AW6520" s="74"/>
    </row>
    <row r="6521" spans="46:49" x14ac:dyDescent="0.25">
      <c r="AT6521" s="74"/>
      <c r="AW6521" s="74"/>
    </row>
    <row r="6522" spans="46:49" x14ac:dyDescent="0.25">
      <c r="AT6522" s="74"/>
      <c r="AW6522" s="74"/>
    </row>
    <row r="6523" spans="46:49" x14ac:dyDescent="0.25">
      <c r="AT6523" s="74"/>
      <c r="AW6523" s="74"/>
    </row>
    <row r="6524" spans="46:49" x14ac:dyDescent="0.25">
      <c r="AT6524" s="74"/>
      <c r="AW6524" s="74"/>
    </row>
    <row r="6525" spans="46:49" x14ac:dyDescent="0.25">
      <c r="AT6525" s="74"/>
      <c r="AW6525" s="74"/>
    </row>
    <row r="6526" spans="46:49" x14ac:dyDescent="0.25">
      <c r="AT6526" s="74"/>
      <c r="AW6526" s="74"/>
    </row>
    <row r="6527" spans="46:49" x14ac:dyDescent="0.25">
      <c r="AT6527" s="74"/>
      <c r="AW6527" s="74"/>
    </row>
    <row r="6528" spans="46:49" x14ac:dyDescent="0.25">
      <c r="AT6528" s="74"/>
      <c r="AW6528" s="74"/>
    </row>
    <row r="6529" spans="46:49" x14ac:dyDescent="0.25">
      <c r="AT6529" s="74"/>
      <c r="AW6529" s="74"/>
    </row>
    <row r="6530" spans="46:49" x14ac:dyDescent="0.25">
      <c r="AT6530" s="74"/>
      <c r="AW6530" s="74"/>
    </row>
    <row r="6531" spans="46:49" x14ac:dyDescent="0.25">
      <c r="AT6531" s="74"/>
      <c r="AW6531" s="74"/>
    </row>
    <row r="6532" spans="46:49" x14ac:dyDescent="0.25">
      <c r="AT6532" s="74"/>
      <c r="AW6532" s="74"/>
    </row>
    <row r="6533" spans="46:49" x14ac:dyDescent="0.25">
      <c r="AT6533" s="74"/>
      <c r="AW6533" s="74"/>
    </row>
    <row r="6534" spans="46:49" x14ac:dyDescent="0.25">
      <c r="AT6534" s="74"/>
      <c r="AW6534" s="74"/>
    </row>
    <row r="6535" spans="46:49" x14ac:dyDescent="0.25">
      <c r="AT6535" s="74"/>
      <c r="AW6535" s="74"/>
    </row>
    <row r="6536" spans="46:49" x14ac:dyDescent="0.25">
      <c r="AT6536" s="74"/>
      <c r="AW6536" s="74"/>
    </row>
    <row r="6537" spans="46:49" x14ac:dyDescent="0.25">
      <c r="AT6537" s="74"/>
      <c r="AW6537" s="74"/>
    </row>
    <row r="6538" spans="46:49" x14ac:dyDescent="0.25">
      <c r="AT6538" s="74"/>
      <c r="AW6538" s="74"/>
    </row>
    <row r="6539" spans="46:49" x14ac:dyDescent="0.25">
      <c r="AT6539" s="74"/>
      <c r="AW6539" s="74"/>
    </row>
    <row r="6540" spans="46:49" x14ac:dyDescent="0.25">
      <c r="AT6540" s="74"/>
      <c r="AW6540" s="74"/>
    </row>
    <row r="6541" spans="46:49" x14ac:dyDescent="0.25">
      <c r="AT6541" s="74"/>
      <c r="AW6541" s="74"/>
    </row>
    <row r="6542" spans="46:49" x14ac:dyDescent="0.25">
      <c r="AT6542" s="74"/>
      <c r="AW6542" s="74"/>
    </row>
    <row r="6543" spans="46:49" x14ac:dyDescent="0.25">
      <c r="AT6543" s="74"/>
      <c r="AW6543" s="74"/>
    </row>
    <row r="6544" spans="46:49" x14ac:dyDescent="0.25">
      <c r="AT6544" s="74"/>
      <c r="AW6544" s="74"/>
    </row>
    <row r="6545" spans="46:49" x14ac:dyDescent="0.25">
      <c r="AT6545" s="74"/>
      <c r="AW6545" s="74"/>
    </row>
    <row r="6546" spans="46:49" x14ac:dyDescent="0.25">
      <c r="AT6546" s="74"/>
      <c r="AW6546" s="74"/>
    </row>
    <row r="6547" spans="46:49" x14ac:dyDescent="0.25">
      <c r="AT6547" s="74"/>
      <c r="AW6547" s="74"/>
    </row>
    <row r="6548" spans="46:49" x14ac:dyDescent="0.25">
      <c r="AT6548" s="74"/>
      <c r="AW6548" s="74"/>
    </row>
    <row r="6549" spans="46:49" x14ac:dyDescent="0.25">
      <c r="AT6549" s="74"/>
      <c r="AW6549" s="74"/>
    </row>
    <row r="6550" spans="46:49" x14ac:dyDescent="0.25">
      <c r="AT6550" s="74"/>
      <c r="AW6550" s="74"/>
    </row>
    <row r="6551" spans="46:49" x14ac:dyDescent="0.25">
      <c r="AT6551" s="74"/>
      <c r="AW6551" s="74"/>
    </row>
    <row r="6552" spans="46:49" x14ac:dyDescent="0.25">
      <c r="AT6552" s="74"/>
      <c r="AW6552" s="74"/>
    </row>
    <row r="6553" spans="46:49" x14ac:dyDescent="0.25">
      <c r="AT6553" s="74"/>
      <c r="AW6553" s="74"/>
    </row>
    <row r="6554" spans="46:49" x14ac:dyDescent="0.25">
      <c r="AT6554" s="74"/>
      <c r="AW6554" s="74"/>
    </row>
    <row r="6555" spans="46:49" x14ac:dyDescent="0.25">
      <c r="AT6555" s="74"/>
      <c r="AW6555" s="74"/>
    </row>
    <row r="6556" spans="46:49" x14ac:dyDescent="0.25">
      <c r="AT6556" s="74"/>
      <c r="AW6556" s="74"/>
    </row>
    <row r="6557" spans="46:49" x14ac:dyDescent="0.25">
      <c r="AT6557" s="74"/>
      <c r="AW6557" s="74"/>
    </row>
    <row r="6558" spans="46:49" x14ac:dyDescent="0.25">
      <c r="AT6558" s="74"/>
      <c r="AW6558" s="74"/>
    </row>
    <row r="6559" spans="46:49" x14ac:dyDescent="0.25">
      <c r="AT6559" s="74"/>
      <c r="AW6559" s="74"/>
    </row>
    <row r="6560" spans="46:49" x14ac:dyDescent="0.25">
      <c r="AT6560" s="74"/>
      <c r="AW6560" s="74"/>
    </row>
    <row r="6561" spans="46:49" x14ac:dyDescent="0.25">
      <c r="AT6561" s="74"/>
      <c r="AW6561" s="74"/>
    </row>
    <row r="6562" spans="46:49" x14ac:dyDescent="0.25">
      <c r="AT6562" s="74"/>
      <c r="AW6562" s="74"/>
    </row>
    <row r="6563" spans="46:49" x14ac:dyDescent="0.25">
      <c r="AT6563" s="74"/>
      <c r="AW6563" s="74"/>
    </row>
    <row r="6564" spans="46:49" x14ac:dyDescent="0.25">
      <c r="AT6564" s="74"/>
      <c r="AW6564" s="74"/>
    </row>
    <row r="6565" spans="46:49" x14ac:dyDescent="0.25">
      <c r="AT6565" s="74"/>
      <c r="AW6565" s="74"/>
    </row>
    <row r="6566" spans="46:49" x14ac:dyDescent="0.25">
      <c r="AT6566" s="74"/>
      <c r="AW6566" s="74"/>
    </row>
    <row r="6567" spans="46:49" x14ac:dyDescent="0.25">
      <c r="AT6567" s="74"/>
      <c r="AW6567" s="74"/>
    </row>
    <row r="6568" spans="46:49" x14ac:dyDescent="0.25">
      <c r="AT6568" s="74"/>
      <c r="AW6568" s="74"/>
    </row>
    <row r="6569" spans="46:49" x14ac:dyDescent="0.25">
      <c r="AT6569" s="74"/>
      <c r="AW6569" s="74"/>
    </row>
    <row r="6570" spans="46:49" x14ac:dyDescent="0.25">
      <c r="AT6570" s="74"/>
      <c r="AW6570" s="74"/>
    </row>
    <row r="6571" spans="46:49" x14ac:dyDescent="0.25">
      <c r="AT6571" s="74"/>
      <c r="AW6571" s="74"/>
    </row>
    <row r="6572" spans="46:49" x14ac:dyDescent="0.25">
      <c r="AT6572" s="74"/>
      <c r="AW6572" s="74"/>
    </row>
    <row r="6573" spans="46:49" x14ac:dyDescent="0.25">
      <c r="AT6573" s="74"/>
      <c r="AW6573" s="74"/>
    </row>
    <row r="6574" spans="46:49" x14ac:dyDescent="0.25">
      <c r="AT6574" s="74"/>
      <c r="AW6574" s="74"/>
    </row>
    <row r="6575" spans="46:49" x14ac:dyDescent="0.25">
      <c r="AT6575" s="74"/>
      <c r="AW6575" s="74"/>
    </row>
    <row r="6576" spans="46:49" x14ac:dyDescent="0.25">
      <c r="AT6576" s="74"/>
      <c r="AW6576" s="74"/>
    </row>
    <row r="6577" spans="46:49" x14ac:dyDescent="0.25">
      <c r="AT6577" s="74"/>
      <c r="AW6577" s="74"/>
    </row>
    <row r="6578" spans="46:49" x14ac:dyDescent="0.25">
      <c r="AT6578" s="74"/>
      <c r="AW6578" s="74"/>
    </row>
    <row r="6579" spans="46:49" x14ac:dyDescent="0.25">
      <c r="AT6579" s="74"/>
      <c r="AW6579" s="74"/>
    </row>
    <row r="6580" spans="46:49" x14ac:dyDescent="0.25">
      <c r="AT6580" s="74"/>
      <c r="AW6580" s="74"/>
    </row>
    <row r="6581" spans="46:49" x14ac:dyDescent="0.25">
      <c r="AT6581" s="74"/>
      <c r="AW6581" s="74"/>
    </row>
    <row r="6582" spans="46:49" x14ac:dyDescent="0.25">
      <c r="AT6582" s="74"/>
      <c r="AW6582" s="74"/>
    </row>
    <row r="6583" spans="46:49" x14ac:dyDescent="0.25">
      <c r="AT6583" s="74"/>
      <c r="AW6583" s="74"/>
    </row>
    <row r="6584" spans="46:49" x14ac:dyDescent="0.25">
      <c r="AT6584" s="74"/>
      <c r="AW6584" s="74"/>
    </row>
    <row r="6585" spans="46:49" x14ac:dyDescent="0.25">
      <c r="AT6585" s="74"/>
      <c r="AW6585" s="74"/>
    </row>
    <row r="6586" spans="46:49" x14ac:dyDescent="0.25">
      <c r="AT6586" s="74"/>
      <c r="AW6586" s="74"/>
    </row>
    <row r="6587" spans="46:49" x14ac:dyDescent="0.25">
      <c r="AT6587" s="74"/>
      <c r="AW6587" s="74"/>
    </row>
    <row r="6588" spans="46:49" x14ac:dyDescent="0.25">
      <c r="AT6588" s="74"/>
      <c r="AW6588" s="74"/>
    </row>
    <row r="6589" spans="46:49" x14ac:dyDescent="0.25">
      <c r="AT6589" s="74"/>
      <c r="AW6589" s="74"/>
    </row>
    <row r="6590" spans="46:49" x14ac:dyDescent="0.25">
      <c r="AT6590" s="74"/>
      <c r="AW6590" s="74"/>
    </row>
    <row r="6591" spans="46:49" x14ac:dyDescent="0.25">
      <c r="AT6591" s="74"/>
      <c r="AW6591" s="74"/>
    </row>
    <row r="6592" spans="46:49" x14ac:dyDescent="0.25">
      <c r="AT6592" s="74"/>
      <c r="AW6592" s="74"/>
    </row>
    <row r="6593" spans="46:49" x14ac:dyDescent="0.25">
      <c r="AT6593" s="74"/>
      <c r="AW6593" s="74"/>
    </row>
    <row r="6594" spans="46:49" x14ac:dyDescent="0.25">
      <c r="AT6594" s="74"/>
      <c r="AW6594" s="74"/>
    </row>
    <row r="6595" spans="46:49" x14ac:dyDescent="0.25">
      <c r="AT6595" s="74"/>
      <c r="AW6595" s="74"/>
    </row>
    <row r="6596" spans="46:49" x14ac:dyDescent="0.25">
      <c r="AT6596" s="74"/>
      <c r="AW6596" s="74"/>
    </row>
    <row r="6597" spans="46:49" x14ac:dyDescent="0.25">
      <c r="AT6597" s="74"/>
      <c r="AW6597" s="74"/>
    </row>
    <row r="6598" spans="46:49" x14ac:dyDescent="0.25">
      <c r="AT6598" s="74"/>
      <c r="AW6598" s="74"/>
    </row>
    <row r="6599" spans="46:49" x14ac:dyDescent="0.25">
      <c r="AT6599" s="74"/>
      <c r="AW6599" s="74"/>
    </row>
    <row r="6600" spans="46:49" x14ac:dyDescent="0.25">
      <c r="AT6600" s="74"/>
      <c r="AW6600" s="74"/>
    </row>
    <row r="6601" spans="46:49" x14ac:dyDescent="0.25">
      <c r="AT6601" s="74"/>
      <c r="AW6601" s="74"/>
    </row>
    <row r="6602" spans="46:49" x14ac:dyDescent="0.25">
      <c r="AT6602" s="74"/>
      <c r="AW6602" s="74"/>
    </row>
    <row r="6603" spans="46:49" x14ac:dyDescent="0.25">
      <c r="AT6603" s="74"/>
      <c r="AW6603" s="74"/>
    </row>
    <row r="6604" spans="46:49" x14ac:dyDescent="0.25">
      <c r="AT6604" s="74"/>
      <c r="AW6604" s="74"/>
    </row>
    <row r="6605" spans="46:49" x14ac:dyDescent="0.25">
      <c r="AT6605" s="74"/>
      <c r="AW6605" s="74"/>
    </row>
    <row r="6606" spans="46:49" x14ac:dyDescent="0.25">
      <c r="AT6606" s="74"/>
      <c r="AW6606" s="74"/>
    </row>
    <row r="6607" spans="46:49" x14ac:dyDescent="0.25">
      <c r="AT6607" s="74"/>
      <c r="AW6607" s="74"/>
    </row>
    <row r="6608" spans="46:49" x14ac:dyDescent="0.25">
      <c r="AT6608" s="74"/>
      <c r="AW6608" s="74"/>
    </row>
    <row r="6609" spans="46:49" x14ac:dyDescent="0.25">
      <c r="AT6609" s="74"/>
      <c r="AW6609" s="74"/>
    </row>
    <row r="6610" spans="46:49" x14ac:dyDescent="0.25">
      <c r="AT6610" s="74"/>
      <c r="AW6610" s="74"/>
    </row>
    <row r="6611" spans="46:49" x14ac:dyDescent="0.25">
      <c r="AT6611" s="74"/>
      <c r="AW6611" s="74"/>
    </row>
    <row r="6612" spans="46:49" x14ac:dyDescent="0.25">
      <c r="AT6612" s="74"/>
      <c r="AW6612" s="74"/>
    </row>
    <row r="6613" spans="46:49" x14ac:dyDescent="0.25">
      <c r="AT6613" s="74"/>
      <c r="AW6613" s="74"/>
    </row>
    <row r="6614" spans="46:49" x14ac:dyDescent="0.25">
      <c r="AT6614" s="74"/>
      <c r="AW6614" s="74"/>
    </row>
    <row r="6615" spans="46:49" x14ac:dyDescent="0.25">
      <c r="AT6615" s="74"/>
      <c r="AW6615" s="74"/>
    </row>
    <row r="6616" spans="46:49" x14ac:dyDescent="0.25">
      <c r="AT6616" s="74"/>
      <c r="AW6616" s="74"/>
    </row>
    <row r="6617" spans="46:49" x14ac:dyDescent="0.25">
      <c r="AT6617" s="74"/>
      <c r="AW6617" s="74"/>
    </row>
    <row r="6618" spans="46:49" x14ac:dyDescent="0.25">
      <c r="AT6618" s="74"/>
      <c r="AW6618" s="74"/>
    </row>
    <row r="6619" spans="46:49" x14ac:dyDescent="0.25">
      <c r="AT6619" s="74"/>
      <c r="AW6619" s="74"/>
    </row>
    <row r="6620" spans="46:49" x14ac:dyDescent="0.25">
      <c r="AT6620" s="74"/>
      <c r="AW6620" s="74"/>
    </row>
    <row r="6621" spans="46:49" x14ac:dyDescent="0.25">
      <c r="AT6621" s="74"/>
      <c r="AW6621" s="74"/>
    </row>
    <row r="6622" spans="46:49" x14ac:dyDescent="0.25">
      <c r="AT6622" s="74"/>
      <c r="AW6622" s="74"/>
    </row>
    <row r="6623" spans="46:49" x14ac:dyDescent="0.25">
      <c r="AT6623" s="74"/>
      <c r="AW6623" s="74"/>
    </row>
    <row r="6624" spans="46:49" x14ac:dyDescent="0.25">
      <c r="AT6624" s="74"/>
      <c r="AW6624" s="74"/>
    </row>
    <row r="6625" spans="46:49" x14ac:dyDescent="0.25">
      <c r="AT6625" s="74"/>
      <c r="AW6625" s="74"/>
    </row>
    <row r="6626" spans="46:49" x14ac:dyDescent="0.25">
      <c r="AT6626" s="74"/>
      <c r="AW6626" s="74"/>
    </row>
    <row r="6627" spans="46:49" x14ac:dyDescent="0.25">
      <c r="AT6627" s="74"/>
      <c r="AW6627" s="74"/>
    </row>
    <row r="6628" spans="46:49" x14ac:dyDescent="0.25">
      <c r="AT6628" s="74"/>
      <c r="AW6628" s="74"/>
    </row>
    <row r="6629" spans="46:49" x14ac:dyDescent="0.25">
      <c r="AT6629" s="74"/>
      <c r="AW6629" s="74"/>
    </row>
    <row r="6630" spans="46:49" x14ac:dyDescent="0.25">
      <c r="AT6630" s="74"/>
      <c r="AW6630" s="74"/>
    </row>
    <row r="6631" spans="46:49" x14ac:dyDescent="0.25">
      <c r="AT6631" s="74"/>
      <c r="AW6631" s="74"/>
    </row>
    <row r="6632" spans="46:49" x14ac:dyDescent="0.25">
      <c r="AT6632" s="74"/>
      <c r="AW6632" s="74"/>
    </row>
    <row r="6633" spans="46:49" x14ac:dyDescent="0.25">
      <c r="AT6633" s="74"/>
      <c r="AW6633" s="74"/>
    </row>
    <row r="6634" spans="46:49" x14ac:dyDescent="0.25">
      <c r="AT6634" s="74"/>
      <c r="AW6634" s="74"/>
    </row>
    <row r="6635" spans="46:49" x14ac:dyDescent="0.25">
      <c r="AT6635" s="74"/>
      <c r="AW6635" s="74"/>
    </row>
    <row r="6636" spans="46:49" x14ac:dyDescent="0.25">
      <c r="AT6636" s="74"/>
      <c r="AW6636" s="74"/>
    </row>
    <row r="6637" spans="46:49" x14ac:dyDescent="0.25">
      <c r="AT6637" s="74"/>
      <c r="AW6637" s="74"/>
    </row>
    <row r="6638" spans="46:49" x14ac:dyDescent="0.25">
      <c r="AT6638" s="74"/>
      <c r="AW6638" s="74"/>
    </row>
    <row r="6639" spans="46:49" x14ac:dyDescent="0.25">
      <c r="AT6639" s="74"/>
      <c r="AW6639" s="74"/>
    </row>
    <row r="6640" spans="46:49" x14ac:dyDescent="0.25">
      <c r="AT6640" s="74"/>
      <c r="AW6640" s="74"/>
    </row>
    <row r="6641" spans="46:49" x14ac:dyDescent="0.25">
      <c r="AT6641" s="74"/>
      <c r="AW6641" s="74"/>
    </row>
    <row r="6642" spans="46:49" x14ac:dyDescent="0.25">
      <c r="AT6642" s="74"/>
      <c r="AW6642" s="74"/>
    </row>
    <row r="6643" spans="46:49" x14ac:dyDescent="0.25">
      <c r="AT6643" s="74"/>
      <c r="AW6643" s="74"/>
    </row>
    <row r="6644" spans="46:49" x14ac:dyDescent="0.25">
      <c r="AT6644" s="74"/>
      <c r="AW6644" s="74"/>
    </row>
    <row r="6645" spans="46:49" x14ac:dyDescent="0.25">
      <c r="AT6645" s="74"/>
      <c r="AW6645" s="74"/>
    </row>
    <row r="6646" spans="46:49" x14ac:dyDescent="0.25">
      <c r="AT6646" s="74"/>
      <c r="AW6646" s="74"/>
    </row>
    <row r="6647" spans="46:49" x14ac:dyDescent="0.25">
      <c r="AT6647" s="74"/>
      <c r="AW6647" s="74"/>
    </row>
    <row r="6648" spans="46:49" x14ac:dyDescent="0.25">
      <c r="AT6648" s="74"/>
      <c r="AW6648" s="74"/>
    </row>
    <row r="6649" spans="46:49" x14ac:dyDescent="0.25">
      <c r="AT6649" s="74"/>
      <c r="AW6649" s="74"/>
    </row>
    <row r="6650" spans="46:49" x14ac:dyDescent="0.25">
      <c r="AT6650" s="74"/>
      <c r="AW6650" s="74"/>
    </row>
    <row r="6651" spans="46:49" x14ac:dyDescent="0.25">
      <c r="AT6651" s="74"/>
      <c r="AW6651" s="74"/>
    </row>
    <row r="6652" spans="46:49" x14ac:dyDescent="0.25">
      <c r="AT6652" s="74"/>
      <c r="AW6652" s="74"/>
    </row>
    <row r="6653" spans="46:49" x14ac:dyDescent="0.25">
      <c r="AT6653" s="74"/>
      <c r="AW6653" s="74"/>
    </row>
    <row r="6654" spans="46:49" x14ac:dyDescent="0.25">
      <c r="AT6654" s="74"/>
      <c r="AW6654" s="74"/>
    </row>
    <row r="6655" spans="46:49" x14ac:dyDescent="0.25">
      <c r="AT6655" s="74"/>
      <c r="AW6655" s="74"/>
    </row>
    <row r="6656" spans="46:49" x14ac:dyDescent="0.25">
      <c r="AT6656" s="74"/>
      <c r="AW6656" s="74"/>
    </row>
    <row r="6657" spans="46:49" x14ac:dyDescent="0.25">
      <c r="AT6657" s="74"/>
      <c r="AW6657" s="74"/>
    </row>
    <row r="6658" spans="46:49" x14ac:dyDescent="0.25">
      <c r="AT6658" s="74"/>
      <c r="AW6658" s="74"/>
    </row>
    <row r="6659" spans="46:49" x14ac:dyDescent="0.25">
      <c r="AT6659" s="74"/>
      <c r="AW6659" s="74"/>
    </row>
    <row r="6660" spans="46:49" x14ac:dyDescent="0.25">
      <c r="AT6660" s="74"/>
      <c r="AW6660" s="74"/>
    </row>
    <row r="6661" spans="46:49" x14ac:dyDescent="0.25">
      <c r="AT6661" s="74"/>
      <c r="AW6661" s="74"/>
    </row>
    <row r="6662" spans="46:49" x14ac:dyDescent="0.25">
      <c r="AT6662" s="74"/>
      <c r="AW6662" s="74"/>
    </row>
    <row r="6663" spans="46:49" x14ac:dyDescent="0.25">
      <c r="AT6663" s="74"/>
      <c r="AW6663" s="74"/>
    </row>
    <row r="6664" spans="46:49" x14ac:dyDescent="0.25">
      <c r="AT6664" s="74"/>
      <c r="AW6664" s="74"/>
    </row>
    <row r="6665" spans="46:49" x14ac:dyDescent="0.25">
      <c r="AT6665" s="74"/>
      <c r="AW6665" s="74"/>
    </row>
    <row r="6666" spans="46:49" x14ac:dyDescent="0.25">
      <c r="AT6666" s="74"/>
      <c r="AW6666" s="74"/>
    </row>
    <row r="6667" spans="46:49" x14ac:dyDescent="0.25">
      <c r="AT6667" s="74"/>
      <c r="AW6667" s="74"/>
    </row>
    <row r="6668" spans="46:49" x14ac:dyDescent="0.25">
      <c r="AT6668" s="74"/>
      <c r="AW6668" s="74"/>
    </row>
    <row r="6669" spans="46:49" x14ac:dyDescent="0.25">
      <c r="AT6669" s="74"/>
      <c r="AW6669" s="74"/>
    </row>
    <row r="6670" spans="46:49" x14ac:dyDescent="0.25">
      <c r="AT6670" s="74"/>
      <c r="AW6670" s="74"/>
    </row>
    <row r="6671" spans="46:49" x14ac:dyDescent="0.25">
      <c r="AT6671" s="74"/>
      <c r="AW6671" s="74"/>
    </row>
    <row r="6672" spans="46:49" x14ac:dyDescent="0.25">
      <c r="AT6672" s="74"/>
      <c r="AW6672" s="74"/>
    </row>
    <row r="6673" spans="46:49" x14ac:dyDescent="0.25">
      <c r="AT6673" s="74"/>
      <c r="AW6673" s="74"/>
    </row>
    <row r="6674" spans="46:49" x14ac:dyDescent="0.25">
      <c r="AT6674" s="74"/>
      <c r="AW6674" s="74"/>
    </row>
    <row r="6675" spans="46:49" x14ac:dyDescent="0.25">
      <c r="AT6675" s="74"/>
      <c r="AW6675" s="74"/>
    </row>
    <row r="6676" spans="46:49" x14ac:dyDescent="0.25">
      <c r="AT6676" s="74"/>
      <c r="AW6676" s="74"/>
    </row>
    <row r="6677" spans="46:49" x14ac:dyDescent="0.25">
      <c r="AT6677" s="74"/>
      <c r="AW6677" s="74"/>
    </row>
    <row r="6678" spans="46:49" x14ac:dyDescent="0.25">
      <c r="AT6678" s="74"/>
      <c r="AW6678" s="74"/>
    </row>
    <row r="6679" spans="46:49" x14ac:dyDescent="0.25">
      <c r="AT6679" s="74"/>
      <c r="AW6679" s="74"/>
    </row>
    <row r="6680" spans="46:49" x14ac:dyDescent="0.25">
      <c r="AT6680" s="74"/>
      <c r="AW6680" s="74"/>
    </row>
    <row r="6681" spans="46:49" x14ac:dyDescent="0.25">
      <c r="AT6681" s="74"/>
      <c r="AW6681" s="74"/>
    </row>
    <row r="6682" spans="46:49" x14ac:dyDescent="0.25">
      <c r="AT6682" s="74"/>
      <c r="AW6682" s="74"/>
    </row>
    <row r="6683" spans="46:49" x14ac:dyDescent="0.25">
      <c r="AT6683" s="74"/>
      <c r="AW6683" s="74"/>
    </row>
    <row r="6684" spans="46:49" x14ac:dyDescent="0.25">
      <c r="AT6684" s="74"/>
      <c r="AW6684" s="74"/>
    </row>
    <row r="6685" spans="46:49" x14ac:dyDescent="0.25">
      <c r="AT6685" s="74"/>
      <c r="AW6685" s="74"/>
    </row>
    <row r="6686" spans="46:49" x14ac:dyDescent="0.25">
      <c r="AT6686" s="74"/>
      <c r="AW6686" s="74"/>
    </row>
    <row r="6687" spans="46:49" x14ac:dyDescent="0.25">
      <c r="AT6687" s="74"/>
      <c r="AW6687" s="74"/>
    </row>
    <row r="6688" spans="46:49" x14ac:dyDescent="0.25">
      <c r="AT6688" s="74"/>
      <c r="AW6688" s="74"/>
    </row>
    <row r="6689" spans="46:49" x14ac:dyDescent="0.25">
      <c r="AT6689" s="74"/>
      <c r="AW6689" s="74"/>
    </row>
    <row r="6690" spans="46:49" x14ac:dyDescent="0.25">
      <c r="AT6690" s="74"/>
      <c r="AW6690" s="74"/>
    </row>
    <row r="6691" spans="46:49" x14ac:dyDescent="0.25">
      <c r="AT6691" s="74"/>
      <c r="AW6691" s="74"/>
    </row>
    <row r="6692" spans="46:49" x14ac:dyDescent="0.25">
      <c r="AT6692" s="74"/>
      <c r="AW6692" s="74"/>
    </row>
    <row r="6693" spans="46:49" x14ac:dyDescent="0.25">
      <c r="AT6693" s="74"/>
      <c r="AW6693" s="74"/>
    </row>
    <row r="6694" spans="46:49" x14ac:dyDescent="0.25">
      <c r="AT6694" s="74"/>
      <c r="AW6694" s="74"/>
    </row>
    <row r="6695" spans="46:49" x14ac:dyDescent="0.25">
      <c r="AT6695" s="74"/>
      <c r="AW6695" s="74"/>
    </row>
    <row r="6696" spans="46:49" x14ac:dyDescent="0.25">
      <c r="AT6696" s="74"/>
      <c r="AW6696" s="74"/>
    </row>
    <row r="6697" spans="46:49" x14ac:dyDescent="0.25">
      <c r="AT6697" s="74"/>
      <c r="AW6697" s="74"/>
    </row>
    <row r="6698" spans="46:49" x14ac:dyDescent="0.25">
      <c r="AT6698" s="74"/>
      <c r="AW6698" s="74"/>
    </row>
    <row r="6699" spans="46:49" x14ac:dyDescent="0.25">
      <c r="AT6699" s="74"/>
      <c r="AW6699" s="74"/>
    </row>
    <row r="6700" spans="46:49" x14ac:dyDescent="0.25">
      <c r="AT6700" s="74"/>
      <c r="AW6700" s="74"/>
    </row>
    <row r="6701" spans="46:49" x14ac:dyDescent="0.25">
      <c r="AT6701" s="74"/>
      <c r="AW6701" s="74"/>
    </row>
    <row r="6702" spans="46:49" x14ac:dyDescent="0.25">
      <c r="AT6702" s="74"/>
      <c r="AW6702" s="74"/>
    </row>
    <row r="6703" spans="46:49" x14ac:dyDescent="0.25">
      <c r="AT6703" s="74"/>
      <c r="AW6703" s="74"/>
    </row>
    <row r="6704" spans="46:49" x14ac:dyDescent="0.25">
      <c r="AT6704" s="74"/>
      <c r="AW6704" s="74"/>
    </row>
    <row r="6705" spans="46:49" x14ac:dyDescent="0.25">
      <c r="AT6705" s="74"/>
      <c r="AW6705" s="74"/>
    </row>
    <row r="6706" spans="46:49" x14ac:dyDescent="0.25">
      <c r="AT6706" s="74"/>
      <c r="AW6706" s="74"/>
    </row>
    <row r="6707" spans="46:49" x14ac:dyDescent="0.25">
      <c r="AT6707" s="74"/>
      <c r="AW6707" s="74"/>
    </row>
    <row r="6708" spans="46:49" x14ac:dyDescent="0.25">
      <c r="AT6708" s="74"/>
      <c r="AW6708" s="74"/>
    </row>
    <row r="6709" spans="46:49" x14ac:dyDescent="0.25">
      <c r="AT6709" s="74"/>
      <c r="AW6709" s="74"/>
    </row>
    <row r="6710" spans="46:49" x14ac:dyDescent="0.25">
      <c r="AT6710" s="74"/>
      <c r="AW6710" s="74"/>
    </row>
    <row r="6711" spans="46:49" x14ac:dyDescent="0.25">
      <c r="AT6711" s="74"/>
      <c r="AW6711" s="74"/>
    </row>
    <row r="6712" spans="46:49" x14ac:dyDescent="0.25">
      <c r="AT6712" s="74"/>
      <c r="AW6712" s="74"/>
    </row>
    <row r="6713" spans="46:49" x14ac:dyDescent="0.25">
      <c r="AT6713" s="74"/>
      <c r="AW6713" s="74"/>
    </row>
    <row r="6714" spans="46:49" x14ac:dyDescent="0.25">
      <c r="AT6714" s="74"/>
      <c r="AW6714" s="74"/>
    </row>
    <row r="6715" spans="46:49" x14ac:dyDescent="0.25">
      <c r="AT6715" s="74"/>
      <c r="AW6715" s="74"/>
    </row>
    <row r="6716" spans="46:49" x14ac:dyDescent="0.25">
      <c r="AT6716" s="74"/>
      <c r="AW6716" s="74"/>
    </row>
    <row r="6717" spans="46:49" x14ac:dyDescent="0.25">
      <c r="AT6717" s="74"/>
      <c r="AW6717" s="74"/>
    </row>
    <row r="6718" spans="46:49" x14ac:dyDescent="0.25">
      <c r="AT6718" s="74"/>
      <c r="AW6718" s="74"/>
    </row>
    <row r="6719" spans="46:49" x14ac:dyDescent="0.25">
      <c r="AT6719" s="74"/>
      <c r="AW6719" s="74"/>
    </row>
    <row r="6720" spans="46:49" x14ac:dyDescent="0.25">
      <c r="AT6720" s="74"/>
      <c r="AW6720" s="74"/>
    </row>
    <row r="6721" spans="46:49" x14ac:dyDescent="0.25">
      <c r="AT6721" s="74"/>
      <c r="AW6721" s="74"/>
    </row>
    <row r="6722" spans="46:49" x14ac:dyDescent="0.25">
      <c r="AT6722" s="74"/>
      <c r="AW6722" s="74"/>
    </row>
    <row r="6723" spans="46:49" x14ac:dyDescent="0.25">
      <c r="AT6723" s="74"/>
      <c r="AW6723" s="74"/>
    </row>
    <row r="6724" spans="46:49" x14ac:dyDescent="0.25">
      <c r="AT6724" s="74"/>
      <c r="AW6724" s="74"/>
    </row>
    <row r="6725" spans="46:49" x14ac:dyDescent="0.25">
      <c r="AT6725" s="74"/>
      <c r="AW6725" s="74"/>
    </row>
    <row r="6726" spans="46:49" x14ac:dyDescent="0.25">
      <c r="AT6726" s="74"/>
      <c r="AW6726" s="74"/>
    </row>
    <row r="6727" spans="46:49" x14ac:dyDescent="0.25">
      <c r="AT6727" s="74"/>
      <c r="AW6727" s="74"/>
    </row>
    <row r="6728" spans="46:49" x14ac:dyDescent="0.25">
      <c r="AT6728" s="74"/>
      <c r="AW6728" s="74"/>
    </row>
    <row r="6729" spans="46:49" x14ac:dyDescent="0.25">
      <c r="AT6729" s="74"/>
      <c r="AW6729" s="74"/>
    </row>
    <row r="6730" spans="46:49" x14ac:dyDescent="0.25">
      <c r="AT6730" s="74"/>
      <c r="AW6730" s="74"/>
    </row>
    <row r="6731" spans="46:49" x14ac:dyDescent="0.25">
      <c r="AT6731" s="74"/>
      <c r="AW6731" s="74"/>
    </row>
    <row r="6732" spans="46:49" x14ac:dyDescent="0.25">
      <c r="AT6732" s="74"/>
      <c r="AW6732" s="74"/>
    </row>
    <row r="6733" spans="46:49" x14ac:dyDescent="0.25">
      <c r="AT6733" s="74"/>
      <c r="AW6733" s="74"/>
    </row>
    <row r="6734" spans="46:49" x14ac:dyDescent="0.25">
      <c r="AT6734" s="74"/>
      <c r="AW6734" s="74"/>
    </row>
    <row r="6735" spans="46:49" x14ac:dyDescent="0.25">
      <c r="AT6735" s="74"/>
      <c r="AW6735" s="74"/>
    </row>
    <row r="6736" spans="46:49" x14ac:dyDescent="0.25">
      <c r="AT6736" s="74"/>
      <c r="AW6736" s="74"/>
    </row>
    <row r="6737" spans="46:49" x14ac:dyDescent="0.25">
      <c r="AT6737" s="74"/>
      <c r="AW6737" s="74"/>
    </row>
    <row r="6738" spans="46:49" x14ac:dyDescent="0.25">
      <c r="AT6738" s="74"/>
      <c r="AW6738" s="74"/>
    </row>
    <row r="6739" spans="46:49" x14ac:dyDescent="0.25">
      <c r="AT6739" s="74"/>
      <c r="AW6739" s="74"/>
    </row>
    <row r="6740" spans="46:49" x14ac:dyDescent="0.25">
      <c r="AT6740" s="74"/>
      <c r="AW6740" s="74"/>
    </row>
    <row r="6741" spans="46:49" x14ac:dyDescent="0.25">
      <c r="AT6741" s="74"/>
      <c r="AW6741" s="74"/>
    </row>
    <row r="6742" spans="46:49" x14ac:dyDescent="0.25">
      <c r="AT6742" s="74"/>
      <c r="AW6742" s="74"/>
    </row>
    <row r="6743" spans="46:49" x14ac:dyDescent="0.25">
      <c r="AT6743" s="74"/>
      <c r="AW6743" s="74"/>
    </row>
    <row r="6744" spans="46:49" x14ac:dyDescent="0.25">
      <c r="AT6744" s="74"/>
      <c r="AW6744" s="74"/>
    </row>
    <row r="6745" spans="46:49" x14ac:dyDescent="0.25">
      <c r="AT6745" s="74"/>
      <c r="AW6745" s="74"/>
    </row>
    <row r="6746" spans="46:49" x14ac:dyDescent="0.25">
      <c r="AT6746" s="74"/>
      <c r="AW6746" s="74"/>
    </row>
    <row r="6747" spans="46:49" x14ac:dyDescent="0.25">
      <c r="AT6747" s="74"/>
      <c r="AW6747" s="74"/>
    </row>
    <row r="6748" spans="46:49" x14ac:dyDescent="0.25">
      <c r="AT6748" s="74"/>
      <c r="AW6748" s="74"/>
    </row>
    <row r="6749" spans="46:49" x14ac:dyDescent="0.25">
      <c r="AT6749" s="74"/>
      <c r="AW6749" s="74"/>
    </row>
    <row r="6750" spans="46:49" x14ac:dyDescent="0.25">
      <c r="AT6750" s="74"/>
      <c r="AW6750" s="74"/>
    </row>
    <row r="6751" spans="46:49" x14ac:dyDescent="0.25">
      <c r="AT6751" s="74"/>
      <c r="AW6751" s="74"/>
    </row>
    <row r="6752" spans="46:49" x14ac:dyDescent="0.25">
      <c r="AT6752" s="74"/>
      <c r="AW6752" s="74"/>
    </row>
    <row r="6753" spans="46:49" x14ac:dyDescent="0.25">
      <c r="AT6753" s="74"/>
      <c r="AW6753" s="74"/>
    </row>
    <row r="6754" spans="46:49" x14ac:dyDescent="0.25">
      <c r="AT6754" s="74"/>
      <c r="AW6754" s="74"/>
    </row>
    <row r="6755" spans="46:49" x14ac:dyDescent="0.25">
      <c r="AT6755" s="74"/>
      <c r="AW6755" s="74"/>
    </row>
    <row r="6756" spans="46:49" x14ac:dyDescent="0.25">
      <c r="AT6756" s="74"/>
      <c r="AW6756" s="74"/>
    </row>
    <row r="6757" spans="46:49" x14ac:dyDescent="0.25">
      <c r="AT6757" s="74"/>
      <c r="AW6757" s="74"/>
    </row>
    <row r="6758" spans="46:49" x14ac:dyDescent="0.25">
      <c r="AT6758" s="74"/>
      <c r="AW6758" s="74"/>
    </row>
    <row r="6759" spans="46:49" x14ac:dyDescent="0.25">
      <c r="AT6759" s="74"/>
      <c r="AW6759" s="74"/>
    </row>
    <row r="6760" spans="46:49" x14ac:dyDescent="0.25">
      <c r="AT6760" s="74"/>
      <c r="AW6760" s="74"/>
    </row>
    <row r="6761" spans="46:49" x14ac:dyDescent="0.25">
      <c r="AT6761" s="74"/>
      <c r="AW6761" s="74"/>
    </row>
    <row r="6762" spans="46:49" x14ac:dyDescent="0.25">
      <c r="AT6762" s="74"/>
      <c r="AW6762" s="74"/>
    </row>
    <row r="6763" spans="46:49" x14ac:dyDescent="0.25">
      <c r="AT6763" s="74"/>
      <c r="AW6763" s="74"/>
    </row>
    <row r="6764" spans="46:49" x14ac:dyDescent="0.25">
      <c r="AT6764" s="74"/>
      <c r="AW6764" s="74"/>
    </row>
    <row r="6765" spans="46:49" x14ac:dyDescent="0.25">
      <c r="AT6765" s="74"/>
      <c r="AW6765" s="74"/>
    </row>
    <row r="6766" spans="46:49" x14ac:dyDescent="0.25">
      <c r="AT6766" s="74"/>
      <c r="AW6766" s="74"/>
    </row>
    <row r="6767" spans="46:49" x14ac:dyDescent="0.25">
      <c r="AT6767" s="74"/>
      <c r="AW6767" s="74"/>
    </row>
    <row r="6768" spans="46:49" x14ac:dyDescent="0.25">
      <c r="AT6768" s="74"/>
      <c r="AW6768" s="74"/>
    </row>
    <row r="6769" spans="46:49" x14ac:dyDescent="0.25">
      <c r="AT6769" s="74"/>
      <c r="AW6769" s="74"/>
    </row>
    <row r="6770" spans="46:49" x14ac:dyDescent="0.25">
      <c r="AT6770" s="74"/>
      <c r="AW6770" s="74"/>
    </row>
    <row r="6771" spans="46:49" x14ac:dyDescent="0.25">
      <c r="AT6771" s="74"/>
      <c r="AW6771" s="74"/>
    </row>
    <row r="6772" spans="46:49" x14ac:dyDescent="0.25">
      <c r="AT6772" s="74"/>
      <c r="AW6772" s="74"/>
    </row>
    <row r="6773" spans="46:49" x14ac:dyDescent="0.25">
      <c r="AT6773" s="74"/>
      <c r="AW6773" s="74"/>
    </row>
    <row r="6774" spans="46:49" x14ac:dyDescent="0.25">
      <c r="AT6774" s="74"/>
      <c r="AW6774" s="74"/>
    </row>
    <row r="6775" spans="46:49" x14ac:dyDescent="0.25">
      <c r="AT6775" s="74"/>
      <c r="AW6775" s="74"/>
    </row>
    <row r="6776" spans="46:49" x14ac:dyDescent="0.25">
      <c r="AT6776" s="74"/>
      <c r="AW6776" s="74"/>
    </row>
    <row r="6777" spans="46:49" x14ac:dyDescent="0.25">
      <c r="AT6777" s="74"/>
      <c r="AW6777" s="74"/>
    </row>
    <row r="6778" spans="46:49" x14ac:dyDescent="0.25">
      <c r="AT6778" s="74"/>
      <c r="AW6778" s="74"/>
    </row>
    <row r="6779" spans="46:49" x14ac:dyDescent="0.25">
      <c r="AT6779" s="74"/>
      <c r="AW6779" s="74"/>
    </row>
    <row r="6780" spans="46:49" x14ac:dyDescent="0.25">
      <c r="AT6780" s="74"/>
      <c r="AW6780" s="74"/>
    </row>
    <row r="6781" spans="46:49" x14ac:dyDescent="0.25">
      <c r="AT6781" s="74"/>
      <c r="AW6781" s="74"/>
    </row>
    <row r="6782" spans="46:49" x14ac:dyDescent="0.25">
      <c r="AT6782" s="74"/>
      <c r="AW6782" s="74"/>
    </row>
    <row r="6783" spans="46:49" x14ac:dyDescent="0.25">
      <c r="AT6783" s="74"/>
      <c r="AW6783" s="74"/>
    </row>
    <row r="6784" spans="46:49" x14ac:dyDescent="0.25">
      <c r="AT6784" s="74"/>
      <c r="AW6784" s="74"/>
    </row>
    <row r="6785" spans="46:49" x14ac:dyDescent="0.25">
      <c r="AT6785" s="74"/>
      <c r="AW6785" s="74"/>
    </row>
    <row r="6786" spans="46:49" x14ac:dyDescent="0.25">
      <c r="AT6786" s="74"/>
      <c r="AW6786" s="74"/>
    </row>
    <row r="6787" spans="46:49" x14ac:dyDescent="0.25">
      <c r="AT6787" s="74"/>
      <c r="AW6787" s="74"/>
    </row>
    <row r="6788" spans="46:49" x14ac:dyDescent="0.25">
      <c r="AT6788" s="74"/>
      <c r="AW6788" s="74"/>
    </row>
    <row r="6789" spans="46:49" x14ac:dyDescent="0.25">
      <c r="AT6789" s="74"/>
      <c r="AW6789" s="74"/>
    </row>
    <row r="6790" spans="46:49" x14ac:dyDescent="0.25">
      <c r="AT6790" s="74"/>
      <c r="AW6790" s="74"/>
    </row>
    <row r="6791" spans="46:49" x14ac:dyDescent="0.25">
      <c r="AT6791" s="74"/>
      <c r="AW6791" s="74"/>
    </row>
    <row r="6792" spans="46:49" x14ac:dyDescent="0.25">
      <c r="AT6792" s="74"/>
      <c r="AW6792" s="74"/>
    </row>
    <row r="6793" spans="46:49" x14ac:dyDescent="0.25">
      <c r="AT6793" s="74"/>
      <c r="AW6793" s="74"/>
    </row>
    <row r="6794" spans="46:49" x14ac:dyDescent="0.25">
      <c r="AT6794" s="74"/>
      <c r="AW6794" s="74"/>
    </row>
    <row r="6795" spans="46:49" x14ac:dyDescent="0.25">
      <c r="AT6795" s="74"/>
      <c r="AW6795" s="74"/>
    </row>
    <row r="6796" spans="46:49" x14ac:dyDescent="0.25">
      <c r="AT6796" s="74"/>
      <c r="AW6796" s="74"/>
    </row>
    <row r="6797" spans="46:49" x14ac:dyDescent="0.25">
      <c r="AT6797" s="74"/>
      <c r="AW6797" s="74"/>
    </row>
    <row r="6798" spans="46:49" x14ac:dyDescent="0.25">
      <c r="AT6798" s="74"/>
      <c r="AW6798" s="74"/>
    </row>
    <row r="6799" spans="46:49" x14ac:dyDescent="0.25">
      <c r="AT6799" s="74"/>
      <c r="AW6799" s="74"/>
    </row>
    <row r="6800" spans="46:49" x14ac:dyDescent="0.25">
      <c r="AT6800" s="74"/>
      <c r="AW6800" s="74"/>
    </row>
    <row r="6801" spans="46:49" x14ac:dyDescent="0.25">
      <c r="AT6801" s="74"/>
      <c r="AW6801" s="74"/>
    </row>
    <row r="6802" spans="46:49" x14ac:dyDescent="0.25">
      <c r="AT6802" s="74"/>
      <c r="AW6802" s="74"/>
    </row>
    <row r="6803" spans="46:49" x14ac:dyDescent="0.25">
      <c r="AT6803" s="74"/>
      <c r="AW6803" s="74"/>
    </row>
    <row r="6804" spans="46:49" x14ac:dyDescent="0.25">
      <c r="AT6804" s="74"/>
      <c r="AW6804" s="74"/>
    </row>
    <row r="6805" spans="46:49" x14ac:dyDescent="0.25">
      <c r="AT6805" s="74"/>
      <c r="AW6805" s="74"/>
    </row>
    <row r="6806" spans="46:49" x14ac:dyDescent="0.25">
      <c r="AT6806" s="74"/>
      <c r="AW6806" s="74"/>
    </row>
    <row r="6807" spans="46:49" x14ac:dyDescent="0.25">
      <c r="AT6807" s="74"/>
      <c r="AW6807" s="74"/>
    </row>
    <row r="6808" spans="46:49" x14ac:dyDescent="0.25">
      <c r="AT6808" s="74"/>
      <c r="AW6808" s="74"/>
    </row>
    <row r="6809" spans="46:49" x14ac:dyDescent="0.25">
      <c r="AT6809" s="74"/>
      <c r="AW6809" s="74"/>
    </row>
    <row r="6810" spans="46:49" x14ac:dyDescent="0.25">
      <c r="AT6810" s="74"/>
      <c r="AW6810" s="74"/>
    </row>
    <row r="6811" spans="46:49" x14ac:dyDescent="0.25">
      <c r="AT6811" s="74"/>
      <c r="AW6811" s="74"/>
    </row>
    <row r="6812" spans="46:49" x14ac:dyDescent="0.25">
      <c r="AT6812" s="74"/>
      <c r="AW6812" s="74"/>
    </row>
    <row r="6813" spans="46:49" x14ac:dyDescent="0.25">
      <c r="AT6813" s="74"/>
      <c r="AW6813" s="74"/>
    </row>
    <row r="6814" spans="46:49" x14ac:dyDescent="0.25">
      <c r="AT6814" s="74"/>
      <c r="AW6814" s="74"/>
    </row>
    <row r="6815" spans="46:49" x14ac:dyDescent="0.25">
      <c r="AT6815" s="74"/>
      <c r="AW6815" s="74"/>
    </row>
    <row r="6816" spans="46:49" x14ac:dyDescent="0.25">
      <c r="AT6816" s="74"/>
      <c r="AW6816" s="74"/>
    </row>
    <row r="6817" spans="46:49" x14ac:dyDescent="0.25">
      <c r="AT6817" s="74"/>
      <c r="AW6817" s="74"/>
    </row>
    <row r="6818" spans="46:49" x14ac:dyDescent="0.25">
      <c r="AT6818" s="74"/>
      <c r="AW6818" s="74"/>
    </row>
    <row r="6819" spans="46:49" x14ac:dyDescent="0.25">
      <c r="AT6819" s="74"/>
      <c r="AW6819" s="74"/>
    </row>
    <row r="6820" spans="46:49" x14ac:dyDescent="0.25">
      <c r="AT6820" s="74"/>
      <c r="AW6820" s="74"/>
    </row>
    <row r="6821" spans="46:49" x14ac:dyDescent="0.25">
      <c r="AT6821" s="74"/>
      <c r="AW6821" s="74"/>
    </row>
    <row r="6822" spans="46:49" x14ac:dyDescent="0.25">
      <c r="AT6822" s="74"/>
      <c r="AW6822" s="74"/>
    </row>
    <row r="6823" spans="46:49" x14ac:dyDescent="0.25">
      <c r="AT6823" s="74"/>
      <c r="AW6823" s="74"/>
    </row>
    <row r="6824" spans="46:49" x14ac:dyDescent="0.25">
      <c r="AT6824" s="74"/>
      <c r="AW6824" s="74"/>
    </row>
    <row r="6825" spans="46:49" x14ac:dyDescent="0.25">
      <c r="AT6825" s="74"/>
      <c r="AW6825" s="74"/>
    </row>
    <row r="6826" spans="46:49" x14ac:dyDescent="0.25">
      <c r="AT6826" s="74"/>
      <c r="AW6826" s="74"/>
    </row>
    <row r="6827" spans="46:49" x14ac:dyDescent="0.25">
      <c r="AT6827" s="74"/>
      <c r="AW6827" s="74"/>
    </row>
    <row r="6828" spans="46:49" x14ac:dyDescent="0.25">
      <c r="AT6828" s="74"/>
      <c r="AW6828" s="74"/>
    </row>
    <row r="6829" spans="46:49" x14ac:dyDescent="0.25">
      <c r="AT6829" s="74"/>
      <c r="AW6829" s="74"/>
    </row>
    <row r="6830" spans="46:49" x14ac:dyDescent="0.25">
      <c r="AT6830" s="74"/>
      <c r="AW6830" s="74"/>
    </row>
    <row r="6831" spans="46:49" x14ac:dyDescent="0.25">
      <c r="AT6831" s="74"/>
      <c r="AW6831" s="74"/>
    </row>
    <row r="6832" spans="46:49" x14ac:dyDescent="0.25">
      <c r="AT6832" s="74"/>
      <c r="AW6832" s="74"/>
    </row>
    <row r="6833" spans="46:49" x14ac:dyDescent="0.25">
      <c r="AT6833" s="74"/>
      <c r="AW6833" s="74"/>
    </row>
    <row r="6834" spans="46:49" x14ac:dyDescent="0.25">
      <c r="AT6834" s="74"/>
      <c r="AW6834" s="74"/>
    </row>
    <row r="6835" spans="46:49" x14ac:dyDescent="0.25">
      <c r="AT6835" s="74"/>
      <c r="AW6835" s="74"/>
    </row>
    <row r="6836" spans="46:49" x14ac:dyDescent="0.25">
      <c r="AT6836" s="74"/>
      <c r="AW6836" s="74"/>
    </row>
    <row r="6837" spans="46:49" x14ac:dyDescent="0.25">
      <c r="AT6837" s="74"/>
      <c r="AW6837" s="74"/>
    </row>
    <row r="6838" spans="46:49" x14ac:dyDescent="0.25">
      <c r="AT6838" s="74"/>
      <c r="AW6838" s="74"/>
    </row>
    <row r="6839" spans="46:49" x14ac:dyDescent="0.25">
      <c r="AT6839" s="74"/>
      <c r="AW6839" s="74"/>
    </row>
    <row r="6840" spans="46:49" x14ac:dyDescent="0.25">
      <c r="AT6840" s="74"/>
      <c r="AW6840" s="74"/>
    </row>
    <row r="6841" spans="46:49" x14ac:dyDescent="0.25">
      <c r="AT6841" s="74"/>
      <c r="AW6841" s="74"/>
    </row>
    <row r="6842" spans="46:49" x14ac:dyDescent="0.25">
      <c r="AT6842" s="74"/>
      <c r="AW6842" s="74"/>
    </row>
    <row r="6843" spans="46:49" x14ac:dyDescent="0.25">
      <c r="AT6843" s="74"/>
      <c r="AW6843" s="74"/>
    </row>
    <row r="6844" spans="46:49" x14ac:dyDescent="0.25">
      <c r="AT6844" s="74"/>
      <c r="AW6844" s="74"/>
    </row>
    <row r="6845" spans="46:49" x14ac:dyDescent="0.25">
      <c r="AT6845" s="74"/>
      <c r="AW6845" s="74"/>
    </row>
    <row r="6846" spans="46:49" x14ac:dyDescent="0.25">
      <c r="AT6846" s="74"/>
      <c r="AW6846" s="74"/>
    </row>
    <row r="6847" spans="46:49" x14ac:dyDescent="0.25">
      <c r="AT6847" s="74"/>
      <c r="AW6847" s="74"/>
    </row>
    <row r="6848" spans="46:49" x14ac:dyDescent="0.25">
      <c r="AT6848" s="74"/>
      <c r="AW6848" s="74"/>
    </row>
    <row r="6849" spans="46:49" x14ac:dyDescent="0.25">
      <c r="AT6849" s="74"/>
      <c r="AW6849" s="74"/>
    </row>
    <row r="6850" spans="46:49" x14ac:dyDescent="0.25">
      <c r="AT6850" s="74"/>
      <c r="AW6850" s="74"/>
    </row>
    <row r="6851" spans="46:49" x14ac:dyDescent="0.25">
      <c r="AT6851" s="74"/>
      <c r="AW6851" s="74"/>
    </row>
    <row r="6852" spans="46:49" x14ac:dyDescent="0.25">
      <c r="AT6852" s="74"/>
      <c r="AW6852" s="74"/>
    </row>
    <row r="6853" spans="46:49" x14ac:dyDescent="0.25">
      <c r="AT6853" s="74"/>
      <c r="AW6853" s="74"/>
    </row>
    <row r="6854" spans="46:49" x14ac:dyDescent="0.25">
      <c r="AT6854" s="74"/>
      <c r="AW6854" s="74"/>
    </row>
    <row r="6855" spans="46:49" x14ac:dyDescent="0.25">
      <c r="AT6855" s="74"/>
      <c r="AW6855" s="74"/>
    </row>
    <row r="6856" spans="46:49" x14ac:dyDescent="0.25">
      <c r="AT6856" s="74"/>
      <c r="AW6856" s="74"/>
    </row>
    <row r="6857" spans="46:49" x14ac:dyDescent="0.25">
      <c r="AT6857" s="74"/>
      <c r="AW6857" s="74"/>
    </row>
    <row r="6858" spans="46:49" x14ac:dyDescent="0.25">
      <c r="AT6858" s="74"/>
      <c r="AW6858" s="74"/>
    </row>
    <row r="6859" spans="46:49" x14ac:dyDescent="0.25">
      <c r="AT6859" s="74"/>
      <c r="AW6859" s="74"/>
    </row>
    <row r="6860" spans="46:49" x14ac:dyDescent="0.25">
      <c r="AT6860" s="74"/>
      <c r="AW6860" s="74"/>
    </row>
    <row r="6861" spans="46:49" x14ac:dyDescent="0.25">
      <c r="AT6861" s="74"/>
      <c r="AW6861" s="74"/>
    </row>
    <row r="6862" spans="46:49" x14ac:dyDescent="0.25">
      <c r="AT6862" s="74"/>
      <c r="AW6862" s="74"/>
    </row>
    <row r="6863" spans="46:49" x14ac:dyDescent="0.25">
      <c r="AT6863" s="74"/>
      <c r="AW6863" s="74"/>
    </row>
    <row r="6864" spans="46:49" x14ac:dyDescent="0.25">
      <c r="AT6864" s="74"/>
      <c r="AW6864" s="74"/>
    </row>
    <row r="6865" spans="46:49" x14ac:dyDescent="0.25">
      <c r="AT6865" s="74"/>
      <c r="AW6865" s="74"/>
    </row>
    <row r="6866" spans="46:49" x14ac:dyDescent="0.25">
      <c r="AT6866" s="74"/>
      <c r="AW6866" s="74"/>
    </row>
    <row r="6867" spans="46:49" x14ac:dyDescent="0.25">
      <c r="AT6867" s="74"/>
      <c r="AW6867" s="74"/>
    </row>
    <row r="6868" spans="46:49" x14ac:dyDescent="0.25">
      <c r="AT6868" s="74"/>
      <c r="AW6868" s="74"/>
    </row>
    <row r="6869" spans="46:49" x14ac:dyDescent="0.25">
      <c r="AT6869" s="74"/>
      <c r="AW6869" s="74"/>
    </row>
    <row r="6870" spans="46:49" x14ac:dyDescent="0.25">
      <c r="AT6870" s="74"/>
      <c r="AW6870" s="74"/>
    </row>
    <row r="6871" spans="46:49" x14ac:dyDescent="0.25">
      <c r="AT6871" s="74"/>
      <c r="AW6871" s="74"/>
    </row>
    <row r="6872" spans="46:49" x14ac:dyDescent="0.25">
      <c r="AT6872" s="74"/>
      <c r="AW6872" s="74"/>
    </row>
    <row r="6873" spans="46:49" x14ac:dyDescent="0.25">
      <c r="AT6873" s="74"/>
      <c r="AW6873" s="74"/>
    </row>
    <row r="6874" spans="46:49" x14ac:dyDescent="0.25">
      <c r="AT6874" s="74"/>
      <c r="AW6874" s="74"/>
    </row>
    <row r="6875" spans="46:49" x14ac:dyDescent="0.25">
      <c r="AT6875" s="74"/>
      <c r="AW6875" s="74"/>
    </row>
    <row r="6876" spans="46:49" x14ac:dyDescent="0.25">
      <c r="AT6876" s="74"/>
      <c r="AW6876" s="74"/>
    </row>
    <row r="6877" spans="46:49" x14ac:dyDescent="0.25">
      <c r="AT6877" s="74"/>
      <c r="AW6877" s="74"/>
    </row>
    <row r="6878" spans="46:49" x14ac:dyDescent="0.25">
      <c r="AT6878" s="74"/>
      <c r="AW6878" s="74"/>
    </row>
    <row r="6879" spans="46:49" x14ac:dyDescent="0.25">
      <c r="AT6879" s="74"/>
      <c r="AW6879" s="74"/>
    </row>
    <row r="6880" spans="46:49" x14ac:dyDescent="0.25">
      <c r="AT6880" s="74"/>
      <c r="AW6880" s="74"/>
    </row>
    <row r="6881" spans="46:49" x14ac:dyDescent="0.25">
      <c r="AT6881" s="74"/>
      <c r="AW6881" s="74"/>
    </row>
    <row r="6882" spans="46:49" x14ac:dyDescent="0.25">
      <c r="AT6882" s="74"/>
      <c r="AW6882" s="74"/>
    </row>
    <row r="6883" spans="46:49" x14ac:dyDescent="0.25">
      <c r="AT6883" s="74"/>
      <c r="AW6883" s="74"/>
    </row>
    <row r="6884" spans="46:49" x14ac:dyDescent="0.25">
      <c r="AT6884" s="74"/>
      <c r="AW6884" s="74"/>
    </row>
    <row r="6885" spans="46:49" x14ac:dyDescent="0.25">
      <c r="AT6885" s="74"/>
      <c r="AW6885" s="74"/>
    </row>
    <row r="6886" spans="46:49" x14ac:dyDescent="0.25">
      <c r="AT6886" s="74"/>
      <c r="AW6886" s="74"/>
    </row>
    <row r="6887" spans="46:49" x14ac:dyDescent="0.25">
      <c r="AT6887" s="74"/>
      <c r="AW6887" s="74"/>
    </row>
    <row r="6888" spans="46:49" x14ac:dyDescent="0.25">
      <c r="AT6888" s="74"/>
      <c r="AW6888" s="74"/>
    </row>
    <row r="6889" spans="46:49" x14ac:dyDescent="0.25">
      <c r="AT6889" s="74"/>
      <c r="AW6889" s="74"/>
    </row>
    <row r="6890" spans="46:49" x14ac:dyDescent="0.25">
      <c r="AT6890" s="74"/>
      <c r="AW6890" s="74"/>
    </row>
    <row r="6891" spans="46:49" x14ac:dyDescent="0.25">
      <c r="AT6891" s="74"/>
      <c r="AW6891" s="74"/>
    </row>
    <row r="6892" spans="46:49" x14ac:dyDescent="0.25">
      <c r="AT6892" s="74"/>
      <c r="AW6892" s="74"/>
    </row>
    <row r="6893" spans="46:49" x14ac:dyDescent="0.25">
      <c r="AT6893" s="74"/>
      <c r="AW6893" s="74"/>
    </row>
    <row r="6894" spans="46:49" x14ac:dyDescent="0.25">
      <c r="AT6894" s="74"/>
      <c r="AW6894" s="74"/>
    </row>
    <row r="6895" spans="46:49" x14ac:dyDescent="0.25">
      <c r="AT6895" s="74"/>
      <c r="AW6895" s="74"/>
    </row>
    <row r="6896" spans="46:49" x14ac:dyDescent="0.25">
      <c r="AT6896" s="74"/>
      <c r="AW6896" s="74"/>
    </row>
    <row r="6897" spans="46:49" x14ac:dyDescent="0.25">
      <c r="AT6897" s="74"/>
      <c r="AW6897" s="74"/>
    </row>
    <row r="6898" spans="46:49" x14ac:dyDescent="0.25">
      <c r="AT6898" s="74"/>
      <c r="AW6898" s="74"/>
    </row>
    <row r="6899" spans="46:49" x14ac:dyDescent="0.25">
      <c r="AT6899" s="74"/>
      <c r="AW6899" s="74"/>
    </row>
    <row r="6900" spans="46:49" x14ac:dyDescent="0.25">
      <c r="AT6900" s="74"/>
      <c r="AW6900" s="74"/>
    </row>
    <row r="6901" spans="46:49" x14ac:dyDescent="0.25">
      <c r="AT6901" s="74"/>
      <c r="AW6901" s="74"/>
    </row>
    <row r="6902" spans="46:49" x14ac:dyDescent="0.25">
      <c r="AT6902" s="74"/>
      <c r="AW6902" s="74"/>
    </row>
    <row r="6903" spans="46:49" x14ac:dyDescent="0.25">
      <c r="AT6903" s="74"/>
      <c r="AW6903" s="74"/>
    </row>
    <row r="6904" spans="46:49" x14ac:dyDescent="0.25">
      <c r="AT6904" s="74"/>
      <c r="AW6904" s="74"/>
    </row>
    <row r="6905" spans="46:49" x14ac:dyDescent="0.25">
      <c r="AT6905" s="74"/>
      <c r="AW6905" s="74"/>
    </row>
    <row r="6906" spans="46:49" x14ac:dyDescent="0.25">
      <c r="AT6906" s="74"/>
      <c r="AW6906" s="74"/>
    </row>
    <row r="6907" spans="46:49" x14ac:dyDescent="0.25">
      <c r="AT6907" s="74"/>
      <c r="AW6907" s="74"/>
    </row>
    <row r="6908" spans="46:49" x14ac:dyDescent="0.25">
      <c r="AT6908" s="74"/>
      <c r="AW6908" s="74"/>
    </row>
    <row r="6909" spans="46:49" x14ac:dyDescent="0.25">
      <c r="AT6909" s="74"/>
      <c r="AW6909" s="74"/>
    </row>
    <row r="6910" spans="46:49" x14ac:dyDescent="0.25">
      <c r="AT6910" s="74"/>
      <c r="AW6910" s="74"/>
    </row>
    <row r="6911" spans="46:49" x14ac:dyDescent="0.25">
      <c r="AT6911" s="74"/>
      <c r="AW6911" s="74"/>
    </row>
    <row r="6912" spans="46:49" x14ac:dyDescent="0.25">
      <c r="AT6912" s="74"/>
      <c r="AW6912" s="74"/>
    </row>
    <row r="6913" spans="46:49" x14ac:dyDescent="0.25">
      <c r="AT6913" s="74"/>
      <c r="AW6913" s="74"/>
    </row>
    <row r="6914" spans="46:49" x14ac:dyDescent="0.25">
      <c r="AT6914" s="74"/>
      <c r="AW6914" s="74"/>
    </row>
    <row r="6915" spans="46:49" x14ac:dyDescent="0.25">
      <c r="AT6915" s="74"/>
      <c r="AW6915" s="74"/>
    </row>
    <row r="6916" spans="46:49" x14ac:dyDescent="0.25">
      <c r="AT6916" s="74"/>
      <c r="AW6916" s="74"/>
    </row>
    <row r="6917" spans="46:49" x14ac:dyDescent="0.25">
      <c r="AT6917" s="74"/>
      <c r="AW6917" s="74"/>
    </row>
    <row r="6918" spans="46:49" x14ac:dyDescent="0.25">
      <c r="AT6918" s="74"/>
      <c r="AW6918" s="74"/>
    </row>
    <row r="6919" spans="46:49" x14ac:dyDescent="0.25">
      <c r="AT6919" s="74"/>
      <c r="AW6919" s="74"/>
    </row>
    <row r="6920" spans="46:49" x14ac:dyDescent="0.25">
      <c r="AT6920" s="74"/>
      <c r="AW6920" s="74"/>
    </row>
    <row r="6921" spans="46:49" x14ac:dyDescent="0.25">
      <c r="AT6921" s="74"/>
      <c r="AW6921" s="74"/>
    </row>
    <row r="6922" spans="46:49" x14ac:dyDescent="0.25">
      <c r="AT6922" s="74"/>
      <c r="AW6922" s="74"/>
    </row>
    <row r="6923" spans="46:49" x14ac:dyDescent="0.25">
      <c r="AT6923" s="74"/>
      <c r="AW6923" s="74"/>
    </row>
    <row r="6924" spans="46:49" x14ac:dyDescent="0.25">
      <c r="AT6924" s="74"/>
      <c r="AW6924" s="74"/>
    </row>
    <row r="6925" spans="46:49" x14ac:dyDescent="0.25">
      <c r="AT6925" s="74"/>
      <c r="AW6925" s="74"/>
    </row>
    <row r="6926" spans="46:49" x14ac:dyDescent="0.25">
      <c r="AT6926" s="74"/>
      <c r="AW6926" s="74"/>
    </row>
    <row r="6927" spans="46:49" x14ac:dyDescent="0.25">
      <c r="AT6927" s="74"/>
      <c r="AW6927" s="74"/>
    </row>
    <row r="6928" spans="46:49" x14ac:dyDescent="0.25">
      <c r="AT6928" s="74"/>
      <c r="AW6928" s="74"/>
    </row>
    <row r="6929" spans="46:49" x14ac:dyDescent="0.25">
      <c r="AT6929" s="74"/>
      <c r="AW6929" s="74"/>
    </row>
    <row r="6930" spans="46:49" x14ac:dyDescent="0.25">
      <c r="AT6930" s="74"/>
      <c r="AW6930" s="74"/>
    </row>
    <row r="6931" spans="46:49" x14ac:dyDescent="0.25">
      <c r="AT6931" s="74"/>
      <c r="AW6931" s="74"/>
    </row>
    <row r="6932" spans="46:49" x14ac:dyDescent="0.25">
      <c r="AT6932" s="74"/>
      <c r="AW6932" s="74"/>
    </row>
    <row r="6933" spans="46:49" x14ac:dyDescent="0.25">
      <c r="AT6933" s="74"/>
      <c r="AW6933" s="74"/>
    </row>
    <row r="6934" spans="46:49" x14ac:dyDescent="0.25">
      <c r="AT6934" s="74"/>
      <c r="AW6934" s="74"/>
    </row>
    <row r="6935" spans="46:49" x14ac:dyDescent="0.25">
      <c r="AT6935" s="74"/>
      <c r="AW6935" s="74"/>
    </row>
    <row r="6936" spans="46:49" x14ac:dyDescent="0.25">
      <c r="AT6936" s="74"/>
      <c r="AW6936" s="74"/>
    </row>
    <row r="6937" spans="46:49" x14ac:dyDescent="0.25">
      <c r="AT6937" s="74"/>
      <c r="AW6937" s="74"/>
    </row>
    <row r="6938" spans="46:49" x14ac:dyDescent="0.25">
      <c r="AT6938" s="74"/>
      <c r="AW6938" s="74"/>
    </row>
    <row r="6939" spans="46:49" x14ac:dyDescent="0.25">
      <c r="AT6939" s="74"/>
      <c r="AW6939" s="74"/>
    </row>
    <row r="6940" spans="46:49" x14ac:dyDescent="0.25">
      <c r="AT6940" s="74"/>
      <c r="AW6940" s="74"/>
    </row>
    <row r="6941" spans="46:49" x14ac:dyDescent="0.25">
      <c r="AT6941" s="74"/>
      <c r="AW6941" s="74"/>
    </row>
    <row r="6942" spans="46:49" x14ac:dyDescent="0.25">
      <c r="AT6942" s="74"/>
      <c r="AW6942" s="74"/>
    </row>
    <row r="6943" spans="46:49" x14ac:dyDescent="0.25">
      <c r="AT6943" s="74"/>
      <c r="AW6943" s="74"/>
    </row>
    <row r="6944" spans="46:49" x14ac:dyDescent="0.25">
      <c r="AT6944" s="74"/>
      <c r="AW6944" s="74"/>
    </row>
    <row r="6945" spans="46:49" x14ac:dyDescent="0.25">
      <c r="AT6945" s="74"/>
      <c r="AW6945" s="74"/>
    </row>
    <row r="6946" spans="46:49" x14ac:dyDescent="0.25">
      <c r="AT6946" s="74"/>
      <c r="AW6946" s="74"/>
    </row>
    <row r="6947" spans="46:49" x14ac:dyDescent="0.25">
      <c r="AT6947" s="74"/>
      <c r="AW6947" s="74"/>
    </row>
    <row r="6948" spans="46:49" x14ac:dyDescent="0.25">
      <c r="AT6948" s="74"/>
      <c r="AW6948" s="74"/>
    </row>
    <row r="6949" spans="46:49" x14ac:dyDescent="0.25">
      <c r="AT6949" s="74"/>
      <c r="AW6949" s="74"/>
    </row>
    <row r="6950" spans="46:49" x14ac:dyDescent="0.25">
      <c r="AT6950" s="74"/>
      <c r="AW6950" s="74"/>
    </row>
    <row r="6951" spans="46:49" x14ac:dyDescent="0.25">
      <c r="AT6951" s="74"/>
      <c r="AW6951" s="74"/>
    </row>
    <row r="6952" spans="46:49" x14ac:dyDescent="0.25">
      <c r="AT6952" s="74"/>
      <c r="AW6952" s="74"/>
    </row>
    <row r="6953" spans="46:49" x14ac:dyDescent="0.25">
      <c r="AT6953" s="74"/>
      <c r="AW6953" s="74"/>
    </row>
    <row r="6954" spans="46:49" x14ac:dyDescent="0.25">
      <c r="AT6954" s="74"/>
      <c r="AW6954" s="74"/>
    </row>
    <row r="6955" spans="46:49" x14ac:dyDescent="0.25">
      <c r="AT6955" s="74"/>
      <c r="AW6955" s="74"/>
    </row>
    <row r="6956" spans="46:49" x14ac:dyDescent="0.25">
      <c r="AT6956" s="74"/>
      <c r="AW6956" s="74"/>
    </row>
    <row r="6957" spans="46:49" x14ac:dyDescent="0.25">
      <c r="AT6957" s="74"/>
      <c r="AW6957" s="74"/>
    </row>
    <row r="6958" spans="46:49" x14ac:dyDescent="0.25">
      <c r="AT6958" s="74"/>
      <c r="AW6958" s="74"/>
    </row>
    <row r="6959" spans="46:49" x14ac:dyDescent="0.25">
      <c r="AT6959" s="74"/>
      <c r="AW6959" s="74"/>
    </row>
    <row r="6960" spans="46:49" x14ac:dyDescent="0.25">
      <c r="AT6960" s="74"/>
      <c r="AW6960" s="74"/>
    </row>
    <row r="6961" spans="46:49" x14ac:dyDescent="0.25">
      <c r="AT6961" s="74"/>
      <c r="AW6961" s="74"/>
    </row>
    <row r="6962" spans="46:49" x14ac:dyDescent="0.25">
      <c r="AT6962" s="74"/>
      <c r="AW6962" s="74"/>
    </row>
    <row r="6963" spans="46:49" x14ac:dyDescent="0.25">
      <c r="AT6963" s="74"/>
      <c r="AW6963" s="74"/>
    </row>
    <row r="6964" spans="46:49" x14ac:dyDescent="0.25">
      <c r="AT6964" s="74"/>
      <c r="AW6964" s="74"/>
    </row>
    <row r="6965" spans="46:49" x14ac:dyDescent="0.25">
      <c r="AT6965" s="74"/>
      <c r="AW6965" s="74"/>
    </row>
    <row r="6966" spans="46:49" x14ac:dyDescent="0.25">
      <c r="AT6966" s="74"/>
      <c r="AW6966" s="74"/>
    </row>
    <row r="6967" spans="46:49" x14ac:dyDescent="0.25">
      <c r="AT6967" s="74"/>
      <c r="AW6967" s="74"/>
    </row>
    <row r="6968" spans="46:49" x14ac:dyDescent="0.25">
      <c r="AT6968" s="74"/>
      <c r="AW6968" s="74"/>
    </row>
    <row r="6969" spans="46:49" x14ac:dyDescent="0.25">
      <c r="AT6969" s="74"/>
      <c r="AW6969" s="74"/>
    </row>
    <row r="6970" spans="46:49" x14ac:dyDescent="0.25">
      <c r="AT6970" s="74"/>
      <c r="AW6970" s="74"/>
    </row>
    <row r="6971" spans="46:49" x14ac:dyDescent="0.25">
      <c r="AT6971" s="74"/>
      <c r="AW6971" s="74"/>
    </row>
    <row r="6972" spans="46:49" x14ac:dyDescent="0.25">
      <c r="AT6972" s="74"/>
      <c r="AW6972" s="74"/>
    </row>
    <row r="6973" spans="46:49" x14ac:dyDescent="0.25">
      <c r="AT6973" s="74"/>
      <c r="AW6973" s="74"/>
    </row>
    <row r="6974" spans="46:49" x14ac:dyDescent="0.25">
      <c r="AT6974" s="74"/>
      <c r="AW6974" s="74"/>
    </row>
    <row r="6975" spans="46:49" x14ac:dyDescent="0.25">
      <c r="AT6975" s="74"/>
      <c r="AW6975" s="74"/>
    </row>
    <row r="6976" spans="46:49" x14ac:dyDescent="0.25">
      <c r="AT6976" s="74"/>
      <c r="AW6976" s="74"/>
    </row>
    <row r="6977" spans="46:49" x14ac:dyDescent="0.25">
      <c r="AT6977" s="74"/>
      <c r="AW6977" s="74"/>
    </row>
    <row r="6978" spans="46:49" x14ac:dyDescent="0.25">
      <c r="AT6978" s="74"/>
      <c r="AW6978" s="74"/>
    </row>
    <row r="6979" spans="46:49" x14ac:dyDescent="0.25">
      <c r="AT6979" s="74"/>
      <c r="AW6979" s="74"/>
    </row>
    <row r="6980" spans="46:49" x14ac:dyDescent="0.25">
      <c r="AT6980" s="74"/>
      <c r="AW6980" s="74"/>
    </row>
    <row r="6981" spans="46:49" x14ac:dyDescent="0.25">
      <c r="AT6981" s="74"/>
      <c r="AW6981" s="74"/>
    </row>
    <row r="6982" spans="46:49" x14ac:dyDescent="0.25">
      <c r="AT6982" s="74"/>
      <c r="AW6982" s="74"/>
    </row>
    <row r="6983" spans="46:49" x14ac:dyDescent="0.25">
      <c r="AT6983" s="74"/>
      <c r="AW6983" s="74"/>
    </row>
    <row r="6984" spans="46:49" x14ac:dyDescent="0.25">
      <c r="AT6984" s="74"/>
      <c r="AW6984" s="74"/>
    </row>
    <row r="6985" spans="46:49" x14ac:dyDescent="0.25">
      <c r="AT6985" s="74"/>
      <c r="AW6985" s="74"/>
    </row>
    <row r="6986" spans="46:49" x14ac:dyDescent="0.25">
      <c r="AT6986" s="74"/>
      <c r="AW6986" s="74"/>
    </row>
    <row r="6987" spans="46:49" x14ac:dyDescent="0.25">
      <c r="AT6987" s="74"/>
      <c r="AW6987" s="74"/>
    </row>
    <row r="6988" spans="46:49" x14ac:dyDescent="0.25">
      <c r="AT6988" s="74"/>
      <c r="AW6988" s="74"/>
    </row>
    <row r="6989" spans="46:49" x14ac:dyDescent="0.25">
      <c r="AT6989" s="74"/>
      <c r="AW6989" s="74"/>
    </row>
    <row r="6990" spans="46:49" x14ac:dyDescent="0.25">
      <c r="AT6990" s="74"/>
      <c r="AW6990" s="74"/>
    </row>
    <row r="6991" spans="46:49" x14ac:dyDescent="0.25">
      <c r="AT6991" s="74"/>
      <c r="AW6991" s="74"/>
    </row>
    <row r="6992" spans="46:49" x14ac:dyDescent="0.25">
      <c r="AT6992" s="74"/>
      <c r="AW6992" s="74"/>
    </row>
    <row r="6993" spans="46:49" x14ac:dyDescent="0.25">
      <c r="AT6993" s="74"/>
      <c r="AW6993" s="74"/>
    </row>
    <row r="6994" spans="46:49" x14ac:dyDescent="0.25">
      <c r="AT6994" s="74"/>
      <c r="AW6994" s="74"/>
    </row>
    <row r="6995" spans="46:49" x14ac:dyDescent="0.25">
      <c r="AT6995" s="74"/>
      <c r="AW6995" s="74"/>
    </row>
    <row r="6996" spans="46:49" x14ac:dyDescent="0.25">
      <c r="AT6996" s="74"/>
      <c r="AW6996" s="74"/>
    </row>
    <row r="6997" spans="46:49" x14ac:dyDescent="0.25">
      <c r="AT6997" s="74"/>
      <c r="AW6997" s="74"/>
    </row>
    <row r="6998" spans="46:49" x14ac:dyDescent="0.25">
      <c r="AT6998" s="74"/>
      <c r="AW6998" s="74"/>
    </row>
    <row r="6999" spans="46:49" x14ac:dyDescent="0.25">
      <c r="AT6999" s="74"/>
      <c r="AW6999" s="74"/>
    </row>
    <row r="7000" spans="46:49" x14ac:dyDescent="0.25">
      <c r="AT7000" s="74"/>
      <c r="AW7000" s="74"/>
    </row>
    <row r="7001" spans="46:49" x14ac:dyDescent="0.25">
      <c r="AT7001" s="74"/>
      <c r="AW7001" s="74"/>
    </row>
    <row r="7002" spans="46:49" x14ac:dyDescent="0.25">
      <c r="AT7002" s="74"/>
      <c r="AW7002" s="74"/>
    </row>
    <row r="7003" spans="46:49" x14ac:dyDescent="0.25">
      <c r="AT7003" s="74"/>
      <c r="AW7003" s="74"/>
    </row>
    <row r="7004" spans="46:49" x14ac:dyDescent="0.25">
      <c r="AT7004" s="74"/>
      <c r="AW7004" s="74"/>
    </row>
    <row r="7005" spans="46:49" x14ac:dyDescent="0.25">
      <c r="AT7005" s="74"/>
      <c r="AW7005" s="74"/>
    </row>
    <row r="7006" spans="46:49" x14ac:dyDescent="0.25">
      <c r="AT7006" s="74"/>
      <c r="AW7006" s="74"/>
    </row>
    <row r="7007" spans="46:49" x14ac:dyDescent="0.25">
      <c r="AT7007" s="74"/>
      <c r="AW7007" s="74"/>
    </row>
    <row r="7008" spans="46:49" x14ac:dyDescent="0.25">
      <c r="AT7008" s="74"/>
      <c r="AW7008" s="74"/>
    </row>
    <row r="7009" spans="46:49" x14ac:dyDescent="0.25">
      <c r="AT7009" s="74"/>
      <c r="AW7009" s="74"/>
    </row>
    <row r="7010" spans="46:49" x14ac:dyDescent="0.25">
      <c r="AT7010" s="74"/>
      <c r="AW7010" s="74"/>
    </row>
    <row r="7011" spans="46:49" x14ac:dyDescent="0.25">
      <c r="AT7011" s="74"/>
      <c r="AW7011" s="74"/>
    </row>
    <row r="7012" spans="46:49" x14ac:dyDescent="0.25">
      <c r="AT7012" s="74"/>
      <c r="AW7012" s="74"/>
    </row>
    <row r="7013" spans="46:49" x14ac:dyDescent="0.25">
      <c r="AT7013" s="74"/>
      <c r="AW7013" s="74"/>
    </row>
    <row r="7014" spans="46:49" x14ac:dyDescent="0.25">
      <c r="AT7014" s="74"/>
      <c r="AW7014" s="74"/>
    </row>
    <row r="7015" spans="46:49" x14ac:dyDescent="0.25">
      <c r="AT7015" s="74"/>
      <c r="AW7015" s="74"/>
    </row>
    <row r="7016" spans="46:49" x14ac:dyDescent="0.25">
      <c r="AT7016" s="74"/>
      <c r="AW7016" s="74"/>
    </row>
    <row r="7017" spans="46:49" x14ac:dyDescent="0.25">
      <c r="AT7017" s="74"/>
      <c r="AW7017" s="74"/>
    </row>
    <row r="7018" spans="46:49" x14ac:dyDescent="0.25">
      <c r="AT7018" s="74"/>
      <c r="AW7018" s="74"/>
    </row>
    <row r="7019" spans="46:49" x14ac:dyDescent="0.25">
      <c r="AT7019" s="74"/>
      <c r="AW7019" s="74"/>
    </row>
    <row r="7020" spans="46:49" x14ac:dyDescent="0.25">
      <c r="AT7020" s="74"/>
      <c r="AW7020" s="74"/>
    </row>
    <row r="7021" spans="46:49" x14ac:dyDescent="0.25">
      <c r="AT7021" s="74"/>
      <c r="AW7021" s="74"/>
    </row>
    <row r="7022" spans="46:49" x14ac:dyDescent="0.25">
      <c r="AT7022" s="74"/>
      <c r="AW7022" s="74"/>
    </row>
    <row r="7023" spans="46:49" x14ac:dyDescent="0.25">
      <c r="AT7023" s="74"/>
      <c r="AW7023" s="74"/>
    </row>
    <row r="7024" spans="46:49" x14ac:dyDescent="0.25">
      <c r="AT7024" s="74"/>
      <c r="AW7024" s="74"/>
    </row>
    <row r="7025" spans="46:49" x14ac:dyDescent="0.25">
      <c r="AT7025" s="74"/>
      <c r="AW7025" s="74"/>
    </row>
    <row r="7026" spans="46:49" x14ac:dyDescent="0.25">
      <c r="AT7026" s="74"/>
      <c r="AW7026" s="74"/>
    </row>
    <row r="7027" spans="46:49" x14ac:dyDescent="0.25">
      <c r="AT7027" s="74"/>
      <c r="AW7027" s="74"/>
    </row>
    <row r="7028" spans="46:49" x14ac:dyDescent="0.25">
      <c r="AT7028" s="74"/>
      <c r="AW7028" s="74"/>
    </row>
    <row r="7029" spans="46:49" x14ac:dyDescent="0.25">
      <c r="AT7029" s="74"/>
      <c r="AW7029" s="74"/>
    </row>
    <row r="7030" spans="46:49" x14ac:dyDescent="0.25">
      <c r="AT7030" s="74"/>
      <c r="AW7030" s="74"/>
    </row>
    <row r="7031" spans="46:49" x14ac:dyDescent="0.25">
      <c r="AT7031" s="74"/>
      <c r="AW7031" s="74"/>
    </row>
    <row r="7032" spans="46:49" x14ac:dyDescent="0.25">
      <c r="AT7032" s="74"/>
      <c r="AW7032" s="74"/>
    </row>
    <row r="7033" spans="46:49" x14ac:dyDescent="0.25">
      <c r="AT7033" s="74"/>
      <c r="AW7033" s="74"/>
    </row>
    <row r="7034" spans="46:49" x14ac:dyDescent="0.25">
      <c r="AT7034" s="74"/>
      <c r="AW7034" s="74"/>
    </row>
    <row r="7035" spans="46:49" x14ac:dyDescent="0.25">
      <c r="AT7035" s="74"/>
      <c r="AW7035" s="74"/>
    </row>
    <row r="7036" spans="46:49" x14ac:dyDescent="0.25">
      <c r="AT7036" s="74"/>
      <c r="AW7036" s="74"/>
    </row>
    <row r="7037" spans="46:49" x14ac:dyDescent="0.25">
      <c r="AT7037" s="74"/>
      <c r="AW7037" s="74"/>
    </row>
    <row r="7038" spans="46:49" x14ac:dyDescent="0.25">
      <c r="AT7038" s="74"/>
      <c r="AW7038" s="74"/>
    </row>
    <row r="7039" spans="46:49" x14ac:dyDescent="0.25">
      <c r="AT7039" s="74"/>
      <c r="AW7039" s="74"/>
    </row>
    <row r="7040" spans="46:49" x14ac:dyDescent="0.25">
      <c r="AT7040" s="74"/>
      <c r="AW7040" s="74"/>
    </row>
    <row r="7041" spans="46:49" x14ac:dyDescent="0.25">
      <c r="AT7041" s="74"/>
      <c r="AW7041" s="74"/>
    </row>
    <row r="7042" spans="46:49" x14ac:dyDescent="0.25">
      <c r="AT7042" s="74"/>
      <c r="AW7042" s="74"/>
    </row>
    <row r="7043" spans="46:49" x14ac:dyDescent="0.25">
      <c r="AT7043" s="74"/>
      <c r="AW7043" s="74"/>
    </row>
    <row r="7044" spans="46:49" x14ac:dyDescent="0.25">
      <c r="AT7044" s="74"/>
      <c r="AW7044" s="74"/>
    </row>
    <row r="7045" spans="46:49" x14ac:dyDescent="0.25">
      <c r="AT7045" s="74"/>
      <c r="AW7045" s="74"/>
    </row>
    <row r="7046" spans="46:49" x14ac:dyDescent="0.25">
      <c r="AT7046" s="74"/>
      <c r="AW7046" s="74"/>
    </row>
    <row r="7047" spans="46:49" x14ac:dyDescent="0.25">
      <c r="AT7047" s="74"/>
      <c r="AW7047" s="74"/>
    </row>
    <row r="7048" spans="46:49" x14ac:dyDescent="0.25">
      <c r="AT7048" s="74"/>
      <c r="AW7048" s="74"/>
    </row>
    <row r="7049" spans="46:49" x14ac:dyDescent="0.25">
      <c r="AT7049" s="74"/>
      <c r="AW7049" s="74"/>
    </row>
    <row r="7050" spans="46:49" x14ac:dyDescent="0.25">
      <c r="AT7050" s="74"/>
      <c r="AW7050" s="74"/>
    </row>
    <row r="7051" spans="46:49" x14ac:dyDescent="0.25">
      <c r="AT7051" s="74"/>
      <c r="AW7051" s="74"/>
    </row>
    <row r="7052" spans="46:49" x14ac:dyDescent="0.25">
      <c r="AT7052" s="74"/>
      <c r="AW7052" s="74"/>
    </row>
    <row r="7053" spans="46:49" x14ac:dyDescent="0.25">
      <c r="AT7053" s="74"/>
      <c r="AW7053" s="74"/>
    </row>
    <row r="7054" spans="46:49" x14ac:dyDescent="0.25">
      <c r="AT7054" s="74"/>
      <c r="AW7054" s="74"/>
    </row>
    <row r="7055" spans="46:49" x14ac:dyDescent="0.25">
      <c r="AT7055" s="74"/>
      <c r="AW7055" s="74"/>
    </row>
    <row r="7056" spans="46:49" x14ac:dyDescent="0.25">
      <c r="AT7056" s="74"/>
      <c r="AW7056" s="74"/>
    </row>
    <row r="7057" spans="46:49" x14ac:dyDescent="0.25">
      <c r="AT7057" s="74"/>
      <c r="AW7057" s="74"/>
    </row>
    <row r="7058" spans="46:49" x14ac:dyDescent="0.25">
      <c r="AT7058" s="74"/>
      <c r="AW7058" s="74"/>
    </row>
    <row r="7059" spans="46:49" x14ac:dyDescent="0.25">
      <c r="AT7059" s="74"/>
      <c r="AW7059" s="74"/>
    </row>
    <row r="7060" spans="46:49" x14ac:dyDescent="0.25">
      <c r="AT7060" s="74"/>
      <c r="AW7060" s="74"/>
    </row>
    <row r="7061" spans="46:49" x14ac:dyDescent="0.25">
      <c r="AT7061" s="74"/>
      <c r="AW7061" s="74"/>
    </row>
    <row r="7062" spans="46:49" x14ac:dyDescent="0.25">
      <c r="AT7062" s="74"/>
      <c r="AW7062" s="74"/>
    </row>
    <row r="7063" spans="46:49" x14ac:dyDescent="0.25">
      <c r="AT7063" s="74"/>
      <c r="AW7063" s="74"/>
    </row>
    <row r="7064" spans="46:49" x14ac:dyDescent="0.25">
      <c r="AT7064" s="74"/>
      <c r="AW7064" s="74"/>
    </row>
    <row r="7065" spans="46:49" x14ac:dyDescent="0.25">
      <c r="AT7065" s="74"/>
      <c r="AW7065" s="74"/>
    </row>
    <row r="7066" spans="46:49" x14ac:dyDescent="0.25">
      <c r="AT7066" s="74"/>
      <c r="AW7066" s="74"/>
    </row>
    <row r="7067" spans="46:49" x14ac:dyDescent="0.25">
      <c r="AT7067" s="74"/>
      <c r="AW7067" s="74"/>
    </row>
    <row r="7068" spans="46:49" x14ac:dyDescent="0.25">
      <c r="AT7068" s="74"/>
      <c r="AW7068" s="74"/>
    </row>
    <row r="7069" spans="46:49" x14ac:dyDescent="0.25">
      <c r="AT7069" s="74"/>
      <c r="AW7069" s="74"/>
    </row>
    <row r="7070" spans="46:49" x14ac:dyDescent="0.25">
      <c r="AT7070" s="74"/>
      <c r="AW7070" s="74"/>
    </row>
    <row r="7071" spans="46:49" x14ac:dyDescent="0.25">
      <c r="AT7071" s="74"/>
      <c r="AW7071" s="74"/>
    </row>
    <row r="7072" spans="46:49" x14ac:dyDescent="0.25">
      <c r="AT7072" s="74"/>
      <c r="AW7072" s="74"/>
    </row>
    <row r="7073" spans="46:49" x14ac:dyDescent="0.25">
      <c r="AT7073" s="74"/>
      <c r="AW7073" s="74"/>
    </row>
    <row r="7074" spans="46:49" x14ac:dyDescent="0.25">
      <c r="AT7074" s="74"/>
      <c r="AW7074" s="74"/>
    </row>
    <row r="7075" spans="46:49" x14ac:dyDescent="0.25">
      <c r="AT7075" s="74"/>
      <c r="AW7075" s="74"/>
    </row>
    <row r="7076" spans="46:49" x14ac:dyDescent="0.25">
      <c r="AT7076" s="74"/>
      <c r="AW7076" s="74"/>
    </row>
    <row r="7077" spans="46:49" x14ac:dyDescent="0.25">
      <c r="AT7077" s="74"/>
      <c r="AW7077" s="74"/>
    </row>
    <row r="7078" spans="46:49" x14ac:dyDescent="0.25">
      <c r="AT7078" s="74"/>
      <c r="AW7078" s="74"/>
    </row>
    <row r="7079" spans="46:49" x14ac:dyDescent="0.25">
      <c r="AT7079" s="74"/>
      <c r="AW7079" s="74"/>
    </row>
    <row r="7080" spans="46:49" x14ac:dyDescent="0.25">
      <c r="AT7080" s="74"/>
      <c r="AW7080" s="74"/>
    </row>
    <row r="7081" spans="46:49" x14ac:dyDescent="0.25">
      <c r="AT7081" s="74"/>
      <c r="AW7081" s="74"/>
    </row>
    <row r="7082" spans="46:49" x14ac:dyDescent="0.25">
      <c r="AT7082" s="74"/>
      <c r="AW7082" s="74"/>
    </row>
    <row r="7083" spans="46:49" x14ac:dyDescent="0.25">
      <c r="AT7083" s="74"/>
      <c r="AW7083" s="74"/>
    </row>
    <row r="7084" spans="46:49" x14ac:dyDescent="0.25">
      <c r="AT7084" s="74"/>
      <c r="AW7084" s="74"/>
    </row>
    <row r="7085" spans="46:49" x14ac:dyDescent="0.25">
      <c r="AT7085" s="74"/>
      <c r="AW7085" s="74"/>
    </row>
    <row r="7086" spans="46:49" x14ac:dyDescent="0.25">
      <c r="AT7086" s="74"/>
      <c r="AW7086" s="74"/>
    </row>
    <row r="7087" spans="46:49" x14ac:dyDescent="0.25">
      <c r="AT7087" s="74"/>
      <c r="AW7087" s="74"/>
    </row>
    <row r="7088" spans="46:49" x14ac:dyDescent="0.25">
      <c r="AT7088" s="74"/>
      <c r="AW7088" s="74"/>
    </row>
    <row r="7089" spans="46:49" x14ac:dyDescent="0.25">
      <c r="AT7089" s="74"/>
      <c r="AW7089" s="74"/>
    </row>
    <row r="7090" spans="46:49" x14ac:dyDescent="0.25">
      <c r="AT7090" s="74"/>
      <c r="AW7090" s="74"/>
    </row>
    <row r="7091" spans="46:49" x14ac:dyDescent="0.25">
      <c r="AT7091" s="74"/>
      <c r="AW7091" s="74"/>
    </row>
    <row r="7092" spans="46:49" x14ac:dyDescent="0.25">
      <c r="AT7092" s="74"/>
      <c r="AW7092" s="74"/>
    </row>
    <row r="7093" spans="46:49" x14ac:dyDescent="0.25">
      <c r="AT7093" s="74"/>
      <c r="AW7093" s="74"/>
    </row>
    <row r="7094" spans="46:49" x14ac:dyDescent="0.25">
      <c r="AT7094" s="74"/>
      <c r="AW7094" s="74"/>
    </row>
    <row r="7095" spans="46:49" x14ac:dyDescent="0.25">
      <c r="AT7095" s="74"/>
      <c r="AW7095" s="74"/>
    </row>
    <row r="7096" spans="46:49" x14ac:dyDescent="0.25">
      <c r="AT7096" s="74"/>
      <c r="AW7096" s="74"/>
    </row>
    <row r="7097" spans="46:49" x14ac:dyDescent="0.25">
      <c r="AT7097" s="74"/>
      <c r="AW7097" s="74"/>
    </row>
    <row r="7098" spans="46:49" x14ac:dyDescent="0.25">
      <c r="AT7098" s="74"/>
      <c r="AW7098" s="74"/>
    </row>
    <row r="7099" spans="46:49" x14ac:dyDescent="0.25">
      <c r="AT7099" s="74"/>
      <c r="AW7099" s="74"/>
    </row>
    <row r="7100" spans="46:49" x14ac:dyDescent="0.25">
      <c r="AT7100" s="74"/>
      <c r="AW7100" s="74"/>
    </row>
    <row r="7101" spans="46:49" x14ac:dyDescent="0.25">
      <c r="AT7101" s="74"/>
      <c r="AW7101" s="74"/>
    </row>
    <row r="7102" spans="46:49" x14ac:dyDescent="0.25">
      <c r="AT7102" s="74"/>
      <c r="AW7102" s="74"/>
    </row>
    <row r="7103" spans="46:49" x14ac:dyDescent="0.25">
      <c r="AT7103" s="74"/>
      <c r="AW7103" s="74"/>
    </row>
    <row r="7104" spans="46:49" x14ac:dyDescent="0.25">
      <c r="AT7104" s="74"/>
      <c r="AW7104" s="74"/>
    </row>
    <row r="7105" spans="46:49" x14ac:dyDescent="0.25">
      <c r="AT7105" s="74"/>
      <c r="AW7105" s="74"/>
    </row>
    <row r="7106" spans="46:49" x14ac:dyDescent="0.25">
      <c r="AT7106" s="74"/>
      <c r="AW7106" s="74"/>
    </row>
    <row r="7107" spans="46:49" x14ac:dyDescent="0.25">
      <c r="AT7107" s="74"/>
      <c r="AW7107" s="74"/>
    </row>
    <row r="7108" spans="46:49" x14ac:dyDescent="0.25">
      <c r="AT7108" s="74"/>
      <c r="AW7108" s="74"/>
    </row>
    <row r="7109" spans="46:49" x14ac:dyDescent="0.25">
      <c r="AT7109" s="74"/>
      <c r="AW7109" s="74"/>
    </row>
    <row r="7110" spans="46:49" x14ac:dyDescent="0.25">
      <c r="AT7110" s="74"/>
      <c r="AW7110" s="74"/>
    </row>
    <row r="7111" spans="46:49" x14ac:dyDescent="0.25">
      <c r="AT7111" s="74"/>
      <c r="AW7111" s="74"/>
    </row>
    <row r="7112" spans="46:49" x14ac:dyDescent="0.25">
      <c r="AT7112" s="74"/>
      <c r="AW7112" s="74"/>
    </row>
    <row r="7113" spans="46:49" x14ac:dyDescent="0.25">
      <c r="AT7113" s="74"/>
      <c r="AW7113" s="74"/>
    </row>
    <row r="7114" spans="46:49" x14ac:dyDescent="0.25">
      <c r="AT7114" s="74"/>
      <c r="AW7114" s="74"/>
    </row>
    <row r="7115" spans="46:49" x14ac:dyDescent="0.25">
      <c r="AT7115" s="74"/>
      <c r="AW7115" s="74"/>
    </row>
    <row r="7116" spans="46:49" x14ac:dyDescent="0.25">
      <c r="AT7116" s="74"/>
      <c r="AW7116" s="74"/>
    </row>
    <row r="7117" spans="46:49" x14ac:dyDescent="0.25">
      <c r="AT7117" s="74"/>
      <c r="AW7117" s="74"/>
    </row>
    <row r="7118" spans="46:49" x14ac:dyDescent="0.25">
      <c r="AT7118" s="74"/>
      <c r="AW7118" s="74"/>
    </row>
    <row r="7119" spans="46:49" x14ac:dyDescent="0.25">
      <c r="AT7119" s="74"/>
      <c r="AW7119" s="74"/>
    </row>
    <row r="7120" spans="46:49" x14ac:dyDescent="0.25">
      <c r="AT7120" s="74"/>
      <c r="AW7120" s="74"/>
    </row>
    <row r="7121" spans="46:49" x14ac:dyDescent="0.25">
      <c r="AT7121" s="74"/>
      <c r="AW7121" s="74"/>
    </row>
    <row r="7122" spans="46:49" x14ac:dyDescent="0.25">
      <c r="AT7122" s="74"/>
      <c r="AW7122" s="74"/>
    </row>
    <row r="7123" spans="46:49" x14ac:dyDescent="0.25">
      <c r="AT7123" s="74"/>
      <c r="AW7123" s="74"/>
    </row>
    <row r="7124" spans="46:49" x14ac:dyDescent="0.25">
      <c r="AT7124" s="74"/>
      <c r="AW7124" s="74"/>
    </row>
    <row r="7125" spans="46:49" x14ac:dyDescent="0.25">
      <c r="AT7125" s="74"/>
      <c r="AW7125" s="74"/>
    </row>
    <row r="7126" spans="46:49" x14ac:dyDescent="0.25">
      <c r="AT7126" s="74"/>
      <c r="AW7126" s="74"/>
    </row>
    <row r="7127" spans="46:49" x14ac:dyDescent="0.25">
      <c r="AT7127" s="74"/>
      <c r="AW7127" s="74"/>
    </row>
    <row r="7128" spans="46:49" x14ac:dyDescent="0.25">
      <c r="AT7128" s="74"/>
      <c r="AW7128" s="74"/>
    </row>
    <row r="7129" spans="46:49" x14ac:dyDescent="0.25">
      <c r="AT7129" s="74"/>
      <c r="AW7129" s="74"/>
    </row>
    <row r="7130" spans="46:49" x14ac:dyDescent="0.25">
      <c r="AT7130" s="74"/>
      <c r="AW7130" s="74"/>
    </row>
    <row r="7131" spans="46:49" x14ac:dyDescent="0.25">
      <c r="AT7131" s="74"/>
      <c r="AW7131" s="74"/>
    </row>
    <row r="7132" spans="46:49" x14ac:dyDescent="0.25">
      <c r="AT7132" s="74"/>
      <c r="AW7132" s="74"/>
    </row>
    <row r="7133" spans="46:49" x14ac:dyDescent="0.25">
      <c r="AT7133" s="74"/>
      <c r="AW7133" s="74"/>
    </row>
    <row r="7134" spans="46:49" x14ac:dyDescent="0.25">
      <c r="AT7134" s="74"/>
      <c r="AW7134" s="74"/>
    </row>
    <row r="7135" spans="46:49" x14ac:dyDescent="0.25">
      <c r="AT7135" s="74"/>
      <c r="AW7135" s="74"/>
    </row>
    <row r="7136" spans="46:49" x14ac:dyDescent="0.25">
      <c r="AT7136" s="74"/>
      <c r="AW7136" s="74"/>
    </row>
    <row r="7137" spans="46:49" x14ac:dyDescent="0.25">
      <c r="AT7137" s="74"/>
      <c r="AW7137" s="74"/>
    </row>
    <row r="7138" spans="46:49" x14ac:dyDescent="0.25">
      <c r="AT7138" s="74"/>
      <c r="AW7138" s="74"/>
    </row>
    <row r="7139" spans="46:49" x14ac:dyDescent="0.25">
      <c r="AT7139" s="74"/>
      <c r="AW7139" s="74"/>
    </row>
    <row r="7140" spans="46:49" x14ac:dyDescent="0.25">
      <c r="AT7140" s="74"/>
      <c r="AW7140" s="74"/>
    </row>
    <row r="7141" spans="46:49" x14ac:dyDescent="0.25">
      <c r="AT7141" s="74"/>
      <c r="AW7141" s="74"/>
    </row>
    <row r="7142" spans="46:49" x14ac:dyDescent="0.25">
      <c r="AT7142" s="74"/>
      <c r="AW7142" s="74"/>
    </row>
    <row r="7143" spans="46:49" x14ac:dyDescent="0.25">
      <c r="AT7143" s="74"/>
      <c r="AW7143" s="74"/>
    </row>
    <row r="7144" spans="46:49" x14ac:dyDescent="0.25">
      <c r="AT7144" s="74"/>
      <c r="AW7144" s="74"/>
    </row>
    <row r="7145" spans="46:49" x14ac:dyDescent="0.25">
      <c r="AT7145" s="74"/>
      <c r="AW7145" s="74"/>
    </row>
    <row r="7146" spans="46:49" x14ac:dyDescent="0.25">
      <c r="AT7146" s="74"/>
      <c r="AW7146" s="74"/>
    </row>
    <row r="7147" spans="46:49" x14ac:dyDescent="0.25">
      <c r="AT7147" s="74"/>
      <c r="AW7147" s="74"/>
    </row>
    <row r="7148" spans="46:49" x14ac:dyDescent="0.25">
      <c r="AT7148" s="74"/>
      <c r="AW7148" s="74"/>
    </row>
    <row r="7149" spans="46:49" x14ac:dyDescent="0.25">
      <c r="AT7149" s="74"/>
      <c r="AW7149" s="74"/>
    </row>
    <row r="7150" spans="46:49" x14ac:dyDescent="0.25">
      <c r="AT7150" s="74"/>
      <c r="AW7150" s="74"/>
    </row>
    <row r="7151" spans="46:49" x14ac:dyDescent="0.25">
      <c r="AT7151" s="74"/>
      <c r="AW7151" s="74"/>
    </row>
    <row r="7152" spans="46:49" x14ac:dyDescent="0.25">
      <c r="AT7152" s="74"/>
      <c r="AW7152" s="74"/>
    </row>
    <row r="7153" spans="46:49" x14ac:dyDescent="0.25">
      <c r="AT7153" s="74"/>
      <c r="AW7153" s="74"/>
    </row>
    <row r="7154" spans="46:49" x14ac:dyDescent="0.25">
      <c r="AT7154" s="74"/>
      <c r="AW7154" s="74"/>
    </row>
    <row r="7155" spans="46:49" x14ac:dyDescent="0.25">
      <c r="AT7155" s="74"/>
      <c r="AW7155" s="74"/>
    </row>
    <row r="7156" spans="46:49" x14ac:dyDescent="0.25">
      <c r="AT7156" s="74"/>
      <c r="AW7156" s="74"/>
    </row>
    <row r="7157" spans="46:49" x14ac:dyDescent="0.25">
      <c r="AT7157" s="74"/>
      <c r="AW7157" s="74"/>
    </row>
    <row r="7158" spans="46:49" x14ac:dyDescent="0.25">
      <c r="AT7158" s="74"/>
      <c r="AW7158" s="74"/>
    </row>
    <row r="7159" spans="46:49" x14ac:dyDescent="0.25">
      <c r="AT7159" s="74"/>
      <c r="AW7159" s="74"/>
    </row>
    <row r="7160" spans="46:49" x14ac:dyDescent="0.25">
      <c r="AT7160" s="74"/>
      <c r="AW7160" s="74"/>
    </row>
    <row r="7161" spans="46:49" x14ac:dyDescent="0.25">
      <c r="AT7161" s="74"/>
      <c r="AW7161" s="74"/>
    </row>
    <row r="7162" spans="46:49" x14ac:dyDescent="0.25">
      <c r="AT7162" s="74"/>
      <c r="AW7162" s="74"/>
    </row>
    <row r="7163" spans="46:49" x14ac:dyDescent="0.25">
      <c r="AT7163" s="74"/>
      <c r="AW7163" s="74"/>
    </row>
    <row r="7164" spans="46:49" x14ac:dyDescent="0.25">
      <c r="AT7164" s="74"/>
      <c r="AW7164" s="74"/>
    </row>
    <row r="7165" spans="46:49" x14ac:dyDescent="0.25">
      <c r="AT7165" s="74"/>
      <c r="AW7165" s="74"/>
    </row>
    <row r="7166" spans="46:49" x14ac:dyDescent="0.25">
      <c r="AT7166" s="74"/>
      <c r="AW7166" s="74"/>
    </row>
    <row r="7167" spans="46:49" x14ac:dyDescent="0.25">
      <c r="AT7167" s="74"/>
      <c r="AW7167" s="74"/>
    </row>
    <row r="7168" spans="46:49" x14ac:dyDescent="0.25">
      <c r="AT7168" s="74"/>
      <c r="AW7168" s="74"/>
    </row>
    <row r="7169" spans="46:49" x14ac:dyDescent="0.25">
      <c r="AT7169" s="74"/>
      <c r="AW7169" s="74"/>
    </row>
    <row r="7170" spans="46:49" x14ac:dyDescent="0.25">
      <c r="AT7170" s="74"/>
      <c r="AW7170" s="74"/>
    </row>
    <row r="7171" spans="46:49" x14ac:dyDescent="0.25">
      <c r="AT7171" s="74"/>
      <c r="AW7171" s="74"/>
    </row>
    <row r="7172" spans="46:49" x14ac:dyDescent="0.25">
      <c r="AT7172" s="74"/>
      <c r="AW7172" s="74"/>
    </row>
    <row r="7173" spans="46:49" x14ac:dyDescent="0.25">
      <c r="AT7173" s="74"/>
      <c r="AW7173" s="74"/>
    </row>
    <row r="7174" spans="46:49" x14ac:dyDescent="0.25">
      <c r="AT7174" s="74"/>
      <c r="AW7174" s="74"/>
    </row>
    <row r="7175" spans="46:49" x14ac:dyDescent="0.25">
      <c r="AT7175" s="74"/>
      <c r="AW7175" s="74"/>
    </row>
    <row r="7176" spans="46:49" x14ac:dyDescent="0.25">
      <c r="AT7176" s="74"/>
      <c r="AW7176" s="74"/>
    </row>
    <row r="7177" spans="46:49" x14ac:dyDescent="0.25">
      <c r="AT7177" s="74"/>
      <c r="AW7177" s="74"/>
    </row>
    <row r="7178" spans="46:49" x14ac:dyDescent="0.25">
      <c r="AT7178" s="74"/>
      <c r="AW7178" s="74"/>
    </row>
    <row r="7179" spans="46:49" x14ac:dyDescent="0.25">
      <c r="AT7179" s="74"/>
      <c r="AW7179" s="74"/>
    </row>
    <row r="7180" spans="46:49" x14ac:dyDescent="0.25">
      <c r="AT7180" s="74"/>
      <c r="AW7180" s="74"/>
    </row>
    <row r="7181" spans="46:49" x14ac:dyDescent="0.25">
      <c r="AT7181" s="74"/>
      <c r="AW7181" s="74"/>
    </row>
    <row r="7182" spans="46:49" x14ac:dyDescent="0.25">
      <c r="AT7182" s="74"/>
      <c r="AW7182" s="74"/>
    </row>
    <row r="7183" spans="46:49" x14ac:dyDescent="0.25">
      <c r="AT7183" s="74"/>
      <c r="AW7183" s="74"/>
    </row>
    <row r="7184" spans="46:49" x14ac:dyDescent="0.25">
      <c r="AT7184" s="74"/>
      <c r="AW7184" s="74"/>
    </row>
    <row r="7185" spans="46:49" x14ac:dyDescent="0.25">
      <c r="AT7185" s="74"/>
      <c r="AW7185" s="74"/>
    </row>
    <row r="7186" spans="46:49" x14ac:dyDescent="0.25">
      <c r="AT7186" s="74"/>
      <c r="AW7186" s="74"/>
    </row>
    <row r="7187" spans="46:49" x14ac:dyDescent="0.25">
      <c r="AT7187" s="74"/>
      <c r="AW7187" s="74"/>
    </row>
    <row r="7188" spans="46:49" x14ac:dyDescent="0.25">
      <c r="AT7188" s="74"/>
      <c r="AW7188" s="74"/>
    </row>
    <row r="7189" spans="46:49" x14ac:dyDescent="0.25">
      <c r="AT7189" s="74"/>
      <c r="AW7189" s="74"/>
    </row>
    <row r="7190" spans="46:49" x14ac:dyDescent="0.25">
      <c r="AT7190" s="74"/>
      <c r="AW7190" s="74"/>
    </row>
    <row r="7191" spans="46:49" x14ac:dyDescent="0.25">
      <c r="AT7191" s="74"/>
      <c r="AW7191" s="74"/>
    </row>
    <row r="7192" spans="46:49" x14ac:dyDescent="0.25">
      <c r="AT7192" s="74"/>
      <c r="AW7192" s="74"/>
    </row>
    <row r="7193" spans="46:49" x14ac:dyDescent="0.25">
      <c r="AT7193" s="74"/>
      <c r="AW7193" s="74"/>
    </row>
    <row r="7194" spans="46:49" x14ac:dyDescent="0.25">
      <c r="AT7194" s="74"/>
      <c r="AW7194" s="74"/>
    </row>
    <row r="7195" spans="46:49" x14ac:dyDescent="0.25">
      <c r="AT7195" s="74"/>
      <c r="AW7195" s="74"/>
    </row>
    <row r="7196" spans="46:49" x14ac:dyDescent="0.25">
      <c r="AT7196" s="74"/>
      <c r="AW7196" s="74"/>
    </row>
    <row r="7197" spans="46:49" x14ac:dyDescent="0.25">
      <c r="AT7197" s="74"/>
      <c r="AW7197" s="74"/>
    </row>
    <row r="7198" spans="46:49" x14ac:dyDescent="0.25">
      <c r="AT7198" s="74"/>
      <c r="AW7198" s="74"/>
    </row>
    <row r="7199" spans="46:49" x14ac:dyDescent="0.25">
      <c r="AT7199" s="74"/>
      <c r="AW7199" s="74"/>
    </row>
    <row r="7200" spans="46:49" x14ac:dyDescent="0.25">
      <c r="AT7200" s="74"/>
      <c r="AW7200" s="74"/>
    </row>
    <row r="7201" spans="46:49" x14ac:dyDescent="0.25">
      <c r="AT7201" s="74"/>
      <c r="AW7201" s="74"/>
    </row>
    <row r="7202" spans="46:49" x14ac:dyDescent="0.25">
      <c r="AT7202" s="74"/>
      <c r="AW7202" s="74"/>
    </row>
    <row r="7203" spans="46:49" x14ac:dyDescent="0.25">
      <c r="AT7203" s="74"/>
      <c r="AW7203" s="74"/>
    </row>
    <row r="7204" spans="46:49" x14ac:dyDescent="0.25">
      <c r="AT7204" s="74"/>
      <c r="AW7204" s="74"/>
    </row>
    <row r="7205" spans="46:49" x14ac:dyDescent="0.25">
      <c r="AT7205" s="74"/>
      <c r="AW7205" s="74"/>
    </row>
    <row r="7206" spans="46:49" x14ac:dyDescent="0.25">
      <c r="AT7206" s="74"/>
      <c r="AW7206" s="74"/>
    </row>
    <row r="7207" spans="46:49" x14ac:dyDescent="0.25">
      <c r="AT7207" s="74"/>
      <c r="AW7207" s="74"/>
    </row>
    <row r="7208" spans="46:49" x14ac:dyDescent="0.25">
      <c r="AT7208" s="74"/>
      <c r="AW7208" s="74"/>
    </row>
    <row r="7209" spans="46:49" x14ac:dyDescent="0.25">
      <c r="AT7209" s="74"/>
      <c r="AW7209" s="74"/>
    </row>
    <row r="7210" spans="46:49" x14ac:dyDescent="0.25">
      <c r="AT7210" s="74"/>
      <c r="AW7210" s="74"/>
    </row>
    <row r="7211" spans="46:49" x14ac:dyDescent="0.25">
      <c r="AT7211" s="74"/>
      <c r="AW7211" s="74"/>
    </row>
    <row r="7212" spans="46:49" x14ac:dyDescent="0.25">
      <c r="AT7212" s="74"/>
      <c r="AW7212" s="74"/>
    </row>
    <row r="7213" spans="46:49" x14ac:dyDescent="0.25">
      <c r="AT7213" s="74"/>
      <c r="AW7213" s="74"/>
    </row>
    <row r="7214" spans="46:49" x14ac:dyDescent="0.25">
      <c r="AT7214" s="74"/>
      <c r="AW7214" s="74"/>
    </row>
    <row r="7215" spans="46:49" x14ac:dyDescent="0.25">
      <c r="AT7215" s="74"/>
      <c r="AW7215" s="74"/>
    </row>
    <row r="7216" spans="46:49" x14ac:dyDescent="0.25">
      <c r="AT7216" s="74"/>
      <c r="AW7216" s="74"/>
    </row>
    <row r="7217" spans="46:49" x14ac:dyDescent="0.25">
      <c r="AT7217" s="74"/>
      <c r="AW7217" s="74"/>
    </row>
    <row r="7218" spans="46:49" x14ac:dyDescent="0.25">
      <c r="AT7218" s="74"/>
      <c r="AW7218" s="74"/>
    </row>
    <row r="7219" spans="46:49" x14ac:dyDescent="0.25">
      <c r="AT7219" s="74"/>
      <c r="AW7219" s="74"/>
    </row>
    <row r="7220" spans="46:49" x14ac:dyDescent="0.25">
      <c r="AT7220" s="74"/>
      <c r="AW7220" s="74"/>
    </row>
    <row r="7221" spans="46:49" x14ac:dyDescent="0.25">
      <c r="AT7221" s="74"/>
      <c r="AW7221" s="74"/>
    </row>
    <row r="7222" spans="46:49" x14ac:dyDescent="0.25">
      <c r="AT7222" s="74"/>
      <c r="AW7222" s="74"/>
    </row>
    <row r="7223" spans="46:49" x14ac:dyDescent="0.25">
      <c r="AT7223" s="74"/>
      <c r="AW7223" s="74"/>
    </row>
    <row r="7224" spans="46:49" x14ac:dyDescent="0.25">
      <c r="AT7224" s="74"/>
      <c r="AW7224" s="74"/>
    </row>
    <row r="7225" spans="46:49" x14ac:dyDescent="0.25">
      <c r="AT7225" s="74"/>
      <c r="AW7225" s="74"/>
    </row>
    <row r="7226" spans="46:49" x14ac:dyDescent="0.25">
      <c r="AT7226" s="74"/>
      <c r="AW7226" s="74"/>
    </row>
    <row r="7227" spans="46:49" x14ac:dyDescent="0.25">
      <c r="AT7227" s="74"/>
      <c r="AW7227" s="74"/>
    </row>
    <row r="7228" spans="46:49" x14ac:dyDescent="0.25">
      <c r="AT7228" s="74"/>
      <c r="AW7228" s="74"/>
    </row>
    <row r="7229" spans="46:49" x14ac:dyDescent="0.25">
      <c r="AT7229" s="74"/>
      <c r="AW7229" s="74"/>
    </row>
    <row r="7230" spans="46:49" x14ac:dyDescent="0.25">
      <c r="AT7230" s="74"/>
      <c r="AW7230" s="74"/>
    </row>
    <row r="7231" spans="46:49" x14ac:dyDescent="0.25">
      <c r="AT7231" s="74"/>
      <c r="AW7231" s="74"/>
    </row>
    <row r="7232" spans="46:49" x14ac:dyDescent="0.25">
      <c r="AT7232" s="74"/>
      <c r="AW7232" s="74"/>
    </row>
    <row r="7233" spans="46:49" x14ac:dyDescent="0.25">
      <c r="AT7233" s="74"/>
      <c r="AW7233" s="74"/>
    </row>
    <row r="7234" spans="46:49" x14ac:dyDescent="0.25">
      <c r="AT7234" s="74"/>
      <c r="AW7234" s="74"/>
    </row>
    <row r="7235" spans="46:49" x14ac:dyDescent="0.25">
      <c r="AT7235" s="74"/>
      <c r="AW7235" s="74"/>
    </row>
    <row r="7236" spans="46:49" x14ac:dyDescent="0.25">
      <c r="AT7236" s="74"/>
      <c r="AW7236" s="74"/>
    </row>
    <row r="7237" spans="46:49" x14ac:dyDescent="0.25">
      <c r="AT7237" s="74"/>
      <c r="AW7237" s="74"/>
    </row>
    <row r="7238" spans="46:49" x14ac:dyDescent="0.25">
      <c r="AT7238" s="74"/>
      <c r="AW7238" s="74"/>
    </row>
    <row r="7239" spans="46:49" x14ac:dyDescent="0.25">
      <c r="AT7239" s="74"/>
      <c r="AW7239" s="74"/>
    </row>
    <row r="7240" spans="46:49" x14ac:dyDescent="0.25">
      <c r="AT7240" s="74"/>
      <c r="AW7240" s="74"/>
    </row>
    <row r="7241" spans="46:49" x14ac:dyDescent="0.25">
      <c r="AT7241" s="74"/>
      <c r="AW7241" s="74"/>
    </row>
    <row r="7242" spans="46:49" x14ac:dyDescent="0.25">
      <c r="AT7242" s="74"/>
      <c r="AW7242" s="74"/>
    </row>
    <row r="7243" spans="46:49" x14ac:dyDescent="0.25">
      <c r="AT7243" s="74"/>
      <c r="AW7243" s="74"/>
    </row>
    <row r="7244" spans="46:49" x14ac:dyDescent="0.25">
      <c r="AT7244" s="74"/>
      <c r="AW7244" s="74"/>
    </row>
    <row r="7245" spans="46:49" x14ac:dyDescent="0.25">
      <c r="AT7245" s="74"/>
      <c r="AW7245" s="74"/>
    </row>
    <row r="7246" spans="46:49" x14ac:dyDescent="0.25">
      <c r="AT7246" s="74"/>
      <c r="AW7246" s="74"/>
    </row>
    <row r="7247" spans="46:49" x14ac:dyDescent="0.25">
      <c r="AT7247" s="74"/>
      <c r="AW7247" s="74"/>
    </row>
    <row r="7248" spans="46:49" x14ac:dyDescent="0.25">
      <c r="AT7248" s="74"/>
      <c r="AW7248" s="74"/>
    </row>
    <row r="7249" spans="46:49" x14ac:dyDescent="0.25">
      <c r="AT7249" s="74"/>
      <c r="AW7249" s="74"/>
    </row>
    <row r="7250" spans="46:49" x14ac:dyDescent="0.25">
      <c r="AT7250" s="74"/>
      <c r="AW7250" s="74"/>
    </row>
    <row r="7251" spans="46:49" x14ac:dyDescent="0.25">
      <c r="AT7251" s="74"/>
      <c r="AW7251" s="74"/>
    </row>
    <row r="7252" spans="46:49" x14ac:dyDescent="0.25">
      <c r="AT7252" s="74"/>
      <c r="AW7252" s="74"/>
    </row>
    <row r="7253" spans="46:49" x14ac:dyDescent="0.25">
      <c r="AT7253" s="74"/>
      <c r="AW7253" s="74"/>
    </row>
    <row r="7254" spans="46:49" x14ac:dyDescent="0.25">
      <c r="AT7254" s="74"/>
      <c r="AW7254" s="74"/>
    </row>
    <row r="7255" spans="46:49" x14ac:dyDescent="0.25">
      <c r="AT7255" s="74"/>
      <c r="AW7255" s="74"/>
    </row>
    <row r="7256" spans="46:49" x14ac:dyDescent="0.25">
      <c r="AT7256" s="74"/>
      <c r="AW7256" s="74"/>
    </row>
    <row r="7257" spans="46:49" x14ac:dyDescent="0.25">
      <c r="AT7257" s="74"/>
      <c r="AW7257" s="74"/>
    </row>
    <row r="7258" spans="46:49" x14ac:dyDescent="0.25">
      <c r="AT7258" s="74"/>
      <c r="AW7258" s="74"/>
    </row>
    <row r="7259" spans="46:49" x14ac:dyDescent="0.25">
      <c r="AT7259" s="74"/>
      <c r="AW7259" s="74"/>
    </row>
    <row r="7260" spans="46:49" x14ac:dyDescent="0.25">
      <c r="AT7260" s="74"/>
      <c r="AW7260" s="74"/>
    </row>
    <row r="7261" spans="46:49" x14ac:dyDescent="0.25">
      <c r="AT7261" s="74"/>
      <c r="AW7261" s="74"/>
    </row>
    <row r="7262" spans="46:49" x14ac:dyDescent="0.25">
      <c r="AT7262" s="74"/>
      <c r="AW7262" s="74"/>
    </row>
    <row r="7263" spans="46:49" x14ac:dyDescent="0.25">
      <c r="AT7263" s="74"/>
      <c r="AW7263" s="74"/>
    </row>
    <row r="7264" spans="46:49" x14ac:dyDescent="0.25">
      <c r="AT7264" s="74"/>
      <c r="AW7264" s="74"/>
    </row>
    <row r="7265" spans="46:49" x14ac:dyDescent="0.25">
      <c r="AT7265" s="74"/>
      <c r="AW7265" s="74"/>
    </row>
    <row r="7266" spans="46:49" x14ac:dyDescent="0.25">
      <c r="AT7266" s="74"/>
      <c r="AW7266" s="74"/>
    </row>
    <row r="7267" spans="46:49" x14ac:dyDescent="0.25">
      <c r="AT7267" s="74"/>
      <c r="AW7267" s="74"/>
    </row>
    <row r="7268" spans="46:49" x14ac:dyDescent="0.25">
      <c r="AT7268" s="74"/>
      <c r="AW7268" s="74"/>
    </row>
    <row r="7269" spans="46:49" x14ac:dyDescent="0.25">
      <c r="AT7269" s="74"/>
      <c r="AW7269" s="74"/>
    </row>
    <row r="7270" spans="46:49" x14ac:dyDescent="0.25">
      <c r="AT7270" s="74"/>
      <c r="AW7270" s="74"/>
    </row>
    <row r="7271" spans="46:49" x14ac:dyDescent="0.25">
      <c r="AT7271" s="74"/>
      <c r="AW7271" s="74"/>
    </row>
    <row r="7272" spans="46:49" x14ac:dyDescent="0.25">
      <c r="AT7272" s="74"/>
      <c r="AW7272" s="74"/>
    </row>
    <row r="7273" spans="46:49" x14ac:dyDescent="0.25">
      <c r="AT7273" s="74"/>
      <c r="AW7273" s="74"/>
    </row>
    <row r="7274" spans="46:49" x14ac:dyDescent="0.25">
      <c r="AT7274" s="74"/>
      <c r="AW7274" s="74"/>
    </row>
    <row r="7275" spans="46:49" x14ac:dyDescent="0.25">
      <c r="AT7275" s="74"/>
      <c r="AW7275" s="74"/>
    </row>
    <row r="7276" spans="46:49" x14ac:dyDescent="0.25">
      <c r="AT7276" s="74"/>
      <c r="AW7276" s="74"/>
    </row>
    <row r="7277" spans="46:49" x14ac:dyDescent="0.25">
      <c r="AT7277" s="74"/>
      <c r="AW7277" s="74"/>
    </row>
    <row r="7278" spans="46:49" x14ac:dyDescent="0.25">
      <c r="AT7278" s="74"/>
      <c r="AW7278" s="74"/>
    </row>
    <row r="7279" spans="46:49" x14ac:dyDescent="0.25">
      <c r="AT7279" s="74"/>
      <c r="AW7279" s="74"/>
    </row>
    <row r="7280" spans="46:49" x14ac:dyDescent="0.25">
      <c r="AT7280" s="74"/>
      <c r="AW7280" s="74"/>
    </row>
    <row r="7281" spans="46:49" x14ac:dyDescent="0.25">
      <c r="AT7281" s="74"/>
      <c r="AW7281" s="74"/>
    </row>
    <row r="7282" spans="46:49" x14ac:dyDescent="0.25">
      <c r="AT7282" s="74"/>
      <c r="AW7282" s="74"/>
    </row>
    <row r="7283" spans="46:49" x14ac:dyDescent="0.25">
      <c r="AT7283" s="74"/>
      <c r="AW7283" s="74"/>
    </row>
    <row r="7284" spans="46:49" x14ac:dyDescent="0.25">
      <c r="AT7284" s="74"/>
      <c r="AW7284" s="74"/>
    </row>
    <row r="7285" spans="46:49" x14ac:dyDescent="0.25">
      <c r="AT7285" s="74"/>
      <c r="AW7285" s="74"/>
    </row>
    <row r="7286" spans="46:49" x14ac:dyDescent="0.25">
      <c r="AT7286" s="74"/>
      <c r="AW7286" s="74"/>
    </row>
    <row r="7287" spans="46:49" x14ac:dyDescent="0.25">
      <c r="AT7287" s="74"/>
      <c r="AW7287" s="74"/>
    </row>
    <row r="7288" spans="46:49" x14ac:dyDescent="0.25">
      <c r="AT7288" s="74"/>
      <c r="AW7288" s="74"/>
    </row>
    <row r="7289" spans="46:49" x14ac:dyDescent="0.25">
      <c r="AT7289" s="74"/>
      <c r="AW7289" s="74"/>
    </row>
    <row r="7290" spans="46:49" x14ac:dyDescent="0.25">
      <c r="AT7290" s="74"/>
      <c r="AW7290" s="74"/>
    </row>
    <row r="7291" spans="46:49" x14ac:dyDescent="0.25">
      <c r="AT7291" s="74"/>
      <c r="AW7291" s="74"/>
    </row>
    <row r="7292" spans="46:49" x14ac:dyDescent="0.25">
      <c r="AT7292" s="74"/>
      <c r="AW7292" s="74"/>
    </row>
    <row r="7293" spans="46:49" x14ac:dyDescent="0.25">
      <c r="AT7293" s="74"/>
      <c r="AW7293" s="74"/>
    </row>
    <row r="7294" spans="46:49" x14ac:dyDescent="0.25">
      <c r="AT7294" s="74"/>
      <c r="AW7294" s="74"/>
    </row>
    <row r="7295" spans="46:49" x14ac:dyDescent="0.25">
      <c r="AT7295" s="74"/>
      <c r="AW7295" s="74"/>
    </row>
    <row r="7296" spans="46:49" x14ac:dyDescent="0.25">
      <c r="AT7296" s="74"/>
      <c r="AW7296" s="74"/>
    </row>
    <row r="7297" spans="46:49" x14ac:dyDescent="0.25">
      <c r="AT7297" s="74"/>
      <c r="AW7297" s="74"/>
    </row>
    <row r="7298" spans="46:49" x14ac:dyDescent="0.25">
      <c r="AT7298" s="74"/>
      <c r="AW7298" s="74"/>
    </row>
    <row r="7299" spans="46:49" x14ac:dyDescent="0.25">
      <c r="AT7299" s="74"/>
      <c r="AW7299" s="74"/>
    </row>
    <row r="7300" spans="46:49" x14ac:dyDescent="0.25">
      <c r="AT7300" s="74"/>
      <c r="AW7300" s="74"/>
    </row>
    <row r="7301" spans="46:49" x14ac:dyDescent="0.25">
      <c r="AT7301" s="74"/>
      <c r="AW7301" s="74"/>
    </row>
    <row r="7302" spans="46:49" x14ac:dyDescent="0.25">
      <c r="AT7302" s="74"/>
      <c r="AW7302" s="74"/>
    </row>
    <row r="7303" spans="46:49" x14ac:dyDescent="0.25">
      <c r="AT7303" s="74"/>
      <c r="AW7303" s="74"/>
    </row>
    <row r="7304" spans="46:49" x14ac:dyDescent="0.25">
      <c r="AT7304" s="74"/>
      <c r="AW7304" s="74"/>
    </row>
    <row r="7305" spans="46:49" x14ac:dyDescent="0.25">
      <c r="AT7305" s="74"/>
      <c r="AW7305" s="74"/>
    </row>
    <row r="7306" spans="46:49" x14ac:dyDescent="0.25">
      <c r="AT7306" s="74"/>
      <c r="AW7306" s="74"/>
    </row>
    <row r="7307" spans="46:49" x14ac:dyDescent="0.25">
      <c r="AT7307" s="74"/>
      <c r="AW7307" s="74"/>
    </row>
    <row r="7308" spans="46:49" x14ac:dyDescent="0.25">
      <c r="AT7308" s="74"/>
      <c r="AW7308" s="74"/>
    </row>
    <row r="7309" spans="46:49" x14ac:dyDescent="0.25">
      <c r="AT7309" s="74"/>
      <c r="AW7309" s="74"/>
    </row>
    <row r="7310" spans="46:49" x14ac:dyDescent="0.25">
      <c r="AT7310" s="74"/>
      <c r="AW7310" s="74"/>
    </row>
    <row r="7311" spans="46:49" x14ac:dyDescent="0.25">
      <c r="AT7311" s="74"/>
      <c r="AW7311" s="74"/>
    </row>
    <row r="7312" spans="46:49" x14ac:dyDescent="0.25">
      <c r="AT7312" s="74"/>
      <c r="AW7312" s="74"/>
    </row>
    <row r="7313" spans="46:49" x14ac:dyDescent="0.25">
      <c r="AT7313" s="74"/>
      <c r="AW7313" s="74"/>
    </row>
    <row r="7314" spans="46:49" x14ac:dyDescent="0.25">
      <c r="AT7314" s="74"/>
      <c r="AW7314" s="74"/>
    </row>
    <row r="7315" spans="46:49" x14ac:dyDescent="0.25">
      <c r="AT7315" s="74"/>
      <c r="AW7315" s="74"/>
    </row>
    <row r="7316" spans="46:49" x14ac:dyDescent="0.25">
      <c r="AT7316" s="74"/>
      <c r="AW7316" s="74"/>
    </row>
    <row r="7317" spans="46:49" x14ac:dyDescent="0.25">
      <c r="AT7317" s="74"/>
      <c r="AW7317" s="74"/>
    </row>
    <row r="7318" spans="46:49" x14ac:dyDescent="0.25">
      <c r="AT7318" s="74"/>
      <c r="AW7318" s="74"/>
    </row>
    <row r="7319" spans="46:49" x14ac:dyDescent="0.25">
      <c r="AT7319" s="74"/>
      <c r="AW7319" s="74"/>
    </row>
    <row r="7320" spans="46:49" x14ac:dyDescent="0.25">
      <c r="AT7320" s="74"/>
      <c r="AW7320" s="74"/>
    </row>
    <row r="7321" spans="46:49" x14ac:dyDescent="0.25">
      <c r="AT7321" s="74"/>
      <c r="AW7321" s="74"/>
    </row>
    <row r="7322" spans="46:49" x14ac:dyDescent="0.25">
      <c r="AT7322" s="74"/>
      <c r="AW7322" s="74"/>
    </row>
    <row r="7323" spans="46:49" x14ac:dyDescent="0.25">
      <c r="AT7323" s="74"/>
      <c r="AW7323" s="74"/>
    </row>
    <row r="7324" spans="46:49" x14ac:dyDescent="0.25">
      <c r="AT7324" s="74"/>
      <c r="AW7324" s="74"/>
    </row>
    <row r="7325" spans="46:49" x14ac:dyDescent="0.25">
      <c r="AT7325" s="74"/>
      <c r="AW7325" s="74"/>
    </row>
    <row r="7326" spans="46:49" x14ac:dyDescent="0.25">
      <c r="AT7326" s="74"/>
      <c r="AW7326" s="74"/>
    </row>
    <row r="7327" spans="46:49" x14ac:dyDescent="0.25">
      <c r="AT7327" s="74"/>
      <c r="AW7327" s="74"/>
    </row>
    <row r="7328" spans="46:49" x14ac:dyDescent="0.25">
      <c r="AT7328" s="74"/>
      <c r="AW7328" s="74"/>
    </row>
    <row r="7329" spans="46:49" x14ac:dyDescent="0.25">
      <c r="AT7329" s="74"/>
      <c r="AW7329" s="74"/>
    </row>
    <row r="7330" spans="46:49" x14ac:dyDescent="0.25">
      <c r="AT7330" s="74"/>
      <c r="AW7330" s="74"/>
    </row>
    <row r="7331" spans="46:49" x14ac:dyDescent="0.25">
      <c r="AT7331" s="74"/>
      <c r="AW7331" s="74"/>
    </row>
    <row r="7332" spans="46:49" x14ac:dyDescent="0.25">
      <c r="AT7332" s="74"/>
      <c r="AW7332" s="74"/>
    </row>
    <row r="7333" spans="46:49" x14ac:dyDescent="0.25">
      <c r="AT7333" s="74"/>
      <c r="AW7333" s="74"/>
    </row>
    <row r="7334" spans="46:49" x14ac:dyDescent="0.25">
      <c r="AT7334" s="74"/>
      <c r="AW7334" s="74"/>
    </row>
    <row r="7335" spans="46:49" x14ac:dyDescent="0.25">
      <c r="AT7335" s="74"/>
      <c r="AW7335" s="74"/>
    </row>
    <row r="7336" spans="46:49" x14ac:dyDescent="0.25">
      <c r="AT7336" s="74"/>
      <c r="AW7336" s="74"/>
    </row>
    <row r="7337" spans="46:49" x14ac:dyDescent="0.25">
      <c r="AT7337" s="74"/>
      <c r="AW7337" s="74"/>
    </row>
    <row r="7338" spans="46:49" x14ac:dyDescent="0.25">
      <c r="AT7338" s="74"/>
      <c r="AW7338" s="74"/>
    </row>
    <row r="7339" spans="46:49" x14ac:dyDescent="0.25">
      <c r="AT7339" s="74"/>
      <c r="AW7339" s="74"/>
    </row>
    <row r="7340" spans="46:49" x14ac:dyDescent="0.25">
      <c r="AT7340" s="74"/>
      <c r="AW7340" s="74"/>
    </row>
    <row r="7341" spans="46:49" x14ac:dyDescent="0.25">
      <c r="AT7341" s="74"/>
      <c r="AW7341" s="74"/>
    </row>
    <row r="7342" spans="46:49" x14ac:dyDescent="0.25">
      <c r="AT7342" s="74"/>
      <c r="AW7342" s="74"/>
    </row>
    <row r="7343" spans="46:49" x14ac:dyDescent="0.25">
      <c r="AT7343" s="74"/>
      <c r="AW7343" s="74"/>
    </row>
    <row r="7344" spans="46:49" x14ac:dyDescent="0.25">
      <c r="AT7344" s="74"/>
      <c r="AW7344" s="74"/>
    </row>
    <row r="7345" spans="46:49" x14ac:dyDescent="0.25">
      <c r="AT7345" s="74"/>
      <c r="AW7345" s="74"/>
    </row>
    <row r="7346" spans="46:49" x14ac:dyDescent="0.25">
      <c r="AT7346" s="74"/>
      <c r="AW7346" s="74"/>
    </row>
    <row r="7347" spans="46:49" x14ac:dyDescent="0.25">
      <c r="AT7347" s="74"/>
      <c r="AW7347" s="74"/>
    </row>
    <row r="7348" spans="46:49" x14ac:dyDescent="0.25">
      <c r="AT7348" s="74"/>
      <c r="AW7348" s="74"/>
    </row>
    <row r="7349" spans="46:49" x14ac:dyDescent="0.25">
      <c r="AT7349" s="74"/>
      <c r="AW7349" s="74"/>
    </row>
    <row r="7350" spans="46:49" x14ac:dyDescent="0.25">
      <c r="AT7350" s="74"/>
      <c r="AW7350" s="74"/>
    </row>
    <row r="7351" spans="46:49" x14ac:dyDescent="0.25">
      <c r="AT7351" s="74"/>
      <c r="AW7351" s="74"/>
    </row>
    <row r="7352" spans="46:49" x14ac:dyDescent="0.25">
      <c r="AT7352" s="74"/>
      <c r="AW7352" s="74"/>
    </row>
    <row r="7353" spans="46:49" x14ac:dyDescent="0.25">
      <c r="AT7353" s="74"/>
      <c r="AW7353" s="74"/>
    </row>
    <row r="7354" spans="46:49" x14ac:dyDescent="0.25">
      <c r="AT7354" s="74"/>
      <c r="AW7354" s="74"/>
    </row>
    <row r="7355" spans="46:49" x14ac:dyDescent="0.25">
      <c r="AT7355" s="74"/>
      <c r="AW7355" s="74"/>
    </row>
    <row r="7356" spans="46:49" x14ac:dyDescent="0.25">
      <c r="AT7356" s="74"/>
      <c r="AW7356" s="74"/>
    </row>
    <row r="7357" spans="46:49" x14ac:dyDescent="0.25">
      <c r="AT7357" s="74"/>
      <c r="AW7357" s="74"/>
    </row>
    <row r="7358" spans="46:49" x14ac:dyDescent="0.25">
      <c r="AT7358" s="74"/>
      <c r="AW7358" s="74"/>
    </row>
    <row r="7359" spans="46:49" x14ac:dyDescent="0.25">
      <c r="AT7359" s="74"/>
      <c r="AW7359" s="74"/>
    </row>
    <row r="7360" spans="46:49" x14ac:dyDescent="0.25">
      <c r="AT7360" s="74"/>
      <c r="AW7360" s="74"/>
    </row>
    <row r="7361" spans="46:49" x14ac:dyDescent="0.25">
      <c r="AT7361" s="74"/>
      <c r="AW7361" s="74"/>
    </row>
    <row r="7362" spans="46:49" x14ac:dyDescent="0.25">
      <c r="AT7362" s="74"/>
      <c r="AW7362" s="74"/>
    </row>
    <row r="7363" spans="46:49" x14ac:dyDescent="0.25">
      <c r="AT7363" s="74"/>
      <c r="AW7363" s="74"/>
    </row>
    <row r="7364" spans="46:49" x14ac:dyDescent="0.25">
      <c r="AT7364" s="74"/>
      <c r="AW7364" s="74"/>
    </row>
    <row r="7365" spans="46:49" x14ac:dyDescent="0.25">
      <c r="AT7365" s="74"/>
      <c r="AW7365" s="74"/>
    </row>
    <row r="7366" spans="46:49" x14ac:dyDescent="0.25">
      <c r="AT7366" s="74"/>
      <c r="AW7366" s="74"/>
    </row>
    <row r="7367" spans="46:49" x14ac:dyDescent="0.25">
      <c r="AT7367" s="74"/>
      <c r="AW7367" s="74"/>
    </row>
    <row r="7368" spans="46:49" x14ac:dyDescent="0.25">
      <c r="AT7368" s="74"/>
      <c r="AW7368" s="74"/>
    </row>
    <row r="7369" spans="46:49" x14ac:dyDescent="0.25">
      <c r="AT7369" s="74"/>
      <c r="AW7369" s="74"/>
    </row>
    <row r="7370" spans="46:49" x14ac:dyDescent="0.25">
      <c r="AT7370" s="74"/>
      <c r="AW7370" s="74"/>
    </row>
    <row r="7371" spans="46:49" x14ac:dyDescent="0.25">
      <c r="AT7371" s="74"/>
      <c r="AW7371" s="74"/>
    </row>
    <row r="7372" spans="46:49" x14ac:dyDescent="0.25">
      <c r="AT7372" s="74"/>
      <c r="AW7372" s="74"/>
    </row>
    <row r="7373" spans="46:49" x14ac:dyDescent="0.25">
      <c r="AT7373" s="74"/>
      <c r="AW7373" s="74"/>
    </row>
    <row r="7374" spans="46:49" x14ac:dyDescent="0.25">
      <c r="AT7374" s="74"/>
      <c r="AW7374" s="74"/>
    </row>
    <row r="7375" spans="46:49" x14ac:dyDescent="0.25">
      <c r="AT7375" s="74"/>
      <c r="AW7375" s="74"/>
    </row>
    <row r="7376" spans="46:49" x14ac:dyDescent="0.25">
      <c r="AT7376" s="74"/>
      <c r="AW7376" s="74"/>
    </row>
    <row r="7377" spans="46:49" x14ac:dyDescent="0.25">
      <c r="AT7377" s="74"/>
      <c r="AW7377" s="74"/>
    </row>
    <row r="7378" spans="46:49" x14ac:dyDescent="0.25">
      <c r="AT7378" s="74"/>
      <c r="AW7378" s="74"/>
    </row>
    <row r="7379" spans="46:49" x14ac:dyDescent="0.25">
      <c r="AT7379" s="74"/>
      <c r="AW7379" s="74"/>
    </row>
    <row r="7380" spans="46:49" x14ac:dyDescent="0.25">
      <c r="AT7380" s="74"/>
      <c r="AW7380" s="74"/>
    </row>
    <row r="7381" spans="46:49" x14ac:dyDescent="0.25">
      <c r="AT7381" s="74"/>
      <c r="AW7381" s="74"/>
    </row>
    <row r="7382" spans="46:49" x14ac:dyDescent="0.25">
      <c r="AT7382" s="74"/>
      <c r="AW7382" s="74"/>
    </row>
    <row r="7383" spans="46:49" x14ac:dyDescent="0.25">
      <c r="AT7383" s="74"/>
      <c r="AW7383" s="74"/>
    </row>
    <row r="7384" spans="46:49" x14ac:dyDescent="0.25">
      <c r="AT7384" s="74"/>
      <c r="AW7384" s="74"/>
    </row>
    <row r="7385" spans="46:49" x14ac:dyDescent="0.25">
      <c r="AT7385" s="74"/>
      <c r="AW7385" s="74"/>
    </row>
    <row r="7386" spans="46:49" x14ac:dyDescent="0.25">
      <c r="AT7386" s="74"/>
      <c r="AW7386" s="74"/>
    </row>
    <row r="7387" spans="46:49" x14ac:dyDescent="0.25">
      <c r="AT7387" s="74"/>
      <c r="AW7387" s="74"/>
    </row>
    <row r="7388" spans="46:49" x14ac:dyDescent="0.25">
      <c r="AT7388" s="74"/>
      <c r="AW7388" s="74"/>
    </row>
    <row r="7389" spans="46:49" x14ac:dyDescent="0.25">
      <c r="AT7389" s="74"/>
      <c r="AW7389" s="74"/>
    </row>
    <row r="7390" spans="46:49" x14ac:dyDescent="0.25">
      <c r="AT7390" s="74"/>
      <c r="AW7390" s="74"/>
    </row>
    <row r="7391" spans="46:49" x14ac:dyDescent="0.25">
      <c r="AT7391" s="74"/>
      <c r="AW7391" s="74"/>
    </row>
    <row r="7392" spans="46:49" x14ac:dyDescent="0.25">
      <c r="AT7392" s="74"/>
      <c r="AW7392" s="74"/>
    </row>
    <row r="7393" spans="46:49" x14ac:dyDescent="0.25">
      <c r="AT7393" s="74"/>
      <c r="AW7393" s="74"/>
    </row>
    <row r="7394" spans="46:49" x14ac:dyDescent="0.25">
      <c r="AT7394" s="74"/>
      <c r="AW7394" s="74"/>
    </row>
    <row r="7395" spans="46:49" x14ac:dyDescent="0.25">
      <c r="AT7395" s="74"/>
      <c r="AW7395" s="74"/>
    </row>
    <row r="7396" spans="46:49" x14ac:dyDescent="0.25">
      <c r="AT7396" s="74"/>
      <c r="AW7396" s="74"/>
    </row>
    <row r="7397" spans="46:49" x14ac:dyDescent="0.25">
      <c r="AT7397" s="74"/>
      <c r="AW7397" s="74"/>
    </row>
    <row r="7398" spans="46:49" x14ac:dyDescent="0.25">
      <c r="AT7398" s="74"/>
      <c r="AW7398" s="74"/>
    </row>
    <row r="7399" spans="46:49" x14ac:dyDescent="0.25">
      <c r="AT7399" s="74"/>
      <c r="AW7399" s="74"/>
    </row>
    <row r="7400" spans="46:49" x14ac:dyDescent="0.25">
      <c r="AT7400" s="74"/>
      <c r="AW7400" s="74"/>
    </row>
    <row r="7401" spans="46:49" x14ac:dyDescent="0.25">
      <c r="AT7401" s="74"/>
      <c r="AW7401" s="74"/>
    </row>
    <row r="7402" spans="46:49" x14ac:dyDescent="0.25">
      <c r="AT7402" s="74"/>
      <c r="AW7402" s="74"/>
    </row>
    <row r="7403" spans="46:49" x14ac:dyDescent="0.25">
      <c r="AT7403" s="74"/>
      <c r="AW7403" s="74"/>
    </row>
    <row r="7404" spans="46:49" x14ac:dyDescent="0.25">
      <c r="AT7404" s="74"/>
      <c r="AW7404" s="74"/>
    </row>
    <row r="7405" spans="46:49" x14ac:dyDescent="0.25">
      <c r="AT7405" s="74"/>
      <c r="AW7405" s="74"/>
    </row>
    <row r="7406" spans="46:49" x14ac:dyDescent="0.25">
      <c r="AT7406" s="74"/>
      <c r="AW7406" s="74"/>
    </row>
    <row r="7407" spans="46:49" x14ac:dyDescent="0.25">
      <c r="AT7407" s="74"/>
      <c r="AW7407" s="74"/>
    </row>
    <row r="7408" spans="46:49" x14ac:dyDescent="0.25">
      <c r="AT7408" s="74"/>
      <c r="AW7408" s="74"/>
    </row>
    <row r="7409" spans="46:49" x14ac:dyDescent="0.25">
      <c r="AT7409" s="74"/>
      <c r="AW7409" s="74"/>
    </row>
    <row r="7410" spans="46:49" x14ac:dyDescent="0.25">
      <c r="AT7410" s="74"/>
      <c r="AW7410" s="74"/>
    </row>
    <row r="7411" spans="46:49" x14ac:dyDescent="0.25">
      <c r="AT7411" s="74"/>
      <c r="AW7411" s="74"/>
    </row>
    <row r="7412" spans="46:49" x14ac:dyDescent="0.25">
      <c r="AT7412" s="74"/>
      <c r="AW7412" s="74"/>
    </row>
    <row r="7413" spans="46:49" x14ac:dyDescent="0.25">
      <c r="AT7413" s="74"/>
      <c r="AW7413" s="74"/>
    </row>
    <row r="7414" spans="46:49" x14ac:dyDescent="0.25">
      <c r="AT7414" s="74"/>
      <c r="AW7414" s="74"/>
    </row>
    <row r="7415" spans="46:49" x14ac:dyDescent="0.25">
      <c r="AT7415" s="74"/>
      <c r="AW7415" s="74"/>
    </row>
    <row r="7416" spans="46:49" x14ac:dyDescent="0.25">
      <c r="AT7416" s="74"/>
      <c r="AW7416" s="74"/>
    </row>
    <row r="7417" spans="46:49" x14ac:dyDescent="0.25">
      <c r="AT7417" s="74"/>
      <c r="AW7417" s="74"/>
    </row>
    <row r="7418" spans="46:49" x14ac:dyDescent="0.25">
      <c r="AT7418" s="74"/>
      <c r="AW7418" s="74"/>
    </row>
    <row r="7419" spans="46:49" x14ac:dyDescent="0.25">
      <c r="AT7419" s="74"/>
      <c r="AW7419" s="74"/>
    </row>
    <row r="7420" spans="46:49" x14ac:dyDescent="0.25">
      <c r="AT7420" s="74"/>
      <c r="AW7420" s="74"/>
    </row>
    <row r="7421" spans="46:49" x14ac:dyDescent="0.25">
      <c r="AT7421" s="74"/>
      <c r="AW7421" s="74"/>
    </row>
    <row r="7422" spans="46:49" x14ac:dyDescent="0.25">
      <c r="AT7422" s="74"/>
      <c r="AW7422" s="74"/>
    </row>
    <row r="7423" spans="46:49" x14ac:dyDescent="0.25">
      <c r="AT7423" s="74"/>
      <c r="AW7423" s="74"/>
    </row>
    <row r="7424" spans="46:49" x14ac:dyDescent="0.25">
      <c r="AT7424" s="74"/>
      <c r="AW7424" s="74"/>
    </row>
    <row r="7425" spans="46:49" x14ac:dyDescent="0.25">
      <c r="AT7425" s="74"/>
      <c r="AW7425" s="74"/>
    </row>
    <row r="7426" spans="46:49" x14ac:dyDescent="0.25">
      <c r="AT7426" s="74"/>
      <c r="AW7426" s="74"/>
    </row>
    <row r="7427" spans="46:49" x14ac:dyDescent="0.25">
      <c r="AT7427" s="74"/>
      <c r="AW7427" s="74"/>
    </row>
    <row r="7428" spans="46:49" x14ac:dyDescent="0.25">
      <c r="AT7428" s="74"/>
      <c r="AW7428" s="74"/>
    </row>
    <row r="7429" spans="46:49" x14ac:dyDescent="0.25">
      <c r="AT7429" s="74"/>
      <c r="AW7429" s="74"/>
    </row>
    <row r="7430" spans="46:49" x14ac:dyDescent="0.25">
      <c r="AT7430" s="74"/>
      <c r="AW7430" s="74"/>
    </row>
    <row r="7431" spans="46:49" x14ac:dyDescent="0.25">
      <c r="AT7431" s="74"/>
      <c r="AW7431" s="74"/>
    </row>
    <row r="7432" spans="46:49" x14ac:dyDescent="0.25">
      <c r="AT7432" s="74"/>
      <c r="AW7432" s="74"/>
    </row>
    <row r="7433" spans="46:49" x14ac:dyDescent="0.25">
      <c r="AT7433" s="74"/>
      <c r="AW7433" s="74"/>
    </row>
    <row r="7434" spans="46:49" x14ac:dyDescent="0.25">
      <c r="AT7434" s="74"/>
      <c r="AW7434" s="74"/>
    </row>
    <row r="7435" spans="46:49" x14ac:dyDescent="0.25">
      <c r="AT7435" s="74"/>
      <c r="AW7435" s="74"/>
    </row>
    <row r="7436" spans="46:49" x14ac:dyDescent="0.25">
      <c r="AT7436" s="74"/>
      <c r="AW7436" s="74"/>
    </row>
    <row r="7437" spans="46:49" x14ac:dyDescent="0.25">
      <c r="AT7437" s="74"/>
      <c r="AW7437" s="74"/>
    </row>
    <row r="7438" spans="46:49" x14ac:dyDescent="0.25">
      <c r="AT7438" s="74"/>
      <c r="AW7438" s="74"/>
    </row>
    <row r="7439" spans="46:49" x14ac:dyDescent="0.25">
      <c r="AT7439" s="74"/>
      <c r="AW7439" s="74"/>
    </row>
    <row r="7440" spans="46:49" x14ac:dyDescent="0.25">
      <c r="AT7440" s="74"/>
      <c r="AW7440" s="74"/>
    </row>
    <row r="7441" spans="46:49" x14ac:dyDescent="0.25">
      <c r="AT7441" s="74"/>
      <c r="AW7441" s="74"/>
    </row>
    <row r="7442" spans="46:49" x14ac:dyDescent="0.25">
      <c r="AT7442" s="74"/>
      <c r="AW7442" s="74"/>
    </row>
    <row r="7443" spans="46:49" x14ac:dyDescent="0.25">
      <c r="AT7443" s="74"/>
      <c r="AW7443" s="74"/>
    </row>
    <row r="7444" spans="46:49" x14ac:dyDescent="0.25">
      <c r="AT7444" s="74"/>
      <c r="AW7444" s="74"/>
    </row>
    <row r="7445" spans="46:49" x14ac:dyDescent="0.25">
      <c r="AT7445" s="74"/>
      <c r="AW7445" s="74"/>
    </row>
    <row r="7446" spans="46:49" x14ac:dyDescent="0.25">
      <c r="AT7446" s="74"/>
      <c r="AW7446" s="74"/>
    </row>
    <row r="7447" spans="46:49" x14ac:dyDescent="0.25">
      <c r="AT7447" s="74"/>
      <c r="AW7447" s="74"/>
    </row>
    <row r="7448" spans="46:49" x14ac:dyDescent="0.25">
      <c r="AT7448" s="74"/>
      <c r="AW7448" s="74"/>
    </row>
    <row r="7449" spans="46:49" x14ac:dyDescent="0.25">
      <c r="AT7449" s="74"/>
      <c r="AW7449" s="74"/>
    </row>
    <row r="7450" spans="46:49" x14ac:dyDescent="0.25">
      <c r="AT7450" s="74"/>
      <c r="AW7450" s="74"/>
    </row>
    <row r="7451" spans="46:49" x14ac:dyDescent="0.25">
      <c r="AT7451" s="74"/>
      <c r="AW7451" s="74"/>
    </row>
    <row r="7452" spans="46:49" x14ac:dyDescent="0.25">
      <c r="AT7452" s="74"/>
      <c r="AW7452" s="74"/>
    </row>
    <row r="7453" spans="46:49" x14ac:dyDescent="0.25">
      <c r="AT7453" s="74"/>
      <c r="AW7453" s="74"/>
    </row>
    <row r="7454" spans="46:49" x14ac:dyDescent="0.25">
      <c r="AT7454" s="74"/>
      <c r="AW7454" s="74"/>
    </row>
    <row r="7455" spans="46:49" x14ac:dyDescent="0.25">
      <c r="AT7455" s="74"/>
      <c r="AW7455" s="74"/>
    </row>
    <row r="7456" spans="46:49" x14ac:dyDescent="0.25">
      <c r="AT7456" s="74"/>
      <c r="AW7456" s="74"/>
    </row>
    <row r="7457" spans="46:49" x14ac:dyDescent="0.25">
      <c r="AT7457" s="74"/>
      <c r="AW7457" s="74"/>
    </row>
    <row r="7458" spans="46:49" x14ac:dyDescent="0.25">
      <c r="AT7458" s="74"/>
      <c r="AW7458" s="74"/>
    </row>
    <row r="7459" spans="46:49" x14ac:dyDescent="0.25">
      <c r="AT7459" s="74"/>
      <c r="AW7459" s="74"/>
    </row>
    <row r="7460" spans="46:49" x14ac:dyDescent="0.25">
      <c r="AT7460" s="74"/>
      <c r="AW7460" s="74"/>
    </row>
    <row r="7461" spans="46:49" x14ac:dyDescent="0.25">
      <c r="AT7461" s="74"/>
      <c r="AW7461" s="74"/>
    </row>
    <row r="7462" spans="46:49" x14ac:dyDescent="0.25">
      <c r="AT7462" s="74"/>
      <c r="AW7462" s="74"/>
    </row>
    <row r="7463" spans="46:49" x14ac:dyDescent="0.25">
      <c r="AT7463" s="74"/>
      <c r="AW7463" s="74"/>
    </row>
    <row r="7464" spans="46:49" x14ac:dyDescent="0.25">
      <c r="AT7464" s="74"/>
      <c r="AW7464" s="74"/>
    </row>
    <row r="7465" spans="46:49" x14ac:dyDescent="0.25">
      <c r="AT7465" s="74"/>
      <c r="AW7465" s="74"/>
    </row>
    <row r="7466" spans="46:49" x14ac:dyDescent="0.25">
      <c r="AT7466" s="74"/>
      <c r="AW7466" s="74"/>
    </row>
    <row r="7467" spans="46:49" x14ac:dyDescent="0.25">
      <c r="AT7467" s="74"/>
      <c r="AW7467" s="74"/>
    </row>
    <row r="7468" spans="46:49" x14ac:dyDescent="0.25">
      <c r="AT7468" s="74"/>
      <c r="AW7468" s="74"/>
    </row>
    <row r="7469" spans="46:49" x14ac:dyDescent="0.25">
      <c r="AT7469" s="74"/>
      <c r="AW7469" s="74"/>
    </row>
    <row r="7470" spans="46:49" x14ac:dyDescent="0.25">
      <c r="AT7470" s="74"/>
      <c r="AW7470" s="74"/>
    </row>
    <row r="7471" spans="46:49" x14ac:dyDescent="0.25">
      <c r="AT7471" s="74"/>
      <c r="AW7471" s="74"/>
    </row>
    <row r="7472" spans="46:49" x14ac:dyDescent="0.25">
      <c r="AT7472" s="74"/>
      <c r="AW7472" s="74"/>
    </row>
    <row r="7473" spans="46:49" x14ac:dyDescent="0.25">
      <c r="AT7473" s="74"/>
      <c r="AW7473" s="74"/>
    </row>
    <row r="7474" spans="46:49" x14ac:dyDescent="0.25">
      <c r="AT7474" s="74"/>
      <c r="AW7474" s="74"/>
    </row>
    <row r="7475" spans="46:49" x14ac:dyDescent="0.25">
      <c r="AT7475" s="74"/>
      <c r="AW7475" s="74"/>
    </row>
    <row r="7476" spans="46:49" x14ac:dyDescent="0.25">
      <c r="AT7476" s="74"/>
      <c r="AW7476" s="74"/>
    </row>
    <row r="7477" spans="46:49" x14ac:dyDescent="0.25">
      <c r="AT7477" s="74"/>
      <c r="AW7477" s="74"/>
    </row>
    <row r="7478" spans="46:49" x14ac:dyDescent="0.25">
      <c r="AT7478" s="74"/>
      <c r="AW7478" s="74"/>
    </row>
    <row r="7479" spans="46:49" x14ac:dyDescent="0.25">
      <c r="AT7479" s="74"/>
      <c r="AW7479" s="74"/>
    </row>
    <row r="7480" spans="46:49" x14ac:dyDescent="0.25">
      <c r="AT7480" s="74"/>
      <c r="AW7480" s="74"/>
    </row>
    <row r="7481" spans="46:49" x14ac:dyDescent="0.25">
      <c r="AT7481" s="74"/>
      <c r="AW7481" s="74"/>
    </row>
    <row r="7482" spans="46:49" x14ac:dyDescent="0.25">
      <c r="AT7482" s="74"/>
      <c r="AW7482" s="74"/>
    </row>
    <row r="7483" spans="46:49" x14ac:dyDescent="0.25">
      <c r="AT7483" s="74"/>
      <c r="AW7483" s="74"/>
    </row>
    <row r="7484" spans="46:49" x14ac:dyDescent="0.25">
      <c r="AT7484" s="74"/>
      <c r="AW7484" s="74"/>
    </row>
    <row r="7485" spans="46:49" x14ac:dyDescent="0.25">
      <c r="AT7485" s="74"/>
      <c r="AW7485" s="74"/>
    </row>
    <row r="7486" spans="46:49" x14ac:dyDescent="0.25">
      <c r="AT7486" s="74"/>
      <c r="AW7486" s="74"/>
    </row>
    <row r="7487" spans="46:49" x14ac:dyDescent="0.25">
      <c r="AT7487" s="74"/>
      <c r="AW7487" s="74"/>
    </row>
    <row r="7488" spans="46:49" x14ac:dyDescent="0.25">
      <c r="AT7488" s="74"/>
      <c r="AW7488" s="74"/>
    </row>
    <row r="7489" spans="46:49" x14ac:dyDescent="0.25">
      <c r="AT7489" s="74"/>
      <c r="AW7489" s="74"/>
    </row>
    <row r="7490" spans="46:49" x14ac:dyDescent="0.25">
      <c r="AT7490" s="74"/>
      <c r="AW7490" s="74"/>
    </row>
    <row r="7491" spans="46:49" x14ac:dyDescent="0.25">
      <c r="AT7491" s="74"/>
      <c r="AW7491" s="74"/>
    </row>
    <row r="7492" spans="46:49" x14ac:dyDescent="0.25">
      <c r="AT7492" s="74"/>
      <c r="AW7492" s="74"/>
    </row>
    <row r="7493" spans="46:49" x14ac:dyDescent="0.25">
      <c r="AT7493" s="74"/>
      <c r="AW7493" s="74"/>
    </row>
    <row r="7494" spans="46:49" x14ac:dyDescent="0.25">
      <c r="AT7494" s="74"/>
      <c r="AW7494" s="74"/>
    </row>
    <row r="7495" spans="46:49" x14ac:dyDescent="0.25">
      <c r="AT7495" s="74"/>
      <c r="AW7495" s="74"/>
    </row>
    <row r="7496" spans="46:49" x14ac:dyDescent="0.25">
      <c r="AT7496" s="74"/>
      <c r="AW7496" s="74"/>
    </row>
    <row r="7497" spans="46:49" x14ac:dyDescent="0.25">
      <c r="AT7497" s="74"/>
      <c r="AW7497" s="74"/>
    </row>
    <row r="7498" spans="46:49" x14ac:dyDescent="0.25">
      <c r="AT7498" s="74"/>
      <c r="AW7498" s="74"/>
    </row>
    <row r="7499" spans="46:49" x14ac:dyDescent="0.25">
      <c r="AT7499" s="74"/>
      <c r="AW7499" s="74"/>
    </row>
    <row r="7500" spans="46:49" x14ac:dyDescent="0.25">
      <c r="AT7500" s="74"/>
      <c r="AW7500" s="74"/>
    </row>
    <row r="7501" spans="46:49" x14ac:dyDescent="0.25">
      <c r="AT7501" s="74"/>
      <c r="AW7501" s="74"/>
    </row>
    <row r="7502" spans="46:49" x14ac:dyDescent="0.25">
      <c r="AT7502" s="74"/>
      <c r="AW7502" s="74"/>
    </row>
    <row r="7503" spans="46:49" x14ac:dyDescent="0.25">
      <c r="AT7503" s="74"/>
      <c r="AW7503" s="74"/>
    </row>
    <row r="7504" spans="46:49" x14ac:dyDescent="0.25">
      <c r="AT7504" s="74"/>
      <c r="AW7504" s="74"/>
    </row>
    <row r="7505" spans="46:49" x14ac:dyDescent="0.25">
      <c r="AT7505" s="74"/>
      <c r="AW7505" s="74"/>
    </row>
    <row r="7506" spans="46:49" x14ac:dyDescent="0.25">
      <c r="AT7506" s="74"/>
      <c r="AW7506" s="74"/>
    </row>
    <row r="7507" spans="46:49" x14ac:dyDescent="0.25">
      <c r="AT7507" s="74"/>
      <c r="AW7507" s="74"/>
    </row>
    <row r="7508" spans="46:49" x14ac:dyDescent="0.25">
      <c r="AT7508" s="74"/>
      <c r="AW7508" s="74"/>
    </row>
    <row r="7509" spans="46:49" x14ac:dyDescent="0.25">
      <c r="AT7509" s="74"/>
      <c r="AW7509" s="74"/>
    </row>
    <row r="7510" spans="46:49" x14ac:dyDescent="0.25">
      <c r="AT7510" s="74"/>
      <c r="AW7510" s="74"/>
    </row>
    <row r="7511" spans="46:49" x14ac:dyDescent="0.25">
      <c r="AT7511" s="74"/>
      <c r="AW7511" s="74"/>
    </row>
    <row r="7512" spans="46:49" x14ac:dyDescent="0.25">
      <c r="AT7512" s="74"/>
      <c r="AW7512" s="74"/>
    </row>
    <row r="7513" spans="46:49" x14ac:dyDescent="0.25">
      <c r="AT7513" s="74"/>
      <c r="AW7513" s="74"/>
    </row>
    <row r="7514" spans="46:49" x14ac:dyDescent="0.25">
      <c r="AT7514" s="74"/>
      <c r="AW7514" s="74"/>
    </row>
    <row r="7515" spans="46:49" x14ac:dyDescent="0.25">
      <c r="AT7515" s="74"/>
      <c r="AW7515" s="74"/>
    </row>
    <row r="7516" spans="46:49" x14ac:dyDescent="0.25">
      <c r="AT7516" s="74"/>
      <c r="AW7516" s="74"/>
    </row>
    <row r="7517" spans="46:49" x14ac:dyDescent="0.25">
      <c r="AT7517" s="74"/>
      <c r="AW7517" s="74"/>
    </row>
    <row r="7518" spans="46:49" x14ac:dyDescent="0.25">
      <c r="AT7518" s="74"/>
      <c r="AW7518" s="74"/>
    </row>
    <row r="7519" spans="46:49" x14ac:dyDescent="0.25">
      <c r="AT7519" s="74"/>
      <c r="AW7519" s="74"/>
    </row>
    <row r="7520" spans="46:49" x14ac:dyDescent="0.25">
      <c r="AT7520" s="74"/>
      <c r="AW7520" s="74"/>
    </row>
    <row r="7521" spans="46:49" x14ac:dyDescent="0.25">
      <c r="AT7521" s="74"/>
      <c r="AW7521" s="74"/>
    </row>
    <row r="7522" spans="46:49" x14ac:dyDescent="0.25">
      <c r="AT7522" s="74"/>
      <c r="AW7522" s="74"/>
    </row>
    <row r="7523" spans="46:49" x14ac:dyDescent="0.25">
      <c r="AT7523" s="74"/>
      <c r="AW7523" s="74"/>
    </row>
    <row r="7524" spans="46:49" x14ac:dyDescent="0.25">
      <c r="AT7524" s="74"/>
      <c r="AW7524" s="74"/>
    </row>
    <row r="7525" spans="46:49" x14ac:dyDescent="0.25">
      <c r="AT7525" s="74"/>
      <c r="AW7525" s="74"/>
    </row>
    <row r="7526" spans="46:49" x14ac:dyDescent="0.25">
      <c r="AT7526" s="74"/>
      <c r="AW7526" s="74"/>
    </row>
    <row r="7527" spans="46:49" x14ac:dyDescent="0.25">
      <c r="AT7527" s="74"/>
      <c r="AW7527" s="74"/>
    </row>
    <row r="7528" spans="46:49" x14ac:dyDescent="0.25">
      <c r="AT7528" s="74"/>
      <c r="AW7528" s="74"/>
    </row>
    <row r="7529" spans="46:49" x14ac:dyDescent="0.25">
      <c r="AT7529" s="74"/>
      <c r="AW7529" s="74"/>
    </row>
    <row r="7530" spans="46:49" x14ac:dyDescent="0.25">
      <c r="AT7530" s="74"/>
      <c r="AW7530" s="74"/>
    </row>
    <row r="7531" spans="46:49" x14ac:dyDescent="0.25">
      <c r="AT7531" s="74"/>
      <c r="AW7531" s="74"/>
    </row>
    <row r="7532" spans="46:49" x14ac:dyDescent="0.25">
      <c r="AT7532" s="74"/>
      <c r="AW7532" s="74"/>
    </row>
    <row r="7533" spans="46:49" x14ac:dyDescent="0.25">
      <c r="AT7533" s="74"/>
      <c r="AW7533" s="74"/>
    </row>
    <row r="7534" spans="46:49" x14ac:dyDescent="0.25">
      <c r="AT7534" s="74"/>
      <c r="AW7534" s="74"/>
    </row>
    <row r="7535" spans="46:49" x14ac:dyDescent="0.25">
      <c r="AT7535" s="74"/>
      <c r="AW7535" s="74"/>
    </row>
    <row r="7536" spans="46:49" x14ac:dyDescent="0.25">
      <c r="AT7536" s="74"/>
      <c r="AW7536" s="74"/>
    </row>
    <row r="7537" spans="46:49" x14ac:dyDescent="0.25">
      <c r="AT7537" s="74"/>
      <c r="AW7537" s="74"/>
    </row>
    <row r="7538" spans="46:49" x14ac:dyDescent="0.25">
      <c r="AT7538" s="74"/>
      <c r="AW7538" s="74"/>
    </row>
    <row r="7539" spans="46:49" x14ac:dyDescent="0.25">
      <c r="AT7539" s="74"/>
      <c r="AW7539" s="74"/>
    </row>
    <row r="7540" spans="46:49" x14ac:dyDescent="0.25">
      <c r="AT7540" s="74"/>
      <c r="AW7540" s="74"/>
    </row>
    <row r="7541" spans="46:49" x14ac:dyDescent="0.25">
      <c r="AT7541" s="74"/>
      <c r="AW7541" s="74"/>
    </row>
    <row r="7542" spans="46:49" x14ac:dyDescent="0.25">
      <c r="AT7542" s="74"/>
      <c r="AW7542" s="74"/>
    </row>
    <row r="7543" spans="46:49" x14ac:dyDescent="0.25">
      <c r="AT7543" s="74"/>
      <c r="AW7543" s="74"/>
    </row>
    <row r="7544" spans="46:49" x14ac:dyDescent="0.25">
      <c r="AT7544" s="74"/>
      <c r="AW7544" s="74"/>
    </row>
    <row r="7545" spans="46:49" x14ac:dyDescent="0.25">
      <c r="AT7545" s="74"/>
      <c r="AW7545" s="74"/>
    </row>
    <row r="7546" spans="46:49" x14ac:dyDescent="0.25">
      <c r="AT7546" s="74"/>
      <c r="AW7546" s="74"/>
    </row>
    <row r="7547" spans="46:49" x14ac:dyDescent="0.25">
      <c r="AT7547" s="74"/>
      <c r="AW7547" s="74"/>
    </row>
    <row r="7548" spans="46:49" x14ac:dyDescent="0.25">
      <c r="AT7548" s="74"/>
      <c r="AW7548" s="74"/>
    </row>
    <row r="7549" spans="46:49" x14ac:dyDescent="0.25">
      <c r="AT7549" s="74"/>
      <c r="AW7549" s="74"/>
    </row>
    <row r="7550" spans="46:49" x14ac:dyDescent="0.25">
      <c r="AT7550" s="74"/>
      <c r="AW7550" s="74"/>
    </row>
    <row r="7551" spans="46:49" x14ac:dyDescent="0.25">
      <c r="AT7551" s="74"/>
      <c r="AW7551" s="74"/>
    </row>
    <row r="7552" spans="46:49" x14ac:dyDescent="0.25">
      <c r="AT7552" s="74"/>
      <c r="AW7552" s="74"/>
    </row>
    <row r="7553" spans="46:49" x14ac:dyDescent="0.25">
      <c r="AT7553" s="74"/>
      <c r="AW7553" s="74"/>
    </row>
    <row r="7554" spans="46:49" x14ac:dyDescent="0.25">
      <c r="AT7554" s="74"/>
      <c r="AW7554" s="74"/>
    </row>
    <row r="7555" spans="46:49" x14ac:dyDescent="0.25">
      <c r="AT7555" s="74"/>
      <c r="AW7555" s="74"/>
    </row>
    <row r="7556" spans="46:49" x14ac:dyDescent="0.25">
      <c r="AT7556" s="74"/>
      <c r="AW7556" s="74"/>
    </row>
    <row r="7557" spans="46:49" x14ac:dyDescent="0.25">
      <c r="AT7557" s="74"/>
      <c r="AW7557" s="74"/>
    </row>
    <row r="7558" spans="46:49" x14ac:dyDescent="0.25">
      <c r="AT7558" s="74"/>
      <c r="AW7558" s="74"/>
    </row>
    <row r="7559" spans="46:49" x14ac:dyDescent="0.25">
      <c r="AT7559" s="74"/>
      <c r="AW7559" s="74"/>
    </row>
    <row r="7560" spans="46:49" x14ac:dyDescent="0.25">
      <c r="AT7560" s="74"/>
      <c r="AW7560" s="74"/>
    </row>
    <row r="7561" spans="46:49" x14ac:dyDescent="0.25">
      <c r="AT7561" s="74"/>
      <c r="AW7561" s="74"/>
    </row>
    <row r="7562" spans="46:49" x14ac:dyDescent="0.25">
      <c r="AT7562" s="74"/>
      <c r="AW7562" s="74"/>
    </row>
    <row r="7563" spans="46:49" x14ac:dyDescent="0.25">
      <c r="AT7563" s="74"/>
      <c r="AW7563" s="74"/>
    </row>
    <row r="7564" spans="46:49" x14ac:dyDescent="0.25">
      <c r="AT7564" s="74"/>
      <c r="AW7564" s="74"/>
    </row>
    <row r="7565" spans="46:49" x14ac:dyDescent="0.25">
      <c r="AT7565" s="74"/>
      <c r="AW7565" s="74"/>
    </row>
    <row r="7566" spans="46:49" x14ac:dyDescent="0.25">
      <c r="AT7566" s="74"/>
      <c r="AW7566" s="74"/>
    </row>
    <row r="7567" spans="46:49" x14ac:dyDescent="0.25">
      <c r="AT7567" s="74"/>
      <c r="AW7567" s="74"/>
    </row>
    <row r="7568" spans="46:49" x14ac:dyDescent="0.25">
      <c r="AT7568" s="74"/>
      <c r="AW7568" s="74"/>
    </row>
    <row r="7569" spans="46:49" x14ac:dyDescent="0.25">
      <c r="AT7569" s="74"/>
      <c r="AW7569" s="74"/>
    </row>
    <row r="7570" spans="46:49" x14ac:dyDescent="0.25">
      <c r="AT7570" s="74"/>
      <c r="AW7570" s="74"/>
    </row>
    <row r="7571" spans="46:49" x14ac:dyDescent="0.25">
      <c r="AT7571" s="74"/>
      <c r="AW7571" s="74"/>
    </row>
    <row r="7572" spans="46:49" x14ac:dyDescent="0.25">
      <c r="AT7572" s="74"/>
      <c r="AW7572" s="74"/>
    </row>
    <row r="7573" spans="46:49" x14ac:dyDescent="0.25">
      <c r="AT7573" s="74"/>
      <c r="AW7573" s="74"/>
    </row>
    <row r="7574" spans="46:49" x14ac:dyDescent="0.25">
      <c r="AT7574" s="74"/>
      <c r="AW7574" s="74"/>
    </row>
    <row r="7575" spans="46:49" x14ac:dyDescent="0.25">
      <c r="AT7575" s="74"/>
      <c r="AW7575" s="74"/>
    </row>
    <row r="7576" spans="46:49" x14ac:dyDescent="0.25">
      <c r="AT7576" s="74"/>
      <c r="AW7576" s="74"/>
    </row>
    <row r="7577" spans="46:49" x14ac:dyDescent="0.25">
      <c r="AT7577" s="74"/>
      <c r="AW7577" s="74"/>
    </row>
    <row r="7578" spans="46:49" x14ac:dyDescent="0.25">
      <c r="AT7578" s="74"/>
      <c r="AW7578" s="74"/>
    </row>
    <row r="7579" spans="46:49" x14ac:dyDescent="0.25">
      <c r="AT7579" s="74"/>
      <c r="AW7579" s="74"/>
    </row>
    <row r="7580" spans="46:49" x14ac:dyDescent="0.25">
      <c r="AT7580" s="74"/>
      <c r="AW7580" s="74"/>
    </row>
    <row r="7581" spans="46:49" x14ac:dyDescent="0.25">
      <c r="AT7581" s="74"/>
      <c r="AW7581" s="74"/>
    </row>
    <row r="7582" spans="46:49" x14ac:dyDescent="0.25">
      <c r="AT7582" s="74"/>
      <c r="AW7582" s="74"/>
    </row>
    <row r="7583" spans="46:49" x14ac:dyDescent="0.25">
      <c r="AT7583" s="74"/>
      <c r="AW7583" s="74"/>
    </row>
    <row r="7584" spans="46:49" x14ac:dyDescent="0.25">
      <c r="AT7584" s="74"/>
      <c r="AW7584" s="74"/>
    </row>
    <row r="7585" spans="46:49" x14ac:dyDescent="0.25">
      <c r="AT7585" s="74"/>
      <c r="AW7585" s="74"/>
    </row>
    <row r="7586" spans="46:49" x14ac:dyDescent="0.25">
      <c r="AT7586" s="74"/>
      <c r="AW7586" s="74"/>
    </row>
    <row r="7587" spans="46:49" x14ac:dyDescent="0.25">
      <c r="AT7587" s="74"/>
      <c r="AW7587" s="74"/>
    </row>
    <row r="7588" spans="46:49" x14ac:dyDescent="0.25">
      <c r="AT7588" s="74"/>
      <c r="AW7588" s="74"/>
    </row>
    <row r="7589" spans="46:49" x14ac:dyDescent="0.25">
      <c r="AT7589" s="74"/>
      <c r="AW7589" s="74"/>
    </row>
    <row r="7590" spans="46:49" x14ac:dyDescent="0.25">
      <c r="AT7590" s="74"/>
      <c r="AW7590" s="74"/>
    </row>
    <row r="7591" spans="46:49" x14ac:dyDescent="0.25">
      <c r="AT7591" s="74"/>
      <c r="AW7591" s="74"/>
    </row>
    <row r="7592" spans="46:49" x14ac:dyDescent="0.25">
      <c r="AT7592" s="74"/>
      <c r="AW7592" s="74"/>
    </row>
    <row r="7593" spans="46:49" x14ac:dyDescent="0.25">
      <c r="AT7593" s="74"/>
      <c r="AW7593" s="74"/>
    </row>
    <row r="7594" spans="46:49" x14ac:dyDescent="0.25">
      <c r="AT7594" s="74"/>
      <c r="AW7594" s="74"/>
    </row>
    <row r="7595" spans="46:49" x14ac:dyDescent="0.25">
      <c r="AT7595" s="74"/>
      <c r="AW7595" s="74"/>
    </row>
    <row r="7596" spans="46:49" x14ac:dyDescent="0.25">
      <c r="AT7596" s="74"/>
      <c r="AW7596" s="74"/>
    </row>
    <row r="7597" spans="46:49" x14ac:dyDescent="0.25">
      <c r="AT7597" s="74"/>
      <c r="AW7597" s="74"/>
    </row>
    <row r="7598" spans="46:49" x14ac:dyDescent="0.25">
      <c r="AT7598" s="74"/>
      <c r="AW7598" s="74"/>
    </row>
    <row r="7599" spans="46:49" x14ac:dyDescent="0.25">
      <c r="AT7599" s="74"/>
      <c r="AW7599" s="74"/>
    </row>
    <row r="7600" spans="46:49" x14ac:dyDescent="0.25">
      <c r="AT7600" s="74"/>
      <c r="AW7600" s="74"/>
    </row>
    <row r="7601" spans="46:49" x14ac:dyDescent="0.25">
      <c r="AT7601" s="74"/>
      <c r="AW7601" s="74"/>
    </row>
    <row r="7602" spans="46:49" x14ac:dyDescent="0.25">
      <c r="AT7602" s="74"/>
      <c r="AW7602" s="74"/>
    </row>
    <row r="7603" spans="46:49" x14ac:dyDescent="0.25">
      <c r="AT7603" s="74"/>
      <c r="AW7603" s="74"/>
    </row>
    <row r="7604" spans="46:49" x14ac:dyDescent="0.25">
      <c r="AT7604" s="74"/>
      <c r="AW7604" s="74"/>
    </row>
    <row r="7605" spans="46:49" x14ac:dyDescent="0.25">
      <c r="AT7605" s="74"/>
      <c r="AW7605" s="74"/>
    </row>
    <row r="7606" spans="46:49" x14ac:dyDescent="0.25">
      <c r="AT7606" s="74"/>
      <c r="AW7606" s="74"/>
    </row>
    <row r="7607" spans="46:49" x14ac:dyDescent="0.25">
      <c r="AT7607" s="74"/>
      <c r="AW7607" s="74"/>
    </row>
    <row r="7608" spans="46:49" x14ac:dyDescent="0.25">
      <c r="AT7608" s="74"/>
      <c r="AW7608" s="74"/>
    </row>
    <row r="7609" spans="46:49" x14ac:dyDescent="0.25">
      <c r="AT7609" s="74"/>
      <c r="AW7609" s="74"/>
    </row>
    <row r="7610" spans="46:49" x14ac:dyDescent="0.25">
      <c r="AT7610" s="74"/>
      <c r="AW7610" s="74"/>
    </row>
    <row r="7611" spans="46:49" x14ac:dyDescent="0.25">
      <c r="AT7611" s="74"/>
      <c r="AW7611" s="74"/>
    </row>
    <row r="7612" spans="46:49" x14ac:dyDescent="0.25">
      <c r="AT7612" s="74"/>
      <c r="AW7612" s="74"/>
    </row>
    <row r="7613" spans="46:49" x14ac:dyDescent="0.25">
      <c r="AT7613" s="74"/>
      <c r="AW7613" s="74"/>
    </row>
    <row r="7614" spans="46:49" x14ac:dyDescent="0.25">
      <c r="AT7614" s="74"/>
      <c r="AW7614" s="74"/>
    </row>
    <row r="7615" spans="46:49" x14ac:dyDescent="0.25">
      <c r="AT7615" s="74"/>
      <c r="AW7615" s="74"/>
    </row>
    <row r="7616" spans="46:49" x14ac:dyDescent="0.25">
      <c r="AT7616" s="74"/>
      <c r="AW7616" s="74"/>
    </row>
    <row r="7617" spans="46:49" x14ac:dyDescent="0.25">
      <c r="AT7617" s="74"/>
      <c r="AW7617" s="74"/>
    </row>
    <row r="7618" spans="46:49" x14ac:dyDescent="0.25">
      <c r="AT7618" s="74"/>
      <c r="AW7618" s="74"/>
    </row>
    <row r="7619" spans="46:49" x14ac:dyDescent="0.25">
      <c r="AT7619" s="74"/>
      <c r="AW7619" s="74"/>
    </row>
    <row r="7620" spans="46:49" x14ac:dyDescent="0.25">
      <c r="AT7620" s="74"/>
      <c r="AW7620" s="74"/>
    </row>
    <row r="7621" spans="46:49" x14ac:dyDescent="0.25">
      <c r="AT7621" s="74"/>
      <c r="AW7621" s="74"/>
    </row>
    <row r="7622" spans="46:49" x14ac:dyDescent="0.25">
      <c r="AT7622" s="74"/>
      <c r="AW7622" s="74"/>
    </row>
    <row r="7623" spans="46:49" x14ac:dyDescent="0.25">
      <c r="AT7623" s="74"/>
      <c r="AW7623" s="74"/>
    </row>
    <row r="7624" spans="46:49" x14ac:dyDescent="0.25">
      <c r="AT7624" s="74"/>
      <c r="AW7624" s="74"/>
    </row>
    <row r="7625" spans="46:49" x14ac:dyDescent="0.25">
      <c r="AT7625" s="74"/>
      <c r="AW7625" s="74"/>
    </row>
    <row r="7626" spans="46:49" x14ac:dyDescent="0.25">
      <c r="AT7626" s="74"/>
      <c r="AW7626" s="74"/>
    </row>
    <row r="7627" spans="46:49" x14ac:dyDescent="0.25">
      <c r="AT7627" s="74"/>
      <c r="AW7627" s="74"/>
    </row>
    <row r="7628" spans="46:49" x14ac:dyDescent="0.25">
      <c r="AT7628" s="74"/>
      <c r="AW7628" s="74"/>
    </row>
    <row r="7629" spans="46:49" x14ac:dyDescent="0.25">
      <c r="AT7629" s="74"/>
      <c r="AW7629" s="74"/>
    </row>
    <row r="7630" spans="46:49" x14ac:dyDescent="0.25">
      <c r="AT7630" s="74"/>
      <c r="AW7630" s="74"/>
    </row>
    <row r="7631" spans="46:49" x14ac:dyDescent="0.25">
      <c r="AT7631" s="74"/>
      <c r="AW7631" s="74"/>
    </row>
    <row r="7632" spans="46:49" x14ac:dyDescent="0.25">
      <c r="AT7632" s="74"/>
      <c r="AW7632" s="74"/>
    </row>
    <row r="7633" spans="46:49" x14ac:dyDescent="0.25">
      <c r="AT7633" s="74"/>
      <c r="AW7633" s="74"/>
    </row>
    <row r="7634" spans="46:49" x14ac:dyDescent="0.25">
      <c r="AT7634" s="74"/>
      <c r="AW7634" s="74"/>
    </row>
    <row r="7635" spans="46:49" x14ac:dyDescent="0.25">
      <c r="AT7635" s="74"/>
      <c r="AW7635" s="74"/>
    </row>
    <row r="7636" spans="46:49" x14ac:dyDescent="0.25">
      <c r="AT7636" s="74"/>
      <c r="AW7636" s="74"/>
    </row>
    <row r="7637" spans="46:49" x14ac:dyDescent="0.25">
      <c r="AT7637" s="74"/>
      <c r="AW7637" s="74"/>
    </row>
    <row r="7638" spans="46:49" x14ac:dyDescent="0.25">
      <c r="AT7638" s="74"/>
      <c r="AW7638" s="74"/>
    </row>
    <row r="7639" spans="46:49" x14ac:dyDescent="0.25">
      <c r="AT7639" s="74"/>
      <c r="AW7639" s="74"/>
    </row>
    <row r="7640" spans="46:49" x14ac:dyDescent="0.25">
      <c r="AT7640" s="74"/>
      <c r="AW7640" s="74"/>
    </row>
    <row r="7641" spans="46:49" x14ac:dyDescent="0.25">
      <c r="AT7641" s="74"/>
      <c r="AW7641" s="74"/>
    </row>
    <row r="7642" spans="46:49" x14ac:dyDescent="0.25">
      <c r="AT7642" s="74"/>
      <c r="AW7642" s="74"/>
    </row>
    <row r="7643" spans="46:49" x14ac:dyDescent="0.25">
      <c r="AT7643" s="74"/>
      <c r="AW7643" s="74"/>
    </row>
    <row r="7644" spans="46:49" x14ac:dyDescent="0.25">
      <c r="AT7644" s="74"/>
      <c r="AW7644" s="74"/>
    </row>
    <row r="7645" spans="46:49" x14ac:dyDescent="0.25">
      <c r="AT7645" s="74"/>
      <c r="AW7645" s="74"/>
    </row>
    <row r="7646" spans="46:49" x14ac:dyDescent="0.25">
      <c r="AT7646" s="74"/>
      <c r="AW7646" s="74"/>
    </row>
    <row r="7647" spans="46:49" x14ac:dyDescent="0.25">
      <c r="AT7647" s="74"/>
      <c r="AW7647" s="74"/>
    </row>
    <row r="7648" spans="46:49" x14ac:dyDescent="0.25">
      <c r="AT7648" s="74"/>
      <c r="AW7648" s="74"/>
    </row>
    <row r="7649" spans="46:49" x14ac:dyDescent="0.25">
      <c r="AT7649" s="74"/>
      <c r="AW7649" s="74"/>
    </row>
    <row r="7650" spans="46:49" x14ac:dyDescent="0.25">
      <c r="AT7650" s="74"/>
      <c r="AW7650" s="74"/>
    </row>
    <row r="7651" spans="46:49" x14ac:dyDescent="0.25">
      <c r="AT7651" s="74"/>
      <c r="AW7651" s="74"/>
    </row>
    <row r="7652" spans="46:49" x14ac:dyDescent="0.25">
      <c r="AT7652" s="74"/>
      <c r="AW7652" s="74"/>
    </row>
    <row r="7653" spans="46:49" x14ac:dyDescent="0.25">
      <c r="AT7653" s="74"/>
      <c r="AW7653" s="74"/>
    </row>
    <row r="7654" spans="46:49" x14ac:dyDescent="0.25">
      <c r="AT7654" s="74"/>
      <c r="AW7654" s="74"/>
    </row>
    <row r="7655" spans="46:49" x14ac:dyDescent="0.25">
      <c r="AT7655" s="74"/>
      <c r="AW7655" s="74"/>
    </row>
    <row r="7656" spans="46:49" x14ac:dyDescent="0.25">
      <c r="AT7656" s="74"/>
      <c r="AW7656" s="74"/>
    </row>
    <row r="7657" spans="46:49" x14ac:dyDescent="0.25">
      <c r="AT7657" s="74"/>
      <c r="AW7657" s="74"/>
    </row>
    <row r="7658" spans="46:49" x14ac:dyDescent="0.25">
      <c r="AT7658" s="74"/>
      <c r="AW7658" s="74"/>
    </row>
    <row r="7659" spans="46:49" x14ac:dyDescent="0.25">
      <c r="AT7659" s="74"/>
      <c r="AW7659" s="74"/>
    </row>
    <row r="7660" spans="46:49" x14ac:dyDescent="0.25">
      <c r="AT7660" s="74"/>
      <c r="AW7660" s="74"/>
    </row>
    <row r="7661" spans="46:49" x14ac:dyDescent="0.25">
      <c r="AT7661" s="74"/>
      <c r="AW7661" s="74"/>
    </row>
    <row r="7662" spans="46:49" x14ac:dyDescent="0.25">
      <c r="AT7662" s="74"/>
      <c r="AW7662" s="74"/>
    </row>
    <row r="7663" spans="46:49" x14ac:dyDescent="0.25">
      <c r="AT7663" s="74"/>
      <c r="AW7663" s="74"/>
    </row>
    <row r="7664" spans="46:49" x14ac:dyDescent="0.25">
      <c r="AT7664" s="74"/>
      <c r="AW7664" s="74"/>
    </row>
    <row r="7665" spans="46:49" x14ac:dyDescent="0.25">
      <c r="AT7665" s="74"/>
      <c r="AW7665" s="74"/>
    </row>
    <row r="7666" spans="46:49" x14ac:dyDescent="0.25">
      <c r="AT7666" s="74"/>
      <c r="AW7666" s="74"/>
    </row>
    <row r="7667" spans="46:49" x14ac:dyDescent="0.25">
      <c r="AT7667" s="74"/>
      <c r="AW7667" s="74"/>
    </row>
    <row r="7668" spans="46:49" x14ac:dyDescent="0.25">
      <c r="AT7668" s="74"/>
      <c r="AW7668" s="74"/>
    </row>
    <row r="7669" spans="46:49" x14ac:dyDescent="0.25">
      <c r="AT7669" s="74"/>
      <c r="AW7669" s="74"/>
    </row>
    <row r="7670" spans="46:49" x14ac:dyDescent="0.25">
      <c r="AT7670" s="74"/>
      <c r="AW7670" s="74"/>
    </row>
    <row r="7671" spans="46:49" x14ac:dyDescent="0.25">
      <c r="AT7671" s="74"/>
      <c r="AW7671" s="74"/>
    </row>
    <row r="7672" spans="46:49" x14ac:dyDescent="0.25">
      <c r="AT7672" s="74"/>
      <c r="AW7672" s="74"/>
    </row>
    <row r="7673" spans="46:49" x14ac:dyDescent="0.25">
      <c r="AT7673" s="74"/>
      <c r="AW7673" s="74"/>
    </row>
    <row r="7674" spans="46:49" x14ac:dyDescent="0.25">
      <c r="AT7674" s="74"/>
      <c r="AW7674" s="74"/>
    </row>
    <row r="7675" spans="46:49" x14ac:dyDescent="0.25">
      <c r="AT7675" s="74"/>
      <c r="AW7675" s="74"/>
    </row>
    <row r="7676" spans="46:49" x14ac:dyDescent="0.25">
      <c r="AT7676" s="74"/>
      <c r="AW7676" s="74"/>
    </row>
    <row r="7677" spans="46:49" x14ac:dyDescent="0.25">
      <c r="AT7677" s="74"/>
      <c r="AW7677" s="74"/>
    </row>
    <row r="7678" spans="46:49" x14ac:dyDescent="0.25">
      <c r="AT7678" s="74"/>
      <c r="AW7678" s="74"/>
    </row>
    <row r="7679" spans="46:49" x14ac:dyDescent="0.25">
      <c r="AT7679" s="74"/>
      <c r="AW7679" s="74"/>
    </row>
    <row r="7680" spans="46:49" x14ac:dyDescent="0.25">
      <c r="AT7680" s="74"/>
      <c r="AW7680" s="74"/>
    </row>
    <row r="7681" spans="46:49" x14ac:dyDescent="0.25">
      <c r="AT7681" s="74"/>
      <c r="AW7681" s="74"/>
    </row>
    <row r="7682" spans="46:49" x14ac:dyDescent="0.25">
      <c r="AT7682" s="74"/>
      <c r="AW7682" s="74"/>
    </row>
    <row r="7683" spans="46:49" x14ac:dyDescent="0.25">
      <c r="AT7683" s="74"/>
      <c r="AW7683" s="74"/>
    </row>
    <row r="7684" spans="46:49" x14ac:dyDescent="0.25">
      <c r="AT7684" s="74"/>
      <c r="AW7684" s="74"/>
    </row>
    <row r="7685" spans="46:49" x14ac:dyDescent="0.25">
      <c r="AT7685" s="74"/>
      <c r="AW7685" s="74"/>
    </row>
    <row r="7686" spans="46:49" x14ac:dyDescent="0.25">
      <c r="AT7686" s="74"/>
      <c r="AW7686" s="74"/>
    </row>
    <row r="7687" spans="46:49" x14ac:dyDescent="0.25">
      <c r="AT7687" s="74"/>
      <c r="AW7687" s="74"/>
    </row>
    <row r="7688" spans="46:49" x14ac:dyDescent="0.25">
      <c r="AT7688" s="74"/>
      <c r="AW7688" s="74"/>
    </row>
    <row r="7689" spans="46:49" x14ac:dyDescent="0.25">
      <c r="AT7689" s="74"/>
      <c r="AW7689" s="74"/>
    </row>
    <row r="7690" spans="46:49" x14ac:dyDescent="0.25">
      <c r="AT7690" s="74"/>
      <c r="AW7690" s="74"/>
    </row>
    <row r="7691" spans="46:49" x14ac:dyDescent="0.25">
      <c r="AT7691" s="74"/>
      <c r="AW7691" s="74"/>
    </row>
    <row r="7692" spans="46:49" x14ac:dyDescent="0.25">
      <c r="AT7692" s="74"/>
      <c r="AW7692" s="74"/>
    </row>
    <row r="7693" spans="46:49" x14ac:dyDescent="0.25">
      <c r="AT7693" s="74"/>
      <c r="AW7693" s="74"/>
    </row>
    <row r="7694" spans="46:49" x14ac:dyDescent="0.25">
      <c r="AT7694" s="74"/>
      <c r="AW7694" s="74"/>
    </row>
    <row r="7695" spans="46:49" x14ac:dyDescent="0.25">
      <c r="AT7695" s="74"/>
      <c r="AW7695" s="74"/>
    </row>
    <row r="7696" spans="46:49" x14ac:dyDescent="0.25">
      <c r="AT7696" s="74"/>
      <c r="AW7696" s="74"/>
    </row>
    <row r="7697" spans="46:49" x14ac:dyDescent="0.25">
      <c r="AT7697" s="74"/>
      <c r="AW7697" s="74"/>
    </row>
    <row r="7698" spans="46:49" x14ac:dyDescent="0.25">
      <c r="AT7698" s="74"/>
      <c r="AW7698" s="74"/>
    </row>
    <row r="7699" spans="46:49" x14ac:dyDescent="0.25">
      <c r="AT7699" s="74"/>
      <c r="AW7699" s="74"/>
    </row>
    <row r="7700" spans="46:49" x14ac:dyDescent="0.25">
      <c r="AT7700" s="74"/>
      <c r="AW7700" s="74"/>
    </row>
    <row r="7701" spans="46:49" x14ac:dyDescent="0.25">
      <c r="AT7701" s="74"/>
      <c r="AW7701" s="74"/>
    </row>
    <row r="7702" spans="46:49" x14ac:dyDescent="0.25">
      <c r="AT7702" s="74"/>
      <c r="AW7702" s="74"/>
    </row>
    <row r="7703" spans="46:49" x14ac:dyDescent="0.25">
      <c r="AT7703" s="74"/>
      <c r="AW7703" s="74"/>
    </row>
    <row r="7704" spans="46:49" x14ac:dyDescent="0.25">
      <c r="AT7704" s="74"/>
      <c r="AW7704" s="74"/>
    </row>
    <row r="7705" spans="46:49" x14ac:dyDescent="0.25">
      <c r="AT7705" s="74"/>
      <c r="AW7705" s="74"/>
    </row>
    <row r="7706" spans="46:49" x14ac:dyDescent="0.25">
      <c r="AT7706" s="74"/>
      <c r="AW7706" s="74"/>
    </row>
    <row r="7707" spans="46:49" x14ac:dyDescent="0.25">
      <c r="AT7707" s="74"/>
      <c r="AW7707" s="74"/>
    </row>
    <row r="7708" spans="46:49" x14ac:dyDescent="0.25">
      <c r="AT7708" s="74"/>
      <c r="AW7708" s="74"/>
    </row>
    <row r="7709" spans="46:49" x14ac:dyDescent="0.25">
      <c r="AT7709" s="74"/>
      <c r="AW7709" s="74"/>
    </row>
    <row r="7710" spans="46:49" x14ac:dyDescent="0.25">
      <c r="AT7710" s="74"/>
      <c r="AW7710" s="74"/>
    </row>
    <row r="7711" spans="46:49" x14ac:dyDescent="0.25">
      <c r="AT7711" s="74"/>
      <c r="AW7711" s="74"/>
    </row>
    <row r="7712" spans="46:49" x14ac:dyDescent="0.25">
      <c r="AT7712" s="74"/>
      <c r="AW7712" s="74"/>
    </row>
    <row r="7713" spans="46:49" x14ac:dyDescent="0.25">
      <c r="AT7713" s="74"/>
      <c r="AW7713" s="74"/>
    </row>
    <row r="7714" spans="46:49" x14ac:dyDescent="0.25">
      <c r="AT7714" s="74"/>
      <c r="AW7714" s="74"/>
    </row>
    <row r="7715" spans="46:49" x14ac:dyDescent="0.25">
      <c r="AT7715" s="74"/>
      <c r="AW7715" s="74"/>
    </row>
    <row r="7716" spans="46:49" x14ac:dyDescent="0.25">
      <c r="AT7716" s="74"/>
      <c r="AW7716" s="74"/>
    </row>
    <row r="7717" spans="46:49" x14ac:dyDescent="0.25">
      <c r="AT7717" s="74"/>
      <c r="AW7717" s="74"/>
    </row>
    <row r="7718" spans="46:49" x14ac:dyDescent="0.25">
      <c r="AT7718" s="74"/>
      <c r="AW7718" s="74"/>
    </row>
    <row r="7719" spans="46:49" x14ac:dyDescent="0.25">
      <c r="AT7719" s="74"/>
      <c r="AW7719" s="74"/>
    </row>
    <row r="7720" spans="46:49" x14ac:dyDescent="0.25">
      <c r="AT7720" s="74"/>
      <c r="AW7720" s="74"/>
    </row>
    <row r="7721" spans="46:49" x14ac:dyDescent="0.25">
      <c r="AT7721" s="74"/>
      <c r="AW7721" s="74"/>
    </row>
    <row r="7722" spans="46:49" x14ac:dyDescent="0.25">
      <c r="AT7722" s="74"/>
      <c r="AW7722" s="74"/>
    </row>
    <row r="7723" spans="46:49" x14ac:dyDescent="0.25">
      <c r="AT7723" s="74"/>
      <c r="AW7723" s="74"/>
    </row>
    <row r="7724" spans="46:49" x14ac:dyDescent="0.25">
      <c r="AT7724" s="74"/>
      <c r="AW7724" s="74"/>
    </row>
    <row r="7725" spans="46:49" x14ac:dyDescent="0.25">
      <c r="AT7725" s="74"/>
      <c r="AW7725" s="74"/>
    </row>
    <row r="7726" spans="46:49" x14ac:dyDescent="0.25">
      <c r="AT7726" s="74"/>
      <c r="AW7726" s="74"/>
    </row>
    <row r="7727" spans="46:49" x14ac:dyDescent="0.25">
      <c r="AT7727" s="74"/>
      <c r="AW7727" s="74"/>
    </row>
    <row r="7728" spans="46:49" x14ac:dyDescent="0.25">
      <c r="AT7728" s="74"/>
      <c r="AW7728" s="74"/>
    </row>
    <row r="7729" spans="46:49" x14ac:dyDescent="0.25">
      <c r="AT7729" s="74"/>
      <c r="AW7729" s="74"/>
    </row>
    <row r="7730" spans="46:49" x14ac:dyDescent="0.25">
      <c r="AT7730" s="74"/>
      <c r="AW7730" s="74"/>
    </row>
    <row r="7731" spans="46:49" x14ac:dyDescent="0.25">
      <c r="AT7731" s="74"/>
      <c r="AW7731" s="74"/>
    </row>
    <row r="7732" spans="46:49" x14ac:dyDescent="0.25">
      <c r="AT7732" s="74"/>
      <c r="AW7732" s="74"/>
    </row>
    <row r="7733" spans="46:49" x14ac:dyDescent="0.25">
      <c r="AT7733" s="74"/>
      <c r="AW7733" s="74"/>
    </row>
    <row r="7734" spans="46:49" x14ac:dyDescent="0.25">
      <c r="AT7734" s="74"/>
      <c r="AW7734" s="74"/>
    </row>
    <row r="7735" spans="46:49" x14ac:dyDescent="0.25">
      <c r="AT7735" s="74"/>
      <c r="AW7735" s="74"/>
    </row>
    <row r="7736" spans="46:49" x14ac:dyDescent="0.25">
      <c r="AT7736" s="74"/>
      <c r="AW7736" s="74"/>
    </row>
    <row r="7737" spans="46:49" x14ac:dyDescent="0.25">
      <c r="AT7737" s="74"/>
      <c r="AW7737" s="74"/>
    </row>
    <row r="7738" spans="46:49" x14ac:dyDescent="0.25">
      <c r="AT7738" s="74"/>
      <c r="AW7738" s="74"/>
    </row>
    <row r="7739" spans="46:49" x14ac:dyDescent="0.25">
      <c r="AT7739" s="74"/>
      <c r="AW7739" s="74"/>
    </row>
    <row r="7740" spans="46:49" x14ac:dyDescent="0.25">
      <c r="AT7740" s="74"/>
      <c r="AW7740" s="74"/>
    </row>
    <row r="7741" spans="46:49" x14ac:dyDescent="0.25">
      <c r="AT7741" s="74"/>
      <c r="AW7741" s="74"/>
    </row>
    <row r="7742" spans="46:49" x14ac:dyDescent="0.25">
      <c r="AT7742" s="74"/>
      <c r="AW7742" s="74"/>
    </row>
    <row r="7743" spans="46:49" x14ac:dyDescent="0.25">
      <c r="AT7743" s="74"/>
      <c r="AW7743" s="74"/>
    </row>
    <row r="7744" spans="46:49" x14ac:dyDescent="0.25">
      <c r="AT7744" s="74"/>
      <c r="AW7744" s="74"/>
    </row>
    <row r="7745" spans="46:49" x14ac:dyDescent="0.25">
      <c r="AT7745" s="74"/>
      <c r="AW7745" s="74"/>
    </row>
    <row r="7746" spans="46:49" x14ac:dyDescent="0.25">
      <c r="AT7746" s="74"/>
      <c r="AW7746" s="74"/>
    </row>
    <row r="7747" spans="46:49" x14ac:dyDescent="0.25">
      <c r="AT7747" s="74"/>
      <c r="AW7747" s="74"/>
    </row>
    <row r="7748" spans="46:49" x14ac:dyDescent="0.25">
      <c r="AT7748" s="74"/>
      <c r="AW7748" s="74"/>
    </row>
    <row r="7749" spans="46:49" x14ac:dyDescent="0.25">
      <c r="AT7749" s="74"/>
      <c r="AW7749" s="74"/>
    </row>
    <row r="7750" spans="46:49" x14ac:dyDescent="0.25">
      <c r="AT7750" s="74"/>
      <c r="AW7750" s="74"/>
    </row>
    <row r="7751" spans="46:49" x14ac:dyDescent="0.25">
      <c r="AT7751" s="74"/>
      <c r="AW7751" s="74"/>
    </row>
    <row r="7752" spans="46:49" x14ac:dyDescent="0.25">
      <c r="AT7752" s="74"/>
      <c r="AW7752" s="74"/>
    </row>
    <row r="7753" spans="46:49" x14ac:dyDescent="0.25">
      <c r="AT7753" s="74"/>
      <c r="AW7753" s="74"/>
    </row>
    <row r="7754" spans="46:49" x14ac:dyDescent="0.25">
      <c r="AT7754" s="74"/>
      <c r="AW7754" s="74"/>
    </row>
    <row r="7755" spans="46:49" x14ac:dyDescent="0.25">
      <c r="AT7755" s="74"/>
      <c r="AW7755" s="74"/>
    </row>
    <row r="7756" spans="46:49" x14ac:dyDescent="0.25">
      <c r="AT7756" s="74"/>
      <c r="AW7756" s="74"/>
    </row>
    <row r="7757" spans="46:49" x14ac:dyDescent="0.25">
      <c r="AT7757" s="74"/>
      <c r="AW7757" s="74"/>
    </row>
    <row r="7758" spans="46:49" x14ac:dyDescent="0.25">
      <c r="AT7758" s="74"/>
      <c r="AW7758" s="74"/>
    </row>
    <row r="7759" spans="46:49" x14ac:dyDescent="0.25">
      <c r="AT7759" s="74"/>
      <c r="AW7759" s="74"/>
    </row>
    <row r="7760" spans="46:49" x14ac:dyDescent="0.25">
      <c r="AT7760" s="74"/>
      <c r="AW7760" s="74"/>
    </row>
    <row r="7761" spans="46:49" x14ac:dyDescent="0.25">
      <c r="AT7761" s="74"/>
      <c r="AW7761" s="74"/>
    </row>
    <row r="7762" spans="46:49" x14ac:dyDescent="0.25">
      <c r="AT7762" s="74"/>
      <c r="AW7762" s="74"/>
    </row>
    <row r="7763" spans="46:49" x14ac:dyDescent="0.25">
      <c r="AT7763" s="74"/>
      <c r="AW7763" s="74"/>
    </row>
    <row r="7764" spans="46:49" x14ac:dyDescent="0.25">
      <c r="AT7764" s="74"/>
      <c r="AW7764" s="74"/>
    </row>
    <row r="7765" spans="46:49" x14ac:dyDescent="0.25">
      <c r="AT7765" s="74"/>
      <c r="AW7765" s="74"/>
    </row>
    <row r="7766" spans="46:49" x14ac:dyDescent="0.25">
      <c r="AT7766" s="74"/>
      <c r="AW7766" s="74"/>
    </row>
    <row r="7767" spans="46:49" x14ac:dyDescent="0.25">
      <c r="AT7767" s="74"/>
      <c r="AW7767" s="74"/>
    </row>
    <row r="7768" spans="46:49" x14ac:dyDescent="0.25">
      <c r="AT7768" s="74"/>
      <c r="AW7768" s="74"/>
    </row>
    <row r="7769" spans="46:49" x14ac:dyDescent="0.25">
      <c r="AT7769" s="74"/>
      <c r="AW7769" s="74"/>
    </row>
    <row r="7770" spans="46:49" x14ac:dyDescent="0.25">
      <c r="AT7770" s="74"/>
      <c r="AW7770" s="74"/>
    </row>
    <row r="7771" spans="46:49" x14ac:dyDescent="0.25">
      <c r="AT7771" s="74"/>
      <c r="AW7771" s="74"/>
    </row>
    <row r="7772" spans="46:49" x14ac:dyDescent="0.25">
      <c r="AT7772" s="74"/>
      <c r="AW7772" s="74"/>
    </row>
    <row r="7773" spans="46:49" x14ac:dyDescent="0.25">
      <c r="AT7773" s="74"/>
      <c r="AW7773" s="74"/>
    </row>
    <row r="7774" spans="46:49" x14ac:dyDescent="0.25">
      <c r="AT7774" s="74"/>
      <c r="AW7774" s="74"/>
    </row>
    <row r="7775" spans="46:49" x14ac:dyDescent="0.25">
      <c r="AT7775" s="74"/>
      <c r="AW7775" s="74"/>
    </row>
    <row r="7776" spans="46:49" x14ac:dyDescent="0.25">
      <c r="AT7776" s="74"/>
      <c r="AW7776" s="74"/>
    </row>
    <row r="7777" spans="46:49" x14ac:dyDescent="0.25">
      <c r="AT7777" s="74"/>
      <c r="AW7777" s="74"/>
    </row>
    <row r="7778" spans="46:49" x14ac:dyDescent="0.25">
      <c r="AT7778" s="74"/>
      <c r="AW7778" s="74"/>
    </row>
    <row r="7779" spans="46:49" x14ac:dyDescent="0.25">
      <c r="AT7779" s="74"/>
      <c r="AW7779" s="74"/>
    </row>
    <row r="7780" spans="46:49" x14ac:dyDescent="0.25">
      <c r="AT7780" s="74"/>
      <c r="AW7780" s="74"/>
    </row>
    <row r="7781" spans="46:49" x14ac:dyDescent="0.25">
      <c r="AT7781" s="74"/>
      <c r="AW7781" s="74"/>
    </row>
    <row r="7782" spans="46:49" x14ac:dyDescent="0.25">
      <c r="AT7782" s="74"/>
      <c r="AW7782" s="74"/>
    </row>
    <row r="7783" spans="46:49" x14ac:dyDescent="0.25">
      <c r="AT7783" s="74"/>
      <c r="AW7783" s="74"/>
    </row>
    <row r="7784" spans="46:49" x14ac:dyDescent="0.25">
      <c r="AT7784" s="74"/>
      <c r="AW7784" s="74"/>
    </row>
    <row r="7785" spans="46:49" x14ac:dyDescent="0.25">
      <c r="AT7785" s="74"/>
      <c r="AW7785" s="74"/>
    </row>
    <row r="7786" spans="46:49" x14ac:dyDescent="0.25">
      <c r="AT7786" s="74"/>
      <c r="AW7786" s="74"/>
    </row>
    <row r="7787" spans="46:49" x14ac:dyDescent="0.25">
      <c r="AT7787" s="74"/>
      <c r="AW7787" s="74"/>
    </row>
    <row r="7788" spans="46:49" x14ac:dyDescent="0.25">
      <c r="AT7788" s="74"/>
      <c r="AW7788" s="74"/>
    </row>
    <row r="7789" spans="46:49" x14ac:dyDescent="0.25">
      <c r="AT7789" s="74"/>
      <c r="AW7789" s="74"/>
    </row>
    <row r="7790" spans="46:49" x14ac:dyDescent="0.25">
      <c r="AT7790" s="74"/>
      <c r="AW7790" s="74"/>
    </row>
    <row r="7791" spans="46:49" x14ac:dyDescent="0.25">
      <c r="AT7791" s="74"/>
      <c r="AW7791" s="74"/>
    </row>
    <row r="7792" spans="46:49" x14ac:dyDescent="0.25">
      <c r="AT7792" s="74"/>
      <c r="AW7792" s="74"/>
    </row>
    <row r="7793" spans="46:49" x14ac:dyDescent="0.25">
      <c r="AT7793" s="74"/>
      <c r="AW7793" s="74"/>
    </row>
    <row r="7794" spans="46:49" x14ac:dyDescent="0.25">
      <c r="AT7794" s="74"/>
      <c r="AW7794" s="74"/>
    </row>
    <row r="7795" spans="46:49" x14ac:dyDescent="0.25">
      <c r="AT7795" s="74"/>
      <c r="AW7795" s="74"/>
    </row>
    <row r="7796" spans="46:49" x14ac:dyDescent="0.25">
      <c r="AT7796" s="74"/>
      <c r="AW7796" s="74"/>
    </row>
    <row r="7797" spans="46:49" x14ac:dyDescent="0.25">
      <c r="AT7797" s="74"/>
      <c r="AW7797" s="74"/>
    </row>
    <row r="7798" spans="46:49" x14ac:dyDescent="0.25">
      <c r="AT7798" s="74"/>
      <c r="AW7798" s="74"/>
    </row>
    <row r="7799" spans="46:49" x14ac:dyDescent="0.25">
      <c r="AT7799" s="74"/>
      <c r="AW7799" s="74"/>
    </row>
    <row r="7800" spans="46:49" x14ac:dyDescent="0.25">
      <c r="AT7800" s="74"/>
      <c r="AW7800" s="74"/>
    </row>
    <row r="7801" spans="46:49" x14ac:dyDescent="0.25">
      <c r="AT7801" s="74"/>
      <c r="AW7801" s="74"/>
    </row>
    <row r="7802" spans="46:49" x14ac:dyDescent="0.25">
      <c r="AT7802" s="74"/>
      <c r="AW7802" s="74"/>
    </row>
    <row r="7803" spans="46:49" x14ac:dyDescent="0.25">
      <c r="AT7803" s="74"/>
      <c r="AW7803" s="74"/>
    </row>
    <row r="7804" spans="46:49" x14ac:dyDescent="0.25">
      <c r="AT7804" s="74"/>
      <c r="AW7804" s="74"/>
    </row>
    <row r="7805" spans="46:49" x14ac:dyDescent="0.25">
      <c r="AT7805" s="74"/>
      <c r="AW7805" s="74"/>
    </row>
    <row r="7806" spans="46:49" x14ac:dyDescent="0.25">
      <c r="AT7806" s="74"/>
      <c r="AW7806" s="74"/>
    </row>
    <row r="7807" spans="46:49" x14ac:dyDescent="0.25">
      <c r="AT7807" s="74"/>
      <c r="AW7807" s="74"/>
    </row>
    <row r="7808" spans="46:49" x14ac:dyDescent="0.25">
      <c r="AT7808" s="74"/>
      <c r="AW7808" s="74"/>
    </row>
    <row r="7809" spans="46:49" x14ac:dyDescent="0.25">
      <c r="AT7809" s="74"/>
      <c r="AW7809" s="74"/>
    </row>
    <row r="7810" spans="46:49" x14ac:dyDescent="0.25">
      <c r="AT7810" s="74"/>
      <c r="AW7810" s="74"/>
    </row>
    <row r="7811" spans="46:49" x14ac:dyDescent="0.25">
      <c r="AT7811" s="74"/>
      <c r="AW7811" s="74"/>
    </row>
    <row r="7812" spans="46:49" x14ac:dyDescent="0.25">
      <c r="AT7812" s="74"/>
      <c r="AW7812" s="74"/>
    </row>
    <row r="7813" spans="46:49" x14ac:dyDescent="0.25">
      <c r="AT7813" s="74"/>
      <c r="AW7813" s="74"/>
    </row>
    <row r="7814" spans="46:49" x14ac:dyDescent="0.25">
      <c r="AT7814" s="74"/>
      <c r="AW7814" s="74"/>
    </row>
    <row r="7815" spans="46:49" x14ac:dyDescent="0.25">
      <c r="AT7815" s="74"/>
      <c r="AW7815" s="74"/>
    </row>
    <row r="7816" spans="46:49" x14ac:dyDescent="0.25">
      <c r="AT7816" s="74"/>
      <c r="AW7816" s="74"/>
    </row>
    <row r="7817" spans="46:49" x14ac:dyDescent="0.25">
      <c r="AT7817" s="74"/>
      <c r="AW7817" s="74"/>
    </row>
    <row r="7818" spans="46:49" x14ac:dyDescent="0.25">
      <c r="AT7818" s="74"/>
      <c r="AW7818" s="74"/>
    </row>
    <row r="7819" spans="46:49" x14ac:dyDescent="0.25">
      <c r="AT7819" s="74"/>
      <c r="AW7819" s="74"/>
    </row>
    <row r="7820" spans="46:49" x14ac:dyDescent="0.25">
      <c r="AT7820" s="74"/>
      <c r="AW7820" s="74"/>
    </row>
    <row r="7821" spans="46:49" x14ac:dyDescent="0.25">
      <c r="AT7821" s="74"/>
      <c r="AW7821" s="74"/>
    </row>
    <row r="7822" spans="46:49" x14ac:dyDescent="0.25">
      <c r="AT7822" s="74"/>
      <c r="AW7822" s="74"/>
    </row>
    <row r="7823" spans="46:49" x14ac:dyDescent="0.25">
      <c r="AT7823" s="74"/>
      <c r="AW7823" s="74"/>
    </row>
    <row r="7824" spans="46:49" x14ac:dyDescent="0.25">
      <c r="AT7824" s="74"/>
      <c r="AW7824" s="74"/>
    </row>
    <row r="7825" spans="46:49" x14ac:dyDescent="0.25">
      <c r="AT7825" s="74"/>
      <c r="AW7825" s="74"/>
    </row>
    <row r="7826" spans="46:49" x14ac:dyDescent="0.25">
      <c r="AT7826" s="74"/>
      <c r="AW7826" s="74"/>
    </row>
    <row r="7827" spans="46:49" x14ac:dyDescent="0.25">
      <c r="AT7827" s="74"/>
      <c r="AW7827" s="74"/>
    </row>
    <row r="7828" spans="46:49" x14ac:dyDescent="0.25">
      <c r="AT7828" s="74"/>
      <c r="AW7828" s="74"/>
    </row>
    <row r="7829" spans="46:49" x14ac:dyDescent="0.25">
      <c r="AT7829" s="74"/>
      <c r="AW7829" s="74"/>
    </row>
    <row r="7830" spans="46:49" x14ac:dyDescent="0.25">
      <c r="AT7830" s="74"/>
      <c r="AW7830" s="74"/>
    </row>
    <row r="7831" spans="46:49" x14ac:dyDescent="0.25">
      <c r="AT7831" s="74"/>
      <c r="AW7831" s="74"/>
    </row>
    <row r="7832" spans="46:49" x14ac:dyDescent="0.25">
      <c r="AT7832" s="74"/>
      <c r="AW7832" s="74"/>
    </row>
    <row r="7833" spans="46:49" x14ac:dyDescent="0.25">
      <c r="AT7833" s="74"/>
      <c r="AW7833" s="74"/>
    </row>
    <row r="7834" spans="46:49" x14ac:dyDescent="0.25">
      <c r="AT7834" s="74"/>
      <c r="AW7834" s="74"/>
    </row>
    <row r="7835" spans="46:49" x14ac:dyDescent="0.25">
      <c r="AT7835" s="74"/>
      <c r="AW7835" s="74"/>
    </row>
    <row r="7836" spans="46:49" x14ac:dyDescent="0.25">
      <c r="AT7836" s="74"/>
      <c r="AW7836" s="74"/>
    </row>
    <row r="7837" spans="46:49" x14ac:dyDescent="0.25">
      <c r="AT7837" s="74"/>
      <c r="AW7837" s="74"/>
    </row>
    <row r="7838" spans="46:49" x14ac:dyDescent="0.25">
      <c r="AT7838" s="74"/>
      <c r="AW7838" s="74"/>
    </row>
    <row r="7839" spans="46:49" x14ac:dyDescent="0.25">
      <c r="AT7839" s="74"/>
      <c r="AW7839" s="74"/>
    </row>
    <row r="7840" spans="46:49" x14ac:dyDescent="0.25">
      <c r="AT7840" s="74"/>
      <c r="AW7840" s="74"/>
    </row>
    <row r="7841" spans="46:49" x14ac:dyDescent="0.25">
      <c r="AT7841" s="74"/>
      <c r="AW7841" s="74"/>
    </row>
    <row r="7842" spans="46:49" x14ac:dyDescent="0.25">
      <c r="AT7842" s="74"/>
      <c r="AW7842" s="74"/>
    </row>
    <row r="7843" spans="46:49" x14ac:dyDescent="0.25">
      <c r="AT7843" s="74"/>
      <c r="AW7843" s="74"/>
    </row>
    <row r="7844" spans="46:49" x14ac:dyDescent="0.25">
      <c r="AT7844" s="74"/>
      <c r="AW7844" s="74"/>
    </row>
    <row r="7845" spans="46:49" x14ac:dyDescent="0.25">
      <c r="AT7845" s="74"/>
      <c r="AW7845" s="74"/>
    </row>
    <row r="7846" spans="46:49" x14ac:dyDescent="0.25">
      <c r="AT7846" s="74"/>
      <c r="AW7846" s="74"/>
    </row>
    <row r="7847" spans="46:49" x14ac:dyDescent="0.25">
      <c r="AT7847" s="74"/>
      <c r="AW7847" s="74"/>
    </row>
    <row r="7848" spans="46:49" x14ac:dyDescent="0.25">
      <c r="AT7848" s="74"/>
      <c r="AW7848" s="74"/>
    </row>
    <row r="7849" spans="46:49" x14ac:dyDescent="0.25">
      <c r="AT7849" s="74"/>
      <c r="AW7849" s="74"/>
    </row>
    <row r="7850" spans="46:49" x14ac:dyDescent="0.25">
      <c r="AT7850" s="74"/>
      <c r="AW7850" s="74"/>
    </row>
    <row r="7851" spans="46:49" x14ac:dyDescent="0.25">
      <c r="AT7851" s="74"/>
      <c r="AW7851" s="74"/>
    </row>
    <row r="7852" spans="46:49" x14ac:dyDescent="0.25">
      <c r="AT7852" s="74"/>
      <c r="AW7852" s="74"/>
    </row>
    <row r="7853" spans="46:49" x14ac:dyDescent="0.25">
      <c r="AT7853" s="74"/>
      <c r="AW7853" s="74"/>
    </row>
    <row r="7854" spans="46:49" x14ac:dyDescent="0.25">
      <c r="AT7854" s="74"/>
      <c r="AW7854" s="74"/>
    </row>
    <row r="7855" spans="46:49" x14ac:dyDescent="0.25">
      <c r="AT7855" s="74"/>
      <c r="AW7855" s="74"/>
    </row>
    <row r="7856" spans="46:49" x14ac:dyDescent="0.25">
      <c r="AT7856" s="74"/>
      <c r="AW7856" s="74"/>
    </row>
    <row r="7857" spans="46:49" x14ac:dyDescent="0.25">
      <c r="AT7857" s="74"/>
      <c r="AW7857" s="74"/>
    </row>
    <row r="7858" spans="46:49" x14ac:dyDescent="0.25">
      <c r="AT7858" s="74"/>
      <c r="AW7858" s="74"/>
    </row>
    <row r="7859" spans="46:49" x14ac:dyDescent="0.25">
      <c r="AT7859" s="74"/>
      <c r="AW7859" s="74"/>
    </row>
    <row r="7860" spans="46:49" x14ac:dyDescent="0.25">
      <c r="AT7860" s="74"/>
      <c r="AW7860" s="74"/>
    </row>
    <row r="7861" spans="46:49" x14ac:dyDescent="0.25">
      <c r="AT7861" s="74"/>
      <c r="AW7861" s="74"/>
    </row>
    <row r="7862" spans="46:49" x14ac:dyDescent="0.25">
      <c r="AT7862" s="74"/>
      <c r="AW7862" s="74"/>
    </row>
    <row r="7863" spans="46:49" x14ac:dyDescent="0.25">
      <c r="AT7863" s="74"/>
      <c r="AW7863" s="74"/>
    </row>
    <row r="7864" spans="46:49" x14ac:dyDescent="0.25">
      <c r="AT7864" s="74"/>
      <c r="AW7864" s="74"/>
    </row>
    <row r="7865" spans="46:49" x14ac:dyDescent="0.25">
      <c r="AT7865" s="74"/>
      <c r="AW7865" s="74"/>
    </row>
    <row r="7866" spans="46:49" x14ac:dyDescent="0.25">
      <c r="AT7866" s="74"/>
      <c r="AW7866" s="74"/>
    </row>
    <row r="7867" spans="46:49" x14ac:dyDescent="0.25">
      <c r="AT7867" s="74"/>
      <c r="AW7867" s="74"/>
    </row>
    <row r="7868" spans="46:49" x14ac:dyDescent="0.25">
      <c r="AT7868" s="74"/>
      <c r="AW7868" s="74"/>
    </row>
    <row r="7869" spans="46:49" x14ac:dyDescent="0.25">
      <c r="AT7869" s="74"/>
      <c r="AW7869" s="74"/>
    </row>
    <row r="7870" spans="46:49" x14ac:dyDescent="0.25">
      <c r="AT7870" s="74"/>
      <c r="AW7870" s="74"/>
    </row>
    <row r="7871" spans="46:49" x14ac:dyDescent="0.25">
      <c r="AT7871" s="74"/>
      <c r="AW7871" s="74"/>
    </row>
    <row r="7872" spans="46:49" x14ac:dyDescent="0.25">
      <c r="AT7872" s="74"/>
      <c r="AW7872" s="74"/>
    </row>
    <row r="7873" spans="46:49" x14ac:dyDescent="0.25">
      <c r="AT7873" s="74"/>
      <c r="AW7873" s="74"/>
    </row>
    <row r="7874" spans="46:49" x14ac:dyDescent="0.25">
      <c r="AT7874" s="74"/>
      <c r="AW7874" s="74"/>
    </row>
    <row r="7875" spans="46:49" x14ac:dyDescent="0.25">
      <c r="AT7875" s="74"/>
      <c r="AW7875" s="74"/>
    </row>
    <row r="7876" spans="46:49" x14ac:dyDescent="0.25">
      <c r="AT7876" s="74"/>
      <c r="AW7876" s="74"/>
    </row>
    <row r="7877" spans="46:49" x14ac:dyDescent="0.25">
      <c r="AT7877" s="74"/>
      <c r="AW7877" s="74"/>
    </row>
    <row r="7878" spans="46:49" x14ac:dyDescent="0.25">
      <c r="AT7878" s="74"/>
      <c r="AW7878" s="74"/>
    </row>
    <row r="7879" spans="46:49" x14ac:dyDescent="0.25">
      <c r="AT7879" s="74"/>
      <c r="AW7879" s="74"/>
    </row>
    <row r="7880" spans="46:49" x14ac:dyDescent="0.25">
      <c r="AT7880" s="74"/>
      <c r="AW7880" s="74"/>
    </row>
    <row r="7881" spans="46:49" x14ac:dyDescent="0.25">
      <c r="AT7881" s="74"/>
      <c r="AW7881" s="74"/>
    </row>
    <row r="7882" spans="46:49" x14ac:dyDescent="0.25">
      <c r="AT7882" s="74"/>
      <c r="AW7882" s="74"/>
    </row>
    <row r="7883" spans="46:49" x14ac:dyDescent="0.25">
      <c r="AT7883" s="74"/>
      <c r="AW7883" s="74"/>
    </row>
    <row r="7884" spans="46:49" x14ac:dyDescent="0.25">
      <c r="AT7884" s="74"/>
      <c r="AW7884" s="74"/>
    </row>
    <row r="7885" spans="46:49" x14ac:dyDescent="0.25">
      <c r="AT7885" s="74"/>
      <c r="AW7885" s="74"/>
    </row>
    <row r="7886" spans="46:49" x14ac:dyDescent="0.25">
      <c r="AT7886" s="74"/>
      <c r="AW7886" s="74"/>
    </row>
    <row r="7887" spans="46:49" x14ac:dyDescent="0.25">
      <c r="AT7887" s="74"/>
      <c r="AW7887" s="74"/>
    </row>
    <row r="7888" spans="46:49" x14ac:dyDescent="0.25">
      <c r="AT7888" s="74"/>
      <c r="AW7888" s="74"/>
    </row>
    <row r="7889" spans="46:49" x14ac:dyDescent="0.25">
      <c r="AT7889" s="74"/>
      <c r="AW7889" s="74"/>
    </row>
    <row r="7890" spans="46:49" x14ac:dyDescent="0.25">
      <c r="AT7890" s="74"/>
      <c r="AW7890" s="74"/>
    </row>
    <row r="7891" spans="46:49" x14ac:dyDescent="0.25">
      <c r="AT7891" s="74"/>
      <c r="AW7891" s="74"/>
    </row>
    <row r="7892" spans="46:49" x14ac:dyDescent="0.25">
      <c r="AT7892" s="74"/>
      <c r="AW7892" s="74"/>
    </row>
    <row r="7893" spans="46:49" x14ac:dyDescent="0.25">
      <c r="AT7893" s="74"/>
      <c r="AW7893" s="74"/>
    </row>
    <row r="7894" spans="46:49" x14ac:dyDescent="0.25">
      <c r="AT7894" s="74"/>
      <c r="AW7894" s="74"/>
    </row>
    <row r="7895" spans="46:49" x14ac:dyDescent="0.25">
      <c r="AT7895" s="74"/>
      <c r="AW7895" s="74"/>
    </row>
    <row r="7896" spans="46:49" x14ac:dyDescent="0.25">
      <c r="AT7896" s="74"/>
      <c r="AW7896" s="74"/>
    </row>
    <row r="7897" spans="46:49" x14ac:dyDescent="0.25">
      <c r="AT7897" s="74"/>
      <c r="AW7897" s="74"/>
    </row>
    <row r="7898" spans="46:49" x14ac:dyDescent="0.25">
      <c r="AT7898" s="74"/>
      <c r="AW7898" s="74"/>
    </row>
    <row r="7899" spans="46:49" x14ac:dyDescent="0.25">
      <c r="AT7899" s="74"/>
      <c r="AW7899" s="74"/>
    </row>
    <row r="7900" spans="46:49" x14ac:dyDescent="0.25">
      <c r="AT7900" s="74"/>
      <c r="AW7900" s="74"/>
    </row>
    <row r="7901" spans="46:49" x14ac:dyDescent="0.25">
      <c r="AT7901" s="74"/>
      <c r="AW7901" s="74"/>
    </row>
    <row r="7902" spans="46:49" x14ac:dyDescent="0.25">
      <c r="AT7902" s="74"/>
      <c r="AW7902" s="74"/>
    </row>
    <row r="7903" spans="46:49" x14ac:dyDescent="0.25">
      <c r="AT7903" s="74"/>
      <c r="AW7903" s="74"/>
    </row>
    <row r="7904" spans="46:49" x14ac:dyDescent="0.25">
      <c r="AT7904" s="74"/>
      <c r="AW7904" s="74"/>
    </row>
    <row r="7905" spans="46:49" x14ac:dyDescent="0.25">
      <c r="AT7905" s="74"/>
      <c r="AW7905" s="74"/>
    </row>
    <row r="7906" spans="46:49" x14ac:dyDescent="0.25">
      <c r="AT7906" s="74"/>
      <c r="AW7906" s="74"/>
    </row>
    <row r="7907" spans="46:49" x14ac:dyDescent="0.25">
      <c r="AT7907" s="74"/>
      <c r="AW7907" s="74"/>
    </row>
    <row r="7908" spans="46:49" x14ac:dyDescent="0.25">
      <c r="AT7908" s="74"/>
      <c r="AW7908" s="74"/>
    </row>
    <row r="7909" spans="46:49" x14ac:dyDescent="0.25">
      <c r="AT7909" s="74"/>
      <c r="AW7909" s="74"/>
    </row>
    <row r="7910" spans="46:49" x14ac:dyDescent="0.25">
      <c r="AT7910" s="74"/>
      <c r="AW7910" s="74"/>
    </row>
    <row r="7911" spans="46:49" x14ac:dyDescent="0.25">
      <c r="AT7911" s="74"/>
      <c r="AW7911" s="74"/>
    </row>
    <row r="7912" spans="46:49" x14ac:dyDescent="0.25">
      <c r="AT7912" s="74"/>
      <c r="AW7912" s="74"/>
    </row>
    <row r="7913" spans="46:49" x14ac:dyDescent="0.25">
      <c r="AT7913" s="74"/>
      <c r="AW7913" s="74"/>
    </row>
    <row r="7914" spans="46:49" x14ac:dyDescent="0.25">
      <c r="AT7914" s="74"/>
      <c r="AW7914" s="74"/>
    </row>
    <row r="7915" spans="46:49" x14ac:dyDescent="0.25">
      <c r="AT7915" s="74"/>
      <c r="AW7915" s="74"/>
    </row>
    <row r="7916" spans="46:49" x14ac:dyDescent="0.25">
      <c r="AT7916" s="74"/>
      <c r="AW7916" s="74"/>
    </row>
    <row r="7917" spans="46:49" x14ac:dyDescent="0.25">
      <c r="AT7917" s="74"/>
      <c r="AW7917" s="74"/>
    </row>
    <row r="7918" spans="46:49" x14ac:dyDescent="0.25">
      <c r="AT7918" s="74"/>
      <c r="AW7918" s="74"/>
    </row>
    <row r="7919" spans="46:49" x14ac:dyDescent="0.25">
      <c r="AT7919" s="74"/>
      <c r="AW7919" s="74"/>
    </row>
    <row r="7920" spans="46:49" x14ac:dyDescent="0.25">
      <c r="AT7920" s="74"/>
      <c r="AW7920" s="74"/>
    </row>
    <row r="7921" spans="46:49" x14ac:dyDescent="0.25">
      <c r="AT7921" s="74"/>
      <c r="AW7921" s="74"/>
    </row>
    <row r="7922" spans="46:49" x14ac:dyDescent="0.25">
      <c r="AT7922" s="74"/>
      <c r="AW7922" s="74"/>
    </row>
    <row r="7923" spans="46:49" x14ac:dyDescent="0.25">
      <c r="AT7923" s="74"/>
      <c r="AW7923" s="74"/>
    </row>
    <row r="7924" spans="46:49" x14ac:dyDescent="0.25">
      <c r="AT7924" s="74"/>
      <c r="AW7924" s="74"/>
    </row>
    <row r="7925" spans="46:49" x14ac:dyDescent="0.25">
      <c r="AT7925" s="74"/>
      <c r="AW7925" s="74"/>
    </row>
    <row r="7926" spans="46:49" x14ac:dyDescent="0.25">
      <c r="AT7926" s="74"/>
      <c r="AW7926" s="74"/>
    </row>
    <row r="7927" spans="46:49" x14ac:dyDescent="0.25">
      <c r="AT7927" s="74"/>
      <c r="AW7927" s="74"/>
    </row>
    <row r="7928" spans="46:49" x14ac:dyDescent="0.25">
      <c r="AT7928" s="74"/>
      <c r="AW7928" s="74"/>
    </row>
    <row r="7929" spans="46:49" x14ac:dyDescent="0.25">
      <c r="AT7929" s="74"/>
      <c r="AW7929" s="74"/>
    </row>
    <row r="7930" spans="46:49" x14ac:dyDescent="0.25">
      <c r="AT7930" s="74"/>
      <c r="AW7930" s="74"/>
    </row>
    <row r="7931" spans="46:49" x14ac:dyDescent="0.25">
      <c r="AT7931" s="74"/>
      <c r="AW7931" s="74"/>
    </row>
    <row r="7932" spans="46:49" x14ac:dyDescent="0.25">
      <c r="AT7932" s="74"/>
      <c r="AW7932" s="74"/>
    </row>
    <row r="7933" spans="46:49" x14ac:dyDescent="0.25">
      <c r="AT7933" s="74"/>
      <c r="AW7933" s="74"/>
    </row>
    <row r="7934" spans="46:49" x14ac:dyDescent="0.25">
      <c r="AT7934" s="74"/>
      <c r="AW7934" s="74"/>
    </row>
    <row r="7935" spans="46:49" x14ac:dyDescent="0.25">
      <c r="AT7935" s="74"/>
      <c r="AW7935" s="74"/>
    </row>
    <row r="7936" spans="46:49" x14ac:dyDescent="0.25">
      <c r="AT7936" s="74"/>
      <c r="AW7936" s="74"/>
    </row>
    <row r="7937" spans="46:49" x14ac:dyDescent="0.25">
      <c r="AT7937" s="74"/>
      <c r="AW7937" s="74"/>
    </row>
    <row r="7938" spans="46:49" x14ac:dyDescent="0.25">
      <c r="AT7938" s="74"/>
      <c r="AW7938" s="74"/>
    </row>
    <row r="7939" spans="46:49" x14ac:dyDescent="0.25">
      <c r="AT7939" s="74"/>
      <c r="AW7939" s="74"/>
    </row>
    <row r="7940" spans="46:49" x14ac:dyDescent="0.25">
      <c r="AT7940" s="74"/>
      <c r="AW7940" s="74"/>
    </row>
    <row r="7941" spans="46:49" x14ac:dyDescent="0.25">
      <c r="AT7941" s="74"/>
      <c r="AW7941" s="74"/>
    </row>
    <row r="7942" spans="46:49" x14ac:dyDescent="0.25">
      <c r="AT7942" s="74"/>
      <c r="AW7942" s="74"/>
    </row>
    <row r="7943" spans="46:49" x14ac:dyDescent="0.25">
      <c r="AT7943" s="74"/>
      <c r="AW7943" s="74"/>
    </row>
    <row r="7944" spans="46:49" x14ac:dyDescent="0.25">
      <c r="AT7944" s="74"/>
      <c r="AW7944" s="74"/>
    </row>
    <row r="7945" spans="46:49" x14ac:dyDescent="0.25">
      <c r="AT7945" s="74"/>
      <c r="AW7945" s="74"/>
    </row>
    <row r="7946" spans="46:49" x14ac:dyDescent="0.25">
      <c r="AT7946" s="74"/>
      <c r="AW7946" s="74"/>
    </row>
    <row r="7947" spans="46:49" x14ac:dyDescent="0.25">
      <c r="AT7947" s="74"/>
      <c r="AW7947" s="74"/>
    </row>
    <row r="7948" spans="46:49" x14ac:dyDescent="0.25">
      <c r="AT7948" s="74"/>
      <c r="AW7948" s="74"/>
    </row>
    <row r="7949" spans="46:49" x14ac:dyDescent="0.25">
      <c r="AT7949" s="74"/>
      <c r="AW7949" s="74"/>
    </row>
    <row r="7950" spans="46:49" x14ac:dyDescent="0.25">
      <c r="AT7950" s="74"/>
      <c r="AW7950" s="74"/>
    </row>
    <row r="7951" spans="46:49" x14ac:dyDescent="0.25">
      <c r="AT7951" s="74"/>
      <c r="AW7951" s="74"/>
    </row>
    <row r="7952" spans="46:49" x14ac:dyDescent="0.25">
      <c r="AT7952" s="74"/>
      <c r="AW7952" s="74"/>
    </row>
    <row r="7953" spans="46:49" x14ac:dyDescent="0.25">
      <c r="AT7953" s="74"/>
      <c r="AW7953" s="74"/>
    </row>
    <row r="7954" spans="46:49" x14ac:dyDescent="0.25">
      <c r="AT7954" s="74"/>
      <c r="AW7954" s="74"/>
    </row>
    <row r="7955" spans="46:49" x14ac:dyDescent="0.25">
      <c r="AT7955" s="74"/>
      <c r="AW7955" s="74"/>
    </row>
    <row r="7956" spans="46:49" x14ac:dyDescent="0.25">
      <c r="AT7956" s="74"/>
      <c r="AW7956" s="74"/>
    </row>
    <row r="7957" spans="46:49" x14ac:dyDescent="0.25">
      <c r="AT7957" s="74"/>
      <c r="AW7957" s="74"/>
    </row>
    <row r="7958" spans="46:49" x14ac:dyDescent="0.25">
      <c r="AT7958" s="74"/>
      <c r="AW7958" s="74"/>
    </row>
    <row r="7959" spans="46:49" x14ac:dyDescent="0.25">
      <c r="AT7959" s="74"/>
      <c r="AW7959" s="74"/>
    </row>
    <row r="7960" spans="46:49" x14ac:dyDescent="0.25">
      <c r="AT7960" s="74"/>
      <c r="AW7960" s="74"/>
    </row>
    <row r="7961" spans="46:49" x14ac:dyDescent="0.25">
      <c r="AT7961" s="74"/>
      <c r="AW7961" s="74"/>
    </row>
    <row r="7962" spans="46:49" x14ac:dyDescent="0.25">
      <c r="AT7962" s="74"/>
      <c r="AW7962" s="74"/>
    </row>
    <row r="7963" spans="46:49" x14ac:dyDescent="0.25">
      <c r="AT7963" s="74"/>
      <c r="AW7963" s="74"/>
    </row>
    <row r="7964" spans="46:49" x14ac:dyDescent="0.25">
      <c r="AT7964" s="74"/>
      <c r="AW7964" s="74"/>
    </row>
    <row r="7965" spans="46:49" x14ac:dyDescent="0.25">
      <c r="AT7965" s="74"/>
      <c r="AW7965" s="74"/>
    </row>
    <row r="7966" spans="46:49" x14ac:dyDescent="0.25">
      <c r="AT7966" s="74"/>
      <c r="AW7966" s="74"/>
    </row>
    <row r="7967" spans="46:49" x14ac:dyDescent="0.25">
      <c r="AT7967" s="74"/>
      <c r="AW7967" s="74"/>
    </row>
    <row r="7968" spans="46:49" x14ac:dyDescent="0.25">
      <c r="AT7968" s="74"/>
      <c r="AW7968" s="74"/>
    </row>
    <row r="7969" spans="46:49" x14ac:dyDescent="0.25">
      <c r="AT7969" s="74"/>
      <c r="AW7969" s="74"/>
    </row>
    <row r="7970" spans="46:49" x14ac:dyDescent="0.25">
      <c r="AT7970" s="74"/>
      <c r="AW7970" s="74"/>
    </row>
    <row r="7971" spans="46:49" x14ac:dyDescent="0.25">
      <c r="AT7971" s="74"/>
      <c r="AW7971" s="74"/>
    </row>
    <row r="7972" spans="46:49" x14ac:dyDescent="0.25">
      <c r="AT7972" s="74"/>
      <c r="AW7972" s="74"/>
    </row>
    <row r="7973" spans="46:49" x14ac:dyDescent="0.25">
      <c r="AT7973" s="74"/>
      <c r="AW7973" s="74"/>
    </row>
    <row r="7974" spans="46:49" x14ac:dyDescent="0.25">
      <c r="AT7974" s="74"/>
      <c r="AW7974" s="74"/>
    </row>
    <row r="7975" spans="46:49" x14ac:dyDescent="0.25">
      <c r="AT7975" s="74"/>
      <c r="AW7975" s="74"/>
    </row>
    <row r="7976" spans="46:49" x14ac:dyDescent="0.25">
      <c r="AT7976" s="74"/>
      <c r="AW7976" s="74"/>
    </row>
    <row r="7977" spans="46:49" x14ac:dyDescent="0.25">
      <c r="AT7977" s="74"/>
      <c r="AW7977" s="74"/>
    </row>
    <row r="7978" spans="46:49" x14ac:dyDescent="0.25">
      <c r="AT7978" s="74"/>
      <c r="AW7978" s="74"/>
    </row>
    <row r="7979" spans="46:49" x14ac:dyDescent="0.25">
      <c r="AT7979" s="74"/>
      <c r="AW7979" s="74"/>
    </row>
    <row r="7980" spans="46:49" x14ac:dyDescent="0.25">
      <c r="AT7980" s="74"/>
      <c r="AW7980" s="74"/>
    </row>
    <row r="7981" spans="46:49" x14ac:dyDescent="0.25">
      <c r="AT7981" s="74"/>
      <c r="AW7981" s="74"/>
    </row>
    <row r="7982" spans="46:49" x14ac:dyDescent="0.25">
      <c r="AT7982" s="74"/>
      <c r="AW7982" s="74"/>
    </row>
    <row r="7983" spans="46:49" x14ac:dyDescent="0.25">
      <c r="AT7983" s="74"/>
      <c r="AW7983" s="74"/>
    </row>
    <row r="7984" spans="46:49" x14ac:dyDescent="0.25">
      <c r="AT7984" s="74"/>
      <c r="AW7984" s="74"/>
    </row>
    <row r="7985" spans="46:49" x14ac:dyDescent="0.25">
      <c r="AT7985" s="74"/>
      <c r="AW7985" s="74"/>
    </row>
    <row r="7986" spans="46:49" x14ac:dyDescent="0.25">
      <c r="AT7986" s="74"/>
      <c r="AW7986" s="74"/>
    </row>
    <row r="7987" spans="46:49" x14ac:dyDescent="0.25">
      <c r="AT7987" s="74"/>
      <c r="AW7987" s="74"/>
    </row>
    <row r="7988" spans="46:49" x14ac:dyDescent="0.25">
      <c r="AT7988" s="74"/>
      <c r="AW7988" s="74"/>
    </row>
    <row r="7989" spans="46:49" x14ac:dyDescent="0.25">
      <c r="AT7989" s="74"/>
      <c r="AW7989" s="74"/>
    </row>
    <row r="7990" spans="46:49" x14ac:dyDescent="0.25">
      <c r="AT7990" s="74"/>
      <c r="AW7990" s="74"/>
    </row>
    <row r="7991" spans="46:49" x14ac:dyDescent="0.25">
      <c r="AT7991" s="74"/>
      <c r="AW7991" s="74"/>
    </row>
    <row r="7992" spans="46:49" x14ac:dyDescent="0.25">
      <c r="AT7992" s="74"/>
      <c r="AW7992" s="74"/>
    </row>
    <row r="7993" spans="46:49" x14ac:dyDescent="0.25">
      <c r="AT7993" s="74"/>
      <c r="AW7993" s="74"/>
    </row>
    <row r="7994" spans="46:49" x14ac:dyDescent="0.25">
      <c r="AT7994" s="74"/>
      <c r="AW7994" s="74"/>
    </row>
    <row r="7995" spans="46:49" x14ac:dyDescent="0.25">
      <c r="AT7995" s="74"/>
      <c r="AW7995" s="74"/>
    </row>
    <row r="7996" spans="46:49" x14ac:dyDescent="0.25">
      <c r="AT7996" s="74"/>
      <c r="AW7996" s="74"/>
    </row>
    <row r="7997" spans="46:49" x14ac:dyDescent="0.25">
      <c r="AT7997" s="74"/>
      <c r="AW7997" s="74"/>
    </row>
    <row r="7998" spans="46:49" x14ac:dyDescent="0.25">
      <c r="AT7998" s="74"/>
      <c r="AW7998" s="74"/>
    </row>
    <row r="7999" spans="46:49" x14ac:dyDescent="0.25">
      <c r="AT7999" s="74"/>
      <c r="AW7999" s="74"/>
    </row>
    <row r="8000" spans="46:49" x14ac:dyDescent="0.25">
      <c r="AT8000" s="74"/>
      <c r="AW8000" s="74"/>
    </row>
    <row r="8001" spans="46:49" x14ac:dyDescent="0.25">
      <c r="AT8001" s="74"/>
      <c r="AW8001" s="74"/>
    </row>
    <row r="8002" spans="46:49" x14ac:dyDescent="0.25">
      <c r="AT8002" s="74"/>
      <c r="AW8002" s="74"/>
    </row>
    <row r="8003" spans="46:49" x14ac:dyDescent="0.25">
      <c r="AT8003" s="74"/>
      <c r="AW8003" s="74"/>
    </row>
    <row r="8004" spans="46:49" x14ac:dyDescent="0.25">
      <c r="AT8004" s="74"/>
      <c r="AW8004" s="74"/>
    </row>
    <row r="8005" spans="46:49" x14ac:dyDescent="0.25">
      <c r="AT8005" s="74"/>
      <c r="AW8005" s="74"/>
    </row>
    <row r="8006" spans="46:49" x14ac:dyDescent="0.25">
      <c r="AT8006" s="74"/>
      <c r="AW8006" s="74"/>
    </row>
    <row r="8007" spans="46:49" x14ac:dyDescent="0.25">
      <c r="AT8007" s="74"/>
      <c r="AW8007" s="74"/>
    </row>
    <row r="8008" spans="46:49" x14ac:dyDescent="0.25">
      <c r="AT8008" s="74"/>
      <c r="AW8008" s="74"/>
    </row>
    <row r="8009" spans="46:49" x14ac:dyDescent="0.25">
      <c r="AT8009" s="74"/>
      <c r="AW8009" s="74"/>
    </row>
    <row r="8010" spans="46:49" x14ac:dyDescent="0.25">
      <c r="AT8010" s="74"/>
      <c r="AW8010" s="74"/>
    </row>
    <row r="8011" spans="46:49" x14ac:dyDescent="0.25">
      <c r="AT8011" s="74"/>
      <c r="AW8011" s="74"/>
    </row>
    <row r="8012" spans="46:49" x14ac:dyDescent="0.25">
      <c r="AT8012" s="74"/>
      <c r="AW8012" s="74"/>
    </row>
    <row r="8013" spans="46:49" x14ac:dyDescent="0.25">
      <c r="AT8013" s="74"/>
      <c r="AW8013" s="74"/>
    </row>
    <row r="8014" spans="46:49" x14ac:dyDescent="0.25">
      <c r="AT8014" s="74"/>
      <c r="AW8014" s="74"/>
    </row>
    <row r="8015" spans="46:49" x14ac:dyDescent="0.25">
      <c r="AT8015" s="74"/>
      <c r="AW8015" s="74"/>
    </row>
    <row r="8016" spans="46:49" x14ac:dyDescent="0.25">
      <c r="AT8016" s="74"/>
      <c r="AW8016" s="74"/>
    </row>
    <row r="8017" spans="46:49" x14ac:dyDescent="0.25">
      <c r="AT8017" s="74"/>
      <c r="AW8017" s="74"/>
    </row>
    <row r="8018" spans="46:49" x14ac:dyDescent="0.25">
      <c r="AT8018" s="74"/>
      <c r="AW8018" s="74"/>
    </row>
    <row r="8019" spans="46:49" x14ac:dyDescent="0.25">
      <c r="AT8019" s="74"/>
      <c r="AW8019" s="74"/>
    </row>
    <row r="8020" spans="46:49" x14ac:dyDescent="0.25">
      <c r="AT8020" s="74"/>
      <c r="AW8020" s="74"/>
    </row>
    <row r="8021" spans="46:49" x14ac:dyDescent="0.25">
      <c r="AT8021" s="74"/>
      <c r="AW8021" s="74"/>
    </row>
    <row r="8022" spans="46:49" x14ac:dyDescent="0.25">
      <c r="AT8022" s="74"/>
      <c r="AW8022" s="74"/>
    </row>
    <row r="8023" spans="46:49" x14ac:dyDescent="0.25">
      <c r="AT8023" s="74"/>
      <c r="AW8023" s="74"/>
    </row>
    <row r="8024" spans="46:49" x14ac:dyDescent="0.25">
      <c r="AT8024" s="74"/>
      <c r="AW8024" s="74"/>
    </row>
    <row r="8025" spans="46:49" x14ac:dyDescent="0.25">
      <c r="AT8025" s="74"/>
      <c r="AW8025" s="74"/>
    </row>
    <row r="8026" spans="46:49" x14ac:dyDescent="0.25">
      <c r="AT8026" s="74"/>
      <c r="AW8026" s="74"/>
    </row>
    <row r="8027" spans="46:49" x14ac:dyDescent="0.25">
      <c r="AT8027" s="74"/>
      <c r="AW8027" s="74"/>
    </row>
    <row r="8028" spans="46:49" x14ac:dyDescent="0.25">
      <c r="AT8028" s="74"/>
      <c r="AW8028" s="74"/>
    </row>
    <row r="8029" spans="46:49" x14ac:dyDescent="0.25">
      <c r="AT8029" s="74"/>
      <c r="AW8029" s="74"/>
    </row>
    <row r="8030" spans="46:49" x14ac:dyDescent="0.25">
      <c r="AT8030" s="74"/>
      <c r="AW8030" s="74"/>
    </row>
    <row r="8031" spans="46:49" x14ac:dyDescent="0.25">
      <c r="AT8031" s="74"/>
      <c r="AW8031" s="74"/>
    </row>
    <row r="8032" spans="46:49" x14ac:dyDescent="0.25">
      <c r="AT8032" s="74"/>
      <c r="AW8032" s="74"/>
    </row>
    <row r="8033" spans="46:49" x14ac:dyDescent="0.25">
      <c r="AT8033" s="74"/>
      <c r="AW8033" s="74"/>
    </row>
    <row r="8034" spans="46:49" x14ac:dyDescent="0.25">
      <c r="AT8034" s="74"/>
      <c r="AW8034" s="74"/>
    </row>
    <row r="8035" spans="46:49" x14ac:dyDescent="0.25">
      <c r="AT8035" s="74"/>
      <c r="AW8035" s="74"/>
    </row>
    <row r="8036" spans="46:49" x14ac:dyDescent="0.25">
      <c r="AT8036" s="74"/>
      <c r="AW8036" s="74"/>
    </row>
    <row r="8037" spans="46:49" x14ac:dyDescent="0.25">
      <c r="AT8037" s="74"/>
      <c r="AW8037" s="74"/>
    </row>
    <row r="8038" spans="46:49" x14ac:dyDescent="0.25">
      <c r="AT8038" s="74"/>
      <c r="AW8038" s="74"/>
    </row>
    <row r="8039" spans="46:49" x14ac:dyDescent="0.25">
      <c r="AT8039" s="74"/>
      <c r="AW8039" s="74"/>
    </row>
    <row r="8040" spans="46:49" x14ac:dyDescent="0.25">
      <c r="AT8040" s="74"/>
      <c r="AW8040" s="74"/>
    </row>
    <row r="8041" spans="46:49" x14ac:dyDescent="0.25">
      <c r="AT8041" s="74"/>
      <c r="AW8041" s="74"/>
    </row>
    <row r="8042" spans="46:49" x14ac:dyDescent="0.25">
      <c r="AT8042" s="74"/>
      <c r="AW8042" s="74"/>
    </row>
    <row r="8043" spans="46:49" x14ac:dyDescent="0.25">
      <c r="AT8043" s="74"/>
      <c r="AW8043" s="74"/>
    </row>
    <row r="8044" spans="46:49" x14ac:dyDescent="0.25">
      <c r="AT8044" s="74"/>
      <c r="AW8044" s="74"/>
    </row>
    <row r="8045" spans="46:49" x14ac:dyDescent="0.25">
      <c r="AT8045" s="74"/>
      <c r="AW8045" s="74"/>
    </row>
    <row r="8046" spans="46:49" x14ac:dyDescent="0.25">
      <c r="AT8046" s="74"/>
      <c r="AW8046" s="74"/>
    </row>
    <row r="8047" spans="46:49" x14ac:dyDescent="0.25">
      <c r="AT8047" s="74"/>
      <c r="AW8047" s="74"/>
    </row>
    <row r="8048" spans="46:49" x14ac:dyDescent="0.25">
      <c r="AT8048" s="74"/>
      <c r="AW8048" s="74"/>
    </row>
    <row r="8049" spans="46:49" x14ac:dyDescent="0.25">
      <c r="AT8049" s="74"/>
      <c r="AW8049" s="74"/>
    </row>
    <row r="8050" spans="46:49" x14ac:dyDescent="0.25">
      <c r="AT8050" s="74"/>
      <c r="AW8050" s="74"/>
    </row>
    <row r="8051" spans="46:49" x14ac:dyDescent="0.25">
      <c r="AT8051" s="74"/>
      <c r="AW8051" s="74"/>
    </row>
    <row r="8052" spans="46:49" x14ac:dyDescent="0.25">
      <c r="AT8052" s="74"/>
      <c r="AW8052" s="74"/>
    </row>
    <row r="8053" spans="46:49" x14ac:dyDescent="0.25">
      <c r="AT8053" s="74"/>
      <c r="AW8053" s="74"/>
    </row>
    <row r="8054" spans="46:49" x14ac:dyDescent="0.25">
      <c r="AT8054" s="74"/>
      <c r="AW8054" s="74"/>
    </row>
    <row r="8055" spans="46:49" x14ac:dyDescent="0.25">
      <c r="AT8055" s="74"/>
      <c r="AW8055" s="74"/>
    </row>
    <row r="8056" spans="46:49" x14ac:dyDescent="0.25">
      <c r="AT8056" s="74"/>
      <c r="AW8056" s="74"/>
    </row>
    <row r="8057" spans="46:49" x14ac:dyDescent="0.25">
      <c r="AT8057" s="74"/>
      <c r="AW8057" s="74"/>
    </row>
    <row r="8058" spans="46:49" x14ac:dyDescent="0.25">
      <c r="AT8058" s="74"/>
      <c r="AW8058" s="74"/>
    </row>
    <row r="8059" spans="46:49" x14ac:dyDescent="0.25">
      <c r="AT8059" s="74"/>
      <c r="AW8059" s="74"/>
    </row>
    <row r="8060" spans="46:49" x14ac:dyDescent="0.25">
      <c r="AT8060" s="74"/>
      <c r="AW8060" s="74"/>
    </row>
    <row r="8061" spans="46:49" x14ac:dyDescent="0.25">
      <c r="AT8061" s="74"/>
      <c r="AW8061" s="74"/>
    </row>
    <row r="8062" spans="46:49" x14ac:dyDescent="0.25">
      <c r="AT8062" s="74"/>
      <c r="AW8062" s="74"/>
    </row>
    <row r="8063" spans="46:49" x14ac:dyDescent="0.25">
      <c r="AT8063" s="74"/>
      <c r="AW8063" s="74"/>
    </row>
    <row r="8064" spans="46:49" x14ac:dyDescent="0.25">
      <c r="AT8064" s="74"/>
      <c r="AW8064" s="74"/>
    </row>
    <row r="8065" spans="46:49" x14ac:dyDescent="0.25">
      <c r="AT8065" s="74"/>
      <c r="AW8065" s="74"/>
    </row>
    <row r="8066" spans="46:49" x14ac:dyDescent="0.25">
      <c r="AT8066" s="74"/>
      <c r="AW8066" s="74"/>
    </row>
    <row r="8067" spans="46:49" x14ac:dyDescent="0.25">
      <c r="AT8067" s="74"/>
      <c r="AW8067" s="74"/>
    </row>
    <row r="8068" spans="46:49" x14ac:dyDescent="0.25">
      <c r="AT8068" s="74"/>
      <c r="AW8068" s="74"/>
    </row>
    <row r="8069" spans="46:49" x14ac:dyDescent="0.25">
      <c r="AT8069" s="74"/>
      <c r="AW8069" s="74"/>
    </row>
    <row r="8070" spans="46:49" x14ac:dyDescent="0.25">
      <c r="AT8070" s="74"/>
      <c r="AW8070" s="74"/>
    </row>
    <row r="8071" spans="46:49" x14ac:dyDescent="0.25">
      <c r="AT8071" s="74"/>
      <c r="AW8071" s="74"/>
    </row>
    <row r="8072" spans="46:49" x14ac:dyDescent="0.25">
      <c r="AT8072" s="74"/>
      <c r="AW8072" s="74"/>
    </row>
    <row r="8073" spans="46:49" x14ac:dyDescent="0.25">
      <c r="AT8073" s="74"/>
      <c r="AW8073" s="74"/>
    </row>
    <row r="8074" spans="46:49" x14ac:dyDescent="0.25">
      <c r="AT8074" s="74"/>
      <c r="AW8074" s="74"/>
    </row>
    <row r="8075" spans="46:49" x14ac:dyDescent="0.25">
      <c r="AT8075" s="74"/>
      <c r="AW8075" s="74"/>
    </row>
    <row r="8076" spans="46:49" x14ac:dyDescent="0.25">
      <c r="AT8076" s="74"/>
      <c r="AW8076" s="74"/>
    </row>
    <row r="8077" spans="46:49" x14ac:dyDescent="0.25">
      <c r="AT8077" s="74"/>
      <c r="AW8077" s="74"/>
    </row>
    <row r="8078" spans="46:49" x14ac:dyDescent="0.25">
      <c r="AT8078" s="74"/>
      <c r="AW8078" s="74"/>
    </row>
    <row r="8079" spans="46:49" x14ac:dyDescent="0.25">
      <c r="AT8079" s="74"/>
      <c r="AW8079" s="74"/>
    </row>
    <row r="8080" spans="46:49" x14ac:dyDescent="0.25">
      <c r="AT8080" s="74"/>
      <c r="AW8080" s="74"/>
    </row>
    <row r="8081" spans="46:49" x14ac:dyDescent="0.25">
      <c r="AT8081" s="74"/>
      <c r="AW8081" s="74"/>
    </row>
    <row r="8082" spans="46:49" x14ac:dyDescent="0.25">
      <c r="AT8082" s="74"/>
      <c r="AW8082" s="74"/>
    </row>
    <row r="8083" spans="46:49" x14ac:dyDescent="0.25">
      <c r="AT8083" s="74"/>
      <c r="AW8083" s="74"/>
    </row>
    <row r="8084" spans="46:49" x14ac:dyDescent="0.25">
      <c r="AT8084" s="74"/>
      <c r="AW8084" s="74"/>
    </row>
    <row r="8085" spans="46:49" x14ac:dyDescent="0.25">
      <c r="AT8085" s="74"/>
      <c r="AW8085" s="74"/>
    </row>
    <row r="8086" spans="46:49" x14ac:dyDescent="0.25">
      <c r="AT8086" s="74"/>
      <c r="AW8086" s="74"/>
    </row>
    <row r="8087" spans="46:49" x14ac:dyDescent="0.25">
      <c r="AT8087" s="74"/>
      <c r="AW8087" s="74"/>
    </row>
    <row r="8088" spans="46:49" x14ac:dyDescent="0.25">
      <c r="AT8088" s="74"/>
      <c r="AW8088" s="74"/>
    </row>
    <row r="8089" spans="46:49" x14ac:dyDescent="0.25">
      <c r="AT8089" s="74"/>
      <c r="AW8089" s="74"/>
    </row>
    <row r="8090" spans="46:49" x14ac:dyDescent="0.25">
      <c r="AT8090" s="74"/>
      <c r="AW8090" s="74"/>
    </row>
    <row r="8091" spans="46:49" x14ac:dyDescent="0.25">
      <c r="AT8091" s="74"/>
      <c r="AW8091" s="74"/>
    </row>
    <row r="8092" spans="46:49" x14ac:dyDescent="0.25">
      <c r="AT8092" s="74"/>
      <c r="AW8092" s="74"/>
    </row>
    <row r="8093" spans="46:49" x14ac:dyDescent="0.25">
      <c r="AT8093" s="74"/>
      <c r="AW8093" s="74"/>
    </row>
    <row r="8094" spans="46:49" x14ac:dyDescent="0.25">
      <c r="AT8094" s="74"/>
      <c r="AW8094" s="74"/>
    </row>
    <row r="8095" spans="46:49" x14ac:dyDescent="0.25">
      <c r="AT8095" s="74"/>
      <c r="AW8095" s="74"/>
    </row>
    <row r="8096" spans="46:49" x14ac:dyDescent="0.25">
      <c r="AT8096" s="74"/>
      <c r="AW8096" s="74"/>
    </row>
    <row r="8097" spans="46:49" x14ac:dyDescent="0.25">
      <c r="AT8097" s="74"/>
      <c r="AW8097" s="74"/>
    </row>
    <row r="8098" spans="46:49" x14ac:dyDescent="0.25">
      <c r="AT8098" s="74"/>
      <c r="AW8098" s="74"/>
    </row>
    <row r="8099" spans="46:49" x14ac:dyDescent="0.25">
      <c r="AT8099" s="74"/>
      <c r="AW8099" s="74"/>
    </row>
    <row r="8100" spans="46:49" x14ac:dyDescent="0.25">
      <c r="AT8100" s="74"/>
      <c r="AW8100" s="74"/>
    </row>
    <row r="8101" spans="46:49" x14ac:dyDescent="0.25">
      <c r="AT8101" s="74"/>
      <c r="AW8101" s="74"/>
    </row>
    <row r="8102" spans="46:49" x14ac:dyDescent="0.25">
      <c r="AT8102" s="74"/>
      <c r="AW8102" s="74"/>
    </row>
    <row r="8103" spans="46:49" x14ac:dyDescent="0.25">
      <c r="AT8103" s="74"/>
      <c r="AW8103" s="74"/>
    </row>
    <row r="8104" spans="46:49" x14ac:dyDescent="0.25">
      <c r="AT8104" s="74"/>
      <c r="AW8104" s="74"/>
    </row>
    <row r="8105" spans="46:49" x14ac:dyDescent="0.25">
      <c r="AT8105" s="74"/>
      <c r="AW8105" s="74"/>
    </row>
    <row r="8106" spans="46:49" x14ac:dyDescent="0.25">
      <c r="AT8106" s="74"/>
      <c r="AW8106" s="74"/>
    </row>
    <row r="8107" spans="46:49" x14ac:dyDescent="0.25">
      <c r="AT8107" s="74"/>
      <c r="AW8107" s="74"/>
    </row>
    <row r="8108" spans="46:49" x14ac:dyDescent="0.25">
      <c r="AT8108" s="74"/>
      <c r="AW8108" s="74"/>
    </row>
    <row r="8109" spans="46:49" x14ac:dyDescent="0.25">
      <c r="AT8109" s="74"/>
      <c r="AW8109" s="74"/>
    </row>
    <row r="8110" spans="46:49" x14ac:dyDescent="0.25">
      <c r="AT8110" s="74"/>
      <c r="AW8110" s="74"/>
    </row>
    <row r="8111" spans="46:49" x14ac:dyDescent="0.25">
      <c r="AT8111" s="74"/>
      <c r="AW8111" s="74"/>
    </row>
    <row r="8112" spans="46:49" x14ac:dyDescent="0.25">
      <c r="AT8112" s="74"/>
      <c r="AW8112" s="74"/>
    </row>
    <row r="8113" spans="46:49" x14ac:dyDescent="0.25">
      <c r="AT8113" s="74"/>
      <c r="AW8113" s="74"/>
    </row>
    <row r="8114" spans="46:49" x14ac:dyDescent="0.25">
      <c r="AT8114" s="74"/>
      <c r="AW8114" s="74"/>
    </row>
    <row r="8115" spans="46:49" x14ac:dyDescent="0.25">
      <c r="AT8115" s="74"/>
      <c r="AW8115" s="74"/>
    </row>
    <row r="8116" spans="46:49" x14ac:dyDescent="0.25">
      <c r="AT8116" s="74"/>
      <c r="AW8116" s="74"/>
    </row>
    <row r="8117" spans="46:49" x14ac:dyDescent="0.25">
      <c r="AT8117" s="74"/>
      <c r="AW8117" s="74"/>
    </row>
    <row r="8118" spans="46:49" x14ac:dyDescent="0.25">
      <c r="AT8118" s="74"/>
      <c r="AW8118" s="74"/>
    </row>
    <row r="8119" spans="46:49" x14ac:dyDescent="0.25">
      <c r="AT8119" s="74"/>
      <c r="AW8119" s="74"/>
    </row>
    <row r="8120" spans="46:49" x14ac:dyDescent="0.25">
      <c r="AT8120" s="74"/>
      <c r="AW8120" s="74"/>
    </row>
    <row r="8121" spans="46:49" x14ac:dyDescent="0.25">
      <c r="AT8121" s="74"/>
      <c r="AW8121" s="74"/>
    </row>
    <row r="8122" spans="46:49" x14ac:dyDescent="0.25">
      <c r="AT8122" s="74"/>
      <c r="AW8122" s="74"/>
    </row>
    <row r="8123" spans="46:49" x14ac:dyDescent="0.25">
      <c r="AT8123" s="74"/>
      <c r="AW8123" s="74"/>
    </row>
    <row r="8124" spans="46:49" x14ac:dyDescent="0.25">
      <c r="AT8124" s="74"/>
      <c r="AW8124" s="74"/>
    </row>
    <row r="8125" spans="46:49" x14ac:dyDescent="0.25">
      <c r="AT8125" s="74"/>
      <c r="AW8125" s="74"/>
    </row>
    <row r="8126" spans="46:49" x14ac:dyDescent="0.25">
      <c r="AT8126" s="74"/>
      <c r="AW8126" s="74"/>
    </row>
    <row r="8127" spans="46:49" x14ac:dyDescent="0.25">
      <c r="AT8127" s="74"/>
      <c r="AW8127" s="74"/>
    </row>
    <row r="8128" spans="46:49" x14ac:dyDescent="0.25">
      <c r="AT8128" s="74"/>
      <c r="AW8128" s="74"/>
    </row>
    <row r="8129" spans="46:49" x14ac:dyDescent="0.25">
      <c r="AT8129" s="74"/>
      <c r="AW8129" s="74"/>
    </row>
    <row r="8130" spans="46:49" x14ac:dyDescent="0.25">
      <c r="AT8130" s="74"/>
      <c r="AW8130" s="74"/>
    </row>
    <row r="8131" spans="46:49" x14ac:dyDescent="0.25">
      <c r="AT8131" s="74"/>
      <c r="AW8131" s="74"/>
    </row>
    <row r="8132" spans="46:49" x14ac:dyDescent="0.25">
      <c r="AT8132" s="74"/>
      <c r="AW8132" s="74"/>
    </row>
    <row r="8133" spans="46:49" x14ac:dyDescent="0.25">
      <c r="AT8133" s="74"/>
      <c r="AW8133" s="74"/>
    </row>
    <row r="8134" spans="46:49" x14ac:dyDescent="0.25">
      <c r="AT8134" s="74"/>
      <c r="AW8134" s="74"/>
    </row>
    <row r="8135" spans="46:49" x14ac:dyDescent="0.25">
      <c r="AT8135" s="74"/>
      <c r="AW8135" s="74"/>
    </row>
    <row r="8136" spans="46:49" x14ac:dyDescent="0.25">
      <c r="AT8136" s="74"/>
      <c r="AW8136" s="74"/>
    </row>
    <row r="8137" spans="46:49" x14ac:dyDescent="0.25">
      <c r="AT8137" s="74"/>
      <c r="AW8137" s="74"/>
    </row>
    <row r="8138" spans="46:49" x14ac:dyDescent="0.25">
      <c r="AT8138" s="74"/>
      <c r="AW8138" s="74"/>
    </row>
    <row r="8139" spans="46:49" x14ac:dyDescent="0.25">
      <c r="AT8139" s="74"/>
      <c r="AW8139" s="74"/>
    </row>
    <row r="8140" spans="46:49" x14ac:dyDescent="0.25">
      <c r="AT8140" s="74"/>
      <c r="AW8140" s="74"/>
    </row>
    <row r="8141" spans="46:49" x14ac:dyDescent="0.25">
      <c r="AT8141" s="74"/>
      <c r="AW8141" s="74"/>
    </row>
    <row r="8142" spans="46:49" x14ac:dyDescent="0.25">
      <c r="AT8142" s="74"/>
      <c r="AW8142" s="74"/>
    </row>
    <row r="8143" spans="46:49" x14ac:dyDescent="0.25">
      <c r="AT8143" s="74"/>
      <c r="AW8143" s="74"/>
    </row>
    <row r="8144" spans="46:49" x14ac:dyDescent="0.25">
      <c r="AT8144" s="74"/>
      <c r="AW8144" s="74"/>
    </row>
    <row r="8145" spans="46:49" x14ac:dyDescent="0.25">
      <c r="AT8145" s="74"/>
      <c r="AW8145" s="74"/>
    </row>
    <row r="8146" spans="46:49" x14ac:dyDescent="0.25">
      <c r="AT8146" s="74"/>
      <c r="AW8146" s="74"/>
    </row>
    <row r="8147" spans="46:49" x14ac:dyDescent="0.25">
      <c r="AT8147" s="74"/>
      <c r="AW8147" s="74"/>
    </row>
    <row r="8148" spans="46:49" x14ac:dyDescent="0.25">
      <c r="AT8148" s="74"/>
      <c r="AW8148" s="74"/>
    </row>
    <row r="8149" spans="46:49" x14ac:dyDescent="0.25">
      <c r="AT8149" s="74"/>
      <c r="AW8149" s="74"/>
    </row>
    <row r="8150" spans="46:49" x14ac:dyDescent="0.25">
      <c r="AT8150" s="74"/>
      <c r="AW8150" s="74"/>
    </row>
    <row r="8151" spans="46:49" x14ac:dyDescent="0.25">
      <c r="AT8151" s="74"/>
      <c r="AW8151" s="74"/>
    </row>
    <row r="8152" spans="46:49" x14ac:dyDescent="0.25">
      <c r="AT8152" s="74"/>
      <c r="AW8152" s="74"/>
    </row>
    <row r="8153" spans="46:49" x14ac:dyDescent="0.25">
      <c r="AT8153" s="74"/>
      <c r="AW8153" s="74"/>
    </row>
    <row r="8154" spans="46:49" x14ac:dyDescent="0.25">
      <c r="AT8154" s="74"/>
      <c r="AW8154" s="74"/>
    </row>
    <row r="8155" spans="46:49" x14ac:dyDescent="0.25">
      <c r="AT8155" s="74"/>
      <c r="AW8155" s="74"/>
    </row>
    <row r="8156" spans="46:49" x14ac:dyDescent="0.25">
      <c r="AT8156" s="74"/>
      <c r="AW8156" s="74"/>
    </row>
    <row r="8157" spans="46:49" x14ac:dyDescent="0.25">
      <c r="AT8157" s="74"/>
      <c r="AW8157" s="74"/>
    </row>
    <row r="8158" spans="46:49" x14ac:dyDescent="0.25">
      <c r="AT8158" s="74"/>
      <c r="AW8158" s="74"/>
    </row>
    <row r="8159" spans="46:49" x14ac:dyDescent="0.25">
      <c r="AT8159" s="74"/>
      <c r="AW8159" s="74"/>
    </row>
    <row r="8160" spans="46:49" x14ac:dyDescent="0.25">
      <c r="AT8160" s="74"/>
      <c r="AW8160" s="74"/>
    </row>
    <row r="8161" spans="46:49" x14ac:dyDescent="0.25">
      <c r="AT8161" s="74"/>
      <c r="AW8161" s="74"/>
    </row>
    <row r="8162" spans="46:49" x14ac:dyDescent="0.25">
      <c r="AT8162" s="74"/>
      <c r="AW8162" s="74"/>
    </row>
    <row r="8163" spans="46:49" x14ac:dyDescent="0.25">
      <c r="AT8163" s="74"/>
      <c r="AW8163" s="74"/>
    </row>
    <row r="8164" spans="46:49" x14ac:dyDescent="0.25">
      <c r="AT8164" s="74"/>
      <c r="AW8164" s="74"/>
    </row>
    <row r="8165" spans="46:49" x14ac:dyDescent="0.25">
      <c r="AT8165" s="74"/>
      <c r="AW8165" s="74"/>
    </row>
    <row r="8166" spans="46:49" x14ac:dyDescent="0.25">
      <c r="AT8166" s="74"/>
      <c r="AW8166" s="74"/>
    </row>
    <row r="8167" spans="46:49" x14ac:dyDescent="0.25">
      <c r="AT8167" s="74"/>
      <c r="AW8167" s="74"/>
    </row>
    <row r="8168" spans="46:49" x14ac:dyDescent="0.25">
      <c r="AT8168" s="74"/>
      <c r="AW8168" s="74"/>
    </row>
    <row r="8169" spans="46:49" x14ac:dyDescent="0.25">
      <c r="AT8169" s="74"/>
      <c r="AW8169" s="74"/>
    </row>
    <row r="8170" spans="46:49" x14ac:dyDescent="0.25">
      <c r="AT8170" s="74"/>
      <c r="AW8170" s="74"/>
    </row>
    <row r="8171" spans="46:49" x14ac:dyDescent="0.25">
      <c r="AT8171" s="74"/>
      <c r="AW8171" s="74"/>
    </row>
    <row r="8172" spans="46:49" x14ac:dyDescent="0.25">
      <c r="AT8172" s="74"/>
      <c r="AW8172" s="74"/>
    </row>
    <row r="8173" spans="46:49" x14ac:dyDescent="0.25">
      <c r="AT8173" s="74"/>
      <c r="AW8173" s="74"/>
    </row>
    <row r="8174" spans="46:49" x14ac:dyDescent="0.25">
      <c r="AT8174" s="74"/>
      <c r="AW8174" s="74"/>
    </row>
    <row r="8175" spans="46:49" x14ac:dyDescent="0.25">
      <c r="AT8175" s="74"/>
      <c r="AW8175" s="74"/>
    </row>
    <row r="8176" spans="46:49" x14ac:dyDescent="0.25">
      <c r="AT8176" s="74"/>
      <c r="AW8176" s="74"/>
    </row>
    <row r="8177" spans="46:49" x14ac:dyDescent="0.25">
      <c r="AT8177" s="74"/>
      <c r="AW8177" s="74"/>
    </row>
    <row r="8178" spans="46:49" x14ac:dyDescent="0.25">
      <c r="AT8178" s="74"/>
      <c r="AW8178" s="74"/>
    </row>
    <row r="8179" spans="46:49" x14ac:dyDescent="0.25">
      <c r="AT8179" s="74"/>
      <c r="AW8179" s="74"/>
    </row>
    <row r="8180" spans="46:49" x14ac:dyDescent="0.25">
      <c r="AT8180" s="74"/>
      <c r="AW8180" s="74"/>
    </row>
    <row r="8181" spans="46:49" x14ac:dyDescent="0.25">
      <c r="AT8181" s="74"/>
      <c r="AW8181" s="74"/>
    </row>
    <row r="8182" spans="46:49" x14ac:dyDescent="0.25">
      <c r="AT8182" s="74"/>
      <c r="AW8182" s="74"/>
    </row>
    <row r="8183" spans="46:49" x14ac:dyDescent="0.25">
      <c r="AT8183" s="74"/>
      <c r="AW8183" s="74"/>
    </row>
    <row r="8184" spans="46:49" x14ac:dyDescent="0.25">
      <c r="AT8184" s="74"/>
      <c r="AW8184" s="74"/>
    </row>
    <row r="8185" spans="46:49" x14ac:dyDescent="0.25">
      <c r="AT8185" s="74"/>
      <c r="AW8185" s="74"/>
    </row>
    <row r="8186" spans="46:49" x14ac:dyDescent="0.25">
      <c r="AT8186" s="74"/>
      <c r="AW8186" s="74"/>
    </row>
    <row r="8187" spans="46:49" x14ac:dyDescent="0.25">
      <c r="AT8187" s="74"/>
      <c r="AW8187" s="74"/>
    </row>
    <row r="8188" spans="46:49" x14ac:dyDescent="0.25">
      <c r="AT8188" s="74"/>
      <c r="AW8188" s="74"/>
    </row>
    <row r="8189" spans="46:49" x14ac:dyDescent="0.25">
      <c r="AT8189" s="74"/>
      <c r="AW8189" s="74"/>
    </row>
    <row r="8190" spans="46:49" x14ac:dyDescent="0.25">
      <c r="AT8190" s="74"/>
      <c r="AW8190" s="74"/>
    </row>
    <row r="8191" spans="46:49" x14ac:dyDescent="0.25">
      <c r="AT8191" s="74"/>
      <c r="AW8191" s="74"/>
    </row>
    <row r="8192" spans="46:49" x14ac:dyDescent="0.25">
      <c r="AT8192" s="74"/>
      <c r="AW8192" s="74"/>
    </row>
    <row r="8193" spans="46:49" x14ac:dyDescent="0.25">
      <c r="AT8193" s="74"/>
      <c r="AW8193" s="74"/>
    </row>
    <row r="8194" spans="46:49" x14ac:dyDescent="0.25">
      <c r="AT8194" s="74"/>
      <c r="AW8194" s="74"/>
    </row>
    <row r="8195" spans="46:49" x14ac:dyDescent="0.25">
      <c r="AT8195" s="74"/>
      <c r="AW8195" s="74"/>
    </row>
    <row r="8196" spans="46:49" x14ac:dyDescent="0.25">
      <c r="AT8196" s="74"/>
      <c r="AW8196" s="74"/>
    </row>
    <row r="8197" spans="46:49" x14ac:dyDescent="0.25">
      <c r="AT8197" s="74"/>
      <c r="AW8197" s="74"/>
    </row>
    <row r="8198" spans="46:49" x14ac:dyDescent="0.25">
      <c r="AT8198" s="74"/>
      <c r="AW8198" s="74"/>
    </row>
    <row r="8199" spans="46:49" x14ac:dyDescent="0.25">
      <c r="AT8199" s="74"/>
      <c r="AW8199" s="74"/>
    </row>
    <row r="8200" spans="46:49" x14ac:dyDescent="0.25">
      <c r="AT8200" s="74"/>
      <c r="AW8200" s="74"/>
    </row>
    <row r="8201" spans="46:49" x14ac:dyDescent="0.25">
      <c r="AT8201" s="74"/>
      <c r="AW8201" s="74"/>
    </row>
    <row r="8202" spans="46:49" x14ac:dyDescent="0.25">
      <c r="AT8202" s="74"/>
      <c r="AW8202" s="74"/>
    </row>
    <row r="8203" spans="46:49" x14ac:dyDescent="0.25">
      <c r="AT8203" s="74"/>
      <c r="AW8203" s="74"/>
    </row>
    <row r="8204" spans="46:49" x14ac:dyDescent="0.25">
      <c r="AT8204" s="74"/>
      <c r="AW8204" s="74"/>
    </row>
    <row r="8205" spans="46:49" x14ac:dyDescent="0.25">
      <c r="AT8205" s="74"/>
      <c r="AW8205" s="74"/>
    </row>
    <row r="8206" spans="46:49" x14ac:dyDescent="0.25">
      <c r="AT8206" s="74"/>
      <c r="AW8206" s="74"/>
    </row>
    <row r="8207" spans="46:49" x14ac:dyDescent="0.25">
      <c r="AT8207" s="74"/>
      <c r="AW8207" s="74"/>
    </row>
    <row r="8208" spans="46:49" x14ac:dyDescent="0.25">
      <c r="AT8208" s="74"/>
      <c r="AW8208" s="74"/>
    </row>
    <row r="8209" spans="46:49" x14ac:dyDescent="0.25">
      <c r="AT8209" s="74"/>
      <c r="AW8209" s="74"/>
    </row>
    <row r="8210" spans="46:49" x14ac:dyDescent="0.25">
      <c r="AT8210" s="74"/>
      <c r="AW8210" s="74"/>
    </row>
    <row r="8211" spans="46:49" x14ac:dyDescent="0.25">
      <c r="AT8211" s="74"/>
      <c r="AW8211" s="74"/>
    </row>
    <row r="8212" spans="46:49" x14ac:dyDescent="0.25">
      <c r="AT8212" s="74"/>
      <c r="AW8212" s="74"/>
    </row>
    <row r="8213" spans="46:49" x14ac:dyDescent="0.25">
      <c r="AT8213" s="74"/>
      <c r="AW8213" s="74"/>
    </row>
    <row r="8214" spans="46:49" x14ac:dyDescent="0.25">
      <c r="AT8214" s="74"/>
      <c r="AW8214" s="74"/>
    </row>
    <row r="8215" spans="46:49" x14ac:dyDescent="0.25">
      <c r="AT8215" s="74"/>
      <c r="AW8215" s="74"/>
    </row>
    <row r="8216" spans="46:49" x14ac:dyDescent="0.25">
      <c r="AT8216" s="74"/>
      <c r="AW8216" s="74"/>
    </row>
    <row r="8217" spans="46:49" x14ac:dyDescent="0.25">
      <c r="AT8217" s="74"/>
      <c r="AW8217" s="74"/>
    </row>
    <row r="8218" spans="46:49" x14ac:dyDescent="0.25">
      <c r="AT8218" s="74"/>
      <c r="AW8218" s="74"/>
    </row>
    <row r="8219" spans="46:49" x14ac:dyDescent="0.25">
      <c r="AT8219" s="74"/>
      <c r="AW8219" s="74"/>
    </row>
    <row r="8220" spans="46:49" x14ac:dyDescent="0.25">
      <c r="AT8220" s="74"/>
      <c r="AW8220" s="74"/>
    </row>
    <row r="8221" spans="46:49" x14ac:dyDescent="0.25">
      <c r="AT8221" s="74"/>
      <c r="AW8221" s="74"/>
    </row>
    <row r="8222" spans="46:49" x14ac:dyDescent="0.25">
      <c r="AT8222" s="74"/>
      <c r="AW8222" s="74"/>
    </row>
    <row r="8223" spans="46:49" x14ac:dyDescent="0.25">
      <c r="AT8223" s="74"/>
      <c r="AW8223" s="74"/>
    </row>
    <row r="8224" spans="46:49" x14ac:dyDescent="0.25">
      <c r="AT8224" s="74"/>
      <c r="AW8224" s="74"/>
    </row>
    <row r="8225" spans="46:49" x14ac:dyDescent="0.25">
      <c r="AT8225" s="74"/>
      <c r="AW8225" s="74"/>
    </row>
    <row r="8226" spans="46:49" x14ac:dyDescent="0.25">
      <c r="AT8226" s="74"/>
      <c r="AW8226" s="74"/>
    </row>
    <row r="8227" spans="46:49" x14ac:dyDescent="0.25">
      <c r="AT8227" s="74"/>
      <c r="AW8227" s="74"/>
    </row>
    <row r="8228" spans="46:49" x14ac:dyDescent="0.25">
      <c r="AT8228" s="74"/>
      <c r="AW8228" s="74"/>
    </row>
    <row r="8229" spans="46:49" x14ac:dyDescent="0.25">
      <c r="AT8229" s="74"/>
      <c r="AW8229" s="74"/>
    </row>
    <row r="8230" spans="46:49" x14ac:dyDescent="0.25">
      <c r="AT8230" s="74"/>
      <c r="AW8230" s="74"/>
    </row>
    <row r="8231" spans="46:49" x14ac:dyDescent="0.25">
      <c r="AT8231" s="74"/>
      <c r="AW8231" s="74"/>
    </row>
    <row r="8232" spans="46:49" x14ac:dyDescent="0.25">
      <c r="AT8232" s="74"/>
      <c r="AW8232" s="74"/>
    </row>
    <row r="8233" spans="46:49" x14ac:dyDescent="0.25">
      <c r="AT8233" s="74"/>
      <c r="AW8233" s="74"/>
    </row>
    <row r="8234" spans="46:49" x14ac:dyDescent="0.25">
      <c r="AT8234" s="74"/>
      <c r="AW8234" s="74"/>
    </row>
    <row r="8235" spans="46:49" x14ac:dyDescent="0.25">
      <c r="AT8235" s="74"/>
      <c r="AW8235" s="74"/>
    </row>
    <row r="8236" spans="46:49" x14ac:dyDescent="0.25">
      <c r="AT8236" s="74"/>
      <c r="AW8236" s="74"/>
    </row>
    <row r="8237" spans="46:49" x14ac:dyDescent="0.25">
      <c r="AT8237" s="74"/>
      <c r="AW8237" s="74"/>
    </row>
    <row r="8238" spans="46:49" x14ac:dyDescent="0.25">
      <c r="AT8238" s="74"/>
      <c r="AW8238" s="74"/>
    </row>
    <row r="8239" spans="46:49" x14ac:dyDescent="0.25">
      <c r="AT8239" s="74"/>
      <c r="AW8239" s="74"/>
    </row>
    <row r="8240" spans="46:49" x14ac:dyDescent="0.25">
      <c r="AT8240" s="74"/>
      <c r="AW8240" s="74"/>
    </row>
    <row r="8241" spans="46:49" x14ac:dyDescent="0.25">
      <c r="AT8241" s="74"/>
      <c r="AW8241" s="74"/>
    </row>
    <row r="8242" spans="46:49" x14ac:dyDescent="0.25">
      <c r="AT8242" s="74"/>
      <c r="AW8242" s="74"/>
    </row>
    <row r="8243" spans="46:49" x14ac:dyDescent="0.25">
      <c r="AT8243" s="74"/>
      <c r="AW8243" s="74"/>
    </row>
    <row r="8244" spans="46:49" x14ac:dyDescent="0.25">
      <c r="AT8244" s="74"/>
      <c r="AW8244" s="74"/>
    </row>
    <row r="8245" spans="46:49" x14ac:dyDescent="0.25">
      <c r="AT8245" s="74"/>
      <c r="AW8245" s="74"/>
    </row>
    <row r="8246" spans="46:49" x14ac:dyDescent="0.25">
      <c r="AT8246" s="74"/>
      <c r="AW8246" s="74"/>
    </row>
    <row r="8247" spans="46:49" x14ac:dyDescent="0.25">
      <c r="AT8247" s="74"/>
      <c r="AW8247" s="74"/>
    </row>
    <row r="8248" spans="46:49" x14ac:dyDescent="0.25">
      <c r="AT8248" s="74"/>
      <c r="AW8248" s="74"/>
    </row>
    <row r="8249" spans="46:49" x14ac:dyDescent="0.25">
      <c r="AT8249" s="74"/>
      <c r="AW8249" s="74"/>
    </row>
    <row r="8250" spans="46:49" x14ac:dyDescent="0.25">
      <c r="AT8250" s="74"/>
      <c r="AW8250" s="74"/>
    </row>
    <row r="8251" spans="46:49" x14ac:dyDescent="0.25">
      <c r="AT8251" s="74"/>
      <c r="AW8251" s="74"/>
    </row>
    <row r="8252" spans="46:49" x14ac:dyDescent="0.25">
      <c r="AT8252" s="74"/>
      <c r="AW8252" s="74"/>
    </row>
    <row r="8253" spans="46:49" x14ac:dyDescent="0.25">
      <c r="AT8253" s="74"/>
      <c r="AW8253" s="74"/>
    </row>
    <row r="8254" spans="46:49" x14ac:dyDescent="0.25">
      <c r="AT8254" s="74"/>
      <c r="AW8254" s="74"/>
    </row>
    <row r="8255" spans="46:49" x14ac:dyDescent="0.25">
      <c r="AT8255" s="74"/>
      <c r="AW8255" s="74"/>
    </row>
    <row r="8256" spans="46:49" x14ac:dyDescent="0.25">
      <c r="AT8256" s="74"/>
      <c r="AW8256" s="74"/>
    </row>
    <row r="8257" spans="46:49" x14ac:dyDescent="0.25">
      <c r="AT8257" s="74"/>
      <c r="AW8257" s="74"/>
    </row>
    <row r="8258" spans="46:49" x14ac:dyDescent="0.25">
      <c r="AT8258" s="74"/>
      <c r="AW8258" s="74"/>
    </row>
    <row r="8259" spans="46:49" x14ac:dyDescent="0.25">
      <c r="AT8259" s="74"/>
      <c r="AW8259" s="74"/>
    </row>
    <row r="8260" spans="46:49" x14ac:dyDescent="0.25">
      <c r="AT8260" s="74"/>
      <c r="AW8260" s="74"/>
    </row>
    <row r="8261" spans="46:49" x14ac:dyDescent="0.25">
      <c r="AT8261" s="74"/>
      <c r="AW8261" s="74"/>
    </row>
    <row r="8262" spans="46:49" x14ac:dyDescent="0.25">
      <c r="AT8262" s="74"/>
      <c r="AW8262" s="74"/>
    </row>
    <row r="8263" spans="46:49" x14ac:dyDescent="0.25">
      <c r="AT8263" s="74"/>
      <c r="AW8263" s="74"/>
    </row>
    <row r="8264" spans="46:49" x14ac:dyDescent="0.25">
      <c r="AT8264" s="74"/>
      <c r="AW8264" s="74"/>
    </row>
    <row r="8265" spans="46:49" x14ac:dyDescent="0.25">
      <c r="AT8265" s="74"/>
      <c r="AW8265" s="74"/>
    </row>
    <row r="8266" spans="46:49" x14ac:dyDescent="0.25">
      <c r="AT8266" s="74"/>
      <c r="AW8266" s="74"/>
    </row>
    <row r="8267" spans="46:49" x14ac:dyDescent="0.25">
      <c r="AT8267" s="74"/>
      <c r="AW8267" s="74"/>
    </row>
    <row r="8268" spans="46:49" x14ac:dyDescent="0.25">
      <c r="AT8268" s="74"/>
      <c r="AW8268" s="74"/>
    </row>
    <row r="8269" spans="46:49" x14ac:dyDescent="0.25">
      <c r="AT8269" s="74"/>
      <c r="AW8269" s="74"/>
    </row>
    <row r="8270" spans="46:49" x14ac:dyDescent="0.25">
      <c r="AT8270" s="74"/>
      <c r="AW8270" s="74"/>
    </row>
    <row r="8271" spans="46:49" x14ac:dyDescent="0.25">
      <c r="AT8271" s="74"/>
      <c r="AW8271" s="74"/>
    </row>
    <row r="8272" spans="46:49" x14ac:dyDescent="0.25">
      <c r="AT8272" s="74"/>
      <c r="AW8272" s="74"/>
    </row>
    <row r="8273" spans="46:49" x14ac:dyDescent="0.25">
      <c r="AT8273" s="74"/>
      <c r="AW8273" s="74"/>
    </row>
    <row r="8274" spans="46:49" x14ac:dyDescent="0.25">
      <c r="AT8274" s="74"/>
      <c r="AW8274" s="74"/>
    </row>
    <row r="8275" spans="46:49" x14ac:dyDescent="0.25">
      <c r="AT8275" s="74"/>
      <c r="AW8275" s="74"/>
    </row>
    <row r="8276" spans="46:49" x14ac:dyDescent="0.25">
      <c r="AT8276" s="74"/>
      <c r="AW8276" s="74"/>
    </row>
    <row r="8277" spans="46:49" x14ac:dyDescent="0.25">
      <c r="AT8277" s="74"/>
      <c r="AW8277" s="74"/>
    </row>
    <row r="8278" spans="46:49" x14ac:dyDescent="0.25">
      <c r="AT8278" s="74"/>
      <c r="AW8278" s="74"/>
    </row>
    <row r="8279" spans="46:49" x14ac:dyDescent="0.25">
      <c r="AT8279" s="74"/>
      <c r="AW8279" s="74"/>
    </row>
    <row r="8280" spans="46:49" x14ac:dyDescent="0.25">
      <c r="AT8280" s="74"/>
      <c r="AW8280" s="74"/>
    </row>
    <row r="8281" spans="46:49" x14ac:dyDescent="0.25">
      <c r="AT8281" s="74"/>
      <c r="AW8281" s="74"/>
    </row>
    <row r="8282" spans="46:49" x14ac:dyDescent="0.25">
      <c r="AT8282" s="74"/>
      <c r="AW8282" s="74"/>
    </row>
    <row r="8283" spans="46:49" x14ac:dyDescent="0.25">
      <c r="AT8283" s="74"/>
      <c r="AW8283" s="74"/>
    </row>
    <row r="8284" spans="46:49" x14ac:dyDescent="0.25">
      <c r="AT8284" s="74"/>
      <c r="AW8284" s="74"/>
    </row>
    <row r="8285" spans="46:49" x14ac:dyDescent="0.25">
      <c r="AT8285" s="74"/>
      <c r="AW8285" s="74"/>
    </row>
    <row r="8286" spans="46:49" x14ac:dyDescent="0.25">
      <c r="AT8286" s="74"/>
      <c r="AW8286" s="74"/>
    </row>
    <row r="8287" spans="46:49" x14ac:dyDescent="0.25">
      <c r="AT8287" s="74"/>
      <c r="AW8287" s="74"/>
    </row>
    <row r="8288" spans="46:49" x14ac:dyDescent="0.25">
      <c r="AT8288" s="74"/>
      <c r="AW8288" s="74"/>
    </row>
    <row r="8289" spans="46:49" x14ac:dyDescent="0.25">
      <c r="AT8289" s="74"/>
      <c r="AW8289" s="74"/>
    </row>
    <row r="8290" spans="46:49" x14ac:dyDescent="0.25">
      <c r="AT8290" s="74"/>
      <c r="AW8290" s="74"/>
    </row>
    <row r="8291" spans="46:49" x14ac:dyDescent="0.25">
      <c r="AT8291" s="74"/>
      <c r="AW8291" s="74"/>
    </row>
    <row r="8292" spans="46:49" x14ac:dyDescent="0.25">
      <c r="AT8292" s="74"/>
      <c r="AW8292" s="74"/>
    </row>
    <row r="8293" spans="46:49" x14ac:dyDescent="0.25">
      <c r="AT8293" s="74"/>
      <c r="AW8293" s="74"/>
    </row>
    <row r="8294" spans="46:49" x14ac:dyDescent="0.25">
      <c r="AT8294" s="74"/>
      <c r="AW8294" s="74"/>
    </row>
    <row r="8295" spans="46:49" x14ac:dyDescent="0.25">
      <c r="AT8295" s="74"/>
      <c r="AW8295" s="74"/>
    </row>
    <row r="8296" spans="46:49" x14ac:dyDescent="0.25">
      <c r="AT8296" s="74"/>
      <c r="AW8296" s="74"/>
    </row>
    <row r="8297" spans="46:49" x14ac:dyDescent="0.25">
      <c r="AT8297" s="74"/>
      <c r="AW8297" s="74"/>
    </row>
    <row r="8298" spans="46:49" x14ac:dyDescent="0.25">
      <c r="AT8298" s="74"/>
      <c r="AW8298" s="74"/>
    </row>
    <row r="8299" spans="46:49" x14ac:dyDescent="0.25">
      <c r="AT8299" s="74"/>
      <c r="AW8299" s="74"/>
    </row>
    <row r="8300" spans="46:49" x14ac:dyDescent="0.25">
      <c r="AT8300" s="74"/>
      <c r="AW8300" s="74"/>
    </row>
    <row r="8301" spans="46:49" x14ac:dyDescent="0.25">
      <c r="AT8301" s="74"/>
      <c r="AW8301" s="74"/>
    </row>
    <row r="8302" spans="46:49" x14ac:dyDescent="0.25">
      <c r="AT8302" s="74"/>
      <c r="AW8302" s="74"/>
    </row>
    <row r="8303" spans="46:49" x14ac:dyDescent="0.25">
      <c r="AT8303" s="74"/>
      <c r="AW8303" s="74"/>
    </row>
    <row r="8304" spans="46:49" x14ac:dyDescent="0.25">
      <c r="AT8304" s="74"/>
      <c r="AW8304" s="74"/>
    </row>
    <row r="8305" spans="46:49" x14ac:dyDescent="0.25">
      <c r="AT8305" s="74"/>
      <c r="AW8305" s="74"/>
    </row>
    <row r="8306" spans="46:49" x14ac:dyDescent="0.25">
      <c r="AT8306" s="74"/>
      <c r="AW8306" s="74"/>
    </row>
    <row r="8307" spans="46:49" x14ac:dyDescent="0.25">
      <c r="AT8307" s="74"/>
      <c r="AW8307" s="74"/>
    </row>
    <row r="8308" spans="46:49" x14ac:dyDescent="0.25">
      <c r="AT8308" s="74"/>
      <c r="AW8308" s="74"/>
    </row>
    <row r="8309" spans="46:49" x14ac:dyDescent="0.25">
      <c r="AT8309" s="74"/>
      <c r="AW8309" s="74"/>
    </row>
    <row r="8310" spans="46:49" x14ac:dyDescent="0.25">
      <c r="AT8310" s="74"/>
      <c r="AW8310" s="74"/>
    </row>
    <row r="8311" spans="46:49" x14ac:dyDescent="0.25">
      <c r="AT8311" s="74"/>
      <c r="AW8311" s="74"/>
    </row>
    <row r="8312" spans="46:49" x14ac:dyDescent="0.25">
      <c r="AT8312" s="74"/>
      <c r="AW8312" s="74"/>
    </row>
    <row r="8313" spans="46:49" x14ac:dyDescent="0.25">
      <c r="AT8313" s="74"/>
      <c r="AW8313" s="74"/>
    </row>
    <row r="8314" spans="46:49" x14ac:dyDescent="0.25">
      <c r="AT8314" s="74"/>
      <c r="AW8314" s="74"/>
    </row>
    <row r="8315" spans="46:49" x14ac:dyDescent="0.25">
      <c r="AT8315" s="74"/>
      <c r="AW8315" s="74"/>
    </row>
    <row r="8316" spans="46:49" x14ac:dyDescent="0.25">
      <c r="AT8316" s="74"/>
      <c r="AW8316" s="74"/>
    </row>
    <row r="8317" spans="46:49" x14ac:dyDescent="0.25">
      <c r="AT8317" s="74"/>
      <c r="AW8317" s="74"/>
    </row>
    <row r="8318" spans="46:49" x14ac:dyDescent="0.25">
      <c r="AT8318" s="74"/>
      <c r="AW8318" s="74"/>
    </row>
    <row r="8319" spans="46:49" x14ac:dyDescent="0.25">
      <c r="AT8319" s="74"/>
      <c r="AW8319" s="74"/>
    </row>
    <row r="8320" spans="46:49" x14ac:dyDescent="0.25">
      <c r="AT8320" s="74"/>
      <c r="AW8320" s="74"/>
    </row>
    <row r="8321" spans="46:49" x14ac:dyDescent="0.25">
      <c r="AT8321" s="74"/>
      <c r="AW8321" s="74"/>
    </row>
    <row r="8322" spans="46:49" x14ac:dyDescent="0.25">
      <c r="AT8322" s="74"/>
      <c r="AW8322" s="74"/>
    </row>
    <row r="8323" spans="46:49" x14ac:dyDescent="0.25">
      <c r="AT8323" s="74"/>
      <c r="AW8323" s="74"/>
    </row>
    <row r="8324" spans="46:49" x14ac:dyDescent="0.25">
      <c r="AT8324" s="74"/>
      <c r="AW8324" s="74"/>
    </row>
    <row r="8325" spans="46:49" x14ac:dyDescent="0.25">
      <c r="AT8325" s="74"/>
      <c r="AW8325" s="74"/>
    </row>
    <row r="8326" spans="46:49" x14ac:dyDescent="0.25">
      <c r="AT8326" s="74"/>
      <c r="AW8326" s="74"/>
    </row>
    <row r="8327" spans="46:49" x14ac:dyDescent="0.25">
      <c r="AT8327" s="74"/>
      <c r="AW8327" s="74"/>
    </row>
    <row r="8328" spans="46:49" x14ac:dyDescent="0.25">
      <c r="AT8328" s="74"/>
      <c r="AW8328" s="74"/>
    </row>
    <row r="8329" spans="46:49" x14ac:dyDescent="0.25">
      <c r="AT8329" s="74"/>
      <c r="AW8329" s="74"/>
    </row>
    <row r="8330" spans="46:49" x14ac:dyDescent="0.25">
      <c r="AT8330" s="74"/>
      <c r="AW8330" s="74"/>
    </row>
    <row r="8331" spans="46:49" x14ac:dyDescent="0.25">
      <c r="AT8331" s="74"/>
      <c r="AW8331" s="74"/>
    </row>
    <row r="8332" spans="46:49" x14ac:dyDescent="0.25">
      <c r="AT8332" s="74"/>
      <c r="AW8332" s="74"/>
    </row>
    <row r="8333" spans="46:49" x14ac:dyDescent="0.25">
      <c r="AT8333" s="74"/>
      <c r="AW8333" s="74"/>
    </row>
    <row r="8334" spans="46:49" x14ac:dyDescent="0.25">
      <c r="AT8334" s="74"/>
      <c r="AW8334" s="74"/>
    </row>
    <row r="8335" spans="46:49" x14ac:dyDescent="0.25">
      <c r="AT8335" s="74"/>
      <c r="AW8335" s="74"/>
    </row>
    <row r="8336" spans="46:49" x14ac:dyDescent="0.25">
      <c r="AT8336" s="74"/>
      <c r="AW8336" s="74"/>
    </row>
    <row r="8337" spans="46:49" x14ac:dyDescent="0.25">
      <c r="AT8337" s="74"/>
      <c r="AW8337" s="74"/>
    </row>
    <row r="8338" spans="46:49" x14ac:dyDescent="0.25">
      <c r="AT8338" s="74"/>
      <c r="AW8338" s="74"/>
    </row>
    <row r="8339" spans="46:49" x14ac:dyDescent="0.25">
      <c r="AT8339" s="74"/>
      <c r="AW8339" s="74"/>
    </row>
    <row r="8340" spans="46:49" x14ac:dyDescent="0.25">
      <c r="AT8340" s="74"/>
      <c r="AW8340" s="74"/>
    </row>
    <row r="8341" spans="46:49" x14ac:dyDescent="0.25">
      <c r="AT8341" s="74"/>
      <c r="AW8341" s="74"/>
    </row>
    <row r="8342" spans="46:49" x14ac:dyDescent="0.25">
      <c r="AT8342" s="74"/>
      <c r="AW8342" s="74"/>
    </row>
    <row r="8343" spans="46:49" x14ac:dyDescent="0.25">
      <c r="AT8343" s="74"/>
      <c r="AW8343" s="74"/>
    </row>
    <row r="8344" spans="46:49" x14ac:dyDescent="0.25">
      <c r="AT8344" s="74"/>
      <c r="AW8344" s="74"/>
    </row>
    <row r="8345" spans="46:49" x14ac:dyDescent="0.25">
      <c r="AT8345" s="74"/>
      <c r="AW8345" s="74"/>
    </row>
    <row r="8346" spans="46:49" x14ac:dyDescent="0.25">
      <c r="AT8346" s="74"/>
      <c r="AW8346" s="74"/>
    </row>
    <row r="8347" spans="46:49" x14ac:dyDescent="0.25">
      <c r="AT8347" s="74"/>
      <c r="AW8347" s="74"/>
    </row>
    <row r="8348" spans="46:49" x14ac:dyDescent="0.25">
      <c r="AT8348" s="74"/>
      <c r="AW8348" s="74"/>
    </row>
    <row r="8349" spans="46:49" x14ac:dyDescent="0.25">
      <c r="AT8349" s="74"/>
      <c r="AW8349" s="74"/>
    </row>
    <row r="8350" spans="46:49" x14ac:dyDescent="0.25">
      <c r="AT8350" s="74"/>
      <c r="AW8350" s="74"/>
    </row>
    <row r="8351" spans="46:49" x14ac:dyDescent="0.25">
      <c r="AT8351" s="74"/>
      <c r="AW8351" s="74"/>
    </row>
    <row r="8352" spans="46:49" x14ac:dyDescent="0.25">
      <c r="AT8352" s="74"/>
      <c r="AW8352" s="74"/>
    </row>
    <row r="8353" spans="46:49" x14ac:dyDescent="0.25">
      <c r="AT8353" s="74"/>
      <c r="AW8353" s="74"/>
    </row>
    <row r="8354" spans="46:49" x14ac:dyDescent="0.25">
      <c r="AT8354" s="74"/>
      <c r="AW8354" s="74"/>
    </row>
    <row r="8355" spans="46:49" x14ac:dyDescent="0.25">
      <c r="AT8355" s="74"/>
      <c r="AW8355" s="74"/>
    </row>
    <row r="8356" spans="46:49" x14ac:dyDescent="0.25">
      <c r="AT8356" s="74"/>
      <c r="AW8356" s="74"/>
    </row>
    <row r="8357" spans="46:49" x14ac:dyDescent="0.25">
      <c r="AT8357" s="74"/>
      <c r="AW8357" s="74"/>
    </row>
    <row r="8358" spans="46:49" x14ac:dyDescent="0.25">
      <c r="AT8358" s="74"/>
      <c r="AW8358" s="74"/>
    </row>
    <row r="8359" spans="46:49" x14ac:dyDescent="0.25">
      <c r="AT8359" s="74"/>
      <c r="AW8359" s="74"/>
    </row>
    <row r="8360" spans="46:49" x14ac:dyDescent="0.25">
      <c r="AT8360" s="74"/>
      <c r="AW8360" s="74"/>
    </row>
    <row r="8361" spans="46:49" x14ac:dyDescent="0.25">
      <c r="AT8361" s="74"/>
      <c r="AW8361" s="74"/>
    </row>
    <row r="8362" spans="46:49" x14ac:dyDescent="0.25">
      <c r="AT8362" s="74"/>
      <c r="AW8362" s="74"/>
    </row>
    <row r="8363" spans="46:49" x14ac:dyDescent="0.25">
      <c r="AT8363" s="74"/>
      <c r="AW8363" s="74"/>
    </row>
    <row r="8364" spans="46:49" x14ac:dyDescent="0.25">
      <c r="AT8364" s="74"/>
      <c r="AW8364" s="74"/>
    </row>
    <row r="8365" spans="46:49" x14ac:dyDescent="0.25">
      <c r="AT8365" s="74"/>
      <c r="AW8365" s="74"/>
    </row>
    <row r="8366" spans="46:49" x14ac:dyDescent="0.25">
      <c r="AT8366" s="74"/>
      <c r="AW8366" s="74"/>
    </row>
    <row r="8367" spans="46:49" x14ac:dyDescent="0.25">
      <c r="AT8367" s="74"/>
      <c r="AW8367" s="74"/>
    </row>
    <row r="8368" spans="46:49" x14ac:dyDescent="0.25">
      <c r="AT8368" s="74"/>
      <c r="AW8368" s="74"/>
    </row>
    <row r="8369" spans="46:49" x14ac:dyDescent="0.25">
      <c r="AT8369" s="74"/>
      <c r="AW8369" s="74"/>
    </row>
    <row r="8370" spans="46:49" x14ac:dyDescent="0.25">
      <c r="AT8370" s="74"/>
      <c r="AW8370" s="74"/>
    </row>
    <row r="8371" spans="46:49" x14ac:dyDescent="0.25">
      <c r="AT8371" s="74"/>
      <c r="AW8371" s="74"/>
    </row>
    <row r="8372" spans="46:49" x14ac:dyDescent="0.25">
      <c r="AT8372" s="74"/>
      <c r="AW8372" s="74"/>
    </row>
    <row r="8373" spans="46:49" x14ac:dyDescent="0.25">
      <c r="AT8373" s="74"/>
      <c r="AW8373" s="74"/>
    </row>
    <row r="8374" spans="46:49" x14ac:dyDescent="0.25">
      <c r="AT8374" s="74"/>
      <c r="AW8374" s="74"/>
    </row>
    <row r="8375" spans="46:49" x14ac:dyDescent="0.25">
      <c r="AT8375" s="74"/>
      <c r="AW8375" s="74"/>
    </row>
    <row r="8376" spans="46:49" x14ac:dyDescent="0.25">
      <c r="AT8376" s="74"/>
      <c r="AW8376" s="74"/>
    </row>
    <row r="8377" spans="46:49" x14ac:dyDescent="0.25">
      <c r="AT8377" s="74"/>
      <c r="AW8377" s="74"/>
    </row>
    <row r="8378" spans="46:49" x14ac:dyDescent="0.25">
      <c r="AT8378" s="74"/>
      <c r="AW8378" s="74"/>
    </row>
    <row r="8379" spans="46:49" x14ac:dyDescent="0.25">
      <c r="AT8379" s="74"/>
      <c r="AW8379" s="74"/>
    </row>
    <row r="8380" spans="46:49" x14ac:dyDescent="0.25">
      <c r="AT8380" s="74"/>
      <c r="AW8380" s="74"/>
    </row>
    <row r="8381" spans="46:49" x14ac:dyDescent="0.25">
      <c r="AT8381" s="74"/>
      <c r="AW8381" s="74"/>
    </row>
    <row r="8382" spans="46:49" x14ac:dyDescent="0.25">
      <c r="AT8382" s="74"/>
      <c r="AW8382" s="74"/>
    </row>
    <row r="8383" spans="46:49" x14ac:dyDescent="0.25">
      <c r="AT8383" s="74"/>
      <c r="AW8383" s="74"/>
    </row>
    <row r="8384" spans="46:49" x14ac:dyDescent="0.25">
      <c r="AT8384" s="74"/>
      <c r="AW8384" s="74"/>
    </row>
    <row r="8385" spans="46:49" x14ac:dyDescent="0.25">
      <c r="AT8385" s="74"/>
      <c r="AW8385" s="74"/>
    </row>
    <row r="8386" spans="46:49" x14ac:dyDescent="0.25">
      <c r="AT8386" s="74"/>
      <c r="AW8386" s="74"/>
    </row>
    <row r="8387" spans="46:49" x14ac:dyDescent="0.25">
      <c r="AT8387" s="74"/>
      <c r="AW8387" s="74"/>
    </row>
    <row r="8388" spans="46:49" x14ac:dyDescent="0.25">
      <c r="AT8388" s="74"/>
      <c r="AW8388" s="74"/>
    </row>
    <row r="8389" spans="46:49" x14ac:dyDescent="0.25">
      <c r="AT8389" s="74"/>
      <c r="AW8389" s="74"/>
    </row>
    <row r="8390" spans="46:49" x14ac:dyDescent="0.25">
      <c r="AT8390" s="74"/>
      <c r="AW8390" s="74"/>
    </row>
    <row r="8391" spans="46:49" x14ac:dyDescent="0.25">
      <c r="AT8391" s="74"/>
      <c r="AW8391" s="74"/>
    </row>
    <row r="8392" spans="46:49" x14ac:dyDescent="0.25">
      <c r="AT8392" s="74"/>
      <c r="AW8392" s="74"/>
    </row>
    <row r="8393" spans="46:49" x14ac:dyDescent="0.25">
      <c r="AT8393" s="74"/>
      <c r="AW8393" s="74"/>
    </row>
    <row r="8394" spans="46:49" x14ac:dyDescent="0.25">
      <c r="AT8394" s="74"/>
      <c r="AW8394" s="74"/>
    </row>
    <row r="8395" spans="46:49" x14ac:dyDescent="0.25">
      <c r="AT8395" s="74"/>
      <c r="AW8395" s="74"/>
    </row>
    <row r="8396" spans="46:49" x14ac:dyDescent="0.25">
      <c r="AT8396" s="74"/>
      <c r="AW8396" s="74"/>
    </row>
    <row r="8397" spans="46:49" x14ac:dyDescent="0.25">
      <c r="AT8397" s="74"/>
      <c r="AW8397" s="74"/>
    </row>
    <row r="8398" spans="46:49" x14ac:dyDescent="0.25">
      <c r="AT8398" s="74"/>
      <c r="AW8398" s="74"/>
    </row>
    <row r="8399" spans="46:49" x14ac:dyDescent="0.25">
      <c r="AT8399" s="74"/>
      <c r="AW8399" s="74"/>
    </row>
    <row r="8400" spans="46:49" x14ac:dyDescent="0.25">
      <c r="AT8400" s="74"/>
      <c r="AW8400" s="74"/>
    </row>
    <row r="8401" spans="46:49" x14ac:dyDescent="0.25">
      <c r="AT8401" s="74"/>
      <c r="AW8401" s="74"/>
    </row>
    <row r="8402" spans="46:49" x14ac:dyDescent="0.25">
      <c r="AT8402" s="74"/>
      <c r="AW8402" s="74"/>
    </row>
    <row r="8403" spans="46:49" x14ac:dyDescent="0.25">
      <c r="AT8403" s="74"/>
      <c r="AW8403" s="74"/>
    </row>
    <row r="8404" spans="46:49" x14ac:dyDescent="0.25">
      <c r="AT8404" s="74"/>
      <c r="AW8404" s="74"/>
    </row>
    <row r="8405" spans="46:49" x14ac:dyDescent="0.25">
      <c r="AT8405" s="74"/>
      <c r="AW8405" s="74"/>
    </row>
    <row r="8406" spans="46:49" x14ac:dyDescent="0.25">
      <c r="AT8406" s="74"/>
      <c r="AW8406" s="74"/>
    </row>
    <row r="8407" spans="46:49" x14ac:dyDescent="0.25">
      <c r="AT8407" s="74"/>
      <c r="AW8407" s="74"/>
    </row>
    <row r="8408" spans="46:49" x14ac:dyDescent="0.25">
      <c r="AT8408" s="74"/>
      <c r="AW8408" s="74"/>
    </row>
    <row r="8409" spans="46:49" x14ac:dyDescent="0.25">
      <c r="AT8409" s="74"/>
      <c r="AW8409" s="74"/>
    </row>
    <row r="8410" spans="46:49" x14ac:dyDescent="0.25">
      <c r="AT8410" s="74"/>
      <c r="AW8410" s="74"/>
    </row>
    <row r="8411" spans="46:49" x14ac:dyDescent="0.25">
      <c r="AT8411" s="74"/>
      <c r="AW8411" s="74"/>
    </row>
    <row r="8412" spans="46:49" x14ac:dyDescent="0.25">
      <c r="AT8412" s="74"/>
      <c r="AW8412" s="74"/>
    </row>
    <row r="8413" spans="46:49" x14ac:dyDescent="0.25">
      <c r="AT8413" s="74"/>
      <c r="AW8413" s="74"/>
    </row>
    <row r="8414" spans="46:49" x14ac:dyDescent="0.25">
      <c r="AT8414" s="74"/>
      <c r="AW8414" s="74"/>
    </row>
    <row r="8415" spans="46:49" x14ac:dyDescent="0.25">
      <c r="AT8415" s="74"/>
      <c r="AW8415" s="74"/>
    </row>
    <row r="8416" spans="46:49" x14ac:dyDescent="0.25">
      <c r="AT8416" s="74"/>
      <c r="AW8416" s="74"/>
    </row>
    <row r="8417" spans="46:49" x14ac:dyDescent="0.25">
      <c r="AT8417" s="74"/>
      <c r="AW8417" s="74"/>
    </row>
    <row r="8418" spans="46:49" x14ac:dyDescent="0.25">
      <c r="AT8418" s="74"/>
      <c r="AW8418" s="74"/>
    </row>
    <row r="8419" spans="46:49" x14ac:dyDescent="0.25">
      <c r="AT8419" s="74"/>
      <c r="AW8419" s="74"/>
    </row>
    <row r="8420" spans="46:49" x14ac:dyDescent="0.25">
      <c r="AT8420" s="74"/>
      <c r="AW8420" s="74"/>
    </row>
    <row r="8421" spans="46:49" x14ac:dyDescent="0.25">
      <c r="AT8421" s="74"/>
      <c r="AW8421" s="74"/>
    </row>
    <row r="8422" spans="46:49" x14ac:dyDescent="0.25">
      <c r="AT8422" s="74"/>
      <c r="AW8422" s="74"/>
    </row>
    <row r="8423" spans="46:49" x14ac:dyDescent="0.25">
      <c r="AT8423" s="74"/>
      <c r="AW8423" s="74"/>
    </row>
    <row r="8424" spans="46:49" x14ac:dyDescent="0.25">
      <c r="AT8424" s="74"/>
      <c r="AW8424" s="74"/>
    </row>
    <row r="8425" spans="46:49" x14ac:dyDescent="0.25">
      <c r="AT8425" s="74"/>
      <c r="AW8425" s="74"/>
    </row>
    <row r="8426" spans="46:49" x14ac:dyDescent="0.25">
      <c r="AT8426" s="74"/>
      <c r="AW8426" s="74"/>
    </row>
    <row r="8427" spans="46:49" x14ac:dyDescent="0.25">
      <c r="AT8427" s="74"/>
      <c r="AW8427" s="74"/>
    </row>
    <row r="8428" spans="46:49" x14ac:dyDescent="0.25">
      <c r="AT8428" s="74"/>
      <c r="AW8428" s="74"/>
    </row>
    <row r="8429" spans="46:49" x14ac:dyDescent="0.25">
      <c r="AT8429" s="74"/>
      <c r="AW8429" s="74"/>
    </row>
    <row r="8430" spans="46:49" x14ac:dyDescent="0.25">
      <c r="AT8430" s="74"/>
      <c r="AW8430" s="74"/>
    </row>
    <row r="8431" spans="46:49" x14ac:dyDescent="0.25">
      <c r="AT8431" s="74"/>
      <c r="AW8431" s="74"/>
    </row>
    <row r="8432" spans="46:49" x14ac:dyDescent="0.25">
      <c r="AT8432" s="74"/>
      <c r="AW8432" s="74"/>
    </row>
    <row r="8433" spans="46:49" x14ac:dyDescent="0.25">
      <c r="AT8433" s="74"/>
      <c r="AW8433" s="74"/>
    </row>
    <row r="8434" spans="46:49" x14ac:dyDescent="0.25">
      <c r="AT8434" s="74"/>
      <c r="AW8434" s="74"/>
    </row>
    <row r="8435" spans="46:49" x14ac:dyDescent="0.25">
      <c r="AT8435" s="74"/>
      <c r="AW8435" s="74"/>
    </row>
    <row r="8436" spans="46:49" x14ac:dyDescent="0.25">
      <c r="AT8436" s="74"/>
      <c r="AW8436" s="74"/>
    </row>
    <row r="8437" spans="46:49" x14ac:dyDescent="0.25">
      <c r="AT8437" s="74"/>
      <c r="AW8437" s="74"/>
    </row>
    <row r="8438" spans="46:49" x14ac:dyDescent="0.25">
      <c r="AT8438" s="74"/>
      <c r="AW8438" s="74"/>
    </row>
    <row r="8439" spans="46:49" x14ac:dyDescent="0.25">
      <c r="AT8439" s="74"/>
      <c r="AW8439" s="74"/>
    </row>
    <row r="8440" spans="46:49" x14ac:dyDescent="0.25">
      <c r="AT8440" s="74"/>
      <c r="AW8440" s="74"/>
    </row>
    <row r="8441" spans="46:49" x14ac:dyDescent="0.25">
      <c r="AT8441" s="74"/>
      <c r="AW8441" s="74"/>
    </row>
    <row r="8442" spans="46:49" x14ac:dyDescent="0.25">
      <c r="AT8442" s="74"/>
      <c r="AW8442" s="74"/>
    </row>
    <row r="8443" spans="46:49" x14ac:dyDescent="0.25">
      <c r="AT8443" s="74"/>
      <c r="AW8443" s="74"/>
    </row>
    <row r="8444" spans="46:49" x14ac:dyDescent="0.25">
      <c r="AT8444" s="74"/>
      <c r="AW8444" s="74"/>
    </row>
    <row r="8445" spans="46:49" x14ac:dyDescent="0.25">
      <c r="AT8445" s="74"/>
      <c r="AW8445" s="74"/>
    </row>
    <row r="8446" spans="46:49" x14ac:dyDescent="0.25">
      <c r="AT8446" s="74"/>
      <c r="AW8446" s="74"/>
    </row>
    <row r="8447" spans="46:49" x14ac:dyDescent="0.25">
      <c r="AT8447" s="74"/>
      <c r="AW8447" s="74"/>
    </row>
    <row r="8448" spans="46:49" x14ac:dyDescent="0.25">
      <c r="AT8448" s="74"/>
      <c r="AW8448" s="74"/>
    </row>
    <row r="8449" spans="46:49" x14ac:dyDescent="0.25">
      <c r="AT8449" s="74"/>
      <c r="AW8449" s="74"/>
    </row>
    <row r="8450" spans="46:49" x14ac:dyDescent="0.25">
      <c r="AT8450" s="74"/>
      <c r="AW8450" s="74"/>
    </row>
    <row r="8451" spans="46:49" x14ac:dyDescent="0.25">
      <c r="AT8451" s="74"/>
      <c r="AW8451" s="74"/>
    </row>
    <row r="8452" spans="46:49" x14ac:dyDescent="0.25">
      <c r="AT8452" s="74"/>
      <c r="AW8452" s="74"/>
    </row>
    <row r="8453" spans="46:49" x14ac:dyDescent="0.25">
      <c r="AT8453" s="74"/>
      <c r="AW8453" s="74"/>
    </row>
    <row r="8454" spans="46:49" x14ac:dyDescent="0.25">
      <c r="AT8454" s="74"/>
      <c r="AW8454" s="74"/>
    </row>
    <row r="8455" spans="46:49" x14ac:dyDescent="0.25">
      <c r="AT8455" s="74"/>
      <c r="AW8455" s="74"/>
    </row>
    <row r="8456" spans="46:49" x14ac:dyDescent="0.25">
      <c r="AT8456" s="74"/>
      <c r="AW8456" s="74"/>
    </row>
    <row r="8457" spans="46:49" x14ac:dyDescent="0.25">
      <c r="AT8457" s="74"/>
      <c r="AW8457" s="74"/>
    </row>
    <row r="8458" spans="46:49" x14ac:dyDescent="0.25">
      <c r="AT8458" s="74"/>
      <c r="AW8458" s="74"/>
    </row>
    <row r="8459" spans="46:49" x14ac:dyDescent="0.25">
      <c r="AT8459" s="74"/>
      <c r="AW8459" s="74"/>
    </row>
    <row r="8460" spans="46:49" x14ac:dyDescent="0.25">
      <c r="AT8460" s="74"/>
      <c r="AW8460" s="74"/>
    </row>
    <row r="8461" spans="46:49" x14ac:dyDescent="0.25">
      <c r="AT8461" s="74"/>
      <c r="AW8461" s="74"/>
    </row>
    <row r="8462" spans="46:49" x14ac:dyDescent="0.25">
      <c r="AT8462" s="74"/>
      <c r="AW8462" s="74"/>
    </row>
    <row r="8463" spans="46:49" x14ac:dyDescent="0.25">
      <c r="AT8463" s="74"/>
      <c r="AW8463" s="74"/>
    </row>
    <row r="8464" spans="46:49" x14ac:dyDescent="0.25">
      <c r="AT8464" s="74"/>
      <c r="AW8464" s="74"/>
    </row>
    <row r="8465" spans="46:49" x14ac:dyDescent="0.25">
      <c r="AT8465" s="74"/>
      <c r="AW8465" s="74"/>
    </row>
    <row r="8466" spans="46:49" x14ac:dyDescent="0.25">
      <c r="AT8466" s="74"/>
      <c r="AW8466" s="74"/>
    </row>
    <row r="8467" spans="46:49" x14ac:dyDescent="0.25">
      <c r="AT8467" s="74"/>
      <c r="AW8467" s="74"/>
    </row>
    <row r="8468" spans="46:49" x14ac:dyDescent="0.25">
      <c r="AT8468" s="74"/>
      <c r="AW8468" s="74"/>
    </row>
    <row r="8469" spans="46:49" x14ac:dyDescent="0.25">
      <c r="AT8469" s="74"/>
      <c r="AW8469" s="74"/>
    </row>
    <row r="8470" spans="46:49" x14ac:dyDescent="0.25">
      <c r="AT8470" s="74"/>
      <c r="AW8470" s="74"/>
    </row>
    <row r="8471" spans="46:49" x14ac:dyDescent="0.25">
      <c r="AT8471" s="74"/>
      <c r="AW8471" s="74"/>
    </row>
    <row r="8472" spans="46:49" x14ac:dyDescent="0.25">
      <c r="AT8472" s="74"/>
      <c r="AW8472" s="74"/>
    </row>
    <row r="8473" spans="46:49" x14ac:dyDescent="0.25">
      <c r="AT8473" s="74"/>
      <c r="AW8473" s="74"/>
    </row>
    <row r="8474" spans="46:49" x14ac:dyDescent="0.25">
      <c r="AT8474" s="74"/>
      <c r="AW8474" s="74"/>
    </row>
    <row r="8475" spans="46:49" x14ac:dyDescent="0.25">
      <c r="AT8475" s="74"/>
      <c r="AW8475" s="74"/>
    </row>
    <row r="8476" spans="46:49" x14ac:dyDescent="0.25">
      <c r="AT8476" s="74"/>
      <c r="AW8476" s="74"/>
    </row>
    <row r="8477" spans="46:49" x14ac:dyDescent="0.25">
      <c r="AT8477" s="74"/>
      <c r="AW8477" s="74"/>
    </row>
    <row r="8478" spans="46:49" x14ac:dyDescent="0.25">
      <c r="AT8478" s="74"/>
      <c r="AW8478" s="74"/>
    </row>
    <row r="8479" spans="46:49" x14ac:dyDescent="0.25">
      <c r="AT8479" s="74"/>
      <c r="AW8479" s="74"/>
    </row>
    <row r="8480" spans="46:49" x14ac:dyDescent="0.25">
      <c r="AT8480" s="74"/>
      <c r="AW8480" s="74"/>
    </row>
    <row r="8481" spans="46:49" x14ac:dyDescent="0.25">
      <c r="AT8481" s="74"/>
      <c r="AW8481" s="74"/>
    </row>
    <row r="8482" spans="46:49" x14ac:dyDescent="0.25">
      <c r="AT8482" s="74"/>
      <c r="AW8482" s="74"/>
    </row>
    <row r="8483" spans="46:49" x14ac:dyDescent="0.25">
      <c r="AT8483" s="74"/>
      <c r="AW8483" s="74"/>
    </row>
    <row r="8484" spans="46:49" x14ac:dyDescent="0.25">
      <c r="AT8484" s="74"/>
      <c r="AW8484" s="74"/>
    </row>
    <row r="8485" spans="46:49" x14ac:dyDescent="0.25">
      <c r="AT8485" s="74"/>
      <c r="AW8485" s="74"/>
    </row>
    <row r="8486" spans="46:49" x14ac:dyDescent="0.25">
      <c r="AT8486" s="74"/>
      <c r="AW8486" s="74"/>
    </row>
    <row r="8487" spans="46:49" x14ac:dyDescent="0.25">
      <c r="AT8487" s="74"/>
      <c r="AW8487" s="74"/>
    </row>
    <row r="8488" spans="46:49" x14ac:dyDescent="0.25">
      <c r="AT8488" s="74"/>
      <c r="AW8488" s="74"/>
    </row>
    <row r="8489" spans="46:49" x14ac:dyDescent="0.25">
      <c r="AT8489" s="74"/>
      <c r="AW8489" s="74"/>
    </row>
    <row r="8490" spans="46:49" x14ac:dyDescent="0.25">
      <c r="AT8490" s="74"/>
      <c r="AW8490" s="74"/>
    </row>
    <row r="8491" spans="46:49" x14ac:dyDescent="0.25">
      <c r="AT8491" s="74"/>
      <c r="AW8491" s="74"/>
    </row>
    <row r="8492" spans="46:49" x14ac:dyDescent="0.25">
      <c r="AT8492" s="74"/>
      <c r="AW8492" s="74"/>
    </row>
    <row r="8493" spans="46:49" x14ac:dyDescent="0.25">
      <c r="AT8493" s="74"/>
      <c r="AW8493" s="74"/>
    </row>
    <row r="8494" spans="46:49" x14ac:dyDescent="0.25">
      <c r="AT8494" s="74"/>
      <c r="AW8494" s="74"/>
    </row>
    <row r="8495" spans="46:49" x14ac:dyDescent="0.25">
      <c r="AT8495" s="74"/>
      <c r="AW8495" s="74"/>
    </row>
    <row r="8496" spans="46:49" x14ac:dyDescent="0.25">
      <c r="AT8496" s="74"/>
      <c r="AW8496" s="74"/>
    </row>
    <row r="8497" spans="46:49" x14ac:dyDescent="0.25">
      <c r="AT8497" s="74"/>
      <c r="AW8497" s="74"/>
    </row>
    <row r="8498" spans="46:49" x14ac:dyDescent="0.25">
      <c r="AT8498" s="74"/>
      <c r="AW8498" s="74"/>
    </row>
    <row r="8499" spans="46:49" x14ac:dyDescent="0.25">
      <c r="AT8499" s="74"/>
      <c r="AW8499" s="74"/>
    </row>
    <row r="8500" spans="46:49" x14ac:dyDescent="0.25">
      <c r="AT8500" s="74"/>
      <c r="AW8500" s="74"/>
    </row>
    <row r="8501" spans="46:49" x14ac:dyDescent="0.25">
      <c r="AT8501" s="74"/>
      <c r="AW8501" s="74"/>
    </row>
    <row r="8502" spans="46:49" x14ac:dyDescent="0.25">
      <c r="AT8502" s="74"/>
      <c r="AW8502" s="74"/>
    </row>
    <row r="8503" spans="46:49" x14ac:dyDescent="0.25">
      <c r="AT8503" s="74"/>
      <c r="AW8503" s="74"/>
    </row>
    <row r="8504" spans="46:49" x14ac:dyDescent="0.25">
      <c r="AT8504" s="74"/>
      <c r="AW8504" s="74"/>
    </row>
    <row r="8505" spans="46:49" x14ac:dyDescent="0.25">
      <c r="AT8505" s="74"/>
      <c r="AW8505" s="74"/>
    </row>
    <row r="8506" spans="46:49" x14ac:dyDescent="0.25">
      <c r="AT8506" s="74"/>
      <c r="AW8506" s="74"/>
    </row>
    <row r="8507" spans="46:49" x14ac:dyDescent="0.25">
      <c r="AT8507" s="74"/>
      <c r="AW8507" s="74"/>
    </row>
    <row r="8508" spans="46:49" x14ac:dyDescent="0.25">
      <c r="AT8508" s="74"/>
      <c r="AW8508" s="74"/>
    </row>
    <row r="8509" spans="46:49" x14ac:dyDescent="0.25">
      <c r="AT8509" s="74"/>
      <c r="AW8509" s="74"/>
    </row>
    <row r="8510" spans="46:49" x14ac:dyDescent="0.25">
      <c r="AT8510" s="74"/>
      <c r="AW8510" s="74"/>
    </row>
    <row r="8511" spans="46:49" x14ac:dyDescent="0.25">
      <c r="AT8511" s="74"/>
      <c r="AW8511" s="74"/>
    </row>
    <row r="8512" spans="46:49" x14ac:dyDescent="0.25">
      <c r="AT8512" s="74"/>
      <c r="AW8512" s="74"/>
    </row>
    <row r="8513" spans="46:49" x14ac:dyDescent="0.25">
      <c r="AT8513" s="74"/>
      <c r="AW8513" s="74"/>
    </row>
    <row r="8514" spans="46:49" x14ac:dyDescent="0.25">
      <c r="AT8514" s="74"/>
      <c r="AW8514" s="74"/>
    </row>
    <row r="8515" spans="46:49" x14ac:dyDescent="0.25">
      <c r="AT8515" s="74"/>
      <c r="AW8515" s="74"/>
    </row>
    <row r="8516" spans="46:49" x14ac:dyDescent="0.25">
      <c r="AT8516" s="74"/>
      <c r="AW8516" s="74"/>
    </row>
    <row r="8517" spans="46:49" x14ac:dyDescent="0.25">
      <c r="AT8517" s="74"/>
      <c r="AW8517" s="74"/>
    </row>
    <row r="8518" spans="46:49" x14ac:dyDescent="0.25">
      <c r="AT8518" s="74"/>
      <c r="AW8518" s="74"/>
    </row>
    <row r="8519" spans="46:49" x14ac:dyDescent="0.25">
      <c r="AT8519" s="74"/>
      <c r="AW8519" s="74"/>
    </row>
    <row r="8520" spans="46:49" x14ac:dyDescent="0.25">
      <c r="AT8520" s="74"/>
      <c r="AW8520" s="74"/>
    </row>
    <row r="8521" spans="46:49" x14ac:dyDescent="0.25">
      <c r="AT8521" s="74"/>
      <c r="AW8521" s="74"/>
    </row>
    <row r="8522" spans="46:49" x14ac:dyDescent="0.25">
      <c r="AT8522" s="74"/>
      <c r="AW8522" s="74"/>
    </row>
    <row r="8523" spans="46:49" x14ac:dyDescent="0.25">
      <c r="AT8523" s="74"/>
      <c r="AW8523" s="74"/>
    </row>
    <row r="8524" spans="46:49" x14ac:dyDescent="0.25">
      <c r="AT8524" s="74"/>
      <c r="AW8524" s="74"/>
    </row>
    <row r="8525" spans="46:49" x14ac:dyDescent="0.25">
      <c r="AT8525" s="74"/>
      <c r="AW8525" s="74"/>
    </row>
    <row r="8526" spans="46:49" x14ac:dyDescent="0.25">
      <c r="AT8526" s="74"/>
      <c r="AW8526" s="74"/>
    </row>
    <row r="8527" spans="46:49" x14ac:dyDescent="0.25">
      <c r="AT8527" s="74"/>
      <c r="AW8527" s="74"/>
    </row>
    <row r="8528" spans="46:49" x14ac:dyDescent="0.25">
      <c r="AT8528" s="74"/>
      <c r="AW8528" s="74"/>
    </row>
    <row r="8529" spans="46:49" x14ac:dyDescent="0.25">
      <c r="AT8529" s="74"/>
      <c r="AW8529" s="74"/>
    </row>
    <row r="8530" spans="46:49" x14ac:dyDescent="0.25">
      <c r="AT8530" s="74"/>
      <c r="AW8530" s="74"/>
    </row>
    <row r="8531" spans="46:49" x14ac:dyDescent="0.25">
      <c r="AT8531" s="74"/>
      <c r="AW8531" s="74"/>
    </row>
    <row r="8532" spans="46:49" x14ac:dyDescent="0.25">
      <c r="AT8532" s="74"/>
      <c r="AW8532" s="74"/>
    </row>
    <row r="8533" spans="46:49" x14ac:dyDescent="0.25">
      <c r="AT8533" s="74"/>
      <c r="AW8533" s="74"/>
    </row>
    <row r="8534" spans="46:49" x14ac:dyDescent="0.25">
      <c r="AT8534" s="74"/>
      <c r="AW8534" s="74"/>
    </row>
    <row r="8535" spans="46:49" x14ac:dyDescent="0.25">
      <c r="AT8535" s="74"/>
      <c r="AW8535" s="74"/>
    </row>
    <row r="8536" spans="46:49" x14ac:dyDescent="0.25">
      <c r="AT8536" s="74"/>
      <c r="AW8536" s="74"/>
    </row>
    <row r="8537" spans="46:49" x14ac:dyDescent="0.25">
      <c r="AT8537" s="74"/>
      <c r="AW8537" s="74"/>
    </row>
    <row r="8538" spans="46:49" x14ac:dyDescent="0.25">
      <c r="AT8538" s="74"/>
      <c r="AW8538" s="74"/>
    </row>
    <row r="8539" spans="46:49" x14ac:dyDescent="0.25">
      <c r="AT8539" s="74"/>
      <c r="AW8539" s="74"/>
    </row>
    <row r="8540" spans="46:49" x14ac:dyDescent="0.25">
      <c r="AT8540" s="74"/>
      <c r="AW8540" s="74"/>
    </row>
    <row r="8541" spans="46:49" x14ac:dyDescent="0.25">
      <c r="AT8541" s="74"/>
      <c r="AW8541" s="74"/>
    </row>
    <row r="8542" spans="46:49" x14ac:dyDescent="0.25">
      <c r="AT8542" s="74"/>
      <c r="AW8542" s="74"/>
    </row>
    <row r="8543" spans="46:49" x14ac:dyDescent="0.25">
      <c r="AT8543" s="74"/>
      <c r="AW8543" s="74"/>
    </row>
    <row r="8544" spans="46:49" x14ac:dyDescent="0.25">
      <c r="AT8544" s="74"/>
      <c r="AW8544" s="74"/>
    </row>
    <row r="8545" spans="46:49" x14ac:dyDescent="0.25">
      <c r="AT8545" s="74"/>
      <c r="AW8545" s="74"/>
    </row>
    <row r="8546" spans="46:49" x14ac:dyDescent="0.25">
      <c r="AT8546" s="74"/>
      <c r="AW8546" s="74"/>
    </row>
    <row r="8547" spans="46:49" x14ac:dyDescent="0.25">
      <c r="AT8547" s="74"/>
      <c r="AW8547" s="74"/>
    </row>
    <row r="8548" spans="46:49" x14ac:dyDescent="0.25">
      <c r="AT8548" s="74"/>
      <c r="AW8548" s="74"/>
    </row>
    <row r="8549" spans="46:49" x14ac:dyDescent="0.25">
      <c r="AT8549" s="74"/>
      <c r="AW8549" s="74"/>
    </row>
    <row r="8550" spans="46:49" x14ac:dyDescent="0.25">
      <c r="AT8550" s="74"/>
      <c r="AW8550" s="74"/>
    </row>
    <row r="8551" spans="46:49" x14ac:dyDescent="0.25">
      <c r="AT8551" s="74"/>
      <c r="AW8551" s="74"/>
    </row>
    <row r="8552" spans="46:49" x14ac:dyDescent="0.25">
      <c r="AT8552" s="74"/>
      <c r="AW8552" s="74"/>
    </row>
    <row r="8553" spans="46:49" x14ac:dyDescent="0.25">
      <c r="AT8553" s="74"/>
      <c r="AW8553" s="74"/>
    </row>
    <row r="8554" spans="46:49" x14ac:dyDescent="0.25">
      <c r="AT8554" s="74"/>
      <c r="AW8554" s="74"/>
    </row>
    <row r="8555" spans="46:49" x14ac:dyDescent="0.25">
      <c r="AT8555" s="74"/>
      <c r="AW8555" s="74"/>
    </row>
    <row r="8556" spans="46:49" x14ac:dyDescent="0.25">
      <c r="AT8556" s="74"/>
      <c r="AW8556" s="74"/>
    </row>
    <row r="8557" spans="46:49" x14ac:dyDescent="0.25">
      <c r="AT8557" s="74"/>
      <c r="AW8557" s="74"/>
    </row>
    <row r="8558" spans="46:49" x14ac:dyDescent="0.25">
      <c r="AT8558" s="74"/>
      <c r="AW8558" s="74"/>
    </row>
    <row r="8559" spans="46:49" x14ac:dyDescent="0.25">
      <c r="AT8559" s="74"/>
      <c r="AW8559" s="74"/>
    </row>
    <row r="8560" spans="46:49" x14ac:dyDescent="0.25">
      <c r="AT8560" s="74"/>
      <c r="AW8560" s="74"/>
    </row>
    <row r="8561" spans="46:49" x14ac:dyDescent="0.25">
      <c r="AT8561" s="74"/>
      <c r="AW8561" s="74"/>
    </row>
    <row r="8562" spans="46:49" x14ac:dyDescent="0.25">
      <c r="AT8562" s="74"/>
      <c r="AW8562" s="74"/>
    </row>
    <row r="8563" spans="46:49" x14ac:dyDescent="0.25">
      <c r="AT8563" s="74"/>
      <c r="AW8563" s="74"/>
    </row>
    <row r="8564" spans="46:49" x14ac:dyDescent="0.25">
      <c r="AT8564" s="74"/>
      <c r="AW8564" s="74"/>
    </row>
    <row r="8565" spans="46:49" x14ac:dyDescent="0.25">
      <c r="AT8565" s="74"/>
      <c r="AW8565" s="74"/>
    </row>
    <row r="8566" spans="46:49" x14ac:dyDescent="0.25">
      <c r="AT8566" s="74"/>
      <c r="AW8566" s="74"/>
    </row>
    <row r="8567" spans="46:49" x14ac:dyDescent="0.25">
      <c r="AT8567" s="74"/>
      <c r="AW8567" s="74"/>
    </row>
    <row r="8568" spans="46:49" x14ac:dyDescent="0.25">
      <c r="AT8568" s="74"/>
      <c r="AW8568" s="74"/>
    </row>
    <row r="8569" spans="46:49" x14ac:dyDescent="0.25">
      <c r="AT8569" s="74"/>
      <c r="AW8569" s="74"/>
    </row>
    <row r="8570" spans="46:49" x14ac:dyDescent="0.25">
      <c r="AT8570" s="74"/>
      <c r="AW8570" s="74"/>
    </row>
    <row r="8571" spans="46:49" x14ac:dyDescent="0.25">
      <c r="AT8571" s="74"/>
      <c r="AW8571" s="74"/>
    </row>
    <row r="8572" spans="46:49" x14ac:dyDescent="0.25">
      <c r="AT8572" s="74"/>
      <c r="AW8572" s="74"/>
    </row>
    <row r="8573" spans="46:49" x14ac:dyDescent="0.25">
      <c r="AT8573" s="74"/>
      <c r="AW8573" s="74"/>
    </row>
    <row r="8574" spans="46:49" x14ac:dyDescent="0.25">
      <c r="AT8574" s="74"/>
      <c r="AW8574" s="74"/>
    </row>
    <row r="8575" spans="46:49" x14ac:dyDescent="0.25">
      <c r="AT8575" s="74"/>
      <c r="AW8575" s="74"/>
    </row>
    <row r="8576" spans="46:49" x14ac:dyDescent="0.25">
      <c r="AT8576" s="74"/>
      <c r="AW8576" s="74"/>
    </row>
    <row r="8577" spans="46:49" x14ac:dyDescent="0.25">
      <c r="AT8577" s="74"/>
      <c r="AW8577" s="74"/>
    </row>
    <row r="8578" spans="46:49" x14ac:dyDescent="0.25">
      <c r="AT8578" s="74"/>
      <c r="AW8578" s="74"/>
    </row>
    <row r="8579" spans="46:49" x14ac:dyDescent="0.25">
      <c r="AT8579" s="74"/>
      <c r="AW8579" s="74"/>
    </row>
    <row r="8580" spans="46:49" x14ac:dyDescent="0.25">
      <c r="AT8580" s="74"/>
      <c r="AW8580" s="74"/>
    </row>
    <row r="8581" spans="46:49" x14ac:dyDescent="0.25">
      <c r="AT8581" s="74"/>
      <c r="AW8581" s="74"/>
    </row>
    <row r="8582" spans="46:49" x14ac:dyDescent="0.25">
      <c r="AT8582" s="74"/>
      <c r="AW8582" s="74"/>
    </row>
    <row r="8583" spans="46:49" x14ac:dyDescent="0.25">
      <c r="AT8583" s="74"/>
      <c r="AW8583" s="74"/>
    </row>
    <row r="8584" spans="46:49" x14ac:dyDescent="0.25">
      <c r="AT8584" s="74"/>
      <c r="AW8584" s="74"/>
    </row>
    <row r="8585" spans="46:49" x14ac:dyDescent="0.25">
      <c r="AT8585" s="74"/>
      <c r="AW8585" s="74"/>
    </row>
    <row r="8586" spans="46:49" x14ac:dyDescent="0.25">
      <c r="AT8586" s="74"/>
      <c r="AW8586" s="74"/>
    </row>
    <row r="8587" spans="46:49" x14ac:dyDescent="0.25">
      <c r="AT8587" s="74"/>
      <c r="AW8587" s="74"/>
    </row>
    <row r="8588" spans="46:49" x14ac:dyDescent="0.25">
      <c r="AT8588" s="74"/>
      <c r="AW8588" s="74"/>
    </row>
    <row r="8589" spans="46:49" x14ac:dyDescent="0.25">
      <c r="AT8589" s="74"/>
      <c r="AW8589" s="74"/>
    </row>
    <row r="8590" spans="46:49" x14ac:dyDescent="0.25">
      <c r="AT8590" s="74"/>
      <c r="AW8590" s="74"/>
    </row>
    <row r="8591" spans="46:49" x14ac:dyDescent="0.25">
      <c r="AT8591" s="74"/>
      <c r="AW8591" s="74"/>
    </row>
    <row r="8592" spans="46:49" x14ac:dyDescent="0.25">
      <c r="AT8592" s="74"/>
      <c r="AW8592" s="74"/>
    </row>
    <row r="8593" spans="46:49" x14ac:dyDescent="0.25">
      <c r="AT8593" s="74"/>
      <c r="AW8593" s="74"/>
    </row>
    <row r="8594" spans="46:49" x14ac:dyDescent="0.25">
      <c r="AT8594" s="74"/>
      <c r="AW8594" s="74"/>
    </row>
    <row r="8595" spans="46:49" x14ac:dyDescent="0.25">
      <c r="AT8595" s="74"/>
      <c r="AW8595" s="74"/>
    </row>
    <row r="8596" spans="46:49" x14ac:dyDescent="0.25">
      <c r="AT8596" s="74"/>
      <c r="AW8596" s="74"/>
    </row>
    <row r="8597" spans="46:49" x14ac:dyDescent="0.25">
      <c r="AT8597" s="74"/>
      <c r="AW8597" s="74"/>
    </row>
    <row r="8598" spans="46:49" x14ac:dyDescent="0.25">
      <c r="AT8598" s="74"/>
      <c r="AW8598" s="74"/>
    </row>
    <row r="8599" spans="46:49" x14ac:dyDescent="0.25">
      <c r="AT8599" s="74"/>
      <c r="AW8599" s="74"/>
    </row>
    <row r="8600" spans="46:49" x14ac:dyDescent="0.25">
      <c r="AT8600" s="74"/>
      <c r="AW8600" s="74"/>
    </row>
    <row r="8601" spans="46:49" x14ac:dyDescent="0.25">
      <c r="AT8601" s="74"/>
      <c r="AW8601" s="74"/>
    </row>
    <row r="8602" spans="46:49" x14ac:dyDescent="0.25">
      <c r="AT8602" s="74"/>
      <c r="AW8602" s="74"/>
    </row>
    <row r="8603" spans="46:49" x14ac:dyDescent="0.25">
      <c r="AT8603" s="74"/>
      <c r="AW8603" s="74"/>
    </row>
    <row r="8604" spans="46:49" x14ac:dyDescent="0.25">
      <c r="AT8604" s="74"/>
      <c r="AW8604" s="74"/>
    </row>
    <row r="8605" spans="46:49" x14ac:dyDescent="0.25">
      <c r="AT8605" s="74"/>
      <c r="AW8605" s="74"/>
    </row>
    <row r="8606" spans="46:49" x14ac:dyDescent="0.25">
      <c r="AT8606" s="74"/>
      <c r="AW8606" s="74"/>
    </row>
    <row r="8607" spans="46:49" x14ac:dyDescent="0.25">
      <c r="AT8607" s="74"/>
      <c r="AW8607" s="74"/>
    </row>
    <row r="8608" spans="46:49" x14ac:dyDescent="0.25">
      <c r="AT8608" s="74"/>
      <c r="AW8608" s="74"/>
    </row>
    <row r="8609" spans="46:49" x14ac:dyDescent="0.25">
      <c r="AT8609" s="74"/>
      <c r="AW8609" s="74"/>
    </row>
    <row r="8610" spans="46:49" x14ac:dyDescent="0.25">
      <c r="AT8610" s="74"/>
      <c r="AW8610" s="74"/>
    </row>
    <row r="8611" spans="46:49" x14ac:dyDescent="0.25">
      <c r="AT8611" s="74"/>
      <c r="AW8611" s="74"/>
    </row>
    <row r="8612" spans="46:49" x14ac:dyDescent="0.25">
      <c r="AT8612" s="74"/>
      <c r="AW8612" s="74"/>
    </row>
    <row r="8613" spans="46:49" x14ac:dyDescent="0.25">
      <c r="AT8613" s="74"/>
      <c r="AW8613" s="74"/>
    </row>
    <row r="8614" spans="46:49" x14ac:dyDescent="0.25">
      <c r="AT8614" s="74"/>
      <c r="AW8614" s="74"/>
    </row>
    <row r="8615" spans="46:49" x14ac:dyDescent="0.25">
      <c r="AT8615" s="74"/>
      <c r="AW8615" s="74"/>
    </row>
    <row r="8616" spans="46:49" x14ac:dyDescent="0.25">
      <c r="AT8616" s="74"/>
      <c r="AW8616" s="74"/>
    </row>
    <row r="8617" spans="46:49" x14ac:dyDescent="0.25">
      <c r="AT8617" s="74"/>
      <c r="AW8617" s="74"/>
    </row>
    <row r="8618" spans="46:49" x14ac:dyDescent="0.25">
      <c r="AT8618" s="74"/>
      <c r="AW8618" s="74"/>
    </row>
    <row r="8619" spans="46:49" x14ac:dyDescent="0.25">
      <c r="AT8619" s="74"/>
      <c r="AW8619" s="74"/>
    </row>
    <row r="8620" spans="46:49" x14ac:dyDescent="0.25">
      <c r="AT8620" s="74"/>
      <c r="AW8620" s="74"/>
    </row>
    <row r="8621" spans="46:49" x14ac:dyDescent="0.25">
      <c r="AT8621" s="74"/>
      <c r="AW8621" s="74"/>
    </row>
    <row r="8622" spans="46:49" x14ac:dyDescent="0.25">
      <c r="AT8622" s="74"/>
      <c r="AW8622" s="74"/>
    </row>
    <row r="8623" spans="46:49" x14ac:dyDescent="0.25">
      <c r="AT8623" s="74"/>
      <c r="AW8623" s="74"/>
    </row>
    <row r="8624" spans="46:49" x14ac:dyDescent="0.25">
      <c r="AT8624" s="74"/>
      <c r="AW8624" s="74"/>
    </row>
    <row r="8625" spans="46:49" x14ac:dyDescent="0.25">
      <c r="AT8625" s="74"/>
      <c r="AW8625" s="74"/>
    </row>
    <row r="8626" spans="46:49" x14ac:dyDescent="0.25">
      <c r="AT8626" s="74"/>
      <c r="AW8626" s="74"/>
    </row>
    <row r="8627" spans="46:49" x14ac:dyDescent="0.25">
      <c r="AT8627" s="74"/>
      <c r="AW8627" s="74"/>
    </row>
    <row r="8628" spans="46:49" x14ac:dyDescent="0.25">
      <c r="AT8628" s="74"/>
      <c r="AW8628" s="74"/>
    </row>
    <row r="8629" spans="46:49" x14ac:dyDescent="0.25">
      <c r="AT8629" s="74"/>
      <c r="AW8629" s="74"/>
    </row>
    <row r="8630" spans="46:49" x14ac:dyDescent="0.25">
      <c r="AT8630" s="74"/>
      <c r="AW8630" s="74"/>
    </row>
    <row r="8631" spans="46:49" x14ac:dyDescent="0.25">
      <c r="AT8631" s="74"/>
      <c r="AW8631" s="74"/>
    </row>
    <row r="8632" spans="46:49" x14ac:dyDescent="0.25">
      <c r="AT8632" s="74"/>
      <c r="AW8632" s="74"/>
    </row>
    <row r="8633" spans="46:49" x14ac:dyDescent="0.25">
      <c r="AT8633" s="74"/>
      <c r="AW8633" s="74"/>
    </row>
    <row r="8634" spans="46:49" x14ac:dyDescent="0.25">
      <c r="AT8634" s="74"/>
      <c r="AW8634" s="74"/>
    </row>
    <row r="8635" spans="46:49" x14ac:dyDescent="0.25">
      <c r="AT8635" s="74"/>
      <c r="AW8635" s="74"/>
    </row>
    <row r="8636" spans="46:49" x14ac:dyDescent="0.25">
      <c r="AT8636" s="74"/>
      <c r="AW8636" s="74"/>
    </row>
    <row r="8637" spans="46:49" x14ac:dyDescent="0.25">
      <c r="AT8637" s="74"/>
      <c r="AW8637" s="74"/>
    </row>
    <row r="8638" spans="46:49" x14ac:dyDescent="0.25">
      <c r="AT8638" s="74"/>
      <c r="AW8638" s="74"/>
    </row>
    <row r="8639" spans="46:49" x14ac:dyDescent="0.25">
      <c r="AT8639" s="74"/>
      <c r="AW8639" s="74"/>
    </row>
    <row r="8640" spans="46:49" x14ac:dyDescent="0.25">
      <c r="AT8640" s="74"/>
      <c r="AW8640" s="74"/>
    </row>
    <row r="8641" spans="46:49" x14ac:dyDescent="0.25">
      <c r="AT8641" s="74"/>
      <c r="AW8641" s="74"/>
    </row>
    <row r="8642" spans="46:49" x14ac:dyDescent="0.25">
      <c r="AT8642" s="74"/>
      <c r="AW8642" s="74"/>
    </row>
    <row r="8643" spans="46:49" x14ac:dyDescent="0.25">
      <c r="AT8643" s="74"/>
      <c r="AW8643" s="74"/>
    </row>
    <row r="8644" spans="46:49" x14ac:dyDescent="0.25">
      <c r="AT8644" s="74"/>
      <c r="AW8644" s="74"/>
    </row>
    <row r="8645" spans="46:49" x14ac:dyDescent="0.25">
      <c r="AT8645" s="74"/>
      <c r="AW8645" s="74"/>
    </row>
    <row r="8646" spans="46:49" x14ac:dyDescent="0.25">
      <c r="AT8646" s="74"/>
      <c r="AW8646" s="74"/>
    </row>
    <row r="8647" spans="46:49" x14ac:dyDescent="0.25">
      <c r="AT8647" s="74"/>
      <c r="AW8647" s="74"/>
    </row>
    <row r="8648" spans="46:49" x14ac:dyDescent="0.25">
      <c r="AT8648" s="74"/>
      <c r="AW8648" s="74"/>
    </row>
    <row r="8649" spans="46:49" x14ac:dyDescent="0.25">
      <c r="AT8649" s="74"/>
      <c r="AW8649" s="74"/>
    </row>
    <row r="8650" spans="46:49" x14ac:dyDescent="0.25">
      <c r="AT8650" s="74"/>
      <c r="AW8650" s="74"/>
    </row>
    <row r="8651" spans="46:49" x14ac:dyDescent="0.25">
      <c r="AT8651" s="74"/>
      <c r="AW8651" s="74"/>
    </row>
    <row r="8652" spans="46:49" x14ac:dyDescent="0.25">
      <c r="AT8652" s="74"/>
      <c r="AW8652" s="74"/>
    </row>
    <row r="8653" spans="46:49" x14ac:dyDescent="0.25">
      <c r="AT8653" s="74"/>
      <c r="AW8653" s="74"/>
    </row>
    <row r="8654" spans="46:49" x14ac:dyDescent="0.25">
      <c r="AT8654" s="74"/>
      <c r="AW8654" s="74"/>
    </row>
    <row r="8655" spans="46:49" x14ac:dyDescent="0.25">
      <c r="AT8655" s="74"/>
      <c r="AW8655" s="74"/>
    </row>
    <row r="8656" spans="46:49" x14ac:dyDescent="0.25">
      <c r="AT8656" s="74"/>
      <c r="AW8656" s="74"/>
    </row>
    <row r="8657" spans="46:49" x14ac:dyDescent="0.25">
      <c r="AT8657" s="74"/>
      <c r="AW8657" s="74"/>
    </row>
    <row r="8658" spans="46:49" x14ac:dyDescent="0.25">
      <c r="AT8658" s="74"/>
      <c r="AW8658" s="74"/>
    </row>
    <row r="8659" spans="46:49" x14ac:dyDescent="0.25">
      <c r="AT8659" s="74"/>
      <c r="AW8659" s="74"/>
    </row>
    <row r="8660" spans="46:49" x14ac:dyDescent="0.25">
      <c r="AT8660" s="74"/>
      <c r="AW8660" s="74"/>
    </row>
    <row r="8661" spans="46:49" x14ac:dyDescent="0.25">
      <c r="AT8661" s="74"/>
      <c r="AW8661" s="74"/>
    </row>
    <row r="8662" spans="46:49" x14ac:dyDescent="0.25">
      <c r="AT8662" s="74"/>
      <c r="AW8662" s="74"/>
    </row>
    <row r="8663" spans="46:49" x14ac:dyDescent="0.25">
      <c r="AT8663" s="74"/>
      <c r="AW8663" s="74"/>
    </row>
    <row r="8664" spans="46:49" x14ac:dyDescent="0.25">
      <c r="AT8664" s="74"/>
      <c r="AW8664" s="74"/>
    </row>
    <row r="8665" spans="46:49" x14ac:dyDescent="0.25">
      <c r="AT8665" s="74"/>
      <c r="AW8665" s="74"/>
    </row>
    <row r="8666" spans="46:49" x14ac:dyDescent="0.25">
      <c r="AT8666" s="74"/>
      <c r="AW8666" s="74"/>
    </row>
    <row r="8667" spans="46:49" x14ac:dyDescent="0.25">
      <c r="AT8667" s="74"/>
      <c r="AW8667" s="74"/>
    </row>
    <row r="8668" spans="46:49" x14ac:dyDescent="0.25">
      <c r="AT8668" s="74"/>
      <c r="AW8668" s="74"/>
    </row>
    <row r="8669" spans="46:49" x14ac:dyDescent="0.25">
      <c r="AT8669" s="74"/>
      <c r="AW8669" s="74"/>
    </row>
    <row r="8670" spans="46:49" x14ac:dyDescent="0.25">
      <c r="AT8670" s="74"/>
      <c r="AW8670" s="74"/>
    </row>
    <row r="8671" spans="46:49" x14ac:dyDescent="0.25">
      <c r="AT8671" s="74"/>
      <c r="AW8671" s="74"/>
    </row>
    <row r="8672" spans="46:49" x14ac:dyDescent="0.25">
      <c r="AT8672" s="74"/>
      <c r="AW8672" s="74"/>
    </row>
    <row r="8673" spans="46:49" x14ac:dyDescent="0.25">
      <c r="AT8673" s="74"/>
      <c r="AW8673" s="74"/>
    </row>
    <row r="8674" spans="46:49" x14ac:dyDescent="0.25">
      <c r="AT8674" s="74"/>
      <c r="AW8674" s="74"/>
    </row>
    <row r="8675" spans="46:49" x14ac:dyDescent="0.25">
      <c r="AT8675" s="74"/>
      <c r="AW8675" s="74"/>
    </row>
    <row r="8676" spans="46:49" x14ac:dyDescent="0.25">
      <c r="AT8676" s="74"/>
      <c r="AW8676" s="74"/>
    </row>
    <row r="8677" spans="46:49" x14ac:dyDescent="0.25">
      <c r="AT8677" s="74"/>
      <c r="AW8677" s="74"/>
    </row>
    <row r="8678" spans="46:49" x14ac:dyDescent="0.25">
      <c r="AT8678" s="74"/>
      <c r="AW8678" s="74"/>
    </row>
    <row r="8679" spans="46:49" x14ac:dyDescent="0.25">
      <c r="AT8679" s="74"/>
      <c r="AW8679" s="74"/>
    </row>
    <row r="8680" spans="46:49" x14ac:dyDescent="0.25">
      <c r="AT8680" s="74"/>
      <c r="AW8680" s="74"/>
    </row>
    <row r="8681" spans="46:49" x14ac:dyDescent="0.25">
      <c r="AT8681" s="74"/>
      <c r="AW8681" s="74"/>
    </row>
    <row r="8682" spans="46:49" x14ac:dyDescent="0.25">
      <c r="AT8682" s="74"/>
      <c r="AW8682" s="74"/>
    </row>
    <row r="8683" spans="46:49" x14ac:dyDescent="0.25">
      <c r="AT8683" s="74"/>
      <c r="AW8683" s="74"/>
    </row>
    <row r="8684" spans="46:49" x14ac:dyDescent="0.25">
      <c r="AT8684" s="74"/>
      <c r="AW8684" s="74"/>
    </row>
    <row r="8685" spans="46:49" x14ac:dyDescent="0.25">
      <c r="AT8685" s="74"/>
      <c r="AW8685" s="74"/>
    </row>
    <row r="8686" spans="46:49" x14ac:dyDescent="0.25">
      <c r="AT8686" s="74"/>
      <c r="AW8686" s="74"/>
    </row>
    <row r="8687" spans="46:49" x14ac:dyDescent="0.25">
      <c r="AT8687" s="74"/>
      <c r="AW8687" s="74"/>
    </row>
    <row r="8688" spans="46:49" x14ac:dyDescent="0.25">
      <c r="AT8688" s="74"/>
      <c r="AW8688" s="74"/>
    </row>
    <row r="8689" spans="46:49" x14ac:dyDescent="0.25">
      <c r="AT8689" s="74"/>
      <c r="AW8689" s="74"/>
    </row>
    <row r="8690" spans="46:49" x14ac:dyDescent="0.25">
      <c r="AT8690" s="74"/>
      <c r="AW8690" s="74"/>
    </row>
    <row r="8691" spans="46:49" x14ac:dyDescent="0.25">
      <c r="AT8691" s="74"/>
      <c r="AW8691" s="74"/>
    </row>
    <row r="8692" spans="46:49" x14ac:dyDescent="0.25">
      <c r="AT8692" s="74"/>
      <c r="AW8692" s="74"/>
    </row>
    <row r="8693" spans="46:49" x14ac:dyDescent="0.25">
      <c r="AT8693" s="74"/>
      <c r="AW8693" s="74"/>
    </row>
    <row r="8694" spans="46:49" x14ac:dyDescent="0.25">
      <c r="AT8694" s="74"/>
      <c r="AW8694" s="74"/>
    </row>
    <row r="8695" spans="46:49" x14ac:dyDescent="0.25">
      <c r="AT8695" s="74"/>
      <c r="AW8695" s="74"/>
    </row>
    <row r="8696" spans="46:49" x14ac:dyDescent="0.25">
      <c r="AT8696" s="74"/>
      <c r="AW8696" s="74"/>
    </row>
    <row r="8697" spans="46:49" x14ac:dyDescent="0.25">
      <c r="AT8697" s="74"/>
      <c r="AW8697" s="74"/>
    </row>
    <row r="8698" spans="46:49" x14ac:dyDescent="0.25">
      <c r="AT8698" s="74"/>
      <c r="AW8698" s="74"/>
    </row>
    <row r="8699" spans="46:49" x14ac:dyDescent="0.25">
      <c r="AT8699" s="74"/>
      <c r="AW8699" s="74"/>
    </row>
    <row r="8700" spans="46:49" x14ac:dyDescent="0.25">
      <c r="AT8700" s="74"/>
      <c r="AW8700" s="74"/>
    </row>
    <row r="8701" spans="46:49" x14ac:dyDescent="0.25">
      <c r="AT8701" s="74"/>
      <c r="AW8701" s="74"/>
    </row>
    <row r="8702" spans="46:49" x14ac:dyDescent="0.25">
      <c r="AT8702" s="74"/>
      <c r="AW8702" s="74"/>
    </row>
    <row r="8703" spans="46:49" x14ac:dyDescent="0.25">
      <c r="AT8703" s="74"/>
      <c r="AW8703" s="74"/>
    </row>
    <row r="8704" spans="46:49" x14ac:dyDescent="0.25">
      <c r="AT8704" s="74"/>
      <c r="AW8704" s="74"/>
    </row>
    <row r="8705" spans="46:49" x14ac:dyDescent="0.25">
      <c r="AT8705" s="74"/>
      <c r="AW8705" s="74"/>
    </row>
    <row r="8706" spans="46:49" x14ac:dyDescent="0.25">
      <c r="AT8706" s="74"/>
      <c r="AW8706" s="74"/>
    </row>
    <row r="8707" spans="46:49" x14ac:dyDescent="0.25">
      <c r="AT8707" s="74"/>
      <c r="AW8707" s="74"/>
    </row>
    <row r="8708" spans="46:49" x14ac:dyDescent="0.25">
      <c r="AT8708" s="74"/>
      <c r="AW8708" s="74"/>
    </row>
    <row r="8709" spans="46:49" x14ac:dyDescent="0.25">
      <c r="AT8709" s="74"/>
      <c r="AW8709" s="74"/>
    </row>
    <row r="8710" spans="46:49" x14ac:dyDescent="0.25">
      <c r="AT8710" s="74"/>
      <c r="AW8710" s="74"/>
    </row>
    <row r="8711" spans="46:49" x14ac:dyDescent="0.25">
      <c r="AT8711" s="74"/>
      <c r="AW8711" s="74"/>
    </row>
    <row r="8712" spans="46:49" x14ac:dyDescent="0.25">
      <c r="AT8712" s="74"/>
      <c r="AW8712" s="74"/>
    </row>
    <row r="8713" spans="46:49" x14ac:dyDescent="0.25">
      <c r="AT8713" s="74"/>
      <c r="AW8713" s="74"/>
    </row>
    <row r="8714" spans="46:49" x14ac:dyDescent="0.25">
      <c r="AT8714" s="74"/>
      <c r="AW8714" s="74"/>
    </row>
    <row r="8715" spans="46:49" x14ac:dyDescent="0.25">
      <c r="AT8715" s="74"/>
      <c r="AW8715" s="74"/>
    </row>
    <row r="8716" spans="46:49" x14ac:dyDescent="0.25">
      <c r="AT8716" s="74"/>
      <c r="AW8716" s="74"/>
    </row>
    <row r="8717" spans="46:49" x14ac:dyDescent="0.25">
      <c r="AT8717" s="74"/>
      <c r="AW8717" s="74"/>
    </row>
    <row r="8718" spans="46:49" x14ac:dyDescent="0.25">
      <c r="AT8718" s="74"/>
      <c r="AW8718" s="74"/>
    </row>
    <row r="8719" spans="46:49" x14ac:dyDescent="0.25">
      <c r="AT8719" s="74"/>
      <c r="AW8719" s="74"/>
    </row>
    <row r="8720" spans="46:49" x14ac:dyDescent="0.25">
      <c r="AT8720" s="74"/>
      <c r="AW8720" s="74"/>
    </row>
    <row r="8721" spans="46:49" x14ac:dyDescent="0.25">
      <c r="AT8721" s="74"/>
      <c r="AW8721" s="74"/>
    </row>
    <row r="8722" spans="46:49" x14ac:dyDescent="0.25">
      <c r="AT8722" s="74"/>
      <c r="AW8722" s="74"/>
    </row>
    <row r="8723" spans="46:49" x14ac:dyDescent="0.25">
      <c r="AT8723" s="74"/>
      <c r="AW8723" s="74"/>
    </row>
    <row r="8724" spans="46:49" x14ac:dyDescent="0.25">
      <c r="AT8724" s="74"/>
      <c r="AW8724" s="74"/>
    </row>
    <row r="8725" spans="46:49" x14ac:dyDescent="0.25">
      <c r="AT8725" s="74"/>
      <c r="AW8725" s="74"/>
    </row>
    <row r="8726" spans="46:49" x14ac:dyDescent="0.25">
      <c r="AT8726" s="74"/>
      <c r="AW8726" s="74"/>
    </row>
    <row r="8727" spans="46:49" x14ac:dyDescent="0.25">
      <c r="AT8727" s="74"/>
      <c r="AW8727" s="74"/>
    </row>
    <row r="8728" spans="46:49" x14ac:dyDescent="0.25">
      <c r="AT8728" s="74"/>
      <c r="AW8728" s="74"/>
    </row>
    <row r="8729" spans="46:49" x14ac:dyDescent="0.25">
      <c r="AT8729" s="74"/>
      <c r="AW8729" s="74"/>
    </row>
    <row r="8730" spans="46:49" x14ac:dyDescent="0.25">
      <c r="AT8730" s="74"/>
      <c r="AW8730" s="74"/>
    </row>
    <row r="8731" spans="46:49" x14ac:dyDescent="0.25">
      <c r="AT8731" s="74"/>
      <c r="AW8731" s="74"/>
    </row>
    <row r="8732" spans="46:49" x14ac:dyDescent="0.25">
      <c r="AT8732" s="74"/>
      <c r="AW8732" s="74"/>
    </row>
    <row r="8733" spans="46:49" x14ac:dyDescent="0.25">
      <c r="AT8733" s="74"/>
      <c r="AW8733" s="74"/>
    </row>
    <row r="8734" spans="46:49" x14ac:dyDescent="0.25">
      <c r="AT8734" s="74"/>
      <c r="AW8734" s="74"/>
    </row>
    <row r="8735" spans="46:49" x14ac:dyDescent="0.25">
      <c r="AT8735" s="74"/>
      <c r="AW8735" s="74"/>
    </row>
    <row r="8736" spans="46:49" x14ac:dyDescent="0.25">
      <c r="AT8736" s="74"/>
      <c r="AW8736" s="74"/>
    </row>
    <row r="8737" spans="46:49" x14ac:dyDescent="0.25">
      <c r="AT8737" s="74"/>
      <c r="AW8737" s="74"/>
    </row>
    <row r="8738" spans="46:49" x14ac:dyDescent="0.25">
      <c r="AT8738" s="74"/>
      <c r="AW8738" s="74"/>
    </row>
    <row r="8739" spans="46:49" x14ac:dyDescent="0.25">
      <c r="AT8739" s="74"/>
      <c r="AW8739" s="74"/>
    </row>
    <row r="8740" spans="46:49" x14ac:dyDescent="0.25">
      <c r="AT8740" s="74"/>
      <c r="AW8740" s="74"/>
    </row>
    <row r="8741" spans="46:49" x14ac:dyDescent="0.25">
      <c r="AT8741" s="74"/>
      <c r="AW8741" s="74"/>
    </row>
    <row r="8742" spans="46:49" x14ac:dyDescent="0.25">
      <c r="AT8742" s="74"/>
      <c r="AW8742" s="74"/>
    </row>
    <row r="8743" spans="46:49" x14ac:dyDescent="0.25">
      <c r="AT8743" s="74"/>
      <c r="AW8743" s="74"/>
    </row>
    <row r="8744" spans="46:49" x14ac:dyDescent="0.25">
      <c r="AT8744" s="74"/>
      <c r="AW8744" s="74"/>
    </row>
    <row r="8745" spans="46:49" x14ac:dyDescent="0.25">
      <c r="AT8745" s="74"/>
      <c r="AW8745" s="74"/>
    </row>
    <row r="8746" spans="46:49" x14ac:dyDescent="0.25">
      <c r="AT8746" s="74"/>
      <c r="AW8746" s="74"/>
    </row>
    <row r="8747" spans="46:49" x14ac:dyDescent="0.25">
      <c r="AT8747" s="74"/>
      <c r="AW8747" s="74"/>
    </row>
    <row r="8748" spans="46:49" x14ac:dyDescent="0.25">
      <c r="AT8748" s="74"/>
      <c r="AW8748" s="74"/>
    </row>
    <row r="8749" spans="46:49" x14ac:dyDescent="0.25">
      <c r="AT8749" s="74"/>
      <c r="AW8749" s="74"/>
    </row>
    <row r="8750" spans="46:49" x14ac:dyDescent="0.25">
      <c r="AT8750" s="74"/>
      <c r="AW8750" s="74"/>
    </row>
    <row r="8751" spans="46:49" x14ac:dyDescent="0.25">
      <c r="AT8751" s="74"/>
      <c r="AW8751" s="74"/>
    </row>
    <row r="8752" spans="46:49" x14ac:dyDescent="0.25">
      <c r="AT8752" s="74"/>
      <c r="AW8752" s="74"/>
    </row>
    <row r="8753" spans="46:49" x14ac:dyDescent="0.25">
      <c r="AT8753" s="74"/>
      <c r="AW8753" s="74"/>
    </row>
    <row r="8754" spans="46:49" x14ac:dyDescent="0.25">
      <c r="AT8754" s="74"/>
      <c r="AW8754" s="74"/>
    </row>
    <row r="8755" spans="46:49" x14ac:dyDescent="0.25">
      <c r="AT8755" s="74"/>
      <c r="AW8755" s="74"/>
    </row>
    <row r="8756" spans="46:49" x14ac:dyDescent="0.25">
      <c r="AT8756" s="74"/>
      <c r="AW8756" s="74"/>
    </row>
    <row r="8757" spans="46:49" x14ac:dyDescent="0.25">
      <c r="AT8757" s="74"/>
      <c r="AW8757" s="74"/>
    </row>
    <row r="8758" spans="46:49" x14ac:dyDescent="0.25">
      <c r="AT8758" s="74"/>
      <c r="AW8758" s="74"/>
    </row>
    <row r="8759" spans="46:49" x14ac:dyDescent="0.25">
      <c r="AT8759" s="74"/>
      <c r="AW8759" s="74"/>
    </row>
    <row r="8760" spans="46:49" x14ac:dyDescent="0.25">
      <c r="AT8760" s="74"/>
      <c r="AW8760" s="74"/>
    </row>
    <row r="8761" spans="46:49" x14ac:dyDescent="0.25">
      <c r="AT8761" s="74"/>
      <c r="AW8761" s="74"/>
    </row>
    <row r="8762" spans="46:49" x14ac:dyDescent="0.25">
      <c r="AT8762" s="74"/>
      <c r="AW8762" s="74"/>
    </row>
    <row r="8763" spans="46:49" x14ac:dyDescent="0.25">
      <c r="AT8763" s="74"/>
      <c r="AW8763" s="74"/>
    </row>
    <row r="8764" spans="46:49" x14ac:dyDescent="0.25">
      <c r="AT8764" s="74"/>
      <c r="AW8764" s="74"/>
    </row>
    <row r="8765" spans="46:49" x14ac:dyDescent="0.25">
      <c r="AT8765" s="74"/>
      <c r="AW8765" s="74"/>
    </row>
    <row r="8766" spans="46:49" x14ac:dyDescent="0.25">
      <c r="AT8766" s="74"/>
      <c r="AW8766" s="74"/>
    </row>
    <row r="8767" spans="46:49" x14ac:dyDescent="0.25">
      <c r="AT8767" s="74"/>
      <c r="AW8767" s="74"/>
    </row>
    <row r="8768" spans="46:49" x14ac:dyDescent="0.25">
      <c r="AT8768" s="74"/>
      <c r="AW8768" s="74"/>
    </row>
    <row r="8769" spans="46:49" x14ac:dyDescent="0.25">
      <c r="AT8769" s="74"/>
      <c r="AW8769" s="74"/>
    </row>
    <row r="8770" spans="46:49" x14ac:dyDescent="0.25">
      <c r="AT8770" s="74"/>
      <c r="AW8770" s="74"/>
    </row>
    <row r="8771" spans="46:49" x14ac:dyDescent="0.25">
      <c r="AT8771" s="74"/>
      <c r="AW8771" s="74"/>
    </row>
    <row r="8772" spans="46:49" x14ac:dyDescent="0.25">
      <c r="AT8772" s="74"/>
      <c r="AW8772" s="74"/>
    </row>
    <row r="8773" spans="46:49" x14ac:dyDescent="0.25">
      <c r="AT8773" s="74"/>
      <c r="AW8773" s="74"/>
    </row>
    <row r="8774" spans="46:49" x14ac:dyDescent="0.25">
      <c r="AT8774" s="74"/>
      <c r="AW8774" s="74"/>
    </row>
    <row r="8775" spans="46:49" x14ac:dyDescent="0.25">
      <c r="AT8775" s="74"/>
      <c r="AW8775" s="74"/>
    </row>
    <row r="8776" spans="46:49" x14ac:dyDescent="0.25">
      <c r="AT8776" s="74"/>
      <c r="AW8776" s="74"/>
    </row>
    <row r="8777" spans="46:49" x14ac:dyDescent="0.25">
      <c r="AT8777" s="74"/>
      <c r="AW8777" s="74"/>
    </row>
    <row r="8778" spans="46:49" x14ac:dyDescent="0.25">
      <c r="AT8778" s="74"/>
      <c r="AW8778" s="74"/>
    </row>
    <row r="8779" spans="46:49" x14ac:dyDescent="0.25">
      <c r="AT8779" s="74"/>
      <c r="AW8779" s="74"/>
    </row>
    <row r="8780" spans="46:49" x14ac:dyDescent="0.25">
      <c r="AT8780" s="74"/>
      <c r="AW8780" s="74"/>
    </row>
    <row r="8781" spans="46:49" x14ac:dyDescent="0.25">
      <c r="AT8781" s="74"/>
      <c r="AW8781" s="74"/>
    </row>
    <row r="8782" spans="46:49" x14ac:dyDescent="0.25">
      <c r="AT8782" s="74"/>
      <c r="AW8782" s="74"/>
    </row>
    <row r="8783" spans="46:49" x14ac:dyDescent="0.25">
      <c r="AT8783" s="74"/>
      <c r="AW8783" s="74"/>
    </row>
    <row r="8784" spans="46:49" x14ac:dyDescent="0.25">
      <c r="AT8784" s="74"/>
      <c r="AW8784" s="74"/>
    </row>
    <row r="8785" spans="46:49" x14ac:dyDescent="0.25">
      <c r="AT8785" s="74"/>
      <c r="AW8785" s="74"/>
    </row>
    <row r="8786" spans="46:49" x14ac:dyDescent="0.25">
      <c r="AT8786" s="74"/>
      <c r="AW8786" s="74"/>
    </row>
    <row r="8787" spans="46:49" x14ac:dyDescent="0.25">
      <c r="AT8787" s="74"/>
      <c r="AW8787" s="74"/>
    </row>
    <row r="8788" spans="46:49" x14ac:dyDescent="0.25">
      <c r="AT8788" s="74"/>
      <c r="AW8788" s="74"/>
    </row>
    <row r="8789" spans="46:49" x14ac:dyDescent="0.25">
      <c r="AT8789" s="74"/>
      <c r="AW8789" s="74"/>
    </row>
    <row r="8790" spans="46:49" x14ac:dyDescent="0.25">
      <c r="AT8790" s="74"/>
      <c r="AW8790" s="74"/>
    </row>
    <row r="8791" spans="46:49" x14ac:dyDescent="0.25">
      <c r="AT8791" s="74"/>
      <c r="AW8791" s="74"/>
    </row>
    <row r="8792" spans="46:49" x14ac:dyDescent="0.25">
      <c r="AT8792" s="74"/>
      <c r="AW8792" s="74"/>
    </row>
    <row r="8793" spans="46:49" x14ac:dyDescent="0.25">
      <c r="AT8793" s="74"/>
      <c r="AW8793" s="74"/>
    </row>
    <row r="8794" spans="46:49" x14ac:dyDescent="0.25">
      <c r="AT8794" s="74"/>
      <c r="AW8794" s="74"/>
    </row>
    <row r="8795" spans="46:49" x14ac:dyDescent="0.25">
      <c r="AT8795" s="74"/>
      <c r="AW8795" s="74"/>
    </row>
    <row r="8796" spans="46:49" x14ac:dyDescent="0.25">
      <c r="AT8796" s="74"/>
      <c r="AW8796" s="74"/>
    </row>
    <row r="8797" spans="46:49" x14ac:dyDescent="0.25">
      <c r="AT8797" s="74"/>
      <c r="AW8797" s="74"/>
    </row>
    <row r="8798" spans="46:49" x14ac:dyDescent="0.25">
      <c r="AT8798" s="74"/>
      <c r="AW8798" s="74"/>
    </row>
    <row r="8799" spans="46:49" x14ac:dyDescent="0.25">
      <c r="AT8799" s="74"/>
      <c r="AW8799" s="74"/>
    </row>
    <row r="8800" spans="46:49" x14ac:dyDescent="0.25">
      <c r="AT8800" s="74"/>
      <c r="AW8800" s="74"/>
    </row>
    <row r="8801" spans="46:49" x14ac:dyDescent="0.25">
      <c r="AT8801" s="74"/>
      <c r="AW8801" s="74"/>
    </row>
    <row r="8802" spans="46:49" x14ac:dyDescent="0.25">
      <c r="AT8802" s="74"/>
      <c r="AW8802" s="74"/>
    </row>
    <row r="8803" spans="46:49" x14ac:dyDescent="0.25">
      <c r="AT8803" s="74"/>
      <c r="AW8803" s="74"/>
    </row>
    <row r="8804" spans="46:49" x14ac:dyDescent="0.25">
      <c r="AT8804" s="74"/>
      <c r="AW8804" s="74"/>
    </row>
    <row r="8805" spans="46:49" x14ac:dyDescent="0.25">
      <c r="AT8805" s="74"/>
      <c r="AW8805" s="74"/>
    </row>
    <row r="8806" spans="46:49" x14ac:dyDescent="0.25">
      <c r="AT8806" s="74"/>
      <c r="AW8806" s="74"/>
    </row>
    <row r="8807" spans="46:49" x14ac:dyDescent="0.25">
      <c r="AT8807" s="74"/>
      <c r="AW8807" s="74"/>
    </row>
    <row r="8808" spans="46:49" x14ac:dyDescent="0.25">
      <c r="AT8808" s="74"/>
      <c r="AW8808" s="74"/>
    </row>
    <row r="8809" spans="46:49" x14ac:dyDescent="0.25">
      <c r="AT8809" s="74"/>
      <c r="AW8809" s="74"/>
    </row>
    <row r="8810" spans="46:49" x14ac:dyDescent="0.25">
      <c r="AT8810" s="74"/>
      <c r="AW8810" s="74"/>
    </row>
    <row r="8811" spans="46:49" x14ac:dyDescent="0.25">
      <c r="AT8811" s="74"/>
      <c r="AW8811" s="74"/>
    </row>
    <row r="8812" spans="46:49" x14ac:dyDescent="0.25">
      <c r="AT8812" s="74"/>
      <c r="AW8812" s="74"/>
    </row>
    <row r="8813" spans="46:49" x14ac:dyDescent="0.25">
      <c r="AT8813" s="74"/>
      <c r="AW8813" s="74"/>
    </row>
    <row r="8814" spans="46:49" x14ac:dyDescent="0.25">
      <c r="AT8814" s="74"/>
      <c r="AW8814" s="74"/>
    </row>
    <row r="8815" spans="46:49" x14ac:dyDescent="0.25">
      <c r="AT8815" s="74"/>
      <c r="AW8815" s="74"/>
    </row>
    <row r="8816" spans="46:49" x14ac:dyDescent="0.25">
      <c r="AT8816" s="74"/>
      <c r="AW8816" s="74"/>
    </row>
    <row r="8817" spans="46:49" x14ac:dyDescent="0.25">
      <c r="AT8817" s="74"/>
      <c r="AW8817" s="74"/>
    </row>
    <row r="8818" spans="46:49" x14ac:dyDescent="0.25">
      <c r="AT8818" s="74"/>
      <c r="AW8818" s="74"/>
    </row>
    <row r="8819" spans="46:49" x14ac:dyDescent="0.25">
      <c r="AT8819" s="74"/>
      <c r="AW8819" s="74"/>
    </row>
    <row r="8820" spans="46:49" x14ac:dyDescent="0.25">
      <c r="AT8820" s="74"/>
      <c r="AW8820" s="74"/>
    </row>
    <row r="8821" spans="46:49" x14ac:dyDescent="0.25">
      <c r="AT8821" s="74"/>
      <c r="AW8821" s="74"/>
    </row>
    <row r="8822" spans="46:49" x14ac:dyDescent="0.25">
      <c r="AT8822" s="74"/>
      <c r="AW8822" s="74"/>
    </row>
    <row r="8823" spans="46:49" x14ac:dyDescent="0.25">
      <c r="AT8823" s="74"/>
      <c r="AW8823" s="74"/>
    </row>
    <row r="8824" spans="46:49" x14ac:dyDescent="0.25">
      <c r="AT8824" s="74"/>
      <c r="AW8824" s="74"/>
    </row>
    <row r="8825" spans="46:49" x14ac:dyDescent="0.25">
      <c r="AT8825" s="74"/>
      <c r="AW8825" s="74"/>
    </row>
    <row r="8826" spans="46:49" x14ac:dyDescent="0.25">
      <c r="AT8826" s="74"/>
      <c r="AW8826" s="74"/>
    </row>
    <row r="8827" spans="46:49" x14ac:dyDescent="0.25">
      <c r="AT8827" s="74"/>
      <c r="AW8827" s="74"/>
    </row>
    <row r="8828" spans="46:49" x14ac:dyDescent="0.25">
      <c r="AT8828" s="74"/>
      <c r="AW8828" s="74"/>
    </row>
    <row r="8829" spans="46:49" x14ac:dyDescent="0.25">
      <c r="AT8829" s="74"/>
      <c r="AW8829" s="74"/>
    </row>
    <row r="8830" spans="46:49" x14ac:dyDescent="0.25">
      <c r="AT8830" s="74"/>
      <c r="AW8830" s="74"/>
    </row>
    <row r="8831" spans="46:49" x14ac:dyDescent="0.25">
      <c r="AT8831" s="74"/>
      <c r="AW8831" s="74"/>
    </row>
    <row r="8832" spans="46:49" x14ac:dyDescent="0.25">
      <c r="AT8832" s="74"/>
      <c r="AW8832" s="74"/>
    </row>
    <row r="8833" spans="46:49" x14ac:dyDescent="0.25">
      <c r="AT8833" s="74"/>
      <c r="AW8833" s="74"/>
    </row>
    <row r="8834" spans="46:49" x14ac:dyDescent="0.25">
      <c r="AT8834" s="74"/>
      <c r="AW8834" s="74"/>
    </row>
    <row r="8835" spans="46:49" x14ac:dyDescent="0.25">
      <c r="AT8835" s="74"/>
      <c r="AW8835" s="74"/>
    </row>
    <row r="8836" spans="46:49" x14ac:dyDescent="0.25">
      <c r="AT8836" s="74"/>
      <c r="AW8836" s="74"/>
    </row>
    <row r="8837" spans="46:49" x14ac:dyDescent="0.25">
      <c r="AT8837" s="74"/>
      <c r="AW8837" s="74"/>
    </row>
    <row r="8838" spans="46:49" x14ac:dyDescent="0.25">
      <c r="AT8838" s="74"/>
      <c r="AW8838" s="74"/>
    </row>
    <row r="8839" spans="46:49" x14ac:dyDescent="0.25">
      <c r="AT8839" s="74"/>
      <c r="AW8839" s="74"/>
    </row>
    <row r="8840" spans="46:49" x14ac:dyDescent="0.25">
      <c r="AT8840" s="74"/>
      <c r="AW8840" s="74"/>
    </row>
    <row r="8841" spans="46:49" x14ac:dyDescent="0.25">
      <c r="AT8841" s="74"/>
      <c r="AW8841" s="74"/>
    </row>
    <row r="8842" spans="46:49" x14ac:dyDescent="0.25">
      <c r="AT8842" s="74"/>
      <c r="AW8842" s="74"/>
    </row>
    <row r="8843" spans="46:49" x14ac:dyDescent="0.25">
      <c r="AT8843" s="74"/>
      <c r="AW8843" s="74"/>
    </row>
    <row r="8844" spans="46:49" x14ac:dyDescent="0.25">
      <c r="AT8844" s="74"/>
      <c r="AW8844" s="74"/>
    </row>
    <row r="8845" spans="46:49" x14ac:dyDescent="0.25">
      <c r="AT8845" s="74"/>
      <c r="AW8845" s="74"/>
    </row>
    <row r="8846" spans="46:49" x14ac:dyDescent="0.25">
      <c r="AT8846" s="74"/>
      <c r="AW8846" s="74"/>
    </row>
    <row r="8847" spans="46:49" x14ac:dyDescent="0.25">
      <c r="AT8847" s="74"/>
      <c r="AW8847" s="74"/>
    </row>
    <row r="8848" spans="46:49" x14ac:dyDescent="0.25">
      <c r="AT8848" s="74"/>
      <c r="AW8848" s="74"/>
    </row>
    <row r="8849" spans="46:49" x14ac:dyDescent="0.25">
      <c r="AT8849" s="74"/>
      <c r="AW8849" s="74"/>
    </row>
    <row r="8850" spans="46:49" x14ac:dyDescent="0.25">
      <c r="AT8850" s="74"/>
      <c r="AW8850" s="74"/>
    </row>
    <row r="8851" spans="46:49" x14ac:dyDescent="0.25">
      <c r="AT8851" s="74"/>
      <c r="AW8851" s="74"/>
    </row>
    <row r="8852" spans="46:49" x14ac:dyDescent="0.25">
      <c r="AT8852" s="74"/>
      <c r="AW8852" s="74"/>
    </row>
    <row r="8853" spans="46:49" x14ac:dyDescent="0.25">
      <c r="AT8853" s="74"/>
      <c r="AW8853" s="74"/>
    </row>
    <row r="8854" spans="46:49" x14ac:dyDescent="0.25">
      <c r="AT8854" s="74"/>
      <c r="AW8854" s="74"/>
    </row>
    <row r="8855" spans="46:49" x14ac:dyDescent="0.25">
      <c r="AT8855" s="74"/>
      <c r="AW8855" s="74"/>
    </row>
    <row r="8856" spans="46:49" x14ac:dyDescent="0.25">
      <c r="AT8856" s="74"/>
      <c r="AW8856" s="74"/>
    </row>
    <row r="8857" spans="46:49" x14ac:dyDescent="0.25">
      <c r="AT8857" s="74"/>
      <c r="AW8857" s="74"/>
    </row>
    <row r="8858" spans="46:49" x14ac:dyDescent="0.25">
      <c r="AT8858" s="74"/>
      <c r="AW8858" s="74"/>
    </row>
    <row r="8859" spans="46:49" x14ac:dyDescent="0.25">
      <c r="AT8859" s="74"/>
      <c r="AW8859" s="74"/>
    </row>
    <row r="8860" spans="46:49" x14ac:dyDescent="0.25">
      <c r="AT8860" s="74"/>
      <c r="AW8860" s="74"/>
    </row>
    <row r="8861" spans="46:49" x14ac:dyDescent="0.25">
      <c r="AT8861" s="74"/>
      <c r="AW8861" s="74"/>
    </row>
    <row r="8862" spans="46:49" x14ac:dyDescent="0.25">
      <c r="AT8862" s="74"/>
      <c r="AW8862" s="74"/>
    </row>
    <row r="8863" spans="46:49" x14ac:dyDescent="0.25">
      <c r="AT8863" s="74"/>
      <c r="AW8863" s="74"/>
    </row>
    <row r="8864" spans="46:49" x14ac:dyDescent="0.25">
      <c r="AT8864" s="74"/>
      <c r="AW8864" s="74"/>
    </row>
    <row r="8865" spans="46:49" x14ac:dyDescent="0.25">
      <c r="AT8865" s="74"/>
      <c r="AW8865" s="74"/>
    </row>
    <row r="8866" spans="46:49" x14ac:dyDescent="0.25">
      <c r="AT8866" s="74"/>
      <c r="AW8866" s="74"/>
    </row>
    <row r="8867" spans="46:49" x14ac:dyDescent="0.25">
      <c r="AT8867" s="74"/>
      <c r="AW8867" s="74"/>
    </row>
    <row r="8868" spans="46:49" x14ac:dyDescent="0.25">
      <c r="AT8868" s="74"/>
      <c r="AW8868" s="74"/>
    </row>
    <row r="8869" spans="46:49" x14ac:dyDescent="0.25">
      <c r="AT8869" s="74"/>
      <c r="AW8869" s="74"/>
    </row>
    <row r="8870" spans="46:49" x14ac:dyDescent="0.25">
      <c r="AT8870" s="74"/>
      <c r="AW8870" s="74"/>
    </row>
    <row r="8871" spans="46:49" x14ac:dyDescent="0.25">
      <c r="AT8871" s="74"/>
      <c r="AW8871" s="74"/>
    </row>
    <row r="8872" spans="46:49" x14ac:dyDescent="0.25">
      <c r="AT8872" s="74"/>
      <c r="AW8872" s="74"/>
    </row>
    <row r="8873" spans="46:49" x14ac:dyDescent="0.25">
      <c r="AT8873" s="74"/>
      <c r="AW8873" s="74"/>
    </row>
    <row r="8874" spans="46:49" x14ac:dyDescent="0.25">
      <c r="AT8874" s="74"/>
      <c r="AW8874" s="74"/>
    </row>
    <row r="8875" spans="46:49" x14ac:dyDescent="0.25">
      <c r="AT8875" s="74"/>
      <c r="AW8875" s="74"/>
    </row>
    <row r="8876" spans="46:49" x14ac:dyDescent="0.25">
      <c r="AT8876" s="74"/>
      <c r="AW8876" s="74"/>
    </row>
    <row r="8877" spans="46:49" x14ac:dyDescent="0.25">
      <c r="AT8877" s="74"/>
      <c r="AW8877" s="74"/>
    </row>
    <row r="8878" spans="46:49" x14ac:dyDescent="0.25">
      <c r="AT8878" s="74"/>
      <c r="AW8878" s="74"/>
    </row>
    <row r="8879" spans="46:49" x14ac:dyDescent="0.25">
      <c r="AT8879" s="74"/>
      <c r="AW8879" s="74"/>
    </row>
    <row r="8880" spans="46:49" x14ac:dyDescent="0.25">
      <c r="AT8880" s="74"/>
      <c r="AW8880" s="74"/>
    </row>
    <row r="8881" spans="46:49" x14ac:dyDescent="0.25">
      <c r="AT8881" s="74"/>
      <c r="AW8881" s="74"/>
    </row>
    <row r="8882" spans="46:49" x14ac:dyDescent="0.25">
      <c r="AT8882" s="74"/>
      <c r="AW8882" s="74"/>
    </row>
    <row r="8883" spans="46:49" x14ac:dyDescent="0.25">
      <c r="AT8883" s="74"/>
      <c r="AW8883" s="74"/>
    </row>
    <row r="8884" spans="46:49" x14ac:dyDescent="0.25">
      <c r="AT8884" s="74"/>
      <c r="AW8884" s="74"/>
    </row>
    <row r="8885" spans="46:49" x14ac:dyDescent="0.25">
      <c r="AT8885" s="74"/>
      <c r="AW8885" s="74"/>
    </row>
    <row r="8886" spans="46:49" x14ac:dyDescent="0.25">
      <c r="AT8886" s="74"/>
      <c r="AW8886" s="74"/>
    </row>
    <row r="8887" spans="46:49" x14ac:dyDescent="0.25">
      <c r="AT8887" s="74"/>
      <c r="AW8887" s="74"/>
    </row>
    <row r="8888" spans="46:49" x14ac:dyDescent="0.25">
      <c r="AT8888" s="74"/>
      <c r="AW8888" s="74"/>
    </row>
    <row r="8889" spans="46:49" x14ac:dyDescent="0.25">
      <c r="AT8889" s="74"/>
      <c r="AW8889" s="74"/>
    </row>
    <row r="8890" spans="46:49" x14ac:dyDescent="0.25">
      <c r="AT8890" s="74"/>
      <c r="AW8890" s="74"/>
    </row>
    <row r="8891" spans="46:49" x14ac:dyDescent="0.25">
      <c r="AT8891" s="74"/>
      <c r="AW8891" s="74"/>
    </row>
    <row r="8892" spans="46:49" x14ac:dyDescent="0.25">
      <c r="AT8892" s="74"/>
      <c r="AW8892" s="74"/>
    </row>
    <row r="8893" spans="46:49" x14ac:dyDescent="0.25">
      <c r="AT8893" s="74"/>
      <c r="AW8893" s="74"/>
    </row>
    <row r="8894" spans="46:49" x14ac:dyDescent="0.25">
      <c r="AT8894" s="74"/>
      <c r="AW8894" s="74"/>
    </row>
    <row r="8895" spans="46:49" x14ac:dyDescent="0.25">
      <c r="AT8895" s="74"/>
      <c r="AW8895" s="74"/>
    </row>
    <row r="8896" spans="46:49" x14ac:dyDescent="0.25">
      <c r="AT8896" s="74"/>
      <c r="AW8896" s="74"/>
    </row>
    <row r="8897" spans="46:49" x14ac:dyDescent="0.25">
      <c r="AT8897" s="74"/>
      <c r="AW8897" s="74"/>
    </row>
    <row r="8898" spans="46:49" x14ac:dyDescent="0.25">
      <c r="AT8898" s="74"/>
      <c r="AW8898" s="74"/>
    </row>
    <row r="8899" spans="46:49" x14ac:dyDescent="0.25">
      <c r="AT8899" s="74"/>
      <c r="AW8899" s="74"/>
    </row>
    <row r="8900" spans="46:49" x14ac:dyDescent="0.25">
      <c r="AT8900" s="74"/>
      <c r="AW8900" s="74"/>
    </row>
    <row r="8901" spans="46:49" x14ac:dyDescent="0.25">
      <c r="AT8901" s="74"/>
      <c r="AW8901" s="74"/>
    </row>
    <row r="8902" spans="46:49" x14ac:dyDescent="0.25">
      <c r="AT8902" s="74"/>
      <c r="AW8902" s="74"/>
    </row>
    <row r="8903" spans="46:49" x14ac:dyDescent="0.25">
      <c r="AT8903" s="74"/>
      <c r="AW8903" s="74"/>
    </row>
    <row r="8904" spans="46:49" x14ac:dyDescent="0.25">
      <c r="AT8904" s="74"/>
      <c r="AW8904" s="74"/>
    </row>
    <row r="8905" spans="46:49" x14ac:dyDescent="0.25">
      <c r="AT8905" s="74"/>
      <c r="AW8905" s="74"/>
    </row>
    <row r="8906" spans="46:49" x14ac:dyDescent="0.25">
      <c r="AT8906" s="74"/>
      <c r="AW8906" s="74"/>
    </row>
    <row r="8907" spans="46:49" x14ac:dyDescent="0.25">
      <c r="AT8907" s="74"/>
      <c r="AW8907" s="74"/>
    </row>
    <row r="8908" spans="46:49" x14ac:dyDescent="0.25">
      <c r="AT8908" s="74"/>
      <c r="AW8908" s="74"/>
    </row>
    <row r="8909" spans="46:49" x14ac:dyDescent="0.25">
      <c r="AT8909" s="74"/>
      <c r="AW8909" s="74"/>
    </row>
    <row r="8910" spans="46:49" x14ac:dyDescent="0.25">
      <c r="AT8910" s="74"/>
      <c r="AW8910" s="74"/>
    </row>
    <row r="8911" spans="46:49" x14ac:dyDescent="0.25">
      <c r="AT8911" s="74"/>
      <c r="AW8911" s="74"/>
    </row>
    <row r="8912" spans="46:49" x14ac:dyDescent="0.25">
      <c r="AT8912" s="74"/>
      <c r="AW8912" s="74"/>
    </row>
    <row r="8913" spans="46:49" x14ac:dyDescent="0.25">
      <c r="AT8913" s="74"/>
      <c r="AW8913" s="74"/>
    </row>
    <row r="8914" spans="46:49" x14ac:dyDescent="0.25">
      <c r="AT8914" s="74"/>
      <c r="AW8914" s="74"/>
    </row>
    <row r="8915" spans="46:49" x14ac:dyDescent="0.25">
      <c r="AT8915" s="74"/>
      <c r="AW8915" s="74"/>
    </row>
    <row r="8916" spans="46:49" x14ac:dyDescent="0.25">
      <c r="AT8916" s="74"/>
      <c r="AW8916" s="74"/>
    </row>
    <row r="8917" spans="46:49" x14ac:dyDescent="0.25">
      <c r="AT8917" s="74"/>
      <c r="AW8917" s="74"/>
    </row>
    <row r="8918" spans="46:49" x14ac:dyDescent="0.25">
      <c r="AT8918" s="74"/>
      <c r="AW8918" s="74"/>
    </row>
    <row r="8919" spans="46:49" x14ac:dyDescent="0.25">
      <c r="AT8919" s="74"/>
      <c r="AW8919" s="74"/>
    </row>
    <row r="8920" spans="46:49" x14ac:dyDescent="0.25">
      <c r="AT8920" s="74"/>
      <c r="AW8920" s="74"/>
    </row>
    <row r="8921" spans="46:49" x14ac:dyDescent="0.25">
      <c r="AT8921" s="74"/>
      <c r="AW8921" s="74"/>
    </row>
    <row r="8922" spans="46:49" x14ac:dyDescent="0.25">
      <c r="AT8922" s="74"/>
      <c r="AW8922" s="74"/>
    </row>
    <row r="8923" spans="46:49" x14ac:dyDescent="0.25">
      <c r="AT8923" s="74"/>
      <c r="AW8923" s="74"/>
    </row>
    <row r="8924" spans="46:49" x14ac:dyDescent="0.25">
      <c r="AT8924" s="74"/>
      <c r="AW8924" s="74"/>
    </row>
    <row r="8925" spans="46:49" x14ac:dyDescent="0.25">
      <c r="AT8925" s="74"/>
      <c r="AW8925" s="74"/>
    </row>
    <row r="8926" spans="46:49" x14ac:dyDescent="0.25">
      <c r="AT8926" s="74"/>
      <c r="AW8926" s="74"/>
    </row>
    <row r="8927" spans="46:49" x14ac:dyDescent="0.25">
      <c r="AT8927" s="74"/>
      <c r="AW8927" s="74"/>
    </row>
    <row r="8928" spans="46:49" x14ac:dyDescent="0.25">
      <c r="AT8928" s="74"/>
      <c r="AW8928" s="74"/>
    </row>
    <row r="8929" spans="46:49" x14ac:dyDescent="0.25">
      <c r="AT8929" s="74"/>
      <c r="AW8929" s="74"/>
    </row>
    <row r="8930" spans="46:49" x14ac:dyDescent="0.25">
      <c r="AT8930" s="74"/>
      <c r="AW8930" s="74"/>
    </row>
    <row r="8931" spans="46:49" x14ac:dyDescent="0.25">
      <c r="AT8931" s="74"/>
      <c r="AW8931" s="74"/>
    </row>
    <row r="8932" spans="46:49" x14ac:dyDescent="0.25">
      <c r="AT8932" s="74"/>
      <c r="AW8932" s="74"/>
    </row>
    <row r="8933" spans="46:49" x14ac:dyDescent="0.25">
      <c r="AT8933" s="74"/>
      <c r="AW8933" s="74"/>
    </row>
    <row r="8934" spans="46:49" x14ac:dyDescent="0.25">
      <c r="AT8934" s="74"/>
      <c r="AW8934" s="74"/>
    </row>
    <row r="8935" spans="46:49" x14ac:dyDescent="0.25">
      <c r="AT8935" s="74"/>
      <c r="AW8935" s="74"/>
    </row>
    <row r="8936" spans="46:49" x14ac:dyDescent="0.25">
      <c r="AT8936" s="74"/>
      <c r="AW8936" s="74"/>
    </row>
    <row r="8937" spans="46:49" x14ac:dyDescent="0.25">
      <c r="AT8937" s="74"/>
      <c r="AW8937" s="74"/>
    </row>
    <row r="8938" spans="46:49" x14ac:dyDescent="0.25">
      <c r="AT8938" s="74"/>
      <c r="AW8938" s="74"/>
    </row>
    <row r="8939" spans="46:49" x14ac:dyDescent="0.25">
      <c r="AT8939" s="74"/>
      <c r="AW8939" s="74"/>
    </row>
    <row r="8940" spans="46:49" x14ac:dyDescent="0.25">
      <c r="AT8940" s="74"/>
      <c r="AW8940" s="74"/>
    </row>
    <row r="8941" spans="46:49" x14ac:dyDescent="0.25">
      <c r="AT8941" s="74"/>
      <c r="AW8941" s="74"/>
    </row>
    <row r="8942" spans="46:49" x14ac:dyDescent="0.25">
      <c r="AT8942" s="74"/>
      <c r="AW8942" s="74"/>
    </row>
    <row r="8943" spans="46:49" x14ac:dyDescent="0.25">
      <c r="AT8943" s="74"/>
      <c r="AW8943" s="74"/>
    </row>
    <row r="8944" spans="46:49" x14ac:dyDescent="0.25">
      <c r="AT8944" s="74"/>
      <c r="AW8944" s="74"/>
    </row>
    <row r="8945" spans="46:49" x14ac:dyDescent="0.25">
      <c r="AT8945" s="74"/>
      <c r="AW8945" s="74"/>
    </row>
    <row r="8946" spans="46:49" x14ac:dyDescent="0.25">
      <c r="AT8946" s="74"/>
      <c r="AW8946" s="74"/>
    </row>
    <row r="8947" spans="46:49" x14ac:dyDescent="0.25">
      <c r="AT8947" s="74"/>
      <c r="AW8947" s="74"/>
    </row>
    <row r="8948" spans="46:49" x14ac:dyDescent="0.25">
      <c r="AT8948" s="74"/>
      <c r="AW8948" s="74"/>
    </row>
    <row r="8949" spans="46:49" x14ac:dyDescent="0.25">
      <c r="AT8949" s="74"/>
      <c r="AW8949" s="74"/>
    </row>
    <row r="8950" spans="46:49" x14ac:dyDescent="0.25">
      <c r="AT8950" s="74"/>
      <c r="AW8950" s="74"/>
    </row>
    <row r="8951" spans="46:49" x14ac:dyDescent="0.25">
      <c r="AT8951" s="74"/>
      <c r="AW8951" s="74"/>
    </row>
    <row r="8952" spans="46:49" x14ac:dyDescent="0.25">
      <c r="AT8952" s="74"/>
      <c r="AW8952" s="74"/>
    </row>
    <row r="8953" spans="46:49" x14ac:dyDescent="0.25">
      <c r="AT8953" s="74"/>
      <c r="AW8953" s="74"/>
    </row>
    <row r="8954" spans="46:49" x14ac:dyDescent="0.25">
      <c r="AT8954" s="74"/>
      <c r="AW8954" s="74"/>
    </row>
    <row r="8955" spans="46:49" x14ac:dyDescent="0.25">
      <c r="AT8955" s="74"/>
      <c r="AW8955" s="74"/>
    </row>
    <row r="8956" spans="46:49" x14ac:dyDescent="0.25">
      <c r="AT8956" s="74"/>
      <c r="AW8956" s="74"/>
    </row>
    <row r="8957" spans="46:49" x14ac:dyDescent="0.25">
      <c r="AT8957" s="74"/>
      <c r="AW8957" s="74"/>
    </row>
    <row r="8958" spans="46:49" x14ac:dyDescent="0.25">
      <c r="AT8958" s="74"/>
      <c r="AW8958" s="74"/>
    </row>
    <row r="8959" spans="46:49" x14ac:dyDescent="0.25">
      <c r="AT8959" s="74"/>
      <c r="AW8959" s="74"/>
    </row>
    <row r="8960" spans="46:49" x14ac:dyDescent="0.25">
      <c r="AT8960" s="74"/>
      <c r="AW8960" s="74"/>
    </row>
    <row r="8961" spans="46:49" x14ac:dyDescent="0.25">
      <c r="AT8961" s="74"/>
      <c r="AW8961" s="74"/>
    </row>
    <row r="8962" spans="46:49" x14ac:dyDescent="0.25">
      <c r="AT8962" s="74"/>
      <c r="AW8962" s="74"/>
    </row>
    <row r="8963" spans="46:49" x14ac:dyDescent="0.25">
      <c r="AT8963" s="74"/>
      <c r="AW8963" s="74"/>
    </row>
    <row r="8964" spans="46:49" x14ac:dyDescent="0.25">
      <c r="AT8964" s="74"/>
      <c r="AW8964" s="74"/>
    </row>
    <row r="8965" spans="46:49" x14ac:dyDescent="0.25">
      <c r="AT8965" s="74"/>
      <c r="AW8965" s="74"/>
    </row>
    <row r="8966" spans="46:49" x14ac:dyDescent="0.25">
      <c r="AT8966" s="74"/>
      <c r="AW8966" s="74"/>
    </row>
    <row r="8967" spans="46:49" x14ac:dyDescent="0.25">
      <c r="AT8967" s="74"/>
      <c r="AW8967" s="74"/>
    </row>
    <row r="8968" spans="46:49" x14ac:dyDescent="0.25">
      <c r="AT8968" s="74"/>
      <c r="AW8968" s="74"/>
    </row>
    <row r="8969" spans="46:49" x14ac:dyDescent="0.25">
      <c r="AT8969" s="74"/>
      <c r="AW8969" s="74"/>
    </row>
    <row r="8970" spans="46:49" x14ac:dyDescent="0.25">
      <c r="AT8970" s="74"/>
      <c r="AW8970" s="74"/>
    </row>
    <row r="8971" spans="46:49" x14ac:dyDescent="0.25">
      <c r="AT8971" s="74"/>
      <c r="AW8971" s="74"/>
    </row>
    <row r="8972" spans="46:49" x14ac:dyDescent="0.25">
      <c r="AT8972" s="74"/>
      <c r="AW8972" s="74"/>
    </row>
    <row r="8973" spans="46:49" x14ac:dyDescent="0.25">
      <c r="AT8973" s="74"/>
      <c r="AW8973" s="74"/>
    </row>
    <row r="8974" spans="46:49" x14ac:dyDescent="0.25">
      <c r="AT8974" s="74"/>
      <c r="AW8974" s="74"/>
    </row>
    <row r="8975" spans="46:49" x14ac:dyDescent="0.25">
      <c r="AT8975" s="74"/>
      <c r="AW8975" s="74"/>
    </row>
    <row r="8976" spans="46:49" x14ac:dyDescent="0.25">
      <c r="AT8976" s="74"/>
      <c r="AW8976" s="74"/>
    </row>
    <row r="8977" spans="46:49" x14ac:dyDescent="0.25">
      <c r="AT8977" s="74"/>
      <c r="AW8977" s="74"/>
    </row>
    <row r="8978" spans="46:49" x14ac:dyDescent="0.25">
      <c r="AT8978" s="74"/>
      <c r="AW8978" s="74"/>
    </row>
    <row r="8979" spans="46:49" x14ac:dyDescent="0.25">
      <c r="AT8979" s="74"/>
      <c r="AW8979" s="74"/>
    </row>
    <row r="8980" spans="46:49" x14ac:dyDescent="0.25">
      <c r="AT8980" s="74"/>
      <c r="AW8980" s="74"/>
    </row>
    <row r="8981" spans="46:49" x14ac:dyDescent="0.25">
      <c r="AT8981" s="74"/>
      <c r="AW8981" s="74"/>
    </row>
    <row r="8982" spans="46:49" x14ac:dyDescent="0.25">
      <c r="AT8982" s="74"/>
      <c r="AW8982" s="74"/>
    </row>
    <row r="8983" spans="46:49" x14ac:dyDescent="0.25">
      <c r="AT8983" s="74"/>
      <c r="AW8983" s="74"/>
    </row>
    <row r="8984" spans="46:49" x14ac:dyDescent="0.25">
      <c r="AT8984" s="74"/>
      <c r="AW8984" s="74"/>
    </row>
    <row r="8985" spans="46:49" x14ac:dyDescent="0.25">
      <c r="AT8985" s="74"/>
      <c r="AW8985" s="74"/>
    </row>
    <row r="8986" spans="46:49" x14ac:dyDescent="0.25">
      <c r="AT8986" s="74"/>
      <c r="AW8986" s="74"/>
    </row>
    <row r="8987" spans="46:49" x14ac:dyDescent="0.25">
      <c r="AT8987" s="74"/>
      <c r="AW8987" s="74"/>
    </row>
    <row r="8988" spans="46:49" x14ac:dyDescent="0.25">
      <c r="AT8988" s="74"/>
      <c r="AW8988" s="74"/>
    </row>
    <row r="8989" spans="46:49" x14ac:dyDescent="0.25">
      <c r="AT8989" s="74"/>
      <c r="AW8989" s="74"/>
    </row>
    <row r="8990" spans="46:49" x14ac:dyDescent="0.25">
      <c r="AT8990" s="74"/>
      <c r="AW8990" s="74"/>
    </row>
    <row r="8991" spans="46:49" x14ac:dyDescent="0.25">
      <c r="AT8991" s="74"/>
      <c r="AW8991" s="74"/>
    </row>
    <row r="8992" spans="46:49" x14ac:dyDescent="0.25">
      <c r="AT8992" s="74"/>
      <c r="AW8992" s="74"/>
    </row>
    <row r="8993" spans="46:49" x14ac:dyDescent="0.25">
      <c r="AT8993" s="74"/>
      <c r="AW8993" s="74"/>
    </row>
    <row r="8994" spans="46:49" x14ac:dyDescent="0.25">
      <c r="AT8994" s="74"/>
      <c r="AW8994" s="74"/>
    </row>
    <row r="8995" spans="46:49" x14ac:dyDescent="0.25">
      <c r="AT8995" s="74"/>
      <c r="AW8995" s="74"/>
    </row>
    <row r="8996" spans="46:49" x14ac:dyDescent="0.25">
      <c r="AT8996" s="74"/>
      <c r="AW8996" s="74"/>
    </row>
    <row r="8997" spans="46:49" x14ac:dyDescent="0.25">
      <c r="AT8997" s="74"/>
      <c r="AW8997" s="74"/>
    </row>
    <row r="8998" spans="46:49" x14ac:dyDescent="0.25">
      <c r="AT8998" s="74"/>
      <c r="AW8998" s="74"/>
    </row>
    <row r="8999" spans="46:49" x14ac:dyDescent="0.25">
      <c r="AT8999" s="74"/>
      <c r="AW8999" s="74"/>
    </row>
    <row r="9000" spans="46:49" x14ac:dyDescent="0.25">
      <c r="AT9000" s="74"/>
      <c r="AW9000" s="74"/>
    </row>
    <row r="9001" spans="46:49" x14ac:dyDescent="0.25">
      <c r="AT9001" s="74"/>
      <c r="AW9001" s="74"/>
    </row>
    <row r="9002" spans="46:49" x14ac:dyDescent="0.25">
      <c r="AT9002" s="74"/>
      <c r="AW9002" s="74"/>
    </row>
    <row r="9003" spans="46:49" x14ac:dyDescent="0.25">
      <c r="AT9003" s="74"/>
      <c r="AW9003" s="74"/>
    </row>
    <row r="9004" spans="46:49" x14ac:dyDescent="0.25">
      <c r="AT9004" s="74"/>
      <c r="AW9004" s="74"/>
    </row>
    <row r="9005" spans="46:49" x14ac:dyDescent="0.25">
      <c r="AT9005" s="74"/>
      <c r="AW9005" s="74"/>
    </row>
    <row r="9006" spans="46:49" x14ac:dyDescent="0.25">
      <c r="AT9006" s="74"/>
      <c r="AW9006" s="74"/>
    </row>
    <row r="9007" spans="46:49" x14ac:dyDescent="0.25">
      <c r="AT9007" s="74"/>
      <c r="AW9007" s="74"/>
    </row>
    <row r="9008" spans="46:49" x14ac:dyDescent="0.25">
      <c r="AT9008" s="74"/>
      <c r="AW9008" s="74"/>
    </row>
    <row r="9009" spans="46:49" x14ac:dyDescent="0.25">
      <c r="AT9009" s="74"/>
      <c r="AW9009" s="74"/>
    </row>
    <row r="9010" spans="46:49" x14ac:dyDescent="0.25">
      <c r="AT9010" s="74"/>
      <c r="AW9010" s="74"/>
    </row>
    <row r="9011" spans="46:49" x14ac:dyDescent="0.25">
      <c r="AT9011" s="74"/>
      <c r="AW9011" s="74"/>
    </row>
    <row r="9012" spans="46:49" x14ac:dyDescent="0.25">
      <c r="AT9012" s="74"/>
      <c r="AW9012" s="74"/>
    </row>
    <row r="9013" spans="46:49" x14ac:dyDescent="0.25">
      <c r="AT9013" s="74"/>
      <c r="AW9013" s="74"/>
    </row>
    <row r="9014" spans="46:49" x14ac:dyDescent="0.25">
      <c r="AT9014" s="74"/>
      <c r="AW9014" s="74"/>
    </row>
    <row r="9015" spans="46:49" x14ac:dyDescent="0.25">
      <c r="AT9015" s="74"/>
      <c r="AW9015" s="74"/>
    </row>
    <row r="9016" spans="46:49" x14ac:dyDescent="0.25">
      <c r="AT9016" s="74"/>
      <c r="AW9016" s="74"/>
    </row>
    <row r="9017" spans="46:49" x14ac:dyDescent="0.25">
      <c r="AT9017" s="74"/>
      <c r="AW9017" s="74"/>
    </row>
    <row r="9018" spans="46:49" x14ac:dyDescent="0.25">
      <c r="AT9018" s="74"/>
      <c r="AW9018" s="74"/>
    </row>
    <row r="9019" spans="46:49" x14ac:dyDescent="0.25">
      <c r="AT9019" s="74"/>
      <c r="AW9019" s="74"/>
    </row>
    <row r="9020" spans="46:49" x14ac:dyDescent="0.25">
      <c r="AT9020" s="74"/>
      <c r="AW9020" s="74"/>
    </row>
    <row r="9021" spans="46:49" x14ac:dyDescent="0.25">
      <c r="AT9021" s="74"/>
      <c r="AW9021" s="74"/>
    </row>
    <row r="9022" spans="46:49" x14ac:dyDescent="0.25">
      <c r="AT9022" s="74"/>
      <c r="AW9022" s="74"/>
    </row>
    <row r="9023" spans="46:49" x14ac:dyDescent="0.25">
      <c r="AT9023" s="74"/>
      <c r="AW9023" s="74"/>
    </row>
    <row r="9024" spans="46:49" x14ac:dyDescent="0.25">
      <c r="AT9024" s="74"/>
      <c r="AW9024" s="74"/>
    </row>
    <row r="9025" spans="46:49" x14ac:dyDescent="0.25">
      <c r="AT9025" s="74"/>
      <c r="AW9025" s="74"/>
    </row>
    <row r="9026" spans="46:49" x14ac:dyDescent="0.25">
      <c r="AT9026" s="74"/>
      <c r="AW9026" s="74"/>
    </row>
    <row r="9027" spans="46:49" x14ac:dyDescent="0.25">
      <c r="AT9027" s="74"/>
      <c r="AW9027" s="74"/>
    </row>
    <row r="9028" spans="46:49" x14ac:dyDescent="0.25">
      <c r="AT9028" s="74"/>
      <c r="AW9028" s="74"/>
    </row>
    <row r="9029" spans="46:49" x14ac:dyDescent="0.25">
      <c r="AT9029" s="74"/>
      <c r="AW9029" s="74"/>
    </row>
    <row r="9030" spans="46:49" x14ac:dyDescent="0.25">
      <c r="AT9030" s="74"/>
      <c r="AW9030" s="74"/>
    </row>
    <row r="9031" spans="46:49" x14ac:dyDescent="0.25">
      <c r="AT9031" s="74"/>
      <c r="AW9031" s="74"/>
    </row>
    <row r="9032" spans="46:49" x14ac:dyDescent="0.25">
      <c r="AT9032" s="74"/>
      <c r="AW9032" s="74"/>
    </row>
    <row r="9033" spans="46:49" x14ac:dyDescent="0.25">
      <c r="AT9033" s="74"/>
      <c r="AW9033" s="74"/>
    </row>
    <row r="9034" spans="46:49" x14ac:dyDescent="0.25">
      <c r="AT9034" s="74"/>
      <c r="AW9034" s="74"/>
    </row>
    <row r="9035" spans="46:49" x14ac:dyDescent="0.25">
      <c r="AT9035" s="74"/>
      <c r="AW9035" s="74"/>
    </row>
    <row r="9036" spans="46:49" x14ac:dyDescent="0.25">
      <c r="AT9036" s="74"/>
      <c r="AW9036" s="74"/>
    </row>
    <row r="9037" spans="46:49" x14ac:dyDescent="0.25">
      <c r="AT9037" s="74"/>
      <c r="AW9037" s="74"/>
    </row>
    <row r="9038" spans="46:49" x14ac:dyDescent="0.25">
      <c r="AT9038" s="74"/>
      <c r="AW9038" s="74"/>
    </row>
    <row r="9039" spans="46:49" x14ac:dyDescent="0.25">
      <c r="AT9039" s="74"/>
      <c r="AW9039" s="74"/>
    </row>
    <row r="9040" spans="46:49" x14ac:dyDescent="0.25">
      <c r="AT9040" s="74"/>
      <c r="AW9040" s="74"/>
    </row>
    <row r="9041" spans="46:49" x14ac:dyDescent="0.25">
      <c r="AT9041" s="74"/>
      <c r="AW9041" s="74"/>
    </row>
    <row r="9042" spans="46:49" x14ac:dyDescent="0.25">
      <c r="AT9042" s="74"/>
      <c r="AW9042" s="74"/>
    </row>
    <row r="9043" spans="46:49" x14ac:dyDescent="0.25">
      <c r="AT9043" s="74"/>
      <c r="AW9043" s="74"/>
    </row>
    <row r="9044" spans="46:49" x14ac:dyDescent="0.25">
      <c r="AT9044" s="74"/>
      <c r="AW9044" s="74"/>
    </row>
    <row r="9045" spans="46:49" x14ac:dyDescent="0.25">
      <c r="AT9045" s="74"/>
      <c r="AW9045" s="74"/>
    </row>
    <row r="9046" spans="46:49" x14ac:dyDescent="0.25">
      <c r="AT9046" s="74"/>
      <c r="AW9046" s="74"/>
    </row>
    <row r="9047" spans="46:49" x14ac:dyDescent="0.25">
      <c r="AT9047" s="74"/>
      <c r="AW9047" s="74"/>
    </row>
    <row r="9048" spans="46:49" x14ac:dyDescent="0.25">
      <c r="AT9048" s="74"/>
      <c r="AW9048" s="74"/>
    </row>
    <row r="9049" spans="46:49" x14ac:dyDescent="0.25">
      <c r="AT9049" s="74"/>
      <c r="AW9049" s="74"/>
    </row>
    <row r="9050" spans="46:49" x14ac:dyDescent="0.25">
      <c r="AT9050" s="74"/>
      <c r="AW9050" s="74"/>
    </row>
    <row r="9051" spans="46:49" x14ac:dyDescent="0.25">
      <c r="AT9051" s="74"/>
      <c r="AW9051" s="74"/>
    </row>
    <row r="9052" spans="46:49" x14ac:dyDescent="0.25">
      <c r="AT9052" s="74"/>
      <c r="AW9052" s="74"/>
    </row>
    <row r="9053" spans="46:49" x14ac:dyDescent="0.25">
      <c r="AT9053" s="74"/>
      <c r="AW9053" s="74"/>
    </row>
    <row r="9054" spans="46:49" x14ac:dyDescent="0.25">
      <c r="AT9054" s="74"/>
      <c r="AW9054" s="74"/>
    </row>
    <row r="9055" spans="46:49" x14ac:dyDescent="0.25">
      <c r="AT9055" s="74"/>
      <c r="AW9055" s="74"/>
    </row>
    <row r="9056" spans="46:49" x14ac:dyDescent="0.25">
      <c r="AT9056" s="74"/>
      <c r="AW9056" s="74"/>
    </row>
    <row r="9057" spans="46:49" x14ac:dyDescent="0.25">
      <c r="AT9057" s="74"/>
      <c r="AW9057" s="74"/>
    </row>
    <row r="9058" spans="46:49" x14ac:dyDescent="0.25">
      <c r="AT9058" s="74"/>
      <c r="AW9058" s="74"/>
    </row>
    <row r="9059" spans="46:49" x14ac:dyDescent="0.25">
      <c r="AT9059" s="74"/>
      <c r="AW9059" s="74"/>
    </row>
    <row r="9060" spans="46:49" x14ac:dyDescent="0.25">
      <c r="AT9060" s="74"/>
      <c r="AW9060" s="74"/>
    </row>
    <row r="9061" spans="46:49" x14ac:dyDescent="0.25">
      <c r="AT9061" s="74"/>
      <c r="AW9061" s="74"/>
    </row>
    <row r="9062" spans="46:49" x14ac:dyDescent="0.25">
      <c r="AT9062" s="74"/>
      <c r="AW9062" s="74"/>
    </row>
    <row r="9063" spans="46:49" x14ac:dyDescent="0.25">
      <c r="AT9063" s="74"/>
      <c r="AW9063" s="74"/>
    </row>
    <row r="9064" spans="46:49" x14ac:dyDescent="0.25">
      <c r="AT9064" s="74"/>
      <c r="AW9064" s="74"/>
    </row>
    <row r="9065" spans="46:49" x14ac:dyDescent="0.25">
      <c r="AT9065" s="74"/>
      <c r="AW9065" s="74"/>
    </row>
    <row r="9066" spans="46:49" x14ac:dyDescent="0.25">
      <c r="AT9066" s="74"/>
      <c r="AW9066" s="74"/>
    </row>
    <row r="9067" spans="46:49" x14ac:dyDescent="0.25">
      <c r="AT9067" s="74"/>
      <c r="AW9067" s="74"/>
    </row>
    <row r="9068" spans="46:49" x14ac:dyDescent="0.25">
      <c r="AT9068" s="74"/>
      <c r="AW9068" s="74"/>
    </row>
    <row r="9069" spans="46:49" x14ac:dyDescent="0.25">
      <c r="AT9069" s="74"/>
      <c r="AW9069" s="74"/>
    </row>
    <row r="9070" spans="46:49" x14ac:dyDescent="0.25">
      <c r="AT9070" s="74"/>
      <c r="AW9070" s="74"/>
    </row>
    <row r="9071" spans="46:49" x14ac:dyDescent="0.25">
      <c r="AT9071" s="74"/>
      <c r="AW9071" s="74"/>
    </row>
    <row r="9072" spans="46:49" x14ac:dyDescent="0.25">
      <c r="AT9072" s="74"/>
      <c r="AW9072" s="74"/>
    </row>
    <row r="9073" spans="46:49" x14ac:dyDescent="0.25">
      <c r="AT9073" s="74"/>
      <c r="AW9073" s="74"/>
    </row>
    <row r="9074" spans="46:49" x14ac:dyDescent="0.25">
      <c r="AT9074" s="74"/>
      <c r="AW9074" s="74"/>
    </row>
    <row r="9075" spans="46:49" x14ac:dyDescent="0.25">
      <c r="AT9075" s="74"/>
      <c r="AW9075" s="74"/>
    </row>
    <row r="9076" spans="46:49" x14ac:dyDescent="0.25">
      <c r="AT9076" s="74"/>
      <c r="AW9076" s="74"/>
    </row>
    <row r="9077" spans="46:49" x14ac:dyDescent="0.25">
      <c r="AT9077" s="74"/>
      <c r="AW9077" s="74"/>
    </row>
    <row r="9078" spans="46:49" x14ac:dyDescent="0.25">
      <c r="AT9078" s="74"/>
      <c r="AW9078" s="74"/>
    </row>
    <row r="9079" spans="46:49" x14ac:dyDescent="0.25">
      <c r="AT9079" s="74"/>
      <c r="AW9079" s="74"/>
    </row>
    <row r="9080" spans="46:49" x14ac:dyDescent="0.25">
      <c r="AT9080" s="74"/>
      <c r="AW9080" s="74"/>
    </row>
    <row r="9081" spans="46:49" x14ac:dyDescent="0.25">
      <c r="AT9081" s="74"/>
      <c r="AW9081" s="74"/>
    </row>
    <row r="9082" spans="46:49" x14ac:dyDescent="0.25">
      <c r="AT9082" s="74"/>
      <c r="AW9082" s="74"/>
    </row>
    <row r="9083" spans="46:49" x14ac:dyDescent="0.25">
      <c r="AT9083" s="74"/>
      <c r="AW9083" s="74"/>
    </row>
    <row r="9084" spans="46:49" x14ac:dyDescent="0.25">
      <c r="AT9084" s="74"/>
      <c r="AW9084" s="74"/>
    </row>
    <row r="9085" spans="46:49" x14ac:dyDescent="0.25">
      <c r="AT9085" s="74"/>
      <c r="AW9085" s="74"/>
    </row>
    <row r="9086" spans="46:49" x14ac:dyDescent="0.25">
      <c r="AT9086" s="74"/>
      <c r="AW9086" s="74"/>
    </row>
    <row r="9087" spans="46:49" x14ac:dyDescent="0.25">
      <c r="AT9087" s="74"/>
      <c r="AW9087" s="74"/>
    </row>
    <row r="9088" spans="46:49" x14ac:dyDescent="0.25">
      <c r="AT9088" s="74"/>
      <c r="AW9088" s="74"/>
    </row>
    <row r="9089" spans="46:49" x14ac:dyDescent="0.25">
      <c r="AT9089" s="74"/>
      <c r="AW9089" s="74"/>
    </row>
    <row r="9090" spans="46:49" x14ac:dyDescent="0.25">
      <c r="AT9090" s="74"/>
      <c r="AW9090" s="74"/>
    </row>
    <row r="9091" spans="46:49" x14ac:dyDescent="0.25">
      <c r="AT9091" s="74"/>
      <c r="AW9091" s="74"/>
    </row>
    <row r="9092" spans="46:49" x14ac:dyDescent="0.25">
      <c r="AT9092" s="74"/>
      <c r="AW9092" s="74"/>
    </row>
    <row r="9093" spans="46:49" x14ac:dyDescent="0.25">
      <c r="AT9093" s="74"/>
      <c r="AW9093" s="74"/>
    </row>
    <row r="9094" spans="46:49" x14ac:dyDescent="0.25">
      <c r="AT9094" s="74"/>
      <c r="AW9094" s="74"/>
    </row>
    <row r="9095" spans="46:49" x14ac:dyDescent="0.25">
      <c r="AT9095" s="74"/>
      <c r="AW9095" s="74"/>
    </row>
    <row r="9096" spans="46:49" x14ac:dyDescent="0.25">
      <c r="AT9096" s="74"/>
      <c r="AW9096" s="74"/>
    </row>
    <row r="9097" spans="46:49" x14ac:dyDescent="0.25">
      <c r="AT9097" s="74"/>
      <c r="AW9097" s="74"/>
    </row>
    <row r="9098" spans="46:49" x14ac:dyDescent="0.25">
      <c r="AT9098" s="74"/>
      <c r="AW9098" s="74"/>
    </row>
    <row r="9099" spans="46:49" x14ac:dyDescent="0.25">
      <c r="AT9099" s="74"/>
      <c r="AW9099" s="74"/>
    </row>
    <row r="9100" spans="46:49" x14ac:dyDescent="0.25">
      <c r="AT9100" s="74"/>
      <c r="AW9100" s="74"/>
    </row>
    <row r="9101" spans="46:49" x14ac:dyDescent="0.25">
      <c r="AT9101" s="74"/>
      <c r="AW9101" s="74"/>
    </row>
    <row r="9102" spans="46:49" x14ac:dyDescent="0.25">
      <c r="AT9102" s="74"/>
      <c r="AW9102" s="74"/>
    </row>
    <row r="9103" spans="46:49" x14ac:dyDescent="0.25">
      <c r="AT9103" s="74"/>
      <c r="AW9103" s="74"/>
    </row>
    <row r="9104" spans="46:49" x14ac:dyDescent="0.25">
      <c r="AT9104" s="74"/>
      <c r="AW9104" s="74"/>
    </row>
    <row r="9105" spans="46:49" x14ac:dyDescent="0.25">
      <c r="AT9105" s="74"/>
      <c r="AW9105" s="74"/>
    </row>
    <row r="9106" spans="46:49" x14ac:dyDescent="0.25">
      <c r="AT9106" s="74"/>
      <c r="AW9106" s="74"/>
    </row>
    <row r="9107" spans="46:49" x14ac:dyDescent="0.25">
      <c r="AT9107" s="74"/>
      <c r="AW9107" s="74"/>
    </row>
    <row r="9108" spans="46:49" x14ac:dyDescent="0.25">
      <c r="AT9108" s="74"/>
      <c r="AW9108" s="74"/>
    </row>
    <row r="9109" spans="46:49" x14ac:dyDescent="0.25">
      <c r="AT9109" s="74"/>
      <c r="AW9109" s="74"/>
    </row>
    <row r="9110" spans="46:49" x14ac:dyDescent="0.25">
      <c r="AT9110" s="74"/>
      <c r="AW9110" s="74"/>
    </row>
    <row r="9111" spans="46:49" x14ac:dyDescent="0.25">
      <c r="AT9111" s="74"/>
      <c r="AW9111" s="74"/>
    </row>
    <row r="9112" spans="46:49" x14ac:dyDescent="0.25">
      <c r="AT9112" s="74"/>
      <c r="AW9112" s="74"/>
    </row>
    <row r="9113" spans="46:49" x14ac:dyDescent="0.25">
      <c r="AT9113" s="74"/>
      <c r="AW9113" s="74"/>
    </row>
    <row r="9114" spans="46:49" x14ac:dyDescent="0.25">
      <c r="AT9114" s="74"/>
      <c r="AW9114" s="74"/>
    </row>
    <row r="9115" spans="46:49" x14ac:dyDescent="0.25">
      <c r="AT9115" s="74"/>
      <c r="AW9115" s="74"/>
    </row>
    <row r="9116" spans="46:49" x14ac:dyDescent="0.25">
      <c r="AT9116" s="74"/>
      <c r="AW9116" s="74"/>
    </row>
    <row r="9117" spans="46:49" x14ac:dyDescent="0.25">
      <c r="AT9117" s="74"/>
      <c r="AW9117" s="74"/>
    </row>
    <row r="9118" spans="46:49" x14ac:dyDescent="0.25">
      <c r="AT9118" s="74"/>
      <c r="AW9118" s="74"/>
    </row>
    <row r="9119" spans="46:49" x14ac:dyDescent="0.25">
      <c r="AT9119" s="74"/>
      <c r="AW9119" s="74"/>
    </row>
    <row r="9120" spans="46:49" x14ac:dyDescent="0.25">
      <c r="AT9120" s="74"/>
      <c r="AW9120" s="74"/>
    </row>
    <row r="9121" spans="46:49" x14ac:dyDescent="0.25">
      <c r="AT9121" s="74"/>
      <c r="AW9121" s="74"/>
    </row>
    <row r="9122" spans="46:49" x14ac:dyDescent="0.25">
      <c r="AT9122" s="74"/>
      <c r="AW9122" s="74"/>
    </row>
    <row r="9123" spans="46:49" x14ac:dyDescent="0.25">
      <c r="AT9123" s="74"/>
      <c r="AW9123" s="74"/>
    </row>
    <row r="9124" spans="46:49" x14ac:dyDescent="0.25">
      <c r="AT9124" s="74"/>
      <c r="AW9124" s="74"/>
    </row>
    <row r="9125" spans="46:49" x14ac:dyDescent="0.25">
      <c r="AT9125" s="74"/>
      <c r="AW9125" s="74"/>
    </row>
    <row r="9126" spans="46:49" x14ac:dyDescent="0.25">
      <c r="AT9126" s="74"/>
      <c r="AW9126" s="74"/>
    </row>
    <row r="9127" spans="46:49" x14ac:dyDescent="0.25">
      <c r="AT9127" s="74"/>
      <c r="AW9127" s="74"/>
    </row>
    <row r="9128" spans="46:49" x14ac:dyDescent="0.25">
      <c r="AT9128" s="74"/>
      <c r="AW9128" s="74"/>
    </row>
    <row r="9129" spans="46:49" x14ac:dyDescent="0.25">
      <c r="AT9129" s="74"/>
      <c r="AW9129" s="74"/>
    </row>
    <row r="9130" spans="46:49" x14ac:dyDescent="0.25">
      <c r="AT9130" s="74"/>
      <c r="AW9130" s="74"/>
    </row>
    <row r="9131" spans="46:49" x14ac:dyDescent="0.25">
      <c r="AT9131" s="74"/>
      <c r="AW9131" s="74"/>
    </row>
    <row r="9132" spans="46:49" x14ac:dyDescent="0.25">
      <c r="AT9132" s="74"/>
      <c r="AW9132" s="74"/>
    </row>
    <row r="9133" spans="46:49" x14ac:dyDescent="0.25">
      <c r="AT9133" s="74"/>
      <c r="AW9133" s="74"/>
    </row>
    <row r="9134" spans="46:49" x14ac:dyDescent="0.25">
      <c r="AT9134" s="74"/>
      <c r="AW9134" s="74"/>
    </row>
    <row r="9135" spans="46:49" x14ac:dyDescent="0.25">
      <c r="AT9135" s="74"/>
      <c r="AW9135" s="74"/>
    </row>
    <row r="9136" spans="46:49" x14ac:dyDescent="0.25">
      <c r="AT9136" s="74"/>
      <c r="AW9136" s="74"/>
    </row>
    <row r="9137" spans="46:49" x14ac:dyDescent="0.25">
      <c r="AT9137" s="74"/>
      <c r="AW9137" s="74"/>
    </row>
    <row r="9138" spans="46:49" x14ac:dyDescent="0.25">
      <c r="AT9138" s="74"/>
      <c r="AW9138" s="74"/>
    </row>
    <row r="9139" spans="46:49" x14ac:dyDescent="0.25">
      <c r="AT9139" s="74"/>
      <c r="AW9139" s="74"/>
    </row>
    <row r="9140" spans="46:49" x14ac:dyDescent="0.25">
      <c r="AT9140" s="74"/>
      <c r="AW9140" s="74"/>
    </row>
    <row r="9141" spans="46:49" x14ac:dyDescent="0.25">
      <c r="AT9141" s="74"/>
      <c r="AW9141" s="74"/>
    </row>
    <row r="9142" spans="46:49" x14ac:dyDescent="0.25">
      <c r="AT9142" s="74"/>
      <c r="AW9142" s="74"/>
    </row>
    <row r="9143" spans="46:49" x14ac:dyDescent="0.25">
      <c r="AT9143" s="74"/>
      <c r="AW9143" s="74"/>
    </row>
    <row r="9144" spans="46:49" x14ac:dyDescent="0.25">
      <c r="AT9144" s="74"/>
      <c r="AW9144" s="74"/>
    </row>
    <row r="9145" spans="46:49" x14ac:dyDescent="0.25">
      <c r="AT9145" s="74"/>
      <c r="AW9145" s="74"/>
    </row>
    <row r="9146" spans="46:49" x14ac:dyDescent="0.25">
      <c r="AT9146" s="74"/>
      <c r="AW9146" s="74"/>
    </row>
    <row r="9147" spans="46:49" x14ac:dyDescent="0.25">
      <c r="AT9147" s="74"/>
      <c r="AW9147" s="74"/>
    </row>
    <row r="9148" spans="46:49" x14ac:dyDescent="0.25">
      <c r="AT9148" s="74"/>
      <c r="AW9148" s="74"/>
    </row>
    <row r="9149" spans="46:49" x14ac:dyDescent="0.25">
      <c r="AT9149" s="74"/>
      <c r="AW9149" s="74"/>
    </row>
    <row r="9150" spans="46:49" x14ac:dyDescent="0.25">
      <c r="AT9150" s="74"/>
      <c r="AW9150" s="74"/>
    </row>
    <row r="9151" spans="46:49" x14ac:dyDescent="0.25">
      <c r="AT9151" s="74"/>
      <c r="AW9151" s="74"/>
    </row>
    <row r="9152" spans="46:49" x14ac:dyDescent="0.25">
      <c r="AT9152" s="74"/>
      <c r="AW9152" s="74"/>
    </row>
    <row r="9153" spans="46:49" x14ac:dyDescent="0.25">
      <c r="AT9153" s="74"/>
      <c r="AW9153" s="74"/>
    </row>
    <row r="9154" spans="46:49" x14ac:dyDescent="0.25">
      <c r="AT9154" s="74"/>
      <c r="AW9154" s="74"/>
    </row>
    <row r="9155" spans="46:49" x14ac:dyDescent="0.25">
      <c r="AT9155" s="74"/>
      <c r="AW9155" s="74"/>
    </row>
    <row r="9156" spans="46:49" x14ac:dyDescent="0.25">
      <c r="AT9156" s="74"/>
      <c r="AW9156" s="74"/>
    </row>
    <row r="9157" spans="46:49" x14ac:dyDescent="0.25">
      <c r="AT9157" s="74"/>
      <c r="AW9157" s="74"/>
    </row>
    <row r="9158" spans="46:49" x14ac:dyDescent="0.25">
      <c r="AT9158" s="74"/>
      <c r="AW9158" s="74"/>
    </row>
    <row r="9159" spans="46:49" x14ac:dyDescent="0.25">
      <c r="AT9159" s="74"/>
      <c r="AW9159" s="74"/>
    </row>
    <row r="9160" spans="46:49" x14ac:dyDescent="0.25">
      <c r="AT9160" s="74"/>
      <c r="AW9160" s="74"/>
    </row>
    <row r="9161" spans="46:49" x14ac:dyDescent="0.25">
      <c r="AT9161" s="74"/>
      <c r="AW9161" s="74"/>
    </row>
    <row r="9162" spans="46:49" x14ac:dyDescent="0.25">
      <c r="AT9162" s="74"/>
      <c r="AW9162" s="74"/>
    </row>
    <row r="9163" spans="46:49" x14ac:dyDescent="0.25">
      <c r="AT9163" s="74"/>
      <c r="AW9163" s="74"/>
    </row>
    <row r="9164" spans="46:49" x14ac:dyDescent="0.25">
      <c r="AT9164" s="74"/>
      <c r="AW9164" s="74"/>
    </row>
    <row r="9165" spans="46:49" x14ac:dyDescent="0.25">
      <c r="AT9165" s="74"/>
      <c r="AW9165" s="74"/>
    </row>
    <row r="9166" spans="46:49" x14ac:dyDescent="0.25">
      <c r="AT9166" s="74"/>
      <c r="AW9166" s="74"/>
    </row>
    <row r="9167" spans="46:49" x14ac:dyDescent="0.25">
      <c r="AT9167" s="74"/>
      <c r="AW9167" s="74"/>
    </row>
    <row r="9168" spans="46:49" x14ac:dyDescent="0.25">
      <c r="AT9168" s="74"/>
      <c r="AW9168" s="74"/>
    </row>
    <row r="9169" spans="46:49" x14ac:dyDescent="0.25">
      <c r="AT9169" s="74"/>
      <c r="AW9169" s="74"/>
    </row>
    <row r="9170" spans="46:49" x14ac:dyDescent="0.25">
      <c r="AT9170" s="74"/>
      <c r="AW9170" s="74"/>
    </row>
    <row r="9171" spans="46:49" x14ac:dyDescent="0.25">
      <c r="AT9171" s="74"/>
      <c r="AW9171" s="74"/>
    </row>
    <row r="9172" spans="46:49" x14ac:dyDescent="0.25">
      <c r="AT9172" s="74"/>
      <c r="AW9172" s="74"/>
    </row>
    <row r="9173" spans="46:49" x14ac:dyDescent="0.25">
      <c r="AT9173" s="74"/>
      <c r="AW9173" s="74"/>
    </row>
    <row r="9174" spans="46:49" x14ac:dyDescent="0.25">
      <c r="AT9174" s="74"/>
      <c r="AW9174" s="74"/>
    </row>
    <row r="9175" spans="46:49" x14ac:dyDescent="0.25">
      <c r="AT9175" s="74"/>
      <c r="AW9175" s="74"/>
    </row>
    <row r="9176" spans="46:49" x14ac:dyDescent="0.25">
      <c r="AT9176" s="74"/>
      <c r="AW9176" s="74"/>
    </row>
    <row r="9177" spans="46:49" x14ac:dyDescent="0.25">
      <c r="AT9177" s="74"/>
      <c r="AW9177" s="74"/>
    </row>
    <row r="9178" spans="46:49" x14ac:dyDescent="0.25">
      <c r="AT9178" s="74"/>
      <c r="AW9178" s="74"/>
    </row>
    <row r="9179" spans="46:49" x14ac:dyDescent="0.25">
      <c r="AT9179" s="74"/>
      <c r="AW9179" s="74"/>
    </row>
    <row r="9180" spans="46:49" x14ac:dyDescent="0.25">
      <c r="AT9180" s="74"/>
      <c r="AW9180" s="74"/>
    </row>
    <row r="9181" spans="46:49" x14ac:dyDescent="0.25">
      <c r="AT9181" s="74"/>
      <c r="AW9181" s="74"/>
    </row>
    <row r="9182" spans="46:49" x14ac:dyDescent="0.25">
      <c r="AT9182" s="74"/>
      <c r="AW9182" s="74"/>
    </row>
    <row r="9183" spans="46:49" x14ac:dyDescent="0.25">
      <c r="AT9183" s="74"/>
      <c r="AW9183" s="74"/>
    </row>
    <row r="9184" spans="46:49" x14ac:dyDescent="0.25">
      <c r="AT9184" s="74"/>
      <c r="AW9184" s="74"/>
    </row>
    <row r="9185" spans="46:49" x14ac:dyDescent="0.25">
      <c r="AT9185" s="74"/>
      <c r="AW9185" s="74"/>
    </row>
    <row r="9186" spans="46:49" x14ac:dyDescent="0.25">
      <c r="AT9186" s="74"/>
      <c r="AW9186" s="74"/>
    </row>
    <row r="9187" spans="46:49" x14ac:dyDescent="0.25">
      <c r="AT9187" s="74"/>
      <c r="AW9187" s="74"/>
    </row>
    <row r="9188" spans="46:49" x14ac:dyDescent="0.25">
      <c r="AT9188" s="74"/>
      <c r="AW9188" s="74"/>
    </row>
    <row r="9189" spans="46:49" x14ac:dyDescent="0.25">
      <c r="AT9189" s="74"/>
      <c r="AW9189" s="74"/>
    </row>
    <row r="9190" spans="46:49" x14ac:dyDescent="0.25">
      <c r="AT9190" s="74"/>
      <c r="AW9190" s="74"/>
    </row>
    <row r="9191" spans="46:49" x14ac:dyDescent="0.25">
      <c r="AT9191" s="74"/>
      <c r="AW9191" s="74"/>
    </row>
    <row r="9192" spans="46:49" x14ac:dyDescent="0.25">
      <c r="AT9192" s="74"/>
      <c r="AW9192" s="74"/>
    </row>
    <row r="9193" spans="46:49" x14ac:dyDescent="0.25">
      <c r="AT9193" s="74"/>
      <c r="AW9193" s="74"/>
    </row>
    <row r="9194" spans="46:49" x14ac:dyDescent="0.25">
      <c r="AT9194" s="74"/>
      <c r="AW9194" s="74"/>
    </row>
    <row r="9195" spans="46:49" x14ac:dyDescent="0.25">
      <c r="AT9195" s="74"/>
      <c r="AW9195" s="74"/>
    </row>
    <row r="9196" spans="46:49" x14ac:dyDescent="0.25">
      <c r="AT9196" s="74"/>
      <c r="AW9196" s="74"/>
    </row>
    <row r="9197" spans="46:49" x14ac:dyDescent="0.25">
      <c r="AT9197" s="74"/>
      <c r="AW9197" s="74"/>
    </row>
    <row r="9198" spans="46:49" x14ac:dyDescent="0.25">
      <c r="AT9198" s="74"/>
      <c r="AW9198" s="74"/>
    </row>
    <row r="9199" spans="46:49" x14ac:dyDescent="0.25">
      <c r="AT9199" s="74"/>
      <c r="AW9199" s="74"/>
    </row>
    <row r="9200" spans="46:49" x14ac:dyDescent="0.25">
      <c r="AT9200" s="74"/>
      <c r="AW9200" s="74"/>
    </row>
    <row r="9201" spans="46:49" x14ac:dyDescent="0.25">
      <c r="AT9201" s="74"/>
      <c r="AW9201" s="74"/>
    </row>
    <row r="9202" spans="46:49" x14ac:dyDescent="0.25">
      <c r="AT9202" s="74"/>
      <c r="AW9202" s="74"/>
    </row>
    <row r="9203" spans="46:49" x14ac:dyDescent="0.25">
      <c r="AT9203" s="74"/>
      <c r="AW9203" s="74"/>
    </row>
    <row r="9204" spans="46:49" x14ac:dyDescent="0.25">
      <c r="AT9204" s="74"/>
      <c r="AW9204" s="74"/>
    </row>
    <row r="9205" spans="46:49" x14ac:dyDescent="0.25">
      <c r="AT9205" s="74"/>
      <c r="AW9205" s="74"/>
    </row>
    <row r="9206" spans="46:49" x14ac:dyDescent="0.25">
      <c r="AT9206" s="74"/>
      <c r="AW9206" s="74"/>
    </row>
    <row r="9207" spans="46:49" x14ac:dyDescent="0.25">
      <c r="AT9207" s="74"/>
      <c r="AW9207" s="74"/>
    </row>
    <row r="9208" spans="46:49" x14ac:dyDescent="0.25">
      <c r="AT9208" s="74"/>
      <c r="AW9208" s="74"/>
    </row>
    <row r="9209" spans="46:49" x14ac:dyDescent="0.25">
      <c r="AT9209" s="74"/>
      <c r="AW9209" s="74"/>
    </row>
    <row r="9210" spans="46:49" x14ac:dyDescent="0.25">
      <c r="AT9210" s="74"/>
      <c r="AW9210" s="74"/>
    </row>
    <row r="9211" spans="46:49" x14ac:dyDescent="0.25">
      <c r="AT9211" s="74"/>
      <c r="AW9211" s="74"/>
    </row>
    <row r="9212" spans="46:49" x14ac:dyDescent="0.25">
      <c r="AT9212" s="74"/>
      <c r="AW9212" s="74"/>
    </row>
    <row r="9213" spans="46:49" x14ac:dyDescent="0.25">
      <c r="AT9213" s="74"/>
      <c r="AW9213" s="74"/>
    </row>
    <row r="9214" spans="46:49" x14ac:dyDescent="0.25">
      <c r="AT9214" s="74"/>
      <c r="AW9214" s="74"/>
    </row>
    <row r="9215" spans="46:49" x14ac:dyDescent="0.25">
      <c r="AT9215" s="74"/>
      <c r="AW9215" s="74"/>
    </row>
    <row r="9216" spans="46:49" x14ac:dyDescent="0.25">
      <c r="AT9216" s="74"/>
      <c r="AW9216" s="74"/>
    </row>
    <row r="9217" spans="46:49" x14ac:dyDescent="0.25">
      <c r="AT9217" s="74"/>
      <c r="AW9217" s="74"/>
    </row>
    <row r="9218" spans="46:49" x14ac:dyDescent="0.25">
      <c r="AT9218" s="74"/>
      <c r="AW9218" s="74"/>
    </row>
    <row r="9219" spans="46:49" x14ac:dyDescent="0.25">
      <c r="AT9219" s="74"/>
      <c r="AW9219" s="74"/>
    </row>
    <row r="9220" spans="46:49" x14ac:dyDescent="0.25">
      <c r="AT9220" s="74"/>
      <c r="AW9220" s="74"/>
    </row>
    <row r="9221" spans="46:49" x14ac:dyDescent="0.25">
      <c r="AT9221" s="74"/>
      <c r="AW9221" s="74"/>
    </row>
    <row r="9222" spans="46:49" x14ac:dyDescent="0.25">
      <c r="AT9222" s="74"/>
      <c r="AW9222" s="74"/>
    </row>
    <row r="9223" spans="46:49" x14ac:dyDescent="0.25">
      <c r="AT9223" s="74"/>
      <c r="AW9223" s="74"/>
    </row>
    <row r="9224" spans="46:49" x14ac:dyDescent="0.25">
      <c r="AT9224" s="74"/>
      <c r="AW9224" s="74"/>
    </row>
    <row r="9225" spans="46:49" x14ac:dyDescent="0.25">
      <c r="AT9225" s="74"/>
      <c r="AW9225" s="74"/>
    </row>
    <row r="9226" spans="46:49" x14ac:dyDescent="0.25">
      <c r="AT9226" s="74"/>
      <c r="AW9226" s="74"/>
    </row>
    <row r="9227" spans="46:49" x14ac:dyDescent="0.25">
      <c r="AT9227" s="74"/>
      <c r="AW9227" s="74"/>
    </row>
    <row r="9228" spans="46:49" x14ac:dyDescent="0.25">
      <c r="AT9228" s="74"/>
      <c r="AW9228" s="74"/>
    </row>
    <row r="9229" spans="46:49" x14ac:dyDescent="0.25">
      <c r="AT9229" s="74"/>
      <c r="AW9229" s="74"/>
    </row>
    <row r="9230" spans="46:49" x14ac:dyDescent="0.25">
      <c r="AT9230" s="74"/>
      <c r="AW9230" s="74"/>
    </row>
    <row r="9231" spans="46:49" x14ac:dyDescent="0.25">
      <c r="AT9231" s="74"/>
      <c r="AW9231" s="74"/>
    </row>
    <row r="9232" spans="46:49" x14ac:dyDescent="0.25">
      <c r="AT9232" s="74"/>
      <c r="AW9232" s="74"/>
    </row>
    <row r="9233" spans="46:49" x14ac:dyDescent="0.25">
      <c r="AT9233" s="74"/>
      <c r="AW9233" s="74"/>
    </row>
    <row r="9234" spans="46:49" x14ac:dyDescent="0.25">
      <c r="AT9234" s="74"/>
      <c r="AW9234" s="74"/>
    </row>
    <row r="9235" spans="46:49" x14ac:dyDescent="0.25">
      <c r="AT9235" s="74"/>
      <c r="AW9235" s="74"/>
    </row>
    <row r="9236" spans="46:49" x14ac:dyDescent="0.25">
      <c r="AT9236" s="74"/>
      <c r="AW9236" s="74"/>
    </row>
    <row r="9237" spans="46:49" x14ac:dyDescent="0.25">
      <c r="AT9237" s="74"/>
      <c r="AW9237" s="74"/>
    </row>
    <row r="9238" spans="46:49" x14ac:dyDescent="0.25">
      <c r="AT9238" s="74"/>
      <c r="AW9238" s="74"/>
    </row>
    <row r="9239" spans="46:49" x14ac:dyDescent="0.25">
      <c r="AT9239" s="74"/>
      <c r="AW9239" s="74"/>
    </row>
    <row r="9240" spans="46:49" x14ac:dyDescent="0.25">
      <c r="AT9240" s="74"/>
      <c r="AW9240" s="74"/>
    </row>
    <row r="9241" spans="46:49" x14ac:dyDescent="0.25">
      <c r="AT9241" s="74"/>
      <c r="AW9241" s="74"/>
    </row>
    <row r="9242" spans="46:49" x14ac:dyDescent="0.25">
      <c r="AT9242" s="74"/>
      <c r="AW9242" s="74"/>
    </row>
    <row r="9243" spans="46:49" x14ac:dyDescent="0.25">
      <c r="AT9243" s="74"/>
      <c r="AW9243" s="74"/>
    </row>
    <row r="9244" spans="46:49" x14ac:dyDescent="0.25">
      <c r="AT9244" s="74"/>
      <c r="AW9244" s="74"/>
    </row>
    <row r="9245" spans="46:49" x14ac:dyDescent="0.25">
      <c r="AT9245" s="74"/>
      <c r="AW9245" s="74"/>
    </row>
    <row r="9246" spans="46:49" x14ac:dyDescent="0.25">
      <c r="AT9246" s="74"/>
      <c r="AW9246" s="74"/>
    </row>
    <row r="9247" spans="46:49" x14ac:dyDescent="0.25">
      <c r="AT9247" s="74"/>
      <c r="AW9247" s="74"/>
    </row>
    <row r="9248" spans="46:49" x14ac:dyDescent="0.25">
      <c r="AT9248" s="74"/>
      <c r="AW9248" s="74"/>
    </row>
    <row r="9249" spans="46:49" x14ac:dyDescent="0.25">
      <c r="AT9249" s="74"/>
      <c r="AW9249" s="74"/>
    </row>
    <row r="9250" spans="46:49" x14ac:dyDescent="0.25">
      <c r="AT9250" s="74"/>
      <c r="AW9250" s="74"/>
    </row>
    <row r="9251" spans="46:49" x14ac:dyDescent="0.25">
      <c r="AT9251" s="74"/>
      <c r="AW9251" s="74"/>
    </row>
    <row r="9252" spans="46:49" x14ac:dyDescent="0.25">
      <c r="AT9252" s="74"/>
      <c r="AW9252" s="74"/>
    </row>
    <row r="9253" spans="46:49" x14ac:dyDescent="0.25">
      <c r="AT9253" s="74"/>
      <c r="AW9253" s="74"/>
    </row>
    <row r="9254" spans="46:49" x14ac:dyDescent="0.25">
      <c r="AT9254" s="74"/>
      <c r="AW9254" s="74"/>
    </row>
    <row r="9255" spans="46:49" x14ac:dyDescent="0.25">
      <c r="AT9255" s="74"/>
      <c r="AW9255" s="74"/>
    </row>
    <row r="9256" spans="46:49" x14ac:dyDescent="0.25">
      <c r="AT9256" s="74"/>
      <c r="AW9256" s="74"/>
    </row>
    <row r="9257" spans="46:49" x14ac:dyDescent="0.25">
      <c r="AT9257" s="74"/>
      <c r="AW9257" s="74"/>
    </row>
    <row r="9258" spans="46:49" x14ac:dyDescent="0.25">
      <c r="AT9258" s="74"/>
      <c r="AW9258" s="74"/>
    </row>
    <row r="9259" spans="46:49" x14ac:dyDescent="0.25">
      <c r="AT9259" s="74"/>
      <c r="AW9259" s="74"/>
    </row>
    <row r="9260" spans="46:49" x14ac:dyDescent="0.25">
      <c r="AT9260" s="74"/>
      <c r="AW9260" s="74"/>
    </row>
    <row r="9261" spans="46:49" x14ac:dyDescent="0.25">
      <c r="AT9261" s="74"/>
      <c r="AW9261" s="74"/>
    </row>
    <row r="9262" spans="46:49" x14ac:dyDescent="0.25">
      <c r="AT9262" s="74"/>
      <c r="AW9262" s="74"/>
    </row>
    <row r="9263" spans="46:49" x14ac:dyDescent="0.25">
      <c r="AT9263" s="74"/>
      <c r="AW9263" s="74"/>
    </row>
    <row r="9264" spans="46:49" x14ac:dyDescent="0.25">
      <c r="AT9264" s="74"/>
      <c r="AW9264" s="74"/>
    </row>
    <row r="9265" spans="46:49" x14ac:dyDescent="0.25">
      <c r="AT9265" s="74"/>
      <c r="AW9265" s="74"/>
    </row>
    <row r="9266" spans="46:49" x14ac:dyDescent="0.25">
      <c r="AT9266" s="74"/>
      <c r="AW9266" s="74"/>
    </row>
    <row r="9267" spans="46:49" x14ac:dyDescent="0.25">
      <c r="AT9267" s="74"/>
      <c r="AW9267" s="74"/>
    </row>
    <row r="9268" spans="46:49" x14ac:dyDescent="0.25">
      <c r="AT9268" s="74"/>
      <c r="AW9268" s="74"/>
    </row>
    <row r="9269" spans="46:49" x14ac:dyDescent="0.25">
      <c r="AT9269" s="74"/>
      <c r="AW9269" s="74"/>
    </row>
    <row r="9270" spans="46:49" x14ac:dyDescent="0.25">
      <c r="AT9270" s="74"/>
      <c r="AW9270" s="74"/>
    </row>
    <row r="9271" spans="46:49" x14ac:dyDescent="0.25">
      <c r="AT9271" s="74"/>
      <c r="AW9271" s="74"/>
    </row>
    <row r="9272" spans="46:49" x14ac:dyDescent="0.25">
      <c r="AT9272" s="74"/>
      <c r="AW9272" s="74"/>
    </row>
    <row r="9273" spans="46:49" x14ac:dyDescent="0.25">
      <c r="AT9273" s="74"/>
      <c r="AW9273" s="74"/>
    </row>
    <row r="9274" spans="46:49" x14ac:dyDescent="0.25">
      <c r="AT9274" s="74"/>
      <c r="AW9274" s="74"/>
    </row>
    <row r="9275" spans="46:49" x14ac:dyDescent="0.25">
      <c r="AT9275" s="74"/>
      <c r="AW9275" s="74"/>
    </row>
    <row r="9276" spans="46:49" x14ac:dyDescent="0.25">
      <c r="AT9276" s="74"/>
      <c r="AW9276" s="74"/>
    </row>
    <row r="9277" spans="46:49" x14ac:dyDescent="0.25">
      <c r="AT9277" s="74"/>
      <c r="AW9277" s="74"/>
    </row>
    <row r="9278" spans="46:49" x14ac:dyDescent="0.25">
      <c r="AT9278" s="74"/>
      <c r="AW9278" s="74"/>
    </row>
    <row r="9279" spans="46:49" x14ac:dyDescent="0.25">
      <c r="AT9279" s="74"/>
      <c r="AW9279" s="74"/>
    </row>
    <row r="9280" spans="46:49" x14ac:dyDescent="0.25">
      <c r="AT9280" s="74"/>
      <c r="AW9280" s="74"/>
    </row>
    <row r="9281" spans="46:49" x14ac:dyDescent="0.25">
      <c r="AT9281" s="74"/>
      <c r="AW9281" s="74"/>
    </row>
    <row r="9282" spans="46:49" x14ac:dyDescent="0.25">
      <c r="AT9282" s="74"/>
      <c r="AW9282" s="74"/>
    </row>
    <row r="9283" spans="46:49" x14ac:dyDescent="0.25">
      <c r="AT9283" s="74"/>
      <c r="AW9283" s="74"/>
    </row>
    <row r="9284" spans="46:49" x14ac:dyDescent="0.25">
      <c r="AT9284" s="74"/>
      <c r="AW9284" s="74"/>
    </row>
    <row r="9285" spans="46:49" x14ac:dyDescent="0.25">
      <c r="AT9285" s="74"/>
      <c r="AW9285" s="74"/>
    </row>
    <row r="9286" spans="46:49" x14ac:dyDescent="0.25">
      <c r="AT9286" s="74"/>
      <c r="AW9286" s="74"/>
    </row>
    <row r="9287" spans="46:49" x14ac:dyDescent="0.25">
      <c r="AT9287" s="74"/>
      <c r="AW9287" s="74"/>
    </row>
    <row r="9288" spans="46:49" x14ac:dyDescent="0.25">
      <c r="AT9288" s="74"/>
      <c r="AW9288" s="74"/>
    </row>
    <row r="9289" spans="46:49" x14ac:dyDescent="0.25">
      <c r="AT9289" s="74"/>
      <c r="AW9289" s="74"/>
    </row>
    <row r="9290" spans="46:49" x14ac:dyDescent="0.25">
      <c r="AT9290" s="74"/>
      <c r="AW9290" s="74"/>
    </row>
    <row r="9291" spans="46:49" x14ac:dyDescent="0.25">
      <c r="AT9291" s="74"/>
      <c r="AW9291" s="74"/>
    </row>
    <row r="9292" spans="46:49" x14ac:dyDescent="0.25">
      <c r="AT9292" s="74"/>
      <c r="AW9292" s="74"/>
    </row>
    <row r="9293" spans="46:49" x14ac:dyDescent="0.25">
      <c r="AT9293" s="74"/>
      <c r="AW9293" s="74"/>
    </row>
    <row r="9294" spans="46:49" x14ac:dyDescent="0.25">
      <c r="AT9294" s="74"/>
      <c r="AW9294" s="74"/>
    </row>
    <row r="9295" spans="46:49" x14ac:dyDescent="0.25">
      <c r="AT9295" s="74"/>
      <c r="AW9295" s="74"/>
    </row>
    <row r="9296" spans="46:49" x14ac:dyDescent="0.25">
      <c r="AT9296" s="74"/>
      <c r="AW9296" s="74"/>
    </row>
    <row r="9297" spans="46:49" x14ac:dyDescent="0.25">
      <c r="AT9297" s="74"/>
      <c r="AW9297" s="74"/>
    </row>
    <row r="9298" spans="46:49" x14ac:dyDescent="0.25">
      <c r="AT9298" s="74"/>
      <c r="AW9298" s="74"/>
    </row>
    <row r="9299" spans="46:49" x14ac:dyDescent="0.25">
      <c r="AT9299" s="74"/>
      <c r="AW9299" s="74"/>
    </row>
    <row r="9300" spans="46:49" x14ac:dyDescent="0.25">
      <c r="AT9300" s="74"/>
      <c r="AW9300" s="74"/>
    </row>
    <row r="9301" spans="46:49" x14ac:dyDescent="0.25">
      <c r="AT9301" s="74"/>
      <c r="AW9301" s="74"/>
    </row>
    <row r="9302" spans="46:49" x14ac:dyDescent="0.25">
      <c r="AT9302" s="74"/>
      <c r="AW9302" s="74"/>
    </row>
    <row r="9303" spans="46:49" x14ac:dyDescent="0.25">
      <c r="AT9303" s="74"/>
      <c r="AW9303" s="74"/>
    </row>
    <row r="9304" spans="46:49" x14ac:dyDescent="0.25">
      <c r="AT9304" s="74"/>
      <c r="AW9304" s="74"/>
    </row>
    <row r="9305" spans="46:49" x14ac:dyDescent="0.25">
      <c r="AT9305" s="74"/>
      <c r="AW9305" s="74"/>
    </row>
    <row r="9306" spans="46:49" x14ac:dyDescent="0.25">
      <c r="AT9306" s="74"/>
      <c r="AW9306" s="74"/>
    </row>
    <row r="9307" spans="46:49" x14ac:dyDescent="0.25">
      <c r="AT9307" s="74"/>
      <c r="AW9307" s="74"/>
    </row>
    <row r="9308" spans="46:49" x14ac:dyDescent="0.25">
      <c r="AT9308" s="74"/>
      <c r="AW9308" s="74"/>
    </row>
    <row r="9309" spans="46:49" x14ac:dyDescent="0.25">
      <c r="AT9309" s="74"/>
      <c r="AW9309" s="74"/>
    </row>
    <row r="9310" spans="46:49" x14ac:dyDescent="0.25">
      <c r="AT9310" s="74"/>
      <c r="AW9310" s="74"/>
    </row>
    <row r="9311" spans="46:49" x14ac:dyDescent="0.25">
      <c r="AT9311" s="74"/>
      <c r="AW9311" s="74"/>
    </row>
    <row r="9312" spans="46:49" x14ac:dyDescent="0.25">
      <c r="AT9312" s="74"/>
      <c r="AW9312" s="74"/>
    </row>
    <row r="9313" spans="46:49" x14ac:dyDescent="0.25">
      <c r="AT9313" s="74"/>
      <c r="AW9313" s="74"/>
    </row>
    <row r="9314" spans="46:49" x14ac:dyDescent="0.25">
      <c r="AT9314" s="74"/>
      <c r="AW9314" s="74"/>
    </row>
    <row r="9315" spans="46:49" x14ac:dyDescent="0.25">
      <c r="AT9315" s="74"/>
      <c r="AW9315" s="74"/>
    </row>
    <row r="9316" spans="46:49" x14ac:dyDescent="0.25">
      <c r="AT9316" s="74"/>
      <c r="AW9316" s="74"/>
    </row>
    <row r="9317" spans="46:49" x14ac:dyDescent="0.25">
      <c r="AT9317" s="74"/>
      <c r="AW9317" s="74"/>
    </row>
    <row r="9318" spans="46:49" x14ac:dyDescent="0.25">
      <c r="AT9318" s="74"/>
      <c r="AW9318" s="74"/>
    </row>
    <row r="9319" spans="46:49" x14ac:dyDescent="0.25">
      <c r="AT9319" s="74"/>
      <c r="AW9319" s="74"/>
    </row>
    <row r="9320" spans="46:49" x14ac:dyDescent="0.25">
      <c r="AT9320" s="74"/>
      <c r="AW9320" s="74"/>
    </row>
    <row r="9321" spans="46:49" x14ac:dyDescent="0.25">
      <c r="AT9321" s="74"/>
      <c r="AW9321" s="74"/>
    </row>
    <row r="9322" spans="46:49" x14ac:dyDescent="0.25">
      <c r="AT9322" s="74"/>
      <c r="AW9322" s="74"/>
    </row>
    <row r="9323" spans="46:49" x14ac:dyDescent="0.25">
      <c r="AT9323" s="74"/>
      <c r="AW9323" s="74"/>
    </row>
    <row r="9324" spans="46:49" x14ac:dyDescent="0.25">
      <c r="AT9324" s="74"/>
      <c r="AW9324" s="74"/>
    </row>
    <row r="9325" spans="46:49" x14ac:dyDescent="0.25">
      <c r="AT9325" s="74"/>
      <c r="AW9325" s="74"/>
    </row>
    <row r="9326" spans="46:49" x14ac:dyDescent="0.25">
      <c r="AT9326" s="74"/>
      <c r="AW9326" s="74"/>
    </row>
    <row r="9327" spans="46:49" x14ac:dyDescent="0.25">
      <c r="AT9327" s="74"/>
      <c r="AW9327" s="74"/>
    </row>
    <row r="9328" spans="46:49" x14ac:dyDescent="0.25">
      <c r="AT9328" s="74"/>
      <c r="AW9328" s="74"/>
    </row>
    <row r="9329" spans="46:49" x14ac:dyDescent="0.25">
      <c r="AT9329" s="74"/>
      <c r="AW9329" s="74"/>
    </row>
    <row r="9330" spans="46:49" x14ac:dyDescent="0.25">
      <c r="AT9330" s="74"/>
      <c r="AW9330" s="74"/>
    </row>
    <row r="9331" spans="46:49" x14ac:dyDescent="0.25">
      <c r="AT9331" s="74"/>
      <c r="AW9331" s="74"/>
    </row>
    <row r="9332" spans="46:49" x14ac:dyDescent="0.25">
      <c r="AT9332" s="74"/>
      <c r="AW9332" s="74"/>
    </row>
    <row r="9333" spans="46:49" x14ac:dyDescent="0.25">
      <c r="AT9333" s="74"/>
      <c r="AW9333" s="74"/>
    </row>
    <row r="9334" spans="46:49" x14ac:dyDescent="0.25">
      <c r="AT9334" s="74"/>
      <c r="AW9334" s="74"/>
    </row>
    <row r="9335" spans="46:49" x14ac:dyDescent="0.25">
      <c r="AT9335" s="74"/>
      <c r="AW9335" s="74"/>
    </row>
    <row r="9336" spans="46:49" x14ac:dyDescent="0.25">
      <c r="AT9336" s="74"/>
      <c r="AW9336" s="74"/>
    </row>
    <row r="9337" spans="46:49" x14ac:dyDescent="0.25">
      <c r="AT9337" s="74"/>
      <c r="AW9337" s="74"/>
    </row>
    <row r="9338" spans="46:49" x14ac:dyDescent="0.25">
      <c r="AT9338" s="74"/>
      <c r="AW9338" s="74"/>
    </row>
    <row r="9339" spans="46:49" x14ac:dyDescent="0.25">
      <c r="AT9339" s="74"/>
      <c r="AW9339" s="74"/>
    </row>
    <row r="9340" spans="46:49" x14ac:dyDescent="0.25">
      <c r="AT9340" s="74"/>
      <c r="AW9340" s="74"/>
    </row>
    <row r="9341" spans="46:49" x14ac:dyDescent="0.25">
      <c r="AT9341" s="74"/>
      <c r="AW9341" s="74"/>
    </row>
    <row r="9342" spans="46:49" x14ac:dyDescent="0.25">
      <c r="AT9342" s="74"/>
      <c r="AW9342" s="74"/>
    </row>
    <row r="9343" spans="46:49" x14ac:dyDescent="0.25">
      <c r="AT9343" s="74"/>
      <c r="AW9343" s="74"/>
    </row>
    <row r="9344" spans="46:49" x14ac:dyDescent="0.25">
      <c r="AT9344" s="74"/>
      <c r="AW9344" s="74"/>
    </row>
    <row r="9345" spans="46:49" x14ac:dyDescent="0.25">
      <c r="AT9345" s="74"/>
      <c r="AW9345" s="74"/>
    </row>
    <row r="9346" spans="46:49" x14ac:dyDescent="0.25">
      <c r="AT9346" s="74"/>
      <c r="AW9346" s="74"/>
    </row>
    <row r="9347" spans="46:49" x14ac:dyDescent="0.25">
      <c r="AT9347" s="74"/>
      <c r="AW9347" s="74"/>
    </row>
    <row r="9348" spans="46:49" x14ac:dyDescent="0.25">
      <c r="AT9348" s="74"/>
      <c r="AW9348" s="74"/>
    </row>
    <row r="9349" spans="46:49" x14ac:dyDescent="0.25">
      <c r="AT9349" s="74"/>
      <c r="AW9349" s="74"/>
    </row>
    <row r="9350" spans="46:49" x14ac:dyDescent="0.25">
      <c r="AT9350" s="74"/>
      <c r="AW9350" s="74"/>
    </row>
    <row r="9351" spans="46:49" x14ac:dyDescent="0.25">
      <c r="AT9351" s="74"/>
      <c r="AW9351" s="74"/>
    </row>
    <row r="9352" spans="46:49" x14ac:dyDescent="0.25">
      <c r="AT9352" s="74"/>
      <c r="AW9352" s="74"/>
    </row>
    <row r="9353" spans="46:49" x14ac:dyDescent="0.25">
      <c r="AT9353" s="74"/>
      <c r="AW9353" s="74"/>
    </row>
    <row r="9354" spans="46:49" x14ac:dyDescent="0.25">
      <c r="AT9354" s="74"/>
      <c r="AW9354" s="74"/>
    </row>
    <row r="9355" spans="46:49" x14ac:dyDescent="0.25">
      <c r="AT9355" s="74"/>
      <c r="AW9355" s="74"/>
    </row>
    <row r="9356" spans="46:49" x14ac:dyDescent="0.25">
      <c r="AT9356" s="74"/>
      <c r="AW9356" s="74"/>
    </row>
    <row r="9357" spans="46:49" x14ac:dyDescent="0.25">
      <c r="AT9357" s="74"/>
      <c r="AW9357" s="74"/>
    </row>
    <row r="9358" spans="46:49" x14ac:dyDescent="0.25">
      <c r="AT9358" s="74"/>
      <c r="AW9358" s="74"/>
    </row>
    <row r="9359" spans="46:49" x14ac:dyDescent="0.25">
      <c r="AT9359" s="74"/>
      <c r="AW9359" s="74"/>
    </row>
    <row r="9360" spans="46:49" x14ac:dyDescent="0.25">
      <c r="AT9360" s="74"/>
      <c r="AW9360" s="74"/>
    </row>
    <row r="9361" spans="46:49" x14ac:dyDescent="0.25">
      <c r="AT9361" s="74"/>
      <c r="AW9361" s="74"/>
    </row>
    <row r="9362" spans="46:49" x14ac:dyDescent="0.25">
      <c r="AT9362" s="74"/>
      <c r="AW9362" s="74"/>
    </row>
    <row r="9363" spans="46:49" x14ac:dyDescent="0.25">
      <c r="AT9363" s="74"/>
      <c r="AW9363" s="74"/>
    </row>
    <row r="9364" spans="46:49" x14ac:dyDescent="0.25">
      <c r="AT9364" s="74"/>
      <c r="AW9364" s="74"/>
    </row>
    <row r="9365" spans="46:49" x14ac:dyDescent="0.25">
      <c r="AT9365" s="74"/>
      <c r="AW9365" s="74"/>
    </row>
    <row r="9366" spans="46:49" x14ac:dyDescent="0.25">
      <c r="AT9366" s="74"/>
      <c r="AW9366" s="74"/>
    </row>
    <row r="9367" spans="46:49" x14ac:dyDescent="0.25">
      <c r="AT9367" s="74"/>
      <c r="AW9367" s="74"/>
    </row>
    <row r="9368" spans="46:49" x14ac:dyDescent="0.25">
      <c r="AT9368" s="74"/>
      <c r="AW9368" s="74"/>
    </row>
    <row r="9369" spans="46:49" x14ac:dyDescent="0.25">
      <c r="AT9369" s="74"/>
      <c r="AW9369" s="74"/>
    </row>
    <row r="9370" spans="46:49" x14ac:dyDescent="0.25">
      <c r="AT9370" s="74"/>
      <c r="AW9370" s="74"/>
    </row>
    <row r="9371" spans="46:49" x14ac:dyDescent="0.25">
      <c r="AT9371" s="74"/>
      <c r="AW9371" s="74"/>
    </row>
    <row r="9372" spans="46:49" x14ac:dyDescent="0.25">
      <c r="AT9372" s="74"/>
      <c r="AW9372" s="74"/>
    </row>
    <row r="9373" spans="46:49" x14ac:dyDescent="0.25">
      <c r="AT9373" s="74"/>
      <c r="AW9373" s="74"/>
    </row>
    <row r="9374" spans="46:49" x14ac:dyDescent="0.25">
      <c r="AT9374" s="74"/>
      <c r="AW9374" s="74"/>
    </row>
    <row r="9375" spans="46:49" x14ac:dyDescent="0.25">
      <c r="AT9375" s="74"/>
      <c r="AW9375" s="74"/>
    </row>
    <row r="9376" spans="46:49" x14ac:dyDescent="0.25">
      <c r="AT9376" s="74"/>
      <c r="AW9376" s="74"/>
    </row>
    <row r="9377" spans="46:49" x14ac:dyDescent="0.25">
      <c r="AT9377" s="74"/>
      <c r="AW9377" s="74"/>
    </row>
    <row r="9378" spans="46:49" x14ac:dyDescent="0.25">
      <c r="AT9378" s="74"/>
      <c r="AW9378" s="74"/>
    </row>
    <row r="9379" spans="46:49" x14ac:dyDescent="0.25">
      <c r="AT9379" s="74"/>
      <c r="AW9379" s="74"/>
    </row>
    <row r="9380" spans="46:49" x14ac:dyDescent="0.25">
      <c r="AT9380" s="74"/>
      <c r="AW9380" s="74"/>
    </row>
    <row r="9381" spans="46:49" x14ac:dyDescent="0.25">
      <c r="AT9381" s="74"/>
      <c r="AW9381" s="74"/>
    </row>
    <row r="9382" spans="46:49" x14ac:dyDescent="0.25">
      <c r="AT9382" s="74"/>
      <c r="AW9382" s="74"/>
    </row>
    <row r="9383" spans="46:49" x14ac:dyDescent="0.25">
      <c r="AT9383" s="74"/>
      <c r="AW9383" s="74"/>
    </row>
    <row r="9384" spans="46:49" x14ac:dyDescent="0.25">
      <c r="AT9384" s="74"/>
      <c r="AW9384" s="74"/>
    </row>
    <row r="9385" spans="46:49" x14ac:dyDescent="0.25">
      <c r="AT9385" s="74"/>
      <c r="AW9385" s="74"/>
    </row>
    <row r="9386" spans="46:49" x14ac:dyDescent="0.25">
      <c r="AT9386" s="74"/>
      <c r="AW9386" s="74"/>
    </row>
    <row r="9387" spans="46:49" x14ac:dyDescent="0.25">
      <c r="AT9387" s="74"/>
      <c r="AW9387" s="74"/>
    </row>
    <row r="9388" spans="46:49" x14ac:dyDescent="0.25">
      <c r="AT9388" s="74"/>
      <c r="AW9388" s="74"/>
    </row>
    <row r="9389" spans="46:49" x14ac:dyDescent="0.25">
      <c r="AT9389" s="74"/>
      <c r="AW9389" s="74"/>
    </row>
    <row r="9390" spans="46:49" x14ac:dyDescent="0.25">
      <c r="AT9390" s="74"/>
      <c r="AW9390" s="74"/>
    </row>
    <row r="9391" spans="46:49" x14ac:dyDescent="0.25">
      <c r="AT9391" s="74"/>
      <c r="AW9391" s="74"/>
    </row>
    <row r="9392" spans="46:49" x14ac:dyDescent="0.25">
      <c r="AT9392" s="74"/>
      <c r="AW9392" s="74"/>
    </row>
    <row r="9393" spans="46:49" x14ac:dyDescent="0.25">
      <c r="AT9393" s="74"/>
      <c r="AW9393" s="74"/>
    </row>
    <row r="9394" spans="46:49" x14ac:dyDescent="0.25">
      <c r="AT9394" s="74"/>
      <c r="AW9394" s="74"/>
    </row>
    <row r="9395" spans="46:49" x14ac:dyDescent="0.25">
      <c r="AT9395" s="74"/>
      <c r="AW9395" s="74"/>
    </row>
    <row r="9396" spans="46:49" x14ac:dyDescent="0.25">
      <c r="AT9396" s="74"/>
      <c r="AW9396" s="74"/>
    </row>
    <row r="9397" spans="46:49" x14ac:dyDescent="0.25">
      <c r="AT9397" s="74"/>
      <c r="AW9397" s="74"/>
    </row>
    <row r="9398" spans="46:49" x14ac:dyDescent="0.25">
      <c r="AT9398" s="74"/>
      <c r="AW9398" s="74"/>
    </row>
    <row r="9399" spans="46:49" x14ac:dyDescent="0.25">
      <c r="AT9399" s="74"/>
      <c r="AW9399" s="74"/>
    </row>
    <row r="9400" spans="46:49" x14ac:dyDescent="0.25">
      <c r="AT9400" s="74"/>
      <c r="AW9400" s="74"/>
    </row>
    <row r="9401" spans="46:49" x14ac:dyDescent="0.25">
      <c r="AT9401" s="74"/>
      <c r="AW9401" s="74"/>
    </row>
    <row r="9402" spans="46:49" x14ac:dyDescent="0.25">
      <c r="AT9402" s="74"/>
      <c r="AW9402" s="74"/>
    </row>
    <row r="9403" spans="46:49" x14ac:dyDescent="0.25">
      <c r="AT9403" s="74"/>
      <c r="AW9403" s="74"/>
    </row>
    <row r="9404" spans="46:49" x14ac:dyDescent="0.25">
      <c r="AT9404" s="74"/>
      <c r="AW9404" s="74"/>
    </row>
    <row r="9405" spans="46:49" x14ac:dyDescent="0.25">
      <c r="AT9405" s="74"/>
      <c r="AW9405" s="74"/>
    </row>
    <row r="9406" spans="46:49" x14ac:dyDescent="0.25">
      <c r="AT9406" s="74"/>
      <c r="AW9406" s="74"/>
    </row>
    <row r="9407" spans="46:49" x14ac:dyDescent="0.25">
      <c r="AT9407" s="74"/>
      <c r="AW9407" s="74"/>
    </row>
    <row r="9408" spans="46:49" x14ac:dyDescent="0.25">
      <c r="AT9408" s="74"/>
      <c r="AW9408" s="74"/>
    </row>
    <row r="9409" spans="46:49" x14ac:dyDescent="0.25">
      <c r="AT9409" s="74"/>
      <c r="AW9409" s="74"/>
    </row>
    <row r="9410" spans="46:49" x14ac:dyDescent="0.25">
      <c r="AT9410" s="74"/>
      <c r="AW9410" s="74"/>
    </row>
    <row r="9411" spans="46:49" x14ac:dyDescent="0.25">
      <c r="AT9411" s="74"/>
      <c r="AW9411" s="74"/>
    </row>
    <row r="9412" spans="46:49" x14ac:dyDescent="0.25">
      <c r="AT9412" s="74"/>
      <c r="AW9412" s="74"/>
    </row>
    <row r="9413" spans="46:49" x14ac:dyDescent="0.25">
      <c r="AT9413" s="74"/>
      <c r="AW9413" s="74"/>
    </row>
    <row r="9414" spans="46:49" x14ac:dyDescent="0.25">
      <c r="AT9414" s="74"/>
      <c r="AW9414" s="74"/>
    </row>
    <row r="9415" spans="46:49" x14ac:dyDescent="0.25">
      <c r="AT9415" s="74"/>
      <c r="AW9415" s="74"/>
    </row>
    <row r="9416" spans="46:49" x14ac:dyDescent="0.25">
      <c r="AT9416" s="74"/>
      <c r="AW9416" s="74"/>
    </row>
    <row r="9417" spans="46:49" x14ac:dyDescent="0.25">
      <c r="AT9417" s="74"/>
      <c r="AW9417" s="74"/>
    </row>
    <row r="9418" spans="46:49" x14ac:dyDescent="0.25">
      <c r="AT9418" s="74"/>
      <c r="AW9418" s="74"/>
    </row>
    <row r="9419" spans="46:49" x14ac:dyDescent="0.25">
      <c r="AT9419" s="74"/>
      <c r="AW9419" s="74"/>
    </row>
    <row r="9420" spans="46:49" x14ac:dyDescent="0.25">
      <c r="AT9420" s="74"/>
      <c r="AW9420" s="74"/>
    </row>
    <row r="9421" spans="46:49" x14ac:dyDescent="0.25">
      <c r="AT9421" s="74"/>
      <c r="AW9421" s="74"/>
    </row>
    <row r="9422" spans="46:49" x14ac:dyDescent="0.25">
      <c r="AT9422" s="74"/>
      <c r="AW9422" s="74"/>
    </row>
    <row r="9423" spans="46:49" x14ac:dyDescent="0.25">
      <c r="AT9423" s="74"/>
      <c r="AW9423" s="74"/>
    </row>
    <row r="9424" spans="46:49" x14ac:dyDescent="0.25">
      <c r="AT9424" s="74"/>
      <c r="AW9424" s="74"/>
    </row>
    <row r="9425" spans="46:49" x14ac:dyDescent="0.25">
      <c r="AT9425" s="74"/>
      <c r="AW9425" s="74"/>
    </row>
    <row r="9426" spans="46:49" x14ac:dyDescent="0.25">
      <c r="AT9426" s="74"/>
      <c r="AW9426" s="74"/>
    </row>
    <row r="9427" spans="46:49" x14ac:dyDescent="0.25">
      <c r="AT9427" s="74"/>
      <c r="AW9427" s="74"/>
    </row>
    <row r="9428" spans="46:49" x14ac:dyDescent="0.25">
      <c r="AT9428" s="74"/>
      <c r="AW9428" s="74"/>
    </row>
    <row r="9429" spans="46:49" x14ac:dyDescent="0.25">
      <c r="AT9429" s="74"/>
      <c r="AW9429" s="74"/>
    </row>
    <row r="9430" spans="46:49" x14ac:dyDescent="0.25">
      <c r="AT9430" s="74"/>
      <c r="AW9430" s="74"/>
    </row>
    <row r="9431" spans="46:49" x14ac:dyDescent="0.25">
      <c r="AT9431" s="74"/>
      <c r="AW9431" s="74"/>
    </row>
    <row r="9432" spans="46:49" x14ac:dyDescent="0.25">
      <c r="AT9432" s="74"/>
      <c r="AW9432" s="74"/>
    </row>
    <row r="9433" spans="46:49" x14ac:dyDescent="0.25">
      <c r="AT9433" s="74"/>
      <c r="AW9433" s="74"/>
    </row>
    <row r="9434" spans="46:49" x14ac:dyDescent="0.25">
      <c r="AT9434" s="74"/>
      <c r="AW9434" s="74"/>
    </row>
    <row r="9435" spans="46:49" x14ac:dyDescent="0.25">
      <c r="AT9435" s="74"/>
      <c r="AW9435" s="74"/>
    </row>
    <row r="9436" spans="46:49" x14ac:dyDescent="0.25">
      <c r="AT9436" s="74"/>
      <c r="AW9436" s="74"/>
    </row>
    <row r="9437" spans="46:49" x14ac:dyDescent="0.25">
      <c r="AT9437" s="74"/>
      <c r="AW9437" s="74"/>
    </row>
    <row r="9438" spans="46:49" x14ac:dyDescent="0.25">
      <c r="AT9438" s="74"/>
      <c r="AW9438" s="74"/>
    </row>
    <row r="9439" spans="46:49" x14ac:dyDescent="0.25">
      <c r="AT9439" s="74"/>
      <c r="AW9439" s="74"/>
    </row>
    <row r="9440" spans="46:49" x14ac:dyDescent="0.25">
      <c r="AT9440" s="74"/>
      <c r="AW9440" s="74"/>
    </row>
    <row r="9441" spans="46:49" x14ac:dyDescent="0.25">
      <c r="AT9441" s="74"/>
      <c r="AW9441" s="74"/>
    </row>
    <row r="9442" spans="46:49" x14ac:dyDescent="0.25">
      <c r="AT9442" s="74"/>
      <c r="AW9442" s="74"/>
    </row>
    <row r="9443" spans="46:49" x14ac:dyDescent="0.25">
      <c r="AT9443" s="74"/>
      <c r="AW9443" s="74"/>
    </row>
    <row r="9444" spans="46:49" x14ac:dyDescent="0.25">
      <c r="AT9444" s="74"/>
      <c r="AW9444" s="74"/>
    </row>
    <row r="9445" spans="46:49" x14ac:dyDescent="0.25">
      <c r="AT9445" s="74"/>
      <c r="AW9445" s="74"/>
    </row>
    <row r="9446" spans="46:49" x14ac:dyDescent="0.25">
      <c r="AT9446" s="74"/>
      <c r="AW9446" s="74"/>
    </row>
    <row r="9447" spans="46:49" x14ac:dyDescent="0.25">
      <c r="AT9447" s="74"/>
      <c r="AW9447" s="74"/>
    </row>
    <row r="9448" spans="46:49" x14ac:dyDescent="0.25">
      <c r="AT9448" s="74"/>
      <c r="AW9448" s="74"/>
    </row>
    <row r="9449" spans="46:49" x14ac:dyDescent="0.25">
      <c r="AT9449" s="74"/>
      <c r="AW9449" s="74"/>
    </row>
    <row r="9450" spans="46:49" x14ac:dyDescent="0.25">
      <c r="AT9450" s="74"/>
      <c r="AW9450" s="74"/>
    </row>
    <row r="9451" spans="46:49" x14ac:dyDescent="0.25">
      <c r="AT9451" s="74"/>
      <c r="AW9451" s="74"/>
    </row>
    <row r="9452" spans="46:49" x14ac:dyDescent="0.25">
      <c r="AT9452" s="74"/>
      <c r="AW9452" s="74"/>
    </row>
    <row r="9453" spans="46:49" x14ac:dyDescent="0.25">
      <c r="AT9453" s="74"/>
      <c r="AW9453" s="74"/>
    </row>
    <row r="9454" spans="46:49" x14ac:dyDescent="0.25">
      <c r="AT9454" s="74"/>
      <c r="AW9454" s="74"/>
    </row>
    <row r="9455" spans="46:49" x14ac:dyDescent="0.25">
      <c r="AT9455" s="74"/>
      <c r="AW9455" s="74"/>
    </row>
    <row r="9456" spans="46:49" x14ac:dyDescent="0.25">
      <c r="AT9456" s="74"/>
      <c r="AW9456" s="74"/>
    </row>
    <row r="9457" spans="46:49" x14ac:dyDescent="0.25">
      <c r="AT9457" s="74"/>
      <c r="AW9457" s="74"/>
    </row>
    <row r="9458" spans="46:49" x14ac:dyDescent="0.25">
      <c r="AT9458" s="74"/>
      <c r="AW9458" s="74"/>
    </row>
    <row r="9459" spans="46:49" x14ac:dyDescent="0.25">
      <c r="AT9459" s="74"/>
      <c r="AW9459" s="74"/>
    </row>
    <row r="9460" spans="46:49" x14ac:dyDescent="0.25">
      <c r="AT9460" s="74"/>
      <c r="AW9460" s="74"/>
    </row>
    <row r="9461" spans="46:49" x14ac:dyDescent="0.25">
      <c r="AT9461" s="74"/>
      <c r="AW9461" s="74"/>
    </row>
    <row r="9462" spans="46:49" x14ac:dyDescent="0.25">
      <c r="AT9462" s="74"/>
      <c r="AW9462" s="74"/>
    </row>
    <row r="9463" spans="46:49" x14ac:dyDescent="0.25">
      <c r="AT9463" s="74"/>
      <c r="AW9463" s="74"/>
    </row>
    <row r="9464" spans="46:49" x14ac:dyDescent="0.25">
      <c r="AT9464" s="74"/>
      <c r="AW9464" s="74"/>
    </row>
    <row r="9465" spans="46:49" x14ac:dyDescent="0.25">
      <c r="AT9465" s="74"/>
      <c r="AW9465" s="74"/>
    </row>
    <row r="9466" spans="46:49" x14ac:dyDescent="0.25">
      <c r="AT9466" s="74"/>
      <c r="AW9466" s="74"/>
    </row>
    <row r="9467" spans="46:49" x14ac:dyDescent="0.25">
      <c r="AT9467" s="74"/>
      <c r="AW9467" s="74"/>
    </row>
    <row r="9468" spans="46:49" x14ac:dyDescent="0.25">
      <c r="AT9468" s="74"/>
      <c r="AW9468" s="74"/>
    </row>
    <row r="9469" spans="46:49" x14ac:dyDescent="0.25">
      <c r="AT9469" s="74"/>
      <c r="AW9469" s="74"/>
    </row>
    <row r="9470" spans="46:49" x14ac:dyDescent="0.25">
      <c r="AT9470" s="74"/>
      <c r="AW9470" s="74"/>
    </row>
    <row r="9471" spans="46:49" x14ac:dyDescent="0.25">
      <c r="AT9471" s="74"/>
      <c r="AW9471" s="74"/>
    </row>
    <row r="9472" spans="46:49" x14ac:dyDescent="0.25">
      <c r="AT9472" s="74"/>
      <c r="AW9472" s="74"/>
    </row>
    <row r="9473" spans="46:49" x14ac:dyDescent="0.25">
      <c r="AT9473" s="74"/>
      <c r="AW9473" s="74"/>
    </row>
    <row r="9474" spans="46:49" x14ac:dyDescent="0.25">
      <c r="AT9474" s="74"/>
      <c r="AW9474" s="74"/>
    </row>
    <row r="9475" spans="46:49" x14ac:dyDescent="0.25">
      <c r="AT9475" s="74"/>
      <c r="AW9475" s="74"/>
    </row>
    <row r="9476" spans="46:49" x14ac:dyDescent="0.25">
      <c r="AT9476" s="74"/>
      <c r="AW9476" s="74"/>
    </row>
    <row r="9477" spans="46:49" x14ac:dyDescent="0.25">
      <c r="AT9477" s="74"/>
      <c r="AW9477" s="74"/>
    </row>
    <row r="9478" spans="46:49" x14ac:dyDescent="0.25">
      <c r="AT9478" s="74"/>
      <c r="AW9478" s="74"/>
    </row>
    <row r="9479" spans="46:49" x14ac:dyDescent="0.25">
      <c r="AT9479" s="74"/>
      <c r="AW9479" s="74"/>
    </row>
    <row r="9480" spans="46:49" x14ac:dyDescent="0.25">
      <c r="AT9480" s="74"/>
      <c r="AW9480" s="74"/>
    </row>
    <row r="9481" spans="46:49" x14ac:dyDescent="0.25">
      <c r="AT9481" s="74"/>
      <c r="AW9481" s="74"/>
    </row>
    <row r="9482" spans="46:49" x14ac:dyDescent="0.25">
      <c r="AT9482" s="74"/>
      <c r="AW9482" s="74"/>
    </row>
    <row r="9483" spans="46:49" x14ac:dyDescent="0.25">
      <c r="AT9483" s="74"/>
      <c r="AW9483" s="74"/>
    </row>
    <row r="9484" spans="46:49" x14ac:dyDescent="0.25">
      <c r="AT9484" s="74"/>
      <c r="AW9484" s="74"/>
    </row>
    <row r="9485" spans="46:49" x14ac:dyDescent="0.25">
      <c r="AT9485" s="74"/>
      <c r="AW9485" s="74"/>
    </row>
    <row r="9486" spans="46:49" x14ac:dyDescent="0.25">
      <c r="AT9486" s="74"/>
      <c r="AW9486" s="74"/>
    </row>
    <row r="9487" spans="46:49" x14ac:dyDescent="0.25">
      <c r="AT9487" s="74"/>
      <c r="AW9487" s="74"/>
    </row>
    <row r="9488" spans="46:49" x14ac:dyDescent="0.25">
      <c r="AT9488" s="74"/>
      <c r="AW9488" s="74"/>
    </row>
    <row r="9489" spans="46:49" x14ac:dyDescent="0.25">
      <c r="AT9489" s="74"/>
      <c r="AW9489" s="74"/>
    </row>
    <row r="9490" spans="46:49" x14ac:dyDescent="0.25">
      <c r="AT9490" s="74"/>
      <c r="AW9490" s="74"/>
    </row>
    <row r="9491" spans="46:49" x14ac:dyDescent="0.25">
      <c r="AT9491" s="74"/>
      <c r="AW9491" s="74"/>
    </row>
    <row r="9492" spans="46:49" x14ac:dyDescent="0.25">
      <c r="AT9492" s="74"/>
      <c r="AW9492" s="74"/>
    </row>
    <row r="9493" spans="46:49" x14ac:dyDescent="0.25">
      <c r="AT9493" s="74"/>
      <c r="AW9493" s="74"/>
    </row>
    <row r="9494" spans="46:49" x14ac:dyDescent="0.25">
      <c r="AT9494" s="74"/>
      <c r="AW9494" s="74"/>
    </row>
    <row r="9495" spans="46:49" x14ac:dyDescent="0.25">
      <c r="AT9495" s="74"/>
      <c r="AW9495" s="74"/>
    </row>
    <row r="9496" spans="46:49" x14ac:dyDescent="0.25">
      <c r="AT9496" s="74"/>
      <c r="AW9496" s="74"/>
    </row>
    <row r="9497" spans="46:49" x14ac:dyDescent="0.25">
      <c r="AT9497" s="74"/>
      <c r="AW9497" s="74"/>
    </row>
    <row r="9498" spans="46:49" x14ac:dyDescent="0.25">
      <c r="AT9498" s="74"/>
      <c r="AW9498" s="74"/>
    </row>
    <row r="9499" spans="46:49" x14ac:dyDescent="0.25">
      <c r="AT9499" s="74"/>
      <c r="AW9499" s="74"/>
    </row>
    <row r="9500" spans="46:49" x14ac:dyDescent="0.25">
      <c r="AT9500" s="74"/>
      <c r="AW9500" s="74"/>
    </row>
    <row r="9501" spans="46:49" x14ac:dyDescent="0.25">
      <c r="AT9501" s="74"/>
      <c r="AW9501" s="74"/>
    </row>
    <row r="9502" spans="46:49" x14ac:dyDescent="0.25">
      <c r="AT9502" s="74"/>
      <c r="AW9502" s="74"/>
    </row>
    <row r="9503" spans="46:49" x14ac:dyDescent="0.25">
      <c r="AT9503" s="74"/>
      <c r="AW9503" s="74"/>
    </row>
    <row r="9504" spans="46:49" x14ac:dyDescent="0.25">
      <c r="AT9504" s="74"/>
      <c r="AW9504" s="74"/>
    </row>
    <row r="9505" spans="46:49" x14ac:dyDescent="0.25">
      <c r="AT9505" s="74"/>
      <c r="AW9505" s="74"/>
    </row>
    <row r="9506" spans="46:49" x14ac:dyDescent="0.25">
      <c r="AT9506" s="74"/>
      <c r="AW9506" s="74"/>
    </row>
    <row r="9507" spans="46:49" x14ac:dyDescent="0.25">
      <c r="AT9507" s="74"/>
      <c r="AW9507" s="74"/>
    </row>
    <row r="9508" spans="46:49" x14ac:dyDescent="0.25">
      <c r="AT9508" s="74"/>
      <c r="AW9508" s="74"/>
    </row>
    <row r="9509" spans="46:49" x14ac:dyDescent="0.25">
      <c r="AT9509" s="74"/>
      <c r="AW9509" s="74"/>
    </row>
    <row r="9510" spans="46:49" x14ac:dyDescent="0.25">
      <c r="AT9510" s="74"/>
      <c r="AW9510" s="74"/>
    </row>
    <row r="9511" spans="46:49" x14ac:dyDescent="0.25">
      <c r="AT9511" s="74"/>
      <c r="AW9511" s="74"/>
    </row>
    <row r="9512" spans="46:49" x14ac:dyDescent="0.25">
      <c r="AT9512" s="74"/>
      <c r="AW9512" s="74"/>
    </row>
    <row r="9513" spans="46:49" x14ac:dyDescent="0.25">
      <c r="AT9513" s="74"/>
      <c r="AW9513" s="74"/>
    </row>
    <row r="9514" spans="46:49" x14ac:dyDescent="0.25">
      <c r="AT9514" s="74"/>
      <c r="AW9514" s="74"/>
    </row>
    <row r="9515" spans="46:49" x14ac:dyDescent="0.25">
      <c r="AT9515" s="74"/>
      <c r="AW9515" s="74"/>
    </row>
    <row r="9516" spans="46:49" x14ac:dyDescent="0.25">
      <c r="AT9516" s="74"/>
      <c r="AW9516" s="74"/>
    </row>
    <row r="9517" spans="46:49" x14ac:dyDescent="0.25">
      <c r="AT9517" s="74"/>
      <c r="AW9517" s="74"/>
    </row>
    <row r="9518" spans="46:49" x14ac:dyDescent="0.25">
      <c r="AT9518" s="74"/>
      <c r="AW9518" s="74"/>
    </row>
    <row r="9519" spans="46:49" x14ac:dyDescent="0.25">
      <c r="AT9519" s="74"/>
      <c r="AW9519" s="74"/>
    </row>
    <row r="9520" spans="46:49" x14ac:dyDescent="0.25">
      <c r="AT9520" s="74"/>
      <c r="AW9520" s="74"/>
    </row>
    <row r="9521" spans="46:49" x14ac:dyDescent="0.25">
      <c r="AT9521" s="74"/>
      <c r="AW9521" s="74"/>
    </row>
    <row r="9522" spans="46:49" x14ac:dyDescent="0.25">
      <c r="AT9522" s="74"/>
      <c r="AW9522" s="74"/>
    </row>
    <row r="9523" spans="46:49" x14ac:dyDescent="0.25">
      <c r="AT9523" s="74"/>
      <c r="AW9523" s="74"/>
    </row>
    <row r="9524" spans="46:49" x14ac:dyDescent="0.25">
      <c r="AT9524" s="74"/>
      <c r="AW9524" s="74"/>
    </row>
    <row r="9525" spans="46:49" x14ac:dyDescent="0.25">
      <c r="AT9525" s="74"/>
      <c r="AW9525" s="74"/>
    </row>
    <row r="9526" spans="46:49" x14ac:dyDescent="0.25">
      <c r="AT9526" s="74"/>
      <c r="AW9526" s="74"/>
    </row>
    <row r="9527" spans="46:49" x14ac:dyDescent="0.25">
      <c r="AT9527" s="74"/>
      <c r="AW9527" s="74"/>
    </row>
    <row r="9528" spans="46:49" x14ac:dyDescent="0.25">
      <c r="AT9528" s="74"/>
      <c r="AW9528" s="74"/>
    </row>
    <row r="9529" spans="46:49" x14ac:dyDescent="0.25">
      <c r="AT9529" s="74"/>
      <c r="AW9529" s="74"/>
    </row>
    <row r="9530" spans="46:49" x14ac:dyDescent="0.25">
      <c r="AT9530" s="74"/>
      <c r="AW9530" s="74"/>
    </row>
    <row r="9531" spans="46:49" x14ac:dyDescent="0.25">
      <c r="AT9531" s="74"/>
      <c r="AW9531" s="74"/>
    </row>
    <row r="9532" spans="46:49" x14ac:dyDescent="0.25">
      <c r="AT9532" s="74"/>
      <c r="AW9532" s="74"/>
    </row>
    <row r="9533" spans="46:49" x14ac:dyDescent="0.25">
      <c r="AT9533" s="74"/>
      <c r="AW9533" s="74"/>
    </row>
    <row r="9534" spans="46:49" x14ac:dyDescent="0.25">
      <c r="AT9534" s="74"/>
      <c r="AW9534" s="74"/>
    </row>
    <row r="9535" spans="46:49" x14ac:dyDescent="0.25">
      <c r="AT9535" s="74"/>
      <c r="AW9535" s="74"/>
    </row>
    <row r="9536" spans="46:49" x14ac:dyDescent="0.25">
      <c r="AT9536" s="74"/>
      <c r="AW9536" s="74"/>
    </row>
    <row r="9537" spans="46:49" x14ac:dyDescent="0.25">
      <c r="AT9537" s="74"/>
      <c r="AW9537" s="74"/>
    </row>
    <row r="9538" spans="46:49" x14ac:dyDescent="0.25">
      <c r="AT9538" s="74"/>
      <c r="AW9538" s="74"/>
    </row>
    <row r="9539" spans="46:49" x14ac:dyDescent="0.25">
      <c r="AT9539" s="74"/>
      <c r="AW9539" s="74"/>
    </row>
    <row r="9540" spans="46:49" x14ac:dyDescent="0.25">
      <c r="AT9540" s="74"/>
      <c r="AW9540" s="74"/>
    </row>
    <row r="9541" spans="46:49" x14ac:dyDescent="0.25">
      <c r="AT9541" s="74"/>
      <c r="AW9541" s="74"/>
    </row>
    <row r="9542" spans="46:49" x14ac:dyDescent="0.25">
      <c r="AT9542" s="74"/>
      <c r="AW9542" s="74"/>
    </row>
    <row r="9543" spans="46:49" x14ac:dyDescent="0.25">
      <c r="AT9543" s="74"/>
      <c r="AW9543" s="74"/>
    </row>
    <row r="9544" spans="46:49" x14ac:dyDescent="0.25">
      <c r="AT9544" s="74"/>
      <c r="AW9544" s="74"/>
    </row>
    <row r="9545" spans="46:49" x14ac:dyDescent="0.25">
      <c r="AT9545" s="74"/>
      <c r="AW9545" s="74"/>
    </row>
    <row r="9546" spans="46:49" x14ac:dyDescent="0.25">
      <c r="AT9546" s="74"/>
      <c r="AW9546" s="74"/>
    </row>
    <row r="9547" spans="46:49" x14ac:dyDescent="0.25">
      <c r="AT9547" s="74"/>
      <c r="AW9547" s="74"/>
    </row>
    <row r="9548" spans="46:49" x14ac:dyDescent="0.25">
      <c r="AT9548" s="74"/>
      <c r="AW9548" s="74"/>
    </row>
    <row r="9549" spans="46:49" x14ac:dyDescent="0.25">
      <c r="AT9549" s="74"/>
      <c r="AW9549" s="74"/>
    </row>
    <row r="9550" spans="46:49" x14ac:dyDescent="0.25">
      <c r="AT9550" s="74"/>
      <c r="AW9550" s="74"/>
    </row>
    <row r="9551" spans="46:49" x14ac:dyDescent="0.25">
      <c r="AT9551" s="74"/>
      <c r="AW9551" s="74"/>
    </row>
    <row r="9552" spans="46:49" x14ac:dyDescent="0.25">
      <c r="AT9552" s="74"/>
      <c r="AW9552" s="74"/>
    </row>
    <row r="9553" spans="46:49" x14ac:dyDescent="0.25">
      <c r="AT9553" s="74"/>
      <c r="AW9553" s="74"/>
    </row>
    <row r="9554" spans="46:49" x14ac:dyDescent="0.25">
      <c r="AT9554" s="74"/>
      <c r="AW9554" s="74"/>
    </row>
    <row r="9555" spans="46:49" x14ac:dyDescent="0.25">
      <c r="AT9555" s="74"/>
      <c r="AW9555" s="74"/>
    </row>
    <row r="9556" spans="46:49" x14ac:dyDescent="0.25">
      <c r="AT9556" s="74"/>
      <c r="AW9556" s="74"/>
    </row>
    <row r="9557" spans="46:49" x14ac:dyDescent="0.25">
      <c r="AT9557" s="74"/>
      <c r="AW9557" s="74"/>
    </row>
    <row r="9558" spans="46:49" x14ac:dyDescent="0.25">
      <c r="AT9558" s="74"/>
      <c r="AW9558" s="74"/>
    </row>
    <row r="9559" spans="46:49" x14ac:dyDescent="0.25">
      <c r="AT9559" s="74"/>
      <c r="AW9559" s="74"/>
    </row>
    <row r="9560" spans="46:49" x14ac:dyDescent="0.25">
      <c r="AT9560" s="74"/>
      <c r="AW9560" s="74"/>
    </row>
    <row r="9561" spans="46:49" x14ac:dyDescent="0.25">
      <c r="AT9561" s="74"/>
      <c r="AW9561" s="74"/>
    </row>
    <row r="9562" spans="46:49" x14ac:dyDescent="0.25">
      <c r="AT9562" s="74"/>
      <c r="AW9562" s="74"/>
    </row>
    <row r="9563" spans="46:49" x14ac:dyDescent="0.25">
      <c r="AT9563" s="74"/>
      <c r="AW9563" s="74"/>
    </row>
    <row r="9564" spans="46:49" x14ac:dyDescent="0.25">
      <c r="AT9564" s="74"/>
      <c r="AW9564" s="74"/>
    </row>
    <row r="9565" spans="46:49" x14ac:dyDescent="0.25">
      <c r="AT9565" s="74"/>
      <c r="AW9565" s="74"/>
    </row>
    <row r="9566" spans="46:49" x14ac:dyDescent="0.25">
      <c r="AT9566" s="74"/>
      <c r="AW9566" s="74"/>
    </row>
    <row r="9567" spans="46:49" x14ac:dyDescent="0.25">
      <c r="AT9567" s="74"/>
      <c r="AW9567" s="74"/>
    </row>
    <row r="9568" spans="46:49" x14ac:dyDescent="0.25">
      <c r="AT9568" s="74"/>
      <c r="AW9568" s="74"/>
    </row>
    <row r="9569" spans="46:49" x14ac:dyDescent="0.25">
      <c r="AT9569" s="74"/>
      <c r="AW9569" s="74"/>
    </row>
    <row r="9570" spans="46:49" x14ac:dyDescent="0.25">
      <c r="AT9570" s="74"/>
      <c r="AW9570" s="74"/>
    </row>
    <row r="9571" spans="46:49" x14ac:dyDescent="0.25">
      <c r="AT9571" s="74"/>
      <c r="AW9571" s="74"/>
    </row>
    <row r="9572" spans="46:49" x14ac:dyDescent="0.25">
      <c r="AT9572" s="74"/>
      <c r="AW9572" s="74"/>
    </row>
    <row r="9573" spans="46:49" x14ac:dyDescent="0.25">
      <c r="AT9573" s="74"/>
      <c r="AW9573" s="74"/>
    </row>
    <row r="9574" spans="46:49" x14ac:dyDescent="0.25">
      <c r="AT9574" s="74"/>
      <c r="AW9574" s="74"/>
    </row>
    <row r="9575" spans="46:49" x14ac:dyDescent="0.25">
      <c r="AT9575" s="74"/>
      <c r="AW9575" s="74"/>
    </row>
    <row r="9576" spans="46:49" x14ac:dyDescent="0.25">
      <c r="AT9576" s="74"/>
      <c r="AW9576" s="74"/>
    </row>
    <row r="9577" spans="46:49" x14ac:dyDescent="0.25">
      <c r="AT9577" s="74"/>
      <c r="AW9577" s="74"/>
    </row>
    <row r="9578" spans="46:49" x14ac:dyDescent="0.25">
      <c r="AT9578" s="74"/>
      <c r="AW9578" s="74"/>
    </row>
    <row r="9579" spans="46:49" x14ac:dyDescent="0.25">
      <c r="AT9579" s="74"/>
      <c r="AW9579" s="74"/>
    </row>
    <row r="9580" spans="46:49" x14ac:dyDescent="0.25">
      <c r="AT9580" s="74"/>
      <c r="AW9580" s="74"/>
    </row>
    <row r="9581" spans="46:49" x14ac:dyDescent="0.25">
      <c r="AT9581" s="74"/>
      <c r="AW9581" s="74"/>
    </row>
    <row r="9582" spans="46:49" x14ac:dyDescent="0.25">
      <c r="AT9582" s="74"/>
      <c r="AW9582" s="74"/>
    </row>
    <row r="9583" spans="46:49" x14ac:dyDescent="0.25">
      <c r="AT9583" s="74"/>
      <c r="AW9583" s="74"/>
    </row>
    <row r="9584" spans="46:49" x14ac:dyDescent="0.25">
      <c r="AT9584" s="74"/>
      <c r="AW9584" s="74"/>
    </row>
    <row r="9585" spans="46:49" x14ac:dyDescent="0.25">
      <c r="AT9585" s="74"/>
      <c r="AW9585" s="74"/>
    </row>
    <row r="9586" spans="46:49" x14ac:dyDescent="0.25">
      <c r="AT9586" s="74"/>
      <c r="AW9586" s="74"/>
    </row>
    <row r="9587" spans="46:49" x14ac:dyDescent="0.25">
      <c r="AT9587" s="74"/>
      <c r="AW9587" s="74"/>
    </row>
    <row r="9588" spans="46:49" x14ac:dyDescent="0.25">
      <c r="AT9588" s="74"/>
      <c r="AW9588" s="74"/>
    </row>
    <row r="9589" spans="46:49" x14ac:dyDescent="0.25">
      <c r="AT9589" s="74"/>
      <c r="AW9589" s="74"/>
    </row>
    <row r="9590" spans="46:49" x14ac:dyDescent="0.25">
      <c r="AT9590" s="74"/>
      <c r="AW9590" s="74"/>
    </row>
    <row r="9591" spans="46:49" x14ac:dyDescent="0.25">
      <c r="AT9591" s="74"/>
      <c r="AW9591" s="74"/>
    </row>
    <row r="9592" spans="46:49" x14ac:dyDescent="0.25">
      <c r="AT9592" s="74"/>
      <c r="AW9592" s="74"/>
    </row>
    <row r="9593" spans="46:49" x14ac:dyDescent="0.25">
      <c r="AT9593" s="74"/>
      <c r="AW9593" s="74"/>
    </row>
    <row r="9594" spans="46:49" x14ac:dyDescent="0.25">
      <c r="AT9594" s="74"/>
      <c r="AW9594" s="74"/>
    </row>
    <row r="9595" spans="46:49" x14ac:dyDescent="0.25">
      <c r="AT9595" s="74"/>
      <c r="AW9595" s="74"/>
    </row>
    <row r="9596" spans="46:49" x14ac:dyDescent="0.25">
      <c r="AT9596" s="74"/>
      <c r="AW9596" s="74"/>
    </row>
    <row r="9597" spans="46:49" x14ac:dyDescent="0.25">
      <c r="AT9597" s="74"/>
      <c r="AW9597" s="74"/>
    </row>
    <row r="9598" spans="46:49" x14ac:dyDescent="0.25">
      <c r="AT9598" s="74"/>
      <c r="AW9598" s="74"/>
    </row>
    <row r="9599" spans="46:49" x14ac:dyDescent="0.25">
      <c r="AT9599" s="74"/>
      <c r="AW9599" s="74"/>
    </row>
    <row r="9600" spans="46:49" x14ac:dyDescent="0.25">
      <c r="AT9600" s="74"/>
      <c r="AW9600" s="74"/>
    </row>
    <row r="9601" spans="46:49" x14ac:dyDescent="0.25">
      <c r="AT9601" s="74"/>
      <c r="AW9601" s="74"/>
    </row>
    <row r="9602" spans="46:49" x14ac:dyDescent="0.25">
      <c r="AT9602" s="74"/>
      <c r="AW9602" s="74"/>
    </row>
    <row r="9603" spans="46:49" x14ac:dyDescent="0.25">
      <c r="AT9603" s="74"/>
      <c r="AW9603" s="74"/>
    </row>
    <row r="9604" spans="46:49" x14ac:dyDescent="0.25">
      <c r="AT9604" s="74"/>
      <c r="AW9604" s="74"/>
    </row>
    <row r="9605" spans="46:49" x14ac:dyDescent="0.25">
      <c r="AT9605" s="74"/>
      <c r="AW9605" s="74"/>
    </row>
    <row r="9606" spans="46:49" x14ac:dyDescent="0.25">
      <c r="AT9606" s="74"/>
      <c r="AW9606" s="74"/>
    </row>
    <row r="9607" spans="46:49" x14ac:dyDescent="0.25">
      <c r="AT9607" s="74"/>
      <c r="AW9607" s="74"/>
    </row>
    <row r="9608" spans="46:49" x14ac:dyDescent="0.25">
      <c r="AT9608" s="74"/>
      <c r="AW9608" s="74"/>
    </row>
    <row r="9609" spans="46:49" x14ac:dyDescent="0.25">
      <c r="AT9609" s="74"/>
      <c r="AW9609" s="74"/>
    </row>
    <row r="9610" spans="46:49" x14ac:dyDescent="0.25">
      <c r="AT9610" s="74"/>
      <c r="AW9610" s="74"/>
    </row>
    <row r="9611" spans="46:49" x14ac:dyDescent="0.25">
      <c r="AT9611" s="74"/>
      <c r="AW9611" s="74"/>
    </row>
    <row r="9612" spans="46:49" x14ac:dyDescent="0.25">
      <c r="AT9612" s="74"/>
      <c r="AW9612" s="74"/>
    </row>
    <row r="9613" spans="46:49" x14ac:dyDescent="0.25">
      <c r="AT9613" s="74"/>
      <c r="AW9613" s="74"/>
    </row>
    <row r="9614" spans="46:49" x14ac:dyDescent="0.25">
      <c r="AT9614" s="74"/>
      <c r="AW9614" s="74"/>
    </row>
    <row r="9615" spans="46:49" x14ac:dyDescent="0.25">
      <c r="AT9615" s="74"/>
      <c r="AW9615" s="74"/>
    </row>
    <row r="9616" spans="46:49" x14ac:dyDescent="0.25">
      <c r="AT9616" s="74"/>
      <c r="AW9616" s="74"/>
    </row>
    <row r="9617" spans="46:49" x14ac:dyDescent="0.25">
      <c r="AT9617" s="74"/>
      <c r="AW9617" s="74"/>
    </row>
    <row r="9618" spans="46:49" x14ac:dyDescent="0.25">
      <c r="AT9618" s="74"/>
      <c r="AW9618" s="74"/>
    </row>
    <row r="9619" spans="46:49" x14ac:dyDescent="0.25">
      <c r="AT9619" s="74"/>
      <c r="AW9619" s="74"/>
    </row>
    <row r="9620" spans="46:49" x14ac:dyDescent="0.25">
      <c r="AT9620" s="74"/>
      <c r="AW9620" s="74"/>
    </row>
    <row r="9621" spans="46:49" x14ac:dyDescent="0.25">
      <c r="AT9621" s="74"/>
      <c r="AW9621" s="74"/>
    </row>
    <row r="9622" spans="46:49" x14ac:dyDescent="0.25">
      <c r="AT9622" s="74"/>
      <c r="AW9622" s="74"/>
    </row>
    <row r="9623" spans="46:49" x14ac:dyDescent="0.25">
      <c r="AT9623" s="74"/>
      <c r="AW9623" s="74"/>
    </row>
    <row r="9624" spans="46:49" x14ac:dyDescent="0.25">
      <c r="AT9624" s="74"/>
      <c r="AW9624" s="74"/>
    </row>
    <row r="9625" spans="46:49" x14ac:dyDescent="0.25">
      <c r="AT9625" s="74"/>
      <c r="AW9625" s="74"/>
    </row>
    <row r="9626" spans="46:49" x14ac:dyDescent="0.25">
      <c r="AT9626" s="74"/>
      <c r="AW9626" s="74"/>
    </row>
    <row r="9627" spans="46:49" x14ac:dyDescent="0.25">
      <c r="AT9627" s="74"/>
      <c r="AW9627" s="74"/>
    </row>
    <row r="9628" spans="46:49" x14ac:dyDescent="0.25">
      <c r="AT9628" s="74"/>
      <c r="AW9628" s="74"/>
    </row>
    <row r="9629" spans="46:49" x14ac:dyDescent="0.25">
      <c r="AT9629" s="74"/>
      <c r="AW9629" s="74"/>
    </row>
    <row r="9630" spans="46:49" x14ac:dyDescent="0.25">
      <c r="AT9630" s="74"/>
      <c r="AW9630" s="74"/>
    </row>
    <row r="9631" spans="46:49" x14ac:dyDescent="0.25">
      <c r="AT9631" s="74"/>
      <c r="AW9631" s="74"/>
    </row>
    <row r="9632" spans="46:49" x14ac:dyDescent="0.25">
      <c r="AT9632" s="74"/>
      <c r="AW9632" s="74"/>
    </row>
    <row r="9633" spans="46:49" x14ac:dyDescent="0.25">
      <c r="AT9633" s="74"/>
      <c r="AW9633" s="74"/>
    </row>
    <row r="9634" spans="46:49" x14ac:dyDescent="0.25">
      <c r="AT9634" s="74"/>
      <c r="AW9634" s="74"/>
    </row>
    <row r="9635" spans="46:49" x14ac:dyDescent="0.25">
      <c r="AT9635" s="74"/>
      <c r="AW9635" s="74"/>
    </row>
    <row r="9636" spans="46:49" x14ac:dyDescent="0.25">
      <c r="AT9636" s="74"/>
      <c r="AW9636" s="74"/>
    </row>
    <row r="9637" spans="46:49" x14ac:dyDescent="0.25">
      <c r="AT9637" s="74"/>
      <c r="AW9637" s="74"/>
    </row>
    <row r="9638" spans="46:49" x14ac:dyDescent="0.25">
      <c r="AT9638" s="74"/>
      <c r="AW9638" s="74"/>
    </row>
    <row r="9639" spans="46:49" x14ac:dyDescent="0.25">
      <c r="AT9639" s="74"/>
      <c r="AW9639" s="74"/>
    </row>
    <row r="9640" spans="46:49" x14ac:dyDescent="0.25">
      <c r="AT9640" s="74"/>
      <c r="AW9640" s="74"/>
    </row>
    <row r="9641" spans="46:49" x14ac:dyDescent="0.25">
      <c r="AT9641" s="74"/>
      <c r="AW9641" s="74"/>
    </row>
    <row r="9642" spans="46:49" x14ac:dyDescent="0.25">
      <c r="AT9642" s="74"/>
      <c r="AW9642" s="74"/>
    </row>
    <row r="9643" spans="46:49" x14ac:dyDescent="0.25">
      <c r="AT9643" s="74"/>
      <c r="AW9643" s="74"/>
    </row>
    <row r="9644" spans="46:49" x14ac:dyDescent="0.25">
      <c r="AT9644" s="74"/>
      <c r="AW9644" s="74"/>
    </row>
    <row r="9645" spans="46:49" x14ac:dyDescent="0.25">
      <c r="AT9645" s="74"/>
      <c r="AW9645" s="74"/>
    </row>
    <row r="9646" spans="46:49" x14ac:dyDescent="0.25">
      <c r="AT9646" s="74"/>
      <c r="AW9646" s="74"/>
    </row>
    <row r="9647" spans="46:49" x14ac:dyDescent="0.25">
      <c r="AT9647" s="74"/>
      <c r="AW9647" s="74"/>
    </row>
    <row r="9648" spans="46:49" x14ac:dyDescent="0.25">
      <c r="AT9648" s="74"/>
      <c r="AW9648" s="74"/>
    </row>
    <row r="9649" spans="46:49" x14ac:dyDescent="0.25">
      <c r="AT9649" s="74"/>
      <c r="AW9649" s="74"/>
    </row>
    <row r="9650" spans="46:49" x14ac:dyDescent="0.25">
      <c r="AT9650" s="74"/>
      <c r="AW9650" s="74"/>
    </row>
    <row r="9651" spans="46:49" x14ac:dyDescent="0.25">
      <c r="AT9651" s="74"/>
      <c r="AW9651" s="74"/>
    </row>
    <row r="9652" spans="46:49" x14ac:dyDescent="0.25">
      <c r="AT9652" s="74"/>
      <c r="AW9652" s="74"/>
    </row>
    <row r="9653" spans="46:49" x14ac:dyDescent="0.25">
      <c r="AT9653" s="74"/>
      <c r="AW9653" s="74"/>
    </row>
    <row r="9654" spans="46:49" x14ac:dyDescent="0.25">
      <c r="AT9654" s="74"/>
      <c r="AW9654" s="74"/>
    </row>
    <row r="9655" spans="46:49" x14ac:dyDescent="0.25">
      <c r="AT9655" s="74"/>
      <c r="AW9655" s="74"/>
    </row>
    <row r="9656" spans="46:49" x14ac:dyDescent="0.25">
      <c r="AT9656" s="74"/>
      <c r="AW9656" s="74"/>
    </row>
    <row r="9657" spans="46:49" x14ac:dyDescent="0.25">
      <c r="AT9657" s="74"/>
      <c r="AW9657" s="74"/>
    </row>
    <row r="9658" spans="46:49" x14ac:dyDescent="0.25">
      <c r="AT9658" s="74"/>
      <c r="AW9658" s="74"/>
    </row>
    <row r="9659" spans="46:49" x14ac:dyDescent="0.25">
      <c r="AT9659" s="74"/>
      <c r="AW9659" s="74"/>
    </row>
    <row r="9660" spans="46:49" x14ac:dyDescent="0.25">
      <c r="AT9660" s="74"/>
      <c r="AW9660" s="74"/>
    </row>
    <row r="9661" spans="46:49" x14ac:dyDescent="0.25">
      <c r="AT9661" s="74"/>
      <c r="AW9661" s="74"/>
    </row>
    <row r="9662" spans="46:49" x14ac:dyDescent="0.25">
      <c r="AT9662" s="74"/>
      <c r="AW9662" s="74"/>
    </row>
    <row r="9663" spans="46:49" x14ac:dyDescent="0.25">
      <c r="AT9663" s="74"/>
      <c r="AW9663" s="74"/>
    </row>
    <row r="9664" spans="46:49" x14ac:dyDescent="0.25">
      <c r="AT9664" s="74"/>
      <c r="AW9664" s="74"/>
    </row>
    <row r="9665" spans="46:49" x14ac:dyDescent="0.25">
      <c r="AT9665" s="74"/>
      <c r="AW9665" s="74"/>
    </row>
    <row r="9666" spans="46:49" x14ac:dyDescent="0.25">
      <c r="AT9666" s="74"/>
      <c r="AW9666" s="74"/>
    </row>
    <row r="9667" spans="46:49" x14ac:dyDescent="0.25">
      <c r="AT9667" s="74"/>
      <c r="AW9667" s="74"/>
    </row>
    <row r="9668" spans="46:49" x14ac:dyDescent="0.25">
      <c r="AT9668" s="74"/>
      <c r="AW9668" s="74"/>
    </row>
    <row r="9669" spans="46:49" x14ac:dyDescent="0.25">
      <c r="AT9669" s="74"/>
      <c r="AW9669" s="74"/>
    </row>
    <row r="9670" spans="46:49" x14ac:dyDescent="0.25">
      <c r="AT9670" s="74"/>
      <c r="AW9670" s="74"/>
    </row>
    <row r="9671" spans="46:49" x14ac:dyDescent="0.25">
      <c r="AT9671" s="74"/>
      <c r="AW9671" s="74"/>
    </row>
    <row r="9672" spans="46:49" x14ac:dyDescent="0.25">
      <c r="AT9672" s="74"/>
      <c r="AW9672" s="74"/>
    </row>
    <row r="9673" spans="46:49" x14ac:dyDescent="0.25">
      <c r="AT9673" s="74"/>
      <c r="AW9673" s="74"/>
    </row>
    <row r="9674" spans="46:49" x14ac:dyDescent="0.25">
      <c r="AT9674" s="74"/>
      <c r="AW9674" s="74"/>
    </row>
    <row r="9675" spans="46:49" x14ac:dyDescent="0.25">
      <c r="AT9675" s="74"/>
      <c r="AW9675" s="74"/>
    </row>
    <row r="9676" spans="46:49" x14ac:dyDescent="0.25">
      <c r="AT9676" s="74"/>
      <c r="AW9676" s="74"/>
    </row>
    <row r="9677" spans="46:49" x14ac:dyDescent="0.25">
      <c r="AT9677" s="74"/>
      <c r="AW9677" s="74"/>
    </row>
    <row r="9678" spans="46:49" x14ac:dyDescent="0.25">
      <c r="AT9678" s="74"/>
      <c r="AW9678" s="74"/>
    </row>
    <row r="9679" spans="46:49" x14ac:dyDescent="0.25">
      <c r="AT9679" s="74"/>
      <c r="AW9679" s="74"/>
    </row>
    <row r="9680" spans="46:49" x14ac:dyDescent="0.25">
      <c r="AT9680" s="74"/>
      <c r="AW9680" s="74"/>
    </row>
    <row r="9681" spans="46:49" x14ac:dyDescent="0.25">
      <c r="AT9681" s="74"/>
      <c r="AW9681" s="74"/>
    </row>
    <row r="9682" spans="46:49" x14ac:dyDescent="0.25">
      <c r="AT9682" s="74"/>
      <c r="AW9682" s="74"/>
    </row>
    <row r="9683" spans="46:49" x14ac:dyDescent="0.25">
      <c r="AT9683" s="74"/>
      <c r="AW9683" s="74"/>
    </row>
    <row r="9684" spans="46:49" x14ac:dyDescent="0.25">
      <c r="AT9684" s="74"/>
      <c r="AW9684" s="74"/>
    </row>
    <row r="9685" spans="46:49" x14ac:dyDescent="0.25">
      <c r="AT9685" s="74"/>
      <c r="AW9685" s="74"/>
    </row>
    <row r="9686" spans="46:49" x14ac:dyDescent="0.25">
      <c r="AT9686" s="74"/>
      <c r="AW9686" s="74"/>
    </row>
    <row r="9687" spans="46:49" x14ac:dyDescent="0.25">
      <c r="AT9687" s="74"/>
      <c r="AW9687" s="74"/>
    </row>
    <row r="9688" spans="46:49" x14ac:dyDescent="0.25">
      <c r="AT9688" s="74"/>
      <c r="AW9688" s="74"/>
    </row>
    <row r="9689" spans="46:49" x14ac:dyDescent="0.25">
      <c r="AT9689" s="74"/>
      <c r="AW9689" s="74"/>
    </row>
    <row r="9690" spans="46:49" x14ac:dyDescent="0.25">
      <c r="AT9690" s="74"/>
      <c r="AW9690" s="74"/>
    </row>
    <row r="9691" spans="46:49" x14ac:dyDescent="0.25">
      <c r="AT9691" s="74"/>
      <c r="AW9691" s="74"/>
    </row>
    <row r="9692" spans="46:49" x14ac:dyDescent="0.25">
      <c r="AT9692" s="74"/>
      <c r="AW9692" s="74"/>
    </row>
    <row r="9693" spans="46:49" x14ac:dyDescent="0.25">
      <c r="AT9693" s="74"/>
      <c r="AW9693" s="74"/>
    </row>
    <row r="9694" spans="46:49" x14ac:dyDescent="0.25">
      <c r="AT9694" s="74"/>
      <c r="AW9694" s="74"/>
    </row>
    <row r="9695" spans="46:49" x14ac:dyDescent="0.25">
      <c r="AT9695" s="74"/>
      <c r="AW9695" s="74"/>
    </row>
    <row r="9696" spans="46:49" x14ac:dyDescent="0.25">
      <c r="AT9696" s="74"/>
      <c r="AW9696" s="74"/>
    </row>
    <row r="9697" spans="46:49" x14ac:dyDescent="0.25">
      <c r="AT9697" s="74"/>
      <c r="AW9697" s="74"/>
    </row>
    <row r="9698" spans="46:49" x14ac:dyDescent="0.25">
      <c r="AT9698" s="74"/>
      <c r="AW9698" s="74"/>
    </row>
    <row r="9699" spans="46:49" x14ac:dyDescent="0.25">
      <c r="AT9699" s="74"/>
      <c r="AW9699" s="74"/>
    </row>
    <row r="9700" spans="46:49" x14ac:dyDescent="0.25">
      <c r="AT9700" s="74"/>
      <c r="AW9700" s="74"/>
    </row>
    <row r="9701" spans="46:49" x14ac:dyDescent="0.25">
      <c r="AT9701" s="74"/>
      <c r="AW9701" s="74"/>
    </row>
    <row r="9702" spans="46:49" x14ac:dyDescent="0.25">
      <c r="AT9702" s="74"/>
      <c r="AW9702" s="74"/>
    </row>
    <row r="9703" spans="46:49" x14ac:dyDescent="0.25">
      <c r="AT9703" s="74"/>
      <c r="AW9703" s="74"/>
    </row>
    <row r="9704" spans="46:49" x14ac:dyDescent="0.25">
      <c r="AT9704" s="74"/>
      <c r="AW9704" s="74"/>
    </row>
    <row r="9705" spans="46:49" x14ac:dyDescent="0.25">
      <c r="AT9705" s="74"/>
      <c r="AW9705" s="74"/>
    </row>
    <row r="9706" spans="46:49" x14ac:dyDescent="0.25">
      <c r="AT9706" s="74"/>
      <c r="AW9706" s="74"/>
    </row>
    <row r="9707" spans="46:49" x14ac:dyDescent="0.25">
      <c r="AT9707" s="74"/>
      <c r="AW9707" s="74"/>
    </row>
    <row r="9708" spans="46:49" x14ac:dyDescent="0.25">
      <c r="AT9708" s="74"/>
      <c r="AW9708" s="74"/>
    </row>
    <row r="9709" spans="46:49" x14ac:dyDescent="0.25">
      <c r="AT9709" s="74"/>
      <c r="AW9709" s="74"/>
    </row>
    <row r="9710" spans="46:49" x14ac:dyDescent="0.25">
      <c r="AT9710" s="74"/>
      <c r="AW9710" s="74"/>
    </row>
    <row r="9711" spans="46:49" x14ac:dyDescent="0.25">
      <c r="AT9711" s="74"/>
      <c r="AW9711" s="74"/>
    </row>
    <row r="9712" spans="46:49" x14ac:dyDescent="0.25">
      <c r="AT9712" s="74"/>
      <c r="AW9712" s="74"/>
    </row>
    <row r="9713" spans="46:49" x14ac:dyDescent="0.25">
      <c r="AT9713" s="74"/>
      <c r="AW9713" s="74"/>
    </row>
    <row r="9714" spans="46:49" x14ac:dyDescent="0.25">
      <c r="AT9714" s="74"/>
      <c r="AW9714" s="74"/>
    </row>
    <row r="9715" spans="46:49" x14ac:dyDescent="0.25">
      <c r="AT9715" s="74"/>
      <c r="AW9715" s="74"/>
    </row>
    <row r="9716" spans="46:49" x14ac:dyDescent="0.25">
      <c r="AT9716" s="74"/>
      <c r="AW9716" s="74"/>
    </row>
    <row r="9717" spans="46:49" x14ac:dyDescent="0.25">
      <c r="AT9717" s="74"/>
      <c r="AW9717" s="74"/>
    </row>
    <row r="9718" spans="46:49" x14ac:dyDescent="0.25">
      <c r="AT9718" s="74"/>
      <c r="AW9718" s="74"/>
    </row>
    <row r="9719" spans="46:49" x14ac:dyDescent="0.25">
      <c r="AT9719" s="74"/>
      <c r="AW9719" s="74"/>
    </row>
    <row r="9720" spans="46:49" x14ac:dyDescent="0.25">
      <c r="AT9720" s="74"/>
      <c r="AW9720" s="74"/>
    </row>
    <row r="9721" spans="46:49" x14ac:dyDescent="0.25">
      <c r="AT9721" s="74"/>
      <c r="AW9721" s="74"/>
    </row>
    <row r="9722" spans="46:49" x14ac:dyDescent="0.25">
      <c r="AT9722" s="74"/>
      <c r="AW9722" s="74"/>
    </row>
    <row r="9723" spans="46:49" x14ac:dyDescent="0.25">
      <c r="AT9723" s="74"/>
      <c r="AW9723" s="74"/>
    </row>
    <row r="9724" spans="46:49" x14ac:dyDescent="0.25">
      <c r="AT9724" s="74"/>
      <c r="AW9724" s="74"/>
    </row>
    <row r="9725" spans="46:49" x14ac:dyDescent="0.25">
      <c r="AT9725" s="74"/>
      <c r="AW9725" s="74"/>
    </row>
    <row r="9726" spans="46:49" x14ac:dyDescent="0.25">
      <c r="AT9726" s="74"/>
      <c r="AW9726" s="74"/>
    </row>
    <row r="9727" spans="46:49" x14ac:dyDescent="0.25">
      <c r="AT9727" s="74"/>
      <c r="AW9727" s="74"/>
    </row>
    <row r="9728" spans="46:49" x14ac:dyDescent="0.25">
      <c r="AT9728" s="74"/>
      <c r="AW9728" s="74"/>
    </row>
    <row r="9729" spans="46:49" x14ac:dyDescent="0.25">
      <c r="AT9729" s="74"/>
      <c r="AW9729" s="74"/>
    </row>
    <row r="9730" spans="46:49" x14ac:dyDescent="0.25">
      <c r="AT9730" s="74"/>
      <c r="AW9730" s="74"/>
    </row>
    <row r="9731" spans="46:49" x14ac:dyDescent="0.25">
      <c r="AT9731" s="74"/>
      <c r="AW9731" s="74"/>
    </row>
    <row r="9732" spans="46:49" x14ac:dyDescent="0.25">
      <c r="AT9732" s="74"/>
      <c r="AW9732" s="74"/>
    </row>
    <row r="9733" spans="46:49" x14ac:dyDescent="0.25">
      <c r="AT9733" s="74"/>
      <c r="AW9733" s="74"/>
    </row>
    <row r="9734" spans="46:49" x14ac:dyDescent="0.25">
      <c r="AT9734" s="74"/>
      <c r="AW9734" s="74"/>
    </row>
    <row r="9735" spans="46:49" x14ac:dyDescent="0.25">
      <c r="AT9735" s="74"/>
      <c r="AW9735" s="74"/>
    </row>
    <row r="9736" spans="46:49" x14ac:dyDescent="0.25">
      <c r="AT9736" s="74"/>
      <c r="AW9736" s="74"/>
    </row>
    <row r="9737" spans="46:49" x14ac:dyDescent="0.25">
      <c r="AT9737" s="74"/>
      <c r="AW9737" s="74"/>
    </row>
    <row r="9738" spans="46:49" x14ac:dyDescent="0.25">
      <c r="AT9738" s="74"/>
      <c r="AW9738" s="74"/>
    </row>
    <row r="9739" spans="46:49" x14ac:dyDescent="0.25">
      <c r="AT9739" s="74"/>
      <c r="AW9739" s="74"/>
    </row>
    <row r="9740" spans="46:49" x14ac:dyDescent="0.25">
      <c r="AT9740" s="74"/>
      <c r="AW9740" s="74"/>
    </row>
    <row r="9741" spans="46:49" x14ac:dyDescent="0.25">
      <c r="AT9741" s="74"/>
      <c r="AW9741" s="74"/>
    </row>
    <row r="9742" spans="46:49" x14ac:dyDescent="0.25">
      <c r="AT9742" s="74"/>
      <c r="AW9742" s="74"/>
    </row>
    <row r="9743" spans="46:49" x14ac:dyDescent="0.25">
      <c r="AT9743" s="74"/>
      <c r="AW9743" s="74"/>
    </row>
    <row r="9744" spans="46:49" x14ac:dyDescent="0.25">
      <c r="AT9744" s="74"/>
      <c r="AW9744" s="74"/>
    </row>
    <row r="9745" spans="46:49" x14ac:dyDescent="0.25">
      <c r="AT9745" s="74"/>
      <c r="AW9745" s="74"/>
    </row>
    <row r="9746" spans="46:49" x14ac:dyDescent="0.25">
      <c r="AT9746" s="74"/>
      <c r="AW9746" s="74"/>
    </row>
    <row r="9747" spans="46:49" x14ac:dyDescent="0.25">
      <c r="AT9747" s="74"/>
      <c r="AW9747" s="74"/>
    </row>
    <row r="9748" spans="46:49" x14ac:dyDescent="0.25">
      <c r="AT9748" s="74"/>
      <c r="AW9748" s="74"/>
    </row>
    <row r="9749" spans="46:49" x14ac:dyDescent="0.25">
      <c r="AT9749" s="74"/>
      <c r="AW9749" s="74"/>
    </row>
    <row r="9750" spans="46:49" x14ac:dyDescent="0.25">
      <c r="AT9750" s="74"/>
      <c r="AW9750" s="74"/>
    </row>
    <row r="9751" spans="46:49" x14ac:dyDescent="0.25">
      <c r="AT9751" s="74"/>
      <c r="AW9751" s="74"/>
    </row>
    <row r="9752" spans="46:49" x14ac:dyDescent="0.25">
      <c r="AT9752" s="74"/>
      <c r="AW9752" s="74"/>
    </row>
    <row r="9753" spans="46:49" x14ac:dyDescent="0.25">
      <c r="AT9753" s="74"/>
      <c r="AW9753" s="74"/>
    </row>
    <row r="9754" spans="46:49" x14ac:dyDescent="0.25">
      <c r="AT9754" s="74"/>
      <c r="AW9754" s="74"/>
    </row>
    <row r="9755" spans="46:49" x14ac:dyDescent="0.25">
      <c r="AT9755" s="74"/>
      <c r="AW9755" s="74"/>
    </row>
    <row r="9756" spans="46:49" x14ac:dyDescent="0.25">
      <c r="AT9756" s="74"/>
      <c r="AW9756" s="74"/>
    </row>
    <row r="9757" spans="46:49" x14ac:dyDescent="0.25">
      <c r="AT9757" s="74"/>
      <c r="AW9757" s="74"/>
    </row>
    <row r="9758" spans="46:49" x14ac:dyDescent="0.25">
      <c r="AT9758" s="74"/>
      <c r="AW9758" s="74"/>
    </row>
    <row r="9759" spans="46:49" x14ac:dyDescent="0.25">
      <c r="AT9759" s="74"/>
      <c r="AW9759" s="74"/>
    </row>
    <row r="9760" spans="46:49" x14ac:dyDescent="0.25">
      <c r="AT9760" s="74"/>
      <c r="AW9760" s="74"/>
    </row>
    <row r="9761" spans="46:49" x14ac:dyDescent="0.25">
      <c r="AT9761" s="74"/>
      <c r="AW9761" s="74"/>
    </row>
    <row r="9762" spans="46:49" x14ac:dyDescent="0.25">
      <c r="AT9762" s="74"/>
      <c r="AW9762" s="74"/>
    </row>
    <row r="9763" spans="46:49" x14ac:dyDescent="0.25">
      <c r="AT9763" s="74"/>
      <c r="AW9763" s="74"/>
    </row>
    <row r="9764" spans="46:49" x14ac:dyDescent="0.25">
      <c r="AT9764" s="74"/>
      <c r="AW9764" s="74"/>
    </row>
    <row r="9765" spans="46:49" x14ac:dyDescent="0.25">
      <c r="AT9765" s="74"/>
      <c r="AW9765" s="74"/>
    </row>
    <row r="9766" spans="46:49" x14ac:dyDescent="0.25">
      <c r="AT9766" s="74"/>
      <c r="AW9766" s="74"/>
    </row>
    <row r="9767" spans="46:49" x14ac:dyDescent="0.25">
      <c r="AT9767" s="74"/>
      <c r="AW9767" s="74"/>
    </row>
    <row r="9768" spans="46:49" x14ac:dyDescent="0.25">
      <c r="AT9768" s="74"/>
      <c r="AW9768" s="74"/>
    </row>
    <row r="9769" spans="46:49" x14ac:dyDescent="0.25">
      <c r="AT9769" s="74"/>
      <c r="AW9769" s="74"/>
    </row>
    <row r="9770" spans="46:49" x14ac:dyDescent="0.25">
      <c r="AT9770" s="74"/>
      <c r="AW9770" s="74"/>
    </row>
    <row r="9771" spans="46:49" x14ac:dyDescent="0.25">
      <c r="AT9771" s="74"/>
      <c r="AW9771" s="74"/>
    </row>
    <row r="9772" spans="46:49" x14ac:dyDescent="0.25">
      <c r="AT9772" s="74"/>
      <c r="AW9772" s="74"/>
    </row>
    <row r="9773" spans="46:49" x14ac:dyDescent="0.25">
      <c r="AT9773" s="74"/>
      <c r="AW9773" s="74"/>
    </row>
    <row r="9774" spans="46:49" x14ac:dyDescent="0.25">
      <c r="AT9774" s="74"/>
      <c r="AW9774" s="74"/>
    </row>
    <row r="9775" spans="46:49" x14ac:dyDescent="0.25">
      <c r="AT9775" s="74"/>
      <c r="AW9775" s="74"/>
    </row>
    <row r="9776" spans="46:49" x14ac:dyDescent="0.25">
      <c r="AT9776" s="74"/>
      <c r="AW9776" s="74"/>
    </row>
    <row r="9777" spans="46:49" x14ac:dyDescent="0.25">
      <c r="AT9777" s="74"/>
      <c r="AW9777" s="74"/>
    </row>
    <row r="9778" spans="46:49" x14ac:dyDescent="0.25">
      <c r="AT9778" s="74"/>
      <c r="AW9778" s="74"/>
    </row>
    <row r="9779" spans="46:49" x14ac:dyDescent="0.25">
      <c r="AT9779" s="74"/>
      <c r="AW9779" s="74"/>
    </row>
    <row r="9780" spans="46:49" x14ac:dyDescent="0.25">
      <c r="AT9780" s="74"/>
      <c r="AW9780" s="74"/>
    </row>
    <row r="9781" spans="46:49" x14ac:dyDescent="0.25">
      <c r="AT9781" s="74"/>
      <c r="AW9781" s="74"/>
    </row>
    <row r="9782" spans="46:49" x14ac:dyDescent="0.25">
      <c r="AT9782" s="74"/>
      <c r="AW9782" s="74"/>
    </row>
    <row r="9783" spans="46:49" x14ac:dyDescent="0.25">
      <c r="AT9783" s="74"/>
      <c r="AW9783" s="74"/>
    </row>
    <row r="9784" spans="46:49" x14ac:dyDescent="0.25">
      <c r="AT9784" s="74"/>
      <c r="AW9784" s="74"/>
    </row>
    <row r="9785" spans="46:49" x14ac:dyDescent="0.25">
      <c r="AT9785" s="74"/>
      <c r="AW9785" s="74"/>
    </row>
    <row r="9786" spans="46:49" x14ac:dyDescent="0.25">
      <c r="AT9786" s="74"/>
      <c r="AW9786" s="74"/>
    </row>
    <row r="9787" spans="46:49" x14ac:dyDescent="0.25">
      <c r="AT9787" s="74"/>
      <c r="AW9787" s="74"/>
    </row>
    <row r="9788" spans="46:49" x14ac:dyDescent="0.25">
      <c r="AT9788" s="74"/>
      <c r="AW9788" s="74"/>
    </row>
    <row r="9789" spans="46:49" x14ac:dyDescent="0.25">
      <c r="AT9789" s="74"/>
      <c r="AW9789" s="74"/>
    </row>
    <row r="9790" spans="46:49" x14ac:dyDescent="0.25">
      <c r="AT9790" s="74"/>
      <c r="AW9790" s="74"/>
    </row>
    <row r="9791" spans="46:49" x14ac:dyDescent="0.25">
      <c r="AT9791" s="74"/>
      <c r="AW9791" s="74"/>
    </row>
    <row r="9792" spans="46:49" x14ac:dyDescent="0.25">
      <c r="AT9792" s="74"/>
      <c r="AW9792" s="74"/>
    </row>
    <row r="9793" spans="46:49" x14ac:dyDescent="0.25">
      <c r="AT9793" s="74"/>
      <c r="AW9793" s="74"/>
    </row>
    <row r="9794" spans="46:49" x14ac:dyDescent="0.25">
      <c r="AT9794" s="74"/>
      <c r="AW9794" s="74"/>
    </row>
    <row r="9795" spans="46:49" x14ac:dyDescent="0.25">
      <c r="AT9795" s="74"/>
      <c r="AW9795" s="74"/>
    </row>
    <row r="9796" spans="46:49" x14ac:dyDescent="0.25">
      <c r="AT9796" s="74"/>
      <c r="AW9796" s="74"/>
    </row>
    <row r="9797" spans="46:49" x14ac:dyDescent="0.25">
      <c r="AT9797" s="74"/>
      <c r="AW9797" s="74"/>
    </row>
    <row r="9798" spans="46:49" x14ac:dyDescent="0.25">
      <c r="AT9798" s="74"/>
      <c r="AW9798" s="74"/>
    </row>
    <row r="9799" spans="46:49" x14ac:dyDescent="0.25">
      <c r="AT9799" s="74"/>
      <c r="AW9799" s="74"/>
    </row>
    <row r="9800" spans="46:49" x14ac:dyDescent="0.25">
      <c r="AT9800" s="74"/>
      <c r="AW9800" s="74"/>
    </row>
    <row r="9801" spans="46:49" x14ac:dyDescent="0.25">
      <c r="AT9801" s="74"/>
      <c r="AW9801" s="74"/>
    </row>
    <row r="9802" spans="46:49" x14ac:dyDescent="0.25">
      <c r="AT9802" s="74"/>
      <c r="AW9802" s="74"/>
    </row>
    <row r="9803" spans="46:49" x14ac:dyDescent="0.25">
      <c r="AT9803" s="74"/>
      <c r="AW9803" s="74"/>
    </row>
    <row r="9804" spans="46:49" x14ac:dyDescent="0.25">
      <c r="AT9804" s="74"/>
      <c r="AW9804" s="74"/>
    </row>
    <row r="9805" spans="46:49" x14ac:dyDescent="0.25">
      <c r="AT9805" s="74"/>
      <c r="AW9805" s="74"/>
    </row>
    <row r="9806" spans="46:49" x14ac:dyDescent="0.25">
      <c r="AT9806" s="74"/>
      <c r="AW9806" s="74"/>
    </row>
    <row r="9807" spans="46:49" x14ac:dyDescent="0.25">
      <c r="AT9807" s="74"/>
      <c r="AW9807" s="74"/>
    </row>
    <row r="9808" spans="46:49" x14ac:dyDescent="0.25">
      <c r="AT9808" s="74"/>
      <c r="AW9808" s="74"/>
    </row>
    <row r="9809" spans="46:49" x14ac:dyDescent="0.25">
      <c r="AT9809" s="74"/>
      <c r="AW9809" s="74"/>
    </row>
    <row r="9810" spans="46:49" x14ac:dyDescent="0.25">
      <c r="AT9810" s="74"/>
      <c r="AW9810" s="74"/>
    </row>
    <row r="9811" spans="46:49" x14ac:dyDescent="0.25">
      <c r="AT9811" s="74"/>
      <c r="AW9811" s="74"/>
    </row>
    <row r="9812" spans="46:49" x14ac:dyDescent="0.25">
      <c r="AT9812" s="74"/>
      <c r="AW9812" s="74"/>
    </row>
    <row r="9813" spans="46:49" x14ac:dyDescent="0.25">
      <c r="AT9813" s="74"/>
      <c r="AW9813" s="74"/>
    </row>
    <row r="9814" spans="46:49" x14ac:dyDescent="0.25">
      <c r="AT9814" s="74"/>
      <c r="AW9814" s="74"/>
    </row>
    <row r="9815" spans="46:49" x14ac:dyDescent="0.25">
      <c r="AT9815" s="74"/>
      <c r="AW9815" s="74"/>
    </row>
    <row r="9816" spans="46:49" x14ac:dyDescent="0.25">
      <c r="AT9816" s="74"/>
      <c r="AW9816" s="74"/>
    </row>
    <row r="9817" spans="46:49" x14ac:dyDescent="0.25">
      <c r="AT9817" s="74"/>
      <c r="AW9817" s="74"/>
    </row>
    <row r="9818" spans="46:49" x14ac:dyDescent="0.25">
      <c r="AT9818" s="74"/>
      <c r="AW9818" s="74"/>
    </row>
    <row r="9819" spans="46:49" x14ac:dyDescent="0.25">
      <c r="AT9819" s="74"/>
      <c r="AW9819" s="74"/>
    </row>
    <row r="9820" spans="46:49" x14ac:dyDescent="0.25">
      <c r="AT9820" s="74"/>
      <c r="AW9820" s="74"/>
    </row>
    <row r="9821" spans="46:49" x14ac:dyDescent="0.25">
      <c r="AT9821" s="74"/>
      <c r="AW9821" s="74"/>
    </row>
    <row r="9822" spans="46:49" x14ac:dyDescent="0.25">
      <c r="AT9822" s="74"/>
      <c r="AW9822" s="74"/>
    </row>
    <row r="9823" spans="46:49" x14ac:dyDescent="0.25">
      <c r="AT9823" s="74"/>
      <c r="AW9823" s="74"/>
    </row>
    <row r="9824" spans="46:49" x14ac:dyDescent="0.25">
      <c r="AT9824" s="74"/>
      <c r="AW9824" s="74"/>
    </row>
    <row r="9825" spans="46:49" x14ac:dyDescent="0.25">
      <c r="AT9825" s="74"/>
      <c r="AW9825" s="74"/>
    </row>
    <row r="9826" spans="46:49" x14ac:dyDescent="0.25">
      <c r="AT9826" s="74"/>
      <c r="AW9826" s="74"/>
    </row>
    <row r="9827" spans="46:49" x14ac:dyDescent="0.25">
      <c r="AT9827" s="74"/>
      <c r="AW9827" s="74"/>
    </row>
    <row r="9828" spans="46:49" x14ac:dyDescent="0.25">
      <c r="AT9828" s="74"/>
      <c r="AW9828" s="74"/>
    </row>
    <row r="9829" spans="46:49" x14ac:dyDescent="0.25">
      <c r="AT9829" s="74"/>
      <c r="AW9829" s="74"/>
    </row>
    <row r="9830" spans="46:49" x14ac:dyDescent="0.25">
      <c r="AT9830" s="74"/>
      <c r="AW9830" s="74"/>
    </row>
    <row r="9831" spans="46:49" x14ac:dyDescent="0.25">
      <c r="AT9831" s="74"/>
      <c r="AW9831" s="74"/>
    </row>
    <row r="9832" spans="46:49" x14ac:dyDescent="0.25">
      <c r="AT9832" s="74"/>
      <c r="AW9832" s="74"/>
    </row>
    <row r="9833" spans="46:49" x14ac:dyDescent="0.25">
      <c r="AT9833" s="74"/>
      <c r="AW9833" s="74"/>
    </row>
    <row r="9834" spans="46:49" x14ac:dyDescent="0.25">
      <c r="AT9834" s="74"/>
      <c r="AW9834" s="74"/>
    </row>
    <row r="9835" spans="46:49" x14ac:dyDescent="0.25">
      <c r="AT9835" s="74"/>
      <c r="AW9835" s="74"/>
    </row>
    <row r="9836" spans="46:49" x14ac:dyDescent="0.25">
      <c r="AT9836" s="74"/>
      <c r="AW9836" s="74"/>
    </row>
    <row r="9837" spans="46:49" x14ac:dyDescent="0.25">
      <c r="AT9837" s="74"/>
      <c r="AW9837" s="74"/>
    </row>
    <row r="9838" spans="46:49" x14ac:dyDescent="0.25">
      <c r="AT9838" s="74"/>
      <c r="AW9838" s="74"/>
    </row>
    <row r="9839" spans="46:49" x14ac:dyDescent="0.25">
      <c r="AT9839" s="74"/>
      <c r="AW9839" s="74"/>
    </row>
    <row r="9840" spans="46:49" x14ac:dyDescent="0.25">
      <c r="AT9840" s="74"/>
      <c r="AW9840" s="74"/>
    </row>
    <row r="9841" spans="46:49" x14ac:dyDescent="0.25">
      <c r="AT9841" s="74"/>
      <c r="AW9841" s="74"/>
    </row>
    <row r="9842" spans="46:49" x14ac:dyDescent="0.25">
      <c r="AT9842" s="74"/>
      <c r="AW9842" s="74"/>
    </row>
    <row r="9843" spans="46:49" x14ac:dyDescent="0.25">
      <c r="AT9843" s="74"/>
      <c r="AW9843" s="74"/>
    </row>
    <row r="9844" spans="46:49" x14ac:dyDescent="0.25">
      <c r="AT9844" s="74"/>
      <c r="AW9844" s="74"/>
    </row>
    <row r="9845" spans="46:49" x14ac:dyDescent="0.25">
      <c r="AT9845" s="74"/>
      <c r="AW9845" s="74"/>
    </row>
    <row r="9846" spans="46:49" x14ac:dyDescent="0.25">
      <c r="AT9846" s="74"/>
      <c r="AW9846" s="74"/>
    </row>
    <row r="9847" spans="46:49" x14ac:dyDescent="0.25">
      <c r="AT9847" s="74"/>
      <c r="AW9847" s="74"/>
    </row>
    <row r="9848" spans="46:49" x14ac:dyDescent="0.25">
      <c r="AT9848" s="74"/>
      <c r="AW9848" s="74"/>
    </row>
    <row r="9849" spans="46:49" x14ac:dyDescent="0.25">
      <c r="AT9849" s="74"/>
      <c r="AW9849" s="74"/>
    </row>
    <row r="9850" spans="46:49" x14ac:dyDescent="0.25">
      <c r="AT9850" s="74"/>
      <c r="AW9850" s="74"/>
    </row>
    <row r="9851" spans="46:49" x14ac:dyDescent="0.25">
      <c r="AT9851" s="74"/>
      <c r="AW9851" s="74"/>
    </row>
    <row r="9852" spans="46:49" x14ac:dyDescent="0.25">
      <c r="AT9852" s="74"/>
      <c r="AW9852" s="74"/>
    </row>
    <row r="9853" spans="46:49" x14ac:dyDescent="0.25">
      <c r="AT9853" s="74"/>
      <c r="AW9853" s="74"/>
    </row>
    <row r="9854" spans="46:49" x14ac:dyDescent="0.25">
      <c r="AT9854" s="74"/>
      <c r="AW9854" s="74"/>
    </row>
    <row r="9855" spans="46:49" x14ac:dyDescent="0.25">
      <c r="AT9855" s="74"/>
      <c r="AW9855" s="74"/>
    </row>
    <row r="9856" spans="46:49" x14ac:dyDescent="0.25">
      <c r="AT9856" s="74"/>
      <c r="AW9856" s="74"/>
    </row>
    <row r="9857" spans="46:49" x14ac:dyDescent="0.25">
      <c r="AT9857" s="74"/>
      <c r="AW9857" s="74"/>
    </row>
    <row r="9858" spans="46:49" x14ac:dyDescent="0.25">
      <c r="AT9858" s="74"/>
      <c r="AW9858" s="74"/>
    </row>
    <row r="9859" spans="46:49" x14ac:dyDescent="0.25">
      <c r="AT9859" s="74"/>
      <c r="AW9859" s="74"/>
    </row>
    <row r="9860" spans="46:49" x14ac:dyDescent="0.25">
      <c r="AT9860" s="74"/>
      <c r="AW9860" s="74"/>
    </row>
    <row r="9861" spans="46:49" x14ac:dyDescent="0.25">
      <c r="AT9861" s="74"/>
      <c r="AW9861" s="74"/>
    </row>
    <row r="9862" spans="46:49" x14ac:dyDescent="0.25">
      <c r="AT9862" s="74"/>
      <c r="AW9862" s="74"/>
    </row>
    <row r="9863" spans="46:49" x14ac:dyDescent="0.25">
      <c r="AT9863" s="74"/>
      <c r="AW9863" s="74"/>
    </row>
    <row r="9864" spans="46:49" x14ac:dyDescent="0.25">
      <c r="AT9864" s="74"/>
      <c r="AW9864" s="74"/>
    </row>
    <row r="9865" spans="46:49" x14ac:dyDescent="0.25">
      <c r="AT9865" s="74"/>
      <c r="AW9865" s="74"/>
    </row>
    <row r="9866" spans="46:49" x14ac:dyDescent="0.25">
      <c r="AT9866" s="74"/>
      <c r="AW9866" s="74"/>
    </row>
    <row r="9867" spans="46:49" x14ac:dyDescent="0.25">
      <c r="AT9867" s="74"/>
      <c r="AW9867" s="74"/>
    </row>
    <row r="9868" spans="46:49" x14ac:dyDescent="0.25">
      <c r="AT9868" s="74"/>
      <c r="AW9868" s="74"/>
    </row>
    <row r="9869" spans="46:49" x14ac:dyDescent="0.25">
      <c r="AT9869" s="74"/>
      <c r="AW9869" s="74"/>
    </row>
    <row r="9870" spans="46:49" x14ac:dyDescent="0.25">
      <c r="AT9870" s="74"/>
      <c r="AW9870" s="74"/>
    </row>
    <row r="9871" spans="46:49" x14ac:dyDescent="0.25">
      <c r="AT9871" s="74"/>
      <c r="AW9871" s="74"/>
    </row>
    <row r="9872" spans="46:49" x14ac:dyDescent="0.25">
      <c r="AT9872" s="74"/>
      <c r="AW9872" s="74"/>
    </row>
    <row r="9873" spans="46:49" x14ac:dyDescent="0.25">
      <c r="AT9873" s="74"/>
      <c r="AW9873" s="74"/>
    </row>
    <row r="9874" spans="46:49" x14ac:dyDescent="0.25">
      <c r="AT9874" s="74"/>
      <c r="AW9874" s="74"/>
    </row>
    <row r="9875" spans="46:49" x14ac:dyDescent="0.25">
      <c r="AT9875" s="74"/>
      <c r="AW9875" s="74"/>
    </row>
    <row r="9876" spans="46:49" x14ac:dyDescent="0.25">
      <c r="AT9876" s="74"/>
      <c r="AW9876" s="74"/>
    </row>
    <row r="9877" spans="46:49" x14ac:dyDescent="0.25">
      <c r="AT9877" s="74"/>
      <c r="AW9877" s="74"/>
    </row>
    <row r="9878" spans="46:49" x14ac:dyDescent="0.25">
      <c r="AT9878" s="74"/>
      <c r="AW9878" s="74"/>
    </row>
    <row r="9879" spans="46:49" x14ac:dyDescent="0.25">
      <c r="AT9879" s="74"/>
      <c r="AW9879" s="74"/>
    </row>
    <row r="9880" spans="46:49" x14ac:dyDescent="0.25">
      <c r="AT9880" s="74"/>
      <c r="AW9880" s="74"/>
    </row>
    <row r="9881" spans="46:49" x14ac:dyDescent="0.25">
      <c r="AT9881" s="74"/>
      <c r="AW9881" s="74"/>
    </row>
    <row r="9882" spans="46:49" x14ac:dyDescent="0.25">
      <c r="AT9882" s="74"/>
      <c r="AW9882" s="74"/>
    </row>
    <row r="9883" spans="46:49" x14ac:dyDescent="0.25">
      <c r="AT9883" s="74"/>
      <c r="AW9883" s="74"/>
    </row>
    <row r="9884" spans="46:49" x14ac:dyDescent="0.25">
      <c r="AT9884" s="74"/>
      <c r="AW9884" s="74"/>
    </row>
    <row r="9885" spans="46:49" x14ac:dyDescent="0.25">
      <c r="AT9885" s="74"/>
      <c r="AW9885" s="74"/>
    </row>
    <row r="9886" spans="46:49" x14ac:dyDescent="0.25">
      <c r="AT9886" s="74"/>
      <c r="AW9886" s="74"/>
    </row>
    <row r="9887" spans="46:49" x14ac:dyDescent="0.25">
      <c r="AT9887" s="74"/>
      <c r="AW9887" s="74"/>
    </row>
    <row r="9888" spans="46:49" x14ac:dyDescent="0.25">
      <c r="AT9888" s="74"/>
      <c r="AW9888" s="74"/>
    </row>
    <row r="9889" spans="46:49" x14ac:dyDescent="0.25">
      <c r="AT9889" s="74"/>
      <c r="AW9889" s="74"/>
    </row>
    <row r="9890" spans="46:49" x14ac:dyDescent="0.25">
      <c r="AT9890" s="74"/>
      <c r="AW9890" s="74"/>
    </row>
    <row r="9891" spans="46:49" x14ac:dyDescent="0.25">
      <c r="AT9891" s="74"/>
      <c r="AW9891" s="74"/>
    </row>
    <row r="9892" spans="46:49" x14ac:dyDescent="0.25">
      <c r="AT9892" s="74"/>
      <c r="AW9892" s="74"/>
    </row>
    <row r="9893" spans="46:49" x14ac:dyDescent="0.25">
      <c r="AT9893" s="74"/>
      <c r="AW9893" s="74"/>
    </row>
    <row r="9894" spans="46:49" x14ac:dyDescent="0.25">
      <c r="AT9894" s="74"/>
      <c r="AW9894" s="74"/>
    </row>
    <row r="9895" spans="46:49" x14ac:dyDescent="0.25">
      <c r="AT9895" s="74"/>
      <c r="AW9895" s="74"/>
    </row>
    <row r="9896" spans="46:49" x14ac:dyDescent="0.25">
      <c r="AT9896" s="74"/>
      <c r="AW9896" s="74"/>
    </row>
    <row r="9897" spans="46:49" x14ac:dyDescent="0.25">
      <c r="AT9897" s="74"/>
      <c r="AW9897" s="74"/>
    </row>
    <row r="9898" spans="46:49" x14ac:dyDescent="0.25">
      <c r="AT9898" s="74"/>
      <c r="AW9898" s="74"/>
    </row>
    <row r="9899" spans="46:49" x14ac:dyDescent="0.25">
      <c r="AT9899" s="74"/>
      <c r="AW9899" s="74"/>
    </row>
    <row r="9900" spans="46:49" x14ac:dyDescent="0.25">
      <c r="AT9900" s="74"/>
      <c r="AW9900" s="74"/>
    </row>
    <row r="9901" spans="46:49" x14ac:dyDescent="0.25">
      <c r="AT9901" s="74"/>
      <c r="AW9901" s="74"/>
    </row>
    <row r="9902" spans="46:49" x14ac:dyDescent="0.25">
      <c r="AT9902" s="74"/>
      <c r="AW9902" s="74"/>
    </row>
    <row r="9903" spans="46:49" x14ac:dyDescent="0.25">
      <c r="AT9903" s="74"/>
      <c r="AW9903" s="74"/>
    </row>
    <row r="9904" spans="46:49" x14ac:dyDescent="0.25">
      <c r="AT9904" s="74"/>
      <c r="AW9904" s="74"/>
    </row>
    <row r="9905" spans="46:49" x14ac:dyDescent="0.25">
      <c r="AT9905" s="74"/>
      <c r="AW9905" s="74"/>
    </row>
    <row r="9906" spans="46:49" x14ac:dyDescent="0.25">
      <c r="AT9906" s="74"/>
      <c r="AW9906" s="74"/>
    </row>
    <row r="9907" spans="46:49" x14ac:dyDescent="0.25">
      <c r="AT9907" s="74"/>
      <c r="AW9907" s="74"/>
    </row>
    <row r="9908" spans="46:49" x14ac:dyDescent="0.25">
      <c r="AT9908" s="74"/>
      <c r="AW9908" s="74"/>
    </row>
    <row r="9909" spans="46:49" x14ac:dyDescent="0.25">
      <c r="AT9909" s="74"/>
      <c r="AW9909" s="74"/>
    </row>
    <row r="9910" spans="46:49" x14ac:dyDescent="0.25">
      <c r="AT9910" s="74"/>
      <c r="AW9910" s="74"/>
    </row>
    <row r="9911" spans="46:49" x14ac:dyDescent="0.25">
      <c r="AT9911" s="74"/>
      <c r="AW9911" s="74"/>
    </row>
    <row r="9912" spans="46:49" x14ac:dyDescent="0.25">
      <c r="AT9912" s="74"/>
      <c r="AW9912" s="74"/>
    </row>
    <row r="9913" spans="46:49" x14ac:dyDescent="0.25">
      <c r="AT9913" s="74"/>
      <c r="AW9913" s="74"/>
    </row>
    <row r="9914" spans="46:49" x14ac:dyDescent="0.25">
      <c r="AT9914" s="74"/>
      <c r="AW9914" s="74"/>
    </row>
    <row r="9915" spans="46:49" x14ac:dyDescent="0.25">
      <c r="AT9915" s="74"/>
      <c r="AW9915" s="74"/>
    </row>
    <row r="9916" spans="46:49" x14ac:dyDescent="0.25">
      <c r="AT9916" s="74"/>
      <c r="AW9916" s="74"/>
    </row>
    <row r="9917" spans="46:49" x14ac:dyDescent="0.25">
      <c r="AT9917" s="74"/>
      <c r="AW9917" s="74"/>
    </row>
    <row r="9918" spans="46:49" x14ac:dyDescent="0.25">
      <c r="AT9918" s="74"/>
      <c r="AW9918" s="74"/>
    </row>
    <row r="9919" spans="46:49" x14ac:dyDescent="0.25">
      <c r="AT9919" s="74"/>
      <c r="AW9919" s="74"/>
    </row>
    <row r="9920" spans="46:49" x14ac:dyDescent="0.25">
      <c r="AT9920" s="74"/>
      <c r="AW9920" s="74"/>
    </row>
    <row r="9921" spans="46:49" x14ac:dyDescent="0.25">
      <c r="AT9921" s="74"/>
      <c r="AW9921" s="74"/>
    </row>
    <row r="9922" spans="46:49" x14ac:dyDescent="0.25">
      <c r="AT9922" s="74"/>
      <c r="AW9922" s="74"/>
    </row>
    <row r="9923" spans="46:49" x14ac:dyDescent="0.25">
      <c r="AT9923" s="74"/>
      <c r="AW9923" s="74"/>
    </row>
    <row r="9924" spans="46:49" x14ac:dyDescent="0.25">
      <c r="AT9924" s="74"/>
      <c r="AW9924" s="74"/>
    </row>
    <row r="9925" spans="46:49" x14ac:dyDescent="0.25">
      <c r="AT9925" s="74"/>
      <c r="AW9925" s="74"/>
    </row>
    <row r="9926" spans="46:49" x14ac:dyDescent="0.25">
      <c r="AT9926" s="74"/>
      <c r="AW9926" s="74"/>
    </row>
    <row r="9927" spans="46:49" x14ac:dyDescent="0.25">
      <c r="AT9927" s="74"/>
      <c r="AW9927" s="74"/>
    </row>
    <row r="9928" spans="46:49" x14ac:dyDescent="0.25">
      <c r="AT9928" s="74"/>
      <c r="AW9928" s="74"/>
    </row>
    <row r="9929" spans="46:49" x14ac:dyDescent="0.25">
      <c r="AT9929" s="74"/>
      <c r="AW9929" s="74"/>
    </row>
    <row r="9930" spans="46:49" x14ac:dyDescent="0.25">
      <c r="AT9930" s="74"/>
      <c r="AW9930" s="74"/>
    </row>
    <row r="9931" spans="46:49" x14ac:dyDescent="0.25">
      <c r="AT9931" s="74"/>
      <c r="AW9931" s="74"/>
    </row>
    <row r="9932" spans="46:49" x14ac:dyDescent="0.25">
      <c r="AT9932" s="74"/>
      <c r="AW9932" s="74"/>
    </row>
    <row r="9933" spans="46:49" x14ac:dyDescent="0.25">
      <c r="AT9933" s="74"/>
      <c r="AW9933" s="74"/>
    </row>
    <row r="9934" spans="46:49" x14ac:dyDescent="0.25">
      <c r="AT9934" s="74"/>
      <c r="AW9934" s="74"/>
    </row>
    <row r="9935" spans="46:49" x14ac:dyDescent="0.25">
      <c r="AT9935" s="74"/>
      <c r="AW9935" s="74"/>
    </row>
    <row r="9936" spans="46:49" x14ac:dyDescent="0.25">
      <c r="AT9936" s="74"/>
      <c r="AW9936" s="74"/>
    </row>
    <row r="9937" spans="46:49" x14ac:dyDescent="0.25">
      <c r="AT9937" s="74"/>
      <c r="AW9937" s="74"/>
    </row>
    <row r="9938" spans="46:49" x14ac:dyDescent="0.25">
      <c r="AT9938" s="74"/>
      <c r="AW9938" s="74"/>
    </row>
    <row r="9939" spans="46:49" x14ac:dyDescent="0.25">
      <c r="AT9939" s="74"/>
      <c r="AW9939" s="74"/>
    </row>
    <row r="9940" spans="46:49" x14ac:dyDescent="0.25">
      <c r="AT9940" s="74"/>
      <c r="AW9940" s="74"/>
    </row>
    <row r="9941" spans="46:49" x14ac:dyDescent="0.25">
      <c r="AT9941" s="74"/>
      <c r="AW9941" s="74"/>
    </row>
    <row r="9942" spans="46:49" x14ac:dyDescent="0.25">
      <c r="AT9942" s="74"/>
      <c r="AW9942" s="74"/>
    </row>
    <row r="9943" spans="46:49" x14ac:dyDescent="0.25">
      <c r="AT9943" s="74"/>
      <c r="AW9943" s="74"/>
    </row>
    <row r="9944" spans="46:49" x14ac:dyDescent="0.25">
      <c r="AT9944" s="74"/>
      <c r="AW9944" s="74"/>
    </row>
    <row r="9945" spans="46:49" x14ac:dyDescent="0.25">
      <c r="AT9945" s="74"/>
      <c r="AW9945" s="74"/>
    </row>
    <row r="9946" spans="46:49" x14ac:dyDescent="0.25">
      <c r="AT9946" s="74"/>
      <c r="AW9946" s="74"/>
    </row>
    <row r="9947" spans="46:49" x14ac:dyDescent="0.25">
      <c r="AT9947" s="74"/>
      <c r="AW9947" s="74"/>
    </row>
    <row r="9948" spans="46:49" x14ac:dyDescent="0.25">
      <c r="AT9948" s="74"/>
      <c r="AW9948" s="74"/>
    </row>
    <row r="9949" spans="46:49" x14ac:dyDescent="0.25">
      <c r="AT9949" s="74"/>
      <c r="AW9949" s="74"/>
    </row>
    <row r="9950" spans="46:49" x14ac:dyDescent="0.25">
      <c r="AT9950" s="74"/>
      <c r="AW9950" s="74"/>
    </row>
    <row r="9951" spans="46:49" x14ac:dyDescent="0.25">
      <c r="AT9951" s="74"/>
      <c r="AW9951" s="74"/>
    </row>
    <row r="9952" spans="46:49" x14ac:dyDescent="0.25">
      <c r="AT9952" s="74"/>
      <c r="AW9952" s="74"/>
    </row>
    <row r="9953" spans="46:49" x14ac:dyDescent="0.25">
      <c r="AT9953" s="74"/>
      <c r="AW9953" s="74"/>
    </row>
    <row r="9954" spans="46:49" x14ac:dyDescent="0.25">
      <c r="AT9954" s="74"/>
      <c r="AW9954" s="74"/>
    </row>
    <row r="9955" spans="46:49" x14ac:dyDescent="0.25">
      <c r="AT9955" s="74"/>
      <c r="AW9955" s="74"/>
    </row>
    <row r="9956" spans="46:49" x14ac:dyDescent="0.25">
      <c r="AT9956" s="74"/>
      <c r="AW9956" s="74"/>
    </row>
    <row r="9957" spans="46:49" x14ac:dyDescent="0.25">
      <c r="AT9957" s="74"/>
      <c r="AW9957" s="74"/>
    </row>
    <row r="9958" spans="46:49" x14ac:dyDescent="0.25">
      <c r="AT9958" s="74"/>
      <c r="AW9958" s="74"/>
    </row>
    <row r="9959" spans="46:49" x14ac:dyDescent="0.25">
      <c r="AT9959" s="74"/>
      <c r="AW9959" s="74"/>
    </row>
    <row r="9960" spans="46:49" x14ac:dyDescent="0.25">
      <c r="AT9960" s="74"/>
      <c r="AW9960" s="74"/>
    </row>
    <row r="9961" spans="46:49" x14ac:dyDescent="0.25">
      <c r="AT9961" s="74"/>
      <c r="AW9961" s="74"/>
    </row>
    <row r="9962" spans="46:49" x14ac:dyDescent="0.25">
      <c r="AT9962" s="74"/>
      <c r="AW9962" s="74"/>
    </row>
    <row r="9963" spans="46:49" x14ac:dyDescent="0.25">
      <c r="AT9963" s="74"/>
      <c r="AW9963" s="74"/>
    </row>
    <row r="9964" spans="46:49" x14ac:dyDescent="0.25">
      <c r="AT9964" s="74"/>
      <c r="AW9964" s="74"/>
    </row>
    <row r="9965" spans="46:49" x14ac:dyDescent="0.25">
      <c r="AT9965" s="74"/>
      <c r="AW9965" s="74"/>
    </row>
    <row r="9966" spans="46:49" x14ac:dyDescent="0.25">
      <c r="AT9966" s="74"/>
      <c r="AW9966" s="74"/>
    </row>
    <row r="9967" spans="46:49" x14ac:dyDescent="0.25">
      <c r="AT9967" s="74"/>
      <c r="AW9967" s="74"/>
    </row>
    <row r="9968" spans="46:49" x14ac:dyDescent="0.25">
      <c r="AT9968" s="74"/>
      <c r="AW9968" s="74"/>
    </row>
    <row r="9969" spans="46:49" x14ac:dyDescent="0.25">
      <c r="AT9969" s="74"/>
      <c r="AW9969" s="74"/>
    </row>
    <row r="9970" spans="46:49" x14ac:dyDescent="0.25">
      <c r="AT9970" s="74"/>
      <c r="AW9970" s="74"/>
    </row>
    <row r="9971" spans="46:49" x14ac:dyDescent="0.25">
      <c r="AT9971" s="74"/>
      <c r="AW9971" s="74"/>
    </row>
    <row r="9972" spans="46:49" x14ac:dyDescent="0.25">
      <c r="AT9972" s="74"/>
      <c r="AW9972" s="74"/>
    </row>
    <row r="9973" spans="46:49" x14ac:dyDescent="0.25">
      <c r="AT9973" s="74"/>
      <c r="AW9973" s="74"/>
    </row>
    <row r="9974" spans="46:49" x14ac:dyDescent="0.25">
      <c r="AT9974" s="74"/>
      <c r="AW9974" s="74"/>
    </row>
    <row r="9975" spans="46:49" x14ac:dyDescent="0.25">
      <c r="AT9975" s="74"/>
      <c r="AW9975" s="74"/>
    </row>
    <row r="9976" spans="46:49" x14ac:dyDescent="0.25">
      <c r="AT9976" s="74"/>
      <c r="AW9976" s="74"/>
    </row>
    <row r="9977" spans="46:49" x14ac:dyDescent="0.25">
      <c r="AT9977" s="74"/>
      <c r="AW9977" s="74"/>
    </row>
    <row r="9978" spans="46:49" x14ac:dyDescent="0.25">
      <c r="AT9978" s="74"/>
      <c r="AW9978" s="74"/>
    </row>
    <row r="9979" spans="46:49" x14ac:dyDescent="0.25">
      <c r="AT9979" s="74"/>
      <c r="AW9979" s="74"/>
    </row>
    <row r="9980" spans="46:49" x14ac:dyDescent="0.25">
      <c r="AT9980" s="74"/>
      <c r="AW9980" s="74"/>
    </row>
    <row r="9981" spans="46:49" x14ac:dyDescent="0.25">
      <c r="AT9981" s="74"/>
      <c r="AW9981" s="74"/>
    </row>
    <row r="9982" spans="46:49" x14ac:dyDescent="0.25">
      <c r="AT9982" s="74"/>
      <c r="AW9982" s="74"/>
    </row>
    <row r="9983" spans="46:49" x14ac:dyDescent="0.25">
      <c r="AT9983" s="74"/>
      <c r="AW9983" s="74"/>
    </row>
    <row r="9984" spans="46:49" x14ac:dyDescent="0.25">
      <c r="AT9984" s="74"/>
      <c r="AW9984" s="74"/>
    </row>
    <row r="9985" spans="46:49" x14ac:dyDescent="0.25">
      <c r="AT9985" s="74"/>
      <c r="AW9985" s="74"/>
    </row>
    <row r="9986" spans="46:49" x14ac:dyDescent="0.25">
      <c r="AT9986" s="74"/>
      <c r="AW9986" s="74"/>
    </row>
    <row r="9987" spans="46:49" x14ac:dyDescent="0.25">
      <c r="AT9987" s="74"/>
      <c r="AW9987" s="74"/>
    </row>
    <row r="9988" spans="46:49" x14ac:dyDescent="0.25">
      <c r="AT9988" s="74"/>
      <c r="AW9988" s="74"/>
    </row>
    <row r="9989" spans="46:49" x14ac:dyDescent="0.25">
      <c r="AT9989" s="74"/>
      <c r="AW9989" s="74"/>
    </row>
    <row r="9990" spans="46:49" x14ac:dyDescent="0.25">
      <c r="AT9990" s="74"/>
      <c r="AW9990" s="74"/>
    </row>
    <row r="9991" spans="46:49" x14ac:dyDescent="0.25">
      <c r="AT9991" s="74"/>
      <c r="AW9991" s="74"/>
    </row>
    <row r="9992" spans="46:49" x14ac:dyDescent="0.25">
      <c r="AT9992" s="74"/>
      <c r="AW9992" s="74"/>
    </row>
    <row r="9993" spans="46:49" x14ac:dyDescent="0.25">
      <c r="AT9993" s="74"/>
      <c r="AW9993" s="74"/>
    </row>
    <row r="9994" spans="46:49" x14ac:dyDescent="0.25">
      <c r="AT9994" s="74"/>
      <c r="AW9994" s="74"/>
    </row>
    <row r="9995" spans="46:49" x14ac:dyDescent="0.25">
      <c r="AT9995" s="74"/>
      <c r="AW9995" s="74"/>
    </row>
    <row r="9996" spans="46:49" x14ac:dyDescent="0.25">
      <c r="AT9996" s="74"/>
      <c r="AW9996" s="74"/>
    </row>
    <row r="9997" spans="46:49" x14ac:dyDescent="0.25">
      <c r="AT9997" s="74"/>
      <c r="AW9997" s="74"/>
    </row>
    <row r="9998" spans="46:49" x14ac:dyDescent="0.25">
      <c r="AT9998" s="74"/>
      <c r="AW9998" s="74"/>
    </row>
    <row r="9999" spans="46:49" x14ac:dyDescent="0.25">
      <c r="AT9999" s="74"/>
      <c r="AW9999" s="74"/>
    </row>
    <row r="10000" spans="46:49" x14ac:dyDescent="0.25">
      <c r="AT10000" s="74"/>
      <c r="AW10000" s="74"/>
    </row>
    <row r="10001" spans="46:49" x14ac:dyDescent="0.25">
      <c r="AT10001" s="74"/>
      <c r="AW10001" s="74"/>
    </row>
    <row r="10002" spans="46:49" x14ac:dyDescent="0.25">
      <c r="AT10002" s="74"/>
      <c r="AW10002" s="74"/>
    </row>
    <row r="10003" spans="46:49" x14ac:dyDescent="0.25">
      <c r="AT10003" s="74"/>
      <c r="AW10003" s="74"/>
    </row>
    <row r="10004" spans="46:49" x14ac:dyDescent="0.25">
      <c r="AT10004" s="74"/>
      <c r="AW10004" s="74"/>
    </row>
    <row r="10005" spans="46:49" x14ac:dyDescent="0.25">
      <c r="AT10005" s="74"/>
      <c r="AW10005" s="74"/>
    </row>
    <row r="10006" spans="46:49" x14ac:dyDescent="0.25">
      <c r="AT10006" s="74"/>
      <c r="AW10006" s="74"/>
    </row>
    <row r="10007" spans="46:49" x14ac:dyDescent="0.25">
      <c r="AT10007" s="74"/>
      <c r="AW10007" s="74"/>
    </row>
    <row r="10008" spans="46:49" x14ac:dyDescent="0.25">
      <c r="AT10008" s="74"/>
    </row>
  </sheetData>
  <mergeCells count="4">
    <mergeCell ref="B4:AI4"/>
    <mergeCell ref="B9:B19"/>
    <mergeCell ref="B20:B27"/>
    <mergeCell ref="B28:B36"/>
  </mergeCells>
  <phoneticPr fontId="1" type="noConversion"/>
  <pageMargins left="0.7" right="0.7" top="0.75" bottom="0.75" header="0.3" footer="0.3"/>
  <pageSetup paperSize="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Drop Down 1">
              <controlPr defaultSize="0" autoLine="0" autoPict="0">
                <anchor moveWithCells="1">
                  <from>
                    <xdr:col>27</xdr:col>
                    <xdr:colOff>85725</xdr:colOff>
                    <xdr:row>3</xdr:row>
                    <xdr:rowOff>438150</xdr:rowOff>
                  </from>
                  <to>
                    <xdr:col>28</xdr:col>
                    <xdr:colOff>314325</xdr:colOff>
                    <xdr:row>5</xdr:row>
                    <xdr:rowOff>9525</xdr:rowOff>
                  </to>
                </anchor>
              </controlPr>
            </control>
          </mc:Choice>
        </mc:AlternateContent>
        <mc:AlternateContent xmlns:mc="http://schemas.openxmlformats.org/markup-compatibility/2006">
          <mc:Choice Requires="x14">
            <control shapeId="2050" r:id="rId5" name="Drop Down 2">
              <controlPr defaultSize="0" autoLine="0" autoPict="0">
                <anchor moveWithCells="1">
                  <from>
                    <xdr:col>27</xdr:col>
                    <xdr:colOff>76200</xdr:colOff>
                    <xdr:row>20</xdr:row>
                    <xdr:rowOff>28575</xdr:rowOff>
                  </from>
                  <to>
                    <xdr:col>28</xdr:col>
                    <xdr:colOff>304800</xdr:colOff>
                    <xdr:row>21</xdr:row>
                    <xdr:rowOff>57150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27</xdr:col>
                    <xdr:colOff>57150</xdr:colOff>
                    <xdr:row>21</xdr:row>
                    <xdr:rowOff>114300</xdr:rowOff>
                  </from>
                  <to>
                    <xdr:col>27</xdr:col>
                    <xdr:colOff>723900</xdr:colOff>
                    <xdr:row>22</xdr:row>
                    <xdr:rowOff>133350</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28</xdr:col>
                    <xdr:colOff>66675</xdr:colOff>
                    <xdr:row>21</xdr:row>
                    <xdr:rowOff>114300</xdr:rowOff>
                  </from>
                  <to>
                    <xdr:col>29</xdr:col>
                    <xdr:colOff>123825</xdr:colOff>
                    <xdr:row>22</xdr:row>
                    <xdr:rowOff>133350</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29</xdr:col>
                    <xdr:colOff>9525</xdr:colOff>
                    <xdr:row>21</xdr:row>
                    <xdr:rowOff>114300</xdr:rowOff>
                  </from>
                  <to>
                    <xdr:col>30</xdr:col>
                    <xdr:colOff>66675</xdr:colOff>
                    <xdr:row>22</xdr:row>
                    <xdr:rowOff>133350</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30</xdr:col>
                    <xdr:colOff>38100</xdr:colOff>
                    <xdr:row>21</xdr:row>
                    <xdr:rowOff>104775</xdr:rowOff>
                  </from>
                  <to>
                    <xdr:col>31</xdr:col>
                    <xdr:colOff>95250</xdr:colOff>
                    <xdr:row>22</xdr:row>
                    <xdr:rowOff>123825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31</xdr:col>
                    <xdr:colOff>38100</xdr:colOff>
                    <xdr:row>21</xdr:row>
                    <xdr:rowOff>104775</xdr:rowOff>
                  </from>
                  <to>
                    <xdr:col>32</xdr:col>
                    <xdr:colOff>95250</xdr:colOff>
                    <xdr:row>22</xdr:row>
                    <xdr:rowOff>123825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32</xdr:col>
                    <xdr:colOff>38100</xdr:colOff>
                    <xdr:row>21</xdr:row>
                    <xdr:rowOff>104775</xdr:rowOff>
                  </from>
                  <to>
                    <xdr:col>32</xdr:col>
                    <xdr:colOff>704850</xdr:colOff>
                    <xdr:row>22</xdr:row>
                    <xdr:rowOff>123825</xdr:rowOff>
                  </to>
                </anchor>
              </controlPr>
            </control>
          </mc:Choice>
        </mc:AlternateContent>
        <mc:AlternateContent xmlns:mc="http://schemas.openxmlformats.org/markup-compatibility/2006">
          <mc:Choice Requires="x14">
            <control shapeId="2057" r:id="rId12" name="Check Box 9">
              <controlPr defaultSize="0" autoFill="0" autoLine="0" autoPict="0">
                <anchor moveWithCells="1">
                  <from>
                    <xdr:col>32</xdr:col>
                    <xdr:colOff>657225</xdr:colOff>
                    <xdr:row>21</xdr:row>
                    <xdr:rowOff>114300</xdr:rowOff>
                  </from>
                  <to>
                    <xdr:col>33</xdr:col>
                    <xdr:colOff>571500</xdr:colOff>
                    <xdr:row>22</xdr:row>
                    <xdr:rowOff>133350</xdr:rowOff>
                  </to>
                </anchor>
              </controlPr>
            </control>
          </mc:Choice>
        </mc:AlternateContent>
        <mc:AlternateContent xmlns:mc="http://schemas.openxmlformats.org/markup-compatibility/2006">
          <mc:Choice Requires="x14">
            <control shapeId="2058" r:id="rId13" name="Check Box 10">
              <controlPr defaultSize="0" autoFill="0" autoLine="0" autoPict="0">
                <anchor moveWithCells="1">
                  <from>
                    <xdr:col>34</xdr:col>
                    <xdr:colOff>38100</xdr:colOff>
                    <xdr:row>21</xdr:row>
                    <xdr:rowOff>104775</xdr:rowOff>
                  </from>
                  <to>
                    <xdr:col>34</xdr:col>
                    <xdr:colOff>704850</xdr:colOff>
                    <xdr:row>22</xdr:row>
                    <xdr:rowOff>123825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1:I16"/>
  <sheetViews>
    <sheetView showGridLines="0" workbookViewId="0"/>
  </sheetViews>
  <sheetFormatPr defaultRowHeight="13.5" x14ac:dyDescent="0.25"/>
  <cols>
    <col min="1" max="1" width="3" customWidth="1"/>
    <col min="2" max="2" width="5.7109375" customWidth="1"/>
    <col min="3" max="9" width="8" customWidth="1"/>
  </cols>
  <sheetData>
    <row r="1" spans="2:9" ht="69.75" x14ac:dyDescent="0.25">
      <c r="B1" s="134" t="s">
        <v>161</v>
      </c>
    </row>
    <row r="3" spans="2:9" ht="33.75" x14ac:dyDescent="0.25">
      <c r="B3" s="147" t="s">
        <v>162</v>
      </c>
    </row>
    <row r="6" spans="2:9" ht="14.25" thickBot="1" x14ac:dyDescent="0.3">
      <c r="C6" s="135">
        <v>1</v>
      </c>
      <c r="D6" s="135">
        <v>2</v>
      </c>
      <c r="E6" s="135">
        <v>3</v>
      </c>
      <c r="F6" s="135">
        <v>4</v>
      </c>
      <c r="G6" s="135">
        <v>5</v>
      </c>
      <c r="H6" s="135">
        <v>6</v>
      </c>
      <c r="I6" s="135">
        <v>7</v>
      </c>
    </row>
    <row r="7" spans="2:9" ht="22.5" customHeight="1" x14ac:dyDescent="0.25">
      <c r="B7" s="135">
        <v>1</v>
      </c>
      <c r="C7" s="136"/>
      <c r="D7" s="137"/>
      <c r="E7" s="137"/>
      <c r="F7" s="137"/>
      <c r="G7" s="137"/>
      <c r="H7" s="137"/>
      <c r="I7" s="138"/>
    </row>
    <row r="8" spans="2:9" ht="22.5" customHeight="1" x14ac:dyDescent="0.25">
      <c r="B8" s="135">
        <v>2</v>
      </c>
      <c r="C8" s="139"/>
      <c r="D8" s="140"/>
      <c r="E8" s="140"/>
      <c r="F8" s="140"/>
      <c r="G8" s="140"/>
      <c r="H8" s="140"/>
      <c r="I8" s="141"/>
    </row>
    <row r="9" spans="2:9" ht="22.5" customHeight="1" x14ac:dyDescent="0.25">
      <c r="B9" s="135">
        <v>3</v>
      </c>
      <c r="C9" s="139"/>
      <c r="D9" s="140"/>
      <c r="E9" s="140"/>
      <c r="F9" s="140"/>
      <c r="G9" s="140"/>
      <c r="H9" s="140"/>
      <c r="I9" s="141"/>
    </row>
    <row r="10" spans="2:9" ht="22.5" customHeight="1" x14ac:dyDescent="0.25">
      <c r="B10" s="135">
        <v>4</v>
      </c>
      <c r="C10" s="139"/>
      <c r="D10" s="140"/>
      <c r="E10" s="140"/>
      <c r="F10" s="140"/>
      <c r="G10" s="140"/>
      <c r="H10" s="140"/>
      <c r="I10" s="141"/>
    </row>
    <row r="11" spans="2:9" ht="22.5" customHeight="1" x14ac:dyDescent="0.25">
      <c r="B11" s="135">
        <v>5</v>
      </c>
      <c r="C11" s="139"/>
      <c r="D11" s="140"/>
      <c r="E11" s="140"/>
      <c r="F11" s="140"/>
      <c r="G11" s="146" t="s">
        <v>163</v>
      </c>
      <c r="H11" s="140"/>
      <c r="I11" s="141"/>
    </row>
    <row r="12" spans="2:9" ht="22.5" customHeight="1" x14ac:dyDescent="0.25">
      <c r="B12" s="135">
        <v>6</v>
      </c>
      <c r="C12" s="139"/>
      <c r="D12" s="140"/>
      <c r="E12" s="140"/>
      <c r="F12" s="140"/>
      <c r="G12" s="140"/>
      <c r="H12" s="140"/>
      <c r="I12" s="141"/>
    </row>
    <row r="13" spans="2:9" ht="22.5" customHeight="1" thickBot="1" x14ac:dyDescent="0.3">
      <c r="B13" s="135">
        <v>7</v>
      </c>
      <c r="C13" s="142"/>
      <c r="D13" s="143"/>
      <c r="E13" s="143"/>
      <c r="F13" s="143"/>
      <c r="G13" s="143"/>
      <c r="H13" s="143"/>
      <c r="I13" s="144"/>
    </row>
    <row r="16" spans="2:9" ht="54.75" customHeight="1" x14ac:dyDescent="0.25">
      <c r="C16" s="145" t="s">
        <v>164</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2:E6"/>
  <sheetViews>
    <sheetView showGridLines="0" workbookViewId="0"/>
  </sheetViews>
  <sheetFormatPr defaultRowHeight="13.5" x14ac:dyDescent="0.25"/>
  <cols>
    <col min="1" max="1" width="2.140625" customWidth="1"/>
    <col min="2" max="2" width="32.5703125" customWidth="1"/>
    <col min="3" max="3" width="55.85546875" customWidth="1"/>
    <col min="4" max="4" width="2.140625" customWidth="1"/>
  </cols>
  <sheetData>
    <row r="2" spans="2:5" ht="69.75" x14ac:dyDescent="0.25">
      <c r="B2" s="174" t="s">
        <v>192</v>
      </c>
      <c r="C2" s="178">
        <f ca="1">WORKDAY(TODAY(),-1)</f>
        <v>44950</v>
      </c>
      <c r="D2" s="175"/>
      <c r="E2" s="175"/>
    </row>
    <row r="3" spans="2:5" ht="28.5" customHeight="1" x14ac:dyDescent="0.25">
      <c r="B3" s="175"/>
      <c r="C3" s="175"/>
      <c r="D3" s="175"/>
      <c r="E3" s="175"/>
    </row>
    <row r="4" spans="2:5" ht="69.75" x14ac:dyDescent="0.25">
      <c r="B4" s="176" t="s">
        <v>193</v>
      </c>
      <c r="C4" s="177">
        <f ca="1">DATE(YEAR(C2)-1,12,31)</f>
        <v>44926</v>
      </c>
      <c r="D4" s="175"/>
      <c r="E4" s="134" t="s">
        <v>196</v>
      </c>
    </row>
    <row r="5" spans="2:5" ht="69.75" x14ac:dyDescent="0.25">
      <c r="B5" s="176" t="s">
        <v>194</v>
      </c>
      <c r="C5" s="177">
        <f ca="1">EOMONTH(C2,-1)</f>
        <v>44926</v>
      </c>
      <c r="D5" s="175"/>
      <c r="E5" s="134" t="s">
        <v>197</v>
      </c>
    </row>
    <row r="6" spans="2:5" ht="69.75" x14ac:dyDescent="0.25">
      <c r="B6" s="176" t="s">
        <v>195</v>
      </c>
      <c r="C6" s="177">
        <f ca="1">C2-(WEEKDAY(C2,16))</f>
        <v>44946</v>
      </c>
      <c r="D6" s="175"/>
      <c r="E6" s="134" t="s">
        <v>198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개요</vt:lpstr>
      <vt:lpstr>Daily Report</vt:lpstr>
      <vt:lpstr>연습</vt:lpstr>
      <vt:lpstr>INDEX</vt:lpstr>
      <vt:lpstr>날짜함수</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infomax</dc:creator>
  <cp:lastModifiedBy>infomax</cp:lastModifiedBy>
  <dcterms:created xsi:type="dcterms:W3CDTF">2018-05-04T08:36:13Z</dcterms:created>
  <dcterms:modified xsi:type="dcterms:W3CDTF">2023-01-25T02:24:07Z</dcterms:modified>
</cp:coreProperties>
</file>